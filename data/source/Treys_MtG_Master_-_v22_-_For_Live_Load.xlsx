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528" yWindow="-8256" windowWidth="26016" windowHeight="14244" tabRatio="742" firstSheet="0" activeTab="0" autoFilterDateGrouping="1"/>
  </bookViews>
  <sheets>
    <sheet name="Master" sheetId="1" state="visible" r:id="rId1"/>
    <sheet name="master_main" sheetId="2" state="visible" r:id="rId2"/>
    <sheet name="master_target" sheetId="3" state="visible" r:id="rId3"/>
    <sheet name="master_actuals" sheetId="4" state="visible" r:id="rId4"/>
    <sheet name="master_collector" sheetId="5" state="visible" r:id="rId5"/>
    <sheet name="master_decks" sheetId="6" state="visible" r:id="rId6"/>
    <sheet name="deck_strategies" sheetId="7" state="visible" r:id="rId7"/>
    <sheet name="master_buy_upgrade" sheetId="8" state="visible" r:id="rId8"/>
  </sheets>
  <definedNames>
    <definedName name="_xlnm._FilterDatabase" localSheetId="0" hidden="1">'Master'!$A$4:$BD$917</definedName>
    <definedName name="_xlnm._FilterDatabase" localSheetId="1" hidden="1">'master_main'!$A$1:$P$914</definedName>
    <definedName name="_xlnm._FilterDatabase" localSheetId="2" hidden="1">'master_target'!$A$1:$H$480</definedName>
    <definedName name="_xlnm._FilterDatabase" localSheetId="3" hidden="1">'master_actuals'!$A$1:$H$480</definedName>
    <definedName name="_xlnm._FilterDatabase" localSheetId="4" hidden="1">'master_collector'!$A$1:$H$914</definedName>
  </definedNames>
  <calcPr calcId="191029" fullCalcOnLoad="1" iterateDelta="0.0001"/>
</workbook>
</file>

<file path=xl/styles.xml><?xml version="1.0" encoding="utf-8"?>
<styleSheet xmlns="http://schemas.openxmlformats.org/spreadsheetml/2006/main">
  <numFmts count="3">
    <numFmt numFmtId="164" formatCode="&quot;$&quot;#,##0.00"/>
    <numFmt numFmtId="165" formatCode="\$#,##0.00"/>
    <numFmt numFmtId="166" formatCode="\$#,##0"/>
  </numFmts>
  <fonts count="18">
    <font>
      <name val="Calibri"/>
      <charset val="1"/>
      <family val="2"/>
      <color theme="1"/>
      <sz val="11"/>
    </font>
    <font>
      <name val="Calibri"/>
      <family val="2"/>
      <b val="1"/>
      <color theme="1"/>
      <sz val="11"/>
    </font>
    <font>
      <name val="Satoshi"/>
      <b val="1"/>
      <color rgb="FFFFFFFF"/>
      <sz val="10"/>
    </font>
    <font>
      <name val="Satoshi"/>
      <b val="1"/>
      <color theme="1"/>
      <sz val="10"/>
    </font>
    <font>
      <name val="Satoshi"/>
      <sz val="10"/>
    </font>
    <font>
      <name val="Satoshi"/>
      <color theme="1"/>
      <sz val="10"/>
    </font>
    <font>
      <name val="Satoshi"/>
      <color rgb="FF9A9A9A"/>
      <sz val="10"/>
    </font>
    <font>
      <name val="Satoshi"/>
      <b val="1"/>
      <sz val="10"/>
    </font>
    <font>
      <name val="Satoshi"/>
      <b val="1"/>
      <color rgb="FF1B5E20"/>
      <sz val="10"/>
    </font>
    <font>
      <name val="Calibri"/>
      <family val="2"/>
      <color theme="1"/>
      <sz val="11"/>
    </font>
    <font>
      <name val="Satoshi"/>
      <b val="1"/>
      <color theme="0"/>
      <sz val="10"/>
    </font>
    <font>
      <name val="Calibri"/>
      <charset val="1"/>
      <family val="2"/>
      <color theme="1"/>
      <sz val="11"/>
    </font>
    <font>
      <name val="Calibri"/>
      <family val="2"/>
      <color theme="1"/>
      <sz val="11"/>
      <scheme val="minor"/>
    </font>
    <font>
      <name val="Arial"/>
      <family val="2"/>
      <b val="1"/>
      <color rgb="FFFFFFFF"/>
      <sz val="10"/>
    </font>
    <font>
      <name val="Calibri"/>
      <charset val="1"/>
      <family val="2"/>
      <sz val="8"/>
    </font>
    <font>
      <name val="Calibri"/>
      <family val="2"/>
      <b val="1"/>
      <color theme="0"/>
      <sz val="11"/>
      <scheme val="minor"/>
    </font>
    <font>
      <name val="Calibri"/>
      <family val="2"/>
      <b val="1"/>
      <color theme="0"/>
      <sz val="11"/>
    </font>
    <font>
      <name val="Arial"/>
      <family val="2"/>
      <color theme="1"/>
      <sz val="10"/>
    </font>
  </fonts>
  <fills count="31">
    <fill>
      <patternFill/>
    </fill>
    <fill>
      <patternFill patternType="gray125"/>
    </fill>
    <fill>
      <patternFill patternType="solid">
        <fgColor theme="3" tint="0.5999938962981048"/>
        <bgColor indexed="64"/>
      </patternFill>
    </fill>
    <fill>
      <patternFill patternType="solid">
        <fgColor theme="6"/>
        <bgColor indexed="64"/>
      </patternFill>
    </fill>
    <fill>
      <patternFill patternType="solid">
        <fgColor rgb="FF1F4E78"/>
        <bgColor rgb="FF2E5E4E"/>
      </patternFill>
    </fill>
    <fill>
      <patternFill patternType="solid">
        <fgColor rgb="FF00B050"/>
        <bgColor rgb="FF2E5E4E"/>
      </patternFill>
    </fill>
    <fill>
      <patternFill patternType="solid">
        <fgColor theme="2" tint="-0.499984740745262"/>
        <bgColor rgb="FF2E5E4E"/>
      </patternFill>
    </fill>
    <fill>
      <patternFill patternType="solid">
        <fgColor rgb="FF7030A0"/>
        <bgColor rgb="FF2E5E4E"/>
      </patternFill>
    </fill>
    <fill>
      <patternFill patternType="solid">
        <fgColor rgb="FFE2EFDA"/>
      </patternFill>
    </fill>
    <fill>
      <patternFill patternType="solid">
        <fgColor theme="7"/>
        <bgColor rgb="FF2E5E4E"/>
      </patternFill>
    </fill>
    <fill>
      <patternFill patternType="solid">
        <fgColor rgb="FFFFC000"/>
        <bgColor indexed="64"/>
      </patternFill>
    </fill>
    <fill>
      <patternFill patternType="solid">
        <fgColor theme="7" tint="0.7999816888943144"/>
        <bgColor indexed="64"/>
      </patternFill>
    </fill>
    <fill>
      <patternFill patternType="solid">
        <fgColor rgb="FF00B0F0"/>
        <bgColor indexed="64"/>
      </patternFill>
    </fill>
    <fill>
      <patternFill patternType="solid">
        <fgColor theme="6" tint="0.3999755851924192"/>
        <bgColor rgb="FF2E5E4E"/>
      </patternFill>
    </fill>
    <fill>
      <patternFill patternType="solid">
        <fgColor theme="4" tint="0.7999816888943144"/>
        <bgColor indexed="64"/>
      </patternFill>
    </fill>
    <fill>
      <patternFill patternType="solid">
        <fgColor theme="0" tint="-0.1499984740745262"/>
        <bgColor indexed="64"/>
      </patternFill>
    </fill>
    <fill>
      <patternFill patternType="solid">
        <fgColor theme="6" tint="0.5999938962981048"/>
        <bgColor indexed="64"/>
      </patternFill>
    </fill>
    <fill>
      <patternFill patternType="solid">
        <fgColor theme="2" tint="-0.249977111117893"/>
        <bgColor indexed="64"/>
      </patternFill>
    </fill>
    <fill>
      <patternFill patternType="solid">
        <fgColor theme="7" tint="0.3999755851924192"/>
        <bgColor rgb="FF2E5E4E"/>
      </patternFill>
    </fill>
    <fill>
      <patternFill patternType="solid">
        <fgColor theme="3" tint="0.3999755851924192"/>
        <bgColor rgb="FF2E5E4E"/>
      </patternFill>
    </fill>
    <fill>
      <patternFill patternType="solid">
        <fgColor theme="4" tint="0.5999938962981048"/>
        <bgColor rgb="FF2E5E4E"/>
      </patternFill>
    </fill>
    <fill>
      <patternFill patternType="solid">
        <fgColor theme="6" tint="-0.249977111117893"/>
        <bgColor rgb="FF2E5E4E"/>
      </patternFill>
    </fill>
    <fill>
      <patternFill patternType="solid">
        <fgColor rgb="FF0070C0"/>
        <bgColor indexed="64"/>
      </patternFill>
    </fill>
    <fill>
      <patternFill patternType="solid">
        <fgColor theme="3" tint="0.7999816888943144"/>
        <bgColor indexed="64"/>
      </patternFill>
    </fill>
    <fill>
      <patternFill patternType="solid">
        <fgColor rgb="FFAFEAFF"/>
      </patternFill>
    </fill>
    <fill>
      <patternFill patternType="solid">
        <fgColor rgb="FFCCC0DA"/>
      </patternFill>
    </fill>
    <fill>
      <patternFill patternType="solid">
        <fgColor rgb="FFFCD8BA"/>
      </patternFill>
    </fill>
    <fill>
      <patternFill patternType="solid"/>
    </fill>
    <fill>
      <patternFill patternType="solid">
        <fgColor theme="8" tint="0.5999938962981048"/>
        <bgColor indexed="64"/>
      </patternFill>
    </fill>
    <fill>
      <patternFill patternType="solid">
        <fgColor rgb="FF2E5B9A"/>
      </patternFill>
    </fill>
    <fill>
      <patternFill patternType="solid">
        <fgColor rgb="FF00B050"/>
        <bgColor indexed="64"/>
      </patternFill>
    </fill>
  </fills>
  <borders count="26">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rgb="FFD3D8DE"/>
      </left>
      <right style="thin">
        <color rgb="FFD3D8DE"/>
      </right>
      <top style="thin">
        <color rgb="FFD3D8DE"/>
      </top>
      <bottom style="thin">
        <color rgb="FFD3D8DE"/>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rgb="FFD3D8DE"/>
      </left>
      <right style="thin">
        <color rgb="FFD3D8DE"/>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rgb="FFD3D8DE"/>
      </left>
      <right style="thin">
        <color rgb="FFD3D8DE"/>
      </right>
      <top style="thin">
        <color rgb="FFD3D8DE"/>
      </top>
      <bottom/>
      <diagonal/>
    </border>
    <border>
      <left style="medium">
        <color theme="0" tint="-0.3499862666707358"/>
      </left>
      <right/>
      <top/>
      <bottom/>
      <diagonal/>
    </border>
    <border>
      <left/>
      <right style="medium">
        <color theme="0" tint="-0.3499862666707358"/>
      </right>
      <top/>
      <bottom/>
      <diagonal/>
    </border>
    <border>
      <left style="medium">
        <color theme="0" tint="-0.3499862666707358"/>
      </left>
      <right/>
      <top/>
      <bottom style="medium">
        <color theme="0" tint="-0.3499862666707358"/>
      </bottom>
      <diagonal/>
    </border>
    <border>
      <left/>
      <right/>
      <top/>
      <bottom style="medium">
        <color theme="0" tint="-0.3499862666707358"/>
      </bottom>
      <diagonal/>
    </border>
    <border>
      <left/>
      <right style="medium">
        <color theme="0" tint="-0.3499862666707358"/>
      </right>
      <top/>
      <bottom style="medium">
        <color theme="0" tint="-0.3499862666707358"/>
      </bottom>
      <diagonal/>
    </border>
    <border>
      <left/>
      <right/>
      <top/>
      <bottom style="thin">
        <color rgb="FFD5D9E0"/>
      </bottom>
      <diagonal/>
    </border>
    <border>
      <left style="thin">
        <color rgb="FFD9D9D9"/>
      </left>
      <right style="thin">
        <color rgb="FFD9D9D9"/>
      </right>
      <top style="thin">
        <color rgb="FFD9D9D9"/>
      </top>
      <bottom/>
      <diagonal/>
    </border>
    <border>
      <left style="medium">
        <color theme="0" tint="-0.3499862666707358"/>
      </left>
      <right/>
      <top style="medium">
        <color theme="0" tint="-0.3499862666707358"/>
      </top>
      <bottom/>
      <diagonal/>
    </border>
    <border>
      <left/>
      <right/>
      <top style="medium">
        <color theme="0" tint="-0.3499862666707358"/>
      </top>
      <bottom/>
      <diagonal/>
    </border>
    <border>
      <left/>
      <right style="medium">
        <color theme="0" tint="-0.3499862666707358"/>
      </right>
      <top style="medium">
        <color theme="0" tint="-0.3499862666707358"/>
      </top>
      <bottom/>
      <diagonal/>
    </border>
    <border>
      <left style="thin">
        <color rgb="FFBFBFBF"/>
      </left>
      <right style="thin">
        <color rgb="FFBFBFBF"/>
      </right>
      <top style="thin">
        <color rgb="FFBFBFBF"/>
      </top>
      <bottom style="thin">
        <color rgb="FFBFBFBF"/>
      </bottom>
      <diagonal/>
    </border>
  </borders>
  <cellStyleXfs count="3">
    <xf numFmtId="0" fontId="11" fillId="0" borderId="0"/>
    <xf numFmtId="44" fontId="11" fillId="0" borderId="0"/>
    <xf numFmtId="0" fontId="12" fillId="0" borderId="0"/>
  </cellStyleXfs>
  <cellXfs count="155">
    <xf numFmtId="0" fontId="0" fillId="0" borderId="0" pivotButton="0" quotePrefix="0" xfId="0"/>
    <xf numFmtId="0" fontId="0" fillId="0" borderId="0" applyAlignment="1" pivotButton="0" quotePrefix="0" xfId="0">
      <alignment horizontal="center"/>
    </xf>
    <xf numFmtId="0" fontId="0" fillId="11" borderId="0" pivotButton="0" quotePrefix="0" xfId="0"/>
    <xf numFmtId="0" fontId="1" fillId="12" borderId="1" pivotButton="0" quotePrefix="0" xfId="0"/>
    <xf numFmtId="0" fontId="0" fillId="12" borderId="0" pivotButton="0" quotePrefix="0" xfId="0"/>
    <xf numFmtId="0" fontId="2" fillId="0" borderId="8" applyAlignment="1" pivotButton="0" quotePrefix="0" xfId="0">
      <alignment horizontal="center" vertical="top" wrapText="1"/>
    </xf>
    <xf numFmtId="0" fontId="2" fillId="0" borderId="9" applyAlignment="1" pivotButton="0" quotePrefix="0" xfId="0">
      <alignment horizontal="center" vertical="top" wrapText="1"/>
    </xf>
    <xf numFmtId="0" fontId="0" fillId="15" borderId="0" pivotButton="0" quotePrefix="0" xfId="0"/>
    <xf numFmtId="0" fontId="9" fillId="2" borderId="1" applyAlignment="1" pivotButton="0" quotePrefix="0" xfId="0">
      <alignment horizontal="center"/>
    </xf>
    <xf numFmtId="0" fontId="9" fillId="3" borderId="0" applyAlignment="1" pivotButton="0" quotePrefix="0" xfId="0">
      <alignment horizontal="center"/>
    </xf>
    <xf numFmtId="0" fontId="9" fillId="14" borderId="0" applyAlignment="1" pivotButton="0" quotePrefix="0" xfId="0">
      <alignment horizontal="center"/>
    </xf>
    <xf numFmtId="0" fontId="9" fillId="11" borderId="0" applyAlignment="1" pivotButton="0" quotePrefix="0" xfId="0">
      <alignment horizontal="center"/>
    </xf>
    <xf numFmtId="0" fontId="1" fillId="16" borderId="0" pivotButton="0" quotePrefix="0" xfId="0"/>
    <xf numFmtId="0" fontId="1" fillId="11" borderId="0" applyAlignment="1" pivotButton="0" quotePrefix="0" xfId="0">
      <alignment horizontal="center"/>
    </xf>
    <xf numFmtId="0" fontId="1" fillId="14" borderId="0" applyAlignment="1" pivotButton="0" quotePrefix="0" xfId="0">
      <alignment horizontal="center"/>
    </xf>
    <xf numFmtId="0" fontId="1" fillId="16" borderId="0" applyAlignment="1" pivotButton="0" quotePrefix="0" xfId="0">
      <alignment horizontal="center"/>
    </xf>
    <xf numFmtId="0" fontId="1" fillId="10" borderId="0" applyAlignment="1" pivotButton="0" quotePrefix="0" xfId="0">
      <alignment horizontal="center"/>
    </xf>
    <xf numFmtId="0" fontId="1" fillId="17" borderId="1" applyAlignment="1" pivotButton="0" quotePrefix="0" xfId="0">
      <alignment horizontal="center"/>
    </xf>
    <xf numFmtId="0" fontId="2" fillId="4" borderId="2" applyAlignment="1" pivotButton="0" quotePrefix="0" xfId="0">
      <alignment horizontal="center" vertical="center" wrapText="1"/>
    </xf>
    <xf numFmtId="0" fontId="2" fillId="4" borderId="10" applyAlignment="1" pivotButton="0" quotePrefix="0" xfId="0">
      <alignment horizontal="center" vertical="center" wrapText="1"/>
    </xf>
    <xf numFmtId="0" fontId="2" fillId="4" borderId="7" applyAlignment="1" pivotButton="0" quotePrefix="0" xfId="0">
      <alignment horizontal="center" vertical="center" wrapText="1"/>
    </xf>
    <xf numFmtId="0" fontId="3" fillId="13" borderId="2" applyAlignment="1" pivotButton="0" quotePrefix="0" xfId="0">
      <alignment horizontal="center" vertical="center" wrapText="1"/>
    </xf>
    <xf numFmtId="0" fontId="2" fillId="19" borderId="3" applyAlignment="1" pivotButton="0" quotePrefix="0" xfId="0">
      <alignment horizontal="center" vertical="center" wrapText="1"/>
    </xf>
    <xf numFmtId="0" fontId="7" fillId="18" borderId="2" applyAlignment="1" pivotButton="0" quotePrefix="0" xfId="0">
      <alignment horizontal="center" vertical="center" wrapText="1"/>
    </xf>
    <xf numFmtId="0" fontId="2" fillId="7" borderId="2" applyAlignment="1" pivotButton="0" quotePrefix="0" xfId="0">
      <alignment horizontal="center" vertical="center" wrapText="1"/>
    </xf>
    <xf numFmtId="0" fontId="7" fillId="20" borderId="2" applyAlignment="1" pivotButton="0" quotePrefix="0" xfId="0">
      <alignment horizontal="center" vertical="center" wrapText="1"/>
    </xf>
    <xf numFmtId="0" fontId="2" fillId="5" borderId="6" applyAlignment="1" pivotButton="0" quotePrefix="0" xfId="0">
      <alignment horizontal="center" vertical="center" wrapText="1"/>
    </xf>
    <xf numFmtId="0" fontId="2" fillId="5" borderId="11" applyAlignment="1" pivotButton="0" quotePrefix="0" xfId="0">
      <alignment horizontal="center" vertical="center" wrapText="1"/>
    </xf>
    <xf numFmtId="0" fontId="2" fillId="6" borderId="7" applyAlignment="1" pivotButton="0" quotePrefix="0" xfId="0">
      <alignment horizontal="center" vertical="center" wrapText="1"/>
    </xf>
    <xf numFmtId="0" fontId="2" fillId="9" borderId="2" applyAlignment="1" pivotButton="0" quotePrefix="0" xfId="0">
      <alignment horizontal="center" vertical="center" wrapText="1"/>
    </xf>
    <xf numFmtId="0" fontId="5" fillId="0" borderId="2" applyAlignment="1" pivotButton="0" quotePrefix="0" xfId="0">
      <alignment vertical="center"/>
    </xf>
    <xf numFmtId="0" fontId="5" fillId="0" borderId="2"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4" fillId="0" borderId="2" applyAlignment="1" pivotButton="0" quotePrefix="0" xfId="0">
      <alignment horizontal="center" vertical="center" wrapText="1"/>
    </xf>
    <xf numFmtId="164" fontId="5" fillId="0" borderId="2" applyAlignment="1" pivotButton="0" quotePrefix="0" xfId="0">
      <alignment vertical="center"/>
    </xf>
    <xf numFmtId="165" fontId="4" fillId="0" borderId="2" applyAlignment="1" pivotButton="0" quotePrefix="0" xfId="0">
      <alignment vertical="center" wrapText="1"/>
    </xf>
    <xf numFmtId="0" fontId="4" fillId="0" borderId="6"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2" applyAlignment="1" pivotButton="0" quotePrefix="0" xfId="0">
      <alignment vertical="center" wrapText="1"/>
    </xf>
    <xf numFmtId="0" fontId="5" fillId="0"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vertical="center" wrapText="1"/>
    </xf>
    <xf numFmtId="0" fontId="4" fillId="0" borderId="11" applyAlignment="1" pivotButton="0" quotePrefix="0" xfId="0">
      <alignment horizontal="center" vertical="center" wrapText="1"/>
    </xf>
    <xf numFmtId="0" fontId="4" fillId="0" borderId="2" applyAlignment="1" pivotButton="0" quotePrefix="0" xfId="0">
      <alignment vertical="center" wrapText="1"/>
    </xf>
    <xf numFmtId="0" fontId="4" fillId="0" borderId="2" applyAlignment="1" pivotButton="0" quotePrefix="0" xfId="0">
      <alignment horizontal="left" vertical="center" wrapText="1"/>
    </xf>
    <xf numFmtId="0" fontId="5" fillId="0" borderId="5"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vertical="center" wrapText="1"/>
    </xf>
    <xf numFmtId="0" fontId="5" fillId="0" borderId="2" applyAlignment="1" pivotButton="0" quotePrefix="0" xfId="0">
      <alignment horizontal="left" vertical="center" wrapText="1"/>
    </xf>
    <xf numFmtId="0" fontId="8" fillId="8" borderId="0" applyAlignment="1" pivotButton="0" quotePrefix="0" xfId="0">
      <alignment vertical="center" wrapText="1"/>
    </xf>
    <xf numFmtId="0" fontId="4" fillId="0" borderId="3" applyAlignment="1" pivotButton="0" quotePrefix="0" xfId="0">
      <alignment vertical="center" wrapText="1"/>
    </xf>
    <xf numFmtId="0" fontId="4" fillId="0" borderId="3" applyAlignment="1" pivotButton="0" quotePrefix="0" xfId="0">
      <alignment horizontal="center" vertical="center" wrapText="1"/>
    </xf>
    <xf numFmtId="0" fontId="4" fillId="0" borderId="0" applyAlignment="1" pivotButton="0" quotePrefix="0" xfId="0">
      <alignment horizontal="left" vertical="center" wrapText="1"/>
    </xf>
    <xf numFmtId="165" fontId="4" fillId="0" borderId="0" applyAlignment="1" pivotButton="0" quotePrefix="0" xfId="0">
      <alignment vertical="center" wrapText="1"/>
    </xf>
    <xf numFmtId="165" fontId="4" fillId="0" borderId="3" applyAlignment="1" pivotButton="0" quotePrefix="0" xfId="0">
      <alignment vertical="center" wrapText="1"/>
    </xf>
    <xf numFmtId="0" fontId="5" fillId="0" borderId="3" applyAlignment="1" pivotButton="0" quotePrefix="0" xfId="0">
      <alignment vertical="center" wrapText="1"/>
    </xf>
    <xf numFmtId="0" fontId="5" fillId="0" borderId="3" applyAlignment="1" pivotButton="0" quotePrefix="0" xfId="0">
      <alignment horizontal="center" vertical="center" wrapText="1"/>
    </xf>
    <xf numFmtId="0" fontId="0" fillId="0" borderId="0" applyAlignment="1" pivotButton="0" quotePrefix="0" xfId="0">
      <alignment horizontal="center" vertical="center"/>
    </xf>
    <xf numFmtId="0" fontId="5" fillId="0" borderId="3" applyAlignment="1" pivotButton="0" quotePrefix="0" xfId="0">
      <alignment vertical="center"/>
    </xf>
    <xf numFmtId="0" fontId="5" fillId="0" borderId="3" applyAlignment="1" pivotButton="0" quotePrefix="0" xfId="0">
      <alignment horizontal="center" vertical="center"/>
    </xf>
    <xf numFmtId="164" fontId="5" fillId="0" borderId="0" applyAlignment="1" pivotButton="0" quotePrefix="0" xfId="0">
      <alignment vertical="center"/>
    </xf>
    <xf numFmtId="0" fontId="10" fillId="21" borderId="2" applyAlignment="1" pivotButton="0" quotePrefix="0" xfId="0">
      <alignment horizontal="center" vertical="center" wrapText="1"/>
    </xf>
    <xf numFmtId="0" fontId="5" fillId="0" borderId="0" applyAlignment="1" pivotButton="0" quotePrefix="0" xfId="0">
      <alignment horizontal="left" vertical="top" wrapText="1"/>
    </xf>
    <xf numFmtId="0" fontId="0" fillId="0" borderId="0" applyAlignment="1" pivotButton="0" quotePrefix="0" xfId="0">
      <alignment horizontal="left" vertical="top" wrapText="1"/>
    </xf>
    <xf numFmtId="0" fontId="1" fillId="16" borderId="0" applyAlignment="1" pivotButton="0" quotePrefix="0" xfId="0">
      <alignment horizontal="left" vertical="top" wrapText="1"/>
    </xf>
    <xf numFmtId="166" fontId="0" fillId="11" borderId="0" pivotButton="0" quotePrefix="0" xfId="0"/>
    <xf numFmtId="0" fontId="4" fillId="0" borderId="0" applyAlignment="1" pivotButton="0" quotePrefix="0" xfId="0">
      <alignment vertical="center"/>
    </xf>
    <xf numFmtId="0" fontId="1" fillId="0" borderId="0" applyAlignment="1" pivotButton="0" quotePrefix="0" xfId="0">
      <alignment horizontal="right"/>
    </xf>
    <xf numFmtId="0" fontId="5" fillId="0" borderId="0" pivotButton="0" quotePrefix="0" xfId="0"/>
    <xf numFmtId="0" fontId="3" fillId="0" borderId="0" applyAlignment="1" pivotButton="0" quotePrefix="0" xfId="0">
      <alignment horizontal="center" vertical="center"/>
    </xf>
    <xf numFmtId="0" fontId="1" fillId="0" borderId="12" applyAlignment="1" pivotButton="0" quotePrefix="0" xfId="0">
      <alignment horizontal="center" vertical="top"/>
    </xf>
    <xf numFmtId="0" fontId="1" fillId="0" borderId="14" applyAlignment="1" pivotButton="0" quotePrefix="0" xfId="0">
      <alignment horizontal="center" vertical="top"/>
    </xf>
    <xf numFmtId="0" fontId="5" fillId="0" borderId="15" applyAlignment="1" pivotButton="0" quotePrefix="0" xfId="0">
      <alignment horizontal="center" vertical="center"/>
    </xf>
    <xf numFmtId="0" fontId="5" fillId="0" borderId="16" applyAlignment="1" pivotButton="0" quotePrefix="0" xfId="0">
      <alignment horizontal="center" vertical="center"/>
    </xf>
    <xf numFmtId="0" fontId="5" fillId="0" borderId="17" applyAlignment="1" pivotButton="0" quotePrefix="0" xfId="0">
      <alignment horizontal="center" vertical="center"/>
    </xf>
    <xf numFmtId="0" fontId="5" fillId="0" borderId="18" applyAlignment="1" pivotButton="0" quotePrefix="0" xfId="0">
      <alignment horizontal="center" vertical="center"/>
    </xf>
    <xf numFmtId="0" fontId="5" fillId="0" borderId="19" applyAlignment="1" pivotButton="0" quotePrefix="0" xfId="0">
      <alignment horizontal="center" vertical="center"/>
    </xf>
    <xf numFmtId="0" fontId="0" fillId="0" borderId="13" applyAlignment="1" pivotButton="0" quotePrefix="0" xfId="0">
      <alignment vertical="top" wrapText="1"/>
    </xf>
    <xf numFmtId="0" fontId="5" fillId="25" borderId="16" applyAlignment="1" pivotButton="0" quotePrefix="0" xfId="0">
      <alignment horizontal="center" vertical="center"/>
    </xf>
    <xf numFmtId="0" fontId="5" fillId="24" borderId="16" applyAlignment="1" pivotButton="0" quotePrefix="0" xfId="0">
      <alignment horizontal="center" vertical="center"/>
    </xf>
    <xf numFmtId="0" fontId="5" fillId="26" borderId="16" applyAlignment="1" pivotButton="0" quotePrefix="0" xfId="0">
      <alignment horizontal="center" vertical="center"/>
    </xf>
    <xf numFmtId="0" fontId="5" fillId="24" borderId="15" applyAlignment="1" pivotButton="0" quotePrefix="0" xfId="0">
      <alignment horizontal="center" vertical="center"/>
    </xf>
    <xf numFmtId="0" fontId="5" fillId="25" borderId="15" applyAlignment="1" pivotButton="0" quotePrefix="0" xfId="0">
      <alignment horizontal="center" vertical="center"/>
    </xf>
    <xf numFmtId="0" fontId="5" fillId="26" borderId="15" applyAlignment="1" pivotButton="0" quotePrefix="0" xfId="0">
      <alignment horizontal="center" vertical="center"/>
    </xf>
    <xf numFmtId="164" fontId="5" fillId="0" borderId="0" pivotButton="0" quotePrefix="0" xfId="0"/>
    <xf numFmtId="0" fontId="0" fillId="24" borderId="0" applyAlignment="1" pivotButton="0" quotePrefix="0" xfId="0">
      <alignment horizontal="center" vertical="center"/>
    </xf>
    <xf numFmtId="0" fontId="4" fillId="0" borderId="4" applyAlignment="1" pivotButton="0" quotePrefix="0" xfId="0">
      <alignment vertical="center" wrapText="1"/>
    </xf>
    <xf numFmtId="0" fontId="5" fillId="0" borderId="0" applyAlignment="1" pivotButton="0" quotePrefix="0" xfId="0">
      <alignment horizontal="left" vertical="center" wrapText="1"/>
    </xf>
    <xf numFmtId="0" fontId="5" fillId="0" borderId="0" applyAlignment="1" pivotButton="0" quotePrefix="0" xfId="0">
      <alignment horizontal="left" vertical="center"/>
    </xf>
    <xf numFmtId="164" fontId="5" fillId="0" borderId="0" applyAlignment="1" pivotButton="0" quotePrefix="0" xfId="1">
      <alignment horizontal="right" vertical="top" wrapText="1"/>
    </xf>
    <xf numFmtId="164" fontId="5" fillId="0" borderId="0" applyAlignment="1" pivotButton="0" quotePrefix="0" xfId="0">
      <alignment horizontal="right" vertical="top" wrapText="1"/>
    </xf>
    <xf numFmtId="0" fontId="4" fillId="0" borderId="15" applyAlignment="1" pivotButton="0" quotePrefix="0" xfId="0">
      <alignment horizontal="center" vertical="center" wrapText="1"/>
    </xf>
    <xf numFmtId="0" fontId="5" fillId="0" borderId="15" applyAlignment="1" pivotButton="0" quotePrefix="0" xfId="0">
      <alignment horizontal="center" vertical="center" wrapText="1"/>
    </xf>
    <xf numFmtId="0" fontId="4" fillId="0" borderId="16" applyAlignment="1" pivotButton="0" quotePrefix="0" xfId="0">
      <alignment horizontal="center" vertical="center" wrapText="1"/>
    </xf>
    <xf numFmtId="0" fontId="5" fillId="0" borderId="4" applyAlignment="1" pivotButton="0" quotePrefix="0" xfId="0">
      <alignment vertical="center"/>
    </xf>
    <xf numFmtId="0" fontId="5" fillId="27" borderId="15" applyAlignment="1" pivotButton="0" quotePrefix="0" xfId="0">
      <alignment horizontal="center" vertical="center"/>
    </xf>
    <xf numFmtId="0" fontId="5" fillId="0" borderId="5" applyAlignment="1" pivotButton="0" quotePrefix="0" xfId="0">
      <alignment vertical="center"/>
    </xf>
    <xf numFmtId="0" fontId="5" fillId="24" borderId="0" applyAlignment="1" pivotButton="0" quotePrefix="0" xfId="0">
      <alignment horizontal="center" vertical="center"/>
    </xf>
    <xf numFmtId="0" fontId="5" fillId="25" borderId="0" applyAlignment="1" pivotButton="0" quotePrefix="0" xfId="0">
      <alignment horizontal="center" vertical="center"/>
    </xf>
    <xf numFmtId="0" fontId="5" fillId="26" borderId="0" applyAlignment="1" pivotButton="0" quotePrefix="0" xfId="0">
      <alignment horizontal="center" vertical="center"/>
    </xf>
    <xf numFmtId="0" fontId="5" fillId="0" borderId="4" applyAlignment="1" pivotButton="0" quotePrefix="0" xfId="0">
      <alignment vertical="center" wrapText="1"/>
    </xf>
    <xf numFmtId="0" fontId="1" fillId="28" borderId="0" applyAlignment="1" pivotButton="0" quotePrefix="0" xfId="0">
      <alignment horizontal="center"/>
    </xf>
    <xf numFmtId="0" fontId="1" fillId="15" borderId="1" applyAlignment="1" pivotButton="0" quotePrefix="0" xfId="0">
      <alignment horizontal="center"/>
    </xf>
    <xf numFmtId="0" fontId="1" fillId="2" borderId="0" applyAlignment="1" pivotButton="0" quotePrefix="0" xfId="0">
      <alignment horizontal="center"/>
    </xf>
    <xf numFmtId="0" fontId="5" fillId="0" borderId="0" applyAlignment="1" pivotButton="0" quotePrefix="0" xfId="0">
      <alignment horizontal="center"/>
    </xf>
    <xf numFmtId="0" fontId="4" fillId="0" borderId="7" applyAlignment="1" pivotButton="0" quotePrefix="0" xfId="0">
      <alignment vertical="center" wrapText="1"/>
    </xf>
    <xf numFmtId="0" fontId="5" fillId="0" borderId="7" applyAlignment="1" pivotButton="0" quotePrefix="0" xfId="0">
      <alignment vertical="center" wrapText="1"/>
    </xf>
    <xf numFmtId="0" fontId="5" fillId="0" borderId="7" applyAlignment="1" pivotButton="0" quotePrefix="0" xfId="0">
      <alignment vertical="center"/>
    </xf>
    <xf numFmtId="0" fontId="2" fillId="4" borderId="21" applyAlignment="1" pivotButton="0" quotePrefix="0" xfId="0">
      <alignment horizontal="center" vertical="center" wrapText="1"/>
    </xf>
    <xf numFmtId="0" fontId="5" fillId="27" borderId="0" applyAlignment="1" pivotButton="0" quotePrefix="0" xfId="0">
      <alignment horizontal="center" vertical="center"/>
    </xf>
    <xf numFmtId="0" fontId="5" fillId="0" borderId="22" applyAlignment="1" pivotButton="0" quotePrefix="0" xfId="0">
      <alignment horizontal="center" vertical="center"/>
    </xf>
    <xf numFmtId="0" fontId="5" fillId="0" borderId="23" applyAlignment="1" pivotButton="0" quotePrefix="0" xfId="0">
      <alignment horizontal="center" vertical="center"/>
    </xf>
    <xf numFmtId="0" fontId="5" fillId="0" borderId="2" pivotButton="0" quotePrefix="0" xfId="0"/>
    <xf numFmtId="0" fontId="5" fillId="0" borderId="3" pivotButton="0" quotePrefix="0" xfId="0"/>
    <xf numFmtId="0" fontId="5" fillId="0" borderId="2" applyAlignment="1" pivotButton="0" quotePrefix="0" xfId="0">
      <alignment horizontal="center"/>
    </xf>
    <xf numFmtId="0" fontId="5" fillId="0" borderId="3" applyAlignment="1" pivotButton="0" quotePrefix="0" xfId="0">
      <alignment horizontal="center"/>
    </xf>
    <xf numFmtId="0" fontId="4" fillId="0" borderId="2" applyAlignment="1" pivotButton="0" quotePrefix="0" xfId="0">
      <alignment vertical="center"/>
    </xf>
    <xf numFmtId="0" fontId="4" fillId="0" borderId="20" applyAlignment="1" pivotButton="0" quotePrefix="0" xfId="0">
      <alignment vertical="center" wrapText="1"/>
    </xf>
    <xf numFmtId="0" fontId="5" fillId="0" borderId="20" applyAlignment="1" pivotButton="0" quotePrefix="0" xfId="0">
      <alignment vertical="center" wrapText="1"/>
    </xf>
    <xf numFmtId="0" fontId="4" fillId="0" borderId="3" applyAlignment="1" pivotButton="0" quotePrefix="0" xfId="0">
      <alignment vertical="center"/>
    </xf>
    <xf numFmtId="0" fontId="5" fillId="0" borderId="20" applyAlignment="1" pivotButton="0" quotePrefix="0" xfId="0">
      <alignment horizontal="center" vertical="center" wrapText="1"/>
    </xf>
    <xf numFmtId="0" fontId="4" fillId="0" borderId="20" applyAlignment="1" pivotButton="0" quotePrefix="0" xfId="0">
      <alignment horizontal="left" vertical="center" wrapText="1"/>
    </xf>
    <xf numFmtId="164" fontId="5" fillId="0" borderId="2" pivotButton="0" quotePrefix="0" xfId="0"/>
    <xf numFmtId="0" fontId="5" fillId="24" borderId="18" applyAlignment="1" pivotButton="0" quotePrefix="0" xfId="0">
      <alignment horizontal="center" vertical="center"/>
    </xf>
    <xf numFmtId="0" fontId="5" fillId="0" borderId="24" applyAlignment="1" pivotButton="0" quotePrefix="0" xfId="0">
      <alignment horizontal="center" vertical="center"/>
    </xf>
    <xf numFmtId="0" fontId="5" fillId="0" borderId="7" pivotButton="0" quotePrefix="0" xfId="0"/>
    <xf numFmtId="0" fontId="12" fillId="0" borderId="0" pivotButton="0" quotePrefix="0" xfId="2"/>
    <xf numFmtId="0" fontId="13" fillId="29" borderId="25" pivotButton="0" quotePrefix="0" xfId="2"/>
    <xf numFmtId="0" fontId="2" fillId="4" borderId="0" applyAlignment="1" pivotButton="0" quotePrefix="0" xfId="0">
      <alignment horizontal="center" vertical="center" wrapText="1"/>
    </xf>
    <xf numFmtId="0" fontId="10" fillId="5" borderId="2" applyAlignment="1" pivotButton="0" quotePrefix="0" xfId="0">
      <alignment horizontal="center" vertical="center" wrapText="1"/>
    </xf>
    <xf numFmtId="0" fontId="15" fillId="30" borderId="0" applyAlignment="1" pivotButton="0" quotePrefix="0" xfId="2">
      <alignment horizontal="center" vertical="center"/>
    </xf>
    <xf numFmtId="0" fontId="12" fillId="0" borderId="2" pivotButton="0" quotePrefix="0" xfId="2"/>
    <xf numFmtId="0" fontId="0" fillId="0" borderId="2" pivotButton="0" quotePrefix="0" xfId="0"/>
    <xf numFmtId="0" fontId="5" fillId="0" borderId="0" applyAlignment="1" pivotButton="0" quotePrefix="0" xfId="0">
      <alignment horizontal="left" vertical="top"/>
    </xf>
    <xf numFmtId="0" fontId="4" fillId="0" borderId="2" applyAlignment="1" pivotButton="0" quotePrefix="0" xfId="0">
      <alignment horizontal="left" vertical="top"/>
    </xf>
    <xf numFmtId="0" fontId="5" fillId="0" borderId="2" applyAlignment="1" pivotButton="0" quotePrefix="0" xfId="0">
      <alignment horizontal="left" vertical="top"/>
    </xf>
    <xf numFmtId="0" fontId="4" fillId="0" borderId="0" applyAlignment="1" pivotButton="0" quotePrefix="0" xfId="0">
      <alignment horizontal="left" vertical="top"/>
    </xf>
    <xf numFmtId="0" fontId="4" fillId="0" borderId="20" applyAlignment="1" pivotButton="0" quotePrefix="0" xfId="0">
      <alignment horizontal="left" vertical="top"/>
    </xf>
    <xf numFmtId="0" fontId="0" fillId="0" borderId="0" applyAlignment="1" pivotButton="0" quotePrefix="0" xfId="0">
      <alignment horizontal="left" vertical="top"/>
    </xf>
    <xf numFmtId="164" fontId="5" fillId="0" borderId="0" applyAlignment="1" pivotButton="0" quotePrefix="0" xfId="0">
      <alignment horizontal="left" vertical="top"/>
    </xf>
    <xf numFmtId="164" fontId="5" fillId="0" borderId="0" applyAlignment="1" pivotButton="0" quotePrefix="0" xfId="1">
      <alignment horizontal="left" vertical="top"/>
    </xf>
    <xf numFmtId="0" fontId="5" fillId="0" borderId="20" applyAlignment="1" pivotButton="0" quotePrefix="0" xfId="0">
      <alignment horizontal="left" vertical="top"/>
    </xf>
    <xf numFmtId="0" fontId="16" fillId="30" borderId="0" pivotButton="0" quotePrefix="0" xfId="0"/>
    <xf numFmtId="0" fontId="17" fillId="0" borderId="25" pivotButton="0" quotePrefix="0" xfId="2"/>
    <xf numFmtId="0" fontId="9" fillId="2" borderId="1" applyAlignment="1" pivotButton="0" quotePrefix="0" xfId="0">
      <alignment horizontal="center"/>
    </xf>
    <xf numFmtId="0" fontId="0" fillId="0" borderId="1" pivotButton="0" quotePrefix="0" xfId="0"/>
    <xf numFmtId="0" fontId="1" fillId="3" borderId="0" applyAlignment="1" pivotButton="0" quotePrefix="0" xfId="0">
      <alignment horizontal="center"/>
    </xf>
    <xf numFmtId="0" fontId="0" fillId="0" borderId="0" pivotButton="0" quotePrefix="0" xfId="0"/>
    <xf numFmtId="0" fontId="16" fillId="22" borderId="0" applyAlignment="1" pivotButton="0" quotePrefix="0" xfId="0">
      <alignment horizontal="center" vertical="center" wrapText="1"/>
    </xf>
    <xf numFmtId="0" fontId="0" fillId="0" borderId="0" applyAlignment="1" pivotButton="0" quotePrefix="0" xfId="0">
      <alignment wrapText="1"/>
    </xf>
    <xf numFmtId="0" fontId="2" fillId="5" borderId="0" applyAlignment="1" pivotButton="0" quotePrefix="0" xfId="0">
      <alignment horizontal="center" vertical="center" wrapText="1"/>
    </xf>
    <xf numFmtId="0" fontId="1" fillId="0" borderId="13" applyAlignment="1" pivotButton="0" quotePrefix="0" xfId="0">
      <alignment horizontal="center" vertical="center"/>
    </xf>
    <xf numFmtId="0" fontId="1" fillId="23" borderId="13" applyAlignment="1" pivotButton="0" quotePrefix="0" xfId="0">
      <alignment horizontal="center" vertical="center"/>
    </xf>
    <xf numFmtId="0" fontId="1" fillId="12" borderId="13" applyAlignment="1" pivotButton="0" quotePrefix="0" xfId="0">
      <alignment horizontal="left" vertical="top"/>
    </xf>
  </cellXfs>
  <cellStyles count="3">
    <cellStyle name="Normal" xfId="0" builtinId="0"/>
    <cellStyle name="Currency" xfId="1" builtinId="4"/>
    <cellStyle name="Normal 2" xfId="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
        </patternFill>
      </fill>
    </dxf>
    <dxf>
      <fill>
        <patternFill>
          <bgColor rgb="FF92D050"/>
        </patternFill>
      </fill>
    </dxf>
    <dxf>
      <fill>
        <patternFill>
          <bgColor theme="3"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CrankMagic</author>
  </authors>
  <commentList>
    <comment ref="A1" authorId="0" shapeId="0">
      <text>
        <t>Header row found by a cell A reading exactly 'Deck'.
Only D1–D6 are read; any other id is skipped.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Right="0"/>
    <pageSetUpPr/>
  </sheetPr>
  <dimension ref="A1:BE973"/>
  <sheetViews>
    <sheetView tabSelected="1" workbookViewId="0">
      <pane xSplit="2" ySplit="4" topLeftCell="C5" activePane="bottomRight" state="frozen"/>
      <selection pane="topRight" activeCell="A1" sqref="A1"/>
      <selection pane="bottomLeft" activeCell="A1" sqref="A1"/>
      <selection pane="bottomRight" activeCell="AT12" sqref="AT12"/>
    </sheetView>
  </sheetViews>
  <sheetFormatPr baseColWidth="8" defaultColWidth="8.6640625" defaultRowHeight="14.4"/>
  <cols>
    <col width="29.88671875" customWidth="1" style="148" min="2" max="2"/>
    <col width="7.33203125" customWidth="1" style="148" min="3" max="3"/>
    <col collapsed="1" width="21.44140625" customWidth="1" style="148" min="4" max="4"/>
    <col hidden="1" outlineLevel="1" width="8.6640625" customWidth="1" style="148" min="5" max="5"/>
    <col hidden="1" outlineLevel="1" width="7.33203125" customWidth="1" style="148" min="6" max="6"/>
    <col hidden="1" outlineLevel="1" width="80" customWidth="1" style="148" min="7" max="7"/>
    <col hidden="1" outlineLevel="1" width="25" customWidth="1" style="148" min="8" max="11"/>
    <col hidden="1" outlineLevel="1" width="9.33203125" customWidth="1" style="148" min="12" max="12"/>
    <col hidden="1" outlineLevel="1" width="8.6640625" customWidth="1" style="148" min="13" max="14"/>
    <col hidden="1" outlineLevel="1" width="12.6640625" customWidth="1" style="64" min="15" max="16"/>
    <col hidden="1" outlineLevel="1" width="12.6640625" customWidth="1" style="148" min="17" max="17"/>
    <col hidden="1" outlineLevel="1" width="8.6640625" customWidth="1" style="148" min="18" max="19"/>
    <col hidden="1" outlineLevel="1" width="12.6640625" customWidth="1" style="64" min="20" max="21"/>
    <col hidden="1" outlineLevel="1" width="23.88671875" customWidth="1" style="148" min="22" max="22"/>
    <col width="8.5546875" customWidth="1" style="1" min="23" max="23"/>
    <col collapsed="1" width="6.44140625" customWidth="1" style="148" min="24" max="24"/>
    <col hidden="1" outlineLevel="1" width="5.6640625" customWidth="1" style="148" min="25" max="31"/>
    <col width="7.44140625" customWidth="1" style="148" min="32" max="32"/>
    <col collapsed="1" width="7.44140625" customWidth="1" style="148" min="33" max="33"/>
    <col hidden="1" outlineLevel="1" width="7" customWidth="1" style="148" min="34" max="34"/>
    <col hidden="1" outlineLevel="1" width="8.5546875" customWidth="1" style="148" min="35" max="35"/>
    <col hidden="1" outlineLevel="1" width="7.33203125" customWidth="1" style="148" min="36" max="36"/>
    <col hidden="1" outlineLevel="1" width="7.109375" customWidth="1" style="148" min="37" max="45"/>
    <col collapsed="1" width="7.5546875" customWidth="1" style="148" min="46" max="46"/>
    <col hidden="1" outlineLevel="1" width="5" customWidth="1" style="148" min="47" max="52"/>
    <col hidden="1" outlineLevel="1" width="5.33203125" customWidth="1" style="148" min="53" max="53"/>
    <col collapsed="1" width="22.6640625" customWidth="1" style="148" min="54" max="54"/>
    <col hidden="1" outlineLevel="1" width="31.6640625" customWidth="1" style="148" min="55" max="55"/>
    <col hidden="1" outlineLevel="1" width="26" customWidth="1" style="148" min="56" max="56"/>
  </cols>
  <sheetData>
    <row r="1" ht="14.4" customHeight="1" s="148">
      <c r="C1" s="5" t="n"/>
      <c r="Y1" s="70">
        <f>100-Y2</f>
        <v/>
      </c>
      <c r="Z1" s="70">
        <f>100-Z2</f>
        <v/>
      </c>
      <c r="AA1" s="70">
        <f>100-AA2</f>
        <v/>
      </c>
      <c r="AB1" s="70">
        <f>100-AB2</f>
        <v/>
      </c>
      <c r="AC1" s="70">
        <f>100-AC2</f>
        <v/>
      </c>
      <c r="AD1" s="70">
        <f>100-AD2</f>
        <v/>
      </c>
      <c r="AE1" s="70">
        <f>100-AE2</f>
        <v/>
      </c>
      <c r="AU1" s="70">
        <f>100-AU2</f>
        <v/>
      </c>
      <c r="AV1" s="70">
        <f>100-AV2</f>
        <v/>
      </c>
      <c r="AW1" s="70">
        <f>100-AW2</f>
        <v/>
      </c>
      <c r="AX1" s="70">
        <f>100-AX2</f>
        <v/>
      </c>
      <c r="AY1" s="70">
        <f>100-AY2</f>
        <v/>
      </c>
      <c r="AZ1" s="70">
        <f>100-AZ2</f>
        <v/>
      </c>
      <c r="BA1" s="70">
        <f>100-BA2</f>
        <v/>
      </c>
    </row>
    <row r="2" ht="15.6" customHeight="1" s="148">
      <c r="C2" s="6" t="n"/>
      <c r="W2" s="102" t="inlineStr">
        <is>
          <t>Total</t>
        </is>
      </c>
      <c r="X2" s="15" t="inlineStr">
        <is>
          <t>Deck</t>
        </is>
      </c>
      <c r="Y2" s="16">
        <f>SUM(Y$5:Y$997)</f>
        <v/>
      </c>
      <c r="Z2" s="16">
        <f>SUM(Z$5:Z$997)</f>
        <v/>
      </c>
      <c r="AA2" s="16">
        <f>SUM(AA$5:AA$997)</f>
        <v/>
      </c>
      <c r="AB2" s="16">
        <f>SUM(AB$5:AB$997)</f>
        <v/>
      </c>
      <c r="AC2" s="16">
        <f>SUM(AC$5:AC$997)</f>
        <v/>
      </c>
      <c r="AD2" s="16">
        <f>SUM(AD$5:AD$997)</f>
        <v/>
      </c>
      <c r="AE2" s="16">
        <f>SUM(AE$5:AE$997)</f>
        <v/>
      </c>
      <c r="AF2" s="17" t="inlineStr">
        <is>
          <t>Bench</t>
        </is>
      </c>
      <c r="AG2" s="13" t="inlineStr">
        <is>
          <t>Buy</t>
        </is>
      </c>
      <c r="AH2" s="1" t="n"/>
      <c r="AI2" s="1" t="n"/>
      <c r="AJ2" s="1" t="n"/>
      <c r="AK2" s="1" t="n"/>
      <c r="AL2" s="1" t="n"/>
      <c r="AM2" s="1" t="n"/>
      <c r="AN2" s="1" t="n"/>
      <c r="AO2" s="1" t="n"/>
      <c r="AP2" s="1" t="n"/>
      <c r="AQ2" s="1" t="n"/>
      <c r="AR2" s="1" t="n"/>
      <c r="AS2" s="1" t="n"/>
      <c r="AT2" s="14" t="inlineStr">
        <is>
          <t>Target</t>
        </is>
      </c>
      <c r="AU2" s="70">
        <f>SUM(AU5:AU998)</f>
        <v/>
      </c>
      <c r="AV2" s="70">
        <f>SUM(AV5:AV998)</f>
        <v/>
      </c>
      <c r="AW2" s="70">
        <f>SUM(AW5:AW998)</f>
        <v/>
      </c>
      <c r="AX2" s="70">
        <f>SUM(AX5:AX998)</f>
        <v/>
      </c>
      <c r="AY2" s="70">
        <f>SUM(AY5:AY998)</f>
        <v/>
      </c>
      <c r="AZ2" s="70">
        <f>SUM(AZ5:AZ998)</f>
        <v/>
      </c>
      <c r="BA2" s="70">
        <f>SUM(BA5:BA998)</f>
        <v/>
      </c>
    </row>
    <row r="3" ht="15" customHeight="1" s="148">
      <c r="C3" s="6" t="n"/>
      <c r="D3" s="104" t="inlineStr">
        <is>
          <t>Play</t>
        </is>
      </c>
      <c r="E3" s="4" t="n"/>
      <c r="F3" s="4" t="n"/>
      <c r="G3" s="4" t="n"/>
      <c r="H3" s="4" t="n"/>
      <c r="I3" s="3" t="n"/>
      <c r="J3" s="3" t="n"/>
      <c r="K3" s="3" t="n"/>
      <c r="L3" s="12" t="inlineStr">
        <is>
          <t>Collect</t>
        </is>
      </c>
      <c r="M3" s="12" t="n"/>
      <c r="N3" s="12" t="n"/>
      <c r="O3" s="65" t="n"/>
      <c r="P3" s="65" t="n"/>
      <c r="Q3" s="12" t="n"/>
      <c r="R3" s="12" t="n"/>
      <c r="S3" s="12" t="n"/>
      <c r="T3" s="65" t="n"/>
      <c r="U3" s="65" t="n"/>
      <c r="V3" s="12" t="n"/>
      <c r="W3" s="102">
        <f>SUM(W5:W997)</f>
        <v/>
      </c>
      <c r="X3" s="15">
        <f>SUM(X5:X997)</f>
        <v/>
      </c>
      <c r="Y3" s="147" t="inlineStr">
        <is>
          <t>Actual</t>
        </is>
      </c>
      <c r="AD3" s="9" t="n"/>
      <c r="AE3" s="9" t="n"/>
      <c r="AF3" s="17">
        <f>SUM(AF5:AF997)</f>
        <v/>
      </c>
      <c r="AG3" s="11">
        <f>SUM(AG5:AG997)</f>
        <v/>
      </c>
      <c r="AH3" s="2" t="n"/>
      <c r="AI3" s="2">
        <f>SUM(AI5:AI997)</f>
        <v/>
      </c>
      <c r="AJ3" s="66">
        <f>SUM(AJ5:AJ997)</f>
        <v/>
      </c>
      <c r="AK3" s="2" t="n"/>
      <c r="AL3" s="2" t="n"/>
      <c r="AM3" s="2" t="n"/>
      <c r="AN3" s="2" t="n"/>
      <c r="AO3" s="2" t="n"/>
      <c r="AP3" s="2" t="n"/>
      <c r="AQ3" s="2" t="n"/>
      <c r="AR3" s="2" t="n"/>
      <c r="AS3" s="2" t="n"/>
      <c r="AT3" s="10">
        <f>SUM(AT5:AT997)</f>
        <v/>
      </c>
      <c r="AU3" s="145" t="inlineStr">
        <is>
          <t>Target</t>
        </is>
      </c>
      <c r="AV3" s="146" t="n"/>
      <c r="AW3" s="146" t="n"/>
      <c r="AX3" s="146" t="n"/>
      <c r="AY3" s="146" t="n"/>
      <c r="AZ3" s="145" t="n"/>
      <c r="BA3" s="145" t="n"/>
      <c r="BB3" s="103" t="inlineStr">
        <is>
          <t>Comments</t>
        </is>
      </c>
      <c r="BC3" s="7" t="n"/>
      <c r="BD3" s="7" t="n"/>
    </row>
    <row r="4" ht="39.9" customHeight="1" s="148" thickBot="1">
      <c r="A4" s="18" t="inlineStr">
        <is>
          <t>Card ID</t>
        </is>
      </c>
      <c r="B4" s="18" t="inlineStr">
        <is>
          <t>Card</t>
        </is>
      </c>
      <c r="C4" s="19" t="inlineStr">
        <is>
          <t>Color</t>
        </is>
      </c>
      <c r="D4" s="20" t="inlineStr">
        <is>
          <t>Type</t>
        </is>
      </c>
      <c r="E4" s="18" t="inlineStr">
        <is>
          <t>Bracket</t>
        </is>
      </c>
      <c r="F4" s="18" t="inlineStr">
        <is>
          <t>MV</t>
        </is>
      </c>
      <c r="G4" s="18" t="inlineStr">
        <is>
          <t>Description</t>
        </is>
      </c>
      <c r="H4" s="18" t="inlineStr">
        <is>
          <t>Primary Purpose</t>
        </is>
      </c>
      <c r="I4" s="18" t="inlineStr">
        <is>
          <t>Primary Mechanic</t>
        </is>
      </c>
      <c r="J4" s="18" t="inlineStr">
        <is>
          <t>Secondary Mechanic</t>
        </is>
      </c>
      <c r="K4" s="18" t="inlineStr">
        <is>
          <t>Tertiary Mechanic</t>
        </is>
      </c>
      <c r="L4" s="62" t="inlineStr">
        <is>
          <t>Collector #</t>
        </is>
      </c>
      <c r="M4" s="62" t="inlineStr">
        <is>
          <t>Quantity</t>
        </is>
      </c>
      <c r="N4" s="62" t="inlineStr">
        <is>
          <t>Foil</t>
        </is>
      </c>
      <c r="O4" s="62" t="inlineStr">
        <is>
          <t>Artist</t>
        </is>
      </c>
      <c r="P4" s="62" t="inlineStr">
        <is>
          <t>Value</t>
        </is>
      </c>
      <c r="Q4" s="21" t="inlineStr">
        <is>
          <t>Rarity</t>
        </is>
      </c>
      <c r="R4" s="21" t="inlineStr">
        <is>
          <t>Quantity Card Type 2</t>
        </is>
      </c>
      <c r="S4" s="21" t="inlineStr">
        <is>
          <t>Foil Card Type 2</t>
        </is>
      </c>
      <c r="T4" s="21" t="inlineStr">
        <is>
          <t>Artist Card Type 2</t>
        </is>
      </c>
      <c r="U4" s="21" t="inlineStr">
        <is>
          <t>Value</t>
        </is>
      </c>
      <c r="V4" s="21" t="inlineStr">
        <is>
          <t>Series</t>
        </is>
      </c>
      <c r="W4" s="22" t="inlineStr">
        <is>
          <t>Own</t>
        </is>
      </c>
      <c r="X4" s="26" t="inlineStr">
        <is>
          <t>In Deck</t>
        </is>
      </c>
      <c r="Y4" s="27" t="inlineStr">
        <is>
          <t>D1-A</t>
        </is>
      </c>
      <c r="Z4" s="27" t="inlineStr">
        <is>
          <t>D2-A</t>
        </is>
      </c>
      <c r="AA4" s="27" t="inlineStr">
        <is>
          <t>D3-A</t>
        </is>
      </c>
      <c r="AB4" s="27" t="inlineStr">
        <is>
          <t>D4-A</t>
        </is>
      </c>
      <c r="AC4" s="27" t="inlineStr">
        <is>
          <t>D5-A</t>
        </is>
      </c>
      <c r="AD4" s="27" t="inlineStr">
        <is>
          <t>D6-A</t>
        </is>
      </c>
      <c r="AE4" s="27" t="inlineStr">
        <is>
          <t>D7-A</t>
        </is>
      </c>
      <c r="AF4" s="28" t="inlineStr">
        <is>
          <t>In Bench</t>
        </is>
      </c>
      <c r="AG4" s="23" t="inlineStr">
        <is>
          <t>Buy Count</t>
        </is>
      </c>
      <c r="AH4" s="24" t="inlineStr">
        <is>
          <t>In Cart</t>
        </is>
      </c>
      <c r="AI4" s="24" t="inlineStr">
        <is>
          <t>Ordered</t>
        </is>
      </c>
      <c r="AJ4" s="24" t="inlineStr">
        <is>
          <t>$ Each</t>
        </is>
      </c>
      <c r="AK4" s="24" t="inlineStr">
        <is>
          <t>$ To Buy</t>
        </is>
      </c>
      <c r="AL4" s="29" t="inlineStr">
        <is>
          <t>D1-Buy</t>
        </is>
      </c>
      <c r="AM4" s="29" t="inlineStr">
        <is>
          <t>D2-Buy</t>
        </is>
      </c>
      <c r="AN4" s="29" t="inlineStr">
        <is>
          <t>D3-Buy</t>
        </is>
      </c>
      <c r="AO4" s="29" t="inlineStr">
        <is>
          <t>D4-Buy</t>
        </is>
      </c>
      <c r="AP4" s="29" t="inlineStr">
        <is>
          <t>D5-Buy</t>
        </is>
      </c>
      <c r="AQ4" s="29" t="inlineStr">
        <is>
          <t>D6-Buy</t>
        </is>
      </c>
      <c r="AR4" s="29" t="inlineStr">
        <is>
          <t>D7-Buy</t>
        </is>
      </c>
      <c r="AS4" s="29" t="inlineStr">
        <is>
          <t>GC Cart</t>
        </is>
      </c>
      <c r="AT4" s="25" t="inlineStr">
        <is>
          <t>Target Qty</t>
        </is>
      </c>
      <c r="AU4" s="109" t="inlineStr">
        <is>
          <t>D1-T</t>
        </is>
      </c>
      <c r="AV4" s="109" t="inlineStr">
        <is>
          <t>D2-T</t>
        </is>
      </c>
      <c r="AW4" s="109" t="inlineStr">
        <is>
          <t>D3-T</t>
        </is>
      </c>
      <c r="AX4" s="109" t="inlineStr">
        <is>
          <t>D4-T</t>
        </is>
      </c>
      <c r="AY4" s="109" t="inlineStr">
        <is>
          <t>D5-T</t>
        </is>
      </c>
      <c r="AZ4" s="109" t="inlineStr">
        <is>
          <t>D6-T</t>
        </is>
      </c>
      <c r="BA4" s="109" t="inlineStr">
        <is>
          <t>D7-T</t>
        </is>
      </c>
      <c r="BB4" s="18" t="inlineStr">
        <is>
          <t>Notes</t>
        </is>
      </c>
      <c r="BC4" s="18" t="inlineStr">
        <is>
          <t>Moves</t>
        </is>
      </c>
      <c r="BD4" s="18" t="inlineStr">
        <is>
          <t>Order Notes</t>
        </is>
      </c>
      <c r="BE4" t="inlineStr">
        <is>
          <t>Skin Name</t>
        </is>
      </c>
    </row>
    <row r="5" ht="15" customHeight="1" s="148">
      <c r="A5" t="inlineStr">
        <is>
          <t>c0001</t>
        </is>
      </c>
      <c r="B5" s="30" t="inlineStr">
        <is>
          <t>Adventurous Eater // Have a Bite</t>
        </is>
      </c>
      <c r="C5" s="31" t="inlineStr">
        <is>
          <t>B</t>
        </is>
      </c>
      <c r="D5" s="30" t="inlineStr">
        <is>
          <t>Creature</t>
        </is>
      </c>
      <c r="E5" s="33" t="inlineStr">
        <is>
          <t>B2</t>
        </is>
      </c>
      <c r="F5" s="30" t="n">
        <v>3</v>
      </c>
      <c r="G5" s="67" t="inlineStr">
        <is>
          <t>Adventurous Eater {2}{B} — Creature — Human Warlock (3/2)
This creature enters prepared. (While it's prepared, you may cast a copy of its spell. Doing so unprepares it.)
//
Have a Bite {B} — Sorcery
Put a +1/+1 counter on target creature. You gain 1 life.</t>
        </is>
      </c>
      <c r="H5" s="30" t="inlineStr">
        <is>
          <t>Utility Creature</t>
        </is>
      </c>
      <c r="I5" s="30" t="inlineStr">
        <is>
          <t>Enters prepared — you may cast a copy of its spell, which then unprepares it</t>
        </is>
      </c>
      <c r="J5" s="30" t="inlineStr">
        <is>
          <t>Have a Bite: put a +1/+1 counter on target creature and gain 1 life</t>
        </is>
      </c>
      <c r="K5" s="30" t="n"/>
      <c r="L5" s="89" t="inlineStr">
        <is>
          <t>72</t>
        </is>
      </c>
      <c r="M5" s="33" t="n">
        <v>2</v>
      </c>
      <c r="N5" s="33" t="n">
        <v>0</v>
      </c>
      <c r="O5" s="63" t="inlineStr">
        <is>
          <t>Josu Hernaiz</t>
        </is>
      </c>
      <c r="P5" s="90" t="n">
        <v>0.12</v>
      </c>
      <c r="Q5" s="32" t="inlineStr">
        <is>
          <t>Common</t>
        </is>
      </c>
      <c r="R5" s="32" t="n"/>
      <c r="S5" s="32" t="n"/>
      <c r="T5" s="63" t="n"/>
      <c r="U5" s="63" t="n"/>
      <c r="V5" s="30" t="inlineStr">
        <is>
          <t>Secrets of Strixhaven</t>
        </is>
      </c>
      <c r="W5" s="41" t="n">
        <v>2</v>
      </c>
      <c r="X5" s="37">
        <f>SUM(Y5:AE5)</f>
        <v/>
      </c>
      <c r="Y5" s="43" t="n"/>
      <c r="Z5" s="43" t="n"/>
      <c r="AA5" s="43" t="n"/>
      <c r="AB5" s="43" t="n"/>
      <c r="AC5" s="43" t="n"/>
      <c r="AD5" s="43" t="n"/>
      <c r="AE5" s="43" t="n"/>
      <c r="AF5" s="38">
        <f>IF((W5-SUM(Y5:AE5))&lt;0,0,W5-SUM(Y5:AE5))</f>
        <v/>
      </c>
      <c r="AG5" s="34">
        <f>MAX(0,$AT5-$W5-$AI5)</f>
        <v/>
      </c>
      <c r="AH5" s="30" t="n"/>
      <c r="AI5" s="30" t="n"/>
      <c r="AJ5" s="30" t="n">
        <v>0.19</v>
      </c>
      <c r="AK5" s="36">
        <f>IF(AND($AG5&gt;0,ISNUMBER($AJ5)),$AG5*$AJ5,0)</f>
        <v/>
      </c>
      <c r="AT5" s="37">
        <f>SUM(AU5:BA5)</f>
        <v/>
      </c>
      <c r="AU5" s="111" t="n"/>
      <c r="AV5" s="112" t="n"/>
      <c r="AW5" s="112" t="n"/>
      <c r="AX5" s="112" t="n"/>
      <c r="AY5" s="112" t="n"/>
      <c r="AZ5" s="112" t="n"/>
      <c r="BA5" s="125" t="n"/>
      <c r="BB5" s="108" t="n"/>
      <c r="BC5" s="32" t="n"/>
      <c r="BD5" s="32" t="n"/>
    </row>
    <row r="6" ht="15" customHeight="1" s="148">
      <c r="A6" t="inlineStr">
        <is>
          <t>c0002</t>
        </is>
      </c>
      <c r="B6" s="44" t="inlineStr">
        <is>
          <t>Auntie's Sentence</t>
        </is>
      </c>
      <c r="C6" s="34" t="inlineStr">
        <is>
          <t>B</t>
        </is>
      </c>
      <c r="D6" s="44" t="inlineStr">
        <is>
          <t>Sorcery</t>
        </is>
      </c>
      <c r="E6" s="41" t="inlineStr">
        <is>
          <t>B2</t>
        </is>
      </c>
      <c r="F6" s="34" t="n">
        <v>2</v>
      </c>
      <c r="G6" s="67" t="inlineStr">
        <is>
          <t>Choose one —
• Target opponent reveals their hand. You choose a nonland permanent card from it. That player discards that card.
• Target creature gets -2/-2 until end of turn.</t>
        </is>
      </c>
      <c r="H6" s="45" t="inlineStr">
        <is>
          <t>Removal</t>
        </is>
      </c>
      <c r="I6" s="45" t="inlineStr">
        <is>
          <t>Target creature gets -2/-2 until end of turn</t>
        </is>
      </c>
      <c r="J6" s="45" t="inlineStr">
        <is>
          <t>Or opponent reveals hand and discards a nonland permanent card you choose</t>
        </is>
      </c>
      <c r="K6" s="45" t="n"/>
      <c r="L6" s="42" t="n"/>
      <c r="M6" s="42" t="n"/>
      <c r="N6" s="42" t="n"/>
      <c r="O6" s="63" t="n"/>
      <c r="P6" s="63" t="n">
        <v>0.14</v>
      </c>
      <c r="Q6" s="42" t="n"/>
      <c r="R6" s="42" t="n"/>
      <c r="S6" s="42" t="n"/>
      <c r="T6" s="63" t="n"/>
      <c r="U6" s="63" t="n"/>
      <c r="V6" s="45" t="inlineStr">
        <is>
          <t>Lorwyn Eclipsed</t>
        </is>
      </c>
      <c r="W6" s="41" t="n">
        <v>1</v>
      </c>
      <c r="X6" s="37">
        <f>SUM(Y6:AE6)</f>
        <v/>
      </c>
      <c r="Y6" s="43" t="n"/>
      <c r="Z6" s="43" t="n"/>
      <c r="AA6" s="43" t="n"/>
      <c r="AB6" s="43" t="n"/>
      <c r="AC6" s="43" t="n"/>
      <c r="AD6" s="43" t="n"/>
      <c r="AE6" s="43" t="n"/>
      <c r="AF6" s="38">
        <f>IF((W6-SUM(Y6:AE6))&lt;0,0,W6-SUM(Y6:AE6))</f>
        <v/>
      </c>
      <c r="AG6" s="34">
        <f>MAX(0,$AT6-$W6-$AI6)</f>
        <v/>
      </c>
      <c r="AH6" s="34" t="inlineStr">
        <is>
          <t>GT</t>
        </is>
      </c>
      <c r="AI6" s="34" t="n"/>
      <c r="AJ6" s="36" t="n">
        <v>0.15</v>
      </c>
      <c r="AK6" s="36">
        <f>IF(AND($AG6&gt;0,ISNUMBER($AJ6)),$AG6*$AJ6,0)</f>
        <v/>
      </c>
      <c r="AR6" s="58" t="n"/>
      <c r="AS6" s="86" t="n">
        <v>1</v>
      </c>
      <c r="AT6" s="37">
        <f>SUM(AU6:BA6)</f>
        <v/>
      </c>
      <c r="AU6" s="73" t="n"/>
      <c r="AV6" s="33" t="n"/>
      <c r="AW6" s="33" t="n"/>
      <c r="AX6" s="33" t="n"/>
      <c r="AY6" s="33" t="n"/>
      <c r="AZ6" s="33" t="n"/>
      <c r="BA6" s="74" t="n"/>
      <c r="BB6" s="106" t="n"/>
      <c r="BC6" s="42" t="n"/>
      <c r="BD6" s="42" t="n"/>
    </row>
    <row r="7" ht="15" customHeight="1" s="148">
      <c r="A7" t="inlineStr">
        <is>
          <t>c0003</t>
        </is>
      </c>
      <c r="B7" s="44" t="inlineStr">
        <is>
          <t>Awaken the Erstwhile</t>
        </is>
      </c>
      <c r="C7" s="34" t="inlineStr">
        <is>
          <t>B</t>
        </is>
      </c>
      <c r="D7" s="44" t="inlineStr">
        <is>
          <t>Sorcery</t>
        </is>
      </c>
      <c r="E7" s="41" t="inlineStr">
        <is>
          <t>B2</t>
        </is>
      </c>
      <c r="F7" s="34" t="n">
        <v>5</v>
      </c>
      <c r="G7" s="67" t="inlineStr">
        <is>
          <t>Each player discards all the cards in their hand, then creates that many 2/2 black Zombie creature tokens.</t>
        </is>
      </c>
      <c r="H7" s="45" t="inlineStr">
        <is>
          <t>Token Producer</t>
        </is>
      </c>
      <c r="I7" s="45" t="inlineStr">
        <is>
          <t>Each player discards their hand, then creates that many 2/2 Zombie tokens</t>
        </is>
      </c>
      <c r="J7" s="45" t="n"/>
      <c r="K7" s="45" t="n"/>
      <c r="L7" s="42" t="n"/>
      <c r="M7" s="42" t="n"/>
      <c r="N7" s="42" t="n"/>
      <c r="O7" s="63" t="n"/>
      <c r="P7" s="63" t="n">
        <v>0.4</v>
      </c>
      <c r="Q7" s="42" t="n"/>
      <c r="R7" s="42" t="n"/>
      <c r="S7" s="42" t="n"/>
      <c r="T7" s="63" t="n"/>
      <c r="U7" s="63" t="n"/>
      <c r="V7" s="45" t="inlineStr">
        <is>
          <t>Ravnica Allegiance</t>
        </is>
      </c>
      <c r="W7" s="41" t="n">
        <v>1</v>
      </c>
      <c r="X7" s="37">
        <f>SUM(Y7:AE7)</f>
        <v/>
      </c>
      <c r="Y7" s="43" t="n"/>
      <c r="Z7" s="43" t="n"/>
      <c r="AA7" s="43" t="n"/>
      <c r="AB7" s="43" t="n"/>
      <c r="AC7" s="43" t="n"/>
      <c r="AD7" s="43" t="n"/>
      <c r="AE7" s="43" t="n"/>
      <c r="AF7" s="38">
        <f>IF((W7-SUM(Y7:AE7))&lt;0,0,W7-SUM(Y7:AE7))</f>
        <v/>
      </c>
      <c r="AG7" s="34">
        <f>MAX(0,$AT7-$W7-$AI7)</f>
        <v/>
      </c>
      <c r="AH7" s="34" t="n"/>
      <c r="AI7" s="34" t="n"/>
      <c r="AJ7" s="36" t="n">
        <v>0.39</v>
      </c>
      <c r="AK7" s="36">
        <f>IF(AND($AG7&gt;0,ISNUMBER($AJ7)),$AG7*$AJ7,0)</f>
        <v/>
      </c>
      <c r="AT7" s="37">
        <f>SUM(AU7:BA7)</f>
        <v/>
      </c>
      <c r="AU7" s="73" t="n"/>
      <c r="AV7" s="33" t="n"/>
      <c r="AW7" s="33" t="n"/>
      <c r="AX7" s="33" t="n"/>
      <c r="AY7" s="33" t="n"/>
      <c r="AZ7" s="33" t="n"/>
      <c r="BA7" s="74" t="n"/>
      <c r="BB7" s="106" t="n"/>
      <c r="BC7" s="42" t="n"/>
      <c r="BD7" s="42" t="n"/>
    </row>
    <row r="8" ht="15" customHeight="1" s="148">
      <c r="A8" t="inlineStr">
        <is>
          <t>c0004</t>
        </is>
      </c>
      <c r="B8" s="44" t="inlineStr">
        <is>
          <t>Bastion of Remembrance</t>
        </is>
      </c>
      <c r="C8" s="34" t="inlineStr">
        <is>
          <t>B</t>
        </is>
      </c>
      <c r="D8" s="44" t="inlineStr">
        <is>
          <t>Enchantment</t>
        </is>
      </c>
      <c r="E8" s="41" t="inlineStr">
        <is>
          <t>B2</t>
        </is>
      </c>
      <c r="F8" s="34" t="n">
        <v>3</v>
      </c>
      <c r="G8" s="67" t="inlineStr">
        <is>
          <t>When this enchantment enters, create a 1/1 white Human Soldier creature token.
Whenever a creature you control dies, each opponent loses 1 life and you gain 1 life.</t>
        </is>
      </c>
      <c r="H8" s="45" t="inlineStr">
        <is>
          <t>Drain Payoff</t>
        </is>
      </c>
      <c r="I8" s="45" t="inlineStr">
        <is>
          <t>Whenever a creature you control dies, each opponent loses 1 life and you gain 1 life</t>
        </is>
      </c>
      <c r="J8" s="45" t="inlineStr">
        <is>
          <t>Creates a 1/1 Human Soldier token when it enters</t>
        </is>
      </c>
      <c r="K8" s="45" t="n"/>
      <c r="L8" s="42" t="n"/>
      <c r="M8" s="42" t="n"/>
      <c r="N8" s="42" t="n"/>
      <c r="O8" s="42" t="n"/>
      <c r="P8" s="42" t="n">
        <v>0.34</v>
      </c>
      <c r="Q8" s="42" t="n"/>
      <c r="R8" s="42" t="n"/>
      <c r="S8" s="42" t="n"/>
      <c r="T8" s="42" t="n"/>
      <c r="U8" s="42" t="n"/>
      <c r="V8" s="45" t="inlineStr">
        <is>
          <t>Ikoria: Lair of Behemoths</t>
        </is>
      </c>
      <c r="W8" s="41" t="n">
        <v>1</v>
      </c>
      <c r="X8" s="37">
        <f>SUM(Y8:AE8)</f>
        <v/>
      </c>
      <c r="Y8" s="43" t="n"/>
      <c r="Z8" s="43" t="n"/>
      <c r="AA8" s="43" t="n"/>
      <c r="AB8" s="43" t="n"/>
      <c r="AC8" s="43" t="n">
        <v>1</v>
      </c>
      <c r="AD8" s="43" t="n"/>
      <c r="AE8" s="43" t="n"/>
      <c r="AF8" s="38">
        <f>IF((W8-SUM(Y8:AE8))&lt;0,0,W8-SUM(Y8:AE8))</f>
        <v/>
      </c>
      <c r="AG8" s="34">
        <f>MAX(0,$AT8-$W8-$AI8)</f>
        <v/>
      </c>
      <c r="AH8" s="34" t="n"/>
      <c r="AI8" s="34" t="n"/>
      <c r="AJ8" s="36" t="n">
        <v>0.36</v>
      </c>
      <c r="AK8" s="36">
        <f>IF(AND($AG8&gt;0,ISNUMBER($AJ8)),$AG8*$AJ8,0)</f>
        <v/>
      </c>
      <c r="AT8" s="37">
        <f>SUM(AU8:BA8)</f>
        <v/>
      </c>
      <c r="AU8" s="73" t="n"/>
      <c r="AV8" s="33" t="n"/>
      <c r="AW8" s="33" t="n"/>
      <c r="AX8" s="33" t="n"/>
      <c r="AY8" s="98" t="n">
        <v>1</v>
      </c>
      <c r="AZ8" s="33" t="n"/>
      <c r="BA8" s="74" t="n"/>
      <c r="BB8" s="106" t="n"/>
      <c r="BC8" s="42" t="n"/>
      <c r="BD8" s="42" t="n"/>
    </row>
    <row r="9" ht="15" customHeight="1" s="148">
      <c r="A9" t="inlineStr">
        <is>
          <t>c0005</t>
        </is>
      </c>
      <c r="B9" s="39" t="inlineStr">
        <is>
          <t>Bilbo's Deadly Slice</t>
        </is>
      </c>
      <c r="C9" s="40" t="inlineStr">
        <is>
          <t>B</t>
        </is>
      </c>
      <c r="D9" s="39" t="inlineStr">
        <is>
          <t>Instant</t>
        </is>
      </c>
      <c r="E9" s="41" t="inlineStr">
        <is>
          <t>B2</t>
        </is>
      </c>
      <c r="F9" s="40" t="n">
        <v>3</v>
      </c>
      <c r="G9" s="67" t="inlineStr">
        <is>
          <t>Destroy target creature.</t>
        </is>
      </c>
      <c r="H9" s="39" t="inlineStr">
        <is>
          <t>Removal</t>
        </is>
      </c>
      <c r="I9" s="39" t="inlineStr">
        <is>
          <t>Destroy target creature</t>
        </is>
      </c>
      <c r="J9" s="39" t="n"/>
      <c r="K9" s="39" t="n"/>
      <c r="L9" s="42" t="n"/>
      <c r="M9" s="42" t="n"/>
      <c r="N9" s="42" t="n"/>
      <c r="O9" s="63" t="n"/>
      <c r="P9" s="63" t="n"/>
      <c r="Q9" s="42" t="n"/>
      <c r="R9" s="42" t="n"/>
      <c r="S9" s="42" t="n"/>
      <c r="T9" s="63" t="n"/>
      <c r="U9" s="63" t="n"/>
      <c r="V9" s="39" t="inlineStr">
        <is>
          <t>The Hobbit</t>
        </is>
      </c>
      <c r="W9" s="41" t="n">
        <v>1</v>
      </c>
      <c r="X9" s="37">
        <f>SUM(Y9:AE9)</f>
        <v/>
      </c>
      <c r="Y9" s="43" t="n"/>
      <c r="Z9" s="43" t="n"/>
      <c r="AA9" s="43" t="n"/>
      <c r="AB9" s="43" t="n"/>
      <c r="AC9" s="43" t="n"/>
      <c r="AD9" s="43" t="n"/>
      <c r="AE9" s="43" t="n"/>
      <c r="AF9" s="38">
        <f>IF((W9-SUM(Y9:AE9))&lt;0,0,W9-SUM(Y9:AE9))</f>
        <v/>
      </c>
      <c r="AG9" s="34">
        <f>MAX(0,$AT9-$W9-$AI9)</f>
        <v/>
      </c>
      <c r="AH9" s="39" t="n"/>
      <c r="AI9" s="39" t="n"/>
      <c r="AJ9" s="39" t="n">
        <v>0.11</v>
      </c>
      <c r="AK9" s="39">
        <f>IF(AND($AG9&gt;0,ISNUMBER($AJ9)),$AG9*$AJ9,0)</f>
        <v/>
      </c>
      <c r="AT9" s="37">
        <f>SUM(AU9:BA9)</f>
        <v/>
      </c>
      <c r="AU9" s="73" t="n"/>
      <c r="AV9" s="33" t="n"/>
      <c r="AW9" s="33" t="n"/>
      <c r="AX9" s="33" t="n"/>
      <c r="AY9" s="33" t="n"/>
      <c r="AZ9" s="33" t="n"/>
      <c r="BA9" s="74" t="n"/>
      <c r="BB9" s="107" t="n"/>
      <c r="BC9" s="42" t="n"/>
      <c r="BD9" s="42" t="n"/>
    </row>
    <row r="10" ht="15" customHeight="1" s="148">
      <c r="A10" t="inlineStr">
        <is>
          <t>c0006</t>
        </is>
      </c>
      <c r="B10" s="44" t="inlineStr">
        <is>
          <t>Bile-Vial Boggart</t>
        </is>
      </c>
      <c r="C10" s="34" t="inlineStr">
        <is>
          <t>B</t>
        </is>
      </c>
      <c r="D10" s="39" t="inlineStr">
        <is>
          <t>Creature</t>
        </is>
      </c>
      <c r="E10" s="41" t="inlineStr">
        <is>
          <t>B2</t>
        </is>
      </c>
      <c r="F10" s="40" t="n">
        <v>1</v>
      </c>
      <c r="G10" s="67" t="inlineStr">
        <is>
          <t>When this creature dies, put a -1/-1 counter on up to one target creature.
(1/1)</t>
        </is>
      </c>
      <c r="H10" s="39" t="inlineStr">
        <is>
          <t>Removal</t>
        </is>
      </c>
      <c r="I10" s="39" t="inlineStr">
        <is>
          <t>When it dies, put a -1/-1 counter on up to one target creature</t>
        </is>
      </c>
      <c r="J10" s="39" t="n"/>
      <c r="K10" s="39" t="n"/>
      <c r="L10" s="42" t="n"/>
      <c r="M10" s="42" t="n"/>
      <c r="N10" s="42" t="n"/>
      <c r="O10" s="63" t="n"/>
      <c r="P10" s="63" t="n"/>
      <c r="Q10" s="42" t="n"/>
      <c r="R10" s="42" t="n"/>
      <c r="S10" s="42" t="n"/>
      <c r="T10" s="63" t="n"/>
      <c r="U10" s="63" t="n"/>
      <c r="V10" s="39" t="inlineStr">
        <is>
          <t>Lorwyn Eclipsed</t>
        </is>
      </c>
      <c r="W10" s="41" t="n">
        <v>1</v>
      </c>
      <c r="X10" s="37">
        <f>SUM(Y10:AE10)</f>
        <v/>
      </c>
      <c r="Y10" s="43" t="n"/>
      <c r="Z10" s="43" t="n"/>
      <c r="AA10" s="43" t="n"/>
      <c r="AB10" s="43" t="n"/>
      <c r="AC10" s="43" t="n"/>
      <c r="AD10" s="43" t="n"/>
      <c r="AE10" s="43" t="n">
        <v>1</v>
      </c>
      <c r="AF10" s="38">
        <f>IF((W10-SUM(Y10:AE10))&lt;0,0,W10-SUM(Y10:AE10))</f>
        <v/>
      </c>
      <c r="AG10" s="34">
        <f>MAX(0,$AT10-$W10-$AI10)</f>
        <v/>
      </c>
      <c r="AH10" s="39" t="n"/>
      <c r="AI10" s="39" t="n"/>
      <c r="AJ10" s="39" t="n">
        <v>0.2</v>
      </c>
      <c r="AK10" s="39">
        <f>IF(AND($AG10&gt;0,ISNUMBER($AJ10)),$AG10*$AJ10,0)</f>
        <v/>
      </c>
      <c r="AR10" s="58" t="n"/>
      <c r="AS10" s="58" t="n"/>
      <c r="AT10" s="37">
        <f>SUM(AU10:BA10)</f>
        <v/>
      </c>
      <c r="AU10" s="73" t="n"/>
      <c r="AV10" s="33" t="n"/>
      <c r="AW10" s="33" t="n"/>
      <c r="AX10" s="33" t="n"/>
      <c r="AY10" s="33" t="n"/>
      <c r="AZ10" s="33" t="n"/>
      <c r="BA10" s="79" t="n"/>
      <c r="BB10" s="107" t="n"/>
      <c r="BC10" s="42" t="n"/>
      <c r="BD10" s="42" t="n"/>
    </row>
    <row r="11" ht="15" customHeight="1" s="148">
      <c r="A11" t="inlineStr">
        <is>
          <t>c0007</t>
        </is>
      </c>
      <c r="B11" s="44" t="inlineStr">
        <is>
          <t>Blight Pile</t>
        </is>
      </c>
      <c r="C11" s="34" t="inlineStr">
        <is>
          <t>B</t>
        </is>
      </c>
      <c r="D11" s="44" t="inlineStr">
        <is>
          <t>Creature</t>
        </is>
      </c>
      <c r="E11" s="41" t="inlineStr">
        <is>
          <t>B2</t>
        </is>
      </c>
      <c r="F11" s="34" t="n">
        <v>2</v>
      </c>
      <c r="G11" s="67" t="inlineStr">
        <is>
          <t>Defender
{2}{B}, {T}: Each opponent loses X life, where X is the number of creatures with defender you control.
(3/3)</t>
        </is>
      </c>
      <c r="H11" s="45" t="inlineStr">
        <is>
          <t>Drain Payoff</t>
        </is>
      </c>
      <c r="I11" s="45" t="inlineStr">
        <is>
          <t>Pay {2}{B} and tap: each opponent loses life equal to the number of defenders you control</t>
        </is>
      </c>
      <c r="J11" s="45" t="n"/>
      <c r="K11" s="45" t="n"/>
      <c r="L11" s="42" t="n"/>
      <c r="M11" s="42" t="n"/>
      <c r="N11" s="42" t="n"/>
      <c r="O11" s="42" t="n"/>
      <c r="P11" s="42" t="n">
        <v>0.21</v>
      </c>
      <c r="Q11" s="42" t="n"/>
      <c r="R11" s="42" t="n"/>
      <c r="S11" s="42" t="n"/>
      <c r="T11" s="42" t="n"/>
      <c r="U11" s="42" t="n"/>
      <c r="V11" s="45" t="inlineStr">
        <is>
          <t>Dominaria United</t>
        </is>
      </c>
      <c r="W11" s="41" t="n">
        <v>1</v>
      </c>
      <c r="X11" s="37">
        <f>SUM(Y11:AE11)</f>
        <v/>
      </c>
      <c r="Y11" s="43" t="n"/>
      <c r="Z11" s="43" t="n"/>
      <c r="AA11" s="43" t="n"/>
      <c r="AB11" s="43" t="n">
        <v>1</v>
      </c>
      <c r="AC11" s="43" t="n"/>
      <c r="AD11" s="43" t="n"/>
      <c r="AE11" s="43" t="n"/>
      <c r="AF11" s="38">
        <f>IF((W11-SUM(Y11:AE11))&lt;0,0,W11-SUM(Y11:AE11))</f>
        <v/>
      </c>
      <c r="AG11" s="34">
        <f>MAX(0,$AT11-$W11-$AI11)</f>
        <v/>
      </c>
      <c r="AH11" s="34" t="n"/>
      <c r="AI11" s="34" t="n"/>
      <c r="AJ11" s="36" t="n">
        <v>0.24</v>
      </c>
      <c r="AK11" s="36">
        <f>IF(AND($AG11&gt;0,ISNUMBER($AJ11)),$AG11*$AJ11,0)</f>
        <v/>
      </c>
      <c r="AT11" s="37">
        <f>SUM(AU11:BA11)</f>
        <v/>
      </c>
      <c r="AU11" s="73" t="n"/>
      <c r="AV11" s="33" t="n"/>
      <c r="AW11" s="33" t="n"/>
      <c r="AX11" s="98" t="n">
        <v>1</v>
      </c>
      <c r="AY11" s="33" t="n"/>
      <c r="AZ11" s="33" t="n"/>
      <c r="BA11" s="74" t="n"/>
      <c r="BB11" s="106" t="n"/>
      <c r="BC11" s="42" t="n"/>
      <c r="BD11" s="42" t="n"/>
    </row>
    <row r="12" ht="15" customHeight="1" s="148">
      <c r="A12" t="inlineStr">
        <is>
          <t>c0008</t>
        </is>
      </c>
      <c r="B12" s="44" t="inlineStr">
        <is>
          <t>Blight Rot</t>
        </is>
      </c>
      <c r="C12" s="34" t="inlineStr">
        <is>
          <t>B</t>
        </is>
      </c>
      <c r="D12" s="44" t="inlineStr">
        <is>
          <t>Instant</t>
        </is>
      </c>
      <c r="E12" s="41" t="inlineStr">
        <is>
          <t>B2</t>
        </is>
      </c>
      <c r="F12" s="34" t="n">
        <v>3</v>
      </c>
      <c r="G12" s="67" t="inlineStr">
        <is>
          <t>Put four -1/-1 counters on target creature.</t>
        </is>
      </c>
      <c r="H12" s="45" t="inlineStr">
        <is>
          <t>Removal</t>
        </is>
      </c>
      <c r="I12" s="45" t="inlineStr">
        <is>
          <t>Puts four -1/-1 counters on target creature</t>
        </is>
      </c>
      <c r="J12" s="45" t="n"/>
      <c r="K12" s="45" t="n"/>
      <c r="L12" s="42" t="n"/>
      <c r="M12" s="42" t="n"/>
      <c r="N12" s="42" t="n"/>
      <c r="O12" s="42" t="n"/>
      <c r="P12" s="42" t="n">
        <v>0.2</v>
      </c>
      <c r="Q12" s="42" t="n"/>
      <c r="R12" s="42" t="n"/>
      <c r="S12" s="42" t="n"/>
      <c r="T12" s="42" t="n"/>
      <c r="U12" s="42" t="n"/>
      <c r="V12" s="45" t="inlineStr">
        <is>
          <t>Lorwyn Eclipsed</t>
        </is>
      </c>
      <c r="W12" s="41" t="n">
        <v>2</v>
      </c>
      <c r="X12" s="37">
        <f>SUM(Y12:AE12)</f>
        <v/>
      </c>
      <c r="Y12" s="43" t="n"/>
      <c r="Z12" s="43" t="n"/>
      <c r="AA12" s="43" t="n"/>
      <c r="AB12" s="43" t="n"/>
      <c r="AC12" s="43" t="n">
        <v>1</v>
      </c>
      <c r="AD12" s="43" t="n"/>
      <c r="AE12" s="43" t="n">
        <v>1</v>
      </c>
      <c r="AF12" s="38">
        <f>IF((W12-SUM(Y12:AE12))&lt;0,0,W12-SUM(Y12:AE12))</f>
        <v/>
      </c>
      <c r="AG12" s="34">
        <f>MAX(0,$AT12-$W12-$AI12)</f>
        <v/>
      </c>
      <c r="AH12" s="34" t="inlineStr">
        <is>
          <t>GT</t>
        </is>
      </c>
      <c r="AI12" s="34" t="n"/>
      <c r="AJ12" s="36" t="n">
        <v>0.25</v>
      </c>
      <c r="AK12" s="36">
        <f>IF(AND($AG12&gt;0,ISNUMBER($AJ12)),$AG12*$AJ12,0)</f>
        <v/>
      </c>
      <c r="AN12" s="58" t="n"/>
      <c r="AP12" s="58" t="inlineStr">
        <is>
          <t>BL0013</t>
        </is>
      </c>
      <c r="AS12" s="86" t="n">
        <v>1</v>
      </c>
      <c r="AT12" s="37">
        <f>SUM(AU12:BA12)</f>
        <v/>
      </c>
      <c r="AU12" s="73" t="n"/>
      <c r="AV12" s="33" t="n"/>
      <c r="AW12" s="33" t="n"/>
      <c r="AX12" s="33" t="n"/>
      <c r="AY12" s="100" t="n"/>
      <c r="AZ12" s="33" t="n"/>
      <c r="BA12" s="79" t="n"/>
      <c r="BB12" s="106" t="n"/>
      <c r="BC12" s="42" t="n"/>
      <c r="BD12" s="42" t="n"/>
    </row>
    <row r="13" ht="15" customHeight="1" s="148">
      <c r="A13" t="inlineStr">
        <is>
          <t>c0009</t>
        </is>
      </c>
      <c r="B13" s="39" t="inlineStr">
        <is>
          <t>Bile-Vial Boggart</t>
        </is>
      </c>
      <c r="C13" s="40" t="inlineStr">
        <is>
          <t>B</t>
        </is>
      </c>
      <c r="D13" s="39" t="inlineStr">
        <is>
          <t>Creature</t>
        </is>
      </c>
      <c r="E13" s="41" t="inlineStr">
        <is>
          <t>B2</t>
        </is>
      </c>
      <c r="F13" s="39" t="n">
        <v>1</v>
      </c>
      <c r="G13" t="inlineStr">
        <is>
          <t>Bile-Vial Boggart {B} — Creature — Goblin Assassin (1/1)
When this creature dies, put a -1/-1 counter on up to one target creature.</t>
        </is>
      </c>
      <c r="H13" s="39" t="inlineStr">
        <is>
          <t>Removal</t>
        </is>
      </c>
      <c r="I13" s="39" t="inlineStr">
        <is>
          <t>When this creature dies, put a -1/-1 counter on up to one target creature</t>
        </is>
      </c>
      <c r="J13" s="39" t="n"/>
      <c r="K13" s="39" t="n"/>
      <c r="L13" s="42" t="n"/>
      <c r="M13" s="42" t="n"/>
      <c r="N13" s="42" t="n"/>
      <c r="O13" s="42" t="n"/>
      <c r="P13" s="42" t="n"/>
      <c r="Q13" s="42" t="n"/>
      <c r="R13" s="42" t="n"/>
      <c r="S13" s="42" t="n"/>
      <c r="T13" s="42" t="n"/>
      <c r="U13" s="42" t="n"/>
      <c r="V13" s="39" t="n"/>
      <c r="W13" s="41" t="n">
        <v>0</v>
      </c>
      <c r="X13" s="37">
        <f>SUM(Y13:AE13)</f>
        <v/>
      </c>
      <c r="Y13" s="43" t="n"/>
      <c r="Z13" s="43" t="n"/>
      <c r="AA13" s="43" t="n"/>
      <c r="AB13" s="43" t="n"/>
      <c r="AC13" s="43" t="n"/>
      <c r="AD13" s="43" t="n"/>
      <c r="AE13" s="43" t="n"/>
      <c r="AF13" s="38">
        <f>IF((W13-SUM(Y13:AE13))&lt;0,0,W13-SUM(Y13:AE13))</f>
        <v/>
      </c>
      <c r="AG13" s="34">
        <f>MAX(0,$AT13-$W13-$AI13)</f>
        <v/>
      </c>
      <c r="AH13" s="39" t="n"/>
      <c r="AI13" s="39" t="n"/>
      <c r="AJ13" s="39" t="n"/>
      <c r="AK13" s="39">
        <f>IF(AND($AG13&gt;0,ISNUMBER($AJ13)),$AG13*$AJ13,0)</f>
        <v/>
      </c>
      <c r="AL13" s="42" t="n"/>
      <c r="AM13" s="42" t="n"/>
      <c r="AN13" s="42" t="n"/>
      <c r="AO13" s="42" t="n"/>
      <c r="AP13" s="42" t="n"/>
      <c r="AQ13" s="42" t="n"/>
      <c r="AR13" s="42" t="n"/>
      <c r="AS13" s="42" t="n"/>
      <c r="AT13" s="37">
        <f>SUM(AU13:BA13)</f>
        <v/>
      </c>
      <c r="AU13" s="92" t="n"/>
      <c r="AV13" s="38" t="n"/>
      <c r="AW13" s="38" t="n"/>
      <c r="AX13" s="38" t="n"/>
      <c r="AY13" s="38" t="n"/>
      <c r="AZ13" s="38" t="n"/>
      <c r="BA13" s="94" t="n"/>
      <c r="BB13" s="107" t="n"/>
      <c r="BC13" s="42" t="n"/>
      <c r="BD13" s="42" t="n"/>
    </row>
    <row r="14" ht="15" customHeight="1" s="148">
      <c r="A14" t="inlineStr">
        <is>
          <t>c0010</t>
        </is>
      </c>
      <c r="B14" s="44" t="inlineStr">
        <is>
          <t>Blood Artist</t>
        </is>
      </c>
      <c r="C14" s="34" t="inlineStr">
        <is>
          <t>B</t>
        </is>
      </c>
      <c r="D14" s="44" t="inlineStr">
        <is>
          <t>Creature</t>
        </is>
      </c>
      <c r="E14" s="41" t="inlineStr">
        <is>
          <t>B3</t>
        </is>
      </c>
      <c r="F14" s="34" t="n">
        <v>2</v>
      </c>
      <c r="G14" s="67" t="inlineStr">
        <is>
          <t>Whenever this creature or another creature dies, target player loses 1 life and you gain 1 life.
(0/1)</t>
        </is>
      </c>
      <c r="H14" s="45" t="inlineStr">
        <is>
          <t>Drain Payoff</t>
        </is>
      </c>
      <c r="I14" s="45" t="inlineStr">
        <is>
          <t>Whenever this creature or another creature dies, target player loses 1 life and you gain 1 life.</t>
        </is>
      </c>
      <c r="J14" s="45" t="n"/>
      <c r="K14" s="45" t="n"/>
      <c r="L14" s="42" t="n"/>
      <c r="M14" s="42" t="n"/>
      <c r="N14" s="42" t="n"/>
      <c r="O14" s="42" t="n"/>
      <c r="P14" s="42" t="n">
        <v>3.68</v>
      </c>
      <c r="Q14" s="42" t="n"/>
      <c r="R14" s="42" t="n"/>
      <c r="S14" s="42" t="n"/>
      <c r="T14" s="42" t="n"/>
      <c r="U14" s="42" t="n"/>
      <c r="V14" s="45" t="inlineStr">
        <is>
          <t>Avacyn Restored</t>
        </is>
      </c>
      <c r="W14" s="41" t="n">
        <v>0</v>
      </c>
      <c r="X14" s="37">
        <f>SUM(Y14:AE14)</f>
        <v/>
      </c>
      <c r="Y14" s="43" t="n"/>
      <c r="Z14" s="43" t="n"/>
      <c r="AA14" s="43" t="n"/>
      <c r="AB14" s="43" t="n"/>
      <c r="AC14" s="43" t="n"/>
      <c r="AD14" s="43" t="n"/>
      <c r="AE14" s="43" t="n"/>
      <c r="AF14" s="38">
        <f>IF((W14-SUM(Y14:AE14))&lt;0,0,W14-SUM(Y14:AE14))</f>
        <v/>
      </c>
      <c r="AG14" s="34">
        <f>MAX(0,$AT14-$W14-$AI14)</f>
        <v/>
      </c>
      <c r="AH14" s="34" t="n"/>
      <c r="AI14" s="34" t="n"/>
      <c r="AJ14" s="36" t="n">
        <v>2.79</v>
      </c>
      <c r="AK14" s="36">
        <f>IF(AND($AG14&gt;0,ISNUMBER($AJ14)),$AG14*$AJ14,0)</f>
        <v/>
      </c>
      <c r="AL14" s="54" t="n"/>
      <c r="AM14" s="54" t="n"/>
      <c r="AN14" s="54" t="n"/>
      <c r="AO14" s="54" t="n"/>
      <c r="AP14" s="54" t="n"/>
      <c r="AQ14" s="54" t="n"/>
      <c r="AR14" s="54" t="n"/>
      <c r="AS14" s="54" t="n"/>
      <c r="AT14" s="37">
        <f>SUM(AU14:BA14)</f>
        <v/>
      </c>
      <c r="AU14" s="92" t="n"/>
      <c r="AV14" s="38" t="n"/>
      <c r="AW14" s="38" t="n"/>
      <c r="AX14" s="38" t="n"/>
      <c r="AY14" s="38" t="n"/>
      <c r="AZ14" s="38" t="n"/>
      <c r="BA14" s="94" t="n"/>
      <c r="BB14" s="106" t="n"/>
      <c r="BC14" s="42" t="n"/>
      <c r="BD14" s="48" t="n"/>
    </row>
    <row r="15" ht="15" customHeight="1" s="148">
      <c r="A15" t="inlineStr">
        <is>
          <t>c0011</t>
        </is>
      </c>
      <c r="B15" s="44" t="inlineStr">
        <is>
          <t>Boggart Mischief</t>
        </is>
      </c>
      <c r="C15" s="34" t="inlineStr">
        <is>
          <t>B</t>
        </is>
      </c>
      <c r="D15" s="44" t="inlineStr">
        <is>
          <t>Kindred Enchantment</t>
        </is>
      </c>
      <c r="E15" s="41" t="inlineStr">
        <is>
          <t>B2</t>
        </is>
      </c>
      <c r="F15" s="34" t="n">
        <v>3</v>
      </c>
      <c r="G15" s="67" t="inlineStr">
        <is>
          <t>When this enchantment enters, you may blight 1. If you do, create two 1/1 black and red Goblin creature tokens. (To blight 1, put a -1/-1 counter on a creature you control.)
Whenever a Goblin creature you control dies, each opponent loses 1 life and you gain 1 life.</t>
        </is>
      </c>
      <c r="H15" s="45" t="inlineStr">
        <is>
          <t>Token Producer</t>
        </is>
      </c>
      <c r="I15" s="45" t="inlineStr">
        <is>
          <t>Put a -1/-1 counter on a creature you control to create two 1/1 Goblin tokens when it enters</t>
        </is>
      </c>
      <c r="J15" s="45" t="inlineStr">
        <is>
          <t>Each opponent loses 1 life and you gain 1 life whenever a Goblin you control dies</t>
        </is>
      </c>
      <c r="K15" s="45" t="n"/>
      <c r="L15" s="42" t="n"/>
      <c r="M15" s="42" t="n"/>
      <c r="N15" s="42" t="n"/>
      <c r="O15" s="42" t="n"/>
      <c r="P15" s="42" t="n">
        <v>0.31</v>
      </c>
      <c r="Q15" s="42" t="n"/>
      <c r="R15" s="42" t="n"/>
      <c r="S15" s="42" t="n"/>
      <c r="T15" s="42" t="n"/>
      <c r="U15" s="42" t="n"/>
      <c r="V15" s="45" t="inlineStr">
        <is>
          <t>Lorwyn Eclipsed</t>
        </is>
      </c>
      <c r="W15" s="41" t="n">
        <v>1</v>
      </c>
      <c r="X15" s="37">
        <f>SUM(Y15:AE15)</f>
        <v/>
      </c>
      <c r="Y15" s="43" t="n"/>
      <c r="Z15" s="43" t="n"/>
      <c r="AA15" s="43" t="n"/>
      <c r="AB15" s="43" t="n"/>
      <c r="AC15" s="43" t="n">
        <v>1</v>
      </c>
      <c r="AD15" s="43" t="n"/>
      <c r="AE15" s="43" t="n"/>
      <c r="AF15" s="38">
        <f>IF((W15-SUM(Y15:AE15))&lt;0,0,W15-SUM(Y15:AE15))</f>
        <v/>
      </c>
      <c r="AG15" s="34">
        <f>MAX(0,$AT15-$W15-$AI15)</f>
        <v/>
      </c>
      <c r="AH15" s="34" t="n"/>
      <c r="AI15" s="34" t="n"/>
      <c r="AJ15" s="36" t="n">
        <v>0.31</v>
      </c>
      <c r="AK15" s="36">
        <f>IF(AND($AG15&gt;0,ISNUMBER($AJ15)),$AG15*$AJ15,0)</f>
        <v/>
      </c>
      <c r="AT15" s="37">
        <f>SUM(AU15:BA15)</f>
        <v/>
      </c>
      <c r="AU15" s="73" t="n"/>
      <c r="AV15" s="33" t="n"/>
      <c r="AW15" s="33" t="n"/>
      <c r="AX15" s="33" t="n"/>
      <c r="AY15" s="98" t="n">
        <v>1</v>
      </c>
      <c r="AZ15" s="33" t="n"/>
      <c r="BA15" s="74" t="n"/>
      <c r="BB15" s="106" t="n"/>
      <c r="BC15" s="42" t="n"/>
      <c r="BD15" s="42" t="n"/>
    </row>
    <row r="16" ht="15" customHeight="1" s="148">
      <c r="A16" t="inlineStr">
        <is>
          <t>c0012</t>
        </is>
      </c>
      <c r="B16" s="30" t="inlineStr">
        <is>
          <t>Bogslither's Embrace</t>
        </is>
      </c>
      <c r="C16" s="31" t="inlineStr">
        <is>
          <t>B</t>
        </is>
      </c>
      <c r="D16" s="30" t="inlineStr">
        <is>
          <t>Sorcery</t>
        </is>
      </c>
      <c r="E16" s="33" t="inlineStr">
        <is>
          <t>B2</t>
        </is>
      </c>
      <c r="F16" s="31" t="n">
        <v>2</v>
      </c>
      <c r="G16" s="67" t="inlineStr">
        <is>
          <t>As an additional cost to cast this spell, blight 1 or pay {3}. (To blight 1, put a -1/-1 counter on a creature you control.)
Exile target creature.</t>
        </is>
      </c>
      <c r="H16" s="30" t="inlineStr">
        <is>
          <t>Removal</t>
        </is>
      </c>
      <c r="I16" s="30" t="inlineStr">
        <is>
          <t>Exiles target creature</t>
        </is>
      </c>
      <c r="J16" s="30" t="inlineStr">
        <is>
          <t>Additional cost: blight 1 (put a -1/-1 counter on a creature you control) or pay {3}</t>
        </is>
      </c>
      <c r="K16" s="30" t="n"/>
      <c r="L16" s="32" t="inlineStr">
        <is>
          <t>94</t>
        </is>
      </c>
      <c r="M16" s="32" t="n">
        <v>1</v>
      </c>
      <c r="N16" s="32" t="n">
        <v>0</v>
      </c>
      <c r="O16" s="63" t="n"/>
      <c r="P16" s="63" t="n">
        <v>0.18</v>
      </c>
      <c r="Q16" s="32" t="inlineStr">
        <is>
          <t>Common</t>
        </is>
      </c>
      <c r="R16" s="32" t="n"/>
      <c r="S16" s="32" t="n"/>
      <c r="T16" s="63" t="n"/>
      <c r="U16" s="63" t="n"/>
      <c r="V16" s="30" t="inlineStr">
        <is>
          <t>Lorwyn Eclipsed</t>
        </is>
      </c>
      <c r="W16" s="41" t="n">
        <v>1</v>
      </c>
      <c r="X16" s="37">
        <f>SUM(Y16:AE16)</f>
        <v/>
      </c>
      <c r="Y16" s="43" t="n"/>
      <c r="Z16" s="43" t="n"/>
      <c r="AA16" s="43" t="n"/>
      <c r="AB16" s="43" t="n"/>
      <c r="AC16" s="43" t="n"/>
      <c r="AD16" s="43" t="n"/>
      <c r="AE16" s="43" t="n">
        <v>1</v>
      </c>
      <c r="AF16" s="38">
        <f>IF((W16-SUM(Y16:AE16))&lt;0,0,W16-SUM(Y16:AE16))</f>
        <v/>
      </c>
      <c r="AG16" s="34">
        <f>MAX(0,$AT16-$W16-$AI16)</f>
        <v/>
      </c>
      <c r="AH16" s="30" t="n"/>
      <c r="AI16" s="30" t="n"/>
      <c r="AJ16" s="35" t="n">
        <v>0.18</v>
      </c>
      <c r="AK16" s="36">
        <f>IF(AND($AG16&gt;0,ISNUMBER($AJ16)),$AG16*$AJ16,0)</f>
        <v/>
      </c>
      <c r="AT16" s="37">
        <f>SUM(AU16:BA16)</f>
        <v/>
      </c>
      <c r="AU16" s="73" t="n"/>
      <c r="AV16" s="33" t="n"/>
      <c r="AW16" s="33" t="n"/>
      <c r="AX16" s="33" t="n"/>
      <c r="AY16" s="33" t="n"/>
      <c r="AZ16" s="33" t="n"/>
      <c r="BA16" s="80" t="n">
        <v>1</v>
      </c>
      <c r="BB16" s="108" t="n"/>
      <c r="BC16" s="32" t="n"/>
      <c r="BD16" s="32" t="n"/>
    </row>
    <row r="17" ht="15" customHeight="1" s="148">
      <c r="A17" t="inlineStr">
        <is>
          <t>c0013</t>
        </is>
      </c>
      <c r="B17" s="39" t="inlineStr">
        <is>
          <t>Boiling Rock Rioter</t>
        </is>
      </c>
      <c r="C17" s="40" t="inlineStr">
        <is>
          <t>B</t>
        </is>
      </c>
      <c r="D17" s="39" t="inlineStr">
        <is>
          <t>Creature</t>
        </is>
      </c>
      <c r="E17" s="41" t="inlineStr">
        <is>
          <t>B2</t>
        </is>
      </c>
      <c r="F17" s="40" t="n">
        <v>3</v>
      </c>
      <c r="G17" s="67" t="inlineStr">
        <is>
          <t>Firebending 1 (Whenever this creature attacks, add {R}. This mana lasts until end of combat.)
Tap an untapped Ally you control: Exile target card from a graveyard.
Whenever this creature attacks, you may cast an Ally spell from among cards you own exiled with this creature.
(3/3)</t>
        </is>
      </c>
      <c r="H17" s="39" t="inlineStr">
        <is>
          <t>Graveyard Hate</t>
        </is>
      </c>
      <c r="I17" s="39" t="inlineStr">
        <is>
          <t>Tap an untapped Ally you control: exile target card from a graveyard</t>
        </is>
      </c>
      <c r="J17" s="39" t="inlineStr">
        <is>
          <t>Whenever it attacks, you may cast an Ally spell from among the cards it exiled</t>
        </is>
      </c>
      <c r="K17" s="39" t="inlineStr">
        <is>
          <t>Firebending 1 - whenever it attacks, add {R} until end of combat</t>
        </is>
      </c>
      <c r="L17" s="42" t="n"/>
      <c r="M17" s="42" t="n"/>
      <c r="N17" s="42" t="n"/>
      <c r="O17" s="42" t="n"/>
      <c r="P17" s="42" t="n"/>
      <c r="Q17" s="42" t="n"/>
      <c r="R17" s="42" t="n"/>
      <c r="S17" s="42" t="n"/>
      <c r="T17" s="42" t="n"/>
      <c r="U17" s="42" t="n"/>
      <c r="V17" s="39" t="inlineStr">
        <is>
          <t>Avatar: The Last Airbender</t>
        </is>
      </c>
      <c r="W17" s="41" t="n">
        <v>0</v>
      </c>
      <c r="X17" s="37">
        <f>SUM(Y17:AE17)</f>
        <v/>
      </c>
      <c r="Y17" s="43" t="n"/>
      <c r="Z17" s="43" t="n"/>
      <c r="AA17" s="43" t="n"/>
      <c r="AB17" s="43" t="n"/>
      <c r="AC17" s="43" t="n"/>
      <c r="AD17" s="43" t="n"/>
      <c r="AE17" s="43" t="n"/>
      <c r="AF17" s="38">
        <f>IF((W17-SUM(Y17:AE17))&lt;0,0,W17-SUM(Y17:AE17))</f>
        <v/>
      </c>
      <c r="AG17" s="34">
        <f>MAX(0,$AT17-$W17-$AI17)</f>
        <v/>
      </c>
      <c r="AH17" s="39" t="n"/>
      <c r="AI17" s="39" t="n"/>
      <c r="AJ17" s="39" t="n">
        <v>0.22</v>
      </c>
      <c r="AK17" s="39">
        <f>IF(AND($AG17&gt;0,ISNUMBER($AJ17)),$AG17*$AJ17,0)</f>
        <v/>
      </c>
      <c r="AL17" s="42" t="n"/>
      <c r="AM17" s="42" t="n"/>
      <c r="AN17" s="42" t="n"/>
      <c r="AO17" s="42" t="n"/>
      <c r="AP17" s="42" t="n"/>
      <c r="AQ17" s="42" t="n"/>
      <c r="AR17" s="42" t="n"/>
      <c r="AS17" s="42" t="n"/>
      <c r="AT17" s="37">
        <f>SUM(AU17:BA17)</f>
        <v/>
      </c>
      <c r="AU17" s="93" t="n"/>
      <c r="AV17" s="41" t="n"/>
      <c r="AW17" s="41" t="n"/>
      <c r="AX17" s="41" t="n"/>
      <c r="AY17" s="41" t="n"/>
      <c r="AZ17" s="41" t="n"/>
      <c r="BA17" s="94" t="n"/>
      <c r="BB17" s="107" t="n"/>
      <c r="BC17" s="42" t="n"/>
      <c r="BD17" s="42" t="n"/>
    </row>
    <row r="18" ht="15" customHeight="1" s="148">
      <c r="A18" t="inlineStr">
        <is>
          <t>c0014</t>
        </is>
      </c>
      <c r="B18" s="44" t="inlineStr">
        <is>
          <t>Bolas's Citadel</t>
        </is>
      </c>
      <c r="C18" s="34" t="inlineStr">
        <is>
          <t>B</t>
        </is>
      </c>
      <c r="D18" s="44" t="inlineStr">
        <is>
          <t>Legendary Artifact</t>
        </is>
      </c>
      <c r="E18" s="41" t="inlineStr">
        <is>
          <t>B3</t>
        </is>
      </c>
      <c r="F18" s="34" t="n">
        <v>6</v>
      </c>
      <c r="G18" s="67" t="inlineStr">
        <is>
          <t>You may look at the top card of your library any time.
You may play lands and cast spells from the top of your library. If you cast a spell this way, pay life equal to its mana value rather than pay its mana cost.
{T}, Sacrifice ten nonland permanents: Each opponent loses 10 life.</t>
        </is>
      </c>
      <c r="H18" s="45" t="inlineStr">
        <is>
          <t>Value Engine</t>
        </is>
      </c>
      <c r="I18" s="45" t="inlineStr">
        <is>
          <t>You may look at the top card of your library any time</t>
        </is>
      </c>
      <c r="J18" s="45" t="inlineStr">
        <is>
          <t>You may play lands and cast spells from the top of your library. If you cast a spell this way, pay life equal to its man</t>
        </is>
      </c>
      <c r="K18" s="45" t="inlineStr">
        <is>
          <t>{T}, Sacrifice ten nonland permanents: Each opponent loses 10 life</t>
        </is>
      </c>
      <c r="L18" s="42" t="n"/>
      <c r="M18" s="42" t="n"/>
      <c r="N18" s="42" t="n"/>
      <c r="O18" s="42" t="n"/>
      <c r="P18" s="42" t="n">
        <v>16.37</v>
      </c>
      <c r="Q18" s="42" t="n"/>
      <c r="R18" s="42" t="n"/>
      <c r="S18" s="42" t="n"/>
      <c r="T18" s="42" t="n"/>
      <c r="U18" s="42" t="n"/>
      <c r="V18" s="45" t="inlineStr">
        <is>
          <t>War of the Spark</t>
        </is>
      </c>
      <c r="W18" s="41" t="n">
        <v>0</v>
      </c>
      <c r="X18" s="37">
        <f>SUM(Y18:AE18)</f>
        <v/>
      </c>
      <c r="Y18" s="43" t="n"/>
      <c r="Z18" s="43" t="n"/>
      <c r="AA18" s="43" t="n"/>
      <c r="AB18" s="43" t="n"/>
      <c r="AC18" s="43" t="n"/>
      <c r="AD18" s="43" t="n"/>
      <c r="AE18" s="43" t="n"/>
      <c r="AF18" s="38">
        <f>IF((W18-SUM(Y18:AE18))&lt;0,0,W18-SUM(Y18:AE18))</f>
        <v/>
      </c>
      <c r="AG18" s="34">
        <f>MAX(0,$AT18-$W18-$AI18)</f>
        <v/>
      </c>
      <c r="AH18" s="34" t="n"/>
      <c r="AI18" s="34" t="n"/>
      <c r="AJ18" s="36" t="n">
        <v>8.44</v>
      </c>
      <c r="AK18" s="36">
        <f>IF(AND($AG18&gt;0,ISNUMBER($AJ18)),$AG18*$AJ18,0)</f>
        <v/>
      </c>
      <c r="AL18" s="54" t="n"/>
      <c r="AM18" s="54" t="n"/>
      <c r="AN18" s="54" t="n"/>
      <c r="AO18" s="54" t="n"/>
      <c r="AP18" s="54" t="n"/>
      <c r="AQ18" s="54" t="n"/>
      <c r="AR18" s="54" t="n"/>
      <c r="AS18" s="54" t="n"/>
      <c r="AT18" s="37">
        <f>SUM(AU18:BA18)</f>
        <v/>
      </c>
      <c r="AU18" s="92" t="n"/>
      <c r="AV18" s="38" t="n"/>
      <c r="AW18" s="38" t="n"/>
      <c r="AX18" s="38" t="n"/>
      <c r="AY18" s="38" t="n"/>
      <c r="AZ18" s="38" t="n"/>
      <c r="BA18" s="94" t="n"/>
      <c r="BB18" s="106" t="n"/>
      <c r="BC18" s="42" t="n"/>
      <c r="BD18" s="42" t="n"/>
    </row>
    <row r="19" ht="15" customHeight="1" s="148">
      <c r="A19" t="inlineStr">
        <is>
          <t>c0015</t>
        </is>
      </c>
      <c r="B19" s="39" t="inlineStr">
        <is>
          <t>Braids, Arisen Nightmare</t>
        </is>
      </c>
      <c r="C19" s="40" t="inlineStr">
        <is>
          <t>B</t>
        </is>
      </c>
      <c r="D19" s="39" t="inlineStr">
        <is>
          <t>Legendary Creature</t>
        </is>
      </c>
      <c r="E19" s="41" t="inlineStr">
        <is>
          <t>B2</t>
        </is>
      </c>
      <c r="F19" s="40" t="n">
        <v>3</v>
      </c>
      <c r="G19" s="67" t="inlineStr">
        <is>
          <t>At the beginning of your end step, you may sacrifice an artifact, creature, enchantment, land, or planeswalker. If you do, each opponent may sacrifice a permanent of their choice that shares a card type with it. For each opponent who doesn't, that player loses 2 life and you draw a card.
(3/3)</t>
        </is>
      </c>
      <c r="H19" s="39" t="inlineStr">
        <is>
          <t>Card Draw</t>
        </is>
      </c>
      <c r="I19" s="39" t="inlineStr">
        <is>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is>
      </c>
      <c r="J19" s="39" t="n"/>
      <c r="K19" s="39" t="n"/>
      <c r="L19" s="88" t="n"/>
      <c r="M19" s="41" t="n"/>
      <c r="N19" s="41" t="n"/>
      <c r="O19" s="63" t="n"/>
      <c r="P19" s="90" t="n">
        <v>4.93</v>
      </c>
      <c r="Q19" s="88" t="n"/>
      <c r="R19" s="41" t="n"/>
      <c r="S19" s="41" t="n"/>
      <c r="T19" s="63" t="n"/>
      <c r="U19" s="91" t="n"/>
      <c r="V19" s="39" t="inlineStr">
        <is>
          <t>Dominaria United</t>
        </is>
      </c>
      <c r="W19" s="41" t="n">
        <v>0</v>
      </c>
      <c r="X19" s="37">
        <f>SUM(Y19:AE19)</f>
        <v/>
      </c>
      <c r="Y19" s="43" t="n"/>
      <c r="Z19" s="43" t="n"/>
      <c r="AA19" s="43" t="n"/>
      <c r="AB19" s="43" t="n"/>
      <c r="AC19" s="43" t="n"/>
      <c r="AD19" s="43" t="n"/>
      <c r="AE19" s="43" t="n"/>
      <c r="AF19" s="38">
        <f>IF((W19-SUM(Y19:AE19))&lt;0,0,W19-SUM(Y19:AE19))</f>
        <v/>
      </c>
      <c r="AG19" s="34">
        <f>MAX(0,$AT19-$W19-$AI19)</f>
        <v/>
      </c>
      <c r="AH19" s="39" t="n"/>
      <c r="AI19" s="39" t="n"/>
      <c r="AJ19" s="39" t="n">
        <v>4.8</v>
      </c>
      <c r="AK19" s="39">
        <f>IF(AND($AG19&gt;0,ISNUMBER($AJ19)),$AG19*$AJ19,0)</f>
        <v/>
      </c>
      <c r="AT19" s="37">
        <f>SUM(AU19:BA19)</f>
        <v/>
      </c>
      <c r="AU19" s="73" t="n"/>
      <c r="AV19" s="33" t="n"/>
      <c r="AW19" s="33" t="n"/>
      <c r="AX19" s="33" t="n"/>
      <c r="AY19" s="33" t="n"/>
      <c r="AZ19" s="33" t="n"/>
      <c r="BA19" s="74" t="n"/>
      <c r="BB19" s="107" t="n"/>
      <c r="BC19" s="42" t="n"/>
      <c r="BD19" s="42" t="n"/>
    </row>
    <row r="20" ht="15" customHeight="1" s="148">
      <c r="A20" t="inlineStr">
        <is>
          <t>c0016</t>
        </is>
      </c>
      <c r="B20" s="44" t="inlineStr">
        <is>
          <t>Carrion Feeder</t>
        </is>
      </c>
      <c r="C20" s="34" t="inlineStr">
        <is>
          <t>B</t>
        </is>
      </c>
      <c r="D20" s="44" t="inlineStr">
        <is>
          <t>Creature</t>
        </is>
      </c>
      <c r="E20" s="41" t="inlineStr">
        <is>
          <t>B3</t>
        </is>
      </c>
      <c r="F20" s="34" t="n">
        <v>1</v>
      </c>
      <c r="G20" s="67" t="inlineStr">
        <is>
          <t>This creature can't block.
Sacrifice a creature: Put a +1/+1 counter on this creature.
(1/1)</t>
        </is>
      </c>
      <c r="H20" s="45" t="inlineStr">
        <is>
          <t>Sacrifice Outlet</t>
        </is>
      </c>
      <c r="I20" s="45" t="inlineStr">
        <is>
          <t>This creature can't block.
Sacrifice a creature: Put a +1/+1 counter on this creature.</t>
        </is>
      </c>
      <c r="J20" s="45" t="n"/>
      <c r="K20" s="45" t="n"/>
      <c r="L20" s="41" t="n"/>
      <c r="M20" s="41" t="n"/>
      <c r="N20" s="41" t="n"/>
      <c r="O20" s="41" t="n"/>
      <c r="P20" s="41" t="n"/>
      <c r="Q20" s="41" t="n"/>
      <c r="R20" s="41" t="n"/>
      <c r="S20" s="41" t="n"/>
      <c r="T20" s="41" t="n"/>
      <c r="U20" s="41" t="n"/>
      <c r="V20" s="45" t="inlineStr">
        <is>
          <t>Scourge</t>
        </is>
      </c>
      <c r="W20" s="41" t="n">
        <v>0</v>
      </c>
      <c r="X20" s="37">
        <f>SUM(Y20:AE20)</f>
        <v/>
      </c>
      <c r="Y20" s="43" t="n"/>
      <c r="Z20" s="43" t="n"/>
      <c r="AA20" s="43" t="n"/>
      <c r="AB20" s="43" t="n"/>
      <c r="AC20" s="43" t="n"/>
      <c r="AD20" s="43" t="n"/>
      <c r="AE20" s="43" t="n"/>
      <c r="AF20" s="38">
        <f>IF((W20-SUM(Y20:AE20))&lt;0,0,W20-SUM(Y20:AE20))</f>
        <v/>
      </c>
      <c r="AG20" s="34">
        <f>MAX(0,$AT20-$W20-$AI20)</f>
        <v/>
      </c>
      <c r="AH20" s="34" t="n"/>
      <c r="AI20" s="34" t="n"/>
      <c r="AJ20" s="36" t="n">
        <v>3.66</v>
      </c>
      <c r="AK20" s="36">
        <f>IF(AND($AG20&gt;0,ISNUMBER($AJ20)),$AG20*$AJ20,0)</f>
        <v/>
      </c>
      <c r="AL20" s="54" t="n"/>
      <c r="AM20" s="54" t="n"/>
      <c r="AN20" s="54" t="n"/>
      <c r="AO20" s="54" t="n"/>
      <c r="AP20" s="54" t="n"/>
      <c r="AQ20" s="54" t="n"/>
      <c r="AR20" s="54" t="n"/>
      <c r="AS20" s="54" t="n"/>
      <c r="AT20" s="37">
        <f>SUM(AU20:BA20)</f>
        <v/>
      </c>
      <c r="AU20" s="92" t="n"/>
      <c r="AV20" s="38" t="n"/>
      <c r="AW20" s="38" t="n"/>
      <c r="AX20" s="38" t="n"/>
      <c r="AY20" s="38" t="n"/>
      <c r="AZ20" s="38" t="n"/>
      <c r="BA20" s="94" t="n"/>
      <c r="BB20" s="106" t="n"/>
      <c r="BC20" s="42" t="n"/>
      <c r="BD20" s="42" t="n"/>
    </row>
    <row r="21" ht="15" customHeight="1" s="148">
      <c r="A21" t="inlineStr">
        <is>
          <t>c0017</t>
        </is>
      </c>
      <c r="B21" s="44" t="inlineStr">
        <is>
          <t>Chain Assassination</t>
        </is>
      </c>
      <c r="C21" s="34" t="inlineStr">
        <is>
          <t>B</t>
        </is>
      </c>
      <c r="D21" s="44" t="inlineStr">
        <is>
          <t>Instant</t>
        </is>
      </c>
      <c r="E21" s="41" t="inlineStr">
        <is>
          <t>B2</t>
        </is>
      </c>
      <c r="F21" s="34" t="n">
        <v>4</v>
      </c>
      <c r="G21" s="67" t="inlineStr">
        <is>
          <t>Freerunning {1}{B} (You may cast this spell for its freerunning cost if you dealt combat damage to a player this turn with an Assassin or commander.)
Destroy target creature. If another creature died this turn, draw a card.</t>
        </is>
      </c>
      <c r="H21" s="45" t="inlineStr">
        <is>
          <t>Removal</t>
        </is>
      </c>
      <c r="I21" s="45" t="inlineStr">
        <is>
          <t>Destroys target creature</t>
        </is>
      </c>
      <c r="J21" s="45" t="inlineStr">
        <is>
          <t>Draw a card if another creature died this turn</t>
        </is>
      </c>
      <c r="K21" s="45" t="inlineStr">
        <is>
          <t>Can be cast for less if you dealt combat damage with an Assassin or commander</t>
        </is>
      </c>
      <c r="L21" s="42" t="n"/>
      <c r="M21" s="42" t="n"/>
      <c r="N21" s="42" t="n"/>
      <c r="O21" s="42" t="n"/>
      <c r="P21" s="42" t="n">
        <v>0.32</v>
      </c>
      <c r="Q21" s="42" t="n"/>
      <c r="R21" s="42" t="n"/>
      <c r="S21" s="42" t="n"/>
      <c r="T21" s="42" t="n"/>
      <c r="U21" s="42" t="n"/>
      <c r="V21" s="45" t="inlineStr">
        <is>
          <t>Assassin's Creed</t>
        </is>
      </c>
      <c r="W21" s="41" t="n">
        <v>1</v>
      </c>
      <c r="X21" s="37">
        <f>SUM(Y21:AE21)</f>
        <v/>
      </c>
      <c r="Y21" s="43" t="n"/>
      <c r="Z21" s="43" t="n"/>
      <c r="AA21" s="43" t="n"/>
      <c r="AB21" s="43" t="n"/>
      <c r="AC21" s="43" t="n"/>
      <c r="AD21" s="43" t="n"/>
      <c r="AE21" s="43" t="n">
        <v>1</v>
      </c>
      <c r="AF21" s="38">
        <f>IF((W21-SUM(Y21:AE21))&lt;0,0,W21-SUM(Y21:AE21))</f>
        <v/>
      </c>
      <c r="AG21" s="34">
        <f>MAX(0,$AT21-$W21-$AI21)</f>
        <v/>
      </c>
      <c r="AH21" s="34" t="n"/>
      <c r="AI21" s="34" t="n"/>
      <c r="AJ21" s="36" t="n">
        <v>0.31</v>
      </c>
      <c r="AK21" s="36">
        <f>IF(AND($AG21&gt;0,ISNUMBER($AJ21)),$AG21*$AJ21,0)</f>
        <v/>
      </c>
      <c r="AO21" s="58" t="n"/>
      <c r="AT21" s="37">
        <f>SUM(AU21:BA21)</f>
        <v/>
      </c>
      <c r="AU21" s="73" t="n"/>
      <c r="AV21" s="33" t="n"/>
      <c r="AW21" s="33" t="n"/>
      <c r="AX21" s="33" t="n"/>
      <c r="AY21" s="33" t="n"/>
      <c r="AZ21" s="33" t="n"/>
      <c r="BA21" s="79" t="n"/>
      <c r="BB21" s="106" t="n"/>
      <c r="BC21" s="42" t="n"/>
      <c r="BD21" s="42" t="n"/>
    </row>
    <row r="22" ht="15" customHeight="1" s="148">
      <c r="A22" t="inlineStr">
        <is>
          <t>c0018</t>
        </is>
      </c>
      <c r="B22" s="44" t="inlineStr">
        <is>
          <t>Costly Plunder</t>
        </is>
      </c>
      <c r="C22" s="34" t="inlineStr">
        <is>
          <t>B</t>
        </is>
      </c>
      <c r="D22" s="44" t="inlineStr">
        <is>
          <t>Instant</t>
        </is>
      </c>
      <c r="E22" s="41" t="inlineStr">
        <is>
          <t>B2</t>
        </is>
      </c>
      <c r="F22" s="34" t="n">
        <v>2</v>
      </c>
      <c r="G22" s="67" t="inlineStr">
        <is>
          <t>As an additional cost to cast this spell, sacrifice an artifact or creature.
Draw two cards.</t>
        </is>
      </c>
      <c r="H22" s="45" t="inlineStr">
        <is>
          <t>Sacrifice Outlet</t>
        </is>
      </c>
      <c r="I22" s="45" t="inlineStr">
        <is>
          <t>Sacrifice an artifact or creature to draw two cards</t>
        </is>
      </c>
      <c r="J22" s="45" t="n"/>
      <c r="K22" s="45" t="n"/>
      <c r="L22" s="42" t="n"/>
      <c r="M22" s="42" t="n"/>
      <c r="N22" s="42" t="n"/>
      <c r="O22" s="42" t="n"/>
      <c r="P22" s="42" t="n">
        <v>0.26</v>
      </c>
      <c r="Q22" s="42" t="n"/>
      <c r="R22" s="42" t="n"/>
      <c r="S22" s="42" t="n"/>
      <c r="T22" s="42" t="n"/>
      <c r="U22" s="42" t="n"/>
      <c r="V22" s="45" t="inlineStr">
        <is>
          <t>Ixalan</t>
        </is>
      </c>
      <c r="W22" s="41" t="n">
        <v>0</v>
      </c>
      <c r="X22" s="37">
        <f>SUM(Y22:AE22)</f>
        <v/>
      </c>
      <c r="Y22" s="43" t="n"/>
      <c r="Z22" s="43" t="n"/>
      <c r="AA22" s="43" t="n"/>
      <c r="AB22" s="43" t="n"/>
      <c r="AC22" s="43" t="n"/>
      <c r="AD22" s="43" t="n"/>
      <c r="AE22" s="43" t="n"/>
      <c r="AF22" s="38">
        <f>IF((W22-SUM(Y22:AE22))&lt;0,0,W22-SUM(Y22:AE22))</f>
        <v/>
      </c>
      <c r="AG22" s="34">
        <f>MAX(0,$AT22-$W22-$AI22)</f>
        <v/>
      </c>
      <c r="AH22" s="34" t="n"/>
      <c r="AI22" s="34" t="n"/>
      <c r="AJ22" s="36" t="n">
        <v>0.24</v>
      </c>
      <c r="AK22" s="36">
        <f>IF(AND($AG22&gt;0,ISNUMBER($AJ22)),$AG22*$AJ22,0)</f>
        <v/>
      </c>
      <c r="AL22" s="54" t="n"/>
      <c r="AM22" s="54" t="n"/>
      <c r="AN22" s="54" t="n"/>
      <c r="AO22" s="54" t="n"/>
      <c r="AP22" s="54" t="n"/>
      <c r="AQ22" s="54" t="n"/>
      <c r="AR22" s="54" t="n"/>
      <c r="AS22" s="54" t="n"/>
      <c r="AT22" s="37">
        <f>SUM(AU22:BA22)</f>
        <v/>
      </c>
      <c r="AU22" s="92" t="n"/>
      <c r="AV22" s="38" t="n"/>
      <c r="AW22" s="38" t="n"/>
      <c r="AX22" s="38" t="n"/>
      <c r="AY22" s="38" t="n"/>
      <c r="AZ22" s="38" t="n"/>
      <c r="BA22" s="94" t="n"/>
      <c r="BB22" s="106" t="n"/>
      <c r="BC22" s="42" t="n"/>
      <c r="BD22" s="42" t="n"/>
    </row>
    <row r="23" ht="15" customHeight="1" s="148">
      <c r="A23" t="inlineStr">
        <is>
          <t>c0019</t>
        </is>
      </c>
      <c r="B23" s="30" t="inlineStr">
        <is>
          <t>Crude Bent Blade</t>
        </is>
      </c>
      <c r="C23" s="31" t="inlineStr">
        <is>
          <t>B</t>
        </is>
      </c>
      <c r="D23" s="30" t="inlineStr">
        <is>
          <t>Artifact</t>
        </is>
      </c>
      <c r="E23" s="33" t="inlineStr">
        <is>
          <t>B2</t>
        </is>
      </c>
      <c r="F23" s="31" t="n">
        <v>3</v>
      </c>
      <c r="G23" s="67" t="inlineStr">
        <is>
          <t>When this Equipment enters, target opponent sacrifices a creature of their choice.
Equipped creature gets +2/+1.
Equip {2} ({2}: Attach to target creature you control. Equip only as a sorcery.)</t>
        </is>
      </c>
      <c r="H23" s="30" t="inlineStr">
        <is>
          <t>Removal</t>
        </is>
      </c>
      <c r="I23" s="30" t="inlineStr">
        <is>
          <t>Enters: target opponent sacrifices a creature of their choice</t>
        </is>
      </c>
      <c r="J23" s="30" t="inlineStr">
        <is>
          <t>Equipped creature gets +2/+1</t>
        </is>
      </c>
      <c r="K23" s="30" t="inlineStr">
        <is>
          <t>Equip {2}</t>
        </is>
      </c>
      <c r="L23" s="32" t="inlineStr">
        <is>
          <t>63</t>
        </is>
      </c>
      <c r="M23" s="32" t="n">
        <v>1</v>
      </c>
      <c r="N23" s="32" t="n">
        <v>0</v>
      </c>
      <c r="O23" s="63" t="n"/>
      <c r="P23" s="63" t="n">
        <v>0.15</v>
      </c>
      <c r="Q23" s="32" t="inlineStr">
        <is>
          <t>Common</t>
        </is>
      </c>
      <c r="R23" s="32" t="n"/>
      <c r="S23" s="32" t="n"/>
      <c r="T23" s="63" t="n"/>
      <c r="U23" s="63" t="n"/>
      <c r="V23" s="30" t="inlineStr">
        <is>
          <t>The Hobbit</t>
        </is>
      </c>
      <c r="W23" s="41" t="n">
        <v>1</v>
      </c>
      <c r="X23" s="37">
        <f>SUM(Y23:AE23)</f>
        <v/>
      </c>
      <c r="Y23" s="43" t="n"/>
      <c r="Z23" s="43" t="n"/>
      <c r="AA23" s="43" t="n"/>
      <c r="AB23" s="43" t="n"/>
      <c r="AC23" s="43" t="n"/>
      <c r="AD23" s="43" t="n"/>
      <c r="AE23" s="43" t="n">
        <v>1</v>
      </c>
      <c r="AF23" s="38">
        <f>IF((W23-SUM(Y23:AE23))&lt;0,0,W23-SUM(Y23:AE23))</f>
        <v/>
      </c>
      <c r="AG23" s="34">
        <f>MAX(0,$AT23-$W23-$AI23)</f>
        <v/>
      </c>
      <c r="AH23" s="30" t="n"/>
      <c r="AI23" s="30" t="n"/>
      <c r="AJ23" s="35" t="n">
        <v>0.15</v>
      </c>
      <c r="AK23" s="36">
        <f>IF(AND($AG23&gt;0,ISNUMBER($AJ23)),$AG23*$AJ23,0)</f>
        <v/>
      </c>
      <c r="AR23" s="58" t="inlineStr">
        <is>
          <t>BL0062</t>
        </is>
      </c>
      <c r="AT23" s="37">
        <f>SUM(AU23:BA23)</f>
        <v/>
      </c>
      <c r="AU23" s="73" t="n"/>
      <c r="AV23" s="33" t="n"/>
      <c r="AW23" s="33" t="n"/>
      <c r="AX23" s="33" t="n"/>
      <c r="AY23" s="33" t="n"/>
      <c r="AZ23" s="33" t="n"/>
      <c r="BA23" s="79" t="n"/>
      <c r="BB23" s="108" t="n"/>
      <c r="BC23" s="32" t="n"/>
      <c r="BD23" s="97" t="n"/>
    </row>
    <row r="24" ht="15" customHeight="1" s="148">
      <c r="A24" t="inlineStr">
        <is>
          <t>c0020</t>
        </is>
      </c>
      <c r="B24" s="44" t="inlineStr">
        <is>
          <t>Dai Li Indoctrination</t>
        </is>
      </c>
      <c r="C24" s="34" t="inlineStr">
        <is>
          <t>B</t>
        </is>
      </c>
      <c r="D24" s="44" t="inlineStr">
        <is>
          <t>Sorcery</t>
        </is>
      </c>
      <c r="E24" s="41" t="inlineStr">
        <is>
          <t>B2</t>
        </is>
      </c>
      <c r="F24" s="34" t="n">
        <v>2</v>
      </c>
      <c r="G24" s="67" t="inlineStr">
        <is>
          <t>Choose one —
• Target opponent reveals their hand. You choose a nonland permanent card from it. That player discards that card.
• Earthbend 2. (Target land you control becomes a 0/0 creature with haste that's still a land. Put two +1/+1 counters on it. When it dies or is exiled, return it to the battlefield tapped.)</t>
        </is>
      </c>
      <c r="H24" s="45" t="inlineStr">
        <is>
          <t>Discard/Looting</t>
        </is>
      </c>
      <c r="I24" s="45" t="inlineStr">
        <is>
          <t>Opponent reveals hand; you choose a nonland permanent card for them to discard</t>
        </is>
      </c>
      <c r="J24" s="45" t="inlineStr">
        <is>
          <t>Or target land becomes a 0/0 hasty creature with two +1/+1 counters</t>
        </is>
      </c>
      <c r="K24" s="45" t="n"/>
      <c r="L24" s="42" t="n"/>
      <c r="M24" s="42" t="n"/>
      <c r="N24" s="42" t="n"/>
      <c r="O24" s="63" t="n"/>
      <c r="P24" s="63" t="n">
        <v>0.19</v>
      </c>
      <c r="Q24" s="42" t="n"/>
      <c r="R24" s="42" t="n"/>
      <c r="S24" s="42" t="n"/>
      <c r="T24" s="63" t="n"/>
      <c r="U24" s="63" t="n"/>
      <c r="V24" s="45" t="inlineStr">
        <is>
          <t>Avatar: The Last Airbender</t>
        </is>
      </c>
      <c r="W24" s="41" t="n">
        <v>1</v>
      </c>
      <c r="X24" s="37">
        <f>SUM(Y24:AE24)</f>
        <v/>
      </c>
      <c r="Y24" s="43" t="n"/>
      <c r="Z24" s="43" t="n"/>
      <c r="AA24" s="43" t="n"/>
      <c r="AB24" s="43" t="n"/>
      <c r="AC24" s="43" t="n"/>
      <c r="AD24" s="43" t="n"/>
      <c r="AE24" s="43" t="n"/>
      <c r="AF24" s="38">
        <f>IF((W24-SUM(Y24:AE24))&lt;0,0,W24-SUM(Y24:AE24))</f>
        <v/>
      </c>
      <c r="AG24" s="34">
        <f>MAX(0,$AT24-$W24-$AI24)</f>
        <v/>
      </c>
      <c r="AH24" s="34" t="n"/>
      <c r="AI24" s="34" t="n"/>
      <c r="AJ24" s="36" t="n">
        <v>0.12</v>
      </c>
      <c r="AK24" s="36">
        <f>IF(AND($AG24&gt;0,ISNUMBER($AJ24)),$AG24*$AJ24,0)</f>
        <v/>
      </c>
      <c r="AT24" s="37">
        <f>SUM(AU24:BA24)</f>
        <v/>
      </c>
      <c r="AU24" s="73" t="n"/>
      <c r="AV24" s="33" t="n"/>
      <c r="AW24" s="33" t="n"/>
      <c r="AX24" s="33" t="n"/>
      <c r="AY24" s="33" t="n"/>
      <c r="AZ24" s="33" t="n"/>
      <c r="BA24" s="74" t="n"/>
      <c r="BB24" s="106" t="n"/>
      <c r="BC24" s="42" t="n"/>
      <c r="BD24" s="42" t="n"/>
    </row>
    <row r="25" ht="15" customHeight="1" s="148">
      <c r="A25" t="inlineStr">
        <is>
          <t>c0021</t>
        </is>
      </c>
      <c r="B25" s="44" t="inlineStr">
        <is>
          <t>Day of Black Sun</t>
        </is>
      </c>
      <c r="C25" s="34" t="inlineStr">
        <is>
          <t>B</t>
        </is>
      </c>
      <c r="D25" s="44" t="inlineStr">
        <is>
          <t>Sorcery</t>
        </is>
      </c>
      <c r="E25" s="41" t="inlineStr">
        <is>
          <t>B2</t>
        </is>
      </c>
      <c r="F25" s="34" t="n">
        <v>2</v>
      </c>
      <c r="G25" s="67" t="inlineStr">
        <is>
          <t>Each creature with mana value X or less loses all abilities until end of turn. Destroy those creatures.</t>
        </is>
      </c>
      <c r="H25" s="45" t="inlineStr">
        <is>
          <t>Board Wipe</t>
        </is>
      </c>
      <c r="I25" s="45" t="inlineStr">
        <is>
          <t>Creatures with mana value X or less lose all abilities and are destroyed</t>
        </is>
      </c>
      <c r="J25" s="45" t="n"/>
      <c r="K25" s="45" t="n"/>
      <c r="L25" s="42" t="n"/>
      <c r="M25" s="42" t="n"/>
      <c r="N25" s="42" t="n"/>
      <c r="O25" s="63" t="n"/>
      <c r="P25" s="63" t="n">
        <v>1.38</v>
      </c>
      <c r="Q25" s="42" t="n"/>
      <c r="R25" s="42" t="n"/>
      <c r="S25" s="42" t="n"/>
      <c r="T25" s="63" t="n"/>
      <c r="U25" s="63" t="n"/>
      <c r="V25" s="45" t="inlineStr">
        <is>
          <t>Avatar: The Last Airbender</t>
        </is>
      </c>
      <c r="W25" s="41" t="n">
        <v>1</v>
      </c>
      <c r="X25" s="37">
        <f>SUM(Y25:AE25)</f>
        <v/>
      </c>
      <c r="Y25" s="43" t="n"/>
      <c r="Z25" s="43" t="n"/>
      <c r="AA25" s="43" t="n"/>
      <c r="AB25" s="43" t="n"/>
      <c r="AC25" s="43" t="n"/>
      <c r="AD25" s="43" t="n"/>
      <c r="AE25" s="43" t="n">
        <v>1</v>
      </c>
      <c r="AF25" s="38">
        <f>IF((W25-SUM(Y25:AE25))&lt;0,0,W25-SUM(Y25:AE25))</f>
        <v/>
      </c>
      <c r="AG25" s="34">
        <f>MAX(0,$AT25-$W25-$AI25)</f>
        <v/>
      </c>
      <c r="AH25" s="34" t="n"/>
      <c r="AI25" s="34" t="n"/>
      <c r="AJ25" s="36" t="n">
        <v>1.03</v>
      </c>
      <c r="AK25" s="36">
        <f>IF(AND($AG25&gt;0,ISNUMBER($AJ25)),$AG25*$AJ25,0)</f>
        <v/>
      </c>
      <c r="AT25" s="37">
        <f>SUM(AU25:BA25)</f>
        <v/>
      </c>
      <c r="AU25" s="73" t="n"/>
      <c r="AV25" s="33" t="n"/>
      <c r="AW25" s="33" t="n"/>
      <c r="AX25" s="33" t="n"/>
      <c r="AY25" s="33" t="n"/>
      <c r="AZ25" s="33" t="n"/>
      <c r="BA25" s="80" t="n">
        <v>1</v>
      </c>
      <c r="BB25" s="106" t="n"/>
      <c r="BC25" s="42" t="n"/>
      <c r="BD25" s="42" t="n"/>
    </row>
    <row r="26" ht="15" customHeight="1" s="148">
      <c r="A26" t="inlineStr">
        <is>
          <t>c0022</t>
        </is>
      </c>
      <c r="B26" s="44" t="inlineStr">
        <is>
          <t>Deadly Dispute</t>
        </is>
      </c>
      <c r="C26" s="34" t="inlineStr">
        <is>
          <t>B</t>
        </is>
      </c>
      <c r="D26" s="44" t="inlineStr">
        <is>
          <t>Instant</t>
        </is>
      </c>
      <c r="E26" s="41" t="inlineStr">
        <is>
          <t>B2</t>
        </is>
      </c>
      <c r="F26" s="34" t="n">
        <v>2</v>
      </c>
      <c r="G26" s="67" t="inlineStr">
        <is>
          <t>As an additional cost to cast this spell, sacrifice an artifact or creature.
Draw two cards and create a Treasure token. (It's an artifact with "{T}, Sacrifice this token: Add one mana of any color.")</t>
        </is>
      </c>
      <c r="H26" s="45" t="inlineStr">
        <is>
          <t>Sacrifice Outlet</t>
        </is>
      </c>
      <c r="I26" s="45" t="inlineStr">
        <is>
          <t>Sacrifice an artifact or creature to draw two cards and make a Treasure token</t>
        </is>
      </c>
      <c r="J26" s="45" t="n"/>
      <c r="K26" s="45" t="n"/>
      <c r="L26" s="42" t="n"/>
      <c r="M26" s="42" t="n"/>
      <c r="N26" s="42" t="n"/>
      <c r="O26" s="42" t="n"/>
      <c r="P26" s="42" t="n">
        <v>0.32</v>
      </c>
      <c r="Q26" s="42" t="n"/>
      <c r="R26" s="42" t="n"/>
      <c r="S26" s="42" t="n"/>
      <c r="T26" s="42" t="n"/>
      <c r="U26" s="42" t="n"/>
      <c r="V26" s="45" t="inlineStr">
        <is>
          <t>Adventures in the Forgotten Realms</t>
        </is>
      </c>
      <c r="W26" s="41" t="n">
        <v>1</v>
      </c>
      <c r="X26" s="37">
        <f>SUM(Y26:AE26)</f>
        <v/>
      </c>
      <c r="Y26" s="43" t="n"/>
      <c r="Z26" s="43" t="n"/>
      <c r="AA26" s="43" t="n"/>
      <c r="AB26" s="43" t="n"/>
      <c r="AC26" s="43" t="n">
        <v>1</v>
      </c>
      <c r="AD26" s="43" t="n"/>
      <c r="AE26" s="43" t="n"/>
      <c r="AF26" s="38">
        <f>IF((W26-SUM(Y26:AE26))&lt;0,0,W26-SUM(Y26:AE26))</f>
        <v/>
      </c>
      <c r="AG26" s="34">
        <f>MAX(0,$AT26-$W26-$AI26)</f>
        <v/>
      </c>
      <c r="AH26" s="34" t="n"/>
      <c r="AI26" s="34" t="n"/>
      <c r="AJ26" s="36" t="n">
        <v>0.26</v>
      </c>
      <c r="AK26" s="36">
        <f>IF(AND($AG26&gt;0,ISNUMBER($AJ26)),$AG26*$AJ26,0)</f>
        <v/>
      </c>
      <c r="AP26" s="58" t="n"/>
      <c r="AT26" s="37">
        <f>SUM(AU26:BA26)</f>
        <v/>
      </c>
      <c r="AU26" s="73" t="n"/>
      <c r="AV26" s="33" t="n"/>
      <c r="AW26" s="33" t="n"/>
      <c r="AX26" s="33" t="n"/>
      <c r="AY26" s="99" t="n"/>
      <c r="AZ26" s="33" t="n"/>
      <c r="BA26" s="74" t="n"/>
      <c r="BB26" s="106" t="n"/>
      <c r="BC26" s="42" t="n"/>
      <c r="BD26" s="42" t="n"/>
    </row>
    <row r="27" ht="15" customHeight="1" s="148">
      <c r="A27" t="inlineStr">
        <is>
          <t>c0023</t>
        </is>
      </c>
      <c r="B27" s="44" t="inlineStr">
        <is>
          <t>Desmond Miles</t>
        </is>
      </c>
      <c r="C27" s="34" t="inlineStr">
        <is>
          <t>B</t>
        </is>
      </c>
      <c r="D27" s="44" t="inlineStr">
        <is>
          <t>Legendary Creature</t>
        </is>
      </c>
      <c r="E27" s="41" t="inlineStr">
        <is>
          <t>B2</t>
        </is>
      </c>
      <c r="F27" s="34" t="n">
        <v>2</v>
      </c>
      <c r="G27" s="67" t="inlineStr">
        <is>
          <t>Menace
Desmond Miles gets +1/+0 for each other Assassin you control and each Assassin card in your graveyard.
Whenever Desmond Miles deals combat damage to a player, surveil X, where X is the amount of damage it dealt to that player.
(1/3)</t>
        </is>
      </c>
      <c r="H27" s="45" t="inlineStr">
        <is>
          <t>Utility Creature</t>
        </is>
      </c>
      <c r="I27" s="45" t="inlineStr">
        <is>
          <t>Gets +1/+0 for each other Assassin you control or in your graveyard</t>
        </is>
      </c>
      <c r="J27" s="45" t="inlineStr">
        <is>
          <t>Combat damage to a player lets you look at and rearrange cards off the top of your library</t>
        </is>
      </c>
      <c r="K27" s="45" t="n"/>
      <c r="L27" s="42" t="n"/>
      <c r="M27" s="42" t="n"/>
      <c r="N27" s="42" t="n"/>
      <c r="O27" s="63" t="n"/>
      <c r="P27" s="63" t="n">
        <v>0.38</v>
      </c>
      <c r="Q27" s="42" t="n"/>
      <c r="R27" s="42" t="n"/>
      <c r="S27" s="42" t="n"/>
      <c r="T27" s="63" t="n"/>
      <c r="U27" s="63" t="n"/>
      <c r="V27" s="45" t="inlineStr">
        <is>
          <t>Assassin's Creed</t>
        </is>
      </c>
      <c r="W27" s="41" t="n">
        <v>1</v>
      </c>
      <c r="X27" s="37">
        <f>SUM(Y27:AE27)</f>
        <v/>
      </c>
      <c r="Y27" s="43" t="n"/>
      <c r="Z27" s="43" t="n"/>
      <c r="AA27" s="43" t="n"/>
      <c r="AB27" s="43" t="n"/>
      <c r="AC27" s="43" t="n"/>
      <c r="AD27" s="43" t="n"/>
      <c r="AE27" s="43" t="n"/>
      <c r="AF27" s="38">
        <f>IF((W27-SUM(Y27:AE27))&lt;0,0,W27-SUM(Y27:AE27))</f>
        <v/>
      </c>
      <c r="AG27" s="34">
        <f>MAX(0,$AT27-$W27-$AI27)</f>
        <v/>
      </c>
      <c r="AH27" s="34" t="n"/>
      <c r="AI27" s="34" t="n"/>
      <c r="AJ27" s="36" t="n">
        <v>0.42</v>
      </c>
      <c r="AK27" s="36">
        <f>IF(AND($AG27&gt;0,ISNUMBER($AJ27)),$AG27*$AJ27,0)</f>
        <v/>
      </c>
      <c r="AT27" s="37">
        <f>SUM(AU27:BA27)</f>
        <v/>
      </c>
      <c r="AU27" s="73" t="n"/>
      <c r="AV27" s="33" t="n"/>
      <c r="AW27" s="33" t="n"/>
      <c r="AX27" s="33" t="n"/>
      <c r="AY27" s="33" t="n"/>
      <c r="AZ27" s="33" t="n"/>
      <c r="BA27" s="74" t="n"/>
      <c r="BB27" s="106" t="n"/>
      <c r="BC27" s="42" t="n"/>
      <c r="BD27" s="42" t="n"/>
    </row>
    <row r="28" ht="15" customHeight="1" s="148">
      <c r="A28" t="inlineStr">
        <is>
          <t>c0024</t>
        </is>
      </c>
      <c r="B28" s="44" t="inlineStr">
        <is>
          <t>Diabolic Tutor</t>
        </is>
      </c>
      <c r="C28" s="34" t="inlineStr">
        <is>
          <t>B</t>
        </is>
      </c>
      <c r="D28" s="44" t="inlineStr">
        <is>
          <t>Sorcery</t>
        </is>
      </c>
      <c r="E28" s="41" t="inlineStr">
        <is>
          <t>B3</t>
        </is>
      </c>
      <c r="F28" s="34" t="n">
        <v>4</v>
      </c>
      <c r="G28" s="67" t="inlineStr">
        <is>
          <t>Search your library for a card, put that card into your hand, then shuffle.</t>
        </is>
      </c>
      <c r="H28" s="45" t="inlineStr">
        <is>
          <t>Value Engine</t>
        </is>
      </c>
      <c r="I28" s="45" t="inlineStr">
        <is>
          <t>Search your library for a card, put that card into your hand, then shuffle</t>
        </is>
      </c>
      <c r="J28" s="45" t="n"/>
      <c r="K28" s="45" t="n"/>
      <c r="L28" s="42" t="n"/>
      <c r="M28" s="42" t="n"/>
      <c r="N28" s="42" t="n"/>
      <c r="O28" s="42" t="n"/>
      <c r="P28" s="42" t="n"/>
      <c r="Q28" s="42" t="n"/>
      <c r="R28" s="42" t="n"/>
      <c r="S28" s="42" t="n"/>
      <c r="T28" s="42" t="n"/>
      <c r="U28" s="42" t="n"/>
      <c r="V28" s="45" t="inlineStr">
        <is>
          <t>Odyssey</t>
        </is>
      </c>
      <c r="W28" s="41" t="n">
        <v>0</v>
      </c>
      <c r="X28" s="37">
        <f>SUM(Y28:AE28)</f>
        <v/>
      </c>
      <c r="Y28" s="43" t="n"/>
      <c r="Z28" s="43" t="n"/>
      <c r="AA28" s="43" t="n"/>
      <c r="AB28" s="43" t="n"/>
      <c r="AC28" s="43" t="n"/>
      <c r="AD28" s="43" t="n"/>
      <c r="AE28" s="43" t="n"/>
      <c r="AF28" s="38">
        <f>IF((W28-SUM(Y28:AE28))&lt;0,0,W28-SUM(Y28:AE28))</f>
        <v/>
      </c>
      <c r="AG28" s="34">
        <f>MAX(0,$AT28-$W28-$AI28)</f>
        <v/>
      </c>
      <c r="AH28" s="34" t="n"/>
      <c r="AI28" s="34" t="n"/>
      <c r="AJ28" s="36" t="n">
        <v>1.1</v>
      </c>
      <c r="AK28" s="36">
        <f>IF(AND($AG28&gt;0,ISNUMBER($AJ28)),$AG28*$AJ28,0)</f>
        <v/>
      </c>
      <c r="AL28" s="54" t="n"/>
      <c r="AM28" s="54" t="n"/>
      <c r="AN28" s="54" t="n"/>
      <c r="AO28" s="54" t="n"/>
      <c r="AP28" s="54" t="n"/>
      <c r="AQ28" s="54" t="n"/>
      <c r="AR28" s="54" t="n"/>
      <c r="AS28" s="54" t="n"/>
      <c r="AT28" s="37">
        <f>SUM(AU28:BA28)</f>
        <v/>
      </c>
      <c r="AU28" s="92" t="n"/>
      <c r="AV28" s="38" t="n"/>
      <c r="AW28" s="38" t="n"/>
      <c r="AX28" s="38" t="n"/>
      <c r="AY28" s="38" t="n"/>
      <c r="AZ28" s="38" t="n"/>
      <c r="BA28" s="94" t="n"/>
      <c r="BB28" s="106" t="n"/>
      <c r="BC28" s="42" t="n"/>
      <c r="BD28" s="42" t="n"/>
    </row>
    <row r="29" ht="15" customHeight="1" s="148">
      <c r="A29" t="inlineStr">
        <is>
          <t>c0025</t>
        </is>
      </c>
      <c r="B29" s="44" t="inlineStr">
        <is>
          <t>Dictate of Erebos</t>
        </is>
      </c>
      <c r="C29" s="34" t="inlineStr">
        <is>
          <t>B</t>
        </is>
      </c>
      <c r="D29" s="44" t="inlineStr">
        <is>
          <t>Enchantment</t>
        </is>
      </c>
      <c r="E29" s="41" t="inlineStr">
        <is>
          <t>B3</t>
        </is>
      </c>
      <c r="F29" s="34" t="n">
        <v>5</v>
      </c>
      <c r="G29" s="67" t="inlineStr">
        <is>
          <t>Flash
Whenever a creature you control dies, each opponent sacrifices a creature of their choice.</t>
        </is>
      </c>
      <c r="H29" s="45" t="inlineStr">
        <is>
          <t>Removal</t>
        </is>
      </c>
      <c r="I29" s="45" t="inlineStr">
        <is>
          <t>Flash
Whenever a creature you control dies, each opponent sacrifices a creature of their choice.</t>
        </is>
      </c>
      <c r="J29" s="45" t="n"/>
      <c r="K29" s="45" t="n"/>
      <c r="L29" s="42" t="n"/>
      <c r="M29" s="42" t="n"/>
      <c r="N29" s="42" t="n"/>
      <c r="O29" s="42" t="n"/>
      <c r="P29" s="42" t="n">
        <v>15.32</v>
      </c>
      <c r="Q29" s="42" t="n"/>
      <c r="R29" s="42" t="n"/>
      <c r="S29" s="42" t="n"/>
      <c r="T29" s="42" t="n"/>
      <c r="U29" s="42" t="n"/>
      <c r="V29" s="45" t="inlineStr">
        <is>
          <t>Journey into Nyx</t>
        </is>
      </c>
      <c r="W29" s="41" t="n">
        <v>0</v>
      </c>
      <c r="X29" s="37">
        <f>SUM(Y29:AE29)</f>
        <v/>
      </c>
      <c r="Y29" s="43" t="n"/>
      <c r="Z29" s="43" t="n"/>
      <c r="AA29" s="43" t="n"/>
      <c r="AB29" s="43" t="n"/>
      <c r="AC29" s="43" t="n"/>
      <c r="AD29" s="43" t="n"/>
      <c r="AE29" s="43" t="n"/>
      <c r="AF29" s="38">
        <f>IF((W29-SUM(Y29:AE29))&lt;0,0,W29-SUM(Y29:AE29))</f>
        <v/>
      </c>
      <c r="AG29" s="34">
        <f>MAX(0,$AT29-$W29-$AI29)</f>
        <v/>
      </c>
      <c r="AH29" s="34" t="n"/>
      <c r="AI29" s="34" t="n"/>
      <c r="AJ29" s="36" t="n">
        <v>15.62</v>
      </c>
      <c r="AK29" s="36">
        <f>IF(AND($AG29&gt;0,ISNUMBER($AJ29)),$AG29*$AJ29,0)</f>
        <v/>
      </c>
      <c r="AL29" s="54" t="n"/>
      <c r="AM29" s="54" t="n"/>
      <c r="AN29" s="54" t="n"/>
      <c r="AO29" s="54" t="n"/>
      <c r="AP29" s="54" t="n"/>
      <c r="AQ29" s="54" t="n"/>
      <c r="AR29" s="54" t="n"/>
      <c r="AS29" s="54" t="n"/>
      <c r="AT29" s="37">
        <f>SUM(AU29:BA29)</f>
        <v/>
      </c>
      <c r="AU29" s="92" t="n"/>
      <c r="AV29" s="38" t="n"/>
      <c r="AW29" s="38" t="n"/>
      <c r="AX29" s="38" t="n"/>
      <c r="AY29" s="38" t="n"/>
      <c r="AZ29" s="38" t="n"/>
      <c r="BA29" s="94" t="n"/>
      <c r="BB29" s="106" t="n"/>
      <c r="BC29" s="42" t="n"/>
      <c r="BD29" s="42" t="n"/>
    </row>
    <row r="30" ht="15" customHeight="1" s="148">
      <c r="A30" t="inlineStr">
        <is>
          <t>c0026</t>
        </is>
      </c>
      <c r="B30" s="39" t="inlineStr">
        <is>
          <t>Dreaded Bat-Cloud</t>
        </is>
      </c>
      <c r="C30" s="40" t="inlineStr">
        <is>
          <t>B</t>
        </is>
      </c>
      <c r="D30" s="39" t="inlineStr">
        <is>
          <t>Creature</t>
        </is>
      </c>
      <c r="E30" s="41" t="inlineStr">
        <is>
          <t>B2</t>
        </is>
      </c>
      <c r="F30" s="40" t="n">
        <v>5</v>
      </c>
      <c r="G30" s="67" t="inlineStr">
        <is>
          <t>This spell costs {3} less to cast if a creature died this turn.
Flying, deathtouch
(4/2)</t>
        </is>
      </c>
      <c r="H30" s="39" t="inlineStr">
        <is>
          <t>Utility Creature</t>
        </is>
      </c>
      <c r="I30" s="39" t="inlineStr">
        <is>
          <t>Flying, deathtouch</t>
        </is>
      </c>
      <c r="J30" s="39" t="inlineStr">
        <is>
          <t>Costs {3} less to cast if a creature died this turn</t>
        </is>
      </c>
      <c r="K30" s="39" t="n"/>
      <c r="L30" s="88" t="inlineStr">
        <is>
          <t>66</t>
        </is>
      </c>
      <c r="M30" s="41" t="n">
        <v>1</v>
      </c>
      <c r="N30" s="41" t="n">
        <v>0</v>
      </c>
      <c r="O30" s="63" t="inlineStr">
        <is>
          <t>Andreia Ugrai</t>
        </is>
      </c>
      <c r="P30" s="90" t="n">
        <v>0.22</v>
      </c>
      <c r="Q30" s="88" t="inlineStr">
        <is>
          <t>Uncommon</t>
        </is>
      </c>
      <c r="R30" s="41" t="n">
        <v>1</v>
      </c>
      <c r="S30" s="41" t="n">
        <v>1</v>
      </c>
      <c r="T30" s="63" t="inlineStr">
        <is>
          <t>Andreia Ugrai</t>
        </is>
      </c>
      <c r="U30" s="91" t="n">
        <v>0.28</v>
      </c>
      <c r="V30" s="39" t="inlineStr">
        <is>
          <t>The Hobbit</t>
        </is>
      </c>
      <c r="W30" s="41" t="n">
        <v>2</v>
      </c>
      <c r="X30" s="37">
        <f>SUM(Y30:AE30)</f>
        <v/>
      </c>
      <c r="Y30" s="43" t="n"/>
      <c r="Z30" s="43" t="n"/>
      <c r="AA30" s="43" t="n"/>
      <c r="AB30" s="43" t="n"/>
      <c r="AC30" s="43" t="n"/>
      <c r="AD30" s="43" t="n"/>
      <c r="AE30" s="43" t="n"/>
      <c r="AF30" s="38">
        <f>IF((W30-SUM(Y30:AE30))&lt;0,0,W30-SUM(Y30:AE30))</f>
        <v/>
      </c>
      <c r="AG30" s="34">
        <f>MAX(0,$AT30-$W30-$AI30)</f>
        <v/>
      </c>
      <c r="AH30" s="39" t="n"/>
      <c r="AI30" s="39" t="n"/>
      <c r="AJ30" s="39" t="n">
        <v>1.05</v>
      </c>
      <c r="AK30" s="39">
        <f>IF(AND($AG30&gt;0,ISNUMBER($AJ30)),$AG30*$AJ30,0)</f>
        <v/>
      </c>
      <c r="AT30" s="37">
        <f>SUM(AU30:BA30)</f>
        <v/>
      </c>
      <c r="AU30" s="73" t="n"/>
      <c r="AV30" s="33" t="n"/>
      <c r="AW30" s="33" t="n"/>
      <c r="AX30" s="33" t="n"/>
      <c r="AY30" s="33" t="n"/>
      <c r="AZ30" s="33" t="n"/>
      <c r="BA30" s="74" t="n"/>
      <c r="BB30" s="107" t="n"/>
      <c r="BC30" s="42" t="n"/>
      <c r="BD30" s="42" t="n"/>
    </row>
    <row r="31" ht="15" customHeight="1" s="148">
      <c r="A31" t="inlineStr">
        <is>
          <t>c0027</t>
        </is>
      </c>
      <c r="B31" s="44" t="inlineStr">
        <is>
          <t>Dreadhorde Invasion</t>
        </is>
      </c>
      <c r="C31" s="34" t="inlineStr">
        <is>
          <t>B</t>
        </is>
      </c>
      <c r="D31" s="44" t="inlineStr">
        <is>
          <t>Enchantment</t>
        </is>
      </c>
      <c r="E31" s="41" t="inlineStr">
        <is>
          <t>B2</t>
        </is>
      </c>
      <c r="F31" s="34" t="n">
        <v>2</v>
      </c>
      <c r="G31" s="67" t="inlineStr">
        <is>
          <t>At the beginning of your upkeep, you lose 1 life and amass Zombies 1. (Put a +1/+1 counter on an Army you control. It's also a Zombie. If you don't control an Army, create a 0/0 black Zombie Army creature token first.)
Whenever a Zombie token you control with power 6 or greater attacks, it gains lifelink until end of turn.</t>
        </is>
      </c>
      <c r="H31" s="45" t="inlineStr">
        <is>
          <t>Token Producer</t>
        </is>
      </c>
      <c r="I31" s="45" t="inlineStr">
        <is>
          <t>Each upkeep, lose 1 life and put a counter on (or create) a Zombie Army token</t>
        </is>
      </c>
      <c r="J31" s="45" t="inlineStr">
        <is>
          <t>Big Zombie tokens gain lifelink when attacking</t>
        </is>
      </c>
      <c r="K31" s="45" t="n"/>
      <c r="L31" s="42" t="n"/>
      <c r="M31" s="42" t="n"/>
      <c r="N31" s="42" t="n"/>
      <c r="O31" s="42" t="n"/>
      <c r="P31" s="42" t="n">
        <v>1.01</v>
      </c>
      <c r="Q31" s="42" t="n"/>
      <c r="R31" s="42" t="n"/>
      <c r="S31" s="42" t="n"/>
      <c r="T31" s="42" t="n"/>
      <c r="U31" s="42" t="n"/>
      <c r="V31" s="45" t="inlineStr">
        <is>
          <t>War of the Spark</t>
        </is>
      </c>
      <c r="W31" s="41" t="n">
        <v>1</v>
      </c>
      <c r="X31" s="37">
        <f>SUM(Y31:AE31)</f>
        <v/>
      </c>
      <c r="Y31" s="43" t="n"/>
      <c r="Z31" s="43" t="n"/>
      <c r="AA31" s="43" t="n"/>
      <c r="AB31" s="43" t="n"/>
      <c r="AC31" s="43" t="n">
        <v>1</v>
      </c>
      <c r="AD31" s="43" t="n"/>
      <c r="AE31" s="43" t="n"/>
      <c r="AF31" s="38">
        <f>IF((W31-SUM(Y31:AE31))&lt;0,0,W31-SUM(Y31:AE31))</f>
        <v/>
      </c>
      <c r="AG31" s="34">
        <f>MAX(0,$AT31-$W31-$AI31)</f>
        <v/>
      </c>
      <c r="AH31" s="34" t="n"/>
      <c r="AI31" s="34" t="n"/>
      <c r="AJ31" s="36" t="n">
        <v>1.02</v>
      </c>
      <c r="AK31" s="36">
        <f>IF(AND($AG31&gt;0,ISNUMBER($AJ31)),$AG31*$AJ31,0)</f>
        <v/>
      </c>
      <c r="AP31" t="inlineStr">
        <is>
          <t>BL0058</t>
        </is>
      </c>
      <c r="AT31" s="37">
        <f>SUM(AU31:BA31)</f>
        <v/>
      </c>
      <c r="AU31" s="73" t="n"/>
      <c r="AV31" s="33" t="n"/>
      <c r="AW31" s="33" t="n"/>
      <c r="AX31" s="33" t="n"/>
      <c r="AY31" s="100" t="n"/>
      <c r="AZ31" s="33" t="n"/>
      <c r="BA31" s="74" t="n"/>
      <c r="BB31" s="106" t="n"/>
      <c r="BC31" s="42" t="n"/>
      <c r="BD31" s="42" t="n"/>
    </row>
    <row r="32" ht="15" customHeight="1" s="148">
      <c r="A32" t="inlineStr">
        <is>
          <t>c0028</t>
        </is>
      </c>
      <c r="B32" s="39" t="inlineStr">
        <is>
          <t>Exsanguinate</t>
        </is>
      </c>
      <c r="C32" s="40" t="inlineStr">
        <is>
          <t>B</t>
        </is>
      </c>
      <c r="D32" s="39" t="inlineStr">
        <is>
          <t>Sorcery</t>
        </is>
      </c>
      <c r="E32" s="41" t="inlineStr">
        <is>
          <t>B2</t>
        </is>
      </c>
      <c r="F32" s="40" t="n">
        <v>2</v>
      </c>
      <c r="G32" s="67" t="inlineStr">
        <is>
          <t>Each opponent loses X life. You gain life equal to the life lost this way.</t>
        </is>
      </c>
      <c r="H32" s="39" t="inlineStr">
        <is>
          <t>Drain Payoff</t>
        </is>
      </c>
      <c r="I32" s="39" t="inlineStr">
        <is>
          <t>Each opponent loses X life. You gain life equal to the life lost this way</t>
        </is>
      </c>
      <c r="J32" s="39" t="n"/>
      <c r="K32" s="39" t="n"/>
      <c r="L32" s="88" t="n"/>
      <c r="M32" s="41" t="n"/>
      <c r="N32" s="41" t="n"/>
      <c r="O32" s="63" t="n"/>
      <c r="P32" s="90" t="n"/>
      <c r="Q32" s="88" t="n"/>
      <c r="R32" s="41" t="n"/>
      <c r="S32" s="41" t="n"/>
      <c r="T32" s="63" t="n"/>
      <c r="U32" s="91" t="n"/>
      <c r="V32" s="39" t="inlineStr">
        <is>
          <t>Scars of Mirrodin</t>
        </is>
      </c>
      <c r="W32" s="41" t="n">
        <v>0</v>
      </c>
      <c r="X32" s="37">
        <f>SUM(Y32:AE32)</f>
        <v/>
      </c>
      <c r="Y32" s="43" t="n"/>
      <c r="Z32" s="43" t="n"/>
      <c r="AA32" s="43" t="n"/>
      <c r="AB32" s="43" t="n"/>
      <c r="AC32" s="43" t="n"/>
      <c r="AD32" s="43" t="n"/>
      <c r="AE32" s="43" t="n"/>
      <c r="AF32" s="38">
        <f>IF((W32-SUM(Y32:AE32))&lt;0,0,W32-SUM(Y32:AE32))</f>
        <v/>
      </c>
      <c r="AG32" s="34">
        <f>MAX(0,$AT32-$W32-$AI32)</f>
        <v/>
      </c>
      <c r="AH32" s="39" t="n"/>
      <c r="AI32" s="39" t="n"/>
      <c r="AJ32" s="39" t="n">
        <v>0.4</v>
      </c>
      <c r="AK32" s="39">
        <f>IF(AND($AG32&gt;0,ISNUMBER($AJ32)),$AG32*$AJ32,0)</f>
        <v/>
      </c>
      <c r="AT32" s="37">
        <f>SUM(AU32:BA32)</f>
        <v/>
      </c>
      <c r="AU32" s="73" t="n"/>
      <c r="AV32" s="33" t="n"/>
      <c r="AW32" s="33" t="n"/>
      <c r="AX32" s="33" t="n"/>
      <c r="AY32" s="33" t="n">
        <v>1</v>
      </c>
      <c r="AZ32" s="33" t="n"/>
      <c r="BA32" s="74" t="n"/>
      <c r="BB32" s="107" t="n"/>
      <c r="BC32" s="42" t="n"/>
      <c r="BD32" s="42" t="n"/>
    </row>
    <row r="33" ht="15" customHeight="1" s="148">
      <c r="A33" t="inlineStr">
        <is>
          <t>c0029</t>
        </is>
      </c>
      <c r="B33" s="44" t="inlineStr">
        <is>
          <t>Feed the Swarm</t>
        </is>
      </c>
      <c r="C33" s="34" t="inlineStr">
        <is>
          <t>B</t>
        </is>
      </c>
      <c r="D33" s="44" t="inlineStr">
        <is>
          <t>Sorcery</t>
        </is>
      </c>
      <c r="E33" s="41" t="inlineStr">
        <is>
          <t>B2</t>
        </is>
      </c>
      <c r="F33" s="34" t="n">
        <v>2</v>
      </c>
      <c r="G33" s="67" t="inlineStr">
        <is>
          <t>Destroy target creature or enchantment an opponent controls. You lose life equal to that permanent's mana value.</t>
        </is>
      </c>
      <c r="H33" s="45" t="inlineStr">
        <is>
          <t>Removal</t>
        </is>
      </c>
      <c r="I33" s="45" t="inlineStr">
        <is>
          <t>Destroy target creature or enchantment an opponent controls</t>
        </is>
      </c>
      <c r="J33" s="45" t="inlineStr">
        <is>
          <t>You lose life equal to that permanent's mana value</t>
        </is>
      </c>
      <c r="K33" s="45" t="n"/>
      <c r="L33" s="42" t="n"/>
      <c r="M33" s="42" t="n"/>
      <c r="N33" s="42" t="n"/>
      <c r="O33" s="42" t="n"/>
      <c r="P33" s="42" t="n">
        <v>0.21</v>
      </c>
      <c r="Q33" s="42" t="n"/>
      <c r="R33" s="42" t="n"/>
      <c r="S33" s="42" t="n"/>
      <c r="T33" s="42" t="n"/>
      <c r="U33" s="42" t="n"/>
      <c r="V33" s="45" t="inlineStr">
        <is>
          <t>Zendikar Rising</t>
        </is>
      </c>
      <c r="W33" s="41" t="n">
        <v>1</v>
      </c>
      <c r="X33" s="37">
        <f>SUM(Y33:AE33)</f>
        <v/>
      </c>
      <c r="Y33" s="43" t="n"/>
      <c r="Z33" s="43" t="n"/>
      <c r="AA33" s="43" t="n"/>
      <c r="AB33" s="43" t="n">
        <v>1</v>
      </c>
      <c r="AC33" s="43" t="n"/>
      <c r="AD33" s="43" t="n"/>
      <c r="AE33" s="43" t="n"/>
      <c r="AF33" s="38">
        <f>IF((W33-SUM(Y33:AE33))&lt;0,0,W33-SUM(Y33:AE33))</f>
        <v/>
      </c>
      <c r="AG33" s="34">
        <f>MAX(0,$AT33-$W33-$AI33)</f>
        <v/>
      </c>
      <c r="AH33" s="34" t="n"/>
      <c r="AI33" s="34" t="n"/>
      <c r="AJ33" s="36" t="n">
        <v>0.17</v>
      </c>
      <c r="AK33" s="36">
        <f>IF(AND($AG33&gt;0,ISNUMBER($AJ33)),$AG33*$AJ33,0)</f>
        <v/>
      </c>
      <c r="AO33" s="58" t="inlineStr">
        <is>
          <t>BL0013</t>
        </is>
      </c>
      <c r="AT33" s="37">
        <f>SUM(AU33:BA33)</f>
        <v/>
      </c>
      <c r="AU33" s="73" t="n"/>
      <c r="AV33" s="33" t="n"/>
      <c r="AW33" s="33" t="n"/>
      <c r="AX33" s="100" t="n"/>
      <c r="AY33" s="33" t="n"/>
      <c r="AZ33" s="33" t="n"/>
      <c r="BA33" s="74" t="n">
        <v>1</v>
      </c>
      <c r="BB33" s="106" t="n"/>
      <c r="BC33" s="42" t="n"/>
      <c r="BD33" s="42" t="n"/>
    </row>
    <row r="34" ht="15" customHeight="1" s="148">
      <c r="A34" t="inlineStr">
        <is>
          <t>c0030</t>
        </is>
      </c>
      <c r="B34" s="39" t="inlineStr">
        <is>
          <t>Fell the Profane // Fell Mire</t>
        </is>
      </c>
      <c r="C34" s="40" t="inlineStr">
        <is>
          <t>B</t>
        </is>
      </c>
      <c r="D34" s="39" t="inlineStr">
        <is>
          <t>Instant</t>
        </is>
      </c>
      <c r="E34" s="41" t="inlineStr">
        <is>
          <t>B2</t>
        </is>
      </c>
      <c r="F34" s="40" t="n">
        <v>4</v>
      </c>
      <c r="G34" s="67" t="inlineStr">
        <is>
          <t>Fell the Profane {2}{B}{B} — Instant
Destroy target creature or planeswalker.
//
Fell Mire — Land
As this land enters, you may pay 3 life. If you don't, it enters tapped.
{T}: Add {B}.</t>
        </is>
      </c>
      <c r="H34" s="39" t="inlineStr">
        <is>
          <t>Removal</t>
        </is>
      </c>
      <c r="I34" s="39" t="inlineStr">
        <is>
          <t>Destroy target creature or planeswalker</t>
        </is>
      </c>
      <c r="J34" s="39" t="inlineStr">
        <is>
          <t>As this land enters, you may pay 3 life. If you don't, it enters tapped</t>
        </is>
      </c>
      <c r="K34" s="39" t="inlineStr">
        <is>
          <t>{T}: Add {B}</t>
        </is>
      </c>
      <c r="L34" s="88" t="n"/>
      <c r="M34" s="41" t="n"/>
      <c r="N34" s="41" t="n"/>
      <c r="O34" s="63" t="n"/>
      <c r="P34" s="90" t="n"/>
      <c r="Q34" s="88" t="n"/>
      <c r="R34" s="41" t="n"/>
      <c r="S34" s="41" t="n"/>
      <c r="T34" s="63" t="n"/>
      <c r="U34" s="91" t="n"/>
      <c r="V34" s="39" t="inlineStr">
        <is>
          <t>Modern Horizons 3</t>
        </is>
      </c>
      <c r="W34" s="41" t="n">
        <v>0</v>
      </c>
      <c r="X34" s="37">
        <f>SUM(Y34:AE34)</f>
        <v/>
      </c>
      <c r="Y34" s="43" t="n"/>
      <c r="Z34" s="43" t="n"/>
      <c r="AA34" s="43" t="n"/>
      <c r="AB34" s="43" t="n"/>
      <c r="AC34" s="43" t="n"/>
      <c r="AD34" s="43" t="n"/>
      <c r="AE34" s="43" t="n"/>
      <c r="AF34" s="38">
        <f>IF((W34-SUM(Y34:AE34))&lt;0,0,W34-SUM(Y34:AE34))</f>
        <v/>
      </c>
      <c r="AG34" s="34">
        <f>MAX(0,$AT34-$W34-$AI34)</f>
        <v/>
      </c>
      <c r="AH34" s="39" t="n"/>
      <c r="AI34" s="39" t="n"/>
      <c r="AJ34" s="39" t="n">
        <v>5.01</v>
      </c>
      <c r="AK34" s="39">
        <f>IF(AND($AG34&gt;0,ISNUMBER($AJ34)),$AG34*$AJ34,0)</f>
        <v/>
      </c>
      <c r="AT34" s="37">
        <f>SUM(AU34:BA34)</f>
        <v/>
      </c>
      <c r="AU34" s="73" t="n"/>
      <c r="AV34" s="33" t="n"/>
      <c r="AW34" s="33" t="n"/>
      <c r="AX34" s="33" t="n"/>
      <c r="AY34" s="33" t="n">
        <v>1</v>
      </c>
      <c r="AZ34" s="33" t="n"/>
      <c r="BA34" s="74" t="n"/>
      <c r="BB34" s="107" t="n"/>
      <c r="BC34" s="42" t="n"/>
      <c r="BD34" s="42" t="n"/>
    </row>
    <row r="35" ht="15" customHeight="1" s="148">
      <c r="A35" t="inlineStr">
        <is>
          <t>c0031</t>
        </is>
      </c>
      <c r="B35" s="39" t="inlineStr">
        <is>
          <t>Front Porch Sentries</t>
        </is>
      </c>
      <c r="C35" s="40" t="inlineStr">
        <is>
          <t>B</t>
        </is>
      </c>
      <c r="D35" s="39" t="inlineStr">
        <is>
          <t>Creature</t>
        </is>
      </c>
      <c r="E35" s="41" t="inlineStr">
        <is>
          <t>B2</t>
        </is>
      </c>
      <c r="F35" s="40" t="n">
        <v>2</v>
      </c>
      <c r="G35" s="67" t="inlineStr">
        <is>
          <t>When this creature dies, target creature an opponent controls gets -1/-1 until end of turn.
(2/2)</t>
        </is>
      </c>
      <c r="H35" s="39" t="inlineStr">
        <is>
          <t>Utility Creature</t>
        </is>
      </c>
      <c r="I35" s="39" t="inlineStr">
        <is>
          <t>When this creature dies, target creature an opponent controls gets -1/-1 until end of turn</t>
        </is>
      </c>
      <c r="J35" s="39" t="n"/>
      <c r="K35" s="39" t="n"/>
      <c r="L35" s="88" t="inlineStr">
        <is>
          <t>67</t>
        </is>
      </c>
      <c r="M35" s="41" t="n">
        <v>1</v>
      </c>
      <c r="N35" s="41" t="n">
        <v>0</v>
      </c>
      <c r="O35" s="63" t="inlineStr">
        <is>
          <t>Stanislav Sherbakov</t>
        </is>
      </c>
      <c r="P35" s="90" t="n">
        <v>0.12</v>
      </c>
      <c r="Q35" s="42" t="inlineStr">
        <is>
          <t>Common</t>
        </is>
      </c>
      <c r="R35" s="42" t="n"/>
      <c r="S35" s="42" t="n"/>
      <c r="T35" s="63" t="n"/>
      <c r="U35" s="63" t="n"/>
      <c r="V35" s="39" t="inlineStr">
        <is>
          <t>The Hobbit</t>
        </is>
      </c>
      <c r="W35" s="41" t="n">
        <v>5</v>
      </c>
      <c r="X35" s="37">
        <f>SUM(Y35:AE35)</f>
        <v/>
      </c>
      <c r="Y35" s="43" t="n"/>
      <c r="Z35" s="43" t="n"/>
      <c r="AA35" s="43" t="n"/>
      <c r="AB35" s="43" t="n"/>
      <c r="AC35" s="43" t="n"/>
      <c r="AD35" s="43" t="n"/>
      <c r="AE35" s="43" t="n"/>
      <c r="AF35" s="38">
        <f>IF((W35-SUM(Y35:AE35))&lt;0,0,W35-SUM(Y35:AE35))</f>
        <v/>
      </c>
      <c r="AG35" s="34">
        <f>MAX(0,$AT35-$W35-$AI35)</f>
        <v/>
      </c>
      <c r="AH35" s="39" t="n"/>
      <c r="AI35" s="39" t="n"/>
      <c r="AJ35" s="39" t="n">
        <v>0.21</v>
      </c>
      <c r="AK35" s="39">
        <f>IF(AND($AG35&gt;0,ISNUMBER($AJ35)),$AG35*$AJ35,0)</f>
        <v/>
      </c>
      <c r="AT35" s="37">
        <f>SUM(AU35:BA35)</f>
        <v/>
      </c>
      <c r="AU35" s="73" t="n"/>
      <c r="AV35" s="33" t="n"/>
      <c r="AW35" s="33" t="n"/>
      <c r="AX35" s="33" t="n"/>
      <c r="AY35" s="33" t="n"/>
      <c r="AZ35" s="33" t="n"/>
      <c r="BA35" s="74" t="n"/>
      <c r="BB35" s="107" t="n"/>
      <c r="BC35" s="42" t="n"/>
      <c r="BD35" s="42" t="n"/>
    </row>
    <row r="36" ht="15" customHeight="1" s="148">
      <c r="A36" t="inlineStr">
        <is>
          <t>c0032</t>
        </is>
      </c>
      <c r="B36" s="39" t="inlineStr">
        <is>
          <t>Gathering of Darkness</t>
        </is>
      </c>
      <c r="C36" s="40" t="inlineStr">
        <is>
          <t>B</t>
        </is>
      </c>
      <c r="D36" s="39" t="inlineStr">
        <is>
          <t>Sorcery</t>
        </is>
      </c>
      <c r="E36" s="41" t="inlineStr">
        <is>
          <t>B2</t>
        </is>
      </c>
      <c r="F36" s="40" t="n">
        <v>4</v>
      </c>
      <c r="G36" s="67" t="inlineStr">
        <is>
          <t>Return up to one target creature card from your graveyard to your hand.
Amass Goblins 3. (Put three +1/+1 counters on an Army you control. It's also a Goblin. If you don't control an Army, create a 0/0 black Goblin Army creature token first.)</t>
        </is>
      </c>
      <c r="H36" s="39" t="inlineStr">
        <is>
          <t>Recursion</t>
        </is>
      </c>
      <c r="I36" s="39" t="inlineStr">
        <is>
          <t>Return up to one target creature card from your graveyard to your hand</t>
        </is>
      </c>
      <c r="J36" s="39" t="inlineStr">
        <is>
          <t>Amass Goblins 3 - put three +1/+1 counters on a Goblin Army you control, creating a 0/0 one first if you have none</t>
        </is>
      </c>
      <c r="K36" s="39" t="n"/>
      <c r="L36" s="42" t="n"/>
      <c r="M36" s="42" t="n"/>
      <c r="N36" s="42" t="n"/>
      <c r="O36" s="63" t="n"/>
      <c r="P36" s="63" t="n"/>
      <c r="Q36" s="42" t="n"/>
      <c r="R36" s="42" t="n"/>
      <c r="S36" s="42" t="n"/>
      <c r="T36" s="63" t="n"/>
      <c r="U36" s="63" t="n"/>
      <c r="V36" s="39" t="inlineStr">
        <is>
          <t>The Hobbit</t>
        </is>
      </c>
      <c r="W36" s="41" t="n">
        <v>1</v>
      </c>
      <c r="X36" s="37">
        <f>SUM(Y36:AE36)</f>
        <v/>
      </c>
      <c r="Y36" s="43" t="n"/>
      <c r="Z36" s="43" t="n"/>
      <c r="AA36" s="43" t="n"/>
      <c r="AB36" s="43" t="n"/>
      <c r="AC36" s="43" t="n"/>
      <c r="AD36" s="43" t="n"/>
      <c r="AE36" s="43" t="n"/>
      <c r="AF36" s="38">
        <f>IF((W36-SUM(Y36:AE36))&lt;0,0,W36-SUM(Y36:AE36))</f>
        <v/>
      </c>
      <c r="AG36" s="34">
        <f>MAX(0,$AT36-$W36-$AI36)</f>
        <v/>
      </c>
      <c r="AH36" s="39" t="n"/>
      <c r="AI36" s="39" t="n"/>
      <c r="AJ36" s="39" t="n">
        <v>0.19</v>
      </c>
      <c r="AK36" s="39">
        <f>IF(AND($AG36&gt;0,ISNUMBER($AJ36)),$AG36*$AJ36,0)</f>
        <v/>
      </c>
      <c r="AT36" s="37">
        <f>SUM(AU36:BA36)</f>
        <v/>
      </c>
      <c r="AU36" s="73" t="n"/>
      <c r="AV36" s="33" t="n"/>
      <c r="AW36" s="33" t="n"/>
      <c r="AX36" s="33" t="n"/>
      <c r="AY36" s="33" t="n"/>
      <c r="AZ36" s="33" t="n"/>
      <c r="BA36" s="74" t="n"/>
      <c r="BB36" s="107" t="n"/>
      <c r="BC36" s="42" t="n"/>
      <c r="BD36" s="42" t="n"/>
    </row>
    <row r="37" ht="15" customHeight="1" s="148">
      <c r="A37" t="inlineStr">
        <is>
          <t>c0033</t>
        </is>
      </c>
      <c r="B37" s="44" t="inlineStr">
        <is>
          <t>Gloom Ripper</t>
        </is>
      </c>
      <c r="C37" s="34" t="inlineStr">
        <is>
          <t>B</t>
        </is>
      </c>
      <c r="D37" s="44" t="inlineStr">
        <is>
          <t>Creature</t>
        </is>
      </c>
      <c r="E37" s="41" t="inlineStr">
        <is>
          <t>B2</t>
        </is>
      </c>
      <c r="F37" s="34" t="n">
        <v>5</v>
      </c>
      <c r="G37" s="67" t="inlineStr">
        <is>
          <t>When this creature enters, target creature you control gets +X/+0 until end of turn and up to one target creature an opponent controls gets -0/-X until end of turn, where X is the number of Elves you control plus the number of Elf cards in your graveyard.
(4/4)</t>
        </is>
      </c>
      <c r="H37" s="45" t="inlineStr">
        <is>
          <t>Removal</t>
        </is>
      </c>
      <c r="I37" s="45" t="inlineStr">
        <is>
          <t>Target creature you control gets +X/+0 and an opponent's creature gets -0/-X until end of turn</t>
        </is>
      </c>
      <c r="J37" s="45" t="inlineStr">
        <is>
          <t>X equals Elves you control plus Elf cards in your graveyard</t>
        </is>
      </c>
      <c r="K37" s="45" t="n"/>
      <c r="L37" s="42" t="n"/>
      <c r="M37" s="42" t="n"/>
      <c r="N37" s="42" t="n"/>
      <c r="O37" s="63" t="n"/>
      <c r="P37" s="63" t="n">
        <v>0.3</v>
      </c>
      <c r="Q37" s="42" t="n"/>
      <c r="R37" s="42" t="n"/>
      <c r="S37" s="42" t="n"/>
      <c r="T37" s="63" t="n"/>
      <c r="U37" s="63" t="n"/>
      <c r="V37" s="45" t="inlineStr">
        <is>
          <t>Lorwyn Eclipsed</t>
        </is>
      </c>
      <c r="W37" s="41" t="n">
        <v>1</v>
      </c>
      <c r="X37" s="37">
        <f>SUM(Y37:AE37)</f>
        <v/>
      </c>
      <c r="Y37" s="43" t="n"/>
      <c r="Z37" s="43" t="n"/>
      <c r="AA37" s="43" t="n"/>
      <c r="AB37" s="43" t="n"/>
      <c r="AC37" s="43" t="n"/>
      <c r="AD37" s="43" t="n"/>
      <c r="AE37" s="43" t="n">
        <v>1</v>
      </c>
      <c r="AF37" s="38">
        <f>IF((W37-SUM(Y37:AE37))&lt;0,0,W37-SUM(Y37:AE37))</f>
        <v/>
      </c>
      <c r="AG37" s="34">
        <f>MAX(0,$AT37-$W37-$AI37)</f>
        <v/>
      </c>
      <c r="AH37" s="34" t="n"/>
      <c r="AI37" s="34" t="n"/>
      <c r="AJ37" s="36" t="n">
        <v>0.3</v>
      </c>
      <c r="AK37" s="36">
        <f>IF(AND($AG37&gt;0,ISNUMBER($AJ37)),$AG37*$AJ37,0)</f>
        <v/>
      </c>
      <c r="AR37" t="inlineStr">
        <is>
          <t>BL0061</t>
        </is>
      </c>
      <c r="AT37" s="37">
        <f>SUM(AU37:BA37)</f>
        <v/>
      </c>
      <c r="AU37" s="73" t="n"/>
      <c r="AV37" s="33" t="n"/>
      <c r="AW37" s="33" t="n"/>
      <c r="AX37" s="33" t="n"/>
      <c r="AY37" s="33" t="n"/>
      <c r="AZ37" s="33" t="n"/>
      <c r="BA37" s="81" t="n"/>
      <c r="BB37" s="106" t="n"/>
      <c r="BC37" s="42" t="n"/>
      <c r="BD37" s="42" t="n"/>
    </row>
    <row r="38" ht="15" customHeight="1" s="148">
      <c r="A38" t="inlineStr">
        <is>
          <t>c0034</t>
        </is>
      </c>
      <c r="B38" s="44" t="inlineStr">
        <is>
          <t>Go for the Throat</t>
        </is>
      </c>
      <c r="C38" s="34" t="inlineStr">
        <is>
          <t>B</t>
        </is>
      </c>
      <c r="D38" s="44" t="inlineStr">
        <is>
          <t>Instant</t>
        </is>
      </c>
      <c r="E38" s="41" t="inlineStr">
        <is>
          <t>B2</t>
        </is>
      </c>
      <c r="F38" s="34" t="n">
        <v>2</v>
      </c>
      <c r="G38" s="67" t="inlineStr">
        <is>
          <t>Destroy target nonartifact creature.</t>
        </is>
      </c>
      <c r="H38" s="45" t="inlineStr">
        <is>
          <t>Removal</t>
        </is>
      </c>
      <c r="I38" s="45" t="inlineStr">
        <is>
          <t>Destroys target nonartifact creature</t>
        </is>
      </c>
      <c r="J38" s="45" t="n"/>
      <c r="K38" s="45" t="n"/>
      <c r="L38" s="42" t="n"/>
      <c r="M38" s="42" t="n"/>
      <c r="N38" s="42" t="n"/>
      <c r="O38" s="42" t="n"/>
      <c r="P38" s="42" t="n">
        <v>0.62</v>
      </c>
      <c r="Q38" s="42" t="n"/>
      <c r="R38" s="42" t="n"/>
      <c r="S38" s="42" t="n"/>
      <c r="T38" s="42" t="n"/>
      <c r="U38" s="42" t="n"/>
      <c r="V38" s="45" t="inlineStr">
        <is>
          <t>Mirrodin Besieged</t>
        </is>
      </c>
      <c r="W38" s="41" t="n">
        <v>1</v>
      </c>
      <c r="X38" s="37">
        <f>SUM(Y38:AE38)</f>
        <v/>
      </c>
      <c r="Y38" s="43" t="n"/>
      <c r="Z38" s="43" t="n"/>
      <c r="AA38" s="43" t="n">
        <v>1</v>
      </c>
      <c r="AB38" s="43" t="n"/>
      <c r="AC38" s="43" t="n"/>
      <c r="AD38" s="43" t="n"/>
      <c r="AE38" s="43" t="n"/>
      <c r="AF38" s="38">
        <f>IF((W38-SUM(Y38:AE38))&lt;0,0,W38-SUM(Y38:AE38))</f>
        <v/>
      </c>
      <c r="AG38" s="34">
        <f>MAX(0,$AT38-$W38-$AI38)</f>
        <v/>
      </c>
      <c r="AH38" s="34" t="n"/>
      <c r="AI38" s="34" t="n"/>
      <c r="AJ38" s="36" t="n">
        <v>0.57</v>
      </c>
      <c r="AK38" s="36">
        <f>IF(AND($AG38&gt;0,ISNUMBER($AJ38)),$AG38*$AJ38,0)</f>
        <v/>
      </c>
      <c r="AT38" s="37">
        <f>SUM(AU38:BA38)</f>
        <v/>
      </c>
      <c r="AU38" s="73" t="n"/>
      <c r="AV38" s="33" t="n"/>
      <c r="AW38" s="98" t="n">
        <v>1</v>
      </c>
      <c r="AX38" s="33" t="n"/>
      <c r="AY38" s="33" t="n"/>
      <c r="AZ38" s="33" t="n"/>
      <c r="BA38" s="74" t="n"/>
      <c r="BB38" s="106" t="n"/>
      <c r="BC38" s="42" t="n"/>
      <c r="BD38" s="42" t="n"/>
    </row>
    <row r="39" ht="15" customHeight="1" s="148">
      <c r="A39" t="inlineStr">
        <is>
          <t>c0035</t>
        </is>
      </c>
      <c r="B39" s="44" t="inlineStr">
        <is>
          <t>Gollum, Riddle Master</t>
        </is>
      </c>
      <c r="C39" s="34" t="inlineStr">
        <is>
          <t>B</t>
        </is>
      </c>
      <c r="D39" s="44" t="inlineStr">
        <is>
          <t>Legendary Creature</t>
        </is>
      </c>
      <c r="E39" s="41" t="inlineStr">
        <is>
          <t>B2</t>
        </is>
      </c>
      <c r="F39" s="34" t="n">
        <v>2</v>
      </c>
      <c r="G39" s="67" t="inlineStr">
        <is>
          <t>As Gollum enters, choose odd or even. (Zero is even.)
Whenever an opponent casts a spell with mana value of the chosen quality, choose one that hasn't been chosen —
• Put a +1/+1 counter on Gollum.
• Each opponent loses 2 life and you gain 2 life.
• Draw a card.
(3/1)</t>
        </is>
      </c>
      <c r="H39" s="45" t="inlineStr">
        <is>
          <t>Value Engine</t>
        </is>
      </c>
      <c r="I39" s="45" t="inlineStr">
        <is>
          <t>Whenever an opponent casts a spell of the chosen parity, choose an unused mode</t>
        </is>
      </c>
      <c r="J39" s="45" t="inlineStr">
        <is>
          <t>Modes: add a counter to it, drain 2 life, or draw a card</t>
        </is>
      </c>
      <c r="K39" s="45" t="n"/>
      <c r="L39" s="42" t="n"/>
      <c r="M39" s="42" t="n"/>
      <c r="N39" s="42" t="n"/>
      <c r="O39" s="42" t="n"/>
      <c r="P39" s="42" t="n">
        <v>1.71</v>
      </c>
      <c r="Q39" s="42" t="n"/>
      <c r="R39" s="42" t="n"/>
      <c r="S39" s="42" t="n"/>
      <c r="T39" s="42" t="n"/>
      <c r="U39" s="42" t="n"/>
      <c r="V39" s="45" t="inlineStr">
        <is>
          <t>The Hobbit</t>
        </is>
      </c>
      <c r="W39" s="41" t="n">
        <v>1</v>
      </c>
      <c r="X39" s="37">
        <f>SUM(Y39:AE39)</f>
        <v/>
      </c>
      <c r="Y39" s="43" t="n"/>
      <c r="Z39" s="43" t="n"/>
      <c r="AA39" s="43" t="n"/>
      <c r="AB39" s="43" t="n"/>
      <c r="AC39" s="43" t="n"/>
      <c r="AD39" s="43" t="n"/>
      <c r="AE39" s="43" t="n"/>
      <c r="AF39" s="38">
        <f>IF((W39-SUM(Y39:AE39))&lt;0,0,W39-SUM(Y39:AE39))</f>
        <v/>
      </c>
      <c r="AG39" s="34">
        <f>MAX(0,$AT39-$W39-$AI39)</f>
        <v/>
      </c>
      <c r="AH39" s="34" t="n"/>
      <c r="AI39" s="34" t="n"/>
      <c r="AJ39" s="36" t="n">
        <v>2.52</v>
      </c>
      <c r="AK39" s="36">
        <f>IF(AND($AG39&gt;0,ISNUMBER($AJ39)),$AG39*$AJ39,0)</f>
        <v/>
      </c>
      <c r="AT39" s="37">
        <f>SUM(AU39:BA39)</f>
        <v/>
      </c>
      <c r="AU39" s="73" t="n"/>
      <c r="AV39" s="33" t="n"/>
      <c r="AW39" s="33" t="n"/>
      <c r="AX39" s="33" t="n"/>
      <c r="AY39" s="33" t="n"/>
      <c r="AZ39" s="33" t="n"/>
      <c r="BA39" s="74" t="n"/>
      <c r="BB39" s="106" t="n"/>
      <c r="BC39" s="42" t="n"/>
      <c r="BD39" s="42" t="n"/>
    </row>
    <row r="40" ht="15" customHeight="1" s="148">
      <c r="A40" t="inlineStr">
        <is>
          <t>c0036</t>
        </is>
      </c>
      <c r="B40" s="39" t="inlineStr">
        <is>
          <t>Gollum, Silent Slinker</t>
        </is>
      </c>
      <c r="C40" s="40" t="inlineStr">
        <is>
          <t>B</t>
        </is>
      </c>
      <c r="D40" s="39" t="inlineStr">
        <is>
          <t>Legendary Creature</t>
        </is>
      </c>
      <c r="E40" s="41" t="inlineStr">
        <is>
          <t>B2</t>
        </is>
      </c>
      <c r="F40" s="40" t="n">
        <v>4</v>
      </c>
      <c r="G40" s="67" t="inlineStr">
        <is>
          <t>Gollum, Silent Slinker {3}{B} — Legendary Creature — Halfling Horror (4/3)
Menace (This creature can't be blocked except by two or more creatures.)
//
Meager Meal {B} — Sorcery — Adventure
Put a +1/+1 counter on up to one target creature. Target player gains 2 life. (Then exile this card. You may cast the creature later from exile.)</t>
        </is>
      </c>
      <c r="H40" s="39" t="inlineStr">
        <is>
          <t>Utility Creature</t>
        </is>
      </c>
      <c r="I40" s="39" t="inlineStr">
        <is>
          <t>Menace</t>
        </is>
      </c>
      <c r="J40" s="39" t="inlineStr">
        <is>
          <t>Back face Meager Meal {B}: put a +1/+1 counter on up to one target creature and target player gains 2 life</t>
        </is>
      </c>
      <c r="K40" s="39" t="n"/>
      <c r="L40" s="42" t="inlineStr">
        <is>
          <t>71</t>
        </is>
      </c>
      <c r="M40" s="42" t="n">
        <v>1</v>
      </c>
      <c r="N40" s="42" t="n">
        <v>0</v>
      </c>
      <c r="O40" s="63" t="n"/>
      <c r="P40" s="63" t="n">
        <v>0.15</v>
      </c>
      <c r="Q40" s="42" t="inlineStr">
        <is>
          <t>Common</t>
        </is>
      </c>
      <c r="R40" s="42" t="n"/>
      <c r="S40" s="42" t="n"/>
      <c r="T40" s="63" t="n"/>
      <c r="U40" s="63" t="n"/>
      <c r="V40" s="39" t="inlineStr">
        <is>
          <t>The Hobbit</t>
        </is>
      </c>
      <c r="W40" s="41" t="n">
        <v>2</v>
      </c>
      <c r="X40" s="37">
        <f>SUM(Y40:AE40)</f>
        <v/>
      </c>
      <c r="Y40" s="43" t="n"/>
      <c r="Z40" s="43" t="n"/>
      <c r="AA40" s="43" t="n"/>
      <c r="AB40" s="43" t="n"/>
      <c r="AC40" s="43" t="n"/>
      <c r="AD40" s="43" t="n"/>
      <c r="AE40" s="43" t="n"/>
      <c r="AF40" s="38">
        <f>IF((W40-SUM(Y40:AE40))&lt;0,0,W40-SUM(Y40:AE40))</f>
        <v/>
      </c>
      <c r="AG40" s="34">
        <f>MAX(0,$AT40-$W40-$AI40)</f>
        <v/>
      </c>
      <c r="AH40" s="39" t="n"/>
      <c r="AI40" s="39" t="n"/>
      <c r="AJ40" s="39" t="n">
        <v>0.11</v>
      </c>
      <c r="AK40" s="39">
        <f>IF(AND($AG40&gt;0,ISNUMBER($AJ40)),$AG40*$AJ40,0)</f>
        <v/>
      </c>
      <c r="AT40" s="37">
        <f>SUM(AU40:BA40)</f>
        <v/>
      </c>
      <c r="AU40" s="73" t="n"/>
      <c r="AV40" s="33" t="n"/>
      <c r="AW40" s="33" t="n"/>
      <c r="AX40" s="33" t="n"/>
      <c r="AY40" s="33" t="n"/>
      <c r="AZ40" s="33" t="n"/>
      <c r="BA40" s="74" t="n"/>
      <c r="BB40" s="107" t="n"/>
      <c r="BC40" s="42" t="n"/>
      <c r="BD40" s="42" t="n"/>
    </row>
    <row r="41" ht="15" customHeight="1" s="148">
      <c r="A41" t="inlineStr">
        <is>
          <t>c0037</t>
        </is>
      </c>
      <c r="B41" s="44" t="inlineStr">
        <is>
          <t>Great Fierce Bee</t>
        </is>
      </c>
      <c r="C41" s="34" t="inlineStr">
        <is>
          <t>B</t>
        </is>
      </c>
      <c r="D41" s="44" t="inlineStr">
        <is>
          <t>Creature</t>
        </is>
      </c>
      <c r="E41" s="41" t="inlineStr">
        <is>
          <t>B2</t>
        </is>
      </c>
      <c r="F41" s="34" t="n">
        <v>3</v>
      </c>
      <c r="G41" s="67" t="inlineStr">
        <is>
          <t>Flying
Whenever one or more other creatures die, scry 1. (Look at the top card of your library. You may put that card on the bottom.)
(2/2)</t>
        </is>
      </c>
      <c r="H41" s="45" t="inlineStr">
        <is>
          <t>Card Selection</t>
        </is>
      </c>
      <c r="I41" s="45" t="inlineStr">
        <is>
          <t>Flying body</t>
        </is>
      </c>
      <c r="J41" s="45" t="inlineStr">
        <is>
          <t>Other creatures dying lets you look at and rearrange the top library card</t>
        </is>
      </c>
      <c r="K41" s="45" t="n"/>
      <c r="L41" s="88" t="inlineStr">
        <is>
          <t>C 0073</t>
        </is>
      </c>
      <c r="M41" s="41" t="n">
        <v>1</v>
      </c>
      <c r="N41" s="41" t="n">
        <v>1</v>
      </c>
      <c r="O41" s="63" t="n"/>
      <c r="P41" s="90" t="n">
        <v>0.24</v>
      </c>
      <c r="Q41" s="42" t="inlineStr">
        <is>
          <t>C</t>
        </is>
      </c>
      <c r="R41" s="42" t="n"/>
      <c r="S41" s="42" t="n"/>
      <c r="T41" s="63" t="n"/>
      <c r="U41" s="63" t="n"/>
      <c r="V41" s="45" t="inlineStr">
        <is>
          <t>The Hobbit</t>
        </is>
      </c>
      <c r="W41" s="41" t="n">
        <v>2</v>
      </c>
      <c r="X41" s="37">
        <f>SUM(Y41:AE41)</f>
        <v/>
      </c>
      <c r="Y41" s="43" t="n"/>
      <c r="Z41" s="43" t="n"/>
      <c r="AA41" s="43" t="n"/>
      <c r="AB41" s="43" t="n"/>
      <c r="AC41" s="43" t="n"/>
      <c r="AD41" s="43" t="n"/>
      <c r="AE41" s="43" t="n">
        <v>1</v>
      </c>
      <c r="AF41" s="38">
        <f>IF((W41-SUM(Y41:AE41))&lt;0,0,W41-SUM(Y41:AE41))</f>
        <v/>
      </c>
      <c r="AG41" s="34">
        <f>MAX(0,$AT41-$W41-$AI41)</f>
        <v/>
      </c>
      <c r="AH41" s="34" t="n"/>
      <c r="AI41" s="34" t="n"/>
      <c r="AJ41" s="36" t="n">
        <v>0.24</v>
      </c>
      <c r="AK41" s="36">
        <f>IF(AND($AG41&gt;0,ISNUMBER($AJ41)),$AG41*$AJ41,0)</f>
        <v/>
      </c>
      <c r="AP41" s="58" t="n"/>
      <c r="AR41" s="58" t="n"/>
      <c r="AT41" s="37">
        <f>SUM(AU41:BA41)</f>
        <v/>
      </c>
      <c r="AU41" s="73" t="n"/>
      <c r="AV41" s="33" t="n"/>
      <c r="AW41" s="33" t="n"/>
      <c r="AX41" s="33" t="n"/>
      <c r="AY41" s="33" t="n"/>
      <c r="AZ41" s="33" t="n"/>
      <c r="BA41" s="79" t="n"/>
      <c r="BB41" s="106" t="n"/>
      <c r="BC41" s="42" t="n"/>
      <c r="BD41" s="42" t="n"/>
    </row>
    <row r="42" ht="15" customHeight="1" s="148">
      <c r="A42" t="inlineStr">
        <is>
          <t>c0038</t>
        </is>
      </c>
      <c r="B42" s="44" t="inlineStr">
        <is>
          <t>Heirloom Auntie</t>
        </is>
      </c>
      <c r="C42" s="34" t="inlineStr">
        <is>
          <t>B</t>
        </is>
      </c>
      <c r="D42" s="44" t="inlineStr">
        <is>
          <t>Creature</t>
        </is>
      </c>
      <c r="E42" s="41" t="inlineStr">
        <is>
          <t>B2</t>
        </is>
      </c>
      <c r="F42" s="34" t="n">
        <v>3</v>
      </c>
      <c r="G42" s="67" t="inlineStr">
        <is>
          <t>This creature enters with two -1/-1 counters on it.
Whenever another creature you control dies, surveil 1, then remove a -1/-1 counter from this creature. (To surveil 1, look at the top card of your library. You may put it into your graveyard.)
(4/4)</t>
        </is>
      </c>
      <c r="H42" s="45" t="inlineStr">
        <is>
          <t>Counters Payoff</t>
        </is>
      </c>
      <c r="I42" s="45" t="inlineStr">
        <is>
          <t>Enters with two -1/-1 counters on it</t>
        </is>
      </c>
      <c r="J42" s="45" t="inlineStr">
        <is>
          <t>Surveils 1 and removes a -1/-1 counter from itself whenever another creature you control dies</t>
        </is>
      </c>
      <c r="K42" s="45" t="n"/>
      <c r="L42" s="42" t="inlineStr">
        <is>
          <t>107</t>
        </is>
      </c>
      <c r="M42" s="42" t="n">
        <v>1</v>
      </c>
      <c r="N42" s="42" t="n">
        <v>0</v>
      </c>
      <c r="O42" s="63" t="n"/>
      <c r="P42" s="63" t="n">
        <v>0.17</v>
      </c>
      <c r="Q42" s="42" t="inlineStr">
        <is>
          <t>Common</t>
        </is>
      </c>
      <c r="R42" s="42" t="n"/>
      <c r="S42" s="42" t="n"/>
      <c r="T42" s="63" t="n"/>
      <c r="U42" s="63" t="n"/>
      <c r="V42" s="45" t="inlineStr">
        <is>
          <t>Lorwyn Eclipsed</t>
        </is>
      </c>
      <c r="W42" s="41" t="n">
        <v>2</v>
      </c>
      <c r="X42" s="37">
        <f>SUM(Y42:AE42)</f>
        <v/>
      </c>
      <c r="Y42" s="43" t="n"/>
      <c r="Z42" s="43" t="n"/>
      <c r="AA42" s="43" t="n"/>
      <c r="AB42" s="43" t="n"/>
      <c r="AC42" s="43" t="n"/>
      <c r="AD42" s="43" t="n"/>
      <c r="AE42" s="43" t="n"/>
      <c r="AF42" s="38">
        <f>IF((W42-SUM(Y42:AE42))&lt;0,0,W42-SUM(Y42:AE42))</f>
        <v/>
      </c>
      <c r="AG42" s="34">
        <f>MAX(0,$AT42-$W42-$AI42)</f>
        <v/>
      </c>
      <c r="AH42" s="34" t="n"/>
      <c r="AI42" s="34" t="n"/>
      <c r="AJ42" s="36" t="n">
        <v>0.14</v>
      </c>
      <c r="AK42" s="36">
        <f>IF(AND($AG42&gt;0,ISNUMBER($AJ42)),$AG42*$AJ42,0)</f>
        <v/>
      </c>
      <c r="AT42" s="37">
        <f>SUM(AU42:BA42)</f>
        <v/>
      </c>
      <c r="AU42" s="73" t="n"/>
      <c r="AV42" s="33" t="n"/>
      <c r="AW42" s="33" t="n"/>
      <c r="AX42" s="33" t="n"/>
      <c r="AY42" s="33" t="n"/>
      <c r="AZ42" s="33" t="n"/>
      <c r="BA42" s="74" t="n"/>
      <c r="BB42" s="106" t="n"/>
      <c r="BC42" s="42" t="n"/>
      <c r="BD42" s="42" t="n"/>
    </row>
    <row r="43" ht="15" customHeight="1" s="148">
      <c r="A43" t="inlineStr">
        <is>
          <t>c0039</t>
        </is>
      </c>
      <c r="B43" s="44" t="inlineStr">
        <is>
          <t>Hemlock Vial</t>
        </is>
      </c>
      <c r="C43" s="34" t="inlineStr">
        <is>
          <t>B</t>
        </is>
      </c>
      <c r="D43" s="44" t="inlineStr">
        <is>
          <t>Artifact</t>
        </is>
      </c>
      <c r="E43" s="41" t="inlineStr">
        <is>
          <t>B2</t>
        </is>
      </c>
      <c r="F43" s="34" t="n">
        <v>2</v>
      </c>
      <c r="G43" s="67" t="inlineStr">
        <is>
          <t>When this artifact enters, you draw a card and you lose 1 life.
{B}, {T}, Sacrifice this artifact: Each equipped creature and Equipment you control gains deathtouch until end of turn.</t>
        </is>
      </c>
      <c r="H43" s="45" t="inlineStr">
        <is>
          <t>Card Draw</t>
        </is>
      </c>
      <c r="I43" s="45" t="inlineStr">
        <is>
          <t>Enters: draw a card and lose 1 life</t>
        </is>
      </c>
      <c r="J43" s="45" t="inlineStr">
        <is>
          <t>Sacrifice: your equipped creatures and Equipment become lethal on any damage this turn</t>
        </is>
      </c>
      <c r="K43" s="45" t="n"/>
      <c r="L43" s="42" t="n"/>
      <c r="M43" s="42" t="n"/>
      <c r="N43" s="42" t="n"/>
      <c r="O43" s="63" t="n"/>
      <c r="P43" s="63" t="n">
        <v>0.18</v>
      </c>
      <c r="Q43" s="42" t="n"/>
      <c r="R43" s="42" t="n"/>
      <c r="S43" s="42" t="n"/>
      <c r="T43" s="63" t="n"/>
      <c r="U43" s="63" t="n"/>
      <c r="V43" s="45" t="inlineStr">
        <is>
          <t>Assassin's Creed</t>
        </is>
      </c>
      <c r="W43" s="41" t="n">
        <v>1</v>
      </c>
      <c r="X43" s="37">
        <f>SUM(Y43:AE43)</f>
        <v/>
      </c>
      <c r="Y43" s="43" t="n"/>
      <c r="Z43" s="43" t="n"/>
      <c r="AA43" s="43" t="n"/>
      <c r="AB43" s="43" t="n"/>
      <c r="AC43" s="43" t="n"/>
      <c r="AD43" s="43" t="n"/>
      <c r="AE43" s="43" t="n">
        <v>1</v>
      </c>
      <c r="AF43" s="38">
        <f>IF((W43-SUM(Y43:AE43))&lt;0,0,W43-SUM(Y43:AE43))</f>
        <v/>
      </c>
      <c r="AG43" s="34">
        <f>MAX(0,$AT43-$W43-$AI43)</f>
        <v/>
      </c>
      <c r="AH43" s="34" t="n"/>
      <c r="AI43" s="34" t="n"/>
      <c r="AJ43" s="36" t="n">
        <v>0.18</v>
      </c>
      <c r="AK43" s="36">
        <f>IF(AND($AG43&gt;0,ISNUMBER($AJ43)),$AG43*$AJ43,0)</f>
        <v/>
      </c>
      <c r="AT43" s="37">
        <f>SUM(AU43:BA43)</f>
        <v/>
      </c>
      <c r="AU43" s="73" t="n"/>
      <c r="AV43" s="33" t="n"/>
      <c r="AW43" s="33" t="n"/>
      <c r="AX43" s="33" t="n"/>
      <c r="AY43" s="33" t="n"/>
      <c r="AZ43" s="33" t="n"/>
      <c r="BA43" s="80" t="n">
        <v>1</v>
      </c>
      <c r="BB43" s="106" t="n"/>
      <c r="BC43" s="42" t="n"/>
      <c r="BD43" s="42" t="n"/>
    </row>
    <row r="44" ht="15" customHeight="1" s="148">
      <c r="A44" t="inlineStr">
        <is>
          <t>c0040</t>
        </is>
      </c>
      <c r="B44" s="44" t="inlineStr">
        <is>
          <t>Infectious Inquiry</t>
        </is>
      </c>
      <c r="C44" s="34" t="inlineStr">
        <is>
          <t>B</t>
        </is>
      </c>
      <c r="D44" s="44" t="inlineStr">
        <is>
          <t>Sorcery</t>
        </is>
      </c>
      <c r="E44" s="41" t="inlineStr">
        <is>
          <t>B2</t>
        </is>
      </c>
      <c r="F44" s="34" t="n">
        <v>3</v>
      </c>
      <c r="G44" s="67" t="inlineStr">
        <is>
          <t>You draw two cards and you lose 2 life. Each opponent gets a poison counter.</t>
        </is>
      </c>
      <c r="H44" s="45" t="inlineStr">
        <is>
          <t>Card Draw</t>
        </is>
      </c>
      <c r="I44" s="45" t="inlineStr">
        <is>
          <t>You draw two cards and you lose 2 life. Each opponent gets a poison counter</t>
        </is>
      </c>
      <c r="J44" s="45" t="n"/>
      <c r="K44" s="45" t="n"/>
      <c r="L44" s="42" t="n"/>
      <c r="M44" s="42" t="n"/>
      <c r="N44" s="42" t="n"/>
      <c r="O44" s="42" t="n"/>
      <c r="P44" s="42" t="n">
        <v>0.4</v>
      </c>
      <c r="Q44" s="42" t="n"/>
      <c r="R44" s="42" t="n"/>
      <c r="S44" s="42" t="n"/>
      <c r="T44" s="42" t="n"/>
      <c r="U44" s="42" t="n"/>
      <c r="V44" s="45" t="inlineStr">
        <is>
          <t>Phyrexia: All Will Be One</t>
        </is>
      </c>
      <c r="W44" s="41" t="n">
        <v>0</v>
      </c>
      <c r="X44" s="37">
        <f>SUM(Y44:AE44)</f>
        <v/>
      </c>
      <c r="Y44" s="43" t="n"/>
      <c r="Z44" s="43" t="n"/>
      <c r="AA44" s="43" t="n"/>
      <c r="AB44" s="43" t="n"/>
      <c r="AC44" s="43" t="n"/>
      <c r="AD44" s="43" t="n"/>
      <c r="AE44" s="43" t="n"/>
      <c r="AF44" s="38">
        <f>IF((W44-SUM(Y44:AE44))&lt;0,0,W44-SUM(Y44:AE44))</f>
        <v/>
      </c>
      <c r="AG44" s="34">
        <f>MAX(0,$AT44-$W44-$AI44)</f>
        <v/>
      </c>
      <c r="AH44" s="34" t="n"/>
      <c r="AI44" s="34" t="n"/>
      <c r="AJ44" s="36" t="n">
        <v>0.52</v>
      </c>
      <c r="AK44" s="36">
        <f>IF(AND($AG44&gt;0,ISNUMBER($AJ44)),$AG44*$AJ44,0)</f>
        <v/>
      </c>
      <c r="AL44" s="54" t="n"/>
      <c r="AM44" s="54" t="n"/>
      <c r="AN44" s="54" t="n"/>
      <c r="AO44" s="54" t="n"/>
      <c r="AP44" s="54" t="n"/>
      <c r="AQ44" s="54" t="n"/>
      <c r="AR44" s="54" t="n"/>
      <c r="AS44" s="54" t="n"/>
      <c r="AT44" s="37">
        <f>SUM(AU44:BA44)</f>
        <v/>
      </c>
      <c r="AU44" s="92" t="n"/>
      <c r="AV44" s="38" t="n"/>
      <c r="AW44" s="38" t="n"/>
      <c r="AX44" s="38" t="n"/>
      <c r="AY44" s="38" t="n"/>
      <c r="AZ44" s="38" t="n"/>
      <c r="BA44" s="94" t="n"/>
      <c r="BB44" s="106" t="n"/>
      <c r="BC44" s="42" t="n"/>
      <c r="BD44" s="48" t="n"/>
    </row>
    <row r="45" ht="15" customHeight="1" s="148">
      <c r="A45" t="inlineStr">
        <is>
          <t>c0041</t>
        </is>
      </c>
      <c r="B45" s="39" t="inlineStr">
        <is>
          <t>Infernal Grasp</t>
        </is>
      </c>
      <c r="C45" s="40" t="inlineStr">
        <is>
          <t>B</t>
        </is>
      </c>
      <c r="D45" s="39" t="inlineStr">
        <is>
          <t>Instant</t>
        </is>
      </c>
      <c r="E45" s="41" t="inlineStr">
        <is>
          <t>B2</t>
        </is>
      </c>
      <c r="F45" s="40" t="n">
        <v>2</v>
      </c>
      <c r="G45" s="67" t="inlineStr">
        <is>
          <t>Destroy target creature. You lose 2 life.</t>
        </is>
      </c>
      <c r="H45" s="39" t="inlineStr">
        <is>
          <t>Removal</t>
        </is>
      </c>
      <c r="I45" s="39" t="inlineStr">
        <is>
          <t>Destroy target creature. You lose 2 life</t>
        </is>
      </c>
      <c r="J45" s="39" t="n"/>
      <c r="K45" s="39" t="n"/>
      <c r="L45" s="88" t="n"/>
      <c r="M45" s="41" t="n"/>
      <c r="N45" s="41" t="n"/>
      <c r="O45" s="63" t="n"/>
      <c r="P45" s="90" t="n">
        <v>0.33</v>
      </c>
      <c r="Q45" s="88" t="n"/>
      <c r="R45" s="41" t="n"/>
      <c r="S45" s="41" t="n"/>
      <c r="T45" s="63" t="n"/>
      <c r="U45" s="91" t="n"/>
      <c r="V45" s="39" t="inlineStr">
        <is>
          <t>Innistrad: Midnight Hunt</t>
        </is>
      </c>
      <c r="W45" s="41" t="n">
        <v>0</v>
      </c>
      <c r="X45" s="37">
        <f>SUM(Y45:AE45)</f>
        <v/>
      </c>
      <c r="Y45" s="43" t="n"/>
      <c r="Z45" s="43" t="n"/>
      <c r="AA45" s="43" t="n"/>
      <c r="AB45" s="43" t="n"/>
      <c r="AC45" s="43" t="n"/>
      <c r="AD45" s="43" t="n"/>
      <c r="AE45" s="43" t="n"/>
      <c r="AF45" s="38">
        <f>IF((W45-SUM(Y45:AE45))&lt;0,0,W45-SUM(Y45:AE45))</f>
        <v/>
      </c>
      <c r="AG45" s="34">
        <f>MAX(0,$AT45-$W45-$AI45)</f>
        <v/>
      </c>
      <c r="AH45" s="39" t="n"/>
      <c r="AI45" s="39" t="n"/>
      <c r="AJ45" s="39" t="n">
        <v>0.33</v>
      </c>
      <c r="AK45" s="39">
        <f>IF(AND($AG45&gt;0,ISNUMBER($AJ45)),$AG45*$AJ45,0)</f>
        <v/>
      </c>
      <c r="AT45" s="37">
        <f>SUM(AU45:BA45)</f>
        <v/>
      </c>
      <c r="AU45" s="73" t="n"/>
      <c r="AV45" s="33" t="n"/>
      <c r="AW45" s="33" t="n"/>
      <c r="AX45" s="33" t="n"/>
      <c r="AY45" s="33" t="n">
        <v>1</v>
      </c>
      <c r="AZ45" s="33" t="n"/>
      <c r="BA45" s="74" t="n"/>
      <c r="BB45" s="107" t="n"/>
      <c r="BC45" s="42" t="n"/>
      <c r="BD45" s="42" t="n"/>
    </row>
    <row r="46" ht="15" customHeight="1" s="148">
      <c r="A46" t="inlineStr">
        <is>
          <t>c0042</t>
        </is>
      </c>
      <c r="B46" s="44" t="inlineStr">
        <is>
          <t>Lethal Scheme</t>
        </is>
      </c>
      <c r="C46" s="34" t="inlineStr">
        <is>
          <t>B</t>
        </is>
      </c>
      <c r="D46" s="44" t="inlineStr">
        <is>
          <t>Instant</t>
        </is>
      </c>
      <c r="E46" s="41" t="inlineStr">
        <is>
          <t>B2</t>
        </is>
      </c>
      <c r="F46" s="34" t="n">
        <v>4</v>
      </c>
      <c r="G46" s="67" t="inlineStr">
        <is>
          <t>Convoke (Your creatures can help cast this spell. Each creature you tap while casting this spell pays for {1} or one mana of that creature's color.)
Destroy target creature or planeswalker. Each creature that convoked this spell connives. (Draw a card, then discard a card. If you discarded a nonland card, put a +1/+1 counter on that creature.)</t>
        </is>
      </c>
      <c r="H46" s="45" t="inlineStr">
        <is>
          <t>Removal</t>
        </is>
      </c>
      <c r="I46" s="45" t="inlineStr">
        <is>
          <t>Destroys target creature or planeswalker</t>
        </is>
      </c>
      <c r="J46" s="45" t="inlineStr">
        <is>
          <t>Convoking creatures connive (draw then discard, maybe +1/+1 counter)</t>
        </is>
      </c>
      <c r="K46" s="45" t="n"/>
      <c r="L46" s="42" t="n"/>
      <c r="M46" s="42" t="n"/>
      <c r="N46" s="42" t="n"/>
      <c r="O46" s="42" t="n"/>
      <c r="P46" s="42" t="n">
        <v>0.28</v>
      </c>
      <c r="Q46" s="42" t="n"/>
      <c r="R46" s="42" t="n"/>
      <c r="S46" s="42" t="n"/>
      <c r="T46" s="42" t="n"/>
      <c r="U46" s="42" t="n"/>
      <c r="V46" s="45" t="inlineStr">
        <is>
          <t>New Capenna Commander</t>
        </is>
      </c>
      <c r="W46" s="41" t="n">
        <v>1</v>
      </c>
      <c r="X46" s="37">
        <f>SUM(Y46:AE46)</f>
        <v/>
      </c>
      <c r="Y46" s="43" t="n"/>
      <c r="Z46" s="43" t="n"/>
      <c r="AA46" s="43" t="n">
        <v>1</v>
      </c>
      <c r="AB46" s="43" t="n"/>
      <c r="AC46" s="43" t="n"/>
      <c r="AD46" s="43" t="n"/>
      <c r="AE46" s="43" t="n"/>
      <c r="AF46" s="38">
        <f>IF((W46-SUM(Y46:AE46))&lt;0,0,W46-SUM(Y46:AE46))</f>
        <v/>
      </c>
      <c r="AG46" s="34">
        <f>MAX(0,$AT46-$W46-$AI46)</f>
        <v/>
      </c>
      <c r="AH46" s="34" t="n"/>
      <c r="AI46" s="34" t="n"/>
      <c r="AJ46" s="36" t="n">
        <v>0.25</v>
      </c>
      <c r="AK46" s="36">
        <f>IF(AND($AG46&gt;0,ISNUMBER($AJ46)),$AG46*$AJ46,0)</f>
        <v/>
      </c>
      <c r="AP46" s="58" t="n"/>
      <c r="AT46" s="37">
        <f>SUM(AU46:BA46)</f>
        <v/>
      </c>
      <c r="AU46" s="73" t="n"/>
      <c r="AV46" s="33" t="n"/>
      <c r="AW46" s="98" t="n">
        <v>1</v>
      </c>
      <c r="AX46" s="33" t="n"/>
      <c r="AY46" s="33" t="n"/>
      <c r="AZ46" s="33" t="n"/>
      <c r="BA46" s="74" t="n"/>
      <c r="BB46" s="106" t="n"/>
      <c r="BC46" s="42" t="n"/>
      <c r="BD46" s="42" t="n"/>
    </row>
    <row r="47" ht="15" customHeight="1" s="148">
      <c r="A47" t="inlineStr">
        <is>
          <t>c0043</t>
        </is>
      </c>
      <c r="B47" s="44" t="inlineStr">
        <is>
          <t>Long Goodbye</t>
        </is>
      </c>
      <c r="C47" s="34" t="inlineStr">
        <is>
          <t>B</t>
        </is>
      </c>
      <c r="D47" s="44" t="inlineStr">
        <is>
          <t>Instant</t>
        </is>
      </c>
      <c r="E47" s="41" t="inlineStr">
        <is>
          <t>B2</t>
        </is>
      </c>
      <c r="F47" s="34" t="n">
        <v>2</v>
      </c>
      <c r="G47" s="67" t="inlineStr">
        <is>
          <t>This spell can't be countered. (This includes by the ward ability.)
Destroy target creature or planeswalker with mana value 3 or less.</t>
        </is>
      </c>
      <c r="H47" s="45" t="inlineStr">
        <is>
          <t>Removal</t>
        </is>
      </c>
      <c r="I47" s="45" t="inlineStr">
        <is>
          <t>Destroys target creature or planeswalker with mana value 3 or less</t>
        </is>
      </c>
      <c r="J47" s="45" t="inlineStr">
        <is>
          <t>Can't be countered</t>
        </is>
      </c>
      <c r="K47" s="45" t="n"/>
      <c r="L47" s="42" t="n"/>
      <c r="M47" s="42" t="n"/>
      <c r="N47" s="42" t="n"/>
      <c r="O47" s="42" t="n"/>
      <c r="P47" s="42" t="n">
        <v>0.32</v>
      </c>
      <c r="Q47" s="42" t="n"/>
      <c r="R47" s="42" t="n"/>
      <c r="S47" s="42" t="n"/>
      <c r="T47" s="42" t="n"/>
      <c r="U47" s="42" t="n"/>
      <c r="V47" s="45" t="inlineStr">
        <is>
          <t>Murders at Karlov Manor</t>
        </is>
      </c>
      <c r="W47" s="41" t="n">
        <v>1</v>
      </c>
      <c r="X47" s="37">
        <f>SUM(Y47:AE47)</f>
        <v/>
      </c>
      <c r="Y47" s="43" t="n"/>
      <c r="Z47" s="43" t="n"/>
      <c r="AA47" s="43" t="n">
        <v>1</v>
      </c>
      <c r="AB47" s="43" t="n"/>
      <c r="AC47" s="43" t="n"/>
      <c r="AD47" s="43" t="n"/>
      <c r="AE47" s="43" t="n"/>
      <c r="AF47" s="38">
        <f>IF((W47-SUM(Y47:AE47))&lt;0,0,W47-SUM(Y47:AE47))</f>
        <v/>
      </c>
      <c r="AG47" s="34">
        <f>MAX(0,$AT47-$W47-$AI47)</f>
        <v/>
      </c>
      <c r="AH47" s="34" t="n"/>
      <c r="AI47" s="34" t="n"/>
      <c r="AJ47" s="36" t="n">
        <v>0.25</v>
      </c>
      <c r="AK47" s="36">
        <f>IF(AND($AG47&gt;0,ISNUMBER($AJ47)),$AG47*$AJ47,0)</f>
        <v/>
      </c>
      <c r="AT47" s="37">
        <f>SUM(AU47:BA47)</f>
        <v/>
      </c>
      <c r="AU47" s="73" t="n"/>
      <c r="AV47" s="33" t="n"/>
      <c r="AW47" s="98" t="n">
        <v>1</v>
      </c>
      <c r="AX47" s="33" t="n"/>
      <c r="AY47" s="33" t="n"/>
      <c r="AZ47" s="33" t="n"/>
      <c r="BA47" s="74" t="n"/>
      <c r="BB47" s="106" t="n"/>
      <c r="BC47" s="42" t="n"/>
      <c r="BD47" s="42" t="n"/>
    </row>
    <row r="48" ht="15" customHeight="1" s="148">
      <c r="A48" t="inlineStr">
        <is>
          <t>c0044</t>
        </is>
      </c>
      <c r="B48" s="44" t="inlineStr">
        <is>
          <t>Marauding Blight-Priest</t>
        </is>
      </c>
      <c r="C48" s="34" t="inlineStr">
        <is>
          <t>B</t>
        </is>
      </c>
      <c r="D48" s="44" t="inlineStr">
        <is>
          <t>Creature</t>
        </is>
      </c>
      <c r="E48" s="41" t="inlineStr">
        <is>
          <t>B3</t>
        </is>
      </c>
      <c r="F48" s="34" t="n">
        <v>3</v>
      </c>
      <c r="G48" s="67" t="inlineStr">
        <is>
          <t>Whenever you gain life, each opponent loses 1 life.
(3/2)</t>
        </is>
      </c>
      <c r="H48" s="45" t="inlineStr">
        <is>
          <t>Utility Creature</t>
        </is>
      </c>
      <c r="I48" s="45" t="inlineStr">
        <is>
          <t>Whenever you gain life, each opponent loses 1 life</t>
        </is>
      </c>
      <c r="J48" s="45" t="n"/>
      <c r="K48" s="45" t="n"/>
      <c r="L48" s="42" t="n"/>
      <c r="M48" s="42" t="n"/>
      <c r="N48" s="42" t="n"/>
      <c r="O48" s="42" t="n"/>
      <c r="P48" s="42" t="n">
        <v>0.36</v>
      </c>
      <c r="Q48" s="42" t="n"/>
      <c r="R48" s="42" t="n"/>
      <c r="S48" s="42" t="n"/>
      <c r="T48" s="42" t="n"/>
      <c r="U48" s="42" t="n"/>
      <c r="V48" s="45" t="inlineStr">
        <is>
          <t>Zendikar Rising</t>
        </is>
      </c>
      <c r="W48" s="41" t="n">
        <v>0</v>
      </c>
      <c r="X48" s="37">
        <f>SUM(Y48:AE48)</f>
        <v/>
      </c>
      <c r="Y48" s="43" t="n"/>
      <c r="Z48" s="43" t="n"/>
      <c r="AA48" s="43" t="n"/>
      <c r="AB48" s="43" t="n"/>
      <c r="AC48" s="43" t="n"/>
      <c r="AD48" s="43" t="n"/>
      <c r="AE48" s="43" t="n"/>
      <c r="AF48" s="38">
        <f>IF((W48-SUM(Y48:AE48))&lt;0,0,W48-SUM(Y48:AE48))</f>
        <v/>
      </c>
      <c r="AG48" s="34">
        <f>MAX(0,$AT48-$W48-$AI48)</f>
        <v/>
      </c>
      <c r="AH48" s="34" t="n"/>
      <c r="AI48" s="34" t="n"/>
      <c r="AJ48" s="36" t="n">
        <v>0.19</v>
      </c>
      <c r="AK48" s="36">
        <f>IF(AND($AG48&gt;0,ISNUMBER($AJ48)),$AG48*$AJ48,0)</f>
        <v/>
      </c>
      <c r="AL48" s="54" t="n"/>
      <c r="AM48" s="54" t="n"/>
      <c r="AN48" s="54" t="n"/>
      <c r="AO48" s="54" t="n"/>
      <c r="AP48" s="54" t="n"/>
      <c r="AQ48" s="54" t="n"/>
      <c r="AR48" s="54" t="n"/>
      <c r="AS48" s="54" t="n"/>
      <c r="AT48" s="37">
        <f>SUM(AU48:BA48)</f>
        <v/>
      </c>
      <c r="AU48" s="92" t="n"/>
      <c r="AV48" s="38" t="n"/>
      <c r="AW48" s="38" t="n"/>
      <c r="AX48" s="38" t="n"/>
      <c r="AY48" s="38" t="n"/>
      <c r="AZ48" s="38" t="n"/>
      <c r="BA48" s="94" t="n"/>
      <c r="BB48" s="106" t="n"/>
      <c r="BC48" s="42" t="n"/>
      <c r="BD48" s="48" t="n"/>
    </row>
    <row r="49" ht="15" customHeight="1" s="148">
      <c r="A49" t="inlineStr">
        <is>
          <t>c0045</t>
        </is>
      </c>
      <c r="B49" s="30" t="inlineStr">
        <is>
          <t>Masterful Flourish</t>
        </is>
      </c>
      <c r="C49" s="31" t="inlineStr">
        <is>
          <t>B</t>
        </is>
      </c>
      <c r="D49" s="30" t="inlineStr">
        <is>
          <t>Instant</t>
        </is>
      </c>
      <c r="E49" s="33" t="inlineStr">
        <is>
          <t>B2</t>
        </is>
      </c>
      <c r="F49" s="31" t="n">
        <v>1</v>
      </c>
      <c r="G49" s="67" t="inlineStr">
        <is>
          <t>Target creature you control gets +1/+0 and gains indestructible until end of turn. (Damage and effects that say "destroy" don't destroy it.)</t>
        </is>
      </c>
      <c r="H49" s="30" t="inlineStr">
        <is>
          <t>Protection</t>
        </is>
      </c>
      <c r="I49" s="30" t="inlineStr">
        <is>
          <t>Target creature you control gets +1/+0 and gains indestructible until end of turn</t>
        </is>
      </c>
      <c r="J49" s="30" t="n"/>
      <c r="K49" s="30" t="n"/>
      <c r="L49" s="32" t="inlineStr">
        <is>
          <t>89</t>
        </is>
      </c>
      <c r="M49" s="32" t="n">
        <v>1</v>
      </c>
      <c r="N49" s="32" t="n">
        <v>0</v>
      </c>
      <c r="O49" s="63" t="n"/>
      <c r="P49" s="63" t="n">
        <v>0.2</v>
      </c>
      <c r="Q49" s="32" t="inlineStr">
        <is>
          <t>Common</t>
        </is>
      </c>
      <c r="R49" s="32" t="n"/>
      <c r="S49" s="32" t="n"/>
      <c r="T49" s="63" t="n"/>
      <c r="U49" s="63" t="n"/>
      <c r="V49" s="30" t="inlineStr">
        <is>
          <t>Secrets of Strixhaven</t>
        </is>
      </c>
      <c r="W49" s="41" t="n">
        <v>1</v>
      </c>
      <c r="X49" s="37">
        <f>SUM(Y49:AE49)</f>
        <v/>
      </c>
      <c r="Y49" s="43" t="n"/>
      <c r="Z49" s="43" t="n"/>
      <c r="AA49" s="43" t="n"/>
      <c r="AB49" s="43" t="n"/>
      <c r="AC49" s="43" t="n"/>
      <c r="AD49" s="43" t="n"/>
      <c r="AE49" s="43" t="n"/>
      <c r="AF49" s="38">
        <f>IF((W49-SUM(Y49:AE49))&lt;0,0,W49-SUM(Y49:AE49))</f>
        <v/>
      </c>
      <c r="AG49" s="34">
        <f>MAX(0,$AT49-$W49-$AI49)</f>
        <v/>
      </c>
      <c r="AH49" s="30" t="n"/>
      <c r="AI49" s="30" t="n"/>
      <c r="AJ49" s="35" t="n">
        <v>0.2</v>
      </c>
      <c r="AK49" s="36">
        <f>IF(AND($AG49&gt;0,ISNUMBER($AJ49)),$AG49*$AJ49,0)</f>
        <v/>
      </c>
      <c r="AT49" s="37">
        <f>SUM(AU49:BA49)</f>
        <v/>
      </c>
      <c r="AU49" s="73" t="n"/>
      <c r="AV49" s="33" t="n"/>
      <c r="AW49" s="33" t="n"/>
      <c r="AX49" s="33" t="n"/>
      <c r="AY49" s="33" t="n"/>
      <c r="AZ49" s="33" t="n"/>
      <c r="BA49" s="74" t="n"/>
      <c r="BB49" s="108" t="n"/>
      <c r="BC49" s="32" t="n"/>
      <c r="BD49" s="32" t="n"/>
    </row>
    <row r="50" ht="15" customHeight="1" s="148">
      <c r="A50" t="inlineStr">
        <is>
          <t>c0046</t>
        </is>
      </c>
      <c r="B50" s="44" t="inlineStr">
        <is>
          <t>Mirkwood Bats</t>
        </is>
      </c>
      <c r="C50" s="34" t="inlineStr">
        <is>
          <t>B</t>
        </is>
      </c>
      <c r="D50" s="44" t="inlineStr">
        <is>
          <t>Creature</t>
        </is>
      </c>
      <c r="E50" s="41" t="inlineStr">
        <is>
          <t>B2</t>
        </is>
      </c>
      <c r="F50" s="34" t="n">
        <v>4</v>
      </c>
      <c r="G50" s="67" t="inlineStr">
        <is>
          <t>Flying
Whenever you create or sacrifice a token, each opponent loses 1 life.
(2/3)</t>
        </is>
      </c>
      <c r="H50" s="45" t="inlineStr">
        <is>
          <t>Drain Payoff</t>
        </is>
      </c>
      <c r="I50" s="45" t="inlineStr">
        <is>
          <t>Flying</t>
        </is>
      </c>
      <c r="J50" s="45" t="inlineStr">
        <is>
          <t>Whenever you create or sacrifice a token, each opponent loses 1 life</t>
        </is>
      </c>
      <c r="K50" s="45" t="n"/>
      <c r="L50" s="42" t="n"/>
      <c r="M50" s="42" t="n"/>
      <c r="N50" s="42" t="n"/>
      <c r="O50" s="42" t="n"/>
      <c r="P50" s="42" t="n">
        <v>1.65</v>
      </c>
      <c r="Q50" s="42" t="n"/>
      <c r="R50" s="42" t="n"/>
      <c r="S50" s="42" t="n"/>
      <c r="T50" s="42" t="n"/>
      <c r="U50" s="42" t="n"/>
      <c r="V50" s="45" t="inlineStr">
        <is>
          <t>The Lord of the Rings: Tales of Middle-earth</t>
        </is>
      </c>
      <c r="W50" s="41" t="n">
        <v>0</v>
      </c>
      <c r="X50" s="37">
        <f>SUM(Y50:AE50)</f>
        <v/>
      </c>
      <c r="Y50" s="43" t="n"/>
      <c r="Z50" s="43" t="n"/>
      <c r="AA50" s="43" t="n"/>
      <c r="AB50" s="43" t="n"/>
      <c r="AC50" s="43" t="n"/>
      <c r="AD50" s="43" t="n"/>
      <c r="AE50" s="43" t="n"/>
      <c r="AF50" s="38">
        <f>IF((W50-SUM(Y50:AE50))&lt;0,0,W50-SUM(Y50:AE50))</f>
        <v/>
      </c>
      <c r="AG50" s="34">
        <f>MAX(0,$AT50-$W50-$AI50)</f>
        <v/>
      </c>
      <c r="AH50" s="34" t="n"/>
      <c r="AI50" s="34" t="n"/>
      <c r="AJ50" s="36" t="n">
        <v>1.43</v>
      </c>
      <c r="AK50" s="36">
        <f>IF(AND($AG50&gt;0,ISNUMBER($AJ50)),$AG50*$AJ50,0)</f>
        <v/>
      </c>
      <c r="AL50" s="54" t="n"/>
      <c r="AM50" s="54" t="n"/>
      <c r="AN50" s="54" t="n"/>
      <c r="AO50" s="54" t="n"/>
      <c r="AP50" s="54" t="n"/>
      <c r="AQ50" s="54" t="n"/>
      <c r="AR50" s="54" t="n"/>
      <c r="AS50" s="54" t="n"/>
      <c r="AT50" s="37">
        <f>SUM(AU50:BA50)</f>
        <v/>
      </c>
      <c r="AU50" s="92" t="n"/>
      <c r="AV50" s="38" t="n"/>
      <c r="AW50" s="38" t="n"/>
      <c r="AX50" s="38" t="n"/>
      <c r="AY50" s="38" t="n"/>
      <c r="AZ50" s="38" t="n"/>
      <c r="BA50" s="94" t="n"/>
      <c r="BB50" s="106" t="n"/>
      <c r="BC50" s="42" t="n"/>
      <c r="BD50" s="48" t="n"/>
    </row>
    <row r="51" ht="15" customHeight="1" s="148">
      <c r="A51" t="inlineStr">
        <is>
          <t>c0047</t>
        </is>
      </c>
      <c r="B51" s="44" t="inlineStr">
        <is>
          <t>Mirrodin Avenged</t>
        </is>
      </c>
      <c r="C51" s="34" t="inlineStr">
        <is>
          <t>B</t>
        </is>
      </c>
      <c r="D51" s="44" t="inlineStr">
        <is>
          <t>Instant</t>
        </is>
      </c>
      <c r="E51" s="41" t="inlineStr">
        <is>
          <t>B2</t>
        </is>
      </c>
      <c r="F51" s="34" t="n">
        <v>1</v>
      </c>
      <c r="G51" s="67" t="inlineStr">
        <is>
          <t>Destroy target creature that was dealt damage this turn.
Draw a card.</t>
        </is>
      </c>
      <c r="H51" s="45" t="inlineStr">
        <is>
          <t>Removal</t>
        </is>
      </c>
      <c r="I51" s="45" t="inlineStr">
        <is>
          <t>Destroys target creature that was dealt damage this turn</t>
        </is>
      </c>
      <c r="J51" s="45" t="inlineStr">
        <is>
          <t>Draws a card</t>
        </is>
      </c>
      <c r="K51" s="45" t="n"/>
      <c r="L51" s="42" t="n"/>
      <c r="M51" s="42" t="n"/>
      <c r="N51" s="42" t="n"/>
      <c r="O51" s="63" t="n"/>
      <c r="P51" s="63" t="n">
        <v>0.14</v>
      </c>
      <c r="Q51" s="42" t="n"/>
      <c r="R51" s="42" t="n"/>
      <c r="S51" s="42" t="n"/>
      <c r="T51" s="63" t="n"/>
      <c r="U51" s="63" t="n"/>
      <c r="V51" s="45" t="inlineStr">
        <is>
          <t>March of the Machine</t>
        </is>
      </c>
      <c r="W51" s="41" t="n">
        <v>1</v>
      </c>
      <c r="X51" s="37">
        <f>SUM(Y51:AE51)</f>
        <v/>
      </c>
      <c r="Y51" s="43" t="n"/>
      <c r="Z51" s="43" t="n"/>
      <c r="AA51" s="43" t="n"/>
      <c r="AB51" s="43" t="n"/>
      <c r="AC51" s="43" t="n"/>
      <c r="AD51" s="43" t="n"/>
      <c r="AE51" s="43" t="n">
        <v>1</v>
      </c>
      <c r="AF51" s="38">
        <f>IF((W51-SUM(Y51:AE51))&lt;0,0,W51-SUM(Y51:AE51))</f>
        <v/>
      </c>
      <c r="AG51" s="34">
        <f>MAX(0,$AT51-$W51-$AI51)</f>
        <v/>
      </c>
      <c r="AH51" s="34" t="n"/>
      <c r="AI51" s="34" t="n"/>
      <c r="AJ51" s="36" t="n">
        <v>0.13</v>
      </c>
      <c r="AK51" s="36">
        <f>IF(AND($AG51&gt;0,ISNUMBER($AJ51)),$AG51*$AJ51,0)</f>
        <v/>
      </c>
      <c r="AT51" s="37">
        <f>SUM(AU51:BA51)</f>
        <v/>
      </c>
      <c r="AU51" s="73" t="n"/>
      <c r="AV51" s="33" t="n"/>
      <c r="AW51" s="33" t="n"/>
      <c r="AX51" s="33" t="n"/>
      <c r="AY51" s="33" t="n"/>
      <c r="AZ51" s="33" t="n"/>
      <c r="BA51" s="80" t="n">
        <v>1</v>
      </c>
      <c r="BB51" s="106" t="n"/>
      <c r="BC51" s="42" t="n"/>
      <c r="BD51" s="42" t="n"/>
    </row>
    <row r="52" ht="15" customHeight="1" s="148">
      <c r="A52" t="inlineStr">
        <is>
          <t>c0048</t>
        </is>
      </c>
      <c r="B52" s="44" t="inlineStr">
        <is>
          <t>Moonglove Extractor</t>
        </is>
      </c>
      <c r="C52" s="34" t="inlineStr">
        <is>
          <t>B</t>
        </is>
      </c>
      <c r="D52" s="44" t="inlineStr">
        <is>
          <t>Creature</t>
        </is>
      </c>
      <c r="E52" s="41" t="inlineStr">
        <is>
          <t>B2</t>
        </is>
      </c>
      <c r="F52" s="34" t="n">
        <v>3</v>
      </c>
      <c r="G52" s="67" t="inlineStr">
        <is>
          <t>Whenever this creature attacks, you draw a card and lose 1 life.
(2/1)</t>
        </is>
      </c>
      <c r="H52" s="45" t="inlineStr">
        <is>
          <t>Card Draw</t>
        </is>
      </c>
      <c r="I52" s="45" t="inlineStr">
        <is>
          <t>Attacking draws you a card and costs you 1 life</t>
        </is>
      </c>
      <c r="J52" s="45" t="n"/>
      <c r="K52" s="45" t="n"/>
      <c r="L52" s="42" t="n"/>
      <c r="M52" s="42" t="n"/>
      <c r="N52" s="42" t="n"/>
      <c r="O52" s="63" t="n"/>
      <c r="P52" s="63" t="n">
        <v>0.06</v>
      </c>
      <c r="Q52" s="42" t="n"/>
      <c r="R52" s="42" t="n"/>
      <c r="S52" s="42" t="n"/>
      <c r="T52" s="63" t="n"/>
      <c r="U52" s="63" t="n"/>
      <c r="V52" s="45" t="inlineStr">
        <is>
          <t>Lorwyn Eclipsed</t>
        </is>
      </c>
      <c r="W52" s="41" t="n">
        <v>3</v>
      </c>
      <c r="X52" s="37">
        <f>SUM(Y52:AE52)</f>
        <v/>
      </c>
      <c r="Y52" s="43" t="n"/>
      <c r="Z52" s="43" t="n"/>
      <c r="AA52" s="43" t="n"/>
      <c r="AB52" s="43" t="n"/>
      <c r="AC52" s="43" t="n"/>
      <c r="AD52" s="43" t="n"/>
      <c r="AE52" s="43" t="n">
        <v>1</v>
      </c>
      <c r="AF52" s="38">
        <f>IF((W52-SUM(Y52:AE52))&lt;0,0,W52-SUM(Y52:AE52))</f>
        <v/>
      </c>
      <c r="AG52" s="34">
        <f>MAX(0,$AT52-$W52-$AI52)</f>
        <v/>
      </c>
      <c r="AH52" s="34" t="n"/>
      <c r="AI52" s="34" t="n"/>
      <c r="AJ52" s="36" t="n">
        <v>0.07000000000000001</v>
      </c>
      <c r="AK52" s="36">
        <f>IF(AND($AG52&gt;0,ISNUMBER($AJ52)),$AG52*$AJ52,0)</f>
        <v/>
      </c>
      <c r="AP52" s="58" t="n"/>
      <c r="AR52" s="58" t="n"/>
      <c r="AT52" s="37">
        <f>SUM(AU52:BA52)</f>
        <v/>
      </c>
      <c r="AU52" s="73" t="n"/>
      <c r="AV52" s="33" t="n"/>
      <c r="AW52" s="33" t="n"/>
      <c r="AX52" s="33" t="n"/>
      <c r="AY52" s="33" t="n"/>
      <c r="AZ52" s="33" t="n"/>
      <c r="BA52" s="79" t="n"/>
      <c r="BB52" s="106" t="n"/>
      <c r="BC52" s="42" t="n"/>
      <c r="BD52" s="42" t="n"/>
    </row>
    <row r="53" ht="15" customHeight="1" s="148">
      <c r="A53" t="inlineStr">
        <is>
          <t>c0049</t>
        </is>
      </c>
      <c r="B53" s="30" t="inlineStr">
        <is>
          <t>Moonshadow</t>
        </is>
      </c>
      <c r="C53" s="31" t="inlineStr">
        <is>
          <t>B</t>
        </is>
      </c>
      <c r="D53" s="30" t="inlineStr">
        <is>
          <t>Creature</t>
        </is>
      </c>
      <c r="E53" s="33" t="inlineStr">
        <is>
          <t>B2</t>
        </is>
      </c>
      <c r="F53" s="31" t="n">
        <v>1</v>
      </c>
      <c r="G53" s="67" t="inlineStr">
        <is>
          <t>Menace
This creature enters with six -1/-1 counters on it.
Whenever one or more permanent cards are put into your graveyard from anywhere while this creature has a -1/-1 counter on it, remove a -1/-1 counter from this creature.
(7/7)</t>
        </is>
      </c>
      <c r="H53" s="30" t="inlineStr">
        <is>
          <t>Finisher</t>
        </is>
      </c>
      <c r="I53" s="30" t="inlineStr">
        <is>
          <t>7/7 menace for one mana that enters with six -1/-1 counters on it</t>
        </is>
      </c>
      <c r="J53" s="30" t="inlineStr">
        <is>
          <t>Remove a -1/-1 counter whenever one or more permanent cards are put into your graveyard from anywhere</t>
        </is>
      </c>
      <c r="K53" s="30" t="n"/>
      <c r="L53" s="32" t="inlineStr">
        <is>
          <t>110</t>
        </is>
      </c>
      <c r="M53" s="32" t="n">
        <v>1</v>
      </c>
      <c r="N53" s="32" t="n">
        <v>0</v>
      </c>
      <c r="O53" s="63" t="n"/>
      <c r="P53" s="63" t="n">
        <v>13.04</v>
      </c>
      <c r="Q53" s="32" t="inlineStr">
        <is>
          <t>Mythic</t>
        </is>
      </c>
      <c r="R53" s="32" t="n"/>
      <c r="S53" s="32" t="n"/>
      <c r="T53" s="63" t="n"/>
      <c r="U53" s="63" t="n"/>
      <c r="V53" s="30" t="inlineStr">
        <is>
          <t>Lorwyn Eclipsed</t>
        </is>
      </c>
      <c r="W53" s="41" t="n">
        <v>1</v>
      </c>
      <c r="X53" s="37">
        <f>SUM(Y53:AE53)</f>
        <v/>
      </c>
      <c r="Y53" s="43" t="n"/>
      <c r="Z53" s="43" t="n"/>
      <c r="AA53" s="43" t="n"/>
      <c r="AB53" s="43" t="n"/>
      <c r="AC53" s="43" t="n"/>
      <c r="AD53" s="43" t="n"/>
      <c r="AE53" s="43" t="n">
        <v>1</v>
      </c>
      <c r="AF53" s="38">
        <f>IF((W53-SUM(Y53:AE53))&lt;0,0,W53-SUM(Y53:AE53))</f>
        <v/>
      </c>
      <c r="AG53" s="34">
        <f>MAX(0,$AT53-$W53-$AI53)</f>
        <v/>
      </c>
      <c r="AH53" s="30" t="n"/>
      <c r="AI53" s="30" t="n"/>
      <c r="AJ53" s="35" t="n">
        <v>13.04</v>
      </c>
      <c r="AK53" s="36">
        <f>IF(AND($AG53&gt;0,ISNUMBER($AJ53)),$AG53*$AJ53,0)</f>
        <v/>
      </c>
      <c r="AR53" t="inlineStr">
        <is>
          <t>BL0060</t>
        </is>
      </c>
      <c r="AT53" s="37">
        <f>SUM(AU53:BA53)</f>
        <v/>
      </c>
      <c r="AU53" s="73" t="n"/>
      <c r="AV53" s="33" t="n"/>
      <c r="AW53" s="33" t="n"/>
      <c r="AX53" s="33" t="n"/>
      <c r="AY53" s="33" t="n"/>
      <c r="AZ53" s="33" t="n"/>
      <c r="BA53" s="81" t="n"/>
      <c r="BB53" s="108" t="n"/>
      <c r="BC53" s="32" t="n"/>
      <c r="BD53" s="32" t="n"/>
    </row>
    <row r="54" ht="15" customHeight="1" s="148">
      <c r="A54" t="inlineStr">
        <is>
          <t>c0050</t>
        </is>
      </c>
      <c r="B54" s="39" t="inlineStr">
        <is>
          <t>Morbid Opportunist</t>
        </is>
      </c>
      <c r="C54" s="40" t="inlineStr">
        <is>
          <t>B</t>
        </is>
      </c>
      <c r="D54" s="39" t="inlineStr">
        <is>
          <t>Creature</t>
        </is>
      </c>
      <c r="E54" s="41" t="inlineStr">
        <is>
          <t>B2</t>
        </is>
      </c>
      <c r="F54" s="40" t="n">
        <v>3</v>
      </c>
      <c r="G54" s="67" t="inlineStr">
        <is>
          <t>Whenever one or more other creatures die, draw a card. This ability triggers only once each turn.
(1/3)</t>
        </is>
      </c>
      <c r="H54" s="39" t="inlineStr">
        <is>
          <t>Card Draw</t>
        </is>
      </c>
      <c r="I54" s="39" t="inlineStr">
        <is>
          <t>Whenever one or more other creatures die, draw a card. This ability triggers only once each turn</t>
        </is>
      </c>
      <c r="J54" s="39" t="n"/>
      <c r="K54" s="39" t="n"/>
      <c r="L54" s="88" t="n"/>
      <c r="M54" s="41" t="n"/>
      <c r="N54" s="41" t="n"/>
      <c r="O54" s="63" t="n"/>
      <c r="P54" s="90" t="n">
        <v>0.32</v>
      </c>
      <c r="Q54" s="88" t="n"/>
      <c r="R54" s="41" t="n"/>
      <c r="S54" s="41" t="n"/>
      <c r="T54" s="63" t="n"/>
      <c r="U54" s="91" t="n"/>
      <c r="V54" s="39" t="inlineStr">
        <is>
          <t>Innistrad: Midnight Hunt</t>
        </is>
      </c>
      <c r="W54" s="41" t="n">
        <v>0</v>
      </c>
      <c r="X54" s="37">
        <f>SUM(Y54:AE54)</f>
        <v/>
      </c>
      <c r="Y54" s="43" t="n"/>
      <c r="Z54" s="43" t="n"/>
      <c r="AA54" s="43" t="n"/>
      <c r="AB54" s="43" t="n"/>
      <c r="AC54" s="43" t="n"/>
      <c r="AD54" s="43" t="n"/>
      <c r="AE54" s="43" t="n"/>
      <c r="AF54" s="38">
        <f>IF((W54-SUM(Y54:AE54))&lt;0,0,W54-SUM(Y54:AE54))</f>
        <v/>
      </c>
      <c r="AG54" s="34">
        <f>MAX(0,$AT54-$W54-$AI54)</f>
        <v/>
      </c>
      <c r="AH54" s="39" t="n"/>
      <c r="AI54" s="39" t="n"/>
      <c r="AJ54" s="39" t="n">
        <v>0.32</v>
      </c>
      <c r="AK54" s="39">
        <f>IF(AND($AG54&gt;0,ISNUMBER($AJ54)),$AG54*$AJ54,0)</f>
        <v/>
      </c>
      <c r="AT54" s="37">
        <f>SUM(AU54:BA54)</f>
        <v/>
      </c>
      <c r="AU54" s="73" t="n"/>
      <c r="AV54" s="33" t="n"/>
      <c r="AW54" s="33" t="n"/>
      <c r="AX54" s="33" t="n"/>
      <c r="AY54" s="33" t="n">
        <v>1</v>
      </c>
      <c r="AZ54" s="33" t="n"/>
      <c r="BA54" s="74" t="n"/>
      <c r="BB54" s="107" t="n"/>
      <c r="BC54" s="42" t="n"/>
      <c r="BD54" s="42" t="n"/>
    </row>
    <row r="55" ht="15" customHeight="1" s="148">
      <c r="A55" t="inlineStr">
        <is>
          <t>c0051</t>
        </is>
      </c>
      <c r="B55" s="44" t="inlineStr">
        <is>
          <t>Nadier's Nightblade</t>
        </is>
      </c>
      <c r="C55" s="34" t="inlineStr">
        <is>
          <t>B</t>
        </is>
      </c>
      <c r="D55" s="44" t="inlineStr">
        <is>
          <t>Creature</t>
        </is>
      </c>
      <c r="E55" s="41" t="inlineStr">
        <is>
          <t>B2</t>
        </is>
      </c>
      <c r="F55" s="34" t="n">
        <v>3</v>
      </c>
      <c r="G55" s="67" t="inlineStr">
        <is>
          <t>Whenever a token you control leaves the battlefield, each opponent loses 1 life and you gain 1 life.
(1/3)</t>
        </is>
      </c>
      <c r="H55" s="45" t="inlineStr">
        <is>
          <t>Drain Payoff</t>
        </is>
      </c>
      <c r="I55" s="45" t="inlineStr">
        <is>
          <t>Whenever a token you control leaves the battlefield, each opponent loses 1 life and you gain 1 life</t>
        </is>
      </c>
      <c r="J55" s="45" t="n"/>
      <c r="K55" s="45" t="n"/>
      <c r="L55" s="42" t="n"/>
      <c r="M55" s="42" t="n"/>
      <c r="N55" s="42" t="n"/>
      <c r="O55" s="42" t="n"/>
      <c r="P55" s="42" t="n">
        <v>0.38</v>
      </c>
      <c r="Q55" s="42" t="n"/>
      <c r="R55" s="42" t="n"/>
      <c r="S55" s="42" t="n"/>
      <c r="T55" s="42" t="n"/>
      <c r="U55" s="42" t="n"/>
      <c r="V55" s="45" t="inlineStr">
        <is>
          <t>Commander Legends</t>
        </is>
      </c>
      <c r="W55" s="41" t="n">
        <v>1</v>
      </c>
      <c r="X55" s="37">
        <f>SUM(Y55:AE55)</f>
        <v/>
      </c>
      <c r="Y55" s="43" t="n"/>
      <c r="Z55" s="43" t="n"/>
      <c r="AA55" s="43" t="n"/>
      <c r="AB55" s="43" t="n"/>
      <c r="AC55" s="43" t="n">
        <v>1</v>
      </c>
      <c r="AD55" s="43" t="n"/>
      <c r="AE55" s="43" t="n"/>
      <c r="AF55" s="38">
        <f>IF((W55-SUM(Y55:AE55))&lt;0,0,W55-SUM(Y55:AE55))</f>
        <v/>
      </c>
      <c r="AG55" s="34">
        <f>MAX(0,$AT55-$W55-$AI55)</f>
        <v/>
      </c>
      <c r="AH55" s="34" t="n"/>
      <c r="AI55" s="34" t="n"/>
      <c r="AJ55" s="36" t="n">
        <v>0.31</v>
      </c>
      <c r="AK55" s="36">
        <f>IF(AND($AG55&gt;0,ISNUMBER($AJ55)),$AG55*$AJ55,0)</f>
        <v/>
      </c>
      <c r="AT55" s="37">
        <f>SUM(AU55:BA55)</f>
        <v/>
      </c>
      <c r="AU55" s="73" t="n"/>
      <c r="AV55" s="33" t="n"/>
      <c r="AW55" s="33" t="n"/>
      <c r="AX55" s="33" t="n"/>
      <c r="AY55" s="98" t="n">
        <v>1</v>
      </c>
      <c r="AZ55" s="33" t="n"/>
      <c r="BA55" s="74" t="n"/>
      <c r="BB55" s="106" t="n"/>
      <c r="BC55" s="42" t="n"/>
      <c r="BD55" s="42" t="n"/>
    </row>
    <row r="56" ht="15" customHeight="1" s="148">
      <c r="A56" t="inlineStr">
        <is>
          <t>c0052</t>
        </is>
      </c>
      <c r="B56" s="113" t="inlineStr">
        <is>
          <t>Nighthowl Pursuer</t>
        </is>
      </c>
      <c r="C56" s="115" t="inlineStr">
        <is>
          <t>B</t>
        </is>
      </c>
      <c r="D56" s="117" t="inlineStr">
        <is>
          <t>Creature</t>
        </is>
      </c>
      <c r="E56" s="67" t="inlineStr">
        <is>
          <t>B2</t>
        </is>
      </c>
      <c r="F56" s="115" t="n">
        <v>1</v>
      </c>
      <c r="G56" s="69" t="inlineStr">
        <is>
          <t>Nighthowl Pursuer {B} — Creature — Wolf (1/1)
Menace (This creature can't be blocked except by two or more creatures.)
Ferocious — Whenever this creature attacks while you control a creature with power 4 or greater, this creature gets +2/+2 until end of turn.</t>
        </is>
      </c>
      <c r="H56" s="113" t="inlineStr">
        <is>
          <t>Utility Creature</t>
        </is>
      </c>
      <c r="I56" s="113" t="inlineStr">
        <is>
          <t>Menace; Ferocious - attacks bigger while you control a creature with power 4 or greater</t>
        </is>
      </c>
      <c r="J56" s="113" t="n"/>
      <c r="K56" s="113" t="n"/>
      <c r="L56" s="69" t="inlineStr">
        <is>
          <t>78</t>
        </is>
      </c>
      <c r="M56" s="69" t="n">
        <v>1</v>
      </c>
      <c r="N56" s="69" t="n">
        <v>0</v>
      </c>
      <c r="O56" s="63" t="inlineStr">
        <is>
          <t>Tomas Duchek</t>
        </is>
      </c>
      <c r="P56" s="85" t="n">
        <v>0.3</v>
      </c>
      <c r="Q56" s="69" t="inlineStr">
        <is>
          <t>Uncommon</t>
        </is>
      </c>
      <c r="R56" s="69" t="n"/>
      <c r="S56" s="69" t="n"/>
      <c r="T56" s="63" t="n"/>
      <c r="U56" s="63" t="n"/>
      <c r="V56" s="117" t="inlineStr">
        <is>
          <t>The Hobbit</t>
        </is>
      </c>
      <c r="W56" s="105" t="n">
        <v>1</v>
      </c>
      <c r="X56" s="37">
        <f>SUM(Y56:AE56)</f>
        <v/>
      </c>
      <c r="Y56" s="43" t="n"/>
      <c r="Z56" s="43" t="n"/>
      <c r="AA56" s="43" t="n"/>
      <c r="AB56" s="43" t="n"/>
      <c r="AC56" s="43" t="n"/>
      <c r="AD56" s="43" t="n"/>
      <c r="AE56" s="43" t="n"/>
      <c r="AF56" s="38">
        <f>IF((W56-SUM(Y56:AE56))&lt;0,0,W56-SUM(Y56:AE56))</f>
        <v/>
      </c>
      <c r="AG56" s="34">
        <f>MAX(0,$AT56-$W56-$AI56)</f>
        <v/>
      </c>
      <c r="AH56" s="113" t="n"/>
      <c r="AI56" s="113" t="n"/>
      <c r="AJ56" s="123" t="n">
        <v>0.3</v>
      </c>
      <c r="AK56" s="36">
        <f>IF(AND($AG56&gt;0,ISNUMBER($AJ56)),$AG56*$AJ56,0)</f>
        <v/>
      </c>
      <c r="AL56" s="69" t="n"/>
      <c r="AM56" s="69" t="n"/>
      <c r="AN56" s="69" t="n"/>
      <c r="AO56" s="69" t="n"/>
      <c r="AP56" s="69" t="n"/>
      <c r="AQ56" s="69" t="n"/>
      <c r="AR56" s="69" t="n"/>
      <c r="AS56" s="69" t="n"/>
      <c r="AT56" s="37">
        <f>SUM(AU56:BA56)</f>
        <v/>
      </c>
      <c r="AU56" s="73" t="n"/>
      <c r="AV56" s="33" t="n"/>
      <c r="AW56" s="33" t="n"/>
      <c r="AX56" s="33" t="n"/>
      <c r="AY56" s="33" t="n"/>
      <c r="AZ56" s="33" t="n"/>
      <c r="BA56" s="74" t="n"/>
      <c r="BB56" s="126" t="n"/>
      <c r="BC56" s="69" t="n"/>
      <c r="BD56" s="69" t="n"/>
    </row>
    <row r="57" ht="15" customHeight="1" s="148">
      <c r="A57" t="inlineStr">
        <is>
          <t>c0053</t>
        </is>
      </c>
      <c r="B57" s="44" t="inlineStr">
        <is>
          <t>Nightmare Sower</t>
        </is>
      </c>
      <c r="C57" s="34" t="inlineStr">
        <is>
          <t>B</t>
        </is>
      </c>
      <c r="D57" s="44" t="inlineStr">
        <is>
          <t>Creature</t>
        </is>
      </c>
      <c r="E57" s="41" t="inlineStr">
        <is>
          <t>B2</t>
        </is>
      </c>
      <c r="F57" s="34" t="n">
        <v>4</v>
      </c>
      <c r="G57" s="67" t="inlineStr">
        <is>
          <t>Flying, lifelink
Whenever you cast a spell during an opponent's turn, put a -1/-1 counter on up to one target creature.
(2/3)</t>
        </is>
      </c>
      <c r="H57" s="45" t="inlineStr">
        <is>
          <t>Removal</t>
        </is>
      </c>
      <c r="I57" s="45" t="inlineStr">
        <is>
          <t>Puts a -1/-1 counter on up to one target creature whenever you cast a spell during an opponent's turn</t>
        </is>
      </c>
      <c r="J57" s="45" t="inlineStr">
        <is>
          <t>Gains you life equal to damage it deals</t>
        </is>
      </c>
      <c r="K57" s="45" t="n"/>
      <c r="L57" s="42" t="n"/>
      <c r="M57" s="42" t="n"/>
      <c r="N57" s="42" t="n"/>
      <c r="O57" s="63" t="n"/>
      <c r="P57" s="63" t="n">
        <v>0.21</v>
      </c>
      <c r="Q57" s="42" t="n"/>
      <c r="R57" s="42" t="n"/>
      <c r="S57" s="42" t="n"/>
      <c r="T57" s="63" t="n"/>
      <c r="U57" s="63" t="n"/>
      <c r="V57" s="45" t="inlineStr">
        <is>
          <t>Lorwyn Eclipsed</t>
        </is>
      </c>
      <c r="W57" s="41" t="n">
        <v>2</v>
      </c>
      <c r="X57" s="37">
        <f>SUM(Y57:AE57)</f>
        <v/>
      </c>
      <c r="Y57" s="43" t="n"/>
      <c r="Z57" s="43" t="n"/>
      <c r="AA57" s="43" t="n"/>
      <c r="AB57" s="43" t="n"/>
      <c r="AC57" s="43" t="n">
        <v>1</v>
      </c>
      <c r="AD57" s="43" t="n"/>
      <c r="AE57" s="43" t="n">
        <v>1</v>
      </c>
      <c r="AF57" s="38">
        <f>IF((W57-SUM(Y57:AE57))&lt;0,0,W57-SUM(Y57:AE57))</f>
        <v/>
      </c>
      <c r="AG57" s="34">
        <f>MAX(0,$AT57-$W57-$AI57)</f>
        <v/>
      </c>
      <c r="AH57" s="34" t="n"/>
      <c r="AI57" s="34" t="n"/>
      <c r="AJ57" s="36" t="n">
        <v>0.22</v>
      </c>
      <c r="AK57" s="36">
        <f>IF(AND($AG57&gt;0,ISNUMBER($AJ57)),$AG57*$AJ57,0)</f>
        <v/>
      </c>
      <c r="AR57" s="58" t="n"/>
      <c r="AT57" s="37">
        <f>SUM(AU57:BA57)</f>
        <v/>
      </c>
      <c r="AU57" s="73" t="n"/>
      <c r="AV57" s="33" t="n"/>
      <c r="AW57" s="33" t="n"/>
      <c r="AX57" s="33" t="n"/>
      <c r="AY57" s="98" t="n">
        <v>1</v>
      </c>
      <c r="AZ57" s="33" t="n"/>
      <c r="BA57" s="80" t="n">
        <v>1</v>
      </c>
      <c r="BB57" s="106" t="n"/>
      <c r="BC57" s="42" t="n"/>
      <c r="BD57" s="42" t="n"/>
    </row>
    <row r="58" ht="15" customHeight="1" s="148">
      <c r="A58" t="inlineStr">
        <is>
          <t>c0054</t>
        </is>
      </c>
      <c r="B58" s="44" t="inlineStr">
        <is>
          <t>Night's Whisper</t>
        </is>
      </c>
      <c r="C58" s="34" t="inlineStr">
        <is>
          <t>B</t>
        </is>
      </c>
      <c r="D58" s="44" t="inlineStr">
        <is>
          <t>Sorcery</t>
        </is>
      </c>
      <c r="E58" s="41" t="inlineStr">
        <is>
          <t>B3</t>
        </is>
      </c>
      <c r="F58" s="34" t="n">
        <v>2</v>
      </c>
      <c r="G58" s="67" t="inlineStr">
        <is>
          <t>You draw two cards and lose 2 life.</t>
        </is>
      </c>
      <c r="H58" s="45" t="inlineStr">
        <is>
          <t>Card Draw</t>
        </is>
      </c>
      <c r="I58" s="45" t="inlineStr">
        <is>
          <t>You draw two cards and lose 2 life.</t>
        </is>
      </c>
      <c r="J58" s="45" t="n"/>
      <c r="K58" s="45" t="n"/>
      <c r="L58" s="41" t="n"/>
      <c r="M58" s="41" t="n"/>
      <c r="N58" s="41" t="n"/>
      <c r="O58" s="41" t="n"/>
      <c r="P58" s="41" t="n">
        <v>5.45</v>
      </c>
      <c r="Q58" s="41" t="n"/>
      <c r="R58" s="41" t="n"/>
      <c r="S58" s="41" t="n"/>
      <c r="T58" s="41" t="n"/>
      <c r="U58" s="41" t="n"/>
      <c r="V58" s="45" t="inlineStr">
        <is>
          <t>Fifth Dawn</t>
        </is>
      </c>
      <c r="W58" s="41" t="n">
        <v>0</v>
      </c>
      <c r="X58" s="37">
        <f>SUM(Y58:AE58)</f>
        <v/>
      </c>
      <c r="Y58" s="43" t="n"/>
      <c r="Z58" s="43" t="n"/>
      <c r="AA58" s="43" t="n"/>
      <c r="AB58" s="43" t="n"/>
      <c r="AC58" s="43" t="n"/>
      <c r="AD58" s="43" t="n"/>
      <c r="AE58" s="43" t="n"/>
      <c r="AF58" s="38">
        <f>IF((W58-SUM(Y58:AE58))&lt;0,0,W58-SUM(Y58:AE58))</f>
        <v/>
      </c>
      <c r="AG58" s="34">
        <f>MAX(0,$AT58-$W58-$AI58)</f>
        <v/>
      </c>
      <c r="AH58" s="34" t="n"/>
      <c r="AI58" s="34" t="n"/>
      <c r="AJ58" s="36" t="n">
        <v>0.29</v>
      </c>
      <c r="AK58" s="36">
        <f>IF(AND($AG58&gt;0,ISNUMBER($AJ58)),$AG58*$AJ58,0)</f>
        <v/>
      </c>
      <c r="AL58" s="54" t="n"/>
      <c r="AM58" s="54" t="n"/>
      <c r="AN58" s="54" t="n"/>
      <c r="AO58" s="54" t="n"/>
      <c r="AP58" s="54" t="n"/>
      <c r="AQ58" s="54" t="n"/>
      <c r="AR58" s="54" t="n"/>
      <c r="AS58" s="54" t="n"/>
      <c r="AT58" s="37">
        <f>SUM(AU58:BA58)</f>
        <v/>
      </c>
      <c r="AU58" s="92" t="n"/>
      <c r="AV58" s="38" t="n"/>
      <c r="AW58" s="38" t="n"/>
      <c r="AX58" s="38" t="n"/>
      <c r="AY58" s="38" t="n">
        <v>1</v>
      </c>
      <c r="AZ58" s="38" t="n"/>
      <c r="BA58" s="94" t="n"/>
      <c r="BB58" s="106" t="n"/>
      <c r="BC58" s="42" t="n"/>
      <c r="BD58" s="48" t="n"/>
    </row>
    <row r="59" ht="15" customHeight="1" s="148">
      <c r="A59" t="inlineStr">
        <is>
          <t>c0055</t>
        </is>
      </c>
      <c r="B59" s="39" t="inlineStr">
        <is>
          <t>Northern Air Temple</t>
        </is>
      </c>
      <c r="C59" s="40" t="inlineStr">
        <is>
          <t>B</t>
        </is>
      </c>
      <c r="D59" s="39" t="inlineStr">
        <is>
          <t>Legendary Enchantment</t>
        </is>
      </c>
      <c r="E59" s="41" t="inlineStr">
        <is>
          <t>B2</t>
        </is>
      </c>
      <c r="F59" s="40" t="n">
        <v>1</v>
      </c>
      <c r="G59" s="67" t="inlineStr">
        <is>
          <t>When Northern Air Temple enters, each opponent loses X life and you gain X life, where X is the number of Shrines you control.
Whenever another Shrine you control enters, each opponent loses 1 life and you gain 1 life.</t>
        </is>
      </c>
      <c r="H59" s="39" t="inlineStr">
        <is>
          <t>Drain Payoff</t>
        </is>
      </c>
      <c r="I59" s="39" t="inlineStr">
        <is>
          <t>Whenever another Shrine you control enters, each opponent loses 1 life and you gain 1 life</t>
        </is>
      </c>
      <c r="J59" s="39" t="inlineStr">
        <is>
          <t>Enters: each opponent loses X life and you gain X life, where X is the number of Shrines you control</t>
        </is>
      </c>
      <c r="K59" s="39" t="n"/>
      <c r="L59" s="42" t="n"/>
      <c r="M59" s="42" t="n"/>
      <c r="N59" s="42" t="n"/>
      <c r="O59" s="63" t="n"/>
      <c r="P59" s="63" t="n"/>
      <c r="Q59" s="42" t="n"/>
      <c r="R59" s="42" t="n"/>
      <c r="S59" s="42" t="n"/>
      <c r="T59" s="63" t="n"/>
      <c r="U59" s="63" t="n"/>
      <c r="V59" s="39" t="inlineStr">
        <is>
          <t>Avatar: The Last Airbender</t>
        </is>
      </c>
      <c r="W59" s="41" t="n">
        <v>1</v>
      </c>
      <c r="X59" s="37">
        <f>SUM(Y59:AE59)</f>
        <v/>
      </c>
      <c r="Y59" s="43" t="n"/>
      <c r="Z59" s="43" t="n"/>
      <c r="AA59" s="43" t="n"/>
      <c r="AB59" s="43" t="n"/>
      <c r="AC59" s="43" t="n"/>
      <c r="AD59" s="43" t="n"/>
      <c r="AE59" s="43" t="n"/>
      <c r="AF59" s="38">
        <f>IF((W59-SUM(Y59:AE59))&lt;0,0,W59-SUM(Y59:AE59))</f>
        <v/>
      </c>
      <c r="AG59" s="34">
        <f>MAX(0,$AT59-$W59-$AI59)</f>
        <v/>
      </c>
      <c r="AH59" s="39" t="n"/>
      <c r="AI59" s="39" t="n"/>
      <c r="AJ59" s="39" t="n">
        <v>0.31</v>
      </c>
      <c r="AK59" s="39">
        <f>IF(AND($AG59&gt;0,ISNUMBER($AJ59)),$AG59*$AJ59,0)</f>
        <v/>
      </c>
      <c r="AT59" s="37">
        <f>SUM(AU59:BA59)</f>
        <v/>
      </c>
      <c r="AU59" s="73" t="n"/>
      <c r="AV59" s="33" t="n"/>
      <c r="AW59" s="33" t="n"/>
      <c r="AX59" s="33" t="n"/>
      <c r="AY59" s="33" t="n"/>
      <c r="AZ59" s="33" t="n"/>
      <c r="BA59" s="74" t="n"/>
      <c r="BB59" s="107" t="n"/>
      <c r="BC59" s="42" t="n"/>
      <c r="BD59" s="42" t="n"/>
    </row>
    <row r="60" ht="15" customHeight="1" s="148">
      <c r="A60" t="inlineStr">
        <is>
          <t>c0056</t>
        </is>
      </c>
      <c r="B60" s="44" t="inlineStr">
        <is>
          <t>Ophiomancer</t>
        </is>
      </c>
      <c r="C60" s="34" t="inlineStr">
        <is>
          <t>B</t>
        </is>
      </c>
      <c r="D60" s="44" t="inlineStr">
        <is>
          <t>Creature</t>
        </is>
      </c>
      <c r="E60" s="41" t="inlineStr">
        <is>
          <t>B2</t>
        </is>
      </c>
      <c r="F60" s="34" t="n">
        <v>3</v>
      </c>
      <c r="G60" s="67" t="inlineStr">
        <is>
          <t>At the beginning of each upkeep, if you control no Snakes, create a 1/1 black Snake creature token with deathtouch.
(2/2)</t>
        </is>
      </c>
      <c r="H60" s="45" t="inlineStr">
        <is>
          <t>Token Producer</t>
        </is>
      </c>
      <c r="I60" s="45" t="inlineStr">
        <is>
          <t>Each upkeep, creates a 1/1 deathtouch Snake token if you control none</t>
        </is>
      </c>
      <c r="J60" s="45" t="n"/>
      <c r="K60" s="45" t="n"/>
      <c r="L60" s="41" t="n"/>
      <c r="M60" s="41" t="n"/>
      <c r="N60" s="41" t="n"/>
      <c r="O60" s="41" t="n"/>
      <c r="P60" s="41" t="n">
        <v>1.14</v>
      </c>
      <c r="Q60" s="41" t="n"/>
      <c r="R60" s="41" t="n"/>
      <c r="S60" s="41" t="n"/>
      <c r="T60" s="41" t="n"/>
      <c r="U60" s="41" t="n"/>
      <c r="V60" s="45" t="inlineStr">
        <is>
          <t>Commander 2013</t>
        </is>
      </c>
      <c r="W60" s="41" t="n">
        <v>0</v>
      </c>
      <c r="X60" s="37">
        <f>SUM(Y60:AE60)</f>
        <v/>
      </c>
      <c r="Y60" s="43" t="n"/>
      <c r="Z60" s="43" t="n"/>
      <c r="AA60" s="43" t="n"/>
      <c r="AB60" s="43" t="n"/>
      <c r="AC60" s="43" t="n"/>
      <c r="AD60" s="43" t="n"/>
      <c r="AE60" s="43" t="n"/>
      <c r="AF60" s="38">
        <f>IF((W60-SUM(Y60:AE60))&lt;0,0,W60-SUM(Y60:AE60))</f>
        <v/>
      </c>
      <c r="AG60" s="34">
        <f>MAX(0,$AT60-$W60-$AI60)</f>
        <v/>
      </c>
      <c r="AH60" s="34" t="n"/>
      <c r="AI60" s="34" t="n"/>
      <c r="AJ60" s="36" t="n">
        <v>0.96</v>
      </c>
      <c r="AK60" s="36">
        <f>IF(AND($AG60&gt;0,ISNUMBER($AJ60)),$AG60*$AJ60,0)</f>
        <v/>
      </c>
      <c r="AL60" s="54" t="n"/>
      <c r="AM60" s="54" t="n"/>
      <c r="AN60" s="54" t="n"/>
      <c r="AO60" s="54" t="n"/>
      <c r="AP60" s="54" t="n"/>
      <c r="AQ60" s="54" t="n"/>
      <c r="AR60" s="54" t="n"/>
      <c r="AS60" s="54" t="n"/>
      <c r="AT60" s="37">
        <f>SUM(AU60:BA60)</f>
        <v/>
      </c>
      <c r="AU60" s="92" t="n"/>
      <c r="AV60" s="38" t="n"/>
      <c r="AW60" s="38" t="n"/>
      <c r="AX60" s="38" t="n"/>
      <c r="AY60" s="38" t="n"/>
      <c r="AZ60" s="38" t="n"/>
      <c r="BA60" s="94" t="n"/>
      <c r="BB60" s="106" t="n"/>
      <c r="BC60" s="42" t="n"/>
      <c r="BD60" s="48" t="n"/>
    </row>
    <row r="61" ht="15" customHeight="1" s="148">
      <c r="A61" t="inlineStr">
        <is>
          <t>c0057</t>
        </is>
      </c>
      <c r="B61" s="44" t="inlineStr">
        <is>
          <t>Painful Truths</t>
        </is>
      </c>
      <c r="C61" s="34" t="inlineStr">
        <is>
          <t>B</t>
        </is>
      </c>
      <c r="D61" s="44" t="inlineStr">
        <is>
          <t>Sorcery</t>
        </is>
      </c>
      <c r="E61" s="41" t="inlineStr">
        <is>
          <t>B2</t>
        </is>
      </c>
      <c r="F61" s="34" t="n">
        <v>3</v>
      </c>
      <c r="G61" s="67" t="inlineStr">
        <is>
          <t>Converge — You draw X cards and lose X life, where X is the number of colors of mana spent to cast this spell.</t>
        </is>
      </c>
      <c r="H61" s="45" t="inlineStr">
        <is>
          <t>Card Draw</t>
        </is>
      </c>
      <c r="I61" s="45" t="inlineStr">
        <is>
          <t>Draws cards equal to colors of mana spent to cast it, loses that much life</t>
        </is>
      </c>
      <c r="J61" s="45" t="n"/>
      <c r="K61" s="45" t="n"/>
      <c r="L61" s="42" t="n"/>
      <c r="M61" s="42" t="n"/>
      <c r="N61" s="42" t="n"/>
      <c r="O61" s="42" t="n"/>
      <c r="P61" s="42" t="n">
        <v>0.27</v>
      </c>
      <c r="Q61" s="42" t="n"/>
      <c r="R61" s="42" t="n"/>
      <c r="S61" s="42" t="n"/>
      <c r="T61" s="42" t="n"/>
      <c r="U61" s="42" t="n"/>
      <c r="V61" s="45" t="inlineStr">
        <is>
          <t>Battle for Zendikar</t>
        </is>
      </c>
      <c r="W61" s="41" t="n">
        <v>1</v>
      </c>
      <c r="X61" s="37">
        <f>SUM(Y61:AE61)</f>
        <v/>
      </c>
      <c r="Y61" s="43" t="n"/>
      <c r="Z61" s="43" t="n"/>
      <c r="AA61" s="43" t="n">
        <v>1</v>
      </c>
      <c r="AB61" s="43" t="n"/>
      <c r="AC61" s="43" t="n"/>
      <c r="AD61" s="43" t="n"/>
      <c r="AE61" s="43" t="n"/>
      <c r="AF61" s="38">
        <f>IF((W61-SUM(Y61:AE61))&lt;0,0,W61-SUM(Y61:AE61))</f>
        <v/>
      </c>
      <c r="AG61" s="34">
        <f>MAX(0,$AT61-$W61-$AI61)</f>
        <v/>
      </c>
      <c r="AH61" s="34" t="n"/>
      <c r="AI61" s="34" t="n"/>
      <c r="AJ61" s="36" t="n">
        <v>0.27</v>
      </c>
      <c r="AK61" s="36">
        <f>IF(AND($AG61&gt;0,ISNUMBER($AJ61)),$AG61*$AJ61,0)</f>
        <v/>
      </c>
      <c r="AN61" s="58" t="inlineStr">
        <is>
          <t>BL0008</t>
        </is>
      </c>
      <c r="AT61" s="37">
        <f>SUM(AU61:BA61)</f>
        <v/>
      </c>
      <c r="AU61" s="73" t="n"/>
      <c r="AV61" s="33" t="n"/>
      <c r="AW61" s="99" t="n"/>
      <c r="AX61" s="33" t="n"/>
      <c r="AY61" s="33" t="n"/>
      <c r="AZ61" s="33" t="n"/>
      <c r="BA61" s="74" t="n"/>
      <c r="BB61" s="106" t="n"/>
      <c r="BC61" s="42" t="n"/>
      <c r="BD61" s="42" t="n"/>
    </row>
    <row r="62" ht="15" customHeight="1" s="148">
      <c r="A62" t="inlineStr">
        <is>
          <t>c0058</t>
        </is>
      </c>
      <c r="B62" s="44" t="inlineStr">
        <is>
          <t>Pawn of Ulamog</t>
        </is>
      </c>
      <c r="C62" s="34" t="inlineStr">
        <is>
          <t>B</t>
        </is>
      </c>
      <c r="D62" s="44" t="inlineStr">
        <is>
          <t>Creature</t>
        </is>
      </c>
      <c r="E62" s="41" t="inlineStr">
        <is>
          <t>B2</t>
        </is>
      </c>
      <c r="F62" s="34" t="n">
        <v>3</v>
      </c>
      <c r="G62" s="67" t="inlineStr">
        <is>
          <t>Whenever this creature or another nontoken creature you control dies, you may create a 0/1 colorless Eldrazi Spawn creature token. It has "Sacrifice this token: Add {C}."
(2/2)</t>
        </is>
      </c>
      <c r="H62" s="45" t="inlineStr">
        <is>
          <t>Token Producer</t>
        </is>
      </c>
      <c r="I62" s="45" t="inlineStr">
        <is>
          <t>Whenever it or another nontoken creature you control dies, may create a mana-producing Eldrazi Spawn token</t>
        </is>
      </c>
      <c r="J62" s="45" t="n"/>
      <c r="K62" s="45" t="n"/>
      <c r="L62" s="42" t="n"/>
      <c r="M62" s="42" t="n"/>
      <c r="N62" s="42" t="n"/>
      <c r="O62" s="63" t="n"/>
      <c r="P62" s="63" t="n">
        <v>0.5</v>
      </c>
      <c r="Q62" s="42" t="n"/>
      <c r="R62" s="42" t="n"/>
      <c r="S62" s="42" t="n"/>
      <c r="T62" s="63" t="n"/>
      <c r="U62" s="63" t="n"/>
      <c r="V62" s="45" t="inlineStr">
        <is>
          <t>Rise of the Eldrazi</t>
        </is>
      </c>
      <c r="W62" s="41" t="n">
        <v>2</v>
      </c>
      <c r="X62" s="37">
        <f>SUM(Y62:AE62)</f>
        <v/>
      </c>
      <c r="Y62" s="43" t="n"/>
      <c r="Z62" s="43" t="n"/>
      <c r="AA62" s="43" t="n"/>
      <c r="AB62" s="43" t="n"/>
      <c r="AC62" s="43" t="n">
        <v>1</v>
      </c>
      <c r="AD62" s="43" t="n"/>
      <c r="AE62" s="43" t="n">
        <v>1</v>
      </c>
      <c r="AF62" s="38">
        <f>IF((W62-SUM(Y62:AE62))&lt;0,0,W62-SUM(Y62:AE62))</f>
        <v/>
      </c>
      <c r="AG62" s="34">
        <f>MAX(0,$AT62-$W62-$AI62)</f>
        <v/>
      </c>
      <c r="AH62" s="34" t="inlineStr">
        <is>
          <t>GT</t>
        </is>
      </c>
      <c r="AI62" s="34" t="n"/>
      <c r="AJ62" s="36" t="n">
        <v>0.57</v>
      </c>
      <c r="AK62" s="36">
        <f>IF(AND($AG62&gt;0,ISNUMBER($AJ62)),$AG62*$AJ62,0)</f>
        <v/>
      </c>
      <c r="AP62" s="58" t="n"/>
      <c r="AS62" s="86" t="n">
        <v>1</v>
      </c>
      <c r="AT62" s="37">
        <f>SUM(AU62:BA62)</f>
        <v/>
      </c>
      <c r="AU62" s="73" t="n"/>
      <c r="AV62" s="33" t="n"/>
      <c r="AW62" s="33" t="n"/>
      <c r="AX62" s="33" t="n"/>
      <c r="AY62" s="98" t="n">
        <v>1</v>
      </c>
      <c r="AZ62" s="33" t="n"/>
      <c r="BA62" s="79" t="n"/>
      <c r="BB62" s="106" t="n"/>
      <c r="BC62" s="42" t="n"/>
      <c r="BD62" s="42" t="n"/>
    </row>
    <row r="63" ht="15" customHeight="1" s="148">
      <c r="A63" t="inlineStr">
        <is>
          <t>c0059</t>
        </is>
      </c>
      <c r="B63" s="113" t="inlineStr">
        <is>
          <t>Perfect Intimidation</t>
        </is>
      </c>
      <c r="C63" s="115" t="inlineStr">
        <is>
          <t>B</t>
        </is>
      </c>
      <c r="D63" s="117" t="inlineStr">
        <is>
          <t>Sorcery</t>
        </is>
      </c>
      <c r="E63" s="67" t="inlineStr">
        <is>
          <t>B2</t>
        </is>
      </c>
      <c r="F63" s="115" t="n">
        <v>4</v>
      </c>
      <c r="G63" s="69" t="inlineStr">
        <is>
          <t>Perfect Intimidation {3}{B} — Sorcery
Choose one or both —
• Target opponent exiles two cards from their hand.
• Remove all counters from target creature.</t>
        </is>
      </c>
      <c r="H63" s="113" t="inlineStr">
        <is>
          <t>Discard/Looting</t>
        </is>
      </c>
      <c r="I63" s="113" t="inlineStr">
        <is>
          <t>Target opponent exiles two cards from their hand</t>
        </is>
      </c>
      <c r="J63" s="113" t="n"/>
      <c r="K63" s="113" t="n"/>
      <c r="L63" s="69" t="inlineStr">
        <is>
          <t>115</t>
        </is>
      </c>
      <c r="M63" s="69" t="n">
        <v>1</v>
      </c>
      <c r="N63" s="69" t="n">
        <v>0</v>
      </c>
      <c r="O63" s="63" t="inlineStr">
        <is>
          <t>Heather Hudson</t>
        </is>
      </c>
      <c r="P63" s="85" t="n">
        <v>0.17</v>
      </c>
      <c r="Q63" s="69" t="inlineStr">
        <is>
          <t>Uncommon</t>
        </is>
      </c>
      <c r="R63" s="69" t="n"/>
      <c r="S63" s="69" t="n"/>
      <c r="T63" s="63" t="n"/>
      <c r="U63" s="63" t="n"/>
      <c r="V63" s="117" t="inlineStr">
        <is>
          <t>Lorwyn Eclipsed</t>
        </is>
      </c>
      <c r="W63" s="105" t="n">
        <v>1</v>
      </c>
      <c r="X63" s="37">
        <f>SUM(Y63:AE63)</f>
        <v/>
      </c>
      <c r="Y63" s="43" t="n"/>
      <c r="Z63" s="43" t="n"/>
      <c r="AA63" s="43" t="n"/>
      <c r="AB63" s="43" t="n"/>
      <c r="AC63" s="43" t="n"/>
      <c r="AD63" s="43" t="n"/>
      <c r="AE63" s="43" t="n"/>
      <c r="AF63" s="38">
        <f>IF((W63-SUM(Y63:AE63))&lt;0,0,W63-SUM(Y63:AE63))</f>
        <v/>
      </c>
      <c r="AG63" s="34">
        <f>MAX(0,$AT63-$W63-$AI63)</f>
        <v/>
      </c>
      <c r="AH63" s="113" t="n"/>
      <c r="AI63" s="113" t="n"/>
      <c r="AJ63" s="123" t="n">
        <v>0.17</v>
      </c>
      <c r="AK63" s="36">
        <f>IF(AND($AG63&gt;0,ISNUMBER($AJ63)),$AG63*$AJ63,0)</f>
        <v/>
      </c>
      <c r="AL63" s="69" t="n"/>
      <c r="AM63" s="69" t="n"/>
      <c r="AN63" s="69" t="n"/>
      <c r="AO63" s="69" t="n"/>
      <c r="AP63" s="69" t="n"/>
      <c r="AQ63" s="69" t="n"/>
      <c r="AR63" s="69" t="n"/>
      <c r="AS63" s="69" t="n"/>
      <c r="AT63" s="37">
        <f>SUM(AU63:BA63)</f>
        <v/>
      </c>
      <c r="AU63" s="73" t="n"/>
      <c r="AV63" s="33" t="n"/>
      <c r="AW63" s="33" t="n"/>
      <c r="AX63" s="33" t="n"/>
      <c r="AY63" s="33" t="n"/>
      <c r="AZ63" s="33" t="n"/>
      <c r="BA63" s="74" t="n"/>
      <c r="BB63" s="126" t="n"/>
      <c r="BC63" s="69" t="n"/>
      <c r="BD63" s="69" t="n"/>
    </row>
    <row r="64" ht="15" customHeight="1" s="148">
      <c r="A64" t="inlineStr">
        <is>
          <t>c0060</t>
        </is>
      </c>
      <c r="B64" s="44" t="inlineStr">
        <is>
          <t>Phyrexian Arena</t>
        </is>
      </c>
      <c r="C64" s="34" t="inlineStr">
        <is>
          <t>B</t>
        </is>
      </c>
      <c r="D64" s="44" t="inlineStr">
        <is>
          <t>Enchantment</t>
        </is>
      </c>
      <c r="E64" s="41" t="inlineStr">
        <is>
          <t>B3</t>
        </is>
      </c>
      <c r="F64" s="34" t="n">
        <v>3</v>
      </c>
      <c r="G64" s="67" t="inlineStr">
        <is>
          <t>At the beginning of your upkeep, you draw a card and you lose 1 life.</t>
        </is>
      </c>
      <c r="H64" s="45" t="inlineStr">
        <is>
          <t>Card Draw</t>
        </is>
      </c>
      <c r="I64" s="45" t="inlineStr">
        <is>
          <t>At the beginning of your upkeep, you draw a card and you lose 1 life.</t>
        </is>
      </c>
      <c r="J64" s="45" t="n"/>
      <c r="K64" s="45" t="n"/>
      <c r="L64" s="42" t="n"/>
      <c r="M64" s="42" t="n"/>
      <c r="N64" s="42" t="n"/>
      <c r="O64" s="42" t="n"/>
      <c r="P64" s="42" t="n">
        <v>4.19</v>
      </c>
      <c r="Q64" s="42" t="n"/>
      <c r="R64" s="42" t="n"/>
      <c r="S64" s="42" t="n"/>
      <c r="T64" s="42" t="n"/>
      <c r="U64" s="42" t="n"/>
      <c r="V64" s="45" t="inlineStr">
        <is>
          <t>Apocalypse</t>
        </is>
      </c>
      <c r="W64" s="41" t="n">
        <v>1</v>
      </c>
      <c r="X64" s="37">
        <f>SUM(Y64:AE64)</f>
        <v/>
      </c>
      <c r="Y64" s="43" t="n"/>
      <c r="Z64" s="43" t="n"/>
      <c r="AA64" s="43" t="n"/>
      <c r="AB64" s="43" t="n"/>
      <c r="AC64" s="43" t="n"/>
      <c r="AD64" s="43" t="n"/>
      <c r="AE64" s="43" t="n">
        <v>1</v>
      </c>
      <c r="AF64" s="38">
        <f>IF((W64-SUM(Y64:AE64))&lt;0,0,W64-SUM(Y64:AE64))</f>
        <v/>
      </c>
      <c r="AG64" s="34">
        <f>MAX(0,$AT64-$W64-$AI64)</f>
        <v/>
      </c>
      <c r="AH64" s="34" t="n"/>
      <c r="AI64" s="34" t="n"/>
      <c r="AJ64" s="36" t="n">
        <v>3.74</v>
      </c>
      <c r="AK64" s="36">
        <f>IF(AND($AG64&gt;0,ISNUMBER($AJ64)),$AG64*$AJ64,0)</f>
        <v/>
      </c>
      <c r="AT64" s="37">
        <f>SUM(AU64:BA64)</f>
        <v/>
      </c>
      <c r="AU64" s="73" t="n"/>
      <c r="AV64" s="33" t="n"/>
      <c r="AW64" s="33" t="n"/>
      <c r="AX64" s="33" t="n"/>
      <c r="AY64" s="33" t="n"/>
      <c r="AZ64" s="33" t="n"/>
      <c r="BA64" s="80" t="n">
        <v>1</v>
      </c>
      <c r="BB64" s="106" t="n"/>
      <c r="BC64" s="42" t="n"/>
      <c r="BD64" s="48" t="n"/>
    </row>
    <row r="65" ht="15" customHeight="1" s="148">
      <c r="A65" t="inlineStr">
        <is>
          <t>c0061</t>
        </is>
      </c>
      <c r="B65" s="44" t="inlineStr">
        <is>
          <t>Pitiless Plunderer</t>
        </is>
      </c>
      <c r="C65" s="34" t="inlineStr">
        <is>
          <t>B</t>
        </is>
      </c>
      <c r="D65" s="44" t="inlineStr">
        <is>
          <t>Creature</t>
        </is>
      </c>
      <c r="E65" s="41" t="inlineStr">
        <is>
          <t>B3</t>
        </is>
      </c>
      <c r="F65" s="34" t="n">
        <v>4</v>
      </c>
      <c r="G65" s="67" t="inlineStr">
        <is>
          <t>Whenever another creature you control dies, create a Treasure token. (It's an artifact with "{T}, Sacrifice this token: Add one mana of any color.")
(1/4)</t>
        </is>
      </c>
      <c r="H65" s="45" t="inlineStr">
        <is>
          <t>Token Producer</t>
        </is>
      </c>
      <c r="I65" s="45" t="inlineStr">
        <is>
          <t xml:space="preserve">Whenever another creature you control dies, create a Treasure token. (It's an artifact with "{T}, Sacrifice this token: </t>
        </is>
      </c>
      <c r="J65" s="45" t="n"/>
      <c r="K65" s="45" t="n"/>
      <c r="L65" s="42" t="n"/>
      <c r="M65" s="42" t="n"/>
      <c r="N65" s="42" t="n"/>
      <c r="O65" s="42" t="n"/>
      <c r="P65" s="42" t="n">
        <v>4.68</v>
      </c>
      <c r="Q65" s="42" t="n"/>
      <c r="R65" s="42" t="n"/>
      <c r="S65" s="42" t="n"/>
      <c r="T65" s="42" t="n"/>
      <c r="U65" s="42" t="n"/>
      <c r="V65" s="45" t="inlineStr">
        <is>
          <t>Rivals of Ixalan</t>
        </is>
      </c>
      <c r="W65" s="41" t="n">
        <v>1</v>
      </c>
      <c r="X65" s="37">
        <f>SUM(Y65:AE65)</f>
        <v/>
      </c>
      <c r="Y65" s="43" t="n"/>
      <c r="Z65" s="43" t="n"/>
      <c r="AA65" s="43" t="n"/>
      <c r="AB65" s="43" t="n"/>
      <c r="AC65" s="43" t="n">
        <v>1</v>
      </c>
      <c r="AD65" s="43" t="n"/>
      <c r="AE65" s="43" t="n"/>
      <c r="AF65" s="38">
        <f>IF((W65-SUM(Y65:AE65))&lt;0,0,W65-SUM(Y65:AE65))</f>
        <v/>
      </c>
      <c r="AG65" s="34">
        <f>MAX(0,$AT65-$W65-$AI65)</f>
        <v/>
      </c>
      <c r="AH65" s="34" t="n"/>
      <c r="AI65" s="34" t="n"/>
      <c r="AJ65" s="36" t="n">
        <v>3.42</v>
      </c>
      <c r="AK65" s="36">
        <f>IF(AND($AG65&gt;0,ISNUMBER($AJ65)),$AG65*$AJ65,0)</f>
        <v/>
      </c>
      <c r="AT65" s="37">
        <f>SUM(AU65:BA65)</f>
        <v/>
      </c>
      <c r="AU65" s="73" t="n"/>
      <c r="AV65" s="33" t="n"/>
      <c r="AW65" s="33" t="n"/>
      <c r="AX65" s="98" t="n"/>
      <c r="AY65" s="98" t="n">
        <v>1</v>
      </c>
      <c r="AZ65" s="33" t="n"/>
      <c r="BA65" s="74" t="n"/>
      <c r="BB65" s="106" t="n"/>
      <c r="BC65" s="42" t="n"/>
      <c r="BD65" s="42" t="n"/>
    </row>
    <row r="66" ht="15" customHeight="1" s="148">
      <c r="A66" t="inlineStr">
        <is>
          <t>c0062</t>
        </is>
      </c>
      <c r="B66" s="30" t="inlineStr">
        <is>
          <t>Pox Plague</t>
        </is>
      </c>
      <c r="C66" s="31" t="inlineStr">
        <is>
          <t>B</t>
        </is>
      </c>
      <c r="D66" s="30" t="inlineStr">
        <is>
          <t>Sorcery</t>
        </is>
      </c>
      <c r="E66" s="33" t="inlineStr">
        <is>
          <t>B2</t>
        </is>
      </c>
      <c r="F66" s="30" t="n">
        <v>5</v>
      </c>
      <c r="G66" s="67" t="inlineStr">
        <is>
          <t>Each player loses half their life, then discards half the cards in their hand, then sacrifices half the permanents they control of their choice. Round down each time.</t>
        </is>
      </c>
      <c r="H66" s="30" t="inlineStr">
        <is>
          <t>Board Wipe</t>
        </is>
      </c>
      <c r="I66" s="30" t="inlineStr">
        <is>
          <t>Each player loses half their life, discards half their hand, then sacrifices half their permanents, rounded down each time</t>
        </is>
      </c>
      <c r="J66" s="30" t="n"/>
      <c r="K66" s="30" t="n"/>
      <c r="L66" s="32" t="inlineStr">
        <is>
          <t>94</t>
        </is>
      </c>
      <c r="M66" s="32" t="n">
        <v>1</v>
      </c>
      <c r="N66" s="32" t="n">
        <v>0</v>
      </c>
      <c r="O66" s="63" t="inlineStr">
        <is>
          <t>Camille Alquier</t>
        </is>
      </c>
      <c r="P66" s="63" t="n">
        <v>0.34</v>
      </c>
      <c r="Q66" s="32" t="inlineStr">
        <is>
          <t>Rare</t>
        </is>
      </c>
      <c r="R66" s="32" t="n"/>
      <c r="S66" s="32" t="n"/>
      <c r="T66" s="63" t="n"/>
      <c r="U66" s="63" t="n"/>
      <c r="V66" s="30" t="inlineStr">
        <is>
          <t>Secrets of Strixhaven</t>
        </is>
      </c>
      <c r="W66" s="41" t="n">
        <v>1</v>
      </c>
      <c r="X66" s="37">
        <f>SUM(Y66:AE66)</f>
        <v/>
      </c>
      <c r="Y66" s="43" t="n"/>
      <c r="Z66" s="43" t="n"/>
      <c r="AA66" s="43" t="n"/>
      <c r="AB66" s="43" t="n"/>
      <c r="AC66" s="43" t="n"/>
      <c r="AD66" s="43" t="n"/>
      <c r="AE66" s="43" t="n">
        <v>1</v>
      </c>
      <c r="AF66" s="38">
        <f>IF((W66-SUM(Y66:AE66))&lt;0,0,W66-SUM(Y66:AE66))</f>
        <v/>
      </c>
      <c r="AG66" s="34">
        <f>MAX(0,$AT66-$W66-$AI66)</f>
        <v/>
      </c>
      <c r="AH66" s="34" t="inlineStr">
        <is>
          <t>GT</t>
        </is>
      </c>
      <c r="AI66" s="34" t="n"/>
      <c r="AJ66" s="30" t="n">
        <v>0.34</v>
      </c>
      <c r="AK66" s="36">
        <f>IF(AND($AG66&gt;0,ISNUMBER($AJ66)),$AG66*$AJ66,0)</f>
        <v/>
      </c>
      <c r="AR66" s="58" t="inlineStr">
        <is>
          <t>BL0066</t>
        </is>
      </c>
      <c r="AS66" s="86" t="n">
        <v>1</v>
      </c>
      <c r="AT66" s="37">
        <f>SUM(AU66:BA66)</f>
        <v/>
      </c>
      <c r="AU66" s="73" t="n"/>
      <c r="AV66" s="33" t="n"/>
      <c r="AW66" s="33" t="n"/>
      <c r="AX66" s="33" t="n"/>
      <c r="AY66" s="33" t="n"/>
      <c r="AZ66" s="33" t="n"/>
      <c r="BA66" s="81" t="n"/>
      <c r="BB66" s="108" t="n"/>
      <c r="BC66" s="32" t="n"/>
      <c r="BD66" s="32" t="n"/>
    </row>
    <row r="67" ht="15" customHeight="1" s="148">
      <c r="A67" t="inlineStr">
        <is>
          <t>c0063</t>
        </is>
      </c>
      <c r="B67" s="44" t="inlineStr">
        <is>
          <t>Priest of Forgotten Gods</t>
        </is>
      </c>
      <c r="C67" s="34" t="inlineStr">
        <is>
          <t>B</t>
        </is>
      </c>
      <c r="D67" s="44" t="inlineStr">
        <is>
          <t>Creature</t>
        </is>
      </c>
      <c r="E67" s="41" t="inlineStr">
        <is>
          <t>B2</t>
        </is>
      </c>
      <c r="F67" s="34" t="n">
        <v>2</v>
      </c>
      <c r="G67" s="67" t="inlineStr">
        <is>
          <t>{T}, Sacrifice two other creatures: Any number of target players each lose 2 life and sacrifice a creature of their choice. You add {B}{B} and draw a card. (Activate only as an instant.)
(1/2)</t>
        </is>
      </c>
      <c r="H67" s="45" t="inlineStr">
        <is>
          <t>Sacrifice Outlet</t>
        </is>
      </c>
      <c r="I67" s="45" t="inlineStr">
        <is>
          <t>{T}, Sacrifice two other creatures: Any number of target players each lose 2 life and sacrifice a creature of their choi</t>
        </is>
      </c>
      <c r="J67" s="45" t="n"/>
      <c r="K67" s="45" t="n"/>
      <c r="L67" s="42" t="n"/>
      <c r="M67" s="42" t="n"/>
      <c r="N67" s="42" t="n"/>
      <c r="O67" s="42" t="n"/>
      <c r="P67" s="42" t="n">
        <v>0.57</v>
      </c>
      <c r="Q67" s="42" t="n"/>
      <c r="R67" s="42" t="n"/>
      <c r="S67" s="42" t="n"/>
      <c r="T67" s="42" t="n"/>
      <c r="U67" s="42" t="n"/>
      <c r="V67" s="45" t="inlineStr">
        <is>
          <t>Ravnica Allegiance</t>
        </is>
      </c>
      <c r="W67" s="41" t="n">
        <v>0</v>
      </c>
      <c r="X67" s="37">
        <f>SUM(Y67:AE67)</f>
        <v/>
      </c>
      <c r="Y67" s="43" t="n"/>
      <c r="Z67" s="43" t="n"/>
      <c r="AA67" s="43" t="n"/>
      <c r="AB67" s="43" t="n"/>
      <c r="AC67" s="43" t="n"/>
      <c r="AD67" s="43" t="n"/>
      <c r="AE67" s="43" t="n"/>
      <c r="AF67" s="38">
        <f>IF((W67-SUM(Y67:AE67))&lt;0,0,W67-SUM(Y67:AE67))</f>
        <v/>
      </c>
      <c r="AG67" s="34">
        <f>MAX(0,$AT67-$W67-$AI67)</f>
        <v/>
      </c>
      <c r="AH67" s="34" t="n"/>
      <c r="AI67" s="34" t="n"/>
      <c r="AJ67" s="36" t="n">
        <v>0.59</v>
      </c>
      <c r="AK67" s="36">
        <f>IF(AND($AG67&gt;0,ISNUMBER($AJ67)),$AG67*$AJ67,0)</f>
        <v/>
      </c>
      <c r="AL67" s="54" t="n"/>
      <c r="AM67" s="54" t="n"/>
      <c r="AN67" s="54" t="n"/>
      <c r="AO67" s="54" t="n"/>
      <c r="AP67" s="54" t="n"/>
      <c r="AQ67" s="54" t="n"/>
      <c r="AR67" s="54" t="n"/>
      <c r="AS67" s="54" t="n"/>
      <c r="AT67" s="37">
        <f>SUM(AU67:BA67)</f>
        <v/>
      </c>
      <c r="AU67" s="92" t="n"/>
      <c r="AV67" s="38" t="n"/>
      <c r="AW67" s="38" t="n"/>
      <c r="AX67" s="38" t="n"/>
      <c r="AY67" s="38" t="n">
        <v>1</v>
      </c>
      <c r="AZ67" s="38" t="n"/>
      <c r="BA67" s="94" t="n"/>
      <c r="BB67" s="106" t="n"/>
      <c r="BC67" s="42" t="n"/>
      <c r="BD67" s="48" t="n"/>
    </row>
    <row r="68" ht="15" customHeight="1" s="148">
      <c r="A68" t="inlineStr">
        <is>
          <t>c0064</t>
        </is>
      </c>
      <c r="B68" s="30" t="inlineStr">
        <is>
          <t>Pull from the Grave</t>
        </is>
      </c>
      <c r="C68" s="31" t="inlineStr">
        <is>
          <t>B</t>
        </is>
      </c>
      <c r="D68" s="30" t="inlineStr">
        <is>
          <t>Sorcery</t>
        </is>
      </c>
      <c r="E68" s="33" t="inlineStr">
        <is>
          <t>B2</t>
        </is>
      </c>
      <c r="F68" s="30" t="n">
        <v>3</v>
      </c>
      <c r="G68" s="67" t="inlineStr">
        <is>
          <t>Return up to two target creature cards from your graveyard to your hand. You gain 2 life.</t>
        </is>
      </c>
      <c r="H68" s="30" t="inlineStr">
        <is>
          <t>Recursion</t>
        </is>
      </c>
      <c r="I68" s="30" t="inlineStr">
        <is>
          <t>Return up to two target creature cards from your graveyard to your hand</t>
        </is>
      </c>
      <c r="J68" s="30" t="inlineStr">
        <is>
          <t>You gain 2 life</t>
        </is>
      </c>
      <c r="K68" s="30" t="n"/>
      <c r="L68" s="32" t="inlineStr">
        <is>
          <t>95</t>
        </is>
      </c>
      <c r="M68" s="32" t="n">
        <v>1</v>
      </c>
      <c r="N68" s="32" t="n">
        <v>0</v>
      </c>
      <c r="O68" s="63" t="inlineStr">
        <is>
          <t>Pauline Voss</t>
        </is>
      </c>
      <c r="P68" s="63" t="n">
        <v>0.16</v>
      </c>
      <c r="Q68" s="32" t="inlineStr">
        <is>
          <t>Common</t>
        </is>
      </c>
      <c r="R68" s="32" t="n"/>
      <c r="S68" s="32" t="n"/>
      <c r="T68" s="63" t="n"/>
      <c r="U68" s="63" t="n"/>
      <c r="V68" s="30" t="inlineStr">
        <is>
          <t>Secrets of Strixhaven</t>
        </is>
      </c>
      <c r="W68" s="41" t="n">
        <v>1</v>
      </c>
      <c r="X68" s="37">
        <f>SUM(Y68:AE68)</f>
        <v/>
      </c>
      <c r="Y68" s="43" t="n"/>
      <c r="Z68" s="43" t="n"/>
      <c r="AA68" s="43" t="n"/>
      <c r="AB68" s="43" t="n"/>
      <c r="AC68" s="43" t="n"/>
      <c r="AD68" s="43" t="n"/>
      <c r="AE68" s="43" t="n"/>
      <c r="AF68" s="38">
        <f>IF((W68-SUM(Y68:AE68))&lt;0,0,W68-SUM(Y68:AE68))</f>
        <v/>
      </c>
      <c r="AG68" s="34">
        <f>MAX(0,$AT68-$W68-$AI68)</f>
        <v/>
      </c>
      <c r="AH68" s="30" t="n"/>
      <c r="AI68" s="30" t="n"/>
      <c r="AJ68" s="30" t="n">
        <v>0.16</v>
      </c>
      <c r="AK68" s="36">
        <f>IF(AND($AG68&gt;0,ISNUMBER($AJ68)),$AG68*$AJ68,0)</f>
        <v/>
      </c>
      <c r="AT68" s="37">
        <f>SUM(AU68:BA68)</f>
        <v/>
      </c>
      <c r="AU68" s="73" t="n"/>
      <c r="AV68" s="33" t="n"/>
      <c r="AW68" s="33" t="n"/>
      <c r="AX68" s="33" t="n"/>
      <c r="AY68" s="33" t="n"/>
      <c r="AZ68" s="33" t="n"/>
      <c r="BA68" s="74" t="n"/>
      <c r="BB68" s="108" t="n"/>
      <c r="BC68" s="32" t="n"/>
      <c r="BD68" s="32" t="n"/>
    </row>
    <row r="69" ht="15" customHeight="1" s="148">
      <c r="A69" t="inlineStr">
        <is>
          <t>c0065</t>
        </is>
      </c>
      <c r="B69" s="30" t="inlineStr">
        <is>
          <t>Rabid Attack</t>
        </is>
      </c>
      <c r="C69" s="31" t="inlineStr">
        <is>
          <t>B</t>
        </is>
      </c>
      <c r="D69" s="30" t="inlineStr">
        <is>
          <t>Instant</t>
        </is>
      </c>
      <c r="E69" s="33" t="inlineStr">
        <is>
          <t>B2</t>
        </is>
      </c>
      <c r="F69" s="30" t="n">
        <v>2</v>
      </c>
      <c r="G69" s="67" t="inlineStr">
        <is>
          <t>Until end of turn, any number of target creatures you control each get +1/+0 and gain "When this creature dies, draw a card."</t>
        </is>
      </c>
      <c r="H69" s="30" t="inlineStr">
        <is>
          <t>Combat Trick</t>
        </is>
      </c>
      <c r="I69" s="30" t="inlineStr">
        <is>
          <t>Any number of target creatures you control each get +1/+0 until end of turn</t>
        </is>
      </c>
      <c r="J69" s="30" t="inlineStr">
        <is>
          <t>They also gain "When this creature dies, draw a card"</t>
        </is>
      </c>
      <c r="K69" s="30" t="n"/>
      <c r="L69" s="32" t="inlineStr">
        <is>
          <t>96</t>
        </is>
      </c>
      <c r="M69" s="32" t="n">
        <v>1</v>
      </c>
      <c r="N69" s="32" t="n">
        <v>0</v>
      </c>
      <c r="O69" s="63" t="inlineStr">
        <is>
          <t>Izzy</t>
        </is>
      </c>
      <c r="P69" s="63" t="n">
        <v>0.2</v>
      </c>
      <c r="Q69" s="32" t="inlineStr">
        <is>
          <t>Uncommon</t>
        </is>
      </c>
      <c r="R69" s="32" t="n"/>
      <c r="S69" s="32" t="n"/>
      <c r="T69" s="63" t="n"/>
      <c r="U69" s="63" t="n"/>
      <c r="V69" s="30" t="inlineStr">
        <is>
          <t>Secrets of Strixhaven</t>
        </is>
      </c>
      <c r="W69" s="41" t="n">
        <v>1</v>
      </c>
      <c r="X69" s="37">
        <f>SUM(Y69:AE69)</f>
        <v/>
      </c>
      <c r="Y69" s="43" t="n"/>
      <c r="Z69" s="43" t="n"/>
      <c r="AA69" s="43" t="n"/>
      <c r="AB69" s="43" t="n"/>
      <c r="AC69" s="43" t="n"/>
      <c r="AD69" s="43" t="n"/>
      <c r="AE69" s="43" t="n"/>
      <c r="AF69" s="38">
        <f>IF((W69-SUM(Y69:AE69))&lt;0,0,W69-SUM(Y69:AE69))</f>
        <v/>
      </c>
      <c r="AG69" s="34">
        <f>MAX(0,$AT69-$W69-$AI69)</f>
        <v/>
      </c>
      <c r="AH69" s="30" t="n"/>
      <c r="AI69" s="30" t="n"/>
      <c r="AJ69" s="30" t="n">
        <v>0.2</v>
      </c>
      <c r="AK69" s="36">
        <f>IF(AND($AG69&gt;0,ISNUMBER($AJ69)),$AG69*$AJ69,0)</f>
        <v/>
      </c>
      <c r="AT69" s="37">
        <f>SUM(AU69:BA69)</f>
        <v/>
      </c>
      <c r="AU69" s="73" t="n"/>
      <c r="AV69" s="33" t="n"/>
      <c r="AW69" s="33" t="n"/>
      <c r="AX69" s="33" t="n"/>
      <c r="AY69" s="33" t="n"/>
      <c r="AZ69" s="33" t="n"/>
      <c r="BA69" s="74" t="n"/>
      <c r="BB69" s="108" t="n"/>
      <c r="BC69" s="32" t="n"/>
      <c r="BD69" s="32" t="n"/>
    </row>
    <row r="70" ht="15" customHeight="1" s="148">
      <c r="A70" t="inlineStr">
        <is>
          <t>c0066</t>
        </is>
      </c>
      <c r="B70" s="39" t="inlineStr">
        <is>
          <t>Rage into the Valley</t>
        </is>
      </c>
      <c r="C70" s="40" t="inlineStr">
        <is>
          <t>B</t>
        </is>
      </c>
      <c r="D70" s="39" t="inlineStr">
        <is>
          <t>Sorcery</t>
        </is>
      </c>
      <c r="E70" s="41" t="inlineStr">
        <is>
          <t>B2</t>
        </is>
      </c>
      <c r="F70" s="40" t="n">
        <v>3</v>
      </c>
      <c r="G70" s="67" t="inlineStr">
        <is>
          <t>You draw a card and lose 1 life.
Amass Goblins 2. (Put two +1/+1 counters on an Army you control. It's also a Goblin. If you don't control an Army, create a 0/0 black Goblin Army creature token first.)</t>
        </is>
      </c>
      <c r="H70" s="39" t="inlineStr">
        <is>
          <t>Card Draw</t>
        </is>
      </c>
      <c r="I70" s="39" t="inlineStr">
        <is>
          <t>You draw a card and lose 1 life</t>
        </is>
      </c>
      <c r="J70" s="39" t="inlineStr">
        <is>
          <t>Amass Goblins 2: two +1/+1 counters on your Army token, making one if needed</t>
        </is>
      </c>
      <c r="K70" s="39" t="n"/>
      <c r="L70" s="42" t="inlineStr">
        <is>
          <t>79</t>
        </is>
      </c>
      <c r="M70" s="42" t="n">
        <v>1</v>
      </c>
      <c r="N70" s="42" t="n">
        <v>0</v>
      </c>
      <c r="O70" s="63" t="inlineStr">
        <is>
          <t>Antonio José Manzaneda</t>
        </is>
      </c>
      <c r="P70" s="63" t="n">
        <v>0.16</v>
      </c>
      <c r="Q70" s="42" t="inlineStr">
        <is>
          <t>Common</t>
        </is>
      </c>
      <c r="R70" s="42" t="n"/>
      <c r="S70" s="42" t="n"/>
      <c r="T70" s="63" t="n"/>
      <c r="U70" s="63" t="n"/>
      <c r="V70" s="39" t="inlineStr">
        <is>
          <t>The Hobbit</t>
        </is>
      </c>
      <c r="W70" s="41" t="n">
        <v>3</v>
      </c>
      <c r="X70" s="37">
        <f>SUM(Y70:AE70)</f>
        <v/>
      </c>
      <c r="Y70" s="43" t="n"/>
      <c r="Z70" s="43" t="n"/>
      <c r="AA70" s="43" t="n">
        <v>1</v>
      </c>
      <c r="AB70" s="43" t="n"/>
      <c r="AC70" s="43" t="n"/>
      <c r="AD70" s="43" t="n"/>
      <c r="AE70" s="43" t="n"/>
      <c r="AF70" s="38">
        <f>IF((W70-SUM(Y70:AE70))&lt;0,0,W70-SUM(Y70:AE70))</f>
        <v/>
      </c>
      <c r="AG70" s="34">
        <f>MAX(0,$AT70-$W70-$AI70)</f>
        <v/>
      </c>
      <c r="AH70" s="39" t="n"/>
      <c r="AI70" s="39" t="n"/>
      <c r="AJ70" s="39" t="n">
        <v>0.17</v>
      </c>
      <c r="AK70" s="39">
        <f>IF(AND($AG70&gt;0,ISNUMBER($AJ70)),$AG70*$AJ70,0)</f>
        <v/>
      </c>
      <c r="AN70" s="58" t="n"/>
      <c r="AP70" s="58" t="n"/>
      <c r="AT70" s="37">
        <f>SUM(AU70:BA70)</f>
        <v/>
      </c>
      <c r="AU70" s="73" t="n"/>
      <c r="AV70" s="33" t="n"/>
      <c r="AW70" s="98" t="n">
        <v>1</v>
      </c>
      <c r="AX70" s="33" t="n"/>
      <c r="AY70" s="33" t="n"/>
      <c r="AZ70" s="33" t="n"/>
      <c r="BA70" s="74" t="n"/>
      <c r="BB70" s="107" t="n"/>
      <c r="BC70" s="42" t="n"/>
      <c r="BD70" s="42" t="n"/>
    </row>
    <row r="71" ht="15" customHeight="1" s="148">
      <c r="A71" t="inlineStr">
        <is>
          <t>c0067</t>
        </is>
      </c>
      <c r="B71" s="39" t="inlineStr">
        <is>
          <t>Ravening Warg</t>
        </is>
      </c>
      <c r="C71" s="40" t="inlineStr">
        <is>
          <t>B</t>
        </is>
      </c>
      <c r="D71" s="39" t="inlineStr">
        <is>
          <t>Creature</t>
        </is>
      </c>
      <c r="E71" s="41" t="inlineStr">
        <is>
          <t>B2</t>
        </is>
      </c>
      <c r="F71" s="40" t="n">
        <v>2</v>
      </c>
      <c r="G71" s="67" t="inlineStr">
        <is>
          <t>Deathtouch
Ferocious — Whenever this creature attacks while you control a creature with power 4 or greater, you gain 2 life.
(2/2)</t>
        </is>
      </c>
      <c r="H71" s="39" t="inlineStr">
        <is>
          <t>Utility Creature</t>
        </is>
      </c>
      <c r="I71" s="39" t="inlineStr">
        <is>
          <t>Deathtouch</t>
        </is>
      </c>
      <c r="J71" s="39" t="inlineStr">
        <is>
          <t>Ferocious - whenever it attacks while you control a creature with power 4 or greater, you gain 2 life</t>
        </is>
      </c>
      <c r="K71" s="39" t="n"/>
      <c r="L71" s="42" t="n"/>
      <c r="M71" s="42" t="n"/>
      <c r="N71" s="42" t="n"/>
      <c r="O71" s="63" t="n"/>
      <c r="P71" s="63" t="n"/>
      <c r="Q71" s="42" t="n"/>
      <c r="R71" s="42" t="n"/>
      <c r="S71" s="42" t="n"/>
      <c r="T71" s="63" t="n"/>
      <c r="U71" s="63" t="n"/>
      <c r="V71" s="39" t="inlineStr">
        <is>
          <t>The Hobbit</t>
        </is>
      </c>
      <c r="W71" s="41" t="n">
        <v>1</v>
      </c>
      <c r="X71" s="37">
        <f>SUM(Y71:AE71)</f>
        <v/>
      </c>
      <c r="Y71" s="43" t="n"/>
      <c r="Z71" s="43" t="n"/>
      <c r="AA71" s="43" t="n"/>
      <c r="AB71" s="43" t="n"/>
      <c r="AC71" s="43" t="n"/>
      <c r="AD71" s="43" t="n"/>
      <c r="AE71" s="43" t="n"/>
      <c r="AF71" s="38">
        <f>IF((W71-SUM(Y71:AE71))&lt;0,0,W71-SUM(Y71:AE71))</f>
        <v/>
      </c>
      <c r="AG71" s="34">
        <f>MAX(0,$AT71-$W71-$AI71)</f>
        <v/>
      </c>
      <c r="AH71" s="39" t="n"/>
      <c r="AI71" s="39" t="n"/>
      <c r="AJ71" s="39" t="n">
        <v>0.18</v>
      </c>
      <c r="AK71" s="39">
        <f>IF(AND($AG71&gt;0,ISNUMBER($AJ71)),$AG71*$AJ71,0)</f>
        <v/>
      </c>
      <c r="AT71" s="37">
        <f>SUM(AU71:BA71)</f>
        <v/>
      </c>
      <c r="AU71" s="73" t="n"/>
      <c r="AV71" s="33" t="n"/>
      <c r="AW71" s="33" t="n"/>
      <c r="AX71" s="33" t="n"/>
      <c r="AY71" s="33" t="n"/>
      <c r="AZ71" s="33" t="n"/>
      <c r="BA71" s="74" t="n"/>
      <c r="BB71" s="107" t="n"/>
      <c r="BC71" s="42" t="n"/>
      <c r="BD71" s="42" t="n"/>
    </row>
    <row r="72" ht="15" customHeight="1" s="148">
      <c r="A72" t="inlineStr">
        <is>
          <t>c0068</t>
        </is>
      </c>
      <c r="B72" s="44" t="inlineStr">
        <is>
          <t>Read the Bones</t>
        </is>
      </c>
      <c r="C72" s="34" t="inlineStr">
        <is>
          <t>B</t>
        </is>
      </c>
      <c r="D72" s="44" t="inlineStr">
        <is>
          <t>Sorcery</t>
        </is>
      </c>
      <c r="E72" s="41" t="inlineStr">
        <is>
          <t>B2</t>
        </is>
      </c>
      <c r="F72" s="34" t="n">
        <v>3</v>
      </c>
      <c r="G72" s="67" t="inlineStr">
        <is>
          <t>Scry 2, then draw two cards. You lose 2 life. (To scry 2, look at the top two cards of your library, then put any number of them on the bottom and the rest on top in any order.)</t>
        </is>
      </c>
      <c r="H72" s="45" t="inlineStr">
        <is>
          <t>Card Draw</t>
        </is>
      </c>
      <c r="I72" s="45" t="inlineStr">
        <is>
          <t>Scry 2, then draw two cards</t>
        </is>
      </c>
      <c r="J72" s="45" t="inlineStr">
        <is>
          <t>You lose 2 life</t>
        </is>
      </c>
      <c r="K72" s="45" t="n"/>
      <c r="L72" s="42" t="n"/>
      <c r="M72" s="42" t="n"/>
      <c r="N72" s="42" t="n"/>
      <c r="O72" s="42" t="n"/>
      <c r="P72" s="42" t="n">
        <v>0.31</v>
      </c>
      <c r="Q72" s="42" t="n"/>
      <c r="R72" s="42" t="n"/>
      <c r="S72" s="42" t="n"/>
      <c r="T72" s="42" t="n"/>
      <c r="U72" s="42" t="n"/>
      <c r="V72" s="45" t="inlineStr">
        <is>
          <t>Theros</t>
        </is>
      </c>
      <c r="W72" s="41" t="n">
        <v>1</v>
      </c>
      <c r="X72" s="37">
        <f>SUM(Y72:AE72)</f>
        <v/>
      </c>
      <c r="Y72" s="43" t="n"/>
      <c r="Z72" s="43" t="n"/>
      <c r="AA72" s="43" t="n"/>
      <c r="AB72" s="43" t="n"/>
      <c r="AC72" s="43" t="n"/>
      <c r="AD72" s="43" t="n"/>
      <c r="AE72" s="43" t="n"/>
      <c r="AF72" s="38">
        <f>IF((W72-SUM(Y72:AE72))&lt;0,0,W72-SUM(Y72:AE72))</f>
        <v/>
      </c>
      <c r="AG72" s="34">
        <f>MAX(0,$AT72-$W72-$AI72)</f>
        <v/>
      </c>
      <c r="AH72" s="34" t="n"/>
      <c r="AI72" s="34" t="n"/>
      <c r="AJ72" s="36" t="n">
        <v>0.32</v>
      </c>
      <c r="AK72" s="36">
        <f>IF(AND($AG72&gt;0,ISNUMBER($AJ72)),$AG72*$AJ72,0)</f>
        <v/>
      </c>
      <c r="AP72" s="58" t="n"/>
      <c r="AT72" s="37">
        <f>SUM(AU72:BA72)</f>
        <v/>
      </c>
      <c r="AU72" s="73" t="n"/>
      <c r="AV72" s="33" t="n"/>
      <c r="AW72" s="33" t="n"/>
      <c r="AX72" s="33" t="n"/>
      <c r="AY72" s="100" t="n"/>
      <c r="AZ72" s="33" t="n"/>
      <c r="BA72" s="74" t="n"/>
      <c r="BB72" s="106" t="n"/>
      <c r="BC72" s="42" t="n"/>
      <c r="BD72" s="42" t="n"/>
    </row>
    <row r="73" ht="15" customHeight="1" s="148">
      <c r="A73" t="inlineStr">
        <is>
          <t>c0069</t>
        </is>
      </c>
      <c r="B73" s="30" t="inlineStr">
        <is>
          <t>Retched Wretch</t>
        </is>
      </c>
      <c r="C73" s="31" t="inlineStr">
        <is>
          <t>B</t>
        </is>
      </c>
      <c r="D73" s="30" t="inlineStr">
        <is>
          <t>Creature</t>
        </is>
      </c>
      <c r="E73" s="33" t="inlineStr">
        <is>
          <t>B2</t>
        </is>
      </c>
      <c r="F73" s="31" t="n">
        <v>3</v>
      </c>
      <c r="G73" s="67" t="inlineStr">
        <is>
          <t>When this creature dies, if it had a -1/-1 counter on it, return it to the battlefield under its owner's control and it loses all abilities.
(4/2)</t>
        </is>
      </c>
      <c r="H73" s="30" t="inlineStr">
        <is>
          <t>Recursion</t>
        </is>
      </c>
      <c r="I73" s="30" t="inlineStr">
        <is>
          <t>When it dies with a -1/-1 counter on it, return it to the battlefield with all abilities lost</t>
        </is>
      </c>
      <c r="J73" s="30" t="inlineStr">
        <is>
          <t>4/2 body for three mana</t>
        </is>
      </c>
      <c r="K73" s="30" t="n"/>
      <c r="L73" s="32" t="inlineStr">
        <is>
          <t>117</t>
        </is>
      </c>
      <c r="M73" s="32" t="n">
        <v>1</v>
      </c>
      <c r="N73" s="32" t="n">
        <v>0</v>
      </c>
      <c r="O73" s="63" t="n"/>
      <c r="P73" s="63" t="n">
        <v>0.13</v>
      </c>
      <c r="Q73" s="32" t="inlineStr">
        <is>
          <t>Uncommon</t>
        </is>
      </c>
      <c r="R73" s="32" t="n"/>
      <c r="S73" s="32" t="n"/>
      <c r="T73" s="63" t="n"/>
      <c r="U73" s="63" t="n"/>
      <c r="V73" s="30" t="inlineStr">
        <is>
          <t>Lorwyn Eclipsed</t>
        </is>
      </c>
      <c r="W73" s="41" t="n">
        <v>1</v>
      </c>
      <c r="X73" s="37">
        <f>SUM(Y73:AE73)</f>
        <v/>
      </c>
      <c r="Y73" s="43" t="n"/>
      <c r="Z73" s="43" t="n"/>
      <c r="AA73" s="43" t="n"/>
      <c r="AB73" s="43" t="n"/>
      <c r="AC73" s="43" t="n"/>
      <c r="AD73" s="43" t="n"/>
      <c r="AE73" s="43" t="n"/>
      <c r="AF73" s="38">
        <f>IF((W73-SUM(Y73:AE73))&lt;0,0,W73-SUM(Y73:AE73))</f>
        <v/>
      </c>
      <c r="AG73" s="34">
        <f>MAX(0,$AT73-$W73-$AI73)</f>
        <v/>
      </c>
      <c r="AH73" s="30" t="n"/>
      <c r="AI73" s="30" t="n"/>
      <c r="AJ73" s="35" t="n">
        <v>0.13</v>
      </c>
      <c r="AK73" s="36">
        <f>IF(AND($AG73&gt;0,ISNUMBER($AJ73)),$AG73*$AJ73,0)</f>
        <v/>
      </c>
      <c r="AT73" s="37">
        <f>SUM(AU73:BA73)</f>
        <v/>
      </c>
      <c r="AU73" s="73" t="n"/>
      <c r="AV73" s="33" t="n"/>
      <c r="AW73" s="33" t="n"/>
      <c r="AX73" s="33" t="n"/>
      <c r="AY73" s="33" t="n"/>
      <c r="AZ73" s="33" t="n"/>
      <c r="BA73" s="74" t="n"/>
      <c r="BB73" s="108" t="n"/>
      <c r="BC73" s="32" t="n"/>
      <c r="BD73" s="32" t="n"/>
    </row>
    <row r="74" ht="15" customHeight="1" s="148">
      <c r="A74" t="inlineStr">
        <is>
          <t>c0070</t>
        </is>
      </c>
      <c r="B74" s="44" t="inlineStr">
        <is>
          <t>Ritual of Soot</t>
        </is>
      </c>
      <c r="C74" s="34" t="inlineStr">
        <is>
          <t>B</t>
        </is>
      </c>
      <c r="D74" s="44" t="inlineStr">
        <is>
          <t>Sorcery</t>
        </is>
      </c>
      <c r="E74" s="41" t="inlineStr">
        <is>
          <t>B2</t>
        </is>
      </c>
      <c r="F74" s="34" t="n">
        <v>4</v>
      </c>
      <c r="G74" s="67" t="inlineStr">
        <is>
          <t>Destroy all creatures with mana value 3 or less.</t>
        </is>
      </c>
      <c r="H74" s="45" t="inlineStr">
        <is>
          <t>Board Wipe</t>
        </is>
      </c>
      <c r="I74" s="45" t="inlineStr">
        <is>
          <t>Destroys all creatures with mana value 3 or less</t>
        </is>
      </c>
      <c r="J74" s="45" t="n"/>
      <c r="K74" s="45" t="n"/>
      <c r="L74" s="42" t="n"/>
      <c r="M74" s="42" t="n"/>
      <c r="N74" s="42" t="n"/>
      <c r="O74" s="63" t="n"/>
      <c r="P74" s="63" t="n">
        <v>0.26</v>
      </c>
      <c r="Q74" s="42" t="n"/>
      <c r="R74" s="42" t="n"/>
      <c r="S74" s="42" t="n"/>
      <c r="T74" s="63" t="n"/>
      <c r="U74" s="63" t="n"/>
      <c r="V74" s="45" t="inlineStr">
        <is>
          <t>Guilds of Ravnica</t>
        </is>
      </c>
      <c r="W74" s="41" t="n">
        <v>1</v>
      </c>
      <c r="X74" s="37">
        <f>SUM(Y74:AE74)</f>
        <v/>
      </c>
      <c r="Y74" s="43" t="n"/>
      <c r="Z74" s="43" t="n"/>
      <c r="AA74" s="43" t="n"/>
      <c r="AB74" s="43" t="n"/>
      <c r="AC74" s="43" t="n"/>
      <c r="AD74" s="43" t="n"/>
      <c r="AE74" s="43" t="n">
        <v>1</v>
      </c>
      <c r="AF74" s="38">
        <f>IF((W74-SUM(Y74:AE74))&lt;0,0,W74-SUM(Y74:AE74))</f>
        <v/>
      </c>
      <c r="AG74" s="34">
        <f>MAX(0,$AT74-$W74-$AI74)</f>
        <v/>
      </c>
      <c r="AH74" s="34" t="n"/>
      <c r="AI74" s="34" t="n"/>
      <c r="AJ74" s="36" t="n">
        <v>0.28</v>
      </c>
      <c r="AK74" s="36">
        <f>IF(AND($AG74&gt;0,ISNUMBER($AJ74)),$AG74*$AJ74,0)</f>
        <v/>
      </c>
      <c r="AR74" t="inlineStr">
        <is>
          <t>BL0067</t>
        </is>
      </c>
      <c r="AT74" s="37">
        <f>SUM(AU74:BA74)</f>
        <v/>
      </c>
      <c r="AU74" s="73" t="n"/>
      <c r="AV74" s="33" t="n"/>
      <c r="AW74" s="33" t="n"/>
      <c r="AX74" s="33" t="n"/>
      <c r="AY74" s="33" t="n"/>
      <c r="AZ74" s="33" t="n"/>
      <c r="BA74" s="81" t="n"/>
      <c r="BB74" s="106" t="n"/>
      <c r="BC74" s="42" t="n"/>
      <c r="BD74" s="42" t="n"/>
    </row>
    <row r="75" ht="15" customHeight="1" s="148">
      <c r="A75" t="inlineStr">
        <is>
          <t>c0071</t>
        </is>
      </c>
      <c r="B75" s="30" t="inlineStr">
        <is>
          <t>Scathing Shadelock // Venomous Words</t>
        </is>
      </c>
      <c r="C75" s="31" t="inlineStr">
        <is>
          <t>B</t>
        </is>
      </c>
      <c r="D75" s="30" t="inlineStr">
        <is>
          <t>Creature</t>
        </is>
      </c>
      <c r="E75" s="33" t="inlineStr">
        <is>
          <t>B2</t>
        </is>
      </c>
      <c r="F75" s="30" t="n">
        <v>5</v>
      </c>
      <c r="G75" s="67" t="inlineStr">
        <is>
          <t>Scathing Shadelock {4}{B} — Creature — Snake Warlock (4/6)
At the beginning of your first main phase, this creature becomes prepared. (While it's prepared, you may cast a copy of its spell. Doing so unprepares it.)
//
Venomous Words {B} — Sorcery
Target creature you control gets +2/+0 and gains deathtouch until end of turn.</t>
        </is>
      </c>
      <c r="H75" s="30" t="inlineStr">
        <is>
          <t>Utility Creature</t>
        </is>
      </c>
      <c r="I75" s="30" t="inlineStr">
        <is>
          <t>Becomes prepared at the beginning of your first main phase — you may cast a copy of its spell</t>
        </is>
      </c>
      <c r="J75" s="30" t="inlineStr">
        <is>
          <t>Venomous Words: target creature you control gets +2/+0 and gains deathtouch until end of turn</t>
        </is>
      </c>
      <c r="K75" s="30" t="inlineStr">
        <is>
          <t>4/6 body</t>
        </is>
      </c>
      <c r="L75" s="32" t="inlineStr">
        <is>
          <t>98</t>
        </is>
      </c>
      <c r="M75" s="32" t="n">
        <v>1</v>
      </c>
      <c r="N75" s="32" t="n">
        <v>0</v>
      </c>
      <c r="O75" s="63" t="inlineStr">
        <is>
          <t>Loïc Canueles</t>
        </is>
      </c>
      <c r="P75" s="63" t="n">
        <v>0.19</v>
      </c>
      <c r="Q75" s="32" t="inlineStr">
        <is>
          <t>Uncommon</t>
        </is>
      </c>
      <c r="R75" s="32" t="n"/>
      <c r="S75" s="32" t="n"/>
      <c r="T75" s="63" t="n"/>
      <c r="U75" s="63" t="n"/>
      <c r="V75" s="30" t="inlineStr">
        <is>
          <t>Secrets of Strixhaven</t>
        </is>
      </c>
      <c r="W75" s="41" t="n">
        <v>1</v>
      </c>
      <c r="X75" s="37">
        <f>SUM(Y75:AE75)</f>
        <v/>
      </c>
      <c r="Y75" s="43" t="n"/>
      <c r="Z75" s="43" t="n"/>
      <c r="AA75" s="43" t="n"/>
      <c r="AB75" s="43" t="n"/>
      <c r="AC75" s="43" t="n"/>
      <c r="AD75" s="43" t="n"/>
      <c r="AE75" s="43" t="n"/>
      <c r="AF75" s="38">
        <f>IF((W75-SUM(Y75:AE75))&lt;0,0,W75-SUM(Y75:AE75))</f>
        <v/>
      </c>
      <c r="AG75" s="34">
        <f>MAX(0,$AT75-$W75-$AI75)</f>
        <v/>
      </c>
      <c r="AH75" s="30" t="n"/>
      <c r="AI75" s="30" t="n"/>
      <c r="AJ75" s="30" t="n">
        <v>0.19</v>
      </c>
      <c r="AK75" s="36">
        <f>IF(AND($AG75&gt;0,ISNUMBER($AJ75)),$AG75*$AJ75,0)</f>
        <v/>
      </c>
      <c r="AT75" s="37">
        <f>SUM(AU75:BA75)</f>
        <v/>
      </c>
      <c r="AU75" s="73" t="n"/>
      <c r="AV75" s="33" t="n"/>
      <c r="AW75" s="33" t="n"/>
      <c r="AX75" s="33" t="n"/>
      <c r="AY75" s="33" t="n"/>
      <c r="AZ75" s="33" t="n"/>
      <c r="BA75" s="74" t="n"/>
      <c r="BB75" s="108" t="n"/>
      <c r="BC75" s="32" t="n"/>
      <c r="BD75" s="32" t="n"/>
    </row>
    <row r="76" ht="15" customHeight="1" s="148">
      <c r="A76" t="inlineStr">
        <is>
          <t>c0072</t>
        </is>
      </c>
      <c r="B76" s="44" t="inlineStr">
        <is>
          <t>Sign in Blood</t>
        </is>
      </c>
      <c r="C76" s="34" t="inlineStr">
        <is>
          <t>B</t>
        </is>
      </c>
      <c r="D76" s="44" t="inlineStr">
        <is>
          <t>Sorcery</t>
        </is>
      </c>
      <c r="E76" s="41" t="inlineStr">
        <is>
          <t>B2</t>
        </is>
      </c>
      <c r="F76" s="34" t="n">
        <v>2</v>
      </c>
      <c r="G76" s="67" t="inlineStr">
        <is>
          <t>Target player draws two cards and loses 2 life.</t>
        </is>
      </c>
      <c r="H76" s="45" t="inlineStr">
        <is>
          <t>Card Draw</t>
        </is>
      </c>
      <c r="I76" s="45" t="inlineStr">
        <is>
          <t>Target player draws two cards and loses 2 life</t>
        </is>
      </c>
      <c r="J76" s="45" t="n"/>
      <c r="K76" s="45" t="n"/>
      <c r="L76" s="42" t="n"/>
      <c r="M76" s="42" t="n"/>
      <c r="N76" s="42" t="n"/>
      <c r="O76" s="42" t="n"/>
      <c r="P76" s="42" t="n">
        <v>2.89</v>
      </c>
      <c r="Q76" s="42" t="n"/>
      <c r="R76" s="42" t="n"/>
      <c r="S76" s="42" t="n"/>
      <c r="T76" s="42" t="n"/>
      <c r="U76" s="42" t="n"/>
      <c r="V76" s="45" t="inlineStr">
        <is>
          <t>Magic 2010</t>
        </is>
      </c>
      <c r="W76" s="41" t="n">
        <v>0</v>
      </c>
      <c r="X76" s="37">
        <f>SUM(Y76:AE76)</f>
        <v/>
      </c>
      <c r="Y76" s="43" t="n"/>
      <c r="Z76" s="43" t="n"/>
      <c r="AA76" s="43" t="n"/>
      <c r="AB76" s="43" t="n"/>
      <c r="AC76" s="43" t="n"/>
      <c r="AD76" s="43" t="n"/>
      <c r="AE76" s="43" t="n"/>
      <c r="AF76" s="38">
        <f>IF((W76-SUM(Y76:AE76))&lt;0,0,W76-SUM(Y76:AE76))</f>
        <v/>
      </c>
      <c r="AG76" s="34">
        <f>MAX(0,$AT76-$W76-$AI76)</f>
        <v/>
      </c>
      <c r="AH76" s="34" t="n"/>
      <c r="AI76" s="34" t="n"/>
      <c r="AJ76" s="36" t="n">
        <v>3.67</v>
      </c>
      <c r="AK76" s="36">
        <f>IF(AND($AG76&gt;0,ISNUMBER($AJ76)),$AG76*$AJ76,0)</f>
        <v/>
      </c>
      <c r="AL76" s="54" t="n"/>
      <c r="AM76" s="54" t="n"/>
      <c r="AN76" s="54" t="n"/>
      <c r="AO76" s="54" t="n"/>
      <c r="AP76" s="54" t="n"/>
      <c r="AQ76" s="54" t="n"/>
      <c r="AR76" s="54" t="n"/>
      <c r="AS76" s="54" t="n"/>
      <c r="AT76" s="37">
        <f>SUM(AU76:BA76)</f>
        <v/>
      </c>
      <c r="AU76" s="92" t="n"/>
      <c r="AV76" s="38" t="n"/>
      <c r="AW76" s="38" t="n"/>
      <c r="AX76" s="38" t="n"/>
      <c r="AY76" s="38" t="n"/>
      <c r="AZ76" s="38" t="n"/>
      <c r="BA76" s="94" t="n"/>
      <c r="BB76" s="106" t="n"/>
      <c r="BC76" s="42" t="n"/>
      <c r="BD76" s="42" t="n"/>
    </row>
    <row r="77" ht="15" customHeight="1" s="148">
      <c r="A77" t="inlineStr">
        <is>
          <t>c0073</t>
        </is>
      </c>
      <c r="B77" s="44" t="inlineStr">
        <is>
          <t>Slaughter Specialist</t>
        </is>
      </c>
      <c r="C77" s="34" t="inlineStr">
        <is>
          <t>B</t>
        </is>
      </c>
      <c r="D77" s="44" t="inlineStr">
        <is>
          <t>Creature</t>
        </is>
      </c>
      <c r="E77" s="41" t="inlineStr">
        <is>
          <t>B2</t>
        </is>
      </c>
      <c r="F77" s="34" t="n">
        <v>2</v>
      </c>
      <c r="G77" s="67" t="inlineStr">
        <is>
          <t>When this creature enters, each opponent creates a 1/1 white Human creature token.
Whenever a creature an opponent controls dies, put a +1/+1 counter on this creature.
(3/3)</t>
        </is>
      </c>
      <c r="H77" s="45" t="inlineStr">
        <is>
          <t>Toughness Payoff</t>
        </is>
      </c>
      <c r="I77" s="45" t="inlineStr">
        <is>
          <t>Gives each opponent a 1/1 Human token when it enters</t>
        </is>
      </c>
      <c r="J77" s="45" t="inlineStr">
        <is>
          <t>Gets a +1/+1 counter whenever an opponent's creature dies</t>
        </is>
      </c>
      <c r="K77" s="45" t="n"/>
      <c r="L77" s="42" t="n"/>
      <c r="M77" s="42" t="n"/>
      <c r="N77" s="42" t="n"/>
      <c r="O77" s="42" t="n"/>
      <c r="P77" s="42" t="n">
        <v>0.95</v>
      </c>
      <c r="Q77" s="42" t="n"/>
      <c r="R77" s="42" t="n"/>
      <c r="S77" s="42" t="n"/>
      <c r="T77" s="42" t="n"/>
      <c r="U77" s="42" t="n"/>
      <c r="V77" s="45" t="inlineStr">
        <is>
          <t>Innistrad: Midnight Hunt</t>
        </is>
      </c>
      <c r="W77" s="41" t="n">
        <v>0</v>
      </c>
      <c r="X77" s="37">
        <f>SUM(Y77:AE77)</f>
        <v/>
      </c>
      <c r="Y77" s="43" t="n"/>
      <c r="Z77" s="43" t="n"/>
      <c r="AA77" s="43" t="n"/>
      <c r="AB77" s="43" t="n"/>
      <c r="AC77" s="43" t="n"/>
      <c r="AD77" s="43" t="n"/>
      <c r="AE77" s="43" t="n"/>
      <c r="AF77" s="38">
        <f>IF((W77-SUM(Y77:AE77))&lt;0,0,W77-SUM(Y77:AE77))</f>
        <v/>
      </c>
      <c r="AG77" s="34">
        <f>MAX(0,$AT77-$W77-$AI77)</f>
        <v/>
      </c>
      <c r="AH77" s="34" t="n"/>
      <c r="AI77" s="34" t="n"/>
      <c r="AJ77" s="36" t="n">
        <v>0.88</v>
      </c>
      <c r="AK77" s="36">
        <f>IF(AND($AG77&gt;0,ISNUMBER($AJ77)),$AG77*$AJ77,0)</f>
        <v/>
      </c>
      <c r="AL77" s="54" t="n"/>
      <c r="AM77" s="54" t="n"/>
      <c r="AN77" s="54" t="n"/>
      <c r="AO77" s="54" t="n"/>
      <c r="AP77" s="54" t="n"/>
      <c r="AQ77" s="54" t="n"/>
      <c r="AR77" s="54" t="n"/>
      <c r="AS77" s="54" t="n"/>
      <c r="AT77" s="37">
        <f>SUM(AU77:BA77)</f>
        <v/>
      </c>
      <c r="AU77" s="92" t="n"/>
      <c r="AV77" s="38" t="n"/>
      <c r="AW77" s="38" t="n"/>
      <c r="AX77" s="38" t="n"/>
      <c r="AY77" s="38" t="n"/>
      <c r="AZ77" s="38" t="n"/>
      <c r="BA77" s="94" t="n"/>
      <c r="BB77" s="106" t="n"/>
      <c r="BC77" s="42" t="n"/>
      <c r="BD77" s="42" t="n"/>
    </row>
    <row r="78" ht="15" customHeight="1" s="148">
      <c r="A78" t="inlineStr">
        <is>
          <t>c0074</t>
        </is>
      </c>
      <c r="B78" s="39" t="inlineStr">
        <is>
          <t>Stir Up Trouble</t>
        </is>
      </c>
      <c r="C78" s="40" t="inlineStr">
        <is>
          <t>B</t>
        </is>
      </c>
      <c r="D78" s="39" t="inlineStr">
        <is>
          <t>Sorcery</t>
        </is>
      </c>
      <c r="E78" s="41" t="inlineStr">
        <is>
          <t>B2</t>
        </is>
      </c>
      <c r="F78" s="40" t="n">
        <v>1</v>
      </c>
      <c r="G78" s="67" t="inlineStr">
        <is>
          <t>As an additional cost to cast this spell, sacrifice an artifact or creature or pay {4}.
Destroy target creature.</t>
        </is>
      </c>
      <c r="H78" s="39" t="inlineStr">
        <is>
          <t>Removal</t>
        </is>
      </c>
      <c r="I78" s="39" t="inlineStr">
        <is>
          <t>Destroy target creature</t>
        </is>
      </c>
      <c r="J78" s="39" t="inlineStr">
        <is>
          <t>Additional cost: sacrifice an artifact or creature, or pay {4}</t>
        </is>
      </c>
      <c r="K78" s="39" t="n"/>
      <c r="L78" s="42" t="n"/>
      <c r="M78" s="42" t="n"/>
      <c r="N78" s="42" t="n"/>
      <c r="O78" s="63" t="n"/>
      <c r="P78" s="63" t="n"/>
      <c r="Q78" s="42" t="n"/>
      <c r="R78" s="42" t="n"/>
      <c r="S78" s="42" t="n"/>
      <c r="T78" s="63" t="n"/>
      <c r="U78" s="63" t="n"/>
      <c r="V78" s="39" t="inlineStr">
        <is>
          <t>The Hobbit</t>
        </is>
      </c>
      <c r="W78" s="41" t="n">
        <v>2</v>
      </c>
      <c r="X78" s="37">
        <f>SUM(Y78:AE78)</f>
        <v/>
      </c>
      <c r="Y78" s="43" t="n"/>
      <c r="Z78" s="43" t="n"/>
      <c r="AA78" s="43" t="n"/>
      <c r="AB78" s="43" t="n"/>
      <c r="AC78" s="43" t="n"/>
      <c r="AD78" s="43" t="n"/>
      <c r="AE78" s="43" t="n">
        <v>1</v>
      </c>
      <c r="AF78" s="38">
        <f>IF((W78-SUM(Y78:AE78))&lt;0,0,W78-SUM(Y78:AE78))</f>
        <v/>
      </c>
      <c r="AG78" s="34">
        <f>MAX(0,$AT78-$W78-$AI78)</f>
        <v/>
      </c>
      <c r="AH78" s="39" t="n"/>
      <c r="AI78" s="39" t="n"/>
      <c r="AJ78" s="39" t="n">
        <v>0.13</v>
      </c>
      <c r="AK78" s="39">
        <f>IF(AND($AG78&gt;0,ISNUMBER($AJ78)),$AG78*$AJ78,0)</f>
        <v/>
      </c>
      <c r="AT78" s="37">
        <f>SUM(AU78:BA78)</f>
        <v/>
      </c>
      <c r="AU78" s="73" t="n"/>
      <c r="AV78" s="33" t="n"/>
      <c r="AW78" s="33" t="n"/>
      <c r="AX78" s="33" t="n"/>
      <c r="AY78" s="33" t="n"/>
      <c r="AZ78" s="33" t="n"/>
      <c r="BA78" s="80" t="n">
        <v>1</v>
      </c>
      <c r="BB78" s="107" t="n"/>
      <c r="BC78" s="42" t="n"/>
      <c r="BD78" s="42" t="n"/>
    </row>
    <row r="79" ht="15" customHeight="1" s="148">
      <c r="A79" t="inlineStr">
        <is>
          <t>c0075</t>
        </is>
      </c>
      <c r="B79" s="44" t="inlineStr">
        <is>
          <t>Stony-Voiced Goblins</t>
        </is>
      </c>
      <c r="C79" s="34" t="inlineStr">
        <is>
          <t>B</t>
        </is>
      </c>
      <c r="D79" s="44" t="inlineStr">
        <is>
          <t>Creature</t>
        </is>
      </c>
      <c r="E79" s="41" t="inlineStr">
        <is>
          <t>B2</t>
        </is>
      </c>
      <c r="F79" s="34" t="n">
        <v>2</v>
      </c>
      <c r="G79" s="67" t="inlineStr">
        <is>
          <t>When this creature enters, each opponent discards a card.
(1/1)</t>
        </is>
      </c>
      <c r="H79" s="45" t="inlineStr">
        <is>
          <t>Discard/Looting</t>
        </is>
      </c>
      <c r="I79" s="45" t="inlineStr">
        <is>
          <t>Each opponent discards a card when it enters</t>
        </is>
      </c>
      <c r="J79" s="45" t="n"/>
      <c r="K79" s="45" t="n"/>
      <c r="L79" s="42" t="inlineStr">
        <is>
          <t>85</t>
        </is>
      </c>
      <c r="M79" s="42" t="n">
        <v>1</v>
      </c>
      <c r="N79" s="42" t="n">
        <v>0</v>
      </c>
      <c r="O79" s="63" t="inlineStr">
        <is>
          <t>Marius Bota</t>
        </is>
      </c>
      <c r="P79" s="63" t="n">
        <v>0.14</v>
      </c>
      <c r="Q79" s="42" t="inlineStr">
        <is>
          <t>Common</t>
        </is>
      </c>
      <c r="R79" s="42" t="n"/>
      <c r="S79" s="42" t="n"/>
      <c r="T79" s="63" t="n"/>
      <c r="U79" s="63" t="n"/>
      <c r="V79" s="45" t="inlineStr">
        <is>
          <t>The Hobbit</t>
        </is>
      </c>
      <c r="W79" s="41" t="n">
        <v>2</v>
      </c>
      <c r="X79" s="37">
        <f>SUM(Y79:AE79)</f>
        <v/>
      </c>
      <c r="Y79" s="43" t="n"/>
      <c r="Z79" s="43" t="n"/>
      <c r="AA79" s="43" t="n"/>
      <c r="AB79" s="43" t="n"/>
      <c r="AC79" s="43" t="n"/>
      <c r="AD79" s="43" t="n"/>
      <c r="AE79" s="43" t="n"/>
      <c r="AF79" s="38">
        <f>IF((W79-SUM(Y79:AE79))&lt;0,0,W79-SUM(Y79:AE79))</f>
        <v/>
      </c>
      <c r="AG79" s="34">
        <f>MAX(0,$AT79-$W79-$AI79)</f>
        <v/>
      </c>
      <c r="AH79" s="34" t="n"/>
      <c r="AI79" s="34" t="n"/>
      <c r="AJ79" s="36" t="n">
        <v>0.15</v>
      </c>
      <c r="AK79" s="36">
        <f>IF(AND($AG79&gt;0,ISNUMBER($AJ79)),$AG79*$AJ79,0)</f>
        <v/>
      </c>
      <c r="AT79" s="37">
        <f>SUM(AU79:BA79)</f>
        <v/>
      </c>
      <c r="AU79" s="73" t="n"/>
      <c r="AV79" s="33" t="n"/>
      <c r="AW79" s="33" t="n"/>
      <c r="AX79" s="33" t="n"/>
      <c r="AY79" s="33" t="n"/>
      <c r="AZ79" s="33" t="n"/>
      <c r="BA79" s="74" t="n"/>
      <c r="BB79" s="106" t="n"/>
      <c r="BC79" s="42" t="n"/>
      <c r="BD79" s="42" t="n"/>
    </row>
    <row r="80" ht="15" customHeight="1" s="148">
      <c r="A80" t="inlineStr">
        <is>
          <t>c0076</t>
        </is>
      </c>
      <c r="B80" s="39" t="inlineStr">
        <is>
          <t>Swampsnare Trap</t>
        </is>
      </c>
      <c r="C80" s="40" t="inlineStr">
        <is>
          <t>B</t>
        </is>
      </c>
      <c r="D80" s="39" t="inlineStr">
        <is>
          <t>Enchantment</t>
        </is>
      </c>
      <c r="E80" s="41" t="inlineStr">
        <is>
          <t>B2</t>
        </is>
      </c>
      <c r="F80" s="40" t="n">
        <v>3</v>
      </c>
      <c r="G80" s="67" t="inlineStr">
        <is>
          <t>This spell costs {1} less to cast if it targets a creature with flying.
Enchant creature
Enchanted creature gets -5/-3.</t>
        </is>
      </c>
      <c r="H80" s="39" t="inlineStr">
        <is>
          <t>Removal</t>
        </is>
      </c>
      <c r="I80" s="39" t="inlineStr">
        <is>
          <t>Enchanted creature gets -5/-3</t>
        </is>
      </c>
      <c r="J80" s="39" t="inlineStr">
        <is>
          <t>Costs {1} less to cast if it targets a creature with flying</t>
        </is>
      </c>
      <c r="K80" s="39" t="n"/>
      <c r="L80" s="42" t="n"/>
      <c r="M80" s="42" t="n"/>
      <c r="N80" s="42" t="n"/>
      <c r="O80" s="63" t="n"/>
      <c r="P80" s="63" t="n"/>
      <c r="Q80" s="42" t="n"/>
      <c r="R80" s="42" t="n"/>
      <c r="S80" s="42" t="n"/>
      <c r="T80" s="63" t="n"/>
      <c r="U80" s="63" t="n"/>
      <c r="V80" s="39" t="inlineStr">
        <is>
          <t>Avatar: The Last Airbender</t>
        </is>
      </c>
      <c r="W80" s="41" t="n">
        <v>1</v>
      </c>
      <c r="X80" s="37">
        <f>SUM(Y80:AE80)</f>
        <v/>
      </c>
      <c r="Y80" s="43" t="n"/>
      <c r="Z80" s="43" t="n"/>
      <c r="AA80" s="43" t="n"/>
      <c r="AB80" s="43" t="n"/>
      <c r="AC80" s="43" t="n"/>
      <c r="AD80" s="43" t="n"/>
      <c r="AE80" s="43" t="n">
        <v>1</v>
      </c>
      <c r="AF80" s="38">
        <f>IF((W80-SUM(Y80:AE80))&lt;0,0,W80-SUM(Y80:AE80))</f>
        <v/>
      </c>
      <c r="AG80" s="34">
        <f>MAX(0,$AT80-$W80-$AI80)</f>
        <v/>
      </c>
      <c r="AH80" s="39" t="n"/>
      <c r="AI80" s="39" t="n"/>
      <c r="AJ80" s="39" t="n">
        <v>0.16</v>
      </c>
      <c r="AK80" s="39">
        <f>IF(AND($AG80&gt;0,ISNUMBER($AJ80)),$AG80*$AJ80,0)</f>
        <v/>
      </c>
      <c r="AR80" s="58" t="inlineStr">
        <is>
          <t>BL0069</t>
        </is>
      </c>
      <c r="AT80" s="37">
        <f>SUM(AU80:BA80)</f>
        <v/>
      </c>
      <c r="AU80" s="73" t="n"/>
      <c r="AV80" s="33" t="n"/>
      <c r="AW80" s="33" t="n"/>
      <c r="AX80" s="33" t="n"/>
      <c r="AY80" s="33" t="n"/>
      <c r="AZ80" s="33" t="n"/>
      <c r="BA80" s="79" t="n"/>
      <c r="BB80" s="107" t="n"/>
      <c r="BC80" s="42" t="n"/>
      <c r="BD80" s="42" t="n"/>
    </row>
    <row r="81" ht="15" customHeight="1" s="148">
      <c r="A81" t="inlineStr">
        <is>
          <t>c0077</t>
        </is>
      </c>
      <c r="B81" s="44" t="inlineStr">
        <is>
          <t>Terror</t>
        </is>
      </c>
      <c r="C81" s="34" t="inlineStr">
        <is>
          <t>B</t>
        </is>
      </c>
      <c r="D81" s="44" t="inlineStr">
        <is>
          <t>Instant</t>
        </is>
      </c>
      <c r="E81" s="41" t="inlineStr">
        <is>
          <t>B2</t>
        </is>
      </c>
      <c r="F81" s="34" t="n">
        <v>2</v>
      </c>
      <c r="G81" s="67" t="inlineStr">
        <is>
          <t>Destroy target nonartifact, nonblack creature. It can't be regenerated.</t>
        </is>
      </c>
      <c r="H81" s="45" t="inlineStr">
        <is>
          <t>Removal</t>
        </is>
      </c>
      <c r="I81" s="45" t="inlineStr">
        <is>
          <t>Destroys target nonartifact, nonblack creature</t>
        </is>
      </c>
      <c r="J81" s="45" t="inlineStr">
        <is>
          <t>That creature can't be regenerated</t>
        </is>
      </c>
      <c r="K81" s="45" t="n"/>
      <c r="L81" s="42" t="n"/>
      <c r="M81" s="42" t="n"/>
      <c r="N81" s="42" t="n"/>
      <c r="O81" s="63" t="n"/>
      <c r="P81" s="63" t="n">
        <v>0.24</v>
      </c>
      <c r="Q81" s="42" t="n"/>
      <c r="R81" s="42" t="n"/>
      <c r="S81" s="42" t="n"/>
      <c r="T81" s="63" t="n"/>
      <c r="U81" s="63" t="n"/>
      <c r="V81" s="45" t="inlineStr">
        <is>
          <t>Limited Edition Alpha</t>
        </is>
      </c>
      <c r="W81" s="41" t="n">
        <v>2</v>
      </c>
      <c r="X81" s="37">
        <f>SUM(Y81:AE81)</f>
        <v/>
      </c>
      <c r="Y81" s="43" t="n"/>
      <c r="Z81" s="43" t="n"/>
      <c r="AA81" s="43" t="n"/>
      <c r="AB81" s="43" t="n"/>
      <c r="AC81" s="43" t="n">
        <v>1</v>
      </c>
      <c r="AD81" s="43" t="n"/>
      <c r="AE81" s="43" t="n">
        <v>1</v>
      </c>
      <c r="AF81" s="38">
        <f>IF((W81-SUM(Y81:AE81))&lt;0,0,W81-SUM(Y81:AE81))</f>
        <v/>
      </c>
      <c r="AG81" s="34">
        <f>MAX(0,$AT81-$W81-$AI81)</f>
        <v/>
      </c>
      <c r="AH81" s="34" t="inlineStr">
        <is>
          <t>GT</t>
        </is>
      </c>
      <c r="AI81" s="34" t="n"/>
      <c r="AJ81" s="36" t="n">
        <v>0.24</v>
      </c>
      <c r="AK81" s="36">
        <f>IF(AND($AG81&gt;0,ISNUMBER($AJ81)),$AG81*$AJ81,0)</f>
        <v/>
      </c>
      <c r="AP81" s="58" t="inlineStr">
        <is>
          <t>BL0018</t>
        </is>
      </c>
      <c r="AS81" s="86" t="n">
        <v>1</v>
      </c>
      <c r="AT81" s="37">
        <f>SUM(AU81:BA81)</f>
        <v/>
      </c>
      <c r="AU81" s="73" t="n"/>
      <c r="AV81" s="33" t="n"/>
      <c r="AW81" s="33" t="n"/>
      <c r="AX81" s="33" t="n"/>
      <c r="AY81" s="100" t="n"/>
      <c r="AZ81" s="33" t="n"/>
      <c r="BA81" s="80" t="n">
        <v>1</v>
      </c>
      <c r="BB81" s="106" t="n"/>
      <c r="BC81" s="42" t="n"/>
      <c r="BD81" s="42" t="n"/>
    </row>
    <row r="82" ht="15" customHeight="1" s="148">
      <c r="A82" t="inlineStr">
        <is>
          <t>c0078</t>
        </is>
      </c>
      <c r="B82" s="44" t="inlineStr">
        <is>
          <t>The Meathook Massacre</t>
        </is>
      </c>
      <c r="C82" s="34" t="inlineStr">
        <is>
          <t>B</t>
        </is>
      </c>
      <c r="D82" s="44" t="inlineStr">
        <is>
          <t>Legendary Enchantment</t>
        </is>
      </c>
      <c r="E82" s="41" t="inlineStr">
        <is>
          <t>B3</t>
        </is>
      </c>
      <c r="F82" s="34" t="n">
        <v>2</v>
      </c>
      <c r="G82" s="67" t="inlineStr">
        <is>
          <t>When The Meathook Massacre enters, each creature gets -X/-X until end of turn.
Whenever a creature you control dies, each opponent loses 1 life.
Whenever a creature an opponent controls dies, you gain 1 life.</t>
        </is>
      </c>
      <c r="H82" s="45" t="inlineStr">
        <is>
          <t>Board Wipe</t>
        </is>
      </c>
      <c r="I82" s="45" t="inlineStr">
        <is>
          <t>When The Meathook Massacre enters, each creature gets -X/-X until end of turn.
Whenever a creature you control dies, eac</t>
        </is>
      </c>
      <c r="J82" s="45" t="n"/>
      <c r="K82" s="45" t="n"/>
      <c r="L82" s="42" t="n"/>
      <c r="M82" s="42" t="n"/>
      <c r="N82" s="42" t="n"/>
      <c r="O82" s="42" t="n"/>
      <c r="P82" s="42" t="n">
        <v>25.23</v>
      </c>
      <c r="Q82" s="42" t="n"/>
      <c r="R82" s="42" t="n"/>
      <c r="S82" s="42" t="n"/>
      <c r="T82" s="42" t="n"/>
      <c r="U82" s="42" t="n"/>
      <c r="V82" s="45" t="inlineStr">
        <is>
          <t>Innistrad: Midnight Hunt</t>
        </is>
      </c>
      <c r="W82" s="41" t="n">
        <v>0</v>
      </c>
      <c r="X82" s="37">
        <f>SUM(Y82:AE82)</f>
        <v/>
      </c>
      <c r="Y82" s="43" t="n"/>
      <c r="Z82" s="43" t="n"/>
      <c r="AA82" s="43" t="n"/>
      <c r="AB82" s="43" t="n"/>
      <c r="AC82" s="43" t="n"/>
      <c r="AD82" s="43" t="n"/>
      <c r="AE82" s="43" t="n"/>
      <c r="AF82" s="38">
        <f>IF((W82-SUM(Y82:AE82))&lt;0,0,W82-SUM(Y82:AE82))</f>
        <v/>
      </c>
      <c r="AG82" s="34">
        <f>MAX(0,$AT82-$W82-$AI82)</f>
        <v/>
      </c>
      <c r="AH82" s="34" t="n"/>
      <c r="AI82" s="34" t="n"/>
      <c r="AJ82" s="36" t="n">
        <v>25.01</v>
      </c>
      <c r="AK82" s="36">
        <f>IF(AND($AG82&gt;0,ISNUMBER($AJ82)),$AG82*$AJ82,0)</f>
        <v/>
      </c>
      <c r="AL82" s="54" t="n"/>
      <c r="AM82" s="54" t="n"/>
      <c r="AN82" s="54" t="n"/>
      <c r="AO82" s="54" t="n"/>
      <c r="AP82" s="54" t="n"/>
      <c r="AQ82" s="54" t="n"/>
      <c r="AR82" s="54" t="n"/>
      <c r="AS82" s="54" t="n"/>
      <c r="AT82" s="37">
        <f>SUM(AU82:BA82)</f>
        <v/>
      </c>
      <c r="AU82" s="92" t="n"/>
      <c r="AV82" s="38" t="n"/>
      <c r="AW82" s="38" t="n"/>
      <c r="AX82" s="38" t="n"/>
      <c r="AY82" s="38" t="n"/>
      <c r="AZ82" s="38" t="n"/>
      <c r="BA82" s="94" t="n"/>
      <c r="BB82" s="106" t="n"/>
      <c r="BC82" s="42" t="n"/>
      <c r="BD82" s="42" t="n"/>
    </row>
    <row r="83" ht="15" customHeight="1" s="148">
      <c r="A83" t="inlineStr">
        <is>
          <t>c0079</t>
        </is>
      </c>
      <c r="B83" s="44" t="inlineStr">
        <is>
          <t>Thirsting Shade</t>
        </is>
      </c>
      <c r="C83" s="34" t="inlineStr">
        <is>
          <t>B</t>
        </is>
      </c>
      <c r="D83" s="44" t="inlineStr">
        <is>
          <t>Creature</t>
        </is>
      </c>
      <c r="E83" s="41" t="inlineStr">
        <is>
          <t>B2</t>
        </is>
      </c>
      <c r="F83" s="34" t="n">
        <v>1</v>
      </c>
      <c r="G83" s="67" t="inlineStr">
        <is>
          <t>Lifelink
{2}{B}: This creature gets +1/+1 until end of turn.
(1/1)</t>
        </is>
      </c>
      <c r="H83" s="45" t="inlineStr">
        <is>
          <t>Mana Sink</t>
        </is>
      </c>
      <c r="I83" s="45" t="inlineStr">
        <is>
          <t>Pay {2}{B} to get +1/+1 until end of turn, any number of times</t>
        </is>
      </c>
      <c r="J83" s="45" t="inlineStr">
        <is>
          <t>Gains you life equal to damage it deals</t>
        </is>
      </c>
      <c r="K83" s="45" t="n"/>
      <c r="L83" s="42" t="n"/>
      <c r="M83" s="42" t="n"/>
      <c r="N83" s="42" t="n"/>
      <c r="O83" s="63" t="n"/>
      <c r="P83" s="63" t="n">
        <v>0.15</v>
      </c>
      <c r="Q83" s="42" t="n"/>
      <c r="R83" s="42" t="n"/>
      <c r="S83" s="42" t="n"/>
      <c r="T83" s="63" t="n"/>
      <c r="U83" s="63" t="n"/>
      <c r="V83" s="45" t="inlineStr">
        <is>
          <t>Ravnica Allegiance</t>
        </is>
      </c>
      <c r="W83" s="41" t="n">
        <v>1</v>
      </c>
      <c r="X83" s="37">
        <f>SUM(Y83:AE83)</f>
        <v/>
      </c>
      <c r="Y83" s="43" t="n"/>
      <c r="Z83" s="43" t="n"/>
      <c r="AA83" s="43" t="n"/>
      <c r="AB83" s="43" t="n"/>
      <c r="AC83" s="43" t="n"/>
      <c r="AD83" s="43" t="n"/>
      <c r="AE83" s="43" t="n"/>
      <c r="AF83" s="38">
        <f>IF((W83-SUM(Y83:AE83))&lt;0,0,W83-SUM(Y83:AE83))</f>
        <v/>
      </c>
      <c r="AG83" s="34">
        <f>MAX(0,$AT83-$W83-$AI83)</f>
        <v/>
      </c>
      <c r="AH83" s="34" t="n"/>
      <c r="AI83" s="34" t="n"/>
      <c r="AJ83" s="36" t="n">
        <v>0.14</v>
      </c>
      <c r="AK83" s="36">
        <f>IF(AND($AG83&gt;0,ISNUMBER($AJ83)),$AG83*$AJ83,0)</f>
        <v/>
      </c>
      <c r="AT83" s="37">
        <f>SUM(AU83:BA83)</f>
        <v/>
      </c>
      <c r="AU83" s="73" t="n"/>
      <c r="AV83" s="33" t="n"/>
      <c r="AW83" s="33" t="n"/>
      <c r="AX83" s="33" t="n"/>
      <c r="AY83" s="33" t="n"/>
      <c r="AZ83" s="33" t="n"/>
      <c r="BA83" s="74" t="n"/>
      <c r="BB83" s="106" t="n"/>
      <c r="BC83" s="42" t="n"/>
      <c r="BD83" s="42" t="n"/>
    </row>
    <row r="84" ht="15" customHeight="1" s="148">
      <c r="A84" t="inlineStr">
        <is>
          <t>c0080</t>
        </is>
      </c>
      <c r="B84" s="44" t="inlineStr">
        <is>
          <t>Tree of Perdition</t>
        </is>
      </c>
      <c r="C84" s="34" t="inlineStr">
        <is>
          <t>B</t>
        </is>
      </c>
      <c r="D84" s="44" t="inlineStr">
        <is>
          <t>Creature</t>
        </is>
      </c>
      <c r="E84" s="41" t="inlineStr">
        <is>
          <t>B2</t>
        </is>
      </c>
      <c r="F84" s="34" t="n">
        <v>4</v>
      </c>
      <c r="G84" s="67" t="inlineStr">
        <is>
          <t>Defender
{T}: Exchange target opponent's life total with this creature's toughness.
(0/13)</t>
        </is>
      </c>
      <c r="H84" s="45" t="inlineStr">
        <is>
          <t>Finisher</t>
        </is>
      </c>
      <c r="I84" s="45" t="inlineStr">
        <is>
          <t>Tap: swap target opponent's life total with this creature's toughness</t>
        </is>
      </c>
      <c r="J84" s="45" t="inlineStr">
        <is>
          <t>Defender body</t>
        </is>
      </c>
      <c r="K84" s="45" t="n"/>
      <c r="L84" s="41" t="n"/>
      <c r="M84" s="41" t="n"/>
      <c r="N84" s="41" t="n"/>
      <c r="O84" s="41" t="n"/>
      <c r="P84" s="41" t="n">
        <v>3.03</v>
      </c>
      <c r="Q84" s="41" t="n"/>
      <c r="R84" s="41" t="n"/>
      <c r="S84" s="41" t="n"/>
      <c r="T84" s="41" t="n"/>
      <c r="U84" s="41" t="n"/>
      <c r="V84" s="45" t="inlineStr">
        <is>
          <t>Eldritch Moon</t>
        </is>
      </c>
      <c r="W84" s="41" t="n">
        <v>1</v>
      </c>
      <c r="X84" s="37">
        <f>SUM(Y84:AE84)</f>
        <v/>
      </c>
      <c r="Y84" s="43" t="n"/>
      <c r="Z84" s="43" t="n"/>
      <c r="AA84" s="43" t="n"/>
      <c r="AB84" s="43" t="n">
        <v>1</v>
      </c>
      <c r="AC84" s="43" t="n"/>
      <c r="AD84" s="43" t="n"/>
      <c r="AE84" s="43" t="n"/>
      <c r="AF84" s="38">
        <f>IF((W84-SUM(Y84:AE84))&lt;0,0,W84-SUM(Y84:AE84))</f>
        <v/>
      </c>
      <c r="AG84" s="34">
        <f>MAX(0,$AT84-$W84-$AI84)</f>
        <v/>
      </c>
      <c r="AH84" s="34" t="n"/>
      <c r="AI84" s="34" t="n"/>
      <c r="AJ84" s="36" t="n">
        <v>2.94</v>
      </c>
      <c r="AK84" s="36">
        <f>IF(AND($AG84&gt;0,ISNUMBER($AJ84)),$AG84*$AJ84,0)</f>
        <v/>
      </c>
      <c r="AT84" s="37">
        <f>SUM(AU84:BA84)</f>
        <v/>
      </c>
      <c r="AU84" s="73" t="n"/>
      <c r="AV84" s="33" t="n"/>
      <c r="AW84" s="33" t="n"/>
      <c r="AX84" s="98" t="n">
        <v>1</v>
      </c>
      <c r="AY84" s="33" t="n"/>
      <c r="AZ84" s="33" t="n"/>
      <c r="BA84" s="74" t="n"/>
      <c r="BB84" s="106" t="n"/>
      <c r="BC84" s="42" t="n"/>
      <c r="BD84" s="50" t="inlineStr">
        <is>
          <t>ORDERED 2026-09-11 $7.90</t>
        </is>
      </c>
    </row>
    <row r="85" ht="15" customHeight="1" s="148">
      <c r="A85" t="inlineStr">
        <is>
          <t>c0081</t>
        </is>
      </c>
      <c r="B85" s="44" t="inlineStr">
        <is>
          <t>Triskaidekaphobia</t>
        </is>
      </c>
      <c r="C85" s="34" t="inlineStr">
        <is>
          <t>B</t>
        </is>
      </c>
      <c r="D85" s="44" t="inlineStr">
        <is>
          <t>Enchantment</t>
        </is>
      </c>
      <c r="E85" s="41" t="inlineStr">
        <is>
          <t>B2</t>
        </is>
      </c>
      <c r="F85" s="34" t="n">
        <v>4</v>
      </c>
      <c r="G85" s="67" t="inlineStr">
        <is>
          <t>At the beginning of your upkeep, choose one —
• Each player with exactly 13 life loses the game, then each player gains 1 life.
• Each player with exactly 13 life loses the game, then each player loses 1 life.</t>
        </is>
      </c>
      <c r="H85" s="45" t="inlineStr">
        <is>
          <t>Finisher</t>
        </is>
      </c>
      <c r="I85" s="45" t="inlineStr">
        <is>
          <t>At the beginning of your upkeep, choose one —</t>
        </is>
      </c>
      <c r="J85" s="45" t="inlineStr">
        <is>
          <t>• Each player with exactly 13 life loses the game, then each player gains 1 life</t>
        </is>
      </c>
      <c r="K85" s="45" t="inlineStr">
        <is>
          <t>• Each player with exactly 13 life loses the game, then each player loses 1 life</t>
        </is>
      </c>
      <c r="L85" s="42" t="n"/>
      <c r="M85" s="42" t="n"/>
      <c r="N85" s="42" t="n"/>
      <c r="O85" s="63" t="n"/>
      <c r="P85" s="63" t="n">
        <v>0.28</v>
      </c>
      <c r="Q85" s="42" t="n"/>
      <c r="R85" s="42" t="n"/>
      <c r="S85" s="42" t="n"/>
      <c r="T85" s="63" t="n"/>
      <c r="U85" s="63" t="n"/>
      <c r="V85" s="45" t="inlineStr">
        <is>
          <t>Shadows over Innistrad</t>
        </is>
      </c>
      <c r="W85" s="41" t="n">
        <v>1</v>
      </c>
      <c r="X85" s="37">
        <f>SUM(Y85:AE85)</f>
        <v/>
      </c>
      <c r="Y85" s="43" t="n"/>
      <c r="Z85" s="43" t="n"/>
      <c r="AA85" s="43" t="n"/>
      <c r="AB85" s="43" t="n"/>
      <c r="AC85" s="43" t="n"/>
      <c r="AD85" s="43" t="n"/>
      <c r="AE85" s="43" t="n"/>
      <c r="AF85" s="38">
        <f>IF((W85-SUM(Y85:AE85))&lt;0,0,W85-SUM(Y85:AE85))</f>
        <v/>
      </c>
      <c r="AG85" s="34">
        <f>MAX(0,$AT85-$W85-$AI85)</f>
        <v/>
      </c>
      <c r="AH85" s="34" t="n"/>
      <c r="AI85" s="34" t="n"/>
      <c r="AJ85" s="36" t="n">
        <v>0.21</v>
      </c>
      <c r="AK85" s="36">
        <f>IF(AND($AG85&gt;0,ISNUMBER($AJ85)),$AG85*$AJ85,0)</f>
        <v/>
      </c>
      <c r="AT85" s="37">
        <f>SUM(AU85:BA85)</f>
        <v/>
      </c>
      <c r="AU85" s="73" t="n"/>
      <c r="AV85" s="33" t="n"/>
      <c r="AW85" s="33" t="n"/>
      <c r="AX85" s="33" t="n"/>
      <c r="AY85" s="33" t="n"/>
      <c r="AZ85" s="33" t="n"/>
      <c r="BA85" s="74" t="n"/>
      <c r="BB85" s="106" t="n"/>
      <c r="BC85" s="42" t="n"/>
      <c r="BD85" s="42" t="n"/>
    </row>
    <row r="86" ht="15" customHeight="1" s="148">
      <c r="A86" t="inlineStr">
        <is>
          <t>c0082</t>
        </is>
      </c>
      <c r="B86" s="44" t="inlineStr">
        <is>
          <t>Unbury</t>
        </is>
      </c>
      <c r="C86" s="34" t="inlineStr">
        <is>
          <t>B</t>
        </is>
      </c>
      <c r="D86" s="44" t="inlineStr">
        <is>
          <t>Instant</t>
        </is>
      </c>
      <c r="E86" s="41" t="inlineStr">
        <is>
          <t>B2</t>
        </is>
      </c>
      <c r="F86" s="34" t="n">
        <v>2</v>
      </c>
      <c r="G86" s="67" t="inlineStr">
        <is>
          <t>Choose one —
• Return target creature card from your graveyard to your hand.
• Return two target creature cards that share a creature type from your graveyard to your hand.</t>
        </is>
      </c>
      <c r="H86" s="45" t="inlineStr">
        <is>
          <t>Recursion</t>
        </is>
      </c>
      <c r="I86" s="45" t="inlineStr">
        <is>
          <t>Returns target creature card from your graveyard to hand</t>
        </is>
      </c>
      <c r="J86" s="45" t="inlineStr">
        <is>
          <t>Or returns two target creature cards sharing a type from your graveyard to hand</t>
        </is>
      </c>
      <c r="K86" s="45" t="n"/>
      <c r="L86" s="42" t="n"/>
      <c r="M86" s="42" t="n"/>
      <c r="N86" s="42" t="n"/>
      <c r="O86" s="63" t="n"/>
      <c r="P86" s="63" t="n">
        <v>0.27</v>
      </c>
      <c r="Q86" s="42" t="n"/>
      <c r="R86" s="42" t="n"/>
      <c r="S86" s="42" t="n"/>
      <c r="T86" s="63" t="n"/>
      <c r="U86" s="63" t="n"/>
      <c r="V86" s="45" t="inlineStr">
        <is>
          <t>Lorwyn Eclipsed</t>
        </is>
      </c>
      <c r="W86" s="41" t="n">
        <v>1</v>
      </c>
      <c r="X86" s="37">
        <f>SUM(Y86:AE86)</f>
        <v/>
      </c>
      <c r="Y86" s="43" t="n"/>
      <c r="Z86" s="43" t="n"/>
      <c r="AA86" s="43" t="n"/>
      <c r="AB86" s="43" t="n"/>
      <c r="AC86" s="43" t="n"/>
      <c r="AD86" s="43" t="n"/>
      <c r="AE86" s="43" t="n"/>
      <c r="AF86" s="38">
        <f>IF((W86-SUM(Y86:AE86))&lt;0,0,W86-SUM(Y86:AE86))</f>
        <v/>
      </c>
      <c r="AG86" s="34">
        <f>MAX(0,$AT86-$W86-$AI86)</f>
        <v/>
      </c>
      <c r="AH86" s="34" t="n"/>
      <c r="AI86" s="34" t="n"/>
      <c r="AJ86" s="36" t="n">
        <v>0.25</v>
      </c>
      <c r="AK86" s="36">
        <f>IF(AND($AG86&gt;0,ISNUMBER($AJ86)),$AG86*$AJ86,0)</f>
        <v/>
      </c>
      <c r="AT86" s="37">
        <f>SUM(AU86:BA86)</f>
        <v/>
      </c>
      <c r="AU86" s="73" t="n"/>
      <c r="AV86" s="33" t="n"/>
      <c r="AW86" s="33" t="n"/>
      <c r="AX86" s="33" t="n"/>
      <c r="AY86" s="33" t="n"/>
      <c r="AZ86" s="33" t="n"/>
      <c r="BA86" s="74" t="n"/>
      <c r="BB86" s="106" t="n"/>
      <c r="BC86" s="42" t="n"/>
      <c r="BD86" s="42" t="n"/>
    </row>
    <row r="87" ht="15" customHeight="1" s="148">
      <c r="A87" t="inlineStr">
        <is>
          <t>c0083</t>
        </is>
      </c>
      <c r="B87" s="44" t="inlineStr">
        <is>
          <t>Undercity's Embrace</t>
        </is>
      </c>
      <c r="C87" s="34" t="inlineStr">
        <is>
          <t>B</t>
        </is>
      </c>
      <c r="D87" s="44" t="inlineStr">
        <is>
          <t>Instant</t>
        </is>
      </c>
      <c r="E87" s="41" t="inlineStr">
        <is>
          <t>B2</t>
        </is>
      </c>
      <c r="F87" s="34" t="n">
        <v>3</v>
      </c>
      <c r="G87" s="67" t="inlineStr">
        <is>
          <t>Target opponent sacrifices a creature of their choice. If you control a creature with power 4 or greater, you gain 4 life.</t>
        </is>
      </c>
      <c r="H87" s="45" t="inlineStr">
        <is>
          <t>Removal</t>
        </is>
      </c>
      <c r="I87" s="45" t="inlineStr">
        <is>
          <t>Target opponent sacrifices a creature of their choice</t>
        </is>
      </c>
      <c r="J87" s="45" t="inlineStr">
        <is>
          <t>Gain 4 life if you control a creature with power 4 or greater</t>
        </is>
      </c>
      <c r="K87" s="45" t="n"/>
      <c r="L87" s="42" t="n"/>
      <c r="M87" s="42" t="n"/>
      <c r="N87" s="42" t="n"/>
      <c r="O87" s="63" t="n"/>
      <c r="P87" s="63" t="n">
        <v>0.19</v>
      </c>
      <c r="Q87" s="42" t="n"/>
      <c r="R87" s="42" t="n"/>
      <c r="S87" s="42" t="n"/>
      <c r="T87" s="63" t="n"/>
      <c r="U87" s="63" t="n"/>
      <c r="V87" s="45" t="inlineStr">
        <is>
          <t>Ravnica Allegiance</t>
        </is>
      </c>
      <c r="W87" s="41" t="n">
        <v>1</v>
      </c>
      <c r="X87" s="37">
        <f>SUM(Y87:AE87)</f>
        <v/>
      </c>
      <c r="Y87" s="43" t="n"/>
      <c r="Z87" s="43" t="n"/>
      <c r="AA87" s="43" t="n"/>
      <c r="AB87" s="43" t="n"/>
      <c r="AC87" s="43" t="n"/>
      <c r="AD87" s="43" t="n"/>
      <c r="AE87" s="43" t="n"/>
      <c r="AF87" s="38">
        <f>IF((W87-SUM(Y87:AE87))&lt;0,0,W87-SUM(Y87:AE87))</f>
        <v/>
      </c>
      <c r="AG87" s="34">
        <f>MAX(0,$AT87-$W87-$AI87)</f>
        <v/>
      </c>
      <c r="AH87" s="34" t="n"/>
      <c r="AI87" s="34" t="n"/>
      <c r="AJ87" s="36" t="n">
        <v>0.19</v>
      </c>
      <c r="AK87" s="36">
        <f>IF(AND($AG87&gt;0,ISNUMBER($AJ87)),$AG87*$AJ87,0)</f>
        <v/>
      </c>
      <c r="AT87" s="37">
        <f>SUM(AU87:BA87)</f>
        <v/>
      </c>
      <c r="AU87" s="73" t="n"/>
      <c r="AV87" s="33" t="n"/>
      <c r="AW87" s="33" t="n"/>
      <c r="AX87" s="33" t="n"/>
      <c r="AY87" s="33" t="n"/>
      <c r="AZ87" s="33" t="n"/>
      <c r="BA87" s="74" t="n"/>
      <c r="BB87" s="106" t="n"/>
      <c r="BC87" s="42" t="n"/>
      <c r="BD87" s="42" t="n"/>
    </row>
    <row r="88" ht="15" customHeight="1" s="148">
      <c r="A88" t="inlineStr">
        <is>
          <t>c0084</t>
        </is>
      </c>
      <c r="B88" s="44" t="inlineStr">
        <is>
          <t>Vampire Hexmage</t>
        </is>
      </c>
      <c r="C88" s="34" t="inlineStr">
        <is>
          <t>B</t>
        </is>
      </c>
      <c r="D88" s="44" t="inlineStr">
        <is>
          <t>Creature</t>
        </is>
      </c>
      <c r="E88" s="41" t="inlineStr">
        <is>
          <t>B2</t>
        </is>
      </c>
      <c r="F88" s="34" t="n">
        <v>2</v>
      </c>
      <c r="G88" s="67" t="inlineStr">
        <is>
          <t>First strike
Sacrifice this creature: Remove all counters from target permanent.
(2/1)</t>
        </is>
      </c>
      <c r="H88" s="45" t="inlineStr">
        <is>
          <t>Removal</t>
        </is>
      </c>
      <c r="I88" s="45" t="inlineStr">
        <is>
          <t>Sacrifice: remove all counters from target permanent (can kill planeswalkers)</t>
        </is>
      </c>
      <c r="J88" s="45" t="inlineStr">
        <is>
          <t>First strike body</t>
        </is>
      </c>
      <c r="K88" s="45" t="n"/>
      <c r="L88" s="42" t="n"/>
      <c r="M88" s="42" t="n"/>
      <c r="N88" s="42" t="n"/>
      <c r="O88" s="63" t="n"/>
      <c r="P88" s="63" t="n">
        <v>0.28</v>
      </c>
      <c r="Q88" s="42" t="n"/>
      <c r="R88" s="42" t="n"/>
      <c r="S88" s="42" t="n"/>
      <c r="T88" s="63" t="n"/>
      <c r="U88" s="63" t="n"/>
      <c r="V88" s="45" t="inlineStr">
        <is>
          <t>Zendikar</t>
        </is>
      </c>
      <c r="W88" s="41" t="n">
        <v>2</v>
      </c>
      <c r="X88" s="37">
        <f>SUM(Y88:AE88)</f>
        <v/>
      </c>
      <c r="Y88" s="43" t="n"/>
      <c r="Z88" s="43" t="n"/>
      <c r="AA88" s="43" t="n"/>
      <c r="AB88" s="43" t="n"/>
      <c r="AC88" s="43" t="n"/>
      <c r="AD88" s="43" t="n"/>
      <c r="AE88" s="43" t="n">
        <v>1</v>
      </c>
      <c r="AF88" s="38">
        <f>IF((W88-SUM(Y88:AE88))&lt;0,0,W88-SUM(Y88:AE88))</f>
        <v/>
      </c>
      <c r="AG88" s="34">
        <f>MAX(0,$AT88-$W88-$AI88)</f>
        <v/>
      </c>
      <c r="AH88" s="34" t="inlineStr">
        <is>
          <t>GT</t>
        </is>
      </c>
      <c r="AI88" s="34" t="n"/>
      <c r="AJ88" s="36" t="n">
        <v>0.27</v>
      </c>
      <c r="AK88" s="36">
        <f>IF(AND($AG88&gt;0,ISNUMBER($AJ88)),$AG88*$AJ88,0)</f>
        <v/>
      </c>
      <c r="AR88" s="58" t="n"/>
      <c r="AS88" s="86" t="n">
        <v>1</v>
      </c>
      <c r="AT88" s="37">
        <f>SUM(AU88:BA88)</f>
        <v/>
      </c>
      <c r="AU88" s="73" t="n"/>
      <c r="AV88" s="33" t="n"/>
      <c r="AW88" s="33" t="n"/>
      <c r="AX88" s="33" t="n"/>
      <c r="AY88" s="33" t="n"/>
      <c r="AZ88" s="33" t="n"/>
      <c r="BA88" s="79" t="n"/>
      <c r="BB88" s="106" t="n"/>
      <c r="BC88" s="42" t="n"/>
      <c r="BD88" s="42" t="n"/>
    </row>
    <row r="89" ht="15" customHeight="1" s="148">
      <c r="A89" t="inlineStr">
        <is>
          <t>c0085</t>
        </is>
      </c>
      <c r="B89" s="44" t="inlineStr">
        <is>
          <t>Village Rites</t>
        </is>
      </c>
      <c r="C89" s="34" t="inlineStr">
        <is>
          <t>B</t>
        </is>
      </c>
      <c r="D89" s="44" t="inlineStr">
        <is>
          <t>Instant</t>
        </is>
      </c>
      <c r="E89" s="41" t="inlineStr">
        <is>
          <t>B2</t>
        </is>
      </c>
      <c r="F89" s="34" t="n">
        <v>1</v>
      </c>
      <c r="G89" s="67" t="inlineStr">
        <is>
          <t>As an additional cost to cast this spell, sacrifice a creature.
Draw two cards.</t>
        </is>
      </c>
      <c r="H89" s="45" t="inlineStr">
        <is>
          <t>Sacrifice Outlet</t>
        </is>
      </c>
      <c r="I89" s="45" t="inlineStr">
        <is>
          <t>Sacrifice a creature to draw two cards</t>
        </is>
      </c>
      <c r="J89" s="45" t="n"/>
      <c r="K89" s="45" t="n"/>
      <c r="L89" s="42" t="n"/>
      <c r="M89" s="42" t="n"/>
      <c r="N89" s="42" t="n"/>
      <c r="O89" s="42" t="n"/>
      <c r="P89" s="42" t="n">
        <v>0.88</v>
      </c>
      <c r="Q89" s="42" t="n"/>
      <c r="R89" s="42" t="n"/>
      <c r="S89" s="42" t="n"/>
      <c r="T89" s="42" t="n"/>
      <c r="U89" s="42" t="n"/>
      <c r="V89" s="45" t="inlineStr">
        <is>
          <t>Core Set 2021</t>
        </is>
      </c>
      <c r="W89" s="41" t="n">
        <v>1</v>
      </c>
      <c r="X89" s="37">
        <f>SUM(Y89:AE89)</f>
        <v/>
      </c>
      <c r="Y89" s="43" t="n"/>
      <c r="Z89" s="43" t="n"/>
      <c r="AA89" s="43" t="n"/>
      <c r="AB89" s="43" t="n"/>
      <c r="AC89" s="43" t="n">
        <v>1</v>
      </c>
      <c r="AD89" s="43" t="n"/>
      <c r="AE89" s="43" t="n"/>
      <c r="AF89" s="38">
        <f>IF((W89-SUM(Y89:AE89))&lt;0,0,W89-SUM(Y89:AE89))</f>
        <v/>
      </c>
      <c r="AG89" s="34">
        <f>MAX(0,$AT89-$W89-$AI89)</f>
        <v/>
      </c>
      <c r="AH89" s="34" t="n"/>
      <c r="AI89" s="34" t="n"/>
      <c r="AJ89" s="36" t="n">
        <v>0.39</v>
      </c>
      <c r="AK89" s="36">
        <f>IF(AND($AG89&gt;0,ISNUMBER($AJ89)),$AG89*$AJ89,0)</f>
        <v/>
      </c>
      <c r="AP89" s="58" t="n"/>
      <c r="AT89" s="37">
        <f>SUM(AU89:BA89)</f>
        <v/>
      </c>
      <c r="AU89" s="73" t="n"/>
      <c r="AV89" s="33" t="n"/>
      <c r="AW89" s="33" t="n"/>
      <c r="AX89" s="33" t="n"/>
      <c r="AY89" s="98" t="n">
        <v>1</v>
      </c>
      <c r="AZ89" s="33" t="n"/>
      <c r="BA89" s="74" t="n"/>
      <c r="BB89" s="106" t="n"/>
      <c r="BC89" s="42" t="n"/>
      <c r="BD89" s="42" t="n"/>
    </row>
    <row r="90" ht="15" customHeight="1" s="148">
      <c r="A90" t="inlineStr">
        <is>
          <t>c0086</t>
        </is>
      </c>
      <c r="B90" s="44" t="inlineStr">
        <is>
          <t>Viscera Seer</t>
        </is>
      </c>
      <c r="C90" s="34" t="inlineStr">
        <is>
          <t>B</t>
        </is>
      </c>
      <c r="D90" s="44" t="inlineStr">
        <is>
          <t>Creature</t>
        </is>
      </c>
      <c r="E90" s="41" t="inlineStr">
        <is>
          <t>B2</t>
        </is>
      </c>
      <c r="F90" s="34" t="n">
        <v>1</v>
      </c>
      <c r="G90" s="67" t="inlineStr">
        <is>
          <t>Sacrifice a creature: Scry 1. (Look at the top card of your library. You may put that card on the bottom.)
(1/1)</t>
        </is>
      </c>
      <c r="H90" s="45" t="inlineStr">
        <is>
          <t>Sacrifice Outlet</t>
        </is>
      </c>
      <c r="I90" s="45" t="inlineStr">
        <is>
          <t>Sacrifice a creature: Scry 1</t>
        </is>
      </c>
      <c r="J90" s="45" t="n"/>
      <c r="K90" s="45" t="n"/>
      <c r="L90" s="42" t="n"/>
      <c r="M90" s="42" t="n"/>
      <c r="N90" s="42" t="n"/>
      <c r="O90" s="42" t="n"/>
      <c r="P90" s="42" t="n">
        <v>0.42</v>
      </c>
      <c r="Q90" s="42" t="n"/>
      <c r="R90" s="42" t="n"/>
      <c r="S90" s="42" t="n"/>
      <c r="T90" s="42" t="n"/>
      <c r="U90" s="42" t="n"/>
      <c r="V90" s="45" t="inlineStr">
        <is>
          <t>Magic 2011</t>
        </is>
      </c>
      <c r="W90" s="41" t="n">
        <v>1</v>
      </c>
      <c r="X90" s="37">
        <f>SUM(Y90:AE90)</f>
        <v/>
      </c>
      <c r="Y90" s="43" t="n"/>
      <c r="Z90" s="43" t="n"/>
      <c r="AA90" s="43" t="n"/>
      <c r="AB90" s="43" t="n"/>
      <c r="AC90" s="43" t="n">
        <v>1</v>
      </c>
      <c r="AD90" s="43" t="n"/>
      <c r="AE90" s="43" t="n"/>
      <c r="AF90" s="38">
        <f>IF((W90-SUM(Y90:AE90))&lt;0,0,W90-SUM(Y90:AE90))</f>
        <v/>
      </c>
      <c r="AG90" s="34">
        <f>MAX(0,$AT90-$W90-$AI90)</f>
        <v/>
      </c>
      <c r="AH90" s="34" t="n"/>
      <c r="AI90" s="34" t="n"/>
      <c r="AJ90" s="36" t="n">
        <v>0.41</v>
      </c>
      <c r="AK90" s="36">
        <f>IF(AND($AG90&gt;0,ISNUMBER($AJ90)),$AG90*$AJ90,0)</f>
        <v/>
      </c>
      <c r="AP90" s="58" t="n"/>
      <c r="AT90" s="37">
        <f>SUM(AU90:BA90)</f>
        <v/>
      </c>
      <c r="AU90" s="73" t="n"/>
      <c r="AV90" s="33" t="n"/>
      <c r="AW90" s="33" t="n"/>
      <c r="AX90" s="33" t="n"/>
      <c r="AY90" s="99" t="n"/>
      <c r="AZ90" s="33" t="n"/>
      <c r="BA90" s="74" t="n"/>
      <c r="BB90" s="106" t="n"/>
      <c r="BC90" s="42" t="n"/>
      <c r="BD90" s="42" t="n"/>
    </row>
    <row r="91" ht="15" customHeight="1" s="148">
      <c r="A91" t="inlineStr">
        <is>
          <t>c0087</t>
        </is>
      </c>
      <c r="B91" s="44" t="inlineStr">
        <is>
          <t>Vraska, Betrayal's Sting</t>
        </is>
      </c>
      <c r="C91" s="34" t="inlineStr">
        <is>
          <t>B</t>
        </is>
      </c>
      <c r="D91" s="44" t="inlineStr">
        <is>
          <t>Legendary Planeswalker</t>
        </is>
      </c>
      <c r="E91" s="41" t="inlineStr">
        <is>
          <t>B3</t>
        </is>
      </c>
      <c r="F91" s="34" t="n">
        <v>6</v>
      </c>
      <c r="G91" s="67" t="inlineStr">
        <is>
          <t>Compleated ({B/P} can be paid with {B} or 2 life. If life was paid, this planeswalker enters with two fewer loyalty counters.)
0: You draw a card and lose 1 life. Proliferate.
−2: Target creature becomes a Treasure artifact with "{T}, Sacrifice this artifact: Add one mana of any color" and loses all other card types and abilities.
−9: If target player has fewer than nine poison counters, they get a number of poison counters equal to the difference.
(Loyalty 6)</t>
        </is>
      </c>
      <c r="H91" s="45" t="inlineStr">
        <is>
          <t>Proliferate</t>
        </is>
      </c>
      <c r="I91" s="45" t="inlineStr">
        <is>
          <t xml:space="preserve">Compleated ({B/P} can be paid with {B} or 2 life. If life was paid, this planeswalker enters with two fewer loyalty counters.)
0: You draw a card and lose 1 life. Proliferate.
−2: Target creature becomes a Treasure artifact with "{T}, Sacrifice this </t>
        </is>
      </c>
      <c r="J91" s="45" t="n"/>
      <c r="K91" s="45" t="n"/>
      <c r="L91" s="41" t="n"/>
      <c r="M91" s="41" t="n"/>
      <c r="N91" s="41" t="n"/>
      <c r="O91" s="41" t="n"/>
      <c r="P91" s="41" t="n"/>
      <c r="Q91" s="41" t="n"/>
      <c r="R91" s="41" t="n"/>
      <c r="S91" s="41" t="n"/>
      <c r="T91" s="41" t="n"/>
      <c r="U91" s="41" t="n"/>
      <c r="V91" s="45" t="inlineStr">
        <is>
          <t>Phyrexia: All Will Be One</t>
        </is>
      </c>
      <c r="W91" s="41" t="n">
        <v>0</v>
      </c>
      <c r="X91" s="37">
        <f>SUM(Y91:AE91)</f>
        <v/>
      </c>
      <c r="Y91" s="43" t="n"/>
      <c r="Z91" s="43" t="n"/>
      <c r="AA91" s="43" t="n"/>
      <c r="AB91" s="43" t="n"/>
      <c r="AC91" s="43" t="n"/>
      <c r="AD91" s="43" t="n"/>
      <c r="AE91" s="43" t="n"/>
      <c r="AF91" s="38">
        <f>IF((W91-SUM(Y91:AE91))&lt;0,0,W91-SUM(Y91:AE91))</f>
        <v/>
      </c>
      <c r="AG91" s="34">
        <f>MAX(0,$AT91-$W91-$AI91)</f>
        <v/>
      </c>
      <c r="AH91" s="34" t="n"/>
      <c r="AI91" s="34" t="n"/>
      <c r="AJ91" s="36" t="n">
        <v>0.9399999999999999</v>
      </c>
      <c r="AK91" s="36">
        <f>IF(AND($AG91&gt;0,ISNUMBER($AJ91)),$AG91*$AJ91,0)</f>
        <v/>
      </c>
      <c r="AL91" s="54" t="n"/>
      <c r="AM91" s="54" t="n"/>
      <c r="AN91" s="54" t="n"/>
      <c r="AO91" s="54" t="n"/>
      <c r="AP91" s="54" t="n"/>
      <c r="AQ91" s="54" t="n"/>
      <c r="AR91" s="54" t="n"/>
      <c r="AS91" s="54" t="n"/>
      <c r="AT91" s="37">
        <f>SUM(AU91:BA91)</f>
        <v/>
      </c>
      <c r="AU91" s="92" t="n"/>
      <c r="AV91" s="38" t="n"/>
      <c r="AW91" s="38" t="n"/>
      <c r="AX91" s="38" t="n"/>
      <c r="AY91" s="38" t="n"/>
      <c r="AZ91" s="38" t="n"/>
      <c r="BA91" s="94" t="n"/>
      <c r="BB91" s="106" t="n"/>
      <c r="BC91" s="42" t="n"/>
      <c r="BD91" s="48" t="n"/>
    </row>
    <row r="92" ht="15" customHeight="1" s="148">
      <c r="A92" t="inlineStr">
        <is>
          <t>c0088</t>
        </is>
      </c>
      <c r="B92" s="44" t="inlineStr">
        <is>
          <t>Vraska's Fall</t>
        </is>
      </c>
      <c r="C92" s="34" t="inlineStr">
        <is>
          <t>B</t>
        </is>
      </c>
      <c r="D92" s="44" t="inlineStr">
        <is>
          <t>Instant</t>
        </is>
      </c>
      <c r="E92" s="41" t="inlineStr">
        <is>
          <t>B2</t>
        </is>
      </c>
      <c r="F92" s="34" t="n">
        <v>3</v>
      </c>
      <c r="G92" s="67" t="inlineStr">
        <is>
          <t>Each opponent sacrifices a creature or planeswalker of their choice and gets a poison counter.</t>
        </is>
      </c>
      <c r="H92" s="45" t="inlineStr">
        <is>
          <t>Removal</t>
        </is>
      </c>
      <c r="I92" s="45" t="inlineStr">
        <is>
          <t>Each opponent sacrifices a creature or planeswalker of their choice and gets a poison counter</t>
        </is>
      </c>
      <c r="J92" s="45" t="n"/>
      <c r="K92" s="45" t="n"/>
      <c r="L92" s="42" t="n"/>
      <c r="M92" s="42" t="n"/>
      <c r="N92" s="42" t="n"/>
      <c r="O92" s="42" t="n"/>
      <c r="P92" s="42" t="n">
        <v>0.38</v>
      </c>
      <c r="Q92" s="42" t="n"/>
      <c r="R92" s="42" t="n"/>
      <c r="S92" s="42" t="n"/>
      <c r="T92" s="42" t="n"/>
      <c r="U92" s="42" t="n"/>
      <c r="V92" s="45" t="inlineStr">
        <is>
          <t>Phyrexia: All Will Be One</t>
        </is>
      </c>
      <c r="W92" s="41" t="n">
        <v>0</v>
      </c>
      <c r="X92" s="37">
        <f>SUM(Y92:AE92)</f>
        <v/>
      </c>
      <c r="Y92" s="43" t="n"/>
      <c r="Z92" s="43" t="n"/>
      <c r="AA92" s="43" t="n"/>
      <c r="AB92" s="43" t="n"/>
      <c r="AC92" s="43" t="n"/>
      <c r="AD92" s="43" t="n"/>
      <c r="AE92" s="43" t="n"/>
      <c r="AF92" s="38">
        <f>IF((W92-SUM(Y92:AE92))&lt;0,0,W92-SUM(Y92:AE92))</f>
        <v/>
      </c>
      <c r="AG92" s="34">
        <f>MAX(0,$AT92-$W92-$AI92)</f>
        <v/>
      </c>
      <c r="AH92" s="34" t="n"/>
      <c r="AI92" s="34" t="n"/>
      <c r="AJ92" s="36" t="n">
        <v>0.39</v>
      </c>
      <c r="AK92" s="36">
        <f>IF(AND($AG92&gt;0,ISNUMBER($AJ92)),$AG92*$AJ92,0)</f>
        <v/>
      </c>
      <c r="AL92" s="54" t="n"/>
      <c r="AM92" s="54" t="n"/>
      <c r="AN92" s="54" t="n"/>
      <c r="AO92" s="54" t="n"/>
      <c r="AP92" s="54" t="n"/>
      <c r="AQ92" s="54" t="n"/>
      <c r="AR92" s="54" t="n"/>
      <c r="AS92" s="54" t="n"/>
      <c r="AT92" s="37">
        <f>SUM(AU92:BA92)</f>
        <v/>
      </c>
      <c r="AU92" s="92" t="n"/>
      <c r="AV92" s="38" t="n"/>
      <c r="AW92" s="38" t="n"/>
      <c r="AX92" s="38" t="n"/>
      <c r="AY92" s="38" t="n"/>
      <c r="AZ92" s="38" t="n"/>
      <c r="BA92" s="94" t="n"/>
      <c r="BB92" s="106" t="n"/>
      <c r="BC92" s="42" t="n"/>
      <c r="BD92" s="42" t="n"/>
    </row>
    <row r="93" ht="15" customHeight="1" s="148">
      <c r="A93" t="inlineStr">
        <is>
          <t>c0089</t>
        </is>
      </c>
      <c r="B93" s="44" t="inlineStr">
        <is>
          <t>Wall of Blood</t>
        </is>
      </c>
      <c r="C93" s="34" t="inlineStr">
        <is>
          <t>B</t>
        </is>
      </c>
      <c r="D93" s="44" t="inlineStr">
        <is>
          <t>Creature</t>
        </is>
      </c>
      <c r="E93" s="41" t="inlineStr">
        <is>
          <t>B2</t>
        </is>
      </c>
      <c r="F93" s="34" t="n">
        <v>3</v>
      </c>
      <c r="G93" s="67" t="inlineStr">
        <is>
          <t>Defender (This creature can't attack.)
Pay 1 life: This creature gets +1/+1 until end of turn.
(0/2)</t>
        </is>
      </c>
      <c r="H93" s="45" t="inlineStr">
        <is>
          <t>Utility Creature</t>
        </is>
      </c>
      <c r="I93" s="45" t="inlineStr">
        <is>
          <t>Defender</t>
        </is>
      </c>
      <c r="J93" s="45" t="inlineStr">
        <is>
          <t>Pay 1 life: This creature gets +1/+1 until end of turn</t>
        </is>
      </c>
      <c r="K93" s="45" t="n"/>
      <c r="L93" s="42" t="n"/>
      <c r="M93" s="42" t="n"/>
      <c r="N93" s="42" t="n"/>
      <c r="O93" s="42" t="n"/>
      <c r="P93" s="42" t="n">
        <v>2.24</v>
      </c>
      <c r="Q93" s="42" t="n"/>
      <c r="R93" s="42" t="n"/>
      <c r="S93" s="42" t="n"/>
      <c r="T93" s="42" t="n"/>
      <c r="U93" s="42" t="n"/>
      <c r="V93" s="45" t="inlineStr">
        <is>
          <t>Mirrodin</t>
        </is>
      </c>
      <c r="W93" s="41" t="n">
        <v>0</v>
      </c>
      <c r="X93" s="37">
        <f>SUM(Y93:AE93)</f>
        <v/>
      </c>
      <c r="Y93" s="43" t="n"/>
      <c r="Z93" s="43" t="n"/>
      <c r="AA93" s="43" t="n"/>
      <c r="AB93" s="43" t="n"/>
      <c r="AC93" s="43" t="n"/>
      <c r="AD93" s="43" t="n"/>
      <c r="AE93" s="43" t="n"/>
      <c r="AF93" s="38">
        <f>IF((W93-SUM(Y93:AE93))&lt;0,0,W93-SUM(Y93:AE93))</f>
        <v/>
      </c>
      <c r="AG93" s="34">
        <f>MAX(0,$AT93-$W93-$AI93)</f>
        <v/>
      </c>
      <c r="AH93" s="34" t="n"/>
      <c r="AI93" s="34" t="n"/>
      <c r="AJ93" s="36" t="n">
        <v>2.02</v>
      </c>
      <c r="AK93" s="36">
        <f>IF(AND($AG93&gt;0,ISNUMBER($AJ93)),$AG93*$AJ93,0)</f>
        <v/>
      </c>
      <c r="AL93" s="54" t="n"/>
      <c r="AM93" s="54" t="n"/>
      <c r="AN93" s="54" t="n"/>
      <c r="AO93" s="54" t="n"/>
      <c r="AP93" s="54" t="n"/>
      <c r="AQ93" s="54" t="n"/>
      <c r="AR93" s="54" t="n"/>
      <c r="AS93" s="54" t="n"/>
      <c r="AT93" s="37">
        <f>SUM(AU93:BA93)</f>
        <v/>
      </c>
      <c r="AU93" s="92" t="n"/>
      <c r="AV93" s="38" t="n"/>
      <c r="AW93" s="38" t="n"/>
      <c r="AX93" s="38" t="n"/>
      <c r="AY93" s="38" t="n"/>
      <c r="AZ93" s="38" t="n"/>
      <c r="BA93" s="94" t="n"/>
      <c r="BB93" s="106" t="n"/>
      <c r="BC93" s="42" t="n"/>
      <c r="BD93" s="42" t="n"/>
    </row>
    <row r="94" ht="15" customHeight="1" s="148">
      <c r="A94" t="inlineStr">
        <is>
          <t>c0090</t>
        </is>
      </c>
      <c r="B94" s="44" t="inlineStr">
        <is>
          <t>Wall of Limbs</t>
        </is>
      </c>
      <c r="C94" s="34" t="inlineStr">
        <is>
          <t>B</t>
        </is>
      </c>
      <c r="D94" s="44" t="inlineStr">
        <is>
          <t>Creature</t>
        </is>
      </c>
      <c r="E94" s="41" t="inlineStr">
        <is>
          <t>B2</t>
        </is>
      </c>
      <c r="F94" s="34" t="n">
        <v>3</v>
      </c>
      <c r="G94" s="67" t="inlineStr">
        <is>
          <t>Defender (This creature can't attack.)
Whenever you gain life, put a +1/+1 counter on this creature.
{5}{B}{B}, Sacrifice this creature: Target player loses X life, where X is this creature's power.
(0/3)</t>
        </is>
      </c>
      <c r="H94" s="45" t="inlineStr">
        <is>
          <t>Toughness Payoff</t>
        </is>
      </c>
      <c r="I94" s="45" t="inlineStr">
        <is>
          <t>Gets a +1/+1 counter whenever you gain life</t>
        </is>
      </c>
      <c r="J94" s="45" t="inlineStr">
        <is>
          <t>Sacrifice: target player loses life equal to this creature's power</t>
        </is>
      </c>
      <c r="K94" s="45" t="inlineStr">
        <is>
          <t>Defender body</t>
        </is>
      </c>
      <c r="L94" s="42" t="n"/>
      <c r="M94" s="42" t="n"/>
      <c r="N94" s="42" t="n"/>
      <c r="O94" s="42" t="n"/>
      <c r="P94" s="42" t="n">
        <v>0.28</v>
      </c>
      <c r="Q94" s="42" t="n"/>
      <c r="R94" s="42" t="n"/>
      <c r="S94" s="42" t="n"/>
      <c r="T94" s="42" t="n"/>
      <c r="U94" s="42" t="n"/>
      <c r="V94" s="45" t="inlineStr">
        <is>
          <t>Magic 2015</t>
        </is>
      </c>
      <c r="W94" s="41" t="n">
        <v>1</v>
      </c>
      <c r="X94" s="37">
        <f>SUM(Y94:AE94)</f>
        <v/>
      </c>
      <c r="Y94" s="43" t="n"/>
      <c r="Z94" s="43" t="n"/>
      <c r="AA94" s="43" t="n"/>
      <c r="AB94" s="43" t="n">
        <v>1</v>
      </c>
      <c r="AC94" s="43" t="n"/>
      <c r="AD94" s="43" t="n"/>
      <c r="AE94" s="43" t="n"/>
      <c r="AF94" s="38">
        <f>IF((W94-SUM(Y94:AE94))&lt;0,0,W94-SUM(Y94:AE94))</f>
        <v/>
      </c>
      <c r="AG94" s="34">
        <f>MAX(0,$AT94-$W94-$AI94)</f>
        <v/>
      </c>
      <c r="AH94" s="34" t="n"/>
      <c r="AI94" s="34" t="n"/>
      <c r="AJ94" s="36" t="n">
        <v>0.24</v>
      </c>
      <c r="AK94" s="36">
        <f>IF(AND($AG94&gt;0,ISNUMBER($AJ94)),$AG94*$AJ94,0)</f>
        <v/>
      </c>
      <c r="AT94" s="37">
        <f>SUM(AU94:BA94)</f>
        <v/>
      </c>
      <c r="AU94" s="73" t="n"/>
      <c r="AV94" s="33" t="n"/>
      <c r="AW94" s="33" t="n"/>
      <c r="AX94" s="98" t="n">
        <v>1</v>
      </c>
      <c r="AY94" s="33" t="n"/>
      <c r="AZ94" s="33" t="n"/>
      <c r="BA94" s="74" t="n"/>
      <c r="BB94" s="106" t="n"/>
      <c r="BC94" s="42" t="n"/>
      <c r="BD94" s="42" t="n"/>
    </row>
    <row r="95" ht="15" customHeight="1" s="148">
      <c r="A95" t="inlineStr">
        <is>
          <t>c0091</t>
        </is>
      </c>
      <c r="B95" s="30" t="inlineStr">
        <is>
          <t>Wander Off</t>
        </is>
      </c>
      <c r="C95" s="31" t="inlineStr">
        <is>
          <t>B</t>
        </is>
      </c>
      <c r="D95" s="30" t="inlineStr">
        <is>
          <t>Instant</t>
        </is>
      </c>
      <c r="E95" s="33" t="inlineStr">
        <is>
          <t>B2</t>
        </is>
      </c>
      <c r="F95" s="31" t="n">
        <v>4</v>
      </c>
      <c r="G95" s="67" t="inlineStr">
        <is>
          <t>Exile target creature.</t>
        </is>
      </c>
      <c r="H95" s="30" t="inlineStr">
        <is>
          <t>Removal</t>
        </is>
      </c>
      <c r="I95" s="30" t="inlineStr">
        <is>
          <t>Exiles target creature</t>
        </is>
      </c>
      <c r="J95" s="30" t="n"/>
      <c r="K95" s="30" t="n"/>
      <c r="L95" s="32" t="inlineStr">
        <is>
          <t>104</t>
        </is>
      </c>
      <c r="M95" s="32" t="n">
        <v>1</v>
      </c>
      <c r="N95" s="32" t="n">
        <v>0</v>
      </c>
      <c r="O95" s="63" t="n"/>
      <c r="P95" s="63" t="n">
        <v>0.11</v>
      </c>
      <c r="Q95" s="32" t="inlineStr">
        <is>
          <t>Common</t>
        </is>
      </c>
      <c r="R95" s="32" t="n"/>
      <c r="S95" s="32" t="n"/>
      <c r="T95" s="63" t="n"/>
      <c r="U95" s="63" t="n"/>
      <c r="V95" s="30" t="inlineStr">
        <is>
          <t>Secrets of Strixhaven</t>
        </is>
      </c>
      <c r="W95" s="41" t="n">
        <v>1</v>
      </c>
      <c r="X95" s="37">
        <f>SUM(Y95:AE95)</f>
        <v/>
      </c>
      <c r="Y95" s="43" t="n"/>
      <c r="Z95" s="43" t="n"/>
      <c r="AA95" s="43" t="n"/>
      <c r="AB95" s="43" t="n"/>
      <c r="AC95" s="43" t="n"/>
      <c r="AD95" s="43" t="n"/>
      <c r="AE95" s="43" t="n"/>
      <c r="AF95" s="38">
        <f>IF((W95-SUM(Y95:AE95))&lt;0,0,W95-SUM(Y95:AE95))</f>
        <v/>
      </c>
      <c r="AG95" s="34">
        <f>MAX(0,$AT95-$W95-$AI95)</f>
        <v/>
      </c>
      <c r="AH95" s="30" t="n"/>
      <c r="AI95" s="30" t="n"/>
      <c r="AJ95" s="35" t="n">
        <v>0.11</v>
      </c>
      <c r="AK95" s="36">
        <f>IF(AND($AG95&gt;0,ISNUMBER($AJ95)),$AG95*$AJ95,0)</f>
        <v/>
      </c>
      <c r="AR95" s="58" t="n"/>
      <c r="AT95" s="37">
        <f>SUM(AU95:BA95)</f>
        <v/>
      </c>
      <c r="AU95" s="73" t="n"/>
      <c r="AV95" s="33" t="n"/>
      <c r="AW95" s="33" t="n"/>
      <c r="AX95" s="33" t="n"/>
      <c r="AY95" s="33" t="n"/>
      <c r="AZ95" s="33" t="n"/>
      <c r="BA95" s="74" t="n"/>
      <c r="BB95" s="108" t="n"/>
      <c r="BC95" s="32" t="n"/>
      <c r="BD95" s="32" t="n"/>
    </row>
    <row r="96" ht="15" customHeight="1" s="148">
      <c r="A96" t="inlineStr">
        <is>
          <t>c0092</t>
        </is>
      </c>
      <c r="B96" s="44" t="inlineStr">
        <is>
          <t>Woe Strider</t>
        </is>
      </c>
      <c r="C96" s="34" t="inlineStr">
        <is>
          <t>B</t>
        </is>
      </c>
      <c r="D96" s="44" t="inlineStr">
        <is>
          <t>Creature</t>
        </is>
      </c>
      <c r="E96" s="41" t="inlineStr">
        <is>
          <t>B3</t>
        </is>
      </c>
      <c r="F96" s="34" t="n">
        <v>3</v>
      </c>
      <c r="G96" s="67" t="inlineStr">
        <is>
          <t>When this creature enters, create a 0/1 white Goat creature token.
Sacrifice another creature: Scry 1.
Escape—{3}{B}{B}, Exile four other cards from your graveyard. (You may cast this card from your graveyard for its escape cost.)
This creature escapes with two +1/+1 counters on it.
(3/2)</t>
        </is>
      </c>
      <c r="H96" s="45" t="inlineStr">
        <is>
          <t>Sacrifice Outlet</t>
        </is>
      </c>
      <c r="I96" s="45" t="inlineStr">
        <is>
          <t>When this creature enters, create a 0/1 white Goat creature token.
Sacrifice another creature: Scry 1.
Escape—{3}{B}{B}, Exile four other cards from your graveyard. (You may cast this card from your graveyard for its escape cost.)
This creature escap</t>
        </is>
      </c>
      <c r="J96" s="45" t="n"/>
      <c r="K96" s="45" t="n"/>
      <c r="L96" s="41" t="n"/>
      <c r="M96" s="41" t="n"/>
      <c r="N96" s="41" t="n"/>
      <c r="O96" s="41" t="n"/>
      <c r="P96" s="41" t="n">
        <v>0.33</v>
      </c>
      <c r="Q96" s="41" t="n"/>
      <c r="R96" s="41" t="n"/>
      <c r="S96" s="41" t="n"/>
      <c r="T96" s="41" t="n"/>
      <c r="U96" s="41" t="n"/>
      <c r="V96" s="45" t="inlineStr">
        <is>
          <t>Theros Beyond Death</t>
        </is>
      </c>
      <c r="W96" s="41" t="n">
        <v>0</v>
      </c>
      <c r="X96" s="37">
        <f>SUM(Y96:AE96)</f>
        <v/>
      </c>
      <c r="Y96" s="43" t="n"/>
      <c r="Z96" s="43" t="n"/>
      <c r="AA96" s="43" t="n"/>
      <c r="AB96" s="43" t="n"/>
      <c r="AC96" s="43" t="n"/>
      <c r="AD96" s="43" t="n"/>
      <c r="AE96" s="43" t="n"/>
      <c r="AF96" s="38">
        <f>IF((W96-SUM(Y96:AE96))&lt;0,0,W96-SUM(Y96:AE96))</f>
        <v/>
      </c>
      <c r="AG96" s="34">
        <f>MAX(0,$AT96-$W96-$AI96)</f>
        <v/>
      </c>
      <c r="AH96" s="34" t="n"/>
      <c r="AI96" s="34" t="n"/>
      <c r="AJ96" s="36" t="n">
        <v>0.21</v>
      </c>
      <c r="AK96" s="36">
        <f>IF(AND($AG96&gt;0,ISNUMBER($AJ96)),$AG96*$AJ96,0)</f>
        <v/>
      </c>
      <c r="AL96" s="54" t="n"/>
      <c r="AM96" s="54" t="n"/>
      <c r="AN96" s="54" t="n"/>
      <c r="AO96" s="54" t="n"/>
      <c r="AP96" s="54" t="n"/>
      <c r="AQ96" s="54" t="n"/>
      <c r="AR96" s="54" t="n"/>
      <c r="AS96" s="54" t="n"/>
      <c r="AT96" s="37">
        <f>SUM(AU96:BA96)</f>
        <v/>
      </c>
      <c r="AU96" s="92" t="n"/>
      <c r="AV96" s="38" t="n"/>
      <c r="AW96" s="38" t="n"/>
      <c r="AX96" s="38" t="n"/>
      <c r="AY96" s="38" t="n">
        <v>1</v>
      </c>
      <c r="AZ96" s="38" t="n"/>
      <c r="BA96" s="94" t="n"/>
      <c r="BB96" s="106" t="n"/>
      <c r="BC96" s="42" t="n"/>
      <c r="BD96" s="48" t="n"/>
    </row>
    <row r="97" ht="15" customHeight="1" s="148">
      <c r="A97" t="inlineStr">
        <is>
          <t>c0093</t>
        </is>
      </c>
      <c r="B97" s="44" t="inlineStr">
        <is>
          <t>Yahenni, Undying Partisan</t>
        </is>
      </c>
      <c r="C97" s="34" t="inlineStr">
        <is>
          <t>B</t>
        </is>
      </c>
      <c r="D97" s="44" t="inlineStr">
        <is>
          <t>Legendary Creature</t>
        </is>
      </c>
      <c r="E97" s="41" t="inlineStr">
        <is>
          <t>B3</t>
        </is>
      </c>
      <c r="F97" s="34" t="n">
        <v>3</v>
      </c>
      <c r="G97" s="67" t="inlineStr">
        <is>
          <t>Haste
Whenever a creature an opponent controls dies, put a +1/+1 counter on Yahenni.
Sacrifice another creature: Yahenni gains indestructible until end of turn.
(2/2)</t>
        </is>
      </c>
      <c r="H97" s="45" t="inlineStr">
        <is>
          <t>Sacrifice Outlet</t>
        </is>
      </c>
      <c r="I97" s="45" t="inlineStr">
        <is>
          <t>Haste
Whenever a creature an opponent controls dies, put a +1/+1 counter on Yahenni.
Sacrifice another creature: Yahenni gains indestructible until end of turn.</t>
        </is>
      </c>
      <c r="J97" s="45" t="n"/>
      <c r="K97" s="45" t="n"/>
      <c r="L97" s="41" t="n"/>
      <c r="M97" s="41" t="n"/>
      <c r="N97" s="41" t="n"/>
      <c r="O97" s="41" t="n"/>
      <c r="P97" s="41" t="n"/>
      <c r="Q97" s="41" t="n"/>
      <c r="R97" s="41" t="n"/>
      <c r="S97" s="41" t="n"/>
      <c r="T97" s="41" t="n"/>
      <c r="U97" s="41" t="n"/>
      <c r="V97" s="45" t="inlineStr">
        <is>
          <t>Aether Revolt</t>
        </is>
      </c>
      <c r="W97" s="41" t="n">
        <v>0</v>
      </c>
      <c r="X97" s="37">
        <f>SUM(Y97:AE97)</f>
        <v/>
      </c>
      <c r="Y97" s="43" t="n"/>
      <c r="Z97" s="43" t="n"/>
      <c r="AA97" s="43" t="n"/>
      <c r="AB97" s="43" t="n"/>
      <c r="AC97" s="43" t="n"/>
      <c r="AD97" s="43" t="n"/>
      <c r="AE97" s="43" t="n"/>
      <c r="AF97" s="38">
        <f>IF((W97-SUM(Y97:AE97))&lt;0,0,W97-SUM(Y97:AE97))</f>
        <v/>
      </c>
      <c r="AG97" s="34">
        <f>MAX(0,$AT97-$W97-$AI97)</f>
        <v/>
      </c>
      <c r="AH97" s="34" t="n"/>
      <c r="AI97" s="34" t="n"/>
      <c r="AJ97" s="36" t="n">
        <v>0.3</v>
      </c>
      <c r="AK97" s="36">
        <f>IF(AND($AG97&gt;0,ISNUMBER($AJ97)),$AG97*$AJ97,0)</f>
        <v/>
      </c>
      <c r="AL97" s="54" t="n"/>
      <c r="AM97" s="54" t="n"/>
      <c r="AN97" s="54" t="n"/>
      <c r="AO97" s="54" t="n"/>
      <c r="AP97" s="54" t="n"/>
      <c r="AQ97" s="54" t="n"/>
      <c r="AR97" s="54" t="n"/>
      <c r="AS97" s="54" t="n"/>
      <c r="AT97" s="37">
        <f>SUM(AU97:BA97)</f>
        <v/>
      </c>
      <c r="AU97" s="92" t="n"/>
      <c r="AV97" s="38" t="n"/>
      <c r="AW97" s="38" t="n"/>
      <c r="AX97" s="38" t="n"/>
      <c r="AY97" s="38" t="n"/>
      <c r="AZ97" s="38" t="n"/>
      <c r="BA97" s="94" t="n"/>
      <c r="BB97" s="106" t="n"/>
      <c r="BC97" s="42" t="n"/>
      <c r="BD97" s="48" t="n"/>
    </row>
    <row r="98" ht="15" customHeight="1" s="148">
      <c r="A98" t="inlineStr">
        <is>
          <t>c0094</t>
        </is>
      </c>
      <c r="B98" s="44" t="inlineStr">
        <is>
          <t>Zulaport Cutthroat</t>
        </is>
      </c>
      <c r="C98" s="34" t="inlineStr">
        <is>
          <t>B</t>
        </is>
      </c>
      <c r="D98" s="44" t="inlineStr">
        <is>
          <t>Creature</t>
        </is>
      </c>
      <c r="E98" s="41" t="inlineStr">
        <is>
          <t>B2</t>
        </is>
      </c>
      <c r="F98" s="34" t="n">
        <v>2</v>
      </c>
      <c r="G98" s="67" t="inlineStr">
        <is>
          <t>Whenever this creature or another creature you control dies, each opponent loses 1 life and you gain 1 life.
(1/1)</t>
        </is>
      </c>
      <c r="H98" s="45" t="inlineStr">
        <is>
          <t>Drain Payoff</t>
        </is>
      </c>
      <c r="I98" s="45" t="inlineStr">
        <is>
          <t>Whenever it or another creature you control dies, each opponent loses 1 life and you gain 1 life</t>
        </is>
      </c>
      <c r="J98" s="45" t="n"/>
      <c r="K98" s="45" t="n"/>
      <c r="L98" s="42" t="n"/>
      <c r="M98" s="42" t="n"/>
      <c r="N98" s="42" t="n"/>
      <c r="O98" s="42" t="n"/>
      <c r="P98" s="42" t="n">
        <v>1.09</v>
      </c>
      <c r="Q98" s="42" t="n"/>
      <c r="R98" s="42" t="n"/>
      <c r="S98" s="42" t="n"/>
      <c r="T98" s="42" t="n"/>
      <c r="U98" s="42" t="n"/>
      <c r="V98" s="45" t="inlineStr">
        <is>
          <t>Battle for Zendikar</t>
        </is>
      </c>
      <c r="W98" s="41" t="n">
        <v>1</v>
      </c>
      <c r="X98" s="37">
        <f>SUM(Y98:AE98)</f>
        <v/>
      </c>
      <c r="Y98" s="43" t="n"/>
      <c r="Z98" s="43" t="n"/>
      <c r="AA98" s="43" t="n"/>
      <c r="AB98" s="43" t="n"/>
      <c r="AC98" s="43" t="n">
        <v>1</v>
      </c>
      <c r="AD98" s="43" t="n"/>
      <c r="AE98" s="43" t="n"/>
      <c r="AF98" s="38">
        <f>IF((W98-SUM(Y98:AE98))&lt;0,0,W98-SUM(Y98:AE98))</f>
        <v/>
      </c>
      <c r="AG98" s="34">
        <f>MAX(0,$AT98-$W98-$AI98)</f>
        <v/>
      </c>
      <c r="AH98" s="34" t="n"/>
      <c r="AI98" s="34" t="n"/>
      <c r="AJ98" s="36" t="n">
        <v>1.32</v>
      </c>
      <c r="AK98" s="36">
        <f>IF(AND($AG98&gt;0,ISNUMBER($AJ98)),$AG98*$AJ98,0)</f>
        <v/>
      </c>
      <c r="AT98" s="37">
        <f>SUM(AU98:BA98)</f>
        <v/>
      </c>
      <c r="AU98" s="73" t="n"/>
      <c r="AV98" s="33" t="n"/>
      <c r="AW98" s="33" t="n"/>
      <c r="AX98" s="33" t="n"/>
      <c r="AY98" s="98" t="n">
        <v>1</v>
      </c>
      <c r="AZ98" s="33" t="n"/>
      <c r="BA98" s="74" t="n"/>
      <c r="BB98" s="106" t="n"/>
      <c r="BC98" s="42" t="n"/>
      <c r="BD98" s="42" t="n"/>
    </row>
    <row r="99" ht="15" customHeight="1" s="148">
      <c r="A99" t="inlineStr">
        <is>
          <t>c0095</t>
        </is>
      </c>
      <c r="B99" s="44" t="inlineStr">
        <is>
          <t>Aetherflux Reservoir</t>
        </is>
      </c>
      <c r="C99" s="34" t="inlineStr">
        <is>
          <t>C</t>
        </is>
      </c>
      <c r="D99" s="44" t="inlineStr">
        <is>
          <t>Artifact</t>
        </is>
      </c>
      <c r="E99" s="41" t="inlineStr">
        <is>
          <t>B3</t>
        </is>
      </c>
      <c r="F99" s="34" t="n">
        <v>4</v>
      </c>
      <c r="G99" s="67" t="inlineStr">
        <is>
          <t>Whenever you cast a spell, you gain 1 life for each spell you've cast this turn.
Pay 50 life: This artifact deals 50 damage to any target.</t>
        </is>
      </c>
      <c r="H99" s="45" t="inlineStr">
        <is>
          <t>Finisher</t>
        </is>
      </c>
      <c r="I99" s="45" t="inlineStr">
        <is>
          <t>Whenever you cast a spell, you gain 1 life for each spell you've cast this turn.
Pay 50 life: This artifact deals 50 damage to any target.</t>
        </is>
      </c>
      <c r="J99" s="45" t="n"/>
      <c r="K99" s="45" t="n"/>
      <c r="L99" s="41" t="n"/>
      <c r="M99" s="41" t="n"/>
      <c r="N99" s="41" t="n"/>
      <c r="O99" s="41" t="n"/>
      <c r="P99" s="41" t="n">
        <v>22.33</v>
      </c>
      <c r="Q99" s="41" t="n"/>
      <c r="R99" s="41" t="n"/>
      <c r="S99" s="41" t="n"/>
      <c r="T99" s="41" t="n"/>
      <c r="U99" s="41" t="n"/>
      <c r="V99" s="45" t="inlineStr">
        <is>
          <t>Kaladesh</t>
        </is>
      </c>
      <c r="W99" s="41" t="n">
        <v>0</v>
      </c>
      <c r="X99" s="37">
        <f>SUM(Y99:AE99)</f>
        <v/>
      </c>
      <c r="Y99" s="43" t="n"/>
      <c r="Z99" s="43" t="n"/>
      <c r="AA99" s="43" t="n"/>
      <c r="AB99" s="43" t="n"/>
      <c r="AC99" s="43" t="n"/>
      <c r="AD99" s="43" t="n"/>
      <c r="AE99" s="43" t="n"/>
      <c r="AF99" s="38">
        <f>IF((W99-SUM(Y99:AE99))&lt;0,0,W99-SUM(Y99:AE99))</f>
        <v/>
      </c>
      <c r="AG99" s="34">
        <f>MAX(0,$AT99-$W99-$AI99)</f>
        <v/>
      </c>
      <c r="AH99" s="34" t="n"/>
      <c r="AI99" s="34" t="n"/>
      <c r="AJ99" s="36" t="n">
        <v>20.45</v>
      </c>
      <c r="AK99" s="36">
        <f>IF(AND($AG99&gt;0,ISNUMBER($AJ99)),$AG99*$AJ99,0)</f>
        <v/>
      </c>
      <c r="AL99" s="54" t="n"/>
      <c r="AM99" s="54" t="n"/>
      <c r="AN99" s="54" t="n"/>
      <c r="AO99" s="54" t="n"/>
      <c r="AP99" s="54" t="n"/>
      <c r="AQ99" s="54" t="n"/>
      <c r="AR99" s="54" t="n"/>
      <c r="AS99" s="54" t="n"/>
      <c r="AT99" s="37">
        <f>SUM(AU99:BA99)</f>
        <v/>
      </c>
      <c r="AU99" s="92" t="n"/>
      <c r="AV99" s="38" t="n"/>
      <c r="AW99" s="38" t="n"/>
      <c r="AX99" s="38" t="n"/>
      <c r="AY99" s="38" t="n"/>
      <c r="AZ99" s="38" t="n"/>
      <c r="BA99" s="94" t="n"/>
      <c r="BB99" s="106" t="n"/>
      <c r="BC99" s="42" t="n"/>
      <c r="BD99" s="42" t="n"/>
    </row>
    <row r="100" ht="15" customHeight="1" s="148">
      <c r="A100" t="inlineStr">
        <is>
          <t>c0096</t>
        </is>
      </c>
      <c r="B100" s="44" t="inlineStr">
        <is>
          <t>Aetheric Amplifier</t>
        </is>
      </c>
      <c r="C100" s="34" t="inlineStr">
        <is>
          <t>C</t>
        </is>
      </c>
      <c r="D100" s="44" t="inlineStr">
        <is>
          <t>Artifact</t>
        </is>
      </c>
      <c r="E100" s="41" t="inlineStr">
        <is>
          <t>B2</t>
        </is>
      </c>
      <c r="F100" s="34" t="n">
        <v>3</v>
      </c>
      <c r="G100" s="67" t="inlineStr">
        <is>
          <t>{T}: Add one mana of any color.
{4}, {T}: Choose one. Activate only as a sorcery.
• Double the number of each kind of counter on target permanent.
• Double the number of each kind of counter you have.</t>
        </is>
      </c>
      <c r="H100" s="45" t="inlineStr">
        <is>
          <t>Mana Rock</t>
        </is>
      </c>
      <c r="I100" s="45" t="inlineStr">
        <is>
          <t>Taps for one mana of any color</t>
        </is>
      </c>
      <c r="J100" s="45" t="inlineStr">
        <is>
          <t>Pay {4} and tap to double the counters of a kind on target permanent</t>
        </is>
      </c>
      <c r="K100" s="45" t="inlineStr">
        <is>
          <t>Or double each kind of counter you have</t>
        </is>
      </c>
      <c r="L100" s="42" t="n"/>
      <c r="M100" s="42" t="n"/>
      <c r="N100" s="42" t="n"/>
      <c r="O100" s="42" t="n"/>
      <c r="P100" s="42" t="n">
        <v>0.66</v>
      </c>
      <c r="Q100" s="42" t="n"/>
      <c r="R100" s="42" t="n"/>
      <c r="S100" s="42" t="n"/>
      <c r="T100" s="42" t="n"/>
      <c r="U100" s="42" t="n"/>
      <c r="V100" s="45" t="inlineStr">
        <is>
          <t>Aetherdrift Commander</t>
        </is>
      </c>
      <c r="W100" s="41" t="n">
        <v>1</v>
      </c>
      <c r="X100" s="37">
        <f>SUM(Y100:AE100)</f>
        <v/>
      </c>
      <c r="Y100" s="43" t="n"/>
      <c r="Z100" s="43" t="n"/>
      <c r="AA100" s="43" t="n">
        <v>1</v>
      </c>
      <c r="AB100" s="43" t="n"/>
      <c r="AC100" s="43" t="n"/>
      <c r="AD100" s="43" t="n"/>
      <c r="AE100" s="43" t="n"/>
      <c r="AF100" s="38">
        <f>IF((W100-SUM(Y100:AE100))&lt;0,0,W100-SUM(Y100:AE100))</f>
        <v/>
      </c>
      <c r="AG100" s="34">
        <f>MAX(0,$AT100-$W100-$AI100)</f>
        <v/>
      </c>
      <c r="AH100" s="34" t="n"/>
      <c r="AI100" s="34" t="n"/>
      <c r="AJ100" s="36" t="n">
        <v>0.51</v>
      </c>
      <c r="AK100" s="36">
        <f>IF(AND($AG100&gt;0,ISNUMBER($AJ100)),$AG100*$AJ100,0)</f>
        <v/>
      </c>
      <c r="AN100" s="58" t="n"/>
      <c r="AT100" s="37">
        <f>SUM(AU100:BA100)</f>
        <v/>
      </c>
      <c r="AU100" s="73" t="n"/>
      <c r="AV100" s="33" t="n"/>
      <c r="AW100" s="99" t="n"/>
      <c r="AX100" s="33" t="n"/>
      <c r="AY100" s="33" t="n"/>
      <c r="AZ100" s="33" t="n"/>
      <c r="BA100" s="74" t="n"/>
      <c r="BB100" s="106" t="n"/>
      <c r="BC100" s="42" t="n"/>
      <c r="BD100" s="42" t="n"/>
    </row>
    <row r="101" ht="15" customHeight="1" s="148">
      <c r="A101" t="inlineStr">
        <is>
          <t>c0097</t>
        </is>
      </c>
      <c r="B101" s="44" t="inlineStr">
        <is>
          <t>Arcane Signet</t>
        </is>
      </c>
      <c r="C101" s="34" t="inlineStr">
        <is>
          <t>C</t>
        </is>
      </c>
      <c r="D101" s="44" t="inlineStr">
        <is>
          <t>Artifact</t>
        </is>
      </c>
      <c r="E101" s="41" t="inlineStr">
        <is>
          <t>B2</t>
        </is>
      </c>
      <c r="F101" s="34" t="n">
        <v>2</v>
      </c>
      <c r="G101" s="67" t="inlineStr">
        <is>
          <t>{T}: Add one mana of any color in your commander's color identity.</t>
        </is>
      </c>
      <c r="H101" s="45" t="inlineStr">
        <is>
          <t>Mana Rock</t>
        </is>
      </c>
      <c r="I101" s="45" t="inlineStr">
        <is>
          <t>Taps for any color in your commander's color identity</t>
        </is>
      </c>
      <c r="J101" s="45" t="n"/>
      <c r="K101" s="45" t="n"/>
      <c r="L101" s="41" t="n"/>
      <c r="M101" s="41" t="n"/>
      <c r="N101" s="41" t="n"/>
      <c r="O101" s="41" t="n"/>
      <c r="P101" s="41" t="n">
        <v>0.57</v>
      </c>
      <c r="Q101" s="41" t="n"/>
      <c r="R101" s="41" t="n"/>
      <c r="S101" s="41" t="n"/>
      <c r="T101" s="41" t="n"/>
      <c r="U101" s="41" t="n"/>
      <c r="V101" s="45" t="inlineStr">
        <is>
          <t>Throne of Eldraine</t>
        </is>
      </c>
      <c r="W101" s="41" t="n">
        <v>4</v>
      </c>
      <c r="X101" s="37">
        <f>SUM(Y101:AE101)</f>
        <v/>
      </c>
      <c r="Y101" s="43" t="n">
        <v>1</v>
      </c>
      <c r="Z101" s="43" t="n">
        <v>1</v>
      </c>
      <c r="AA101" s="43" t="n"/>
      <c r="AB101" s="43" t="n"/>
      <c r="AC101" s="43" t="n">
        <v>1</v>
      </c>
      <c r="AD101" s="43" t="n">
        <v>1</v>
      </c>
      <c r="AE101" s="43" t="n"/>
      <c r="AF101" s="38">
        <f>IF((W101-SUM(Y101:AE101))&lt;0,0,W101-SUM(Y101:AE101))</f>
        <v/>
      </c>
      <c r="AG101" s="34">
        <f>MAX(0,$AT101-$W101-$AI101)</f>
        <v/>
      </c>
      <c r="AH101" s="34" t="n"/>
      <c r="AI101" s="34" t="n"/>
      <c r="AJ101" s="36" t="n">
        <v>0.41</v>
      </c>
      <c r="AK101" s="36">
        <f>IF(AND($AG101&gt;0,ISNUMBER($AJ101)),$AG101*$AJ101,0)</f>
        <v/>
      </c>
      <c r="AT101" s="37">
        <f>SUM(AU101:BA101)</f>
        <v/>
      </c>
      <c r="AU101" s="82" t="n">
        <v>1</v>
      </c>
      <c r="AV101" s="98" t="n">
        <v>1</v>
      </c>
      <c r="AW101" s="33" t="n">
        <v>1</v>
      </c>
      <c r="AX101" s="33" t="n"/>
      <c r="AY101" s="98" t="n">
        <v>1</v>
      </c>
      <c r="AZ101" s="98" t="n">
        <v>1</v>
      </c>
      <c r="BA101" s="74" t="n"/>
      <c r="BB101" s="106" t="n"/>
      <c r="BC101" s="42" t="n"/>
      <c r="BD101" s="48" t="n"/>
    </row>
    <row r="102" ht="15" customHeight="1" s="148">
      <c r="A102" t="inlineStr">
        <is>
          <t>c0098</t>
        </is>
      </c>
      <c r="B102" s="44" t="inlineStr">
        <is>
          <t>Argentum Masticore</t>
        </is>
      </c>
      <c r="C102" s="34" t="inlineStr">
        <is>
          <t>C</t>
        </is>
      </c>
      <c r="D102" s="44" t="inlineStr">
        <is>
          <t>Artifact Creature</t>
        </is>
      </c>
      <c r="E102" s="41" t="inlineStr">
        <is>
          <t>B2</t>
        </is>
      </c>
      <c r="F102" s="34" t="n">
        <v>5</v>
      </c>
      <c r="G102" s="67" t="inlineStr">
        <is>
          <t>First strike, protection from multicolored
At the beginning of your upkeep, sacrifice this creature unless you discard a card. When you discard a card this way, destroy target nonland permanent an opponent controls with mana value less than or equal to the mana value of the discarded card.
(5/5)</t>
        </is>
      </c>
      <c r="H102" s="45" t="inlineStr">
        <is>
          <t>Removal</t>
        </is>
      </c>
      <c r="I102" s="45" t="inlineStr">
        <is>
          <t>Discard a card each upkeep or sacrifice this creature</t>
        </is>
      </c>
      <c r="J102" s="45" t="inlineStr">
        <is>
          <t>Discarding destroys an opponent's permanent MV ≤ the discarded card</t>
        </is>
      </c>
      <c r="K102" s="45" t="inlineStr">
        <is>
          <t>First strike, protection from multicolored body</t>
        </is>
      </c>
      <c r="L102" s="42" t="n"/>
      <c r="M102" s="42" t="n"/>
      <c r="N102" s="42" t="n"/>
      <c r="O102" s="63" t="n"/>
      <c r="P102" s="63" t="n">
        <v>0.31</v>
      </c>
      <c r="Q102" s="42" t="n"/>
      <c r="R102" s="42" t="n"/>
      <c r="S102" s="42" t="n"/>
      <c r="T102" s="63" t="n"/>
      <c r="U102" s="63" t="n"/>
      <c r="V102" s="45" t="inlineStr">
        <is>
          <t>Phyrexia: All Will Be One</t>
        </is>
      </c>
      <c r="W102" s="41" t="n">
        <v>1</v>
      </c>
      <c r="X102" s="37">
        <f>SUM(Y102:AE102)</f>
        <v/>
      </c>
      <c r="Y102" s="43" t="n"/>
      <c r="Z102" s="43" t="n"/>
      <c r="AA102" s="43" t="n"/>
      <c r="AB102" s="43" t="n"/>
      <c r="AC102" s="43" t="n"/>
      <c r="AD102" s="43" t="n"/>
      <c r="AE102" s="43" t="n">
        <v>1</v>
      </c>
      <c r="AF102" s="38">
        <f>IF((W102-SUM(Y102:AE102))&lt;0,0,W102-SUM(Y102:AE102))</f>
        <v/>
      </c>
      <c r="AG102" s="34">
        <f>MAX(0,$AT102-$W102-$AI102)</f>
        <v/>
      </c>
      <c r="AH102" s="34" t="inlineStr">
        <is>
          <t>GT</t>
        </is>
      </c>
      <c r="AI102" s="34" t="n"/>
      <c r="AJ102" s="36" t="n">
        <v>0.32</v>
      </c>
      <c r="AK102" s="36">
        <f>IF(AND($AG102&gt;0,ISNUMBER($AJ102)),$AG102*$AJ102,0)</f>
        <v/>
      </c>
      <c r="AQ102" s="58" t="n"/>
      <c r="AR102" t="inlineStr">
        <is>
          <t>BL0084</t>
        </is>
      </c>
      <c r="AS102" s="86" t="n">
        <v>1</v>
      </c>
      <c r="AT102" s="37">
        <f>SUM(AU102:BA102)</f>
        <v/>
      </c>
      <c r="AU102" s="73" t="n"/>
      <c r="AV102" s="33" t="n"/>
      <c r="AW102" s="33" t="n"/>
      <c r="AX102" s="33" t="n"/>
      <c r="AY102" s="33" t="n"/>
      <c r="AZ102" s="33" t="n"/>
      <c r="BA102" s="81" t="n"/>
      <c r="BB102" s="106" t="n"/>
      <c r="BC102" s="42" t="n"/>
      <c r="BD102" s="42" t="n"/>
    </row>
    <row r="103" ht="15" customHeight="1" s="148">
      <c r="A103" t="inlineStr">
        <is>
          <t>c0099</t>
        </is>
      </c>
      <c r="B103" s="44" t="inlineStr">
        <is>
          <t>Artisan of Kozilek</t>
        </is>
      </c>
      <c r="C103" s="34" t="inlineStr">
        <is>
          <t>C</t>
        </is>
      </c>
      <c r="D103" s="44" t="inlineStr">
        <is>
          <t>Creature</t>
        </is>
      </c>
      <c r="E103" s="41" t="inlineStr">
        <is>
          <t>B2</t>
        </is>
      </c>
      <c r="F103" s="34" t="n">
        <v>9</v>
      </c>
      <c r="G103" s="67" t="inlineStr">
        <is>
          <t>When you cast this spell, you may return target creature card from your graveyard to the battlefield.
Annihilator 2 (Whenever this creature attacks, defending player sacrifices two permanents of their choice.)
(10/9)</t>
        </is>
      </c>
      <c r="H103" s="45" t="inlineStr">
        <is>
          <t>Reanimation</t>
        </is>
      </c>
      <c r="I103" s="45" t="inlineStr">
        <is>
          <t>Returns a creature card from graveyard to battlefield when cast</t>
        </is>
      </c>
      <c r="J103" s="45" t="inlineStr">
        <is>
          <t>Annihilator 2 (opponent sacrifices two permanents when it attacks)</t>
        </is>
      </c>
      <c r="K103" s="45" t="inlineStr">
        <is>
          <t>9-mana Eldrazi body</t>
        </is>
      </c>
      <c r="L103" s="42" t="n"/>
      <c r="M103" s="42" t="n"/>
      <c r="N103" s="42" t="n"/>
      <c r="O103" s="63" t="n"/>
      <c r="P103" s="63" t="n">
        <v>0.48</v>
      </c>
      <c r="Q103" s="42" t="n"/>
      <c r="R103" s="42" t="n"/>
      <c r="S103" s="42" t="n"/>
      <c r="T103" s="63" t="n"/>
      <c r="U103" s="63" t="n"/>
      <c r="V103" s="45" t="inlineStr">
        <is>
          <t>Rise of the Eldrazi</t>
        </is>
      </c>
      <c r="W103" s="41" t="n">
        <v>1</v>
      </c>
      <c r="X103" s="37">
        <f>SUM(Y103:AE103)</f>
        <v/>
      </c>
      <c r="Y103" s="43" t="n"/>
      <c r="Z103" s="43" t="n"/>
      <c r="AA103" s="43" t="n"/>
      <c r="AB103" s="43" t="n"/>
      <c r="AC103" s="43" t="n"/>
      <c r="AD103" s="43" t="n"/>
      <c r="AE103" s="43" t="n"/>
      <c r="AF103" s="38">
        <f>IF((W103-SUM(Y103:AE103))&lt;0,0,W103-SUM(Y103:AE103))</f>
        <v/>
      </c>
      <c r="AG103" s="34">
        <f>MAX(0,$AT103-$W103-$AI103)</f>
        <v/>
      </c>
      <c r="AH103" s="34" t="n"/>
      <c r="AI103" s="34" t="n"/>
      <c r="AJ103" s="36" t="n">
        <v>0.46</v>
      </c>
      <c r="AK103" s="36">
        <f>IF(AND($AG103&gt;0,ISNUMBER($AJ103)),$AG103*$AJ103,0)</f>
        <v/>
      </c>
      <c r="AT103" s="37">
        <f>SUM(AU103:BA103)</f>
        <v/>
      </c>
      <c r="AU103" s="73" t="n"/>
      <c r="AV103" s="33" t="n"/>
      <c r="AW103" s="33" t="n"/>
      <c r="AX103" s="33" t="n"/>
      <c r="AY103" s="33" t="n"/>
      <c r="AZ103" s="33" t="n"/>
      <c r="BA103" s="74" t="n"/>
      <c r="BB103" s="106" t="n"/>
      <c r="BC103" s="42" t="n"/>
      <c r="BD103" s="42" t="n"/>
    </row>
    <row r="104" ht="15" customHeight="1" s="148">
      <c r="A104" t="inlineStr">
        <is>
          <t>c0100</t>
        </is>
      </c>
      <c r="B104" s="44" t="inlineStr">
        <is>
          <t>Ashnod's Altar</t>
        </is>
      </c>
      <c r="C104" s="34" t="inlineStr">
        <is>
          <t>C</t>
        </is>
      </c>
      <c r="D104" s="44" t="inlineStr">
        <is>
          <t>Artifact</t>
        </is>
      </c>
      <c r="E104" s="41" t="inlineStr">
        <is>
          <t>B3</t>
        </is>
      </c>
      <c r="F104" s="34" t="n">
        <v>3</v>
      </c>
      <c r="G104" s="67" t="inlineStr">
        <is>
          <t>Sacrifice a creature: Add {C}{C}.</t>
        </is>
      </c>
      <c r="H104" s="45" t="inlineStr">
        <is>
          <t>Sacrifice Outlet</t>
        </is>
      </c>
      <c r="I104" s="45" t="inlineStr">
        <is>
          <t>Sacrifice a creature: Add {C}{C}.</t>
        </is>
      </c>
      <c r="J104" s="45" t="n"/>
      <c r="K104" s="45" t="n"/>
      <c r="L104" s="42" t="n"/>
      <c r="M104" s="42" t="n"/>
      <c r="N104" s="42" t="n"/>
      <c r="O104" s="42" t="n"/>
      <c r="P104" s="42" t="n">
        <v>16.55</v>
      </c>
      <c r="Q104" s="42" t="n"/>
      <c r="R104" s="42" t="n"/>
      <c r="S104" s="42" t="n"/>
      <c r="T104" s="42" t="n"/>
      <c r="U104" s="42" t="n"/>
      <c r="V104" s="45" t="inlineStr">
        <is>
          <t>Antiquities</t>
        </is>
      </c>
      <c r="W104" s="41" t="n">
        <v>0</v>
      </c>
      <c r="X104" s="37">
        <f>SUM(Y104:AE104)</f>
        <v/>
      </c>
      <c r="Y104" s="43" t="n"/>
      <c r="Z104" s="43" t="n"/>
      <c r="AA104" s="43" t="n"/>
      <c r="AB104" s="43" t="n"/>
      <c r="AC104" s="43" t="n"/>
      <c r="AD104" s="43" t="n"/>
      <c r="AE104" s="43" t="n"/>
      <c r="AF104" s="38">
        <f>IF((W104-SUM(Y104:AE104))&lt;0,0,W104-SUM(Y104:AE104))</f>
        <v/>
      </c>
      <c r="AG104" s="34">
        <f>MAX(0,$AT104-$W104-$AI104)</f>
        <v/>
      </c>
      <c r="AH104" s="34" t="n"/>
      <c r="AI104" s="34" t="n"/>
      <c r="AJ104" s="36" t="n">
        <v>12.59</v>
      </c>
      <c r="AK104" s="36">
        <f>IF(AND($AG104&gt;0,ISNUMBER($AJ104)),$AG104*$AJ104,0)</f>
        <v/>
      </c>
      <c r="AL104" s="54" t="n"/>
      <c r="AM104" s="54" t="n"/>
      <c r="AN104" s="54" t="n"/>
      <c r="AO104" s="54" t="n"/>
      <c r="AP104" s="54" t="n"/>
      <c r="AQ104" s="54" t="n"/>
      <c r="AR104" s="54" t="n"/>
      <c r="AS104" s="54" t="n"/>
      <c r="AT104" s="37">
        <f>SUM(AU104:BA104)</f>
        <v/>
      </c>
      <c r="AU104" s="92" t="n"/>
      <c r="AV104" s="38" t="n"/>
      <c r="AW104" s="38" t="n"/>
      <c r="AX104" s="38" t="n"/>
      <c r="AY104" s="38" t="n"/>
      <c r="AZ104" s="38" t="n"/>
      <c r="BA104" s="94" t="n"/>
      <c r="BB104" s="106" t="n"/>
      <c r="BC104" s="42" t="n"/>
      <c r="BD104" s="42" t="n"/>
    </row>
    <row r="105" ht="15" customHeight="1" s="148">
      <c r="A105" t="inlineStr">
        <is>
          <t>c0101</t>
        </is>
      </c>
      <c r="B105" s="44" t="inlineStr">
        <is>
          <t>Astral Cornucopia</t>
        </is>
      </c>
      <c r="C105" s="34" t="inlineStr">
        <is>
          <t>C</t>
        </is>
      </c>
      <c r="D105" s="44" t="inlineStr">
        <is>
          <t>Artifact</t>
        </is>
      </c>
      <c r="E105" s="41" t="inlineStr">
        <is>
          <t>B2</t>
        </is>
      </c>
      <c r="F105" s="34" t="n">
        <v>0</v>
      </c>
      <c r="G105" s="67" t="inlineStr">
        <is>
          <t>This artifact enters with X charge counters on it.
{T}: Choose a color. Add one mana of that color for each charge counter on this artifact.</t>
        </is>
      </c>
      <c r="H105" s="45" t="inlineStr">
        <is>
          <t>Mana Rock</t>
        </is>
      </c>
      <c r="I105" s="45" t="inlineStr">
        <is>
          <t>This artifact enters with X charge counters on it</t>
        </is>
      </c>
      <c r="J105" s="45" t="inlineStr">
        <is>
          <t>{T}: Choose a color. Add one mana of that color for each charge counter on this artifact</t>
        </is>
      </c>
      <c r="K105" s="45" t="n"/>
      <c r="L105" s="42" t="n"/>
      <c r="M105" s="42" t="n"/>
      <c r="N105" s="42" t="n"/>
      <c r="O105" s="42" t="n"/>
      <c r="P105" s="42" t="n">
        <v>0.24</v>
      </c>
      <c r="Q105" s="42" t="n"/>
      <c r="R105" s="42" t="n"/>
      <c r="S105" s="42" t="n"/>
      <c r="T105" s="42" t="n"/>
      <c r="U105" s="42" t="n"/>
      <c r="V105" s="45" t="inlineStr">
        <is>
          <t>Born of the Gods</t>
        </is>
      </c>
      <c r="W105" s="41" t="n">
        <v>1</v>
      </c>
      <c r="X105" s="37">
        <f>SUM(Y105:AE105)</f>
        <v/>
      </c>
      <c r="Y105" s="43" t="n"/>
      <c r="Z105" s="43" t="n"/>
      <c r="AA105" s="43" t="n">
        <v>1</v>
      </c>
      <c r="AB105" s="43" t="n"/>
      <c r="AC105" s="43" t="n"/>
      <c r="AD105" s="43" t="n"/>
      <c r="AE105" s="43" t="n"/>
      <c r="AF105" s="38">
        <f>IF((W105-SUM(Y105:AE105))&lt;0,0,W105-SUM(Y105:AE105))</f>
        <v/>
      </c>
      <c r="AG105" s="34">
        <f>MAX(0,$AT105-$W105-$AI105)</f>
        <v/>
      </c>
      <c r="AH105" s="34" t="n"/>
      <c r="AI105" s="34" t="n"/>
      <c r="AJ105" s="36" t="n">
        <v>0.24</v>
      </c>
      <c r="AK105" s="36">
        <f>IF(AND($AG105&gt;0,ISNUMBER($AJ105)),$AG105*$AJ105,0)</f>
        <v/>
      </c>
      <c r="AT105" s="37">
        <f>SUM(AU105:BA105)</f>
        <v/>
      </c>
      <c r="AU105" s="73" t="n"/>
      <c r="AV105" s="33" t="n"/>
      <c r="AW105" s="98" t="n">
        <v>1</v>
      </c>
      <c r="AX105" s="33" t="n"/>
      <c r="AY105" s="33" t="n"/>
      <c r="AZ105" s="33" t="n"/>
      <c r="BA105" s="74" t="n"/>
      <c r="BB105" s="106" t="n"/>
      <c r="BC105" s="42" t="n"/>
      <c r="BD105" s="42" t="n"/>
    </row>
    <row r="106" ht="15" customHeight="1" s="148">
      <c r="A106" t="inlineStr">
        <is>
          <t>c0102</t>
        </is>
      </c>
      <c r="B106" s="44" t="inlineStr">
        <is>
          <t>Azorius Signet</t>
        </is>
      </c>
      <c r="C106" s="34" t="inlineStr">
        <is>
          <t>C</t>
        </is>
      </c>
      <c r="D106" s="44" t="inlineStr">
        <is>
          <t>Artifact</t>
        </is>
      </c>
      <c r="E106" s="41" t="inlineStr">
        <is>
          <t>B2</t>
        </is>
      </c>
      <c r="F106" s="34" t="n">
        <v>2</v>
      </c>
      <c r="G106" s="67" t="inlineStr">
        <is>
          <t>{1}, {T}: Add {W}{U}.</t>
        </is>
      </c>
      <c r="H106" s="45" t="inlineStr">
        <is>
          <t>Mana Rock</t>
        </is>
      </c>
      <c r="I106" s="45" t="inlineStr">
        <is>
          <t>{1}, tap: add {W}{U}</t>
        </is>
      </c>
      <c r="J106" s="39" t="n"/>
      <c r="K106" s="39" t="n"/>
      <c r="L106" s="42" t="n"/>
      <c r="M106" s="42" t="n"/>
      <c r="N106" s="42" t="n"/>
      <c r="O106" s="42" t="n"/>
      <c r="P106" s="42" t="n">
        <v>0.38</v>
      </c>
      <c r="Q106" s="42" t="n"/>
      <c r="R106" s="42" t="n"/>
      <c r="S106" s="42" t="n"/>
      <c r="T106" s="42" t="n"/>
      <c r="U106" s="42" t="n"/>
      <c r="V106" s="45" t="inlineStr">
        <is>
          <t>Dissension</t>
        </is>
      </c>
      <c r="W106" s="41" t="n">
        <v>1</v>
      </c>
      <c r="X106" s="37">
        <f>SUM(Y106:AE106)</f>
        <v/>
      </c>
      <c r="Y106" s="43" t="n"/>
      <c r="Z106" s="43" t="n"/>
      <c r="AA106" s="43" t="n">
        <v>1</v>
      </c>
      <c r="AB106" s="43" t="n"/>
      <c r="AC106" s="43" t="n"/>
      <c r="AD106" s="43" t="n"/>
      <c r="AE106" s="43" t="n"/>
      <c r="AF106" s="38">
        <f>IF((W106-SUM(Y106:AE106))&lt;0,0,W106-SUM(Y106:AE106))</f>
        <v/>
      </c>
      <c r="AG106" s="34">
        <f>MAX(0,$AT106-$W106-$AI106)</f>
        <v/>
      </c>
      <c r="AH106" s="34" t="n"/>
      <c r="AI106" s="34" t="n"/>
      <c r="AJ106" s="36" t="n">
        <v>0.3</v>
      </c>
      <c r="AK106" s="36">
        <f>IF(AND($AG106&gt;0,ISNUMBER($AJ106)),$AG106*$AJ106,0)</f>
        <v/>
      </c>
      <c r="AT106" s="37">
        <f>SUM(AU106:BA106)</f>
        <v/>
      </c>
      <c r="AU106" s="73" t="n"/>
      <c r="AV106" s="33" t="n"/>
      <c r="AW106" s="98" t="n">
        <v>1</v>
      </c>
      <c r="AX106" s="33" t="n"/>
      <c r="AY106" s="33" t="n"/>
      <c r="AZ106" s="33" t="n"/>
      <c r="BA106" s="74" t="n"/>
      <c r="BB106" s="107" t="n"/>
      <c r="BC106" s="42" t="n"/>
      <c r="BD106" s="42" t="n"/>
    </row>
    <row r="107" ht="15" customHeight="1" s="148">
      <c r="A107" t="inlineStr">
        <is>
          <t>c0103</t>
        </is>
      </c>
      <c r="B107" s="44" t="inlineStr">
        <is>
          <t>Bag of Holding</t>
        </is>
      </c>
      <c r="C107" s="34" t="inlineStr">
        <is>
          <t>C</t>
        </is>
      </c>
      <c r="D107" s="44" t="inlineStr">
        <is>
          <t>Artifact</t>
        </is>
      </c>
      <c r="E107" s="41" t="inlineStr">
        <is>
          <t>B2</t>
        </is>
      </c>
      <c r="F107" s="34" t="n">
        <v>1</v>
      </c>
      <c r="G107" s="67" t="inlineStr">
        <is>
          <t>Whenever you discard a card, exile that card from your graveyard.
{2}, {T}: Draw a card, then discard a card.
{4}, {T}, Sacrifice this artifact: Return all cards exiled with this artifact to their owner's hand.</t>
        </is>
      </c>
      <c r="H107" s="45" t="inlineStr">
        <is>
          <t>Discard/Looting</t>
        </is>
      </c>
      <c r="I107" s="45" t="inlineStr">
        <is>
          <t>Discarding a card exiles it from your graveyard</t>
        </is>
      </c>
      <c r="J107" s="45" t="inlineStr">
        <is>
          <t>Pay {2}, tap: draw a card, then discard a card</t>
        </is>
      </c>
      <c r="K107" s="45" t="inlineStr">
        <is>
          <t>Pay {4}, tap, sacrifice: return all cards exiled with it to your hand</t>
        </is>
      </c>
      <c r="L107" s="42" t="n"/>
      <c r="M107" s="42" t="n"/>
      <c r="N107" s="42" t="n"/>
      <c r="O107" s="42" t="n"/>
      <c r="P107" s="42" t="n">
        <v>0.29</v>
      </c>
      <c r="Q107" s="42" t="n"/>
      <c r="R107" s="42" t="n"/>
      <c r="S107" s="42" t="n"/>
      <c r="T107" s="42" t="n"/>
      <c r="U107" s="42" t="n"/>
      <c r="V107" s="45" t="inlineStr">
        <is>
          <t>Core Set 2020</t>
        </is>
      </c>
      <c r="W107" s="41" t="n">
        <v>1</v>
      </c>
      <c r="X107" s="37">
        <f>SUM(Y107:AE107)</f>
        <v/>
      </c>
      <c r="Y107" s="43" t="n">
        <v>1</v>
      </c>
      <c r="Z107" s="43" t="n"/>
      <c r="AA107" s="43" t="n"/>
      <c r="AB107" s="43" t="n"/>
      <c r="AC107" s="43" t="n"/>
      <c r="AD107" s="43" t="n"/>
      <c r="AE107" s="43" t="n"/>
      <c r="AF107" s="38">
        <f>IF((W107-SUM(Y107:AE107))&lt;0,0,W107-SUM(Y107:AE107))</f>
        <v/>
      </c>
      <c r="AG107" s="34">
        <f>MAX(0,$AT107-$W107-$AI107)</f>
        <v/>
      </c>
      <c r="AH107" s="34" t="n"/>
      <c r="AI107" s="34" t="n"/>
      <c r="AJ107" s="36" t="n">
        <v>0.27</v>
      </c>
      <c r="AK107" s="36">
        <f>IF(AND($AG107&gt;0,ISNUMBER($AJ107)),$AG107*$AJ107,0)</f>
        <v/>
      </c>
      <c r="AT107" s="37">
        <f>SUM(AU107:BA107)</f>
        <v/>
      </c>
      <c r="AU107" s="82" t="n">
        <v>1</v>
      </c>
      <c r="AV107" s="33" t="n"/>
      <c r="AW107" s="33" t="n"/>
      <c r="AX107" s="33" t="n"/>
      <c r="AY107" s="33" t="n"/>
      <c r="AZ107" s="33" t="n"/>
      <c r="BA107" s="74" t="n"/>
      <c r="BB107" s="106" t="n"/>
      <c r="BC107" s="42" t="n"/>
      <c r="BD107" s="42" t="n"/>
    </row>
    <row r="108" ht="15" customHeight="1" s="148">
      <c r="A108" t="inlineStr">
        <is>
          <t>c0104</t>
        </is>
      </c>
      <c r="B108" s="44" t="inlineStr">
        <is>
          <t>Bandit's Haul</t>
        </is>
      </c>
      <c r="C108" s="34" t="inlineStr">
        <is>
          <t>C</t>
        </is>
      </c>
      <c r="D108" s="44" t="inlineStr">
        <is>
          <t>Artifact</t>
        </is>
      </c>
      <c r="E108" s="41" t="inlineStr">
        <is>
          <t>B2</t>
        </is>
      </c>
      <c r="F108" s="34" t="n">
        <v>3</v>
      </c>
      <c r="G108" s="67" t="inlineStr">
        <is>
          <t>Whenever you commit a crime, put a loot counter on this artifact. This ability triggers only once each turn. (Targeting opponents, anything they control, and/or cards in their graveyards is a crime.)
{T}: Add one mana of any color.
{2}, {T}, Remove two loot counters from this artifact: Draw a card.</t>
        </is>
      </c>
      <c r="H108" s="45" t="inlineStr">
        <is>
          <t>Mana Rock</t>
        </is>
      </c>
      <c r="I108" s="45" t="inlineStr">
        <is>
          <t>Taps for one mana of any color</t>
        </is>
      </c>
      <c r="J108" s="45" t="inlineStr">
        <is>
          <t>Gets a loot counter once a turn when you commit a crime (target an opponent or their stuff)</t>
        </is>
      </c>
      <c r="K108" s="45" t="inlineStr">
        <is>
          <t>Pay 2, tap, remove two loot counters: draw a card</t>
        </is>
      </c>
      <c r="L108" s="42" t="n"/>
      <c r="M108" s="42" t="n"/>
      <c r="N108" s="42" t="n"/>
      <c r="O108" s="42" t="n"/>
      <c r="P108" s="42" t="n">
        <v>0.3</v>
      </c>
      <c r="Q108" s="42" t="n"/>
      <c r="R108" s="42" t="n"/>
      <c r="S108" s="42" t="n"/>
      <c r="T108" s="42" t="n"/>
      <c r="U108" s="42" t="n"/>
      <c r="V108" s="45" t="inlineStr">
        <is>
          <t>Outlaws of Thunder Junction</t>
        </is>
      </c>
      <c r="W108" s="41" t="n">
        <v>0</v>
      </c>
      <c r="X108" s="37">
        <f>SUM(Y108:AE108)</f>
        <v/>
      </c>
      <c r="Y108" s="43" t="n"/>
      <c r="Z108" s="43" t="n"/>
      <c r="AA108" s="43" t="n"/>
      <c r="AB108" s="43" t="n"/>
      <c r="AC108" s="43" t="n"/>
      <c r="AD108" s="43" t="n"/>
      <c r="AE108" s="43" t="n"/>
      <c r="AF108" s="38">
        <f>IF((W108-SUM(Y108:AE108))&lt;0,0,W108-SUM(Y108:AE108))</f>
        <v/>
      </c>
      <c r="AG108" s="34">
        <f>MAX(0,$AT108-$W108-$AI108)</f>
        <v/>
      </c>
      <c r="AH108" s="34" t="n"/>
      <c r="AI108" s="34" t="n"/>
      <c r="AJ108" s="36" t="n">
        <v>0.22</v>
      </c>
      <c r="AK108" s="36">
        <f>IF(AND($AG108&gt;0,ISNUMBER($AJ108)),$AG108*$AJ108,0)</f>
        <v/>
      </c>
      <c r="AL108" s="54" t="n"/>
      <c r="AM108" s="54" t="n"/>
      <c r="AN108" s="54" t="n"/>
      <c r="AO108" s="54" t="n"/>
      <c r="AP108" s="54" t="n"/>
      <c r="AQ108" s="54" t="n"/>
      <c r="AR108" s="54" t="n"/>
      <c r="AS108" s="54" t="n"/>
      <c r="AT108" s="37">
        <f>SUM(AU108:BA108)</f>
        <v/>
      </c>
      <c r="AU108" s="92" t="n"/>
      <c r="AV108" s="38" t="n"/>
      <c r="AW108" s="38" t="n"/>
      <c r="AX108" s="38" t="n"/>
      <c r="AY108" s="38" t="n"/>
      <c r="AZ108" s="38" t="n"/>
      <c r="BA108" s="94" t="n"/>
      <c r="BB108" s="106" t="n"/>
      <c r="BC108" s="42" t="n"/>
      <c r="BD108" s="42" t="n"/>
    </row>
    <row r="109" ht="15" customHeight="1" s="148">
      <c r="A109" t="inlineStr">
        <is>
          <t>c0105</t>
        </is>
      </c>
      <c r="B109" s="39" t="inlineStr">
        <is>
          <t>Biblioplex Tomekeeper</t>
        </is>
      </c>
      <c r="C109" s="31" t="inlineStr">
        <is>
          <t>C</t>
        </is>
      </c>
      <c r="D109" s="30" t="inlineStr">
        <is>
          <t>Artifact Creature</t>
        </is>
      </c>
      <c r="E109" s="33" t="inlineStr">
        <is>
          <t>B2</t>
        </is>
      </c>
      <c r="F109" s="31" t="n">
        <v>4</v>
      </c>
      <c r="G109" s="67" t="inlineStr">
        <is>
          <t>When this creature enters, choose up to one —
• Target creature becomes prepared. (Only creatures with prepare spells can become prepared.)
• Target creature becomes unprepared.
(3/4)</t>
        </is>
      </c>
      <c r="H109" s="30" t="inlineStr">
        <is>
          <t>Utility Creature</t>
        </is>
      </c>
      <c r="I109" s="30" t="inlineStr">
        <is>
          <t>Enters: choose up to one — target creature becomes prepared, or target creature becomes unprepared</t>
        </is>
      </c>
      <c r="J109" s="30" t="inlineStr">
        <is>
          <t>3/4 artifact body castable off any colors</t>
        </is>
      </c>
      <c r="K109" s="30" t="n"/>
      <c r="L109" s="32" t="inlineStr">
        <is>
          <t>247</t>
        </is>
      </c>
      <c r="M109" s="32" t="n">
        <v>3</v>
      </c>
      <c r="N109" s="32" t="n">
        <v>0</v>
      </c>
      <c r="O109" s="63" t="inlineStr">
        <is>
          <t>Raph Lomotan</t>
        </is>
      </c>
      <c r="P109" s="63" t="n">
        <v>0.07000000000000001</v>
      </c>
      <c r="Q109" s="32" t="inlineStr">
        <is>
          <t>Common</t>
        </is>
      </c>
      <c r="R109" s="32" t="n"/>
      <c r="S109" s="32" t="n"/>
      <c r="T109" s="63" t="n"/>
      <c r="U109" s="63" t="n"/>
      <c r="V109" s="30" t="inlineStr">
        <is>
          <t>Secrets of Strixhaven</t>
        </is>
      </c>
      <c r="W109" s="41" t="n">
        <v>3</v>
      </c>
      <c r="X109" s="37">
        <f>SUM(Y109:AE109)</f>
        <v/>
      </c>
      <c r="Y109" s="43" t="n"/>
      <c r="Z109" s="43" t="n"/>
      <c r="AA109" s="43" t="n"/>
      <c r="AB109" s="43" t="n"/>
      <c r="AC109" s="43" t="n"/>
      <c r="AD109" s="43" t="n"/>
      <c r="AE109" s="43" t="n"/>
      <c r="AF109" s="38">
        <f>IF((W109-SUM(Y109:AE109))&lt;0,0,W109-SUM(Y109:AE109))</f>
        <v/>
      </c>
      <c r="AG109" s="34">
        <f>MAX(0,$AT109-$W109-$AI109)</f>
        <v/>
      </c>
      <c r="AH109" s="30" t="n"/>
      <c r="AI109" s="30" t="n"/>
      <c r="AJ109" s="35" t="n">
        <v>0.07000000000000001</v>
      </c>
      <c r="AK109" s="36">
        <f>IF(AND($AG109&gt;0,ISNUMBER($AJ109)),$AG109*$AJ109,0)</f>
        <v/>
      </c>
      <c r="AT109" s="37">
        <f>SUM(AU109:BA109)</f>
        <v/>
      </c>
      <c r="AU109" s="73" t="n"/>
      <c r="AV109" s="33" t="n"/>
      <c r="AW109" s="33" t="n"/>
      <c r="AX109" s="33" t="n"/>
      <c r="AY109" s="33" t="n"/>
      <c r="AZ109" s="33" t="n"/>
      <c r="BA109" s="74" t="n"/>
      <c r="BB109" s="108" t="n"/>
      <c r="BC109" s="32" t="n"/>
      <c r="BD109" s="32" t="n"/>
    </row>
    <row r="110" ht="15" customHeight="1" s="148">
      <c r="A110" t="inlineStr">
        <is>
          <t>c0106</t>
        </is>
      </c>
      <c r="B110" s="44" t="inlineStr">
        <is>
          <t>Bitterthorn, Nissa's Animus</t>
        </is>
      </c>
      <c r="C110" s="34" t="inlineStr">
        <is>
          <t>C</t>
        </is>
      </c>
      <c r="D110" s="44" t="inlineStr">
        <is>
          <t>Legendary Artifact</t>
        </is>
      </c>
      <c r="E110" s="41" t="inlineStr">
        <is>
          <t>B2</t>
        </is>
      </c>
      <c r="F110" s="34" t="n">
        <v>3</v>
      </c>
      <c r="G110" s="67" t="inlineStr">
        <is>
          <t>Living weapon (When this Equipment enters, create a 0/0 black Phyrexian Germ creature token, then attach this to it.)
Equipped creature gets +1/+1.
Whenever equipped creature attacks, you may search your library for a basic land card, put it onto the battlefield tapped, then shuffle.
Equip {3}</t>
        </is>
      </c>
      <c r="H110" s="45" t="inlineStr">
        <is>
          <t>Ramp</t>
        </is>
      </c>
      <c r="I110" s="45" t="inlineStr">
        <is>
          <t>Creates a 0/0 Germ token and attaches to it when it enters</t>
        </is>
      </c>
      <c r="J110" s="45" t="inlineStr">
        <is>
          <t>Equipped creature gets +1/+1</t>
        </is>
      </c>
      <c r="K110" s="45" t="inlineStr">
        <is>
          <t>Searches for a basic land onto the battlefield tapped whenever equipped creature attacks</t>
        </is>
      </c>
      <c r="L110" s="42" t="n"/>
      <c r="M110" s="42" t="n"/>
      <c r="N110" s="42" t="n"/>
      <c r="O110" s="42" t="n"/>
      <c r="P110" s="42" t="n">
        <v>5.73</v>
      </c>
      <c r="Q110" s="42" t="n"/>
      <c r="R110" s="42" t="n"/>
      <c r="S110" s="42" t="n"/>
      <c r="T110" s="42" t="n"/>
      <c r="U110" s="42" t="n"/>
      <c r="V110" s="45" t="inlineStr">
        <is>
          <t>March of the Machine Commander</t>
        </is>
      </c>
      <c r="W110" s="41" t="n">
        <v>1</v>
      </c>
      <c r="X110" s="37">
        <f>SUM(Y110:AE110)</f>
        <v/>
      </c>
      <c r="Y110" s="43" t="n"/>
      <c r="Z110" s="43" t="n"/>
      <c r="AA110" s="43" t="n">
        <v>1</v>
      </c>
      <c r="AB110" s="43" t="n"/>
      <c r="AC110" s="43" t="n"/>
      <c r="AD110" s="43" t="n"/>
      <c r="AE110" s="43" t="n"/>
      <c r="AF110" s="38">
        <f>IF((W110-SUM(Y110:AE110))&lt;0,0,W110-SUM(Y110:AE110))</f>
        <v/>
      </c>
      <c r="AG110" s="34">
        <f>MAX(0,$AT110-$W110-$AI110)</f>
        <v/>
      </c>
      <c r="AH110" s="34" t="n"/>
      <c r="AI110" s="34" t="n"/>
      <c r="AJ110" s="36" t="n">
        <v>6.19</v>
      </c>
      <c r="AK110" s="36">
        <f>IF(AND($AG110&gt;0,ISNUMBER($AJ110)),$AG110*$AJ110,0)</f>
        <v/>
      </c>
      <c r="AT110" s="37">
        <f>SUM(AU110:BA110)</f>
        <v/>
      </c>
      <c r="AU110" s="73" t="n"/>
      <c r="AV110" s="33" t="n"/>
      <c r="AW110" s="98" t="n">
        <v>1</v>
      </c>
      <c r="AX110" s="33" t="n"/>
      <c r="AY110" s="33" t="n"/>
      <c r="AZ110" s="33" t="n"/>
      <c r="BA110" s="74" t="n"/>
      <c r="BB110" s="106" t="n"/>
      <c r="BC110" s="42" t="n"/>
      <c r="BD110" s="42" t="n"/>
    </row>
    <row r="111" ht="15" customHeight="1" s="148">
      <c r="A111" t="inlineStr">
        <is>
          <t>c0107</t>
        </is>
      </c>
      <c r="B111" s="44" t="inlineStr">
        <is>
          <t>Burnished Hart</t>
        </is>
      </c>
      <c r="C111" s="34" t="inlineStr">
        <is>
          <t>C</t>
        </is>
      </c>
      <c r="D111" s="44" t="inlineStr">
        <is>
          <t>Artifact Creature</t>
        </is>
      </c>
      <c r="E111" s="41" t="inlineStr">
        <is>
          <t>B2</t>
        </is>
      </c>
      <c r="F111" s="34" t="n">
        <v>3</v>
      </c>
      <c r="G111" s="67" t="inlineStr">
        <is>
          <t>{3}, Sacrifice this creature: Search your library for up to two basic land cards, put them onto the battlefield tapped, then shuffle.
(2/2)</t>
        </is>
      </c>
      <c r="H111" s="45" t="inlineStr">
        <is>
          <t>Ramp</t>
        </is>
      </c>
      <c r="I111" s="45" t="inlineStr">
        <is>
          <t>3/3 body</t>
        </is>
      </c>
      <c r="J111" s="45" t="inlineStr">
        <is>
          <t>Sacrifice: search for two basic lands, put them into play tapped</t>
        </is>
      </c>
      <c r="K111" s="45" t="n"/>
      <c r="L111" s="42" t="n"/>
      <c r="M111" s="42" t="n"/>
      <c r="N111" s="42" t="n"/>
      <c r="O111" s="42" t="n"/>
      <c r="P111" s="42" t="n">
        <v>0.27</v>
      </c>
      <c r="Q111" s="42" t="n"/>
      <c r="R111" s="42" t="n"/>
      <c r="S111" s="42" t="n"/>
      <c r="T111" s="42" t="n"/>
      <c r="U111" s="42" t="n"/>
      <c r="V111" s="45" t="inlineStr">
        <is>
          <t>Theros</t>
        </is>
      </c>
      <c r="W111" s="41" t="n">
        <v>1</v>
      </c>
      <c r="X111" s="37">
        <f>SUM(Y111:AE111)</f>
        <v/>
      </c>
      <c r="Y111" s="43" t="n"/>
      <c r="Z111" s="43" t="n"/>
      <c r="AA111" s="43" t="n"/>
      <c r="AB111" s="43" t="n">
        <v>1</v>
      </c>
      <c r="AC111" s="43" t="n"/>
      <c r="AD111" s="43" t="n"/>
      <c r="AE111" s="43" t="n"/>
      <c r="AF111" s="38">
        <f>IF((W111-SUM(Y111:AE111))&lt;0,0,W111-SUM(Y111:AE111))</f>
        <v/>
      </c>
      <c r="AG111" s="34">
        <f>MAX(0,$AT111-$W111-$AI111)</f>
        <v/>
      </c>
      <c r="AH111" s="34" t="n"/>
      <c r="AI111" s="34" t="n"/>
      <c r="AJ111" s="36" t="n">
        <v>0.28</v>
      </c>
      <c r="AK111" s="36">
        <f>IF(AND($AG111&gt;0,ISNUMBER($AJ111)),$AG111*$AJ111,0)</f>
        <v/>
      </c>
      <c r="AT111" s="37">
        <f>SUM(AU111:BA111)</f>
        <v/>
      </c>
      <c r="AU111" s="73" t="n"/>
      <c r="AV111" s="33" t="n"/>
      <c r="AW111" s="33" t="n"/>
      <c r="AX111" s="98" t="n">
        <v>1</v>
      </c>
      <c r="AY111" s="33" t="n"/>
      <c r="AZ111" s="33" t="n"/>
      <c r="BA111" s="74" t="n"/>
      <c r="BB111" s="106" t="n"/>
      <c r="BC111" s="42" t="n"/>
      <c r="BD111" s="42" t="n"/>
    </row>
    <row r="112" ht="15" customHeight="1" s="148">
      <c r="A112" t="inlineStr">
        <is>
          <t>c0108</t>
        </is>
      </c>
      <c r="B112" s="39" t="inlineStr">
        <is>
          <t>Changeling Wayfinder</t>
        </is>
      </c>
      <c r="C112" s="40" t="inlineStr">
        <is>
          <t>C</t>
        </is>
      </c>
      <c r="D112" s="39" t="inlineStr">
        <is>
          <t>Creature</t>
        </is>
      </c>
      <c r="E112" s="41" t="inlineStr">
        <is>
          <t>B2</t>
        </is>
      </c>
      <c r="F112" s="40" t="n">
        <v>3</v>
      </c>
      <c r="G112" s="67" t="inlineStr">
        <is>
          <t>Changeling (This card is every creature type.)
When this creature enters, you may search your library for a basic land card, reveal it, put it into your hand, then shuffle.
(1/2)</t>
        </is>
      </c>
      <c r="H112" s="39" t="inlineStr">
        <is>
          <t>Flexible Fixing</t>
        </is>
      </c>
      <c r="I112" s="39" t="inlineStr">
        <is>
          <t>Enters: search your library for a basic land card and put it into your hand</t>
        </is>
      </c>
      <c r="J112" s="39" t="inlineStr">
        <is>
          <t>Changeling (it is every creature type)</t>
        </is>
      </c>
      <c r="K112" s="39" t="n"/>
      <c r="L112" s="88" t="inlineStr">
        <is>
          <t>C 0001</t>
        </is>
      </c>
      <c r="M112" s="41" t="n">
        <v>1</v>
      </c>
      <c r="N112" s="41" t="n">
        <v>1</v>
      </c>
      <c r="O112" s="63" t="inlineStr">
        <is>
          <t>Quintin Gleim</t>
        </is>
      </c>
      <c r="P112" s="90" t="n">
        <v>0.33</v>
      </c>
      <c r="Q112" s="42" t="inlineStr">
        <is>
          <t>C</t>
        </is>
      </c>
      <c r="R112" s="42" t="n"/>
      <c r="S112" s="42" t="n"/>
      <c r="T112" s="63" t="n"/>
      <c r="U112" s="63" t="n"/>
      <c r="V112" s="39" t="inlineStr">
        <is>
          <t>Lorwyn Eclipsed</t>
        </is>
      </c>
      <c r="W112" s="41" t="n">
        <v>1</v>
      </c>
      <c r="X112" s="37">
        <f>SUM(Y112:AE112)</f>
        <v/>
      </c>
      <c r="Y112" s="43" t="n"/>
      <c r="Z112" s="43" t="n">
        <v>1</v>
      </c>
      <c r="AA112" s="43" t="n"/>
      <c r="AB112" s="43" t="n"/>
      <c r="AC112" s="43" t="n"/>
      <c r="AD112" s="43" t="n"/>
      <c r="AE112" s="43" t="n"/>
      <c r="AF112" s="38">
        <f>IF((W112-SUM(Y112:AE112))&lt;0,0,W112-SUM(Y112:AE112))</f>
        <v/>
      </c>
      <c r="AG112" s="34">
        <f>MAX(0,$AT112-$W112-$AI112)</f>
        <v/>
      </c>
      <c r="AH112" s="39" t="n"/>
      <c r="AI112" s="39" t="n"/>
      <c r="AJ112" s="39" t="n">
        <v>0.33</v>
      </c>
      <c r="AK112" s="39">
        <f>IF(AND($AG112&gt;0,ISNUMBER($AJ112)),$AG112*$AJ112,0)</f>
        <v/>
      </c>
      <c r="AM112" s="58" t="n"/>
      <c r="AT112" s="37">
        <f>SUM(AU112:BA112)</f>
        <v/>
      </c>
      <c r="AU112" s="73" t="n"/>
      <c r="AV112" s="99" t="n"/>
      <c r="AW112" s="33" t="n"/>
      <c r="AX112" s="33" t="n"/>
      <c r="AY112" s="33" t="n"/>
      <c r="AZ112" s="33" t="n"/>
      <c r="BA112" s="74" t="n">
        <v>1</v>
      </c>
      <c r="BB112" s="107" t="n"/>
      <c r="BC112" s="42" t="n"/>
      <c r="BD112" s="42" t="n"/>
    </row>
    <row r="113" ht="15" customHeight="1" s="148">
      <c r="A113" t="inlineStr">
        <is>
          <t>c0109</t>
        </is>
      </c>
      <c r="B113" s="44" t="inlineStr">
        <is>
          <t>Chromatic Lantern</t>
        </is>
      </c>
      <c r="C113" s="34" t="inlineStr">
        <is>
          <t>C</t>
        </is>
      </c>
      <c r="D113" s="44" t="inlineStr">
        <is>
          <t>Artifact</t>
        </is>
      </c>
      <c r="E113" s="41" t="inlineStr">
        <is>
          <t>B3</t>
        </is>
      </c>
      <c r="F113" s="34" t="n">
        <v>3</v>
      </c>
      <c r="G113" s="67" t="inlineStr">
        <is>
          <t>Lands you control have "{T}: Add one mana of any color."
{T}: Add one mana of any color.</t>
        </is>
      </c>
      <c r="H113" s="45" t="inlineStr">
        <is>
          <t>Mana Rock</t>
        </is>
      </c>
      <c r="I113" s="45" t="inlineStr">
        <is>
          <t>Lands you control have "{T}: Add one mana of any color."</t>
        </is>
      </c>
      <c r="J113" s="45" t="inlineStr">
        <is>
          <t>{T}: Add one mana of any color</t>
        </is>
      </c>
      <c r="K113" s="45" t="n"/>
      <c r="L113" s="42" t="n"/>
      <c r="M113" s="42" t="n"/>
      <c r="N113" s="42" t="n"/>
      <c r="O113" s="42" t="n"/>
      <c r="P113" s="42" t="n">
        <v>0.87</v>
      </c>
      <c r="Q113" s="42" t="n"/>
      <c r="R113" s="42" t="n"/>
      <c r="S113" s="42" t="n"/>
      <c r="T113" s="42" t="n"/>
      <c r="U113" s="42" t="n"/>
      <c r="V113" s="45" t="inlineStr">
        <is>
          <t>Return to Ravnica</t>
        </is>
      </c>
      <c r="W113" s="41" t="n">
        <v>1</v>
      </c>
      <c r="X113" s="37">
        <f>SUM(Y113:AE113)</f>
        <v/>
      </c>
      <c r="Y113" s="43" t="n"/>
      <c r="Z113" s="43" t="n"/>
      <c r="AA113" s="43" t="n">
        <v>1</v>
      </c>
      <c r="AB113" s="43" t="n"/>
      <c r="AC113" s="43" t="n"/>
      <c r="AD113" s="43" t="n"/>
      <c r="AE113" s="43" t="n"/>
      <c r="AF113" s="38">
        <f>IF((W113-SUM(Y113:AE113))&lt;0,0,W113-SUM(Y113:AE113))</f>
        <v/>
      </c>
      <c r="AG113" s="34">
        <f>MAX(0,$AT113-$W113-$AI113)</f>
        <v/>
      </c>
      <c r="AH113" s="34" t="n"/>
      <c r="AI113" s="34" t="n"/>
      <c r="AJ113" s="36" t="n">
        <v>0.9399999999999999</v>
      </c>
      <c r="AK113" s="36">
        <f>IF(AND($AG113&gt;0,ISNUMBER($AJ113)),$AG113*$AJ113,0)</f>
        <v/>
      </c>
      <c r="AT113" s="37">
        <f>SUM(AU113:BA113)</f>
        <v/>
      </c>
      <c r="AU113" s="73" t="n"/>
      <c r="AV113" s="33" t="n"/>
      <c r="AW113" s="98" t="n">
        <v>1</v>
      </c>
      <c r="AX113" s="33" t="n"/>
      <c r="AY113" s="33" t="n"/>
      <c r="AZ113" s="33" t="n"/>
      <c r="BA113" s="74" t="n"/>
      <c r="BB113" s="106" t="n"/>
      <c r="BC113" s="42" t="n"/>
      <c r="BD113" s="42" t="n"/>
    </row>
    <row r="114" ht="15" customHeight="1" s="148">
      <c r="A114" t="inlineStr">
        <is>
          <t>c0110</t>
        </is>
      </c>
      <c r="B114" s="44" t="inlineStr">
        <is>
          <t>Coldsteel Heart</t>
        </is>
      </c>
      <c r="C114" s="34" t="inlineStr">
        <is>
          <t>C</t>
        </is>
      </c>
      <c r="D114" s="44" t="inlineStr">
        <is>
          <t>Snow Artifact</t>
        </is>
      </c>
      <c r="E114" s="41" t="inlineStr">
        <is>
          <t>B2</t>
        </is>
      </c>
      <c r="F114" s="34" t="n">
        <v>2</v>
      </c>
      <c r="G114" s="67" t="inlineStr">
        <is>
          <t>This artifact enters tapped.
As this artifact enters, choose a color.
{T}: Add one mana of the chosen color.</t>
        </is>
      </c>
      <c r="H114" s="45" t="inlineStr">
        <is>
          <t>Mana Rock</t>
        </is>
      </c>
      <c r="I114" s="45" t="inlineStr">
        <is>
          <t>Enters tapped; choose a color as it enters</t>
        </is>
      </c>
      <c r="J114" s="45" t="inlineStr">
        <is>
          <t>Taps for one mana of the chosen color</t>
        </is>
      </c>
      <c r="K114" s="45" t="n"/>
      <c r="L114" s="42" t="n"/>
      <c r="M114" s="42" t="n"/>
      <c r="N114" s="42" t="n"/>
      <c r="O114" s="42" t="n"/>
      <c r="P114" s="42" t="n">
        <v>2.23</v>
      </c>
      <c r="Q114" s="42" t="n"/>
      <c r="R114" s="42" t="n"/>
      <c r="S114" s="42" t="n"/>
      <c r="T114" s="42" t="n"/>
      <c r="U114" s="42" t="n"/>
      <c r="V114" s="45" t="inlineStr">
        <is>
          <t>Coldsnap</t>
        </is>
      </c>
      <c r="W114" s="41" t="n">
        <v>0</v>
      </c>
      <c r="X114" s="37">
        <f>SUM(Y114:AE114)</f>
        <v/>
      </c>
      <c r="Y114" s="43" t="n"/>
      <c r="Z114" s="43" t="n"/>
      <c r="AA114" s="43" t="n"/>
      <c r="AB114" s="43" t="n"/>
      <c r="AC114" s="43" t="n"/>
      <c r="AD114" s="43" t="n"/>
      <c r="AE114" s="43" t="n"/>
      <c r="AF114" s="38">
        <f>IF((W114-SUM(Y114:AE114))&lt;0,0,W114-SUM(Y114:AE114))</f>
        <v/>
      </c>
      <c r="AG114" s="34">
        <f>MAX(0,$AT114-$W114-$AI114)</f>
        <v/>
      </c>
      <c r="AH114" s="34" t="n"/>
      <c r="AI114" s="34" t="n"/>
      <c r="AJ114" s="36" t="n">
        <v>1.72</v>
      </c>
      <c r="AK114" s="36">
        <f>IF(AND($AG114&gt;0,ISNUMBER($AJ114)),$AG114*$AJ114,0)</f>
        <v/>
      </c>
      <c r="AL114" s="54" t="n"/>
      <c r="AM114" s="54" t="n"/>
      <c r="AN114" s="54" t="n"/>
      <c r="AO114" s="54" t="n"/>
      <c r="AP114" s="54" t="n"/>
      <c r="AQ114" s="54" t="n"/>
      <c r="AR114" s="54" t="n"/>
      <c r="AS114" s="54" t="n"/>
      <c r="AT114" s="37">
        <f>SUM(AU114:BA114)</f>
        <v/>
      </c>
      <c r="AU114" s="92" t="n"/>
      <c r="AV114" s="38" t="n"/>
      <c r="AW114" s="38" t="n"/>
      <c r="AX114" s="38" t="n"/>
      <c r="AY114" s="38" t="n"/>
      <c r="AZ114" s="38" t="n"/>
      <c r="BA114" s="94" t="n"/>
      <c r="BB114" s="106" t="n"/>
      <c r="BC114" s="42" t="n"/>
      <c r="BD114" s="42" t="n"/>
    </row>
    <row r="115" ht="15" customHeight="1" s="148">
      <c r="A115" t="inlineStr">
        <is>
          <t>c0111</t>
        </is>
      </c>
      <c r="B115" s="44" t="inlineStr">
        <is>
          <t>Contagion Clasp</t>
        </is>
      </c>
      <c r="C115" s="34" t="inlineStr">
        <is>
          <t>C</t>
        </is>
      </c>
      <c r="D115" s="44" t="inlineStr">
        <is>
          <t>Artifact</t>
        </is>
      </c>
      <c r="E115" s="41" t="inlineStr">
        <is>
          <t>B2</t>
        </is>
      </c>
      <c r="F115" s="34" t="n">
        <v>2</v>
      </c>
      <c r="G115" s="67" t="inlineStr">
        <is>
          <t>When this artifact enters, put a -1/-1 counter on target creature.
{4}, {T}: Proliferate. (Choose any number of permanents and/or players, then give each another counter of each kind already there.)</t>
        </is>
      </c>
      <c r="H115" s="45" t="inlineStr">
        <is>
          <t>Proliferate</t>
        </is>
      </c>
      <c r="I115" s="45" t="inlineStr">
        <is>
          <t>Puts a -1/-1 counter on target creature when it enters</t>
        </is>
      </c>
      <c r="J115" s="45" t="inlineStr">
        <is>
          <t>{4}, tap: Proliferate</t>
        </is>
      </c>
      <c r="K115" s="45" t="n"/>
      <c r="L115" s="42" t="n"/>
      <c r="M115" s="42" t="n"/>
      <c r="N115" s="42" t="n"/>
      <c r="O115" s="63" t="n"/>
      <c r="P115" s="63" t="n">
        <v>0.39</v>
      </c>
      <c r="Q115" s="42" t="n"/>
      <c r="R115" s="42" t="n"/>
      <c r="S115" s="42" t="n"/>
      <c r="T115" s="63" t="n"/>
      <c r="U115" s="63" t="n"/>
      <c r="V115" s="45" t="inlineStr">
        <is>
          <t>Duel Decks: Elspeth vs. Tezzeret</t>
        </is>
      </c>
      <c r="W115" s="41" t="n">
        <v>2</v>
      </c>
      <c r="X115" s="37">
        <f>SUM(Y115:AE115)</f>
        <v/>
      </c>
      <c r="Y115" s="43" t="n"/>
      <c r="Z115" s="43" t="n"/>
      <c r="AA115" s="43" t="n">
        <v>1</v>
      </c>
      <c r="AB115" s="43" t="n"/>
      <c r="AC115" s="43" t="n"/>
      <c r="AD115" s="43" t="n"/>
      <c r="AE115" s="43" t="n"/>
      <c r="AF115" s="38">
        <f>IF((W115-SUM(Y115:AE115))&lt;0,0,W115-SUM(Y115:AE115))</f>
        <v/>
      </c>
      <c r="AG115" s="34">
        <f>MAX(0,$AT115-$W115-$AI115)</f>
        <v/>
      </c>
      <c r="AH115" s="34" t="n"/>
      <c r="AI115" s="34" t="n"/>
      <c r="AJ115" s="36" t="n">
        <v>0.38</v>
      </c>
      <c r="AK115" s="36">
        <f>IF(AND($AG115&gt;0,ISNUMBER($AJ115)),$AG115*$AJ115,0)</f>
        <v/>
      </c>
      <c r="AT115" s="37">
        <f>SUM(AU115:BA115)</f>
        <v/>
      </c>
      <c r="AU115" s="73" t="n"/>
      <c r="AV115" s="33" t="n"/>
      <c r="AW115" s="98" t="n">
        <v>1</v>
      </c>
      <c r="AX115" s="33" t="n"/>
      <c r="AY115" s="33" t="n"/>
      <c r="AZ115" s="33" t="n"/>
      <c r="BA115" s="74" t="n"/>
      <c r="BB115" s="106" t="n"/>
      <c r="BC115" s="42" t="n"/>
      <c r="BD115" s="42" t="n"/>
    </row>
    <row r="116" ht="15" customHeight="1" s="148">
      <c r="A116" t="inlineStr">
        <is>
          <t>c0112</t>
        </is>
      </c>
      <c r="B116" s="44" t="inlineStr">
        <is>
          <t>Contagion Engine</t>
        </is>
      </c>
      <c r="C116" s="34" t="inlineStr">
        <is>
          <t>C</t>
        </is>
      </c>
      <c r="D116" s="44" t="inlineStr">
        <is>
          <t>Artifact</t>
        </is>
      </c>
      <c r="E116" s="41" t="inlineStr">
        <is>
          <t>B3</t>
        </is>
      </c>
      <c r="F116" s="34" t="n">
        <v>6</v>
      </c>
      <c r="G116" s="67" t="inlineStr">
        <is>
          <t>When this artifact enters, put a -1/-1 counter on each creature target player controls.
{4}, {T}: Proliferate twice. (Choose any number of permanents and/or players, then give each another counter of each kind already there. Then do it again.)</t>
        </is>
      </c>
      <c r="H116" s="45" t="inlineStr">
        <is>
          <t>Proliferate</t>
        </is>
      </c>
      <c r="I116" s="45" t="inlineStr">
        <is>
          <t>When this artifact enters, put a -1/-1 counter on each creature target player controls.
{4}, {T}: Proliferate twice. (Choose any number of permanents and/or players, then give each another counter of each kind already there. Then do it again.)</t>
        </is>
      </c>
      <c r="J116" s="45" t="n"/>
      <c r="K116" s="45" t="n"/>
      <c r="L116" s="41" t="n"/>
      <c r="M116" s="41" t="n"/>
      <c r="N116" s="41" t="n"/>
      <c r="O116" s="41" t="n"/>
      <c r="P116" s="41" t="n">
        <v>13.6</v>
      </c>
      <c r="Q116" s="41" t="n"/>
      <c r="R116" s="41" t="n"/>
      <c r="S116" s="41" t="n"/>
      <c r="T116" s="41" t="n"/>
      <c r="U116" s="41" t="n"/>
      <c r="V116" s="45" t="inlineStr">
        <is>
          <t>Scars of Mirrodin</t>
        </is>
      </c>
      <c r="W116" s="41" t="n">
        <v>0</v>
      </c>
      <c r="X116" s="37">
        <f>SUM(Y116:AE116)</f>
        <v/>
      </c>
      <c r="Y116" s="43" t="n"/>
      <c r="Z116" s="43" t="n"/>
      <c r="AA116" s="43" t="n"/>
      <c r="AB116" s="43" t="n"/>
      <c r="AC116" s="43" t="n"/>
      <c r="AD116" s="43" t="n"/>
      <c r="AE116" s="43" t="n"/>
      <c r="AF116" s="38">
        <f>IF((W116-SUM(Y116:AE116))&lt;0,0,W116-SUM(Y116:AE116))</f>
        <v/>
      </c>
      <c r="AG116" s="34">
        <f>MAX(0,$AT116-$W116-$AI116)</f>
        <v/>
      </c>
      <c r="AH116" s="34" t="n"/>
      <c r="AI116" s="34" t="n"/>
      <c r="AJ116" s="36" t="n">
        <v>12.52</v>
      </c>
      <c r="AK116" s="36">
        <f>IF(AND($AG116&gt;0,ISNUMBER($AJ116)),$AG116*$AJ116,0)</f>
        <v/>
      </c>
      <c r="AL116" s="54" t="n"/>
      <c r="AM116" s="54" t="n"/>
      <c r="AN116" s="54" t="n"/>
      <c r="AO116" s="54" t="n"/>
      <c r="AP116" s="54" t="n"/>
      <c r="AQ116" s="54" t="n"/>
      <c r="AR116" s="54" t="n"/>
      <c r="AS116" s="54" t="n"/>
      <c r="AT116" s="37">
        <f>SUM(AU116:BA116)</f>
        <v/>
      </c>
      <c r="AU116" s="92" t="n"/>
      <c r="AV116" s="38" t="n"/>
      <c r="AW116" s="38" t="n"/>
      <c r="AX116" s="38" t="n"/>
      <c r="AY116" s="38" t="n"/>
      <c r="AZ116" s="38" t="n"/>
      <c r="BA116" s="94" t="n"/>
      <c r="BB116" s="106" t="n"/>
      <c r="BC116" s="42" t="n"/>
      <c r="BD116" s="42" t="n"/>
    </row>
    <row r="117" ht="15" customHeight="1" s="148">
      <c r="A117" t="inlineStr">
        <is>
          <t>c0113</t>
        </is>
      </c>
      <c r="B117" s="44" t="inlineStr">
        <is>
          <t>Containment Construct</t>
        </is>
      </c>
      <c r="C117" s="34" t="inlineStr">
        <is>
          <t>C</t>
        </is>
      </c>
      <c r="D117" s="44" t="inlineStr">
        <is>
          <t>Artifact Creature</t>
        </is>
      </c>
      <c r="E117" s="41" t="inlineStr">
        <is>
          <t>B2</t>
        </is>
      </c>
      <c r="F117" s="34" t="n">
        <v>2</v>
      </c>
      <c r="G117" s="67" t="inlineStr">
        <is>
          <t>Whenever you discard a card, you may exile that card from your graveyard. If you do, you may play that card this turn.
(2/1)</t>
        </is>
      </c>
      <c r="H117" s="45" t="inlineStr">
        <is>
          <t>Recursion</t>
        </is>
      </c>
      <c r="I117" s="45" t="inlineStr">
        <is>
          <t>Discarding a card lets you exile it from graveyard and play it this turn</t>
        </is>
      </c>
      <c r="J117" s="45" t="n"/>
      <c r="K117" s="45" t="n"/>
      <c r="L117" s="42" t="n"/>
      <c r="M117" s="42" t="n"/>
      <c r="N117" s="42" t="n"/>
      <c r="O117" s="42" t="n"/>
      <c r="P117" s="42" t="n">
        <v>0.34</v>
      </c>
      <c r="Q117" s="42" t="n"/>
      <c r="R117" s="42" t="n"/>
      <c r="S117" s="42" t="n"/>
      <c r="T117" s="42" t="n"/>
      <c r="U117" s="42" t="n"/>
      <c r="V117" s="45" t="inlineStr">
        <is>
          <t>Kamigawa: Neon Dynasty</t>
        </is>
      </c>
      <c r="W117" s="41" t="n">
        <v>1</v>
      </c>
      <c r="X117" s="37">
        <f>SUM(Y117:AE117)</f>
        <v/>
      </c>
      <c r="Y117" s="43" t="n">
        <v>1</v>
      </c>
      <c r="Z117" s="43" t="n"/>
      <c r="AA117" s="43" t="n"/>
      <c r="AB117" s="43" t="n"/>
      <c r="AC117" s="43" t="n"/>
      <c r="AD117" s="43" t="n"/>
      <c r="AE117" s="43" t="n"/>
      <c r="AF117" s="38">
        <f>IF((W117-SUM(Y117:AE117))&lt;0,0,W117-SUM(Y117:AE117))</f>
        <v/>
      </c>
      <c r="AG117" s="34">
        <f>MAX(0,$AT117-$W117-$AI117)</f>
        <v/>
      </c>
      <c r="AH117" s="34" t="n"/>
      <c r="AI117" s="34" t="n"/>
      <c r="AJ117" s="36" t="n">
        <v>0.31</v>
      </c>
      <c r="AK117" s="36">
        <f>IF(AND($AG117&gt;0,ISNUMBER($AJ117)),$AG117*$AJ117,0)</f>
        <v/>
      </c>
      <c r="AT117" s="37">
        <f>SUM(AU117:BA117)</f>
        <v/>
      </c>
      <c r="AU117" s="82" t="n">
        <v>1</v>
      </c>
      <c r="AV117" s="33" t="n"/>
      <c r="AW117" s="33" t="n"/>
      <c r="AX117" s="33" t="n"/>
      <c r="AY117" s="33" t="n"/>
      <c r="AZ117" s="33" t="n"/>
      <c r="BA117" s="74" t="n"/>
      <c r="BB117" s="106" t="n"/>
      <c r="BC117" s="42" t="n"/>
      <c r="BD117" s="42" t="n"/>
    </row>
    <row r="118" ht="15" customHeight="1" s="148">
      <c r="A118" t="inlineStr">
        <is>
          <t>c0114</t>
        </is>
      </c>
      <c r="B118" s="44" t="inlineStr">
        <is>
          <t>Crashing Drawbridge</t>
        </is>
      </c>
      <c r="C118" s="34" t="inlineStr">
        <is>
          <t>C</t>
        </is>
      </c>
      <c r="D118" s="44" t="inlineStr">
        <is>
          <t>Artifact Creature</t>
        </is>
      </c>
      <c r="E118" s="41" t="inlineStr">
        <is>
          <t>B2</t>
        </is>
      </c>
      <c r="F118" s="34" t="n">
        <v>2</v>
      </c>
      <c r="G118" s="67" t="inlineStr">
        <is>
          <t>Defender
{T}: Creatures you control gain haste until end of turn.
(0/4)</t>
        </is>
      </c>
      <c r="H118" s="45" t="inlineStr">
        <is>
          <t>Haste Enabler</t>
        </is>
      </c>
      <c r="I118" s="45" t="inlineStr">
        <is>
          <t>Tap to give your creatures haste until end of turn</t>
        </is>
      </c>
      <c r="J118" s="45" t="n"/>
      <c r="K118" s="45" t="n"/>
      <c r="L118" s="42" t="n"/>
      <c r="M118" s="42" t="n"/>
      <c r="N118" s="42" t="n"/>
      <c r="O118" s="42" t="n"/>
      <c r="P118" s="42" t="n">
        <v>1.05</v>
      </c>
      <c r="Q118" s="42" t="n"/>
      <c r="R118" s="42" t="n"/>
      <c r="S118" s="42" t="n"/>
      <c r="T118" s="42" t="n"/>
      <c r="U118" s="42" t="n"/>
      <c r="V118" s="45" t="inlineStr">
        <is>
          <t>Throne of Eldraine</t>
        </is>
      </c>
      <c r="W118" s="41" t="n">
        <v>1</v>
      </c>
      <c r="X118" s="37">
        <f>SUM(Y118:AE118)</f>
        <v/>
      </c>
      <c r="Y118" s="43" t="n"/>
      <c r="Z118" s="43" t="n"/>
      <c r="AA118" s="43" t="n"/>
      <c r="AB118" s="43" t="n">
        <v>1</v>
      </c>
      <c r="AC118" s="43" t="n"/>
      <c r="AD118" s="43" t="n"/>
      <c r="AE118" s="43" t="n"/>
      <c r="AF118" s="38">
        <f>IF((W118-SUM(Y118:AE118))&lt;0,0,W118-SUM(Y118:AE118))</f>
        <v/>
      </c>
      <c r="AG118" s="34">
        <f>MAX(0,$AT118-$W118-$AI118)</f>
        <v/>
      </c>
      <c r="AH118" s="34" t="n"/>
      <c r="AI118" s="34" t="n"/>
      <c r="AJ118" s="36" t="n">
        <v>0.75</v>
      </c>
      <c r="AK118" s="36">
        <f>IF(AND($AG118&gt;0,ISNUMBER($AJ118)),$AG118*$AJ118,0)</f>
        <v/>
      </c>
      <c r="AO118" s="58" t="n"/>
      <c r="AT118" s="37">
        <f>SUM(AU118:BA118)</f>
        <v/>
      </c>
      <c r="AU118" s="73" t="n"/>
      <c r="AV118" s="33" t="n"/>
      <c r="AW118" s="33" t="n"/>
      <c r="AX118" s="98" t="n">
        <v>1</v>
      </c>
      <c r="AY118" s="33" t="n"/>
      <c r="AZ118" s="33" t="n"/>
      <c r="BA118" s="74" t="n"/>
      <c r="BB118" s="106" t="n"/>
      <c r="BC118" s="42" t="n"/>
      <c r="BD118" s="42" t="n"/>
    </row>
    <row r="119" ht="15" customHeight="1" s="148">
      <c r="A119" t="inlineStr">
        <is>
          <t>c0115</t>
        </is>
      </c>
      <c r="B119" s="44" t="inlineStr">
        <is>
          <t>Currency Converter</t>
        </is>
      </c>
      <c r="C119" s="34" t="inlineStr">
        <is>
          <t>C</t>
        </is>
      </c>
      <c r="D119" s="44" t="inlineStr">
        <is>
          <t>Artifact</t>
        </is>
      </c>
      <c r="E119" s="41" t="inlineStr">
        <is>
          <t>B2</t>
        </is>
      </c>
      <c r="F119" s="34" t="n">
        <v>1</v>
      </c>
      <c r="G119" s="67" t="inlineStr">
        <is>
          <t>Whenever you discard a card, you may exile that card from your graveyard.
{2}, {T}: Draw a card, then discard a card.
{T}: Put a card exiled with this artifact into its owner's graveyard. If it's a land card, create a Treasure token. If it's a nonland card, create a 2/2 black Rogue creature token.</t>
        </is>
      </c>
      <c r="H119" s="45" t="inlineStr">
        <is>
          <t>Discard/Looting</t>
        </is>
      </c>
      <c r="I119" s="45" t="inlineStr">
        <is>
          <t>Discarding a card lets you exile it from your graveyard</t>
        </is>
      </c>
      <c r="J119" s="45" t="inlineStr">
        <is>
          <t>Pay {2}, tap: draw a card, then discard a card</t>
        </is>
      </c>
      <c r="K119" s="45" t="inlineStr">
        <is>
          <t>Tap: put an exiled card into graveyard, making a Treasure or a 2/2 Rogue token</t>
        </is>
      </c>
      <c r="L119" s="42" t="n"/>
      <c r="M119" s="42" t="n"/>
      <c r="N119" s="42" t="n"/>
      <c r="O119" s="42" t="n"/>
      <c r="P119" s="42" t="n">
        <v>0.49</v>
      </c>
      <c r="Q119" s="42" t="n"/>
      <c r="R119" s="42" t="n"/>
      <c r="S119" s="42" t="n"/>
      <c r="T119" s="42" t="n"/>
      <c r="U119" s="42" t="n"/>
      <c r="V119" s="45" t="inlineStr">
        <is>
          <t>New Capenna Commander</t>
        </is>
      </c>
      <c r="W119" s="41" t="n">
        <v>1</v>
      </c>
      <c r="X119" s="37">
        <f>SUM(Y119:AE119)</f>
        <v/>
      </c>
      <c r="Y119" s="43" t="n">
        <v>1</v>
      </c>
      <c r="Z119" s="43" t="n"/>
      <c r="AA119" s="43" t="n"/>
      <c r="AB119" s="43" t="n"/>
      <c r="AC119" s="43" t="n"/>
      <c r="AD119" s="43" t="n"/>
      <c r="AE119" s="43" t="n"/>
      <c r="AF119" s="38">
        <f>IF((W119-SUM(Y119:AE119))&lt;0,0,W119-SUM(Y119:AE119))</f>
        <v/>
      </c>
      <c r="AG119" s="34">
        <f>MAX(0,$AT119-$W119-$AI119)</f>
        <v/>
      </c>
      <c r="AH119" s="34" t="n"/>
      <c r="AI119" s="34" t="n"/>
      <c r="AJ119" s="36" t="n">
        <v>0.51</v>
      </c>
      <c r="AK119" s="36">
        <f>IF(AND($AG119&gt;0,ISNUMBER($AJ119)),$AG119*$AJ119,0)</f>
        <v/>
      </c>
      <c r="AT119" s="37">
        <f>SUM(AU119:BA119)</f>
        <v/>
      </c>
      <c r="AU119" s="82" t="n">
        <v>1</v>
      </c>
      <c r="AV119" s="33" t="n"/>
      <c r="AW119" s="33" t="n"/>
      <c r="AX119" s="33" t="n"/>
      <c r="AY119" s="33" t="n"/>
      <c r="AZ119" s="33" t="n"/>
      <c r="BA119" s="74" t="n"/>
      <c r="BB119" s="106" t="n"/>
      <c r="BC119" s="42" t="n"/>
      <c r="BD119" s="42" t="n"/>
    </row>
    <row r="120" ht="15" customHeight="1" s="148">
      <c r="A120" t="inlineStr">
        <is>
          <t>c0116</t>
        </is>
      </c>
      <c r="B120" s="44" t="inlineStr">
        <is>
          <t>Darksteel Reactor</t>
        </is>
      </c>
      <c r="C120" s="34" t="inlineStr">
        <is>
          <t>C</t>
        </is>
      </c>
      <c r="D120" s="44" t="inlineStr">
        <is>
          <t>Artifact</t>
        </is>
      </c>
      <c r="E120" s="41" t="inlineStr">
        <is>
          <t>B2</t>
        </is>
      </c>
      <c r="F120" s="34" t="n">
        <v>4</v>
      </c>
      <c r="G120" s="67" t="inlineStr">
        <is>
          <t>Indestructible (Effects that say "destroy" don't destroy this artifact.)
At the beginning of your upkeep, you may put a charge counter on this artifact.
When this artifact has twenty or more charge counters on it, you win the game.</t>
        </is>
      </c>
      <c r="H120" s="45" t="inlineStr">
        <is>
          <t>Finisher</t>
        </is>
      </c>
      <c r="I120" s="45" t="inlineStr">
        <is>
          <t>Indestructible</t>
        </is>
      </c>
      <c r="J120" s="45" t="inlineStr">
        <is>
          <t>At the beginning of your upkeep, you may put a charge counter on this artifact</t>
        </is>
      </c>
      <c r="K120" s="45" t="inlineStr">
        <is>
          <t>When this artifact has twenty or more charge counters on it, you win the game</t>
        </is>
      </c>
      <c r="L120" s="42" t="n"/>
      <c r="M120" s="42" t="n"/>
      <c r="N120" s="42" t="n"/>
      <c r="O120" s="42" t="n"/>
      <c r="P120" s="42" t="n">
        <v>0.35</v>
      </c>
      <c r="Q120" s="42" t="n"/>
      <c r="R120" s="42" t="n"/>
      <c r="S120" s="42" t="n"/>
      <c r="T120" s="42" t="n"/>
      <c r="U120" s="42" t="n"/>
      <c r="V120" s="45" t="inlineStr">
        <is>
          <t>Darksteel</t>
        </is>
      </c>
      <c r="W120" s="41" t="n">
        <v>0</v>
      </c>
      <c r="X120" s="37">
        <f>SUM(Y120:AE120)</f>
        <v/>
      </c>
      <c r="Y120" s="43" t="n"/>
      <c r="Z120" s="43" t="n"/>
      <c r="AA120" s="43" t="n"/>
      <c r="AB120" s="43" t="n"/>
      <c r="AC120" s="43" t="n"/>
      <c r="AD120" s="43" t="n"/>
      <c r="AE120" s="43" t="n"/>
      <c r="AF120" s="38">
        <f>IF((W120-SUM(Y120:AE120))&lt;0,0,W120-SUM(Y120:AE120))</f>
        <v/>
      </c>
      <c r="AG120" s="34">
        <f>MAX(0,$AT120-$W120-$AI120)</f>
        <v/>
      </c>
      <c r="AH120" s="34" t="n"/>
      <c r="AI120" s="34" t="n"/>
      <c r="AJ120" s="36" t="n">
        <v>0.36</v>
      </c>
      <c r="AK120" s="36">
        <f>IF(AND($AG120&gt;0,ISNUMBER($AJ120)),$AG120*$AJ120,0)</f>
        <v/>
      </c>
      <c r="AL120" s="54" t="n"/>
      <c r="AM120" s="54" t="n"/>
      <c r="AN120" s="54" t="n"/>
      <c r="AO120" s="54" t="n"/>
      <c r="AP120" s="54" t="n"/>
      <c r="AQ120" s="54" t="n"/>
      <c r="AR120" s="54" t="n"/>
      <c r="AS120" s="54" t="n"/>
      <c r="AT120" s="37">
        <f>SUM(AU120:BA120)</f>
        <v/>
      </c>
      <c r="AU120" s="92" t="n"/>
      <c r="AV120" s="38" t="n"/>
      <c r="AW120" s="38" t="n"/>
      <c r="AX120" s="38" t="n"/>
      <c r="AY120" s="38" t="n"/>
      <c r="AZ120" s="38" t="n"/>
      <c r="BA120" s="94" t="n"/>
      <c r="BB120" s="106" t="n"/>
      <c r="BC120" s="42" t="n"/>
      <c r="BD120" s="42" t="n"/>
    </row>
    <row r="121" ht="15" customHeight="1" s="148">
      <c r="A121" t="inlineStr">
        <is>
          <t>c0117</t>
        </is>
      </c>
      <c r="B121" s="44" t="inlineStr">
        <is>
          <t>Dawn-Blessed Pennant</t>
        </is>
      </c>
      <c r="C121" s="34" t="inlineStr">
        <is>
          <t>C</t>
        </is>
      </c>
      <c r="D121" s="44" t="inlineStr">
        <is>
          <t>Artifact</t>
        </is>
      </c>
      <c r="E121" s="41" t="inlineStr">
        <is>
          <t>B2</t>
        </is>
      </c>
      <c r="F121" s="34" t="n">
        <v>1</v>
      </c>
      <c r="G121" s="67" t="inlineStr">
        <is>
          <t>As this artifact enters, choose Elemental, Elf, Faerie, Giant, Goblin, Kithkin, Merfolk, or Treefolk.
Whenever a permanent you control of the chosen type enters, you gain 1 life.
{2}, {T}, Sacrifice this artifact: Return target card of the chosen type from your graveyard to your hand.</t>
        </is>
      </c>
      <c r="H121" s="45" t="inlineStr">
        <is>
          <t>Lifegain</t>
        </is>
      </c>
      <c r="I121" s="45" t="inlineStr">
        <is>
          <t>Gain 1 life whenever a permanent of the chosen type enters</t>
        </is>
      </c>
      <c r="J121" s="45" t="inlineStr">
        <is>
          <t>Sacrifice and pay {2} to return a card of the chosen type from graveyard to hand</t>
        </is>
      </c>
      <c r="K121" s="45" t="n"/>
      <c r="L121" s="88" t="inlineStr">
        <is>
          <t>254</t>
        </is>
      </c>
      <c r="M121" s="41" t="n">
        <v>1</v>
      </c>
      <c r="N121" s="41" t="n">
        <v>0</v>
      </c>
      <c r="O121" s="63" t="n"/>
      <c r="P121" s="90" t="n">
        <v>0.31</v>
      </c>
      <c r="Q121" s="42" t="inlineStr">
        <is>
          <t>Uncommon</t>
        </is>
      </c>
      <c r="R121" s="42" t="n"/>
      <c r="S121" s="42" t="n"/>
      <c r="T121" s="63" t="n"/>
      <c r="U121" s="63" t="n"/>
      <c r="V121" s="45" t="inlineStr">
        <is>
          <t>Lorwyn Eclipsed</t>
        </is>
      </c>
      <c r="W121" s="41" t="n">
        <v>2</v>
      </c>
      <c r="X121" s="37">
        <f>SUM(Y121:AE121)</f>
        <v/>
      </c>
      <c r="Y121" s="43" t="n"/>
      <c r="Z121" s="43" t="n"/>
      <c r="AA121" s="43" t="n"/>
      <c r="AB121" s="43" t="n"/>
      <c r="AC121" s="43" t="n"/>
      <c r="AD121" s="43" t="n"/>
      <c r="AE121" s="43" t="n"/>
      <c r="AF121" s="38">
        <f>IF((W121-SUM(Y121:AE121))&lt;0,0,W121-SUM(Y121:AE121))</f>
        <v/>
      </c>
      <c r="AG121" s="34">
        <f>MAX(0,$AT121-$W121-$AI121)</f>
        <v/>
      </c>
      <c r="AH121" s="34" t="n"/>
      <c r="AI121" s="34" t="n"/>
      <c r="AJ121" s="36" t="n">
        <v>0.68</v>
      </c>
      <c r="AK121" s="36">
        <f>IF(AND($AG121&gt;0,ISNUMBER($AJ121)),$AG121*$AJ121,0)</f>
        <v/>
      </c>
      <c r="AT121" s="37">
        <f>SUM(AU121:BA121)</f>
        <v/>
      </c>
      <c r="AU121" s="73" t="n"/>
      <c r="AV121" s="33" t="n"/>
      <c r="AW121" s="33" t="n"/>
      <c r="AX121" s="33" t="n"/>
      <c r="AY121" s="33" t="n"/>
      <c r="AZ121" s="33" t="n"/>
      <c r="BA121" s="74" t="n"/>
      <c r="BB121" s="106" t="n"/>
      <c r="BC121" s="42" t="n"/>
      <c r="BD121" s="42" t="n"/>
    </row>
    <row r="122" ht="15" customHeight="1" s="148">
      <c r="A122" t="inlineStr">
        <is>
          <t>c0118</t>
        </is>
      </c>
      <c r="B122" s="44" t="inlineStr">
        <is>
          <t>Dwarven Mattock</t>
        </is>
      </c>
      <c r="C122" s="34" t="inlineStr">
        <is>
          <t>C</t>
        </is>
      </c>
      <c r="D122" s="44" t="inlineStr">
        <is>
          <t>Artifact</t>
        </is>
      </c>
      <c r="E122" s="41" t="inlineStr">
        <is>
          <t>B2</t>
        </is>
      </c>
      <c r="F122" s="40" t="n">
        <v>2</v>
      </c>
      <c r="G122" s="67" t="inlineStr">
        <is>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is>
      </c>
      <c r="H122" s="49" t="inlineStr">
        <is>
          <t>Combat Trick</t>
        </is>
      </c>
      <c r="I122" s="49" t="inlineStr">
        <is>
          <t>Enters: attaches to target Dwarf you control</t>
        </is>
      </c>
      <c r="J122" s="49" t="inlineStr">
        <is>
          <t>Equipped creature gets +2/+2 and resists opponents' targeted spells and abilities unless they pay {1}</t>
        </is>
      </c>
      <c r="K122" s="49" t="n"/>
      <c r="L122" s="42" t="inlineStr">
        <is>
          <t>172</t>
        </is>
      </c>
      <c r="M122" s="42" t="n">
        <v>1</v>
      </c>
      <c r="N122" s="42" t="n">
        <v>0</v>
      </c>
      <c r="O122" s="63" t="n"/>
      <c r="P122" s="63" t="n">
        <v>0.18</v>
      </c>
      <c r="Q122" s="42" t="inlineStr">
        <is>
          <t>Uncommon</t>
        </is>
      </c>
      <c r="R122" s="42" t="n"/>
      <c r="S122" s="42" t="n"/>
      <c r="T122" s="63" t="n"/>
      <c r="U122" s="63" t="n"/>
      <c r="V122" s="49" t="inlineStr">
        <is>
          <t>The Hobbit</t>
        </is>
      </c>
      <c r="W122" s="41" t="n">
        <v>2</v>
      </c>
      <c r="X122" s="37">
        <f>SUM(Y122:AE122)</f>
        <v/>
      </c>
      <c r="Y122" s="43" t="n"/>
      <c r="Z122" s="43" t="n"/>
      <c r="AA122" s="43" t="n"/>
      <c r="AB122" s="43" t="n"/>
      <c r="AC122" s="43" t="n"/>
      <c r="AD122" s="43" t="n">
        <v>1</v>
      </c>
      <c r="AE122" s="43" t="n"/>
      <c r="AF122" s="38">
        <f>IF((W122-SUM(Y122:AE122))&lt;0,0,W122-SUM(Y122:AE122))</f>
        <v/>
      </c>
      <c r="AG122" s="34">
        <f>MAX(0,$AT122-$W122-$AI122)</f>
        <v/>
      </c>
      <c r="AH122" s="39" t="n"/>
      <c r="AI122" s="39" t="n"/>
      <c r="AJ122" s="39" t="n">
        <v>0.26</v>
      </c>
      <c r="AK122" s="36">
        <f>IF(AND($AG122&gt;0,ISNUMBER($AJ122)),$AG122*$AJ122,0)</f>
        <v/>
      </c>
      <c r="AQ122" t="inlineStr">
        <is>
          <t>BL0017</t>
        </is>
      </c>
      <c r="AT122" s="37">
        <f>SUM(AU122:BA122)</f>
        <v/>
      </c>
      <c r="AU122" s="73" t="n"/>
      <c r="AV122" s="33" t="n"/>
      <c r="AW122" s="33" t="n"/>
      <c r="AX122" s="33" t="n"/>
      <c r="AY122" s="33" t="n"/>
      <c r="AZ122" s="100" t="n"/>
      <c r="BA122" s="74" t="n"/>
      <c r="BB122" s="107" t="n"/>
      <c r="BC122" s="42" t="n"/>
      <c r="BD122" s="42" t="n"/>
    </row>
    <row r="123" ht="15" customHeight="1" s="148">
      <c r="A123" t="inlineStr">
        <is>
          <t>c0119</t>
        </is>
      </c>
      <c r="B123" s="44" t="inlineStr">
        <is>
          <t>Eldrazi Ravager</t>
        </is>
      </c>
      <c r="C123" s="34" t="inlineStr">
        <is>
          <t>C</t>
        </is>
      </c>
      <c r="D123" s="44" t="inlineStr">
        <is>
          <t>Creature</t>
        </is>
      </c>
      <c r="E123" s="41" t="inlineStr">
        <is>
          <t>B2</t>
        </is>
      </c>
      <c r="F123" s="34" t="n">
        <v>6</v>
      </c>
      <c r="G123" s="67" t="inlineStr">
        <is>
          <t>Annihilator 1 (Whenever this creature attacks, defending player sacrifices a permanent of their choice.)
Sacrifice two Eldrazi: Return this card from your graveyard to your hand.
Cycling {2} ({2}, Discard this card: Draw a card.)
(6/6)</t>
        </is>
      </c>
      <c r="H123" s="45" t="inlineStr">
        <is>
          <t>Finisher</t>
        </is>
      </c>
      <c r="I123" s="45" t="inlineStr">
        <is>
          <t>Attacking forces the defending player to sacrifice a permanent</t>
        </is>
      </c>
      <c r="J123" s="45" t="inlineStr">
        <is>
          <t>Sacrifice two Eldrazi: return this from graveyard to hand</t>
        </is>
      </c>
      <c r="K123" s="45" t="inlineStr">
        <is>
          <t>Discard for {2} to draw a card instead of casting</t>
        </is>
      </c>
      <c r="L123" s="42" t="n"/>
      <c r="M123" s="42" t="n"/>
      <c r="N123" s="42" t="n"/>
      <c r="O123" s="63" t="n"/>
      <c r="P123" s="63" t="n">
        <v>0.3</v>
      </c>
      <c r="Q123" s="42" t="n"/>
      <c r="R123" s="42" t="n"/>
      <c r="S123" s="42" t="n"/>
      <c r="T123" s="63" t="n"/>
      <c r="U123" s="63" t="n"/>
      <c r="V123" s="45" t="inlineStr">
        <is>
          <t>Modern Horizons 3</t>
        </is>
      </c>
      <c r="W123" s="41" t="n">
        <v>2</v>
      </c>
      <c r="X123" s="37">
        <f>SUM(Y123:AE123)</f>
        <v/>
      </c>
      <c r="Y123" s="43" t="n"/>
      <c r="Z123" s="43" t="n"/>
      <c r="AA123" s="43" t="n"/>
      <c r="AB123" s="43" t="n"/>
      <c r="AC123" s="43" t="n"/>
      <c r="AD123" s="43" t="n"/>
      <c r="AE123" s="43" t="n"/>
      <c r="AF123" s="38">
        <f>IF((W123-SUM(Y123:AE123))&lt;0,0,W123-SUM(Y123:AE123))</f>
        <v/>
      </c>
      <c r="AG123" s="34">
        <f>MAX(0,$AT123-$W123-$AI123)</f>
        <v/>
      </c>
      <c r="AH123" s="34" t="n"/>
      <c r="AI123" s="34" t="n"/>
      <c r="AJ123" s="36" t="n">
        <v>0.31</v>
      </c>
      <c r="AK123" s="36">
        <f>IF(AND($AG123&gt;0,ISNUMBER($AJ123)),$AG123*$AJ123,0)</f>
        <v/>
      </c>
      <c r="AT123" s="37">
        <f>SUM(AU123:BA123)</f>
        <v/>
      </c>
      <c r="AU123" s="73" t="n"/>
      <c r="AV123" s="33" t="n"/>
      <c r="AW123" s="33" t="n"/>
      <c r="AX123" s="33" t="n"/>
      <c r="AY123" s="33" t="n"/>
      <c r="AZ123" s="33" t="n"/>
      <c r="BA123" s="74" t="n"/>
      <c r="BB123" s="106" t="n"/>
      <c r="BC123" s="42" t="n"/>
      <c r="BD123" s="42" t="n"/>
    </row>
    <row r="124" ht="15" customHeight="1" s="148">
      <c r="A124" t="inlineStr">
        <is>
          <t>c0120</t>
        </is>
      </c>
      <c r="B124" s="44" t="inlineStr">
        <is>
          <t>Endbringer</t>
        </is>
      </c>
      <c r="C124" s="34" t="inlineStr">
        <is>
          <t>C</t>
        </is>
      </c>
      <c r="D124" s="44" t="inlineStr">
        <is>
          <t>Creature</t>
        </is>
      </c>
      <c r="E124" s="41" t="inlineStr">
        <is>
          <t>B2</t>
        </is>
      </c>
      <c r="F124" s="34" t="n">
        <v>6</v>
      </c>
      <c r="G124" s="67" t="inlineStr">
        <is>
          <t>Untap this creature during each other player's untap step.
{T}: This creature deals 1 damage to any target.
{C}, {T}: Target creature can't attack or block this turn.
{C}{C}, {T}: Draw a card.
(5/5)</t>
        </is>
      </c>
      <c r="H124" s="45" t="inlineStr">
        <is>
          <t>Utility Creature</t>
        </is>
      </c>
      <c r="I124" s="45" t="inlineStr">
        <is>
          <t>Untaps during each other player's untap step</t>
        </is>
      </c>
      <c r="J124" s="45" t="inlineStr">
        <is>
          <t>Tap: deals 1 damage to any target</t>
        </is>
      </c>
      <c r="K124" s="45" t="inlineStr">
        <is>
          <t>Pay {C}{C}, tap: draw a card</t>
        </is>
      </c>
      <c r="L124" s="42" t="n"/>
      <c r="M124" s="42" t="n"/>
      <c r="N124" s="42" t="n"/>
      <c r="O124" s="63" t="n"/>
      <c r="P124" s="63" t="n">
        <v>0.38</v>
      </c>
      <c r="Q124" s="42" t="n"/>
      <c r="R124" s="42" t="n"/>
      <c r="S124" s="42" t="n"/>
      <c r="T124" s="63" t="n"/>
      <c r="U124" s="63" t="n"/>
      <c r="V124" s="45" t="inlineStr">
        <is>
          <t>Oath of the Gatewatch</t>
        </is>
      </c>
      <c r="W124" s="41" t="n">
        <v>1</v>
      </c>
      <c r="X124" s="37">
        <f>SUM(Y124:AE124)</f>
        <v/>
      </c>
      <c r="Y124" s="43" t="n"/>
      <c r="Z124" s="43" t="n"/>
      <c r="AA124" s="43" t="n"/>
      <c r="AB124" s="43" t="n"/>
      <c r="AC124" s="43" t="n"/>
      <c r="AD124" s="43" t="n"/>
      <c r="AE124" s="43" t="n"/>
      <c r="AF124" s="38">
        <f>IF((W124-SUM(Y124:AE124))&lt;0,0,W124-SUM(Y124:AE124))</f>
        <v/>
      </c>
      <c r="AG124" s="34">
        <f>MAX(0,$AT124-$W124-$AI124)</f>
        <v/>
      </c>
      <c r="AH124" s="34" t="n"/>
      <c r="AI124" s="34" t="n"/>
      <c r="AJ124" s="36" t="n">
        <v>0.33</v>
      </c>
      <c r="AK124" s="36">
        <f>IF(AND($AG124&gt;0,ISNUMBER($AJ124)),$AG124*$AJ124,0)</f>
        <v/>
      </c>
      <c r="AT124" s="37">
        <f>SUM(AU124:BA124)</f>
        <v/>
      </c>
      <c r="AU124" s="73" t="n"/>
      <c r="AV124" s="33" t="n"/>
      <c r="AW124" s="33" t="n"/>
      <c r="AX124" s="33" t="n"/>
      <c r="AY124" s="33" t="n"/>
      <c r="AZ124" s="33" t="n"/>
      <c r="BA124" s="74" t="n"/>
      <c r="BB124" s="106" t="n"/>
      <c r="BC124" s="42" t="n"/>
      <c r="BD124" s="42" t="n"/>
    </row>
    <row r="125" ht="15" customHeight="1" s="148">
      <c r="A125" t="inlineStr">
        <is>
          <t>c0121</t>
        </is>
      </c>
      <c r="B125" s="44" t="inlineStr">
        <is>
          <t>Everflowing Chalice</t>
        </is>
      </c>
      <c r="C125" s="34" t="inlineStr">
        <is>
          <t>C</t>
        </is>
      </c>
      <c r="D125" s="44" t="inlineStr">
        <is>
          <t>Artifact</t>
        </is>
      </c>
      <c r="E125" s="41" t="inlineStr">
        <is>
          <t>B2</t>
        </is>
      </c>
      <c r="F125" s="34" t="n">
        <v>0</v>
      </c>
      <c r="G125" s="67" t="inlineStr">
        <is>
          <t>Multikicker {2} (You may pay an additional {2} any number of times as you cast this spell.)
This artifact enters with a charge counter on it for each time it was kicked.
{T}: Add {C} for each charge counter on this artifact.</t>
        </is>
      </c>
      <c r="H125" s="45" t="inlineStr">
        <is>
          <t>Mana Rock</t>
        </is>
      </c>
      <c r="I125" s="45" t="inlineStr">
        <is>
          <t>Taps for {C} equal to charge counters on it</t>
        </is>
      </c>
      <c r="J125" s="45" t="inlineStr">
        <is>
          <t>Enters with more counters if kicked for extra {2} payments</t>
        </is>
      </c>
      <c r="K125" s="45" t="n"/>
      <c r="L125" s="42" t="n"/>
      <c r="M125" s="42" t="n"/>
      <c r="N125" s="42" t="n"/>
      <c r="O125" s="42" t="n"/>
      <c r="P125" s="42" t="n">
        <v>0.26</v>
      </c>
      <c r="Q125" s="42" t="n"/>
      <c r="R125" s="42" t="n"/>
      <c r="S125" s="42" t="n"/>
      <c r="T125" s="42" t="n"/>
      <c r="U125" s="42" t="n"/>
      <c r="V125" s="45" t="inlineStr">
        <is>
          <t>Worldwake</t>
        </is>
      </c>
      <c r="W125" s="41" t="n">
        <v>1</v>
      </c>
      <c r="X125" s="37">
        <f>SUM(Y125:AE125)</f>
        <v/>
      </c>
      <c r="Y125" s="43" t="n"/>
      <c r="Z125" s="43" t="n"/>
      <c r="AA125" s="43" t="n">
        <v>1</v>
      </c>
      <c r="AB125" s="43" t="n"/>
      <c r="AC125" s="43" t="n"/>
      <c r="AD125" s="43" t="n"/>
      <c r="AE125" s="43" t="n"/>
      <c r="AF125" s="38">
        <f>IF((W125-SUM(Y125:AE125))&lt;0,0,W125-SUM(Y125:AE125))</f>
        <v/>
      </c>
      <c r="AG125" s="34">
        <f>MAX(0,$AT125-$W125-$AI125)</f>
        <v/>
      </c>
      <c r="AH125" s="34" t="n"/>
      <c r="AI125" s="34" t="n"/>
      <c r="AJ125" s="36" t="n">
        <v>0.29</v>
      </c>
      <c r="AK125" s="36">
        <f>IF(AND($AG125&gt;0,ISNUMBER($AJ125)),$AG125*$AJ125,0)</f>
        <v/>
      </c>
      <c r="AT125" s="37">
        <f>SUM(AU125:BA125)</f>
        <v/>
      </c>
      <c r="AU125" s="73" t="n"/>
      <c r="AV125" s="33" t="n"/>
      <c r="AW125" s="98" t="n">
        <v>1</v>
      </c>
      <c r="AX125" s="33" t="n"/>
      <c r="AY125" s="33" t="n"/>
      <c r="AZ125" s="33" t="n"/>
      <c r="BA125" s="74" t="n"/>
      <c r="BB125" s="106" t="n"/>
      <c r="BC125" s="42" t="n"/>
      <c r="BD125" s="42" t="n"/>
    </row>
    <row r="126" ht="15" customHeight="1" s="148">
      <c r="A126" t="inlineStr">
        <is>
          <t>c0122</t>
        </is>
      </c>
      <c r="B126" s="44" t="inlineStr">
        <is>
          <t>Explorer's Scope</t>
        </is>
      </c>
      <c r="C126" s="34" t="inlineStr">
        <is>
          <t>C</t>
        </is>
      </c>
      <c r="D126" s="44" t="inlineStr">
        <is>
          <t>Artifact</t>
        </is>
      </c>
      <c r="E126" s="41" t="inlineStr">
        <is>
          <t>B2</t>
        </is>
      </c>
      <c r="F126" s="34" t="n">
        <v>1</v>
      </c>
      <c r="G126" s="67" t="inlineStr">
        <is>
          <t>Whenever equipped creature attacks, look at the top card of your library. If it's a land card, you may put it onto the battlefield tapped.
Equip {1} ({1}: Attach to target creature you control. Equip only as a sorcery.)</t>
        </is>
      </c>
      <c r="H126" s="45" t="inlineStr">
        <is>
          <t>Ramp</t>
        </is>
      </c>
      <c r="I126" s="45" t="inlineStr">
        <is>
          <t>Attacking lets you look at the top library card and play a land there onto the battlefield tapped</t>
        </is>
      </c>
      <c r="J126" s="45" t="n"/>
      <c r="K126" s="45" t="n"/>
      <c r="L126" s="42" t="n"/>
      <c r="M126" s="42" t="n"/>
      <c r="N126" s="42" t="n"/>
      <c r="O126" s="63" t="n"/>
      <c r="P126" s="63" t="n">
        <v>0.16</v>
      </c>
      <c r="Q126" s="42" t="n"/>
      <c r="R126" s="42" t="n"/>
      <c r="S126" s="42" t="n"/>
      <c r="T126" s="63" t="n"/>
      <c r="U126" s="63" t="n"/>
      <c r="V126" s="45" t="inlineStr">
        <is>
          <t>Zendikar</t>
        </is>
      </c>
      <c r="W126" s="41" t="n">
        <v>3</v>
      </c>
      <c r="X126" s="37">
        <f>SUM(Y126:AE126)</f>
        <v/>
      </c>
      <c r="Y126" s="43" t="n"/>
      <c r="Z126" s="43" t="n"/>
      <c r="AA126" s="43" t="n"/>
      <c r="AB126" s="43" t="n"/>
      <c r="AC126" s="43" t="n"/>
      <c r="AD126" s="43" t="n"/>
      <c r="AE126" s="43" t="n">
        <v>1</v>
      </c>
      <c r="AF126" s="38">
        <f>IF((W126-SUM(Y126:AE126))&lt;0,0,W126-SUM(Y126:AE126))</f>
        <v/>
      </c>
      <c r="AG126" s="34">
        <f>MAX(0,$AT126-$W126-$AI126)</f>
        <v/>
      </c>
      <c r="AH126" s="34" t="n"/>
      <c r="AI126" s="34" t="n"/>
      <c r="AJ126" s="36" t="n">
        <v>0.14</v>
      </c>
      <c r="AK126" s="36">
        <f>IF(AND($AG126&gt;0,ISNUMBER($AJ126)),$AG126*$AJ126,0)</f>
        <v/>
      </c>
      <c r="AQ126" s="58" t="n"/>
      <c r="AR126" t="inlineStr">
        <is>
          <t>BL0085</t>
        </is>
      </c>
      <c r="AT126" s="37">
        <f>SUM(AU126:BA126)</f>
        <v/>
      </c>
      <c r="AU126" s="73" t="n"/>
      <c r="AV126" s="33" t="n"/>
      <c r="AW126" s="33" t="n"/>
      <c r="AX126" s="33" t="n"/>
      <c r="AY126" s="33" t="n"/>
      <c r="AZ126" s="33" t="n"/>
      <c r="BA126" s="81" t="n"/>
      <c r="BB126" s="106" t="n"/>
      <c r="BC126" s="42" t="n"/>
      <c r="BD126" s="42" t="n"/>
    </row>
    <row r="127" ht="15" customHeight="1" s="148">
      <c r="A127" t="inlineStr">
        <is>
          <t>c0123</t>
        </is>
      </c>
      <c r="B127" s="44" t="inlineStr">
        <is>
          <t>Fellwar Stone</t>
        </is>
      </c>
      <c r="C127" s="34" t="inlineStr">
        <is>
          <t>C</t>
        </is>
      </c>
      <c r="D127" s="44" t="inlineStr">
        <is>
          <t>Artifact</t>
        </is>
      </c>
      <c r="E127" s="41" t="inlineStr">
        <is>
          <t>B2</t>
        </is>
      </c>
      <c r="F127" s="34" t="n">
        <v>2</v>
      </c>
      <c r="G127" s="67" t="inlineStr">
        <is>
          <t>{T}: Add one mana of any color that a land an opponent controls could produce.</t>
        </is>
      </c>
      <c r="H127" s="45" t="inlineStr">
        <is>
          <t>Mana Rock</t>
        </is>
      </c>
      <c r="I127" s="45" t="inlineStr">
        <is>
          <t>Taps for one mana of any color an opponent's land could produce</t>
        </is>
      </c>
      <c r="J127" s="45" t="n"/>
      <c r="K127" s="45" t="n"/>
      <c r="L127" s="41" t="n"/>
      <c r="M127" s="41" t="n"/>
      <c r="N127" s="41" t="n"/>
      <c r="O127" s="41" t="n"/>
      <c r="P127" s="41" t="n">
        <v>0.95</v>
      </c>
      <c r="Q127" s="41" t="n"/>
      <c r="R127" s="41" t="n"/>
      <c r="S127" s="41" t="n"/>
      <c r="T127" s="41" t="n"/>
      <c r="U127" s="41" t="n"/>
      <c r="V127" s="45" t="inlineStr">
        <is>
          <t>The Dark</t>
        </is>
      </c>
      <c r="W127" s="41" t="n">
        <v>1</v>
      </c>
      <c r="X127" s="37">
        <f>SUM(Y127:AE127)</f>
        <v/>
      </c>
      <c r="Y127" s="43" t="n">
        <v>1</v>
      </c>
      <c r="Z127" s="43" t="n"/>
      <c r="AA127" s="43" t="n"/>
      <c r="AB127" s="43" t="n"/>
      <c r="AC127" s="43" t="n"/>
      <c r="AD127" s="43" t="n"/>
      <c r="AE127" s="43" t="n"/>
      <c r="AF127" s="38">
        <f>IF((W127-SUM(Y127:AE127))&lt;0,0,W127-SUM(Y127:AE127))</f>
        <v/>
      </c>
      <c r="AG127" s="34">
        <f>MAX(0,$AT127-$W127-$AI127)</f>
        <v/>
      </c>
      <c r="AH127" s="34" t="n"/>
      <c r="AI127" s="34" t="n"/>
      <c r="AJ127" s="36" t="n">
        <v>0.85</v>
      </c>
      <c r="AK127" s="36">
        <f>IF(AND($AG127&gt;0,ISNUMBER($AJ127)),$AG127*$AJ127,0)</f>
        <v/>
      </c>
      <c r="AT127" s="37">
        <f>SUM(AU127:BA127)</f>
        <v/>
      </c>
      <c r="AU127" s="82" t="n">
        <v>1</v>
      </c>
      <c r="AV127" s="33" t="n"/>
      <c r="AW127" s="33" t="n"/>
      <c r="AX127" s="33" t="n"/>
      <c r="AY127" s="33" t="n"/>
      <c r="AZ127" s="33" t="n"/>
      <c r="BA127" s="74" t="n"/>
      <c r="BB127" s="106" t="n"/>
      <c r="BC127" s="42" t="n"/>
      <c r="BD127" s="48" t="n"/>
    </row>
    <row r="128" ht="15" customHeight="1" s="148">
      <c r="A128" t="inlineStr">
        <is>
          <t>c0124</t>
        </is>
      </c>
      <c r="B128" s="44" t="inlineStr">
        <is>
          <t>Filigree Familiar</t>
        </is>
      </c>
      <c r="C128" s="34" t="inlineStr">
        <is>
          <t>C</t>
        </is>
      </c>
      <c r="D128" s="44" t="inlineStr">
        <is>
          <t>Artifact Creature</t>
        </is>
      </c>
      <c r="E128" s="41" t="inlineStr">
        <is>
          <t>B2</t>
        </is>
      </c>
      <c r="F128" s="34" t="n">
        <v>3</v>
      </c>
      <c r="G128" s="67" t="inlineStr">
        <is>
          <t>When this creature enters, you gain 2 life.
When this creature dies, draw a card.
(2/2)</t>
        </is>
      </c>
      <c r="H128" s="45" t="inlineStr">
        <is>
          <t>Value Engine</t>
        </is>
      </c>
      <c r="I128" s="45" t="inlineStr">
        <is>
          <t>Gain 2 life when it enters</t>
        </is>
      </c>
      <c r="J128" s="45" t="inlineStr">
        <is>
          <t>Draws a card when it dies</t>
        </is>
      </c>
      <c r="K128" s="45" t="n"/>
      <c r="L128" s="42" t="n"/>
      <c r="M128" s="42" t="n"/>
      <c r="N128" s="42" t="n"/>
      <c r="O128" s="42" t="n"/>
      <c r="P128" s="42" t="n">
        <v>0.28</v>
      </c>
      <c r="Q128" s="42" t="n"/>
      <c r="R128" s="42" t="n"/>
      <c r="S128" s="42" t="n"/>
      <c r="T128" s="42" t="n"/>
      <c r="U128" s="42" t="n"/>
      <c r="V128" s="45" t="inlineStr">
        <is>
          <t>Kaladesh</t>
        </is>
      </c>
      <c r="W128" s="41" t="n">
        <v>1</v>
      </c>
      <c r="X128" s="37">
        <f>SUM(Y128:AE128)</f>
        <v/>
      </c>
      <c r="Y128" s="43" t="n"/>
      <c r="Z128" s="43" t="n"/>
      <c r="AA128" s="43" t="n"/>
      <c r="AB128" s="43" t="n"/>
      <c r="AC128" s="43" t="n"/>
      <c r="AD128" s="43" t="n"/>
      <c r="AE128" s="43" t="n"/>
      <c r="AF128" s="38">
        <f>IF((W128-SUM(Y128:AE128))&lt;0,0,W128-SUM(Y128:AE128))</f>
        <v/>
      </c>
      <c r="AG128" s="34">
        <f>MAX(0,$AT128-$W128-$AI128)</f>
        <v/>
      </c>
      <c r="AH128" s="34" t="n"/>
      <c r="AI128" s="34" t="n"/>
      <c r="AJ128" s="36" t="n">
        <v>0.28</v>
      </c>
      <c r="AK128" s="36">
        <f>IF(AND($AG128&gt;0,ISNUMBER($AJ128)),$AG128*$AJ128,0)</f>
        <v/>
      </c>
      <c r="AT128" s="37">
        <f>SUM(AU128:BA128)</f>
        <v/>
      </c>
      <c r="AU128" s="73" t="n"/>
      <c r="AV128" s="33" t="n"/>
      <c r="AW128" s="33" t="n"/>
      <c r="AX128" s="33" t="n"/>
      <c r="AY128" s="33" t="n"/>
      <c r="AZ128" s="33" t="n"/>
      <c r="BA128" s="74" t="n"/>
      <c r="BB128" s="106" t="n"/>
      <c r="BC128" s="42" t="n"/>
      <c r="BD128" s="42" t="n"/>
    </row>
    <row r="129" ht="15" customHeight="1" s="148">
      <c r="A129" t="inlineStr">
        <is>
          <t>c0125</t>
        </is>
      </c>
      <c r="B129" s="39" t="inlineStr">
        <is>
          <t>Foraging Wickermaw</t>
        </is>
      </c>
      <c r="C129" s="40" t="inlineStr">
        <is>
          <t>C</t>
        </is>
      </c>
      <c r="D129" s="39" t="inlineStr">
        <is>
          <t>Artifact Creature</t>
        </is>
      </c>
      <c r="E129" s="41" t="inlineStr">
        <is>
          <t>B2</t>
        </is>
      </c>
      <c r="F129" s="40" t="n">
        <v>2</v>
      </c>
      <c r="G129" s="67" t="inlineStr">
        <is>
          <t>When this creature enters, surveil 1. (Look at the top card of your library. You may put it into your graveyard.)
{1}: Add one mana of any color. This creature becomes that color until end of turn. Activate only once each turn.
(1/3)</t>
        </is>
      </c>
      <c r="H129" s="39" t="inlineStr">
        <is>
          <t>Flexible Fixing</t>
        </is>
      </c>
      <c r="I129" s="39" t="inlineStr">
        <is>
          <t>{1}: Add one mana of any color and it becomes that color; once each turn</t>
        </is>
      </c>
      <c r="J129" s="39" t="inlineStr">
        <is>
          <t>Enters: look at the top card of your library, and you may put it into your graveyard</t>
        </is>
      </c>
      <c r="K129" s="39" t="n"/>
      <c r="L129" s="88" t="inlineStr">
        <is>
          <t>C 0256</t>
        </is>
      </c>
      <c r="M129" s="41" t="n">
        <v>1</v>
      </c>
      <c r="N129" s="41" t="n">
        <v>1</v>
      </c>
      <c r="O129" s="63" t="inlineStr">
        <is>
          <t>Ron Spencer</t>
        </is>
      </c>
      <c r="P129" s="90" t="n">
        <v>0.27</v>
      </c>
      <c r="Q129" s="42" t="inlineStr">
        <is>
          <t>C</t>
        </is>
      </c>
      <c r="R129" s="42" t="n"/>
      <c r="S129" s="42" t="n"/>
      <c r="T129" s="63" t="n"/>
      <c r="U129" s="63" t="n"/>
      <c r="V129" s="39" t="inlineStr">
        <is>
          <t>Lorwyn Eclipsed</t>
        </is>
      </c>
      <c r="W129" s="41" t="n">
        <v>1</v>
      </c>
      <c r="X129" s="37">
        <f>SUM(Y129:AE129)</f>
        <v/>
      </c>
      <c r="Y129" s="43" t="n"/>
      <c r="Z129" s="43" t="n">
        <v>1</v>
      </c>
      <c r="AA129" s="43" t="n"/>
      <c r="AB129" s="43" t="n"/>
      <c r="AC129" s="43" t="n"/>
      <c r="AD129" s="43" t="n"/>
      <c r="AE129" s="43" t="n"/>
      <c r="AF129" s="38">
        <f>IF((W129-SUM(Y129:AE129))&lt;0,0,W129-SUM(Y129:AE129))</f>
        <v/>
      </c>
      <c r="AG129" s="34">
        <f>MAX(0,$AT129-$W129-$AI129)</f>
        <v/>
      </c>
      <c r="AH129" s="39" t="n"/>
      <c r="AI129" s="39" t="n"/>
      <c r="AJ129" s="39" t="n">
        <v>0.27</v>
      </c>
      <c r="AK129" s="39">
        <f>IF(AND($AG129&gt;0,ISNUMBER($AJ129)),$AG129*$AJ129,0)</f>
        <v/>
      </c>
      <c r="AM129" s="58" t="n"/>
      <c r="AR129" s="58" t="n"/>
      <c r="AT129" s="37">
        <f>SUM(AU129:BA129)</f>
        <v/>
      </c>
      <c r="AU129" s="73" t="n"/>
      <c r="AV129" s="99" t="n"/>
      <c r="AW129" s="33" t="n"/>
      <c r="AX129" s="33" t="n"/>
      <c r="AY129" s="33" t="n"/>
      <c r="AZ129" s="33" t="n"/>
      <c r="BA129" s="79" t="n"/>
      <c r="BB129" s="107" t="n"/>
      <c r="BC129" s="42" t="n"/>
      <c r="BD129" s="42" t="n"/>
    </row>
    <row r="130" ht="15" customHeight="1" s="148">
      <c r="A130" t="inlineStr">
        <is>
          <t>c0126</t>
        </is>
      </c>
      <c r="B130" s="44" t="inlineStr">
        <is>
          <t>Genesis Chamber</t>
        </is>
      </c>
      <c r="C130" s="34" t="inlineStr">
        <is>
          <t>C</t>
        </is>
      </c>
      <c r="D130" s="44" t="inlineStr">
        <is>
          <t>Artifact</t>
        </is>
      </c>
      <c r="E130" s="41" t="inlineStr">
        <is>
          <t>B2</t>
        </is>
      </c>
      <c r="F130" s="34" t="n">
        <v>2</v>
      </c>
      <c r="G130" s="67" t="inlineStr">
        <is>
          <t>Whenever a nontoken creature enters, if this artifact is untapped, that creature's controller creates a 1/1 colorless Myr artifact creature token.</t>
        </is>
      </c>
      <c r="H130" s="45" t="inlineStr">
        <is>
          <t>Token Producer</t>
        </is>
      </c>
      <c r="I130" s="45" t="inlineStr">
        <is>
          <t>Whenever a nontoken creature enters, its controller creates a 1/1 Myr token (while this is untapped)</t>
        </is>
      </c>
      <c r="J130" s="45" t="n"/>
      <c r="K130" s="45" t="n"/>
      <c r="L130" s="42" t="n"/>
      <c r="M130" s="42" t="n"/>
      <c r="N130" s="42" t="n"/>
      <c r="O130" s="42" t="n"/>
      <c r="P130" s="42" t="n">
        <v>3.89</v>
      </c>
      <c r="Q130" s="42" t="n"/>
      <c r="R130" s="42" t="n"/>
      <c r="S130" s="42" t="n"/>
      <c r="T130" s="42" t="n"/>
      <c r="U130" s="42" t="n"/>
      <c r="V130" s="45" t="inlineStr">
        <is>
          <t>Darksteel</t>
        </is>
      </c>
      <c r="W130" s="41" t="n">
        <v>1</v>
      </c>
      <c r="X130" s="37">
        <f>SUM(Y130:AE130)</f>
        <v/>
      </c>
      <c r="Y130" s="43" t="n"/>
      <c r="Z130" s="43" t="n"/>
      <c r="AA130" s="43" t="n"/>
      <c r="AB130" s="43" t="n"/>
      <c r="AC130" s="43" t="n">
        <v>1</v>
      </c>
      <c r="AD130" s="43" t="n"/>
      <c r="AE130" s="43" t="n"/>
      <c r="AF130" s="38">
        <f>IF((W130-SUM(Y130:AE130))&lt;0,0,W130-SUM(Y130:AE130))</f>
        <v/>
      </c>
      <c r="AG130" s="34">
        <f>MAX(0,$AT130-$W130-$AI130)</f>
        <v/>
      </c>
      <c r="AH130" s="34" t="n"/>
      <c r="AI130" s="34" t="n"/>
      <c r="AJ130" s="36" t="n">
        <v>3.47</v>
      </c>
      <c r="AK130" s="36">
        <f>IF(AND($AG130&gt;0,ISNUMBER($AJ130)),$AG130*$AJ130,0)</f>
        <v/>
      </c>
      <c r="AP130" t="inlineStr">
        <is>
          <t>BL0059</t>
        </is>
      </c>
      <c r="AT130" s="37">
        <f>SUM(AU130:BA130)</f>
        <v/>
      </c>
      <c r="AU130" s="73" t="n"/>
      <c r="AV130" s="33" t="n"/>
      <c r="AW130" s="33" t="n"/>
      <c r="AX130" s="33" t="n"/>
      <c r="AY130" s="100" t="n"/>
      <c r="AZ130" s="33" t="n"/>
      <c r="BA130" s="74" t="n"/>
      <c r="BB130" s="106" t="n"/>
      <c r="BC130" s="42" t="n"/>
      <c r="BD130" s="42" t="n"/>
    </row>
    <row r="131" ht="15" customHeight="1" s="148">
      <c r="A131" t="inlineStr">
        <is>
          <t>c0127</t>
        </is>
      </c>
      <c r="B131" s="44" t="inlineStr">
        <is>
          <t>Ghost Vacuum</t>
        </is>
      </c>
      <c r="C131" s="34" t="inlineStr">
        <is>
          <t>C</t>
        </is>
      </c>
      <c r="D131" s="44" t="inlineStr">
        <is>
          <t>Artifact</t>
        </is>
      </c>
      <c r="E131" s="41" t="inlineStr">
        <is>
          <t>B2</t>
        </is>
      </c>
      <c r="F131" s="34" t="n">
        <v>1</v>
      </c>
      <c r="G131" s="67" t="inlineStr">
        <is>
          <t>{T}: Exile target card from a graveyard.
{6}, {T}, Sacrifice this artifact: Put each creature card exiled with this artifact onto the battlefield under your control with a flying counter on it. Each of them is a 1/1 Spirit in addition to its other types. Activate only as a sorcery.</t>
        </is>
      </c>
      <c r="H131" s="45" t="inlineStr">
        <is>
          <t>Graveyard Hate</t>
        </is>
      </c>
      <c r="I131" s="45" t="inlineStr">
        <is>
          <t>Tap: exile target card from a graveyard</t>
        </is>
      </c>
      <c r="J131" s="45" t="inlineStr">
        <is>
          <t>Pay {6}, tap, sacrifice: put all creatures exiled with it onto the battlefield as 1/1 flying Spirits</t>
        </is>
      </c>
      <c r="K131" s="45" t="n"/>
      <c r="L131" s="41" t="n"/>
      <c r="M131" s="41" t="n"/>
      <c r="N131" s="41" t="n"/>
      <c r="O131" s="41" t="n"/>
      <c r="P131" s="41" t="n">
        <v>4.1</v>
      </c>
      <c r="Q131" s="41" t="n"/>
      <c r="R131" s="41" t="n"/>
      <c r="S131" s="41" t="n"/>
      <c r="T131" s="41" t="n"/>
      <c r="U131" s="41" t="n"/>
      <c r="V131" s="45" t="inlineStr">
        <is>
          <t>Duskmourn: House of Horror</t>
        </is>
      </c>
      <c r="W131" s="41" t="n">
        <v>1</v>
      </c>
      <c r="X131" s="37">
        <f>SUM(Y131:AE131)</f>
        <v/>
      </c>
      <c r="Y131" s="43" t="n">
        <v>1</v>
      </c>
      <c r="Z131" s="43" t="n"/>
      <c r="AA131" s="43" t="n"/>
      <c r="AB131" s="43" t="n"/>
      <c r="AC131" s="43" t="n"/>
      <c r="AD131" s="43" t="n"/>
      <c r="AE131" s="43" t="n"/>
      <c r="AF131" s="38">
        <f>IF((W131-SUM(Y131:AE131))&lt;0,0,W131-SUM(Y131:AE131))</f>
        <v/>
      </c>
      <c r="AG131" s="34">
        <f>MAX(0,$AT131-$W131-$AI131)</f>
        <v/>
      </c>
      <c r="AH131" s="34" t="n"/>
      <c r="AI131" s="34" t="n"/>
      <c r="AJ131" s="36" t="n">
        <v>4.15</v>
      </c>
      <c r="AK131" s="36">
        <f>IF(AND($AG131&gt;0,ISNUMBER($AJ131)),$AG131*$AJ131,0)</f>
        <v/>
      </c>
      <c r="AT131" s="37">
        <f>SUM(AU131:BA131)</f>
        <v/>
      </c>
      <c r="AU131" s="82" t="n">
        <v>1</v>
      </c>
      <c r="AV131" s="33" t="n"/>
      <c r="AW131" s="33" t="n"/>
      <c r="AX131" s="33" t="n"/>
      <c r="AY131" s="33" t="n"/>
      <c r="AZ131" s="33" t="n"/>
      <c r="BA131" s="74" t="n"/>
      <c r="BB131" s="106" t="n"/>
      <c r="BC131" s="42" t="n"/>
      <c r="BD131" s="42" t="n"/>
    </row>
    <row r="132" ht="15" customHeight="1" s="148">
      <c r="A132" t="inlineStr">
        <is>
          <t>c0128</t>
        </is>
      </c>
      <c r="B132" s="44" t="inlineStr">
        <is>
          <t>Giant's Boulder</t>
        </is>
      </c>
      <c r="C132" s="34" t="inlineStr">
        <is>
          <t>C</t>
        </is>
      </c>
      <c r="D132" s="44" t="inlineStr">
        <is>
          <t>Artifact</t>
        </is>
      </c>
      <c r="E132" s="41" t="inlineStr">
        <is>
          <t>B2</t>
        </is>
      </c>
      <c r="F132" s="34" t="n">
        <v>1</v>
      </c>
      <c r="G132" s="67" t="inlineStr">
        <is>
          <t>When this artifact enters, scry 2. (Look at the top two cards of your library, then put any number of them on the bottom and the rest on top in any order.)
{1}, {T}: Add one mana of any color.
{7}, {T}, Sacrifice this artifact: Destroy target permanent.</t>
        </is>
      </c>
      <c r="H132" s="45" t="inlineStr">
        <is>
          <t>Mana Rock</t>
        </is>
      </c>
      <c r="I132" s="45" t="inlineStr">
        <is>
          <t>Taps for one mana of any color for {1}</t>
        </is>
      </c>
      <c r="J132" s="45" t="inlineStr">
        <is>
          <t>Scry 2 when it enters</t>
        </is>
      </c>
      <c r="K132" s="45" t="inlineStr">
        <is>
          <t>Sacrifice and pay {7} to destroy target permanent</t>
        </is>
      </c>
      <c r="L132" s="42" t="inlineStr">
        <is>
          <t>173</t>
        </is>
      </c>
      <c r="M132" s="42" t="n">
        <v>1</v>
      </c>
      <c r="N132" s="42" t="n">
        <v>0</v>
      </c>
      <c r="O132" s="63" t="n"/>
      <c r="P132" s="63" t="n">
        <v>0.21</v>
      </c>
      <c r="Q132" s="42" t="inlineStr">
        <is>
          <t>Common</t>
        </is>
      </c>
      <c r="R132" s="42" t="n"/>
      <c r="S132" s="42" t="n"/>
      <c r="T132" s="63" t="n"/>
      <c r="U132" s="63" t="n"/>
      <c r="V132" s="45" t="inlineStr">
        <is>
          <t>The Hobbit</t>
        </is>
      </c>
      <c r="W132" s="41" t="n">
        <v>3</v>
      </c>
      <c r="X132" s="37">
        <f>SUM(Y132:AE132)</f>
        <v/>
      </c>
      <c r="Y132" s="43" t="n"/>
      <c r="Z132" s="43" t="n"/>
      <c r="AA132" s="43" t="n"/>
      <c r="AB132" s="43" t="n"/>
      <c r="AC132" s="43" t="n"/>
      <c r="AD132" s="43" t="n">
        <v>1</v>
      </c>
      <c r="AE132" s="43" t="n">
        <v>1</v>
      </c>
      <c r="AF132" s="38">
        <f>IF((W132-SUM(Y132:AE132))&lt;0,0,W132-SUM(Y132:AE132))</f>
        <v/>
      </c>
      <c r="AG132" s="34">
        <f>MAX(0,$AT132-$W132-$AI132)</f>
        <v/>
      </c>
      <c r="AH132" s="34" t="n"/>
      <c r="AI132" s="34" t="n"/>
      <c r="AJ132" s="36" t="n">
        <v>0.26</v>
      </c>
      <c r="AK132" s="36">
        <f>IF(AND($AG132&gt;0,ISNUMBER($AJ132)),$AG132*$AJ132,0)</f>
        <v/>
      </c>
      <c r="AT132" s="37">
        <f>SUM(AU132:BA132)</f>
        <v/>
      </c>
      <c r="AU132" s="73" t="n"/>
      <c r="AV132" s="33" t="n"/>
      <c r="AW132" s="33" t="n"/>
      <c r="AX132" s="33" t="n"/>
      <c r="AY132" s="33" t="n"/>
      <c r="AZ132" s="99" t="n"/>
      <c r="BA132" s="80" t="n">
        <v>1</v>
      </c>
      <c r="BB132" s="106" t="n"/>
      <c r="BC132" s="42" t="n"/>
      <c r="BD132" s="42" t="n"/>
    </row>
    <row r="133" ht="15" customHeight="1" s="148">
      <c r="A133" t="inlineStr">
        <is>
          <t>c0129</t>
        </is>
      </c>
      <c r="B133" s="44" t="inlineStr">
        <is>
          <t>Goldvein Pick</t>
        </is>
      </c>
      <c r="C133" s="34" t="inlineStr">
        <is>
          <t>C</t>
        </is>
      </c>
      <c r="D133" s="44" t="inlineStr">
        <is>
          <t>Artifact</t>
        </is>
      </c>
      <c r="E133" s="41" t="inlineStr">
        <is>
          <t>B2</t>
        </is>
      </c>
      <c r="F133" s="34" t="n">
        <v>2</v>
      </c>
      <c r="G133" s="67" t="inlineStr">
        <is>
          <t>Equipped creature gets +1/+1.
Whenever equipped creature deals combat damage to a player, create a Treasure token. (It's an artifact with "{T}, Sacrifice this token: Add one mana of any color.")
Equip {1} ({1}: Attach to target creature you control. Equip only as a sorcery.)</t>
        </is>
      </c>
      <c r="H133" s="45" t="inlineStr">
        <is>
          <t>Token Producer</t>
        </is>
      </c>
      <c r="I133" s="45" t="inlineStr">
        <is>
          <t>Equipped creature gets +1/+1</t>
        </is>
      </c>
      <c r="J133" s="45" t="inlineStr">
        <is>
          <t>Creates a Treasure token when equipped creature deals combat damage to a player</t>
        </is>
      </c>
      <c r="K133" s="45" t="n"/>
      <c r="L133" s="88" t="inlineStr">
        <is>
          <t>239/285 C</t>
        </is>
      </c>
      <c r="M133" s="41" t="n">
        <v>1</v>
      </c>
      <c r="N133" s="41" t="n">
        <v>1</v>
      </c>
      <c r="O133" s="63" t="inlineStr">
        <is>
          <t>Dan Scott</t>
        </is>
      </c>
      <c r="P133" s="90" t="n">
        <v>0.42</v>
      </c>
      <c r="Q133" s="42" t="inlineStr">
        <is>
          <t>C</t>
        </is>
      </c>
      <c r="R133" s="42" t="n"/>
      <c r="S133" s="42" t="n"/>
      <c r="T133" s="63" t="n"/>
      <c r="U133" s="63" t="n"/>
      <c r="V133" s="45" t="inlineStr">
        <is>
          <t>Kaldheim</t>
        </is>
      </c>
      <c r="W133" s="41" t="n">
        <v>1</v>
      </c>
      <c r="X133" s="37">
        <f>SUM(Y133:AE133)</f>
        <v/>
      </c>
      <c r="Y133" s="43" t="n"/>
      <c r="Z133" s="43" t="n"/>
      <c r="AA133" s="43" t="n"/>
      <c r="AB133" s="43" t="n"/>
      <c r="AC133" s="43" t="n">
        <v>1</v>
      </c>
      <c r="AD133" s="43" t="n"/>
      <c r="AE133" s="43" t="n"/>
      <c r="AF133" s="38">
        <f>IF((W133-SUM(Y133:AE133))&lt;0,0,W133-SUM(Y133:AE133))</f>
        <v/>
      </c>
      <c r="AG133" s="34">
        <f>MAX(0,$AT133-$W133-$AI133)</f>
        <v/>
      </c>
      <c r="AH133" s="34" t="n"/>
      <c r="AI133" s="34" t="n"/>
      <c r="AJ133" s="36" t="n">
        <v>0.42</v>
      </c>
      <c r="AK133" s="36">
        <f>IF(AND($AG133&gt;0,ISNUMBER($AJ133)),$AG133*$AJ133,0)</f>
        <v/>
      </c>
      <c r="AQ133" s="58" t="n"/>
      <c r="AT133" s="37">
        <f>SUM(AU133:BA133)</f>
        <v/>
      </c>
      <c r="AU133" s="73" t="n"/>
      <c r="AV133" s="33" t="n"/>
      <c r="AW133" s="33" t="n"/>
      <c r="AX133" s="33" t="n"/>
      <c r="AY133" s="98" t="n">
        <v>1</v>
      </c>
      <c r="AZ133" s="33" t="n"/>
      <c r="BA133" s="74" t="n"/>
      <c r="BB133" s="106" t="n"/>
      <c r="BC133" s="42" t="n"/>
      <c r="BD133" s="42" t="n"/>
    </row>
    <row r="134" ht="15" customHeight="1" s="148">
      <c r="A134" t="inlineStr">
        <is>
          <t>c0130</t>
        </is>
      </c>
      <c r="B134" s="44" t="inlineStr">
        <is>
          <t>Golgari Signet</t>
        </is>
      </c>
      <c r="C134" s="34" t="inlineStr">
        <is>
          <t>C</t>
        </is>
      </c>
      <c r="D134" s="39" t="inlineStr">
        <is>
          <t>Artifact</t>
        </is>
      </c>
      <c r="E134" s="41" t="inlineStr">
        <is>
          <t>B2</t>
        </is>
      </c>
      <c r="F134" s="40" t="n">
        <v>2</v>
      </c>
      <c r="G134" s="67" t="inlineStr">
        <is>
          <t>{1}, {T}: Add {B}{G}.</t>
        </is>
      </c>
      <c r="H134" s="39" t="inlineStr">
        <is>
          <t>Mana Rock</t>
        </is>
      </c>
      <c r="I134" s="39" t="inlineStr">
        <is>
          <t>{1}, {T}: Add {B}{G}</t>
        </is>
      </c>
      <c r="J134" s="39" t="n"/>
      <c r="K134" s="39" t="n"/>
      <c r="L134" s="42" t="n"/>
      <c r="M134" s="42" t="n"/>
      <c r="N134" s="42" t="n"/>
      <c r="O134" s="42" t="n"/>
      <c r="P134" s="42" t="n">
        <v>0.32</v>
      </c>
      <c r="Q134" s="42" t="n"/>
      <c r="R134" s="42" t="n"/>
      <c r="S134" s="42" t="n"/>
      <c r="T134" s="42" t="n"/>
      <c r="U134" s="42" t="n"/>
      <c r="V134" s="39" t="inlineStr">
        <is>
          <t>Ravnica: City of Guilds</t>
        </is>
      </c>
      <c r="W134" s="41" t="n">
        <v>1</v>
      </c>
      <c r="X134" s="37">
        <f>SUM(Y134:AE134)</f>
        <v/>
      </c>
      <c r="Y134" s="43" t="n"/>
      <c r="Z134" s="43" t="n"/>
      <c r="AA134" s="43" t="n"/>
      <c r="AB134" s="43" t="n">
        <v>1</v>
      </c>
      <c r="AC134" s="43" t="n"/>
      <c r="AD134" s="43" t="n"/>
      <c r="AE134" s="43" t="n"/>
      <c r="AF134" s="38">
        <f>IF((W134-SUM(Y134:AE134))&lt;0,0,W134-SUM(Y134:AE134))</f>
        <v/>
      </c>
      <c r="AG134" s="34">
        <f>MAX(0,$AT134-$W134-$AI134)</f>
        <v/>
      </c>
      <c r="AH134" s="39" t="n"/>
      <c r="AI134" s="39" t="n"/>
      <c r="AJ134" s="39" t="n">
        <v>0.36</v>
      </c>
      <c r="AK134" s="39">
        <f>IF(AND($AG134&gt;0,ISNUMBER($AJ134)),$AG134*$AJ134,0)</f>
        <v/>
      </c>
      <c r="AT134" s="37">
        <f>SUM(AU134:BA134)</f>
        <v/>
      </c>
      <c r="AU134" s="73" t="n"/>
      <c r="AV134" s="33" t="n"/>
      <c r="AW134" s="33" t="n"/>
      <c r="AX134" s="98" t="n">
        <v>1</v>
      </c>
      <c r="AY134" s="33" t="n"/>
      <c r="AZ134" s="33" t="n"/>
      <c r="BA134" s="74" t="n"/>
      <c r="BB134" s="107" t="n"/>
      <c r="BC134" s="42" t="n"/>
      <c r="BD134" s="42" t="n"/>
    </row>
    <row r="135" ht="15" customHeight="1" s="148">
      <c r="A135" t="inlineStr">
        <is>
          <t>c0131</t>
        </is>
      </c>
      <c r="B135" s="44" t="inlineStr">
        <is>
          <t>Ichor Wellspring</t>
        </is>
      </c>
      <c r="C135" s="34" t="inlineStr">
        <is>
          <t>C</t>
        </is>
      </c>
      <c r="D135" s="44" t="inlineStr">
        <is>
          <t>Artifact</t>
        </is>
      </c>
      <c r="E135" s="41" t="inlineStr">
        <is>
          <t>B2</t>
        </is>
      </c>
      <c r="F135" s="34" t="n">
        <v>2</v>
      </c>
      <c r="G135" s="67" t="inlineStr">
        <is>
          <t>When this artifact enters or is put into a graveyard from the battlefield, draw a card.</t>
        </is>
      </c>
      <c r="H135" s="45" t="inlineStr">
        <is>
          <t>Card Draw</t>
        </is>
      </c>
      <c r="I135" s="45" t="inlineStr">
        <is>
          <t>Draws a card when it enters or is put into a graveyard from the battlefield</t>
        </is>
      </c>
      <c r="J135" s="45" t="n"/>
      <c r="K135" s="45" t="n"/>
      <c r="L135" s="42" t="n"/>
      <c r="M135" s="42" t="n"/>
      <c r="N135" s="42" t="n"/>
      <c r="O135" s="42" t="n"/>
      <c r="P135" s="42" t="n">
        <v>1.54</v>
      </c>
      <c r="Q135" s="42" t="n"/>
      <c r="R135" s="42" t="n"/>
      <c r="S135" s="42" t="n"/>
      <c r="T135" s="42" t="n"/>
      <c r="U135" s="42" t="n"/>
      <c r="V135" s="45" t="inlineStr">
        <is>
          <t>Mirrodin Besieged</t>
        </is>
      </c>
      <c r="W135" s="41" t="n">
        <v>1</v>
      </c>
      <c r="X135" s="37">
        <f>SUM(Y135:AE135)</f>
        <v/>
      </c>
      <c r="Y135" s="43" t="n"/>
      <c r="Z135" s="43" t="n"/>
      <c r="AA135" s="43" t="n"/>
      <c r="AB135" s="43" t="n"/>
      <c r="AC135" s="43" t="n"/>
      <c r="AD135" s="43" t="n">
        <v>1</v>
      </c>
      <c r="AE135" s="43" t="n"/>
      <c r="AF135" s="38">
        <f>IF((W135-SUM(Y135:AE135))&lt;0,0,W135-SUM(Y135:AE135))</f>
        <v/>
      </c>
      <c r="AG135" s="34">
        <f>MAX(0,$AT135-$W135-$AI135)</f>
        <v/>
      </c>
      <c r="AH135" s="34" t="n"/>
      <c r="AI135" s="34" t="n"/>
      <c r="AJ135" s="36" t="n">
        <v>1.45</v>
      </c>
      <c r="AK135" s="36">
        <f>IF(AND($AG135&gt;0,ISNUMBER($AJ135)),$AG135*$AJ135,0)</f>
        <v/>
      </c>
      <c r="AT135" s="37">
        <f>SUM(AU135:BA135)</f>
        <v/>
      </c>
      <c r="AU135" s="73" t="n"/>
      <c r="AV135" s="33" t="n"/>
      <c r="AW135" s="33" t="n"/>
      <c r="AX135" s="33" t="n"/>
      <c r="AY135" s="33" t="n"/>
      <c r="AZ135" s="98" t="n">
        <v>1</v>
      </c>
      <c r="BA135" s="74" t="n"/>
      <c r="BB135" s="106" t="n"/>
      <c r="BC135" s="42" t="n"/>
      <c r="BD135" s="42" t="n"/>
    </row>
    <row r="136" ht="15" customHeight="1" s="148">
      <c r="A136" t="inlineStr">
        <is>
          <t>c0132</t>
        </is>
      </c>
      <c r="B136" s="44" t="inlineStr">
        <is>
          <t>Idol of Oblivion</t>
        </is>
      </c>
      <c r="C136" s="34" t="inlineStr">
        <is>
          <t>C</t>
        </is>
      </c>
      <c r="D136" s="44" t="inlineStr">
        <is>
          <t>Artifact</t>
        </is>
      </c>
      <c r="E136" s="41" t="inlineStr">
        <is>
          <t>B3</t>
        </is>
      </c>
      <c r="F136" s="34" t="n">
        <v>2</v>
      </c>
      <c r="G136" s="67" t="inlineStr">
        <is>
          <t>{T}: Draw a card. Activate only if you created a token this turn.
{8}, {T}, Sacrifice this artifact: Create a 10/10 colorless Eldrazi creature token.</t>
        </is>
      </c>
      <c r="H136" s="45" t="inlineStr">
        <is>
          <t>Card Draw</t>
        </is>
      </c>
      <c r="I136" s="45" t="inlineStr">
        <is>
          <t>{T}: Draw a card. Activate only if you created a token this turn.
{8}, {T}, Sacrifice this artifact: Create a 10/10 colo</t>
        </is>
      </c>
      <c r="J136" s="45" t="n"/>
      <c r="K136" s="45" t="n"/>
      <c r="L136" s="42" t="n"/>
      <c r="M136" s="42" t="n"/>
      <c r="N136" s="42" t="n"/>
      <c r="O136" s="42" t="n"/>
      <c r="P136" s="42" t="n">
        <v>3.54</v>
      </c>
      <c r="Q136" s="42" t="n"/>
      <c r="R136" s="42" t="n"/>
      <c r="S136" s="42" t="n"/>
      <c r="T136" s="42" t="n"/>
      <c r="U136" s="42" t="n"/>
      <c r="V136" s="45" t="inlineStr">
        <is>
          <t>Commander 2019</t>
        </is>
      </c>
      <c r="W136" s="41" t="n">
        <v>0</v>
      </c>
      <c r="X136" s="37">
        <f>SUM(Y136:AE136)</f>
        <v/>
      </c>
      <c r="Y136" s="43" t="n"/>
      <c r="Z136" s="43" t="n"/>
      <c r="AA136" s="43" t="n"/>
      <c r="AB136" s="43" t="n"/>
      <c r="AC136" s="43" t="n"/>
      <c r="AD136" s="43" t="n"/>
      <c r="AE136" s="43" t="n"/>
      <c r="AF136" s="38">
        <f>IF((W136-SUM(Y136:AE136))&lt;0,0,W136-SUM(Y136:AE136))</f>
        <v/>
      </c>
      <c r="AG136" s="34">
        <f>MAX(0,$AT136-$W136-$AI136)</f>
        <v/>
      </c>
      <c r="AH136" s="34" t="n"/>
      <c r="AI136" s="34" t="n"/>
      <c r="AJ136" s="36" t="n">
        <v>1.85</v>
      </c>
      <c r="AK136" s="36">
        <f>IF(AND($AG136&gt;0,ISNUMBER($AJ136)),$AG136*$AJ136,0)</f>
        <v/>
      </c>
      <c r="AL136" s="54" t="n"/>
      <c r="AM136" s="54" t="n"/>
      <c r="AN136" s="54" t="n"/>
      <c r="AO136" s="54" t="n"/>
      <c r="AP136" s="54" t="n"/>
      <c r="AQ136" s="54" t="n"/>
      <c r="AR136" s="54" t="n"/>
      <c r="AS136" s="54" t="n"/>
      <c r="AT136" s="37">
        <f>SUM(AU136:BA136)</f>
        <v/>
      </c>
      <c r="AU136" s="92" t="n"/>
      <c r="AV136" s="38" t="n"/>
      <c r="AW136" s="38" t="n"/>
      <c r="AX136" s="38" t="n"/>
      <c r="AY136" s="38" t="n">
        <v>1</v>
      </c>
      <c r="AZ136" s="38" t="n">
        <v>1</v>
      </c>
      <c r="BA136" s="94" t="n"/>
      <c r="BB136" s="106" t="n"/>
      <c r="BC136" s="42" t="n"/>
      <c r="BD136" s="48" t="n"/>
    </row>
    <row r="137" ht="15" customHeight="1" s="148">
      <c r="A137" t="inlineStr">
        <is>
          <t>c0133</t>
        </is>
      </c>
      <c r="B137" s="44" t="inlineStr">
        <is>
          <t>Lightning Greaves</t>
        </is>
      </c>
      <c r="C137" s="34" t="inlineStr">
        <is>
          <t>C</t>
        </is>
      </c>
      <c r="D137" s="44" t="inlineStr">
        <is>
          <t>Artifact</t>
        </is>
      </c>
      <c r="E137" s="41" t="inlineStr">
        <is>
          <t>B3</t>
        </is>
      </c>
      <c r="F137" s="34" t="n">
        <v>2</v>
      </c>
      <c r="G137" s="67" t="inlineStr">
        <is>
          <t>Equipped creature has haste and shroud. (It can't be the target of spells or abilities.)
Equip {0}</t>
        </is>
      </c>
      <c r="H137" s="45" t="inlineStr">
        <is>
          <t>Protection</t>
        </is>
      </c>
      <c r="I137" s="45" t="inlineStr">
        <is>
          <t>Equipped creature has haste and shroud</t>
        </is>
      </c>
      <c r="J137" s="45" t="inlineStr">
        <is>
          <t>Equip {0}</t>
        </is>
      </c>
      <c r="K137" s="45" t="n"/>
      <c r="L137" s="42" t="n"/>
      <c r="M137" s="42" t="n"/>
      <c r="N137" s="42" t="n"/>
      <c r="O137" s="42" t="n"/>
      <c r="P137" s="42" t="n">
        <v>3.58</v>
      </c>
      <c r="Q137" s="42" t="n"/>
      <c r="R137" s="42" t="n"/>
      <c r="S137" s="42" t="n"/>
      <c r="T137" s="42" t="n"/>
      <c r="U137" s="42" t="n"/>
      <c r="V137" s="45" t="inlineStr">
        <is>
          <t>Mirrodin</t>
        </is>
      </c>
      <c r="W137" s="41" t="n">
        <v>0</v>
      </c>
      <c r="X137" s="37">
        <f>SUM(Y137:AE137)</f>
        <v/>
      </c>
      <c r="Y137" s="43" t="n"/>
      <c r="Z137" s="43" t="n"/>
      <c r="AA137" s="43" t="n"/>
      <c r="AB137" s="43" t="n"/>
      <c r="AC137" s="43" t="n"/>
      <c r="AD137" s="43" t="n"/>
      <c r="AE137" s="43" t="n"/>
      <c r="AF137" s="38">
        <f>IF((W137-SUM(Y137:AE137))&lt;0,0,W137-SUM(Y137:AE137))</f>
        <v/>
      </c>
      <c r="AG137" s="34">
        <f>MAX(0,$AT137-$W137-$AI137)</f>
        <v/>
      </c>
      <c r="AH137" s="34" t="n"/>
      <c r="AI137" s="34" t="n"/>
      <c r="AJ137" s="36" t="n">
        <v>4.59</v>
      </c>
      <c r="AK137" s="36">
        <f>IF(AND($AG137&gt;0,ISNUMBER($AJ137)),$AG137*$AJ137,0)</f>
        <v/>
      </c>
      <c r="AL137" s="54" t="n"/>
      <c r="AM137" s="54" t="n"/>
      <c r="AN137" s="54" t="n"/>
      <c r="AO137" s="54" t="n"/>
      <c r="AP137" s="54" t="n"/>
      <c r="AQ137" s="54" t="n"/>
      <c r="AR137" s="54" t="n"/>
      <c r="AS137" s="54" t="n"/>
      <c r="AT137" s="37">
        <f>SUM(AU137:BA137)</f>
        <v/>
      </c>
      <c r="AU137" s="92" t="n"/>
      <c r="AV137" s="38" t="n"/>
      <c r="AW137" s="38" t="n"/>
      <c r="AX137" s="38" t="n"/>
      <c r="AY137" s="38" t="n"/>
      <c r="AZ137" s="38" t="n">
        <v>1</v>
      </c>
      <c r="BA137" s="94" t="n"/>
      <c r="BB137" s="106" t="n"/>
      <c r="BC137" s="42" t="n"/>
      <c r="BD137" s="48" t="n"/>
    </row>
    <row r="138" ht="15" customHeight="1" s="148">
      <c r="A138" t="inlineStr">
        <is>
          <t>c0134</t>
        </is>
      </c>
      <c r="B138" s="30" t="inlineStr">
        <is>
          <t>Long-Bodied Grey Dog</t>
        </is>
      </c>
      <c r="C138" s="31" t="inlineStr">
        <is>
          <t>C</t>
        </is>
      </c>
      <c r="D138" s="30" t="inlineStr">
        <is>
          <t>Creature</t>
        </is>
      </c>
      <c r="E138" s="33" t="inlineStr">
        <is>
          <t>B2</t>
        </is>
      </c>
      <c r="F138" s="30" t="n">
        <v>3</v>
      </c>
      <c r="G138" s="67" t="inlineStr">
        <is>
          <t>Flash
Reach
When this creature enters, create a tapped Treasure token. (It's an artifact with "{T}, Sacrifice this token: Add one mana of any color.")
(2/2)</t>
        </is>
      </c>
      <c r="H138" s="30" t="inlineStr">
        <is>
          <t>Ramp</t>
        </is>
      </c>
      <c r="I138" s="30" t="inlineStr">
        <is>
          <t>Enters: create a tapped Treasure token</t>
        </is>
      </c>
      <c r="J138" s="30" t="inlineStr">
        <is>
          <t>Flash and reach on a 2/2 body</t>
        </is>
      </c>
      <c r="K138" s="30" t="n"/>
      <c r="L138" s="32" t="inlineStr">
        <is>
          <t>1</t>
        </is>
      </c>
      <c r="M138" s="32" t="n">
        <v>1</v>
      </c>
      <c r="N138" s="32" t="n">
        <v>0</v>
      </c>
      <c r="O138" s="63" t="inlineStr">
        <is>
          <t>Anna Podedworna</t>
        </is>
      </c>
      <c r="P138" s="63" t="n">
        <v>0.15</v>
      </c>
      <c r="Q138" s="32" t="inlineStr">
        <is>
          <t>Common</t>
        </is>
      </c>
      <c r="R138" s="32" t="n"/>
      <c r="S138" s="32" t="n"/>
      <c r="T138" s="63" t="n"/>
      <c r="U138" s="63" t="n"/>
      <c r="V138" s="30" t="inlineStr">
        <is>
          <t>The Hobbit</t>
        </is>
      </c>
      <c r="W138" s="41" t="n">
        <v>1</v>
      </c>
      <c r="X138" s="37">
        <f>SUM(Y138:AE138)</f>
        <v/>
      </c>
      <c r="Y138" s="43" t="n"/>
      <c r="Z138" s="43" t="n"/>
      <c r="AA138" s="43" t="n"/>
      <c r="AB138" s="43" t="n"/>
      <c r="AC138" s="43" t="n"/>
      <c r="AD138" s="43" t="n"/>
      <c r="AE138" s="43" t="n"/>
      <c r="AF138" s="38">
        <f>IF((W138-SUM(Y138:AE138))&lt;0,0,W138-SUM(Y138:AE138))</f>
        <v/>
      </c>
      <c r="AG138" s="34">
        <f>MAX(0,$AT138-$W138-$AI138)</f>
        <v/>
      </c>
      <c r="AH138" s="30" t="n"/>
      <c r="AI138" s="30" t="n"/>
      <c r="AJ138" s="30" t="n">
        <v>0.15</v>
      </c>
      <c r="AK138" s="36">
        <f>IF(AND($AG138&gt;0,ISNUMBER($AJ138)),$AG138*$AJ138,0)</f>
        <v/>
      </c>
      <c r="AT138" s="37">
        <f>SUM(AU138:BA138)</f>
        <v/>
      </c>
      <c r="AU138" s="73" t="n"/>
      <c r="AV138" s="33" t="n"/>
      <c r="AW138" s="33" t="n"/>
      <c r="AX138" s="33" t="n"/>
      <c r="AY138" s="33" t="n"/>
      <c r="AZ138" s="33" t="n"/>
      <c r="BA138" s="74" t="n"/>
      <c r="BB138" s="108" t="n"/>
      <c r="BC138" s="32" t="n"/>
      <c r="BD138" s="32" t="n"/>
    </row>
    <row r="139" ht="15" customHeight="1" s="148">
      <c r="A139" t="inlineStr">
        <is>
          <t>c0135</t>
        </is>
      </c>
      <c r="B139" s="30" t="inlineStr">
        <is>
          <t>Mage Tower Referee</t>
        </is>
      </c>
      <c r="C139" s="31" t="inlineStr">
        <is>
          <t>C</t>
        </is>
      </c>
      <c r="D139" s="30" t="inlineStr">
        <is>
          <t>Artifact Creature</t>
        </is>
      </c>
      <c r="E139" s="33" t="inlineStr">
        <is>
          <t>B2</t>
        </is>
      </c>
      <c r="F139" s="31" t="n">
        <v>2</v>
      </c>
      <c r="G139" s="67" t="inlineStr">
        <is>
          <t>Whenever you cast a multicolored spell, put a +1/+1 counter on this creature.
(2/1)</t>
        </is>
      </c>
      <c r="H139" s="30" t="inlineStr">
        <is>
          <t>Counters Payoff</t>
        </is>
      </c>
      <c r="I139" s="30" t="inlineStr">
        <is>
          <t>Whenever you cast a multicolored spell, put a +1/+1 counter on this creature</t>
        </is>
      </c>
      <c r="J139" s="30" t="n"/>
      <c r="K139" s="30" t="n"/>
      <c r="L139" s="32" t="inlineStr">
        <is>
          <t>249</t>
        </is>
      </c>
      <c r="M139" s="32" t="n">
        <v>1</v>
      </c>
      <c r="N139" s="32" t="n">
        <v>0</v>
      </c>
      <c r="O139" s="63" t="n"/>
      <c r="P139" s="63" t="n">
        <v>0.05</v>
      </c>
      <c r="Q139" s="32" t="inlineStr">
        <is>
          <t>Common</t>
        </is>
      </c>
      <c r="R139" s="32" t="n"/>
      <c r="S139" s="32" t="n"/>
      <c r="T139" s="63" t="n"/>
      <c r="U139" s="63" t="n"/>
      <c r="V139" s="30" t="inlineStr">
        <is>
          <t>Secrets of Strixhaven</t>
        </is>
      </c>
      <c r="W139" s="41" t="n">
        <v>1</v>
      </c>
      <c r="X139" s="37">
        <f>SUM(Y139:AE139)</f>
        <v/>
      </c>
      <c r="Y139" s="43" t="n"/>
      <c r="Z139" s="43" t="n"/>
      <c r="AA139" s="43" t="n"/>
      <c r="AB139" s="43" t="n"/>
      <c r="AC139" s="43" t="n"/>
      <c r="AD139" s="43" t="n"/>
      <c r="AE139" s="43" t="n"/>
      <c r="AF139" s="38">
        <f>IF((W139-SUM(Y139:AE139))&lt;0,0,W139-SUM(Y139:AE139))</f>
        <v/>
      </c>
      <c r="AG139" s="34">
        <f>MAX(0,$AT139-$W139-$AI139)</f>
        <v/>
      </c>
      <c r="AH139" s="30" t="n"/>
      <c r="AI139" s="30" t="n"/>
      <c r="AJ139" s="35" t="n">
        <v>0.05</v>
      </c>
      <c r="AK139" s="36">
        <f>IF(AND($AG139&gt;0,ISNUMBER($AJ139)),$AG139*$AJ139,0)</f>
        <v/>
      </c>
      <c r="AT139" s="37">
        <f>SUM(AU139:BA139)</f>
        <v/>
      </c>
      <c r="AU139" s="73" t="n"/>
      <c r="AV139" s="33" t="n"/>
      <c r="AW139" s="33" t="n"/>
      <c r="AX139" s="33" t="n"/>
      <c r="AY139" s="33" t="n"/>
      <c r="AZ139" s="33" t="n"/>
      <c r="BA139" s="74" t="n"/>
      <c r="BB139" s="108" t="n"/>
      <c r="BC139" s="32" t="n"/>
      <c r="BD139" s="32" t="n"/>
    </row>
    <row r="140" ht="15" customHeight="1" s="148">
      <c r="A140" t="inlineStr">
        <is>
          <t>c0136</t>
        </is>
      </c>
      <c r="B140" s="44" t="inlineStr">
        <is>
          <t>Magistrate's Scepter</t>
        </is>
      </c>
      <c r="C140" s="34" t="inlineStr">
        <is>
          <t>C</t>
        </is>
      </c>
      <c r="D140" s="44" t="inlineStr">
        <is>
          <t>Artifact</t>
        </is>
      </c>
      <c r="E140" s="41" t="inlineStr">
        <is>
          <t>B2</t>
        </is>
      </c>
      <c r="F140" s="34" t="n">
        <v>3</v>
      </c>
      <c r="G140" s="67" t="inlineStr">
        <is>
          <t>{4}, {T}: Put a charge counter on this artifact.
{T}, Remove three charge counters from this artifact: Take an extra turn after this one.</t>
        </is>
      </c>
      <c r="H140" s="45" t="inlineStr">
        <is>
          <t>Value Engine</t>
        </is>
      </c>
      <c r="I140" s="45" t="inlineStr">
        <is>
          <t>{4}, {T}: Put a charge counter on this artifact</t>
        </is>
      </c>
      <c r="J140" s="45" t="inlineStr">
        <is>
          <t>{T}, Remove three charge counters from this artifact: Take an extra turn after this one</t>
        </is>
      </c>
      <c r="K140" s="45" t="n"/>
      <c r="L140" s="42" t="n"/>
      <c r="M140" s="42" t="n"/>
      <c r="N140" s="42" t="n"/>
      <c r="O140" s="42" t="n"/>
      <c r="P140" s="42" t="n">
        <v>3.24</v>
      </c>
      <c r="Q140" s="42" t="n"/>
      <c r="R140" s="42" t="n"/>
      <c r="S140" s="42" t="n"/>
      <c r="T140" s="42" t="n"/>
      <c r="U140" s="42" t="n"/>
      <c r="V140" s="45" t="inlineStr">
        <is>
          <t>Mercadian Masques</t>
        </is>
      </c>
      <c r="W140" s="41" t="n">
        <v>0</v>
      </c>
      <c r="X140" s="37">
        <f>SUM(Y140:AE140)</f>
        <v/>
      </c>
      <c r="Y140" s="43" t="n"/>
      <c r="Z140" s="43" t="n"/>
      <c r="AA140" s="43" t="n"/>
      <c r="AB140" s="43" t="n"/>
      <c r="AC140" s="43" t="n"/>
      <c r="AD140" s="43" t="n"/>
      <c r="AE140" s="43" t="n"/>
      <c r="AF140" s="38">
        <f>IF((W140-SUM(Y140:AE140))&lt;0,0,W140-SUM(Y140:AE140))</f>
        <v/>
      </c>
      <c r="AG140" s="34">
        <f>MAX(0,$AT140-$W140-$AI140)</f>
        <v/>
      </c>
      <c r="AH140" s="34" t="n"/>
      <c r="AI140" s="34" t="n"/>
      <c r="AJ140" s="36" t="n">
        <v>3.09</v>
      </c>
      <c r="AK140" s="36">
        <f>IF(AND($AG140&gt;0,ISNUMBER($AJ140)),$AG140*$AJ140,0)</f>
        <v/>
      </c>
      <c r="AL140" s="54" t="n"/>
      <c r="AM140" s="54" t="n"/>
      <c r="AN140" s="54" t="n"/>
      <c r="AO140" s="54" t="n"/>
      <c r="AP140" s="54" t="n"/>
      <c r="AQ140" s="54" t="n"/>
      <c r="AR140" s="54" t="n"/>
      <c r="AS140" s="54" t="n"/>
      <c r="AT140" s="37">
        <f>SUM(AU140:BA140)</f>
        <v/>
      </c>
      <c r="AU140" s="92" t="n"/>
      <c r="AV140" s="38" t="n"/>
      <c r="AW140" s="38" t="n"/>
      <c r="AX140" s="38" t="n"/>
      <c r="AY140" s="38" t="n"/>
      <c r="AZ140" s="38" t="n"/>
      <c r="BA140" s="94" t="n"/>
      <c r="BB140" s="106" t="n"/>
      <c r="BC140" s="42" t="n"/>
      <c r="BD140" s="48" t="n"/>
    </row>
    <row r="141" ht="15" customHeight="1" s="148">
      <c r="A141" t="inlineStr">
        <is>
          <t>c0137</t>
        </is>
      </c>
      <c r="B141" s="44" t="inlineStr">
        <is>
          <t>Mask of Memory</t>
        </is>
      </c>
      <c r="C141" s="34" t="inlineStr">
        <is>
          <t>C</t>
        </is>
      </c>
      <c r="D141" s="44" t="inlineStr">
        <is>
          <t>Artifact</t>
        </is>
      </c>
      <c r="E141" s="41" t="inlineStr">
        <is>
          <t>B2</t>
        </is>
      </c>
      <c r="F141" s="34" t="n">
        <v>2</v>
      </c>
      <c r="G141" s="67" t="inlineStr">
        <is>
          <t>Whenever equipped creature deals combat damage to a player, you may draw two cards. If you do, discard a card.
Equip {1} ({1}: Attach to target creature you control. Equip only as a sorcery.)</t>
        </is>
      </c>
      <c r="H141" s="45" t="inlineStr">
        <is>
          <t>Card Draw</t>
        </is>
      </c>
      <c r="I141" s="45" t="inlineStr">
        <is>
          <t>Equipped creature draws two and discards one on combat damage to a player</t>
        </is>
      </c>
      <c r="J141" s="45" t="inlineStr">
        <is>
          <t>Equip for 1</t>
        </is>
      </c>
      <c r="K141" s="45" t="n"/>
      <c r="L141" s="42" t="n"/>
      <c r="M141" s="42" t="n"/>
      <c r="N141" s="42" t="n"/>
      <c r="O141" s="42" t="n"/>
      <c r="P141" s="42" t="n">
        <v>0.41</v>
      </c>
      <c r="Q141" s="42" t="n"/>
      <c r="R141" s="42" t="n"/>
      <c r="S141" s="42" t="n"/>
      <c r="T141" s="42" t="n"/>
      <c r="U141" s="42" t="n"/>
      <c r="V141" s="45" t="inlineStr">
        <is>
          <t>Mirrodin</t>
        </is>
      </c>
      <c r="W141" s="41" t="n">
        <v>0</v>
      </c>
      <c r="X141" s="37">
        <f>SUM(Y141:AE141)</f>
        <v/>
      </c>
      <c r="Y141" s="43" t="n"/>
      <c r="Z141" s="43" t="n"/>
      <c r="AA141" s="43" t="n"/>
      <c r="AB141" s="43" t="n"/>
      <c r="AC141" s="43" t="n"/>
      <c r="AD141" s="43" t="n"/>
      <c r="AE141" s="43" t="n"/>
      <c r="AF141" s="38">
        <f>IF((W141-SUM(Y141:AE141))&lt;0,0,W141-SUM(Y141:AE141))</f>
        <v/>
      </c>
      <c r="AG141" s="34">
        <f>MAX(0,$AT141-$W141-$AI141)</f>
        <v/>
      </c>
      <c r="AH141" s="34" t="n"/>
      <c r="AI141" s="34" t="n"/>
      <c r="AJ141" s="36" t="n">
        <v>0.38</v>
      </c>
      <c r="AK141" s="36">
        <f>IF(AND($AG141&gt;0,ISNUMBER($AJ141)),$AG141*$AJ141,0)</f>
        <v/>
      </c>
      <c r="AL141" s="54" t="n"/>
      <c r="AM141" s="54" t="n"/>
      <c r="AN141" s="54" t="n"/>
      <c r="AO141" s="54" t="n"/>
      <c r="AP141" s="54" t="n"/>
      <c r="AQ141" s="54" t="n"/>
      <c r="AR141" s="54" t="n"/>
      <c r="AS141" s="54" t="n"/>
      <c r="AT141" s="37">
        <f>SUM(AU141:BA141)</f>
        <v/>
      </c>
      <c r="AU141" s="92" t="n"/>
      <c r="AV141" s="38" t="n"/>
      <c r="AW141" s="38" t="n"/>
      <c r="AX141" s="38" t="n"/>
      <c r="AY141" s="38" t="n"/>
      <c r="AZ141" s="38" t="n"/>
      <c r="BA141" s="94" t="n"/>
      <c r="BB141" s="106" t="n"/>
      <c r="BC141" s="42" t="n"/>
      <c r="BD141" s="42" t="n"/>
    </row>
    <row r="142" ht="15" customHeight="1" s="148">
      <c r="A142" t="inlineStr">
        <is>
          <t>c0138</t>
        </is>
      </c>
      <c r="B142" s="44" t="inlineStr">
        <is>
          <t>Millikin</t>
        </is>
      </c>
      <c r="C142" s="34" t="inlineStr">
        <is>
          <t>C</t>
        </is>
      </c>
      <c r="D142" s="44" t="inlineStr">
        <is>
          <t>Artifact Creature</t>
        </is>
      </c>
      <c r="E142" s="41" t="inlineStr">
        <is>
          <t>B2</t>
        </is>
      </c>
      <c r="F142" s="34" t="n">
        <v>2</v>
      </c>
      <c r="G142" s="67" t="inlineStr">
        <is>
          <t>{T}, Mill a card: Add {C}. (Activate only as an instant. To mill a card, put the top card of your library into your graveyard.)
(0/1)</t>
        </is>
      </c>
      <c r="H142" s="45" t="inlineStr">
        <is>
          <t>Mana Rock</t>
        </is>
      </c>
      <c r="I142" s="45" t="inlineStr">
        <is>
          <t>Mill a card, tap: add {C}</t>
        </is>
      </c>
      <c r="J142" s="45" t="n"/>
      <c r="K142" s="45" t="n"/>
      <c r="L142" s="42" t="n"/>
      <c r="M142" s="42" t="n"/>
      <c r="N142" s="42" t="n"/>
      <c r="O142" s="63" t="n"/>
      <c r="P142" s="63" t="n">
        <v>0.32</v>
      </c>
      <c r="Q142" s="42" t="n"/>
      <c r="R142" s="42" t="n"/>
      <c r="S142" s="42" t="n"/>
      <c r="T142" s="63" t="n"/>
      <c r="U142" s="63" t="n"/>
      <c r="V142" s="45" t="inlineStr">
        <is>
          <t>Odyssey</t>
        </is>
      </c>
      <c r="W142" s="41" t="n">
        <v>1</v>
      </c>
      <c r="X142" s="37">
        <f>SUM(Y142:AE142)</f>
        <v/>
      </c>
      <c r="Y142" s="43" t="n">
        <v>1</v>
      </c>
      <c r="Z142" s="43" t="n"/>
      <c r="AA142" s="43" t="n"/>
      <c r="AB142" s="43" t="n"/>
      <c r="AC142" s="43" t="n"/>
      <c r="AD142" s="43" t="n"/>
      <c r="AE142" s="43" t="n"/>
      <c r="AF142" s="38">
        <f>IF((W142-SUM(Y142:AE142))&lt;0,0,W142-SUM(Y142:AE142))</f>
        <v/>
      </c>
      <c r="AG142" s="34">
        <f>MAX(0,$AT142-$W142-$AI142)</f>
        <v/>
      </c>
      <c r="AH142" s="34" t="n"/>
      <c r="AI142" s="34" t="n"/>
      <c r="AJ142" s="36" t="n">
        <v>0.27</v>
      </c>
      <c r="AK142" s="36">
        <f>IF(AND($AG142&gt;0,ISNUMBER($AJ142)),$AG142*$AJ142,0)</f>
        <v/>
      </c>
      <c r="AT142" s="37">
        <f>SUM(AU142:BA142)</f>
        <v/>
      </c>
      <c r="AU142" s="82" t="n">
        <v>1</v>
      </c>
      <c r="AV142" s="33" t="n"/>
      <c r="AW142" s="33" t="n"/>
      <c r="AX142" s="33" t="n"/>
      <c r="AY142" s="33" t="n"/>
      <c r="AZ142" s="33" t="n"/>
      <c r="BA142" s="74" t="n"/>
      <c r="BB142" s="106" t="n"/>
      <c r="BC142" s="42" t="n"/>
      <c r="BD142" s="42" t="n"/>
    </row>
    <row r="143" ht="15" customHeight="1" s="148">
      <c r="A143" t="inlineStr">
        <is>
          <t>c0139</t>
        </is>
      </c>
      <c r="B143" s="44" t="inlineStr">
        <is>
          <t>Mind Stone</t>
        </is>
      </c>
      <c r="C143" s="34" t="inlineStr">
        <is>
          <t>C</t>
        </is>
      </c>
      <c r="D143" s="44" t="inlineStr">
        <is>
          <t>Artifact</t>
        </is>
      </c>
      <c r="E143" s="41" t="inlineStr">
        <is>
          <t>B2</t>
        </is>
      </c>
      <c r="F143" s="34" t="n">
        <v>2</v>
      </c>
      <c r="G143" s="67" t="inlineStr">
        <is>
          <t>{T}: Add {C}.
{1}, {T}, Sacrifice this artifact: Draw a card.</t>
        </is>
      </c>
      <c r="H143" s="45" t="inlineStr">
        <is>
          <t>Mana Rock</t>
        </is>
      </c>
      <c r="I143" s="45" t="inlineStr">
        <is>
          <t>Taps for {C}</t>
        </is>
      </c>
      <c r="J143" s="45" t="inlineStr">
        <is>
          <t>Pay {1}, tap, sacrifice: draw a card</t>
        </is>
      </c>
      <c r="K143" s="45" t="n"/>
      <c r="L143" s="41" t="n"/>
      <c r="M143" s="41" t="n"/>
      <c r="N143" s="41" t="n"/>
      <c r="O143" s="41" t="n"/>
      <c r="P143" s="41" t="n">
        <v>0.27</v>
      </c>
      <c r="Q143" s="41" t="n"/>
      <c r="R143" s="41" t="n"/>
      <c r="S143" s="41" t="n"/>
      <c r="T143" s="41" t="n"/>
      <c r="U143" s="41" t="n"/>
      <c r="V143" s="45" t="inlineStr">
        <is>
          <t>Weatherlight</t>
        </is>
      </c>
      <c r="W143" s="41" t="n">
        <v>3</v>
      </c>
      <c r="X143" s="37">
        <f>SUM(Y143:AE143)</f>
        <v/>
      </c>
      <c r="Y143" s="43" t="n">
        <v>1</v>
      </c>
      <c r="Z143" s="43" t="n"/>
      <c r="AA143" s="43" t="n"/>
      <c r="AB143" s="43" t="n"/>
      <c r="AC143" s="43" t="n">
        <v>1</v>
      </c>
      <c r="AD143" s="43" t="n">
        <v>1</v>
      </c>
      <c r="AE143" s="43" t="n"/>
      <c r="AF143" s="38">
        <f>IF((W143-SUM(Y143:AE143))&lt;0,0,W143-SUM(Y143:AE143))</f>
        <v/>
      </c>
      <c r="AG143" s="34">
        <f>MAX(0,$AT143-$W143-$AI143)</f>
        <v/>
      </c>
      <c r="AH143" s="34" t="n"/>
      <c r="AI143" s="34" t="n"/>
      <c r="AJ143" s="36" t="n">
        <v>0.29</v>
      </c>
      <c r="AK143" s="36">
        <f>IF(AND($AG143&gt;0,ISNUMBER($AJ143)),$AG143*$AJ143,0)</f>
        <v/>
      </c>
      <c r="AT143" s="37">
        <f>SUM(AU143:BA143)</f>
        <v/>
      </c>
      <c r="AU143" s="82" t="n">
        <v>1</v>
      </c>
      <c r="AV143" s="33" t="n"/>
      <c r="AW143" s="33" t="n"/>
      <c r="AX143" s="33" t="n"/>
      <c r="AY143" s="98" t="n">
        <v>1</v>
      </c>
      <c r="AZ143" s="98" t="n">
        <v>1</v>
      </c>
      <c r="BA143" s="74" t="n"/>
      <c r="BB143" s="106" t="n"/>
      <c r="BC143" s="42" t="n"/>
      <c r="BD143" s="42" t="n"/>
    </row>
    <row r="144" ht="15" customHeight="1" s="148">
      <c r="A144" t="inlineStr">
        <is>
          <t>c0140</t>
        </is>
      </c>
      <c r="B144" s="44" t="inlineStr">
        <is>
          <t>Myr Battlesphere</t>
        </is>
      </c>
      <c r="C144" s="34" t="inlineStr">
        <is>
          <t>C</t>
        </is>
      </c>
      <c r="D144" s="44" t="inlineStr">
        <is>
          <t>Artifact Creature</t>
        </is>
      </c>
      <c r="E144" s="41" t="inlineStr">
        <is>
          <t>B2</t>
        </is>
      </c>
      <c r="F144" s="34" t="n">
        <v>7</v>
      </c>
      <c r="G144" s="67" t="inlineStr">
        <is>
          <t>When this creature enters, create four 1/1 colorless Myr artifact creature tokens.
Whenever this creature attacks, you may tap X untapped Myr you control. If you do, this creature gets +X/+0 until end of turn and deals X damage to the player or planeswalker it's attacking.
(4/7)</t>
        </is>
      </c>
      <c r="H144" s="45" t="inlineStr">
        <is>
          <t>Token Producer</t>
        </is>
      </c>
      <c r="I144" s="45" t="inlineStr">
        <is>
          <t>Creates four 1/1 Myr tokens when it enters</t>
        </is>
      </c>
      <c r="J144" s="45" t="inlineStr">
        <is>
          <t>Attacking: tap Myr for +X/+0 and X damage to defender</t>
        </is>
      </c>
      <c r="K144" s="45" t="n"/>
      <c r="L144" s="42" t="n"/>
      <c r="M144" s="42" t="n"/>
      <c r="N144" s="42" t="n"/>
      <c r="O144" s="42" t="n"/>
      <c r="P144" s="42" t="n">
        <v>0.39</v>
      </c>
      <c r="Q144" s="42" t="n"/>
      <c r="R144" s="42" t="n"/>
      <c r="S144" s="42" t="n"/>
      <c r="T144" s="42" t="n"/>
      <c r="U144" s="42" t="n"/>
      <c r="V144" s="45" t="inlineStr">
        <is>
          <t>Scars of Mirrodin</t>
        </is>
      </c>
      <c r="W144" s="41" t="n">
        <v>1</v>
      </c>
      <c r="X144" s="37">
        <f>SUM(Y144:AE144)</f>
        <v/>
      </c>
      <c r="Y144" s="43" t="n"/>
      <c r="Z144" s="43" t="n"/>
      <c r="AA144" s="43" t="n"/>
      <c r="AB144" s="43" t="n"/>
      <c r="AC144" s="43" t="n"/>
      <c r="AD144" s="43" t="n"/>
      <c r="AE144" s="43" t="n"/>
      <c r="AF144" s="38">
        <f>IF((W144-SUM(Y144:AE144))&lt;0,0,W144-SUM(Y144:AE144))</f>
        <v/>
      </c>
      <c r="AG144" s="34">
        <f>MAX(0,$AT144-$W144-$AI144)</f>
        <v/>
      </c>
      <c r="AH144" s="34" t="n"/>
      <c r="AI144" s="34" t="n"/>
      <c r="AJ144" s="36" t="n">
        <v>0.36</v>
      </c>
      <c r="AK144" s="36">
        <f>IF(AND($AG144&gt;0,ISNUMBER($AJ144)),$AG144*$AJ144,0)</f>
        <v/>
      </c>
      <c r="AP144" s="58" t="n"/>
      <c r="AT144" s="37">
        <f>SUM(AU144:BA144)</f>
        <v/>
      </c>
      <c r="AU144" s="73" t="n"/>
      <c r="AV144" s="33" t="n"/>
      <c r="AW144" s="33" t="n"/>
      <c r="AX144" s="33" t="n"/>
      <c r="AY144" s="100" t="n"/>
      <c r="AZ144" s="33" t="n"/>
      <c r="BA144" s="74" t="n"/>
      <c r="BB144" s="106" t="n"/>
      <c r="BC144" s="42" t="n"/>
      <c r="BD144" s="42" t="n"/>
    </row>
    <row r="145" ht="15" customHeight="1" s="148">
      <c r="A145" t="inlineStr">
        <is>
          <t>c0141</t>
        </is>
      </c>
      <c r="B145" s="39" t="inlineStr">
        <is>
          <t>Old Thrush</t>
        </is>
      </c>
      <c r="C145" s="40" t="inlineStr">
        <is>
          <t>C</t>
        </is>
      </c>
      <c r="D145" s="39" t="inlineStr">
        <is>
          <t>Creature</t>
        </is>
      </c>
      <c r="E145" s="41" t="inlineStr">
        <is>
          <t>B2</t>
        </is>
      </c>
      <c r="F145" s="40" t="n">
        <v>2</v>
      </c>
      <c r="G145" s="67" t="inlineStr">
        <is>
          <t>Flying
When this creature enters, you gain 2 life. You may search your library for a basic land card, reveal it, then shuffle and put that card on top.
(1/2)</t>
        </is>
      </c>
      <c r="H145" s="39" t="inlineStr">
        <is>
          <t>Card Selection</t>
        </is>
      </c>
      <c r="I145" s="39" t="inlineStr">
        <is>
          <t>Enters: you gain 2 life and may search your library for a basic land card to put on top</t>
        </is>
      </c>
      <c r="J145" s="39" t="inlineStr">
        <is>
          <t>Flying</t>
        </is>
      </c>
      <c r="K145" s="39" t="n"/>
      <c r="L145" s="88" t="inlineStr">
        <is>
          <t>2</t>
        </is>
      </c>
      <c r="M145" s="41" t="n">
        <v>1</v>
      </c>
      <c r="N145" s="41" t="n">
        <v>0</v>
      </c>
      <c r="O145" s="63" t="n"/>
      <c r="P145" s="90" t="n">
        <v>0.14</v>
      </c>
      <c r="Q145" s="42" t="inlineStr">
        <is>
          <t>Common</t>
        </is>
      </c>
      <c r="R145" s="42" t="n"/>
      <c r="S145" s="42" t="n"/>
      <c r="T145" s="63" t="n"/>
      <c r="U145" s="63" t="n"/>
      <c r="V145" s="39" t="inlineStr">
        <is>
          <t>The Hobbit</t>
        </is>
      </c>
      <c r="W145" s="41" t="n">
        <v>2</v>
      </c>
      <c r="X145" s="37">
        <f>SUM(Y145:AE145)</f>
        <v/>
      </c>
      <c r="Y145" s="43" t="n"/>
      <c r="Z145" s="43" t="n"/>
      <c r="AA145" s="43" t="n"/>
      <c r="AB145" s="43" t="n">
        <v>1</v>
      </c>
      <c r="AC145" s="43" t="n">
        <v>1</v>
      </c>
      <c r="AD145" s="43" t="n"/>
      <c r="AE145" s="43" t="n"/>
      <c r="AF145" s="38">
        <f>IF((W145-SUM(Y145:AE145))&lt;0,0,W145-SUM(Y145:AE145))</f>
        <v/>
      </c>
      <c r="AG145" s="34">
        <f>MAX(0,$AT145-$W145-$AI145)</f>
        <v/>
      </c>
      <c r="AH145" s="39" t="n"/>
      <c r="AI145" s="39" t="n"/>
      <c r="AJ145" s="39" t="n">
        <v>0.19</v>
      </c>
      <c r="AK145" s="39">
        <f>IF(AND($AG145&gt;0,ISNUMBER($AJ145)),$AG145*$AJ145,0)</f>
        <v/>
      </c>
      <c r="AO145" s="58" t="inlineStr">
        <is>
          <t>BL0075</t>
        </is>
      </c>
      <c r="AP145" s="58" t="n"/>
      <c r="AT145" s="37">
        <f>SUM(AU145:BA145)</f>
        <v/>
      </c>
      <c r="AU145" s="73" t="n"/>
      <c r="AV145" s="33" t="n"/>
      <c r="AW145" s="33" t="n"/>
      <c r="AX145" s="100" t="n"/>
      <c r="AY145" s="99" t="n"/>
      <c r="AZ145" s="33" t="n"/>
      <c r="BA145" s="74" t="n"/>
      <c r="BB145" s="107" t="n"/>
      <c r="BC145" s="42" t="n"/>
      <c r="BD145" s="42" t="n"/>
    </row>
    <row r="146" ht="15" customHeight="1" s="148">
      <c r="A146" t="inlineStr">
        <is>
          <t>c0142</t>
        </is>
      </c>
      <c r="B146" s="44" t="inlineStr">
        <is>
          <t>Orzhov Signet</t>
        </is>
      </c>
      <c r="C146" s="34" t="inlineStr">
        <is>
          <t>C</t>
        </is>
      </c>
      <c r="D146" s="39" t="inlineStr">
        <is>
          <t>Artifact</t>
        </is>
      </c>
      <c r="E146" s="41" t="inlineStr">
        <is>
          <t>B2</t>
        </is>
      </c>
      <c r="F146" s="40" t="n">
        <v>2</v>
      </c>
      <c r="G146" s="67" t="inlineStr">
        <is>
          <t>{1}, {T}: Add {W}{B}.</t>
        </is>
      </c>
      <c r="H146" s="39" t="inlineStr">
        <is>
          <t>Mana Rock</t>
        </is>
      </c>
      <c r="I146" s="39" t="inlineStr">
        <is>
          <t>{1}, {T}: Add {W}{B}</t>
        </is>
      </c>
      <c r="J146" s="39" t="n"/>
      <c r="K146" s="39" t="n"/>
      <c r="L146" s="42" t="n"/>
      <c r="M146" s="42" t="n"/>
      <c r="N146" s="42" t="n"/>
      <c r="O146" s="42" t="n"/>
      <c r="P146" s="42" t="n">
        <v>0.38</v>
      </c>
      <c r="Q146" s="42" t="n"/>
      <c r="R146" s="42" t="n"/>
      <c r="S146" s="42" t="n"/>
      <c r="T146" s="42" t="n"/>
      <c r="U146" s="42" t="n"/>
      <c r="V146" s="39" t="inlineStr">
        <is>
          <t>Guildpact</t>
        </is>
      </c>
      <c r="W146" s="41" t="n">
        <v>2</v>
      </c>
      <c r="X146" s="37">
        <f>SUM(Y146:AE146)</f>
        <v/>
      </c>
      <c r="Y146" s="43" t="n"/>
      <c r="Z146" s="43" t="n"/>
      <c r="AA146" s="43" t="n"/>
      <c r="AB146" s="43" t="n">
        <v>1</v>
      </c>
      <c r="AC146" s="43" t="n">
        <v>1</v>
      </c>
      <c r="AD146" s="43" t="n"/>
      <c r="AE146" s="43" t="n"/>
      <c r="AF146" s="38">
        <f>IF((W146-SUM(Y146:AE146))&lt;0,0,W146-SUM(Y146:AE146))</f>
        <v/>
      </c>
      <c r="AG146" s="34">
        <f>MAX(0,$AT146-$W146-$AI146)</f>
        <v/>
      </c>
      <c r="AH146" s="39" t="n"/>
      <c r="AI146" s="39" t="n"/>
      <c r="AJ146" s="39" t="n">
        <v>0.32</v>
      </c>
      <c r="AK146" s="39">
        <f>IF(AND($AG146&gt;0,ISNUMBER($AJ146)),$AG146*$AJ146,0)</f>
        <v/>
      </c>
      <c r="AT146" s="37">
        <f>SUM(AU146:BA146)</f>
        <v/>
      </c>
      <c r="AU146" s="73" t="n"/>
      <c r="AV146" s="33" t="n"/>
      <c r="AW146" s="33" t="n"/>
      <c r="AX146" s="98" t="n">
        <v>1</v>
      </c>
      <c r="AY146" s="98" t="n">
        <v>1</v>
      </c>
      <c r="AZ146" s="33" t="n"/>
      <c r="BA146" s="74" t="n"/>
      <c r="BB146" s="107" t="n"/>
      <c r="BC146" s="42" t="n"/>
      <c r="BD146" s="42" t="n"/>
    </row>
    <row r="147" ht="15" customHeight="1" s="148">
      <c r="A147" t="inlineStr">
        <is>
          <t>c0143</t>
        </is>
      </c>
      <c r="B147" s="44" t="inlineStr">
        <is>
          <t>Panharmonicon</t>
        </is>
      </c>
      <c r="C147" s="34" t="inlineStr">
        <is>
          <t>C</t>
        </is>
      </c>
      <c r="D147" s="44" t="inlineStr">
        <is>
          <t>Artifact</t>
        </is>
      </c>
      <c r="E147" s="41" t="inlineStr">
        <is>
          <t>B3</t>
        </is>
      </c>
      <c r="F147" s="34" t="n">
        <v>4</v>
      </c>
      <c r="G147" s="67" t="inlineStr">
        <is>
          <t>If an artifact or creature entering causes a triggered ability of a permanent you control to trigger, that ability triggers an additional time.</t>
        </is>
      </c>
      <c r="H147" s="45" t="inlineStr">
        <is>
          <t>Value Engine</t>
        </is>
      </c>
      <c r="I147" s="45" t="inlineStr">
        <is>
          <t>If an artifact or creature entering causes a triggered ability of a permanent you control to trigger, that ability trigg</t>
        </is>
      </c>
      <c r="J147" s="45" t="n"/>
      <c r="K147" s="45" t="n"/>
      <c r="L147" s="42" t="n"/>
      <c r="M147" s="42" t="n"/>
      <c r="N147" s="42" t="n"/>
      <c r="O147" s="42" t="n"/>
      <c r="P147" s="42" t="n">
        <v>6.15</v>
      </c>
      <c r="Q147" s="42" t="n"/>
      <c r="R147" s="42" t="n"/>
      <c r="S147" s="42" t="n"/>
      <c r="T147" s="42" t="n"/>
      <c r="U147" s="42" t="n"/>
      <c r="V147" s="45" t="inlineStr">
        <is>
          <t>Kaladesh</t>
        </is>
      </c>
      <c r="W147" s="41" t="n">
        <v>0</v>
      </c>
      <c r="X147" s="37">
        <f>SUM(Y147:AE147)</f>
        <v/>
      </c>
      <c r="Y147" s="43" t="n"/>
      <c r="Z147" s="43" t="n"/>
      <c r="AA147" s="43" t="n"/>
      <c r="AB147" s="43" t="n"/>
      <c r="AC147" s="43" t="n"/>
      <c r="AD147" s="43" t="n"/>
      <c r="AE147" s="43" t="n"/>
      <c r="AF147" s="38">
        <f>IF((W147-SUM(Y147:AE147))&lt;0,0,W147-SUM(Y147:AE147))</f>
        <v/>
      </c>
      <c r="AG147" s="34">
        <f>MAX(0,$AT147-$W147-$AI147)</f>
        <v/>
      </c>
      <c r="AH147" s="34" t="n"/>
      <c r="AI147" s="34" t="n"/>
      <c r="AJ147" s="36" t="n">
        <v>6.92</v>
      </c>
      <c r="AK147" s="36">
        <f>IF(AND($AG147&gt;0,ISNUMBER($AJ147)),$AG147*$AJ147,0)</f>
        <v/>
      </c>
      <c r="AL147" s="54" t="n"/>
      <c r="AM147" s="54" t="n"/>
      <c r="AN147" s="54" t="n"/>
      <c r="AO147" s="54" t="n"/>
      <c r="AP147" s="54" t="n"/>
      <c r="AQ147" s="54" t="n"/>
      <c r="AR147" s="54" t="n"/>
      <c r="AS147" s="54" t="n"/>
      <c r="AT147" s="37">
        <f>SUM(AU147:BA147)</f>
        <v/>
      </c>
      <c r="AU147" s="92" t="n"/>
      <c r="AV147" s="38" t="n"/>
      <c r="AW147" s="38" t="n"/>
      <c r="AX147" s="38" t="n"/>
      <c r="AY147" s="38" t="n"/>
      <c r="AZ147" s="38" t="n"/>
      <c r="BA147" s="94" t="n"/>
      <c r="BB147" s="106" t="n"/>
      <c r="BC147" s="42" t="n"/>
      <c r="BD147" s="42" t="n"/>
    </row>
    <row r="148" ht="15" customHeight="1" s="148">
      <c r="A148" t="inlineStr">
        <is>
          <t>c0144</t>
        </is>
      </c>
      <c r="B148" s="44" t="inlineStr">
        <is>
          <t>Patchwork Banner</t>
        </is>
      </c>
      <c r="C148" s="34" t="inlineStr">
        <is>
          <t>C</t>
        </is>
      </c>
      <c r="D148" s="44" t="inlineStr">
        <is>
          <t>Artifact</t>
        </is>
      </c>
      <c r="E148" s="41" t="inlineStr">
        <is>
          <t>B2</t>
        </is>
      </c>
      <c r="F148" s="34" t="n">
        <v>3</v>
      </c>
      <c r="G148" s="67" t="inlineStr">
        <is>
          <t>As this artifact enters, choose a creature type.
Creatures you control of the chosen type get +1/+1.
{T}: Add one mana of any color.</t>
        </is>
      </c>
      <c r="H148" s="45" t="inlineStr">
        <is>
          <t>Lord/Anthem</t>
        </is>
      </c>
      <c r="I148" s="45" t="inlineStr">
        <is>
          <t>Choose a creature type; those creatures get +1/+1</t>
        </is>
      </c>
      <c r="J148" s="45" t="inlineStr">
        <is>
          <t>Taps for one mana of any color</t>
        </is>
      </c>
      <c r="K148" s="45" t="n"/>
      <c r="L148" s="42" t="n"/>
      <c r="M148" s="42" t="n"/>
      <c r="N148" s="42" t="n"/>
      <c r="O148" s="42" t="n"/>
      <c r="P148" s="42" t="n">
        <v>2.82</v>
      </c>
      <c r="Q148" s="42" t="n"/>
      <c r="R148" s="42" t="n"/>
      <c r="S148" s="42" t="n"/>
      <c r="T148" s="42" t="n"/>
      <c r="U148" s="42" t="n"/>
      <c r="V148" s="45" t="inlineStr">
        <is>
          <t>Bloomburrow</t>
        </is>
      </c>
      <c r="W148" s="41" t="n">
        <v>1</v>
      </c>
      <c r="X148" s="37">
        <f>SUM(Y148:AE148)</f>
        <v/>
      </c>
      <c r="Y148" s="43" t="n"/>
      <c r="Z148" s="43" t="n"/>
      <c r="AA148" s="43" t="n"/>
      <c r="AB148" s="43" t="n"/>
      <c r="AC148" s="43" t="n"/>
      <c r="AD148" s="43" t="n">
        <v>1</v>
      </c>
      <c r="AE148" s="43" t="n"/>
      <c r="AF148" s="38">
        <f>IF((W148-SUM(Y148:AE148))&lt;0,0,W148-SUM(Y148:AE148))</f>
        <v/>
      </c>
      <c r="AG148" s="34">
        <f>MAX(0,$AT148-$W148-$AI148)</f>
        <v/>
      </c>
      <c r="AH148" s="34" t="n"/>
      <c r="AI148" s="34" t="n"/>
      <c r="AJ148" s="36" t="n">
        <v>2.52</v>
      </c>
      <c r="AK148" s="36">
        <f>IF(AND($AG148&gt;0,ISNUMBER($AJ148)),$AG148*$AJ148,0)</f>
        <v/>
      </c>
      <c r="AT148" s="37">
        <f>SUM(AU148:BA148)</f>
        <v/>
      </c>
      <c r="AU148" s="73" t="n"/>
      <c r="AV148" s="33" t="n"/>
      <c r="AW148" s="33" t="n"/>
      <c r="AX148" s="33" t="n"/>
      <c r="AY148" s="33" t="n"/>
      <c r="AZ148" s="98" t="n">
        <v>1</v>
      </c>
      <c r="BA148" s="74" t="n"/>
      <c r="BB148" s="106" t="n"/>
      <c r="BC148" s="42" t="n"/>
      <c r="BD148" s="42" t="n"/>
    </row>
    <row r="149" ht="15" customHeight="1" s="148">
      <c r="A149" t="inlineStr">
        <is>
          <t>c0145</t>
        </is>
      </c>
      <c r="B149" s="44" t="inlineStr">
        <is>
          <t>Perpetual Timepiece</t>
        </is>
      </c>
      <c r="C149" s="34" t="inlineStr">
        <is>
          <t>C</t>
        </is>
      </c>
      <c r="D149" s="44" t="inlineStr">
        <is>
          <t>Artifact</t>
        </is>
      </c>
      <c r="E149" s="41" t="inlineStr">
        <is>
          <t>B2</t>
        </is>
      </c>
      <c r="F149" s="34" t="n">
        <v>2</v>
      </c>
      <c r="G149" s="67" t="inlineStr">
        <is>
          <t>{T}: Mill two cards. (Put the top two cards of your library into your graveyard.)
{2}, Exile this artifact: Shuffle any number of target cards from your graveyard into your library.</t>
        </is>
      </c>
      <c r="H149" s="45" t="inlineStr">
        <is>
          <t>Graveyard Hate</t>
        </is>
      </c>
      <c r="I149" s="45" t="inlineStr">
        <is>
          <t>Tap: mill two cards</t>
        </is>
      </c>
      <c r="J149" s="45" t="inlineStr">
        <is>
          <t>Exile this: shuffle any number of target graveyard cards into your library</t>
        </is>
      </c>
      <c r="K149" s="45" t="n"/>
      <c r="L149" s="42" t="n"/>
      <c r="M149" s="42" t="n"/>
      <c r="N149" s="42" t="n"/>
      <c r="O149" s="42" t="n"/>
      <c r="P149" s="42" t="n">
        <v>0.32</v>
      </c>
      <c r="Q149" s="42" t="n"/>
      <c r="R149" s="42" t="n"/>
      <c r="S149" s="42" t="n"/>
      <c r="T149" s="42" t="n"/>
      <c r="U149" s="42" t="n"/>
      <c r="V149" s="45" t="inlineStr">
        <is>
          <t>Kaladesh</t>
        </is>
      </c>
      <c r="W149" s="41" t="n">
        <v>1</v>
      </c>
      <c r="X149" s="37">
        <f>SUM(Y149:AE149)</f>
        <v/>
      </c>
      <c r="Y149" s="43" t="n">
        <v>1</v>
      </c>
      <c r="Z149" s="43" t="n"/>
      <c r="AA149" s="43" t="n"/>
      <c r="AB149" s="43" t="n"/>
      <c r="AC149" s="43" t="n"/>
      <c r="AD149" s="43" t="n"/>
      <c r="AE149" s="43" t="n"/>
      <c r="AF149" s="38">
        <f>IF((W149-SUM(Y149:AE149))&lt;0,0,W149-SUM(Y149:AE149))</f>
        <v/>
      </c>
      <c r="AG149" s="34">
        <f>MAX(0,$AT149-$W149-$AI149)</f>
        <v/>
      </c>
      <c r="AH149" s="34" t="n"/>
      <c r="AI149" s="34" t="n"/>
      <c r="AJ149" s="36" t="n">
        <v>0.29</v>
      </c>
      <c r="AK149" s="36">
        <f>IF(AND($AG149&gt;0,ISNUMBER($AJ149)),$AG149*$AJ149,0)</f>
        <v/>
      </c>
      <c r="AT149" s="37">
        <f>SUM(AU149:BA149)</f>
        <v/>
      </c>
      <c r="AU149" s="82" t="n">
        <v>1</v>
      </c>
      <c r="AV149" s="33" t="n"/>
      <c r="AW149" s="33" t="n"/>
      <c r="AX149" s="33" t="n"/>
      <c r="AY149" s="33" t="n"/>
      <c r="AZ149" s="33" t="n"/>
      <c r="BA149" s="74" t="n"/>
      <c r="BB149" s="106" t="n"/>
      <c r="BC149" s="42" t="n"/>
      <c r="BD149" s="42" t="n"/>
    </row>
    <row r="150" ht="15" customHeight="1" s="148">
      <c r="A150" t="inlineStr">
        <is>
          <t>c0146</t>
        </is>
      </c>
      <c r="B150" s="44" t="inlineStr">
        <is>
          <t>Pilgrim's Eye</t>
        </is>
      </c>
      <c r="C150" s="34" t="inlineStr">
        <is>
          <t>C</t>
        </is>
      </c>
      <c r="D150" s="44" t="inlineStr">
        <is>
          <t>Artifact Creature</t>
        </is>
      </c>
      <c r="E150" s="41" t="inlineStr">
        <is>
          <t>B2</t>
        </is>
      </c>
      <c r="F150" s="34" t="n">
        <v>3</v>
      </c>
      <c r="G150" s="67" t="inlineStr">
        <is>
          <t>Flying
When this creature enters, you may search your library for a basic land card, reveal it, put it into your hand, then shuffle.
(1/1)</t>
        </is>
      </c>
      <c r="H150" s="45" t="inlineStr">
        <is>
          <t>Ramp</t>
        </is>
      </c>
      <c r="I150" s="45" t="inlineStr">
        <is>
          <t>2/2 body that can block fliers</t>
        </is>
      </c>
      <c r="J150" s="45" t="inlineStr">
        <is>
          <t>Enters: search library for a basic land, put it into hand</t>
        </is>
      </c>
      <c r="K150" s="45" t="n"/>
      <c r="L150" s="42" t="n"/>
      <c r="M150" s="42" t="n"/>
      <c r="N150" s="42" t="n"/>
      <c r="O150" s="63" t="n"/>
      <c r="P150" s="63" t="n">
        <v>0.21</v>
      </c>
      <c r="Q150" s="42" t="n"/>
      <c r="R150" s="42" t="n"/>
      <c r="S150" s="42" t="n"/>
      <c r="T150" s="63" t="n"/>
      <c r="U150" s="63" t="n"/>
      <c r="V150" s="45" t="inlineStr">
        <is>
          <t>Worldwake</t>
        </is>
      </c>
      <c r="W150" s="41" t="n">
        <v>3</v>
      </c>
      <c r="X150" s="37">
        <f>SUM(Y150:AE150)</f>
        <v/>
      </c>
      <c r="Y150" s="43" t="n"/>
      <c r="Z150" s="43" t="n">
        <v>1</v>
      </c>
      <c r="AA150" s="43" t="n"/>
      <c r="AB150" s="43" t="n"/>
      <c r="AC150" s="43" t="n">
        <v>1</v>
      </c>
      <c r="AD150" s="43" t="n"/>
      <c r="AE150" s="43" t="n"/>
      <c r="AF150" s="38">
        <f>IF((W150-SUM(Y150:AE150))&lt;0,0,W150-SUM(Y150:AE150))</f>
        <v/>
      </c>
      <c r="AG150" s="34">
        <f>MAX(0,$AT150-$W150-$AI150)</f>
        <v/>
      </c>
      <c r="AH150" s="34" t="n"/>
      <c r="AI150" s="34" t="n"/>
      <c r="AJ150" s="36" t="n">
        <v>0.17</v>
      </c>
      <c r="AK150" s="36">
        <f>IF(AND($AG150&gt;0,ISNUMBER($AJ150)),$AG150*$AJ150,0)</f>
        <v/>
      </c>
      <c r="AM150" s="58" t="n"/>
      <c r="AP150" s="58" t="inlineStr">
        <is>
          <t>BL0007</t>
        </is>
      </c>
      <c r="AQ150" s="58" t="n"/>
      <c r="AR150" s="58" t="n"/>
      <c r="AT150" s="37">
        <f>SUM(AU150:BA150)</f>
        <v/>
      </c>
      <c r="AU150" s="73" t="n"/>
      <c r="AV150" s="99" t="n"/>
      <c r="AW150" s="33" t="n"/>
      <c r="AX150" s="33" t="n"/>
      <c r="AY150" s="99" t="n"/>
      <c r="AZ150" s="33" t="n"/>
      <c r="BA150" s="74" t="n"/>
      <c r="BB150" s="106" t="n"/>
      <c r="BC150" s="42" t="n"/>
      <c r="BD150" s="42" t="n"/>
    </row>
    <row r="151" ht="15" customHeight="1" s="148">
      <c r="A151" t="inlineStr">
        <is>
          <t>c0147</t>
        </is>
      </c>
      <c r="B151" s="44" t="inlineStr">
        <is>
          <t>Prismatic Lens</t>
        </is>
      </c>
      <c r="C151" s="34" t="inlineStr">
        <is>
          <t>C</t>
        </is>
      </c>
      <c r="D151" s="44" t="inlineStr">
        <is>
          <t>Artifact</t>
        </is>
      </c>
      <c r="E151" s="41" t="inlineStr">
        <is>
          <t>B2</t>
        </is>
      </c>
      <c r="F151" s="34" t="n">
        <v>2</v>
      </c>
      <c r="G151" s="67" t="inlineStr">
        <is>
          <t>{T}: Add {C}.
{1}, {T}: Add one mana of any color.</t>
        </is>
      </c>
      <c r="H151" s="45" t="inlineStr">
        <is>
          <t>Mana Rock</t>
        </is>
      </c>
      <c r="I151" s="45" t="inlineStr">
        <is>
          <t>Taps for colorless</t>
        </is>
      </c>
      <c r="J151" s="45" t="inlineStr">
        <is>
          <t>Pay 1 and tap for one mana of any color</t>
        </is>
      </c>
      <c r="K151" s="45" t="n"/>
      <c r="L151" s="42" t="n"/>
      <c r="M151" s="42" t="n"/>
      <c r="N151" s="42" t="n"/>
      <c r="O151" s="42" t="n"/>
      <c r="P151" s="42" t="n">
        <v>0.42</v>
      </c>
      <c r="Q151" s="42" t="n"/>
      <c r="R151" s="42" t="n"/>
      <c r="S151" s="42" t="n"/>
      <c r="T151" s="42" t="n"/>
      <c r="U151" s="42" t="n"/>
      <c r="V151" s="45" t="inlineStr">
        <is>
          <t>Time Spiral</t>
        </is>
      </c>
      <c r="W151" s="41" t="n">
        <v>0</v>
      </c>
      <c r="X151" s="37">
        <f>SUM(Y151:AE151)</f>
        <v/>
      </c>
      <c r="Y151" s="43" t="n"/>
      <c r="Z151" s="43" t="n"/>
      <c r="AA151" s="43" t="n"/>
      <c r="AB151" s="43" t="n"/>
      <c r="AC151" s="43" t="n"/>
      <c r="AD151" s="43" t="n"/>
      <c r="AE151" s="43" t="n"/>
      <c r="AF151" s="38">
        <f>IF((W151-SUM(Y151:AE151))&lt;0,0,W151-SUM(Y151:AE151))</f>
        <v/>
      </c>
      <c r="AG151" s="34">
        <f>MAX(0,$AT151-$W151-$AI151)</f>
        <v/>
      </c>
      <c r="AH151" s="34" t="n"/>
      <c r="AI151" s="34" t="n"/>
      <c r="AJ151" s="36" t="n">
        <v>0.4</v>
      </c>
      <c r="AK151" s="36">
        <f>IF(AND($AG151&gt;0,ISNUMBER($AJ151)),$AG151*$AJ151,0)</f>
        <v/>
      </c>
      <c r="AL151" s="54" t="n"/>
      <c r="AM151" s="54" t="n"/>
      <c r="AN151" s="54" t="n"/>
      <c r="AO151" s="54" t="n"/>
      <c r="AP151" s="54" t="n"/>
      <c r="AQ151" s="54" t="n"/>
      <c r="AR151" s="54" t="n"/>
      <c r="AS151" s="54" t="n"/>
      <c r="AT151" s="37">
        <f>SUM(AU151:BA151)</f>
        <v/>
      </c>
      <c r="AU151" s="92" t="n"/>
      <c r="AV151" s="38" t="n"/>
      <c r="AW151" s="38" t="n"/>
      <c r="AX151" s="38" t="n"/>
      <c r="AY151" s="38" t="n"/>
      <c r="AZ151" s="38" t="n"/>
      <c r="BA151" s="94" t="n"/>
      <c r="BB151" s="106" t="n"/>
      <c r="BC151" s="42" t="n"/>
      <c r="BD151" s="42" t="n"/>
    </row>
    <row r="152" ht="15" customHeight="1" s="148">
      <c r="A152" t="inlineStr">
        <is>
          <t>c0148</t>
        </is>
      </c>
      <c r="B152" s="44" t="inlineStr">
        <is>
          <t>Prophetic Prism</t>
        </is>
      </c>
      <c r="C152" s="34" t="inlineStr">
        <is>
          <t>C</t>
        </is>
      </c>
      <c r="D152" s="44" t="inlineStr">
        <is>
          <t>Artifact</t>
        </is>
      </c>
      <c r="E152" s="41" t="inlineStr">
        <is>
          <t>B2</t>
        </is>
      </c>
      <c r="F152" s="34" t="n">
        <v>2</v>
      </c>
      <c r="G152" s="67" t="inlineStr">
        <is>
          <t>When this artifact enters, draw a card.
{1}, {T}: Add one mana of any color.</t>
        </is>
      </c>
      <c r="H152" s="45" t="inlineStr">
        <is>
          <t>Mana Rock</t>
        </is>
      </c>
      <c r="I152" s="45" t="inlineStr">
        <is>
          <t>Taps for one mana of any color</t>
        </is>
      </c>
      <c r="J152" s="45" t="inlineStr">
        <is>
          <t>Draws a card when it enters</t>
        </is>
      </c>
      <c r="K152" s="45" t="n"/>
      <c r="L152" s="42" t="n"/>
      <c r="M152" s="42" t="n"/>
      <c r="N152" s="42" t="n"/>
      <c r="O152" s="63" t="n"/>
      <c r="P152" s="63" t="n">
        <v>0.23</v>
      </c>
      <c r="Q152" s="42" t="n"/>
      <c r="R152" s="42" t="n"/>
      <c r="S152" s="42" t="n"/>
      <c r="T152" s="63" t="n"/>
      <c r="U152" s="63" t="n"/>
      <c r="V152" s="45" t="inlineStr">
        <is>
          <t>Rise of the Eldrazi</t>
        </is>
      </c>
      <c r="W152" s="41" t="n">
        <v>2</v>
      </c>
      <c r="X152" s="37">
        <f>SUM(Y152:AE152)</f>
        <v/>
      </c>
      <c r="Y152" s="43" t="n"/>
      <c r="Z152" s="43" t="n"/>
      <c r="AA152" s="43" t="n"/>
      <c r="AB152" s="43" t="n">
        <v>1</v>
      </c>
      <c r="AC152" s="43" t="n"/>
      <c r="AD152" s="43" t="n"/>
      <c r="AE152" s="43" t="n">
        <v>1</v>
      </c>
      <c r="AF152" s="38">
        <f>IF((W152-SUM(Y152:AE152))&lt;0,0,W152-SUM(Y152:AE152))</f>
        <v/>
      </c>
      <c r="AG152" s="34">
        <f>MAX(0,$AT152-$W152-$AI152)</f>
        <v/>
      </c>
      <c r="AH152" s="34" t="n"/>
      <c r="AI152" s="34" t="n"/>
      <c r="AJ152" s="36" t="n">
        <v>0.2</v>
      </c>
      <c r="AK152" s="36">
        <f>IF(AND($AG152&gt;0,ISNUMBER($AJ152)),$AG152*$AJ152,0)</f>
        <v/>
      </c>
      <c r="AO152" s="58" t="inlineStr">
        <is>
          <t>BL0076</t>
        </is>
      </c>
      <c r="AT152" s="37">
        <f>SUM(AU152:BA152)</f>
        <v/>
      </c>
      <c r="AU152" s="73" t="n"/>
      <c r="AV152" s="33" t="n"/>
      <c r="AW152" s="33" t="n"/>
      <c r="AX152" s="100" t="n"/>
      <c r="AY152" s="33" t="n"/>
      <c r="AZ152" s="33" t="n"/>
      <c r="BA152" s="80" t="n">
        <v>1</v>
      </c>
      <c r="BB152" s="106" t="n"/>
      <c r="BC152" s="42" t="n"/>
      <c r="BD152" s="42" t="n"/>
    </row>
    <row r="153" ht="15" customHeight="1" s="148">
      <c r="A153" t="inlineStr">
        <is>
          <t>c0149</t>
        </is>
      </c>
      <c r="B153" s="39" t="inlineStr">
        <is>
          <t>Psychosis Crawler</t>
        </is>
      </c>
      <c r="C153" s="40" t="inlineStr">
        <is>
          <t>C</t>
        </is>
      </c>
      <c r="D153" s="39" t="inlineStr">
        <is>
          <t>Artifact Creature</t>
        </is>
      </c>
      <c r="E153" s="41" t="inlineStr">
        <is>
          <t>B2</t>
        </is>
      </c>
      <c r="F153" s="40" t="n">
        <v>5</v>
      </c>
      <c r="G153" s="67" t="inlineStr">
        <is>
          <t>Psychosis Crawler's power and toughness are each equal to the number of cards in your hand.
Whenever you draw a card, each opponent loses 1 life.
(*/*)</t>
        </is>
      </c>
      <c r="H153" s="39" t="inlineStr">
        <is>
          <t>Card Draw</t>
        </is>
      </c>
      <c r="I153" s="39" t="inlineStr">
        <is>
          <t>Whenever you draw a card, each opponent loses 1 life</t>
        </is>
      </c>
      <c r="J153" s="39" t="inlineStr">
        <is>
          <t>Psychosis Crawler's power and toughness are each equal to the number of cards in your hand</t>
        </is>
      </c>
      <c r="K153" s="39" t="n"/>
      <c r="L153" s="88" t="n"/>
      <c r="M153" s="41" t="n"/>
      <c r="N153" s="41" t="n"/>
      <c r="O153" s="63" t="n"/>
      <c r="P153" s="90" t="n">
        <v>2.5</v>
      </c>
      <c r="Q153" s="88" t="n"/>
      <c r="R153" s="41" t="n"/>
      <c r="S153" s="41" t="n"/>
      <c r="T153" s="63" t="n"/>
      <c r="U153" s="91" t="n"/>
      <c r="V153" s="39" t="inlineStr">
        <is>
          <t>Mirrodin Besieged</t>
        </is>
      </c>
      <c r="W153" s="41" t="n">
        <v>0</v>
      </c>
      <c r="X153" s="37">
        <f>SUM(Y153:AE153)</f>
        <v/>
      </c>
      <c r="Y153" s="43" t="n"/>
      <c r="Z153" s="43" t="n"/>
      <c r="AA153" s="43" t="n"/>
      <c r="AB153" s="43" t="n"/>
      <c r="AC153" s="43" t="n"/>
      <c r="AD153" s="43" t="n"/>
      <c r="AE153" s="43" t="n"/>
      <c r="AF153" s="38">
        <f>IF((W153-SUM(Y153:AE153))&lt;0,0,W153-SUM(Y153:AE153))</f>
        <v/>
      </c>
      <c r="AG153" s="34">
        <f>MAX(0,$AT153-$W153-$AI153)</f>
        <v/>
      </c>
      <c r="AH153" s="39" t="n"/>
      <c r="AI153" s="39" t="n"/>
      <c r="AJ153" s="39" t="n">
        <v>2.69</v>
      </c>
      <c r="AK153" s="39">
        <f>IF(AND($AG153&gt;0,ISNUMBER($AJ153)),$AG153*$AJ153,0)</f>
        <v/>
      </c>
      <c r="AT153" s="37">
        <f>SUM(AU153:BA153)</f>
        <v/>
      </c>
      <c r="AU153" s="73" t="n"/>
      <c r="AV153" s="33" t="n"/>
      <c r="AW153" s="33" t="n"/>
      <c r="AX153" s="33" t="n"/>
      <c r="AY153" s="33" t="n">
        <v>1</v>
      </c>
      <c r="AZ153" s="33" t="n"/>
      <c r="BA153" s="74" t="n"/>
      <c r="BB153" s="107" t="n"/>
      <c r="BC153" s="42" t="n"/>
      <c r="BD153" s="42" t="n"/>
    </row>
    <row r="154" ht="15" customHeight="1" s="148">
      <c r="A154" t="inlineStr">
        <is>
          <t>c0150</t>
        </is>
      </c>
      <c r="B154" s="44" t="inlineStr">
        <is>
          <t>Ruby Medallion</t>
        </is>
      </c>
      <c r="C154" s="34" t="inlineStr">
        <is>
          <t>C</t>
        </is>
      </c>
      <c r="D154" s="44" t="inlineStr">
        <is>
          <t>Artifact</t>
        </is>
      </c>
      <c r="E154" s="41" t="inlineStr">
        <is>
          <t>B3</t>
        </is>
      </c>
      <c r="F154" s="34" t="n">
        <v>2</v>
      </c>
      <c r="G154" s="67" t="inlineStr">
        <is>
          <t>Red spells you cast cost {1} less to cast.</t>
        </is>
      </c>
      <c r="H154" s="45" t="inlineStr">
        <is>
          <t>Cost Reducer</t>
        </is>
      </c>
      <c r="I154" s="45" t="inlineStr">
        <is>
          <t>Red spells you cast cost {1} less to cast.</t>
        </is>
      </c>
      <c r="J154" s="45" t="n"/>
      <c r="K154" s="45" t="n"/>
      <c r="L154" s="41" t="n"/>
      <c r="M154" s="41" t="n"/>
      <c r="N154" s="41" t="n"/>
      <c r="O154" s="41" t="n"/>
      <c r="P154" s="41" t="n">
        <v>13.89</v>
      </c>
      <c r="Q154" s="41" t="n"/>
      <c r="R154" s="41" t="n"/>
      <c r="S154" s="41" t="n"/>
      <c r="T154" s="41" t="n"/>
      <c r="U154" s="41" t="n"/>
      <c r="V154" s="45" t="inlineStr">
        <is>
          <t>Tempest</t>
        </is>
      </c>
      <c r="W154" s="41" t="n">
        <v>0</v>
      </c>
      <c r="X154" s="37">
        <f>SUM(Y154:AE154)</f>
        <v/>
      </c>
      <c r="Y154" s="43" t="n"/>
      <c r="Z154" s="43" t="n"/>
      <c r="AA154" s="43" t="n"/>
      <c r="AB154" s="43" t="n"/>
      <c r="AC154" s="43" t="n"/>
      <c r="AD154" s="43" t="n"/>
      <c r="AE154" s="43" t="n"/>
      <c r="AF154" s="38">
        <f>IF((W154-SUM(Y154:AE154))&lt;0,0,W154-SUM(Y154:AE154))</f>
        <v/>
      </c>
      <c r="AG154" s="34">
        <f>MAX(0,$AT154-$W154-$AI154)</f>
        <v/>
      </c>
      <c r="AH154" s="34" t="n"/>
      <c r="AI154" s="34" t="n"/>
      <c r="AJ154" s="36" t="n">
        <v>14.81</v>
      </c>
      <c r="AK154" s="36">
        <f>IF(AND($AG154&gt;0,ISNUMBER($AJ154)),$AG154*$AJ154,0)</f>
        <v/>
      </c>
      <c r="AL154" s="54" t="n"/>
      <c r="AM154" s="54" t="n"/>
      <c r="AN154" s="54" t="n"/>
      <c r="AO154" s="54" t="n"/>
      <c r="AP154" s="54" t="n"/>
      <c r="AQ154" s="54" t="n"/>
      <c r="AR154" s="54" t="n"/>
      <c r="AS154" s="54" t="n"/>
      <c r="AT154" s="37">
        <f>SUM(AU154:BA154)</f>
        <v/>
      </c>
      <c r="AU154" s="92" t="n"/>
      <c r="AV154" s="38" t="n"/>
      <c r="AW154" s="38" t="n"/>
      <c r="AX154" s="38" t="n"/>
      <c r="AY154" s="38" t="n"/>
      <c r="AZ154" s="38" t="n"/>
      <c r="BA154" s="94" t="n"/>
      <c r="BB154" s="106" t="n"/>
      <c r="BC154" s="42" t="n"/>
      <c r="BD154" s="42" t="n"/>
    </row>
    <row r="155" ht="15" customHeight="1" s="148">
      <c r="A155" t="inlineStr">
        <is>
          <t>c0151</t>
        </is>
      </c>
      <c r="B155" s="44" t="inlineStr">
        <is>
          <t>Selesnya Signet</t>
        </is>
      </c>
      <c r="C155" s="34" t="inlineStr">
        <is>
          <t>C</t>
        </is>
      </c>
      <c r="D155" s="39" t="inlineStr">
        <is>
          <t>Artifact</t>
        </is>
      </c>
      <c r="E155" s="41" t="inlineStr">
        <is>
          <t>B2</t>
        </is>
      </c>
      <c r="F155" s="40" t="n">
        <v>2</v>
      </c>
      <c r="G155" s="67" t="inlineStr">
        <is>
          <t>{1}, {T}: Add {G}{W}.</t>
        </is>
      </c>
      <c r="H155" s="39" t="inlineStr">
        <is>
          <t>Mana Rock</t>
        </is>
      </c>
      <c r="I155" s="39" t="inlineStr">
        <is>
          <t>{1}, {T}: Add {G}{W}</t>
        </is>
      </c>
      <c r="J155" s="39" t="n"/>
      <c r="K155" s="39" t="n"/>
      <c r="L155" s="42" t="n"/>
      <c r="M155" s="42" t="n"/>
      <c r="N155" s="42" t="n"/>
      <c r="O155" s="42" t="n"/>
      <c r="P155" s="42" t="n">
        <v>0.42</v>
      </c>
      <c r="Q155" s="42" t="n"/>
      <c r="R155" s="42" t="n"/>
      <c r="S155" s="42" t="n"/>
      <c r="T155" s="42" t="n"/>
      <c r="U155" s="42" t="n"/>
      <c r="V155" s="39" t="inlineStr">
        <is>
          <t>Salvat 2005</t>
        </is>
      </c>
      <c r="W155" s="41" t="n">
        <v>1</v>
      </c>
      <c r="X155" s="37">
        <f>SUM(Y155:AE155)</f>
        <v/>
      </c>
      <c r="Y155" s="43" t="n"/>
      <c r="Z155" s="43" t="n"/>
      <c r="AA155" s="43" t="n"/>
      <c r="AB155" s="43" t="n">
        <v>1</v>
      </c>
      <c r="AC155" s="43" t="n"/>
      <c r="AD155" s="43" t="n"/>
      <c r="AE155" s="43" t="n"/>
      <c r="AF155" s="38">
        <f>IF((W155-SUM(Y155:AE155))&lt;0,0,W155-SUM(Y155:AE155))</f>
        <v/>
      </c>
      <c r="AG155" s="34">
        <f>MAX(0,$AT155-$W155-$AI155)</f>
        <v/>
      </c>
      <c r="AH155" s="39" t="n"/>
      <c r="AI155" s="39" t="n"/>
      <c r="AJ155" s="39" t="n">
        <v>0.44</v>
      </c>
      <c r="AK155" s="39">
        <f>IF(AND($AG155&gt;0,ISNUMBER($AJ155)),$AG155*$AJ155,0)</f>
        <v/>
      </c>
      <c r="AT155" s="37">
        <f>SUM(AU155:BA155)</f>
        <v/>
      </c>
      <c r="AU155" s="73" t="n"/>
      <c r="AV155" s="33" t="n"/>
      <c r="AW155" s="33" t="n"/>
      <c r="AX155" s="98" t="n">
        <v>1</v>
      </c>
      <c r="AY155" s="33" t="n"/>
      <c r="AZ155" s="33" t="n"/>
      <c r="BA155" s="74" t="n"/>
      <c r="BB155" s="107" t="n"/>
      <c r="BC155" s="42" t="n"/>
      <c r="BD155" s="42" t="n"/>
    </row>
    <row r="156" ht="15" customHeight="1" s="148">
      <c r="A156" t="inlineStr">
        <is>
          <t>c0152</t>
        </is>
      </c>
      <c r="B156" s="44" t="inlineStr">
        <is>
          <t>Shield-Wall Sentinel</t>
        </is>
      </c>
      <c r="C156" s="34" t="inlineStr">
        <is>
          <t>C</t>
        </is>
      </c>
      <c r="D156" s="44" t="inlineStr">
        <is>
          <t>Artifact Creature</t>
        </is>
      </c>
      <c r="E156" s="41" t="inlineStr">
        <is>
          <t>B2</t>
        </is>
      </c>
      <c r="F156" s="34" t="n">
        <v>4</v>
      </c>
      <c r="G156" s="67" t="inlineStr">
        <is>
          <t>Defender
When this creature enters, you may search your library for a creature card with defender, reveal it, put it into your hand, then shuffle.
(1/3)</t>
        </is>
      </c>
      <c r="H156" s="45" t="inlineStr">
        <is>
          <t>Tutor</t>
        </is>
      </c>
      <c r="I156" s="45" t="inlineStr">
        <is>
          <t>Defender</t>
        </is>
      </c>
      <c r="J156" s="45" t="inlineStr">
        <is>
          <t>When this creature enters, you may search your library for a creature card with defender, reveal it, put it into your ha</t>
        </is>
      </c>
      <c r="K156" s="45" t="n"/>
      <c r="L156" s="42" t="n"/>
      <c r="M156" s="42" t="n"/>
      <c r="N156" s="42" t="n"/>
      <c r="O156" s="42" t="n"/>
      <c r="P156" s="42" t="n">
        <v>0.41</v>
      </c>
      <c r="Q156" s="42" t="n"/>
      <c r="R156" s="42" t="n"/>
      <c r="S156" s="42" t="n"/>
      <c r="T156" s="42" t="n"/>
      <c r="U156" s="42" t="n"/>
      <c r="V156" s="45" t="inlineStr">
        <is>
          <t>Dominaria United</t>
        </is>
      </c>
      <c r="W156" s="41" t="n">
        <v>1</v>
      </c>
      <c r="X156" s="37">
        <f>SUM(Y156:AE156)</f>
        <v/>
      </c>
      <c r="Y156" s="43" t="n"/>
      <c r="Z156" s="43" t="n"/>
      <c r="AA156" s="43" t="n"/>
      <c r="AB156" s="43" t="n">
        <v>1</v>
      </c>
      <c r="AC156" s="43" t="n"/>
      <c r="AD156" s="43" t="n"/>
      <c r="AE156" s="43" t="n"/>
      <c r="AF156" s="38">
        <f>IF((W156-SUM(Y156:AE156))&lt;0,0,W156-SUM(Y156:AE156))</f>
        <v/>
      </c>
      <c r="AG156" s="34">
        <f>MAX(0,$AT156-$W156-$AI156)</f>
        <v/>
      </c>
      <c r="AH156" s="34" t="n"/>
      <c r="AI156" s="34" t="n"/>
      <c r="AJ156" s="36" t="n">
        <v>0.35</v>
      </c>
      <c r="AK156" s="36">
        <f>IF(AND($AG156&gt;0,ISNUMBER($AJ156)),$AG156*$AJ156,0)</f>
        <v/>
      </c>
      <c r="AO156" s="58" t="n"/>
      <c r="AT156" s="37">
        <f>SUM(AU156:BA156)</f>
        <v/>
      </c>
      <c r="AU156" s="73" t="n"/>
      <c r="AV156" s="33" t="n"/>
      <c r="AW156" s="33" t="n"/>
      <c r="AX156" s="98" t="n">
        <v>1</v>
      </c>
      <c r="AY156" s="33" t="n"/>
      <c r="AZ156" s="33" t="n"/>
      <c r="BA156" s="74" t="n"/>
      <c r="BB156" s="106" t="n"/>
      <c r="BC156" s="42" t="n"/>
      <c r="BD156" s="42" t="n"/>
    </row>
    <row r="157" ht="15" customHeight="1" s="148">
      <c r="A157" t="inlineStr">
        <is>
          <t>c0153</t>
        </is>
      </c>
      <c r="B157" s="44" t="inlineStr">
        <is>
          <t>Simic Signet</t>
        </is>
      </c>
      <c r="C157" s="34" t="inlineStr">
        <is>
          <t>C</t>
        </is>
      </c>
      <c r="D157" s="44" t="inlineStr">
        <is>
          <t>Artifact</t>
        </is>
      </c>
      <c r="E157" s="41" t="inlineStr">
        <is>
          <t>B2</t>
        </is>
      </c>
      <c r="F157" s="34" t="n">
        <v>2</v>
      </c>
      <c r="G157" s="67" t="inlineStr">
        <is>
          <t>{1}, {T}: Add {G}{U}.</t>
        </is>
      </c>
      <c r="H157" s="45" t="inlineStr">
        <is>
          <t>Mana Rock</t>
        </is>
      </c>
      <c r="I157" s="45" t="inlineStr">
        <is>
          <t>{1}, tap: add {G}{U}</t>
        </is>
      </c>
      <c r="J157" s="45" t="n"/>
      <c r="K157" s="45" t="n"/>
      <c r="L157" s="42" t="n"/>
      <c r="M157" s="42" t="n"/>
      <c r="N157" s="42" t="n"/>
      <c r="O157" s="42" t="n"/>
      <c r="P157" s="42" t="n">
        <v>0.36</v>
      </c>
      <c r="Q157" s="42" t="n"/>
      <c r="R157" s="42" t="n"/>
      <c r="S157" s="42" t="n"/>
      <c r="T157" s="42" t="n"/>
      <c r="U157" s="42" t="n"/>
      <c r="V157" s="45" t="inlineStr">
        <is>
          <t>Dissension</t>
        </is>
      </c>
      <c r="W157" s="41" t="n">
        <v>2</v>
      </c>
      <c r="X157" s="37">
        <f>SUM(Y157:AE157)</f>
        <v/>
      </c>
      <c r="Y157" s="43" t="n"/>
      <c r="Z157" s="43" t="n"/>
      <c r="AA157" s="43" t="n">
        <v>1</v>
      </c>
      <c r="AB157" s="43" t="n"/>
      <c r="AC157" s="43" t="n"/>
      <c r="AD157" s="43" t="n"/>
      <c r="AE157" s="43" t="n"/>
      <c r="AF157" s="38">
        <f>IF((W157-SUM(Y157:AE157))&lt;0,0,W157-SUM(Y157:AE157))</f>
        <v/>
      </c>
      <c r="AG157" s="34">
        <f>MAX(0,$AT157-$W157-$AI157)</f>
        <v/>
      </c>
      <c r="AH157" s="34" t="n"/>
      <c r="AI157" s="34" t="n"/>
      <c r="AJ157" s="36" t="n">
        <v>0.35</v>
      </c>
      <c r="AK157" s="36">
        <f>IF(AND($AG157&gt;0,ISNUMBER($AJ157)),$AG157*$AJ157,0)</f>
        <v/>
      </c>
      <c r="AT157" s="37" t="n">
        <v>1</v>
      </c>
      <c r="AU157" s="73" t="n"/>
      <c r="AV157" s="33" t="n"/>
      <c r="AW157" s="98" t="n">
        <v>1</v>
      </c>
      <c r="AX157" s="33" t="n"/>
      <c r="AY157" s="33" t="n"/>
      <c r="AZ157" s="33" t="n"/>
      <c r="BA157" s="80" t="n"/>
      <c r="BB157" s="106" t="n"/>
      <c r="BC157" s="42" t="n"/>
      <c r="BD157" s="42" t="n"/>
    </row>
    <row r="158" ht="15" customHeight="1" s="148">
      <c r="A158" t="inlineStr">
        <is>
          <t>c0154</t>
        </is>
      </c>
      <c r="B158" s="44" t="inlineStr">
        <is>
          <t>Skullclamp</t>
        </is>
      </c>
      <c r="C158" s="34" t="inlineStr">
        <is>
          <t>C</t>
        </is>
      </c>
      <c r="D158" s="44" t="inlineStr">
        <is>
          <t>Artifact</t>
        </is>
      </c>
      <c r="E158" s="41" t="inlineStr">
        <is>
          <t>B3</t>
        </is>
      </c>
      <c r="F158" s="34" t="n">
        <v>1</v>
      </c>
      <c r="G158" s="67" t="inlineStr">
        <is>
          <t>Equipped creature gets +1/-1.
Whenever equipped creature dies, draw two cards.
Equip {1}</t>
        </is>
      </c>
      <c r="H158" s="45" t="inlineStr">
        <is>
          <t>Card Draw</t>
        </is>
      </c>
      <c r="I158" s="45" t="inlineStr">
        <is>
          <t>Equipped creature gets +1/-1</t>
        </is>
      </c>
      <c r="J158" s="45" t="inlineStr">
        <is>
          <t>Draw two cards whenever equipped creature dies</t>
        </is>
      </c>
      <c r="K158" s="45" t="n"/>
      <c r="L158" s="41" t="n"/>
      <c r="M158" s="41" t="n"/>
      <c r="N158" s="41" t="n"/>
      <c r="O158" s="41" t="n"/>
      <c r="P158" s="41" t="n">
        <v>4.94</v>
      </c>
      <c r="Q158" s="41" t="n"/>
      <c r="R158" s="41" t="n"/>
      <c r="S158" s="41" t="n"/>
      <c r="T158" s="41" t="n"/>
      <c r="U158" s="41" t="n"/>
      <c r="V158" s="45" t="inlineStr">
        <is>
          <t>Darksteel</t>
        </is>
      </c>
      <c r="W158" s="41" t="n">
        <v>2</v>
      </c>
      <c r="X158" s="37">
        <f>SUM(Y158:AE158)</f>
        <v/>
      </c>
      <c r="Y158" s="43" t="n"/>
      <c r="Z158" s="43" t="n"/>
      <c r="AA158" s="43" t="n"/>
      <c r="AB158" s="43" t="n"/>
      <c r="AC158" s="43" t="n">
        <v>1</v>
      </c>
      <c r="AD158" s="43" t="n">
        <v>1</v>
      </c>
      <c r="AE158" s="43" t="n"/>
      <c r="AF158" s="38">
        <f>IF((W158-SUM(Y158:AE158))&lt;0,0,W158-SUM(Y158:AE158))</f>
        <v/>
      </c>
      <c r="AG158" s="34">
        <f>MAX(0,$AT158-$W158-$AI158)</f>
        <v/>
      </c>
      <c r="AH158" s="34" t="n"/>
      <c r="AI158" s="34" t="n"/>
      <c r="AJ158" s="36" t="n">
        <v>5.89</v>
      </c>
      <c r="AK158" s="36">
        <f>IF(AND($AG158&gt;0,ISNUMBER($AJ158)),$AG158*$AJ158,0)</f>
        <v/>
      </c>
      <c r="AT158" s="37">
        <f>SUM(AU158:BA158)</f>
        <v/>
      </c>
      <c r="AU158" s="73" t="n"/>
      <c r="AV158" s="33" t="n"/>
      <c r="AW158" s="33" t="n"/>
      <c r="AX158" s="33" t="n"/>
      <c r="AY158" s="98" t="n">
        <v>1</v>
      </c>
      <c r="AZ158" s="98" t="n">
        <v>1</v>
      </c>
      <c r="BA158" s="74" t="n"/>
      <c r="BB158" s="106" t="n"/>
      <c r="BC158" s="42" t="n"/>
      <c r="BD158" s="42" t="n"/>
    </row>
    <row r="159" ht="15" customHeight="1" s="148">
      <c r="A159" t="inlineStr">
        <is>
          <t>c0155</t>
        </is>
      </c>
      <c r="B159" s="44" t="inlineStr">
        <is>
          <t>Smuggler's Copter</t>
        </is>
      </c>
      <c r="C159" s="34" t="inlineStr">
        <is>
          <t>C</t>
        </is>
      </c>
      <c r="D159" s="44" t="inlineStr">
        <is>
          <t>Artifact</t>
        </is>
      </c>
      <c r="E159" s="41" t="inlineStr">
        <is>
          <t>B3</t>
        </is>
      </c>
      <c r="F159" s="34" t="n">
        <v>2</v>
      </c>
      <c r="G159" s="67" t="inlineStr">
        <is>
          <t>Flying
Whenever this Vehicle attacks or blocks, you may draw a card. If you do, discard a card.
Crew 1 (Tap any number of creatures you control with total power 1 or more: This Vehicle becomes an artifact creature until end of turn.)
(3/3)</t>
        </is>
      </c>
      <c r="H159" s="45" t="inlineStr">
        <is>
          <t>Discard/Looting</t>
        </is>
      </c>
      <c r="I159" s="45" t="inlineStr">
        <is>
          <t>Draws then discards a card when it attacks or blocks</t>
        </is>
      </c>
      <c r="J159" s="45" t="inlineStr">
        <is>
          <t>Crews for 1 power to become a creature until end of turn</t>
        </is>
      </c>
      <c r="K159" s="45" t="n"/>
      <c r="L159" s="42" t="n"/>
      <c r="M159" s="42" t="n"/>
      <c r="N159" s="42" t="n"/>
      <c r="O159" s="42" t="n"/>
      <c r="P159" s="42" t="n">
        <v>1.67</v>
      </c>
      <c r="Q159" s="42" t="n"/>
      <c r="R159" s="42" t="n"/>
      <c r="S159" s="42" t="n"/>
      <c r="T159" s="42" t="n"/>
      <c r="U159" s="42" t="n"/>
      <c r="V159" s="45" t="inlineStr">
        <is>
          <t>Kaladesh</t>
        </is>
      </c>
      <c r="W159" s="41" t="n">
        <v>1</v>
      </c>
      <c r="X159" s="37">
        <f>SUM(Y159:AE159)</f>
        <v/>
      </c>
      <c r="Y159" s="43" t="n"/>
      <c r="Z159" s="43" t="n"/>
      <c r="AA159" s="43" t="n"/>
      <c r="AB159" s="43" t="n"/>
      <c r="AC159" s="43" t="n"/>
      <c r="AD159" s="43" t="n"/>
      <c r="AE159" s="43" t="n"/>
      <c r="AF159" s="38">
        <f>IF((W159-SUM(Y159:AE159))&lt;0,0,W159-SUM(Y159:AE159))</f>
        <v/>
      </c>
      <c r="AG159" s="34">
        <f>MAX(0,$AT159-$W159-$AI159)</f>
        <v/>
      </c>
      <c r="AH159" s="34" t="n"/>
      <c r="AI159" s="34" t="n"/>
      <c r="AJ159" s="36" t="n">
        <v>1.71</v>
      </c>
      <c r="AK159" s="36">
        <f>IF(AND($AG159&gt;0,ISNUMBER($AJ159)),$AG159*$AJ159,0)</f>
        <v/>
      </c>
      <c r="AT159" s="37">
        <f>SUM(AU159:BA159)</f>
        <v/>
      </c>
      <c r="AU159" s="73" t="n">
        <v>1</v>
      </c>
      <c r="AV159" s="33" t="n"/>
      <c r="AW159" s="33" t="n"/>
      <c r="AX159" s="33" t="n"/>
      <c r="AY159" s="33" t="n"/>
      <c r="AZ159" s="33" t="n"/>
      <c r="BA159" s="74" t="n"/>
      <c r="BB159" s="106" t="n"/>
      <c r="BC159" s="42" t="n"/>
      <c r="BD159" s="42" t="n"/>
    </row>
    <row r="160" ht="15" customHeight="1" s="148">
      <c r="A160" t="inlineStr">
        <is>
          <t>c0156</t>
        </is>
      </c>
      <c r="B160" s="44" t="inlineStr">
        <is>
          <t>Sol Ring</t>
        </is>
      </c>
      <c r="C160" s="34" t="inlineStr">
        <is>
          <t>C</t>
        </is>
      </c>
      <c r="D160" s="44" t="inlineStr">
        <is>
          <t>Artifact</t>
        </is>
      </c>
      <c r="E160" s="41" t="inlineStr">
        <is>
          <t>B2</t>
        </is>
      </c>
      <c r="F160" s="34" t="n">
        <v>1</v>
      </c>
      <c r="G160" s="67" t="inlineStr">
        <is>
          <t>{T}: Add {C}{C}.</t>
        </is>
      </c>
      <c r="H160" s="45" t="inlineStr">
        <is>
          <t>Mana Rock</t>
        </is>
      </c>
      <c r="I160" s="45" t="inlineStr">
        <is>
          <t>Taps for {C}{C}</t>
        </is>
      </c>
      <c r="J160" s="45" t="n"/>
      <c r="K160" s="45" t="n"/>
      <c r="L160" s="41" t="n"/>
      <c r="M160" s="41" t="n"/>
      <c r="N160" s="41" t="n"/>
      <c r="O160" s="41" t="n"/>
      <c r="P160" s="41" t="n">
        <v>1.53</v>
      </c>
      <c r="Q160" s="41" t="n"/>
      <c r="R160" s="41" t="n"/>
      <c r="S160" s="41" t="n"/>
      <c r="T160" s="41" t="n"/>
      <c r="U160" s="41" t="n"/>
      <c r="V160" s="45" t="inlineStr">
        <is>
          <t>Limited Edition Alpha</t>
        </is>
      </c>
      <c r="W160" s="41" t="n">
        <v>1</v>
      </c>
      <c r="X160" s="37">
        <f>SUM(Y160:AE160)</f>
        <v/>
      </c>
      <c r="Y160" s="43" t="n"/>
      <c r="Z160" s="43" t="n">
        <v>1</v>
      </c>
      <c r="AA160" s="43" t="n"/>
      <c r="AB160" s="43" t="n"/>
      <c r="AC160" s="43" t="n"/>
      <c r="AD160" s="43" t="n"/>
      <c r="AE160" s="43" t="n"/>
      <c r="AF160" s="38">
        <f>IF((W160-SUM(Y160:AE160))&lt;0,0,W160-SUM(Y160:AE160))</f>
        <v/>
      </c>
      <c r="AG160" s="34">
        <f>MAX(0,$AT160-$W160-$AI160)</f>
        <v/>
      </c>
      <c r="AH160" s="34" t="inlineStr">
        <is>
          <t>TCG x2</t>
        </is>
      </c>
      <c r="AI160" s="34" t="n">
        <v>0</v>
      </c>
      <c r="AJ160" s="36" t="n">
        <v>1.45</v>
      </c>
      <c r="AK160" s="36">
        <f>IF(AND($AG160&gt;0,ISNUMBER($AJ160)),$AG160*$AJ160,0)</f>
        <v/>
      </c>
      <c r="AT160" s="37">
        <f>SUM(AU160:BA160)</f>
        <v/>
      </c>
      <c r="AU160" s="73" t="n"/>
      <c r="AV160" s="98" t="n">
        <v>1</v>
      </c>
      <c r="AW160" s="33" t="n"/>
      <c r="AX160" s="33" t="n"/>
      <c r="AY160" s="33" t="n"/>
      <c r="AZ160" s="33" t="n">
        <v>1</v>
      </c>
      <c r="BA160" s="74" t="n"/>
      <c r="BB160" s="106" t="n"/>
      <c r="BC160" s="42" t="n"/>
      <c r="BD160" s="48" t="n"/>
    </row>
    <row r="161" ht="15" customHeight="1" s="148">
      <c r="A161" t="inlineStr">
        <is>
          <t>c0157</t>
        </is>
      </c>
      <c r="B161" s="44" t="inlineStr">
        <is>
          <t>Solemn Simulacrum</t>
        </is>
      </c>
      <c r="C161" s="34" t="inlineStr">
        <is>
          <t>C</t>
        </is>
      </c>
      <c r="D161" s="44" t="inlineStr">
        <is>
          <t>Artifact Creature</t>
        </is>
      </c>
      <c r="E161" s="41" t="inlineStr">
        <is>
          <t>B2</t>
        </is>
      </c>
      <c r="F161" s="34" t="n">
        <v>4</v>
      </c>
      <c r="G161" s="67" t="inlineStr">
        <is>
          <t>When this creature enters, you may search your library for a basic land card, put that card onto the battlefield tapped, then shuffle.
When this creature dies, you may draw a card.
(2/2)</t>
        </is>
      </c>
      <c r="H161" s="45" t="inlineStr">
        <is>
          <t>Ramp</t>
        </is>
      </c>
      <c r="I161" s="45" t="inlineStr">
        <is>
          <t>Searches for a basic land and puts it onto the battlefield tapped when it enters</t>
        </is>
      </c>
      <c r="J161" s="45" t="inlineStr">
        <is>
          <t>Draws a card when it dies</t>
        </is>
      </c>
      <c r="K161" s="45" t="n"/>
      <c r="L161" s="42" t="n"/>
      <c r="M161" s="42" t="n"/>
      <c r="N161" s="42" t="n"/>
      <c r="O161" s="42" t="n"/>
      <c r="P161" s="42" t="n">
        <v>0.36</v>
      </c>
      <c r="Q161" s="42" t="n"/>
      <c r="R161" s="42" t="n"/>
      <c r="S161" s="42" t="n"/>
      <c r="T161" s="42" t="n"/>
      <c r="U161" s="42" t="n"/>
      <c r="V161" s="45" t="inlineStr">
        <is>
          <t>Mirrodin</t>
        </is>
      </c>
      <c r="W161" s="41" t="n">
        <v>0</v>
      </c>
      <c r="X161" s="37">
        <f>SUM(Y161:AE161)</f>
        <v/>
      </c>
      <c r="Y161" s="43" t="n"/>
      <c r="Z161" s="43" t="n"/>
      <c r="AA161" s="43" t="n"/>
      <c r="AB161" s="43" t="n"/>
      <c r="AC161" s="43" t="n"/>
      <c r="AD161" s="43" t="n"/>
      <c r="AE161" s="43" t="n"/>
      <c r="AF161" s="38">
        <f>IF((W161-SUM(Y161:AE161))&lt;0,0,W161-SUM(Y161:AE161))</f>
        <v/>
      </c>
      <c r="AG161" s="34">
        <f>MAX(0,$AT161-$W161-$AI161)</f>
        <v/>
      </c>
      <c r="AH161" s="34" t="n"/>
      <c r="AI161" s="34" t="n"/>
      <c r="AJ161" s="36" t="n">
        <v>0.29</v>
      </c>
      <c r="AK161" s="36">
        <f>IF(AND($AG161&gt;0,ISNUMBER($AJ161)),$AG161*$AJ161,0)</f>
        <v/>
      </c>
      <c r="AL161" s="54" t="n"/>
      <c r="AM161" s="54" t="n"/>
      <c r="AN161" s="54" t="n"/>
      <c r="AO161" s="54" t="n"/>
      <c r="AP161" s="54" t="n"/>
      <c r="AQ161" s="54" t="n"/>
      <c r="AR161" s="54" t="n"/>
      <c r="AS161" s="54" t="n"/>
      <c r="AT161" s="37">
        <f>SUM(AU161:BA161)</f>
        <v/>
      </c>
      <c r="AU161" s="92" t="n"/>
      <c r="AV161" s="38" t="n">
        <v>1</v>
      </c>
      <c r="AW161" s="38" t="n"/>
      <c r="AX161" s="38" t="n"/>
      <c r="AY161" s="38" t="n"/>
      <c r="AZ161" s="38" t="n"/>
      <c r="BA161" s="94" t="n"/>
      <c r="BB161" s="106" t="n"/>
      <c r="BC161" s="42" t="n"/>
      <c r="BD161" s="42" t="n"/>
    </row>
    <row r="162" ht="15" customHeight="1" s="148">
      <c r="A162" t="inlineStr">
        <is>
          <t>c0158</t>
        </is>
      </c>
      <c r="B162" s="44" t="inlineStr">
        <is>
          <t>Soul of New Phyrexia</t>
        </is>
      </c>
      <c r="C162" s="34" t="inlineStr">
        <is>
          <t>C</t>
        </is>
      </c>
      <c r="D162" s="44" t="inlineStr">
        <is>
          <t>Artifact Creature</t>
        </is>
      </c>
      <c r="E162" s="41" t="inlineStr">
        <is>
          <t>B2</t>
        </is>
      </c>
      <c r="F162" s="34" t="n">
        <v>6</v>
      </c>
      <c r="G162" s="67" t="inlineStr">
        <is>
          <t>Trample
{5}: Permanents you control gain indestructible until end of turn.
{5}, Exile this card from your graveyard: Permanents you control gain indestructible until end of turn.
(6/6)</t>
        </is>
      </c>
      <c r="H162" s="45" t="inlineStr">
        <is>
          <t>Protection</t>
        </is>
      </c>
      <c r="I162" s="45" t="inlineStr">
        <is>
          <t>Pay {5} to give your permanents indestructible until end of turn</t>
        </is>
      </c>
      <c r="J162" s="45" t="inlineStr">
        <is>
          <t>Exile this from graveyard and pay {5} for the same effect</t>
        </is>
      </c>
      <c r="K162" s="45" t="n"/>
      <c r="L162" s="42" t="n"/>
      <c r="M162" s="42" t="n"/>
      <c r="N162" s="42" t="n"/>
      <c r="O162" s="42" t="n"/>
      <c r="P162" s="42" t="n">
        <v>0.91</v>
      </c>
      <c r="Q162" s="42" t="n"/>
      <c r="R162" s="42" t="n"/>
      <c r="S162" s="42" t="n"/>
      <c r="T162" s="42" t="n"/>
      <c r="U162" s="42" t="n"/>
      <c r="V162" s="45" t="inlineStr">
        <is>
          <t>Magic 2015</t>
        </is>
      </c>
      <c r="W162" s="41" t="n">
        <v>1</v>
      </c>
      <c r="X162" s="37">
        <f>SUM(Y162:AE162)</f>
        <v/>
      </c>
      <c r="Y162" s="43" t="n"/>
      <c r="Z162" s="43" t="n"/>
      <c r="AA162" s="43" t="n"/>
      <c r="AB162" s="43" t="n"/>
      <c r="AC162" s="43" t="n"/>
      <c r="AD162" s="43" t="n"/>
      <c r="AE162" s="43" t="n"/>
      <c r="AF162" s="38">
        <f>IF((W162-SUM(Y162:AE162))&lt;0,0,W162-SUM(Y162:AE162))</f>
        <v/>
      </c>
      <c r="AG162" s="34">
        <f>MAX(0,$AT162-$W162-$AI162)</f>
        <v/>
      </c>
      <c r="AH162" s="34" t="n"/>
      <c r="AI162" s="34" t="n"/>
      <c r="AJ162" s="36" t="n">
        <v>0.89</v>
      </c>
      <c r="AK162" s="36">
        <f>IF(AND($AG162&gt;0,ISNUMBER($AJ162)),$AG162*$AJ162,0)</f>
        <v/>
      </c>
      <c r="AT162" s="37">
        <f>SUM(AU162:BA162)</f>
        <v/>
      </c>
      <c r="AU162" s="82" t="n"/>
      <c r="AV162" s="33" t="n"/>
      <c r="AW162" s="33" t="n"/>
      <c r="AX162" s="33" t="n"/>
      <c r="AY162" s="33" t="n"/>
      <c r="AZ162" s="33" t="n"/>
      <c r="BA162" s="74" t="n"/>
      <c r="BB162" s="106" t="n"/>
      <c r="BC162" s="42" t="n"/>
      <c r="BD162" s="42" t="n"/>
    </row>
    <row r="163" ht="15" customHeight="1" s="148">
      <c r="A163" t="inlineStr">
        <is>
          <t>c0159</t>
        </is>
      </c>
      <c r="B163" s="39" t="inlineStr">
        <is>
          <t>Stalactite Dagger</t>
        </is>
      </c>
      <c r="C163" s="40" t="inlineStr">
        <is>
          <t>C</t>
        </is>
      </c>
      <c r="D163" s="39" t="inlineStr">
        <is>
          <t>Artifact</t>
        </is>
      </c>
      <c r="E163" s="41" t="inlineStr">
        <is>
          <t>B2</t>
        </is>
      </c>
      <c r="F163" s="40" t="n">
        <v>2</v>
      </c>
      <c r="G163" s="67" t="inlineStr">
        <is>
          <t>When this Equipment enters, create a 1/1 colorless Shapeshifter creature token with changeling. (It's every creature type.)
Equipped creature gets +1/+1 and is all creature types.
Equip {2} ({2}: Attach to target creature you control. Equip only as a sorcery.)</t>
        </is>
      </c>
      <c r="H163" s="39" t="inlineStr">
        <is>
          <t>Token Producer</t>
        </is>
      </c>
      <c r="I163" s="39" t="inlineStr">
        <is>
          <t>Enters: create a 1/1 colorless Shapeshifter token with changeling</t>
        </is>
      </c>
      <c r="J163" s="39" t="inlineStr">
        <is>
          <t>Equipped creature gets +1/+1 and is every creature type; equip {2}</t>
        </is>
      </c>
      <c r="K163" s="39" t="n"/>
      <c r="L163" s="42" t="n"/>
      <c r="M163" s="42" t="n"/>
      <c r="N163" s="42" t="n"/>
      <c r="O163" s="63" t="n"/>
      <c r="P163" s="63" t="n"/>
      <c r="Q163" s="42" t="n"/>
      <c r="R163" s="42" t="n"/>
      <c r="S163" s="42" t="n"/>
      <c r="T163" s="63" t="n"/>
      <c r="U163" s="63" t="n"/>
      <c r="V163" s="39" t="inlineStr">
        <is>
          <t>Lorwyn Eclipsed</t>
        </is>
      </c>
      <c r="W163" s="41" t="n">
        <v>1</v>
      </c>
      <c r="X163" s="37">
        <f>SUM(Y163:AE163)</f>
        <v/>
      </c>
      <c r="Y163" s="43" t="n"/>
      <c r="Z163" s="43" t="n"/>
      <c r="AA163" s="43" t="n"/>
      <c r="AB163" s="43" t="n"/>
      <c r="AC163" s="43" t="n"/>
      <c r="AD163" s="43" t="n"/>
      <c r="AE163" s="43" t="n"/>
      <c r="AF163" s="38">
        <f>IF((W163-SUM(Y163:AE163))&lt;0,0,W163-SUM(Y163:AE163))</f>
        <v/>
      </c>
      <c r="AG163" s="34">
        <f>MAX(0,$AT163-$W163-$AI163)</f>
        <v/>
      </c>
      <c r="AH163" s="39" t="n"/>
      <c r="AI163" s="39" t="n"/>
      <c r="AJ163" s="39" t="n">
        <v>0.23</v>
      </c>
      <c r="AK163" s="39">
        <f>IF(AND($AG163&gt;0,ISNUMBER($AJ163)),$AG163*$AJ163,0)</f>
        <v/>
      </c>
      <c r="AT163" s="37">
        <f>SUM(AU163:BA163)</f>
        <v/>
      </c>
      <c r="AU163" s="73" t="n"/>
      <c r="AV163" s="33" t="n"/>
      <c r="AW163" s="33" t="n"/>
      <c r="AX163" s="33" t="n"/>
      <c r="AY163" s="33" t="n"/>
      <c r="AZ163" s="33" t="n"/>
      <c r="BA163" s="74" t="n"/>
      <c r="BB163" s="107" t="n"/>
      <c r="BC163" s="42" t="n"/>
      <c r="BD163" s="42" t="n"/>
    </row>
    <row r="164" ht="15" customHeight="1" s="148">
      <c r="A164" t="inlineStr">
        <is>
          <t>c0160</t>
        </is>
      </c>
      <c r="B164" s="30" t="inlineStr">
        <is>
          <t>Strixhaven Skycoach</t>
        </is>
      </c>
      <c r="C164" s="31" t="inlineStr">
        <is>
          <t>C</t>
        </is>
      </c>
      <c r="D164" s="30" t="inlineStr">
        <is>
          <t>Artifact</t>
        </is>
      </c>
      <c r="E164" s="33" t="inlineStr">
        <is>
          <t>B2</t>
        </is>
      </c>
      <c r="F164" s="31" t="n">
        <v>3</v>
      </c>
      <c r="G164" s="67" t="inlineStr">
        <is>
          <t>Flying
When this Vehicle enters, you may search your library for a basic land card, reveal it, put it into your hand, then shuffle.
Crew 2 (Tap any number of creatures you control with total power 2 or more: This Vehicle becomes an artifact creature until end of turn.)
(3/2)</t>
        </is>
      </c>
      <c r="H164" s="30" t="inlineStr">
        <is>
          <t>Flexible Fixing</t>
        </is>
      </c>
      <c r="I164" s="30" t="inlineStr">
        <is>
          <t>Enters: search your library for a basic land card and put it into your hand</t>
        </is>
      </c>
      <c r="J164" s="30" t="inlineStr">
        <is>
          <t>3/2 flying Vehicle, crew 2</t>
        </is>
      </c>
      <c r="K164" s="30" t="n"/>
      <c r="L164" s="32" t="inlineStr">
        <is>
          <t>252</t>
        </is>
      </c>
      <c r="M164" s="32" t="n">
        <v>1</v>
      </c>
      <c r="N164" s="32" t="n">
        <v>0</v>
      </c>
      <c r="O164" s="63" t="n"/>
      <c r="P164" s="63" t="n">
        <v>0.19</v>
      </c>
      <c r="Q164" s="32" t="inlineStr">
        <is>
          <t>Uncommon</t>
        </is>
      </c>
      <c r="R164" s="32" t="n"/>
      <c r="S164" s="32" t="n"/>
      <c r="T164" s="63" t="n"/>
      <c r="U164" s="63" t="n"/>
      <c r="V164" s="30" t="inlineStr">
        <is>
          <t>Secrets of Strixhaven</t>
        </is>
      </c>
      <c r="W164" s="41" t="n">
        <v>1</v>
      </c>
      <c r="X164" s="37">
        <f>SUM(Y164:AE164)</f>
        <v/>
      </c>
      <c r="Y164" s="43" t="n"/>
      <c r="Z164" s="43" t="n"/>
      <c r="AA164" s="43" t="n"/>
      <c r="AB164" s="43" t="n"/>
      <c r="AC164" s="43" t="n"/>
      <c r="AD164" s="43" t="n"/>
      <c r="AE164" s="43" t="n">
        <v>1</v>
      </c>
      <c r="AF164" s="38">
        <f>IF((W164-SUM(Y164:AE164))&lt;0,0,W164-SUM(Y164:AE164))</f>
        <v/>
      </c>
      <c r="AG164" s="34">
        <f>MAX(0,$AT164-$W164-$AI164)</f>
        <v/>
      </c>
      <c r="AH164" s="30" t="n"/>
      <c r="AI164" s="30" t="n"/>
      <c r="AJ164" s="35" t="n">
        <v>0.19</v>
      </c>
      <c r="AK164" s="36">
        <f>IF(AND($AG164&gt;0,ISNUMBER($AJ164)),$AG164*$AJ164,0)</f>
        <v/>
      </c>
      <c r="AT164" s="37">
        <f>SUM(AU164:BA164)</f>
        <v/>
      </c>
      <c r="AU164" s="73" t="n"/>
      <c r="AV164" s="33" t="n"/>
      <c r="AW164" s="33" t="n"/>
      <c r="AX164" s="33" t="n"/>
      <c r="AY164" s="33" t="n"/>
      <c r="AZ164" s="33" t="n"/>
      <c r="BA164" s="80" t="n">
        <v>1</v>
      </c>
      <c r="BB164" s="108" t="n"/>
      <c r="BC164" s="32" t="n"/>
      <c r="BD164" s="32" t="n"/>
    </row>
    <row r="165" ht="15" customHeight="1" s="148">
      <c r="A165" t="inlineStr">
        <is>
          <t>c0161</t>
        </is>
      </c>
      <c r="B165" s="44" t="inlineStr">
        <is>
          <t>Strixhaven Stadium</t>
        </is>
      </c>
      <c r="C165" s="34" t="inlineStr">
        <is>
          <t>C</t>
        </is>
      </c>
      <c r="D165" s="44" t="inlineStr">
        <is>
          <t>Artifact</t>
        </is>
      </c>
      <c r="E165" s="41" t="inlineStr">
        <is>
          <t>B2</t>
        </is>
      </c>
      <c r="F165" s="34" t="n">
        <v>3</v>
      </c>
      <c r="G165" s="67" t="inlineStr">
        <is>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is>
      </c>
      <c r="H165" s="45" t="inlineStr">
        <is>
          <t>Mana Rock</t>
        </is>
      </c>
      <c r="I165" s="45" t="inlineStr">
        <is>
          <t>Taps for {C}, gaining a point counter</t>
        </is>
      </c>
      <c r="J165" s="45" t="inlineStr">
        <is>
          <t>10+ point counters from combat damage causes an opponent to lose the game</t>
        </is>
      </c>
      <c r="K165" s="45" t="inlineStr">
        <is>
          <t>Loses counters when you take combat damage</t>
        </is>
      </c>
      <c r="L165" s="42" t="n"/>
      <c r="M165" s="42" t="n"/>
      <c r="N165" s="42" t="n"/>
      <c r="O165" s="42" t="n"/>
      <c r="P165" s="42" t="n">
        <v>0.4</v>
      </c>
      <c r="Q165" s="42" t="n"/>
      <c r="R165" s="42" t="n"/>
      <c r="S165" s="42" t="n"/>
      <c r="T165" s="42" t="n"/>
      <c r="U165" s="42" t="n"/>
      <c r="V165" s="45" t="inlineStr">
        <is>
          <t>Strixhaven: School of Mages</t>
        </is>
      </c>
      <c r="W165" s="41" t="n">
        <v>1</v>
      </c>
      <c r="X165" s="37">
        <f>SUM(Y165:AE165)</f>
        <v/>
      </c>
      <c r="Y165" s="43" t="n"/>
      <c r="Z165" s="43" t="n"/>
      <c r="AA165" s="43" t="n">
        <v>1</v>
      </c>
      <c r="AB165" s="43" t="n"/>
      <c r="AC165" s="43" t="n"/>
      <c r="AD165" s="43" t="n"/>
      <c r="AE165" s="43" t="n"/>
      <c r="AF165" s="38">
        <f>IF((W165-SUM(Y165:AE165))&lt;0,0,W165-SUM(Y165:AE165))</f>
        <v/>
      </c>
      <c r="AG165" s="34">
        <f>MAX(0,$AT165-$W165-$AI165)</f>
        <v/>
      </c>
      <c r="AH165" s="34" t="inlineStr">
        <is>
          <t>GT</t>
        </is>
      </c>
      <c r="AI165" s="34" t="n"/>
      <c r="AJ165" s="36" t="n">
        <v>0.41</v>
      </c>
      <c r="AK165" s="36">
        <f>IF(AND($AG165&gt;0,ISNUMBER($AJ165)),$AG165*$AJ165,0)</f>
        <v/>
      </c>
      <c r="AN165" s="58" t="n"/>
      <c r="AS165" s="86" t="n">
        <v>1</v>
      </c>
      <c r="AT165" s="37">
        <f>SUM(AU165:BA165)</f>
        <v/>
      </c>
      <c r="AU165" s="73" t="n"/>
      <c r="AV165" s="33" t="n"/>
      <c r="AW165" s="99" t="n"/>
      <c r="AX165" s="33" t="n"/>
      <c r="AY165" s="33" t="n"/>
      <c r="AZ165" s="33" t="n"/>
      <c r="BA165" s="74" t="n"/>
      <c r="BB165" s="106" t="n"/>
      <c r="BC165" s="42" t="n"/>
      <c r="BD165" s="42" t="n"/>
    </row>
    <row r="166" ht="15" customHeight="1" s="148">
      <c r="A166" t="inlineStr">
        <is>
          <t>c0162</t>
        </is>
      </c>
      <c r="B166" s="30" t="inlineStr">
        <is>
          <t>Sundering Archaic</t>
        </is>
      </c>
      <c r="C166" s="31" t="inlineStr">
        <is>
          <t>C</t>
        </is>
      </c>
      <c r="D166" s="30" t="inlineStr">
        <is>
          <t>Creature</t>
        </is>
      </c>
      <c r="E166" s="33" t="inlineStr">
        <is>
          <t>B2</t>
        </is>
      </c>
      <c r="F166" s="30" t="n">
        <v>6</v>
      </c>
      <c r="G166" s="67" t="inlineStr">
        <is>
          <t>Converge — When this creature enters, exile target nonland permanent an opponent controls with mana value less than or equal to the number of colors of mana spent to cast this creature.
{2}: Put target card from a graveyard on the bottom of its owner's library.
(3/3)</t>
        </is>
      </c>
      <c r="H166" s="30" t="inlineStr">
        <is>
          <t>Removal</t>
        </is>
      </c>
      <c r="I166" s="30" t="inlineStr">
        <is>
          <t>Converge — enters: exile target nonland permanent an opponent controls with mana value up to the number of colors of mana spent to cast it</t>
        </is>
      </c>
      <c r="J166" s="30" t="inlineStr">
        <is>
          <t>{2}: Put target card from a graveyard on the bottom of its owner's library</t>
        </is>
      </c>
      <c r="K166" s="30" t="n"/>
      <c r="L166" s="32" t="inlineStr">
        <is>
          <t>3</t>
        </is>
      </c>
      <c r="M166" s="32" t="n">
        <v>1</v>
      </c>
      <c r="N166" s="32" t="n">
        <v>0</v>
      </c>
      <c r="O166" s="63" t="inlineStr">
        <is>
          <t>Quintin Gleim</t>
        </is>
      </c>
      <c r="P166" s="63" t="n">
        <v>0.17</v>
      </c>
      <c r="Q166" s="32" t="inlineStr">
        <is>
          <t>Uncommon</t>
        </is>
      </c>
      <c r="R166" s="32" t="n"/>
      <c r="S166" s="32" t="n"/>
      <c r="T166" s="63" t="n"/>
      <c r="U166" s="63" t="n"/>
      <c r="V166" s="30" t="inlineStr">
        <is>
          <t>Secrets of Strixhaven</t>
        </is>
      </c>
      <c r="W166" s="41" t="n">
        <v>1</v>
      </c>
      <c r="X166" s="37">
        <f>SUM(Y166:AE166)</f>
        <v/>
      </c>
      <c r="Y166" s="43" t="n"/>
      <c r="Z166" s="43" t="n"/>
      <c r="AA166" s="43" t="n"/>
      <c r="AB166" s="43" t="n"/>
      <c r="AC166" s="43" t="n"/>
      <c r="AD166" s="43" t="n"/>
      <c r="AE166" s="43" t="n">
        <v>1</v>
      </c>
      <c r="AF166" s="38">
        <f>IF((W166-SUM(Y166:AE166))&lt;0,0,W166-SUM(Y166:AE166))</f>
        <v/>
      </c>
      <c r="AG166" s="34">
        <f>MAX(0,$AT166-$W166-$AI166)</f>
        <v/>
      </c>
      <c r="AH166" s="30" t="n"/>
      <c r="AI166" s="30" t="n"/>
      <c r="AJ166" s="30" t="n">
        <v>0.17</v>
      </c>
      <c r="AK166" s="36">
        <f>IF(AND($AG166&gt;0,ISNUMBER($AJ166)),$AG166*$AJ166,0)</f>
        <v/>
      </c>
      <c r="AR166" s="58" t="n"/>
      <c r="AT166" s="37">
        <f>SUM(AU166:BA166)</f>
        <v/>
      </c>
      <c r="AU166" s="73" t="n"/>
      <c r="AV166" s="33" t="n"/>
      <c r="AW166" s="33" t="n"/>
      <c r="AX166" s="33" t="n"/>
      <c r="AY166" s="33" t="n"/>
      <c r="AZ166" s="33" t="n"/>
      <c r="BA166" s="79" t="n"/>
      <c r="BB166" s="108" t="n"/>
      <c r="BC166" s="32" t="n"/>
      <c r="BD166" s="32" t="n"/>
    </row>
    <row r="167" ht="15" customHeight="1" s="148">
      <c r="A167" t="inlineStr">
        <is>
          <t>c0163</t>
        </is>
      </c>
      <c r="B167" s="44" t="inlineStr">
        <is>
          <t>Swiftfoot Boots</t>
        </is>
      </c>
      <c r="C167" s="34" t="inlineStr">
        <is>
          <t>C</t>
        </is>
      </c>
      <c r="D167" s="44" t="inlineStr">
        <is>
          <t>Artifact</t>
        </is>
      </c>
      <c r="E167" s="41" t="inlineStr">
        <is>
          <t>B3</t>
        </is>
      </c>
      <c r="F167" s="34" t="n">
        <v>2</v>
      </c>
      <c r="G167" s="67" t="inlineStr">
        <is>
          <t>Equipped creature has hexproof and haste. (It can't be the target of spells or abilities your opponents control. It can attack and {T} no matter when it came under your control.)
Equip {1} ({1}: Attach to target creature you control. Equip only as a sorcery.)</t>
        </is>
      </c>
      <c r="H167" s="45" t="inlineStr">
        <is>
          <t>Protection</t>
        </is>
      </c>
      <c r="I167" s="45" t="inlineStr">
        <is>
          <t>Equipped creature has hexproof and haste</t>
        </is>
      </c>
      <c r="J167" s="45" t="inlineStr">
        <is>
          <t>Equip {1}</t>
        </is>
      </c>
      <c r="K167" s="45" t="n"/>
      <c r="L167" s="42" t="n"/>
      <c r="M167" s="42" t="n"/>
      <c r="N167" s="42" t="n"/>
      <c r="O167" s="42" t="n"/>
      <c r="P167" s="42" t="n">
        <v>2</v>
      </c>
      <c r="Q167" s="42" t="n"/>
      <c r="R167" s="42" t="n"/>
      <c r="S167" s="42" t="n"/>
      <c r="T167" s="42" t="n"/>
      <c r="U167" s="42" t="n"/>
      <c r="V167" s="45" t="inlineStr">
        <is>
          <t>Magic 2012</t>
        </is>
      </c>
      <c r="W167" s="41" t="n">
        <v>1</v>
      </c>
      <c r="X167" s="37">
        <f>SUM(Y167:AE167)</f>
        <v/>
      </c>
      <c r="Y167" s="43" t="n"/>
      <c r="Z167" s="43" t="n"/>
      <c r="AA167" s="43" t="n"/>
      <c r="AB167" s="43" t="n"/>
      <c r="AC167" s="43" t="n"/>
      <c r="AD167" s="43" t="n">
        <v>1</v>
      </c>
      <c r="AE167" s="43" t="n"/>
      <c r="AF167" s="38">
        <f>IF((W167-SUM(Y167:AE167))&lt;0,0,W167-SUM(Y167:AE167))</f>
        <v/>
      </c>
      <c r="AG167" s="34">
        <f>MAX(0,$AT167-$W167-$AI167)</f>
        <v/>
      </c>
      <c r="AH167" s="34" t="n"/>
      <c r="AI167" s="34" t="n"/>
      <c r="AJ167" s="36" t="n">
        <v>2.3</v>
      </c>
      <c r="AK167" s="36">
        <f>IF(AND($AG167&gt;0,ISNUMBER($AJ167)),$AG167*$AJ167,0)</f>
        <v/>
      </c>
      <c r="AT167" s="37">
        <f>SUM(AU167:BA167)</f>
        <v/>
      </c>
      <c r="AU167" s="73" t="n"/>
      <c r="AV167" s="33" t="n"/>
      <c r="AW167" s="33" t="n"/>
      <c r="AX167" s="33" t="n"/>
      <c r="AY167" s="33" t="n"/>
      <c r="AZ167" s="98" t="n">
        <v>1</v>
      </c>
      <c r="BA167" s="74" t="n"/>
      <c r="BB167" s="106" t="n"/>
      <c r="BC167" s="42" t="n"/>
      <c r="BD167" s="42" t="n"/>
    </row>
    <row r="168" ht="15" customHeight="1" s="148">
      <c r="A168" t="inlineStr">
        <is>
          <t>c0164</t>
        </is>
      </c>
      <c r="B168" s="44" t="inlineStr">
        <is>
          <t>Sword of the Animist</t>
        </is>
      </c>
      <c r="C168" s="34" t="inlineStr">
        <is>
          <t>C</t>
        </is>
      </c>
      <c r="D168" s="44" t="inlineStr">
        <is>
          <t>Legendary Artifact</t>
        </is>
      </c>
      <c r="E168" s="41" t="inlineStr">
        <is>
          <t>B2</t>
        </is>
      </c>
      <c r="F168" s="34" t="n">
        <v>2</v>
      </c>
      <c r="G168" s="67" t="inlineStr">
        <is>
          <t>Equipped creature gets +1/+1.
Whenever equipped creature attacks, you may search your library for a basic land card, put it onto the battlefield tapped, then shuffle.
Equip {2}</t>
        </is>
      </c>
      <c r="H168" s="45" t="inlineStr">
        <is>
          <t>Ramp</t>
        </is>
      </c>
      <c r="I168" s="45" t="inlineStr">
        <is>
          <t>Equipped creature gets +1/+1</t>
        </is>
      </c>
      <c r="J168" s="45" t="inlineStr">
        <is>
          <t>Attacking fetches a basic land onto the battlefield tapped</t>
        </is>
      </c>
      <c r="K168" s="45" t="n"/>
      <c r="L168" s="41" t="n"/>
      <c r="M168" s="41" t="n"/>
      <c r="N168" s="41" t="n"/>
      <c r="O168" s="41" t="n"/>
      <c r="P168" s="41" t="n">
        <v>6.05</v>
      </c>
      <c r="Q168" s="41" t="n"/>
      <c r="R168" s="41" t="n"/>
      <c r="S168" s="41" t="n"/>
      <c r="T168" s="41" t="n"/>
      <c r="U168" s="41" t="n"/>
      <c r="V168" s="45" t="inlineStr">
        <is>
          <t>Magic Origins</t>
        </is>
      </c>
      <c r="W168" s="41" t="n">
        <v>2</v>
      </c>
      <c r="X168" s="37">
        <f>SUM(Y168:AE168)</f>
        <v/>
      </c>
      <c r="Y168" s="43" t="n"/>
      <c r="Z168" s="43" t="n"/>
      <c r="AA168" s="43" t="n">
        <v>1</v>
      </c>
      <c r="AB168" s="43" t="n"/>
      <c r="AC168" s="43" t="n">
        <v>1</v>
      </c>
      <c r="AD168" s="43" t="n"/>
      <c r="AE168" s="43" t="n"/>
      <c r="AF168" s="38">
        <f>IF((W168-SUM(Y168:AE168))&lt;0,0,W168-SUM(Y168:AE168))</f>
        <v/>
      </c>
      <c r="AG168" s="34">
        <f>MAX(0,$AT168-$W168-$AI168)</f>
        <v/>
      </c>
      <c r="AH168" s="34" t="n"/>
      <c r="AI168" s="34" t="n"/>
      <c r="AJ168" s="36" t="n">
        <v>6.13</v>
      </c>
      <c r="AK168" s="36">
        <f>IF(AND($AG168&gt;0,ISNUMBER($AJ168)),$AG168*$AJ168,0)</f>
        <v/>
      </c>
      <c r="AT168" s="37">
        <f>SUM(AU168:BA168)</f>
        <v/>
      </c>
      <c r="AU168" s="73" t="n"/>
      <c r="AV168" s="33" t="n"/>
      <c r="AW168" s="98" t="n">
        <v>1</v>
      </c>
      <c r="AX168" s="33" t="n"/>
      <c r="AY168" s="98" t="n">
        <v>1</v>
      </c>
      <c r="AZ168" s="98" t="n"/>
      <c r="BA168" s="74" t="n"/>
      <c r="BB168" s="106" t="n"/>
      <c r="BC168" s="42" t="n"/>
      <c r="BD168" s="42" t="n"/>
    </row>
    <row r="169" ht="15" customHeight="1" s="148">
      <c r="A169" t="inlineStr">
        <is>
          <t>c0165</t>
        </is>
      </c>
      <c r="B169" s="39" t="inlineStr">
        <is>
          <t>The Black Arrow</t>
        </is>
      </c>
      <c r="C169" s="40" t="inlineStr">
        <is>
          <t>C</t>
        </is>
      </c>
      <c r="D169" s="39" t="inlineStr">
        <is>
          <t>Legendary Artifact</t>
        </is>
      </c>
      <c r="E169" s="41" t="inlineStr">
        <is>
          <t>B2</t>
        </is>
      </c>
      <c r="F169" s="40" t="n">
        <v>3</v>
      </c>
      <c r="G169" s="67" t="inlineStr">
        <is>
          <t>Flash
When The Black Arrow enters, it deals 1 damage to any target. If a Dragon is dealt damage this way, destroy it.
Equipped creature gets +1/+1 and has reach.
Equip {1} ({1}: Attach to target creature you control. Equip only as a sorcery.)</t>
        </is>
      </c>
      <c r="H169" s="39" t="inlineStr">
        <is>
          <t>Removal</t>
        </is>
      </c>
      <c r="I169" s="39" t="inlineStr">
        <is>
          <t>Enters: deals 1 damage to any target; if a Dragon is dealt damage this way, destroy it</t>
        </is>
      </c>
      <c r="J169" s="39" t="inlineStr">
        <is>
          <t>Equipped creature gets +1/+1 and has reach; equip {1}</t>
        </is>
      </c>
      <c r="K169" s="39" t="inlineStr">
        <is>
          <t>Flash</t>
        </is>
      </c>
      <c r="L169" s="42" t="n"/>
      <c r="M169" s="42" t="n"/>
      <c r="N169" s="42" t="n"/>
      <c r="O169" s="63" t="n"/>
      <c r="P169" s="63" t="n"/>
      <c r="Q169" s="42" t="n"/>
      <c r="R169" s="42" t="n"/>
      <c r="S169" s="42" t="n"/>
      <c r="T169" s="63" t="n"/>
      <c r="U169" s="63" t="n"/>
      <c r="V169" s="39" t="inlineStr">
        <is>
          <t>The Hobbit</t>
        </is>
      </c>
      <c r="W169" s="41" t="n">
        <v>1</v>
      </c>
      <c r="X169" s="37">
        <f>SUM(Y169:AE169)</f>
        <v/>
      </c>
      <c r="Y169" s="43" t="n"/>
      <c r="Z169" s="43" t="n"/>
      <c r="AA169" s="43" t="n"/>
      <c r="AB169" s="43" t="n"/>
      <c r="AC169" s="43" t="n"/>
      <c r="AD169" s="43" t="n"/>
      <c r="AE169" s="43" t="n">
        <v>1</v>
      </c>
      <c r="AF169" s="38">
        <f>IF((W169-SUM(Y169:AE169))&lt;0,0,W169-SUM(Y169:AE169))</f>
        <v/>
      </c>
      <c r="AG169" s="34">
        <f>MAX(0,$AT169-$W169-$AI169)</f>
        <v/>
      </c>
      <c r="AH169" s="39" t="n"/>
      <c r="AI169" s="39" t="n"/>
      <c r="AJ169" s="39" t="n">
        <v>0.15</v>
      </c>
      <c r="AK169" s="39">
        <f>IF(AND($AG169&gt;0,ISNUMBER($AJ169)),$AG169*$AJ169,0)</f>
        <v/>
      </c>
      <c r="AT169" s="37">
        <f>SUM(AU169:BA169)</f>
        <v/>
      </c>
      <c r="AU169" s="73" t="n"/>
      <c r="AV169" s="33" t="n"/>
      <c r="AW169" s="33" t="n"/>
      <c r="AX169" s="33" t="n"/>
      <c r="AY169" s="33" t="n"/>
      <c r="AZ169" s="33" t="n"/>
      <c r="BA169" s="80" t="n">
        <v>1</v>
      </c>
      <c r="BB169" s="107" t="n"/>
      <c r="BC169" s="42" t="n"/>
      <c r="BD169" s="42" t="n"/>
    </row>
    <row r="170" ht="15" customHeight="1" s="148">
      <c r="A170" t="inlineStr">
        <is>
          <t>c0166</t>
        </is>
      </c>
      <c r="B170" s="44" t="inlineStr">
        <is>
          <t>Thornbite Staff</t>
        </is>
      </c>
      <c r="C170" s="34" t="inlineStr">
        <is>
          <t>C</t>
        </is>
      </c>
      <c r="D170" s="44" t="inlineStr">
        <is>
          <t>Kindred Artifact</t>
        </is>
      </c>
      <c r="E170" s="41" t="inlineStr">
        <is>
          <t>B2</t>
        </is>
      </c>
      <c r="F170" s="34" t="n">
        <v>2</v>
      </c>
      <c r="G170" s="67" t="inlineStr">
        <is>
          <t>Equipped creature has "{2}, {T}: This creature deals 1 damage to any target" and "Whenever a creature dies, untap this creature."
Whenever a Shaman creature enters, you may attach this Equipment to it.
Equip {4}</t>
        </is>
      </c>
      <c r="H170" s="45" t="inlineStr">
        <is>
          <t>Value Engine</t>
        </is>
      </c>
      <c r="I170" s="45" t="inlineStr">
        <is>
          <t>Equipped creature has "{2}, {T}: This creature deals 1 damage to any target" and "Whenever a creature dies, untap this c</t>
        </is>
      </c>
      <c r="J170" s="45" t="inlineStr">
        <is>
          <t>Whenever a Shaman creature enters, you may attach this Equipment to it</t>
        </is>
      </c>
      <c r="K170" s="45" t="inlineStr">
        <is>
          <t>Equip {4}</t>
        </is>
      </c>
      <c r="L170" s="42" t="n"/>
      <c r="M170" s="42" t="n"/>
      <c r="N170" s="42" t="n"/>
      <c r="O170" s="42" t="n"/>
      <c r="P170" s="42" t="n">
        <v>19.3</v>
      </c>
      <c r="Q170" s="42" t="n"/>
      <c r="R170" s="42" t="n"/>
      <c r="S170" s="42" t="n"/>
      <c r="T170" s="42" t="n"/>
      <c r="U170" s="42" t="n"/>
      <c r="V170" s="45" t="inlineStr">
        <is>
          <t>Morningtide</t>
        </is>
      </c>
      <c r="W170" s="41" t="n">
        <v>1</v>
      </c>
      <c r="X170" s="37">
        <f>SUM(Y170:AE170)</f>
        <v/>
      </c>
      <c r="Y170" s="43" t="n"/>
      <c r="Z170" s="43" t="n"/>
      <c r="AA170" s="43" t="n"/>
      <c r="AB170" s="43" t="n"/>
      <c r="AC170" s="43" t="n"/>
      <c r="AD170" s="43" t="n">
        <v>1</v>
      </c>
      <c r="AE170" s="43" t="n"/>
      <c r="AF170" s="38">
        <f>IF((W170-SUM(Y170:AE170))&lt;0,0,W170-SUM(Y170:AE170))</f>
        <v/>
      </c>
      <c r="AG170" s="34">
        <f>MAX(0,$AT170-$W170-$AI170)</f>
        <v/>
      </c>
      <c r="AH170" s="34" t="n"/>
      <c r="AI170" s="34" t="n"/>
      <c r="AJ170" s="36" t="n">
        <v>8.73</v>
      </c>
      <c r="AK170" s="36">
        <f>IF(AND($AG170&gt;0,ISNUMBER($AJ170)),$AG170*$AJ170,0)</f>
        <v/>
      </c>
      <c r="AT170" s="37">
        <f>SUM(AU170:BA170)</f>
        <v/>
      </c>
      <c r="AU170" s="73" t="n"/>
      <c r="AV170" s="33" t="n"/>
      <c r="AW170" s="33" t="n"/>
      <c r="AX170" s="33" t="n"/>
      <c r="AY170" s="33" t="n"/>
      <c r="AZ170" s="98" t="n">
        <v>1</v>
      </c>
      <c r="BA170" s="74" t="n"/>
      <c r="BB170" s="106" t="n"/>
      <c r="BC170" s="42" t="n"/>
      <c r="BD170" s="42" t="n"/>
    </row>
    <row r="171" ht="15" customHeight="1" s="148">
      <c r="A171" t="inlineStr">
        <is>
          <t>c0167</t>
        </is>
      </c>
      <c r="B171" s="39" t="inlineStr">
        <is>
          <t>Thought Vessel</t>
        </is>
      </c>
      <c r="C171" s="40" t="inlineStr">
        <is>
          <t>C</t>
        </is>
      </c>
      <c r="D171" s="39" t="inlineStr">
        <is>
          <t>Artifact</t>
        </is>
      </c>
      <c r="E171" s="41" t="inlineStr">
        <is>
          <t>B2</t>
        </is>
      </c>
      <c r="F171" s="40" t="n">
        <v>2</v>
      </c>
      <c r="G171" s="67" t="inlineStr">
        <is>
          <t>You have no maximum hand size.
{T}: Add {C}.</t>
        </is>
      </c>
      <c r="H171" s="39" t="inlineStr">
        <is>
          <t>Ramp</t>
        </is>
      </c>
      <c r="I171" s="39" t="inlineStr">
        <is>
          <t>{T}: Add {C}</t>
        </is>
      </c>
      <c r="J171" s="39" t="inlineStr">
        <is>
          <t>You have no maximum hand size</t>
        </is>
      </c>
      <c r="K171" s="39" t="n"/>
      <c r="L171" s="88" t="n"/>
      <c r="M171" s="41" t="n"/>
      <c r="N171" s="41" t="n"/>
      <c r="O171" s="63" t="n"/>
      <c r="P171" s="90" t="n"/>
      <c r="Q171" s="88" t="n"/>
      <c r="R171" s="41" t="n"/>
      <c r="S171" s="41" t="n"/>
      <c r="T171" s="63" t="n"/>
      <c r="U171" s="91" t="n"/>
      <c r="V171" s="39" t="inlineStr">
        <is>
          <t>Commander 2015</t>
        </is>
      </c>
      <c r="W171" s="41" t="n">
        <v>1</v>
      </c>
      <c r="X171" s="37">
        <f>SUM(Y171:AE171)</f>
        <v/>
      </c>
      <c r="Y171" s="43" t="n"/>
      <c r="Z171" s="43" t="n"/>
      <c r="AA171" s="43" t="n"/>
      <c r="AB171" s="43" t="n"/>
      <c r="AC171" s="43" t="n"/>
      <c r="AD171" s="43" t="n"/>
      <c r="AE171" s="43" t="n"/>
      <c r="AF171" s="38">
        <f>IF((W171-SUM(Y171:AE171))&lt;0,0,W171-SUM(Y171:AE171))</f>
        <v/>
      </c>
      <c r="AG171" s="34">
        <f>MAX(0,$AT171-$W171-$AI171)</f>
        <v/>
      </c>
      <c r="AH171" s="39" t="n"/>
      <c r="AI171" s="39" t="n"/>
      <c r="AJ171" s="39" t="n">
        <v>2.37</v>
      </c>
      <c r="AK171" s="39">
        <f>IF(AND($AG171&gt;0,ISNUMBER($AJ171)),$AG171*$AJ171,0)</f>
        <v/>
      </c>
      <c r="AT171" s="37">
        <f>SUM(AU171:BA171)</f>
        <v/>
      </c>
      <c r="AU171" s="73" t="n"/>
      <c r="AV171" s="33" t="n"/>
      <c r="AW171" s="33" t="n"/>
      <c r="AX171" s="33" t="n"/>
      <c r="AY171" s="33" t="n">
        <v>1</v>
      </c>
      <c r="AZ171" s="33" t="n"/>
      <c r="BA171" s="74" t="n"/>
      <c r="BB171" s="107" t="n"/>
      <c r="BC171" s="42" t="n"/>
      <c r="BD171" s="42" t="n"/>
    </row>
    <row r="172" ht="15" customHeight="1" s="148">
      <c r="A172" t="inlineStr">
        <is>
          <t>c0168</t>
        </is>
      </c>
      <c r="B172" s="44" t="inlineStr">
        <is>
          <t>Thousand-Year Elixir</t>
        </is>
      </c>
      <c r="C172" s="34" t="inlineStr">
        <is>
          <t>C</t>
        </is>
      </c>
      <c r="D172" s="44" t="inlineStr">
        <is>
          <t>Artifact</t>
        </is>
      </c>
      <c r="E172" s="41" t="inlineStr">
        <is>
          <t>B2</t>
        </is>
      </c>
      <c r="F172" s="34" t="n">
        <v>3</v>
      </c>
      <c r="G172" s="67" t="inlineStr">
        <is>
          <t>You may activate abilities of creatures you control as though those creatures had haste.
{1}, {T}: Untap target creature.</t>
        </is>
      </c>
      <c r="H172" s="45" t="inlineStr">
        <is>
          <t>Haste Enabler</t>
        </is>
      </c>
      <c r="I172" s="45" t="inlineStr">
        <is>
          <t>Your creatures can use tap abilities the turn they enter</t>
        </is>
      </c>
      <c r="J172" s="45" t="inlineStr">
        <is>
          <t>Pay {1} and tap to untap target creature</t>
        </is>
      </c>
      <c r="K172" s="45" t="n"/>
      <c r="L172" s="42" t="n"/>
      <c r="M172" s="42" t="n"/>
      <c r="N172" s="42" t="n"/>
      <c r="O172" s="42" t="n"/>
      <c r="P172" s="42" t="n">
        <v>14.81</v>
      </c>
      <c r="Q172" s="42" t="n"/>
      <c r="R172" s="42" t="n"/>
      <c r="S172" s="42" t="n"/>
      <c r="T172" s="42" t="n"/>
      <c r="U172" s="42" t="n"/>
      <c r="V172" s="45" t="inlineStr">
        <is>
          <t>Lorwyn</t>
        </is>
      </c>
      <c r="W172" s="41" t="n">
        <v>1</v>
      </c>
      <c r="X172" s="37">
        <f>SUM(Y172:AE172)</f>
        <v/>
      </c>
      <c r="Y172" s="43" t="n"/>
      <c r="Z172" s="43" t="n"/>
      <c r="AA172" s="43" t="n"/>
      <c r="AB172" s="43" t="n"/>
      <c r="AC172" s="43" t="n"/>
      <c r="AD172" s="43" t="n">
        <v>1</v>
      </c>
      <c r="AE172" s="43" t="n"/>
      <c r="AF172" s="38">
        <f>IF((W172-SUM(Y172:AE172))&lt;0,0,W172-SUM(Y172:AE172))</f>
        <v/>
      </c>
      <c r="AG172" s="34">
        <f>MAX(0,$AT172-$W172-$AI172)</f>
        <v/>
      </c>
      <c r="AH172" s="34" t="n"/>
      <c r="AI172" s="34" t="n"/>
      <c r="AJ172" s="36" t="n">
        <v>14.61</v>
      </c>
      <c r="AK172" s="36">
        <f>IF(AND($AG172&gt;0,ISNUMBER($AJ172)),$AG172*$AJ172,0)</f>
        <v/>
      </c>
      <c r="AT172" s="37">
        <f>SUM(AU172:BA172)</f>
        <v/>
      </c>
      <c r="AU172" s="73" t="n"/>
      <c r="AV172" s="33" t="n"/>
      <c r="AW172" s="33" t="n"/>
      <c r="AX172" s="33" t="n"/>
      <c r="AY172" s="33" t="n"/>
      <c r="AZ172" s="98" t="n">
        <v>1</v>
      </c>
      <c r="BA172" s="74" t="n"/>
      <c r="BB172" s="106" t="n"/>
      <c r="BC172" s="42" t="n"/>
      <c r="BD172" s="42" t="n"/>
    </row>
    <row r="173" ht="15" customHeight="1" s="148">
      <c r="A173" t="inlineStr">
        <is>
          <t>c0169</t>
        </is>
      </c>
      <c r="B173" s="44" t="inlineStr">
        <is>
          <t>Throne of Geth</t>
        </is>
      </c>
      <c r="C173" s="34" t="inlineStr">
        <is>
          <t>C</t>
        </is>
      </c>
      <c r="D173" s="44" t="inlineStr">
        <is>
          <t>Artifact</t>
        </is>
      </c>
      <c r="E173" s="41" t="inlineStr">
        <is>
          <t>B2</t>
        </is>
      </c>
      <c r="F173" s="34" t="n">
        <v>2</v>
      </c>
      <c r="G173" s="67" t="inlineStr">
        <is>
          <t>{T}, Sacrifice an artifact: Proliferate. (Choose any number of permanents and/or players, then give each another counter of each kind already there.)</t>
        </is>
      </c>
      <c r="H173" s="45" t="inlineStr">
        <is>
          <t>Proliferate</t>
        </is>
      </c>
      <c r="I173" s="45" t="inlineStr">
        <is>
          <t>Sacrifice an artifact to proliferate</t>
        </is>
      </c>
      <c r="J173" s="45" t="n"/>
      <c r="K173" s="45" t="n"/>
      <c r="L173" s="42" t="n"/>
      <c r="M173" s="42" t="n"/>
      <c r="N173" s="42" t="n"/>
      <c r="O173" s="42" t="n"/>
      <c r="P173" s="42" t="n">
        <v>1.1</v>
      </c>
      <c r="Q173" s="42" t="n"/>
      <c r="R173" s="42" t="n"/>
      <c r="S173" s="42" t="n"/>
      <c r="T173" s="42" t="n"/>
      <c r="U173" s="42" t="n"/>
      <c r="V173" s="45" t="inlineStr">
        <is>
          <t>Scars of Mirrodin</t>
        </is>
      </c>
      <c r="W173" s="41" t="n">
        <v>1</v>
      </c>
      <c r="X173" s="37">
        <f>SUM(Y173:AE173)</f>
        <v/>
      </c>
      <c r="Y173" s="43" t="n"/>
      <c r="Z173" s="43" t="n"/>
      <c r="AA173" s="43" t="n">
        <v>1</v>
      </c>
      <c r="AB173" s="43" t="n"/>
      <c r="AC173" s="43" t="n"/>
      <c r="AD173" s="43" t="n"/>
      <c r="AE173" s="43" t="n"/>
      <c r="AF173" s="38">
        <f>IF((W173-SUM(Y173:AE173))&lt;0,0,W173-SUM(Y173:AE173))</f>
        <v/>
      </c>
      <c r="AG173" s="34">
        <f>MAX(0,$AT173-$W173-$AI173)</f>
        <v/>
      </c>
      <c r="AH173" s="34" t="n"/>
      <c r="AI173" s="34" t="n"/>
      <c r="AJ173" s="36" t="n">
        <v>1.2</v>
      </c>
      <c r="AK173" s="36">
        <f>IF(AND($AG173&gt;0,ISNUMBER($AJ173)),$AG173*$AJ173,0)</f>
        <v/>
      </c>
      <c r="AT173" s="37">
        <f>SUM(AU173:BA173)</f>
        <v/>
      </c>
      <c r="AU173" s="73" t="n"/>
      <c r="AV173" s="33" t="n"/>
      <c r="AW173" s="98" t="n">
        <v>1</v>
      </c>
      <c r="AX173" s="33" t="n"/>
      <c r="AY173" s="33" t="n"/>
      <c r="AZ173" s="33" t="n"/>
      <c r="BA173" s="74" t="n"/>
      <c r="BB173" s="106" t="n"/>
      <c r="BC173" s="42" t="n"/>
      <c r="BD173" s="42" t="n"/>
    </row>
    <row r="174" ht="15" customHeight="1" s="148">
      <c r="A174" t="inlineStr">
        <is>
          <t>c0170</t>
        </is>
      </c>
      <c r="B174" s="44" t="inlineStr">
        <is>
          <t>Thrór's Map</t>
        </is>
      </c>
      <c r="C174" s="40" t="inlineStr">
        <is>
          <t>C</t>
        </is>
      </c>
      <c r="D174" s="39" t="inlineStr">
        <is>
          <t>Legendary Artifact</t>
        </is>
      </c>
      <c r="E174" s="41" t="inlineStr">
        <is>
          <t>B2</t>
        </is>
      </c>
      <c r="F174" s="40" t="n">
        <v>2</v>
      </c>
      <c r="G174" s="67" t="inlineStr">
        <is>
          <t>When Thrór's Map enters, search your library for a basic land card, reveal it, put it into your hand, then shuffle.
{2}, {T}: Draw a card, then discard a card.</t>
        </is>
      </c>
      <c r="H174" s="39" t="inlineStr">
        <is>
          <t>Flexible Fixing</t>
        </is>
      </c>
      <c r="I174" s="39" t="inlineStr">
        <is>
          <t>Enters: search your library for a basic land card and put it into your hand</t>
        </is>
      </c>
      <c r="J174" s="39" t="inlineStr">
        <is>
          <t>{2}, {T}: Draw a card, then discard a card</t>
        </is>
      </c>
      <c r="K174" s="39" t="n"/>
      <c r="L174" s="42" t="n"/>
      <c r="M174" s="42" t="n"/>
      <c r="N174" s="42" t="n"/>
      <c r="O174" s="63" t="n"/>
      <c r="P174" s="63" t="n"/>
      <c r="Q174" s="42" t="n"/>
      <c r="R174" s="42" t="n"/>
      <c r="S174" s="42" t="n"/>
      <c r="T174" s="63" t="n"/>
      <c r="U174" s="63" t="n"/>
      <c r="V174" s="39" t="inlineStr">
        <is>
          <t>The Hobbit</t>
        </is>
      </c>
      <c r="W174" s="41" t="n">
        <v>1</v>
      </c>
      <c r="X174" s="37">
        <f>SUM(Y174:AE174)</f>
        <v/>
      </c>
      <c r="Y174" s="43" t="n"/>
      <c r="Z174" s="43" t="n"/>
      <c r="AA174" s="43" t="n"/>
      <c r="AB174" s="43" t="n"/>
      <c r="AC174" s="43" t="n"/>
      <c r="AD174" s="43" t="n"/>
      <c r="AE174" s="43" t="n"/>
      <c r="AF174" s="38">
        <f>IF((W174-SUM(Y174:AE174))&lt;0,0,W174-SUM(Y174:AE174))</f>
        <v/>
      </c>
      <c r="AG174" s="34">
        <f>MAX(0,$AT174-$W174-$AI174)</f>
        <v/>
      </c>
      <c r="AH174" s="39" t="n"/>
      <c r="AI174" s="39" t="n"/>
      <c r="AJ174" s="39" t="n">
        <v>0.21</v>
      </c>
      <c r="AK174" s="39">
        <f>IF(AND($AG174&gt;0,ISNUMBER($AJ174)),$AG174*$AJ174,0)</f>
        <v/>
      </c>
      <c r="AT174" s="37">
        <f>SUM(AU174:BA174)</f>
        <v/>
      </c>
      <c r="AU174" s="73" t="n"/>
      <c r="AV174" s="33" t="n"/>
      <c r="AW174" s="33" t="n"/>
      <c r="AX174" s="33" t="n"/>
      <c r="AY174" s="33" t="n"/>
      <c r="AZ174" s="33" t="n"/>
      <c r="BA174" s="74" t="n"/>
      <c r="BB174" s="107" t="n"/>
      <c r="BC174" s="42" t="n"/>
      <c r="BD174" s="42" t="n"/>
    </row>
    <row r="175" ht="15" customHeight="1" s="148">
      <c r="A175" t="inlineStr">
        <is>
          <t>c0171</t>
        </is>
      </c>
      <c r="B175" s="44" t="inlineStr">
        <is>
          <t>Tome of Legends</t>
        </is>
      </c>
      <c r="C175" s="34" t="inlineStr">
        <is>
          <t>C</t>
        </is>
      </c>
      <c r="D175" s="44" t="inlineStr">
        <is>
          <t>Artifact</t>
        </is>
      </c>
      <c r="E175" s="41" t="inlineStr">
        <is>
          <t>B2</t>
        </is>
      </c>
      <c r="F175" s="34" t="n">
        <v>2</v>
      </c>
      <c r="G175" s="67" t="inlineStr">
        <is>
          <t>This artifact enters with a page counter on it.
Whenever your commander enters or attacks, put a page counter on this artifact.
{1}, {T}, Remove a page counter from this artifact: Draw a card.</t>
        </is>
      </c>
      <c r="H175" s="45" t="inlineStr">
        <is>
          <t>Card Draw</t>
        </is>
      </c>
      <c r="I175" s="45" t="inlineStr">
        <is>
          <t>Gets a page counter when your commander enters or attacks</t>
        </is>
      </c>
      <c r="J175" s="45" t="inlineStr">
        <is>
          <t>Remove a page counter, pay {1}, tap: draw a card</t>
        </is>
      </c>
      <c r="K175" s="45" t="n"/>
      <c r="L175" s="42" t="n"/>
      <c r="M175" s="42" t="n"/>
      <c r="N175" s="42" t="n"/>
      <c r="O175" s="42" t="n"/>
      <c r="P175" s="42" t="n">
        <v>0.29</v>
      </c>
      <c r="Q175" s="42" t="n"/>
      <c r="R175" s="42" t="n"/>
      <c r="S175" s="42" t="n"/>
      <c r="T175" s="42" t="n"/>
      <c r="U175" s="42" t="n"/>
      <c r="V175" s="45" t="inlineStr">
        <is>
          <t>Throne of Eldraine</t>
        </is>
      </c>
      <c r="W175" s="41" t="n">
        <v>1</v>
      </c>
      <c r="X175" s="37">
        <f>SUM(Y175:AE175)</f>
        <v/>
      </c>
      <c r="Y175" s="43" t="n"/>
      <c r="Z175" s="43" t="n"/>
      <c r="AA175" s="43" t="n">
        <v>1</v>
      </c>
      <c r="AB175" s="43" t="n"/>
      <c r="AC175" s="43" t="n"/>
      <c r="AD175" s="43" t="n"/>
      <c r="AE175" s="43" t="n"/>
      <c r="AF175" s="38">
        <f>IF((W175-SUM(Y175:AE175))&lt;0,0,W175-SUM(Y175:AE175))</f>
        <v/>
      </c>
      <c r="AG175" s="34">
        <f>MAX(0,$AT175-$W175-$AI175)</f>
        <v/>
      </c>
      <c r="AH175" s="34" t="n"/>
      <c r="AI175" s="34" t="n"/>
      <c r="AJ175" s="36" t="n">
        <v>0.28</v>
      </c>
      <c r="AK175" s="36">
        <f>IF(AND($AG175&gt;0,ISNUMBER($AJ175)),$AG175*$AJ175,0)</f>
        <v/>
      </c>
      <c r="AN175" s="58" t="inlineStr">
        <is>
          <t>BL0040</t>
        </is>
      </c>
      <c r="AT175" s="37">
        <f>SUM(AU175:BA175)</f>
        <v/>
      </c>
      <c r="AU175" s="73" t="n"/>
      <c r="AV175" s="33" t="n"/>
      <c r="AW175" s="99" t="n"/>
      <c r="AX175" s="33" t="n"/>
      <c r="AY175" s="33" t="n"/>
      <c r="AZ175" s="33" t="n"/>
      <c r="BA175" s="74" t="n"/>
      <c r="BB175" s="106" t="n"/>
      <c r="BC175" s="42" t="n"/>
      <c r="BD175" s="42" t="n"/>
    </row>
    <row r="176" ht="15" customHeight="1" s="148">
      <c r="A176" t="inlineStr">
        <is>
          <t>c0172</t>
        </is>
      </c>
      <c r="B176" s="30" t="inlineStr">
        <is>
          <t>Troop of Ponies</t>
        </is>
      </c>
      <c r="C176" s="31" t="inlineStr">
        <is>
          <t>C</t>
        </is>
      </c>
      <c r="D176" s="30" t="inlineStr">
        <is>
          <t>Creature</t>
        </is>
      </c>
      <c r="E176" s="33" t="inlineStr">
        <is>
          <t>B2</t>
        </is>
      </c>
      <c r="F176" s="31" t="n">
        <v>2</v>
      </c>
      <c r="G176" s="67" t="inlineStr">
        <is>
          <t>{2}, {T}, Sacrifice this creature: Search your library for up to two basic land cards, reveal them, put one onto the battlefield tapped and the other into your hand, then shuffle.
(2/1)</t>
        </is>
      </c>
      <c r="H176" s="30" t="inlineStr">
        <is>
          <t>Ramp</t>
        </is>
      </c>
      <c r="I176" s="30" t="inlineStr">
        <is>
          <t>{2}, {T}, sacrifice: search for two basic lands, one onto the battlefield tapped and the other into your hand</t>
        </is>
      </c>
      <c r="J176" s="30" t="n"/>
      <c r="K176" s="30" t="n"/>
      <c r="L176" s="89" t="inlineStr">
        <is>
          <t>199</t>
        </is>
      </c>
      <c r="M176" s="33" t="n">
        <v>1</v>
      </c>
      <c r="N176" s="33" t="n">
        <v>0</v>
      </c>
      <c r="O176" s="63" t="n"/>
      <c r="P176" s="90" t="n">
        <v>0.31</v>
      </c>
      <c r="Q176" s="32" t="inlineStr">
        <is>
          <t>Uncommon</t>
        </is>
      </c>
      <c r="R176" s="32" t="n"/>
      <c r="S176" s="32" t="n"/>
      <c r="T176" s="63" t="n"/>
      <c r="U176" s="63" t="n"/>
      <c r="V176" s="30" t="inlineStr">
        <is>
          <t>The Hobbit</t>
        </is>
      </c>
      <c r="W176" s="41" t="n">
        <v>1</v>
      </c>
      <c r="X176" s="37">
        <f>SUM(Y176:AE176)</f>
        <v/>
      </c>
      <c r="Y176" s="43" t="n">
        <v>1</v>
      </c>
      <c r="Z176" s="43" t="n"/>
      <c r="AA176" s="43" t="n"/>
      <c r="AB176" s="43" t="n"/>
      <c r="AC176" s="43" t="n"/>
      <c r="AD176" s="43" t="n"/>
      <c r="AE176" s="43" t="n"/>
      <c r="AF176" s="38">
        <f>IF((W176-SUM(Y176:AE176))&lt;0,0,W176-SUM(Y176:AE176))</f>
        <v/>
      </c>
      <c r="AG176" s="34">
        <f>MAX(0,$AT176-$W176-$AI176)</f>
        <v/>
      </c>
      <c r="AH176" s="30" t="n"/>
      <c r="AI176" s="30" t="n"/>
      <c r="AJ176" s="35" t="n">
        <v>0.31</v>
      </c>
      <c r="AK176" s="36">
        <f>IF(AND($AG176&gt;0,ISNUMBER($AJ176)),$AG176*$AJ176,0)</f>
        <v/>
      </c>
      <c r="AT176" s="37">
        <f>SUM(AU176:BA176)</f>
        <v/>
      </c>
      <c r="AU176" s="82" t="n">
        <v>1</v>
      </c>
      <c r="AV176" s="33" t="n"/>
      <c r="AW176" s="33" t="n"/>
      <c r="AX176" s="33" t="n"/>
      <c r="AY176" s="33" t="n"/>
      <c r="AZ176" s="33" t="n"/>
      <c r="BA176" s="74" t="n"/>
      <c r="BB176" s="108" t="n"/>
      <c r="BC176" s="32" t="n"/>
      <c r="BD176" s="32" t="n"/>
    </row>
    <row r="177" ht="15" customHeight="1" s="148">
      <c r="A177" t="inlineStr">
        <is>
          <t>c0173</t>
        </is>
      </c>
      <c r="B177" s="44" t="inlineStr">
        <is>
          <t>Ultima, Origin of Oblivion</t>
        </is>
      </c>
      <c r="C177" s="34" t="inlineStr">
        <is>
          <t>C</t>
        </is>
      </c>
      <c r="D177" s="44" t="inlineStr">
        <is>
          <t>Legendary Creature</t>
        </is>
      </c>
      <c r="E177" s="41" t="inlineStr">
        <is>
          <t>B2</t>
        </is>
      </c>
      <c r="F177" s="34" t="n">
        <v>5</v>
      </c>
      <c r="G177" s="67" t="inlineStr">
        <is>
          <t>Flying
Whenever Ultima attacks, put a blight counter on target land. For as long as that land has a blight counter on it, it loses all land types and abilities and has "{T}: Add {C}."
Whenever you tap a land for {C}, add an additional {C}.
(4/4)</t>
        </is>
      </c>
      <c r="H177" s="45" t="inlineStr">
        <is>
          <t>Ramp</t>
        </is>
      </c>
      <c r="I177" s="45" t="inlineStr">
        <is>
          <t>Flying body</t>
        </is>
      </c>
      <c r="J177" s="45" t="inlineStr">
        <is>
          <t>Attacking corrupts target land into a colorless-only land</t>
        </is>
      </c>
      <c r="K177" s="45" t="inlineStr">
        <is>
          <t>Tapping a land for {C} produces an additional {C}</t>
        </is>
      </c>
      <c r="L177" s="88" t="inlineStr">
        <is>
          <t>R 0002</t>
        </is>
      </c>
      <c r="M177" s="41" t="n">
        <v>1</v>
      </c>
      <c r="N177" s="41" t="n">
        <v>1</v>
      </c>
      <c r="O177" s="63" t="inlineStr">
        <is>
          <t>Russell Lu</t>
        </is>
      </c>
      <c r="P177" s="90" t="n">
        <v>1.87</v>
      </c>
      <c r="Q177" s="42" t="inlineStr">
        <is>
          <t>R</t>
        </is>
      </c>
      <c r="R177" s="42" t="n"/>
      <c r="S177" s="42" t="n"/>
      <c r="T177" s="63" t="n"/>
      <c r="U177" s="63" t="n"/>
      <c r="V177" s="45" t="inlineStr">
        <is>
          <t>Final Fantasy</t>
        </is>
      </c>
      <c r="W177" s="41" t="n">
        <v>1</v>
      </c>
      <c r="X177" s="37">
        <f>SUM(Y177:AE177)</f>
        <v/>
      </c>
      <c r="Y177" s="43" t="n"/>
      <c r="Z177" s="43" t="n"/>
      <c r="AA177" s="43" t="n"/>
      <c r="AB177" s="43" t="n"/>
      <c r="AC177" s="43" t="n">
        <v>1</v>
      </c>
      <c r="AD177" s="43" t="n"/>
      <c r="AE177" s="43" t="n"/>
      <c r="AF177" s="38">
        <f>IF((W177-SUM(Y177:AE177))&lt;0,0,W177-SUM(Y177:AE177))</f>
        <v/>
      </c>
      <c r="AG177" s="34">
        <f>MAX(0,$AT177-$W177-$AI177)</f>
        <v/>
      </c>
      <c r="AH177" s="34" t="n"/>
      <c r="AI177" s="34" t="n"/>
      <c r="AJ177" s="36" t="n">
        <v>1.87</v>
      </c>
      <c r="AK177" s="36">
        <f>IF(AND($AG177&gt;0,ISNUMBER($AJ177)),$AG177*$AJ177,0)</f>
        <v/>
      </c>
      <c r="AP177" t="inlineStr">
        <is>
          <t>BL0064</t>
        </is>
      </c>
      <c r="AT177" s="37">
        <f>SUM(AU177:BA177)</f>
        <v/>
      </c>
      <c r="AU177" s="73" t="n"/>
      <c r="AV177" s="33" t="n"/>
      <c r="AW177" s="33" t="n"/>
      <c r="AX177" s="33" t="n"/>
      <c r="AY177" s="100" t="n"/>
      <c r="AZ177" s="33" t="n"/>
      <c r="BA177" s="74" t="n"/>
      <c r="BB177" s="106" t="n"/>
      <c r="BC177" s="42" t="n"/>
      <c r="BD177" s="42" t="n"/>
    </row>
    <row r="178" ht="15" customHeight="1" s="148">
      <c r="A178" t="inlineStr">
        <is>
          <t>c0174</t>
        </is>
      </c>
      <c r="B178" s="44" t="inlineStr">
        <is>
          <t>Unlicensed Hearse</t>
        </is>
      </c>
      <c r="C178" s="34" t="inlineStr">
        <is>
          <t>C</t>
        </is>
      </c>
      <c r="D178" s="44" t="inlineStr">
        <is>
          <t>Artifact</t>
        </is>
      </c>
      <c r="E178" s="41" t="inlineStr">
        <is>
          <t>B2</t>
        </is>
      </c>
      <c r="F178" s="34" t="n">
        <v>2</v>
      </c>
      <c r="G178" s="67" t="inlineStr">
        <is>
          <t>{T}: Exile up to two target cards from a single graveyard.
Unlicensed Hearse's power and toughness are each equal to the number of cards exiled with it.
Crew 2
(*/*)</t>
        </is>
      </c>
      <c r="H178" s="45" t="inlineStr">
        <is>
          <t>Value Engine</t>
        </is>
      </c>
      <c r="I178" s="45" t="inlineStr">
        <is>
          <t>{T}: Exile up to two target cards from a single graveyard</t>
        </is>
      </c>
      <c r="J178" s="45" t="inlineStr">
        <is>
          <t>Unlicensed Hearse's power and toughness are each equal to the number of cards exiled with it</t>
        </is>
      </c>
      <c r="K178" s="45" t="inlineStr">
        <is>
          <t>Crew 2</t>
        </is>
      </c>
      <c r="L178" s="42" t="n"/>
      <c r="M178" s="42" t="n"/>
      <c r="N178" s="42" t="n"/>
      <c r="O178" s="42" t="n"/>
      <c r="P178" s="42" t="n">
        <v>0.35</v>
      </c>
      <c r="Q178" s="42" t="n"/>
      <c r="R178" s="42" t="n"/>
      <c r="S178" s="42" t="n"/>
      <c r="T178" s="42" t="n"/>
      <c r="U178" s="42" t="n"/>
      <c r="V178" s="45" t="inlineStr">
        <is>
          <t>Streets of New Capenna</t>
        </is>
      </c>
      <c r="W178" s="41" t="n">
        <v>0</v>
      </c>
      <c r="X178" s="37">
        <f>SUM(Y178:AE178)</f>
        <v/>
      </c>
      <c r="Y178" s="43" t="n"/>
      <c r="Z178" s="43" t="n"/>
      <c r="AA178" s="43" t="n"/>
      <c r="AB178" s="43" t="n"/>
      <c r="AC178" s="43" t="n"/>
      <c r="AD178" s="43" t="n"/>
      <c r="AE178" s="43" t="n"/>
      <c r="AF178" s="38">
        <f>IF((W178-SUM(Y178:AE178))&lt;0,0,W178-SUM(Y178:AE178))</f>
        <v/>
      </c>
      <c r="AG178" s="34">
        <f>MAX(0,$AT178-$W178-$AI178)</f>
        <v/>
      </c>
      <c r="AH178" s="34" t="n"/>
      <c r="AI178" s="34" t="n"/>
      <c r="AJ178" s="36" t="n">
        <v>0.38</v>
      </c>
      <c r="AK178" s="36">
        <f>IF(AND($AG178&gt;0,ISNUMBER($AJ178)),$AG178*$AJ178,0)</f>
        <v/>
      </c>
      <c r="AL178" s="54" t="n"/>
      <c r="AM178" s="54" t="n"/>
      <c r="AN178" s="54" t="n"/>
      <c r="AO178" s="54" t="n"/>
      <c r="AP178" s="54" t="n"/>
      <c r="AQ178" s="54" t="n"/>
      <c r="AR178" s="54" t="n"/>
      <c r="AS178" s="54" t="n"/>
      <c r="AT178" s="37">
        <f>SUM(AU178:BA178)</f>
        <v/>
      </c>
      <c r="AU178" s="92" t="n"/>
      <c r="AV178" s="38" t="n"/>
      <c r="AW178" s="38" t="n"/>
      <c r="AX178" s="38" t="n"/>
      <c r="AY178" s="38" t="n"/>
      <c r="AZ178" s="38" t="n"/>
      <c r="BA178" s="94" t="n"/>
      <c r="BB178" s="106" t="n"/>
      <c r="BC178" s="42" t="n"/>
      <c r="BD178" s="42" t="n"/>
    </row>
    <row r="179" ht="15" customHeight="1" s="148">
      <c r="A179" t="inlineStr">
        <is>
          <t>c0175</t>
        </is>
      </c>
      <c r="B179" s="39" t="inlineStr">
        <is>
          <t>Vanquisher's Banner</t>
        </is>
      </c>
      <c r="C179" s="40" t="inlineStr">
        <is>
          <t>C</t>
        </is>
      </c>
      <c r="D179" s="39" t="inlineStr">
        <is>
          <t>Artifact</t>
        </is>
      </c>
      <c r="E179" s="41" t="inlineStr">
        <is>
          <t>B2</t>
        </is>
      </c>
      <c r="F179" s="40" t="n">
        <v>5</v>
      </c>
      <c r="G179" s="67" t="inlineStr">
        <is>
          <t>As this artifact enters, choose a creature type.
Creatures you control of the chosen type get +1/+1.
Whenever you cast a creature spell of the chosen type, draw a card.</t>
        </is>
      </c>
      <c r="H179" s="39" t="inlineStr">
        <is>
          <t>Card Draw</t>
        </is>
      </c>
      <c r="I179" s="39" t="inlineStr">
        <is>
          <t>Whenever you cast a creature spell of the chosen type, draw a card</t>
        </is>
      </c>
      <c r="J179" s="39" t="inlineStr">
        <is>
          <t>As this artifact enters, choose a creature type</t>
        </is>
      </c>
      <c r="K179" s="39" t="inlineStr">
        <is>
          <t>Creatures you control of the chosen type get +1/+1</t>
        </is>
      </c>
      <c r="L179" s="88" t="n"/>
      <c r="M179" s="41" t="n"/>
      <c r="N179" s="41" t="n"/>
      <c r="O179" s="63" t="n"/>
      <c r="P179" s="90" t="n">
        <v>5.12</v>
      </c>
      <c r="Q179" s="88" t="n"/>
      <c r="R179" s="41" t="n"/>
      <c r="S179" s="41" t="n"/>
      <c r="T179" s="63" t="n"/>
      <c r="U179" s="91" t="n"/>
      <c r="V179" s="39" t="inlineStr">
        <is>
          <t>Ixalan</t>
        </is>
      </c>
      <c r="W179" s="41" t="n">
        <v>0</v>
      </c>
      <c r="X179" s="37">
        <f>SUM(Y179:AE179)</f>
        <v/>
      </c>
      <c r="Y179" s="43" t="n"/>
      <c r="Z179" s="43" t="n"/>
      <c r="AA179" s="43" t="n"/>
      <c r="AB179" s="43" t="n"/>
      <c r="AC179" s="43" t="n"/>
      <c r="AD179" s="43" t="n"/>
      <c r="AE179" s="43" t="n"/>
      <c r="AF179" s="38">
        <f>IF((W179-SUM(Y179:AE179))&lt;0,0,W179-SUM(Y179:AE179))</f>
        <v/>
      </c>
      <c r="AG179" s="34">
        <f>MAX(0,$AT179-$W179-$AI179)</f>
        <v/>
      </c>
      <c r="AH179" s="39" t="n"/>
      <c r="AI179" s="39" t="n"/>
      <c r="AJ179" s="39" t="n">
        <v>5.51</v>
      </c>
      <c r="AK179" s="39">
        <f>IF(AND($AG179&gt;0,ISNUMBER($AJ179)),$AG179*$AJ179,0)</f>
        <v/>
      </c>
      <c r="AT179" s="37">
        <f>SUM(AU179:BA179)</f>
        <v/>
      </c>
      <c r="AU179" s="73" t="n"/>
      <c r="AV179" s="33" t="n"/>
      <c r="AW179" s="33" t="n"/>
      <c r="AX179" s="33" t="n"/>
      <c r="AY179" s="33" t="n"/>
      <c r="AZ179" s="33" t="n">
        <v>1</v>
      </c>
      <c r="BA179" s="74" t="n"/>
      <c r="BB179" s="107" t="n"/>
      <c r="BC179" s="42" t="n"/>
      <c r="BD179" s="42" t="n"/>
    </row>
    <row r="180" ht="15" customHeight="1" s="148">
      <c r="A180" t="inlineStr">
        <is>
          <t>c0176</t>
        </is>
      </c>
      <c r="B180" s="44" t="inlineStr">
        <is>
          <t>Voyager Staff</t>
        </is>
      </c>
      <c r="C180" s="34" t="inlineStr">
        <is>
          <t>C</t>
        </is>
      </c>
      <c r="D180" s="44" t="inlineStr">
        <is>
          <t>Artifact</t>
        </is>
      </c>
      <c r="E180" s="41" t="inlineStr">
        <is>
          <t>B2</t>
        </is>
      </c>
      <c r="F180" s="34" t="n">
        <v>1</v>
      </c>
      <c r="G180" s="67" t="inlineStr">
        <is>
          <t>{2}, Sacrifice this artifact: Exile target creature. Return the exiled card to the battlefield under its owner's control at the beginning of the next end step.</t>
        </is>
      </c>
      <c r="H180" s="45" t="inlineStr">
        <is>
          <t>Blink</t>
        </is>
      </c>
      <c r="I180" s="45" t="inlineStr">
        <is>
          <t>Sacrifice: exile target creature, return it at next end step</t>
        </is>
      </c>
      <c r="J180" s="45" t="n"/>
      <c r="K180" s="45" t="n"/>
      <c r="L180" s="42" t="n"/>
      <c r="M180" s="42" t="n"/>
      <c r="N180" s="42" t="n"/>
      <c r="O180" s="42" t="n"/>
      <c r="P180" s="42" t="n">
        <v>0.33</v>
      </c>
      <c r="Q180" s="42" t="n"/>
      <c r="R180" s="42" t="n"/>
      <c r="S180" s="42" t="n"/>
      <c r="T180" s="42" t="n"/>
      <c r="U180" s="42" t="n"/>
      <c r="V180" s="45" t="inlineStr">
        <is>
          <t>Ravnica: City of Guilds</t>
        </is>
      </c>
      <c r="W180" s="41" t="n">
        <v>1</v>
      </c>
      <c r="X180" s="37">
        <f>SUM(Y180:AE180)</f>
        <v/>
      </c>
      <c r="Y180" s="43" t="n"/>
      <c r="Z180" s="43" t="n"/>
      <c r="AA180" s="43" t="n"/>
      <c r="AB180" s="43" t="n"/>
      <c r="AC180" s="43" t="n"/>
      <c r="AD180" s="43" t="n"/>
      <c r="AE180" s="43" t="n"/>
      <c r="AF180" s="38">
        <f>IF((W180-SUM(Y180:AE180))&lt;0,0,W180-SUM(Y180:AE180))</f>
        <v/>
      </c>
      <c r="AG180" s="34">
        <f>MAX(0,$AT180-$W180-$AI180)</f>
        <v/>
      </c>
      <c r="AH180" s="34" t="n"/>
      <c r="AI180" s="34" t="n"/>
      <c r="AJ180" s="36" t="n">
        <v>0.28</v>
      </c>
      <c r="AK180" s="36">
        <f>IF(AND($AG180&gt;0,ISNUMBER($AJ180)),$AG180*$AJ180,0)</f>
        <v/>
      </c>
      <c r="AT180" s="37">
        <f>SUM(AU180:BA180)</f>
        <v/>
      </c>
      <c r="AU180" s="73" t="n"/>
      <c r="AV180" s="33" t="n"/>
      <c r="AW180" s="33" t="n"/>
      <c r="AX180" s="33" t="n"/>
      <c r="AY180" s="33" t="n"/>
      <c r="AZ180" s="33" t="n"/>
      <c r="BA180" s="74" t="n"/>
      <c r="BB180" s="106" t="n"/>
      <c r="BC180" s="42" t="n"/>
      <c r="BD180" s="42" t="n"/>
    </row>
    <row r="181" ht="15" customHeight="1" s="148">
      <c r="A181" t="inlineStr">
        <is>
          <t>c0177</t>
        </is>
      </c>
      <c r="B181" s="44" t="inlineStr">
        <is>
          <t>Walking Bulwark</t>
        </is>
      </c>
      <c r="C181" s="34" t="inlineStr">
        <is>
          <t>C</t>
        </is>
      </c>
      <c r="D181" s="44" t="inlineStr">
        <is>
          <t>Artifact Creature</t>
        </is>
      </c>
      <c r="E181" s="41" t="inlineStr">
        <is>
          <t>B2</t>
        </is>
      </c>
      <c r="F181" s="34" t="n">
        <v>1</v>
      </c>
      <c r="G181" s="67" t="inlineStr">
        <is>
          <t>Defender
{2}: Until end of turn, target creature with defender gains haste, can attack as though it didn't have defender, and assigns combat damage equal to its toughness rather than its power. Activate only as a sorcery.
(0/3)</t>
        </is>
      </c>
      <c r="H181" s="45" t="inlineStr">
        <is>
          <t>Toughness Payoff</t>
        </is>
      </c>
      <c r="I181" s="45" t="inlineStr">
        <is>
          <t>Lets target defender attack, dealing damage equal to toughness</t>
        </is>
      </c>
      <c r="J181" s="45" t="inlineStr">
        <is>
          <t>Defender body itself</t>
        </is>
      </c>
      <c r="K181" s="45" t="n"/>
      <c r="L181" s="42" t="n"/>
      <c r="M181" s="42" t="n"/>
      <c r="N181" s="42" t="n"/>
      <c r="O181" s="42" t="n"/>
      <c r="P181" s="42" t="n">
        <v>0.3</v>
      </c>
      <c r="Q181" s="42" t="n"/>
      <c r="R181" s="42" t="n"/>
      <c r="S181" s="42" t="n"/>
      <c r="T181" s="42" t="n"/>
      <c r="U181" s="42" t="n"/>
      <c r="V181" s="45" t="inlineStr">
        <is>
          <t>Dominaria United</t>
        </is>
      </c>
      <c r="W181" s="41" t="n">
        <v>1</v>
      </c>
      <c r="X181" s="37">
        <f>SUM(Y181:AE181)</f>
        <v/>
      </c>
      <c r="Y181" s="43" t="n"/>
      <c r="Z181" s="43" t="n"/>
      <c r="AA181" s="43" t="n"/>
      <c r="AB181" s="43" t="n">
        <v>1</v>
      </c>
      <c r="AC181" s="43" t="n"/>
      <c r="AD181" s="43" t="n"/>
      <c r="AE181" s="43" t="n"/>
      <c r="AF181" s="38">
        <f>IF((W181-SUM(Y181:AE181))&lt;0,0,W181-SUM(Y181:AE181))</f>
        <v/>
      </c>
      <c r="AG181" s="34">
        <f>MAX(0,$AT181-$W181-$AI181)</f>
        <v/>
      </c>
      <c r="AH181" s="34" t="n"/>
      <c r="AI181" s="34" t="n"/>
      <c r="AJ181" s="36" t="n">
        <v>0.23</v>
      </c>
      <c r="AK181" s="36">
        <f>IF(AND($AG181&gt;0,ISNUMBER($AJ181)),$AG181*$AJ181,0)</f>
        <v/>
      </c>
      <c r="AT181" s="37">
        <f>SUM(AU181:BA181)</f>
        <v/>
      </c>
      <c r="AU181" s="73" t="n"/>
      <c r="AV181" s="33" t="n"/>
      <c r="AW181" s="33" t="n"/>
      <c r="AX181" s="98" t="n">
        <v>1</v>
      </c>
      <c r="AY181" s="33" t="n"/>
      <c r="AZ181" s="33" t="n"/>
      <c r="BA181" s="74" t="n"/>
      <c r="BB181" s="106" t="n"/>
      <c r="BC181" s="42" t="n"/>
      <c r="BD181" s="42" t="n"/>
    </row>
    <row r="182" ht="15" customHeight="1" s="148">
      <c r="A182" t="inlineStr">
        <is>
          <t>c0178</t>
        </is>
      </c>
      <c r="B182" s="44" t="inlineStr">
        <is>
          <t>Wall of Junk</t>
        </is>
      </c>
      <c r="C182" s="34" t="inlineStr">
        <is>
          <t>C</t>
        </is>
      </c>
      <c r="D182" s="44" t="inlineStr">
        <is>
          <t>Artifact Creature</t>
        </is>
      </c>
      <c r="E182" s="41" t="inlineStr">
        <is>
          <t>B2</t>
        </is>
      </c>
      <c r="F182" s="34" t="n">
        <v>2</v>
      </c>
      <c r="G182" s="67" t="inlineStr">
        <is>
          <t>Defender (This creature can't attack.)
When this creature blocks, return it to its owner's hand at end of combat. (Return it only if it's on the battlefield.)
(0/7)</t>
        </is>
      </c>
      <c r="H182" s="45" t="inlineStr">
        <is>
          <t>Utility Creature</t>
        </is>
      </c>
      <c r="I182" s="45" t="inlineStr">
        <is>
          <t>Defender</t>
        </is>
      </c>
      <c r="J182" s="45" t="inlineStr">
        <is>
          <t>When this creature blocks, return it to its owner's hand at end of combat</t>
        </is>
      </c>
      <c r="K182" s="45" t="n"/>
      <c r="L182" s="42" t="n"/>
      <c r="M182" s="42" t="n"/>
      <c r="N182" s="42" t="n"/>
      <c r="O182" s="42" t="n"/>
      <c r="P182" s="42" t="n">
        <v>0.31</v>
      </c>
      <c r="Q182" s="42" t="n"/>
      <c r="R182" s="42" t="n"/>
      <c r="S182" s="42" t="n"/>
      <c r="T182" s="42" t="n"/>
      <c r="U182" s="42" t="n"/>
      <c r="V182" s="45" t="inlineStr">
        <is>
          <t>Urza's Saga</t>
        </is>
      </c>
      <c r="W182" s="41" t="n">
        <v>0</v>
      </c>
      <c r="X182" s="37">
        <f>SUM(Y182:AE182)</f>
        <v/>
      </c>
      <c r="Y182" s="43" t="n"/>
      <c r="Z182" s="43" t="n"/>
      <c r="AA182" s="43" t="n"/>
      <c r="AB182" s="43" t="n"/>
      <c r="AC182" s="43" t="n"/>
      <c r="AD182" s="43" t="n"/>
      <c r="AE182" s="43" t="n"/>
      <c r="AF182" s="38">
        <f>IF((W182-SUM(Y182:AE182))&lt;0,0,W182-SUM(Y182:AE182))</f>
        <v/>
      </c>
      <c r="AG182" s="34">
        <f>MAX(0,$AT182-$W182-$AI182)</f>
        <v/>
      </c>
      <c r="AH182" s="34" t="n"/>
      <c r="AI182" s="34" t="n"/>
      <c r="AJ182" s="36" t="n">
        <v>0.31</v>
      </c>
      <c r="AK182" s="36">
        <f>IF(AND($AG182&gt;0,ISNUMBER($AJ182)),$AG182*$AJ182,0)</f>
        <v/>
      </c>
      <c r="AL182" s="54" t="n"/>
      <c r="AM182" s="54" t="n"/>
      <c r="AN182" s="54" t="n"/>
      <c r="AO182" s="54" t="n"/>
      <c r="AP182" s="54" t="n"/>
      <c r="AQ182" s="54" t="n"/>
      <c r="AR182" s="54" t="n"/>
      <c r="AS182" s="54" t="n"/>
      <c r="AT182" s="37">
        <f>SUM(AU182:BA182)</f>
        <v/>
      </c>
      <c r="AU182" s="92" t="n"/>
      <c r="AV182" s="38" t="n"/>
      <c r="AW182" s="38" t="n"/>
      <c r="AX182" s="38" t="n"/>
      <c r="AY182" s="38" t="n"/>
      <c r="AZ182" s="38" t="n"/>
      <c r="BA182" s="94" t="n"/>
      <c r="BB182" s="106" t="n"/>
      <c r="BC182" s="42" t="n"/>
      <c r="BD182" s="42" t="n"/>
    </row>
    <row r="183" ht="15" customHeight="1" s="148">
      <c r="A183" t="inlineStr">
        <is>
          <t>c0179</t>
        </is>
      </c>
      <c r="B183" s="44" t="inlineStr">
        <is>
          <t>War Room</t>
        </is>
      </c>
      <c r="C183" s="34" t="inlineStr">
        <is>
          <t>C</t>
        </is>
      </c>
      <c r="D183" s="44" t="inlineStr">
        <is>
          <t>Land</t>
        </is>
      </c>
      <c r="E183" s="41" t="inlineStr">
        <is>
          <t>B3</t>
        </is>
      </c>
      <c r="F183" s="34" t="n">
        <v>0</v>
      </c>
      <c r="G183" s="67" t="inlineStr">
        <is>
          <t>{T}: Add {C}.
{3}, {T}, Pay life equal to the number of colors in your commanders' color identity: Draw a card.</t>
        </is>
      </c>
      <c r="H183" s="45" t="inlineStr">
        <is>
          <t>Land</t>
        </is>
      </c>
      <c r="I183" s="45" t="inlineStr">
        <is>
          <t>{T}: Add {C}.
{3}, {T}, Pay life equal to the number of colors in your commanders' color identity: Draw a card.</t>
        </is>
      </c>
      <c r="J183" s="45" t="n"/>
      <c r="K183" s="45" t="n"/>
      <c r="L183" s="42" t="n"/>
      <c r="M183" s="42" t="n"/>
      <c r="N183" s="42" t="n"/>
      <c r="O183" s="42" t="n"/>
      <c r="P183" s="42" t="n">
        <v>5.38</v>
      </c>
      <c r="Q183" s="42" t="n"/>
      <c r="R183" s="42" t="n"/>
      <c r="S183" s="42" t="n"/>
      <c r="T183" s="42" t="n"/>
      <c r="U183" s="42" t="n"/>
      <c r="V183" s="45" t="inlineStr">
        <is>
          <t>Commander Legends</t>
        </is>
      </c>
      <c r="W183" s="41" t="n">
        <v>0</v>
      </c>
      <c r="X183" s="37">
        <f>SUM(Y183:AE183)</f>
        <v/>
      </c>
      <c r="Y183" s="43" t="n"/>
      <c r="Z183" s="43" t="n"/>
      <c r="AA183" s="43" t="n"/>
      <c r="AB183" s="43" t="n"/>
      <c r="AC183" s="43" t="n"/>
      <c r="AD183" s="43" t="n"/>
      <c r="AE183" s="43" t="n"/>
      <c r="AF183" s="38">
        <f>IF((W183-SUM(Y183:AE183))&lt;0,0,W183-SUM(Y183:AE183))</f>
        <v/>
      </c>
      <c r="AG183" s="34">
        <f>MAX(0,$AT183-$W183-$AI183)</f>
        <v/>
      </c>
      <c r="AH183" s="34" t="n"/>
      <c r="AI183" s="34" t="n"/>
      <c r="AJ183" s="36" t="n">
        <v>5.57</v>
      </c>
      <c r="AK183" s="36">
        <f>IF(AND($AG183&gt;0,ISNUMBER($AJ183)),$AG183*$AJ183,0)</f>
        <v/>
      </c>
      <c r="AL183" s="54" t="n"/>
      <c r="AM183" s="54" t="n"/>
      <c r="AN183" s="54" t="n"/>
      <c r="AO183" s="54" t="n"/>
      <c r="AP183" s="54" t="n"/>
      <c r="AQ183" s="54" t="n"/>
      <c r="AR183" s="54" t="n"/>
      <c r="AS183" s="54" t="n"/>
      <c r="AT183" s="37">
        <f>SUM(AU183:BA183)</f>
        <v/>
      </c>
      <c r="AU183" s="92" t="n"/>
      <c r="AV183" s="38" t="n"/>
      <c r="AW183" s="38" t="n"/>
      <c r="AX183" s="38" t="n"/>
      <c r="AY183" s="38" t="n"/>
      <c r="AZ183" s="38" t="n"/>
      <c r="BA183" s="94" t="n"/>
      <c r="BB183" s="106" t="n"/>
      <c r="BC183" s="42" t="n"/>
      <c r="BD183" s="42" t="n"/>
    </row>
    <row r="184" ht="15" customHeight="1" s="148">
      <c r="A184" t="inlineStr">
        <is>
          <t>c0180</t>
        </is>
      </c>
      <c r="B184" s="44" t="inlineStr">
        <is>
          <t>Weathered Sentinels</t>
        </is>
      </c>
      <c r="C184" s="34" t="inlineStr">
        <is>
          <t>C</t>
        </is>
      </c>
      <c r="D184" s="44" t="inlineStr">
        <is>
          <t>Artifact Creature</t>
        </is>
      </c>
      <c r="E184" s="41" t="inlineStr">
        <is>
          <t>B2</t>
        </is>
      </c>
      <c r="F184" s="34" t="n">
        <v>3</v>
      </c>
      <c r="G184" s="67" t="inlineStr">
        <is>
          <t>Defender, reach, vigilance, trample
This creature can attack players who attacked you during their last turn as though it didn't have defender.
Whenever this creature attacks, it gets +3/+3 and gains indestructible until end of turn.
(2/5)</t>
        </is>
      </c>
      <c r="H184" s="45" t="inlineStr">
        <is>
          <t>Finisher</t>
        </is>
      </c>
      <c r="I184" s="45" t="inlineStr">
        <is>
          <t>Can attack players who attacked you last turn despite normally being unable to attack</t>
        </is>
      </c>
      <c r="J184" s="45" t="inlineStr">
        <is>
          <t>Gets +3/+3 and becomes indestructible when it attacks</t>
        </is>
      </c>
      <c r="K184" s="45" t="n"/>
      <c r="L184" s="42" t="n"/>
      <c r="M184" s="42" t="n"/>
      <c r="N184" s="42" t="n"/>
      <c r="O184" s="63" t="n"/>
      <c r="P184" s="63" t="n">
        <v>1.01</v>
      </c>
      <c r="Q184" s="42" t="n"/>
      <c r="R184" s="42" t="n"/>
      <c r="S184" s="42" t="n"/>
      <c r="T184" s="63" t="n"/>
      <c r="U184" s="63" t="n"/>
      <c r="V184" s="45" t="inlineStr">
        <is>
          <t>New Capenna Commander</t>
        </is>
      </c>
      <c r="W184" s="41" t="n">
        <v>2</v>
      </c>
      <c r="X184" s="37">
        <f>SUM(Y184:AE184)</f>
        <v/>
      </c>
      <c r="Y184" s="43" t="n"/>
      <c r="Z184" s="43" t="n"/>
      <c r="AA184" s="43" t="n"/>
      <c r="AB184" s="43" t="n">
        <v>1</v>
      </c>
      <c r="AC184" s="43" t="n"/>
      <c r="AD184" s="43" t="n"/>
      <c r="AE184" s="43" t="n"/>
      <c r="AF184" s="38">
        <f>IF((W184-SUM(Y184:AE184))&lt;0,0,W184-SUM(Y184:AE184))</f>
        <v/>
      </c>
      <c r="AG184" s="34">
        <f>MAX(0,$AT184-$W184-$AI184)</f>
        <v/>
      </c>
      <c r="AH184" s="34" t="n"/>
      <c r="AI184" s="34" t="n"/>
      <c r="AJ184" s="36" t="n">
        <v>0.9</v>
      </c>
      <c r="AK184" s="36">
        <f>IF(AND($AG184&gt;0,ISNUMBER($AJ184)),$AG184*$AJ184,0)</f>
        <v/>
      </c>
      <c r="AT184" s="37">
        <f>SUM(AU184:BA184)</f>
        <v/>
      </c>
      <c r="AU184" s="73" t="n"/>
      <c r="AV184" s="33" t="n"/>
      <c r="AW184" s="33" t="n"/>
      <c r="AX184" s="98" t="n">
        <v>1</v>
      </c>
      <c r="AY184" s="33" t="n"/>
      <c r="AZ184" s="33" t="n"/>
      <c r="BA184" s="74" t="n"/>
      <c r="BB184" s="106" t="n"/>
      <c r="BC184" s="42" t="n"/>
      <c r="BD184" s="42" t="n"/>
    </row>
    <row r="185" ht="15" customHeight="1" s="148">
      <c r="A185" t="inlineStr">
        <is>
          <t>c0181</t>
        </is>
      </c>
      <c r="B185" s="39" t="inlineStr">
        <is>
          <t>Well-Worn Spatula</t>
        </is>
      </c>
      <c r="C185" s="40" t="inlineStr">
        <is>
          <t>C</t>
        </is>
      </c>
      <c r="D185" s="39" t="inlineStr">
        <is>
          <t>Artifact</t>
        </is>
      </c>
      <c r="E185" s="41" t="inlineStr">
        <is>
          <t>B2</t>
        </is>
      </c>
      <c r="F185" s="40" t="n">
        <v>1</v>
      </c>
      <c r="G185" s="67" t="inlineStr">
        <is>
          <t>When this Equipment enters, you gain 2 life.
Equipped creature gets +1/+1.
Equip {1} ({1}: Attach to target creature you control. Equip only as a sorcery.)</t>
        </is>
      </c>
      <c r="H185" s="39" t="inlineStr">
        <is>
          <t>Lifegain</t>
        </is>
      </c>
      <c r="I185" s="39" t="inlineStr">
        <is>
          <t>Equipped creature gets +1/+1; equip {1}</t>
        </is>
      </c>
      <c r="J185" s="39" t="inlineStr">
        <is>
          <t>Enters: you gain 2 life</t>
        </is>
      </c>
      <c r="K185" s="39" t="n"/>
      <c r="L185" s="42" t="inlineStr">
        <is>
          <t>180</t>
        </is>
      </c>
      <c r="M185" s="42" t="n">
        <v>2</v>
      </c>
      <c r="N185" s="42" t="n">
        <v>0</v>
      </c>
      <c r="O185" s="63" t="inlineStr">
        <is>
          <t>Gaboleps</t>
        </is>
      </c>
      <c r="P185" s="63" t="n">
        <v>0.13</v>
      </c>
      <c r="Q185" s="42" t="inlineStr">
        <is>
          <t>Common</t>
        </is>
      </c>
      <c r="R185" s="42" t="n"/>
      <c r="S185" s="42" t="n"/>
      <c r="T185" s="63" t="n"/>
      <c r="U185" s="63" t="n"/>
      <c r="V185" s="39" t="inlineStr">
        <is>
          <t>The Hobbit</t>
        </is>
      </c>
      <c r="W185" s="41" t="n">
        <v>3</v>
      </c>
      <c r="X185" s="37">
        <f>SUM(Y185:AE185)</f>
        <v/>
      </c>
      <c r="Y185" s="43" t="n"/>
      <c r="Z185" s="43" t="n"/>
      <c r="AA185" s="43" t="n"/>
      <c r="AB185" s="43" t="n"/>
      <c r="AC185" s="43" t="n"/>
      <c r="AD185" s="43" t="n"/>
      <c r="AE185" s="43" t="n"/>
      <c r="AF185" s="38">
        <f>IF((W185-SUM(Y185:AE185))&lt;0,0,W185-SUM(Y185:AE185))</f>
        <v/>
      </c>
      <c r="AG185" s="34">
        <f>MAX(0,$AT185-$W185-$AI185)</f>
        <v/>
      </c>
      <c r="AH185" s="39" t="n"/>
      <c r="AI185" s="39" t="n"/>
      <c r="AJ185" s="39" t="n">
        <v>0.12</v>
      </c>
      <c r="AK185" s="39">
        <f>IF(AND($AG185&gt;0,ISNUMBER($AJ185)),$AG185*$AJ185,0)</f>
        <v/>
      </c>
      <c r="AT185" s="37">
        <f>SUM(AU185:BA185)</f>
        <v/>
      </c>
      <c r="AU185" s="73" t="n"/>
      <c r="AV185" s="33" t="n"/>
      <c r="AW185" s="33" t="n"/>
      <c r="AX185" s="33" t="n"/>
      <c r="AY185" s="33" t="n"/>
      <c r="AZ185" s="33" t="n"/>
      <c r="BA185" s="74" t="n"/>
      <c r="BB185" s="107" t="n"/>
      <c r="BC185" s="42" t="n"/>
      <c r="BD185" s="42" t="n"/>
    </row>
    <row r="186" ht="15" customHeight="1" s="148">
      <c r="A186" t="inlineStr">
        <is>
          <t>c0182</t>
        </is>
      </c>
      <c r="B186" s="30" t="inlineStr">
        <is>
          <t>Ambitious Augmenter</t>
        </is>
      </c>
      <c r="C186" s="31" t="inlineStr">
        <is>
          <t>G</t>
        </is>
      </c>
      <c r="D186" s="30" t="inlineStr">
        <is>
          <t>Creature</t>
        </is>
      </c>
      <c r="E186" s="33" t="inlineStr">
        <is>
          <t>B2</t>
        </is>
      </c>
      <c r="F186" s="30" t="n">
        <v>1</v>
      </c>
      <c r="G186" s="67" t="inlineStr">
        <is>
          <t>Increment (Whenever you cast a spell, if the amount of mana you spent is greater than this creature's power or toughness, put a +1/+1 counter on this creature.)
When this creature dies, if it had one or more counters on it, create a 0/0 green and blue Fractal creature token, then put this creature's counters on that token.
(1/1)</t>
        </is>
      </c>
      <c r="H186" s="30" t="inlineStr">
        <is>
          <t>Counters Payoff</t>
        </is>
      </c>
      <c r="I186" s="30" t="inlineStr">
        <is>
          <t>Increment — whenever you cast a spell for more mana than this creature's power or toughness, put a +1/+1 counter on it</t>
        </is>
      </c>
      <c r="J186" s="30" t="inlineStr">
        <is>
          <t>When it dies with counters on it, create a 0/0 Fractal token and move the counters onto it</t>
        </is>
      </c>
      <c r="K186" s="30" t="n"/>
      <c r="L186" s="32" t="inlineStr">
        <is>
          <t>140</t>
        </is>
      </c>
      <c r="M186" s="32" t="n">
        <v>1</v>
      </c>
      <c r="N186" s="32" t="n">
        <v>0</v>
      </c>
      <c r="O186" s="63" t="inlineStr">
        <is>
          <t>Mariah Tekulve</t>
        </is>
      </c>
      <c r="P186" s="63" t="n">
        <v>0.28</v>
      </c>
      <c r="Q186" s="32" t="inlineStr">
        <is>
          <t>Rare</t>
        </is>
      </c>
      <c r="R186" s="32" t="n"/>
      <c r="S186" s="32" t="n"/>
      <c r="T186" s="63" t="n"/>
      <c r="U186" s="63" t="n"/>
      <c r="V186" s="30" t="inlineStr">
        <is>
          <t>Secrets of Strixhaven</t>
        </is>
      </c>
      <c r="W186" s="41" t="n">
        <v>1</v>
      </c>
      <c r="X186" s="37">
        <f>SUM(Y186:AE186)</f>
        <v/>
      </c>
      <c r="Y186" s="43" t="n"/>
      <c r="Z186" s="43" t="n"/>
      <c r="AA186" s="43" t="n"/>
      <c r="AB186" s="43" t="n"/>
      <c r="AC186" s="43" t="n"/>
      <c r="AD186" s="43" t="n"/>
      <c r="AE186" s="43" t="n"/>
      <c r="AF186" s="38">
        <f>IF((W186-SUM(Y186:AE186))&lt;0,0,W186-SUM(Y186:AE186))</f>
        <v/>
      </c>
      <c r="AG186" s="34">
        <f>MAX(0,$AT186-$W186-$AI186)</f>
        <v/>
      </c>
      <c r="AH186" s="30" t="n"/>
      <c r="AI186" s="30" t="n"/>
      <c r="AJ186" s="30" t="n">
        <v>0.28</v>
      </c>
      <c r="AK186" s="36">
        <f>IF(AND($AG186&gt;0,ISNUMBER($AJ186)),$AG186*$AJ186,0)</f>
        <v/>
      </c>
      <c r="AT186" s="37">
        <f>SUM(AU186:BA186)</f>
        <v/>
      </c>
      <c r="AU186" s="73" t="n"/>
      <c r="AV186" s="33" t="n"/>
      <c r="AW186" s="33" t="n"/>
      <c r="AX186" s="33" t="n"/>
      <c r="AY186" s="33" t="n"/>
      <c r="AZ186" s="33" t="n"/>
      <c r="BA186" s="74" t="n"/>
      <c r="BB186" s="108" t="n"/>
      <c r="BC186" s="32" t="n"/>
      <c r="BD186" s="32" t="n"/>
    </row>
    <row r="187" ht="15" customHeight="1" s="148">
      <c r="A187" t="inlineStr">
        <is>
          <t>c0183</t>
        </is>
      </c>
      <c r="B187" s="44" t="inlineStr">
        <is>
          <t>Ancient Greenwarden</t>
        </is>
      </c>
      <c r="C187" s="34" t="inlineStr">
        <is>
          <t>G</t>
        </is>
      </c>
      <c r="D187" s="44" t="inlineStr">
        <is>
          <t>Creature</t>
        </is>
      </c>
      <c r="E187" s="41" t="inlineStr">
        <is>
          <t>B2</t>
        </is>
      </c>
      <c r="F187" s="34" t="n">
        <v>6</v>
      </c>
      <c r="G187" s="67" t="inlineStr">
        <is>
          <t>Reach (This creature can block creatures with flying.)
You may play lands from your graveyard.
If a land entering causes a triggered ability of a permanent you control to trigger, that ability triggers an additional time.
(5/7)</t>
        </is>
      </c>
      <c r="H187" s="45" t="inlineStr">
        <is>
          <t>Value Engine</t>
        </is>
      </c>
      <c r="I187" s="45" t="inlineStr">
        <is>
          <t>You may play lands from your graveyard</t>
        </is>
      </c>
      <c r="J187" s="45" t="inlineStr">
        <is>
          <t>Triggered abilities from a land entering trigger an additional time</t>
        </is>
      </c>
      <c r="K187" s="45" t="n"/>
      <c r="L187" s="41" t="n"/>
      <c r="M187" s="41" t="n"/>
      <c r="N187" s="41" t="n"/>
      <c r="O187" s="41" t="n"/>
      <c r="P187" s="41" t="n">
        <v>12.7</v>
      </c>
      <c r="Q187" s="41" t="n"/>
      <c r="R187" s="41" t="n"/>
      <c r="S187" s="41" t="n"/>
      <c r="T187" s="41" t="n"/>
      <c r="U187" s="41" t="n"/>
      <c r="V187" s="45" t="inlineStr">
        <is>
          <t>Zendikar Rising</t>
        </is>
      </c>
      <c r="W187" s="41" t="n">
        <v>1</v>
      </c>
      <c r="X187" s="37">
        <f>SUM(Y187:AE187)</f>
        <v/>
      </c>
      <c r="Y187" s="43" t="n"/>
      <c r="Z187" s="43" t="n">
        <v>1</v>
      </c>
      <c r="AA187" s="43" t="n"/>
      <c r="AB187" s="43" t="n"/>
      <c r="AC187" s="43" t="n"/>
      <c r="AD187" s="43" t="n"/>
      <c r="AE187" s="43" t="n"/>
      <c r="AF187" s="38">
        <f>IF((W187-SUM(Y187:AE187))&lt;0,0,W187-SUM(Y187:AE187))</f>
        <v/>
      </c>
      <c r="AG187" s="34">
        <f>MAX(0,$AT187-$W187-$AI187)</f>
        <v/>
      </c>
      <c r="AH187" s="34" t="n"/>
      <c r="AI187" s="34" t="n"/>
      <c r="AJ187" s="36" t="n">
        <v>12.31</v>
      </c>
      <c r="AK187" s="36">
        <f>IF(AND($AG187&gt;0,ISNUMBER($AJ187)),$AG187*$AJ187,0)</f>
        <v/>
      </c>
      <c r="AT187" s="37">
        <f>SUM(AU187:BA187)</f>
        <v/>
      </c>
      <c r="AU187" s="73" t="n"/>
      <c r="AV187" s="98" t="n">
        <v>1</v>
      </c>
      <c r="AW187" s="33" t="n"/>
      <c r="AX187" s="33" t="n"/>
      <c r="AY187" s="33" t="n"/>
      <c r="AZ187" s="33" t="n"/>
      <c r="BA187" s="74" t="n"/>
      <c r="BB187" s="106" t="n"/>
      <c r="BC187" s="42" t="n"/>
      <c r="BD187" s="42" t="n"/>
    </row>
    <row r="188" ht="15" customHeight="1" s="148">
      <c r="A188" t="inlineStr">
        <is>
          <t>c0184</t>
        </is>
      </c>
      <c r="B188" s="44" t="inlineStr">
        <is>
          <t>Arbor Adherent</t>
        </is>
      </c>
      <c r="C188" s="34" t="inlineStr">
        <is>
          <t>G</t>
        </is>
      </c>
      <c r="D188" s="44" t="inlineStr">
        <is>
          <t>Creature</t>
        </is>
      </c>
      <c r="E188" s="41" t="inlineStr">
        <is>
          <t>B2</t>
        </is>
      </c>
      <c r="F188" s="34" t="n">
        <v>4</v>
      </c>
      <c r="G188" s="67" t="inlineStr">
        <is>
          <t>{T}: Add one mana of any color.
{T}: Add X mana of any one color, where X is the greatest toughness among other creatures you control.
(2/4)</t>
        </is>
      </c>
      <c r="H188" s="45" t="inlineStr">
        <is>
          <t>Toughness Payoff</t>
        </is>
      </c>
      <c r="I188" s="45" t="inlineStr">
        <is>
          <t>{T}: Add one mana of any color</t>
        </is>
      </c>
      <c r="J188" s="45" t="inlineStr">
        <is>
          <t>{T}: Add X mana of any one color, where X is the greatest toughness among other creatures you control</t>
        </is>
      </c>
      <c r="K188" s="45" t="n"/>
      <c r="L188" s="42" t="n"/>
      <c r="M188" s="42" t="n"/>
      <c r="N188" s="42" t="n"/>
      <c r="O188" s="42" t="n"/>
      <c r="P188" s="42" t="n">
        <v>2.63</v>
      </c>
      <c r="Q188" s="42" t="n"/>
      <c r="R188" s="42" t="n"/>
      <c r="S188" s="42" t="n"/>
      <c r="T188" s="42" t="n"/>
      <c r="U188" s="42" t="n"/>
      <c r="V188" s="45" t="inlineStr">
        <is>
          <t>Tarkir: Dragonstorm Commander</t>
        </is>
      </c>
      <c r="W188" s="41" t="n">
        <v>0</v>
      </c>
      <c r="X188" s="37">
        <f>SUM(Y188:AE188)</f>
        <v/>
      </c>
      <c r="Y188" s="43" t="n"/>
      <c r="Z188" s="43" t="n"/>
      <c r="AA188" s="43" t="n"/>
      <c r="AB188" s="43" t="n"/>
      <c r="AC188" s="43" t="n"/>
      <c r="AD188" s="43" t="n"/>
      <c r="AE188" s="43" t="n"/>
      <c r="AF188" s="38">
        <f>IF((W188-SUM(Y188:AE188))&lt;0,0,W188-SUM(Y188:AE188))</f>
        <v/>
      </c>
      <c r="AG188" s="34">
        <f>MAX(0,$AT188-$W188-$AI188)</f>
        <v/>
      </c>
      <c r="AH188" s="34" t="n"/>
      <c r="AI188" s="34" t="n"/>
      <c r="AJ188" s="36" t="n">
        <v>1.87</v>
      </c>
      <c r="AK188" s="36">
        <f>IF(AND($AG188&gt;0,ISNUMBER($AJ188)),$AG188*$AJ188,0)</f>
        <v/>
      </c>
      <c r="AL188" s="54" t="n"/>
      <c r="AM188" s="54" t="n"/>
      <c r="AN188" s="54" t="n"/>
      <c r="AO188" s="54" t="n"/>
      <c r="AP188" s="54" t="n"/>
      <c r="AQ188" s="54" t="n"/>
      <c r="AR188" s="54" t="n"/>
      <c r="AS188" s="54" t="n"/>
      <c r="AT188" s="37">
        <f>SUM(AU188:BA188)</f>
        <v/>
      </c>
      <c r="AU188" s="92" t="n"/>
      <c r="AV188" s="38" t="n"/>
      <c r="AW188" s="38" t="n"/>
      <c r="AX188" s="38" t="n"/>
      <c r="AY188" s="38" t="n"/>
      <c r="AZ188" s="38" t="n"/>
      <c r="BA188" s="94" t="n"/>
      <c r="BB188" s="106" t="n"/>
      <c r="BC188" s="42" t="n"/>
      <c r="BD188" s="48" t="n"/>
    </row>
    <row r="189" ht="15" customHeight="1" s="148">
      <c r="A189" t="inlineStr">
        <is>
          <t>c0185</t>
        </is>
      </c>
      <c r="B189" s="44" t="inlineStr">
        <is>
          <t>Arboreal Grazer</t>
        </is>
      </c>
      <c r="C189" s="34" t="inlineStr">
        <is>
          <t>G</t>
        </is>
      </c>
      <c r="D189" s="44" t="inlineStr">
        <is>
          <t>Creature</t>
        </is>
      </c>
      <c r="E189" s="41" t="inlineStr">
        <is>
          <t>B2</t>
        </is>
      </c>
      <c r="F189" s="34" t="n">
        <v>1</v>
      </c>
      <c r="G189" s="67" t="inlineStr">
        <is>
          <t>Reach
When this creature enters, you may put a land card from your hand onto the battlefield tapped.
(0/3)</t>
        </is>
      </c>
      <c r="H189" s="45" t="inlineStr">
        <is>
          <t>Ramp</t>
        </is>
      </c>
      <c r="I189" s="45" t="inlineStr">
        <is>
          <t>Puts a land from your hand onto the battlefield tapped, on ETB</t>
        </is>
      </c>
      <c r="J189" s="45" t="inlineStr">
        <is>
          <t>Reach body</t>
        </is>
      </c>
      <c r="K189" s="45" t="n"/>
      <c r="L189" s="42" t="n"/>
      <c r="M189" s="42" t="n"/>
      <c r="N189" s="42" t="n"/>
      <c r="O189" s="42" t="n"/>
      <c r="P189" s="42" t="n">
        <v>0.3</v>
      </c>
      <c r="Q189" s="42" t="n"/>
      <c r="R189" s="42" t="n"/>
      <c r="S189" s="42" t="n"/>
      <c r="T189" s="42" t="n"/>
      <c r="U189" s="42" t="n"/>
      <c r="V189" s="45" t="inlineStr">
        <is>
          <t>War of the Spark</t>
        </is>
      </c>
      <c r="W189" s="41" t="n">
        <v>1</v>
      </c>
      <c r="X189" s="37">
        <f>SUM(Y189:AE189)</f>
        <v/>
      </c>
      <c r="Y189" s="43" t="n"/>
      <c r="Z189" s="43" t="n"/>
      <c r="AA189" s="43" t="n"/>
      <c r="AB189" s="43" t="n">
        <v>1</v>
      </c>
      <c r="AC189" s="43" t="n"/>
      <c r="AD189" s="43" t="n"/>
      <c r="AE189" s="43" t="n"/>
      <c r="AF189" s="38">
        <f>IF((W189-SUM(Y189:AE189))&lt;0,0,W189-SUM(Y189:AE189))</f>
        <v/>
      </c>
      <c r="AG189" s="34">
        <f>MAX(0,$AT189-$W189-$AI189)</f>
        <v/>
      </c>
      <c r="AH189" s="34" t="n"/>
      <c r="AI189" s="34" t="n"/>
      <c r="AJ189" s="36" t="n">
        <v>0.23</v>
      </c>
      <c r="AK189" s="36">
        <f>IF(AND($AG189&gt;0,ISNUMBER($AJ189)),$AG189*$AJ189,0)</f>
        <v/>
      </c>
      <c r="AO189" s="58" t="inlineStr">
        <is>
          <t>BL0077</t>
        </is>
      </c>
      <c r="AT189" s="37">
        <f>SUM(AU189:BA189)</f>
        <v/>
      </c>
      <c r="AU189" s="73" t="n"/>
      <c r="AV189" s="33" t="n"/>
      <c r="AW189" s="33" t="n"/>
      <c r="AX189" s="100" t="n"/>
      <c r="AY189" s="33" t="n"/>
      <c r="AZ189" s="33" t="n"/>
      <c r="BA189" s="74" t="n"/>
      <c r="BB189" s="106" t="n"/>
      <c r="BC189" s="42" t="n"/>
      <c r="BD189" s="42" t="n"/>
    </row>
    <row r="190" ht="15" customHeight="1" s="148">
      <c r="A190" t="inlineStr">
        <is>
          <t>c0186</t>
        </is>
      </c>
      <c r="B190" s="44" t="inlineStr">
        <is>
          <t>Assault Formation</t>
        </is>
      </c>
      <c r="C190" s="34" t="inlineStr">
        <is>
          <t>G</t>
        </is>
      </c>
      <c r="D190" s="44" t="inlineStr">
        <is>
          <t>Enchantment</t>
        </is>
      </c>
      <c r="E190" s="41" t="inlineStr">
        <is>
          <t>B2</t>
        </is>
      </c>
      <c r="F190" s="34" t="n">
        <v>2</v>
      </c>
      <c r="G190" s="67" t="inlineStr">
        <is>
          <t>Each creature you control assigns combat damage equal to its toughness rather than its power.
{G}: Target creature with defender can attack this turn as though it didn't have defender.
{2}{G}: Creatures you control get +0/+1 until end of turn.</t>
        </is>
      </c>
      <c r="H190" s="45" t="inlineStr">
        <is>
          <t>Toughness Payoff</t>
        </is>
      </c>
      <c r="I190" s="45" t="inlineStr">
        <is>
          <t>Your creatures assign combat damage equal to toughness rather than power</t>
        </is>
      </c>
      <c r="J190" s="45" t="inlineStr">
        <is>
          <t>{G}: Target defender can attack this turn</t>
        </is>
      </c>
      <c r="K190" s="45" t="inlineStr">
        <is>
          <t>{2}{G}: Creatures you control get +0/+1</t>
        </is>
      </c>
      <c r="L190" s="42" t="n"/>
      <c r="M190" s="42" t="n"/>
      <c r="N190" s="42" t="n"/>
      <c r="O190" s="63" t="n"/>
      <c r="P190" s="63" t="n">
        <v>0.36</v>
      </c>
      <c r="Q190" s="42" t="n"/>
      <c r="R190" s="42" t="n"/>
      <c r="S190" s="42" t="n"/>
      <c r="T190" s="63" t="n"/>
      <c r="U190" s="63" t="n"/>
      <c r="V190" s="45" t="inlineStr">
        <is>
          <t>Dragons of Tarkir</t>
        </is>
      </c>
      <c r="W190" s="41" t="n">
        <v>1</v>
      </c>
      <c r="X190" s="37">
        <f>SUM(Y190:AE190)</f>
        <v/>
      </c>
      <c r="Y190" s="43" t="n"/>
      <c r="Z190" s="43" t="n"/>
      <c r="AA190" s="43" t="n"/>
      <c r="AB190" s="43" t="n">
        <v>1</v>
      </c>
      <c r="AC190" s="43" t="n"/>
      <c r="AD190" s="43" t="n"/>
      <c r="AE190" s="43" t="n"/>
      <c r="AF190" s="38">
        <f>IF((W190-SUM(Y190:AE190))&lt;0,0,W190-SUM(Y190:AE190))</f>
        <v/>
      </c>
      <c r="AG190" s="34">
        <f>MAX(0,$AT190-$W190-$AI190)</f>
        <v/>
      </c>
      <c r="AH190" s="34" t="n"/>
      <c r="AI190" s="34" t="n"/>
      <c r="AJ190" s="36" t="n">
        <v>0.72</v>
      </c>
      <c r="AK190" s="36">
        <f>IF(AND($AG190&gt;0,ISNUMBER($AJ190)),$AG190*$AJ190,0)</f>
        <v/>
      </c>
      <c r="AT190" s="37">
        <f>SUM(AU190:BA190)</f>
        <v/>
      </c>
      <c r="AU190" s="73" t="n"/>
      <c r="AV190" s="33" t="n"/>
      <c r="AW190" s="33" t="n"/>
      <c r="AX190" s="98" t="n">
        <v>1</v>
      </c>
      <c r="AY190" s="33" t="n"/>
      <c r="AZ190" s="33" t="n"/>
      <c r="BA190" s="74" t="n"/>
      <c r="BB190" s="106" t="n"/>
      <c r="BC190" s="42" t="n"/>
      <c r="BD190" s="42" t="n"/>
    </row>
    <row r="191" ht="15" customHeight="1" s="148">
      <c r="A191" t="inlineStr">
        <is>
          <t>c0187</t>
        </is>
      </c>
      <c r="B191" s="39" t="inlineStr">
        <is>
          <t>Attercop</t>
        </is>
      </c>
      <c r="C191" s="40" t="inlineStr">
        <is>
          <t>G</t>
        </is>
      </c>
      <c r="D191" s="39" t="inlineStr">
        <is>
          <t>Creature</t>
        </is>
      </c>
      <c r="E191" s="41" t="inlineStr">
        <is>
          <t>B2</t>
        </is>
      </c>
      <c r="F191" s="40" t="n">
        <v>2</v>
      </c>
      <c r="G191" s="67" t="inlineStr">
        <is>
          <t>Reach, deathtouch
Landfall — Whenever a land you control enters, this creature gets +1/+1 until end of turn.
(2/1)</t>
        </is>
      </c>
      <c r="H191" s="39" t="inlineStr">
        <is>
          <t>Utility Creature</t>
        </is>
      </c>
      <c r="I191" s="39" t="inlineStr">
        <is>
          <t>Reach, deathtouch</t>
        </is>
      </c>
      <c r="J191" s="39" t="inlineStr">
        <is>
          <t>Landfall - whenever a land you control enters, it gets +1/+1 until end of turn</t>
        </is>
      </c>
      <c r="K191" s="39" t="n"/>
      <c r="L191" s="88" t="inlineStr">
        <is>
          <t>116</t>
        </is>
      </c>
      <c r="M191" s="41" t="n">
        <v>1</v>
      </c>
      <c r="N191" s="41" t="n">
        <v>0</v>
      </c>
      <c r="O191" s="63" t="n"/>
      <c r="P191" s="90" t="n">
        <v>0.17</v>
      </c>
      <c r="Q191" s="42" t="inlineStr">
        <is>
          <t>Common</t>
        </is>
      </c>
      <c r="R191" s="42" t="n"/>
      <c r="S191" s="42" t="n"/>
      <c r="T191" s="63" t="n"/>
      <c r="U191" s="63" t="n"/>
      <c r="V191" s="39" t="inlineStr">
        <is>
          <t>The Hobbit</t>
        </is>
      </c>
      <c r="W191" s="41" t="n">
        <v>3</v>
      </c>
      <c r="X191" s="37">
        <f>SUM(Y191:AE191)</f>
        <v/>
      </c>
      <c r="Y191" s="43" t="n"/>
      <c r="Z191" s="43" t="n"/>
      <c r="AA191" s="43" t="n"/>
      <c r="AB191" s="43" t="n"/>
      <c r="AC191" s="43" t="n"/>
      <c r="AD191" s="43" t="n"/>
      <c r="AE191" s="43" t="n"/>
      <c r="AF191" s="38">
        <f>IF((W191-SUM(Y191:AE191))&lt;0,0,W191-SUM(Y191:AE191))</f>
        <v/>
      </c>
      <c r="AG191" s="34">
        <f>MAX(0,$AT191-$W191-$AI191)</f>
        <v/>
      </c>
      <c r="AH191" s="39" t="n"/>
      <c r="AI191" s="39" t="n"/>
      <c r="AJ191" s="39" t="n">
        <v>0.24</v>
      </c>
      <c r="AK191" s="39">
        <f>IF(AND($AG191&gt;0,ISNUMBER($AJ191)),$AG191*$AJ191,0)</f>
        <v/>
      </c>
      <c r="AT191" s="37">
        <f>SUM(AU191:BA191)</f>
        <v/>
      </c>
      <c r="AU191" s="73" t="n"/>
      <c r="AV191" s="33" t="n"/>
      <c r="AW191" s="33" t="n"/>
      <c r="AX191" s="33" t="n"/>
      <c r="AY191" s="33" t="n"/>
      <c r="AZ191" s="33" t="n"/>
      <c r="BA191" s="74" t="n"/>
      <c r="BB191" s="107" t="n"/>
      <c r="BC191" s="42" t="n"/>
      <c r="BD191" s="42" t="n"/>
    </row>
    <row r="192" ht="15" customHeight="1" s="148">
      <c r="A192" t="inlineStr">
        <is>
          <t>c0188</t>
        </is>
      </c>
      <c r="B192" s="44" t="inlineStr">
        <is>
          <t>Axebane Guardian</t>
        </is>
      </c>
      <c r="C192" s="34" t="inlineStr">
        <is>
          <t>G</t>
        </is>
      </c>
      <c r="D192" s="44" t="inlineStr">
        <is>
          <t>Creature</t>
        </is>
      </c>
      <c r="E192" s="41" t="inlineStr">
        <is>
          <t>B2</t>
        </is>
      </c>
      <c r="F192" s="34" t="n">
        <v>3</v>
      </c>
      <c r="G192" s="67" t="inlineStr">
        <is>
          <t>Defender
{T}: Add X mana in any combination of colors, where X is the number of creatures you control with defender.
(0/3)</t>
        </is>
      </c>
      <c r="H192" s="45" t="inlineStr">
        <is>
          <t>Defender Ramp</t>
        </is>
      </c>
      <c r="I192" s="45" t="inlineStr">
        <is>
          <t>Taps for X mana of any colors, X = creatures you control with defender</t>
        </is>
      </c>
      <c r="J192" s="45" t="n"/>
      <c r="K192" s="45" t="n"/>
      <c r="L192" s="41" t="n"/>
      <c r="M192" s="41" t="n"/>
      <c r="N192" s="41" t="n"/>
      <c r="O192" s="63" t="n"/>
      <c r="P192" s="63" t="n">
        <v>0.67</v>
      </c>
      <c r="Q192" s="41" t="n"/>
      <c r="R192" s="41" t="n"/>
      <c r="S192" s="41" t="n"/>
      <c r="T192" s="63" t="n"/>
      <c r="U192" s="63" t="n"/>
      <c r="V192" s="45" t="inlineStr">
        <is>
          <t>Return to Ravnica</t>
        </is>
      </c>
      <c r="W192" s="41" t="n">
        <v>3</v>
      </c>
      <c r="X192" s="37">
        <f>SUM(Y192:AE192)</f>
        <v/>
      </c>
      <c r="Y192" s="43" t="n"/>
      <c r="Z192" s="43" t="n"/>
      <c r="AA192" s="43" t="n"/>
      <c r="AB192" s="43" t="n">
        <v>1</v>
      </c>
      <c r="AC192" s="43" t="n"/>
      <c r="AD192" s="43" t="n"/>
      <c r="AE192" s="43" t="n"/>
      <c r="AF192" s="38">
        <f>IF((W192-SUM(Y192:AE192))&lt;0,0,W192-SUM(Y192:AE192))</f>
        <v/>
      </c>
      <c r="AG192" s="34">
        <f>MAX(0,$AT192-$W192-$AI192)</f>
        <v/>
      </c>
      <c r="AH192" s="34" t="n"/>
      <c r="AI192" s="34" t="n"/>
      <c r="AJ192" s="36" t="n">
        <v>0.34</v>
      </c>
      <c r="AK192" s="36">
        <f>IF(AND($AG192&gt;0,ISNUMBER($AJ192)),$AG192*$AJ192,0)</f>
        <v/>
      </c>
      <c r="AO192" s="58" t="n"/>
      <c r="AT192" s="37">
        <f>SUM(AU192:BA192)</f>
        <v/>
      </c>
      <c r="AU192" s="73" t="n"/>
      <c r="AV192" s="33" t="n"/>
      <c r="AW192" s="33" t="n"/>
      <c r="AX192" s="98" t="n">
        <v>1</v>
      </c>
      <c r="AY192" s="33" t="n"/>
      <c r="AZ192" s="33" t="n"/>
      <c r="BA192" s="74" t="n"/>
      <c r="BB192" s="106" t="n"/>
      <c r="BC192" s="42" t="n"/>
      <c r="BD192" s="42" t="n"/>
    </row>
    <row r="193" ht="15" customHeight="1" s="148">
      <c r="A193" t="inlineStr">
        <is>
          <t>c0189</t>
        </is>
      </c>
      <c r="B193" s="44" t="inlineStr">
        <is>
          <t>Beast Whisperer</t>
        </is>
      </c>
      <c r="C193" s="34" t="inlineStr">
        <is>
          <t>G</t>
        </is>
      </c>
      <c r="D193" s="44" t="inlineStr">
        <is>
          <t>Creature</t>
        </is>
      </c>
      <c r="E193" s="41" t="inlineStr">
        <is>
          <t>B3</t>
        </is>
      </c>
      <c r="F193" s="34" t="n">
        <v>4</v>
      </c>
      <c r="G193" s="67" t="inlineStr">
        <is>
          <t>Whenever you cast a creature spell, draw a card.
(2/3)</t>
        </is>
      </c>
      <c r="H193" s="45" t="inlineStr">
        <is>
          <t>Card Draw</t>
        </is>
      </c>
      <c r="I193" s="45" t="inlineStr">
        <is>
          <t>Whenever you cast a creature spell, draw a card.</t>
        </is>
      </c>
      <c r="J193" s="45" t="n"/>
      <c r="K193" s="45" t="n"/>
      <c r="L193" s="42" t="n"/>
      <c r="M193" s="42" t="n"/>
      <c r="N193" s="42" t="n"/>
      <c r="O193" s="42" t="n"/>
      <c r="P193" s="42" t="n">
        <v>8.960000000000001</v>
      </c>
      <c r="Q193" s="42" t="n"/>
      <c r="R193" s="42" t="n"/>
      <c r="S193" s="42" t="n"/>
      <c r="T193" s="42" t="n"/>
      <c r="U193" s="42" t="n"/>
      <c r="V193" s="45" t="inlineStr">
        <is>
          <t>Guilds of Ravnica</t>
        </is>
      </c>
      <c r="W193" s="41" t="n">
        <v>0</v>
      </c>
      <c r="X193" s="37">
        <f>SUM(Y193:AE193)</f>
        <v/>
      </c>
      <c r="Y193" s="43" t="n"/>
      <c r="Z193" s="43" t="n"/>
      <c r="AA193" s="43" t="n"/>
      <c r="AB193" s="43" t="n"/>
      <c r="AC193" s="43" t="n"/>
      <c r="AD193" s="43" t="n"/>
      <c r="AE193" s="43" t="n"/>
      <c r="AF193" s="38">
        <f>IF((W193-SUM(Y193:AE193))&lt;0,0,W193-SUM(Y193:AE193))</f>
        <v/>
      </c>
      <c r="AG193" s="34">
        <f>MAX(0,$AT193-$W193-$AI193)</f>
        <v/>
      </c>
      <c r="AH193" s="34" t="n"/>
      <c r="AI193" s="34" t="n"/>
      <c r="AJ193" s="36" t="n">
        <v>7.51</v>
      </c>
      <c r="AK193" s="36">
        <f>IF(AND($AG193&gt;0,ISNUMBER($AJ193)),$AG193*$AJ193,0)</f>
        <v/>
      </c>
      <c r="AL193" s="54" t="n"/>
      <c r="AM193" s="54" t="n"/>
      <c r="AN193" s="54" t="n"/>
      <c r="AO193" s="54" t="n"/>
      <c r="AP193" s="54" t="n"/>
      <c r="AQ193" s="54" t="n"/>
      <c r="AR193" s="54" t="n"/>
      <c r="AS193" s="54" t="n"/>
      <c r="AT193" s="37">
        <f>SUM(AU193:BA193)</f>
        <v/>
      </c>
      <c r="AU193" s="92" t="n"/>
      <c r="AV193" s="38" t="n">
        <v>1</v>
      </c>
      <c r="AW193" s="38" t="n"/>
      <c r="AX193" s="38" t="n"/>
      <c r="AY193" s="38" t="n"/>
      <c r="AZ193" s="38" t="n"/>
      <c r="BA193" s="94" t="n"/>
      <c r="BB193" s="106" t="n"/>
      <c r="BC193" s="42" t="n"/>
      <c r="BD193" s="42" t="n"/>
    </row>
    <row r="194" ht="15" customHeight="1" s="148">
      <c r="A194" t="inlineStr">
        <is>
          <t>c0190</t>
        </is>
      </c>
      <c r="B194" s="44" t="inlineStr">
        <is>
          <t>Beast Within</t>
        </is>
      </c>
      <c r="C194" s="34" t="inlineStr">
        <is>
          <t>G</t>
        </is>
      </c>
      <c r="D194" s="44" t="inlineStr">
        <is>
          <t>Instant</t>
        </is>
      </c>
      <c r="E194" s="41" t="inlineStr">
        <is>
          <t>B3</t>
        </is>
      </c>
      <c r="F194" s="34" t="n">
        <v>3</v>
      </c>
      <c r="G194" s="67" t="inlineStr">
        <is>
          <t>Destroy target permanent. Its controller creates a 3/3 green Beast creature token.</t>
        </is>
      </c>
      <c r="H194" s="45" t="inlineStr">
        <is>
          <t>Removal</t>
        </is>
      </c>
      <c r="I194" s="45" t="inlineStr">
        <is>
          <t>Destroy target permanent. Its controller creates a 3/3 green Beast creature token</t>
        </is>
      </c>
      <c r="J194" s="45" t="n"/>
      <c r="K194" s="45" t="n"/>
      <c r="L194" s="42" t="n"/>
      <c r="M194" s="42" t="n"/>
      <c r="N194" s="42" t="n"/>
      <c r="O194" s="42" t="n"/>
      <c r="P194" s="42" t="n">
        <v>0.63</v>
      </c>
      <c r="Q194" s="42" t="n"/>
      <c r="R194" s="42" t="n"/>
      <c r="S194" s="42" t="n"/>
      <c r="T194" s="42" t="n"/>
      <c r="U194" s="42" t="n"/>
      <c r="V194" s="45" t="inlineStr">
        <is>
          <t>New Phyrexia</t>
        </is>
      </c>
      <c r="W194" s="41" t="n">
        <v>0</v>
      </c>
      <c r="X194" s="37">
        <f>SUM(Y194:AE194)</f>
        <v/>
      </c>
      <c r="Y194" s="43" t="n"/>
      <c r="Z194" s="43" t="n"/>
      <c r="AA194" s="43" t="n"/>
      <c r="AB194" s="43" t="n"/>
      <c r="AC194" s="43" t="n"/>
      <c r="AD194" s="43" t="n"/>
      <c r="AE194" s="43" t="n"/>
      <c r="AF194" s="38">
        <f>IF((W194-SUM(Y194:AE194))&lt;0,0,W194-SUM(Y194:AE194))</f>
        <v/>
      </c>
      <c r="AG194" s="34">
        <f>MAX(0,$AT194-$W194-$AI194)</f>
        <v/>
      </c>
      <c r="AH194" s="34" t="n"/>
      <c r="AI194" s="34" t="n"/>
      <c r="AJ194" s="36" t="n">
        <v>0.6</v>
      </c>
      <c r="AK194" s="36">
        <f>IF(AND($AG194&gt;0,ISNUMBER($AJ194)),$AG194*$AJ194,0)</f>
        <v/>
      </c>
      <c r="AL194" s="54" t="n"/>
      <c r="AM194" s="54" t="n"/>
      <c r="AN194" s="54" t="n"/>
      <c r="AO194" s="54" t="n"/>
      <c r="AP194" s="54" t="n"/>
      <c r="AQ194" s="54" t="n"/>
      <c r="AR194" s="54" t="n"/>
      <c r="AS194" s="54" t="n"/>
      <c r="AT194" s="37">
        <f>SUM(AU194:BA194)</f>
        <v/>
      </c>
      <c r="AU194" s="92" t="n"/>
      <c r="AV194" s="38" t="n"/>
      <c r="AW194" s="38" t="n"/>
      <c r="AX194" s="38" t="n">
        <v>1</v>
      </c>
      <c r="AY194" s="38" t="n"/>
      <c r="AZ194" s="38" t="n"/>
      <c r="BA194" s="94" t="n"/>
      <c r="BB194" s="106" t="n"/>
      <c r="BC194" s="42" t="n"/>
      <c r="BD194" s="48" t="n"/>
    </row>
    <row r="195" ht="15" customHeight="1" s="148">
      <c r="A195" t="inlineStr">
        <is>
          <t>c0191</t>
        </is>
      </c>
      <c r="B195" s="30" t="inlineStr">
        <is>
          <t>Bloom Hulk</t>
        </is>
      </c>
      <c r="C195" s="31" t="inlineStr">
        <is>
          <t>G</t>
        </is>
      </c>
      <c r="D195" s="30" t="inlineStr">
        <is>
          <t>Creature</t>
        </is>
      </c>
      <c r="E195" s="33" t="inlineStr">
        <is>
          <t>B2</t>
        </is>
      </c>
      <c r="F195" s="30" t="n">
        <v>4</v>
      </c>
      <c r="G195" s="67" t="inlineStr">
        <is>
          <t>When this creature enters, proliferate. (Choose any number of permanents and/or players, then give each another counter of each kind already there.)
(4/4)</t>
        </is>
      </c>
      <c r="H195" s="30" t="inlineStr">
        <is>
          <t>Proliferate</t>
        </is>
      </c>
      <c r="I195" s="30" t="inlineStr">
        <is>
          <t>Enters: proliferate</t>
        </is>
      </c>
      <c r="J195" s="30" t="inlineStr">
        <is>
          <t>4/4 body</t>
        </is>
      </c>
      <c r="K195" s="30" t="n"/>
      <c r="L195" s="32" t="n"/>
      <c r="M195" s="32" t="n"/>
      <c r="N195" s="32" t="n"/>
      <c r="O195" s="63" t="n"/>
      <c r="P195" s="63" t="n"/>
      <c r="Q195" s="32" t="n"/>
      <c r="R195" s="32" t="n"/>
      <c r="S195" s="32" t="n"/>
      <c r="T195" s="63" t="n"/>
      <c r="U195" s="63" t="n"/>
      <c r="V195" s="30" t="inlineStr">
        <is>
          <t>War of the Spark</t>
        </is>
      </c>
      <c r="W195" s="41" t="n">
        <v>1</v>
      </c>
      <c r="X195" s="37">
        <f>SUM(Y195:AE195)</f>
        <v/>
      </c>
      <c r="Y195" s="43" t="n"/>
      <c r="Z195" s="43" t="n"/>
      <c r="AA195" s="43" t="n">
        <v>1</v>
      </c>
      <c r="AB195" s="43" t="n"/>
      <c r="AC195" s="43" t="n"/>
      <c r="AD195" s="43" t="n"/>
      <c r="AE195" s="43" t="n"/>
      <c r="AF195" s="38">
        <f>IF((W195-SUM(Y195:AE195))&lt;0,0,W195-SUM(Y195:AE195))</f>
        <v/>
      </c>
      <c r="AG195" s="34">
        <f>MAX(0,$AT195-$W195-$AI195)</f>
        <v/>
      </c>
      <c r="AH195" s="30" t="n"/>
      <c r="AI195" s="30" t="n"/>
      <c r="AJ195" s="30" t="n">
        <v>0.16</v>
      </c>
      <c r="AK195" s="36">
        <f>IF(AND($AG195&gt;0,ISNUMBER($AJ195)),$AG195*$AJ195,0)</f>
        <v/>
      </c>
      <c r="AR195" s="58" t="n"/>
      <c r="AT195" s="37">
        <f>SUM(AU195:BA195)</f>
        <v/>
      </c>
      <c r="AU195" s="73" t="n"/>
      <c r="AV195" s="33" t="n"/>
      <c r="AW195" s="98" t="n">
        <v>1</v>
      </c>
      <c r="AX195" s="33" t="n"/>
      <c r="AY195" s="33" t="n"/>
      <c r="AZ195" s="33" t="n"/>
      <c r="BA195" s="79" t="n"/>
      <c r="BB195" s="108" t="n"/>
      <c r="BC195" s="32" t="n"/>
      <c r="BD195" s="32" t="n"/>
    </row>
    <row r="196" ht="15" customHeight="1" s="148">
      <c r="A196" t="inlineStr">
        <is>
          <t>c0192</t>
        </is>
      </c>
      <c r="B196" s="44" t="inlineStr">
        <is>
          <t>Boughside Wanderers</t>
        </is>
      </c>
      <c r="C196" s="40" t="inlineStr">
        <is>
          <t>G</t>
        </is>
      </c>
      <c r="D196" s="39" t="inlineStr">
        <is>
          <t>Creature</t>
        </is>
      </c>
      <c r="E196" s="41" t="inlineStr">
        <is>
          <t>B2</t>
        </is>
      </c>
      <c r="F196" s="40" t="n">
        <v>6</v>
      </c>
      <c r="G196" s="67" t="inlineStr">
        <is>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
(4/4)</t>
        </is>
      </c>
      <c r="H196" s="39" t="inlineStr">
        <is>
          <t>Card Advantage</t>
        </is>
      </c>
      <c r="I196" s="39" t="inlineStr">
        <is>
          <t>Enters: look at the top four cards of your library and put a permanent card from among them into your hand</t>
        </is>
      </c>
      <c r="J196" s="39" t="inlineStr">
        <is>
          <t>Landfall - whenever a land you control enters, it gets +2/+2 until end of turn</t>
        </is>
      </c>
      <c r="K196" s="39" t="n"/>
      <c r="L196" s="42" t="n"/>
      <c r="M196" s="42" t="n"/>
      <c r="N196" s="42" t="n"/>
      <c r="O196" s="63" t="n"/>
      <c r="P196" s="63" t="n"/>
      <c r="Q196" s="42" t="n"/>
      <c r="R196" s="42" t="n"/>
      <c r="S196" s="42" t="n"/>
      <c r="T196" s="63" t="n"/>
      <c r="U196" s="63" t="n"/>
      <c r="V196" s="39" t="inlineStr">
        <is>
          <t>The Hobbit</t>
        </is>
      </c>
      <c r="W196" s="41" t="n">
        <v>1</v>
      </c>
      <c r="X196" s="37">
        <f>SUM(Y196:AE196)</f>
        <v/>
      </c>
      <c r="Y196" s="43" t="n"/>
      <c r="Z196" s="43" t="n"/>
      <c r="AA196" s="43" t="n"/>
      <c r="AB196" s="43" t="n"/>
      <c r="AC196" s="43" t="n"/>
      <c r="AD196" s="43" t="n"/>
      <c r="AE196" s="43" t="n">
        <v>1</v>
      </c>
      <c r="AF196" s="38">
        <f>IF((W196-SUM(Y196:AE196))&lt;0,0,W196-SUM(Y196:AE196))</f>
        <v/>
      </c>
      <c r="AG196" s="34">
        <f>MAX(0,$AT196-$W196-$AI196)</f>
        <v/>
      </c>
      <c r="AH196" s="39" t="n"/>
      <c r="AI196" s="39" t="n"/>
      <c r="AJ196" s="39" t="n">
        <v>0.12</v>
      </c>
      <c r="AK196" s="39">
        <f>IF(AND($AG196&gt;0,ISNUMBER($AJ196)),$AG196*$AJ196,0)</f>
        <v/>
      </c>
      <c r="AR196" s="58" t="inlineStr">
        <is>
          <t>BL0005</t>
        </is>
      </c>
      <c r="AT196" s="37">
        <f>SUM(AU196:BA196)</f>
        <v/>
      </c>
      <c r="AU196" s="73" t="n"/>
      <c r="AV196" s="33" t="n"/>
      <c r="AW196" s="33" t="n"/>
      <c r="AX196" s="33" t="n"/>
      <c r="AY196" s="33" t="n"/>
      <c r="AZ196" s="33" t="n"/>
      <c r="BA196" s="79" t="n"/>
      <c r="BB196" s="107" t="n"/>
      <c r="BC196" s="42" t="n"/>
      <c r="BD196" s="42" t="n"/>
    </row>
    <row r="197" ht="15" customHeight="1" s="148">
      <c r="A197" t="inlineStr">
        <is>
          <t>c0193</t>
        </is>
      </c>
      <c r="B197" s="44" t="inlineStr">
        <is>
          <t>Branching Evolution</t>
        </is>
      </c>
      <c r="C197" s="34" t="inlineStr">
        <is>
          <t>G</t>
        </is>
      </c>
      <c r="D197" s="44" t="inlineStr">
        <is>
          <t>Enchantment</t>
        </is>
      </c>
      <c r="E197" s="41" t="inlineStr">
        <is>
          <t>B3</t>
        </is>
      </c>
      <c r="F197" s="34" t="n">
        <v>3</v>
      </c>
      <c r="G197" s="67" t="inlineStr">
        <is>
          <t>If one or more +1/+1 counters would be put on a creature you control, twice that many +1/+1 counters are put on that creature instead.</t>
        </is>
      </c>
      <c r="H197" s="45" t="inlineStr">
        <is>
          <t>Counters Payoff</t>
        </is>
      </c>
      <c r="I197" s="45" t="inlineStr">
        <is>
          <t>If one or more +1/+1 counters would be put on a creature you control, twice that many +1/+1 counters are put on that cre</t>
        </is>
      </c>
      <c r="J197" s="45" t="n"/>
      <c r="K197" s="45" t="n"/>
      <c r="L197" s="42" t="n"/>
      <c r="M197" s="42" t="n"/>
      <c r="N197" s="42" t="n"/>
      <c r="O197" s="42" t="n"/>
      <c r="P197" s="42" t="n">
        <v>8.09</v>
      </c>
      <c r="Q197" s="42" t="n"/>
      <c r="R197" s="42" t="n"/>
      <c r="S197" s="42" t="n"/>
      <c r="T197" s="42" t="n"/>
      <c r="U197" s="42" t="n"/>
      <c r="V197" s="45" t="inlineStr">
        <is>
          <t>Jumpstart</t>
        </is>
      </c>
      <c r="W197" s="41" t="n">
        <v>1</v>
      </c>
      <c r="X197" s="37">
        <f>SUM(Y197:AE197)</f>
        <v/>
      </c>
      <c r="Y197" s="43" t="n"/>
      <c r="Z197" s="43" t="n"/>
      <c r="AA197" s="43" t="n">
        <v>1</v>
      </c>
      <c r="AB197" s="43" t="n"/>
      <c r="AC197" s="43" t="n"/>
      <c r="AD197" s="43" t="n"/>
      <c r="AE197" s="43" t="n"/>
      <c r="AF197" s="38">
        <f>IF((W197-SUM(Y197:AE197))&lt;0,0,W197-SUM(Y197:AE197))</f>
        <v/>
      </c>
      <c r="AG197" s="34">
        <f>MAX(0,$AT197-$W197-$AI197)</f>
        <v/>
      </c>
      <c r="AH197" s="34" t="n"/>
      <c r="AI197" s="34" t="n"/>
      <c r="AJ197" s="36" t="n">
        <v>7.83</v>
      </c>
      <c r="AK197" s="36">
        <f>IF(AND($AG197&gt;0,ISNUMBER($AJ197)),$AG197*$AJ197,0)</f>
        <v/>
      </c>
      <c r="AT197" s="37">
        <f>SUM(AU197:BA197)</f>
        <v/>
      </c>
      <c r="AU197" s="73" t="n"/>
      <c r="AV197" s="33" t="n"/>
      <c r="AW197" s="98" t="n">
        <v>1</v>
      </c>
      <c r="AX197" s="33" t="n"/>
      <c r="AY197" s="33" t="n"/>
      <c r="AZ197" s="33" t="n"/>
      <c r="BA197" s="74" t="n"/>
      <c r="BB197" s="106" t="n"/>
      <c r="BC197" s="42" t="n"/>
      <c r="BD197" s="42" t="n"/>
    </row>
    <row r="198" ht="15" customHeight="1" s="148">
      <c r="A198" t="inlineStr">
        <is>
          <t>c0194</t>
        </is>
      </c>
      <c r="B198" s="44" t="inlineStr">
        <is>
          <t>Bristlebane Battler</t>
        </is>
      </c>
      <c r="C198" s="34" t="inlineStr">
        <is>
          <t>G</t>
        </is>
      </c>
      <c r="D198" s="44" t="inlineStr">
        <is>
          <t>Creature</t>
        </is>
      </c>
      <c r="E198" s="41" t="inlineStr">
        <is>
          <t>B2</t>
        </is>
      </c>
      <c r="F198" s="34" t="n">
        <v>2</v>
      </c>
      <c r="G198" s="67" t="inlineStr">
        <is>
          <t>Trample, ward {2}
This creature enters with five -1/-1 counters on it.
Whenever another creature you control enters while this creature has a -1/-1 counter on it, remove a -1/-1 counter from this creature.
(6/6)</t>
        </is>
      </c>
      <c r="H198" s="45" t="inlineStr">
        <is>
          <t>Counters Payoff</t>
        </is>
      </c>
      <c r="I198" s="45" t="inlineStr">
        <is>
          <t>Enters with five -1/-1 counters on it</t>
        </is>
      </c>
      <c r="J198" s="45" t="inlineStr">
        <is>
          <t>Removes a -1/-1 counter from itself whenever another creature you control enters</t>
        </is>
      </c>
      <c r="K198" s="45" t="n"/>
      <c r="L198" s="42" t="n"/>
      <c r="M198" s="42" t="n"/>
      <c r="N198" s="42" t="n"/>
      <c r="O198" s="42" t="n"/>
      <c r="P198" s="42" t="n">
        <v>0.3</v>
      </c>
      <c r="Q198" s="42" t="n"/>
      <c r="R198" s="42" t="n"/>
      <c r="S198" s="42" t="n"/>
      <c r="T198" s="42" t="n"/>
      <c r="U198" s="42" t="n"/>
      <c r="V198" s="45" t="inlineStr">
        <is>
          <t>Lorwyn Eclipsed</t>
        </is>
      </c>
      <c r="W198" s="41" t="n">
        <v>1</v>
      </c>
      <c r="X198" s="37">
        <f>SUM(Y198:AE198)</f>
        <v/>
      </c>
      <c r="Y198" s="43" t="n"/>
      <c r="Z198" s="43" t="n"/>
      <c r="AA198" s="43" t="n"/>
      <c r="AB198" s="43" t="n"/>
      <c r="AC198" s="43" t="n"/>
      <c r="AD198" s="43" t="n"/>
      <c r="AE198" s="43" t="n"/>
      <c r="AF198" s="38">
        <f>IF((W198-SUM(Y198:AE198))&lt;0,0,W198-SUM(Y198:AE198))</f>
        <v/>
      </c>
      <c r="AG198" s="34">
        <f>MAX(0,$AT198-$W198-$AI198)</f>
        <v/>
      </c>
      <c r="AH198" s="34" t="n"/>
      <c r="AI198" s="34" t="n"/>
      <c r="AJ198" s="36" t="n">
        <v>0.3</v>
      </c>
      <c r="AK198" s="36">
        <f>IF(AND($AG198&gt;0,ISNUMBER($AJ198)),$AG198*$AJ198,0)</f>
        <v/>
      </c>
      <c r="AT198" s="37">
        <f>SUM(AU198:BA198)</f>
        <v/>
      </c>
      <c r="AU198" s="73" t="n"/>
      <c r="AV198" s="33" t="n"/>
      <c r="AW198" s="33" t="n"/>
      <c r="AX198" s="33" t="n"/>
      <c r="AY198" s="33" t="n"/>
      <c r="AZ198" s="33" t="n"/>
      <c r="BA198" s="74" t="n"/>
      <c r="BB198" s="106" t="n"/>
      <c r="BC198" s="42" t="n"/>
      <c r="BD198" s="42" t="n"/>
    </row>
    <row r="199" ht="15" customHeight="1" s="148">
      <c r="A199" t="inlineStr">
        <is>
          <t>c0195</t>
        </is>
      </c>
      <c r="B199" s="44" t="inlineStr">
        <is>
          <t>Cankerbloom</t>
        </is>
      </c>
      <c r="C199" s="34" t="inlineStr">
        <is>
          <t>G</t>
        </is>
      </c>
      <c r="D199" s="44" t="inlineStr">
        <is>
          <t>Creature</t>
        </is>
      </c>
      <c r="E199" s="41" t="inlineStr">
        <is>
          <t>B2</t>
        </is>
      </c>
      <c r="F199" s="34" t="n">
        <v>2</v>
      </c>
      <c r="G199" s="67" t="inlineStr">
        <is>
          <t>{1}, Sacrifice this creature: Choose one —
• Destroy target artifact.
• Destroy target enchantment.
• Proliferate. (Choose any number of permanents and/or players, then give each another counter of each kind already there.)
(3/2)</t>
        </is>
      </c>
      <c r="H199" s="45" t="inlineStr">
        <is>
          <t>Artifact/Enchantment Removal</t>
        </is>
      </c>
      <c r="I199" s="45" t="inlineStr">
        <is>
          <t>{1}, Sacrifice this creature: Choose one —</t>
        </is>
      </c>
      <c r="J199" s="45" t="inlineStr">
        <is>
          <t>• Destroy target artifact</t>
        </is>
      </c>
      <c r="K199" s="45" t="inlineStr">
        <is>
          <t>• Destroy target enchantment</t>
        </is>
      </c>
      <c r="L199" s="42" t="n"/>
      <c r="M199" s="42" t="n"/>
      <c r="N199" s="42" t="n"/>
      <c r="O199" s="42" t="n"/>
      <c r="P199" s="42" t="n">
        <v>0.51</v>
      </c>
      <c r="Q199" s="42" t="n"/>
      <c r="R199" s="42" t="n"/>
      <c r="S199" s="42" t="n"/>
      <c r="T199" s="42" t="n"/>
      <c r="U199" s="42" t="n"/>
      <c r="V199" s="45" t="inlineStr">
        <is>
          <t>Phyrexia: All Will Be One</t>
        </is>
      </c>
      <c r="W199" s="41" t="n">
        <v>0</v>
      </c>
      <c r="X199" s="37">
        <f>SUM(Y199:AE199)</f>
        <v/>
      </c>
      <c r="Y199" s="43" t="n"/>
      <c r="Z199" s="43" t="n"/>
      <c r="AA199" s="43" t="n"/>
      <c r="AB199" s="43" t="n"/>
      <c r="AC199" s="43" t="n"/>
      <c r="AD199" s="43" t="n"/>
      <c r="AE199" s="43" t="n"/>
      <c r="AF199" s="38">
        <f>IF((W199-SUM(Y199:AE199))&lt;0,0,W199-SUM(Y199:AE199))</f>
        <v/>
      </c>
      <c r="AG199" s="34">
        <f>MAX(0,$AT199-$W199-$AI199)</f>
        <v/>
      </c>
      <c r="AH199" s="34" t="n"/>
      <c r="AI199" s="34" t="n"/>
      <c r="AJ199" s="36" t="n">
        <v>0.36</v>
      </c>
      <c r="AK199" s="36">
        <f>IF(AND($AG199&gt;0,ISNUMBER($AJ199)),$AG199*$AJ199,0)</f>
        <v/>
      </c>
      <c r="AL199" s="54" t="n"/>
      <c r="AM199" s="54" t="n"/>
      <c r="AN199" s="54" t="n"/>
      <c r="AO199" s="54" t="n"/>
      <c r="AP199" s="54" t="n"/>
      <c r="AQ199" s="54" t="n"/>
      <c r="AR199" s="54" t="n"/>
      <c r="AS199" s="54" t="n"/>
      <c r="AT199" s="37">
        <f>SUM(AU199:BA199)</f>
        <v/>
      </c>
      <c r="AU199" s="92" t="n"/>
      <c r="AV199" s="38" t="n"/>
      <c r="AW199" s="38" t="n"/>
      <c r="AX199" s="38" t="n"/>
      <c r="AY199" s="38" t="n"/>
      <c r="AZ199" s="38" t="n"/>
      <c r="BA199" s="94" t="n"/>
      <c r="BB199" s="106" t="n"/>
      <c r="BC199" s="42" t="n"/>
      <c r="BD199" s="42" t="n"/>
    </row>
    <row r="200" ht="15" customHeight="1" s="148">
      <c r="A200" t="inlineStr">
        <is>
          <t>c0196</t>
        </is>
      </c>
      <c r="B200" s="44" t="inlineStr">
        <is>
          <t>Canopy Gargantuan</t>
        </is>
      </c>
      <c r="C200" s="34" t="inlineStr">
        <is>
          <t>G</t>
        </is>
      </c>
      <c r="D200" s="44" t="inlineStr">
        <is>
          <t>Creature</t>
        </is>
      </c>
      <c r="E200" s="41" t="inlineStr">
        <is>
          <t>B2</t>
        </is>
      </c>
      <c r="F200" s="34" t="n">
        <v>7</v>
      </c>
      <c r="G200" s="67" t="inlineStr">
        <is>
          <t>Flying, ward {2}
At the beginning of your upkeep, put a number of +1/+1 counters on each other creature you control equal to that creature's toughness.
(7/7)</t>
        </is>
      </c>
      <c r="H200" s="45" t="inlineStr">
        <is>
          <t>Counters Payoff</t>
        </is>
      </c>
      <c r="I200" s="45" t="inlineStr">
        <is>
          <t>Flying body that resists opposing spells</t>
        </is>
      </c>
      <c r="J200" s="45" t="inlineStr">
        <is>
          <t>Upkeep: put +1/+1 counters equal to toughness on each other creature you control</t>
        </is>
      </c>
      <c r="K200" s="45" t="n"/>
      <c r="L200" s="42" t="n"/>
      <c r="M200" s="42" t="n"/>
      <c r="N200" s="42" t="n"/>
      <c r="O200" s="42" t="n"/>
      <c r="P200" s="42" t="n">
        <v>4.47</v>
      </c>
      <c r="Q200" s="42" t="n"/>
      <c r="R200" s="42" t="n"/>
      <c r="S200" s="42" t="n"/>
      <c r="T200" s="42" t="n"/>
      <c r="U200" s="42" t="n"/>
      <c r="V200" s="45" t="inlineStr">
        <is>
          <t>Tarkir: Dragonstorm Commander</t>
        </is>
      </c>
      <c r="W200" s="41" t="n">
        <v>1</v>
      </c>
      <c r="X200" s="37">
        <f>SUM(Y200:AE200)</f>
        <v/>
      </c>
      <c r="Y200" s="43" t="n"/>
      <c r="Z200" s="43" t="n"/>
      <c r="AA200" s="43" t="n"/>
      <c r="AB200" s="43" t="n">
        <v>1</v>
      </c>
      <c r="AC200" s="43" t="n"/>
      <c r="AD200" s="43" t="n"/>
      <c r="AE200" s="43" t="n"/>
      <c r="AF200" s="38">
        <f>IF((W200-SUM(Y200:AE200))&lt;0,0,W200-SUM(Y200:AE200))</f>
        <v/>
      </c>
      <c r="AG200" s="34">
        <f>MAX(0,$AT200-$W200-$AI200)</f>
        <v/>
      </c>
      <c r="AH200" s="34" t="n"/>
      <c r="AI200" s="34" t="n"/>
      <c r="AJ200" s="36" t="n">
        <v>3.96</v>
      </c>
      <c r="AK200" s="36">
        <f>IF(AND($AG200&gt;0,ISNUMBER($AJ200)),$AG200*$AJ200,0)</f>
        <v/>
      </c>
      <c r="AO200" t="inlineStr">
        <is>
          <t>BL0056</t>
        </is>
      </c>
      <c r="AT200" s="37">
        <f>SUM(AU200:BA200)</f>
        <v/>
      </c>
      <c r="AU200" s="73" t="n"/>
      <c r="AV200" s="33" t="n"/>
      <c r="AW200" s="33" t="n"/>
      <c r="AX200" s="100" t="n"/>
      <c r="AY200" s="33" t="n"/>
      <c r="AZ200" s="33" t="n"/>
      <c r="BA200" s="74" t="n"/>
      <c r="BB200" s="106" t="n"/>
      <c r="BC200" s="42" t="n"/>
      <c r="BD200" s="42" t="n"/>
    </row>
    <row r="201" ht="15" customHeight="1" s="148">
      <c r="A201" t="inlineStr">
        <is>
          <t>c0197</t>
        </is>
      </c>
      <c r="B201" s="44" t="inlineStr">
        <is>
          <t>Carven Caryatid</t>
        </is>
      </c>
      <c r="C201" s="34" t="inlineStr">
        <is>
          <t>G</t>
        </is>
      </c>
      <c r="D201" s="44" t="inlineStr">
        <is>
          <t>Creature</t>
        </is>
      </c>
      <c r="E201" s="41" t="inlineStr">
        <is>
          <t>B2</t>
        </is>
      </c>
      <c r="F201" s="34" t="n">
        <v>3</v>
      </c>
      <c r="G201" s="67" t="inlineStr">
        <is>
          <t>Defender (This creature can't attack.)
When this creature enters, draw a card.
(2/5)</t>
        </is>
      </c>
      <c r="H201" s="45" t="inlineStr">
        <is>
          <t>Card Draw</t>
        </is>
      </c>
      <c r="I201" s="45" t="inlineStr">
        <is>
          <t>Draws a card when it enters</t>
        </is>
      </c>
      <c r="J201" s="45" t="inlineStr">
        <is>
          <t>Defender body</t>
        </is>
      </c>
      <c r="K201" s="45" t="n"/>
      <c r="L201" s="42" t="n"/>
      <c r="M201" s="42" t="n"/>
      <c r="N201" s="42" t="n"/>
      <c r="O201" s="42" t="n"/>
      <c r="P201" s="42" t="n">
        <v>0.32</v>
      </c>
      <c r="Q201" s="42" t="n"/>
      <c r="R201" s="42" t="n"/>
      <c r="S201" s="42" t="n"/>
      <c r="T201" s="42" t="n"/>
      <c r="U201" s="42" t="n"/>
      <c r="V201" s="45" t="inlineStr">
        <is>
          <t>Ravnica: City of Guilds</t>
        </is>
      </c>
      <c r="W201" s="41" t="n">
        <v>1</v>
      </c>
      <c r="X201" s="37">
        <f>SUM(Y201:AE201)</f>
        <v/>
      </c>
      <c r="Y201" s="43" t="n"/>
      <c r="Z201" s="43" t="n"/>
      <c r="AA201" s="43" t="n"/>
      <c r="AB201" s="43" t="n">
        <v>1</v>
      </c>
      <c r="AC201" s="43" t="n"/>
      <c r="AD201" s="43" t="n"/>
      <c r="AE201" s="43" t="n"/>
      <c r="AF201" s="38">
        <f>IF((W201-SUM(Y201:AE201))&lt;0,0,W201-SUM(Y201:AE201))</f>
        <v/>
      </c>
      <c r="AG201" s="34">
        <f>MAX(0,$AT201-$W201-$AI201)</f>
        <v/>
      </c>
      <c r="AH201" s="34" t="n"/>
      <c r="AI201" s="34" t="n"/>
      <c r="AJ201" s="36" t="n">
        <v>0.23</v>
      </c>
      <c r="AK201" s="36">
        <f>IF(AND($AG201&gt;0,ISNUMBER($AJ201)),$AG201*$AJ201,0)</f>
        <v/>
      </c>
      <c r="AT201" s="37">
        <f>SUM(AU201:BA201)</f>
        <v/>
      </c>
      <c r="AU201" s="73" t="n"/>
      <c r="AV201" s="33" t="n"/>
      <c r="AW201" s="33" t="n"/>
      <c r="AX201" s="98" t="n">
        <v>1</v>
      </c>
      <c r="AY201" s="33" t="n"/>
      <c r="AZ201" s="33" t="n"/>
      <c r="BA201" s="74" t="n"/>
      <c r="BB201" s="106" t="n"/>
      <c r="BC201" s="42" t="n"/>
      <c r="BD201" s="42" t="n"/>
    </row>
    <row r="202" ht="15" customHeight="1" s="148">
      <c r="A202" t="inlineStr">
        <is>
          <t>c0198</t>
        </is>
      </c>
      <c r="B202" s="30" t="inlineStr">
        <is>
          <t>Chelonian Tackle</t>
        </is>
      </c>
      <c r="C202" s="31" t="inlineStr">
        <is>
          <t>G</t>
        </is>
      </c>
      <c r="D202" s="30" t="inlineStr">
        <is>
          <t>Sorcery</t>
        </is>
      </c>
      <c r="E202" s="33" t="inlineStr">
        <is>
          <t>B2</t>
        </is>
      </c>
      <c r="F202" s="31" t="n">
        <v>3</v>
      </c>
      <c r="G202" s="67" t="inlineStr">
        <is>
          <t>Target creature you control gets +0/+10 until end of turn. Then it fights up to one target creature an opponent controls. (Each deals damage equal to its power to the other.)</t>
        </is>
      </c>
      <c r="H202" s="30" t="inlineStr">
        <is>
          <t>Removal</t>
        </is>
      </c>
      <c r="I202" s="30" t="inlineStr">
        <is>
          <t>Target creature you control gets +0/+10 until end of turn, then fights a creature an opponent controls</t>
        </is>
      </c>
      <c r="J202" s="30" t="n"/>
      <c r="K202" s="30" t="n"/>
      <c r="L202" s="32" t="inlineStr">
        <is>
          <t>142</t>
        </is>
      </c>
      <c r="M202" s="32" t="n">
        <v>1</v>
      </c>
      <c r="N202" s="32" t="n">
        <v>0</v>
      </c>
      <c r="O202" s="63" t="n"/>
      <c r="P202" s="63" t="n">
        <v>0.22</v>
      </c>
      <c r="Q202" s="32" t="inlineStr">
        <is>
          <t>Uncommon</t>
        </is>
      </c>
      <c r="R202" s="32" t="n"/>
      <c r="S202" s="32" t="n"/>
      <c r="T202" s="63" t="n"/>
      <c r="U202" s="63" t="n"/>
      <c r="V202" s="30" t="inlineStr">
        <is>
          <t>Secrets of Strixhaven</t>
        </is>
      </c>
      <c r="W202" s="41" t="n">
        <v>1</v>
      </c>
      <c r="X202" s="37">
        <f>SUM(Y202:AE202)</f>
        <v/>
      </c>
      <c r="Y202" s="43" t="n"/>
      <c r="Z202" s="43" t="n"/>
      <c r="AA202" s="43" t="n"/>
      <c r="AB202" s="43" t="n"/>
      <c r="AC202" s="43" t="n"/>
      <c r="AD202" s="43" t="n"/>
      <c r="AE202" s="43" t="n"/>
      <c r="AF202" s="38">
        <f>IF((W202-SUM(Y202:AE202))&lt;0,0,W202-SUM(Y202:AE202))</f>
        <v/>
      </c>
      <c r="AG202" s="34">
        <f>MAX(0,$AT202-$W202-$AI202)</f>
        <v/>
      </c>
      <c r="AH202" s="30" t="n"/>
      <c r="AI202" s="30" t="n"/>
      <c r="AJ202" s="35" t="n">
        <v>0.22</v>
      </c>
      <c r="AK202" s="36">
        <f>IF(AND($AG202&gt;0,ISNUMBER($AJ202)),$AG202*$AJ202,0)</f>
        <v/>
      </c>
      <c r="AT202" s="37">
        <f>SUM(AU202:BA202)</f>
        <v/>
      </c>
      <c r="AU202" s="73" t="n"/>
      <c r="AV202" s="33" t="n"/>
      <c r="AW202" s="33" t="n"/>
      <c r="AX202" s="33" t="n"/>
      <c r="AY202" s="33" t="n"/>
      <c r="AZ202" s="33" t="n"/>
      <c r="BA202" s="74" t="n"/>
      <c r="BB202" s="108" t="n"/>
      <c r="BC202" s="32" t="n"/>
      <c r="BD202" s="32" t="n"/>
    </row>
    <row r="203" ht="15" customHeight="1" s="148">
      <c r="A203" t="inlineStr">
        <is>
          <t>c0199</t>
        </is>
      </c>
      <c r="B203" s="30" t="inlineStr">
        <is>
          <t>Chomping Changeling</t>
        </is>
      </c>
      <c r="C203" s="31" t="inlineStr">
        <is>
          <t>G</t>
        </is>
      </c>
      <c r="D203" s="30" t="inlineStr">
        <is>
          <t>Creature</t>
        </is>
      </c>
      <c r="E203" s="33" t="inlineStr">
        <is>
          <t>B2</t>
        </is>
      </c>
      <c r="F203" s="31" t="n">
        <v>3</v>
      </c>
      <c r="G203" s="67" t="inlineStr">
        <is>
          <t>Changeling (This card is every creature type.)
When this creature enters, destroy up to one target artifact or enchantment.
(1/2)</t>
        </is>
      </c>
      <c r="H203" s="30" t="inlineStr">
        <is>
          <t>Artifact/Enchantment Removal</t>
        </is>
      </c>
      <c r="I203" s="30" t="inlineStr">
        <is>
          <t>Enters: destroy up to one target artifact or enchantment</t>
        </is>
      </c>
      <c r="J203" s="30" t="inlineStr">
        <is>
          <t>Changeling — it is every creature type</t>
        </is>
      </c>
      <c r="K203" s="30" t="n"/>
      <c r="L203" s="32" t="inlineStr">
        <is>
          <t>172</t>
        </is>
      </c>
      <c r="M203" s="32" t="n">
        <v>1</v>
      </c>
      <c r="N203" s="32" t="n">
        <v>0</v>
      </c>
      <c r="O203" s="63" t="n"/>
      <c r="P203" s="63" t="n">
        <v>1.37</v>
      </c>
      <c r="Q203" s="32" t="inlineStr">
        <is>
          <t>Uncommon</t>
        </is>
      </c>
      <c r="R203" s="32" t="n"/>
      <c r="S203" s="32" t="n"/>
      <c r="T203" s="63" t="n"/>
      <c r="U203" s="63" t="n"/>
      <c r="V203" s="30" t="inlineStr">
        <is>
          <t>Lorwyn Eclipsed</t>
        </is>
      </c>
      <c r="W203" s="41" t="n">
        <v>1</v>
      </c>
      <c r="X203" s="37">
        <f>SUM(Y203:AE203)</f>
        <v/>
      </c>
      <c r="Y203" s="43" t="n"/>
      <c r="Z203" s="43" t="n">
        <v>1</v>
      </c>
      <c r="AA203" s="43" t="n"/>
      <c r="AB203" s="43" t="n"/>
      <c r="AC203" s="43" t="n"/>
      <c r="AD203" s="43" t="n"/>
      <c r="AE203" s="43" t="n"/>
      <c r="AF203" s="38">
        <f>IF((W203-SUM(Y203:AE203))&lt;0,0,W203-SUM(Y203:AE203))</f>
        <v/>
      </c>
      <c r="AG203" s="34">
        <f>MAX(0,$AT203-$W203-$AI203)</f>
        <v/>
      </c>
      <c r="AH203" s="30" t="n"/>
      <c r="AI203" s="30" t="n"/>
      <c r="AJ203" s="35" t="n">
        <v>1.37</v>
      </c>
      <c r="AK203" s="36">
        <f>IF(AND($AG203&gt;0,ISNUMBER($AJ203)),$AG203*$AJ203,0)</f>
        <v/>
      </c>
      <c r="AT203" s="37">
        <f>SUM(AU203:BA203)</f>
        <v/>
      </c>
      <c r="AU203" s="73" t="n"/>
      <c r="AV203" s="98" t="n">
        <v>1</v>
      </c>
      <c r="AW203" s="33" t="n"/>
      <c r="AX203" s="33" t="n"/>
      <c r="AY203" s="33" t="n"/>
      <c r="AZ203" s="33" t="n"/>
      <c r="BA203" s="74" t="n"/>
      <c r="BB203" s="108" t="n"/>
      <c r="BC203" s="32" t="n"/>
      <c r="BD203" s="32" t="n"/>
    </row>
    <row r="204" ht="15" customHeight="1" s="148">
      <c r="A204" t="inlineStr">
        <is>
          <t>c0200</t>
        </is>
      </c>
      <c r="B204" s="44" t="inlineStr">
        <is>
          <t>Cultivate</t>
        </is>
      </c>
      <c r="C204" s="34" t="inlineStr">
        <is>
          <t>G</t>
        </is>
      </c>
      <c r="D204" s="44" t="inlineStr">
        <is>
          <t>Sorcery</t>
        </is>
      </c>
      <c r="E204" s="41" t="inlineStr">
        <is>
          <t>B2</t>
        </is>
      </c>
      <c r="F204" s="34" t="n">
        <v>3</v>
      </c>
      <c r="G204" s="67" t="inlineStr">
        <is>
          <t>Search your library for up to two basic land cards, reveal those cards, put one onto the battlefield tapped and the other into your hand, then shuffle.</t>
        </is>
      </c>
      <c r="H204" s="45" t="inlineStr">
        <is>
          <t>Ramp</t>
        </is>
      </c>
      <c r="I204" s="45" t="inlineStr">
        <is>
          <t>Searches for two basic lands; puts one onto the battlefield tapped, one to hand</t>
        </is>
      </c>
      <c r="J204" s="45" t="n"/>
      <c r="K204" s="45" t="n"/>
      <c r="L204" s="42" t="n"/>
      <c r="M204" s="42" t="n"/>
      <c r="N204" s="42" t="n"/>
      <c r="O204" s="42" t="n"/>
      <c r="P204" s="42" t="n">
        <v>0.73</v>
      </c>
      <c r="Q204" s="42" t="n"/>
      <c r="R204" s="42" t="n"/>
      <c r="S204" s="42" t="n"/>
      <c r="T204" s="42" t="n"/>
      <c r="U204" s="42" t="n"/>
      <c r="V204" s="45" t="inlineStr">
        <is>
          <t>Magic 2011</t>
        </is>
      </c>
      <c r="W204" s="41" t="n">
        <v>1</v>
      </c>
      <c r="X204" s="37">
        <f>SUM(Y204:AE204)</f>
        <v/>
      </c>
      <c r="Y204" s="43" t="n"/>
      <c r="Z204" s="43" t="n"/>
      <c r="AA204" s="43" t="n"/>
      <c r="AB204" s="43" t="n"/>
      <c r="AC204" s="43" t="n"/>
      <c r="AD204" s="43" t="n"/>
      <c r="AE204" s="43" t="n"/>
      <c r="AF204" s="38">
        <f>IF((W204-SUM(Y204:AE204))&lt;0,0,W204-SUM(Y204:AE204))</f>
        <v/>
      </c>
      <c r="AG204" s="34">
        <f>MAX(0,$AT204-$W204-$AI204)</f>
        <v/>
      </c>
      <c r="AH204" s="34" t="n"/>
      <c r="AI204" s="34" t="n"/>
      <c r="AJ204" s="36" t="n">
        <v>0.36</v>
      </c>
      <c r="AK204" s="36">
        <f>IF(AND($AG204&gt;0,ISNUMBER($AJ204)),$AG204*$AJ204,0)</f>
        <v/>
      </c>
      <c r="AT204" s="37">
        <f>SUM(AU204:BA204)</f>
        <v/>
      </c>
      <c r="AU204" s="73" t="n"/>
      <c r="AV204" s="33" t="n"/>
      <c r="AW204" s="33" t="n"/>
      <c r="AX204" s="33" t="n"/>
      <c r="AY204" s="33" t="n"/>
      <c r="AZ204" s="33" t="n"/>
      <c r="BA204" s="74" t="n"/>
      <c r="BB204" s="106" t="n"/>
      <c r="BC204" s="42" t="n"/>
      <c r="BD204" s="42" t="n"/>
    </row>
    <row r="205" ht="15" customHeight="1" s="148">
      <c r="A205" t="inlineStr">
        <is>
          <t>c0201</t>
        </is>
      </c>
      <c r="B205" s="44" t="inlineStr">
        <is>
          <t>Dawn's Light Archer</t>
        </is>
      </c>
      <c r="C205" s="34" t="inlineStr">
        <is>
          <t>G</t>
        </is>
      </c>
      <c r="D205" s="44" t="inlineStr">
        <is>
          <t>Creature</t>
        </is>
      </c>
      <c r="E205" s="41" t="inlineStr">
        <is>
          <t>B2</t>
        </is>
      </c>
      <c r="F205" s="34" t="n">
        <v>3</v>
      </c>
      <c r="G205" s="67" t="inlineStr">
        <is>
          <t>Flash
Reach
(4/2)</t>
        </is>
      </c>
      <c r="H205" s="45" t="inlineStr">
        <is>
          <t>Utility Creature</t>
        </is>
      </c>
      <c r="I205" s="45" t="inlineStr">
        <is>
          <t>Can be cast at instant speed</t>
        </is>
      </c>
      <c r="J205" s="45" t="inlineStr">
        <is>
          <t>Can block fliers</t>
        </is>
      </c>
      <c r="K205" s="45" t="n"/>
      <c r="L205" s="42" t="n"/>
      <c r="M205" s="42" t="n"/>
      <c r="N205" s="42" t="n"/>
      <c r="O205" s="63" t="n"/>
      <c r="P205" s="63" t="n">
        <v>0.16</v>
      </c>
      <c r="Q205" s="42" t="n"/>
      <c r="R205" s="42" t="n"/>
      <c r="S205" s="42" t="n"/>
      <c r="T205" s="63" t="n"/>
      <c r="U205" s="63" t="n"/>
      <c r="V205" s="45" t="inlineStr">
        <is>
          <t>Lorwyn Eclipsed</t>
        </is>
      </c>
      <c r="W205" s="41" t="n">
        <v>1</v>
      </c>
      <c r="X205" s="37">
        <f>SUM(Y205:AE205)</f>
        <v/>
      </c>
      <c r="Y205" s="43" t="n"/>
      <c r="Z205" s="43" t="n"/>
      <c r="AA205" s="43" t="n"/>
      <c r="AB205" s="43" t="n"/>
      <c r="AC205" s="43" t="n"/>
      <c r="AD205" s="43" t="n"/>
      <c r="AE205" s="43" t="n">
        <v>1</v>
      </c>
      <c r="AF205" s="38">
        <f>IF((W205-SUM(Y205:AE205))&lt;0,0,W205-SUM(Y205:AE205))</f>
        <v/>
      </c>
      <c r="AG205" s="34">
        <f>MAX(0,$AT205-$W205-$AI205)</f>
        <v/>
      </c>
      <c r="AH205" s="34" t="n"/>
      <c r="AI205" s="34" t="n"/>
      <c r="AJ205" s="36" t="n">
        <v>0.13</v>
      </c>
      <c r="AK205" s="36">
        <f>IF(AND($AG205&gt;0,ISNUMBER($AJ205)),$AG205*$AJ205,0)</f>
        <v/>
      </c>
      <c r="AR205" s="58" t="n"/>
      <c r="AT205" s="37">
        <f>SUM(AU205:BA205)</f>
        <v/>
      </c>
      <c r="AU205" s="73" t="n"/>
      <c r="AV205" s="33" t="n"/>
      <c r="AW205" s="33" t="n"/>
      <c r="AX205" s="33" t="n"/>
      <c r="AY205" s="33" t="n"/>
      <c r="AZ205" s="33" t="n"/>
      <c r="BA205" s="80" t="n">
        <v>1</v>
      </c>
      <c r="BB205" s="106" t="n"/>
      <c r="BC205" s="42" t="n"/>
      <c r="BD205" s="42" t="n"/>
    </row>
    <row r="206" ht="15" customHeight="1" s="148">
      <c r="A206" t="inlineStr">
        <is>
          <t>c0202</t>
        </is>
      </c>
      <c r="B206" s="44" t="inlineStr">
        <is>
          <t>Dundoolin Weaver</t>
        </is>
      </c>
      <c r="C206" s="34" t="inlineStr">
        <is>
          <t>G</t>
        </is>
      </c>
      <c r="D206" s="44" t="inlineStr">
        <is>
          <t>Creature</t>
        </is>
      </c>
      <c r="E206" s="41" t="inlineStr">
        <is>
          <t>B2</t>
        </is>
      </c>
      <c r="F206" s="34" t="n">
        <v>2</v>
      </c>
      <c r="G206" s="67" t="inlineStr">
        <is>
          <t>When this creature enters, if you control three or more creatures, return target permanent card from your graveyard to your hand.
(2/1)</t>
        </is>
      </c>
      <c r="H206" s="45" t="inlineStr">
        <is>
          <t>Recursion</t>
        </is>
      </c>
      <c r="I206" s="45" t="inlineStr">
        <is>
          <t>Enters: if you control three or more creatures, return a permanent card from graveyard to hand</t>
        </is>
      </c>
      <c r="J206" s="45" t="n"/>
      <c r="K206" s="45" t="n"/>
      <c r="L206" s="42" t="n"/>
      <c r="M206" s="42" t="n"/>
      <c r="N206" s="42" t="n"/>
      <c r="O206" s="63" t="n"/>
      <c r="P206" s="63" t="n">
        <v>0.22</v>
      </c>
      <c r="Q206" s="42" t="n"/>
      <c r="R206" s="42" t="n"/>
      <c r="S206" s="42" t="n"/>
      <c r="T206" s="63" t="n"/>
      <c r="U206" s="63" t="n"/>
      <c r="V206" s="45" t="inlineStr">
        <is>
          <t>Lorwyn Eclipsed</t>
        </is>
      </c>
      <c r="W206" s="41" t="n">
        <v>3</v>
      </c>
      <c r="X206" s="37">
        <f>SUM(Y206:AE206)</f>
        <v/>
      </c>
      <c r="Y206" s="43" t="n"/>
      <c r="Z206" s="43" t="n">
        <v>1</v>
      </c>
      <c r="AA206" s="43" t="n"/>
      <c r="AB206" s="43" t="n"/>
      <c r="AC206" s="43" t="n"/>
      <c r="AD206" s="43" t="n"/>
      <c r="AE206" s="43" t="n"/>
      <c r="AF206" s="38">
        <f>IF((W206-SUM(Y206:AE206))&lt;0,0,W206-SUM(Y206:AE206))</f>
        <v/>
      </c>
      <c r="AG206" s="34">
        <f>MAX(0,$AT206-$W206-$AI206)</f>
        <v/>
      </c>
      <c r="AH206" s="34" t="n"/>
      <c r="AI206" s="34" t="n"/>
      <c r="AJ206" s="36" t="n">
        <v>0.22</v>
      </c>
      <c r="AK206" s="36">
        <f>IF(AND($AG206&gt;0,ISNUMBER($AJ206)),$AG206*$AJ206,0)</f>
        <v/>
      </c>
      <c r="AT206" s="37">
        <f>SUM(AU206:BA206)</f>
        <v/>
      </c>
      <c r="AU206" s="73" t="n"/>
      <c r="AV206" s="98" t="n">
        <v>1</v>
      </c>
      <c r="AW206" s="33" t="n"/>
      <c r="AX206" s="33" t="n"/>
      <c r="AY206" s="33" t="n"/>
      <c r="AZ206" s="33" t="n"/>
      <c r="BA206" s="74" t="n"/>
      <c r="BB206" s="106" t="n"/>
      <c r="BC206" s="42" t="n"/>
      <c r="BD206" s="42" t="n"/>
    </row>
    <row r="207" ht="15" customHeight="1" s="148">
      <c r="A207" t="inlineStr">
        <is>
          <t>c0203</t>
        </is>
      </c>
      <c r="B207" s="44" t="inlineStr">
        <is>
          <t>Elvish Visionary</t>
        </is>
      </c>
      <c r="C207" s="34" t="inlineStr">
        <is>
          <t>G</t>
        </is>
      </c>
      <c r="D207" s="44" t="inlineStr">
        <is>
          <t>Creature</t>
        </is>
      </c>
      <c r="E207" s="41" t="inlineStr">
        <is>
          <t>B2</t>
        </is>
      </c>
      <c r="F207" s="34" t="n">
        <v>2</v>
      </c>
      <c r="G207" s="67" t="inlineStr">
        <is>
          <t>When this creature enters, draw a card.
(1/1)</t>
        </is>
      </c>
      <c r="H207" s="45" t="inlineStr">
        <is>
          <t>Card Draw</t>
        </is>
      </c>
      <c r="I207" s="45" t="inlineStr">
        <is>
          <t>When this creature enters, draw a card</t>
        </is>
      </c>
      <c r="J207" s="45" t="n"/>
      <c r="K207" s="45" t="n"/>
      <c r="L207" s="42" t="n"/>
      <c r="M207" s="42" t="n"/>
      <c r="N207" s="42" t="n"/>
      <c r="O207" s="42" t="n"/>
      <c r="P207" s="42" t="n">
        <v>0.26</v>
      </c>
      <c r="Q207" s="42" t="n"/>
      <c r="R207" s="42" t="n"/>
      <c r="S207" s="42" t="n"/>
      <c r="T207" s="42" t="n"/>
      <c r="U207" s="42" t="n"/>
      <c r="V207" s="45" t="inlineStr">
        <is>
          <t>Shards of Alara</t>
        </is>
      </c>
      <c r="W207" s="41" t="n">
        <v>1</v>
      </c>
      <c r="X207" s="37">
        <f>SUM(Y207:AE207)</f>
        <v/>
      </c>
      <c r="Y207" s="43" t="n"/>
      <c r="Z207" s="43" t="n">
        <v>1</v>
      </c>
      <c r="AA207" s="43" t="n"/>
      <c r="AB207" s="43" t="n"/>
      <c r="AC207" s="43" t="n"/>
      <c r="AD207" s="43" t="n"/>
      <c r="AE207" s="43" t="n"/>
      <c r="AF207" s="38">
        <f>IF((W207-SUM(Y207:AE207))&lt;0,0,W207-SUM(Y207:AE207))</f>
        <v/>
      </c>
      <c r="AG207" s="34">
        <f>MAX(0,$AT207-$W207-$AI207)</f>
        <v/>
      </c>
      <c r="AH207" s="34" t="n"/>
      <c r="AI207" s="34" t="n"/>
      <c r="AJ207" s="36" t="n">
        <v>0.1</v>
      </c>
      <c r="AK207" s="36">
        <f>IF(AND($AG207&gt;0,ISNUMBER($AJ207)),$AG207*$AJ207,0)</f>
        <v/>
      </c>
      <c r="AM207" s="58" t="n"/>
      <c r="AT207" s="37">
        <f>SUM(AU207:BA207)</f>
        <v/>
      </c>
      <c r="AU207" s="73" t="n"/>
      <c r="AV207" s="99" t="n"/>
      <c r="AW207" s="33" t="n"/>
      <c r="AX207" s="33" t="n"/>
      <c r="AY207" s="33" t="n"/>
      <c r="AZ207" s="33" t="n"/>
      <c r="BA207" s="74" t="n">
        <v>1</v>
      </c>
      <c r="BB207" s="106" t="n"/>
      <c r="BC207" s="42" t="n"/>
      <c r="BD207" s="42" t="n"/>
    </row>
    <row r="208" ht="15" customHeight="1" s="148">
      <c r="A208" t="inlineStr">
        <is>
          <t>c0204</t>
        </is>
      </c>
      <c r="B208" s="44" t="inlineStr">
        <is>
          <t>Eternal Witness</t>
        </is>
      </c>
      <c r="C208" s="34" t="inlineStr">
        <is>
          <t>G</t>
        </is>
      </c>
      <c r="D208" s="44" t="inlineStr">
        <is>
          <t>Creature</t>
        </is>
      </c>
      <c r="E208" s="41" t="inlineStr">
        <is>
          <t>B3</t>
        </is>
      </c>
      <c r="F208" s="34" t="n">
        <v>3</v>
      </c>
      <c r="G208" s="67" t="inlineStr">
        <is>
          <t>When this creature enters, you may return target card from your graveyard to your hand.
(2/1)</t>
        </is>
      </c>
      <c r="H208" s="45" t="inlineStr">
        <is>
          <t>Recursion</t>
        </is>
      </c>
      <c r="I208" s="45" t="inlineStr">
        <is>
          <t>Returns target card from your graveyard to hand when it enters</t>
        </is>
      </c>
      <c r="J208" s="45" t="n"/>
      <c r="K208" s="45" t="n"/>
      <c r="L208" s="42" t="n"/>
      <c r="M208" s="42" t="n"/>
      <c r="N208" s="42" t="n"/>
      <c r="O208" s="42" t="n"/>
      <c r="P208" s="42" t="n">
        <v>2.22</v>
      </c>
      <c r="Q208" s="42" t="n"/>
      <c r="R208" s="42" t="n"/>
      <c r="S208" s="42" t="n"/>
      <c r="T208" s="42" t="n"/>
      <c r="U208" s="42" t="n"/>
      <c r="V208" s="45" t="inlineStr">
        <is>
          <t>Fifth Dawn</t>
        </is>
      </c>
      <c r="W208" s="41" t="n">
        <v>1</v>
      </c>
      <c r="X208" s="37">
        <f>SUM(Y208:AE208)</f>
        <v/>
      </c>
      <c r="Y208" s="43" t="n"/>
      <c r="Z208" s="43" t="n">
        <v>1</v>
      </c>
      <c r="AA208" s="43" t="n"/>
      <c r="AB208" s="43" t="n"/>
      <c r="AC208" s="43" t="n"/>
      <c r="AD208" s="43" t="n"/>
      <c r="AE208" s="43" t="n"/>
      <c r="AF208" s="38">
        <f>IF((W208-SUM(Y208:AE208))&lt;0,0,W208-SUM(Y208:AE208))</f>
        <v/>
      </c>
      <c r="AG208" s="34">
        <f>MAX(0,$AT208-$W208-$AI208)</f>
        <v/>
      </c>
      <c r="AH208" s="34" t="n"/>
      <c r="AI208" s="34" t="n"/>
      <c r="AJ208" s="36" t="n">
        <v>2.52</v>
      </c>
      <c r="AK208" s="36">
        <f>IF(AND($AG208&gt;0,ISNUMBER($AJ208)),$AG208*$AJ208,0)</f>
        <v/>
      </c>
      <c r="AT208" s="37">
        <f>SUM(AU208:BA208)</f>
        <v/>
      </c>
      <c r="AU208" s="73" t="n"/>
      <c r="AV208" s="98" t="n">
        <v>1</v>
      </c>
      <c r="AW208" s="33" t="n"/>
      <c r="AX208" s="33" t="n"/>
      <c r="AY208" s="33" t="n"/>
      <c r="AZ208" s="33" t="n"/>
      <c r="BA208" s="74" t="n"/>
      <c r="BB208" s="106" t="n"/>
      <c r="BC208" s="42" t="n"/>
      <c r="BD208" s="42" t="n"/>
    </row>
    <row r="209" ht="15" customHeight="1" s="148">
      <c r="A209" t="inlineStr">
        <is>
          <t>c0205</t>
        </is>
      </c>
      <c r="B209" s="44" t="inlineStr">
        <is>
          <t>Evolution Sage</t>
        </is>
      </c>
      <c r="C209" s="34" t="inlineStr">
        <is>
          <t>G</t>
        </is>
      </c>
      <c r="D209" s="44" t="inlineStr">
        <is>
          <t>Creature</t>
        </is>
      </c>
      <c r="E209" s="41" t="inlineStr">
        <is>
          <t>B2</t>
        </is>
      </c>
      <c r="F209" s="34" t="n">
        <v>3</v>
      </c>
      <c r="G209" s="67" t="inlineStr">
        <is>
          <t>Landfall — Whenever a land you control enters, proliferate. (Choose any number of permanents and/or players, then give each another counter of each kind already there.)
(3/2)</t>
        </is>
      </c>
      <c r="H209" s="45" t="inlineStr">
        <is>
          <t>Proliferate</t>
        </is>
      </c>
      <c r="I209" s="45" t="inlineStr">
        <is>
          <t>Proliferate whenever a land you control enters</t>
        </is>
      </c>
      <c r="J209" s="45" t="n"/>
      <c r="K209" s="45" t="n"/>
      <c r="L209" s="42" t="n"/>
      <c r="M209" s="42" t="n"/>
      <c r="N209" s="42" t="n"/>
      <c r="O209" s="42" t="n"/>
      <c r="P209" s="42" t="n">
        <v>2.94</v>
      </c>
      <c r="Q209" s="42" t="n"/>
      <c r="R209" s="42" t="n"/>
      <c r="S209" s="42" t="n"/>
      <c r="T209" s="42" t="n"/>
      <c r="U209" s="42" t="n"/>
      <c r="V209" s="45" t="inlineStr">
        <is>
          <t>War of the Spark</t>
        </is>
      </c>
      <c r="W209" s="41" t="n">
        <v>0</v>
      </c>
      <c r="X209" s="37">
        <f>SUM(Y209:AE209)</f>
        <v/>
      </c>
      <c r="Y209" s="43" t="n"/>
      <c r="Z209" s="43" t="n"/>
      <c r="AA209" s="43" t="n"/>
      <c r="AB209" s="43" t="n"/>
      <c r="AC209" s="43" t="n"/>
      <c r="AD209" s="43" t="n"/>
      <c r="AE209" s="43" t="n"/>
      <c r="AF209" s="38">
        <f>IF((W209-SUM(Y209:AE209))&lt;0,0,W209-SUM(Y209:AE209))</f>
        <v/>
      </c>
      <c r="AG209" s="34">
        <f>MAX(0,$AT209-$W209-$AI209)</f>
        <v/>
      </c>
      <c r="AH209" s="34" t="inlineStr">
        <is>
          <t>TCG</t>
        </is>
      </c>
      <c r="AI209" s="34" t="n">
        <v>0</v>
      </c>
      <c r="AJ209" s="36" t="n">
        <v>2.33</v>
      </c>
      <c r="AK209" s="36">
        <f>IF(AND($AG209&gt;0,ISNUMBER($AJ209)),$AG209*$AJ209,0)</f>
        <v/>
      </c>
      <c r="AL209" s="54" t="n"/>
      <c r="AM209" s="54" t="n"/>
      <c r="AN209" s="54" t="n"/>
      <c r="AO209" s="54" t="n"/>
      <c r="AP209" s="54" t="n"/>
      <c r="AQ209" s="54" t="n"/>
      <c r="AR209" s="54" t="n"/>
      <c r="AS209" s="54" t="n"/>
      <c r="AT209" s="37">
        <f>SUM(AU209:BA209)</f>
        <v/>
      </c>
      <c r="AU209" s="92" t="n"/>
      <c r="AV209" s="38" t="n"/>
      <c r="AW209" s="38" t="n">
        <v>1</v>
      </c>
      <c r="AX209" s="38" t="n"/>
      <c r="AY209" s="38" t="n"/>
      <c r="AZ209" s="38" t="n"/>
      <c r="BA209" s="94" t="n"/>
      <c r="BB209" s="106" t="n"/>
      <c r="BC209" s="42" t="n"/>
      <c r="BD209" s="48" t="n"/>
    </row>
    <row r="210" ht="15" customHeight="1" s="148">
      <c r="A210" t="inlineStr">
        <is>
          <t>c0206</t>
        </is>
      </c>
      <c r="B210" s="39" t="inlineStr">
        <is>
          <t>Explore</t>
        </is>
      </c>
      <c r="C210" s="40" t="inlineStr">
        <is>
          <t>G</t>
        </is>
      </c>
      <c r="D210" s="39" t="inlineStr">
        <is>
          <t>Sorcery</t>
        </is>
      </c>
      <c r="E210" s="41" t="inlineStr">
        <is>
          <t>B2</t>
        </is>
      </c>
      <c r="F210" s="40" t="n">
        <v>2</v>
      </c>
      <c r="G210" s="67" t="inlineStr">
        <is>
          <t>You may play an additional land this turn.
Draw a card.</t>
        </is>
      </c>
      <c r="H210" s="39" t="inlineStr">
        <is>
          <t>Card Draw</t>
        </is>
      </c>
      <c r="I210" s="39" t="inlineStr">
        <is>
          <t>You may play an additional land this turn</t>
        </is>
      </c>
      <c r="J210" s="39" t="inlineStr">
        <is>
          <t>Draw a card</t>
        </is>
      </c>
      <c r="K210" s="39" t="n"/>
      <c r="L210" s="88" t="n"/>
      <c r="M210" s="41" t="n"/>
      <c r="N210" s="41" t="n"/>
      <c r="O210" s="63" t="n"/>
      <c r="P210" s="90" t="n">
        <v>0.24</v>
      </c>
      <c r="Q210" s="88" t="n"/>
      <c r="R210" s="41" t="n"/>
      <c r="S210" s="41" t="n"/>
      <c r="T210" s="63" t="n"/>
      <c r="U210" s="91" t="n"/>
      <c r="V210" s="39" t="inlineStr">
        <is>
          <t>Worldwake</t>
        </is>
      </c>
      <c r="W210" s="41" t="n">
        <v>0</v>
      </c>
      <c r="X210" s="37">
        <f>SUM(Y210:AE210)</f>
        <v/>
      </c>
      <c r="Y210" s="43" t="n"/>
      <c r="Z210" s="43" t="n"/>
      <c r="AA210" s="43" t="n"/>
      <c r="AB210" s="43" t="n"/>
      <c r="AC210" s="43" t="n"/>
      <c r="AD210" s="43" t="n"/>
      <c r="AE210" s="43" t="n"/>
      <c r="AF210" s="38">
        <f>IF((W210-SUM(Y210:AE210))&lt;0,0,W210-SUM(Y210:AE210))</f>
        <v/>
      </c>
      <c r="AG210" s="34">
        <f>MAX(0,$AT210-$W210-$AI210)</f>
        <v/>
      </c>
      <c r="AH210" s="39" t="n"/>
      <c r="AI210" s="39" t="n"/>
      <c r="AJ210" s="39" t="n">
        <v>0.23</v>
      </c>
      <c r="AK210" s="39">
        <f>IF(AND($AG210&gt;0,ISNUMBER($AJ210)),$AG210*$AJ210,0)</f>
        <v/>
      </c>
      <c r="AT210" s="37">
        <f>SUM(AU210:BA210)</f>
        <v/>
      </c>
      <c r="AU210" s="73" t="n"/>
      <c r="AV210" s="33" t="n"/>
      <c r="AW210" s="33" t="n"/>
      <c r="AX210" s="33" t="n"/>
      <c r="AY210" s="33" t="n"/>
      <c r="AZ210" s="33" t="n"/>
      <c r="BA210" s="74" t="n"/>
      <c r="BB210" s="107" t="n"/>
      <c r="BC210" s="42" t="n"/>
      <c r="BD210" s="42" t="n"/>
    </row>
    <row r="211" ht="15" customHeight="1" s="148">
      <c r="A211" t="inlineStr">
        <is>
          <t>c0207</t>
        </is>
      </c>
      <c r="B211" s="44" t="inlineStr">
        <is>
          <t>Farhaven Elf</t>
        </is>
      </c>
      <c r="C211" s="34" t="inlineStr">
        <is>
          <t>G</t>
        </is>
      </c>
      <c r="D211" s="44" t="inlineStr">
        <is>
          <t>Creature</t>
        </is>
      </c>
      <c r="E211" s="41" t="inlineStr">
        <is>
          <t>B2</t>
        </is>
      </c>
      <c r="F211" s="34" t="n">
        <v>3</v>
      </c>
      <c r="G211" s="67" t="inlineStr">
        <is>
          <t>When this creature enters, you may search your library for a basic land card, put it onto the battlefield tapped, then shuffle.
(1/1)</t>
        </is>
      </c>
      <c r="H211" s="45" t="inlineStr">
        <is>
          <t>Ramp</t>
        </is>
      </c>
      <c r="I211" s="45" t="inlineStr">
        <is>
          <t>Searches for a basic land and puts it onto the battlefield tapped when it enters</t>
        </is>
      </c>
      <c r="J211" s="45" t="n"/>
      <c r="K211" s="45" t="n"/>
      <c r="L211" s="41" t="n"/>
      <c r="M211" s="41" t="n"/>
      <c r="N211" s="41" t="n"/>
      <c r="O211" s="41" t="n"/>
      <c r="P211" s="41" t="n">
        <v>0.22</v>
      </c>
      <c r="Q211" s="41" t="n"/>
      <c r="R211" s="41" t="n"/>
      <c r="S211" s="41" t="n"/>
      <c r="T211" s="41" t="n"/>
      <c r="U211" s="41" t="n"/>
      <c r="V211" s="45" t="inlineStr">
        <is>
          <t>Shadowmoor</t>
        </is>
      </c>
      <c r="W211" s="41" t="n">
        <v>1</v>
      </c>
      <c r="X211" s="37">
        <f>SUM(Y211:AE211)</f>
        <v/>
      </c>
      <c r="Y211" s="43" t="n"/>
      <c r="Z211" s="43" t="n">
        <v>1</v>
      </c>
      <c r="AA211" s="43" t="n"/>
      <c r="AB211" s="43" t="n"/>
      <c r="AC211" s="43" t="n"/>
      <c r="AD211" s="43" t="n"/>
      <c r="AE211" s="43" t="n"/>
      <c r="AF211" s="38">
        <f>IF((W211-SUM(Y211:AE211))&lt;0,0,W211-SUM(Y211:AE211))</f>
        <v/>
      </c>
      <c r="AG211" s="34">
        <f>MAX(0,$AT211-$W211-$AI211)</f>
        <v/>
      </c>
      <c r="AH211" s="34" t="n"/>
      <c r="AI211" s="34" t="n"/>
      <c r="AJ211" s="36" t="n">
        <v>0.22</v>
      </c>
      <c r="AK211" s="36">
        <f>IF(AND($AG211&gt;0,ISNUMBER($AJ211)),$AG211*$AJ211,0)</f>
        <v/>
      </c>
      <c r="AT211" s="37">
        <f>SUM(AU211:BA211)</f>
        <v/>
      </c>
      <c r="AU211" s="73" t="n"/>
      <c r="AV211" s="98" t="n">
        <v>1</v>
      </c>
      <c r="AW211" s="33" t="n"/>
      <c r="AX211" s="33" t="n"/>
      <c r="AY211" s="33" t="n"/>
      <c r="AZ211" s="33" t="n"/>
      <c r="BA211" s="74" t="n"/>
      <c r="BB211" s="106" t="n"/>
      <c r="BC211" s="42" t="n"/>
      <c r="BD211" s="42" t="n"/>
    </row>
    <row r="212" ht="15" customHeight="1" s="148">
      <c r="A212" t="inlineStr">
        <is>
          <t>c0208</t>
        </is>
      </c>
      <c r="B212" s="44" t="inlineStr">
        <is>
          <t>Farseek</t>
        </is>
      </c>
      <c r="C212" s="34" t="inlineStr">
        <is>
          <t>G</t>
        </is>
      </c>
      <c r="D212" s="44" t="inlineStr">
        <is>
          <t>Sorcery</t>
        </is>
      </c>
      <c r="E212" s="41" t="inlineStr">
        <is>
          <t>B2</t>
        </is>
      </c>
      <c r="F212" s="34" t="n">
        <v>2</v>
      </c>
      <c r="G212" s="67" t="inlineStr">
        <is>
          <t>Search your library for a Plains, Island, Swamp, or Mountain card, put it onto the battlefield tapped, then shuffle.</t>
        </is>
      </c>
      <c r="H212" s="45" t="inlineStr">
        <is>
          <t>Ramp</t>
        </is>
      </c>
      <c r="I212" s="45" t="inlineStr">
        <is>
          <t>Searches your library for a Plains, Island, Swamp, or Mountain card, puts it onto the battlefield tapped</t>
        </is>
      </c>
      <c r="J212" s="45" t="n"/>
      <c r="K212" s="45" t="n"/>
      <c r="L212" s="41" t="n"/>
      <c r="M212" s="41" t="n"/>
      <c r="N212" s="41" t="n"/>
      <c r="O212" s="41" t="n"/>
      <c r="P212" s="41" t="n">
        <v>0.44</v>
      </c>
      <c r="Q212" s="41" t="n"/>
      <c r="R212" s="41" t="n"/>
      <c r="S212" s="41" t="n"/>
      <c r="T212" s="41" t="n"/>
      <c r="U212" s="41" t="n"/>
      <c r="V212" s="45" t="inlineStr">
        <is>
          <t>Ravnica: City of Guilds</t>
        </is>
      </c>
      <c r="W212" s="41" t="n">
        <v>1</v>
      </c>
      <c r="X212" s="37">
        <f>SUM(Y212:AE212)</f>
        <v/>
      </c>
      <c r="Y212" s="43" t="n"/>
      <c r="Z212" s="43" t="n"/>
      <c r="AA212" s="43" t="n"/>
      <c r="AB212" s="43" t="n"/>
      <c r="AC212" s="43" t="n"/>
      <c r="AD212" s="43" t="n"/>
      <c r="AE212" s="43" t="n">
        <v>1</v>
      </c>
      <c r="AF212" s="38">
        <f>IF((W212-SUM(Y212:AE212))&lt;0,0,W212-SUM(Y212:AE212))</f>
        <v/>
      </c>
      <c r="AG212" s="34">
        <f>MAX(0,$AT212-$W212-$AI212)</f>
        <v/>
      </c>
      <c r="AH212" s="34" t="n"/>
      <c r="AI212" s="34" t="n"/>
      <c r="AJ212" s="36" t="n">
        <v>0.48</v>
      </c>
      <c r="AK212" s="36">
        <f>IF(AND($AG212&gt;0,ISNUMBER($AJ212)),$AG212*$AJ212,0)</f>
        <v/>
      </c>
      <c r="AT212" s="37">
        <f>SUM(AU212:BA212)</f>
        <v/>
      </c>
      <c r="AU212" s="73" t="n"/>
      <c r="AV212" s="33" t="n"/>
      <c r="AW212" s="33" t="n"/>
      <c r="AX212" s="33" t="n"/>
      <c r="AY212" s="33" t="n"/>
      <c r="AZ212" s="33" t="n"/>
      <c r="BA212" s="74" t="n"/>
      <c r="BB212" s="106" t="n"/>
      <c r="BC212" s="42" t="n"/>
      <c r="BD212" s="42" t="n"/>
    </row>
    <row r="213" ht="15" customHeight="1" s="148">
      <c r="A213" t="inlineStr">
        <is>
          <t>c0209</t>
        </is>
      </c>
      <c r="B213" s="44" t="inlineStr">
        <is>
          <t>Fertilid</t>
        </is>
      </c>
      <c r="C213" s="34" t="inlineStr">
        <is>
          <t>G</t>
        </is>
      </c>
      <c r="D213" s="44" t="inlineStr">
        <is>
          <t>Creature</t>
        </is>
      </c>
      <c r="E213" s="41" t="inlineStr">
        <is>
          <t>B2</t>
        </is>
      </c>
      <c r="F213" s="34" t="n">
        <v>3</v>
      </c>
      <c r="G213" s="67" t="inlineStr">
        <is>
          <t>This creature enters with two +1/+1 counters on it.
{1}{G}, Remove a +1/+1 counter from this creature: Target player searches their library for a basic land card, puts it onto the battlefield tapped, then shuffles.
(0/0)</t>
        </is>
      </c>
      <c r="H213" s="45" t="inlineStr">
        <is>
          <t>Ramp</t>
        </is>
      </c>
      <c r="I213" s="45" t="inlineStr">
        <is>
          <t>Enters with two +1/+1 counters</t>
        </is>
      </c>
      <c r="J213" s="45" t="inlineStr">
        <is>
          <t>Remove a counter: target player searches for a basic land onto the battlefield tapped</t>
        </is>
      </c>
      <c r="K213" s="45" t="n"/>
      <c r="L213" s="41" t="n"/>
      <c r="M213" s="41" t="n"/>
      <c r="N213" s="41" t="n"/>
      <c r="O213" s="41" t="n"/>
      <c r="P213" s="41" t="n">
        <v>0.32</v>
      </c>
      <c r="Q213" s="41" t="n"/>
      <c r="R213" s="41" t="n"/>
      <c r="S213" s="41" t="n"/>
      <c r="T213" s="41" t="n"/>
      <c r="U213" s="41" t="n"/>
      <c r="V213" s="45" t="inlineStr">
        <is>
          <t>Morningtide</t>
        </is>
      </c>
      <c r="W213" s="41" t="n">
        <v>2</v>
      </c>
      <c r="X213" s="37">
        <f>SUM(Y213:AE213)</f>
        <v/>
      </c>
      <c r="Y213" s="43" t="n"/>
      <c r="Z213" s="43" t="n">
        <v>1</v>
      </c>
      <c r="AA213" s="43" t="n">
        <v>1</v>
      </c>
      <c r="AB213" s="43" t="n"/>
      <c r="AC213" s="43" t="n"/>
      <c r="AD213" s="43" t="n"/>
      <c r="AE213" s="43" t="n"/>
      <c r="AF213" s="38">
        <f>IF((W213-SUM(Y213:AE213))&lt;0,0,W213-SUM(Y213:AE213))</f>
        <v/>
      </c>
      <c r="AG213" s="34">
        <f>MAX(0,$AT213-$W213-$AI213)</f>
        <v/>
      </c>
      <c r="AH213" s="34" t="n"/>
      <c r="AI213" s="34" t="n"/>
      <c r="AJ213" s="36" t="n">
        <v>0.3</v>
      </c>
      <c r="AK213" s="36">
        <f>IF(AND($AG213&gt;0,ISNUMBER($AJ213)),$AG213*$AJ213,0)</f>
        <v/>
      </c>
      <c r="AT213" s="37">
        <f>SUM(AU213:BA213)</f>
        <v/>
      </c>
      <c r="AU213" s="73" t="n"/>
      <c r="AV213" s="110" t="n">
        <v>1</v>
      </c>
      <c r="AW213" s="98" t="n">
        <v>1</v>
      </c>
      <c r="AX213" s="33" t="n"/>
      <c r="AY213" s="33" t="n"/>
      <c r="AZ213" s="33" t="n"/>
      <c r="BA213" s="74" t="n"/>
      <c r="BB213" s="106" t="n"/>
      <c r="BC213" s="42" t="n"/>
      <c r="BD213" s="42" t="n"/>
    </row>
    <row r="214" ht="15" customHeight="1" s="148">
      <c r="A214" t="inlineStr">
        <is>
          <t>c0210</t>
        </is>
      </c>
      <c r="B214" s="39" t="inlineStr">
        <is>
          <t>Foggy Swamp Vinebender</t>
        </is>
      </c>
      <c r="C214" s="40" t="inlineStr">
        <is>
          <t>G</t>
        </is>
      </c>
      <c r="D214" s="39" t="inlineStr">
        <is>
          <t>Creature</t>
        </is>
      </c>
      <c r="E214" s="41" t="inlineStr">
        <is>
          <t>B2</t>
        </is>
      </c>
      <c r="F214" s="40" t="n">
        <v>4</v>
      </c>
      <c r="G214" s="67" t="inlineStr">
        <is>
          <t>This creature can't be blocked by creatures with power 2 or less.
Waterbend {5}: Put a +1/+1 counter on this creature. Activate only during your turn. (While paying a waterbend cost, you can tap your artifacts and creatures to help. Each one pays for {1}.)
(4/3)</t>
        </is>
      </c>
      <c r="H214" s="39" t="inlineStr">
        <is>
          <t>Counters Payoff</t>
        </is>
      </c>
      <c r="I214" s="39" t="inlineStr">
        <is>
          <t>Waterbend {5}: put a +1/+1 counter on it during your turn (tap artifacts and creatures to help pay)</t>
        </is>
      </c>
      <c r="J214" s="39" t="inlineStr">
        <is>
          <t>Cannot be blocked by creatures with power 2 or less</t>
        </is>
      </c>
      <c r="K214" s="39" t="n"/>
      <c r="L214" s="42" t="n"/>
      <c r="M214" s="42" t="n"/>
      <c r="N214" s="42" t="n"/>
      <c r="O214" s="63" t="n"/>
      <c r="P214" s="63" t="n"/>
      <c r="Q214" s="42" t="n"/>
      <c r="R214" s="42" t="n"/>
      <c r="S214" s="42" t="n"/>
      <c r="T214" s="63" t="n"/>
      <c r="U214" s="63" t="n"/>
      <c r="V214" s="39" t="inlineStr">
        <is>
          <t>Avatar: The Last Airbender</t>
        </is>
      </c>
      <c r="W214" s="41" t="n">
        <v>1</v>
      </c>
      <c r="X214" s="37">
        <f>SUM(Y214:AE214)</f>
        <v/>
      </c>
      <c r="Y214" s="43" t="n"/>
      <c r="Z214" s="43" t="n"/>
      <c r="AA214" s="43" t="n"/>
      <c r="AB214" s="43" t="n"/>
      <c r="AC214" s="43" t="n"/>
      <c r="AD214" s="43" t="n"/>
      <c r="AE214" s="43" t="n"/>
      <c r="AF214" s="38">
        <f>IF((W214-SUM(Y214:AE214))&lt;0,0,W214-SUM(Y214:AE214))</f>
        <v/>
      </c>
      <c r="AG214" s="34">
        <f>MAX(0,$AT214-$W214-$AI214)</f>
        <v/>
      </c>
      <c r="AH214" s="39" t="n"/>
      <c r="AI214" s="39" t="n"/>
      <c r="AJ214" s="39" t="n">
        <v>0.11</v>
      </c>
      <c r="AK214" s="39">
        <f>IF(AND($AG214&gt;0,ISNUMBER($AJ214)),$AG214*$AJ214,0)</f>
        <v/>
      </c>
      <c r="AT214" s="37">
        <f>SUM(AU214:BA214)</f>
        <v/>
      </c>
      <c r="AU214" s="73" t="n"/>
      <c r="AV214" s="33" t="n"/>
      <c r="AW214" s="33" t="n"/>
      <c r="AX214" s="33" t="n"/>
      <c r="AY214" s="33" t="n"/>
      <c r="AZ214" s="33" t="n"/>
      <c r="BA214" s="74" t="n"/>
      <c r="BB214" s="107" t="n"/>
      <c r="BC214" s="42" t="n"/>
      <c r="BD214" s="42" t="n"/>
    </row>
    <row r="215" ht="15" customHeight="1" s="148">
      <c r="A215" t="inlineStr">
        <is>
          <t>c0211</t>
        </is>
      </c>
      <c r="B215" s="30" t="inlineStr">
        <is>
          <t>Follow the Lumarets</t>
        </is>
      </c>
      <c r="C215" s="31" t="inlineStr">
        <is>
          <t>G</t>
        </is>
      </c>
      <c r="D215" s="30" t="inlineStr">
        <is>
          <t>Sorcery</t>
        </is>
      </c>
      <c r="E215" s="33" t="inlineStr">
        <is>
          <t>B2</t>
        </is>
      </c>
      <c r="F215" s="31" t="n">
        <v>2</v>
      </c>
      <c r="G215" s="67" t="inlineStr">
        <is>
          <t>Infusion — Look at the top four cards of your library. You may reveal a creature or land card from among them and put it into your hand. If you gained life this turn, you may instead reveal two creature and/or land cards from among them and put them into your hand. Put the rest on the bottom of your library in a random order.</t>
        </is>
      </c>
      <c r="H215" s="30" t="inlineStr">
        <is>
          <t>Card Selection</t>
        </is>
      </c>
      <c r="I215" s="30" t="inlineStr">
        <is>
          <t>Look at the top four cards and put a creature or land card from among them into your hand</t>
        </is>
      </c>
      <c r="J215" s="30" t="inlineStr">
        <is>
          <t>Infusion — take two creature and/or land cards instead if you gained life this turn</t>
        </is>
      </c>
      <c r="K215" s="30" t="n"/>
      <c r="L215" s="32" t="inlineStr">
        <is>
          <t>148</t>
        </is>
      </c>
      <c r="M215" s="32" t="n">
        <v>1</v>
      </c>
      <c r="N215" s="32" t="n">
        <v>0</v>
      </c>
      <c r="O215" s="63" t="n"/>
      <c r="P215" s="63" t="n">
        <v>0.11</v>
      </c>
      <c r="Q215" s="32" t="inlineStr">
        <is>
          <t>Common</t>
        </is>
      </c>
      <c r="R215" s="32" t="n"/>
      <c r="S215" s="32" t="n"/>
      <c r="T215" s="63" t="n"/>
      <c r="U215" s="63" t="n"/>
      <c r="V215" s="30" t="inlineStr">
        <is>
          <t>Secrets of Strixhaven</t>
        </is>
      </c>
      <c r="W215" s="41" t="n">
        <v>1</v>
      </c>
      <c r="X215" s="37">
        <f>SUM(Y215:AE215)</f>
        <v/>
      </c>
      <c r="Y215" s="43" t="n"/>
      <c r="Z215" s="43" t="n"/>
      <c r="AA215" s="43" t="n"/>
      <c r="AB215" s="43" t="n">
        <v>1</v>
      </c>
      <c r="AC215" s="43" t="n"/>
      <c r="AD215" s="43" t="n"/>
      <c r="AE215" s="43" t="n"/>
      <c r="AF215" s="38">
        <f>IF((W215-SUM(Y215:AE215))&lt;0,0,W215-SUM(Y215:AE215))</f>
        <v/>
      </c>
      <c r="AG215" s="34">
        <f>MAX(0,$AT215-$W215-$AI215)</f>
        <v/>
      </c>
      <c r="AH215" s="30" t="n"/>
      <c r="AI215" s="30" t="n"/>
      <c r="AJ215" s="35" t="n">
        <v>0.11</v>
      </c>
      <c r="AK215" s="36">
        <f>IF(AND($AG215&gt;0,ISNUMBER($AJ215)),$AG215*$AJ215,0)</f>
        <v/>
      </c>
      <c r="AO215" s="58" t="inlineStr">
        <is>
          <t>BL0052</t>
        </is>
      </c>
      <c r="AT215" s="37">
        <f>SUM(AU215:BA215)</f>
        <v/>
      </c>
      <c r="AU215" s="73" t="n"/>
      <c r="AV215" s="33" t="n"/>
      <c r="AW215" s="33" t="n"/>
      <c r="AX215" s="100" t="n"/>
      <c r="AY215" s="33" t="n"/>
      <c r="AZ215" s="33" t="n"/>
      <c r="BA215" s="74" t="n"/>
      <c r="BB215" s="108" t="n"/>
      <c r="BC215" s="32" t="n"/>
      <c r="BD215" s="32" t="n"/>
    </row>
    <row r="216" ht="15" customHeight="1" s="148">
      <c r="A216" t="inlineStr">
        <is>
          <t>c0212</t>
        </is>
      </c>
      <c r="B216" s="44" t="inlineStr">
        <is>
          <t>Forgotten Ancient</t>
        </is>
      </c>
      <c r="C216" s="34" t="inlineStr">
        <is>
          <t>G</t>
        </is>
      </c>
      <c r="D216" s="44" t="inlineStr">
        <is>
          <t>Creature</t>
        </is>
      </c>
      <c r="E216" s="41" t="inlineStr">
        <is>
          <t>B2</t>
        </is>
      </c>
      <c r="F216" s="34" t="n">
        <v>4</v>
      </c>
      <c r="G216" s="67" t="inlineStr">
        <is>
          <t>Whenever a player casts a spell, you may put a +1/+1 counter on this creature.
At the beginning of your upkeep, you may move any number of +1/+1 counters from this creature onto other creatures.
(0/3)</t>
        </is>
      </c>
      <c r="H216" s="45" t="inlineStr">
        <is>
          <t>Counters Payoff</t>
        </is>
      </c>
      <c r="I216" s="45" t="inlineStr">
        <is>
          <t>Gets a +1/+1 counter whenever any player casts a spell</t>
        </is>
      </c>
      <c r="J216" s="45" t="inlineStr">
        <is>
          <t>Moves any number of +1/+1 counters to other creatures each upkeep</t>
        </is>
      </c>
      <c r="K216" s="45" t="n"/>
      <c r="L216" s="42" t="n"/>
      <c r="M216" s="42" t="n"/>
      <c r="N216" s="42" t="n"/>
      <c r="O216" s="42" t="n"/>
      <c r="P216" s="42" t="n">
        <v>0.37</v>
      </c>
      <c r="Q216" s="42" t="n"/>
      <c r="R216" s="42" t="n"/>
      <c r="S216" s="42" t="n"/>
      <c r="T216" s="42" t="n"/>
      <c r="U216" s="42" t="n"/>
      <c r="V216" s="45" t="inlineStr">
        <is>
          <t>Scourge</t>
        </is>
      </c>
      <c r="W216" s="41" t="n">
        <v>0</v>
      </c>
      <c r="X216" s="37">
        <f>SUM(Y216:AE216)</f>
        <v/>
      </c>
      <c r="Y216" s="43" t="n"/>
      <c r="Z216" s="43" t="n"/>
      <c r="AA216" s="43" t="n"/>
      <c r="AB216" s="43" t="n"/>
      <c r="AC216" s="43" t="n"/>
      <c r="AD216" s="43" t="n"/>
      <c r="AE216" s="43" t="n"/>
      <c r="AF216" s="38">
        <f>IF((W216-SUM(Y216:AE216))&lt;0,0,W216-SUM(Y216:AE216))</f>
        <v/>
      </c>
      <c r="AG216" s="34">
        <f>MAX(0,$AT216-$W216-$AI216)</f>
        <v/>
      </c>
      <c r="AH216" s="34" t="inlineStr">
        <is>
          <t>TCG</t>
        </is>
      </c>
      <c r="AI216" s="34" t="n">
        <v>1</v>
      </c>
      <c r="AJ216" s="36" t="n">
        <v>0.33</v>
      </c>
      <c r="AK216" s="36">
        <f>IF(AND($AG216&gt;0,ISNUMBER($AJ216)),$AG216*$AJ216,0)</f>
        <v/>
      </c>
      <c r="AL216" s="54" t="n"/>
      <c r="AM216" s="54" t="n"/>
      <c r="AN216" s="54" t="n"/>
      <c r="AO216" s="54" t="n"/>
      <c r="AP216" s="54" t="n"/>
      <c r="AQ216" s="54" t="n"/>
      <c r="AR216" s="54" t="n"/>
      <c r="AS216" s="54" t="n"/>
      <c r="AT216" s="37">
        <f>SUM(AU216:BA216)</f>
        <v/>
      </c>
      <c r="AU216" s="92" t="n"/>
      <c r="AV216" s="38" t="n"/>
      <c r="AW216" s="38" t="n"/>
      <c r="AX216" s="38" t="n"/>
      <c r="AY216" s="38" t="n"/>
      <c r="AZ216" s="38" t="n"/>
      <c r="BA216" s="94" t="n"/>
      <c r="BB216" s="106" t="n"/>
      <c r="BC216" s="42" t="n"/>
      <c r="BD216" s="48" t="n"/>
    </row>
    <row r="217" ht="15" customHeight="1" s="148">
      <c r="A217" t="inlineStr">
        <is>
          <t>c0213</t>
        </is>
      </c>
      <c r="B217" s="44" t="inlineStr">
        <is>
          <t>Freyalise, Llanowar's Fury</t>
        </is>
      </c>
      <c r="C217" s="34" t="inlineStr">
        <is>
          <t>G</t>
        </is>
      </c>
      <c r="D217" s="44" t="inlineStr">
        <is>
          <t>Legendary Planeswalker</t>
        </is>
      </c>
      <c r="E217" s="41" t="inlineStr">
        <is>
          <t>B2</t>
        </is>
      </c>
      <c r="F217" s="34" t="n">
        <v>5</v>
      </c>
      <c r="G217" s="67" t="inlineStr">
        <is>
          <t>+2: Create a 1/1 green Elf Druid creature token with "{T}: Add {G}."
−2: Destroy target artifact or enchantment.
−6: Draw a card for each green creature you control.
Freyalise, Llanowar's Fury can be your commander.
(Loyalty 3)</t>
        </is>
      </c>
      <c r="H217" s="45" t="inlineStr">
        <is>
          <t>Ramp</t>
        </is>
      </c>
      <c r="I217" s="45" t="inlineStr">
        <is>
          <t>+2: creates a 1/1 Elf token that taps for {G}</t>
        </is>
      </c>
      <c r="J217" s="45" t="inlineStr">
        <is>
          <t>-2: destroys target artifact or enchantment</t>
        </is>
      </c>
      <c r="K217" s="45" t="inlineStr">
        <is>
          <t>-6: draws a card per green creature you control</t>
        </is>
      </c>
      <c r="L217" s="42" t="n"/>
      <c r="M217" s="42" t="n"/>
      <c r="N217" s="42" t="n"/>
      <c r="O217" s="42" t="n"/>
      <c r="P217" s="42" t="n">
        <v>4.22</v>
      </c>
      <c r="Q217" s="42" t="n"/>
      <c r="R217" s="42" t="n"/>
      <c r="S217" s="42" t="n"/>
      <c r="T217" s="42" t="n"/>
      <c r="U217" s="42" t="n"/>
      <c r="V217" s="45" t="inlineStr">
        <is>
          <t>Commander 2014</t>
        </is>
      </c>
      <c r="W217" s="41" t="n">
        <v>1</v>
      </c>
      <c r="X217" s="37">
        <f>SUM(Y217:AE217)</f>
        <v/>
      </c>
      <c r="Y217" s="43" t="n"/>
      <c r="Z217" s="43" t="n"/>
      <c r="AA217" s="43" t="n"/>
      <c r="AB217" s="43" t="n">
        <v>1</v>
      </c>
      <c r="AC217" s="43" t="n"/>
      <c r="AD217" s="43" t="n"/>
      <c r="AE217" s="43" t="n"/>
      <c r="AF217" s="38">
        <f>IF((W217-SUM(Y217:AE217))&lt;0,0,W217-SUM(Y217:AE217))</f>
        <v/>
      </c>
      <c r="AG217" s="34">
        <f>MAX(0,$AT217-$W217-$AI217)</f>
        <v/>
      </c>
      <c r="AH217" s="34" t="n"/>
      <c r="AI217" s="34" t="n"/>
      <c r="AJ217" s="36" t="n">
        <v>4.47</v>
      </c>
      <c r="AK217" s="36">
        <f>IF(AND($AG217&gt;0,ISNUMBER($AJ217)),$AG217*$AJ217,0)</f>
        <v/>
      </c>
      <c r="AT217" s="37">
        <f>SUM(AU217:BA217)</f>
        <v/>
      </c>
      <c r="AU217" s="73" t="n"/>
      <c r="AV217" s="33" t="n"/>
      <c r="AW217" s="33" t="n"/>
      <c r="AX217" s="98" t="n">
        <v>1</v>
      </c>
      <c r="AY217" s="33" t="n"/>
      <c r="AZ217" s="33" t="n"/>
      <c r="BA217" s="74" t="n"/>
      <c r="BB217" s="106" t="n"/>
      <c r="BC217" s="42" t="n"/>
      <c r="BD217" s="42" t="n"/>
    </row>
    <row r="218" ht="15" customHeight="1" s="148">
      <c r="A218" t="inlineStr">
        <is>
          <t>c0214</t>
        </is>
      </c>
      <c r="B218" s="44" t="inlineStr">
        <is>
          <t>Fynn, the Fangbearer</t>
        </is>
      </c>
      <c r="C218" s="34" t="inlineStr">
        <is>
          <t>G</t>
        </is>
      </c>
      <c r="D218" s="44" t="inlineStr">
        <is>
          <t>Legendary Creature</t>
        </is>
      </c>
      <c r="E218" s="41" t="inlineStr">
        <is>
          <t>B3</t>
        </is>
      </c>
      <c r="F218" s="34" t="n">
        <v>2</v>
      </c>
      <c r="G218" s="67" t="inlineStr">
        <is>
          <t>Deathtouch (Any amount of damage this deals to a creature is enough to destroy it.)
Whenever a creature you control with deathtouch deals combat damage to a player, that player gets two poison counters. (A player with ten or more poison counters loses the game.)
(1/3)</t>
        </is>
      </c>
      <c r="H218" s="45" t="inlineStr">
        <is>
          <t>Finisher</t>
        </is>
      </c>
      <c r="I218" s="45" t="inlineStr">
        <is>
          <t>Deathtouch</t>
        </is>
      </c>
      <c r="J218" s="45" t="inlineStr">
        <is>
          <t>Whenever a creature you control with deathtouch deals combat damage to a player, that player gets two poison counters</t>
        </is>
      </c>
      <c r="K218" s="45" t="n"/>
      <c r="L218" s="42" t="n"/>
      <c r="M218" s="42" t="n"/>
      <c r="N218" s="42" t="n"/>
      <c r="O218" s="42" t="n"/>
      <c r="P218" s="42" t="n"/>
      <c r="Q218" s="42" t="n"/>
      <c r="R218" s="42" t="n"/>
      <c r="S218" s="42" t="n"/>
      <c r="T218" s="42" t="n"/>
      <c r="U218" s="42" t="n"/>
      <c r="V218" s="45" t="inlineStr">
        <is>
          <t>Kaldheim</t>
        </is>
      </c>
      <c r="W218" s="41" t="n">
        <v>1</v>
      </c>
      <c r="X218" s="37">
        <f>SUM(Y218:AE218)</f>
        <v/>
      </c>
      <c r="Y218" s="43" t="n"/>
      <c r="Z218" s="43" t="n"/>
      <c r="AA218" s="43" t="n"/>
      <c r="AB218" s="43" t="n"/>
      <c r="AC218" s="43" t="n"/>
      <c r="AD218" s="43" t="n"/>
      <c r="AE218" s="43" t="n"/>
      <c r="AF218" s="38">
        <f>IF((W218-SUM(Y218:AE218))&lt;0,0,W218-SUM(Y218:AE218))</f>
        <v/>
      </c>
      <c r="AG218" s="34">
        <f>MAX(0,$AT218-$W218-$AI218)</f>
        <v/>
      </c>
      <c r="AH218" s="34" t="n"/>
      <c r="AI218" s="34" t="n"/>
      <c r="AJ218" s="36" t="n">
        <v>0.18</v>
      </c>
      <c r="AK218" s="36">
        <f>IF(AND($AG218&gt;0,ISNUMBER($AJ218)),$AG218*$AJ218,0)</f>
        <v/>
      </c>
      <c r="AN218" s="58" t="n"/>
      <c r="AT218" s="37">
        <f>SUM(AU218:BA218)</f>
        <v/>
      </c>
      <c r="AU218" s="73" t="n"/>
      <c r="AV218" s="33" t="n"/>
      <c r="AW218" s="33" t="n"/>
      <c r="AX218" s="33" t="n"/>
      <c r="AY218" s="33" t="n"/>
      <c r="AZ218" s="33" t="n"/>
      <c r="BA218" s="74" t="n"/>
      <c r="BB218" s="106" t="n"/>
      <c r="BC218" s="42" t="n"/>
      <c r="BD218" s="42" t="n"/>
    </row>
    <row r="219" ht="15" customHeight="1" s="148">
      <c r="A219" t="inlineStr">
        <is>
          <t>c0215</t>
        </is>
      </c>
      <c r="B219" s="39" t="inlineStr">
        <is>
          <t>Garruk's Uprising</t>
        </is>
      </c>
      <c r="C219" s="40" t="inlineStr">
        <is>
          <t>G</t>
        </is>
      </c>
      <c r="D219" s="39" t="inlineStr">
        <is>
          <t>Enchantment</t>
        </is>
      </c>
      <c r="E219" s="41" t="inlineStr">
        <is>
          <t>B2</t>
        </is>
      </c>
      <c r="F219" s="40" t="n">
        <v>3</v>
      </c>
      <c r="G219" s="67" t="inlineStr">
        <is>
          <t>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is>
      </c>
      <c r="H219" s="39" t="inlineStr">
        <is>
          <t>Card Draw</t>
        </is>
      </c>
      <c r="I219" s="39" t="inlineStr">
        <is>
          <t>When this enchantment enters, if you control a creature with power 4 or greater, draw a card</t>
        </is>
      </c>
      <c r="J219" s="39" t="inlineStr">
        <is>
          <t>Whenever a creature you control with power 4 or greater enters, draw a card</t>
        </is>
      </c>
      <c r="K219" s="39" t="inlineStr">
        <is>
          <t>Creatures you control have trample</t>
        </is>
      </c>
      <c r="L219" s="88" t="n"/>
      <c r="M219" s="41" t="n"/>
      <c r="N219" s="41" t="n"/>
      <c r="O219" s="63" t="n"/>
      <c r="P219" s="90" t="n">
        <v>0.59</v>
      </c>
      <c r="Q219" s="88" t="n"/>
      <c r="R219" s="41" t="n"/>
      <c r="S219" s="41" t="n"/>
      <c r="T219" s="63" t="n"/>
      <c r="U219" s="91" t="n"/>
      <c r="V219" s="39" t="inlineStr">
        <is>
          <t>Core Set 2021</t>
        </is>
      </c>
      <c r="W219" s="41" t="n">
        <v>0</v>
      </c>
      <c r="X219" s="37">
        <f>SUM(Y219:AE219)</f>
        <v/>
      </c>
      <c r="Y219" s="43" t="n"/>
      <c r="Z219" s="43" t="n"/>
      <c r="AA219" s="43" t="n"/>
      <c r="AB219" s="43" t="n"/>
      <c r="AC219" s="43" t="n"/>
      <c r="AD219" s="43" t="n"/>
      <c r="AE219" s="43" t="n"/>
      <c r="AF219" s="38">
        <f>IF((W219-SUM(Y219:AE219))&lt;0,0,W219-SUM(Y219:AE219))</f>
        <v/>
      </c>
      <c r="AG219" s="34">
        <f>MAX(0,$AT219-$W219-$AI219)</f>
        <v/>
      </c>
      <c r="AH219" s="39" t="n"/>
      <c r="AI219" s="39" t="n"/>
      <c r="AJ219" s="39" t="n">
        <v>0.54</v>
      </c>
      <c r="AK219" s="39">
        <f>IF(AND($AG219&gt;0,ISNUMBER($AJ219)),$AG219*$AJ219,0)</f>
        <v/>
      </c>
      <c r="AT219" s="37">
        <f>SUM(AU219:BA219)</f>
        <v/>
      </c>
      <c r="AU219" s="73" t="n"/>
      <c r="AV219" s="33" t="n"/>
      <c r="AW219" s="33" t="n">
        <v>1</v>
      </c>
      <c r="AX219" s="33" t="n"/>
      <c r="AY219" s="33" t="n"/>
      <c r="AZ219" s="33" t="n"/>
      <c r="BA219" s="74" t="n"/>
      <c r="BB219" s="107" t="n"/>
      <c r="BC219" s="42" t="n"/>
      <c r="BD219" s="42" t="n"/>
    </row>
    <row r="220" ht="15" customHeight="1" s="148">
      <c r="A220" t="inlineStr">
        <is>
          <t>c0216</t>
        </is>
      </c>
      <c r="B220" s="30" t="inlineStr">
        <is>
          <t>Germination Practicum</t>
        </is>
      </c>
      <c r="C220" s="31" t="inlineStr">
        <is>
          <t>G</t>
        </is>
      </c>
      <c r="D220" s="30" t="inlineStr">
        <is>
          <t>Sorcery</t>
        </is>
      </c>
      <c r="E220" s="33" t="inlineStr">
        <is>
          <t>B2</t>
        </is>
      </c>
      <c r="F220" s="30" t="n">
        <v>5</v>
      </c>
      <c r="G220" s="67" t="inlineStr">
        <is>
          <t>Put two +1/+1 counters on each creature you control.
Paradigm (Then exile this spell. After you first resolve a spell with this name, you may cast a copy of it from exile without paying its mana cost at the beginning of each of your first main phases.)</t>
        </is>
      </c>
      <c r="H220" s="30" t="inlineStr">
        <is>
          <t>Counters Payoff</t>
        </is>
      </c>
      <c r="I220" s="30" t="inlineStr">
        <is>
          <t>Put two +1/+1 counters on each creature you control</t>
        </is>
      </c>
      <c r="J220" s="30" t="inlineStr">
        <is>
          <t>Paradigm — it exiles itself, then you may cast a free copy at the beginning of each of your first main phases</t>
        </is>
      </c>
      <c r="K220" s="30" t="n"/>
      <c r="L220" s="89" t="inlineStr">
        <is>
          <t>149</t>
        </is>
      </c>
      <c r="M220" s="33" t="n">
        <v>1</v>
      </c>
      <c r="N220" s="33" t="n">
        <v>0</v>
      </c>
      <c r="O220" s="63" t="inlineStr">
        <is>
          <t>Johan Grenier</t>
        </is>
      </c>
      <c r="P220" s="90" t="n">
        <v>8.82</v>
      </c>
      <c r="Q220" s="32" t="inlineStr">
        <is>
          <t>Mythic</t>
        </is>
      </c>
      <c r="R220" s="32" t="n"/>
      <c r="S220" s="32" t="n"/>
      <c r="T220" s="63" t="n"/>
      <c r="U220" s="63" t="n"/>
      <c r="V220" s="30" t="inlineStr">
        <is>
          <t>Secrets of Strixhaven</t>
        </is>
      </c>
      <c r="W220" s="41" t="n">
        <v>1</v>
      </c>
      <c r="X220" s="37">
        <f>SUM(Y220:AE220)</f>
        <v/>
      </c>
      <c r="Y220" s="43" t="n"/>
      <c r="Z220" s="43" t="n"/>
      <c r="AA220" s="43" t="n">
        <v>1</v>
      </c>
      <c r="AB220" s="43" t="n"/>
      <c r="AC220" s="43" t="n"/>
      <c r="AD220" s="43" t="n"/>
      <c r="AE220" s="43" t="n"/>
      <c r="AF220" s="38">
        <f>IF((W220-SUM(Y220:AE220))&lt;0,0,W220-SUM(Y220:AE220))</f>
        <v/>
      </c>
      <c r="AG220" s="34">
        <f>MAX(0,$AT220-$W220-$AI220)</f>
        <v/>
      </c>
      <c r="AH220" s="30" t="n"/>
      <c r="AI220" s="30" t="n"/>
      <c r="AJ220" s="30" t="n">
        <v>9.48</v>
      </c>
      <c r="AK220" s="36">
        <f>IF(AND($AG220&gt;0,ISNUMBER($AJ220)),$AG220*$AJ220,0)</f>
        <v/>
      </c>
      <c r="AT220" s="37">
        <f>SUM(AU220:BA220)</f>
        <v/>
      </c>
      <c r="AU220" s="73" t="n"/>
      <c r="AV220" s="33" t="n"/>
      <c r="AW220" s="98" t="n">
        <v>1</v>
      </c>
      <c r="AX220" s="33" t="n"/>
      <c r="AY220" s="33" t="n"/>
      <c r="AZ220" s="33" t="n"/>
      <c r="BA220" s="74" t="n"/>
      <c r="BB220" s="108" t="n"/>
      <c r="BC220" s="32" t="n"/>
      <c r="BD220" s="32" t="n"/>
    </row>
    <row r="221" ht="15" customHeight="1" s="148">
      <c r="A221" t="inlineStr">
        <is>
          <t>c0217</t>
        </is>
      </c>
      <c r="B221" s="30" t="inlineStr">
        <is>
          <t>Giant Growth</t>
        </is>
      </c>
      <c r="C221" s="31" t="inlineStr">
        <is>
          <t>G</t>
        </is>
      </c>
      <c r="D221" s="30" t="inlineStr">
        <is>
          <t>Instant</t>
        </is>
      </c>
      <c r="E221" s="33" t="inlineStr">
        <is>
          <t>B2</t>
        </is>
      </c>
      <c r="F221" s="31" t="n">
        <v>1</v>
      </c>
      <c r="G221" s="67" t="inlineStr">
        <is>
          <t>Target creature gets +3/+3 until end of turn.</t>
        </is>
      </c>
      <c r="H221" s="30" t="inlineStr">
        <is>
          <t>Combat Trick</t>
        </is>
      </c>
      <c r="I221" s="30" t="inlineStr">
        <is>
          <t>Target creature gets +3/+3 until end of turn</t>
        </is>
      </c>
      <c r="J221" s="30" t="n"/>
      <c r="K221" s="30" t="n"/>
      <c r="L221" s="89" t="inlineStr">
        <is>
          <t>52</t>
        </is>
      </c>
      <c r="M221" s="33" t="n">
        <v>1</v>
      </c>
      <c r="N221" s="33" t="n">
        <v>0</v>
      </c>
      <c r="O221" s="63" t="n"/>
      <c r="P221" s="90" t="n">
        <v>0.05</v>
      </c>
      <c r="Q221" s="32" t="inlineStr">
        <is>
          <t>Uncommon</t>
        </is>
      </c>
      <c r="R221" s="32" t="n"/>
      <c r="S221" s="32" t="n"/>
      <c r="T221" s="63" t="n"/>
      <c r="U221" s="63" t="n"/>
      <c r="V221" s="30" t="inlineStr">
        <is>
          <t>Secrets of Strixhaven Mystical Archive</t>
        </is>
      </c>
      <c r="W221" s="41" t="n">
        <v>1</v>
      </c>
      <c r="X221" s="37">
        <f>SUM(Y221:AE221)</f>
        <v/>
      </c>
      <c r="Y221" s="43" t="n"/>
      <c r="Z221" s="43" t="n"/>
      <c r="AA221" s="43" t="n"/>
      <c r="AB221" s="43" t="n"/>
      <c r="AC221" s="43" t="n"/>
      <c r="AD221" s="43" t="n"/>
      <c r="AE221" s="43" t="n"/>
      <c r="AF221" s="38">
        <f>IF((W221-SUM(Y221:AE221))&lt;0,0,W221-SUM(Y221:AE221))</f>
        <v/>
      </c>
      <c r="AG221" s="34">
        <f>MAX(0,$AT221-$W221-$AI221)</f>
        <v/>
      </c>
      <c r="AH221" s="30" t="n"/>
      <c r="AI221" s="30" t="n"/>
      <c r="AJ221" s="35" t="n">
        <v>0.28</v>
      </c>
      <c r="AK221" s="36">
        <f>IF(AND($AG221&gt;0,ISNUMBER($AJ221)),$AG221*$AJ221,0)</f>
        <v/>
      </c>
      <c r="AT221" s="37">
        <f>SUM(AU221:BA221)</f>
        <v/>
      </c>
      <c r="AU221" s="73" t="n"/>
      <c r="AV221" s="33" t="n"/>
      <c r="AW221" s="33" t="n"/>
      <c r="AX221" s="33" t="n"/>
      <c r="AY221" s="33" t="n"/>
      <c r="AZ221" s="33" t="n"/>
      <c r="BA221" s="74" t="n"/>
      <c r="BB221" s="108" t="n"/>
      <c r="BC221" s="32" t="n"/>
      <c r="BD221" s="32" t="n"/>
    </row>
    <row r="222" ht="15" customHeight="1" s="148">
      <c r="A222" t="inlineStr">
        <is>
          <t>c0218</t>
        </is>
      </c>
      <c r="B222" s="44" t="inlineStr">
        <is>
          <t>Gilt-Leaf's Embrace</t>
        </is>
      </c>
      <c r="C222" s="34" t="inlineStr">
        <is>
          <t>G</t>
        </is>
      </c>
      <c r="D222" s="44" t="inlineStr">
        <is>
          <t>Enchantment</t>
        </is>
      </c>
      <c r="E222" s="41" t="inlineStr">
        <is>
          <t>B2</t>
        </is>
      </c>
      <c r="F222" s="34" t="n">
        <v>3</v>
      </c>
      <c r="G222" s="67" t="inlineStr">
        <is>
          <t>Flash
Enchant creature
When this Aura enters, enchanted creature gains trample and indestructible until end of turn. (Damage and effects that say "destroy" don't destroy it. If its toughness is 0 or less, it still dies.)
Enchanted creature gets +2/+0.</t>
        </is>
      </c>
      <c r="H222" s="45" t="inlineStr">
        <is>
          <t>Combat Trick</t>
        </is>
      </c>
      <c r="I222" s="45" t="inlineStr">
        <is>
          <t>Enchanted creature gets +2/+0</t>
        </is>
      </c>
      <c r="J222" s="45" t="inlineStr">
        <is>
          <t>Enchanted creature can't be destroyed and its damage carries through blockers until end of turn, when it enters</t>
        </is>
      </c>
      <c r="K222" s="45" t="n"/>
      <c r="L222" s="42" t="n"/>
      <c r="M222" s="42" t="n"/>
      <c r="N222" s="42" t="n"/>
      <c r="O222" s="63" t="n"/>
      <c r="P222" s="63" t="n">
        <v>0.13</v>
      </c>
      <c r="Q222" s="42" t="n"/>
      <c r="R222" s="42" t="n"/>
      <c r="S222" s="42" t="n"/>
      <c r="T222" s="63" t="n"/>
      <c r="U222" s="63" t="n"/>
      <c r="V222" s="45" t="inlineStr">
        <is>
          <t>Lorwyn Eclipsed</t>
        </is>
      </c>
      <c r="W222" s="41" t="n">
        <v>1</v>
      </c>
      <c r="X222" s="37">
        <f>SUM(Y222:AE222)</f>
        <v/>
      </c>
      <c r="Y222" s="43" t="n"/>
      <c r="Z222" s="43" t="n"/>
      <c r="AA222" s="43" t="n"/>
      <c r="AB222" s="43" t="n"/>
      <c r="AC222" s="43" t="n"/>
      <c r="AD222" s="43" t="n"/>
      <c r="AE222" s="43" t="n"/>
      <c r="AF222" s="38">
        <f>IF((W222-SUM(Y222:AE222))&lt;0,0,W222-SUM(Y222:AE222))</f>
        <v/>
      </c>
      <c r="AG222" s="34">
        <f>MAX(0,$AT222-$W222-$AI222)</f>
        <v/>
      </c>
      <c r="AH222" s="34" t="n"/>
      <c r="AI222" s="34" t="n"/>
      <c r="AJ222" s="36" t="n">
        <v>0.13</v>
      </c>
      <c r="AK222" s="36">
        <f>IF(AND($AG222&gt;0,ISNUMBER($AJ222)),$AG222*$AJ222,0)</f>
        <v/>
      </c>
      <c r="AT222" s="37">
        <f>SUM(AU222:BA222)</f>
        <v/>
      </c>
      <c r="AU222" s="73" t="n"/>
      <c r="AV222" s="33" t="n"/>
      <c r="AW222" s="33" t="n"/>
      <c r="AX222" s="33" t="n"/>
      <c r="AY222" s="33" t="n"/>
      <c r="AZ222" s="33" t="n"/>
      <c r="BA222" s="74" t="n"/>
      <c r="BB222" s="106" t="n"/>
      <c r="BC222" s="42" t="n"/>
      <c r="BD222" s="42" t="n"/>
    </row>
    <row r="223" ht="15" customHeight="1" s="148">
      <c r="A223" t="inlineStr">
        <is>
          <t>c0219</t>
        </is>
      </c>
      <c r="B223" s="30" t="inlineStr">
        <is>
          <t>Glorious Decay</t>
        </is>
      </c>
      <c r="C223" s="31" t="inlineStr">
        <is>
          <t>G</t>
        </is>
      </c>
      <c r="D223" s="30" t="inlineStr">
        <is>
          <t>Instant</t>
        </is>
      </c>
      <c r="E223" s="33" t="inlineStr">
        <is>
          <t>B2</t>
        </is>
      </c>
      <c r="F223" s="30" t="n">
        <v>2</v>
      </c>
      <c r="G223" s="67" t="inlineStr">
        <is>
          <t>Choose one —
• Destroy target artifact.
• Glorious Decay deals 4 damage to target creature with flying.
• Exile target card from a graveyard. Draw a card.</t>
        </is>
      </c>
      <c r="H223" s="30" t="inlineStr">
        <is>
          <t>Artifact/Enchantment Removal</t>
        </is>
      </c>
      <c r="I223" s="30" t="inlineStr">
        <is>
          <t>Choose one — destroy target artifact</t>
        </is>
      </c>
      <c r="J223" s="30" t="inlineStr">
        <is>
          <t>Or deal 4 damage to a creature with flying, or exile a card from a graveyard and draw a card</t>
        </is>
      </c>
      <c r="K223" s="30" t="n"/>
      <c r="L223" s="32" t="inlineStr">
        <is>
          <t>150</t>
        </is>
      </c>
      <c r="M223" s="32" t="n">
        <v>1</v>
      </c>
      <c r="N223" s="32" t="n">
        <v>0</v>
      </c>
      <c r="O223" s="63" t="inlineStr">
        <is>
          <t>Camille Alquier</t>
        </is>
      </c>
      <c r="P223" s="63" t="n">
        <v>0.14</v>
      </c>
      <c r="Q223" s="32" t="inlineStr">
        <is>
          <t>Common</t>
        </is>
      </c>
      <c r="R223" s="32" t="n"/>
      <c r="S223" s="32" t="n"/>
      <c r="T223" s="63" t="n"/>
      <c r="U223" s="63" t="n"/>
      <c r="V223" s="30" t="inlineStr">
        <is>
          <t>Secrets of Strixhaven</t>
        </is>
      </c>
      <c r="W223" s="41" t="n">
        <v>1</v>
      </c>
      <c r="X223" s="37">
        <f>SUM(Y223:AE223)</f>
        <v/>
      </c>
      <c r="Y223" s="43" t="n"/>
      <c r="Z223" s="43" t="n"/>
      <c r="AA223" s="43" t="n"/>
      <c r="AB223" s="43" t="n"/>
      <c r="AC223" s="43" t="n"/>
      <c r="AD223" s="43" t="n"/>
      <c r="AE223" s="43" t="n">
        <v>1</v>
      </c>
      <c r="AF223" s="38">
        <f>IF((W223-SUM(Y223:AE223))&lt;0,0,W223-SUM(Y223:AE223))</f>
        <v/>
      </c>
      <c r="AG223" s="34">
        <f>MAX(0,$AT223-$W223-$AI223)</f>
        <v/>
      </c>
      <c r="AH223" s="30" t="n"/>
      <c r="AI223" s="30" t="n"/>
      <c r="AJ223" s="30" t="n">
        <v>0.14</v>
      </c>
      <c r="AK223" s="36">
        <f>IF(AND($AG223&gt;0,ISNUMBER($AJ223)),$AG223*$AJ223,0)</f>
        <v/>
      </c>
      <c r="AT223" s="37">
        <f>SUM(AU223:BA223)</f>
        <v/>
      </c>
      <c r="AU223" s="73" t="n"/>
      <c r="AV223" s="33" t="n"/>
      <c r="AW223" s="33" t="n"/>
      <c r="AX223" s="33" t="n"/>
      <c r="AY223" s="33" t="n"/>
      <c r="AZ223" s="33" t="n"/>
      <c r="BA223" s="80" t="n">
        <v>1</v>
      </c>
      <c r="BB223" s="108" t="n"/>
      <c r="BC223" s="32" t="n"/>
      <c r="BD223" s="32" t="n"/>
    </row>
    <row r="224" ht="15" customHeight="1" s="148">
      <c r="A224" t="inlineStr">
        <is>
          <t>c0220</t>
        </is>
      </c>
      <c r="B224" s="44" t="inlineStr">
        <is>
          <t>Grazing Gladehart</t>
        </is>
      </c>
      <c r="C224" s="34" t="inlineStr">
        <is>
          <t>G</t>
        </is>
      </c>
      <c r="D224" s="44" t="inlineStr">
        <is>
          <t>Creature</t>
        </is>
      </c>
      <c r="E224" s="41" t="inlineStr">
        <is>
          <t>B2</t>
        </is>
      </c>
      <c r="F224" s="34" t="n">
        <v>3</v>
      </c>
      <c r="G224" s="67" t="inlineStr">
        <is>
          <t>Landfall — Whenever a land you control enters, you may gain 2 life.
(2/2)</t>
        </is>
      </c>
      <c r="H224" s="45" t="inlineStr">
        <is>
          <t>Lifegain</t>
        </is>
      </c>
      <c r="I224" s="45" t="inlineStr">
        <is>
          <t>Gains 2 life when a land you control enters</t>
        </is>
      </c>
      <c r="J224" s="45" t="n"/>
      <c r="K224" s="45" t="n"/>
      <c r="L224" s="42" t="n"/>
      <c r="M224" s="42" t="n"/>
      <c r="N224" s="42" t="n"/>
      <c r="O224" s="63" t="n"/>
      <c r="P224" s="63" t="n">
        <v>0.31</v>
      </c>
      <c r="Q224" s="42" t="n"/>
      <c r="R224" s="42" t="n"/>
      <c r="S224" s="42" t="n"/>
      <c r="T224" s="63" t="n"/>
      <c r="U224" s="63" t="n"/>
      <c r="V224" s="45" t="inlineStr">
        <is>
          <t>Zendikar</t>
        </is>
      </c>
      <c r="W224" s="41" t="n">
        <v>1</v>
      </c>
      <c r="X224" s="37">
        <f>SUM(Y224:AE224)</f>
        <v/>
      </c>
      <c r="Y224" s="43" t="n"/>
      <c r="Z224" s="43" t="n"/>
      <c r="AA224" s="43" t="n"/>
      <c r="AB224" s="43" t="n"/>
      <c r="AC224" s="43" t="n"/>
      <c r="AD224" s="43" t="n"/>
      <c r="AE224" s="43" t="n"/>
      <c r="AF224" s="38">
        <f>IF((W224-SUM(Y224:AE224))&lt;0,0,W224-SUM(Y224:AE224))</f>
        <v/>
      </c>
      <c r="AG224" s="34">
        <f>MAX(0,$AT224-$W224-$AI224)</f>
        <v/>
      </c>
      <c r="AH224" s="34" t="n"/>
      <c r="AI224" s="34" t="n"/>
      <c r="AJ224" s="36" t="n">
        <v>0.1</v>
      </c>
      <c r="AK224" s="36">
        <f>IF(AND($AG224&gt;0,ISNUMBER($AJ224)),$AG224*$AJ224,0)</f>
        <v/>
      </c>
      <c r="AT224" s="37">
        <f>SUM(AU224:BA224)</f>
        <v/>
      </c>
      <c r="AU224" s="73" t="n"/>
      <c r="AV224" s="33" t="n"/>
      <c r="AW224" s="33" t="n"/>
      <c r="AX224" s="33" t="n"/>
      <c r="AY224" s="33" t="n"/>
      <c r="AZ224" s="33" t="n"/>
      <c r="BA224" s="74" t="n"/>
      <c r="BB224" s="106" t="n"/>
      <c r="BC224" s="42" t="n"/>
      <c r="BD224" s="42" t="n"/>
    </row>
    <row r="225" ht="15" customHeight="1" s="148">
      <c r="A225" t="inlineStr">
        <is>
          <t>c0221</t>
        </is>
      </c>
      <c r="B225" s="30" t="inlineStr">
        <is>
          <t>Great Forest Druid</t>
        </is>
      </c>
      <c r="C225" s="31" t="inlineStr">
        <is>
          <t>G</t>
        </is>
      </c>
      <c r="D225" s="30" t="inlineStr">
        <is>
          <t>Creature</t>
        </is>
      </c>
      <c r="E225" s="33" t="inlineStr">
        <is>
          <t>B2</t>
        </is>
      </c>
      <c r="F225" s="31" t="n">
        <v>2</v>
      </c>
      <c r="G225" s="67" t="inlineStr">
        <is>
          <t>{T}: Add one mana of any color.
(0/4)</t>
        </is>
      </c>
      <c r="H225" s="30" t="inlineStr">
        <is>
          <t>Ramp</t>
        </is>
      </c>
      <c r="I225" s="30" t="inlineStr">
        <is>
          <t>{T}: Add one mana of any color</t>
        </is>
      </c>
      <c r="J225" s="30" t="inlineStr">
        <is>
          <t>0/4 body that blocks early</t>
        </is>
      </c>
      <c r="K225" s="30" t="n"/>
      <c r="L225" s="32" t="inlineStr">
        <is>
          <t>178</t>
        </is>
      </c>
      <c r="M225" s="32" t="n">
        <v>1</v>
      </c>
      <c r="N225" s="32" t="n">
        <v>0</v>
      </c>
      <c r="O225" s="63" t="n"/>
      <c r="P225" s="63" t="n">
        <v>0.25</v>
      </c>
      <c r="Q225" s="32" t="inlineStr">
        <is>
          <t>Common</t>
        </is>
      </c>
      <c r="R225" s="32" t="n"/>
      <c r="S225" s="32" t="n"/>
      <c r="T225" s="63" t="n"/>
      <c r="U225" s="63" t="n"/>
      <c r="V225" s="30" t="inlineStr">
        <is>
          <t>Lorwyn Eclipsed</t>
        </is>
      </c>
      <c r="W225" s="41" t="n">
        <v>1</v>
      </c>
      <c r="X225" s="37">
        <f>SUM(Y225:AE225)</f>
        <v/>
      </c>
      <c r="Y225" s="43" t="n"/>
      <c r="Z225" s="43" t="n"/>
      <c r="AA225" s="43" t="n"/>
      <c r="AB225" s="43" t="n">
        <v>1</v>
      </c>
      <c r="AC225" s="43" t="n"/>
      <c r="AD225" s="43" t="n"/>
      <c r="AE225" s="43" t="n"/>
      <c r="AF225" s="38">
        <f>IF((W225-SUM(Y225:AE225))&lt;0,0,W225-SUM(Y225:AE225))</f>
        <v/>
      </c>
      <c r="AG225" s="34">
        <f>MAX(0,$AT225-$W225-$AI225)</f>
        <v/>
      </c>
      <c r="AH225" s="30" t="n"/>
      <c r="AI225" s="30" t="n"/>
      <c r="AJ225" s="35" t="n">
        <v>0.25</v>
      </c>
      <c r="AK225" s="36">
        <f>IF(AND($AG225&gt;0,ISNUMBER($AJ225)),$AG225*$AJ225,0)</f>
        <v/>
      </c>
      <c r="AO225" s="58" t="n"/>
      <c r="AS225" s="58" t="n"/>
      <c r="AT225" s="37">
        <f>SUM(AU225:BA225)</f>
        <v/>
      </c>
      <c r="AU225" s="73" t="n"/>
      <c r="AV225" s="33" t="n"/>
      <c r="AW225" s="33" t="n"/>
      <c r="AX225" s="98" t="n">
        <v>1</v>
      </c>
      <c r="AY225" s="33" t="n"/>
      <c r="AZ225" s="33" t="n"/>
      <c r="BA225" s="74" t="n"/>
      <c r="BB225" s="108" t="n"/>
      <c r="BC225" s="32" t="n"/>
      <c r="BD225" s="32" t="n"/>
    </row>
    <row r="226" ht="15" customHeight="1" s="148">
      <c r="A226" t="inlineStr">
        <is>
          <t>c0222</t>
        </is>
      </c>
      <c r="B226" s="44" t="inlineStr">
        <is>
          <t>Guardian of the Halls</t>
        </is>
      </c>
      <c r="C226" s="34" t="inlineStr">
        <is>
          <t>G</t>
        </is>
      </c>
      <c r="D226" s="44" t="inlineStr">
        <is>
          <t>Creature</t>
        </is>
      </c>
      <c r="E226" s="41" t="inlineStr">
        <is>
          <t>B2</t>
        </is>
      </c>
      <c r="F226" s="34" t="n">
        <v>2</v>
      </c>
      <c r="G226" s="67" t="inlineStr">
        <is>
          <t>Trample
{5}{G}{G}: Put three +1/+1 counters on this creature.
(2/2)</t>
        </is>
      </c>
      <c r="H226" s="45" t="inlineStr">
        <is>
          <t>Counters Payoff</t>
        </is>
      </c>
      <c r="I226" s="45" t="inlineStr">
        <is>
          <t>Pay {5}{G}{G} to put three +1/+1 counters on it</t>
        </is>
      </c>
      <c r="J226" s="45" t="inlineStr">
        <is>
          <t>Excess combat damage carries through to the defending player</t>
        </is>
      </c>
      <c r="K226" s="45" t="n"/>
      <c r="L226" s="42" t="inlineStr">
        <is>
          <t>127</t>
        </is>
      </c>
      <c r="M226" s="42" t="n">
        <v>2</v>
      </c>
      <c r="N226" s="42" t="n">
        <v>0</v>
      </c>
      <c r="O226" s="63" t="inlineStr">
        <is>
          <t>Andreia Ugrai</t>
        </is>
      </c>
      <c r="P226" s="63" t="n">
        <v>0.13</v>
      </c>
      <c r="Q226" s="42" t="inlineStr">
        <is>
          <t>Common</t>
        </is>
      </c>
      <c r="R226" s="42" t="n"/>
      <c r="S226" s="42" t="n"/>
      <c r="T226" s="63" t="n"/>
      <c r="U226" s="63" t="n"/>
      <c r="V226" s="45" t="inlineStr">
        <is>
          <t>The Hobbit</t>
        </is>
      </c>
      <c r="W226" s="41" t="n">
        <v>6</v>
      </c>
      <c r="X226" s="37">
        <f>SUM(Y226:AE226)</f>
        <v/>
      </c>
      <c r="Y226" s="43" t="n"/>
      <c r="Z226" s="43" t="n"/>
      <c r="AA226" s="43" t="n">
        <v>1</v>
      </c>
      <c r="AB226" s="43" t="n"/>
      <c r="AC226" s="43" t="n"/>
      <c r="AD226" s="43" t="n"/>
      <c r="AE226" s="43" t="n"/>
      <c r="AF226" s="38">
        <f>IF((W226-SUM(Y226:AE226))&lt;0,0,W226-SUM(Y226:AE226))</f>
        <v/>
      </c>
      <c r="AG226" s="34">
        <f>MAX(0,$AT226-$W226-$AI226)</f>
        <v/>
      </c>
      <c r="AH226" s="34" t="n"/>
      <c r="AI226" s="34" t="n"/>
      <c r="AJ226" s="36" t="n">
        <v>0.12</v>
      </c>
      <c r="AK226" s="36">
        <f>IF(AND($AG226&gt;0,ISNUMBER($AJ226)),$AG226*$AJ226,0)</f>
        <v/>
      </c>
      <c r="AN226" s="58" t="inlineStr">
        <is>
          <t>BL0055</t>
        </is>
      </c>
      <c r="AS226" s="58" t="n"/>
      <c r="AT226" s="37">
        <f>SUM(AU226:BA226)</f>
        <v/>
      </c>
      <c r="AU226" s="73" t="n"/>
      <c r="AV226" s="33" t="n"/>
      <c r="AW226" s="100" t="n"/>
      <c r="AX226" s="33" t="n"/>
      <c r="AY226" s="33" t="n"/>
      <c r="AZ226" s="33" t="n"/>
      <c r="BA226" s="74" t="n"/>
      <c r="BB226" s="106" t="n"/>
      <c r="BC226" s="42" t="n"/>
      <c r="BD226" s="42" t="n"/>
    </row>
    <row r="227" ht="15" customHeight="1" s="148">
      <c r="A227" t="inlineStr">
        <is>
          <t>c0223</t>
        </is>
      </c>
      <c r="B227" s="44" t="inlineStr">
        <is>
          <t>Guardian Project</t>
        </is>
      </c>
      <c r="C227" s="34" t="inlineStr">
        <is>
          <t>G</t>
        </is>
      </c>
      <c r="D227" s="44" t="inlineStr">
        <is>
          <t>Enchantment</t>
        </is>
      </c>
      <c r="E227" s="41" t="inlineStr">
        <is>
          <t>B3</t>
        </is>
      </c>
      <c r="F227" s="34" t="n">
        <v>4</v>
      </c>
      <c r="G227" s="67" t="inlineStr">
        <is>
          <t>Whenever a nontoken creature you control enters, if it doesn't have the same name as another creature you control or a creature card in your graveyard, draw a card.</t>
        </is>
      </c>
      <c r="H227" s="45" t="inlineStr">
        <is>
          <t>Card Draw</t>
        </is>
      </c>
      <c r="I227" s="45" t="inlineStr">
        <is>
          <t>Whenever a nontoken creature you control enters, if it doesn't have the same name as another creature you control or a c</t>
        </is>
      </c>
      <c r="J227" s="45" t="n"/>
      <c r="K227" s="45" t="n"/>
      <c r="L227" s="42" t="n"/>
      <c r="M227" s="42" t="n"/>
      <c r="N227" s="42" t="n"/>
      <c r="O227" s="42" t="n"/>
      <c r="P227" s="42" t="n">
        <v>15.05</v>
      </c>
      <c r="Q227" s="42" t="n"/>
      <c r="R227" s="42" t="n"/>
      <c r="S227" s="42" t="n"/>
      <c r="T227" s="42" t="n"/>
      <c r="U227" s="42" t="n"/>
      <c r="V227" s="45" t="inlineStr">
        <is>
          <t>Ravnica Allegiance</t>
        </is>
      </c>
      <c r="W227" s="41" t="n">
        <v>0</v>
      </c>
      <c r="X227" s="37">
        <f>SUM(Y227:AE227)</f>
        <v/>
      </c>
      <c r="Y227" s="43" t="n"/>
      <c r="Z227" s="43" t="n"/>
      <c r="AA227" s="43" t="n"/>
      <c r="AB227" s="43" t="n"/>
      <c r="AC227" s="43" t="n"/>
      <c r="AD227" s="43" t="n"/>
      <c r="AE227" s="43" t="n"/>
      <c r="AF227" s="38">
        <f>IF((W227-SUM(Y227:AE227))&lt;0,0,W227-SUM(Y227:AE227))</f>
        <v/>
      </c>
      <c r="AG227" s="34">
        <f>MAX(0,$AT227-$W227-$AI227)</f>
        <v/>
      </c>
      <c r="AH227" s="34" t="n"/>
      <c r="AI227" s="34" t="n"/>
      <c r="AJ227" s="36" t="n">
        <v>14.88</v>
      </c>
      <c r="AK227" s="36">
        <f>IF(AND($AG227&gt;0,ISNUMBER($AJ227)),$AG227*$AJ227,0)</f>
        <v/>
      </c>
      <c r="AL227" s="54" t="n"/>
      <c r="AM227" s="54" t="n"/>
      <c r="AN227" s="54" t="n"/>
      <c r="AO227" s="54" t="n"/>
      <c r="AP227" s="54" t="n"/>
      <c r="AQ227" s="54" t="n"/>
      <c r="AR227" s="54" t="n"/>
      <c r="AS227" s="54" t="n"/>
      <c r="AT227" s="37">
        <f>SUM(AU227:BA227)</f>
        <v/>
      </c>
      <c r="AU227" s="92" t="n"/>
      <c r="AV227" s="38" t="n">
        <v>1</v>
      </c>
      <c r="AW227" s="38" t="n"/>
      <c r="AX227" s="38" t="n">
        <v>1</v>
      </c>
      <c r="AY227" s="38" t="n"/>
      <c r="AZ227" s="38" t="n"/>
      <c r="BA227" s="94" t="n"/>
      <c r="BB227" s="106" t="n"/>
      <c r="BC227" s="42" t="n"/>
      <c r="BD227" s="42" t="n"/>
    </row>
    <row r="228" ht="15" customHeight="1" s="148">
      <c r="A228" t="inlineStr">
        <is>
          <t>c0224</t>
        </is>
      </c>
      <c r="B228" s="44" t="inlineStr">
        <is>
          <t>Hardened Scales</t>
        </is>
      </c>
      <c r="C228" s="34" t="inlineStr">
        <is>
          <t>G</t>
        </is>
      </c>
      <c r="D228" s="44" t="inlineStr">
        <is>
          <t>Enchantment</t>
        </is>
      </c>
      <c r="E228" s="41" t="inlineStr">
        <is>
          <t>B3</t>
        </is>
      </c>
      <c r="F228" s="34" t="n">
        <v>1</v>
      </c>
      <c r="G228" s="67" t="inlineStr">
        <is>
          <t>If one or more +1/+1 counters would be put on a creature you control, that many plus one +1/+1 counters are put on it instead.</t>
        </is>
      </c>
      <c r="H228" s="45" t="inlineStr">
        <is>
          <t>Value Engine</t>
        </is>
      </c>
      <c r="I228" s="45" t="inlineStr">
        <is>
          <t>If one or more +1/+1 counters would be put on a creature you control, that many plus one +1/+1 counters are put on it in</t>
        </is>
      </c>
      <c r="J228" s="45" t="n"/>
      <c r="K228" s="45" t="n"/>
      <c r="L228" s="42" t="n"/>
      <c r="M228" s="42" t="n"/>
      <c r="N228" s="42" t="n"/>
      <c r="O228" s="42" t="n"/>
      <c r="P228" s="42" t="n">
        <v>3.69</v>
      </c>
      <c r="Q228" s="42" t="n"/>
      <c r="R228" s="42" t="n"/>
      <c r="S228" s="42" t="n"/>
      <c r="T228" s="42" t="n"/>
      <c r="U228" s="42" t="n"/>
      <c r="V228" s="45" t="inlineStr">
        <is>
          <t>Khans of Tarkir</t>
        </is>
      </c>
      <c r="W228" s="41" t="n">
        <v>0</v>
      </c>
      <c r="X228" s="37">
        <f>SUM(Y228:AE228)</f>
        <v/>
      </c>
      <c r="Y228" s="43" t="n"/>
      <c r="Z228" s="43" t="n"/>
      <c r="AA228" s="43" t="n"/>
      <c r="AB228" s="43" t="n"/>
      <c r="AC228" s="43" t="n"/>
      <c r="AD228" s="43" t="n"/>
      <c r="AE228" s="43" t="n"/>
      <c r="AF228" s="38">
        <f>IF((W228-SUM(Y228:AE228))&lt;0,0,W228-SUM(Y228:AE228))</f>
        <v/>
      </c>
      <c r="AG228" s="34">
        <f>MAX(0,$AT228-$W228-$AI228)</f>
        <v/>
      </c>
      <c r="AH228" s="34" t="n"/>
      <c r="AI228" s="34" t="n"/>
      <c r="AJ228" s="36" t="n">
        <v>2.31</v>
      </c>
      <c r="AK228" s="36">
        <f>IF(AND($AG228&gt;0,ISNUMBER($AJ228)),$AG228*$AJ228,0)</f>
        <v/>
      </c>
      <c r="AL228" s="54" t="n"/>
      <c r="AM228" s="54" t="n"/>
      <c r="AN228" s="54" t="n"/>
      <c r="AO228" s="54" t="n"/>
      <c r="AP228" s="54" t="n"/>
      <c r="AQ228" s="54" t="n"/>
      <c r="AR228" s="54" t="n"/>
      <c r="AS228" s="54" t="n"/>
      <c r="AT228" s="37">
        <f>SUM(AU228:BA228)</f>
        <v/>
      </c>
      <c r="AU228" s="92" t="n"/>
      <c r="AV228" s="38" t="n"/>
      <c r="AW228" s="38" t="n"/>
      <c r="AX228" s="38" t="n"/>
      <c r="AY228" s="38" t="n"/>
      <c r="AZ228" s="38" t="n"/>
      <c r="BA228" s="94" t="n"/>
      <c r="BB228" s="106" t="n"/>
      <c r="BC228" s="42" t="n"/>
      <c r="BD228" s="46" t="n"/>
    </row>
    <row r="229" ht="15" customHeight="1" s="148">
      <c r="A229" t="inlineStr">
        <is>
          <t>c0225</t>
        </is>
      </c>
      <c r="B229" s="44" t="inlineStr">
        <is>
          <t>Heroic Intervention</t>
        </is>
      </c>
      <c r="C229" s="34" t="inlineStr">
        <is>
          <t>G</t>
        </is>
      </c>
      <c r="D229" s="44" t="inlineStr">
        <is>
          <t>Instant</t>
        </is>
      </c>
      <c r="E229" s="41" t="inlineStr">
        <is>
          <t>B3</t>
        </is>
      </c>
      <c r="F229" s="34" t="n">
        <v>2</v>
      </c>
      <c r="G229" s="67" t="inlineStr">
        <is>
          <t>Permanents you control gain hexproof and indestructible until end of turn.</t>
        </is>
      </c>
      <c r="H229" s="45" t="inlineStr">
        <is>
          <t>Protection</t>
        </is>
      </c>
      <c r="I229" s="45" t="inlineStr">
        <is>
          <t>Permanents you control gain hexproof and indestructible until end of turn.</t>
        </is>
      </c>
      <c r="J229" s="45" t="n"/>
      <c r="K229" s="45" t="n"/>
      <c r="L229" s="41" t="n"/>
      <c r="M229" s="41" t="n"/>
      <c r="N229" s="41" t="n"/>
      <c r="O229" s="41" t="n"/>
      <c r="P229" s="41" t="n">
        <v>16.88</v>
      </c>
      <c r="Q229" s="41" t="n"/>
      <c r="R229" s="41" t="n"/>
      <c r="S229" s="41" t="n"/>
      <c r="T229" s="41" t="n"/>
      <c r="U229" s="41" t="n"/>
      <c r="V229" s="45" t="inlineStr">
        <is>
          <t>Aether Revolt</t>
        </is>
      </c>
      <c r="W229" s="41" t="n">
        <v>0</v>
      </c>
      <c r="X229" s="37">
        <f>SUM(Y229:AE229)</f>
        <v/>
      </c>
      <c r="Y229" s="43" t="n"/>
      <c r="Z229" s="43" t="n"/>
      <c r="AA229" s="43" t="n"/>
      <c r="AB229" s="43" t="n"/>
      <c r="AC229" s="43" t="n"/>
      <c r="AD229" s="43" t="n"/>
      <c r="AE229" s="43" t="n"/>
      <c r="AF229" s="38">
        <f>IF((W229-SUM(Y229:AE229))&lt;0,0,W229-SUM(Y229:AE229))</f>
        <v/>
      </c>
      <c r="AG229" s="34">
        <f>MAX(0,$AT229-$W229-$AI229)</f>
        <v/>
      </c>
      <c r="AH229" s="34" t="n"/>
      <c r="AI229" s="34" t="n"/>
      <c r="AJ229" s="36" t="n">
        <v>8.93</v>
      </c>
      <c r="AK229" s="36">
        <f>IF(AND($AG229&gt;0,ISNUMBER($AJ229)),$AG229*$AJ229,0)</f>
        <v/>
      </c>
      <c r="AL229" s="54" t="n"/>
      <c r="AM229" s="54" t="n"/>
      <c r="AN229" s="54" t="n"/>
      <c r="AO229" s="54" t="n"/>
      <c r="AP229" s="54" t="n"/>
      <c r="AQ229" s="54" t="n"/>
      <c r="AR229" s="54" t="n"/>
      <c r="AS229" s="54" t="n"/>
      <c r="AT229" s="37">
        <f>SUM(AU229:BA229)</f>
        <v/>
      </c>
      <c r="AU229" s="92" t="n"/>
      <c r="AV229" s="38" t="n"/>
      <c r="AW229" s="38" t="n"/>
      <c r="AX229" s="38" t="n"/>
      <c r="AY229" s="38" t="n"/>
      <c r="AZ229" s="38" t="n"/>
      <c r="BA229" s="94" t="n"/>
      <c r="BB229" s="106" t="n"/>
      <c r="BC229" s="42" t="n"/>
      <c r="BD229" s="42" t="n"/>
    </row>
    <row r="230" ht="15" customHeight="1" s="148">
      <c r="A230" t="inlineStr">
        <is>
          <t>c0226</t>
        </is>
      </c>
      <c r="B230" s="44" t="inlineStr">
        <is>
          <t>Hornet Nest</t>
        </is>
      </c>
      <c r="C230" s="34" t="inlineStr">
        <is>
          <t>G</t>
        </is>
      </c>
      <c r="D230" s="44" t="inlineStr">
        <is>
          <t>Creature</t>
        </is>
      </c>
      <c r="E230" s="41" t="inlineStr">
        <is>
          <t>B2</t>
        </is>
      </c>
      <c r="F230" s="34" t="n">
        <v>3</v>
      </c>
      <c r="G230" s="67" t="inlineStr">
        <is>
          <t>Defender (This creature can't attack.)
Whenever this creature is dealt damage, create that many 1/1 green Insect creature tokens with flying and deathtouch. (Any amount of damage a creature with deathtouch deals to a creature is enough to destroy it.)
(0/2)</t>
        </is>
      </c>
      <c r="H230" s="45" t="inlineStr">
        <is>
          <t>Token Producer</t>
        </is>
      </c>
      <c r="I230" s="45" t="inlineStr">
        <is>
          <t>Defender</t>
        </is>
      </c>
      <c r="J230" s="45" t="inlineStr">
        <is>
          <t>Whenever this creature is dealt damage, create that many 1/1 green Insect creature tokens with flying and deathtouch</t>
        </is>
      </c>
      <c r="K230" s="45" t="n"/>
      <c r="L230" s="42" t="n"/>
      <c r="M230" s="42" t="n"/>
      <c r="N230" s="42" t="n"/>
      <c r="O230" s="42" t="n"/>
      <c r="P230" s="42" t="n">
        <v>0.34</v>
      </c>
      <c r="Q230" s="42" t="n"/>
      <c r="R230" s="42" t="n"/>
      <c r="S230" s="42" t="n"/>
      <c r="T230" s="42" t="n"/>
      <c r="U230" s="42" t="n"/>
      <c r="V230" s="45" t="inlineStr">
        <is>
          <t>Magic 2015</t>
        </is>
      </c>
      <c r="W230" s="41" t="n">
        <v>0</v>
      </c>
      <c r="X230" s="37">
        <f>SUM(Y230:AE230)</f>
        <v/>
      </c>
      <c r="Y230" s="43" t="n"/>
      <c r="Z230" s="43" t="n"/>
      <c r="AA230" s="43" t="n"/>
      <c r="AB230" s="43" t="n"/>
      <c r="AC230" s="43" t="n"/>
      <c r="AD230" s="43" t="n"/>
      <c r="AE230" s="43" t="n"/>
      <c r="AF230" s="38">
        <f>IF((W230-SUM(Y230:AE230))&lt;0,0,W230-SUM(Y230:AE230))</f>
        <v/>
      </c>
      <c r="AG230" s="34">
        <f>MAX(0,$AT230-$W230-$AI230)</f>
        <v/>
      </c>
      <c r="AH230" s="34" t="n"/>
      <c r="AI230" s="34" t="n"/>
      <c r="AJ230" s="36" t="n">
        <v>0.35</v>
      </c>
      <c r="AK230" s="36">
        <f>IF(AND($AG230&gt;0,ISNUMBER($AJ230)),$AG230*$AJ230,0)</f>
        <v/>
      </c>
      <c r="AL230" s="54" t="n"/>
      <c r="AM230" s="54" t="n"/>
      <c r="AN230" s="54" t="n"/>
      <c r="AO230" s="54" t="n"/>
      <c r="AP230" s="54" t="n"/>
      <c r="AQ230" s="54" t="n"/>
      <c r="AR230" s="54" t="n"/>
      <c r="AS230" s="54" t="n"/>
      <c r="AT230" s="37">
        <f>SUM(AU230:BA230)</f>
        <v/>
      </c>
      <c r="AU230" s="92" t="n"/>
      <c r="AV230" s="38" t="n"/>
      <c r="AW230" s="38" t="n"/>
      <c r="AX230" s="38" t="n"/>
      <c r="AY230" s="38" t="n"/>
      <c r="AZ230" s="38" t="n"/>
      <c r="BA230" s="94" t="n"/>
      <c r="BB230" s="106" t="n"/>
      <c r="BC230" s="42" t="n"/>
      <c r="BD230" s="42" t="n"/>
    </row>
    <row r="231" ht="15" customHeight="1" s="148">
      <c r="A231" t="inlineStr">
        <is>
          <t>c0227</t>
        </is>
      </c>
      <c r="B231" s="44" t="inlineStr">
        <is>
          <t>Innkeeper's Talent</t>
        </is>
      </c>
      <c r="C231" s="34" t="inlineStr">
        <is>
          <t>G</t>
        </is>
      </c>
      <c r="D231" s="44" t="inlineStr">
        <is>
          <t>Enchantment</t>
        </is>
      </c>
      <c r="E231" s="41" t="inlineStr">
        <is>
          <t>B3</t>
        </is>
      </c>
      <c r="F231" s="34" t="n">
        <v>2</v>
      </c>
      <c r="G231" s="67" t="inlineStr">
        <is>
          <t>(Gain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is>
      </c>
      <c r="H231" s="45" t="inlineStr">
        <is>
          <t>Counters Payoff</t>
        </is>
      </c>
      <c r="I231" s="45" t="inlineStr">
        <is>
          <t>At the beginning of combat on your turn, put a +1/+1 counter on target creature you control</t>
        </is>
      </c>
      <c r="J231" s="45" t="inlineStr">
        <is>
          <t>{G}: Level 2</t>
        </is>
      </c>
      <c r="K231" s="45" t="inlineStr">
        <is>
          <t>Permanents you control with counters on them have ward {1}</t>
        </is>
      </c>
      <c r="L231" s="42" t="n"/>
      <c r="M231" s="42" t="n"/>
      <c r="N231" s="42" t="n"/>
      <c r="O231" s="42" t="n"/>
      <c r="P231" s="42" t="n">
        <v>10.91</v>
      </c>
      <c r="Q231" s="42" t="n"/>
      <c r="R231" s="42" t="n"/>
      <c r="S231" s="42" t="n"/>
      <c r="T231" s="42" t="n"/>
      <c r="U231" s="42" t="n"/>
      <c r="V231" s="45" t="inlineStr">
        <is>
          <t>Bloomburrow</t>
        </is>
      </c>
      <c r="W231" s="41" t="n">
        <v>1</v>
      </c>
      <c r="X231" s="37">
        <f>SUM(Y231:AE231)</f>
        <v/>
      </c>
      <c r="Y231" s="43" t="n"/>
      <c r="Z231" s="43" t="n"/>
      <c r="AA231" s="43" t="n">
        <v>1</v>
      </c>
      <c r="AB231" s="43" t="n"/>
      <c r="AC231" s="43" t="n"/>
      <c r="AD231" s="43" t="n"/>
      <c r="AE231" s="43" t="n"/>
      <c r="AF231" s="38">
        <f>IF((W231-SUM(Y231:AE231))&lt;0,0,W231-SUM(Y231:AE231))</f>
        <v/>
      </c>
      <c r="AG231" s="34">
        <f>MAX(0,$AT231-$W231-$AI231)</f>
        <v/>
      </c>
      <c r="AH231" s="34" t="n"/>
      <c r="AI231" s="34" t="n"/>
      <c r="AJ231" s="36" t="n">
        <v>9.19</v>
      </c>
      <c r="AK231" s="36">
        <f>IF(AND($AG231&gt;0,ISNUMBER($AJ231)),$AG231*$AJ231,0)</f>
        <v/>
      </c>
      <c r="AT231" s="37">
        <f>SUM(AU231:BA231)</f>
        <v/>
      </c>
      <c r="AU231" s="73" t="n"/>
      <c r="AV231" s="33" t="n"/>
      <c r="AW231" s="98" t="n">
        <v>1</v>
      </c>
      <c r="AX231" s="33" t="n"/>
      <c r="AY231" s="33" t="n"/>
      <c r="AZ231" s="33" t="n"/>
      <c r="BA231" s="74" t="n"/>
      <c r="BB231" s="106" t="n"/>
      <c r="BC231" s="42" t="n"/>
      <c r="BD231" s="42" t="n"/>
    </row>
    <row r="232" ht="15" customHeight="1" s="148">
      <c r="A232" t="inlineStr">
        <is>
          <t>c0228</t>
        </is>
      </c>
      <c r="B232" s="44" t="inlineStr">
        <is>
          <t>Inspiring Call</t>
        </is>
      </c>
      <c r="C232" s="34" t="inlineStr">
        <is>
          <t>G</t>
        </is>
      </c>
      <c r="D232" s="44" t="inlineStr">
        <is>
          <t>Instant</t>
        </is>
      </c>
      <c r="E232" s="41" t="inlineStr">
        <is>
          <t>B2</t>
        </is>
      </c>
      <c r="F232" s="34" t="n">
        <v>3</v>
      </c>
      <c r="G232" s="67" t="inlineStr">
        <is>
          <t>Draw a card for each creature you control with a +1/+1 counter on it. Those creatures gain indestructible until end of turn. (Damage and effects that say "destroy" don't destroy them.)</t>
        </is>
      </c>
      <c r="H232" s="45" t="inlineStr">
        <is>
          <t>Protection</t>
        </is>
      </c>
      <c r="I232" s="45" t="inlineStr">
        <is>
          <t>Draws a card for each creature you control with a +1/+1 counter</t>
        </is>
      </c>
      <c r="J232" s="45" t="inlineStr">
        <is>
          <t>Those creatures gain indestructible until end of turn</t>
        </is>
      </c>
      <c r="K232" s="45" t="n"/>
      <c r="L232" s="42" t="n"/>
      <c r="M232" s="42" t="n"/>
      <c r="N232" s="42" t="n"/>
      <c r="O232" s="63" t="n"/>
      <c r="P232" s="63" t="n">
        <v>0.35</v>
      </c>
      <c r="Q232" s="42" t="n"/>
      <c r="R232" s="42" t="n"/>
      <c r="S232" s="42" t="n"/>
      <c r="T232" s="63" t="n"/>
      <c r="U232" s="63" t="n"/>
      <c r="V232" s="45" t="inlineStr">
        <is>
          <t>Dragons of Tarkir</t>
        </is>
      </c>
      <c r="W232" s="41" t="n">
        <v>1</v>
      </c>
      <c r="X232" s="37">
        <f>SUM(Y232:AE232)</f>
        <v/>
      </c>
      <c r="Y232" s="43" t="n"/>
      <c r="Z232" s="43" t="n"/>
      <c r="AA232" s="43" t="n">
        <v>1</v>
      </c>
      <c r="AB232" s="43" t="n"/>
      <c r="AC232" s="43" t="n"/>
      <c r="AD232" s="43" t="n"/>
      <c r="AE232" s="43" t="n"/>
      <c r="AF232" s="38">
        <f>IF((W232-SUM(Y232:AE232))&lt;0,0,W232-SUM(Y232:AE232))</f>
        <v/>
      </c>
      <c r="AG232" s="34">
        <f>MAX(0,$AT232-$W232-$AI232)</f>
        <v/>
      </c>
      <c r="AH232" s="34" t="n"/>
      <c r="AI232" s="34" t="n"/>
      <c r="AJ232" s="36" t="n">
        <v>0.42</v>
      </c>
      <c r="AK232" s="36">
        <f>IF(AND($AG232&gt;0,ISNUMBER($AJ232)),$AG232*$AJ232,0)</f>
        <v/>
      </c>
      <c r="AT232" s="37">
        <f>SUM(AU232:BA232)</f>
        <v/>
      </c>
      <c r="AU232" s="73" t="n"/>
      <c r="AV232" s="33" t="n"/>
      <c r="AW232" s="98" t="n">
        <v>1</v>
      </c>
      <c r="AX232" s="33" t="n"/>
      <c r="AY232" s="33" t="n"/>
      <c r="AZ232" s="33" t="n"/>
      <c r="BA232" s="74" t="n"/>
      <c r="BB232" s="106" t="n"/>
      <c r="BC232" s="42" t="n"/>
      <c r="BD232" s="42" t="n"/>
    </row>
    <row r="233" ht="15" customHeight="1" s="148">
      <c r="A233" t="inlineStr">
        <is>
          <t>c0229</t>
        </is>
      </c>
      <c r="B233" s="44" t="inlineStr">
        <is>
          <t>Jaddi Offshoot</t>
        </is>
      </c>
      <c r="C233" s="34" t="inlineStr">
        <is>
          <t>G</t>
        </is>
      </c>
      <c r="D233" s="44" t="inlineStr">
        <is>
          <t>Creature</t>
        </is>
      </c>
      <c r="E233" s="41" t="inlineStr">
        <is>
          <t>B2</t>
        </is>
      </c>
      <c r="F233" s="34" t="n">
        <v>1</v>
      </c>
      <c r="G233" s="67" t="inlineStr">
        <is>
          <t>Defender
Landfall — Whenever a land you control enters, you gain 1 life.
(0/3)</t>
        </is>
      </c>
      <c r="H233" s="45" t="inlineStr">
        <is>
          <t>Lifegain</t>
        </is>
      </c>
      <c r="I233" s="45" t="inlineStr">
        <is>
          <t>Gain 1 life whenever a land you control enters</t>
        </is>
      </c>
      <c r="J233" s="45" t="inlineStr">
        <is>
          <t>Defender body</t>
        </is>
      </c>
      <c r="K233" s="45" t="n"/>
      <c r="L233" s="42" t="n"/>
      <c r="M233" s="42" t="n"/>
      <c r="N233" s="42" t="n"/>
      <c r="O233" s="42" t="n"/>
      <c r="P233" s="42" t="n">
        <v>0.29</v>
      </c>
      <c r="Q233" s="42" t="n"/>
      <c r="R233" s="42" t="n"/>
      <c r="S233" s="42" t="n"/>
      <c r="T233" s="42" t="n"/>
      <c r="U233" s="42" t="n"/>
      <c r="V233" s="45" t="inlineStr">
        <is>
          <t>Battle for Zendikar</t>
        </is>
      </c>
      <c r="W233" s="41" t="n">
        <v>1</v>
      </c>
      <c r="X233" s="37">
        <f>SUM(Y233:AE233)</f>
        <v/>
      </c>
      <c r="Y233" s="43" t="n"/>
      <c r="Z233" s="43" t="n"/>
      <c r="AA233" s="43" t="n"/>
      <c r="AB233" s="43" t="n">
        <v>1</v>
      </c>
      <c r="AC233" s="43" t="n"/>
      <c r="AD233" s="43" t="n"/>
      <c r="AE233" s="43" t="n"/>
      <c r="AF233" s="38">
        <f>IF((W233-SUM(Y233:AE233))&lt;0,0,W233-SUM(Y233:AE233))</f>
        <v/>
      </c>
      <c r="AG233" s="34">
        <f>MAX(0,$AT233-$W233-$AI233)</f>
        <v/>
      </c>
      <c r="AH233" s="34" t="n"/>
      <c r="AI233" s="34" t="n"/>
      <c r="AJ233" s="36" t="n">
        <v>0.24</v>
      </c>
      <c r="AK233" s="36">
        <f>IF(AND($AG233&gt;0,ISNUMBER($AJ233)),$AG233*$AJ233,0)</f>
        <v/>
      </c>
      <c r="AT233" s="37">
        <f>SUM(AU233:BA233)</f>
        <v/>
      </c>
      <c r="AU233" s="73" t="n"/>
      <c r="AV233" s="33" t="n"/>
      <c r="AW233" s="33" t="n"/>
      <c r="AX233" s="98" t="n">
        <v>1</v>
      </c>
      <c r="AY233" s="33" t="n"/>
      <c r="AZ233" s="33" t="n"/>
      <c r="BA233" s="74" t="n"/>
      <c r="BB233" s="106" t="n"/>
      <c r="BC233" s="42" t="n"/>
      <c r="BD233" s="42" t="n"/>
    </row>
    <row r="234" ht="15" customHeight="1" s="148">
      <c r="A234" t="inlineStr">
        <is>
          <t>c0230</t>
        </is>
      </c>
      <c r="B234" s="44" t="inlineStr">
        <is>
          <t>Kodama's Reach</t>
        </is>
      </c>
      <c r="C234" s="34" t="inlineStr">
        <is>
          <t>G</t>
        </is>
      </c>
      <c r="D234" s="44" t="inlineStr">
        <is>
          <t>Sorcery</t>
        </is>
      </c>
      <c r="E234" s="41" t="inlineStr">
        <is>
          <t>B3</t>
        </is>
      </c>
      <c r="F234" s="34" t="n">
        <v>3</v>
      </c>
      <c r="G234" s="67" t="inlineStr">
        <is>
          <t>Search your library for up to two basic land cards, reveal those cards, put one onto the battlefield tapped and the other into your hand, then shuffle.</t>
        </is>
      </c>
      <c r="H234" s="45" t="inlineStr">
        <is>
          <t>Ramp</t>
        </is>
      </c>
      <c r="I234" s="45" t="inlineStr">
        <is>
          <t>Search your library for up to two basic land cards, reveal those cards, put one onto the battlefield tapped and the othe</t>
        </is>
      </c>
      <c r="J234" s="45" t="n"/>
      <c r="K234" s="45" t="n"/>
      <c r="L234" s="42" t="n"/>
      <c r="M234" s="42" t="n"/>
      <c r="N234" s="42" t="n"/>
      <c r="O234" s="42" t="n"/>
      <c r="P234" s="42" t="n">
        <v>2.27</v>
      </c>
      <c r="Q234" s="42" t="n"/>
      <c r="R234" s="42" t="n"/>
      <c r="S234" s="42" t="n"/>
      <c r="T234" s="42" t="n"/>
      <c r="U234" s="42" t="n"/>
      <c r="V234" s="45" t="inlineStr">
        <is>
          <t>Champions of Kamigawa</t>
        </is>
      </c>
      <c r="W234" s="41" t="n">
        <v>0</v>
      </c>
      <c r="X234" s="37">
        <f>SUM(Y234:AE234)</f>
        <v/>
      </c>
      <c r="Y234" s="43" t="n"/>
      <c r="Z234" s="43" t="n"/>
      <c r="AA234" s="43" t="n"/>
      <c r="AB234" s="43" t="n"/>
      <c r="AC234" s="43" t="n"/>
      <c r="AD234" s="43" t="n"/>
      <c r="AE234" s="43" t="n"/>
      <c r="AF234" s="38">
        <f>IF((W234-SUM(Y234:AE234))&lt;0,0,W234-SUM(Y234:AE234))</f>
        <v/>
      </c>
      <c r="AG234" s="34">
        <f>MAX(0,$AT234-$W234-$AI234)</f>
        <v/>
      </c>
      <c r="AH234" s="34" t="n"/>
      <c r="AI234" s="34" t="n"/>
      <c r="AJ234" s="36" t="n">
        <v>1.58</v>
      </c>
      <c r="AK234" s="36">
        <f>IF(AND($AG234&gt;0,ISNUMBER($AJ234)),$AG234*$AJ234,0)</f>
        <v/>
      </c>
      <c r="AL234" s="54" t="n"/>
      <c r="AM234" s="54" t="n"/>
      <c r="AN234" s="54" t="n"/>
      <c r="AO234" s="54" t="n"/>
      <c r="AP234" s="54" t="n"/>
      <c r="AQ234" s="54" t="n"/>
      <c r="AR234" s="54" t="n"/>
      <c r="AS234" s="54" t="n"/>
      <c r="AT234" s="37">
        <f>SUM(AU234:BA234)</f>
        <v/>
      </c>
      <c r="AU234" s="92" t="n"/>
      <c r="AV234" s="38" t="n"/>
      <c r="AW234" s="38" t="n"/>
      <c r="AX234" s="38" t="n"/>
      <c r="AY234" s="38" t="n"/>
      <c r="AZ234" s="38" t="n"/>
      <c r="BA234" s="94" t="n"/>
      <c r="BB234" s="106" t="n"/>
      <c r="BC234" s="42" t="n"/>
      <c r="BD234" s="42" t="n"/>
    </row>
    <row r="235" ht="15" customHeight="1" s="148">
      <c r="A235" t="inlineStr">
        <is>
          <t>c0231</t>
        </is>
      </c>
      <c r="B235" s="44" t="inlineStr">
        <is>
          <t>Kyoshi Island Plaza</t>
        </is>
      </c>
      <c r="C235" s="34" t="inlineStr">
        <is>
          <t>G</t>
        </is>
      </c>
      <c r="D235" s="44" t="inlineStr">
        <is>
          <t>Legendary Enchantment</t>
        </is>
      </c>
      <c r="E235" s="41" t="inlineStr">
        <is>
          <t>B2</t>
        </is>
      </c>
      <c r="F235" s="34" t="n">
        <v>4</v>
      </c>
      <c r="G235" s="67" t="inlineStr">
        <is>
          <t>When Kyoshi Island Plaza enters, search your library for up to X basic land cards, where X is the number of Shrines you control. Put those cards onto the battlefield tapped, then shuffle.
Whenever another Shrine you control enters, search your library for a basic land card, put it onto the battlefield tapped, then shuffle.</t>
        </is>
      </c>
      <c r="H235" s="45" t="inlineStr">
        <is>
          <t>Ramp</t>
        </is>
      </c>
      <c r="I235" s="45" t="inlineStr">
        <is>
          <t>Searches for basic lands equal to Shrines you control, puts them onto the battlefield tapped, when it enters</t>
        </is>
      </c>
      <c r="J235" s="45" t="inlineStr">
        <is>
          <t>Searches for one basic land tapped whenever another Shrine you control enters</t>
        </is>
      </c>
      <c r="K235" s="45" t="n"/>
      <c r="L235" s="42" t="n"/>
      <c r="M235" s="42" t="n"/>
      <c r="N235" s="42" t="n"/>
      <c r="O235" s="63" t="n"/>
      <c r="P235" s="63" t="n">
        <v>0.32</v>
      </c>
      <c r="Q235" s="42" t="n"/>
      <c r="R235" s="42" t="n"/>
      <c r="S235" s="42" t="n"/>
      <c r="T235" s="63" t="n"/>
      <c r="U235" s="63" t="n"/>
      <c r="V235" s="45" t="inlineStr">
        <is>
          <t>Avatar: The Last Airbender</t>
        </is>
      </c>
      <c r="W235" s="41" t="n">
        <v>1</v>
      </c>
      <c r="X235" s="37">
        <f>SUM(Y235:AE235)</f>
        <v/>
      </c>
      <c r="Y235" s="43" t="n"/>
      <c r="Z235" s="43" t="n"/>
      <c r="AA235" s="43" t="n"/>
      <c r="AB235" s="43" t="n"/>
      <c r="AC235" s="43" t="n"/>
      <c r="AD235" s="43" t="n"/>
      <c r="AE235" s="43" t="n">
        <v>1</v>
      </c>
      <c r="AF235" s="38">
        <f>IF((W235-SUM(Y235:AE235))&lt;0,0,W235-SUM(Y235:AE235))</f>
        <v/>
      </c>
      <c r="AG235" s="34">
        <f>MAX(0,$AT235-$W235-$AI235)</f>
        <v/>
      </c>
      <c r="AH235" s="34" t="n"/>
      <c r="AI235" s="34" t="n"/>
      <c r="AJ235" s="36" t="n">
        <v>0.34</v>
      </c>
      <c r="AK235" s="36">
        <f>IF(AND($AG235&gt;0,ISNUMBER($AJ235)),$AG235*$AJ235,0)</f>
        <v/>
      </c>
      <c r="AR235" s="58" t="inlineStr">
        <is>
          <t>BL0035</t>
        </is>
      </c>
      <c r="AT235" s="37">
        <f>SUM(AU235:BA235)</f>
        <v/>
      </c>
      <c r="AU235" s="73" t="n"/>
      <c r="AV235" s="33" t="n"/>
      <c r="AW235" s="33" t="n"/>
      <c r="AX235" s="33" t="n"/>
      <c r="AY235" s="33" t="n"/>
      <c r="AZ235" s="33" t="n"/>
      <c r="BA235" s="79" t="n"/>
      <c r="BB235" s="106" t="n"/>
      <c r="BC235" s="42" t="n"/>
      <c r="BD235" s="46" t="n"/>
    </row>
    <row r="236" ht="15" customHeight="1" s="148">
      <c r="A236" t="inlineStr">
        <is>
          <t>c0232</t>
        </is>
      </c>
      <c r="B236" s="39" t="inlineStr">
        <is>
          <t>Little Bear</t>
        </is>
      </c>
      <c r="C236" s="40" t="inlineStr">
        <is>
          <t>G</t>
        </is>
      </c>
      <c r="D236" s="39" t="inlineStr">
        <is>
          <t>Creature</t>
        </is>
      </c>
      <c r="E236" s="41" t="inlineStr">
        <is>
          <t>B2</t>
        </is>
      </c>
      <c r="F236" s="40" t="n">
        <v>3</v>
      </c>
      <c r="G236" s="67" t="inlineStr">
        <is>
          <t>Flash
When this creature enters, untap another target creature you control. If that creature is a Bear, put a +1/+1 counter on it.
(3/2)</t>
        </is>
      </c>
      <c r="H236" s="39" t="inlineStr">
        <is>
          <t>Utility Creature</t>
        </is>
      </c>
      <c r="I236" s="39" t="inlineStr">
        <is>
          <t>Enters: untap another target creature you control; if it is a Bear, put a +1/+1 counter on it</t>
        </is>
      </c>
      <c r="J236" s="39" t="inlineStr">
        <is>
          <t>Flash</t>
        </is>
      </c>
      <c r="K236" s="39" t="n"/>
      <c r="L236" s="42" t="n"/>
      <c r="M236" s="42" t="n"/>
      <c r="N236" s="42" t="n"/>
      <c r="O236" s="63" t="n"/>
      <c r="P236" s="63" t="n"/>
      <c r="Q236" s="42" t="n"/>
      <c r="R236" s="42" t="n"/>
      <c r="S236" s="42" t="n"/>
      <c r="T236" s="63" t="n"/>
      <c r="U236" s="63" t="n"/>
      <c r="V236" s="39" t="inlineStr">
        <is>
          <t>The Hobbit</t>
        </is>
      </c>
      <c r="W236" s="41" t="n">
        <v>1</v>
      </c>
      <c r="X236" s="37">
        <f>SUM(Y236:AE236)</f>
        <v/>
      </c>
      <c r="Y236" s="43" t="n"/>
      <c r="Z236" s="43" t="n"/>
      <c r="AA236" s="43" t="n"/>
      <c r="AB236" s="43" t="n"/>
      <c r="AC236" s="43" t="n"/>
      <c r="AD236" s="43" t="n"/>
      <c r="AE236" s="43" t="n"/>
      <c r="AF236" s="38">
        <f>IF((W236-SUM(Y236:AE236))&lt;0,0,W236-SUM(Y236:AE236))</f>
        <v/>
      </c>
      <c r="AG236" s="34">
        <f>MAX(0,$AT236-$W236-$AI236)</f>
        <v/>
      </c>
      <c r="AH236" s="39" t="n"/>
      <c r="AI236" s="39" t="n"/>
      <c r="AJ236" s="39" t="n">
        <v>0.18</v>
      </c>
      <c r="AK236" s="39">
        <f>IF(AND($AG236&gt;0,ISNUMBER($AJ236)),$AG236*$AJ236,0)</f>
        <v/>
      </c>
      <c r="AT236" s="37">
        <f>SUM(AU236:BA236)</f>
        <v/>
      </c>
      <c r="AU236" s="73" t="n"/>
      <c r="AV236" s="33" t="n"/>
      <c r="AW236" s="33" t="n"/>
      <c r="AX236" s="33" t="n"/>
      <c r="AY236" s="33" t="n"/>
      <c r="AZ236" s="33" t="n"/>
      <c r="BA236" s="74" t="n"/>
      <c r="BB236" s="107" t="n"/>
      <c r="BC236" s="42" t="n"/>
      <c r="BD236" s="42" t="n"/>
    </row>
    <row r="237" ht="15" customHeight="1" s="148">
      <c r="A237" t="inlineStr">
        <is>
          <t>c0233</t>
        </is>
      </c>
      <c r="B237" s="44" t="inlineStr">
        <is>
          <t>Llanowar Elves</t>
        </is>
      </c>
      <c r="C237" s="34" t="inlineStr">
        <is>
          <t>G</t>
        </is>
      </c>
      <c r="D237" s="44" t="inlineStr">
        <is>
          <t>Creature</t>
        </is>
      </c>
      <c r="E237" s="41" t="inlineStr">
        <is>
          <t>B2</t>
        </is>
      </c>
      <c r="F237" s="34" t="n">
        <v>1</v>
      </c>
      <c r="G237" s="67" t="inlineStr">
        <is>
          <t>{T}: Add {G}.
(1/1)</t>
        </is>
      </c>
      <c r="H237" s="45" t="inlineStr">
        <is>
          <t>Ramp</t>
        </is>
      </c>
      <c r="I237" s="45" t="inlineStr">
        <is>
          <t>{T}: Add {G}</t>
        </is>
      </c>
      <c r="J237" s="45" t="n"/>
      <c r="K237" s="45" t="n"/>
      <c r="L237" s="42" t="n"/>
      <c r="M237" s="42" t="n"/>
      <c r="N237" s="42" t="n"/>
      <c r="O237" s="42" t="n"/>
      <c r="P237" s="42" t="n">
        <v>0.33</v>
      </c>
      <c r="Q237" s="42" t="n"/>
      <c r="R237" s="42" t="n"/>
      <c r="S237" s="42" t="n"/>
      <c r="T237" s="42" t="n"/>
      <c r="U237" s="42" t="n"/>
      <c r="V237" s="45" t="inlineStr">
        <is>
          <t>Limited Edition Alpha</t>
        </is>
      </c>
      <c r="W237" s="41" t="n">
        <v>1</v>
      </c>
      <c r="X237" s="37">
        <f>SUM(Y237:AE237)</f>
        <v/>
      </c>
      <c r="Y237" s="43" t="n"/>
      <c r="Z237" s="43" t="n">
        <v>1</v>
      </c>
      <c r="AA237" s="43" t="n"/>
      <c r="AB237" s="43" t="n"/>
      <c r="AC237" s="43" t="n"/>
      <c r="AD237" s="43" t="n"/>
      <c r="AE237" s="43" t="n"/>
      <c r="AF237" s="38">
        <f>IF((W237-SUM(Y237:AE237))&lt;0,0,W237-SUM(Y237:AE237))</f>
        <v/>
      </c>
      <c r="AG237" s="34">
        <f>MAX(0,$AT237-$W237-$AI237)</f>
        <v/>
      </c>
      <c r="AH237" s="34" t="n"/>
      <c r="AI237" s="34" t="n"/>
      <c r="AJ237" s="36" t="n">
        <v>0.27</v>
      </c>
      <c r="AK237" s="36">
        <f>IF(AND($AG237&gt;0,ISNUMBER($AJ237)),$AG237*$AJ237,0)</f>
        <v/>
      </c>
      <c r="AM237" s="58" t="n"/>
      <c r="AT237" s="37">
        <f>SUM(AU237:BA237)</f>
        <v/>
      </c>
      <c r="AU237" s="73" t="n"/>
      <c r="AV237" s="99" t="n"/>
      <c r="AW237" s="33" t="n"/>
      <c r="AX237" s="33" t="n"/>
      <c r="AY237" s="33" t="n"/>
      <c r="AZ237" s="33" t="n"/>
      <c r="BA237" s="74" t="n">
        <v>1</v>
      </c>
      <c r="BB237" s="106" t="n"/>
      <c r="BC237" s="42" t="n"/>
      <c r="BD237" s="42" t="n"/>
    </row>
    <row r="238" ht="15" customHeight="1" s="148">
      <c r="A238" t="inlineStr">
        <is>
          <t>c0234</t>
        </is>
      </c>
      <c r="B238" s="39" t="inlineStr">
        <is>
          <t>Luminollusk</t>
        </is>
      </c>
      <c r="C238" s="40" t="inlineStr">
        <is>
          <t>G</t>
        </is>
      </c>
      <c r="D238" s="39" t="inlineStr">
        <is>
          <t>Creature</t>
        </is>
      </c>
      <c r="E238" s="41" t="inlineStr">
        <is>
          <t>B2</t>
        </is>
      </c>
      <c r="F238" s="40" t="n">
        <v>4</v>
      </c>
      <c r="G238" s="67" t="inlineStr">
        <is>
          <t>Deathtouch
Vivid — When this creature enters, you gain life equal to the number of colors among permanents you control.
(2/4)</t>
        </is>
      </c>
      <c r="H238" s="39" t="inlineStr">
        <is>
          <t>Lifegain</t>
        </is>
      </c>
      <c r="I238" s="39" t="inlineStr">
        <is>
          <t>Deathtouch</t>
        </is>
      </c>
      <c r="J238" s="39" t="inlineStr">
        <is>
          <t>Enters: you gain life equal to the number of colors among your permanents</t>
        </is>
      </c>
      <c r="K238" s="39" t="n"/>
      <c r="L238" s="42" t="n"/>
      <c r="M238" s="42" t="n"/>
      <c r="N238" s="42" t="n"/>
      <c r="O238" s="63" t="n"/>
      <c r="P238" s="63" t="n"/>
      <c r="Q238" s="42" t="n"/>
      <c r="R238" s="42" t="n"/>
      <c r="S238" s="42" t="n"/>
      <c r="T238" s="63" t="n"/>
      <c r="U238" s="63" t="n"/>
      <c r="V238" s="39" t="inlineStr">
        <is>
          <t>Lorwyn Eclipsed</t>
        </is>
      </c>
      <c r="W238" s="41" t="n">
        <v>1</v>
      </c>
      <c r="X238" s="37">
        <f>SUM(Y238:AE238)</f>
        <v/>
      </c>
      <c r="Y238" s="43" t="n"/>
      <c r="Z238" s="43" t="n"/>
      <c r="AA238" s="43" t="n"/>
      <c r="AB238" s="43" t="n"/>
      <c r="AC238" s="43" t="n"/>
      <c r="AD238" s="43" t="n"/>
      <c r="AE238" s="43" t="n"/>
      <c r="AF238" s="38">
        <f>IF((W238-SUM(Y238:AE238))&lt;0,0,W238-SUM(Y238:AE238))</f>
        <v/>
      </c>
      <c r="AG238" s="34">
        <f>MAX(0,$AT238-$W238-$AI238)</f>
        <v/>
      </c>
      <c r="AH238" s="39" t="n"/>
      <c r="AI238" s="39" t="n"/>
      <c r="AJ238" s="39" t="n">
        <v>0.13</v>
      </c>
      <c r="AK238" s="39">
        <f>IF(AND($AG238&gt;0,ISNUMBER($AJ238)),$AG238*$AJ238,0)</f>
        <v/>
      </c>
      <c r="AT238" s="37">
        <f>SUM(AU238:BA238)</f>
        <v/>
      </c>
      <c r="AU238" s="73" t="n"/>
      <c r="AV238" s="33" t="n"/>
      <c r="AW238" s="33" t="n"/>
      <c r="AX238" s="33" t="n"/>
      <c r="AY238" s="33" t="n"/>
      <c r="AZ238" s="33" t="n"/>
      <c r="BA238" s="74" t="n"/>
      <c r="BB238" s="107" t="n"/>
      <c r="BC238" s="42" t="n"/>
      <c r="BD238" s="42" t="n"/>
    </row>
    <row r="239" ht="15" customHeight="1" s="148">
      <c r="A239" t="inlineStr">
        <is>
          <t>c0235</t>
        </is>
      </c>
      <c r="B239" s="44" t="inlineStr">
        <is>
          <t>Lys Alana Dignitary</t>
        </is>
      </c>
      <c r="C239" s="34" t="inlineStr">
        <is>
          <t>G</t>
        </is>
      </c>
      <c r="D239" s="44" t="inlineStr">
        <is>
          <t>Creature</t>
        </is>
      </c>
      <c r="E239" s="41" t="inlineStr">
        <is>
          <t>B2</t>
        </is>
      </c>
      <c r="F239" s="34" t="n">
        <v>2</v>
      </c>
      <c r="G239" s="67" t="inlineStr">
        <is>
          <t>As an additional cost to cast this spell, behold an Elf or pay {2}. (To behold an Elf, choose an Elf you control or reveal an Elf card from your hand.)
{T}: Add {G}{G}. Activate only if there is an Elf card in your graveyard.
(2/3)</t>
        </is>
      </c>
      <c r="H239" s="45" t="inlineStr">
        <is>
          <t>Ramp</t>
        </is>
      </c>
      <c r="I239" s="45" t="inlineStr">
        <is>
          <t>Taps for {G}{G} if an Elf is in your graveyard</t>
        </is>
      </c>
      <c r="J239" s="45" t="inlineStr">
        <is>
          <t>Costs an extra Elf reveal or {2} to cast</t>
        </is>
      </c>
      <c r="K239" s="45" t="n"/>
      <c r="L239" s="42" t="n"/>
      <c r="M239" s="42" t="n"/>
      <c r="N239" s="42" t="n"/>
      <c r="O239" s="42" t="n"/>
      <c r="P239" s="42" t="n">
        <v>0.23</v>
      </c>
      <c r="Q239" s="42" t="n"/>
      <c r="R239" s="42" t="n"/>
      <c r="S239" s="42" t="n"/>
      <c r="T239" s="42" t="n"/>
      <c r="U239" s="42" t="n"/>
      <c r="V239" s="45" t="inlineStr">
        <is>
          <t>Lorwyn Eclipsed</t>
        </is>
      </c>
      <c r="W239" s="41" t="n">
        <v>1</v>
      </c>
      <c r="X239" s="37">
        <f>SUM(Y239:AE239)</f>
        <v/>
      </c>
      <c r="Y239" s="43" t="n"/>
      <c r="Z239" s="43" t="n"/>
      <c r="AA239" s="43" t="n"/>
      <c r="AB239" s="43" t="n">
        <v>1</v>
      </c>
      <c r="AC239" s="43" t="n"/>
      <c r="AD239" s="43" t="n"/>
      <c r="AE239" s="43" t="n"/>
      <c r="AF239" s="38">
        <f>IF((W239-SUM(Y239:AE239))&lt;0,0,W239-SUM(Y239:AE239))</f>
        <v/>
      </c>
      <c r="AG239" s="34">
        <f>MAX(0,$AT239-$W239-$AI239)</f>
        <v/>
      </c>
      <c r="AH239" s="34" t="n"/>
      <c r="AI239" s="34" t="n"/>
      <c r="AJ239" s="36" t="n">
        <v>0.25</v>
      </c>
      <c r="AK239" s="36">
        <f>IF(AND($AG239&gt;0,ISNUMBER($AJ239)),$AG239*$AJ239,0)</f>
        <v/>
      </c>
      <c r="AO239" s="58" t="inlineStr">
        <is>
          <t>BL0035</t>
        </is>
      </c>
      <c r="AT239" s="37">
        <f>SUM(AU239:BA239)</f>
        <v/>
      </c>
      <c r="AU239" s="73" t="n"/>
      <c r="AV239" s="33" t="n"/>
      <c r="AW239" s="33" t="n"/>
      <c r="AX239" s="99" t="n"/>
      <c r="AY239" s="33" t="n"/>
      <c r="AZ239" s="33" t="n"/>
      <c r="BA239" s="74" t="n"/>
      <c r="BB239" s="106" t="n"/>
      <c r="BC239" s="42" t="n"/>
      <c r="BD239" s="42" t="n"/>
    </row>
    <row r="240" ht="15" customHeight="1" s="148">
      <c r="A240" t="inlineStr">
        <is>
          <t>c0236</t>
        </is>
      </c>
      <c r="B240" s="44" t="inlineStr">
        <is>
          <t>Lys Alana Informant</t>
        </is>
      </c>
      <c r="C240" s="34" t="inlineStr">
        <is>
          <t>G</t>
        </is>
      </c>
      <c r="D240" s="44" t="inlineStr">
        <is>
          <t>Creature</t>
        </is>
      </c>
      <c r="E240" s="41" t="inlineStr">
        <is>
          <t>B2</t>
        </is>
      </c>
      <c r="F240" s="34" t="n">
        <v>2</v>
      </c>
      <c r="G240" s="67" t="inlineStr">
        <is>
          <t>When this creature enters or dies, surveil 1. (Look at the top card of your library. You may put it into your graveyard.)
(3/1)</t>
        </is>
      </c>
      <c r="H240" s="45" t="inlineStr">
        <is>
          <t>Card Selection</t>
        </is>
      </c>
      <c r="I240" s="45" t="inlineStr">
        <is>
          <t>Surveils 1 when it enters or dies</t>
        </is>
      </c>
      <c r="J240" s="45" t="n"/>
      <c r="K240" s="45" t="n"/>
      <c r="L240" s="88" t="inlineStr">
        <is>
          <t>181</t>
        </is>
      </c>
      <c r="M240" s="41" t="n">
        <v>1</v>
      </c>
      <c r="N240" s="41" t="n">
        <v>0</v>
      </c>
      <c r="O240" s="63" t="n"/>
      <c r="P240" s="90" t="n">
        <v>0.16</v>
      </c>
      <c r="Q240" s="42" t="inlineStr">
        <is>
          <t>Common</t>
        </is>
      </c>
      <c r="R240" s="42" t="n"/>
      <c r="S240" s="42" t="n"/>
      <c r="T240" s="63" t="n"/>
      <c r="U240" s="63" t="n"/>
      <c r="V240" s="45" t="inlineStr">
        <is>
          <t>Lorwyn Eclipsed</t>
        </is>
      </c>
      <c r="W240" s="41" t="n">
        <v>2</v>
      </c>
      <c r="X240" s="37">
        <f>SUM(Y240:AE240)</f>
        <v/>
      </c>
      <c r="Y240" s="43" t="n"/>
      <c r="Z240" s="43" t="n">
        <v>1</v>
      </c>
      <c r="AA240" s="43" t="n"/>
      <c r="AB240" s="43" t="n"/>
      <c r="AC240" s="43" t="n"/>
      <c r="AD240" s="43" t="n"/>
      <c r="AE240" s="43" t="n">
        <v>1</v>
      </c>
      <c r="AF240" s="38">
        <f>IF((W240-SUM(Y240:AE240))&lt;0,0,W240-SUM(Y240:AE240))</f>
        <v/>
      </c>
      <c r="AG240" s="34">
        <f>MAX(0,$AT240-$W240-$AI240)</f>
        <v/>
      </c>
      <c r="AH240" s="34" t="n"/>
      <c r="AI240" s="34" t="n"/>
      <c r="AJ240" s="36" t="n">
        <v>0.16</v>
      </c>
      <c r="AK240" s="36">
        <f>IF(AND($AG240&gt;0,ISNUMBER($AJ240)),$AG240*$AJ240,0)</f>
        <v/>
      </c>
      <c r="AM240" s="58" t="n"/>
      <c r="AR240" s="58" t="n"/>
      <c r="AT240" s="37">
        <f>SUM(AU240:BA240)</f>
        <v/>
      </c>
      <c r="AU240" s="73" t="n"/>
      <c r="AV240" s="99" t="n"/>
      <c r="AW240" s="33" t="n"/>
      <c r="AX240" s="33" t="n"/>
      <c r="AY240" s="33" t="n"/>
      <c r="AZ240" s="33" t="n"/>
      <c r="BA240" s="80" t="n">
        <v>1</v>
      </c>
      <c r="BB240" s="106" t="n"/>
      <c r="BC240" s="42" t="n"/>
      <c r="BD240" s="42" t="n"/>
    </row>
    <row r="241" ht="15" customHeight="1" s="148">
      <c r="A241" t="inlineStr">
        <is>
          <t>c0237</t>
        </is>
      </c>
      <c r="B241" s="44" t="inlineStr">
        <is>
          <t>Meandering Towershell</t>
        </is>
      </c>
      <c r="C241" s="34" t="inlineStr">
        <is>
          <t>G</t>
        </is>
      </c>
      <c r="D241" s="44" t="inlineStr">
        <is>
          <t>Creature</t>
        </is>
      </c>
      <c r="E241" s="41" t="inlineStr">
        <is>
          <t>B2</t>
        </is>
      </c>
      <c r="F241" s="34" t="n">
        <v>5</v>
      </c>
      <c r="G241" s="67" t="inlineStr">
        <is>
          <t>Islandwalk (This creature can't be blocked as long as defending player controls an Island.)
Whenever this creature attacks, exile it. Return it to the battlefield under your control tapped and attacking at the beginning of the declare attackers step on your next turn.
(5/9)</t>
        </is>
      </c>
      <c r="H241" s="45" t="inlineStr">
        <is>
          <t>Utility Creature</t>
        </is>
      </c>
      <c r="I241" s="45" t="inlineStr">
        <is>
          <t>Can't be blocked while defender controls an Island</t>
        </is>
      </c>
      <c r="J241" s="45" t="inlineStr">
        <is>
          <t>Exiles itself when attacking, returns tapped and attacking next turn</t>
        </is>
      </c>
      <c r="K241" s="45" t="n"/>
      <c r="L241" s="42" t="n"/>
      <c r="M241" s="42" t="n"/>
      <c r="N241" s="42" t="n"/>
      <c r="O241" s="63" t="n"/>
      <c r="P241" s="63" t="n">
        <v>0.16</v>
      </c>
      <c r="Q241" s="42" t="n"/>
      <c r="R241" s="42" t="n"/>
      <c r="S241" s="42" t="n"/>
      <c r="T241" s="63" t="n"/>
      <c r="U241" s="63" t="n"/>
      <c r="V241" s="45" t="inlineStr">
        <is>
          <t>Khans of Tarkir</t>
        </is>
      </c>
      <c r="W241" s="41" t="n">
        <v>1</v>
      </c>
      <c r="X241" s="37">
        <f>SUM(Y241:AE241)</f>
        <v/>
      </c>
      <c r="Y241" s="43" t="n"/>
      <c r="Z241" s="43" t="n"/>
      <c r="AA241" s="43" t="n"/>
      <c r="AB241" s="43" t="n"/>
      <c r="AC241" s="43" t="n"/>
      <c r="AD241" s="43" t="n"/>
      <c r="AE241" s="43" t="n"/>
      <c r="AF241" s="38">
        <f>IF((W241-SUM(Y241:AE241))&lt;0,0,W241-SUM(Y241:AE241))</f>
        <v/>
      </c>
      <c r="AG241" s="34">
        <f>MAX(0,$AT241-$W241-$AI241)</f>
        <v/>
      </c>
      <c r="AH241" s="34" t="n"/>
      <c r="AI241" s="34" t="n"/>
      <c r="AJ241" s="36" t="n">
        <v>0.15</v>
      </c>
      <c r="AK241" s="36">
        <f>IF(AND($AG241&gt;0,ISNUMBER($AJ241)),$AG241*$AJ241,0)</f>
        <v/>
      </c>
      <c r="AT241" s="37">
        <f>SUM(AU241:BA241)</f>
        <v/>
      </c>
      <c r="AU241" s="73" t="n"/>
      <c r="AV241" s="33" t="n"/>
      <c r="AW241" s="33" t="n"/>
      <c r="AX241" s="33" t="n"/>
      <c r="AY241" s="33" t="n"/>
      <c r="AZ241" s="33" t="n"/>
      <c r="BA241" s="74" t="n"/>
      <c r="BB241" s="106" t="n"/>
      <c r="BC241" s="42" t="n"/>
      <c r="BD241" s="42" t="n"/>
    </row>
    <row r="242" ht="15" customHeight="1" s="148">
      <c r="A242" t="inlineStr">
        <is>
          <t>c0238</t>
        </is>
      </c>
      <c r="B242" s="44" t="inlineStr">
        <is>
          <t>Midnight Tilling</t>
        </is>
      </c>
      <c r="C242" s="34" t="inlineStr">
        <is>
          <t>G</t>
        </is>
      </c>
      <c r="D242" s="44" t="inlineStr">
        <is>
          <t>Instant</t>
        </is>
      </c>
      <c r="E242" s="41" t="inlineStr">
        <is>
          <t>B2</t>
        </is>
      </c>
      <c r="F242" s="34" t="n">
        <v>2</v>
      </c>
      <c r="G242" s="67" t="inlineStr">
        <is>
          <t>Mill four cards, then you may return a permanent card from among them to your hand. (To mill four cards, put the top four cards of your library into your graveyard.)</t>
        </is>
      </c>
      <c r="H242" s="45" t="inlineStr">
        <is>
          <t>Card Selection</t>
        </is>
      </c>
      <c r="I242" s="45" t="inlineStr">
        <is>
          <t>Mills four cards, then returns a permanent card from among them to hand</t>
        </is>
      </c>
      <c r="J242" s="45" t="n"/>
      <c r="K242" s="45" t="n"/>
      <c r="L242" s="42" t="n"/>
      <c r="M242" s="42" t="n"/>
      <c r="N242" s="42" t="n"/>
      <c r="O242" s="63" t="n"/>
      <c r="P242" s="63" t="n">
        <v>0.27</v>
      </c>
      <c r="Q242" s="42" t="n"/>
      <c r="R242" s="42" t="n"/>
      <c r="S242" s="42" t="n"/>
      <c r="T242" s="63" t="n"/>
      <c r="U242" s="63" t="n"/>
      <c r="V242" s="45" t="inlineStr">
        <is>
          <t>Lorwyn Eclipsed</t>
        </is>
      </c>
      <c r="W242" s="41" t="n">
        <v>1</v>
      </c>
      <c r="X242" s="37">
        <f>SUM(Y242:AE242)</f>
        <v/>
      </c>
      <c r="Y242" s="43" t="n"/>
      <c r="Z242" s="43" t="n"/>
      <c r="AA242" s="43" t="n"/>
      <c r="AB242" s="43" t="n"/>
      <c r="AC242" s="43" t="n"/>
      <c r="AD242" s="43" t="n"/>
      <c r="AE242" s="43" t="n"/>
      <c r="AF242" s="38">
        <f>IF((W242-SUM(Y242:AE242))&lt;0,0,W242-SUM(Y242:AE242))</f>
        <v/>
      </c>
      <c r="AG242" s="34">
        <f>MAX(0,$AT242-$W242-$AI242)</f>
        <v/>
      </c>
      <c r="AH242" s="34" t="n"/>
      <c r="AI242" s="34" t="n"/>
      <c r="AJ242" s="36" t="n">
        <v>0.29</v>
      </c>
      <c r="AK242" s="36">
        <f>IF(AND($AG242&gt;0,ISNUMBER($AJ242)),$AG242*$AJ242,0)</f>
        <v/>
      </c>
      <c r="AR242" s="58" t="n"/>
      <c r="AT242" s="37">
        <f>SUM(AU242:BA242)</f>
        <v/>
      </c>
      <c r="AU242" s="73" t="n"/>
      <c r="AV242" s="33" t="n"/>
      <c r="AW242" s="33" t="n"/>
      <c r="AX242" s="33" t="n"/>
      <c r="AY242" s="33" t="n"/>
      <c r="AZ242" s="33" t="n"/>
      <c r="BA242" s="74" t="n"/>
      <c r="BB242" s="106" t="n"/>
      <c r="BC242" s="42" t="n"/>
      <c r="BD242" s="42" t="n"/>
    </row>
    <row r="243" ht="15" customHeight="1" s="148">
      <c r="A243" t="inlineStr">
        <is>
          <t>c0239</t>
        </is>
      </c>
      <c r="B243" s="44" t="inlineStr">
        <is>
          <t>Migration Path</t>
        </is>
      </c>
      <c r="C243" s="34" t="inlineStr">
        <is>
          <t>G</t>
        </is>
      </c>
      <c r="D243" s="44" t="inlineStr">
        <is>
          <t>Sorcery</t>
        </is>
      </c>
      <c r="E243" s="41" t="inlineStr">
        <is>
          <t>B2</t>
        </is>
      </c>
      <c r="F243" s="34" t="n">
        <v>4</v>
      </c>
      <c r="G243" s="67" t="inlineStr">
        <is>
          <t>Search your library for up to two basic land cards, put them onto the battlefield tapped, then shuffle.
Cycling {2} ({2}, Discard this card: Draw a card.)</t>
        </is>
      </c>
      <c r="H243" s="45" t="inlineStr">
        <is>
          <t>Ramp</t>
        </is>
      </c>
      <c r="I243" s="45" t="inlineStr">
        <is>
          <t>Searches for up to two basic lands, puts them onto battlefield tapped</t>
        </is>
      </c>
      <c r="J243" s="45" t="inlineStr">
        <is>
          <t>Cycling {2}: discard to draw a card instead</t>
        </is>
      </c>
      <c r="K243" s="45" t="n"/>
      <c r="L243" s="42" t="n"/>
      <c r="M243" s="42" t="n"/>
      <c r="N243" s="42" t="n"/>
      <c r="O243" s="63" t="n"/>
      <c r="P243" s="63" t="n">
        <v>0.36</v>
      </c>
      <c r="Q243" s="42" t="n"/>
      <c r="R243" s="42" t="n"/>
      <c r="S243" s="42" t="n"/>
      <c r="T243" s="63" t="n"/>
      <c r="U243" s="63" t="n"/>
      <c r="V243" s="45" t="inlineStr">
        <is>
          <t>Ikoria: Lair of Behemoths</t>
        </is>
      </c>
      <c r="W243" s="41" t="n">
        <v>1</v>
      </c>
      <c r="X243" s="37">
        <f>SUM(Y243:AE243)</f>
        <v/>
      </c>
      <c r="Y243" s="43" t="n"/>
      <c r="Z243" s="43" t="n"/>
      <c r="AA243" s="43" t="n"/>
      <c r="AB243" s="43" t="n"/>
      <c r="AC243" s="43" t="n"/>
      <c r="AD243" s="43" t="n"/>
      <c r="AE243" s="43" t="n"/>
      <c r="AF243" s="38">
        <f>IF((W243-SUM(Y243:AE243))&lt;0,0,W243-SUM(Y243:AE243))</f>
        <v/>
      </c>
      <c r="AG243" s="34">
        <f>MAX(0,$AT243-$W243-$AI243)</f>
        <v/>
      </c>
      <c r="AH243" s="34" t="n"/>
      <c r="AI243" s="34" t="n"/>
      <c r="AJ243" s="36" t="n">
        <v>0.36</v>
      </c>
      <c r="AK243" s="36">
        <f>IF(AND($AG243&gt;0,ISNUMBER($AJ243)),$AG243*$AJ243,0)</f>
        <v/>
      </c>
      <c r="AT243" s="37">
        <f>SUM(AU243:BA243)</f>
        <v/>
      </c>
      <c r="AU243" s="73" t="n"/>
      <c r="AV243" s="33" t="n"/>
      <c r="AW243" s="33" t="n"/>
      <c r="AX243" s="33" t="n"/>
      <c r="AY243" s="33" t="n"/>
      <c r="AZ243" s="33" t="n"/>
      <c r="BA243" s="74" t="n"/>
      <c r="BB243" s="106" t="n"/>
      <c r="BC243" s="42" t="n"/>
      <c r="BD243" s="42" t="n"/>
    </row>
    <row r="244" ht="15" customHeight="1" s="148">
      <c r="A244" t="inlineStr">
        <is>
          <t>c0240</t>
        </is>
      </c>
      <c r="B244" s="39" t="inlineStr">
        <is>
          <t>Mirkwood Pathmaker</t>
        </is>
      </c>
      <c r="C244" s="40" t="inlineStr">
        <is>
          <t>G</t>
        </is>
      </c>
      <c r="D244" s="39" t="inlineStr">
        <is>
          <t>Creature</t>
        </is>
      </c>
      <c r="E244" s="41" t="inlineStr">
        <is>
          <t>B2</t>
        </is>
      </c>
      <c r="F244" s="40" t="n">
        <v>3</v>
      </c>
      <c r="G244" s="67" t="inlineStr">
        <is>
          <t>Mirkwood Pathmaker's power and toughness are each equal to the number of lands you control.
(*/*)</t>
        </is>
      </c>
      <c r="H244" s="39" t="inlineStr">
        <is>
          <t>Utility Creature</t>
        </is>
      </c>
      <c r="I244" s="39" t="inlineStr">
        <is>
          <t>Mirkwood Pathmaker's power and toughness are each equal to the number of lands you control</t>
        </is>
      </c>
      <c r="J244" s="39" t="n"/>
      <c r="K244" s="39" t="n"/>
      <c r="L244" s="88" t="inlineStr">
        <is>
          <t>U 0129</t>
        </is>
      </c>
      <c r="M244" s="41" t="n">
        <v>1</v>
      </c>
      <c r="N244" s="41" t="n">
        <v>1</v>
      </c>
      <c r="O244" s="63" t="inlineStr">
        <is>
          <t>Sean Vo</t>
        </is>
      </c>
      <c r="P244" s="90" t="n">
        <v>0.27</v>
      </c>
      <c r="Q244" s="42" t="inlineStr">
        <is>
          <t>U</t>
        </is>
      </c>
      <c r="R244" s="42" t="n"/>
      <c r="S244" s="42" t="n"/>
      <c r="T244" s="63" t="n"/>
      <c r="U244" s="63" t="n"/>
      <c r="V244" s="39" t="inlineStr">
        <is>
          <t>The Hobbit</t>
        </is>
      </c>
      <c r="W244" s="41" t="n">
        <v>1</v>
      </c>
      <c r="X244" s="37">
        <f>SUM(Y244:AE244)</f>
        <v/>
      </c>
      <c r="Y244" s="43" t="n"/>
      <c r="Z244" s="43" t="n"/>
      <c r="AA244" s="43" t="n"/>
      <c r="AB244" s="43" t="n"/>
      <c r="AC244" s="43" t="n"/>
      <c r="AD244" s="43" t="n"/>
      <c r="AE244" s="43" t="n">
        <v>1</v>
      </c>
      <c r="AF244" s="38">
        <f>IF((W244-SUM(Y244:AE244))&lt;0,0,W244-SUM(Y244:AE244))</f>
        <v/>
      </c>
      <c r="AG244" s="34">
        <f>MAX(0,$AT244-$W244-$AI244)</f>
        <v/>
      </c>
      <c r="AH244" s="39" t="n"/>
      <c r="AI244" s="39" t="n"/>
      <c r="AJ244" s="39" t="n">
        <v>0.27</v>
      </c>
      <c r="AK244" s="39">
        <f>IF(AND($AG244&gt;0,ISNUMBER($AJ244)),$AG244*$AJ244,0)</f>
        <v/>
      </c>
      <c r="AT244" s="37">
        <f>SUM(AU244:BA244)</f>
        <v/>
      </c>
      <c r="AU244" s="73" t="n"/>
      <c r="AV244" s="33" t="n"/>
      <c r="AW244" s="33" t="n"/>
      <c r="AX244" s="33" t="n"/>
      <c r="AY244" s="33" t="n"/>
      <c r="AZ244" s="33" t="n"/>
      <c r="BA244" s="80" t="n">
        <v>1</v>
      </c>
      <c r="BB244" s="107" t="n"/>
      <c r="BC244" s="42" t="n"/>
      <c r="BD244" s="42" t="n"/>
    </row>
    <row r="245" ht="15" customHeight="1" s="148">
      <c r="A245" t="inlineStr">
        <is>
          <t>c0241</t>
        </is>
      </c>
      <c r="B245" s="30" t="inlineStr">
        <is>
          <t>Mistmeadow Council</t>
        </is>
      </c>
      <c r="C245" s="31" t="inlineStr">
        <is>
          <t>G</t>
        </is>
      </c>
      <c r="D245" s="30" t="inlineStr">
        <is>
          <t>Creature</t>
        </is>
      </c>
      <c r="E245" s="33" t="inlineStr">
        <is>
          <t>B2</t>
        </is>
      </c>
      <c r="F245" s="31" t="n">
        <v>5</v>
      </c>
      <c r="G245" s="67" t="inlineStr">
        <is>
          <t>This spell costs {1} less to cast if you control a Kithkin.
When this creature enters, draw a card.
(4/3)</t>
        </is>
      </c>
      <c r="H245" s="30" t="inlineStr">
        <is>
          <t>Card Draw</t>
        </is>
      </c>
      <c r="I245" s="30" t="inlineStr">
        <is>
          <t>Enters: draw a card</t>
        </is>
      </c>
      <c r="J245" s="30" t="inlineStr">
        <is>
          <t>Costs {1} less to cast if you control a Kithkin</t>
        </is>
      </c>
      <c r="K245" s="30" t="n"/>
      <c r="L245" s="32" t="inlineStr">
        <is>
          <t>183</t>
        </is>
      </c>
      <c r="M245" s="32" t="n">
        <v>1</v>
      </c>
      <c r="N245" s="32" t="n">
        <v>0</v>
      </c>
      <c r="O245" s="63" t="n"/>
      <c r="P245" s="63" t="n">
        <v>0.06</v>
      </c>
      <c r="Q245" s="32" t="inlineStr">
        <is>
          <t>Common</t>
        </is>
      </c>
      <c r="R245" s="32" t="n"/>
      <c r="S245" s="32" t="n"/>
      <c r="T245" s="63" t="n"/>
      <c r="U245" s="63" t="n"/>
      <c r="V245" s="30" t="inlineStr">
        <is>
          <t>Lorwyn Eclipsed</t>
        </is>
      </c>
      <c r="W245" s="41" t="n">
        <v>1</v>
      </c>
      <c r="X245" s="37">
        <f>SUM(Y245:AE245)</f>
        <v/>
      </c>
      <c r="Y245" s="43" t="n"/>
      <c r="Z245" s="43" t="n"/>
      <c r="AA245" s="43" t="n"/>
      <c r="AB245" s="43" t="n"/>
      <c r="AC245" s="43" t="n"/>
      <c r="AD245" s="43" t="n"/>
      <c r="AE245" s="43" t="n">
        <v>1</v>
      </c>
      <c r="AF245" s="38">
        <f>IF((W245-SUM(Y245:AE245))&lt;0,0,W245-SUM(Y245:AE245))</f>
        <v/>
      </c>
      <c r="AG245" s="34">
        <f>MAX(0,$AT245-$W245-$AI245)</f>
        <v/>
      </c>
      <c r="AH245" s="30" t="n"/>
      <c r="AI245" s="30" t="n"/>
      <c r="AJ245" s="35" t="n">
        <v>0.06</v>
      </c>
      <c r="AK245" s="36">
        <f>IF(AND($AG245&gt;0,ISNUMBER($AJ245)),$AG245*$AJ245,0)</f>
        <v/>
      </c>
      <c r="AM245" s="58" t="n"/>
      <c r="AT245" s="37">
        <f>SUM(AU245:BA245)</f>
        <v/>
      </c>
      <c r="AU245" s="73" t="n"/>
      <c r="AV245" s="33" t="n"/>
      <c r="AW245" s="33" t="n"/>
      <c r="AX245" s="33" t="n"/>
      <c r="AY245" s="33" t="n"/>
      <c r="AZ245" s="33" t="n"/>
      <c r="BA245" s="79" t="n"/>
      <c r="BB245" s="108" t="n"/>
      <c r="BC245" s="32" t="n"/>
      <c r="BD245" s="32" t="n"/>
    </row>
    <row r="246" ht="15" customHeight="1" s="148">
      <c r="A246" t="inlineStr">
        <is>
          <t>c0242</t>
        </is>
      </c>
      <c r="B246" s="113" t="inlineStr">
        <is>
          <t>Morcant's Eyes</t>
        </is>
      </c>
      <c r="C246" s="115" t="inlineStr">
        <is>
          <t>G</t>
        </is>
      </c>
      <c r="D246" s="117" t="inlineStr">
        <is>
          <t>Kindred Enchantment</t>
        </is>
      </c>
      <c r="E246" s="67" t="inlineStr">
        <is>
          <t>B2</t>
        </is>
      </c>
      <c r="F246" s="115" t="n">
        <v>2</v>
      </c>
      <c r="G246" s="69" t="inlineStr">
        <is>
          <t>Morcant's Eyes {1}{G} — Kindred Enchantment — Elf
At the beginning of your upkeep, surveil 1. (Look at the top card of your library. You may put it into your graveyard.)
{4}{G}{G}, Sacrifice this enchantment: Create X 2/2 black and green Elf creature tokens, where X is the number of Elf cards in your graveyard. Activate only as a sorcery.</t>
        </is>
      </c>
      <c r="H246" s="113" t="inlineStr">
        <is>
          <t>Card Selection</t>
        </is>
      </c>
      <c r="I246" s="113" t="inlineStr">
        <is>
          <t>At the beginning of your upkeep, surveil 1</t>
        </is>
      </c>
      <c r="J246" s="113" t="inlineStr">
        <is>
          <t>Sacrifice for {4}{G}{G}: create X 2/2 black and green tokens</t>
        </is>
      </c>
      <c r="K246" s="113" t="n"/>
      <c r="L246" s="69" t="inlineStr">
        <is>
          <t>185</t>
        </is>
      </c>
      <c r="M246" s="69" t="n">
        <v>1</v>
      </c>
      <c r="N246" s="69" t="n">
        <v>0</v>
      </c>
      <c r="O246" s="63" t="inlineStr">
        <is>
          <t>David Palumbo</t>
        </is>
      </c>
      <c r="P246" s="85" t="n">
        <v>0.27</v>
      </c>
      <c r="Q246" s="69" t="inlineStr">
        <is>
          <t>Uncommon</t>
        </is>
      </c>
      <c r="R246" s="69" t="n"/>
      <c r="S246" s="69" t="n"/>
      <c r="T246" s="63" t="n"/>
      <c r="U246" s="63" t="n"/>
      <c r="V246" s="117" t="inlineStr">
        <is>
          <t>Lorwyn Eclipsed</t>
        </is>
      </c>
      <c r="W246" s="105" t="n">
        <v>1</v>
      </c>
      <c r="X246" s="37">
        <f>SUM(Y246:AE246)</f>
        <v/>
      </c>
      <c r="Y246" s="43" t="n"/>
      <c r="Z246" s="43" t="n"/>
      <c r="AA246" s="43" t="n"/>
      <c r="AB246" s="43" t="n"/>
      <c r="AC246" s="43" t="n"/>
      <c r="AD246" s="43" t="n"/>
      <c r="AE246" s="43" t="n"/>
      <c r="AF246" s="38">
        <f>IF((W246-SUM(Y246:AE246))&lt;0,0,W246-SUM(Y246:AE246))</f>
        <v/>
      </c>
      <c r="AG246" s="34">
        <f>MAX(0,$AT246-$W246-$AI246)</f>
        <v/>
      </c>
      <c r="AH246" s="113" t="n"/>
      <c r="AI246" s="113" t="n"/>
      <c r="AJ246" s="123" t="n">
        <v>0.27</v>
      </c>
      <c r="AK246" s="36">
        <f>IF(AND($AG246&gt;0,ISNUMBER($AJ246)),$AG246*$AJ246,0)</f>
        <v/>
      </c>
      <c r="AL246" s="69" t="n"/>
      <c r="AM246" s="69" t="n"/>
      <c r="AN246" s="69" t="n"/>
      <c r="AO246" s="69" t="n"/>
      <c r="AP246" s="69" t="n"/>
      <c r="AQ246" s="69" t="n"/>
      <c r="AR246" s="69" t="n"/>
      <c r="AS246" s="69" t="n"/>
      <c r="AT246" s="37">
        <f>SUM(AU246:BA246)</f>
        <v/>
      </c>
      <c r="AU246" s="73" t="n"/>
      <c r="AV246" s="33" t="n"/>
      <c r="AW246" s="33" t="n"/>
      <c r="AX246" s="33" t="n"/>
      <c r="AY246" s="33" t="n"/>
      <c r="AZ246" s="33" t="n"/>
      <c r="BA246" s="74" t="n"/>
      <c r="BB246" s="126" t="n"/>
      <c r="BC246" s="69" t="n"/>
      <c r="BD246" s="69" t="n"/>
    </row>
    <row r="247" ht="15" customHeight="1" s="148">
      <c r="A247" t="inlineStr">
        <is>
          <t>c0243</t>
        </is>
      </c>
      <c r="B247" s="44" t="inlineStr">
        <is>
          <t>Mulch</t>
        </is>
      </c>
      <c r="C247" s="34" t="inlineStr">
        <is>
          <t>G</t>
        </is>
      </c>
      <c r="D247" s="44" t="inlineStr">
        <is>
          <t>Sorcery</t>
        </is>
      </c>
      <c r="E247" s="41" t="inlineStr">
        <is>
          <t>B2</t>
        </is>
      </c>
      <c r="F247" s="34" t="n">
        <v>2</v>
      </c>
      <c r="G247" s="67" t="inlineStr">
        <is>
          <t>Reveal the top four cards of your library. Put all land cards revealed this way into your hand and the rest into your graveyard.</t>
        </is>
      </c>
      <c r="H247" s="45" t="inlineStr">
        <is>
          <t>Card Selection</t>
        </is>
      </c>
      <c r="I247" s="45" t="inlineStr">
        <is>
          <t>Reveals top four cards; puts land cards into your hand and the rest into your graveyard</t>
        </is>
      </c>
      <c r="J247" s="45" t="n"/>
      <c r="K247" s="45" t="n"/>
      <c r="L247" s="42" t="n"/>
      <c r="M247" s="42" t="n"/>
      <c r="N247" s="42" t="n"/>
      <c r="O247" s="63" t="n"/>
      <c r="P247" s="63" t="n">
        <v>0.27</v>
      </c>
      <c r="Q247" s="42" t="n"/>
      <c r="R247" s="42" t="n"/>
      <c r="S247" s="42" t="n"/>
      <c r="T247" s="63" t="n"/>
      <c r="U247" s="63" t="n"/>
      <c r="V247" s="45" t="inlineStr">
        <is>
          <t>Stronghold</t>
        </is>
      </c>
      <c r="W247" s="41" t="n">
        <v>1</v>
      </c>
      <c r="X247" s="37">
        <f>SUM(Y247:AE247)</f>
        <v/>
      </c>
      <c r="Y247" s="43" t="n"/>
      <c r="Z247" s="43" t="n"/>
      <c r="AA247" s="43" t="n"/>
      <c r="AB247" s="43" t="n"/>
      <c r="AC247" s="43" t="n"/>
      <c r="AD247" s="43" t="n"/>
      <c r="AE247" s="43" t="n"/>
      <c r="AF247" s="38">
        <f>IF((W247-SUM(Y247:AE247))&lt;0,0,W247-SUM(Y247:AE247))</f>
        <v/>
      </c>
      <c r="AG247" s="34">
        <f>MAX(0,$AT247-$W247-$AI247)</f>
        <v/>
      </c>
      <c r="AH247" s="34" t="n"/>
      <c r="AI247" s="34" t="n"/>
      <c r="AJ247" s="36" t="n">
        <v>0.3</v>
      </c>
      <c r="AK247" s="36">
        <f>IF(AND($AG247&gt;0,ISNUMBER($AJ247)),$AG247*$AJ247,0)</f>
        <v/>
      </c>
      <c r="AN247" s="58" t="n"/>
      <c r="AT247" s="37">
        <f>SUM(AU247:BA247)</f>
        <v/>
      </c>
      <c r="AU247" s="73" t="n"/>
      <c r="AV247" s="33" t="n"/>
      <c r="AW247" s="33" t="n"/>
      <c r="AX247" s="33" t="n"/>
      <c r="AY247" s="33" t="n"/>
      <c r="AZ247" s="33" t="n"/>
      <c r="BA247" s="74" t="n"/>
      <c r="BB247" s="106" t="n"/>
      <c r="BC247" s="42" t="n"/>
      <c r="BD247" s="42" t="n"/>
    </row>
    <row r="248" ht="15" customHeight="1" s="148">
      <c r="A248" t="inlineStr">
        <is>
          <t>c0244</t>
        </is>
      </c>
      <c r="B248" s="44" t="inlineStr">
        <is>
          <t>Nature's Lore</t>
        </is>
      </c>
      <c r="C248" s="34" t="inlineStr">
        <is>
          <t>G</t>
        </is>
      </c>
      <c r="D248" s="44" t="inlineStr">
        <is>
          <t>Sorcery</t>
        </is>
      </c>
      <c r="E248" s="41" t="inlineStr">
        <is>
          <t>B3</t>
        </is>
      </c>
      <c r="F248" s="34" t="n">
        <v>2</v>
      </c>
      <c r="G248" s="67" t="inlineStr">
        <is>
          <t>Search your library for a Forest card, put that card onto the battlefield, then shuffle.</t>
        </is>
      </c>
      <c r="H248" s="45" t="inlineStr">
        <is>
          <t>Ramp</t>
        </is>
      </c>
      <c r="I248" s="45" t="inlineStr">
        <is>
          <t>Search your library for a Forest card, put that card onto the battlefield, then shuffle.</t>
        </is>
      </c>
      <c r="J248" s="45" t="n"/>
      <c r="K248" s="45" t="n"/>
      <c r="L248" s="42" t="n"/>
      <c r="M248" s="42" t="n"/>
      <c r="N248" s="42" t="n"/>
      <c r="O248" s="42" t="n"/>
      <c r="P248" s="42" t="n">
        <v>1.91</v>
      </c>
      <c r="Q248" s="42" t="n"/>
      <c r="R248" s="42" t="n"/>
      <c r="S248" s="42" t="n"/>
      <c r="T248" s="42" t="n"/>
      <c r="U248" s="42" t="n"/>
      <c r="V248" s="45" t="inlineStr">
        <is>
          <t>Ice Age</t>
        </is>
      </c>
      <c r="W248" s="41" t="n">
        <v>1</v>
      </c>
      <c r="X248" s="37">
        <f>SUM(Y248:AE248)</f>
        <v/>
      </c>
      <c r="Y248" s="43" t="n"/>
      <c r="Z248" s="43" t="n"/>
      <c r="AA248" s="43" t="n"/>
      <c r="AB248" s="43" t="n"/>
      <c r="AC248" s="43" t="n"/>
      <c r="AD248" s="43" t="n"/>
      <c r="AE248" s="43" t="n"/>
      <c r="AF248" s="38">
        <f>IF((W248-SUM(Y248:AE248))&lt;0,0,W248-SUM(Y248:AE248))</f>
        <v/>
      </c>
      <c r="AG248" s="34">
        <f>MAX(0,$AT248-$W248-$AI248)</f>
        <v/>
      </c>
      <c r="AH248" s="34" t="n"/>
      <c r="AI248" s="34" t="n"/>
      <c r="AJ248" s="36" t="n">
        <v>2.45</v>
      </c>
      <c r="AK248" s="36">
        <f>IF(AND($AG248&gt;0,ISNUMBER($AJ248)),$AG248*$AJ248,0)</f>
        <v/>
      </c>
      <c r="AT248" s="37">
        <f>SUM(AU248:BA248)</f>
        <v/>
      </c>
      <c r="AU248" s="73" t="n"/>
      <c r="AV248" s="33" t="n"/>
      <c r="AW248" s="33" t="n"/>
      <c r="AX248" s="33" t="n"/>
      <c r="AY248" s="33" t="n"/>
      <c r="AZ248" s="33" t="n"/>
      <c r="BA248" s="74" t="n"/>
      <c r="BB248" s="106" t="n"/>
      <c r="BC248" s="42" t="n"/>
      <c r="BD248" s="42" t="n"/>
    </row>
    <row r="249" ht="15" customHeight="1" s="148">
      <c r="A249" t="inlineStr">
        <is>
          <t>c0245</t>
        </is>
      </c>
      <c r="B249" s="30" t="inlineStr">
        <is>
          <t>Noxious Newt</t>
        </is>
      </c>
      <c r="C249" s="31" t="inlineStr">
        <is>
          <t>G</t>
        </is>
      </c>
      <c r="D249" s="30" t="inlineStr">
        <is>
          <t>Creature</t>
        </is>
      </c>
      <c r="E249" s="33" t="inlineStr">
        <is>
          <t>B2</t>
        </is>
      </c>
      <c r="F249" s="31" t="n">
        <v>2</v>
      </c>
      <c r="G249" s="67" t="inlineStr">
        <is>
          <t>Deathtouch
{T}: Add {G}.
(1/2)</t>
        </is>
      </c>
      <c r="H249" s="30" t="inlineStr">
        <is>
          <t>Ramp</t>
        </is>
      </c>
      <c r="I249" s="30" t="inlineStr">
        <is>
          <t>{T}: Add {G}</t>
        </is>
      </c>
      <c r="J249" s="30" t="inlineStr">
        <is>
          <t>Deathtouch body</t>
        </is>
      </c>
      <c r="K249" s="30" t="n"/>
      <c r="L249" s="32" t="inlineStr">
        <is>
          <t>155</t>
        </is>
      </c>
      <c r="M249" s="32" t="n">
        <v>1</v>
      </c>
      <c r="N249" s="32" t="n">
        <v>0</v>
      </c>
      <c r="O249" s="63" t="n"/>
      <c r="P249" s="63" t="n">
        <v>0.27</v>
      </c>
      <c r="Q249" s="32" t="inlineStr">
        <is>
          <t>Common</t>
        </is>
      </c>
      <c r="R249" s="32" t="n"/>
      <c r="S249" s="32" t="n"/>
      <c r="T249" s="63" t="n"/>
      <c r="U249" s="63" t="n"/>
      <c r="V249" s="30" t="inlineStr">
        <is>
          <t>Secrets of Strixhaven</t>
        </is>
      </c>
      <c r="W249" s="41" t="n">
        <v>1</v>
      </c>
      <c r="X249" s="37">
        <f>SUM(Y249:AE249)</f>
        <v/>
      </c>
      <c r="Y249" s="43" t="n"/>
      <c r="Z249" s="43" t="n"/>
      <c r="AA249" s="43" t="n"/>
      <c r="AB249" s="43" t="n"/>
      <c r="AC249" s="43" t="n"/>
      <c r="AD249" s="43" t="n"/>
      <c r="AE249" s="43" t="n">
        <v>1</v>
      </c>
      <c r="AF249" s="38">
        <f>IF((W249-SUM(Y249:AE249))&lt;0,0,W249-SUM(Y249:AE249))</f>
        <v/>
      </c>
      <c r="AG249" s="34">
        <f>MAX(0,$AT249-$W249-$AI249)</f>
        <v/>
      </c>
      <c r="AH249" s="30" t="n"/>
      <c r="AI249" s="30" t="n"/>
      <c r="AJ249" s="35" t="n">
        <v>0.27</v>
      </c>
      <c r="AK249" s="36">
        <f>IF(AND($AG249&gt;0,ISNUMBER($AJ249)),$AG249*$AJ249,0)</f>
        <v/>
      </c>
      <c r="AR249" t="inlineStr">
        <is>
          <t>BL0086</t>
        </is>
      </c>
      <c r="AT249" s="37">
        <f>SUM(AU249:BA249)</f>
        <v/>
      </c>
      <c r="AU249" s="73" t="n"/>
      <c r="AV249" s="33" t="n"/>
      <c r="AW249" s="33" t="n"/>
      <c r="AX249" s="33" t="n"/>
      <c r="AY249" s="33" t="n"/>
      <c r="AZ249" s="33" t="n"/>
      <c r="BA249" s="81" t="n"/>
      <c r="BB249" s="108" t="n"/>
      <c r="BC249" s="32" t="n"/>
      <c r="BD249" s="32" t="n"/>
    </row>
    <row r="250" ht="15" customHeight="1" s="148">
      <c r="A250" t="inlineStr">
        <is>
          <t>c0246</t>
        </is>
      </c>
      <c r="B250" s="44" t="inlineStr">
        <is>
          <t>Old Fat Spider</t>
        </is>
      </c>
      <c r="C250" s="40" t="inlineStr">
        <is>
          <t>G</t>
        </is>
      </c>
      <c r="D250" s="39" t="inlineStr">
        <is>
          <t>Creature</t>
        </is>
      </c>
      <c r="E250" s="41" t="inlineStr">
        <is>
          <t>B2</t>
        </is>
      </c>
      <c r="F250" s="40" t="n">
        <v>6</v>
      </c>
      <c r="G250" s="67" t="inlineStr">
        <is>
          <t>Reach
This creature can't be blocked by creatures with power 2 or less.
Whenever this creature becomes the target of a spell or ability an opponent controls, draw a card.
(6/7)</t>
        </is>
      </c>
      <c r="H250" s="39" t="inlineStr">
        <is>
          <t>Finisher</t>
        </is>
      </c>
      <c r="I250" s="39" t="inlineStr">
        <is>
          <t>Reach, and cannot be blocked by creatures with power 2 or less</t>
        </is>
      </c>
      <c r="J250" s="39" t="inlineStr">
        <is>
          <t>Whenever it becomes the target of a spell or ability an opponent controls, draw a card</t>
        </is>
      </c>
      <c r="K250" s="39" t="n"/>
      <c r="L250" s="42" t="n"/>
      <c r="M250" s="42" t="n"/>
      <c r="N250" s="42" t="n"/>
      <c r="O250" s="63" t="n"/>
      <c r="P250" s="63" t="n"/>
      <c r="Q250" s="42" t="n"/>
      <c r="R250" s="42" t="n"/>
      <c r="S250" s="42" t="n"/>
      <c r="T250" s="63" t="n"/>
      <c r="U250" s="63" t="n"/>
      <c r="V250" s="39" t="inlineStr">
        <is>
          <t>The Hobbit</t>
        </is>
      </c>
      <c r="W250" s="41" t="n">
        <v>1</v>
      </c>
      <c r="X250" s="37">
        <f>SUM(Y250:AE250)</f>
        <v/>
      </c>
      <c r="Y250" s="43" t="n"/>
      <c r="Z250" s="43" t="n"/>
      <c r="AA250" s="43" t="n"/>
      <c r="AB250" s="43" t="n"/>
      <c r="AC250" s="43" t="n"/>
      <c r="AD250" s="43" t="n"/>
      <c r="AE250" s="43" t="n"/>
      <c r="AF250" s="38">
        <f>IF((W250-SUM(Y250:AE250))&lt;0,0,W250-SUM(Y250:AE250))</f>
        <v/>
      </c>
      <c r="AG250" s="34">
        <f>MAX(0,$AT250-$W250-$AI250)</f>
        <v/>
      </c>
      <c r="AH250" s="39" t="n"/>
      <c r="AI250" s="39" t="n"/>
      <c r="AJ250" s="39" t="n">
        <v>0.13</v>
      </c>
      <c r="AK250" s="39">
        <f>IF(AND($AG250&gt;0,ISNUMBER($AJ250)),$AG250*$AJ250,0)</f>
        <v/>
      </c>
      <c r="AT250" s="37">
        <f>SUM(AU250:BA250)</f>
        <v/>
      </c>
      <c r="AU250" s="73" t="n"/>
      <c r="AV250" s="33" t="n"/>
      <c r="AW250" s="33" t="n"/>
      <c r="AX250" s="33" t="n"/>
      <c r="AY250" s="33" t="n"/>
      <c r="AZ250" s="33" t="n"/>
      <c r="BA250" s="74" t="n"/>
      <c r="BB250" s="107" t="n"/>
      <c r="BC250" s="42" t="n"/>
      <c r="BD250" s="42" t="n"/>
    </row>
    <row r="251" ht="15" customHeight="1" s="148">
      <c r="A251" t="inlineStr">
        <is>
          <t>c0247</t>
        </is>
      </c>
      <c r="B251" s="44" t="inlineStr">
        <is>
          <t>Ordeal of Nylea</t>
        </is>
      </c>
      <c r="C251" s="34" t="inlineStr">
        <is>
          <t>G</t>
        </is>
      </c>
      <c r="D251" s="44" t="inlineStr">
        <is>
          <t>Enchantment</t>
        </is>
      </c>
      <c r="E251" s="41" t="inlineStr">
        <is>
          <t>B2</t>
        </is>
      </c>
      <c r="F251" s="34" t="n">
        <v>2</v>
      </c>
      <c r="G251" s="67" t="inlineStr">
        <is>
          <t>Enchant creature
Whenever enchanted creature attacks, put a +1/+1 counter on it. Then if it has three or more +1/+1 counters on it, sacrifice this Aura.
When you sacrifice this Aura, search your library for up to two basic land cards, put them onto the battlefield tapped, then shuffle.</t>
        </is>
      </c>
      <c r="H251" s="45" t="inlineStr">
        <is>
          <t>Counters Payoff</t>
        </is>
      </c>
      <c r="I251" s="45" t="inlineStr">
        <is>
          <t>Enchanted creature gets a +1/+1 counter when it attacks; sacrifices itself at three counters</t>
        </is>
      </c>
      <c r="J251" s="45" t="inlineStr">
        <is>
          <t>Searches for up to two basic lands onto the battlefield tapped when sacrificed</t>
        </is>
      </c>
      <c r="K251" s="45" t="n"/>
      <c r="L251" s="42" t="n"/>
      <c r="M251" s="42" t="n"/>
      <c r="N251" s="42" t="n"/>
      <c r="O251" s="42" t="n"/>
      <c r="P251" s="42" t="n">
        <v>0.1</v>
      </c>
      <c r="Q251" s="42" t="n"/>
      <c r="R251" s="42" t="n"/>
      <c r="S251" s="42" t="n"/>
      <c r="T251" s="42" t="n"/>
      <c r="U251" s="42" t="n"/>
      <c r="V251" s="45" t="inlineStr">
        <is>
          <t>Theros</t>
        </is>
      </c>
      <c r="W251" s="41" t="n">
        <v>1</v>
      </c>
      <c r="X251" s="37">
        <f>SUM(Y251:AE251)</f>
        <v/>
      </c>
      <c r="Y251" s="43" t="n"/>
      <c r="Z251" s="43" t="n"/>
      <c r="AA251" s="43" t="n">
        <v>1</v>
      </c>
      <c r="AB251" s="43" t="n"/>
      <c r="AC251" s="43" t="n"/>
      <c r="AD251" s="43" t="n"/>
      <c r="AE251" s="43" t="n"/>
      <c r="AF251" s="38">
        <f>IF((W251-SUM(Y251:AE251))&lt;0,0,W251-SUM(Y251:AE251))</f>
        <v/>
      </c>
      <c r="AG251" s="34">
        <f>MAX(0,$AT251-$W251-$AI251)</f>
        <v/>
      </c>
      <c r="AH251" s="34" t="n"/>
      <c r="AI251" s="34" t="n"/>
      <c r="AJ251" s="36" t="n">
        <v>0.15</v>
      </c>
      <c r="AK251" s="36">
        <f>IF(AND($AG251&gt;0,ISNUMBER($AJ251)),$AG251*$AJ251,0)</f>
        <v/>
      </c>
      <c r="AN251" s="58" t="inlineStr">
        <is>
          <t>BL0054</t>
        </is>
      </c>
      <c r="AS251" s="58" t="n"/>
      <c r="AT251" s="37">
        <f>SUM(AU251:BA251)</f>
        <v/>
      </c>
      <c r="AU251" s="73" t="n"/>
      <c r="AV251" s="33" t="n"/>
      <c r="AW251" s="100" t="n"/>
      <c r="AX251" s="33" t="n"/>
      <c r="AY251" s="33" t="n"/>
      <c r="AZ251" s="33" t="n"/>
      <c r="BA251" s="74" t="n"/>
      <c r="BB251" s="106" t="n"/>
      <c r="BC251" s="42" t="n"/>
      <c r="BD251" s="42" t="n"/>
    </row>
    <row r="252" ht="15" customHeight="1" s="148">
      <c r="A252" t="inlineStr">
        <is>
          <t>c0248</t>
        </is>
      </c>
      <c r="B252" s="39" t="inlineStr">
        <is>
          <t>Ordinary Bear</t>
        </is>
      </c>
      <c r="C252" s="40" t="inlineStr">
        <is>
          <t>G</t>
        </is>
      </c>
      <c r="D252" s="39" t="inlineStr">
        <is>
          <t>Creature</t>
        </is>
      </c>
      <c r="E252" s="41" t="inlineStr">
        <is>
          <t>B2</t>
        </is>
      </c>
      <c r="F252" s="40" t="n">
        <v>4</v>
      </c>
      <c r="G252" s="67" t="inlineStr">
        <is>
          <t>(4/5)</t>
        </is>
      </c>
      <c r="H252" s="39" t="inlineStr">
        <is>
          <t>Utility Creature</t>
        </is>
      </c>
      <c r="I252" s="39" t="inlineStr">
        <is>
          <t>Vanilla creature with no abilities (body only)</t>
        </is>
      </c>
      <c r="J252" s="39" t="n"/>
      <c r="K252" s="39" t="n"/>
      <c r="L252" s="42" t="n"/>
      <c r="M252" s="42" t="n"/>
      <c r="N252" s="42" t="n"/>
      <c r="O252" s="63" t="n"/>
      <c r="P252" s="63" t="n">
        <v>0.21</v>
      </c>
      <c r="Q252" s="42" t="n"/>
      <c r="R252" s="42" t="n"/>
      <c r="S252" s="42" t="n"/>
      <c r="T252" s="63" t="n"/>
      <c r="U252" s="63" t="n"/>
      <c r="V252" s="39" t="inlineStr">
        <is>
          <t>The Hobbit</t>
        </is>
      </c>
      <c r="W252" s="41" t="n">
        <v>1</v>
      </c>
      <c r="X252" s="37">
        <f>SUM(Y252:AE252)</f>
        <v/>
      </c>
      <c r="Y252" s="43" t="n"/>
      <c r="Z252" s="43" t="n"/>
      <c r="AA252" s="43" t="n"/>
      <c r="AB252" s="43" t="n"/>
      <c r="AC252" s="43" t="n"/>
      <c r="AD252" s="43" t="n"/>
      <c r="AE252" s="43" t="n"/>
      <c r="AF252" s="38">
        <f>IF((W252-SUM(Y252:AE252))&lt;0,0,W252-SUM(Y252:AE252))</f>
        <v/>
      </c>
      <c r="AG252" s="34">
        <f>MAX(0,$AT252-$W252-$AI252)</f>
        <v/>
      </c>
      <c r="AH252" s="39" t="n"/>
      <c r="AI252" s="39" t="n"/>
      <c r="AJ252" s="39" t="n">
        <v>0.15</v>
      </c>
      <c r="AK252" s="39">
        <f>IF(AND($AG252&gt;0,ISNUMBER($AJ252)),$AG252*$AJ252,0)</f>
        <v/>
      </c>
      <c r="AT252" s="37">
        <f>SUM(AU252:BA252)</f>
        <v/>
      </c>
      <c r="AU252" s="73" t="n"/>
      <c r="AV252" s="33" t="n"/>
      <c r="AW252" s="33" t="n"/>
      <c r="AX252" s="33" t="n"/>
      <c r="AY252" s="33" t="n"/>
      <c r="AZ252" s="33" t="n"/>
      <c r="BA252" s="74" t="n"/>
      <c r="BB252" s="107" t="n"/>
      <c r="BC252" s="42" t="n"/>
      <c r="BD252" s="42" t="n"/>
    </row>
    <row r="253" ht="15" customHeight="1" s="148">
      <c r="A253" t="inlineStr">
        <is>
          <t>c0249</t>
        </is>
      </c>
      <c r="B253" s="44" t="inlineStr">
        <is>
          <t>Origin of Metalbending</t>
        </is>
      </c>
      <c r="C253" s="34" t="inlineStr">
        <is>
          <t>G</t>
        </is>
      </c>
      <c r="D253" s="44" t="inlineStr">
        <is>
          <t>Instant</t>
        </is>
      </c>
      <c r="E253" s="41" t="inlineStr">
        <is>
          <t>B2</t>
        </is>
      </c>
      <c r="F253" s="34" t="n">
        <v>2</v>
      </c>
      <c r="G253" s="67" t="inlineStr">
        <is>
          <t>Choose one —
• Destroy target artifact or enchantment.
• Put a +1/+1 counter on target creature you control. It gains indestructible until end of turn. (Damage and effects that say "destroy" don't destroy it.)</t>
        </is>
      </c>
      <c r="H253" s="45" t="inlineStr">
        <is>
          <t>Artifact/Enchantment Removal</t>
        </is>
      </c>
      <c r="I253" s="45" t="inlineStr">
        <is>
          <t>Choose one: destroys target artifact or enchantment</t>
        </is>
      </c>
      <c r="J253" s="45" t="inlineStr">
        <is>
          <t>Or puts a +1/+1 counter on your creature; it can't be destroyed this turn</t>
        </is>
      </c>
      <c r="K253" s="45" t="n"/>
      <c r="L253" s="41" t="n"/>
      <c r="M253" s="41" t="n"/>
      <c r="N253" s="41" t="n"/>
      <c r="O253" s="63" t="n"/>
      <c r="P253" s="63" t="n">
        <v>0.26</v>
      </c>
      <c r="Q253" s="41" t="n"/>
      <c r="R253" s="41" t="n"/>
      <c r="S253" s="41" t="n"/>
      <c r="T253" s="63" t="n"/>
      <c r="U253" s="63" t="n"/>
      <c r="V253" s="45" t="inlineStr">
        <is>
          <t>Avatar: The Last Airbender</t>
        </is>
      </c>
      <c r="W253" s="41" t="n">
        <v>3</v>
      </c>
      <c r="X253" s="37">
        <f>SUM(Y253:AE253)</f>
        <v/>
      </c>
      <c r="Y253" s="43" t="n"/>
      <c r="Z253" s="43" t="n"/>
      <c r="AA253" s="43" t="n">
        <v>1</v>
      </c>
      <c r="AB253" s="43" t="n">
        <v>1</v>
      </c>
      <c r="AC253" s="43" t="n"/>
      <c r="AD253" s="43" t="n"/>
      <c r="AE253" s="43" t="n"/>
      <c r="AF253" s="38">
        <f>IF((W253-SUM(Y253:AE253))&lt;0,0,W253-SUM(Y253:AE253))</f>
        <v/>
      </c>
      <c r="AG253" s="34">
        <f>MAX(0,$AT253-$W253-$AI253)</f>
        <v/>
      </c>
      <c r="AH253" s="34" t="n"/>
      <c r="AI253" s="34" t="n"/>
      <c r="AJ253" s="36" t="n">
        <v>0.28</v>
      </c>
      <c r="AK253" s="36">
        <f>IF(AND($AG253&gt;0,ISNUMBER($AJ253)),$AG253*$AJ253,0)</f>
        <v/>
      </c>
      <c r="AT253" s="37">
        <f>SUM(AU253:BA253)</f>
        <v/>
      </c>
      <c r="AU253" s="73" t="n"/>
      <c r="AV253" s="33" t="n"/>
      <c r="AW253" s="98" t="n">
        <v>1</v>
      </c>
      <c r="AX253" s="98" t="n">
        <v>1</v>
      </c>
      <c r="AY253" s="33" t="n"/>
      <c r="AZ253" s="33" t="n"/>
      <c r="BA253" s="74" t="n"/>
      <c r="BB253" s="106" t="n"/>
      <c r="BC253" s="42" t="n"/>
      <c r="BD253" s="46" t="n"/>
    </row>
    <row r="254" ht="15" customHeight="1" s="148">
      <c r="A254" t="inlineStr">
        <is>
          <t>c0250</t>
        </is>
      </c>
      <c r="B254" s="44" t="inlineStr">
        <is>
          <t>Overgrown Battlement</t>
        </is>
      </c>
      <c r="C254" s="34" t="inlineStr">
        <is>
          <t>G</t>
        </is>
      </c>
      <c r="D254" s="44" t="inlineStr">
        <is>
          <t>Creature</t>
        </is>
      </c>
      <c r="E254" s="41" t="inlineStr">
        <is>
          <t>B2</t>
        </is>
      </c>
      <c r="F254" s="34" t="n">
        <v>2</v>
      </c>
      <c r="G254" s="67" t="inlineStr">
        <is>
          <t>Defender
{T}: Add {G} for each creature you control with defender.
(0/4)</t>
        </is>
      </c>
      <c r="H254" s="45" t="inlineStr">
        <is>
          <t>Defender Ramp</t>
        </is>
      </c>
      <c r="I254" s="45" t="inlineStr">
        <is>
          <t>Taps for {G} for each creature you control with defender</t>
        </is>
      </c>
      <c r="J254" s="45" t="n"/>
      <c r="K254" s="45" t="n"/>
      <c r="L254" s="42" t="n"/>
      <c r="M254" s="42" t="n"/>
      <c r="N254" s="42" t="n"/>
      <c r="O254" s="63" t="n"/>
      <c r="P254" s="63" t="n">
        <v>0.35</v>
      </c>
      <c r="Q254" s="42" t="n"/>
      <c r="R254" s="42" t="n"/>
      <c r="S254" s="42" t="n"/>
      <c r="T254" s="63" t="n"/>
      <c r="U254" s="63" t="n"/>
      <c r="V254" s="45" t="inlineStr">
        <is>
          <t>Rise of the Eldrazi</t>
        </is>
      </c>
      <c r="W254" s="41" t="n">
        <v>3</v>
      </c>
      <c r="X254" s="37">
        <f>SUM(Y254:AE254)</f>
        <v/>
      </c>
      <c r="Y254" s="43" t="n"/>
      <c r="Z254" s="43" t="n"/>
      <c r="AA254" s="43" t="n"/>
      <c r="AB254" s="43" t="n">
        <v>1</v>
      </c>
      <c r="AC254" s="43" t="n"/>
      <c r="AD254" s="43" t="n"/>
      <c r="AE254" s="43" t="n">
        <v>1</v>
      </c>
      <c r="AF254" s="38">
        <f>IF((W254-SUM(Y254:AE254))&lt;0,0,W254-SUM(Y254:AE254))</f>
        <v/>
      </c>
      <c r="AG254" s="34">
        <f>MAX(0,$AT254-$W254-$AI254)</f>
        <v/>
      </c>
      <c r="AH254" s="34" t="n"/>
      <c r="AI254" s="34" t="n"/>
      <c r="AJ254" s="36" t="n">
        <v>0.34</v>
      </c>
      <c r="AK254" s="36">
        <f>IF(AND($AG254&gt;0,ISNUMBER($AJ254)),$AG254*$AJ254,0)</f>
        <v/>
      </c>
      <c r="AR254" s="58" t="n"/>
      <c r="AT254" s="37">
        <f>SUM(AU254:BA254)</f>
        <v/>
      </c>
      <c r="AU254" s="73" t="n"/>
      <c r="AV254" s="33" t="n"/>
      <c r="AW254" s="33" t="n"/>
      <c r="AX254" s="98" t="n">
        <v>1</v>
      </c>
      <c r="AY254" s="33" t="n"/>
      <c r="AZ254" s="33" t="n"/>
      <c r="BA254" s="79" t="n"/>
      <c r="BB254" s="106" t="n"/>
      <c r="BC254" s="42" t="n"/>
      <c r="BD254" s="42" t="n"/>
    </row>
    <row r="255" ht="15" customHeight="1" s="148">
      <c r="A255" t="inlineStr">
        <is>
          <t>c0251</t>
        </is>
      </c>
      <c r="B255" s="44" t="inlineStr">
        <is>
          <t>Pir, Imaginative Rascal</t>
        </is>
      </c>
      <c r="C255" s="34" t="inlineStr">
        <is>
          <t>G</t>
        </is>
      </c>
      <c r="D255" s="44" t="inlineStr">
        <is>
          <t>Legendary Creature</t>
        </is>
      </c>
      <c r="E255" s="41" t="inlineStr">
        <is>
          <t>B3</t>
        </is>
      </c>
      <c r="F255" s="34" t="n">
        <v>3</v>
      </c>
      <c r="G255" s="67" t="inlineStr">
        <is>
          <t>Partner with Toothy, Imaginary Friend (When this creature enters, target player may put Toothy into their hand from their library, then shuffle.)
If one or more counters would be put on a permanent your team controls, that many plus one of each of those kinds of counters are put on that permanent instead.
(1/1)</t>
        </is>
      </c>
      <c r="H255" s="45" t="inlineStr">
        <is>
          <t>Counters Payoff</t>
        </is>
      </c>
      <c r="I255" s="45" t="inlineStr">
        <is>
          <t>Partner with Toothy, Imaginary Friend (When this creature enters, target player may put Toothy into their hand from thei</t>
        </is>
      </c>
      <c r="J255" s="45" t="n"/>
      <c r="K255" s="45" t="n"/>
      <c r="L255" s="42" t="n"/>
      <c r="M255" s="42" t="n"/>
      <c r="N255" s="42" t="n"/>
      <c r="O255" s="42" t="n"/>
      <c r="P255" s="42" t="n">
        <v>4.48</v>
      </c>
      <c r="Q255" s="42" t="n"/>
      <c r="R255" s="42" t="n"/>
      <c r="S255" s="42" t="n"/>
      <c r="T255" s="42" t="n"/>
      <c r="U255" s="42" t="n"/>
      <c r="V255" s="45" t="inlineStr">
        <is>
          <t>Battlebond</t>
        </is>
      </c>
      <c r="W255" s="41" t="n">
        <v>0</v>
      </c>
      <c r="X255" s="37">
        <f>SUM(Y255:AE255)</f>
        <v/>
      </c>
      <c r="Y255" s="43" t="n"/>
      <c r="Z255" s="43" t="n"/>
      <c r="AA255" s="43" t="n"/>
      <c r="AB255" s="43" t="n"/>
      <c r="AC255" s="43" t="n"/>
      <c r="AD255" s="43" t="n"/>
      <c r="AE255" s="43" t="n"/>
      <c r="AF255" s="38">
        <f>IF((W255-SUM(Y255:AE255))&lt;0,0,W255-SUM(Y255:AE255))</f>
        <v/>
      </c>
      <c r="AG255" s="34">
        <f>MAX(0,$AT255-$W255-$AI255)</f>
        <v/>
      </c>
      <c r="AH255" s="34" t="n"/>
      <c r="AI255" s="34" t="n"/>
      <c r="AJ255" s="36" t="n">
        <v>5.32</v>
      </c>
      <c r="AK255" s="36">
        <f>IF(AND($AG255&gt;0,ISNUMBER($AJ255)),$AG255*$AJ255,0)</f>
        <v/>
      </c>
      <c r="AL255" s="54" t="n"/>
      <c r="AM255" s="54" t="n"/>
      <c r="AN255" s="54" t="n"/>
      <c r="AO255" s="54" t="n"/>
      <c r="AP255" s="54" t="n"/>
      <c r="AQ255" s="54" t="n"/>
      <c r="AR255" s="54" t="n"/>
      <c r="AS255" s="54" t="n"/>
      <c r="AT255" s="37">
        <f>SUM(AU255:BA255)</f>
        <v/>
      </c>
      <c r="AU255" s="92" t="n"/>
      <c r="AV255" s="38" t="n"/>
      <c r="AW255" s="38" t="n"/>
      <c r="AX255" s="38" t="n"/>
      <c r="AY255" s="38" t="n"/>
      <c r="AZ255" s="38" t="n"/>
      <c r="BA255" s="94" t="n"/>
      <c r="BB255" s="106" t="n"/>
      <c r="BC255" s="42" t="n"/>
      <c r="BD255" s="42" t="n"/>
    </row>
    <row r="256" ht="15" customHeight="1" s="148">
      <c r="A256" t="inlineStr">
        <is>
          <t>c0252</t>
        </is>
      </c>
      <c r="B256" s="44" t="inlineStr">
        <is>
          <t>Plaguemaw Beast</t>
        </is>
      </c>
      <c r="C256" s="34" t="inlineStr">
        <is>
          <t>G</t>
        </is>
      </c>
      <c r="D256" s="44" t="inlineStr">
        <is>
          <t>Creature</t>
        </is>
      </c>
      <c r="E256" s="41" t="inlineStr">
        <is>
          <t>B2</t>
        </is>
      </c>
      <c r="F256" s="34" t="n">
        <v>5</v>
      </c>
      <c r="G256" s="67" t="inlineStr">
        <is>
          <t>{T}, Sacrifice a creature: Proliferate. (Choose any number of permanents and/or players, then give each another counter of each kind already there.)
(4/3)</t>
        </is>
      </c>
      <c r="H256" s="45" t="inlineStr">
        <is>
          <t>Proliferate</t>
        </is>
      </c>
      <c r="I256" s="45" t="inlineStr">
        <is>
          <t>Sacrifice a creature and tap to proliferate</t>
        </is>
      </c>
      <c r="J256" s="45" t="n"/>
      <c r="K256" s="45" t="n"/>
      <c r="L256" s="42" t="n"/>
      <c r="M256" s="42" t="n"/>
      <c r="N256" s="42" t="n"/>
      <c r="O256" s="42" t="n"/>
      <c r="P256" s="42" t="n">
        <v>0.2</v>
      </c>
      <c r="Q256" s="42" t="n"/>
      <c r="R256" s="42" t="n"/>
      <c r="S256" s="42" t="n"/>
      <c r="T256" s="42" t="n"/>
      <c r="U256" s="42" t="n"/>
      <c r="V256" s="45" t="inlineStr">
        <is>
          <t>Mirrodin Besieged</t>
        </is>
      </c>
      <c r="W256" s="41" t="n">
        <v>1</v>
      </c>
      <c r="X256" s="37">
        <f>SUM(Y256:AE256)</f>
        <v/>
      </c>
      <c r="Y256" s="43" t="n"/>
      <c r="Z256" s="43" t="n"/>
      <c r="AA256" s="43" t="n">
        <v>1</v>
      </c>
      <c r="AB256" s="43" t="n"/>
      <c r="AC256" s="43" t="n"/>
      <c r="AD256" s="43" t="n"/>
      <c r="AE256" s="43" t="n"/>
      <c r="AF256" s="38">
        <f>IF((W256-SUM(Y256:AE256))&lt;0,0,W256-SUM(Y256:AE256))</f>
        <v/>
      </c>
      <c r="AG256" s="34">
        <f>MAX(0,$AT256-$W256-$AI256)</f>
        <v/>
      </c>
      <c r="AH256" s="34" t="inlineStr">
        <is>
          <t>GT</t>
        </is>
      </c>
      <c r="AI256" s="34" t="n"/>
      <c r="AJ256" s="36" t="n">
        <v>0.22</v>
      </c>
      <c r="AK256" s="36">
        <f>IF(AND($AG256&gt;0,ISNUMBER($AJ256)),$AG256*$AJ256,0)</f>
        <v/>
      </c>
      <c r="AN256" s="58" t="n"/>
      <c r="AS256" s="86" t="n">
        <v>1</v>
      </c>
      <c r="AT256" s="37">
        <f>SUM(AU256:BA256)</f>
        <v/>
      </c>
      <c r="AU256" s="73" t="n"/>
      <c r="AV256" s="33" t="n"/>
      <c r="AW256" s="98" t="n">
        <v>1</v>
      </c>
      <c r="AX256" s="33" t="n"/>
      <c r="AY256" s="33" t="n"/>
      <c r="AZ256" s="33" t="n"/>
      <c r="BA256" s="74" t="n"/>
      <c r="BB256" s="106" t="n"/>
      <c r="BC256" s="42" t="n"/>
      <c r="BD256" s="42" t="n"/>
    </row>
    <row r="257" ht="15" customHeight="1" s="148">
      <c r="A257" t="inlineStr">
        <is>
          <t>c0253</t>
        </is>
      </c>
      <c r="B257" s="44" t="inlineStr">
        <is>
          <t>Portcullis Vine</t>
        </is>
      </c>
      <c r="C257" s="34" t="inlineStr">
        <is>
          <t>G</t>
        </is>
      </c>
      <c r="D257" s="44" t="inlineStr">
        <is>
          <t>Creature</t>
        </is>
      </c>
      <c r="E257" s="41" t="inlineStr">
        <is>
          <t>B2</t>
        </is>
      </c>
      <c r="F257" s="34" t="n">
        <v>1</v>
      </c>
      <c r="G257" s="67" t="inlineStr">
        <is>
          <t>Defender (This creature can't attack.)
{2}, {T}, Sacrifice a creature with defender: Draw a card.
(0/3)</t>
        </is>
      </c>
      <c r="H257" s="45" t="inlineStr">
        <is>
          <t>Defender Ramp</t>
        </is>
      </c>
      <c r="I257" s="45" t="inlineStr">
        <is>
          <t>Can't attack</t>
        </is>
      </c>
      <c r="J257" s="45" t="inlineStr">
        <is>
          <t>Pay {2}, tap, sacrifice a creature that can't attack: draw a card</t>
        </is>
      </c>
      <c r="K257" s="45" t="n"/>
      <c r="L257" s="42" t="n"/>
      <c r="M257" s="42" t="n"/>
      <c r="N257" s="42" t="n"/>
      <c r="O257" s="63" t="n"/>
      <c r="P257" s="63" t="n">
        <v>0.2</v>
      </c>
      <c r="Q257" s="42" t="n"/>
      <c r="R257" s="42" t="n"/>
      <c r="S257" s="42" t="n"/>
      <c r="T257" s="63" t="n"/>
      <c r="U257" s="63" t="n"/>
      <c r="V257" s="45" t="inlineStr">
        <is>
          <t>Guilds of Ravnica</t>
        </is>
      </c>
      <c r="W257" s="41" t="n">
        <v>2</v>
      </c>
      <c r="X257" s="37">
        <f>SUM(Y257:AE257)</f>
        <v/>
      </c>
      <c r="Y257" s="43" t="n"/>
      <c r="Z257" s="43" t="n"/>
      <c r="AA257" s="43" t="n"/>
      <c r="AB257" s="43" t="n">
        <v>1</v>
      </c>
      <c r="AC257" s="43" t="n"/>
      <c r="AD257" s="43" t="n"/>
      <c r="AE257" s="43" t="n"/>
      <c r="AF257" s="38">
        <f>IF((W257-SUM(Y257:AE257))&lt;0,0,W257-SUM(Y257:AE257))</f>
        <v/>
      </c>
      <c r="AG257" s="34">
        <f>MAX(0,$AT257-$W257-$AI257)</f>
        <v/>
      </c>
      <c r="AH257" s="34" t="n"/>
      <c r="AI257" s="34" t="n"/>
      <c r="AJ257" s="36" t="n">
        <v>0.22</v>
      </c>
      <c r="AK257" s="36">
        <f>IF(AND($AG257&gt;0,ISNUMBER($AJ257)),$AG257*$AJ257,0)</f>
        <v/>
      </c>
      <c r="AO257" s="58" t="n"/>
      <c r="AT257" s="37">
        <f>SUM(AU257:BA257)</f>
        <v/>
      </c>
      <c r="AU257" s="73" t="n"/>
      <c r="AV257" s="33" t="n"/>
      <c r="AW257" s="33" t="n"/>
      <c r="AX257" s="98" t="n">
        <v>1</v>
      </c>
      <c r="AY257" s="33" t="n"/>
      <c r="AZ257" s="33" t="n"/>
      <c r="BA257" s="74" t="n"/>
      <c r="BB257" s="106" t="n"/>
      <c r="BC257" s="42" t="n"/>
      <c r="BD257" s="42" t="n"/>
    </row>
    <row r="258" ht="15" customHeight="1" s="148">
      <c r="A258" t="inlineStr">
        <is>
          <t>c0254</t>
        </is>
      </c>
      <c r="B258" s="39" t="inlineStr">
        <is>
          <t>Quarrel</t>
        </is>
      </c>
      <c r="C258" s="40" t="inlineStr">
        <is>
          <t>G</t>
        </is>
      </c>
      <c r="D258" s="39" t="inlineStr">
        <is>
          <t>Instant</t>
        </is>
      </c>
      <c r="E258" s="41" t="inlineStr">
        <is>
          <t>B2</t>
        </is>
      </c>
      <c r="F258" s="40" t="n">
        <v>2</v>
      </c>
      <c r="G258" s="67" t="inlineStr">
        <is>
          <t>Target creature you control deals damage equal to its power to target creature an opponent controls.</t>
        </is>
      </c>
      <c r="H258" s="39" t="inlineStr">
        <is>
          <t>Removal</t>
        </is>
      </c>
      <c r="I258" s="39" t="inlineStr">
        <is>
          <t>Target creature you control deals damage equal to its power to target creature an opponent controls</t>
        </is>
      </c>
      <c r="J258" s="39" t="n"/>
      <c r="K258" s="39" t="n"/>
      <c r="L258" s="42" t="n"/>
      <c r="M258" s="42" t="n"/>
      <c r="N258" s="42" t="n"/>
      <c r="O258" s="63" t="n"/>
      <c r="P258" s="63" t="n"/>
      <c r="Q258" s="42" t="n"/>
      <c r="R258" s="42" t="n"/>
      <c r="S258" s="42" t="n"/>
      <c r="T258" s="63" t="n"/>
      <c r="U258" s="63" t="n"/>
      <c r="V258" s="39" t="inlineStr">
        <is>
          <t>The Hobbit</t>
        </is>
      </c>
      <c r="W258" s="41" t="n">
        <v>2</v>
      </c>
      <c r="X258" s="37">
        <f>SUM(Y258:AE258)</f>
        <v/>
      </c>
      <c r="Y258" s="43" t="n"/>
      <c r="Z258" s="43" t="n"/>
      <c r="AA258" s="43" t="n"/>
      <c r="AB258" s="43" t="n"/>
      <c r="AC258" s="43" t="n"/>
      <c r="AD258" s="43" t="n"/>
      <c r="AE258" s="43" t="n"/>
      <c r="AF258" s="38">
        <f>IF((W258-SUM(Y258:AE258))&lt;0,0,W258-SUM(Y258:AE258))</f>
        <v/>
      </c>
      <c r="AG258" s="34">
        <f>MAX(0,$AT258-$W258-$AI258)</f>
        <v/>
      </c>
      <c r="AH258" s="39" t="n"/>
      <c r="AI258" s="39" t="n"/>
      <c r="AJ258" s="39" t="n">
        <v>0.1</v>
      </c>
      <c r="AK258" s="39">
        <f>IF(AND($AG258&gt;0,ISNUMBER($AJ258)),$AG258*$AJ258,0)</f>
        <v/>
      </c>
      <c r="AR258" s="58" t="n"/>
      <c r="AS258" s="58" t="n"/>
      <c r="AT258" s="37">
        <f>SUM(AU258:BA258)</f>
        <v/>
      </c>
      <c r="AU258" s="73" t="n"/>
      <c r="AV258" s="33" t="n"/>
      <c r="AW258" s="33" t="n"/>
      <c r="AX258" s="33" t="n"/>
      <c r="AY258" s="33" t="n"/>
      <c r="AZ258" s="33" t="n"/>
      <c r="BA258" s="74" t="n"/>
      <c r="BB258" s="107" t="n"/>
      <c r="BC258" s="42" t="n"/>
      <c r="BD258" s="42" t="n"/>
    </row>
    <row r="259" ht="15" customHeight="1" s="148">
      <c r="A259" t="inlineStr">
        <is>
          <t>c0255</t>
        </is>
      </c>
      <c r="B259" s="39" t="inlineStr">
        <is>
          <t>Rampant Growth</t>
        </is>
      </c>
      <c r="C259" s="40" t="inlineStr">
        <is>
          <t>G</t>
        </is>
      </c>
      <c r="D259" s="39" t="inlineStr">
        <is>
          <t>Sorcery</t>
        </is>
      </c>
      <c r="E259" s="41" t="inlineStr">
        <is>
          <t>B2</t>
        </is>
      </c>
      <c r="F259" s="40" t="n">
        <v>2</v>
      </c>
      <c r="G259" s="67" t="inlineStr">
        <is>
          <t>Search your library for a basic land card, put that card onto the battlefield tapped, then shuffle.</t>
        </is>
      </c>
      <c r="H259" s="39" t="inlineStr">
        <is>
          <t>Ramp</t>
        </is>
      </c>
      <c r="I259" s="39" t="inlineStr">
        <is>
          <t>Search your library for a basic land card, put that card onto the battlefield tapped, then shuffle</t>
        </is>
      </c>
      <c r="J259" s="39" t="n"/>
      <c r="K259" s="39" t="n"/>
      <c r="L259" s="88" t="n"/>
      <c r="M259" s="41" t="n"/>
      <c r="N259" s="41" t="n"/>
      <c r="O259" s="63" t="n"/>
      <c r="P259" s="90" t="n">
        <v>0.59</v>
      </c>
      <c r="Q259" s="88" t="n"/>
      <c r="R259" s="41" t="n"/>
      <c r="S259" s="41" t="n"/>
      <c r="T259" s="63" t="n"/>
      <c r="U259" s="91" t="n"/>
      <c r="V259" s="39" t="inlineStr">
        <is>
          <t>Mirage</t>
        </is>
      </c>
      <c r="W259" s="41" t="n">
        <v>0</v>
      </c>
      <c r="X259" s="37">
        <f>SUM(Y259:AE259)</f>
        <v/>
      </c>
      <c r="Y259" s="43" t="n"/>
      <c r="Z259" s="43" t="n"/>
      <c r="AA259" s="43" t="n"/>
      <c r="AB259" s="43" t="n"/>
      <c r="AC259" s="43" t="n"/>
      <c r="AD259" s="43" t="n"/>
      <c r="AE259" s="43" t="n"/>
      <c r="AF259" s="38">
        <f>IF((W259-SUM(Y259:AE259))&lt;0,0,W259-SUM(Y259:AE259))</f>
        <v/>
      </c>
      <c r="AG259" s="34">
        <f>MAX(0,$AT259-$W259-$AI259)</f>
        <v/>
      </c>
      <c r="AH259" s="39" t="n"/>
      <c r="AI259" s="39" t="n"/>
      <c r="AJ259" s="39" t="n">
        <v>0.62</v>
      </c>
      <c r="AK259" s="39">
        <f>IF(AND($AG259&gt;0,ISNUMBER($AJ259)),$AG259*$AJ259,0)</f>
        <v/>
      </c>
      <c r="AT259" s="37">
        <f>SUM(AU259:BA259)</f>
        <v/>
      </c>
      <c r="AU259" s="73" t="n"/>
      <c r="AV259" s="33" t="n">
        <v>1</v>
      </c>
      <c r="AW259" s="33" t="n"/>
      <c r="AX259" s="33" t="n">
        <v>1</v>
      </c>
      <c r="AY259" s="33" t="n"/>
      <c r="AZ259" s="33" t="n"/>
      <c r="BA259" s="74" t="n">
        <v>1</v>
      </c>
      <c r="BB259" s="107" t="n"/>
      <c r="BC259" s="42" t="n"/>
      <c r="BD259" s="42" t="n"/>
    </row>
    <row r="260" ht="15" customHeight="1" s="148">
      <c r="A260" t="inlineStr">
        <is>
          <t>c0256</t>
        </is>
      </c>
      <c r="B260" s="44" t="inlineStr">
        <is>
          <t>Rampart Architect</t>
        </is>
      </c>
      <c r="C260" s="34" t="inlineStr">
        <is>
          <t>G</t>
        </is>
      </c>
      <c r="D260" s="44" t="inlineStr">
        <is>
          <t>Creature</t>
        </is>
      </c>
      <c r="E260" s="41" t="inlineStr">
        <is>
          <t>B2</t>
        </is>
      </c>
      <c r="F260" s="34" t="n">
        <v>4</v>
      </c>
      <c r="G260" s="67" t="inlineStr">
        <is>
          <t>Whenever this creature enters or attacks, create a 1/3 white Wall creature token with defender.
Whenever a creature you control with defender dies, you may search your library for a basic land card, put that card onto the battlefield tapped, then shuffle.
(3/4)</t>
        </is>
      </c>
      <c r="H260" s="45" t="inlineStr">
        <is>
          <t>Token Producer</t>
        </is>
      </c>
      <c r="I260" s="45" t="inlineStr">
        <is>
          <t>Creates a 1/3 Wall token with defender when it enters or attacks</t>
        </is>
      </c>
      <c r="J260" s="45" t="inlineStr">
        <is>
          <t>Fetches a basic land to battlefield tapped when a defender you control dies</t>
        </is>
      </c>
      <c r="K260" s="45" t="n"/>
      <c r="L260" s="42" t="n"/>
      <c r="M260" s="42" t="n"/>
      <c r="N260" s="42" t="n"/>
      <c r="O260" s="42" t="n"/>
      <c r="P260" s="42" t="n">
        <v>0.32</v>
      </c>
      <c r="Q260" s="42" t="n"/>
      <c r="R260" s="42" t="n"/>
      <c r="S260" s="42" t="n"/>
      <c r="T260" s="42" t="n"/>
      <c r="U260" s="42" t="n"/>
      <c r="V260" s="45" t="inlineStr">
        <is>
          <t>Tarkir: Dragonstorm Commander</t>
        </is>
      </c>
      <c r="W260" s="41" t="n">
        <v>0</v>
      </c>
      <c r="X260" s="37">
        <f>SUM(Y260:AE260)</f>
        <v/>
      </c>
      <c r="Y260" s="43" t="n"/>
      <c r="Z260" s="43" t="n"/>
      <c r="AA260" s="43" t="n"/>
      <c r="AB260" s="43" t="n"/>
      <c r="AC260" s="43" t="n"/>
      <c r="AD260" s="43" t="n"/>
      <c r="AE260" s="43" t="n"/>
      <c r="AF260" s="38">
        <f>IF((W260-SUM(Y260:AE260))&lt;0,0,W260-SUM(Y260:AE260))</f>
        <v/>
      </c>
      <c r="AG260" s="34">
        <f>MAX(0,$AT260-$W260-$AI260)</f>
        <v/>
      </c>
      <c r="AH260" s="34" t="inlineStr">
        <is>
          <t>TCG</t>
        </is>
      </c>
      <c r="AI260" s="34" t="n">
        <v>1</v>
      </c>
      <c r="AJ260" s="36" t="n">
        <v>0.31</v>
      </c>
      <c r="AK260" s="36">
        <f>IF(AND($AG260&gt;0,ISNUMBER($AJ260)),$AG260*$AJ260,0)</f>
        <v/>
      </c>
      <c r="AL260" s="54" t="n"/>
      <c r="AM260" s="54" t="n"/>
      <c r="AN260" s="54" t="n"/>
      <c r="AO260" s="54" t="n"/>
      <c r="AP260" s="54" t="n"/>
      <c r="AQ260" s="54" t="n"/>
      <c r="AR260" s="54" t="n"/>
      <c r="AS260" s="54" t="n"/>
      <c r="AT260" s="37">
        <f>SUM(AU260:BA260)</f>
        <v/>
      </c>
      <c r="AU260" s="92" t="n"/>
      <c r="AV260" s="38" t="n"/>
      <c r="AW260" s="38" t="n"/>
      <c r="AX260" s="38" t="n"/>
      <c r="AY260" s="38" t="n"/>
      <c r="AZ260" s="38" t="n"/>
      <c r="BA260" s="94" t="n"/>
      <c r="BB260" s="106" t="n"/>
      <c r="BC260" s="42" t="n"/>
      <c r="BD260" s="42" t="n"/>
    </row>
    <row r="261" ht="15" customHeight="1" s="148">
      <c r="A261" t="inlineStr">
        <is>
          <t>c0257</t>
        </is>
      </c>
      <c r="B261" s="44" t="inlineStr">
        <is>
          <t>Rebellious Captives</t>
        </is>
      </c>
      <c r="C261" s="34" t="inlineStr">
        <is>
          <t>G</t>
        </is>
      </c>
      <c r="D261" s="44" t="inlineStr">
        <is>
          <t>Creature</t>
        </is>
      </c>
      <c r="E261" s="41" t="inlineStr">
        <is>
          <t>B2</t>
        </is>
      </c>
      <c r="F261" s="34" t="n">
        <v>2</v>
      </c>
      <c r="G261" s="67" t="inlineStr">
        <is>
          <t>Exhaust — {6}: Put two +1/+1 counters on this creature, then earthbend 2. (Target land you control becomes a 0/0 creature with haste that's still a land. Put two +1/+1 counters on it. When it dies or is exiled, return it to the battlefield tapped. Activate each exhaust ability only once.)
(2/2)</t>
        </is>
      </c>
      <c r="H261" s="45" t="inlineStr">
        <is>
          <t>Counters Payoff</t>
        </is>
      </c>
      <c r="I261" s="45" t="inlineStr">
        <is>
          <t>Pay {6} once to put two +1/+1 counters on itself</t>
        </is>
      </c>
      <c r="J261" s="45" t="inlineStr">
        <is>
          <t>Then animates target land into a 0/0 hasty creature with two +1/+1 counters</t>
        </is>
      </c>
      <c r="K261" s="45" t="n"/>
      <c r="L261" s="42" t="n"/>
      <c r="M261" s="42" t="n"/>
      <c r="N261" s="42" t="n"/>
      <c r="O261" s="63" t="n"/>
      <c r="P261" s="63" t="n">
        <v>0.07000000000000001</v>
      </c>
      <c r="Q261" s="42" t="n"/>
      <c r="R261" s="42" t="n"/>
      <c r="S261" s="42" t="n"/>
      <c r="T261" s="63" t="n"/>
      <c r="U261" s="63" t="n"/>
      <c r="V261" s="45" t="inlineStr">
        <is>
          <t>Avatar: The Last Airbender</t>
        </is>
      </c>
      <c r="W261" s="41" t="n">
        <v>1</v>
      </c>
      <c r="X261" s="37">
        <f>SUM(Y261:AE261)</f>
        <v/>
      </c>
      <c r="Y261" s="43" t="n"/>
      <c r="Z261" s="43" t="n"/>
      <c r="AA261" s="43" t="n"/>
      <c r="AB261" s="43" t="n"/>
      <c r="AC261" s="43" t="n"/>
      <c r="AD261" s="43" t="n"/>
      <c r="AE261" s="43" t="n"/>
      <c r="AF261" s="38">
        <f>IF((W261-SUM(Y261:AE261))&lt;0,0,W261-SUM(Y261:AE261))</f>
        <v/>
      </c>
      <c r="AG261" s="34">
        <f>MAX(0,$AT261-$W261-$AI261)</f>
        <v/>
      </c>
      <c r="AH261" s="34" t="n"/>
      <c r="AI261" s="34" t="n"/>
      <c r="AJ261" s="36" t="n">
        <v>0.08</v>
      </c>
      <c r="AK261" s="36">
        <f>IF(AND($AG261&gt;0,ISNUMBER($AJ261)),$AG261*$AJ261,0)</f>
        <v/>
      </c>
      <c r="AT261" s="37">
        <f>SUM(AU261:BA261)</f>
        <v/>
      </c>
      <c r="AU261" s="73" t="n"/>
      <c r="AV261" s="33" t="n"/>
      <c r="AW261" s="33" t="n"/>
      <c r="AX261" s="33" t="n"/>
      <c r="AY261" s="33" t="n"/>
      <c r="AZ261" s="33" t="n"/>
      <c r="BA261" s="74" t="n"/>
      <c r="BB261" s="106" t="n"/>
      <c r="BC261" s="42" t="n"/>
      <c r="BD261" s="42" t="n"/>
    </row>
    <row r="262" ht="15" customHeight="1" s="148">
      <c r="A262" t="inlineStr">
        <is>
          <t>c0258</t>
        </is>
      </c>
      <c r="B262" s="44" t="inlineStr">
        <is>
          <t>Reclamation Sage</t>
        </is>
      </c>
      <c r="C262" s="34" t="inlineStr">
        <is>
          <t>G</t>
        </is>
      </c>
      <c r="D262" s="44" t="inlineStr">
        <is>
          <t>Creature</t>
        </is>
      </c>
      <c r="E262" s="41" t="inlineStr">
        <is>
          <t>B2</t>
        </is>
      </c>
      <c r="F262" s="34" t="n">
        <v>3</v>
      </c>
      <c r="G262" s="67" t="inlineStr">
        <is>
          <t>When this creature enters, you may destroy target artifact or enchantment.
(2/1)</t>
        </is>
      </c>
      <c r="H262" s="45" t="inlineStr">
        <is>
          <t>Artifact/Enchantment Removal</t>
        </is>
      </c>
      <c r="I262" s="45" t="inlineStr">
        <is>
          <t>Destroys target artifact or enchantment when it enters</t>
        </is>
      </c>
      <c r="J262" s="45" t="n"/>
      <c r="K262" s="45" t="n"/>
      <c r="L262" s="41" t="n"/>
      <c r="M262" s="41" t="n"/>
      <c r="N262" s="41" t="n"/>
      <c r="O262" s="41" t="n"/>
      <c r="P262" s="41" t="n">
        <v>0.32</v>
      </c>
      <c r="Q262" s="41" t="n"/>
      <c r="R262" s="41" t="n"/>
      <c r="S262" s="41" t="n"/>
      <c r="T262" s="41" t="n"/>
      <c r="U262" s="41" t="n"/>
      <c r="V262" s="45" t="inlineStr">
        <is>
          <t>Magic 2015</t>
        </is>
      </c>
      <c r="W262" s="41" t="n">
        <v>1</v>
      </c>
      <c r="X262" s="37">
        <f>SUM(Y262:AE262)</f>
        <v/>
      </c>
      <c r="Y262" s="43" t="n"/>
      <c r="Z262" s="43" t="n">
        <v>1</v>
      </c>
      <c r="AA262" s="43" t="n"/>
      <c r="AB262" s="43" t="n"/>
      <c r="AC262" s="43" t="n"/>
      <c r="AD262" s="43" t="n"/>
      <c r="AE262" s="43" t="n"/>
      <c r="AF262" s="38">
        <f>IF((W262-SUM(Y262:AE262))&lt;0,0,W262-SUM(Y262:AE262))</f>
        <v/>
      </c>
      <c r="AG262" s="34">
        <f>MAX(0,$AT262-$W262-$AI262)</f>
        <v/>
      </c>
      <c r="AH262" s="34" t="n"/>
      <c r="AI262" s="34" t="n"/>
      <c r="AJ262" s="36" t="n">
        <v>0.35</v>
      </c>
      <c r="AK262" s="36">
        <f>IF(AND($AG262&gt;0,ISNUMBER($AJ262)),$AG262*$AJ262,0)</f>
        <v/>
      </c>
      <c r="AT262" s="37">
        <f>SUM(AU262:BA262)</f>
        <v/>
      </c>
      <c r="AU262" s="73" t="n"/>
      <c r="AV262" s="98" t="n">
        <v>1</v>
      </c>
      <c r="AW262" s="33" t="n"/>
      <c r="AX262" s="33" t="n"/>
      <c r="AY262" s="33" t="n"/>
      <c r="AZ262" s="33" t="n"/>
      <c r="BA262" s="74" t="n"/>
      <c r="BB262" s="106" t="n"/>
      <c r="BC262" s="42" t="n"/>
      <c r="BD262" s="42" t="n"/>
    </row>
    <row r="263" ht="15" customHeight="1" s="148">
      <c r="A263" t="inlineStr">
        <is>
          <t>c0259</t>
        </is>
      </c>
      <c r="B263" s="30" t="inlineStr">
        <is>
          <t>Royal Treatment</t>
        </is>
      </c>
      <c r="C263" s="31" t="inlineStr">
        <is>
          <t>G</t>
        </is>
      </c>
      <c r="D263" s="30" t="inlineStr">
        <is>
          <t>Instant</t>
        </is>
      </c>
      <c r="E263" s="33" t="inlineStr">
        <is>
          <t>B2</t>
        </is>
      </c>
      <c r="F263" s="31" t="n">
        <v>1</v>
      </c>
      <c r="G263" s="67" t="inlineStr">
        <is>
          <t>Target creature you control gains hexproof until end of turn. Create a Royal Role token attached to that creature. (If you control another Role on it, put that one into the graveyard. Enchanted creature gets +1/+1 and has ward {1}.)</t>
        </is>
      </c>
      <c r="H263" s="30" t="inlineStr">
        <is>
          <t>Protection</t>
        </is>
      </c>
      <c r="I263" s="30" t="inlineStr">
        <is>
          <t>Target creature you control gains hexproof until end of turn</t>
        </is>
      </c>
      <c r="J263" s="30" t="inlineStr">
        <is>
          <t>Creates a Royal Role token attached to it, giving +1/+1 and ward {1}</t>
        </is>
      </c>
      <c r="K263" s="30" t="n"/>
      <c r="L263" s="89" t="inlineStr">
        <is>
          <t>56</t>
        </is>
      </c>
      <c r="M263" s="33" t="n">
        <v>1</v>
      </c>
      <c r="N263" s="33" t="n">
        <v>0</v>
      </c>
      <c r="O263" s="63" t="n"/>
      <c r="P263" s="90" t="n">
        <v>0.27</v>
      </c>
      <c r="Q263" s="32" t="inlineStr">
        <is>
          <t>Uncommon</t>
        </is>
      </c>
      <c r="R263" s="32" t="n"/>
      <c r="S263" s="32" t="n"/>
      <c r="T263" s="63" t="n"/>
      <c r="U263" s="63" t="n"/>
      <c r="V263" s="30" t="inlineStr">
        <is>
          <t>Secrets of Strixhaven Mystical Archive</t>
        </is>
      </c>
      <c r="W263" s="41" t="n">
        <v>1</v>
      </c>
      <c r="X263" s="37">
        <f>SUM(Y263:AE263)</f>
        <v/>
      </c>
      <c r="Y263" s="43" t="n"/>
      <c r="Z263" s="43" t="n"/>
      <c r="AA263" s="43" t="n"/>
      <c r="AB263" s="43" t="n"/>
      <c r="AC263" s="43" t="n"/>
      <c r="AD263" s="43" t="n"/>
      <c r="AE263" s="43" t="n"/>
      <c r="AF263" s="38">
        <f>IF((W263-SUM(Y263:AE263))&lt;0,0,W263-SUM(Y263:AE263))</f>
        <v/>
      </c>
      <c r="AG263" s="34">
        <f>MAX(0,$AT263-$W263-$AI263)</f>
        <v/>
      </c>
      <c r="AH263" s="30" t="n"/>
      <c r="AI263" s="30" t="n"/>
      <c r="AJ263" s="35" t="n">
        <v>0.29</v>
      </c>
      <c r="AK263" s="36">
        <f>IF(AND($AG263&gt;0,ISNUMBER($AJ263)),$AG263*$AJ263,0)</f>
        <v/>
      </c>
      <c r="AT263" s="37">
        <f>SUM(AU263:BA263)</f>
        <v/>
      </c>
      <c r="AU263" s="73" t="n"/>
      <c r="AV263" s="33" t="n"/>
      <c r="AW263" s="33" t="n"/>
      <c r="AX263" s="33" t="n"/>
      <c r="AY263" s="33" t="n"/>
      <c r="AZ263" s="33" t="n"/>
      <c r="BA263" s="74" t="n"/>
      <c r="BB263" s="108" t="n"/>
      <c r="BC263" s="32" t="n"/>
      <c r="BD263" s="32" t="n"/>
    </row>
    <row r="264" ht="15" customHeight="1" s="148">
      <c r="A264" t="inlineStr">
        <is>
          <t>c0260</t>
        </is>
      </c>
      <c r="B264" s="44" t="inlineStr">
        <is>
          <t>Saruli Caretaker</t>
        </is>
      </c>
      <c r="C264" s="34" t="inlineStr">
        <is>
          <t>G</t>
        </is>
      </c>
      <c r="D264" s="44" t="inlineStr">
        <is>
          <t>Creature</t>
        </is>
      </c>
      <c r="E264" s="41" t="inlineStr">
        <is>
          <t>B2</t>
        </is>
      </c>
      <c r="F264" s="34" t="n">
        <v>1</v>
      </c>
      <c r="G264" s="67" t="inlineStr">
        <is>
          <t>Defender
{T}, Tap an untapped creature you control: Add one mana of any color.
(0/3)</t>
        </is>
      </c>
      <c r="H264" s="45" t="inlineStr">
        <is>
          <t>Defender Ramp</t>
        </is>
      </c>
      <c r="I264" s="45" t="inlineStr">
        <is>
          <t>Defender</t>
        </is>
      </c>
      <c r="J264" s="45" t="inlineStr">
        <is>
          <t>{T}, Tap an untapped creature you control: Add one mana of any color</t>
        </is>
      </c>
      <c r="K264" s="45" t="n"/>
      <c r="L264" s="42" t="n"/>
      <c r="M264" s="42" t="n"/>
      <c r="N264" s="42" t="n"/>
      <c r="O264" s="42" t="n"/>
      <c r="P264" s="42" t="n">
        <v>0.29</v>
      </c>
      <c r="Q264" s="42" t="n"/>
      <c r="R264" s="42" t="n"/>
      <c r="S264" s="42" t="n"/>
      <c r="T264" s="42" t="n"/>
      <c r="U264" s="42" t="n"/>
      <c r="V264" s="45" t="inlineStr">
        <is>
          <t>Ravnica Allegiance</t>
        </is>
      </c>
      <c r="W264" s="41" t="n">
        <v>0</v>
      </c>
      <c r="X264" s="37">
        <f>SUM(Y264:AE264)</f>
        <v/>
      </c>
      <c r="Y264" s="43" t="n"/>
      <c r="Z264" s="43" t="n"/>
      <c r="AA264" s="43" t="n"/>
      <c r="AB264" s="43" t="n"/>
      <c r="AC264" s="43" t="n"/>
      <c r="AD264" s="43" t="n"/>
      <c r="AE264" s="43" t="n"/>
      <c r="AF264" s="38">
        <f>IF((W264-SUM(Y264:AE264))&lt;0,0,W264-SUM(Y264:AE264))</f>
        <v/>
      </c>
      <c r="AG264" s="34">
        <f>MAX(0,$AT264-$W264-$AI264)</f>
        <v/>
      </c>
      <c r="AH264" s="34" t="n"/>
      <c r="AI264" s="34" t="n"/>
      <c r="AJ264" s="36" t="n">
        <v>0.27</v>
      </c>
      <c r="AK264" s="36">
        <f>IF(AND($AG264&gt;0,ISNUMBER($AJ264)),$AG264*$AJ264,0)</f>
        <v/>
      </c>
      <c r="AL264" s="54" t="n"/>
      <c r="AM264" s="54" t="n"/>
      <c r="AN264" s="54" t="n"/>
      <c r="AO264" s="54" t="n"/>
      <c r="AP264" s="54" t="n"/>
      <c r="AQ264" s="54" t="n"/>
      <c r="AR264" s="54" t="n"/>
      <c r="AS264" s="54" t="n"/>
      <c r="AT264" s="37">
        <f>SUM(AU264:BA264)</f>
        <v/>
      </c>
      <c r="AU264" s="92" t="n"/>
      <c r="AV264" s="38" t="n"/>
      <c r="AW264" s="38" t="n"/>
      <c r="AX264" s="38" t="n">
        <v>1</v>
      </c>
      <c r="AY264" s="38" t="n"/>
      <c r="AZ264" s="38" t="n"/>
      <c r="BA264" s="94" t="n"/>
      <c r="BB264" s="106" t="n"/>
      <c r="BC264" s="42" t="n"/>
      <c r="BD264" s="48" t="n"/>
    </row>
    <row r="265" ht="15" customHeight="1" s="148">
      <c r="A265" t="inlineStr">
        <is>
          <t>c0261</t>
        </is>
      </c>
      <c r="B265" s="44" t="inlineStr">
        <is>
          <t>Satyr Wayfinder</t>
        </is>
      </c>
      <c r="C265" s="34" t="inlineStr">
        <is>
          <t>G</t>
        </is>
      </c>
      <c r="D265" s="44" t="inlineStr">
        <is>
          <t>Creature</t>
        </is>
      </c>
      <c r="E265" s="41" t="inlineStr">
        <is>
          <t>B2</t>
        </is>
      </c>
      <c r="F265" s="34" t="n">
        <v>2</v>
      </c>
      <c r="G265" s="67" t="inlineStr">
        <is>
          <t>When this creature enters, reveal the top four cards of your library. You may put a land card from among them into your hand. Put the rest into your graveyard.
(1/1)</t>
        </is>
      </c>
      <c r="H265" s="45" t="inlineStr">
        <is>
          <t>Card Selection</t>
        </is>
      </c>
      <c r="I265" s="45" t="inlineStr">
        <is>
          <t>Reveals top four cards; puts a land card into your hand and the rest into your graveyard</t>
        </is>
      </c>
      <c r="J265" s="45" t="n"/>
      <c r="K265" s="45" t="n"/>
      <c r="L265" s="41" t="n"/>
      <c r="M265" s="41" t="n"/>
      <c r="N265" s="41" t="n"/>
      <c r="O265" s="41" t="n"/>
      <c r="P265" s="41" t="n">
        <v>0.22</v>
      </c>
      <c r="Q265" s="41" t="n"/>
      <c r="R265" s="41" t="n"/>
      <c r="S265" s="41" t="n"/>
      <c r="T265" s="41" t="n"/>
      <c r="U265" s="41" t="n"/>
      <c r="V265" s="45" t="inlineStr">
        <is>
          <t>Born of the Gods</t>
        </is>
      </c>
      <c r="W265" s="41" t="n">
        <v>1</v>
      </c>
      <c r="X265" s="37">
        <f>SUM(Y265:AE265)</f>
        <v/>
      </c>
      <c r="Y265" s="43" t="n"/>
      <c r="Z265" s="43" t="n">
        <v>1</v>
      </c>
      <c r="AA265" s="43" t="n"/>
      <c r="AB265" s="43" t="n"/>
      <c r="AC265" s="43" t="n"/>
      <c r="AD265" s="43" t="n"/>
      <c r="AE265" s="43" t="n"/>
      <c r="AF265" s="38">
        <f>IF((W265-SUM(Y265:AE265))&lt;0,0,W265-SUM(Y265:AE265))</f>
        <v/>
      </c>
      <c r="AG265" s="34">
        <f>MAX(0,$AT265-$W265-$AI265)</f>
        <v/>
      </c>
      <c r="AH265" s="34" t="n"/>
      <c r="AI265" s="34" t="n"/>
      <c r="AJ265" s="36" t="n">
        <v>0.23</v>
      </c>
      <c r="AK265" s="36">
        <f>IF(AND($AG265&gt;0,ISNUMBER($AJ265)),$AG265*$AJ265,0)</f>
        <v/>
      </c>
      <c r="AM265" s="58" t="n"/>
      <c r="AT265" s="37">
        <f>SUM(AU265:BA265)</f>
        <v/>
      </c>
      <c r="AU265" s="73" t="n"/>
      <c r="AV265" s="99" t="n"/>
      <c r="AW265" s="33" t="n"/>
      <c r="AX265" s="33" t="n"/>
      <c r="AY265" s="33" t="n"/>
      <c r="AZ265" s="33" t="n"/>
      <c r="BA265" s="74" t="n"/>
      <c r="BB265" s="106" t="n"/>
      <c r="BC265" s="42" t="n"/>
      <c r="BD265" s="42" t="n"/>
    </row>
    <row r="266" ht="15" customHeight="1" s="148">
      <c r="A266" t="inlineStr">
        <is>
          <t>c0262</t>
        </is>
      </c>
      <c r="B266" s="30" t="inlineStr">
        <is>
          <t>Shared Roots</t>
        </is>
      </c>
      <c r="C266" s="31" t="inlineStr">
        <is>
          <t>G</t>
        </is>
      </c>
      <c r="D266" s="30" t="inlineStr">
        <is>
          <t>Sorcery</t>
        </is>
      </c>
      <c r="E266" s="33" t="inlineStr">
        <is>
          <t>B2</t>
        </is>
      </c>
      <c r="F266" s="30" t="n">
        <v>2</v>
      </c>
      <c r="G266" s="67" t="inlineStr">
        <is>
          <t>Search your library for a basic land card, put it onto the battlefield tapped, then shuffle.</t>
        </is>
      </c>
      <c r="H266" s="30" t="inlineStr">
        <is>
          <t>Ramp</t>
        </is>
      </c>
      <c r="I266" s="30" t="inlineStr">
        <is>
          <t>Search your library for a basic land card and put it onto the battlefield tapped</t>
        </is>
      </c>
      <c r="J266" s="30" t="n"/>
      <c r="K266" s="30" t="n"/>
      <c r="L266" s="89" t="inlineStr">
        <is>
          <t>58</t>
        </is>
      </c>
      <c r="M266" s="33" t="n">
        <v>1</v>
      </c>
      <c r="N266" s="33" t="n">
        <v>0</v>
      </c>
      <c r="O266" s="63" t="inlineStr">
        <is>
          <t>Lenka Šimečková</t>
        </is>
      </c>
      <c r="P266" s="90" t="n">
        <v>0.36</v>
      </c>
      <c r="Q266" s="32" t="inlineStr">
        <is>
          <t>Uncommon</t>
        </is>
      </c>
      <c r="R266" s="32" t="n"/>
      <c r="S266" s="32" t="n"/>
      <c r="T266" s="63" t="n"/>
      <c r="U266" s="63" t="n"/>
      <c r="V266" s="30" t="inlineStr">
        <is>
          <t>Secrets of Strixhaven Mystical Archive</t>
        </is>
      </c>
      <c r="W266" s="41" t="n">
        <v>1</v>
      </c>
      <c r="X266" s="37">
        <f>SUM(Y266:AE266)</f>
        <v/>
      </c>
      <c r="Y266" s="43" t="n"/>
      <c r="Z266" s="43" t="n"/>
      <c r="AA266" s="43" t="n"/>
      <c r="AB266" s="43" t="n"/>
      <c r="AC266" s="43" t="n"/>
      <c r="AD266" s="43" t="n"/>
      <c r="AE266" s="43" t="n">
        <v>1</v>
      </c>
      <c r="AF266" s="38">
        <f>IF((W266-SUM(Y266:AE266))&lt;0,0,W266-SUM(Y266:AE266))</f>
        <v/>
      </c>
      <c r="AG266" s="34">
        <f>MAX(0,$AT266-$W266-$AI266)</f>
        <v/>
      </c>
      <c r="AH266" s="30" t="n"/>
      <c r="AI266" s="30" t="n"/>
      <c r="AJ266" s="30" t="n">
        <v>0.43</v>
      </c>
      <c r="AK266" s="36">
        <f>IF(AND($AG266&gt;0,ISNUMBER($AJ266)),$AG266*$AJ266,0)</f>
        <v/>
      </c>
      <c r="AT266" s="37">
        <f>SUM(AU266:BA266)</f>
        <v/>
      </c>
      <c r="AU266" s="73" t="n"/>
      <c r="AV266" s="33" t="n"/>
      <c r="AW266" s="33" t="n"/>
      <c r="AX266" s="33" t="n"/>
      <c r="AY266" s="33" t="n"/>
      <c r="AZ266" s="33" t="n"/>
      <c r="BA266" s="80" t="n">
        <v>1</v>
      </c>
      <c r="BB266" s="108" t="n"/>
      <c r="BC266" s="32" t="n"/>
      <c r="BD266" s="32" t="n"/>
    </row>
    <row r="267" ht="15" customHeight="1" s="148">
      <c r="A267" t="inlineStr">
        <is>
          <t>c0263</t>
        </is>
      </c>
      <c r="B267" s="44" t="inlineStr">
        <is>
          <t>Sheltering Word</t>
        </is>
      </c>
      <c r="C267" s="34" t="inlineStr">
        <is>
          <t>G</t>
        </is>
      </c>
      <c r="D267" s="44" t="inlineStr">
        <is>
          <t>Instant</t>
        </is>
      </c>
      <c r="E267" s="41" t="inlineStr">
        <is>
          <t>B2</t>
        </is>
      </c>
      <c r="F267" s="34" t="n">
        <v>2</v>
      </c>
      <c r="G267" s="67" t="inlineStr">
        <is>
          <t>Target creature you control gains hexproof until end of turn. You gain life equal to that creature's toughness. (A creature with hexproof can't be the target of spells or abilities your opponents control.)</t>
        </is>
      </c>
      <c r="H267" s="45" t="inlineStr">
        <is>
          <t>Protection</t>
        </is>
      </c>
      <c r="I267" s="45" t="inlineStr">
        <is>
          <t>Target creature you control can't be targeted by opponents until end of turn</t>
        </is>
      </c>
      <c r="J267" s="45" t="inlineStr">
        <is>
          <t>You gain life equal to that creature's toughness</t>
        </is>
      </c>
      <c r="K267" s="45" t="n"/>
      <c r="L267" s="41" t="n"/>
      <c r="M267" s="41" t="n"/>
      <c r="N267" s="41" t="n"/>
      <c r="O267" s="41" t="n"/>
      <c r="P267" s="41" t="n">
        <v>0.19</v>
      </c>
      <c r="Q267" s="41" t="n"/>
      <c r="R267" s="41" t="n"/>
      <c r="S267" s="41" t="n"/>
      <c r="T267" s="41" t="n"/>
      <c r="U267" s="41" t="n"/>
      <c r="V267" s="45" t="inlineStr">
        <is>
          <t>Avacyn Restored</t>
        </is>
      </c>
      <c r="W267" s="41" t="n">
        <v>1</v>
      </c>
      <c r="X267" s="37">
        <f>SUM(Y267:AE267)</f>
        <v/>
      </c>
      <c r="Y267" s="43" t="n"/>
      <c r="Z267" s="43" t="n"/>
      <c r="AA267" s="43" t="n"/>
      <c r="AB267" s="43" t="n"/>
      <c r="AC267" s="43" t="n"/>
      <c r="AD267" s="43" t="n"/>
      <c r="AE267" s="43" t="n"/>
      <c r="AF267" s="38">
        <f>IF((W267-SUM(Y267:AE267))&lt;0,0,W267-SUM(Y267:AE267))</f>
        <v/>
      </c>
      <c r="AG267" s="34">
        <f>MAX(0,$AT267-$W267-$AI267)</f>
        <v/>
      </c>
      <c r="AH267" s="34" t="n"/>
      <c r="AI267" s="34" t="n"/>
      <c r="AJ267" s="36" t="n">
        <v>0.19</v>
      </c>
      <c r="AK267" s="36">
        <f>IF(AND($AG267&gt;0,ISNUMBER($AJ267)),$AG267*$AJ267,0)</f>
        <v/>
      </c>
      <c r="AT267" s="37">
        <f>SUM(AU267:BA267)</f>
        <v/>
      </c>
      <c r="AU267" s="73" t="n"/>
      <c r="AV267" s="33" t="n"/>
      <c r="AW267" s="33" t="n"/>
      <c r="AX267" s="33" t="n"/>
      <c r="AY267" s="33" t="n"/>
      <c r="AZ267" s="33" t="n"/>
      <c r="BA267" s="74" t="n"/>
      <c r="BB267" s="106" t="n"/>
      <c r="BC267" s="42" t="n"/>
      <c r="BD267" s="42" t="n"/>
    </row>
    <row r="268" ht="15" customHeight="1" s="148">
      <c r="A268" t="inlineStr">
        <is>
          <t>c0264</t>
        </is>
      </c>
      <c r="B268" s="30" t="inlineStr">
        <is>
          <t>Shopkeeper's Bane</t>
        </is>
      </c>
      <c r="C268" s="31" t="inlineStr">
        <is>
          <t>G</t>
        </is>
      </c>
      <c r="D268" s="30" t="inlineStr">
        <is>
          <t>Creature</t>
        </is>
      </c>
      <c r="E268" s="33" t="inlineStr">
        <is>
          <t>B2</t>
        </is>
      </c>
      <c r="F268" s="30" t="n">
        <v>3</v>
      </c>
      <c r="G268" s="67" t="inlineStr">
        <is>
          <t>Trample
Whenever this creature attacks, you gain 2 life.
(4/2)</t>
        </is>
      </c>
      <c r="H268" s="30" t="inlineStr">
        <is>
          <t>Lifegain</t>
        </is>
      </c>
      <c r="I268" s="30" t="inlineStr">
        <is>
          <t>Whenever this creature attacks, you gain 2 life</t>
        </is>
      </c>
      <c r="J268" s="30" t="inlineStr">
        <is>
          <t>4/2 trample body</t>
        </is>
      </c>
      <c r="K268" s="30" t="n"/>
      <c r="L268" s="32" t="inlineStr">
        <is>
          <t>159</t>
        </is>
      </c>
      <c r="M268" s="32" t="n">
        <v>2</v>
      </c>
      <c r="N268" s="32" t="n">
        <v>0</v>
      </c>
      <c r="O268" s="63" t="inlineStr">
        <is>
          <t>Filipe Pagliuso</t>
        </is>
      </c>
      <c r="P268" s="63" t="n">
        <v>0.17</v>
      </c>
      <c r="Q268" s="32" t="inlineStr">
        <is>
          <t>Common</t>
        </is>
      </c>
      <c r="R268" s="32" t="n"/>
      <c r="S268" s="32" t="n"/>
      <c r="T268" s="63" t="n"/>
      <c r="U268" s="63" t="n"/>
      <c r="V268" s="30" t="inlineStr">
        <is>
          <t>Secrets of Strixhaven</t>
        </is>
      </c>
      <c r="W268" s="41" t="n">
        <v>2</v>
      </c>
      <c r="X268" s="37">
        <f>SUM(Y268:AE268)</f>
        <v/>
      </c>
      <c r="Y268" s="43" t="n"/>
      <c r="Z268" s="43" t="n"/>
      <c r="AA268" s="43" t="n"/>
      <c r="AB268" s="43" t="n"/>
      <c r="AC268" s="43" t="n"/>
      <c r="AD268" s="43" t="n"/>
      <c r="AE268" s="43" t="n"/>
      <c r="AF268" s="38">
        <f>IF((W268-SUM(Y268:AE268))&lt;0,0,W268-SUM(Y268:AE268))</f>
        <v/>
      </c>
      <c r="AG268" s="34">
        <f>MAX(0,$AT268-$W268-$AI268)</f>
        <v/>
      </c>
      <c r="AH268" s="30" t="n"/>
      <c r="AI268" s="30" t="n"/>
      <c r="AJ268" s="30" t="n">
        <v>0.17</v>
      </c>
      <c r="AK268" s="36">
        <f>IF(AND($AG268&gt;0,ISNUMBER($AJ268)),$AG268*$AJ268,0)</f>
        <v/>
      </c>
      <c r="AT268" s="37">
        <f>SUM(AU268:BA268)</f>
        <v/>
      </c>
      <c r="AU268" s="73" t="n"/>
      <c r="AV268" s="33" t="n"/>
      <c r="AW268" s="33" t="n"/>
      <c r="AX268" s="33" t="n"/>
      <c r="AY268" s="33" t="n"/>
      <c r="AZ268" s="33" t="n"/>
      <c r="BA268" s="74" t="n"/>
      <c r="BB268" s="108" t="n"/>
      <c r="BC268" s="32" t="n"/>
      <c r="BD268" s="32" t="n"/>
    </row>
    <row r="269" ht="15" customHeight="1" s="148">
      <c r="A269" t="inlineStr">
        <is>
          <t>c0265</t>
        </is>
      </c>
      <c r="B269" s="44" t="inlineStr">
        <is>
          <t>Skyshroud Claim</t>
        </is>
      </c>
      <c r="C269" s="34" t="inlineStr">
        <is>
          <t>G</t>
        </is>
      </c>
      <c r="D269" s="44" t="inlineStr">
        <is>
          <t>Sorcery</t>
        </is>
      </c>
      <c r="E269" s="41" t="inlineStr">
        <is>
          <t>B2</t>
        </is>
      </c>
      <c r="F269" s="34" t="n">
        <v>4</v>
      </c>
      <c r="G269" s="67" t="inlineStr">
        <is>
          <t>Search your library for up to two Forest cards, put them onto the battlefield, then shuffle.</t>
        </is>
      </c>
      <c r="H269" s="45" t="inlineStr">
        <is>
          <t>Ramp</t>
        </is>
      </c>
      <c r="I269" s="45" t="inlineStr">
        <is>
          <t>Searches for up to two Forest cards and puts them onto the battlefield</t>
        </is>
      </c>
      <c r="J269" s="45" t="n"/>
      <c r="K269" s="45" t="n"/>
      <c r="L269" s="41" t="n"/>
      <c r="M269" s="41" t="n"/>
      <c r="N269" s="41" t="n"/>
      <c r="O269" s="41" t="n"/>
      <c r="P269" s="41" t="n">
        <v>0.73</v>
      </c>
      <c r="Q269" s="41" t="n"/>
      <c r="R269" s="41" t="n"/>
      <c r="S269" s="41" t="n"/>
      <c r="T269" s="41" t="n"/>
      <c r="U269" s="41" t="n"/>
      <c r="V269" s="45" t="inlineStr">
        <is>
          <t>Nemesis</t>
        </is>
      </c>
      <c r="W269" s="41" t="n">
        <v>1</v>
      </c>
      <c r="X269" s="37">
        <f>SUM(Y269:AE269)</f>
        <v/>
      </c>
      <c r="Y269" s="43" t="n"/>
      <c r="Z269" s="43" t="n"/>
      <c r="AA269" s="43" t="n"/>
      <c r="AB269" s="43" t="n"/>
      <c r="AC269" s="43" t="n"/>
      <c r="AD269" s="43" t="n"/>
      <c r="AE269" s="43" t="n"/>
      <c r="AF269" s="38">
        <f>IF((W269-SUM(Y269:AE269))&lt;0,0,W269-SUM(Y269:AE269))</f>
        <v/>
      </c>
      <c r="AG269" s="34">
        <f>MAX(0,$AT269-$W269-$AI269)</f>
        <v/>
      </c>
      <c r="AH269" s="34" t="inlineStr">
        <is>
          <t>GT</t>
        </is>
      </c>
      <c r="AI269" s="34" t="n"/>
      <c r="AJ269" s="36" t="n">
        <v>1.06</v>
      </c>
      <c r="AK269" s="36">
        <f>IF(AND($AG269&gt;0,ISNUMBER($AJ269)),$AG269*$AJ269,0)</f>
        <v/>
      </c>
      <c r="AM269" s="58" t="n"/>
      <c r="AS269" s="86" t="n">
        <v>1</v>
      </c>
      <c r="AT269" s="37">
        <f>SUM(AU269:BA269)</f>
        <v/>
      </c>
      <c r="AU269" s="73" t="n"/>
      <c r="AV269" s="33" t="n"/>
      <c r="AW269" s="33" t="n"/>
      <c r="AX269" s="33" t="n"/>
      <c r="AY269" s="33" t="n"/>
      <c r="AZ269" s="33" t="n"/>
      <c r="BA269" s="74" t="n"/>
      <c r="BB269" s="106" t="n"/>
      <c r="BC269" s="42" t="n"/>
      <c r="BD269" s="42" t="n"/>
    </row>
    <row r="270" ht="15" customHeight="1" s="148">
      <c r="A270" t="inlineStr">
        <is>
          <t>c0266</t>
        </is>
      </c>
      <c r="B270" s="44" t="inlineStr">
        <is>
          <t>Song of the Dryads</t>
        </is>
      </c>
      <c r="C270" s="34" t="inlineStr">
        <is>
          <t>G</t>
        </is>
      </c>
      <c r="D270" s="44" t="inlineStr">
        <is>
          <t>Enchantment</t>
        </is>
      </c>
      <c r="E270" s="41" t="inlineStr">
        <is>
          <t>B2</t>
        </is>
      </c>
      <c r="F270" s="34" t="n">
        <v>3</v>
      </c>
      <c r="G270" s="67" t="inlineStr">
        <is>
          <t>Enchant permanent
Enchanted permanent is a colorless Forest land.</t>
        </is>
      </c>
      <c r="H270" s="45" t="inlineStr">
        <is>
          <t>Removal</t>
        </is>
      </c>
      <c r="I270" s="45" t="inlineStr">
        <is>
          <t>Turns enchanted permanent into a colorless Forest land, removing its abilities</t>
        </is>
      </c>
      <c r="J270" s="45" t="n"/>
      <c r="K270" s="45" t="n"/>
      <c r="L270" s="41" t="n"/>
      <c r="M270" s="41" t="n"/>
      <c r="N270" s="41" t="n"/>
      <c r="O270" s="41" t="n"/>
      <c r="P270" s="41" t="n">
        <v>6.16</v>
      </c>
      <c r="Q270" s="41" t="n"/>
      <c r="R270" s="41" t="n"/>
      <c r="S270" s="41" t="n"/>
      <c r="T270" s="41" t="n"/>
      <c r="U270" s="41" t="n"/>
      <c r="V270" s="45" t="inlineStr">
        <is>
          <t>Commander 2014</t>
        </is>
      </c>
      <c r="W270" s="41" t="n">
        <v>1</v>
      </c>
      <c r="X270" s="37">
        <f>SUM(Y270:AE270)</f>
        <v/>
      </c>
      <c r="Y270" s="43" t="n"/>
      <c r="Z270" s="43" t="n">
        <v>1</v>
      </c>
      <c r="AA270" s="43" t="n"/>
      <c r="AB270" s="43" t="n"/>
      <c r="AC270" s="43" t="n"/>
      <c r="AD270" s="43" t="n"/>
      <c r="AE270" s="43" t="n"/>
      <c r="AF270" s="38">
        <f>IF((W270-SUM(Y270:AE270))&lt;0,0,W270-SUM(Y270:AE270))</f>
        <v/>
      </c>
      <c r="AG270" s="34">
        <f>MAX(0,$AT270-$W270-$AI270)</f>
        <v/>
      </c>
      <c r="AH270" s="34" t="n"/>
      <c r="AI270" s="34" t="n"/>
      <c r="AJ270" s="36" t="n">
        <v>5.79</v>
      </c>
      <c r="AK270" s="36">
        <f>IF(AND($AG270&gt;0,ISNUMBER($AJ270)),$AG270*$AJ270,0)</f>
        <v/>
      </c>
      <c r="AT270" s="37">
        <f>SUM(AU270:BA270)</f>
        <v/>
      </c>
      <c r="AU270" s="73" t="n"/>
      <c r="AV270" s="98" t="n">
        <v>1</v>
      </c>
      <c r="AW270" s="33" t="n"/>
      <c r="AX270" s="33" t="n"/>
      <c r="AY270" s="33" t="n"/>
      <c r="AZ270" s="33" t="n"/>
      <c r="BA270" s="74" t="n"/>
      <c r="BB270" s="106" t="n"/>
      <c r="BC270" s="42" t="n"/>
      <c r="BD270" s="42" t="n"/>
    </row>
    <row r="271" ht="15" customHeight="1" s="148">
      <c r="A271" t="inlineStr">
        <is>
          <t>c0267</t>
        </is>
      </c>
      <c r="B271" s="44" t="inlineStr">
        <is>
          <t>Stony Strength</t>
        </is>
      </c>
      <c r="C271" s="34" t="inlineStr">
        <is>
          <t>G</t>
        </is>
      </c>
      <c r="D271" s="44" t="inlineStr">
        <is>
          <t>Instant</t>
        </is>
      </c>
      <c r="E271" s="41" t="inlineStr">
        <is>
          <t>B2</t>
        </is>
      </c>
      <c r="F271" s="34" t="n">
        <v>1</v>
      </c>
      <c r="G271" s="67" t="inlineStr">
        <is>
          <t>Put a +1/+1 counter on target creature you control. Untap that creature.</t>
        </is>
      </c>
      <c r="H271" s="45" t="inlineStr">
        <is>
          <t>Counters Payoff</t>
        </is>
      </c>
      <c r="I271" s="45" t="inlineStr">
        <is>
          <t>Puts a +1/+1 counter on target creature you control and untaps it</t>
        </is>
      </c>
      <c r="J271" s="45" t="n"/>
      <c r="K271" s="45" t="n"/>
      <c r="L271" s="42" t="n"/>
      <c r="M271" s="42" t="n"/>
      <c r="N271" s="42" t="n"/>
      <c r="O271" s="63" t="n"/>
      <c r="P271" s="63" t="n">
        <v>0.11</v>
      </c>
      <c r="Q271" s="42" t="n"/>
      <c r="R271" s="42" t="n"/>
      <c r="S271" s="42" t="n"/>
      <c r="T271" s="63" t="n"/>
      <c r="U271" s="63" t="n"/>
      <c r="V271" s="45" t="inlineStr">
        <is>
          <t>Ravnica Allegiance</t>
        </is>
      </c>
      <c r="W271" s="41" t="n">
        <v>1</v>
      </c>
      <c r="X271" s="37">
        <f>SUM(Y271:AE271)</f>
        <v/>
      </c>
      <c r="Y271" s="43" t="n"/>
      <c r="Z271" s="43" t="n"/>
      <c r="AA271" s="43" t="n"/>
      <c r="AB271" s="43" t="n"/>
      <c r="AC271" s="43" t="n"/>
      <c r="AD271" s="43" t="n"/>
      <c r="AE271" s="43" t="n"/>
      <c r="AF271" s="38">
        <f>IF((W271-SUM(Y271:AE271))&lt;0,0,W271-SUM(Y271:AE271))</f>
        <v/>
      </c>
      <c r="AG271" s="34">
        <f>MAX(0,$AT271-$W271-$AI271)</f>
        <v/>
      </c>
      <c r="AH271" s="34" t="n"/>
      <c r="AI271" s="34" t="n"/>
      <c r="AJ271" s="36" t="n">
        <v>0.12</v>
      </c>
      <c r="AK271" s="36">
        <f>IF(AND($AG271&gt;0,ISNUMBER($AJ271)),$AG271*$AJ271,0)</f>
        <v/>
      </c>
      <c r="AT271" s="37">
        <f>SUM(AU271:BA271)</f>
        <v/>
      </c>
      <c r="AU271" s="73" t="n"/>
      <c r="AV271" s="33" t="n"/>
      <c r="AW271" s="33" t="n"/>
      <c r="AX271" s="33" t="n"/>
      <c r="AY271" s="33" t="n"/>
      <c r="AZ271" s="33" t="n"/>
      <c r="BA271" s="74" t="n"/>
      <c r="BB271" s="106" t="n"/>
      <c r="BC271" s="42" t="n"/>
      <c r="BD271" s="42" t="n"/>
    </row>
    <row r="272" ht="15" customHeight="1" s="148">
      <c r="A272" t="inlineStr">
        <is>
          <t>c0268</t>
        </is>
      </c>
      <c r="B272" s="44" t="inlineStr">
        <is>
          <t>Surly Farrier</t>
        </is>
      </c>
      <c r="C272" s="34" t="inlineStr">
        <is>
          <t>G</t>
        </is>
      </c>
      <c r="D272" s="44" t="inlineStr">
        <is>
          <t>Creature</t>
        </is>
      </c>
      <c r="E272" s="41" t="inlineStr">
        <is>
          <t>B2</t>
        </is>
      </c>
      <c r="F272" s="34" t="n">
        <v>2</v>
      </c>
      <c r="G272" s="67" t="inlineStr">
        <is>
          <t>{T}: Target creature you control gets +1/+1 and gains vigilance until end of turn. Activate only as a sorcery.
(2/2)</t>
        </is>
      </c>
      <c r="H272" s="45" t="inlineStr">
        <is>
          <t>Combat Trick</t>
        </is>
      </c>
      <c r="I272" s="45" t="inlineStr">
        <is>
          <t>Target creature you control gets +1/+1 until end of turn (sorcery speed)</t>
        </is>
      </c>
      <c r="J272" s="45" t="n"/>
      <c r="K272" s="45" t="n"/>
      <c r="L272" s="42" t="n"/>
      <c r="M272" s="42" t="n"/>
      <c r="N272" s="42" t="n"/>
      <c r="O272" s="63" t="n"/>
      <c r="P272" s="63" t="n">
        <v>0.07000000000000001</v>
      </c>
      <c r="Q272" s="42" t="n"/>
      <c r="R272" s="42" t="n"/>
      <c r="S272" s="42" t="n"/>
      <c r="T272" s="63" t="n"/>
      <c r="U272" s="63" t="n"/>
      <c r="V272" s="45" t="inlineStr">
        <is>
          <t>Lorwyn Eclipsed</t>
        </is>
      </c>
      <c r="W272" s="41" t="n">
        <v>1</v>
      </c>
      <c r="X272" s="37">
        <f>SUM(Y272:AE272)</f>
        <v/>
      </c>
      <c r="Y272" s="43" t="n"/>
      <c r="Z272" s="43" t="n"/>
      <c r="AA272" s="43" t="n"/>
      <c r="AB272" s="43" t="n"/>
      <c r="AC272" s="43" t="n"/>
      <c r="AD272" s="43" t="n"/>
      <c r="AE272" s="43" t="n"/>
      <c r="AF272" s="38">
        <f>IF((W272-SUM(Y272:AE272))&lt;0,0,W272-SUM(Y272:AE272))</f>
        <v/>
      </c>
      <c r="AG272" s="34">
        <f>MAX(0,$AT272-$W272-$AI272)</f>
        <v/>
      </c>
      <c r="AH272" s="34" t="n"/>
      <c r="AI272" s="34" t="n"/>
      <c r="AJ272" s="36" t="n">
        <v>0.07000000000000001</v>
      </c>
      <c r="AK272" s="36">
        <f>IF(AND($AG272&gt;0,ISNUMBER($AJ272)),$AG272*$AJ272,0)</f>
        <v/>
      </c>
      <c r="AT272" s="37">
        <f>SUM(AU272:BA272)</f>
        <v/>
      </c>
      <c r="AU272" s="73" t="n"/>
      <c r="AV272" s="33" t="n"/>
      <c r="AW272" s="33" t="n"/>
      <c r="AX272" s="33" t="n"/>
      <c r="AY272" s="33" t="n"/>
      <c r="AZ272" s="33" t="n"/>
      <c r="BA272" s="74" t="n"/>
      <c r="BB272" s="106" t="n"/>
      <c r="BC272" s="42" t="n"/>
      <c r="BD272" s="42" t="n"/>
    </row>
    <row r="273" ht="15" customHeight="1" s="148">
      <c r="A273" t="inlineStr">
        <is>
          <t>c0269</t>
        </is>
      </c>
      <c r="B273" s="44" t="inlineStr">
        <is>
          <t>Sylvan Brushstrider</t>
        </is>
      </c>
      <c r="C273" s="34" t="inlineStr">
        <is>
          <t>G</t>
        </is>
      </c>
      <c r="D273" s="44" t="inlineStr">
        <is>
          <t>Creature</t>
        </is>
      </c>
      <c r="E273" s="41" t="inlineStr">
        <is>
          <t>B2</t>
        </is>
      </c>
      <c r="F273" s="34" t="n">
        <v>3</v>
      </c>
      <c r="G273" s="67" t="inlineStr">
        <is>
          <t>When this creature enters, you gain 2 life.
(3/2)</t>
        </is>
      </c>
      <c r="H273" s="45" t="inlineStr">
        <is>
          <t>Lifegain</t>
        </is>
      </c>
      <c r="I273" s="45" t="inlineStr">
        <is>
          <t>Gain 2 life when it enters</t>
        </is>
      </c>
      <c r="J273" s="45" t="n"/>
      <c r="K273" s="45" t="n"/>
      <c r="L273" s="42" t="n"/>
      <c r="M273" s="42" t="n"/>
      <c r="N273" s="42" t="n"/>
      <c r="O273" s="63" t="n"/>
      <c r="P273" s="63" t="n">
        <v>0.13</v>
      </c>
      <c r="Q273" s="42" t="n"/>
      <c r="R273" s="42" t="n"/>
      <c r="S273" s="42" t="n"/>
      <c r="T273" s="63" t="n"/>
      <c r="U273" s="63" t="n"/>
      <c r="V273" s="45" t="inlineStr">
        <is>
          <t>Ravnica Allegiance</t>
        </is>
      </c>
      <c r="W273" s="41" t="n">
        <v>1</v>
      </c>
      <c r="X273" s="37">
        <f>SUM(Y273:AE273)</f>
        <v/>
      </c>
      <c r="Y273" s="43" t="n"/>
      <c r="Z273" s="43" t="n"/>
      <c r="AA273" s="43" t="n"/>
      <c r="AB273" s="43" t="n"/>
      <c r="AC273" s="43" t="n"/>
      <c r="AD273" s="43" t="n"/>
      <c r="AE273" s="43" t="n"/>
      <c r="AF273" s="38">
        <f>IF((W273-SUM(Y273:AE273))&lt;0,0,W273-SUM(Y273:AE273))</f>
        <v/>
      </c>
      <c r="AG273" s="34">
        <f>MAX(0,$AT273-$W273-$AI273)</f>
        <v/>
      </c>
      <c r="AH273" s="34" t="n"/>
      <c r="AI273" s="34" t="n"/>
      <c r="AJ273" s="36" t="n">
        <v>0.04</v>
      </c>
      <c r="AK273" s="36">
        <f>IF(AND($AG273&gt;0,ISNUMBER($AJ273)),$AG273*$AJ273,0)</f>
        <v/>
      </c>
      <c r="AT273" s="37">
        <f>SUM(AU273:BA273)</f>
        <v/>
      </c>
      <c r="AU273" s="73" t="n"/>
      <c r="AV273" s="33" t="n"/>
      <c r="AW273" s="33" t="n"/>
      <c r="AX273" s="33" t="n"/>
      <c r="AY273" s="33" t="n"/>
      <c r="AZ273" s="33" t="n"/>
      <c r="BA273" s="74" t="n"/>
      <c r="BB273" s="106" t="n"/>
      <c r="BC273" s="42" t="n"/>
      <c r="BD273" s="42" t="n"/>
    </row>
    <row r="274" ht="15" customHeight="1" s="148">
      <c r="A274" t="inlineStr">
        <is>
          <t>c0270</t>
        </is>
      </c>
      <c r="B274" s="44" t="inlineStr">
        <is>
          <t>Sylvan Caryatid</t>
        </is>
      </c>
      <c r="C274" s="34" t="inlineStr">
        <is>
          <t>G</t>
        </is>
      </c>
      <c r="D274" s="44" t="inlineStr">
        <is>
          <t>Creature</t>
        </is>
      </c>
      <c r="E274" s="41" t="inlineStr">
        <is>
          <t>B2</t>
        </is>
      </c>
      <c r="F274" s="34" t="n">
        <v>2</v>
      </c>
      <c r="G274" s="67" t="inlineStr">
        <is>
          <t>Defender, hexproof
{T}: Add one mana of any color.
(0/3)</t>
        </is>
      </c>
      <c r="H274" s="45" t="inlineStr">
        <is>
          <t>Defender Ramp</t>
        </is>
      </c>
      <c r="I274" s="45" t="inlineStr">
        <is>
          <t>Taps for one mana of any color</t>
        </is>
      </c>
      <c r="J274" s="45" t="inlineStr">
        <is>
          <t>Can't attack; can't be targeted by opponents' spells or abilities</t>
        </is>
      </c>
      <c r="K274" s="45" t="n"/>
      <c r="L274" s="42" t="n"/>
      <c r="M274" s="42" t="n"/>
      <c r="N274" s="42" t="n"/>
      <c r="O274" s="42" t="n"/>
      <c r="P274" s="42" t="n">
        <v>1.03</v>
      </c>
      <c r="Q274" s="42" t="n"/>
      <c r="R274" s="42" t="n"/>
      <c r="S274" s="42" t="n"/>
      <c r="T274" s="42" t="n"/>
      <c r="U274" s="42" t="n"/>
      <c r="V274" s="45" t="inlineStr">
        <is>
          <t>Theros</t>
        </is>
      </c>
      <c r="W274" s="41" t="n">
        <v>1</v>
      </c>
      <c r="X274" s="37">
        <f>SUM(Y274:AE274)</f>
        <v/>
      </c>
      <c r="Y274" s="43" t="n"/>
      <c r="Z274" s="43" t="n"/>
      <c r="AA274" s="43" t="n"/>
      <c r="AB274" s="43" t="n">
        <v>1</v>
      </c>
      <c r="AC274" s="43" t="n"/>
      <c r="AD274" s="43" t="n"/>
      <c r="AE274" s="43" t="n"/>
      <c r="AF274" s="38">
        <f>IF((W274-SUM(Y274:AE274))&lt;0,0,W274-SUM(Y274:AE274))</f>
        <v/>
      </c>
      <c r="AG274" s="34">
        <f>MAX(0,$AT274-$W274-$AI274)</f>
        <v/>
      </c>
      <c r="AH274" s="34" t="n"/>
      <c r="AI274" s="34" t="n"/>
      <c r="AJ274" s="36" t="n">
        <v>0.99</v>
      </c>
      <c r="AK274" s="36">
        <f>IF(AND($AG274&gt;0,ISNUMBER($AJ274)),$AG274*$AJ274,0)</f>
        <v/>
      </c>
      <c r="AT274" s="37">
        <f>SUM(AU274:BA274)</f>
        <v/>
      </c>
      <c r="AU274" s="73" t="n"/>
      <c r="AV274" s="33" t="n"/>
      <c r="AW274" s="33" t="n"/>
      <c r="AX274" s="98" t="n">
        <v>1</v>
      </c>
      <c r="AY274" s="33" t="n"/>
      <c r="AZ274" s="33" t="n"/>
      <c r="BA274" s="74" t="n"/>
      <c r="BB274" s="106" t="n"/>
      <c r="BC274" s="42" t="n"/>
      <c r="BD274" s="42" t="n"/>
    </row>
    <row r="275" ht="15" customHeight="1" s="148">
      <c r="A275" t="inlineStr">
        <is>
          <t>c0271</t>
        </is>
      </c>
      <c r="B275" s="44" t="inlineStr">
        <is>
          <t>Sylvan Ranger</t>
        </is>
      </c>
      <c r="C275" s="34" t="inlineStr">
        <is>
          <t>G</t>
        </is>
      </c>
      <c r="D275" s="44" t="inlineStr">
        <is>
          <t>Creature</t>
        </is>
      </c>
      <c r="E275" s="41" t="inlineStr">
        <is>
          <t>B2</t>
        </is>
      </c>
      <c r="F275" s="34" t="n">
        <v>2</v>
      </c>
      <c r="G275" s="67" t="inlineStr">
        <is>
          <t>When this creature enters, you may search your library for a basic land card, reveal it, put it into your hand, then shuffle.
(1/1)</t>
        </is>
      </c>
      <c r="H275" s="45" t="inlineStr">
        <is>
          <t>Ramp</t>
        </is>
      </c>
      <c r="I275" s="45" t="inlineStr">
        <is>
          <t>Searches your library for a basic land card and puts it into your hand when it enters</t>
        </is>
      </c>
      <c r="J275" s="45" t="n"/>
      <c r="K275" s="45" t="n"/>
      <c r="L275" s="41" t="n"/>
      <c r="M275" s="41" t="n"/>
      <c r="N275" s="41" t="n"/>
      <c r="O275" s="41" t="n"/>
      <c r="P275" s="41" t="n">
        <v>0.34</v>
      </c>
      <c r="Q275" s="41" t="n"/>
      <c r="R275" s="41" t="n"/>
      <c r="S275" s="41" t="n"/>
      <c r="T275" s="41" t="n"/>
      <c r="U275" s="41" t="n"/>
      <c r="V275" s="45" t="inlineStr">
        <is>
          <t>Magic 2011</t>
        </is>
      </c>
      <c r="W275" s="41" t="n">
        <v>1</v>
      </c>
      <c r="X275" s="37">
        <f>SUM(Y275:AE275)</f>
        <v/>
      </c>
      <c r="Y275" s="43" t="n"/>
      <c r="Z275" s="43" t="n">
        <v>1</v>
      </c>
      <c r="AA275" s="43" t="n"/>
      <c r="AB275" s="43" t="n"/>
      <c r="AC275" s="43" t="n"/>
      <c r="AD275" s="43" t="n"/>
      <c r="AE275" s="43" t="n"/>
      <c r="AF275" s="38">
        <f>IF((W275-SUM(Y275:AE275))&lt;0,0,W275-SUM(Y275:AE275))</f>
        <v/>
      </c>
      <c r="AG275" s="34">
        <f>MAX(0,$AT275-$W275-$AI275)</f>
        <v/>
      </c>
      <c r="AH275" s="34" t="n"/>
      <c r="AI275" s="34" t="n"/>
      <c r="AJ275" s="36" t="n">
        <v>0.31</v>
      </c>
      <c r="AK275" s="36">
        <f>IF(AND($AG275&gt;0,ISNUMBER($AJ275)),$AG275*$AJ275,0)</f>
        <v/>
      </c>
      <c r="AM275" s="58" t="n"/>
      <c r="AT275" s="37">
        <f>SUM(AU275:BA275)</f>
        <v/>
      </c>
      <c r="AU275" s="73" t="n"/>
      <c r="AV275" s="99" t="n"/>
      <c r="AW275" s="33" t="n"/>
      <c r="AX275" s="33" t="n"/>
      <c r="AY275" s="33" t="n"/>
      <c r="AZ275" s="33" t="n"/>
      <c r="BA275" s="74" t="n">
        <v>1</v>
      </c>
      <c r="BB275" s="106" t="n"/>
      <c r="BC275" s="42" t="n"/>
      <c r="BD275" s="42" t="n"/>
    </row>
    <row r="276" ht="15" customHeight="1" s="148">
      <c r="A276" t="inlineStr">
        <is>
          <t>c0272</t>
        </is>
      </c>
      <c r="B276" s="44" t="inlineStr">
        <is>
          <t>Temur Sabertooth</t>
        </is>
      </c>
      <c r="C276" s="34" t="inlineStr">
        <is>
          <t>G</t>
        </is>
      </c>
      <c r="D276" s="44" t="inlineStr">
        <is>
          <t>Creature</t>
        </is>
      </c>
      <c r="E276" s="41" t="inlineStr">
        <is>
          <t>B2</t>
        </is>
      </c>
      <c r="F276" s="34" t="n">
        <v>4</v>
      </c>
      <c r="G276" s="67" t="inlineStr">
        <is>
          <t>{1}{G}: You may return another creature you control to its owner's hand. If you do, this creature gains indestructible until end of turn.
(4/3)</t>
        </is>
      </c>
      <c r="H276" s="45" t="inlineStr">
        <is>
          <t>Protection</t>
        </is>
      </c>
      <c r="I276" s="45" t="inlineStr">
        <is>
          <t>{1}{G}: You may return another creature you control to its owner's hand. If you do, this creature gains indestructible u</t>
        </is>
      </c>
      <c r="J276" s="45" t="n"/>
      <c r="K276" s="45" t="n"/>
      <c r="L276" s="41" t="n"/>
      <c r="M276" s="41" t="n"/>
      <c r="N276" s="41" t="n"/>
      <c r="O276" s="41" t="n"/>
      <c r="P276" s="41" t="n">
        <v>1.89</v>
      </c>
      <c r="Q276" s="41" t="n"/>
      <c r="R276" s="41" t="n"/>
      <c r="S276" s="41" t="n"/>
      <c r="T276" s="41" t="n"/>
      <c r="U276" s="41" t="n"/>
      <c r="V276" s="45" t="inlineStr">
        <is>
          <t>Fate Reforged</t>
        </is>
      </c>
      <c r="W276" s="41" t="n">
        <v>1</v>
      </c>
      <c r="X276" s="37">
        <f>SUM(Y276:AE276)</f>
        <v/>
      </c>
      <c r="Y276" s="43" t="n"/>
      <c r="Z276" s="43" t="n">
        <v>1</v>
      </c>
      <c r="AA276" s="43" t="n"/>
      <c r="AB276" s="43" t="n"/>
      <c r="AC276" s="43" t="n"/>
      <c r="AD276" s="43" t="n"/>
      <c r="AE276" s="43" t="n"/>
      <c r="AF276" s="38">
        <f>IF((W276-SUM(Y276:AE276))&lt;0,0,W276-SUM(Y276:AE276))</f>
        <v/>
      </c>
      <c r="AG276" s="34">
        <f>MAX(0,$AT276-$W276-$AI276)</f>
        <v/>
      </c>
      <c r="AH276" s="34" t="n"/>
      <c r="AI276" s="34" t="n"/>
      <c r="AJ276" s="36" t="n">
        <v>0.96</v>
      </c>
      <c r="AK276" s="36">
        <f>IF(AND($AG276&gt;0,ISNUMBER($AJ276)),$AG276*$AJ276,0)</f>
        <v/>
      </c>
      <c r="AT276" s="37">
        <f>SUM(AU276:BA276)</f>
        <v/>
      </c>
      <c r="AU276" s="73" t="n"/>
      <c r="AV276" s="98" t="n">
        <v>1</v>
      </c>
      <c r="AW276" s="33" t="n"/>
      <c r="AX276" s="33" t="n"/>
      <c r="AY276" s="33" t="n"/>
      <c r="AZ276" s="33" t="n"/>
      <c r="BA276" s="74" t="n"/>
      <c r="BB276" s="106" t="n"/>
      <c r="BC276" s="42" t="n"/>
      <c r="BD276" s="42" t="n"/>
    </row>
    <row r="277" ht="15" customHeight="1" s="148">
      <c r="A277" t="inlineStr">
        <is>
          <t>c0273</t>
        </is>
      </c>
      <c r="B277" s="113" t="inlineStr">
        <is>
          <t>Tend the Sprigs</t>
        </is>
      </c>
      <c r="C277" s="115" t="inlineStr">
        <is>
          <t>G</t>
        </is>
      </c>
      <c r="D277" s="117" t="inlineStr">
        <is>
          <t>Sorcery</t>
        </is>
      </c>
      <c r="E277" s="67" t="inlineStr">
        <is>
          <t>B2</t>
        </is>
      </c>
      <c r="F277" s="115" t="n">
        <v>3</v>
      </c>
      <c r="G277" s="69" t="inlineStr">
        <is>
          <t>Tend the Sprigs {2}{G} — Sorcery
Search your library for a basic land card, put it onto the battlefield tapped, then shuffle. Then if you control seven or more lands and/or Treefolk, create a 3/4 green Treefolk creature token with reach. (It can block creatures with flying.)</t>
        </is>
      </c>
      <c r="H277" s="113" t="inlineStr">
        <is>
          <t>Ramp</t>
        </is>
      </c>
      <c r="I277" s="113" t="inlineStr">
        <is>
          <t>Search your library for a basic land, put it onto the battlefield tapped</t>
        </is>
      </c>
      <c r="J277" s="113" t="inlineStr">
        <is>
          <t>Creates a 3/4 Treefolk if you control seven or more lands and/or Treefolk</t>
        </is>
      </c>
      <c r="K277" s="113" t="n"/>
      <c r="L277" s="69" t="inlineStr">
        <is>
          <t>197</t>
        </is>
      </c>
      <c r="M277" s="69" t="n">
        <v>1</v>
      </c>
      <c r="N277" s="69" t="n">
        <v>0</v>
      </c>
      <c r="O277" s="63" t="inlineStr">
        <is>
          <t>Iris Compiet</t>
        </is>
      </c>
      <c r="P277" s="85" t="n">
        <v>0.16</v>
      </c>
      <c r="Q277" s="69" t="inlineStr">
        <is>
          <t>Common</t>
        </is>
      </c>
      <c r="R277" s="69" t="n"/>
      <c r="S277" s="69" t="n"/>
      <c r="T277" s="63" t="n"/>
      <c r="U277" s="63" t="n"/>
      <c r="V277" s="117" t="inlineStr">
        <is>
          <t>Lorwyn Eclipsed</t>
        </is>
      </c>
      <c r="W277" s="105" t="n">
        <v>1</v>
      </c>
      <c r="X277" s="37">
        <f>SUM(Y277:AE277)</f>
        <v/>
      </c>
      <c r="Y277" s="43" t="n"/>
      <c r="Z277" s="43" t="n"/>
      <c r="AA277" s="43" t="n"/>
      <c r="AB277" s="43" t="n"/>
      <c r="AC277" s="43" t="n"/>
      <c r="AD277" s="43" t="n"/>
      <c r="AE277" s="43" t="n"/>
      <c r="AF277" s="38">
        <f>IF((W277-SUM(Y277:AE277))&lt;0,0,W277-SUM(Y277:AE277))</f>
        <v/>
      </c>
      <c r="AG277" s="34">
        <f>MAX(0,$AT277-$W277-$AI277)</f>
        <v/>
      </c>
      <c r="AH277" s="113" t="n"/>
      <c r="AI277" s="113" t="n"/>
      <c r="AJ277" s="123" t="n">
        <v>0.16</v>
      </c>
      <c r="AK277" s="36">
        <f>IF(AND($AG277&gt;0,ISNUMBER($AJ277)),$AG277*$AJ277,0)</f>
        <v/>
      </c>
      <c r="AL277" s="69" t="n"/>
      <c r="AM277" s="69" t="n"/>
      <c r="AN277" s="69" t="n"/>
      <c r="AO277" s="69" t="n"/>
      <c r="AP277" s="69" t="n"/>
      <c r="AQ277" s="69" t="n"/>
      <c r="AR277" s="69" t="n"/>
      <c r="AS277" s="69" t="n"/>
      <c r="AT277" s="37">
        <f>SUM(AU277:BA277)</f>
        <v/>
      </c>
      <c r="AU277" s="73" t="n"/>
      <c r="AV277" s="33" t="n"/>
      <c r="AW277" s="33" t="n"/>
      <c r="AX277" s="33" t="n"/>
      <c r="AY277" s="33" t="n"/>
      <c r="AZ277" s="33" t="n"/>
      <c r="BA277" s="74" t="n"/>
      <c r="BB277" s="126" t="n"/>
      <c r="BC277" s="69" t="n"/>
      <c r="BD277" s="69" t="n"/>
    </row>
    <row r="278" ht="15" customHeight="1" s="148">
      <c r="A278" t="inlineStr">
        <is>
          <t>c0274</t>
        </is>
      </c>
      <c r="B278" s="44" t="inlineStr">
        <is>
          <t>Tireless Provisioner</t>
        </is>
      </c>
      <c r="C278" s="34" t="inlineStr">
        <is>
          <t>G</t>
        </is>
      </c>
      <c r="D278" s="44" t="inlineStr">
        <is>
          <t>Creature</t>
        </is>
      </c>
      <c r="E278" s="41" t="inlineStr">
        <is>
          <t>B2</t>
        </is>
      </c>
      <c r="F278" s="34" t="n">
        <v>3</v>
      </c>
      <c r="G278" s="67" t="inlineStr">
        <is>
          <t>Landfall — Whenever a land you control enters, create a Food token or a Treasure token. (Food is an artifact with "{2}, {T}, Sacrifice this token: You gain 3 life." Treasure is an artifact with "{T}, Sacrifice this token: Add one mana of any color.")
(3/2)</t>
        </is>
      </c>
      <c r="H278" s="45" t="inlineStr">
        <is>
          <t>Ramp</t>
        </is>
      </c>
      <c r="I278" s="45" t="inlineStr">
        <is>
          <t>Creates a Food or Treasure token whenever a land you control enters</t>
        </is>
      </c>
      <c r="J278" s="45" t="n"/>
      <c r="K278" s="45" t="n"/>
      <c r="L278" s="41" t="n"/>
      <c r="M278" s="41" t="n"/>
      <c r="N278" s="41" t="n"/>
      <c r="O278" s="41" t="n"/>
      <c r="P278" s="41" t="n">
        <v>3.87</v>
      </c>
      <c r="Q278" s="41" t="n"/>
      <c r="R278" s="41" t="n"/>
      <c r="S278" s="41" t="n"/>
      <c r="T278" s="41" t="n"/>
      <c r="U278" s="41" t="n"/>
      <c r="V278" s="45" t="inlineStr">
        <is>
          <t>Modern Horizons 2</t>
        </is>
      </c>
      <c r="W278" s="41" t="n">
        <v>1</v>
      </c>
      <c r="X278" s="37">
        <f>SUM(Y278:AE278)</f>
        <v/>
      </c>
      <c r="Y278" s="43" t="n"/>
      <c r="Z278" s="43" t="n">
        <v>1</v>
      </c>
      <c r="AA278" s="43" t="n"/>
      <c r="AB278" s="43" t="n"/>
      <c r="AC278" s="43" t="n"/>
      <c r="AD278" s="43" t="n"/>
      <c r="AE278" s="43" t="n"/>
      <c r="AF278" s="38">
        <f>IF((W278-SUM(Y278:AE278))&lt;0,0,W278-SUM(Y278:AE278))</f>
        <v/>
      </c>
      <c r="AG278" s="34">
        <f>MAX(0,$AT278-$W278-$AI278)</f>
        <v/>
      </c>
      <c r="AH278" s="34" t="n"/>
      <c r="AI278" s="34" t="n"/>
      <c r="AJ278" s="36" t="n">
        <v>4.33</v>
      </c>
      <c r="AK278" s="36">
        <f>IF(AND($AG278&gt;0,ISNUMBER($AJ278)),$AG278*$AJ278,0)</f>
        <v/>
      </c>
      <c r="AT278" s="37">
        <f>SUM(AU278:BA278)</f>
        <v/>
      </c>
      <c r="AU278" s="73" t="n"/>
      <c r="AV278" s="98" t="n">
        <v>1</v>
      </c>
      <c r="AW278" s="33" t="n"/>
      <c r="AX278" s="33" t="n"/>
      <c r="AY278" s="33" t="n"/>
      <c r="AZ278" s="33" t="n"/>
      <c r="BA278" s="74" t="n"/>
      <c r="BB278" s="106" t="n"/>
      <c r="BC278" s="42" t="n"/>
      <c r="BD278" s="42" t="n"/>
    </row>
    <row r="279" ht="15" customHeight="1" s="148">
      <c r="A279" t="inlineStr">
        <is>
          <t>c0275</t>
        </is>
      </c>
      <c r="B279" s="44" t="inlineStr">
        <is>
          <t>Tower Defense</t>
        </is>
      </c>
      <c r="C279" s="34" t="inlineStr">
        <is>
          <t>G</t>
        </is>
      </c>
      <c r="D279" s="44" t="inlineStr">
        <is>
          <t>Instant</t>
        </is>
      </c>
      <c r="E279" s="41" t="inlineStr">
        <is>
          <t>B2</t>
        </is>
      </c>
      <c r="F279" s="34" t="n">
        <v>2</v>
      </c>
      <c r="G279" s="67" t="inlineStr">
        <is>
          <t>Creatures you control get +0/+5 and gain reach until end of turn.</t>
        </is>
      </c>
      <c r="H279" s="45" t="inlineStr">
        <is>
          <t>Combat Trick</t>
        </is>
      </c>
      <c r="I279" s="45" t="inlineStr">
        <is>
          <t>Your creatures get +0/+5 and gain reach until end of turn</t>
        </is>
      </c>
      <c r="J279" s="45" t="n"/>
      <c r="K279" s="45" t="n"/>
      <c r="L279" s="42" t="n"/>
      <c r="M279" s="42" t="n"/>
      <c r="N279" s="42" t="n"/>
      <c r="O279" s="63" t="n"/>
      <c r="P279" s="63" t="n">
        <v>0.29</v>
      </c>
      <c r="Q279" s="42" t="n"/>
      <c r="R279" s="42" t="n"/>
      <c r="S279" s="42" t="n"/>
      <c r="T279" s="63" t="n"/>
      <c r="U279" s="63" t="n"/>
      <c r="V279" s="45" t="inlineStr">
        <is>
          <t>Gatecrash</t>
        </is>
      </c>
      <c r="W279" s="41" t="n">
        <v>1</v>
      </c>
      <c r="X279" s="37">
        <f>SUM(Y279:AE279)</f>
        <v/>
      </c>
      <c r="Y279" s="43" t="n"/>
      <c r="Z279" s="43" t="n"/>
      <c r="AA279" s="43" t="n"/>
      <c r="AB279" s="43" t="n"/>
      <c r="AC279" s="43" t="n"/>
      <c r="AD279" s="43" t="n"/>
      <c r="AE279" s="43" t="n"/>
      <c r="AF279" s="38">
        <f>IF((W279-SUM(Y279:AE279))&lt;0,0,W279-SUM(Y279:AE279))</f>
        <v/>
      </c>
      <c r="AG279" s="34">
        <f>MAX(0,$AT279-$W279-$AI279)</f>
        <v/>
      </c>
      <c r="AH279" s="34" t="n"/>
      <c r="AI279" s="34" t="n"/>
      <c r="AJ279" s="36" t="n">
        <v>0.28</v>
      </c>
      <c r="AK279" s="36">
        <f>IF(AND($AG279&gt;0,ISNUMBER($AJ279)),$AG279*$AJ279,0)</f>
        <v/>
      </c>
      <c r="AT279" s="37">
        <f>SUM(AU279:BA279)</f>
        <v/>
      </c>
      <c r="AU279" s="73" t="n"/>
      <c r="AV279" s="33" t="n"/>
      <c r="AW279" s="33" t="n"/>
      <c r="AX279" s="33" t="n">
        <v>1</v>
      </c>
      <c r="AY279" s="33" t="n"/>
      <c r="AZ279" s="33" t="n"/>
      <c r="BA279" s="74" t="n"/>
      <c r="BB279" s="106" t="n"/>
      <c r="BC279" s="42" t="n"/>
      <c r="BD279" s="42" t="n"/>
    </row>
    <row r="280" ht="15" customHeight="1" s="148">
      <c r="A280" t="inlineStr">
        <is>
          <t>c0276</t>
        </is>
      </c>
      <c r="B280" s="44" t="inlineStr">
        <is>
          <t>Tree of Redemption</t>
        </is>
      </c>
      <c r="C280" s="34" t="inlineStr">
        <is>
          <t>G</t>
        </is>
      </c>
      <c r="D280" s="44" t="inlineStr">
        <is>
          <t>Creature</t>
        </is>
      </c>
      <c r="E280" s="41" t="inlineStr">
        <is>
          <t>B2</t>
        </is>
      </c>
      <c r="F280" s="34" t="n">
        <v>4</v>
      </c>
      <c r="G280" s="67" t="inlineStr">
        <is>
          <t>Defender
{T}: Exchange your life total with this creature's toughness.
(0/13)</t>
        </is>
      </c>
      <c r="H280" s="45" t="inlineStr">
        <is>
          <t>Lifegain</t>
        </is>
      </c>
      <c r="I280" s="45" t="inlineStr">
        <is>
          <t>Tap to swap your life total with this creature's toughness</t>
        </is>
      </c>
      <c r="J280" s="45" t="n"/>
      <c r="K280" s="45" t="n"/>
      <c r="L280" s="42" t="n"/>
      <c r="M280" s="42" t="n"/>
      <c r="N280" s="42" t="n"/>
      <c r="O280" s="42" t="n"/>
      <c r="P280" s="42" t="n">
        <v>0.59</v>
      </c>
      <c r="Q280" s="42" t="n"/>
      <c r="R280" s="42" t="n"/>
      <c r="S280" s="42" t="n"/>
      <c r="T280" s="42" t="n"/>
      <c r="U280" s="42" t="n"/>
      <c r="V280" s="45" t="inlineStr">
        <is>
          <t>Innistrad</t>
        </is>
      </c>
      <c r="W280" s="41" t="n">
        <v>1</v>
      </c>
      <c r="X280" s="37">
        <f>SUM(Y280:AE280)</f>
        <v/>
      </c>
      <c r="Y280" s="43" t="n"/>
      <c r="Z280" s="43" t="n"/>
      <c r="AA280" s="43" t="n"/>
      <c r="AB280" s="43" t="n">
        <v>1</v>
      </c>
      <c r="AC280" s="43" t="n"/>
      <c r="AD280" s="43" t="n"/>
      <c r="AE280" s="43" t="n"/>
      <c r="AF280" s="38">
        <f>IF((W280-SUM(Y280:AE280))&lt;0,0,W280-SUM(Y280:AE280))</f>
        <v/>
      </c>
      <c r="AG280" s="34">
        <f>MAX(0,$AT280-$W280-$AI280)</f>
        <v/>
      </c>
      <c r="AH280" s="34" t="n"/>
      <c r="AI280" s="34" t="n"/>
      <c r="AJ280" s="36" t="n">
        <v>0.63</v>
      </c>
      <c r="AK280" s="36">
        <f>IF(AND($AG280&gt;0,ISNUMBER($AJ280)),$AG280*$AJ280,0)</f>
        <v/>
      </c>
      <c r="AT280" s="37">
        <f>SUM(AU280:BA280)</f>
        <v/>
      </c>
      <c r="AU280" s="73" t="n"/>
      <c r="AV280" s="33" t="n"/>
      <c r="AW280" s="33" t="n"/>
      <c r="AX280" s="98" t="n">
        <v>1</v>
      </c>
      <c r="AY280" s="33" t="n"/>
      <c r="AZ280" s="33" t="n"/>
      <c r="BA280" s="74" t="n"/>
      <c r="BB280" s="106" t="n"/>
      <c r="BC280" s="42" t="n"/>
      <c r="BD280" s="42" t="n"/>
    </row>
    <row r="281" ht="15" customHeight="1" s="148">
      <c r="A281" t="inlineStr">
        <is>
          <t>c0277</t>
        </is>
      </c>
      <c r="B281" s="44" t="inlineStr">
        <is>
          <t>Treefolk Umbra</t>
        </is>
      </c>
      <c r="C281" s="34" t="inlineStr">
        <is>
          <t>G</t>
        </is>
      </c>
      <c r="D281" s="44" t="inlineStr">
        <is>
          <t>Enchantment</t>
        </is>
      </c>
      <c r="E281" s="41" t="inlineStr">
        <is>
          <t>B2</t>
        </is>
      </c>
      <c r="F281" s="34" t="n">
        <v>3</v>
      </c>
      <c r="G281" s="67" t="inlineStr">
        <is>
          <t>Enchant creature
Enchanted creature gets +0/+2 and assigns combat damage equal to its toughness rather than its power.
Umbra armor (If enchanted creature would be destroyed, instead remove all damage from it and destroy this Aura.)</t>
        </is>
      </c>
      <c r="H281" s="45" t="inlineStr">
        <is>
          <t>Toughness Payoff</t>
        </is>
      </c>
      <c r="I281" s="45" t="inlineStr">
        <is>
          <t>Enchanted creature gets +0/+2 and deals combat damage equal to its toughness instead of power</t>
        </is>
      </c>
      <c r="J281" s="45" t="inlineStr">
        <is>
          <t>If enchanted creature would be destroyed, instead remove all damage and destroy this Aura</t>
        </is>
      </c>
      <c r="K281" s="45" t="n"/>
      <c r="L281" s="42" t="n"/>
      <c r="M281" s="42" t="n"/>
      <c r="N281" s="42" t="n"/>
      <c r="O281" s="42" t="n"/>
      <c r="P281" s="42" t="n">
        <v>0.17</v>
      </c>
      <c r="Q281" s="42" t="n"/>
      <c r="R281" s="42" t="n"/>
      <c r="S281" s="42" t="n"/>
      <c r="T281" s="42" t="n"/>
      <c r="U281" s="42" t="n"/>
      <c r="V281" s="45" t="inlineStr">
        <is>
          <t>Modern Horizons</t>
        </is>
      </c>
      <c r="W281" s="41" t="n">
        <v>1</v>
      </c>
      <c r="X281" s="37">
        <f>SUM(Y281:AE281)</f>
        <v/>
      </c>
      <c r="Y281" s="43" t="n"/>
      <c r="Z281" s="43" t="n"/>
      <c r="AA281" s="43" t="n"/>
      <c r="AB281" s="43" t="n">
        <v>1</v>
      </c>
      <c r="AC281" s="43" t="n"/>
      <c r="AD281" s="43" t="n"/>
      <c r="AE281" s="43" t="n"/>
      <c r="AF281" s="38">
        <f>IF((W281-SUM(Y281:AE281))&lt;0,0,W281-SUM(Y281:AE281))</f>
        <v/>
      </c>
      <c r="AG281" s="34">
        <f>MAX(0,$AT281-$W281-$AI281)</f>
        <v/>
      </c>
      <c r="AH281" s="34" t="n"/>
      <c r="AI281" s="34" t="n"/>
      <c r="AJ281" s="36" t="n">
        <v>0.19</v>
      </c>
      <c r="AK281" s="36">
        <f>IF(AND($AG281&gt;0,ISNUMBER($AJ281)),$AG281*$AJ281,0)</f>
        <v/>
      </c>
      <c r="AO281" s="58" t="n"/>
      <c r="AT281" s="37">
        <f>SUM(AU281:BA281)</f>
        <v/>
      </c>
      <c r="AU281" s="73" t="n"/>
      <c r="AV281" s="33" t="n"/>
      <c r="AW281" s="33" t="n"/>
      <c r="AX281" s="98" t="n">
        <v>1</v>
      </c>
      <c r="AY281" s="33" t="n"/>
      <c r="AZ281" s="33" t="n"/>
      <c r="BA281" s="74" t="n"/>
      <c r="BB281" s="106" t="n"/>
      <c r="BC281" s="42" t="n"/>
      <c r="BD281" s="42" t="n"/>
    </row>
    <row r="282" ht="15" customHeight="1" s="148">
      <c r="A282" t="inlineStr">
        <is>
          <t>c0278</t>
        </is>
      </c>
      <c r="B282" s="44" t="inlineStr">
        <is>
          <t>Troll Negotiations</t>
        </is>
      </c>
      <c r="C282" s="34" t="inlineStr">
        <is>
          <t>G</t>
        </is>
      </c>
      <c r="D282" s="44" t="inlineStr">
        <is>
          <t>Sorcery</t>
        </is>
      </c>
      <c r="E282" s="41" t="inlineStr">
        <is>
          <t>B2</t>
        </is>
      </c>
      <c r="F282" s="34" t="n">
        <v>4</v>
      </c>
      <c r="G282" s="67" t="inlineStr">
        <is>
          <t>Put two +1/+1 counters on target creature you control. Then it fights target creature an opponent controls. (Each deals damage equal to its power to the other.)</t>
        </is>
      </c>
      <c r="H282" s="45" t="inlineStr">
        <is>
          <t>Removal</t>
        </is>
      </c>
      <c r="I282" s="45" t="inlineStr">
        <is>
          <t>Puts two +1/+1 counters on target creature you control, then it fights an opponent's creature</t>
        </is>
      </c>
      <c r="J282" s="45" t="n"/>
      <c r="K282" s="45" t="n"/>
      <c r="L282" s="42" t="inlineStr">
        <is>
          <t>138</t>
        </is>
      </c>
      <c r="M282" s="42" t="n">
        <v>1</v>
      </c>
      <c r="N282" s="42" t="n">
        <v>0</v>
      </c>
      <c r="O282" s="63" t="n"/>
      <c r="P282" s="63" t="n">
        <v>0.12</v>
      </c>
      <c r="Q282" s="42" t="inlineStr">
        <is>
          <t>Uncommon</t>
        </is>
      </c>
      <c r="R282" s="42" t="n"/>
      <c r="S282" s="42" t="n"/>
      <c r="T282" s="63" t="n"/>
      <c r="U282" s="63" t="n"/>
      <c r="V282" s="45" t="inlineStr">
        <is>
          <t>The Hobbit</t>
        </is>
      </c>
      <c r="W282" s="41" t="n">
        <v>2</v>
      </c>
      <c r="X282" s="37">
        <f>SUM(Y282:AE282)</f>
        <v/>
      </c>
      <c r="Y282" s="43" t="n"/>
      <c r="Z282" s="43" t="n"/>
      <c r="AA282" s="43" t="n">
        <v>1</v>
      </c>
      <c r="AB282" s="43" t="n"/>
      <c r="AC282" s="43" t="n"/>
      <c r="AD282" s="43" t="n"/>
      <c r="AE282" s="43" t="n"/>
      <c r="AF282" s="38">
        <f>IF((W282-SUM(Y282:AE282))&lt;0,0,W282-SUM(Y282:AE282))</f>
        <v/>
      </c>
      <c r="AG282" s="34">
        <f>MAX(0,$AT282-$W282-$AI282)</f>
        <v/>
      </c>
      <c r="AH282" s="34" t="n"/>
      <c r="AI282" s="34" t="n"/>
      <c r="AJ282" s="36" t="n">
        <v>0.14</v>
      </c>
      <c r="AK282" s="36">
        <f>IF(AND($AG282&gt;0,ISNUMBER($AJ282)),$AG282*$AJ282,0)</f>
        <v/>
      </c>
      <c r="AN282" s="58" t="n"/>
      <c r="AT282" s="37">
        <f>SUM(AU282:BA282)</f>
        <v/>
      </c>
      <c r="AU282" s="73" t="n"/>
      <c r="AV282" s="33" t="n"/>
      <c r="AW282" s="98" t="n">
        <v>1</v>
      </c>
      <c r="AX282" s="33" t="n"/>
      <c r="AY282" s="33" t="n"/>
      <c r="AZ282" s="33" t="n"/>
      <c r="BA282" s="74" t="n"/>
      <c r="BB282" s="106" t="n"/>
      <c r="BC282" s="42" t="n"/>
      <c r="BD282" s="42" t="n"/>
    </row>
    <row r="283" ht="15" customHeight="1" s="148">
      <c r="A283" t="inlineStr">
        <is>
          <t>c0279</t>
        </is>
      </c>
      <c r="B283" s="44" t="inlineStr">
        <is>
          <t>Unforgiving Aim</t>
        </is>
      </c>
      <c r="C283" s="34" t="inlineStr">
        <is>
          <t>G</t>
        </is>
      </c>
      <c r="D283" s="44" t="inlineStr">
        <is>
          <t>Instant</t>
        </is>
      </c>
      <c r="E283" s="41" t="inlineStr">
        <is>
          <t>B2</t>
        </is>
      </c>
      <c r="F283" s="34" t="n">
        <v>3</v>
      </c>
      <c r="G283" s="67" t="inlineStr">
        <is>
          <t>Choose one —
• Destroy target creature with flying.
• Destroy target enchantment.
• Create a 2/2 black and green Elf creature token.</t>
        </is>
      </c>
      <c r="H283" s="45" t="inlineStr">
        <is>
          <t>Removal</t>
        </is>
      </c>
      <c r="I283" s="45" t="inlineStr">
        <is>
          <t>Destroy target creature with flying</t>
        </is>
      </c>
      <c r="J283" s="45" t="inlineStr">
        <is>
          <t>Or destroy target enchantment</t>
        </is>
      </c>
      <c r="K283" s="45" t="inlineStr">
        <is>
          <t>Or create a 2/2 Elf creature token</t>
        </is>
      </c>
      <c r="L283" s="42" t="n"/>
      <c r="M283" s="42" t="n"/>
      <c r="N283" s="42" t="n"/>
      <c r="O283" s="63" t="n"/>
      <c r="P283" s="63" t="n">
        <v>0.16</v>
      </c>
      <c r="Q283" s="42" t="n"/>
      <c r="R283" s="42" t="n"/>
      <c r="S283" s="42" t="n"/>
      <c r="T283" s="63" t="n"/>
      <c r="U283" s="63" t="n"/>
      <c r="V283" s="45" t="inlineStr">
        <is>
          <t>Lorwyn Eclipsed</t>
        </is>
      </c>
      <c r="W283" s="41" t="n">
        <v>1</v>
      </c>
      <c r="X283" s="37">
        <f>SUM(Y283:AE283)</f>
        <v/>
      </c>
      <c r="Y283" s="43" t="n"/>
      <c r="Z283" s="43" t="n"/>
      <c r="AA283" s="43" t="n"/>
      <c r="AB283" s="43" t="n"/>
      <c r="AC283" s="43" t="n"/>
      <c r="AD283" s="43" t="n"/>
      <c r="AE283" s="43" t="n">
        <v>1</v>
      </c>
      <c r="AF283" s="38">
        <f>IF((W283-SUM(Y283:AE283))&lt;0,0,W283-SUM(Y283:AE283))</f>
        <v/>
      </c>
      <c r="AG283" s="34">
        <f>MAX(0,$AT283-$W283-$AI283)</f>
        <v/>
      </c>
      <c r="AH283" s="34" t="n"/>
      <c r="AI283" s="34" t="n"/>
      <c r="AJ283" s="36" t="n">
        <v>0.17</v>
      </c>
      <c r="AK283" s="36">
        <f>IF(AND($AG283&gt;0,ISNUMBER($AJ283)),$AG283*$AJ283,0)</f>
        <v/>
      </c>
      <c r="AT283" s="37">
        <f>SUM(AU283:BA283)</f>
        <v/>
      </c>
      <c r="AU283" s="73" t="n"/>
      <c r="AV283" s="33" t="n"/>
      <c r="AW283" s="33" t="n"/>
      <c r="AX283" s="33" t="n"/>
      <c r="AY283" s="33" t="n"/>
      <c r="AZ283" s="33" t="n"/>
      <c r="BA283" s="80" t="n">
        <v>1</v>
      </c>
      <c r="BB283" s="106" t="n"/>
      <c r="BC283" s="42" t="n"/>
      <c r="BD283" s="42" t="n"/>
    </row>
    <row r="284" ht="15" customHeight="1" s="148">
      <c r="A284" t="inlineStr">
        <is>
          <t>c0280</t>
        </is>
      </c>
      <c r="B284" s="44" t="inlineStr">
        <is>
          <t>Fynn, the Fangbearer</t>
        </is>
      </c>
      <c r="C284" s="34" t="inlineStr">
        <is>
          <t>G</t>
        </is>
      </c>
      <c r="D284" s="44" t="inlineStr">
        <is>
          <t>Legendary Creature</t>
        </is>
      </c>
      <c r="E284" s="41" t="inlineStr">
        <is>
          <t>B3</t>
        </is>
      </c>
      <c r="F284" s="34" t="n">
        <v>2</v>
      </c>
      <c r="G284" s="67" t="inlineStr">
        <is>
          <t>Deathtouch (Any amount of damage this deals to a creature is enough to destroy it.)
Whenever a creature you control with deathtouch deals combat damage to a player, that player gets two poison counters. (A player with ten or more poison counters loses the game.)
(1/3)</t>
        </is>
      </c>
      <c r="H284" s="45" t="inlineStr">
        <is>
          <t>Utility Creature</t>
        </is>
      </c>
      <c r="I284" s="45" t="inlineStr">
        <is>
          <t>Deathtouch</t>
        </is>
      </c>
      <c r="J284" s="45" t="inlineStr">
        <is>
          <t>Whenever a creature you control with deathtouch deals combat damage to a player, that player gets two poison counters</t>
        </is>
      </c>
      <c r="K284" s="45" t="n"/>
      <c r="L284" s="88" t="inlineStr">
        <is>
          <t>U 0046</t>
        </is>
      </c>
      <c r="M284" s="41" t="n">
        <v>1</v>
      </c>
      <c r="N284" s="41" t="n">
        <v>0</v>
      </c>
      <c r="O284" s="63" t="inlineStr">
        <is>
          <t>Square Enix</t>
        </is>
      </c>
      <c r="P284" s="90" t="n">
        <v>0.3</v>
      </c>
      <c r="Q284" s="42" t="inlineStr">
        <is>
          <t>U</t>
        </is>
      </c>
      <c r="R284" s="42" t="n"/>
      <c r="S284" s="42" t="n"/>
      <c r="T284" s="63" t="n"/>
      <c r="U284" s="63" t="n"/>
      <c r="V284" s="45" t="inlineStr">
        <is>
          <t>Final Fantasy: Through the Ages</t>
        </is>
      </c>
      <c r="W284" s="41" t="n">
        <v>1</v>
      </c>
      <c r="X284" s="37">
        <f>SUM(Y284:AE284)</f>
        <v/>
      </c>
      <c r="Y284" s="43" t="n"/>
      <c r="Z284" s="43" t="n"/>
      <c r="AA284" s="43" t="n"/>
      <c r="AB284" s="43" t="n"/>
      <c r="AC284" s="43" t="n"/>
      <c r="AD284" s="43" t="n"/>
      <c r="AE284" s="43" t="n"/>
      <c r="AF284" s="38">
        <f>IF((W284-SUM(Y284:AE284))&lt;0,0,W284-SUM(Y284:AE284))</f>
        <v/>
      </c>
      <c r="AG284" s="34">
        <f>MAX(0,$AT284-$W284-$AI284)</f>
        <v/>
      </c>
      <c r="AH284" s="34" t="n"/>
      <c r="AI284" s="34" t="n"/>
      <c r="AJ284" s="36" t="n">
        <v>0.3</v>
      </c>
      <c r="AK284" s="36">
        <f>IF(AND($AG284&gt;0,ISNUMBER($AJ284)),$AG284*$AJ284,0)</f>
        <v/>
      </c>
      <c r="AT284" s="37">
        <f>SUM(AU284:BA284)</f>
        <v/>
      </c>
      <c r="AU284" s="73" t="n"/>
      <c r="AV284" s="33" t="n"/>
      <c r="AW284" s="33" t="n"/>
      <c r="AX284" s="33" t="n"/>
      <c r="AY284" s="33" t="n"/>
      <c r="AZ284" s="33" t="n"/>
      <c r="BA284" s="74" t="n"/>
      <c r="BB284" s="106" t="n"/>
      <c r="BC284" s="42" t="n"/>
      <c r="BD284" s="42" t="n"/>
      <c r="BE284" t="inlineStr">
        <is>
          <t>Vayne Carudas Solidor</t>
        </is>
      </c>
    </row>
    <row r="285" ht="15" customHeight="1" s="148">
      <c r="A285" t="inlineStr">
        <is>
          <t>c0281</t>
        </is>
      </c>
      <c r="B285" s="44" t="inlineStr">
        <is>
          <t>Vorinclex, Monstrous Raider</t>
        </is>
      </c>
      <c r="C285" s="34" t="inlineStr">
        <is>
          <t>G</t>
        </is>
      </c>
      <c r="D285" s="44" t="inlineStr">
        <is>
          <t>Legendary Creature</t>
        </is>
      </c>
      <c r="E285" s="41" t="inlineStr">
        <is>
          <t>B3</t>
        </is>
      </c>
      <c r="F285" s="34" t="n">
        <v>6</v>
      </c>
      <c r="G285" s="67" t="inlineStr">
        <is>
          <t>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
(6/6)</t>
        </is>
      </c>
      <c r="H285" s="45" t="inlineStr">
        <is>
          <t>Counters Payoff</t>
        </is>
      </c>
      <c r="I285" s="45" t="inlineStr">
        <is>
          <t>Trample, haste
If you would put one or more counters on a permanent or player, put twice that many of each of those kind</t>
        </is>
      </c>
      <c r="J285" s="45" t="n"/>
      <c r="K285" s="45" t="n"/>
      <c r="L285" s="42" t="n"/>
      <c r="M285" s="42" t="n"/>
      <c r="N285" s="42" t="n"/>
      <c r="O285" s="42" t="n"/>
      <c r="P285" s="42" t="n">
        <v>54.2</v>
      </c>
      <c r="Q285" s="42" t="n"/>
      <c r="R285" s="42" t="n"/>
      <c r="S285" s="42" t="n"/>
      <c r="T285" s="42" t="n"/>
      <c r="U285" s="42" t="n"/>
      <c r="V285" s="45" t="inlineStr">
        <is>
          <t>Kaldheim</t>
        </is>
      </c>
      <c r="W285" s="41" t="n">
        <v>0</v>
      </c>
      <c r="X285" s="37">
        <f>SUM(Y285:AE285)</f>
        <v/>
      </c>
      <c r="Y285" s="43" t="n"/>
      <c r="Z285" s="43" t="n"/>
      <c r="AA285" s="43" t="n"/>
      <c r="AB285" s="43" t="n"/>
      <c r="AC285" s="43" t="n"/>
      <c r="AD285" s="43" t="n"/>
      <c r="AE285" s="43" t="n"/>
      <c r="AF285" s="38">
        <f>IF((W285-SUM(Y285:AE285))&lt;0,0,W285-SUM(Y285:AE285))</f>
        <v/>
      </c>
      <c r="AG285" s="34">
        <f>MAX(0,$AT285-$W285-$AI285)</f>
        <v/>
      </c>
      <c r="AH285" s="34" t="n"/>
      <c r="AI285" s="34" t="n"/>
      <c r="AJ285" s="36" t="n">
        <v>55.18</v>
      </c>
      <c r="AK285" s="36">
        <f>IF(AND($AG285&gt;0,ISNUMBER($AJ285)),$AG285*$AJ285,0)</f>
        <v/>
      </c>
      <c r="AL285" s="54" t="n"/>
      <c r="AM285" s="54" t="n"/>
      <c r="AN285" s="54" t="n"/>
      <c r="AO285" s="54" t="n"/>
      <c r="AP285" s="54" t="n"/>
      <c r="AQ285" s="54" t="n"/>
      <c r="AR285" s="54" t="n"/>
      <c r="AS285" s="54" t="n"/>
      <c r="AT285" s="37">
        <f>SUM(AU285:BA285)</f>
        <v/>
      </c>
      <c r="AU285" s="92" t="n"/>
      <c r="AV285" s="38" t="n"/>
      <c r="AW285" s="38" t="n"/>
      <c r="AX285" s="38" t="n"/>
      <c r="AY285" s="38" t="n"/>
      <c r="AZ285" s="38" t="n"/>
      <c r="BA285" s="94" t="n"/>
      <c r="BB285" s="106" t="n"/>
      <c r="BC285" s="42" t="n"/>
      <c r="BD285" s="42" t="n"/>
    </row>
    <row r="286" ht="15" customHeight="1" s="148">
      <c r="A286" t="inlineStr">
        <is>
          <t>c0282</t>
        </is>
      </c>
      <c r="B286" s="44" t="inlineStr">
        <is>
          <t>Wall of Blossoms</t>
        </is>
      </c>
      <c r="C286" s="34" t="inlineStr">
        <is>
          <t>G</t>
        </is>
      </c>
      <c r="D286" s="44" t="inlineStr">
        <is>
          <t>Creature</t>
        </is>
      </c>
      <c r="E286" s="41" t="inlineStr">
        <is>
          <t>B2</t>
        </is>
      </c>
      <c r="F286" s="34" t="n">
        <v>2</v>
      </c>
      <c r="G286" s="67" t="inlineStr">
        <is>
          <t>Defender
When this creature enters, draw a card.
(0/4)</t>
        </is>
      </c>
      <c r="H286" s="45" t="inlineStr">
        <is>
          <t>Card Draw</t>
        </is>
      </c>
      <c r="I286" s="45" t="inlineStr">
        <is>
          <t>Draws a card when it enters</t>
        </is>
      </c>
      <c r="J286" s="45" t="inlineStr">
        <is>
          <t>Defender body</t>
        </is>
      </c>
      <c r="K286" s="45" t="n"/>
      <c r="L286" s="42" t="n"/>
      <c r="M286" s="42" t="n"/>
      <c r="N286" s="42" t="n"/>
      <c r="O286" s="42" t="n"/>
      <c r="P286" s="42" t="n">
        <v>0.33</v>
      </c>
      <c r="Q286" s="42" t="n"/>
      <c r="R286" s="42" t="n"/>
      <c r="S286" s="42" t="n"/>
      <c r="T286" s="42" t="n"/>
      <c r="U286" s="42" t="n"/>
      <c r="V286" s="45" t="inlineStr">
        <is>
          <t>Stronghold</t>
        </is>
      </c>
      <c r="W286" s="41" t="n">
        <v>0</v>
      </c>
      <c r="X286" s="37">
        <f>SUM(Y286:AE286)</f>
        <v/>
      </c>
      <c r="Y286" s="43" t="n"/>
      <c r="Z286" s="43" t="n"/>
      <c r="AA286" s="43" t="n"/>
      <c r="AB286" s="43" t="n"/>
      <c r="AC286" s="43" t="n"/>
      <c r="AD286" s="43" t="n"/>
      <c r="AE286" s="43" t="n"/>
      <c r="AF286" s="38">
        <f>IF((W286-SUM(Y286:AE286))&lt;0,0,W286-SUM(Y286:AE286))</f>
        <v/>
      </c>
      <c r="AG286" s="34">
        <f>MAX(0,$AT286-$W286-$AI286)</f>
        <v/>
      </c>
      <c r="AH286" s="34" t="n"/>
      <c r="AI286" s="34" t="n"/>
      <c r="AJ286" s="36" t="n">
        <v>0.29</v>
      </c>
      <c r="AK286" s="36">
        <f>IF(AND($AG286&gt;0,ISNUMBER($AJ286)),$AG286*$AJ286,0)</f>
        <v/>
      </c>
      <c r="AL286" s="54" t="n"/>
      <c r="AM286" s="54" t="n"/>
      <c r="AN286" s="54" t="n"/>
      <c r="AO286" s="54" t="n"/>
      <c r="AP286" s="54" t="n"/>
      <c r="AQ286" s="54" t="n"/>
      <c r="AR286" s="54" t="n"/>
      <c r="AS286" s="54" t="n"/>
      <c r="AT286" s="37">
        <f>SUM(AU286:BA286)</f>
        <v/>
      </c>
      <c r="AU286" s="92" t="n"/>
      <c r="AV286" s="38" t="n">
        <v>1</v>
      </c>
      <c r="AW286" s="38" t="n"/>
      <c r="AX286" s="38" t="n">
        <v>1</v>
      </c>
      <c r="AY286" s="38" t="n"/>
      <c r="AZ286" s="38" t="n"/>
      <c r="BA286" s="94" t="n"/>
      <c r="BB286" s="106" t="n"/>
      <c r="BC286" s="42" t="n"/>
      <c r="BD286" s="48" t="n"/>
    </row>
    <row r="287" ht="15" customHeight="1" s="148">
      <c r="A287" t="inlineStr">
        <is>
          <t>c0283</t>
        </is>
      </c>
      <c r="B287" s="44" t="inlineStr">
        <is>
          <t>Wall of Mulch</t>
        </is>
      </c>
      <c r="C287" s="34" t="inlineStr">
        <is>
          <t>G</t>
        </is>
      </c>
      <c r="D287" s="44" t="inlineStr">
        <is>
          <t>Creature</t>
        </is>
      </c>
      <c r="E287" s="41" t="inlineStr">
        <is>
          <t>B2</t>
        </is>
      </c>
      <c r="F287" s="34" t="n">
        <v>2</v>
      </c>
      <c r="G287" s="67" t="inlineStr">
        <is>
          <t>Defender (This creature can't attack.)
{G}, Sacrifice a Wall: Draw a card.
(0/4)</t>
        </is>
      </c>
      <c r="H287" s="45" t="inlineStr">
        <is>
          <t>Card Draw</t>
        </is>
      </c>
      <c r="I287" s="45" t="inlineStr">
        <is>
          <t>Sacrifice a Wall and pay {G} to draw a card</t>
        </is>
      </c>
      <c r="J287" s="45" t="n"/>
      <c r="K287" s="45" t="n"/>
      <c r="L287" s="42" t="n"/>
      <c r="M287" s="42" t="n"/>
      <c r="N287" s="42" t="n"/>
      <c r="O287" s="42" t="n"/>
      <c r="P287" s="42" t="n">
        <v>0.27</v>
      </c>
      <c r="Q287" s="42" t="n"/>
      <c r="R287" s="42" t="n"/>
      <c r="S287" s="42" t="n"/>
      <c r="T287" s="42" t="n"/>
      <c r="U287" s="42" t="n"/>
      <c r="V287" s="45" t="inlineStr">
        <is>
          <t>Onslaught</t>
        </is>
      </c>
      <c r="W287" s="41" t="n">
        <v>1</v>
      </c>
      <c r="X287" s="37">
        <f>SUM(Y287:AE287)</f>
        <v/>
      </c>
      <c r="Y287" s="43" t="n"/>
      <c r="Z287" s="43" t="n"/>
      <c r="AA287" s="43" t="n"/>
      <c r="AB287" s="43" t="n">
        <v>1</v>
      </c>
      <c r="AC287" s="43" t="n"/>
      <c r="AD287" s="43" t="n"/>
      <c r="AE287" s="43" t="n"/>
      <c r="AF287" s="38">
        <f>IF((W287-SUM(Y287:AE287))&lt;0,0,W287-SUM(Y287:AE287))</f>
        <v/>
      </c>
      <c r="AG287" s="34">
        <f>MAX(0,$AT287-$W287-$AI287)</f>
        <v/>
      </c>
      <c r="AH287" s="34" t="n"/>
      <c r="AI287" s="34" t="n"/>
      <c r="AJ287" s="36" t="n">
        <v>0.26</v>
      </c>
      <c r="AK287" s="36">
        <f>IF(AND($AG287&gt;0,ISNUMBER($AJ287)),$AG287*$AJ287,0)</f>
        <v/>
      </c>
      <c r="AT287" s="37">
        <f>SUM(AU287:BA287)</f>
        <v/>
      </c>
      <c r="AU287" s="73" t="n"/>
      <c r="AV287" s="33" t="n"/>
      <c r="AW287" s="33" t="n"/>
      <c r="AX287" s="98" t="n">
        <v>1</v>
      </c>
      <c r="AY287" s="33" t="n"/>
      <c r="AZ287" s="33" t="n"/>
      <c r="BA287" s="74" t="n"/>
      <c r="BB287" s="106" t="n"/>
      <c r="BC287" s="42" t="n"/>
      <c r="BD287" s="42" t="n"/>
    </row>
    <row r="288" ht="15" customHeight="1" s="148">
      <c r="A288" t="inlineStr">
        <is>
          <t>c0284</t>
        </is>
      </c>
      <c r="B288" s="44" t="inlineStr">
        <is>
          <t>Wall of Roots</t>
        </is>
      </c>
      <c r="C288" s="34" t="inlineStr">
        <is>
          <t>G</t>
        </is>
      </c>
      <c r="D288" s="44" t="inlineStr">
        <is>
          <t>Creature</t>
        </is>
      </c>
      <c r="E288" s="41" t="inlineStr">
        <is>
          <t>B2</t>
        </is>
      </c>
      <c r="F288" s="34" t="n">
        <v>2</v>
      </c>
      <c r="G288" s="67" t="inlineStr">
        <is>
          <t>Defender
Put a -0/-1 counter on this creature: Add {G}. Activate only once each turn.
(0/5)</t>
        </is>
      </c>
      <c r="H288" s="45" t="inlineStr">
        <is>
          <t>Ramp</t>
        </is>
      </c>
      <c r="I288" s="45" t="inlineStr">
        <is>
          <t>Put a -0/-1 counter on itself to add {G}, once per turn</t>
        </is>
      </c>
      <c r="J288" s="45" t="inlineStr">
        <is>
          <t>Defender body</t>
        </is>
      </c>
      <c r="K288" s="45" t="n"/>
      <c r="L288" s="42" t="n"/>
      <c r="M288" s="42" t="n"/>
      <c r="N288" s="42" t="n"/>
      <c r="O288" s="42" t="n"/>
      <c r="P288" s="42" t="n">
        <v>0.24</v>
      </c>
      <c r="Q288" s="42" t="n"/>
      <c r="R288" s="42" t="n"/>
      <c r="S288" s="42" t="n"/>
      <c r="T288" s="42" t="n"/>
      <c r="U288" s="42" t="n"/>
      <c r="V288" s="45" t="inlineStr">
        <is>
          <t>Mirage</t>
        </is>
      </c>
      <c r="W288" s="41" t="n">
        <v>0</v>
      </c>
      <c r="X288" s="37">
        <f>SUM(Y288:AE288)</f>
        <v/>
      </c>
      <c r="Y288" s="43" t="n"/>
      <c r="Z288" s="43" t="n"/>
      <c r="AA288" s="43" t="n"/>
      <c r="AB288" s="43" t="n"/>
      <c r="AC288" s="43" t="n"/>
      <c r="AD288" s="43" t="n"/>
      <c r="AE288" s="43" t="n"/>
      <c r="AF288" s="38">
        <f>IF((W288-SUM(Y288:AE288))&lt;0,0,W288-SUM(Y288:AE288))</f>
        <v/>
      </c>
      <c r="AG288" s="34">
        <f>MAX(0,$AT288-$W288-$AI288)</f>
        <v/>
      </c>
      <c r="AH288" s="34" t="inlineStr">
        <is>
          <t>TCG</t>
        </is>
      </c>
      <c r="AI288" s="34" t="n">
        <v>0</v>
      </c>
      <c r="AJ288" s="36" t="n">
        <v>0.23</v>
      </c>
      <c r="AK288" s="36">
        <f>IF(AND($AG288&gt;0,ISNUMBER($AJ288)),$AG288*$AJ288,0)</f>
        <v/>
      </c>
      <c r="AL288" s="54" t="n"/>
      <c r="AM288" s="54" t="n"/>
      <c r="AN288" s="54" t="n"/>
      <c r="AO288" s="54" t="n"/>
      <c r="AP288" s="54" t="n"/>
      <c r="AQ288" s="54" t="n"/>
      <c r="AR288" s="54" t="n"/>
      <c r="AS288" s="54" t="n"/>
      <c r="AT288" s="37">
        <f>SUM(AU288:BA288)</f>
        <v/>
      </c>
      <c r="AU288" s="92" t="n"/>
      <c r="AV288" s="38" t="n"/>
      <c r="AW288" s="38" t="n"/>
      <c r="AX288" s="38" t="n">
        <v>1</v>
      </c>
      <c r="AY288" s="38" t="n"/>
      <c r="AZ288" s="38" t="n"/>
      <c r="BA288" s="94" t="n"/>
      <c r="BB288" s="106" t="n"/>
      <c r="BC288" s="42" t="n"/>
      <c r="BD288" s="48" t="n"/>
    </row>
    <row r="289" ht="15" customHeight="1" s="148">
      <c r="A289" t="inlineStr">
        <is>
          <t>c0285</t>
        </is>
      </c>
      <c r="B289" s="30" t="inlineStr">
        <is>
          <t>Warg Tactics</t>
        </is>
      </c>
      <c r="C289" s="31" t="inlineStr">
        <is>
          <t>G</t>
        </is>
      </c>
      <c r="D289" s="30" t="inlineStr">
        <is>
          <t>Instant</t>
        </is>
      </c>
      <c r="E289" s="33" t="inlineStr">
        <is>
          <t>B2</t>
        </is>
      </c>
      <c r="F289" s="31" t="n">
        <v>2</v>
      </c>
      <c r="G289" s="67" t="inlineStr">
        <is>
          <t>Choose one —
• Destroy target creature with flying.
• Put a +1/+1 counter on target creature you control. It gains trample and hexproof until end of turn. (It can't be the target of spells or abilities your opponents control.)</t>
        </is>
      </c>
      <c r="H289" s="30" t="inlineStr">
        <is>
          <t>Removal</t>
        </is>
      </c>
      <c r="I289" s="30" t="inlineStr">
        <is>
          <t>Choose one — destroy target creature with flying</t>
        </is>
      </c>
      <c r="J289" s="30" t="inlineStr">
        <is>
          <t>Or put a +1/+1 counter on a creature you control and give it trample and hexproof until end of turn</t>
        </is>
      </c>
      <c r="K289" s="30" t="n"/>
      <c r="L289" s="32" t="inlineStr">
        <is>
          <t>139</t>
        </is>
      </c>
      <c r="M289" s="32" t="n">
        <v>1</v>
      </c>
      <c r="N289" s="32" t="n">
        <v>0</v>
      </c>
      <c r="O289" s="63" t="n"/>
      <c r="P289" s="63" t="n">
        <v>0.19</v>
      </c>
      <c r="Q289" s="32" t="inlineStr">
        <is>
          <t>Common</t>
        </is>
      </c>
      <c r="R289" s="32" t="n"/>
      <c r="S289" s="32" t="n"/>
      <c r="T289" s="63" t="n"/>
      <c r="U289" s="63" t="n"/>
      <c r="V289" s="30" t="inlineStr">
        <is>
          <t>The Hobbit</t>
        </is>
      </c>
      <c r="W289" s="41" t="n">
        <v>1</v>
      </c>
      <c r="X289" s="37">
        <f>SUM(Y289:AE289)</f>
        <v/>
      </c>
      <c r="Y289" s="43" t="n"/>
      <c r="Z289" s="43" t="n"/>
      <c r="AA289" s="43" t="n">
        <v>1</v>
      </c>
      <c r="AB289" s="43" t="n"/>
      <c r="AC289" s="43" t="n"/>
      <c r="AD289" s="43" t="n"/>
      <c r="AE289" s="43" t="n"/>
      <c r="AF289" s="38">
        <f>IF((W289-SUM(Y289:AE289))&lt;0,0,W289-SUM(Y289:AE289))</f>
        <v/>
      </c>
      <c r="AG289" s="34">
        <f>MAX(0,$AT289-$W289-$AI289)</f>
        <v/>
      </c>
      <c r="AH289" s="30" t="n"/>
      <c r="AI289" s="30" t="n"/>
      <c r="AJ289" s="35" t="n">
        <v>0.19</v>
      </c>
      <c r="AK289" s="36">
        <f>IF(AND($AG289&gt;0,ISNUMBER($AJ289)),$AG289*$AJ289,0)</f>
        <v/>
      </c>
      <c r="AT289" s="37">
        <f>SUM(AU289:BA289)</f>
        <v/>
      </c>
      <c r="AU289" s="73" t="n"/>
      <c r="AV289" s="33" t="n"/>
      <c r="AW289" s="98" t="n">
        <v>1</v>
      </c>
      <c r="AX289" s="33" t="n"/>
      <c r="AY289" s="33" t="n"/>
      <c r="AZ289" s="33" t="n"/>
      <c r="BA289" s="74" t="n"/>
      <c r="BB289" s="108" t="n"/>
      <c r="BC289" s="32" t="n"/>
      <c r="BD289" s="32" t="n"/>
    </row>
    <row r="290" ht="15" customHeight="1" s="148">
      <c r="A290" t="inlineStr">
        <is>
          <t>c0286</t>
        </is>
      </c>
      <c r="B290" s="44" t="inlineStr">
        <is>
          <t>Wayward Swordtooth</t>
        </is>
      </c>
      <c r="C290" s="34" t="inlineStr">
        <is>
          <t>G</t>
        </is>
      </c>
      <c r="D290" s="44" t="inlineStr">
        <is>
          <t>Creature</t>
        </is>
      </c>
      <c r="E290" s="41" t="inlineStr">
        <is>
          <t>B2</t>
        </is>
      </c>
      <c r="F290" s="34" t="n">
        <v>3</v>
      </c>
      <c r="G290" s="67" t="inlineStr">
        <is>
          <t>Ascend (If you control ten or more permanents, you get the city's blessing for the rest of the game.)
You may play an additional land on each of your turns.
This creature can't attack or block unless you have the city's blessing.
(5/5)</t>
        </is>
      </c>
      <c r="H290" s="45" t="inlineStr">
        <is>
          <t>Ramp</t>
        </is>
      </c>
      <c r="I290" s="45" t="inlineStr">
        <is>
          <t>You may play an additional land each turn</t>
        </is>
      </c>
      <c r="J290" s="45" t="inlineStr">
        <is>
          <t>Can't attack or block unless you control ten or more permanents</t>
        </is>
      </c>
      <c r="K290" s="45" t="n"/>
      <c r="L290" s="42" t="n"/>
      <c r="M290" s="42" t="n"/>
      <c r="N290" s="42" t="n"/>
      <c r="O290" s="63" t="n"/>
      <c r="P290" s="63" t="n">
        <v>4.31</v>
      </c>
      <c r="Q290" s="42" t="n"/>
      <c r="R290" s="42" t="n"/>
      <c r="S290" s="42" t="n"/>
      <c r="T290" s="63" t="n"/>
      <c r="U290" s="63" t="n"/>
      <c r="V290" s="45" t="inlineStr">
        <is>
          <t>Rivals of Ixalan</t>
        </is>
      </c>
      <c r="W290" s="41" t="n">
        <v>1</v>
      </c>
      <c r="X290" s="37">
        <f>SUM(Y290:AE290)</f>
        <v/>
      </c>
      <c r="Y290" s="43" t="n"/>
      <c r="Z290" s="43" t="n"/>
      <c r="AA290" s="43" t="n"/>
      <c r="AB290" s="43" t="n"/>
      <c r="AC290" s="43" t="n"/>
      <c r="AD290" s="43" t="n"/>
      <c r="AE290" s="43" t="n">
        <v>1</v>
      </c>
      <c r="AF290" s="38">
        <f>IF((W290-SUM(Y290:AE290))&lt;0,0,W290-SUM(Y290:AE290))</f>
        <v/>
      </c>
      <c r="AG290" s="34">
        <f>MAX(0,$AT290-$W290-$AI290)</f>
        <v/>
      </c>
      <c r="AH290" s="34" t="n"/>
      <c r="AI290" s="34" t="n"/>
      <c r="AJ290" s="36" t="n">
        <v>3.98</v>
      </c>
      <c r="AK290" s="36">
        <f>IF(AND($AG290&gt;0,ISNUMBER($AJ290)),$AG290*$AJ290,0)</f>
        <v/>
      </c>
      <c r="AT290" s="37">
        <f>SUM(AU290:BA290)</f>
        <v/>
      </c>
      <c r="AU290" s="73" t="n"/>
      <c r="AV290" s="33" t="n"/>
      <c r="AW290" s="33" t="n"/>
      <c r="AX290" s="33" t="n"/>
      <c r="AY290" s="33" t="n"/>
      <c r="AZ290" s="33" t="n"/>
      <c r="BA290" s="80" t="n">
        <v>1</v>
      </c>
      <c r="BB290" s="106" t="n"/>
      <c r="BC290" s="42" t="n"/>
      <c r="BD290" s="42" t="n"/>
    </row>
    <row r="291" ht="15" customHeight="1" s="148">
      <c r="A291" t="inlineStr">
        <is>
          <t>c0287</t>
        </is>
      </c>
      <c r="B291" s="30" t="inlineStr">
        <is>
          <t>Wild Hypothesis</t>
        </is>
      </c>
      <c r="C291" s="31" t="inlineStr">
        <is>
          <t>G</t>
        </is>
      </c>
      <c r="D291" s="30" t="inlineStr">
        <is>
          <t>Sorcery</t>
        </is>
      </c>
      <c r="E291" s="33" t="inlineStr">
        <is>
          <t>B2</t>
        </is>
      </c>
      <c r="F291" s="30" t="n">
        <v>1</v>
      </c>
      <c r="G291" s="67" t="inlineStr">
        <is>
          <t>Create a 0/0 green and blue Fractal creature token. Put X +1/+1 counters on it.
Surveil 2. (Look at the top two cards of your library, then put any number of them into your graveyard and the rest on top of your library in any order.)</t>
        </is>
      </c>
      <c r="H291" s="30" t="inlineStr">
        <is>
          <t>Token Producer</t>
        </is>
      </c>
      <c r="I291" s="30" t="inlineStr">
        <is>
          <t>Create a 0/0 Fractal token with X +1/+1 counters on it</t>
        </is>
      </c>
      <c r="J291" s="30" t="inlineStr">
        <is>
          <t>Surveil 2 — look at the top two cards and put any number into your graveyard</t>
        </is>
      </c>
      <c r="K291" s="30" t="n"/>
      <c r="L291" s="32" t="inlineStr">
        <is>
          <t>167</t>
        </is>
      </c>
      <c r="M291" s="32" t="n">
        <v>1</v>
      </c>
      <c r="N291" s="32" t="n">
        <v>0</v>
      </c>
      <c r="O291" s="63" t="inlineStr">
        <is>
          <t>Lie Setiawan</t>
        </is>
      </c>
      <c r="P291" s="63" t="n">
        <v>0.19</v>
      </c>
      <c r="Q291" s="32" t="inlineStr">
        <is>
          <t>Common</t>
        </is>
      </c>
      <c r="R291" s="32" t="n"/>
      <c r="S291" s="32" t="n"/>
      <c r="T291" s="63" t="n"/>
      <c r="U291" s="63" t="n"/>
      <c r="V291" s="30" t="inlineStr">
        <is>
          <t>Secrets of Strixhaven</t>
        </is>
      </c>
      <c r="W291" s="41" t="n">
        <v>1</v>
      </c>
      <c r="X291" s="37">
        <f>SUM(Y291:AE291)</f>
        <v/>
      </c>
      <c r="Y291" s="43" t="n"/>
      <c r="Z291" s="43" t="n"/>
      <c r="AA291" s="43" t="n"/>
      <c r="AB291" s="43" t="n"/>
      <c r="AC291" s="43" t="n"/>
      <c r="AD291" s="43" t="n"/>
      <c r="AE291" s="43" t="n"/>
      <c r="AF291" s="38">
        <f>IF((W291-SUM(Y291:AE291))&lt;0,0,W291-SUM(Y291:AE291))</f>
        <v/>
      </c>
      <c r="AG291" s="34">
        <f>MAX(0,$AT291-$W291-$AI291)</f>
        <v/>
      </c>
      <c r="AH291" s="30" t="n"/>
      <c r="AI291" s="30" t="n"/>
      <c r="AJ291" s="30" t="n">
        <v>0.19</v>
      </c>
      <c r="AK291" s="36">
        <f>IF(AND($AG291&gt;0,ISNUMBER($AJ291)),$AG291*$AJ291,0)</f>
        <v/>
      </c>
      <c r="AT291" s="37">
        <f>SUM(AU291:BA291)</f>
        <v/>
      </c>
      <c r="AU291" s="73" t="n"/>
      <c r="AV291" s="33" t="n"/>
      <c r="AW291" s="33" t="n"/>
      <c r="AX291" s="33" t="n"/>
      <c r="AY291" s="33" t="n"/>
      <c r="AZ291" s="33" t="n"/>
      <c r="BA291" s="74" t="n"/>
      <c r="BB291" s="108" t="n"/>
      <c r="BC291" s="32" t="n"/>
      <c r="BD291" s="32" t="n"/>
    </row>
    <row r="292" ht="15" customHeight="1" s="148">
      <c r="A292" t="inlineStr">
        <is>
          <t>c0288</t>
        </is>
      </c>
      <c r="B292" s="30" t="inlineStr">
        <is>
          <t>Wilderland Scrounger</t>
        </is>
      </c>
      <c r="C292" s="31" t="inlineStr">
        <is>
          <t>G</t>
        </is>
      </c>
      <c r="D292" s="30" t="inlineStr">
        <is>
          <t>Creature</t>
        </is>
      </c>
      <c r="E292" s="33" t="inlineStr">
        <is>
          <t>B2</t>
        </is>
      </c>
      <c r="F292" s="30" t="n">
        <v>5</v>
      </c>
      <c r="G292" s="67" t="inlineStr">
        <is>
          <t>Ferocious — Whenever this creature attacks while you control a creature with power 4 or greater, put a +1/+1 counter on each creature you control.
(3/6)</t>
        </is>
      </c>
      <c r="H292" s="30" t="inlineStr">
        <is>
          <t>Counters Payoff</t>
        </is>
      </c>
      <c r="I292" s="30" t="inlineStr">
        <is>
          <t>Ferocious — whenever it attacks while you control a creature with power 4 or greater, put a +1/+1 counter on each creature you control</t>
        </is>
      </c>
      <c r="J292" s="30" t="n"/>
      <c r="K292" s="30" t="n"/>
      <c r="L292" s="32" t="inlineStr">
        <is>
          <t>141</t>
        </is>
      </c>
      <c r="M292" s="32" t="n">
        <v>1</v>
      </c>
      <c r="N292" s="32" t="n">
        <v>0</v>
      </c>
      <c r="O292" s="63" t="inlineStr">
        <is>
          <t>Tomas Duchek</t>
        </is>
      </c>
      <c r="P292" s="63" t="n">
        <v>0.17</v>
      </c>
      <c r="Q292" s="32" t="inlineStr">
        <is>
          <t>Uncommon</t>
        </is>
      </c>
      <c r="R292" s="32" t="n"/>
      <c r="S292" s="32" t="n"/>
      <c r="T292" s="63" t="n"/>
      <c r="U292" s="63" t="n"/>
      <c r="V292" s="30" t="inlineStr">
        <is>
          <t>The Hobbit</t>
        </is>
      </c>
      <c r="W292" s="41" t="n">
        <v>1</v>
      </c>
      <c r="X292" s="37">
        <f>SUM(Y292:AE292)</f>
        <v/>
      </c>
      <c r="Y292" s="43" t="n"/>
      <c r="Z292" s="43" t="n"/>
      <c r="AA292" s="43" t="n"/>
      <c r="AB292" s="43" t="n"/>
      <c r="AC292" s="43" t="n"/>
      <c r="AD292" s="43" t="n"/>
      <c r="AE292" s="43" t="n"/>
      <c r="AF292" s="38">
        <f>IF((W292-SUM(Y292:AE292))&lt;0,0,W292-SUM(Y292:AE292))</f>
        <v/>
      </c>
      <c r="AG292" s="34">
        <f>MAX(0,$AT292-$W292-$AI292)</f>
        <v/>
      </c>
      <c r="AH292" s="30" t="n"/>
      <c r="AI292" s="30" t="n"/>
      <c r="AJ292" s="30" t="n">
        <v>0.17</v>
      </c>
      <c r="AK292" s="36">
        <f>IF(AND($AG292&gt;0,ISNUMBER($AJ292)),$AG292*$AJ292,0)</f>
        <v/>
      </c>
      <c r="AT292" s="37">
        <f>SUM(AU292:BA292)</f>
        <v/>
      </c>
      <c r="AU292" s="73" t="n"/>
      <c r="AV292" s="33" t="n"/>
      <c r="AW292" s="33" t="n"/>
      <c r="AX292" s="33" t="n"/>
      <c r="AY292" s="33" t="n"/>
      <c r="AZ292" s="33" t="n"/>
      <c r="BA292" s="74" t="n"/>
      <c r="BB292" s="108" t="n"/>
      <c r="BC292" s="32" t="n"/>
      <c r="BD292" s="32" t="n"/>
    </row>
    <row r="293" ht="15" customHeight="1" s="148">
      <c r="A293" t="inlineStr">
        <is>
          <t>c0289</t>
        </is>
      </c>
      <c r="B293" s="44" t="inlineStr">
        <is>
          <t>Wilderness Reclamation</t>
        </is>
      </c>
      <c r="C293" s="34" t="inlineStr">
        <is>
          <t>G</t>
        </is>
      </c>
      <c r="D293" s="44" t="inlineStr">
        <is>
          <t>Enchantment</t>
        </is>
      </c>
      <c r="E293" s="41" t="inlineStr">
        <is>
          <t>B2</t>
        </is>
      </c>
      <c r="F293" s="34" t="n">
        <v>4</v>
      </c>
      <c r="G293" s="67" t="inlineStr">
        <is>
          <t>At the beginning of your end step, untap all lands you control.</t>
        </is>
      </c>
      <c r="H293" s="45" t="inlineStr">
        <is>
          <t>Mana Sink</t>
        </is>
      </c>
      <c r="I293" s="45" t="inlineStr">
        <is>
          <t>Untaps all your lands at the beginning of your end step</t>
        </is>
      </c>
      <c r="J293" s="45" t="n"/>
      <c r="K293" s="45" t="n"/>
      <c r="L293" s="42" t="n"/>
      <c r="M293" s="42" t="n"/>
      <c r="N293" s="42" t="n"/>
      <c r="O293" s="63" t="n"/>
      <c r="P293" s="63" t="n">
        <v>4.12</v>
      </c>
      <c r="Q293" s="42" t="n"/>
      <c r="R293" s="42" t="n"/>
      <c r="S293" s="42" t="n"/>
      <c r="T293" s="63" t="n"/>
      <c r="U293" s="63" t="n"/>
      <c r="V293" s="45" t="inlineStr">
        <is>
          <t>Ravnica Allegiance</t>
        </is>
      </c>
      <c r="W293" s="41" t="n">
        <v>1</v>
      </c>
      <c r="X293" s="37">
        <f>SUM(Y293:AE293)</f>
        <v/>
      </c>
      <c r="Y293" s="43" t="n"/>
      <c r="Z293" s="43" t="n"/>
      <c r="AA293" s="43" t="n"/>
      <c r="AB293" s="43" t="n"/>
      <c r="AC293" s="43" t="n"/>
      <c r="AD293" s="43" t="n"/>
      <c r="AE293" s="43" t="n"/>
      <c r="AF293" s="38">
        <f>IF((W293-SUM(Y293:AE293))&lt;0,0,W293-SUM(Y293:AE293))</f>
        <v/>
      </c>
      <c r="AG293" s="34">
        <f>MAX(0,$AT293-$W293-$AI293)</f>
        <v/>
      </c>
      <c r="AH293" s="34" t="n"/>
      <c r="AI293" s="34" t="n"/>
      <c r="AJ293" s="36" t="n">
        <v>3.49</v>
      </c>
      <c r="AK293" s="36">
        <f>IF(AND($AG293&gt;0,ISNUMBER($AJ293)),$AG293*$AJ293,0)</f>
        <v/>
      </c>
      <c r="AT293" s="37">
        <f>SUM(AU293:BA293)</f>
        <v/>
      </c>
      <c r="AU293" s="73" t="n"/>
      <c r="AV293" s="33" t="n"/>
      <c r="AW293" s="33" t="n"/>
      <c r="AX293" s="33" t="n"/>
      <c r="AY293" s="33" t="n"/>
      <c r="AZ293" s="33" t="n"/>
      <c r="BA293" s="74" t="n"/>
      <c r="BB293" s="106" t="n"/>
      <c r="BC293" s="42" t="n"/>
      <c r="BD293" s="42" t="n"/>
    </row>
    <row r="294" ht="15" customHeight="1" s="148">
      <c r="A294" t="inlineStr">
        <is>
          <t>c0290</t>
        </is>
      </c>
      <c r="B294" s="44" t="inlineStr">
        <is>
          <t>Wildvine Pummeler</t>
        </is>
      </c>
      <c r="C294" s="34" t="inlineStr">
        <is>
          <t>G</t>
        </is>
      </c>
      <c r="D294" s="44" t="inlineStr">
        <is>
          <t>Creature</t>
        </is>
      </c>
      <c r="E294" s="41" t="inlineStr">
        <is>
          <t>B2</t>
        </is>
      </c>
      <c r="F294" s="34" t="n">
        <v>7</v>
      </c>
      <c r="G294" s="67" t="inlineStr">
        <is>
          <t>Vivid — This spell costs {1} less to cast for each color among permanents you control.
Reach, trample
(6/5)</t>
        </is>
      </c>
      <c r="H294" s="45" t="inlineStr">
        <is>
          <t>Cost Reducer</t>
        </is>
      </c>
      <c r="I294" s="45" t="inlineStr">
        <is>
          <t>Costs {1} less to cast for each color among your permanents</t>
        </is>
      </c>
      <c r="J294" s="45" t="inlineStr">
        <is>
          <t>Can block creatures with flying</t>
        </is>
      </c>
      <c r="K294" s="45" t="inlineStr">
        <is>
          <t>Excess combat damage carries through to the defending player</t>
        </is>
      </c>
      <c r="L294" s="42" t="inlineStr">
        <is>
          <t>203</t>
        </is>
      </c>
      <c r="M294" s="42" t="n">
        <v>1</v>
      </c>
      <c r="N294" s="42" t="n">
        <v>0</v>
      </c>
      <c r="O294" s="63" t="n"/>
      <c r="P294" s="63" t="n">
        <v>0.09</v>
      </c>
      <c r="Q294" s="42" t="inlineStr">
        <is>
          <t>Common</t>
        </is>
      </c>
      <c r="R294" s="42" t="n"/>
      <c r="S294" s="42" t="n"/>
      <c r="T294" s="63" t="n"/>
      <c r="U294" s="63" t="n"/>
      <c r="V294" s="45" t="inlineStr">
        <is>
          <t>Lorwyn Eclipsed</t>
        </is>
      </c>
      <c r="W294" s="41" t="n">
        <v>4</v>
      </c>
      <c r="X294" s="37">
        <f>SUM(Y294:AE294)</f>
        <v/>
      </c>
      <c r="Y294" s="43" t="n"/>
      <c r="Z294" s="43" t="n"/>
      <c r="AA294" s="43" t="n"/>
      <c r="AB294" s="43" t="n"/>
      <c r="AC294" s="43" t="n"/>
      <c r="AD294" s="43" t="n"/>
      <c r="AE294" s="43" t="n"/>
      <c r="AF294" s="38">
        <f>IF((W294-SUM(Y294:AE294))&lt;0,0,W294-SUM(Y294:AE294))</f>
        <v/>
      </c>
      <c r="AG294" s="34">
        <f>MAX(0,$AT294-$W294-$AI294)</f>
        <v/>
      </c>
      <c r="AH294" s="34" t="n"/>
      <c r="AI294" s="34" t="n"/>
      <c r="AJ294" s="36" t="n">
        <v>0.08</v>
      </c>
      <c r="AK294" s="36">
        <f>IF(AND($AG294&gt;0,ISNUMBER($AJ294)),$AG294*$AJ294,0)</f>
        <v/>
      </c>
      <c r="AT294" s="37">
        <f>SUM(AU294:BA294)</f>
        <v/>
      </c>
      <c r="AU294" s="73" t="n"/>
      <c r="AV294" s="33" t="n"/>
      <c r="AW294" s="33" t="n"/>
      <c r="AX294" s="33" t="n"/>
      <c r="AY294" s="33" t="n"/>
      <c r="AZ294" s="33" t="n"/>
      <c r="BA294" s="74" t="n"/>
      <c r="BB294" s="106" t="n"/>
      <c r="BC294" s="42" t="n"/>
      <c r="BD294" s="42" t="n"/>
    </row>
    <row r="295" ht="15" customHeight="1" s="148">
      <c r="A295" t="inlineStr">
        <is>
          <t>c0291</t>
        </is>
      </c>
      <c r="B295" s="44" t="inlineStr">
        <is>
          <t>Wood Elves</t>
        </is>
      </c>
      <c r="C295" s="34" t="inlineStr">
        <is>
          <t>G</t>
        </is>
      </c>
      <c r="D295" s="44" t="inlineStr">
        <is>
          <t>Creature</t>
        </is>
      </c>
      <c r="E295" s="41" t="inlineStr">
        <is>
          <t>B2</t>
        </is>
      </c>
      <c r="F295" s="34" t="n">
        <v>3</v>
      </c>
      <c r="G295" s="67" t="inlineStr">
        <is>
          <t>When this creature enters, search your library for a Forest card, put that card onto the battlefield, then shuffle.
(1/1)</t>
        </is>
      </c>
      <c r="H295" s="45" t="inlineStr">
        <is>
          <t>Ramp</t>
        </is>
      </c>
      <c r="I295" s="45" t="inlineStr">
        <is>
          <t>Searches for a Forest and puts it onto the battlefield when it enters</t>
        </is>
      </c>
      <c r="J295" s="45" t="n"/>
      <c r="K295" s="45" t="n"/>
      <c r="L295" s="41" t="inlineStr">
        <is>
          <t>142</t>
        </is>
      </c>
      <c r="M295" s="41" t="n">
        <v>1</v>
      </c>
      <c r="N295" s="41" t="n">
        <v>0</v>
      </c>
      <c r="O295" s="63" t="inlineStr">
        <is>
          <t>Andreia Ugrai</t>
        </is>
      </c>
      <c r="P295" s="63" t="n">
        <v>0.25</v>
      </c>
      <c r="Q295" s="41" t="inlineStr">
        <is>
          <t>Common</t>
        </is>
      </c>
      <c r="R295" s="41" t="n"/>
      <c r="S295" s="41" t="n"/>
      <c r="T295" s="63" t="n"/>
      <c r="U295" s="63" t="n"/>
      <c r="V295" s="45" t="inlineStr">
        <is>
          <t>The Hobbit</t>
        </is>
      </c>
      <c r="W295" s="41" t="n">
        <v>3</v>
      </c>
      <c r="X295" s="37">
        <f>SUM(Y295:AE295)</f>
        <v/>
      </c>
      <c r="Y295" s="43" t="n"/>
      <c r="Z295" s="43" t="n">
        <v>1</v>
      </c>
      <c r="AA295" s="43" t="n"/>
      <c r="AB295" s="43" t="n">
        <v>1</v>
      </c>
      <c r="AC295" s="43" t="n"/>
      <c r="AD295" s="43" t="n"/>
      <c r="AE295" s="43" t="n">
        <v>1</v>
      </c>
      <c r="AF295" s="38">
        <f>IF((W295-SUM(Y295:AE295))&lt;0,0,W295-SUM(Y295:AE295))</f>
        <v/>
      </c>
      <c r="AG295" s="34">
        <f>MAX(0,$AT295-$W295-$AI295)</f>
        <v/>
      </c>
      <c r="AH295" s="34" t="n"/>
      <c r="AI295" s="34" t="n"/>
      <c r="AJ295" s="36" t="n">
        <v>0.26</v>
      </c>
      <c r="AK295" s="36">
        <f>IF(AND($AG295&gt;0,ISNUMBER($AJ295)),$AG295*$AJ295,0)</f>
        <v/>
      </c>
      <c r="AT295" s="37">
        <f>SUM(AU295:BA295)</f>
        <v/>
      </c>
      <c r="AU295" s="73" t="n"/>
      <c r="AV295" s="98" t="n">
        <v>1</v>
      </c>
      <c r="AW295" s="33" t="n"/>
      <c r="AX295" s="98" t="n">
        <v>1</v>
      </c>
      <c r="AY295" s="33" t="n"/>
      <c r="AZ295" s="33" t="n"/>
      <c r="BA295" s="80" t="n">
        <v>1</v>
      </c>
      <c r="BB295" s="106" t="n"/>
      <c r="BC295" s="42" t="n"/>
      <c r="BD295" s="42" t="n"/>
    </row>
    <row r="296" ht="15" customHeight="1" s="148">
      <c r="A296" t="inlineStr">
        <is>
          <t>c0292</t>
        </is>
      </c>
      <c r="B296" s="39" t="inlineStr">
        <is>
          <t>Woodland Weavemaster</t>
        </is>
      </c>
      <c r="C296" s="40" t="inlineStr">
        <is>
          <t>G</t>
        </is>
      </c>
      <c r="D296" s="39" t="inlineStr">
        <is>
          <t>Creature</t>
        </is>
      </c>
      <c r="E296" s="41" t="inlineStr">
        <is>
          <t>B2</t>
        </is>
      </c>
      <c r="F296" s="40" t="n">
        <v>2</v>
      </c>
      <c r="G296" s="67" t="inlineStr">
        <is>
          <t>Vigilance
Whenever another Elf you control enters, this creature gets +1/+1 until end of turn.
{T}: Add X mana of any one color, where X is this creature's power. Spend this mana only to cast Elf spells and activate abilities of Elf sources.
(1/2)</t>
        </is>
      </c>
      <c r="H296" s="39" t="inlineStr">
        <is>
          <t>Ramp</t>
        </is>
      </c>
      <c r="I296" s="39" t="inlineStr">
        <is>
          <t>{T}: Add X mana of any one color, where X is its power; spend only on Elf spells and abilities</t>
        </is>
      </c>
      <c r="J296" s="39" t="inlineStr">
        <is>
          <t>Whenever another Elf you control enters, it gets +1/+1 until end of turn</t>
        </is>
      </c>
      <c r="K296" s="39" t="inlineStr">
        <is>
          <t>Vigilance</t>
        </is>
      </c>
      <c r="L296" s="42" t="n"/>
      <c r="M296" s="42" t="n"/>
      <c r="N296" s="42" t="n"/>
      <c r="O296" s="63" t="n"/>
      <c r="P296" s="63" t="n"/>
      <c r="Q296" s="42" t="n"/>
      <c r="R296" s="42" t="n"/>
      <c r="S296" s="42" t="n"/>
      <c r="T296" s="63" t="n"/>
      <c r="U296" s="63" t="n"/>
      <c r="V296" s="39" t="inlineStr">
        <is>
          <t>The Hobbit</t>
        </is>
      </c>
      <c r="W296" s="41" t="n">
        <v>1</v>
      </c>
      <c r="X296" s="37">
        <f>SUM(Y296:AE296)</f>
        <v/>
      </c>
      <c r="Y296" s="43" t="n"/>
      <c r="Z296" s="43" t="n">
        <v>1</v>
      </c>
      <c r="AA296" s="43" t="n"/>
      <c r="AB296" s="43" t="n"/>
      <c r="AC296" s="43" t="n"/>
      <c r="AD296" s="43" t="n"/>
      <c r="AE296" s="43" t="n"/>
      <c r="AF296" s="38">
        <f>IF((W296-SUM(Y296:AE296))&lt;0,0,W296-SUM(Y296:AE296))</f>
        <v/>
      </c>
      <c r="AG296" s="34">
        <f>MAX(0,$AT296-$W296-$AI296)</f>
        <v/>
      </c>
      <c r="AH296" s="39" t="n"/>
      <c r="AI296" s="39" t="n"/>
      <c r="AJ296" s="39" t="n">
        <v>0.3</v>
      </c>
      <c r="AK296" s="39">
        <f>IF(AND($AG296&gt;0,ISNUMBER($AJ296)),$AG296*$AJ296,0)</f>
        <v/>
      </c>
      <c r="AM296" t="inlineStr">
        <is>
          <t>BL0035</t>
        </is>
      </c>
      <c r="AT296" s="37">
        <f>SUM(AU296:BA296)</f>
        <v/>
      </c>
      <c r="AU296" s="73" t="n"/>
      <c r="AV296" s="100" t="n"/>
      <c r="AW296" s="33" t="n"/>
      <c r="AX296" s="33" t="n"/>
      <c r="AY296" s="33" t="n"/>
      <c r="AZ296" s="33" t="n"/>
      <c r="BA296" s="74" t="n"/>
      <c r="BB296" s="107" t="n"/>
      <c r="BC296" s="42" t="n"/>
      <c r="BD296" s="42" t="n"/>
    </row>
    <row r="297" ht="15" customHeight="1" s="148">
      <c r="A297" t="inlineStr">
        <is>
          <t>c0293</t>
        </is>
      </c>
      <c r="B297" s="44" t="inlineStr">
        <is>
          <t>Yavimaya Elder</t>
        </is>
      </c>
      <c r="C297" s="34" t="inlineStr">
        <is>
          <t>G</t>
        </is>
      </c>
      <c r="D297" s="44" t="inlineStr">
        <is>
          <t>Creature</t>
        </is>
      </c>
      <c r="E297" s="41" t="inlineStr">
        <is>
          <t>B2</t>
        </is>
      </c>
      <c r="F297" s="34" t="n">
        <v>3</v>
      </c>
      <c r="G297" s="67" t="inlineStr">
        <is>
          <t>When this creature dies, you may search your library for up to two basic land cards, reveal them, put them into your hand, then shuffle.
{2}, Sacrifice this creature: Draw a card.
(2/1)</t>
        </is>
      </c>
      <c r="H297" s="45" t="inlineStr">
        <is>
          <t>Card Draw</t>
        </is>
      </c>
      <c r="I297" s="45" t="inlineStr">
        <is>
          <t>Searches for up to two basic lands to your hand when it dies</t>
        </is>
      </c>
      <c r="J297" s="45" t="inlineStr">
        <is>
          <t>Sacrifice to draw a card</t>
        </is>
      </c>
      <c r="K297" s="45" t="n"/>
      <c r="L297" s="41" t="n"/>
      <c r="M297" s="41" t="n"/>
      <c r="N297" s="41" t="n"/>
      <c r="O297" s="41" t="n"/>
      <c r="P297" s="41" t="n">
        <v>0.17</v>
      </c>
      <c r="Q297" s="41" t="n"/>
      <c r="R297" s="41" t="n"/>
      <c r="S297" s="41" t="n"/>
      <c r="T297" s="41" t="n"/>
      <c r="U297" s="41" t="n"/>
      <c r="V297" s="45" t="inlineStr">
        <is>
          <t>Urza's Destiny</t>
        </is>
      </c>
      <c r="W297" s="41" t="n">
        <v>1</v>
      </c>
      <c r="X297" s="37">
        <f>SUM(Y297:AE297)</f>
        <v/>
      </c>
      <c r="Y297" s="43" t="n"/>
      <c r="Z297" s="43" t="n"/>
      <c r="AA297" s="43" t="n"/>
      <c r="AB297" s="43" t="n">
        <v>1</v>
      </c>
      <c r="AC297" s="43" t="n"/>
      <c r="AD297" s="43" t="n"/>
      <c r="AE297" s="43" t="n"/>
      <c r="AF297" s="38">
        <f>IF((W297-SUM(Y297:AE297))&lt;0,0,W297-SUM(Y297:AE297))</f>
        <v/>
      </c>
      <c r="AG297" s="34">
        <f>MAX(0,$AT297-$W297-$AI297)</f>
        <v/>
      </c>
      <c r="AH297" s="34" t="n"/>
      <c r="AI297" s="34" t="n"/>
      <c r="AJ297" s="36" t="n">
        <v>0.21</v>
      </c>
      <c r="AK297" s="36">
        <f>IF(AND($AG297&gt;0,ISNUMBER($AJ297)),$AG297*$AJ297,0)</f>
        <v/>
      </c>
      <c r="AO297" s="58" t="inlineStr">
        <is>
          <t>BL0074</t>
        </is>
      </c>
      <c r="AT297" s="37">
        <f>SUM(AU297:BA297)</f>
        <v/>
      </c>
      <c r="AU297" s="73" t="n"/>
      <c r="AV297" s="33" t="n"/>
      <c r="AW297" s="33" t="n"/>
      <c r="AX297" s="100" t="n"/>
      <c r="AY297" s="33" t="n"/>
      <c r="AZ297" s="33" t="n"/>
      <c r="BA297" s="74" t="n"/>
      <c r="BB297" s="106" t="n"/>
      <c r="BC297" s="42" t="n"/>
      <c r="BD297" s="42" t="n"/>
    </row>
    <row r="298" ht="15" customHeight="1" s="148">
      <c r="A298" t="inlineStr">
        <is>
          <t>c0294</t>
        </is>
      </c>
      <c r="B298" s="44" t="inlineStr">
        <is>
          <t>Zendikar's Roil</t>
        </is>
      </c>
      <c r="C298" s="34" t="inlineStr">
        <is>
          <t>G</t>
        </is>
      </c>
      <c r="D298" s="44" t="inlineStr">
        <is>
          <t>Enchantment</t>
        </is>
      </c>
      <c r="E298" s="41" t="inlineStr">
        <is>
          <t>B2</t>
        </is>
      </c>
      <c r="F298" s="34" t="n">
        <v>5</v>
      </c>
      <c r="G298" s="67" t="inlineStr">
        <is>
          <t>Landfall — Whenever a land you control enters, create a 2/2 green Elemental creature token.</t>
        </is>
      </c>
      <c r="H298" s="45" t="inlineStr">
        <is>
          <t>Token Producer</t>
        </is>
      </c>
      <c r="I298" s="45" t="inlineStr">
        <is>
          <t>Creates a 2/2 Elemental token whenever a land you control enters</t>
        </is>
      </c>
      <c r="J298" s="45" t="n"/>
      <c r="K298" s="45" t="n"/>
      <c r="L298" s="42" t="n"/>
      <c r="M298" s="42" t="n"/>
      <c r="N298" s="42" t="n"/>
      <c r="O298" s="42" t="n"/>
      <c r="P298" s="42" t="n">
        <v>1.34</v>
      </c>
      <c r="Q298" s="42" t="n"/>
      <c r="R298" s="42" t="n"/>
      <c r="S298" s="42" t="n"/>
      <c r="T298" s="42" t="n"/>
      <c r="U298" s="42" t="n"/>
      <c r="V298" s="45" t="inlineStr">
        <is>
          <t>Magic Origins</t>
        </is>
      </c>
      <c r="W298" s="41" t="n">
        <v>1</v>
      </c>
      <c r="X298" s="37">
        <f>SUM(Y298:AE298)</f>
        <v/>
      </c>
      <c r="Y298" s="43" t="n"/>
      <c r="Z298" s="43" t="n">
        <v>1</v>
      </c>
      <c r="AA298" s="43" t="n"/>
      <c r="AB298" s="43" t="n"/>
      <c r="AC298" s="43" t="n"/>
      <c r="AD298" s="43" t="n"/>
      <c r="AE298" s="43" t="n"/>
      <c r="AF298" s="38">
        <f>IF((W298-SUM(Y298:AE298))&lt;0,0,W298-SUM(Y298:AE298))</f>
        <v/>
      </c>
      <c r="AG298" s="34">
        <f>MAX(0,$AT298-$W298-$AI298)</f>
        <v/>
      </c>
      <c r="AH298" s="34" t="n"/>
      <c r="AI298" s="34" t="n"/>
      <c r="AJ298" s="36" t="n">
        <v>0.76</v>
      </c>
      <c r="AK298" s="36">
        <f>IF(AND($AG298&gt;0,ISNUMBER($AJ298)),$AG298*$AJ298,0)</f>
        <v/>
      </c>
      <c r="AT298" s="37">
        <f>SUM(AU298:BA298)</f>
        <v/>
      </c>
      <c r="AU298" s="73" t="n"/>
      <c r="AV298" s="98" t="n">
        <v>1</v>
      </c>
      <c r="AW298" s="33" t="n"/>
      <c r="AX298" s="33" t="n"/>
      <c r="AY298" s="33" t="n"/>
      <c r="AZ298" s="33" t="n"/>
      <c r="BA298" s="74" t="n"/>
      <c r="BB298" s="106" t="n"/>
      <c r="BC298" s="42" t="n"/>
      <c r="BD298" s="42" t="n"/>
    </row>
    <row r="299" ht="15" customHeight="1" s="148">
      <c r="A299" t="inlineStr">
        <is>
          <t>c0295</t>
        </is>
      </c>
      <c r="B299" s="30" t="inlineStr">
        <is>
          <t>Zimone's Experiment</t>
        </is>
      </c>
      <c r="C299" s="31" t="inlineStr">
        <is>
          <t>G</t>
        </is>
      </c>
      <c r="D299" s="30" t="inlineStr">
        <is>
          <t>Sorcery</t>
        </is>
      </c>
      <c r="E299" s="33" t="inlineStr">
        <is>
          <t>B2</t>
        </is>
      </c>
      <c r="F299" s="30" t="n">
        <v>4</v>
      </c>
      <c r="G299" s="67" t="inlineStr">
        <is>
          <t>Look at the top five cards of your library. You may reveal up to two creature and/or land cards from among them, then put the rest on the bottom of your library in a random order. Put all land cards revealed this way onto the battlefield tapped and put all creature cards revealed this way into your hand.</t>
        </is>
      </c>
      <c r="H299" s="30" t="inlineStr">
        <is>
          <t>Card Advantage</t>
        </is>
      </c>
      <c r="I299" s="30" t="inlineStr">
        <is>
          <t>Look at the top five cards and reveal up to two creature and/or land cards from among them</t>
        </is>
      </c>
      <c r="J299" s="30" t="inlineStr">
        <is>
          <t>Revealed lands enter tapped and revealed creatures go to your hand</t>
        </is>
      </c>
      <c r="K299" s="30" t="n"/>
      <c r="L299" s="32" t="inlineStr">
        <is>
          <t>169</t>
        </is>
      </c>
      <c r="M299" s="32" t="n">
        <v>1</v>
      </c>
      <c r="N299" s="32" t="n">
        <v>0</v>
      </c>
      <c r="O299" s="63" t="inlineStr">
        <is>
          <t>Izzy</t>
        </is>
      </c>
      <c r="P299" s="63" t="n">
        <v>0.21</v>
      </c>
      <c r="Q299" s="32" t="inlineStr">
        <is>
          <t>Uncommon</t>
        </is>
      </c>
      <c r="R299" s="32" t="n"/>
      <c r="S299" s="32" t="n"/>
      <c r="T299" s="63" t="n"/>
      <c r="U299" s="63" t="n"/>
      <c r="V299" s="30" t="inlineStr">
        <is>
          <t>Secrets of Strixhaven</t>
        </is>
      </c>
      <c r="W299" s="41" t="n">
        <v>1</v>
      </c>
      <c r="X299" s="37">
        <f>SUM(Y299:AE299)</f>
        <v/>
      </c>
      <c r="Y299" s="43" t="n"/>
      <c r="Z299" s="43" t="n"/>
      <c r="AA299" s="43" t="n"/>
      <c r="AB299" s="43" t="n"/>
      <c r="AC299" s="43" t="n"/>
      <c r="AD299" s="43" t="n"/>
      <c r="AE299" s="43" t="n">
        <v>1</v>
      </c>
      <c r="AF299" s="38">
        <f>IF((W299-SUM(Y299:AE299))&lt;0,0,W299-SUM(Y299:AE299))</f>
        <v/>
      </c>
      <c r="AG299" s="34">
        <f>MAX(0,$AT299-$W299-$AI299)</f>
        <v/>
      </c>
      <c r="AH299" s="30" t="n"/>
      <c r="AI299" s="30" t="n"/>
      <c r="AJ299" s="30" t="n">
        <v>0.21</v>
      </c>
      <c r="AK299" s="36">
        <f>IF(AND($AG299&gt;0,ISNUMBER($AJ299)),$AG299*$AJ299,0)</f>
        <v/>
      </c>
      <c r="AR299" s="58" t="n"/>
      <c r="AT299" s="37">
        <f>SUM(AU299:BA299)</f>
        <v/>
      </c>
      <c r="AU299" s="73" t="n"/>
      <c r="AV299" s="33" t="n"/>
      <c r="AW299" s="33" t="n"/>
      <c r="AX299" s="33" t="n"/>
      <c r="AY299" s="33" t="n"/>
      <c r="AZ299" s="33" t="n"/>
      <c r="BA299" s="79" t="n"/>
      <c r="BB299" s="108" t="n"/>
      <c r="BC299" s="32" t="n"/>
      <c r="BD299" s="32" t="n"/>
    </row>
    <row r="300" ht="15" customHeight="1" s="148">
      <c r="A300" t="inlineStr">
        <is>
          <t>c0296</t>
        </is>
      </c>
      <c r="B300" s="44" t="inlineStr">
        <is>
          <t>Access Tunnel</t>
        </is>
      </c>
      <c r="C300" s="34" t="inlineStr">
        <is>
          <t>L</t>
        </is>
      </c>
      <c r="D300" s="44" t="inlineStr">
        <is>
          <t>Land</t>
        </is>
      </c>
      <c r="E300" s="41" t="inlineStr">
        <is>
          <t>B2</t>
        </is>
      </c>
      <c r="F300" s="34" t="n">
        <v>0</v>
      </c>
      <c r="G300" s="67" t="inlineStr">
        <is>
          <t>{T}: Add {C}.
{3}, {T}: Target creature with power 3 or less can't be blocked this turn.</t>
        </is>
      </c>
      <c r="H300" s="45" t="inlineStr">
        <is>
          <t>Land</t>
        </is>
      </c>
      <c r="I300" s="45" t="inlineStr">
        <is>
          <t>Taps for {C}</t>
        </is>
      </c>
      <c r="J300" s="45" t="inlineStr">
        <is>
          <t>Pay {3}, tap: target creature with power 3 or less can't be blocked</t>
        </is>
      </c>
      <c r="K300" s="45" t="n"/>
      <c r="L300" s="42" t="n"/>
      <c r="M300" s="42" t="n"/>
      <c r="N300" s="42" t="n"/>
      <c r="O300" s="63" t="n"/>
      <c r="P300" s="63" t="n">
        <v>0.47</v>
      </c>
      <c r="Q300" s="42" t="n"/>
      <c r="R300" s="42" t="n"/>
      <c r="S300" s="42" t="n"/>
      <c r="T300" s="63" t="n"/>
      <c r="U300" s="63" t="n"/>
      <c r="V300" s="45" t="inlineStr">
        <is>
          <t>Strixhaven: School of Mages</t>
        </is>
      </c>
      <c r="W300" s="41" t="n">
        <v>1</v>
      </c>
      <c r="X300" s="37">
        <f>SUM(Y300:AE300)</f>
        <v/>
      </c>
      <c r="Y300" s="43" t="n"/>
      <c r="Z300" s="43" t="n"/>
      <c r="AA300" s="43" t="n"/>
      <c r="AB300" s="43" t="n"/>
      <c r="AC300" s="43" t="n"/>
      <c r="AD300" s="43" t="n"/>
      <c r="AE300" s="43" t="n"/>
      <c r="AF300" s="38">
        <f>IF((W300-SUM(Y300:AE300))&lt;0,0,W300-SUM(Y300:AE300))</f>
        <v/>
      </c>
      <c r="AG300" s="34">
        <f>MAX(0,$AT300-$W300-$AI300)</f>
        <v/>
      </c>
      <c r="AH300" s="34" t="n"/>
      <c r="AI300" s="34" t="n"/>
      <c r="AJ300" s="36" t="n">
        <v>0.4</v>
      </c>
      <c r="AK300" s="36">
        <f>IF(AND($AG300&gt;0,ISNUMBER($AJ300)),$AG300*$AJ300,0)</f>
        <v/>
      </c>
      <c r="AN300" s="58" t="n"/>
      <c r="AT300" s="37">
        <f>SUM(AU300:BA300)</f>
        <v/>
      </c>
      <c r="AU300" s="73" t="n"/>
      <c r="AV300" s="33" t="n"/>
      <c r="AW300" s="33" t="n"/>
      <c r="AX300" s="33" t="n"/>
      <c r="AY300" s="33" t="n"/>
      <c r="AZ300" s="98" t="n"/>
      <c r="BA300" s="74" t="n"/>
      <c r="BB300" s="106" t="n"/>
      <c r="BC300" s="42" t="n"/>
      <c r="BD300" s="42" t="n"/>
    </row>
    <row r="301" ht="15" customHeight="1" s="148">
      <c r="A301" t="inlineStr">
        <is>
          <t>c0297</t>
        </is>
      </c>
      <c r="B301" s="44" t="inlineStr">
        <is>
          <t>Airship Engine Room</t>
        </is>
      </c>
      <c r="C301" s="34" t="inlineStr">
        <is>
          <t>L</t>
        </is>
      </c>
      <c r="D301" s="44" t="inlineStr">
        <is>
          <t>Land</t>
        </is>
      </c>
      <c r="E301" s="41" t="inlineStr">
        <is>
          <t>B2</t>
        </is>
      </c>
      <c r="F301" s="34" t="n">
        <v>0</v>
      </c>
      <c r="G301" s="67" t="inlineStr">
        <is>
          <t>This land enters tapped.
{T}: Add {U} or {R}.
{4}, {T}, Sacrifice this land: Draw a card.</t>
        </is>
      </c>
      <c r="H301" s="45" t="inlineStr">
        <is>
          <t>Land</t>
        </is>
      </c>
      <c r="I301" s="45" t="inlineStr">
        <is>
          <t>Taps for {U} or {R}</t>
        </is>
      </c>
      <c r="J301" s="45" t="inlineStr">
        <is>
          <t>Sacrifice and pay {4} to draw a card</t>
        </is>
      </c>
      <c r="K301" s="45" t="n"/>
      <c r="L301" s="88" t="inlineStr">
        <is>
          <t>L 0265</t>
        </is>
      </c>
      <c r="M301" s="41" t="n">
        <v>1</v>
      </c>
      <c r="N301" s="41" t="n">
        <v>1</v>
      </c>
      <c r="O301" s="63" t="inlineStr">
        <is>
          <t>Andreas Rocha</t>
        </is>
      </c>
      <c r="P301" s="90" t="n">
        <v>0.29</v>
      </c>
      <c r="Q301" s="42" t="inlineStr">
        <is>
          <t>L</t>
        </is>
      </c>
      <c r="R301" s="42" t="n"/>
      <c r="S301" s="42" t="n"/>
      <c r="T301" s="63" t="n"/>
      <c r="U301" s="63" t="n"/>
      <c r="V301" s="45" t="inlineStr">
        <is>
          <t>Avatar: The Last Airbender</t>
        </is>
      </c>
      <c r="W301" s="41" t="n">
        <v>1</v>
      </c>
      <c r="X301" s="37">
        <f>SUM(Y301:AE301)</f>
        <v/>
      </c>
      <c r="Y301" s="43" t="n"/>
      <c r="Z301" s="43" t="n"/>
      <c r="AA301" s="43" t="n"/>
      <c r="AB301" s="43" t="n"/>
      <c r="AC301" s="43" t="n"/>
      <c r="AD301" s="43" t="n"/>
      <c r="AE301" s="43" t="n"/>
      <c r="AF301" s="38">
        <f>IF((W301-SUM(Y301:AE301))&lt;0,0,W301-SUM(Y301:AE301))</f>
        <v/>
      </c>
      <c r="AG301" s="34">
        <f>MAX(0,$AT301-$W301-$AI301)</f>
        <v/>
      </c>
      <c r="AH301" s="34" t="n"/>
      <c r="AI301" s="34" t="n"/>
      <c r="AJ301" s="36" t="n">
        <v>0.29</v>
      </c>
      <c r="AK301" s="36">
        <f>IF(AND($AG301&gt;0,ISNUMBER($AJ301)),$AG301*$AJ301,0)</f>
        <v/>
      </c>
      <c r="AT301" s="37">
        <f>SUM(AU301:BA301)</f>
        <v/>
      </c>
      <c r="AU301" s="73" t="n"/>
      <c r="AV301" s="33" t="n"/>
      <c r="AW301" s="33" t="n"/>
      <c r="AX301" s="33" t="n"/>
      <c r="AY301" s="33" t="n"/>
      <c r="AZ301" s="33" t="n"/>
      <c r="BA301" s="74" t="n"/>
      <c r="BB301" s="106" t="n"/>
      <c r="BC301" s="42" t="n"/>
      <c r="BD301" s="42" t="n"/>
    </row>
    <row r="302" ht="15" customHeight="1" s="148">
      <c r="A302" t="inlineStr">
        <is>
          <t>c0298</t>
        </is>
      </c>
      <c r="B302" s="44" t="inlineStr">
        <is>
          <t>Arcane Sanctum</t>
        </is>
      </c>
      <c r="C302" s="34" t="inlineStr">
        <is>
          <t>L</t>
        </is>
      </c>
      <c r="D302" s="44" t="inlineStr">
        <is>
          <t>Land</t>
        </is>
      </c>
      <c r="E302" s="41" t="inlineStr">
        <is>
          <t>B2</t>
        </is>
      </c>
      <c r="F302" s="34" t="n">
        <v>0</v>
      </c>
      <c r="G302" s="67" t="inlineStr">
        <is>
          <t>This land enters tapped.
{T}: Add {W}, {U}, or {B}.</t>
        </is>
      </c>
      <c r="H302" s="45" t="inlineStr">
        <is>
          <t>Land</t>
        </is>
      </c>
      <c r="I302" s="45" t="inlineStr">
        <is>
          <t>Taps for {W}, {U}, or {B}</t>
        </is>
      </c>
      <c r="J302" s="45" t="inlineStr">
        <is>
          <t>Enters tapped</t>
        </is>
      </c>
      <c r="K302" s="45" t="n"/>
      <c r="L302" s="42" t="n"/>
      <c r="M302" s="42" t="n"/>
      <c r="N302" s="42" t="n"/>
      <c r="O302" s="42" t="n"/>
      <c r="P302" s="42" t="n">
        <v>0.42</v>
      </c>
      <c r="Q302" s="42" t="n"/>
      <c r="R302" s="42" t="n"/>
      <c r="S302" s="42" t="n"/>
      <c r="T302" s="42" t="n"/>
      <c r="U302" s="42" t="n"/>
      <c r="V302" s="45" t="inlineStr">
        <is>
          <t>Shards of Alara</t>
        </is>
      </c>
      <c r="W302" s="41" t="n">
        <v>1</v>
      </c>
      <c r="X302" s="37">
        <f>SUM(Y302:AE302)</f>
        <v/>
      </c>
      <c r="Y302" s="43" t="n"/>
      <c r="Z302" s="43" t="n"/>
      <c r="AA302" s="43" t="n">
        <v>1</v>
      </c>
      <c r="AB302" s="43" t="n"/>
      <c r="AC302" s="43" t="n"/>
      <c r="AD302" s="43" t="n"/>
      <c r="AE302" s="43" t="n"/>
      <c r="AF302" s="38">
        <f>IF((W302-SUM(Y302:AE302))&lt;0,0,W302-SUM(Y302:AE302))</f>
        <v/>
      </c>
      <c r="AG302" s="34">
        <f>MAX(0,$AT302-$W302-$AI302)</f>
        <v/>
      </c>
      <c r="AH302" s="34" t="n"/>
      <c r="AI302" s="34" t="n"/>
      <c r="AJ302" s="36" t="n">
        <v>0.38</v>
      </c>
      <c r="AK302" s="36">
        <f>IF(AND($AG302&gt;0,ISNUMBER($AJ302)),$AG302*$AJ302,0)</f>
        <v/>
      </c>
      <c r="AT302" s="37">
        <f>SUM(AU302:BA302)</f>
        <v/>
      </c>
      <c r="AU302" s="73" t="n"/>
      <c r="AV302" s="33" t="n"/>
      <c r="AW302" s="98" t="n">
        <v>1</v>
      </c>
      <c r="AX302" s="33" t="n"/>
      <c r="AY302" s="33" t="n"/>
      <c r="AZ302" s="33" t="n"/>
      <c r="BA302" s="74" t="n"/>
      <c r="BB302" s="106" t="n"/>
      <c r="BC302" s="42" t="n"/>
      <c r="BD302" s="42" t="n"/>
    </row>
    <row r="303" ht="15" customHeight="1" s="148">
      <c r="A303" t="inlineStr">
        <is>
          <t>c0299</t>
        </is>
      </c>
      <c r="B303" s="44" t="inlineStr">
        <is>
          <t>Ash Barrens</t>
        </is>
      </c>
      <c r="C303" s="34" t="inlineStr">
        <is>
          <t>L</t>
        </is>
      </c>
      <c r="D303" s="44" t="inlineStr">
        <is>
          <t>Land</t>
        </is>
      </c>
      <c r="E303" s="41" t="inlineStr">
        <is>
          <t>B2</t>
        </is>
      </c>
      <c r="F303" s="34" t="n">
        <v>0</v>
      </c>
      <c r="G303" s="67" t="inlineStr">
        <is>
          <t>{T}: Add {C}.
Basic landcycling {1} ({1}, Discard this card: Search your library for a basic land card, reveal it, put it into your hand, then shuffle.)</t>
        </is>
      </c>
      <c r="H303" s="45" t="inlineStr">
        <is>
          <t>Land</t>
        </is>
      </c>
      <c r="I303" s="45" t="inlineStr">
        <is>
          <t>Taps for {C}</t>
        </is>
      </c>
      <c r="J303" s="45" t="inlineStr">
        <is>
          <t>Basic landcycling {1}: discard to fetch a basic land</t>
        </is>
      </c>
      <c r="K303" s="45" t="n"/>
      <c r="L303" s="42" t="n"/>
      <c r="M303" s="42" t="n"/>
      <c r="N303" s="42" t="n"/>
      <c r="O303" s="42" t="n"/>
      <c r="P303" s="42" t="n">
        <v>0.32</v>
      </c>
      <c r="Q303" s="42" t="n"/>
      <c r="R303" s="42" t="n"/>
      <c r="S303" s="42" t="n"/>
      <c r="T303" s="42" t="n"/>
      <c r="U303" s="42" t="n"/>
      <c r="V303" s="45" t="inlineStr">
        <is>
          <t>Commander 2016</t>
        </is>
      </c>
      <c r="W303" s="41" t="n">
        <v>1</v>
      </c>
      <c r="X303" s="37">
        <f>SUM(Y303:AE303)</f>
        <v/>
      </c>
      <c r="Y303" s="43" t="n"/>
      <c r="Z303" s="43" t="n"/>
      <c r="AA303" s="43" t="n"/>
      <c r="AB303" s="43" t="n">
        <v>1</v>
      </c>
      <c r="AC303" s="43" t="n"/>
      <c r="AD303" s="43" t="n"/>
      <c r="AE303" s="43" t="n"/>
      <c r="AF303" s="38">
        <f>IF((W303-SUM(Y303:AE303))&lt;0,0,W303-SUM(Y303:AE303))</f>
        <v/>
      </c>
      <c r="AG303" s="34">
        <f>MAX(0,$AT303-$W303-$AI303)</f>
        <v/>
      </c>
      <c r="AH303" s="34" t="n"/>
      <c r="AI303" s="34" t="n"/>
      <c r="AJ303" s="36" t="n">
        <v>0.25</v>
      </c>
      <c r="AK303" s="36">
        <f>IF(AND($AG303&gt;0,ISNUMBER($AJ303)),$AG303*$AJ303,0)</f>
        <v/>
      </c>
      <c r="AO303" s="58" t="n"/>
      <c r="AT303" s="37">
        <f>SUM(AU303:BA303)</f>
        <v/>
      </c>
      <c r="AU303" s="73" t="n"/>
      <c r="AV303" s="33" t="n"/>
      <c r="AW303" s="33" t="n"/>
      <c r="AX303" s="99" t="n"/>
      <c r="AY303" s="33" t="n"/>
      <c r="AZ303" s="33" t="n"/>
      <c r="BA303" s="74" t="n"/>
      <c r="BB303" s="106" t="n"/>
      <c r="BC303" s="42" t="n"/>
      <c r="BD303" s="42" t="n"/>
    </row>
    <row r="304" ht="15" customHeight="1" s="148">
      <c r="A304" t="inlineStr">
        <is>
          <t>c0300</t>
        </is>
      </c>
      <c r="B304" s="44" t="inlineStr">
        <is>
          <t>Azorius Chancery</t>
        </is>
      </c>
      <c r="C304" s="34" t="inlineStr">
        <is>
          <t>L</t>
        </is>
      </c>
      <c r="D304" s="44" t="inlineStr">
        <is>
          <t>Land</t>
        </is>
      </c>
      <c r="E304" s="41" t="inlineStr">
        <is>
          <t>B2</t>
        </is>
      </c>
      <c r="F304" s="34" t="n">
        <v>0</v>
      </c>
      <c r="G304" s="67" t="inlineStr">
        <is>
          <t>This land enters tapped.
When this land enters, return a land you control to its owner's hand.
{T}: Add {W}{U}.</t>
        </is>
      </c>
      <c r="H304" s="45" t="inlineStr">
        <is>
          <t>Land</t>
        </is>
      </c>
      <c r="I304" s="45" t="inlineStr">
        <is>
          <t>Taps for {W}{U}</t>
        </is>
      </c>
      <c r="J304" s="45" t="inlineStr">
        <is>
          <t>Enters tapped; bounces a land you control when it enters</t>
        </is>
      </c>
      <c r="K304" s="45" t="n"/>
      <c r="L304" s="42" t="n"/>
      <c r="M304" s="42" t="n"/>
      <c r="N304" s="42" t="n"/>
      <c r="O304" s="42" t="n"/>
      <c r="P304" s="42" t="n">
        <v>0.35</v>
      </c>
      <c r="Q304" s="42" t="n"/>
      <c r="R304" s="42" t="n"/>
      <c r="S304" s="42" t="n"/>
      <c r="T304" s="42" t="n"/>
      <c r="U304" s="42" t="n"/>
      <c r="V304" s="45" t="inlineStr">
        <is>
          <t>Dissension</t>
        </is>
      </c>
      <c r="W304" s="41" t="n">
        <v>1</v>
      </c>
      <c r="X304" s="37">
        <f>SUM(Y304:AE304)</f>
        <v/>
      </c>
      <c r="Y304" s="43" t="n"/>
      <c r="Z304" s="43" t="n">
        <v>1</v>
      </c>
      <c r="AA304" s="43" t="n"/>
      <c r="AB304" s="43" t="n"/>
      <c r="AC304" s="43" t="n"/>
      <c r="AD304" s="43" t="n"/>
      <c r="AE304" s="43" t="n"/>
      <c r="AF304" s="38">
        <f>IF((W304-SUM(Y304:AE304))&lt;0,0,W304-SUM(Y304:AE304))</f>
        <v/>
      </c>
      <c r="AG304" s="34">
        <f>MAX(0,$AT304-$W304-$AI304)</f>
        <v/>
      </c>
      <c r="AH304" s="34" t="n"/>
      <c r="AI304" s="34" t="n"/>
      <c r="AJ304" s="36" t="n">
        <v>0.32</v>
      </c>
      <c r="AK304" s="36">
        <f>IF(AND($AG304&gt;0,ISNUMBER($AJ304)),$AG304*$AJ304,0)</f>
        <v/>
      </c>
      <c r="AT304" s="37">
        <f>SUM(AU304:BA304)</f>
        <v/>
      </c>
      <c r="AU304" s="73" t="n"/>
      <c r="AV304" s="98" t="n">
        <v>1</v>
      </c>
      <c r="AW304" s="33" t="n"/>
      <c r="AX304" s="33" t="n"/>
      <c r="AY304" s="33" t="n"/>
      <c r="AZ304" s="33" t="n"/>
      <c r="BA304" s="74" t="n"/>
      <c r="BB304" s="106" t="n"/>
      <c r="BC304" s="42" t="n"/>
      <c r="BD304" s="42" t="n"/>
    </row>
    <row r="305" ht="15" customHeight="1" s="148">
      <c r="A305" t="inlineStr">
        <is>
          <t>c0301</t>
        </is>
      </c>
      <c r="B305" s="44" t="inlineStr">
        <is>
          <t>Azorius Guildgate</t>
        </is>
      </c>
      <c r="C305" s="34" t="inlineStr">
        <is>
          <t>L</t>
        </is>
      </c>
      <c r="D305" s="44" t="inlineStr">
        <is>
          <t>Land</t>
        </is>
      </c>
      <c r="E305" s="41" t="inlineStr">
        <is>
          <t>B2</t>
        </is>
      </c>
      <c r="F305" s="34" t="n">
        <v>0</v>
      </c>
      <c r="G305" s="67" t="inlineStr">
        <is>
          <t>This land enters tapped.
{T}: Add {W} or {U}.</t>
        </is>
      </c>
      <c r="H305" s="45" t="inlineStr">
        <is>
          <t>Land</t>
        </is>
      </c>
      <c r="I305" s="45" t="inlineStr">
        <is>
          <t>This land enters tapped. / {T}: Add {W} or {U}.</t>
        </is>
      </c>
      <c r="J305" s="45" t="n"/>
      <c r="K305" s="45" t="n"/>
      <c r="L305" s="41" t="n"/>
      <c r="M305" s="41" t="n"/>
      <c r="N305" s="41" t="n"/>
      <c r="O305" s="63" t="n"/>
      <c r="P305" s="63" t="n"/>
      <c r="Q305" s="41" t="n"/>
      <c r="R305" s="41" t="n"/>
      <c r="S305" s="41" t="n"/>
      <c r="T305" s="63" t="n"/>
      <c r="U305" s="63" t="n"/>
      <c r="V305" s="45" t="inlineStr">
        <is>
          <t>Return to Ravnica</t>
        </is>
      </c>
      <c r="W305" s="41" t="n">
        <v>2</v>
      </c>
      <c r="X305" s="37">
        <f>SUM(Y305:AE305)</f>
        <v/>
      </c>
      <c r="Y305" s="43" t="n"/>
      <c r="Z305" s="43" t="n">
        <v>1</v>
      </c>
      <c r="AA305" s="43" t="n">
        <v>1</v>
      </c>
      <c r="AB305" s="43" t="n"/>
      <c r="AC305" s="43" t="n"/>
      <c r="AD305" s="43" t="n"/>
      <c r="AE305" s="43" t="n"/>
      <c r="AF305" s="38">
        <f>IF((W305-SUM(Y305:AE305))&lt;0,0,W305-SUM(Y305:AE305))</f>
        <v/>
      </c>
      <c r="AG305" s="34">
        <f>MAX(0,$AT305-$W305-$AI305)</f>
        <v/>
      </c>
      <c r="AH305" s="34" t="n"/>
      <c r="AI305" s="34" t="n"/>
      <c r="AJ305" s="36" t="n">
        <v>0.12</v>
      </c>
      <c r="AK305" s="36">
        <f>IF(AND($AG305&gt;0,ISNUMBER($AJ305)),$AG305*$AJ305,0)</f>
        <v/>
      </c>
      <c r="AT305" s="37">
        <f>SUM(AU305:BA305)</f>
        <v/>
      </c>
      <c r="AU305" s="73" t="n"/>
      <c r="AV305" s="98" t="n">
        <v>1</v>
      </c>
      <c r="AW305" s="98" t="n">
        <v>1</v>
      </c>
      <c r="AX305" s="33" t="n"/>
      <c r="AY305" s="33" t="n"/>
      <c r="AZ305" s="33" t="n"/>
      <c r="BA305" s="74" t="n"/>
      <c r="BB305" s="106" t="n"/>
      <c r="BC305" s="42" t="n"/>
      <c r="BD305" s="50" t="inlineStr">
        <is>
          <t>ORDERED 2026-09-11 $0.20</t>
        </is>
      </c>
    </row>
    <row r="306" ht="15" customHeight="1" s="148">
      <c r="A306" t="inlineStr">
        <is>
          <t>c0302</t>
        </is>
      </c>
      <c r="B306" s="44" t="inlineStr">
        <is>
          <t>Bant Panorama</t>
        </is>
      </c>
      <c r="C306" s="34" t="inlineStr">
        <is>
          <t>L</t>
        </is>
      </c>
      <c r="D306" s="44" t="inlineStr">
        <is>
          <t>Land</t>
        </is>
      </c>
      <c r="E306" s="41" t="inlineStr">
        <is>
          <t>B2</t>
        </is>
      </c>
      <c r="F306" s="34" t="n">
        <v>0</v>
      </c>
      <c r="G306" s="67" t="inlineStr">
        <is>
          <t>{T}: Add {C}.
{1}, {T}, Sacrifice this land: Search your library for a basic Forest, Plains, or Island card, put it onto the battlefield tapped, then shuffle.</t>
        </is>
      </c>
      <c r="H306" s="45" t="inlineStr">
        <is>
          <t>Land</t>
        </is>
      </c>
      <c r="I306" s="45" t="inlineStr">
        <is>
          <t>Taps for {C}</t>
        </is>
      </c>
      <c r="J306" s="45" t="inlineStr">
        <is>
          <t>Sacrifice to search for a basic Forest, Plains, or Island card, put tapped</t>
        </is>
      </c>
      <c r="K306" s="45" t="n"/>
      <c r="L306" s="41" t="n"/>
      <c r="M306" s="41" t="n"/>
      <c r="N306" s="41" t="n"/>
      <c r="O306" s="41" t="n"/>
      <c r="P306" s="41" t="n">
        <v>0.36</v>
      </c>
      <c r="Q306" s="41" t="n"/>
      <c r="R306" s="41" t="n"/>
      <c r="S306" s="41" t="n"/>
      <c r="T306" s="41" t="n"/>
      <c r="U306" s="41" t="n"/>
      <c r="V306" s="45" t="inlineStr">
        <is>
          <t>Shards of Alara</t>
        </is>
      </c>
      <c r="W306" s="41" t="n">
        <v>1</v>
      </c>
      <c r="X306" s="37">
        <f>SUM(Y306:AE306)</f>
        <v/>
      </c>
      <c r="Y306" s="43" t="n"/>
      <c r="Z306" s="43" t="n">
        <v>1</v>
      </c>
      <c r="AA306" s="43" t="n"/>
      <c r="AB306" s="43" t="n"/>
      <c r="AC306" s="43" t="n"/>
      <c r="AD306" s="43" t="n"/>
      <c r="AE306" s="43" t="n"/>
      <c r="AF306" s="38">
        <f>IF((W306-SUM(Y306:AE306))&lt;0,0,W306-SUM(Y306:AE306))</f>
        <v/>
      </c>
      <c r="AG306" s="34">
        <f>MAX(0,$AT306-$W306-$AI306)</f>
        <v/>
      </c>
      <c r="AH306" s="34" t="n"/>
      <c r="AI306" s="34" t="n"/>
      <c r="AJ306" s="36" t="n">
        <v>0.34</v>
      </c>
      <c r="AK306" s="36">
        <f>IF(AND($AG306&gt;0,ISNUMBER($AJ306)),$AG306*$AJ306,0)</f>
        <v/>
      </c>
      <c r="AM306" s="58" t="n"/>
      <c r="AT306" s="37">
        <f>SUM(AU306:BA306)</f>
        <v/>
      </c>
      <c r="AU306" s="73" t="n"/>
      <c r="AV306" s="99" t="n"/>
      <c r="AW306" s="33" t="n"/>
      <c r="AX306" s="33" t="n"/>
      <c r="AY306" s="33" t="n"/>
      <c r="AZ306" s="33" t="n"/>
      <c r="BA306" s="74" t="n"/>
      <c r="BB306" s="106" t="n"/>
      <c r="BC306" s="42" t="n"/>
      <c r="BD306" s="42" t="n"/>
    </row>
    <row r="307" ht="15" customHeight="1" s="148">
      <c r="A307" t="inlineStr">
        <is>
          <t>c0303</t>
        </is>
      </c>
      <c r="B307" s="44" t="inlineStr">
        <is>
          <t>Battlefield Forge</t>
        </is>
      </c>
      <c r="C307" s="34" t="inlineStr">
        <is>
          <t>L</t>
        </is>
      </c>
      <c r="D307" s="44" t="inlineStr">
        <is>
          <t>Land</t>
        </is>
      </c>
      <c r="E307" s="41" t="inlineStr">
        <is>
          <t>B2</t>
        </is>
      </c>
      <c r="F307" s="34" t="n">
        <v>0</v>
      </c>
      <c r="G307" s="67" t="inlineStr">
        <is>
          <t>{T}: Add {C}.
{T}: Add {R} or {W}. This land deals 1 damage to you.</t>
        </is>
      </c>
      <c r="H307" s="45" t="inlineStr">
        <is>
          <t>Land</t>
        </is>
      </c>
      <c r="I307" s="45" t="inlineStr">
        <is>
          <t>Taps for {C}</t>
        </is>
      </c>
      <c r="J307" s="45" t="inlineStr">
        <is>
          <t>Taps for {R} or {W}, dealing 1 damage to you</t>
        </is>
      </c>
      <c r="K307" s="45" t="n"/>
      <c r="L307" s="41" t="n"/>
      <c r="M307" s="41" t="n"/>
      <c r="N307" s="41" t="n"/>
      <c r="O307" s="41" t="n"/>
      <c r="P307" s="41" t="n">
        <v>0.32</v>
      </c>
      <c r="Q307" s="41" t="n"/>
      <c r="R307" s="41" t="n"/>
      <c r="S307" s="41" t="n"/>
      <c r="T307" s="41" t="n"/>
      <c r="U307" s="41" t="n"/>
      <c r="V307" s="45" t="inlineStr">
        <is>
          <t>Apocalypse</t>
        </is>
      </c>
      <c r="W307" s="41" t="n">
        <v>1</v>
      </c>
      <c r="X307" s="37">
        <f>SUM(Y307:AE307)</f>
        <v/>
      </c>
      <c r="Y307" s="43" t="n">
        <v>1</v>
      </c>
      <c r="Z307" s="43" t="n"/>
      <c r="AA307" s="43" t="n"/>
      <c r="AB307" s="43" t="n"/>
      <c r="AC307" s="43" t="n"/>
      <c r="AD307" s="43" t="n"/>
      <c r="AE307" s="43" t="n"/>
      <c r="AF307" s="38">
        <f>IF((W307-SUM(Y307:AE307))&lt;0,0,W307-SUM(Y307:AE307))</f>
        <v/>
      </c>
      <c r="AG307" s="34">
        <f>MAX(0,$AT307-$W307-$AI307)</f>
        <v/>
      </c>
      <c r="AH307" s="34" t="n"/>
      <c r="AI307" s="34" t="n"/>
      <c r="AJ307" s="36" t="n">
        <v>0.34</v>
      </c>
      <c r="AK307" s="36">
        <f>IF(AND($AG307&gt;0,ISNUMBER($AJ307)),$AG307*$AJ307,0)</f>
        <v/>
      </c>
      <c r="AT307" s="37">
        <f>SUM(AU307:BA307)</f>
        <v/>
      </c>
      <c r="AU307" s="82" t="n">
        <v>1</v>
      </c>
      <c r="AV307" s="33" t="n"/>
      <c r="AW307" s="33" t="n"/>
      <c r="AX307" s="33" t="n"/>
      <c r="AY307" s="33" t="n"/>
      <c r="AZ307" s="33" t="n"/>
      <c r="BA307" s="74" t="n"/>
      <c r="BB307" s="106" t="n"/>
      <c r="BC307" s="42" t="n"/>
      <c r="BD307" s="42" t="n"/>
    </row>
    <row r="308" ht="15" customHeight="1" s="148">
      <c r="A308" t="inlineStr">
        <is>
          <t>c0304</t>
        </is>
      </c>
      <c r="B308" s="44" t="inlineStr">
        <is>
          <t>Blossoming Sands</t>
        </is>
      </c>
      <c r="C308" s="34" t="inlineStr">
        <is>
          <t>L</t>
        </is>
      </c>
      <c r="D308" s="44" t="inlineStr">
        <is>
          <t>Land</t>
        </is>
      </c>
      <c r="E308" s="41" t="inlineStr">
        <is>
          <t>B2</t>
        </is>
      </c>
      <c r="F308" s="34" t="n">
        <v>0</v>
      </c>
      <c r="G308" s="67" t="inlineStr">
        <is>
          <t>This land enters tapped.
When this land enters, you gain 1 life.
{T}: Add {G} or {W}.</t>
        </is>
      </c>
      <c r="H308" s="45" t="inlineStr">
        <is>
          <t>Land</t>
        </is>
      </c>
      <c r="I308" s="45" t="inlineStr">
        <is>
          <t>Taps for {G} or {W}</t>
        </is>
      </c>
      <c r="J308" s="45" t="inlineStr">
        <is>
          <t>Enters tapped</t>
        </is>
      </c>
      <c r="K308" s="45" t="inlineStr">
        <is>
          <t>Gain 1 life when it enters</t>
        </is>
      </c>
      <c r="L308" s="41" t="n"/>
      <c r="M308" s="41" t="n"/>
      <c r="N308" s="41" t="n"/>
      <c r="O308" s="41" t="n"/>
      <c r="P308" s="41" t="n">
        <v>0.22</v>
      </c>
      <c r="Q308" s="41" t="n"/>
      <c r="R308" s="41" t="n"/>
      <c r="S308" s="41" t="n"/>
      <c r="T308" s="41" t="n"/>
      <c r="U308" s="41" t="n"/>
      <c r="V308" s="45" t="inlineStr">
        <is>
          <t>Khans of Tarkir</t>
        </is>
      </c>
      <c r="W308" s="41" t="n">
        <v>2</v>
      </c>
      <c r="X308" s="37">
        <f>SUM(Y308:AE308)</f>
        <v/>
      </c>
      <c r="Y308" s="43" t="n"/>
      <c r="Z308" s="43" t="n">
        <v>1</v>
      </c>
      <c r="AA308" s="43" t="n"/>
      <c r="AB308" s="43" t="n">
        <v>1</v>
      </c>
      <c r="AC308" s="43" t="n"/>
      <c r="AD308" s="43" t="n"/>
      <c r="AE308" s="43" t="n"/>
      <c r="AF308" s="38">
        <f>IF((W308-SUM(Y308:AE308))&lt;0,0,W308-SUM(Y308:AE308))</f>
        <v/>
      </c>
      <c r="AG308" s="34">
        <f>MAX(0,$AT308-$W308-$AI308)</f>
        <v/>
      </c>
      <c r="AH308" s="34" t="n"/>
      <c r="AI308" s="34" t="n"/>
      <c r="AJ308" s="36" t="n">
        <v>0.19</v>
      </c>
      <c r="AK308" s="36">
        <f>IF(AND($AG308&gt;0,ISNUMBER($AJ308)),$AG308*$AJ308,0)</f>
        <v/>
      </c>
      <c r="AT308" s="37">
        <f>SUM(AU308:BA308)</f>
        <v/>
      </c>
      <c r="AU308" s="73" t="n"/>
      <c r="AV308" s="98" t="n">
        <v>1</v>
      </c>
      <c r="AW308" s="33" t="n"/>
      <c r="AX308" s="98" t="n">
        <v>1</v>
      </c>
      <c r="AY308" s="33" t="n"/>
      <c r="AZ308" s="33" t="n"/>
      <c r="BA308" s="74" t="n"/>
      <c r="BB308" s="106" t="n"/>
      <c r="BC308" s="42" t="n"/>
      <c r="BD308" s="42" t="n"/>
    </row>
    <row r="309" ht="15" customHeight="1" s="148">
      <c r="A309" t="inlineStr">
        <is>
          <t>c0305</t>
        </is>
      </c>
      <c r="B309" s="44" t="inlineStr">
        <is>
          <t>Bonders' Enclave</t>
        </is>
      </c>
      <c r="C309" s="34" t="inlineStr">
        <is>
          <t>L</t>
        </is>
      </c>
      <c r="D309" s="44" t="inlineStr">
        <is>
          <t>Land</t>
        </is>
      </c>
      <c r="E309" s="41" t="inlineStr">
        <is>
          <t>B3</t>
        </is>
      </c>
      <c r="F309" s="34" t="n">
        <v>0</v>
      </c>
      <c r="G309" s="67" t="inlineStr">
        <is>
          <t>{T}: Add {C}.
{3}, {T}: Draw a card. Activate only if you control a creature with power 4 or greater.</t>
        </is>
      </c>
      <c r="H309" s="45" t="inlineStr">
        <is>
          <t>Land</t>
        </is>
      </c>
      <c r="I309" s="45" t="inlineStr">
        <is>
          <t>{T}: Add {C}</t>
        </is>
      </c>
      <c r="J309" s="45" t="inlineStr">
        <is>
          <t>{3}, {T}: Draw a card. Activate only if you control a creature with power 4 or greater</t>
        </is>
      </c>
      <c r="K309" s="45" t="n"/>
      <c r="L309" s="42" t="n"/>
      <c r="M309" s="42" t="n"/>
      <c r="N309" s="42" t="n"/>
      <c r="O309" s="42" t="n"/>
      <c r="P309" s="42" t="n">
        <v>0.93</v>
      </c>
      <c r="Q309" s="42" t="n"/>
      <c r="R309" s="42" t="n"/>
      <c r="S309" s="42" t="n"/>
      <c r="T309" s="42" t="n"/>
      <c r="U309" s="42" t="n"/>
      <c r="V309" s="45" t="inlineStr">
        <is>
          <t>Ikoria: Lair of Behemoths</t>
        </is>
      </c>
      <c r="W309" s="41" t="n">
        <v>0</v>
      </c>
      <c r="X309" s="37">
        <f>SUM(Y309:AE309)</f>
        <v/>
      </c>
      <c r="Y309" s="43" t="n"/>
      <c r="Z309" s="43" t="n"/>
      <c r="AA309" s="43" t="n"/>
      <c r="AB309" s="43" t="n"/>
      <c r="AC309" s="43" t="n"/>
      <c r="AD309" s="43" t="n"/>
      <c r="AE309" s="43" t="n"/>
      <c r="AF309" s="38">
        <f>IF((W309-SUM(Y309:AE309))&lt;0,0,W309-SUM(Y309:AE309))</f>
        <v/>
      </c>
      <c r="AG309" s="34">
        <f>MAX(0,$AT309-$W309-$AI309)</f>
        <v/>
      </c>
      <c r="AH309" s="34" t="n"/>
      <c r="AI309" s="34" t="n"/>
      <c r="AJ309" s="36" t="n">
        <v>0.35</v>
      </c>
      <c r="AK309" s="36">
        <f>IF(AND($AG309&gt;0,ISNUMBER($AJ309)),$AG309*$AJ309,0)</f>
        <v/>
      </c>
      <c r="AL309" s="54" t="n"/>
      <c r="AM309" s="54" t="n"/>
      <c r="AN309" s="54" t="n"/>
      <c r="AO309" s="54" t="n"/>
      <c r="AP309" s="54" t="n"/>
      <c r="AQ309" s="54" t="n"/>
      <c r="AR309" s="54" t="n"/>
      <c r="AS309" s="54" t="n"/>
      <c r="AT309" s="37">
        <f>SUM(AU309:BA309)</f>
        <v/>
      </c>
      <c r="AU309" s="92" t="n"/>
      <c r="AV309" s="38" t="n"/>
      <c r="AW309" s="38" t="n"/>
      <c r="AX309" s="38" t="n"/>
      <c r="AY309" s="38" t="n"/>
      <c r="AZ309" s="38" t="n"/>
      <c r="BA309" s="94" t="n"/>
      <c r="BB309" s="106" t="n"/>
      <c r="BC309" s="42" t="n"/>
      <c r="BD309" s="42" t="n"/>
    </row>
    <row r="310" ht="15" customHeight="1" s="148">
      <c r="A310" t="inlineStr">
        <is>
          <t>c0306</t>
        </is>
      </c>
      <c r="B310" s="44" t="inlineStr">
        <is>
          <t>Brushland</t>
        </is>
      </c>
      <c r="C310" s="34" t="inlineStr">
        <is>
          <t>L</t>
        </is>
      </c>
      <c r="D310" s="44" t="inlineStr">
        <is>
          <t>Land</t>
        </is>
      </c>
      <c r="E310" s="41" t="inlineStr">
        <is>
          <t>B2</t>
        </is>
      </c>
      <c r="F310" s="34" t="n">
        <v>0</v>
      </c>
      <c r="G310" s="67" t="inlineStr">
        <is>
          <t>{T}: Add {C}.
{T}: Add {G} or {W}. This land deals 1 damage to you.</t>
        </is>
      </c>
      <c r="H310" s="45" t="inlineStr">
        <is>
          <t>Land</t>
        </is>
      </c>
      <c r="I310" s="45" t="inlineStr">
        <is>
          <t>Taps for {C}, or {G}/{W} at the cost of 1 damage to you</t>
        </is>
      </c>
      <c r="J310" s="45" t="n"/>
      <c r="K310" s="45" t="n"/>
      <c r="L310" s="42" t="n"/>
      <c r="M310" s="42" t="n"/>
      <c r="N310" s="42" t="n"/>
      <c r="O310" s="42" t="n"/>
      <c r="P310" s="42" t="n">
        <v>1.69</v>
      </c>
      <c r="Q310" s="42" t="n"/>
      <c r="R310" s="42" t="n"/>
      <c r="S310" s="42" t="n"/>
      <c r="T310" s="42" t="n"/>
      <c r="U310" s="42" t="n"/>
      <c r="V310" s="45" t="inlineStr">
        <is>
          <t>Ice Age</t>
        </is>
      </c>
      <c r="W310" s="41" t="n">
        <v>0</v>
      </c>
      <c r="X310" s="37">
        <f>SUM(Y310:AE310)</f>
        <v/>
      </c>
      <c r="Y310" s="43" t="n"/>
      <c r="Z310" s="43" t="n"/>
      <c r="AA310" s="43" t="n"/>
      <c r="AB310" s="43" t="n"/>
      <c r="AC310" s="43" t="n"/>
      <c r="AD310" s="43" t="n"/>
      <c r="AE310" s="43" t="n"/>
      <c r="AF310" s="38">
        <f>IF((W310-SUM(Y310:AE310))&lt;0,0,W310-SUM(Y310:AE310))</f>
        <v/>
      </c>
      <c r="AG310" s="34">
        <f>MAX(0,$AT310-$W310-$AI310)</f>
        <v/>
      </c>
      <c r="AH310" s="34" t="n"/>
      <c r="AI310" s="34" t="n"/>
      <c r="AJ310" s="36" t="n">
        <v>1.71</v>
      </c>
      <c r="AK310" s="36">
        <f>IF(AND($AG310&gt;0,ISNUMBER($AJ310)),$AG310*$AJ310,0)</f>
        <v/>
      </c>
      <c r="AL310" s="54" t="n"/>
      <c r="AM310" s="54" t="n"/>
      <c r="AN310" s="54" t="n"/>
      <c r="AO310" s="54" t="n"/>
      <c r="AP310" s="54" t="n"/>
      <c r="AQ310" s="54" t="n"/>
      <c r="AR310" s="54" t="n"/>
      <c r="AS310" s="54" t="n"/>
      <c r="AT310" s="37">
        <f>SUM(AU310:BA310)</f>
        <v/>
      </c>
      <c r="AU310" s="92" t="n"/>
      <c r="AV310" s="38" t="n"/>
      <c r="AW310" s="38" t="n"/>
      <c r="AX310" s="38" t="n"/>
      <c r="AY310" s="38" t="n"/>
      <c r="AZ310" s="38" t="n"/>
      <c r="BA310" s="94" t="n"/>
      <c r="BB310" s="106" t="n"/>
      <c r="BC310" s="42" t="n"/>
      <c r="BD310" s="48" t="n"/>
    </row>
    <row r="311" ht="15" customHeight="1" s="148">
      <c r="A311" t="inlineStr">
        <is>
          <t>c0307</t>
        </is>
      </c>
      <c r="B311" s="44" t="inlineStr">
        <is>
          <t>Buried Ruin</t>
        </is>
      </c>
      <c r="C311" s="34" t="inlineStr">
        <is>
          <t>L</t>
        </is>
      </c>
      <c r="D311" s="44" t="inlineStr">
        <is>
          <t>Land</t>
        </is>
      </c>
      <c r="E311" s="41" t="inlineStr">
        <is>
          <t>B2</t>
        </is>
      </c>
      <c r="F311" s="34" t="n">
        <v>0</v>
      </c>
      <c r="G311" s="67" t="inlineStr">
        <is>
          <t>{T}: Add {C}.
{2}, {T}, Sacrifice this land: Return target artifact card from your graveyard to your hand.</t>
        </is>
      </c>
      <c r="H311" s="45" t="inlineStr">
        <is>
          <t>Land</t>
        </is>
      </c>
      <c r="I311" s="45" t="inlineStr">
        <is>
          <t>Taps for {C}</t>
        </is>
      </c>
      <c r="J311" s="45" t="inlineStr">
        <is>
          <t>Sacrifice plus {2}: return target artifact card from graveyard to hand</t>
        </is>
      </c>
      <c r="K311" s="45" t="n"/>
      <c r="L311" s="42" t="n"/>
      <c r="M311" s="42" t="n"/>
      <c r="N311" s="42" t="n"/>
      <c r="O311" s="42" t="n"/>
      <c r="P311" s="42" t="n">
        <v>0.37</v>
      </c>
      <c r="Q311" s="42" t="n"/>
      <c r="R311" s="42" t="n"/>
      <c r="S311" s="42" t="n"/>
      <c r="T311" s="42" t="n"/>
      <c r="U311" s="42" t="n"/>
      <c r="V311" s="45" t="inlineStr">
        <is>
          <t>Magic 2012</t>
        </is>
      </c>
      <c r="W311" s="41" t="n">
        <v>1</v>
      </c>
      <c r="X311" s="37">
        <f>SUM(Y311:AE311)</f>
        <v/>
      </c>
      <c r="Y311" s="43" t="n">
        <v>1</v>
      </c>
      <c r="Z311" s="43" t="n"/>
      <c r="AA311" s="43" t="n"/>
      <c r="AB311" s="43" t="n"/>
      <c r="AC311" s="43" t="n"/>
      <c r="AD311" s="43" t="n"/>
      <c r="AE311" s="43" t="n"/>
      <c r="AF311" s="38">
        <f>IF((W311-SUM(Y311:AE311))&lt;0,0,W311-SUM(Y311:AE311))</f>
        <v/>
      </c>
      <c r="AG311" s="34">
        <f>MAX(0,$AT311-$W311-$AI311)</f>
        <v/>
      </c>
      <c r="AH311" s="34" t="n"/>
      <c r="AI311" s="34" t="n"/>
      <c r="AJ311" s="36" t="n">
        <v>0.39</v>
      </c>
      <c r="AK311" s="36">
        <f>IF(AND($AG311&gt;0,ISNUMBER($AJ311)),$AG311*$AJ311,0)</f>
        <v/>
      </c>
      <c r="AT311" s="37">
        <f>SUM(AU311:BA311)</f>
        <v/>
      </c>
      <c r="AU311" s="82" t="n">
        <v>1</v>
      </c>
      <c r="AV311" s="33" t="n"/>
      <c r="AW311" s="33" t="n"/>
      <c r="AX311" s="33" t="n"/>
      <c r="AY311" s="33" t="n"/>
      <c r="AZ311" s="33" t="n"/>
      <c r="BA311" s="74" t="n"/>
      <c r="BB311" s="106" t="n"/>
      <c r="BC311" s="42" t="n"/>
      <c r="BD311" s="42" t="n"/>
    </row>
    <row r="312" ht="15" customHeight="1" s="148">
      <c r="A312" t="inlineStr">
        <is>
          <t>c0308</t>
        </is>
      </c>
      <c r="B312" s="44" t="inlineStr">
        <is>
          <t>Castle Ardenvale</t>
        </is>
      </c>
      <c r="C312" s="34" t="inlineStr">
        <is>
          <t>L</t>
        </is>
      </c>
      <c r="D312" s="44" t="inlineStr">
        <is>
          <t>Land</t>
        </is>
      </c>
      <c r="E312" s="41" t="inlineStr">
        <is>
          <t>B2</t>
        </is>
      </c>
      <c r="F312" s="34" t="n">
        <v>0</v>
      </c>
      <c r="G312" s="67" t="inlineStr">
        <is>
          <t>This land enters tapped unless you control a Plains.
{T}: Add {W}.
{2}{W}{W}, {T}: Create a 1/1 white Human creature token.</t>
        </is>
      </c>
      <c r="H312" s="45" t="inlineStr">
        <is>
          <t>Land</t>
        </is>
      </c>
      <c r="I312" s="45" t="inlineStr">
        <is>
          <t>Taps for {W}</t>
        </is>
      </c>
      <c r="J312" s="45" t="inlineStr">
        <is>
          <t>{2}{W}{W}, tap: creates a 1/1 Human token</t>
        </is>
      </c>
      <c r="K312" s="45" t="n"/>
      <c r="L312" s="42" t="n"/>
      <c r="M312" s="42" t="n"/>
      <c r="N312" s="42" t="n"/>
      <c r="O312" s="42" t="n"/>
      <c r="P312" s="42" t="n">
        <v>0.25</v>
      </c>
      <c r="Q312" s="42" t="n"/>
      <c r="R312" s="42" t="n"/>
      <c r="S312" s="42" t="n"/>
      <c r="T312" s="42" t="n"/>
      <c r="U312" s="42" t="n"/>
      <c r="V312" s="45" t="inlineStr">
        <is>
          <t>Throne of Eldraine</t>
        </is>
      </c>
      <c r="W312" s="41" t="n">
        <v>1</v>
      </c>
      <c r="X312" s="37">
        <f>SUM(Y312:AE312)</f>
        <v/>
      </c>
      <c r="Y312" s="43" t="n"/>
      <c r="Z312" s="43" t="n"/>
      <c r="AA312" s="43" t="n"/>
      <c r="AB312" s="43" t="n"/>
      <c r="AC312" s="43" t="n">
        <v>1</v>
      </c>
      <c r="AD312" s="43" t="n"/>
      <c r="AE312" s="43" t="n"/>
      <c r="AF312" s="38">
        <f>IF((W312-SUM(Y312:AE312))&lt;0,0,W312-SUM(Y312:AE312))</f>
        <v/>
      </c>
      <c r="AG312" s="34">
        <f>MAX(0,$AT312-$W312-$AI312)</f>
        <v/>
      </c>
      <c r="AH312" s="34" t="n"/>
      <c r="AI312" s="34" t="n"/>
      <c r="AJ312" s="36" t="n">
        <v>0.25</v>
      </c>
      <c r="AK312" s="36">
        <f>IF(AND($AG312&gt;0,ISNUMBER($AJ312)),$AG312*$AJ312,0)</f>
        <v/>
      </c>
      <c r="AT312" s="37">
        <f>SUM(AU312:BA312)</f>
        <v/>
      </c>
      <c r="AU312" s="73" t="n"/>
      <c r="AV312" s="33" t="n"/>
      <c r="AW312" s="33" t="n"/>
      <c r="AX312" s="33" t="n"/>
      <c r="AY312" s="98" t="n">
        <v>1</v>
      </c>
      <c r="AZ312" s="33" t="n"/>
      <c r="BA312" s="74" t="n"/>
      <c r="BB312" s="106" t="n"/>
      <c r="BC312" s="42" t="n"/>
      <c r="BD312" s="42" t="n"/>
    </row>
    <row r="313" ht="15" customHeight="1" s="148">
      <c r="A313" t="inlineStr">
        <is>
          <t>c0309</t>
        </is>
      </c>
      <c r="B313" s="44" t="inlineStr">
        <is>
          <t>Castle Embereth</t>
        </is>
      </c>
      <c r="C313" s="34" t="inlineStr">
        <is>
          <t>L</t>
        </is>
      </c>
      <c r="D313" s="44" t="inlineStr">
        <is>
          <t>Land</t>
        </is>
      </c>
      <c r="E313" s="41" t="inlineStr">
        <is>
          <t>B2</t>
        </is>
      </c>
      <c r="F313" s="34" t="n">
        <v>0</v>
      </c>
      <c r="G313" s="67" t="inlineStr">
        <is>
          <t>This land enters tapped unless you control a Mountain.
{T}: Add {R}.
{1}{R}{R}, {T}: Creatures you control get +1/+0 until end of turn.</t>
        </is>
      </c>
      <c r="H313" s="45" t="inlineStr">
        <is>
          <t>Land</t>
        </is>
      </c>
      <c r="I313" s="45" t="inlineStr">
        <is>
          <t>Taps for {R}</t>
        </is>
      </c>
      <c r="J313" s="45" t="inlineStr">
        <is>
          <t>{1}{R}{R}, tap: creatures you control get +1/+0</t>
        </is>
      </c>
      <c r="K313" s="45" t="n"/>
      <c r="L313" s="42" t="n"/>
      <c r="M313" s="42" t="n"/>
      <c r="N313" s="42" t="n"/>
      <c r="O313" s="42" t="n"/>
      <c r="P313" s="42" t="n">
        <v>0.33</v>
      </c>
      <c r="Q313" s="42" t="n"/>
      <c r="R313" s="42" t="n"/>
      <c r="S313" s="42" t="n"/>
      <c r="T313" s="42" t="n"/>
      <c r="U313" s="42" t="n"/>
      <c r="V313" s="45" t="inlineStr">
        <is>
          <t>Throne of Eldraine</t>
        </is>
      </c>
      <c r="W313" s="41" t="n">
        <v>1</v>
      </c>
      <c r="X313" s="37">
        <f>SUM(Y313:AE313)</f>
        <v/>
      </c>
      <c r="Y313" s="43" t="n"/>
      <c r="Z313" s="43" t="n"/>
      <c r="AA313" s="43" t="n"/>
      <c r="AB313" s="43" t="n"/>
      <c r="AC313" s="43" t="n"/>
      <c r="AD313" s="43" t="n">
        <v>1</v>
      </c>
      <c r="AE313" s="43" t="n"/>
      <c r="AF313" s="38">
        <f>IF((W313-SUM(Y313:AE313))&lt;0,0,W313-SUM(Y313:AE313))</f>
        <v/>
      </c>
      <c r="AG313" s="34">
        <f>MAX(0,$AT313-$W313-$AI313)</f>
        <v/>
      </c>
      <c r="AH313" s="34" t="n"/>
      <c r="AI313" s="34" t="n"/>
      <c r="AJ313" s="36" t="n">
        <v>0.3</v>
      </c>
      <c r="AK313" s="36">
        <f>IF(AND($AG313&gt;0,ISNUMBER($AJ313)),$AG313*$AJ313,0)</f>
        <v/>
      </c>
      <c r="AT313" s="37">
        <f>SUM(AU313:BA313)</f>
        <v/>
      </c>
      <c r="AU313" s="73" t="n"/>
      <c r="AV313" s="33" t="n"/>
      <c r="AW313" s="33" t="n"/>
      <c r="AX313" s="33" t="n"/>
      <c r="AY313" s="33" t="n"/>
      <c r="AZ313" s="98" t="n">
        <v>1</v>
      </c>
      <c r="BA313" s="74" t="n"/>
      <c r="BB313" s="106" t="n"/>
      <c r="BC313" s="42" t="n"/>
      <c r="BD313" s="42" t="n"/>
    </row>
    <row r="314" ht="15" customHeight="1" s="148">
      <c r="A314" t="inlineStr">
        <is>
          <t>c0310</t>
        </is>
      </c>
      <c r="B314" s="44" t="inlineStr">
        <is>
          <t>Caves of Koilos</t>
        </is>
      </c>
      <c r="C314" s="34" t="inlineStr">
        <is>
          <t>L</t>
        </is>
      </c>
      <c r="D314" s="44" t="inlineStr">
        <is>
          <t>Land</t>
        </is>
      </c>
      <c r="E314" s="41" t="inlineStr">
        <is>
          <t>B2</t>
        </is>
      </c>
      <c r="F314" s="34" t="n">
        <v>0</v>
      </c>
      <c r="G314" s="67" t="inlineStr">
        <is>
          <t>{T}: Add {C}.
{T}: Add {W} or {B}. This land deals 1 damage to you.</t>
        </is>
      </c>
      <c r="H314" s="45" t="inlineStr">
        <is>
          <t>Land</t>
        </is>
      </c>
      <c r="I314" s="45" t="inlineStr">
        <is>
          <t>Taps for {C}, or {W}/{B} at the cost of 1 damage to you</t>
        </is>
      </c>
      <c r="J314" s="45" t="n"/>
      <c r="K314" s="45" t="n"/>
      <c r="L314" s="42" t="n"/>
      <c r="M314" s="42" t="n"/>
      <c r="N314" s="42" t="n"/>
      <c r="O314" s="42" t="n"/>
      <c r="P314" s="42" t="n">
        <v>0.82</v>
      </c>
      <c r="Q314" s="42" t="n"/>
      <c r="R314" s="42" t="n"/>
      <c r="S314" s="42" t="n"/>
      <c r="T314" s="42" t="n"/>
      <c r="U314" s="42" t="n"/>
      <c r="V314" s="45" t="inlineStr">
        <is>
          <t>Apocalypse</t>
        </is>
      </c>
      <c r="W314" s="41" t="n">
        <v>1</v>
      </c>
      <c r="X314" s="37">
        <f>SUM(Y314:AE314)</f>
        <v/>
      </c>
      <c r="Y314" s="43" t="n"/>
      <c r="Z314" s="43" t="n"/>
      <c r="AA314" s="43" t="n"/>
      <c r="AB314" s="43" t="n">
        <v>1</v>
      </c>
      <c r="AC314" s="43" t="n"/>
      <c r="AD314" s="43" t="n"/>
      <c r="AE314" s="43" t="n"/>
      <c r="AF314" s="38">
        <f>IF((W314-SUM(Y314:AE314))&lt;0,0,W314-SUM(Y314:AE314))</f>
        <v/>
      </c>
      <c r="AG314" s="34">
        <f>MAX(0,$AT314-$W314-$AI314)</f>
        <v/>
      </c>
      <c r="AH314" s="34" t="n"/>
      <c r="AI314" s="34" t="n"/>
      <c r="AJ314" s="36" t="n">
        <v>0.71</v>
      </c>
      <c r="AK314" s="36">
        <f>IF(AND($AG314&gt;0,ISNUMBER($AJ314)),$AG314*$AJ314,0)</f>
        <v/>
      </c>
      <c r="AT314" s="37">
        <f>SUM(AU314:BA314)</f>
        <v/>
      </c>
      <c r="AU314" s="73" t="n"/>
      <c r="AV314" s="33" t="n"/>
      <c r="AW314" s="33" t="n"/>
      <c r="AX314" s="98" t="n">
        <v>1</v>
      </c>
      <c r="AY314" s="33" t="n"/>
      <c r="AZ314" s="33" t="n"/>
      <c r="BA314" s="74" t="n"/>
      <c r="BB314" s="106" t="n"/>
      <c r="BC314" s="42" t="n"/>
      <c r="BD314" s="48" t="n"/>
    </row>
    <row r="315" ht="15" customHeight="1" s="148">
      <c r="A315" t="inlineStr">
        <is>
          <t>c0311</t>
        </is>
      </c>
      <c r="B315" s="44" t="inlineStr">
        <is>
          <t>Clifftop Retreat</t>
        </is>
      </c>
      <c r="C315" s="34" t="inlineStr">
        <is>
          <t>L</t>
        </is>
      </c>
      <c r="D315" s="44" t="inlineStr">
        <is>
          <t>Land</t>
        </is>
      </c>
      <c r="E315" s="41" t="inlineStr">
        <is>
          <t>B2</t>
        </is>
      </c>
      <c r="F315" s="34" t="n">
        <v>0</v>
      </c>
      <c r="G315" s="67" t="inlineStr">
        <is>
          <t>This land enters tapped unless you control a Mountain or a Plains.
{T}: Add {R} or {W}.</t>
        </is>
      </c>
      <c r="H315" s="45" t="inlineStr">
        <is>
          <t>Land</t>
        </is>
      </c>
      <c r="I315" s="45" t="inlineStr">
        <is>
          <t>Taps for {R} or {W}</t>
        </is>
      </c>
      <c r="J315" s="45" t="inlineStr">
        <is>
          <t>Enters tapped unless you control a Mountain or Plains</t>
        </is>
      </c>
      <c r="K315" s="45" t="n"/>
      <c r="L315" s="41" t="n"/>
      <c r="M315" s="41" t="n"/>
      <c r="N315" s="41" t="n"/>
      <c r="O315" s="41" t="n"/>
      <c r="P315" s="41" t="n">
        <v>0.3</v>
      </c>
      <c r="Q315" s="41" t="n"/>
      <c r="R315" s="41" t="n"/>
      <c r="S315" s="41" t="n"/>
      <c r="T315" s="41" t="n"/>
      <c r="U315" s="41" t="n"/>
      <c r="V315" s="45" t="inlineStr">
        <is>
          <t>Innistrad</t>
        </is>
      </c>
      <c r="W315" s="41" t="n">
        <v>1</v>
      </c>
      <c r="X315" s="37">
        <f>SUM(Y315:AE315)</f>
        <v/>
      </c>
      <c r="Y315" s="43" t="n">
        <v>1</v>
      </c>
      <c r="Z315" s="43" t="n"/>
      <c r="AA315" s="43" t="n"/>
      <c r="AB315" s="43" t="n"/>
      <c r="AC315" s="43" t="n"/>
      <c r="AD315" s="43" t="n"/>
      <c r="AE315" s="43" t="n"/>
      <c r="AF315" s="38">
        <f>IF((W315-SUM(Y315:AE315))&lt;0,0,W315-SUM(Y315:AE315))</f>
        <v/>
      </c>
      <c r="AG315" s="34">
        <f>MAX(0,$AT315-$W315-$AI315)</f>
        <v/>
      </c>
      <c r="AH315" s="34" t="n"/>
      <c r="AI315" s="34" t="n"/>
      <c r="AJ315" s="36" t="n">
        <v>0.27</v>
      </c>
      <c r="AK315" s="36">
        <f>IF(AND($AG315&gt;0,ISNUMBER($AJ315)),$AG315*$AJ315,0)</f>
        <v/>
      </c>
      <c r="AT315" s="37">
        <f>SUM(AU315:BA315)</f>
        <v/>
      </c>
      <c r="AU315" s="82" t="n">
        <v>1</v>
      </c>
      <c r="AV315" s="33" t="n"/>
      <c r="AW315" s="33" t="n"/>
      <c r="AX315" s="33" t="n"/>
      <c r="AY315" s="33" t="n"/>
      <c r="AZ315" s="33" t="n"/>
      <c r="BA315" s="74" t="n"/>
      <c r="BB315" s="106" t="n"/>
      <c r="BC315" s="42" t="n"/>
      <c r="BD315" s="42" t="n"/>
    </row>
    <row r="316" ht="15" customHeight="1" s="148">
      <c r="A316" t="inlineStr">
        <is>
          <t>c0312</t>
        </is>
      </c>
      <c r="B316" s="44" t="inlineStr">
        <is>
          <t>Command Tower</t>
        </is>
      </c>
      <c r="C316" s="34" t="inlineStr">
        <is>
          <t>L</t>
        </is>
      </c>
      <c r="D316" s="44" t="inlineStr">
        <is>
          <t>Land</t>
        </is>
      </c>
      <c r="E316" s="41" t="inlineStr">
        <is>
          <t>B2</t>
        </is>
      </c>
      <c r="F316" s="34" t="n">
        <v>0</v>
      </c>
      <c r="G316" s="67" t="inlineStr">
        <is>
          <t>{T}: Add one mana of any color in your commander's color identity.</t>
        </is>
      </c>
      <c r="H316" s="45" t="inlineStr">
        <is>
          <t>Land</t>
        </is>
      </c>
      <c r="I316" s="45" t="inlineStr">
        <is>
          <t>Taps for any color in your commander's color identity</t>
        </is>
      </c>
      <c r="J316" s="45" t="n"/>
      <c r="K316" s="45" t="n"/>
      <c r="L316" s="41" t="n"/>
      <c r="M316" s="41" t="n"/>
      <c r="N316" s="41" t="n"/>
      <c r="O316" s="41" t="n"/>
      <c r="P316" s="41" t="n">
        <v>0.27</v>
      </c>
      <c r="Q316" s="41" t="n"/>
      <c r="R316" s="41" t="n"/>
      <c r="S316" s="41" t="n"/>
      <c r="T316" s="41" t="n"/>
      <c r="U316" s="41" t="n"/>
      <c r="V316" s="45" t="inlineStr">
        <is>
          <t>Commander 2011</t>
        </is>
      </c>
      <c r="W316" s="41" t="n">
        <v>1</v>
      </c>
      <c r="X316" s="37">
        <f>SUM(Y316:AE316)</f>
        <v/>
      </c>
      <c r="Y316" s="43" t="n">
        <v>1</v>
      </c>
      <c r="Z316" s="43" t="n"/>
      <c r="AA316" s="43" t="n"/>
      <c r="AB316" s="43" t="n"/>
      <c r="AC316" s="43" t="n"/>
      <c r="AD316" s="43" t="n"/>
      <c r="AE316" s="43" t="n"/>
      <c r="AF316" s="38">
        <f>IF((W316-SUM(Y316:AE316))&lt;0,0,W316-SUM(Y316:AE316))</f>
        <v/>
      </c>
      <c r="AG316" s="34">
        <f>MAX(0,$AT316-$W316-$AI316)</f>
        <v/>
      </c>
      <c r="AH316" s="34" t="n"/>
      <c r="AI316" s="34" t="n"/>
      <c r="AJ316" s="36" t="n">
        <v>0.22</v>
      </c>
      <c r="AK316" s="36">
        <f>IF(AND($AG316&gt;0,ISNUMBER($AJ316)),$AG316*$AJ316,0)</f>
        <v/>
      </c>
      <c r="AM316" s="58" t="n"/>
      <c r="AT316" s="37">
        <f>SUM(AU316:BA316)</f>
        <v/>
      </c>
      <c r="AU316" s="82" t="n">
        <v>1</v>
      </c>
      <c r="AV316" s="33" t="n"/>
      <c r="AW316" s="33" t="n">
        <v>1</v>
      </c>
      <c r="AX316" s="33" t="n">
        <v>1</v>
      </c>
      <c r="AY316" s="33" t="n"/>
      <c r="AZ316" s="33" t="n"/>
      <c r="BA316" s="74" t="n"/>
      <c r="BB316" s="106" t="n"/>
      <c r="BC316" s="42" t="n"/>
      <c r="BD316" s="48" t="n"/>
    </row>
    <row r="317" ht="15" customHeight="1" s="148">
      <c r="A317" t="inlineStr">
        <is>
          <t>c0313</t>
        </is>
      </c>
      <c r="B317" s="44" t="inlineStr">
        <is>
          <t>Concealed Courtyard</t>
        </is>
      </c>
      <c r="C317" s="34" t="inlineStr">
        <is>
          <t>L</t>
        </is>
      </c>
      <c r="D317" s="44" t="inlineStr">
        <is>
          <t>Land</t>
        </is>
      </c>
      <c r="E317" s="41" t="inlineStr">
        <is>
          <t>B2</t>
        </is>
      </c>
      <c r="F317" s="34" t="n">
        <v>0</v>
      </c>
      <c r="G317" s="67" t="inlineStr">
        <is>
          <t>This land enters tapped unless you control two or fewer other lands.
{T}: Add {W} or {B}.</t>
        </is>
      </c>
      <c r="H317" s="45" t="inlineStr">
        <is>
          <t>Land</t>
        </is>
      </c>
      <c r="I317" s="45" t="inlineStr">
        <is>
          <t>Taps for {W} or {B}</t>
        </is>
      </c>
      <c r="J317" s="45" t="inlineStr">
        <is>
          <t>Enters tapped unless you control two or fewer other lands</t>
        </is>
      </c>
      <c r="K317" s="45" t="n"/>
      <c r="L317" s="42" t="n"/>
      <c r="M317" s="42" t="n"/>
      <c r="N317" s="42" t="n"/>
      <c r="O317" s="63" t="n"/>
      <c r="P317" s="63" t="n">
        <v>1.18</v>
      </c>
      <c r="Q317" s="42" t="n"/>
      <c r="R317" s="42" t="n"/>
      <c r="S317" s="42" t="n"/>
      <c r="T317" s="63" t="n"/>
      <c r="U317" s="63" t="n"/>
      <c r="V317" s="45" t="inlineStr">
        <is>
          <t>Kaladesh</t>
        </is>
      </c>
      <c r="W317" s="41" t="n">
        <v>1</v>
      </c>
      <c r="X317" s="37">
        <f>SUM(Y317:AE317)</f>
        <v/>
      </c>
      <c r="Y317" s="43" t="n"/>
      <c r="Z317" s="43" t="n"/>
      <c r="AA317" s="43" t="n"/>
      <c r="AB317" s="43" t="n">
        <v>1</v>
      </c>
      <c r="AC317" s="43" t="n"/>
      <c r="AD317" s="43" t="n"/>
      <c r="AE317" s="43" t="n"/>
      <c r="AF317" s="38">
        <f>IF((W317-SUM(Y317:AE317))&lt;0,0,W317-SUM(Y317:AE317))</f>
        <v/>
      </c>
      <c r="AG317" s="34">
        <f>MAX(0,$AT317-$W317-$AI317)</f>
        <v/>
      </c>
      <c r="AH317" s="34" t="n"/>
      <c r="AI317" s="34" t="n"/>
      <c r="AJ317" s="36" t="n">
        <v>1.04</v>
      </c>
      <c r="AK317" s="36">
        <f>IF(AND($AG317&gt;0,ISNUMBER($AJ317)),$AG317*$AJ317,0)</f>
        <v/>
      </c>
      <c r="AT317" s="37">
        <f>SUM(AU317:BA317)</f>
        <v/>
      </c>
      <c r="AU317" s="73" t="n"/>
      <c r="AV317" s="33" t="n"/>
      <c r="AW317" s="33" t="n"/>
      <c r="AX317" s="98" t="n">
        <v>1</v>
      </c>
      <c r="AY317" s="99" t="n"/>
      <c r="AZ317" s="33" t="n"/>
      <c r="BA317" s="74" t="n"/>
      <c r="BB317" s="106" t="n"/>
      <c r="BC317" s="42" t="n"/>
      <c r="BD317" s="50" t="inlineStr">
        <is>
          <t>ORDERED 2026-09-11 $2.50</t>
        </is>
      </c>
    </row>
    <row r="318" ht="15" customHeight="1" s="148">
      <c r="A318" t="inlineStr">
        <is>
          <t>c0314</t>
        </is>
      </c>
      <c r="B318" s="44" t="inlineStr">
        <is>
          <t>Dismal Backwater</t>
        </is>
      </c>
      <c r="C318" s="34" t="inlineStr">
        <is>
          <t>L</t>
        </is>
      </c>
      <c r="D318" s="44" t="inlineStr">
        <is>
          <t>Land</t>
        </is>
      </c>
      <c r="E318" s="41" t="inlineStr">
        <is>
          <t>B2</t>
        </is>
      </c>
      <c r="F318" s="34" t="n">
        <v>0</v>
      </c>
      <c r="G318" s="67" t="inlineStr">
        <is>
          <t>This land enters tapped.
When this land enters, you gain 1 life.
{T}: Add {U} or {B}.</t>
        </is>
      </c>
      <c r="H318" s="45" t="inlineStr">
        <is>
          <t>Land</t>
        </is>
      </c>
      <c r="I318" s="45" t="inlineStr">
        <is>
          <t>Taps for {U} or {B}</t>
        </is>
      </c>
      <c r="J318" s="45" t="inlineStr">
        <is>
          <t>Gain 1 life when it enters</t>
        </is>
      </c>
      <c r="K318" s="45" t="n"/>
      <c r="L318" s="42" t="n"/>
      <c r="M318" s="42" t="n"/>
      <c r="N318" s="42" t="n"/>
      <c r="O318" s="42" t="n"/>
      <c r="P318" s="42" t="n">
        <v>0.2</v>
      </c>
      <c r="Q318" s="42" t="n"/>
      <c r="R318" s="42" t="n"/>
      <c r="S318" s="42" t="n"/>
      <c r="T318" s="42" t="n"/>
      <c r="U318" s="42" t="n"/>
      <c r="V318" s="45" t="inlineStr">
        <is>
          <t>Khans of Tarkir</t>
        </is>
      </c>
      <c r="W318" s="41" t="n">
        <v>1</v>
      </c>
      <c r="X318" s="37">
        <f>SUM(Y318:AE318)</f>
        <v/>
      </c>
      <c r="Y318" s="43" t="n"/>
      <c r="Z318" s="43" t="n"/>
      <c r="AA318" s="43" t="n">
        <v>1</v>
      </c>
      <c r="AB318" s="43" t="n"/>
      <c r="AC318" s="43" t="n"/>
      <c r="AD318" s="43" t="n"/>
      <c r="AE318" s="43" t="n"/>
      <c r="AF318" s="38">
        <f>IF((W318-SUM(Y318:AE318))&lt;0,0,W318-SUM(Y318:AE318))</f>
        <v/>
      </c>
      <c r="AG318" s="34">
        <f>MAX(0,$AT318-$W318-$AI318)</f>
        <v/>
      </c>
      <c r="AH318" s="34" t="n"/>
      <c r="AI318" s="34" t="n"/>
      <c r="AJ318" s="36" t="n">
        <v>0.29</v>
      </c>
      <c r="AK318" s="36">
        <f>IF(AND($AG318&gt;0,ISNUMBER($AJ318)),$AG318*$AJ318,0)</f>
        <v/>
      </c>
      <c r="AT318" s="37">
        <f>SUM(AU318:BA318)</f>
        <v/>
      </c>
      <c r="AU318" s="73" t="n"/>
      <c r="AV318" s="33" t="n"/>
      <c r="AW318" s="98" t="n">
        <v>1</v>
      </c>
      <c r="AX318" s="33" t="n"/>
      <c r="AY318" s="33" t="n"/>
      <c r="AZ318" s="33" t="n"/>
      <c r="BA318" s="74" t="n"/>
      <c r="BB318" s="106" t="n"/>
      <c r="BC318" s="42" t="n"/>
      <c r="BD318" s="42" t="n"/>
    </row>
    <row r="319" ht="15" customHeight="1" s="148">
      <c r="A319" t="inlineStr">
        <is>
          <t>c0315</t>
        </is>
      </c>
      <c r="B319" s="44" t="inlineStr">
        <is>
          <t>Drowned Catacomb</t>
        </is>
      </c>
      <c r="C319" s="34" t="inlineStr">
        <is>
          <t>L</t>
        </is>
      </c>
      <c r="D319" s="44" t="inlineStr">
        <is>
          <t>Land</t>
        </is>
      </c>
      <c r="E319" s="41" t="inlineStr">
        <is>
          <t>B2</t>
        </is>
      </c>
      <c r="F319" s="34" t="n">
        <v>0</v>
      </c>
      <c r="G319" s="67" t="inlineStr">
        <is>
          <t>This land enters tapped unless you control an Island or a Swamp.
{T}: Add {U} or {B}.</t>
        </is>
      </c>
      <c r="H319" s="45" t="inlineStr">
        <is>
          <t>Land</t>
        </is>
      </c>
      <c r="I319" s="45" t="inlineStr">
        <is>
          <t>Taps for {U} or {B}</t>
        </is>
      </c>
      <c r="J319" s="45" t="inlineStr">
        <is>
          <t>Enters tapped unless you control an Island or Swamp</t>
        </is>
      </c>
      <c r="K319" s="45" t="n"/>
      <c r="L319" s="42" t="n"/>
      <c r="M319" s="42" t="n"/>
      <c r="N319" s="42" t="n"/>
      <c r="O319" s="42" t="n"/>
      <c r="P319" s="42" t="n">
        <v>1.2</v>
      </c>
      <c r="Q319" s="42" t="n"/>
      <c r="R319" s="42" t="n"/>
      <c r="S319" s="42" t="n"/>
      <c r="T319" s="42" t="n"/>
      <c r="U319" s="42" t="n"/>
      <c r="V319" s="45" t="inlineStr">
        <is>
          <t>Magic 2010</t>
        </is>
      </c>
      <c r="W319" s="41" t="n">
        <v>1</v>
      </c>
      <c r="X319" s="37">
        <f>SUM(Y319:AE319)</f>
        <v/>
      </c>
      <c r="Y319" s="43" t="n"/>
      <c r="Z319" s="43" t="n"/>
      <c r="AA319" s="43" t="n">
        <v>1</v>
      </c>
      <c r="AB319" s="43" t="n"/>
      <c r="AC319" s="43" t="n"/>
      <c r="AD319" s="43" t="n"/>
      <c r="AE319" s="43" t="n"/>
      <c r="AF319" s="38">
        <f>IF((W319-SUM(Y319:AE319))&lt;0,0,W319-SUM(Y319:AE319))</f>
        <v/>
      </c>
      <c r="AG319" s="34">
        <f>MAX(0,$AT319-$W319-$AI319)</f>
        <v/>
      </c>
      <c r="AH319" s="34" t="n"/>
      <c r="AI319" s="34" t="n"/>
      <c r="AJ319" s="36" t="n">
        <v>1.2</v>
      </c>
      <c r="AK319" s="36">
        <f>IF(AND($AG319&gt;0,ISNUMBER($AJ319)),$AG319*$AJ319,0)</f>
        <v/>
      </c>
      <c r="AT319" s="37">
        <f>SUM(AU319:BA319)</f>
        <v/>
      </c>
      <c r="AU319" s="73" t="n"/>
      <c r="AV319" s="33" t="n"/>
      <c r="AW319" s="98" t="n">
        <v>1</v>
      </c>
      <c r="AX319" s="33" t="n"/>
      <c r="AY319" s="33" t="n"/>
      <c r="AZ319" s="33" t="n"/>
      <c r="BA319" s="74" t="n"/>
      <c r="BB319" s="106" t="n"/>
      <c r="BC319" s="42" t="n"/>
      <c r="BD319" s="42" t="n"/>
    </row>
    <row r="320" ht="15" customHeight="1" s="148">
      <c r="A320" t="inlineStr">
        <is>
          <t>c0316</t>
        </is>
      </c>
      <c r="B320" s="30" t="inlineStr">
        <is>
          <t>Eclipsed Realms</t>
        </is>
      </c>
      <c r="C320" s="31" t="inlineStr">
        <is>
          <t>L</t>
        </is>
      </c>
      <c r="D320" s="30" t="inlineStr">
        <is>
          <t>Land</t>
        </is>
      </c>
      <c r="E320" s="33" t="inlineStr">
        <is>
          <t>B2</t>
        </is>
      </c>
      <c r="F320" s="31" t="n">
        <v>0</v>
      </c>
      <c r="G320" s="67" t="inlineStr">
        <is>
          <t>As this land enters, choose Elemental, Elf, Faerie, Giant, Goblin, Kithkin, Merfolk, or Treefolk.
{T}: Add {C}.
{T}: Add one mana of any color. Spend this mana only to cast a spell of the chosen type or activate an ability of a source of the chosen type.</t>
        </is>
      </c>
      <c r="H320" s="30" t="inlineStr">
        <is>
          <t>Land</t>
        </is>
      </c>
      <c r="I320" s="30" t="inlineStr">
        <is>
          <t>Taps for {C}</t>
        </is>
      </c>
      <c r="J320" s="30" t="inlineStr">
        <is>
          <t>{T}: Add one mana of any color, spendable only on the creature type chosen as it entered</t>
        </is>
      </c>
      <c r="K320" s="30" t="n"/>
      <c r="L320" s="32" t="inlineStr">
        <is>
          <t>263</t>
        </is>
      </c>
      <c r="M320" s="32" t="n">
        <v>1</v>
      </c>
      <c r="N320" s="32" t="n">
        <v>0</v>
      </c>
      <c r="O320" s="63" t="n"/>
      <c r="P320" s="63" t="n">
        <v>0.72</v>
      </c>
      <c r="Q320" s="32" t="inlineStr">
        <is>
          <t>Uncommon</t>
        </is>
      </c>
      <c r="R320" s="32" t="n"/>
      <c r="S320" s="32" t="n"/>
      <c r="T320" s="63" t="n"/>
      <c r="U320" s="63" t="n"/>
      <c r="V320" s="30" t="inlineStr">
        <is>
          <t>Lorwyn Eclipsed</t>
        </is>
      </c>
      <c r="W320" s="41" t="n">
        <v>1</v>
      </c>
      <c r="X320" s="37">
        <f>SUM(Y320:AE320)</f>
        <v/>
      </c>
      <c r="Y320" s="43" t="n"/>
      <c r="Z320" s="43" t="n"/>
      <c r="AA320" s="43" t="n"/>
      <c r="AB320" s="43" t="n"/>
      <c r="AC320" s="43" t="n"/>
      <c r="AD320" s="43" t="n"/>
      <c r="AE320" s="43" t="n"/>
      <c r="AF320" s="38">
        <f>IF((W320-SUM(Y320:AE320))&lt;0,0,W320-SUM(Y320:AE320))</f>
        <v/>
      </c>
      <c r="AG320" s="34">
        <f>MAX(0,$AT320-$W320-$AI320)</f>
        <v/>
      </c>
      <c r="AH320" s="30" t="n"/>
      <c r="AI320" s="30" t="n"/>
      <c r="AJ320" s="35" t="n">
        <v>0.72</v>
      </c>
      <c r="AK320" s="36">
        <f>IF(AND($AG320&gt;0,ISNUMBER($AJ320)),$AG320*$AJ320,0)</f>
        <v/>
      </c>
      <c r="AT320" s="37">
        <f>SUM(AU320:BA320)</f>
        <v/>
      </c>
      <c r="AU320" s="73" t="n"/>
      <c r="AV320" s="33" t="n"/>
      <c r="AW320" s="33" t="n"/>
      <c r="AX320" s="33" t="n"/>
      <c r="AY320" s="33" t="n"/>
      <c r="AZ320" s="33" t="n"/>
      <c r="BA320" s="74" t="n"/>
      <c r="BB320" s="108" t="n"/>
      <c r="BC320" s="32" t="n"/>
      <c r="BD320" s="32" t="n"/>
    </row>
    <row r="321" ht="15" customHeight="1" s="148">
      <c r="A321" t="inlineStr">
        <is>
          <t>c0317</t>
        </is>
      </c>
      <c r="B321" s="44" t="inlineStr">
        <is>
          <t>Emeria, the Sky Ruin</t>
        </is>
      </c>
      <c r="C321" s="34" t="inlineStr">
        <is>
          <t>L</t>
        </is>
      </c>
      <c r="D321" s="44" t="inlineStr">
        <is>
          <t>Land</t>
        </is>
      </c>
      <c r="E321" s="41" t="inlineStr">
        <is>
          <t>B2</t>
        </is>
      </c>
      <c r="F321" s="34" t="n">
        <v>0</v>
      </c>
      <c r="G321" s="67" t="inlineStr">
        <is>
          <t>This land enters tapped.
At the beginning of your upkeep, if you control seven or more Plains, you may return target creature card from your graveyard to the battlefield.
{T}: Add {W}.</t>
        </is>
      </c>
      <c r="H321" s="45" t="inlineStr">
        <is>
          <t>Land</t>
        </is>
      </c>
      <c r="I321" s="45" t="inlineStr">
        <is>
          <t>Taps for {W}</t>
        </is>
      </c>
      <c r="J321" s="45" t="inlineStr">
        <is>
          <t>Enters tapped</t>
        </is>
      </c>
      <c r="K321" s="45" t="inlineStr">
        <is>
          <t>Upkeep: if you control 7+ Plains, return a creature card from graveyard to battlefield</t>
        </is>
      </c>
      <c r="L321" s="41" t="n"/>
      <c r="M321" s="41" t="n"/>
      <c r="N321" s="41" t="n"/>
      <c r="O321" s="41" t="n"/>
      <c r="P321" s="41" t="n">
        <v>7.4</v>
      </c>
      <c r="Q321" s="41" t="n"/>
      <c r="R321" s="41" t="n"/>
      <c r="S321" s="41" t="n"/>
      <c r="T321" s="41" t="n"/>
      <c r="U321" s="41" t="n"/>
      <c r="V321" s="45" t="inlineStr">
        <is>
          <t>Zendikar</t>
        </is>
      </c>
      <c r="W321" s="41" t="n">
        <v>1</v>
      </c>
      <c r="X321" s="37">
        <f>SUM(Y321:AE321)</f>
        <v/>
      </c>
      <c r="Y321" s="43" t="n">
        <v>1</v>
      </c>
      <c r="Z321" s="43" t="n"/>
      <c r="AA321" s="43" t="n"/>
      <c r="AB321" s="43" t="n"/>
      <c r="AC321" s="43" t="n"/>
      <c r="AD321" s="43" t="n"/>
      <c r="AE321" s="43" t="n"/>
      <c r="AF321" s="38">
        <f>IF((W321-SUM(Y321:AE321))&lt;0,0,W321-SUM(Y321:AE321))</f>
        <v/>
      </c>
      <c r="AG321" s="34">
        <f>MAX(0,$AT321-$W321-$AI321)</f>
        <v/>
      </c>
      <c r="AH321" s="34" t="n"/>
      <c r="AI321" s="34" t="n"/>
      <c r="AJ321" s="36" t="n">
        <v>6.41</v>
      </c>
      <c r="AK321" s="36">
        <f>IF(AND($AG321&gt;0,ISNUMBER($AJ321)),$AG321*$AJ321,0)</f>
        <v/>
      </c>
      <c r="AT321" s="37">
        <f>SUM(AU321:BA321)</f>
        <v/>
      </c>
      <c r="AU321" s="82" t="n">
        <v>1</v>
      </c>
      <c r="AV321" s="33" t="n"/>
      <c r="AW321" s="33" t="n"/>
      <c r="AX321" s="33" t="n"/>
      <c r="AY321" s="33" t="n"/>
      <c r="AZ321" s="33" t="n"/>
      <c r="BA321" s="74" t="n"/>
      <c r="BB321" s="106" t="n"/>
      <c r="BC321" s="42" t="n"/>
      <c r="BD321" s="42" t="n"/>
    </row>
    <row r="322" ht="15" customHeight="1" s="148">
      <c r="A322" t="inlineStr">
        <is>
          <t>c0318</t>
        </is>
      </c>
      <c r="B322" s="44" t="inlineStr">
        <is>
          <t>Evolving Wilds</t>
        </is>
      </c>
      <c r="C322" s="34" t="inlineStr">
        <is>
          <t>L</t>
        </is>
      </c>
      <c r="D322" s="44" t="inlineStr">
        <is>
          <t>Land</t>
        </is>
      </c>
      <c r="E322" s="41" t="inlineStr">
        <is>
          <t>B2</t>
        </is>
      </c>
      <c r="F322" s="34" t="n">
        <v>0</v>
      </c>
      <c r="G322" s="67" t="inlineStr">
        <is>
          <t>{T}, Sacrifice this land: Search your library for a basic land card, put it onto the battlefield tapped, then shuffle.</t>
        </is>
      </c>
      <c r="H322" s="45" t="inlineStr">
        <is>
          <t>Land</t>
        </is>
      </c>
      <c r="I322" s="45" t="inlineStr">
        <is>
          <t>Sacrifice, search a basic land, put it into play tapped</t>
        </is>
      </c>
      <c r="J322" s="45" t="n"/>
      <c r="K322" s="45" t="n"/>
      <c r="L322" s="41" t="inlineStr">
        <is>
          <t>264</t>
        </is>
      </c>
      <c r="M322" s="41" t="n">
        <v>1</v>
      </c>
      <c r="N322" s="41" t="n">
        <v>0</v>
      </c>
      <c r="O322" s="41" t="inlineStr">
        <is>
          <t>Alayna Danner</t>
        </is>
      </c>
      <c r="P322" s="41" t="n">
        <v>0.09</v>
      </c>
      <c r="Q322" s="41" t="inlineStr">
        <is>
          <t>Common</t>
        </is>
      </c>
      <c r="R322" s="41" t="n"/>
      <c r="S322" s="41" t="n"/>
      <c r="T322" s="41" t="n"/>
      <c r="U322" s="41" t="n"/>
      <c r="V322" s="45" t="inlineStr">
        <is>
          <t>Lorwyn Eclipsed</t>
        </is>
      </c>
      <c r="W322" s="41" t="n">
        <v>5</v>
      </c>
      <c r="X322" s="37">
        <f>SUM(Y322:AE322)</f>
        <v/>
      </c>
      <c r="Y322" s="43" t="n"/>
      <c r="Z322" s="43" t="n">
        <v>1</v>
      </c>
      <c r="AA322" s="43" t="n">
        <v>1</v>
      </c>
      <c r="AB322" s="43" t="n"/>
      <c r="AC322" s="43" t="n">
        <v>1</v>
      </c>
      <c r="AD322" s="43" t="n"/>
      <c r="AE322" s="43" t="n"/>
      <c r="AF322" s="38">
        <f>IF((W322-SUM(Y322:AE322))&lt;0,0,W322-SUM(Y322:AE322))</f>
        <v/>
      </c>
      <c r="AG322" s="34">
        <f>MAX(0,$AT322-$W322-$AI322)</f>
        <v/>
      </c>
      <c r="AH322" s="34" t="n"/>
      <c r="AI322" s="34" t="n"/>
      <c r="AJ322" s="36" t="n">
        <v>0.22</v>
      </c>
      <c r="AK322" s="36">
        <f>IF(AND($AG322&gt;0,ISNUMBER($AJ322)),$AG322*$AJ322,0)</f>
        <v/>
      </c>
      <c r="AM322" s="58" t="n"/>
      <c r="AN322" s="58" t="n"/>
      <c r="AT322" s="37">
        <f>SUM(AU322:BA322)</f>
        <v/>
      </c>
      <c r="AU322" s="73" t="n"/>
      <c r="AV322" s="99" t="n"/>
      <c r="AW322" s="99" t="n"/>
      <c r="AX322" s="33" t="n"/>
      <c r="AY322" s="98" t="n">
        <v>1</v>
      </c>
      <c r="AZ322" s="33" t="n"/>
      <c r="BA322" s="74" t="n"/>
      <c r="BB322" s="106" t="n"/>
      <c r="BC322" s="42" t="n"/>
      <c r="BD322" s="42" t="n"/>
    </row>
    <row r="323" ht="15" customHeight="1" s="148">
      <c r="A323" t="inlineStr">
        <is>
          <t>c0319</t>
        </is>
      </c>
      <c r="B323" s="44" t="inlineStr">
        <is>
          <t>Exotic Orchard</t>
        </is>
      </c>
      <c r="C323" s="34" t="inlineStr">
        <is>
          <t>L</t>
        </is>
      </c>
      <c r="D323" s="44" t="inlineStr">
        <is>
          <t>Land</t>
        </is>
      </c>
      <c r="E323" s="41" t="inlineStr">
        <is>
          <t>B2</t>
        </is>
      </c>
      <c r="F323" s="34" t="n">
        <v>0</v>
      </c>
      <c r="G323" s="67" t="inlineStr">
        <is>
          <t>{T}: Add one mana of any color that a land an opponent controls could produce.</t>
        </is>
      </c>
      <c r="H323" s="45" t="inlineStr">
        <is>
          <t>Land</t>
        </is>
      </c>
      <c r="I323" s="45" t="inlineStr">
        <is>
          <t>Taps for one mana of any color an opponent's land could produce</t>
        </is>
      </c>
      <c r="J323" s="45" t="n"/>
      <c r="K323" s="45" t="n"/>
      <c r="L323" s="41" t="n"/>
      <c r="M323" s="41" t="n"/>
      <c r="N323" s="41" t="n"/>
      <c r="O323" s="41" t="n"/>
      <c r="P323" s="41" t="n">
        <v>0.19</v>
      </c>
      <c r="Q323" s="41" t="n"/>
      <c r="R323" s="41" t="n"/>
      <c r="S323" s="41" t="n"/>
      <c r="T323" s="41" t="n"/>
      <c r="U323" s="41" t="n"/>
      <c r="V323" s="45" t="inlineStr">
        <is>
          <t>Conflux</t>
        </is>
      </c>
      <c r="W323" s="41" t="n">
        <v>2</v>
      </c>
      <c r="X323" s="37">
        <f>SUM(Y323:AE323)</f>
        <v/>
      </c>
      <c r="Y323" s="43" t="n"/>
      <c r="Z323" s="43" t="n"/>
      <c r="AA323" s="43" t="n">
        <v>1</v>
      </c>
      <c r="AB323" s="43" t="n"/>
      <c r="AC323" s="43" t="n">
        <v>1</v>
      </c>
      <c r="AD323" s="43" t="n"/>
      <c r="AE323" s="43" t="n"/>
      <c r="AF323" s="38">
        <f>IF((W323-SUM(Y323:AE323))&lt;0,0,W323-SUM(Y323:AE323))</f>
        <v/>
      </c>
      <c r="AG323" s="34">
        <f>MAX(0,$AT323-$W323-$AI323)</f>
        <v/>
      </c>
      <c r="AH323" s="34" t="n"/>
      <c r="AI323" s="34" t="n"/>
      <c r="AJ323" s="36" t="n">
        <v>0.24</v>
      </c>
      <c r="AK323" s="36">
        <f>IF(AND($AG323&gt;0,ISNUMBER($AJ323)),$AG323*$AJ323,0)</f>
        <v/>
      </c>
      <c r="AN323" s="58" t="n"/>
      <c r="AO323" s="58" t="n"/>
      <c r="AT323" s="37">
        <f>SUM(AU323:BA323)</f>
        <v/>
      </c>
      <c r="AU323" s="73" t="n"/>
      <c r="AV323" s="33" t="n"/>
      <c r="AW323" s="99" t="n"/>
      <c r="AX323" s="33" t="n"/>
      <c r="AY323" s="98" t="n">
        <v>1</v>
      </c>
      <c r="AZ323" s="33" t="n"/>
      <c r="BA323" s="74" t="n"/>
      <c r="BB323" s="106" t="n"/>
      <c r="BC323" s="42" t="n"/>
      <c r="BD323" s="42" t="n"/>
    </row>
    <row r="324" ht="15" customHeight="1" s="148">
      <c r="A324" t="inlineStr">
        <is>
          <t>c0320</t>
        </is>
      </c>
      <c r="B324" s="44" t="inlineStr">
        <is>
          <t>Fabled Passage</t>
        </is>
      </c>
      <c r="C324" s="34" t="inlineStr">
        <is>
          <t>L</t>
        </is>
      </c>
      <c r="D324" s="44" t="inlineStr">
        <is>
          <t>Land</t>
        </is>
      </c>
      <c r="E324" s="41" t="inlineStr">
        <is>
          <t>B2</t>
        </is>
      </c>
      <c r="F324" s="34" t="n">
        <v>0</v>
      </c>
      <c r="G324" s="67" t="inlineStr">
        <is>
          <t>{T}, Sacrifice this land: Search your library for a basic land card, put it onto the battlefield tapped, then shuffle. Then if you control four or more lands, untap that land.</t>
        </is>
      </c>
      <c r="H324" s="45" t="inlineStr">
        <is>
          <t>Land</t>
        </is>
      </c>
      <c r="I324" s="45" t="inlineStr">
        <is>
          <t>Sacrifice, search a basic land, put it into play tapped</t>
        </is>
      </c>
      <c r="J324" s="45" t="inlineStr">
        <is>
          <t>Untaps that land if you control 4+ lands</t>
        </is>
      </c>
      <c r="K324" s="45" t="n"/>
      <c r="L324" s="41" t="n"/>
      <c r="M324" s="41" t="n"/>
      <c r="N324" s="41" t="n"/>
      <c r="O324" s="41" t="n"/>
      <c r="P324" s="41" t="n">
        <v>1.11</v>
      </c>
      <c r="Q324" s="41" t="n"/>
      <c r="R324" s="41" t="n"/>
      <c r="S324" s="41" t="n"/>
      <c r="T324" s="41" t="n"/>
      <c r="U324" s="41" t="n"/>
      <c r="V324" s="45" t="inlineStr">
        <is>
          <t>Throne of Eldraine</t>
        </is>
      </c>
      <c r="W324" s="41" t="n">
        <v>1</v>
      </c>
      <c r="X324" s="37">
        <f>SUM(Y324:AE324)</f>
        <v/>
      </c>
      <c r="Y324" s="43" t="n"/>
      <c r="Z324" s="43" t="n"/>
      <c r="AA324" s="43" t="n"/>
      <c r="AB324" s="43" t="n"/>
      <c r="AC324" s="43" t="n">
        <v>1</v>
      </c>
      <c r="AD324" s="43" t="n"/>
      <c r="AE324" s="43" t="n"/>
      <c r="AF324" s="38">
        <f>IF((W324-SUM(Y324:AE324))&lt;0,0,W324-SUM(Y324:AE324))</f>
        <v/>
      </c>
      <c r="AG324" s="34">
        <f>MAX(0,$AT324-$W324-$AI324)</f>
        <v/>
      </c>
      <c r="AH324" s="34" t="n"/>
      <c r="AI324" s="34" t="n"/>
      <c r="AJ324" s="36" t="n">
        <v>1.05</v>
      </c>
      <c r="AK324" s="36">
        <f>IF(AND($AG324&gt;0,ISNUMBER($AJ324)),$AG324*$AJ324,0)</f>
        <v/>
      </c>
      <c r="AN324" s="58" t="n"/>
      <c r="AT324" s="37">
        <f>SUM(AU324:BA324)</f>
        <v/>
      </c>
      <c r="AU324" s="73" t="n"/>
      <c r="AV324" s="33" t="n">
        <v>1</v>
      </c>
      <c r="AW324" s="33" t="n"/>
      <c r="AX324" s="33" t="n"/>
      <c r="AY324" s="98" t="n">
        <v>1</v>
      </c>
      <c r="AZ324" s="33" t="n"/>
      <c r="BA324" s="74" t="n"/>
      <c r="BB324" s="106" t="n"/>
      <c r="BC324" s="42" t="n"/>
      <c r="BD324" s="42" t="n"/>
    </row>
    <row r="325" ht="15" customHeight="1" s="148">
      <c r="A325" t="inlineStr">
        <is>
          <t>c0321</t>
        </is>
      </c>
      <c r="B325" s="44" t="inlineStr">
        <is>
          <t>Fields of Strife</t>
        </is>
      </c>
      <c r="C325" s="34" t="inlineStr">
        <is>
          <t>L</t>
        </is>
      </c>
      <c r="D325" s="44" t="inlineStr">
        <is>
          <t>Land</t>
        </is>
      </c>
      <c r="E325" s="41" t="inlineStr">
        <is>
          <t>B2</t>
        </is>
      </c>
      <c r="F325" s="34" t="n">
        <v>0</v>
      </c>
      <c r="G325" s="67" t="inlineStr">
        <is>
          <t>This land enters tapped.
{T}: Add {R} or {W}.
{2}{R}{W}, {T}: Surveil 1. (Look at the top card of your library. You may put it into your graveyard.)</t>
        </is>
      </c>
      <c r="H325" s="45" t="inlineStr">
        <is>
          <t>Land</t>
        </is>
      </c>
      <c r="I325" s="45" t="inlineStr">
        <is>
          <t>Taps for {R} or {W}</t>
        </is>
      </c>
      <c r="J325" s="45" t="inlineStr">
        <is>
          <t>Enters tapped</t>
        </is>
      </c>
      <c r="K325" s="45" t="inlineStr">
        <is>
          <t>Pay mana, tap: look at top card, may put it in graveyard</t>
        </is>
      </c>
      <c r="L325" s="42" t="inlineStr">
        <is>
          <t>255</t>
        </is>
      </c>
      <c r="M325" s="42" t="n">
        <v>2</v>
      </c>
      <c r="N325" s="42" t="n">
        <v>0</v>
      </c>
      <c r="O325" s="63" t="inlineStr">
        <is>
          <t>Josu Solano</t>
        </is>
      </c>
      <c r="P325" s="63" t="n">
        <v>0.15</v>
      </c>
      <c r="Q325" s="42" t="inlineStr">
        <is>
          <t>Common</t>
        </is>
      </c>
      <c r="R325" s="42" t="n"/>
      <c r="S325" s="42" t="n"/>
      <c r="T325" s="63" t="n"/>
      <c r="U325" s="63" t="n"/>
      <c r="V325" s="45" t="inlineStr">
        <is>
          <t>Secrets of Strixhaven</t>
        </is>
      </c>
      <c r="W325" s="41" t="n">
        <v>3</v>
      </c>
      <c r="X325" s="37">
        <f>SUM(Y325:AE325)</f>
        <v/>
      </c>
      <c r="Y325" s="43" t="n">
        <v>1</v>
      </c>
      <c r="Z325" s="43" t="n"/>
      <c r="AA325" s="43" t="n"/>
      <c r="AB325" s="43" t="n"/>
      <c r="AC325" s="43" t="n"/>
      <c r="AD325" s="43" t="n"/>
      <c r="AE325" s="43" t="n"/>
      <c r="AF325" s="38">
        <f>IF((W325-SUM(Y325:AE325))&lt;0,0,W325-SUM(Y325:AE325))</f>
        <v/>
      </c>
      <c r="AG325" s="34">
        <f>MAX(0,$AT325-$W325-$AI325)</f>
        <v/>
      </c>
      <c r="AH325" s="34" t="n"/>
      <c r="AI325" s="34" t="n"/>
      <c r="AJ325" s="36" t="n">
        <v>0.09</v>
      </c>
      <c r="AK325" s="36">
        <f>IF(AND($AG325&gt;0,ISNUMBER($AJ325)),$AG325*$AJ325,0)</f>
        <v/>
      </c>
      <c r="AT325" s="37">
        <f>SUM(AU325:BA325)</f>
        <v/>
      </c>
      <c r="AU325" s="82" t="n">
        <v>1</v>
      </c>
      <c r="AV325" s="33" t="n"/>
      <c r="AW325" s="33" t="n"/>
      <c r="AX325" s="33" t="n"/>
      <c r="AY325" s="33" t="n"/>
      <c r="AZ325" s="33" t="n"/>
      <c r="BA325" s="74" t="n"/>
      <c r="BB325" s="106" t="n"/>
      <c r="BC325" s="42" t="n"/>
      <c r="BD325" s="42" t="n"/>
    </row>
    <row r="326" ht="15" customHeight="1" s="148">
      <c r="A326" t="inlineStr">
        <is>
          <t>c0322</t>
        </is>
      </c>
      <c r="B326" s="44" t="inlineStr">
        <is>
          <t>Forest</t>
        </is>
      </c>
      <c r="C326" s="34" t="inlineStr">
        <is>
          <t>L</t>
        </is>
      </c>
      <c r="D326" s="44" t="inlineStr">
        <is>
          <t>Basic Land</t>
        </is>
      </c>
      <c r="E326" s="41" t="inlineStr">
        <is>
          <t>B2</t>
        </is>
      </c>
      <c r="F326" s="34" t="n">
        <v>0</v>
      </c>
      <c r="G326" s="67" t="inlineStr">
        <is>
          <t>({T}: Add {G}.)</t>
        </is>
      </c>
      <c r="H326" s="45" t="inlineStr">
        <is>
          <t>Land</t>
        </is>
      </c>
      <c r="I326" s="45" t="inlineStr">
        <is>
          <t>Taps for {G}</t>
        </is>
      </c>
      <c r="J326" s="45" t="n"/>
      <c r="K326" s="45" t="n"/>
      <c r="L326" s="42" t="n"/>
      <c r="M326" s="42" t="n"/>
      <c r="N326" s="42" t="n"/>
      <c r="O326" s="63" t="n"/>
      <c r="P326" s="63" t="n">
        <v>0.08</v>
      </c>
      <c r="Q326" s="42" t="n"/>
      <c r="R326" s="42" t="n"/>
      <c r="S326" s="42" t="n"/>
      <c r="T326" s="63" t="n"/>
      <c r="U326" s="63" t="n"/>
      <c r="V326" s="45" t="inlineStr">
        <is>
          <t>Limited Edition Alpha</t>
        </is>
      </c>
      <c r="W326" s="41" t="n">
        <v>80</v>
      </c>
      <c r="X326" s="37">
        <f>SUM(Y326:AE326)</f>
        <v/>
      </c>
      <c r="Y326" s="43" t="n"/>
      <c r="Z326" s="43" t="n">
        <v>8</v>
      </c>
      <c r="AA326" s="43" t="n">
        <v>6</v>
      </c>
      <c r="AB326" s="43" t="n">
        <v>10</v>
      </c>
      <c r="AC326" s="43" t="n"/>
      <c r="AD326" s="43" t="n"/>
      <c r="AE326" s="43" t="n">
        <v>10</v>
      </c>
      <c r="AF326" s="38">
        <f>IF((W326-SUM(Y326:AE326))&lt;0,0,W326-SUM(Y326:AE326))</f>
        <v/>
      </c>
      <c r="AG326" s="34">
        <f>MAX(0,$AT326-$W326-$AI326)</f>
        <v/>
      </c>
      <c r="AH326" s="34" t="n"/>
      <c r="AI326" s="34" t="n"/>
      <c r="AJ326" s="36" t="n">
        <v>0.1</v>
      </c>
      <c r="AK326" s="36">
        <f>IF(AND($AG326&gt;0,ISNUMBER($AJ326)),$AG326*$AJ326,0)</f>
        <v/>
      </c>
      <c r="AT326" s="37">
        <f>SUM(AU326:BA326)</f>
        <v/>
      </c>
      <c r="AU326" s="73" t="n"/>
      <c r="AV326" s="98" t="n">
        <v>8</v>
      </c>
      <c r="AW326" s="98" t="n">
        <v>6</v>
      </c>
      <c r="AX326" s="98" t="n">
        <v>10</v>
      </c>
      <c r="AY326" s="33" t="n"/>
      <c r="AZ326" s="33" t="n"/>
      <c r="BA326" s="80" t="n">
        <v>10</v>
      </c>
      <c r="BB326" s="106" t="n"/>
      <c r="BC326" s="42" t="n"/>
      <c r="BD326" s="42" t="n"/>
    </row>
    <row r="327" ht="15" customHeight="1" s="148">
      <c r="A327" t="inlineStr">
        <is>
          <t>c0323</t>
        </is>
      </c>
      <c r="B327" s="44" t="inlineStr">
        <is>
          <t>Fortified Village</t>
        </is>
      </c>
      <c r="C327" s="34" t="inlineStr">
        <is>
          <t>L</t>
        </is>
      </c>
      <c r="D327" s="44" t="inlineStr">
        <is>
          <t>Land</t>
        </is>
      </c>
      <c r="E327" s="41" t="inlineStr">
        <is>
          <t>B2</t>
        </is>
      </c>
      <c r="F327" s="34" t="n">
        <v>0</v>
      </c>
      <c r="G327" s="67" t="inlineStr">
        <is>
          <t>As this land enters, you may reveal a Forest or Plains card from your hand. If you don't, this land enters tapped.
{T}: Add {G} or {W}.</t>
        </is>
      </c>
      <c r="H327" s="45" t="inlineStr">
        <is>
          <t>Land</t>
        </is>
      </c>
      <c r="I327" s="45" t="inlineStr">
        <is>
          <t>Taps for {G} or {W}</t>
        </is>
      </c>
      <c r="J327" s="45" t="inlineStr">
        <is>
          <t>Enters untapped if you reveal a Forest or Plains card from hand</t>
        </is>
      </c>
      <c r="K327" s="45" t="n"/>
      <c r="L327" s="42" t="n"/>
      <c r="M327" s="42" t="n"/>
      <c r="N327" s="42" t="n"/>
      <c r="O327" s="42" t="n"/>
      <c r="P327" s="42" t="n">
        <v>0.24</v>
      </c>
      <c r="Q327" s="42" t="n"/>
      <c r="R327" s="42" t="n"/>
      <c r="S327" s="42" t="n"/>
      <c r="T327" s="42" t="n"/>
      <c r="U327" s="42" t="n"/>
      <c r="V327" s="45" t="inlineStr">
        <is>
          <t>Shadows over Innistrad</t>
        </is>
      </c>
      <c r="W327" s="41" t="n">
        <v>1</v>
      </c>
      <c r="X327" s="37">
        <f>SUM(Y327:AE327)</f>
        <v/>
      </c>
      <c r="Y327" s="43" t="n"/>
      <c r="Z327" s="43" t="n"/>
      <c r="AA327" s="43" t="n"/>
      <c r="AB327" s="43" t="n">
        <v>1</v>
      </c>
      <c r="AC327" s="43" t="n"/>
      <c r="AD327" s="43" t="n"/>
      <c r="AE327" s="43" t="n"/>
      <c r="AF327" s="38">
        <f>IF((W327-SUM(Y327:AE327))&lt;0,0,W327-SUM(Y327:AE327))</f>
        <v/>
      </c>
      <c r="AG327" s="34">
        <f>MAX(0,$AT327-$W327-$AI327)</f>
        <v/>
      </c>
      <c r="AH327" s="34" t="n"/>
      <c r="AI327" s="34" t="n"/>
      <c r="AJ327" s="36" t="n">
        <v>0.33</v>
      </c>
      <c r="AK327" s="36">
        <f>IF(AND($AG327&gt;0,ISNUMBER($AJ327)),$AG327*$AJ327,0)</f>
        <v/>
      </c>
      <c r="AT327" s="37">
        <f>SUM(AU327:BA327)</f>
        <v/>
      </c>
      <c r="AU327" s="73" t="n"/>
      <c r="AV327" s="33" t="n"/>
      <c r="AW327" s="33" t="n"/>
      <c r="AX327" s="98" t="n">
        <v>1</v>
      </c>
      <c r="AY327" s="33" t="n"/>
      <c r="AZ327" s="33" t="n"/>
      <c r="BA327" s="74" t="n"/>
      <c r="BB327" s="106" t="n"/>
      <c r="BC327" s="42" t="n"/>
      <c r="BD327" s="42" t="n"/>
    </row>
    <row r="328" ht="15" customHeight="1" s="148">
      <c r="A328" t="inlineStr">
        <is>
          <t>c0324</t>
        </is>
      </c>
      <c r="B328" s="44" t="inlineStr">
        <is>
          <t>Furycalm Snarl</t>
        </is>
      </c>
      <c r="C328" s="34" t="inlineStr">
        <is>
          <t>L</t>
        </is>
      </c>
      <c r="D328" s="44" t="inlineStr">
        <is>
          <t>Land</t>
        </is>
      </c>
      <c r="E328" s="41" t="inlineStr">
        <is>
          <t>B2</t>
        </is>
      </c>
      <c r="F328" s="34" t="n">
        <v>0</v>
      </c>
      <c r="G328" s="67" t="inlineStr">
        <is>
          <t>As this land enters, you may reveal a Mountain or Plains card from your hand. If you don't, this land enters tapped.
{T}: Add {R} or {W}.</t>
        </is>
      </c>
      <c r="H328" s="45" t="inlineStr">
        <is>
          <t>Land</t>
        </is>
      </c>
      <c r="I328" s="45" t="inlineStr">
        <is>
          <t>Taps for {R} or {W}</t>
        </is>
      </c>
      <c r="J328" s="45" t="inlineStr">
        <is>
          <t>Enters tapped unless you reveal a Mountain or Plains from hand</t>
        </is>
      </c>
      <c r="K328" s="45" t="n"/>
      <c r="L328" s="41" t="n"/>
      <c r="M328" s="41" t="n"/>
      <c r="N328" s="41" t="n"/>
      <c r="O328" s="41" t="n"/>
      <c r="P328" s="41" t="n">
        <v>0.3</v>
      </c>
      <c r="Q328" s="41" t="n"/>
      <c r="R328" s="41" t="n"/>
      <c r="S328" s="41" t="n"/>
      <c r="T328" s="41" t="n"/>
      <c r="U328" s="41" t="n"/>
      <c r="V328" s="45" t="inlineStr">
        <is>
          <t>Strixhaven: School of Mages</t>
        </is>
      </c>
      <c r="W328" s="41" t="n">
        <v>1</v>
      </c>
      <c r="X328" s="37">
        <f>SUM(Y328:AE328)</f>
        <v/>
      </c>
      <c r="Y328" s="43" t="n">
        <v>1</v>
      </c>
      <c r="Z328" s="43" t="n"/>
      <c r="AA328" s="43" t="n"/>
      <c r="AB328" s="43" t="n"/>
      <c r="AC328" s="43" t="n"/>
      <c r="AD328" s="43" t="n"/>
      <c r="AE328" s="43" t="n"/>
      <c r="AF328" s="38">
        <f>IF((W328-SUM(Y328:AE328))&lt;0,0,W328-SUM(Y328:AE328))</f>
        <v/>
      </c>
      <c r="AG328" s="34">
        <f>MAX(0,$AT328-$W328-$AI328)</f>
        <v/>
      </c>
      <c r="AH328" s="34" t="n"/>
      <c r="AI328" s="34" t="n"/>
      <c r="AJ328" s="36" t="n">
        <v>0.22</v>
      </c>
      <c r="AK328" s="36">
        <f>IF(AND($AG328&gt;0,ISNUMBER($AJ328)),$AG328*$AJ328,0)</f>
        <v/>
      </c>
      <c r="AT328" s="37">
        <f>SUM(AU328:BA328)</f>
        <v/>
      </c>
      <c r="AU328" s="82" t="n">
        <v>1</v>
      </c>
      <c r="AV328" s="33" t="n"/>
      <c r="AW328" s="33" t="n"/>
      <c r="AX328" s="33" t="n"/>
      <c r="AY328" s="33" t="n"/>
      <c r="AZ328" s="33" t="n"/>
      <c r="BA328" s="74" t="n"/>
      <c r="BB328" s="106" t="n"/>
      <c r="BC328" s="42" t="n"/>
      <c r="BD328" s="42" t="n"/>
    </row>
    <row r="329" ht="15" customHeight="1" s="148">
      <c r="A329" t="inlineStr">
        <is>
          <t>c0325</t>
        </is>
      </c>
      <c r="B329" s="44" t="inlineStr">
        <is>
          <t>Glacial Fortress</t>
        </is>
      </c>
      <c r="C329" s="34" t="inlineStr">
        <is>
          <t>L</t>
        </is>
      </c>
      <c r="D329" s="44" t="inlineStr">
        <is>
          <t>Land</t>
        </is>
      </c>
      <c r="E329" s="41" t="inlineStr">
        <is>
          <t>B2</t>
        </is>
      </c>
      <c r="F329" s="34" t="n">
        <v>0</v>
      </c>
      <c r="G329" s="67" t="inlineStr">
        <is>
          <t>This land enters tapped unless you control a Plains or an Island.
{T}: Add {W} or {U}.</t>
        </is>
      </c>
      <c r="H329" s="45" t="inlineStr">
        <is>
          <t>Land</t>
        </is>
      </c>
      <c r="I329" s="45" t="inlineStr">
        <is>
          <t>Taps for {W} or {U}</t>
        </is>
      </c>
      <c r="J329" s="45" t="inlineStr">
        <is>
          <t>Enters untapped if you control a Plains or Island</t>
        </is>
      </c>
      <c r="K329" s="45" t="n"/>
      <c r="L329" s="42" t="n"/>
      <c r="M329" s="42" t="n"/>
      <c r="N329" s="42" t="n"/>
      <c r="O329" s="42" t="n"/>
      <c r="P329" s="42" t="n">
        <v>0.39</v>
      </c>
      <c r="Q329" s="42" t="n"/>
      <c r="R329" s="42" t="n"/>
      <c r="S329" s="42" t="n"/>
      <c r="T329" s="42" t="n"/>
      <c r="U329" s="42" t="n"/>
      <c r="V329" s="45" t="inlineStr">
        <is>
          <t>Magic 2010</t>
        </is>
      </c>
      <c r="W329" s="41" t="n">
        <v>1</v>
      </c>
      <c r="X329" s="37">
        <f>SUM(Y329:AE329)</f>
        <v/>
      </c>
      <c r="Y329" s="43" t="n"/>
      <c r="Z329" s="43" t="n">
        <v>1</v>
      </c>
      <c r="AA329" s="43" t="n"/>
      <c r="AB329" s="43" t="n"/>
      <c r="AC329" s="43" t="n"/>
      <c r="AD329" s="43" t="n"/>
      <c r="AE329" s="43" t="n"/>
      <c r="AF329" s="38">
        <f>IF((W329-SUM(Y329:AE329))&lt;0,0,W329-SUM(Y329:AE329))</f>
        <v/>
      </c>
      <c r="AG329" s="34">
        <f>MAX(0,$AT329-$W329-$AI329)</f>
        <v/>
      </c>
      <c r="AH329" s="34" t="n"/>
      <c r="AI329" s="34" t="n"/>
      <c r="AJ329" s="36" t="n">
        <v>0.32</v>
      </c>
      <c r="AK329" s="36">
        <f>IF(AND($AG329&gt;0,ISNUMBER($AJ329)),$AG329*$AJ329,0)</f>
        <v/>
      </c>
      <c r="AT329" s="37">
        <f>SUM(AU329:BA329)</f>
        <v/>
      </c>
      <c r="AU329" s="73" t="n"/>
      <c r="AV329" s="98" t="n">
        <v>1</v>
      </c>
      <c r="AW329" s="33" t="n"/>
      <c r="AX329" s="33" t="n"/>
      <c r="AY329" s="33" t="n"/>
      <c r="AZ329" s="33" t="n"/>
      <c r="BA329" s="74" t="n"/>
      <c r="BB329" s="106" t="n"/>
      <c r="BC329" s="42" t="n"/>
      <c r="BD329" s="42" t="n"/>
    </row>
    <row r="330" ht="15" customHeight="1" s="148">
      <c r="A330" t="inlineStr">
        <is>
          <t>c0326</t>
        </is>
      </c>
      <c r="B330" s="44" t="inlineStr">
        <is>
          <t>Glittering Massif</t>
        </is>
      </c>
      <c r="C330" s="34" t="inlineStr">
        <is>
          <t>L</t>
        </is>
      </c>
      <c r="D330" s="44" t="inlineStr">
        <is>
          <t>Land</t>
        </is>
      </c>
      <c r="E330" s="41" t="inlineStr">
        <is>
          <t>B2</t>
        </is>
      </c>
      <c r="F330" s="34" t="n">
        <v>0</v>
      </c>
      <c r="G330" s="67" t="inlineStr">
        <is>
          <t>({T}: Add {R} or {W}.)
This land enters tapped.
Cycling {2} ({2}, Discard this card: Draw a card.)</t>
        </is>
      </c>
      <c r="H330" s="45" t="inlineStr">
        <is>
          <t>Land</t>
        </is>
      </c>
      <c r="I330" s="45" t="inlineStr">
        <is>
          <t>Taps for {R} or {W}</t>
        </is>
      </c>
      <c r="J330" s="45" t="inlineStr">
        <is>
          <t>Enters tapped</t>
        </is>
      </c>
      <c r="K330" s="45" t="inlineStr">
        <is>
          <t>Discard for {2} to draw a card instead of playing it</t>
        </is>
      </c>
      <c r="L330" s="41" t="n"/>
      <c r="M330" s="41" t="n"/>
      <c r="N330" s="41" t="n"/>
      <c r="O330" s="41" t="n"/>
      <c r="P330" s="41" t="n">
        <v>0.22</v>
      </c>
      <c r="Q330" s="41" t="n"/>
      <c r="R330" s="41" t="n"/>
      <c r="S330" s="41" t="n"/>
      <c r="T330" s="41" t="n"/>
      <c r="U330" s="41" t="n"/>
      <c r="V330" s="45" t="inlineStr">
        <is>
          <t>Edge of Eternities Commander</t>
        </is>
      </c>
      <c r="W330" s="41" t="n">
        <v>1</v>
      </c>
      <c r="X330" s="37">
        <f>SUM(Y330:AE330)</f>
        <v/>
      </c>
      <c r="Y330" s="43" t="n">
        <v>1</v>
      </c>
      <c r="Z330" s="43" t="n"/>
      <c r="AA330" s="43" t="n"/>
      <c r="AB330" s="43" t="n"/>
      <c r="AC330" s="43" t="n"/>
      <c r="AD330" s="43" t="n"/>
      <c r="AE330" s="43" t="n"/>
      <c r="AF330" s="38">
        <f>IF((W330-SUM(Y330:AE330))&lt;0,0,W330-SUM(Y330:AE330))</f>
        <v/>
      </c>
      <c r="AG330" s="34">
        <f>MAX(0,$AT330-$W330-$AI330)</f>
        <v/>
      </c>
      <c r="AH330" s="34" t="n"/>
      <c r="AI330" s="34" t="n"/>
      <c r="AJ330" s="36" t="n">
        <v>0.26</v>
      </c>
      <c r="AK330" s="36">
        <f>IF(AND($AG330&gt;0,ISNUMBER($AJ330)),$AG330*$AJ330,0)</f>
        <v/>
      </c>
      <c r="AT330" s="37">
        <f>SUM(AU330:BA330)</f>
        <v/>
      </c>
      <c r="AU330" s="82" t="n">
        <v>1</v>
      </c>
      <c r="AV330" s="33" t="n"/>
      <c r="AW330" s="33" t="n"/>
      <c r="AX330" s="33" t="n"/>
      <c r="AY330" s="33" t="n"/>
      <c r="AZ330" s="33" t="n"/>
      <c r="BA330" s="74" t="n"/>
      <c r="BB330" s="106" t="n"/>
      <c r="BC330" s="42" t="n"/>
      <c r="BD330" s="42" t="n"/>
    </row>
    <row r="331" ht="15" customHeight="1" s="148">
      <c r="A331" t="inlineStr">
        <is>
          <t>c0327</t>
        </is>
      </c>
      <c r="B331" s="44" t="inlineStr">
        <is>
          <t>Goblin Burrows</t>
        </is>
      </c>
      <c r="C331" s="34" t="inlineStr">
        <is>
          <t>L</t>
        </is>
      </c>
      <c r="D331" s="44" t="inlineStr">
        <is>
          <t>Land</t>
        </is>
      </c>
      <c r="E331" s="41" t="inlineStr">
        <is>
          <t>B3</t>
        </is>
      </c>
      <c r="F331" s="34" t="n">
        <v>0</v>
      </c>
      <c r="G331" s="67" t="inlineStr">
        <is>
          <t>{T}: Add {C}.
{1}{R}, {T}: Target Goblin creature gets +2/+0 until end of turn.</t>
        </is>
      </c>
      <c r="H331" s="45" t="inlineStr">
        <is>
          <t>Land</t>
        </is>
      </c>
      <c r="I331" s="45" t="inlineStr">
        <is>
          <t>{T}: Add {C}</t>
        </is>
      </c>
      <c r="J331" s="45" t="inlineStr">
        <is>
          <t>{1}{R}, {T}: Target Goblin creature gets +2/+0 until end of turn</t>
        </is>
      </c>
      <c r="K331" s="45" t="n"/>
      <c r="L331" s="42" t="n"/>
      <c r="M331" s="42" t="n"/>
      <c r="N331" s="42" t="n"/>
      <c r="O331" s="42" t="n"/>
      <c r="P331" s="42" t="n"/>
      <c r="Q331" s="42" t="n"/>
      <c r="R331" s="42" t="n"/>
      <c r="S331" s="42" t="n"/>
      <c r="T331" s="42" t="n"/>
      <c r="U331" s="42" t="n"/>
      <c r="V331" s="45" t="inlineStr">
        <is>
          <t>Onslaught</t>
        </is>
      </c>
      <c r="W331" s="41" t="n">
        <v>0</v>
      </c>
      <c r="X331" s="37">
        <f>SUM(Y331:AE331)</f>
        <v/>
      </c>
      <c r="Y331" s="43" t="n"/>
      <c r="Z331" s="43" t="n"/>
      <c r="AA331" s="43" t="n"/>
      <c r="AB331" s="43" t="n"/>
      <c r="AC331" s="43" t="n"/>
      <c r="AD331" s="43" t="n"/>
      <c r="AE331" s="43" t="n"/>
      <c r="AF331" s="38">
        <f>IF((W331-SUM(Y331:AE331))&lt;0,0,W331-SUM(Y331:AE331))</f>
        <v/>
      </c>
      <c r="AG331" s="34">
        <f>MAX(0,$AT331-$W331-$AI331)</f>
        <v/>
      </c>
      <c r="AH331" s="34" t="n"/>
      <c r="AI331" s="34" t="n"/>
      <c r="AJ331" s="36" t="n">
        <v>0.3</v>
      </c>
      <c r="AK331" s="36">
        <f>IF(AND($AG331&gt;0,ISNUMBER($AJ331)),$AG331*$AJ331,0)</f>
        <v/>
      </c>
      <c r="AL331" s="54" t="n"/>
      <c r="AM331" s="54" t="n"/>
      <c r="AN331" s="54" t="n"/>
      <c r="AO331" s="54" t="n"/>
      <c r="AP331" s="54" t="n"/>
      <c r="AQ331" s="54" t="n"/>
      <c r="AR331" s="54" t="n"/>
      <c r="AS331" s="54" t="n"/>
      <c r="AT331" s="37">
        <f>SUM(AU331:BA331)</f>
        <v/>
      </c>
      <c r="AU331" s="92" t="n"/>
      <c r="AV331" s="38" t="n"/>
      <c r="AW331" s="38" t="n"/>
      <c r="AX331" s="38" t="n"/>
      <c r="AY331" s="38" t="n"/>
      <c r="AZ331" s="38" t="n"/>
      <c r="BA331" s="94" t="n"/>
      <c r="BB331" s="106" t="n"/>
      <c r="BC331" s="42" t="n"/>
      <c r="BD331" s="48" t="n"/>
    </row>
    <row r="332" ht="15" customHeight="1" s="148">
      <c r="A332" t="inlineStr">
        <is>
          <t>c0328</t>
        </is>
      </c>
      <c r="B332" s="39" t="inlineStr">
        <is>
          <t>Goblin-town</t>
        </is>
      </c>
      <c r="C332" s="40" t="inlineStr">
        <is>
          <t>L</t>
        </is>
      </c>
      <c r="D332" s="44" t="inlineStr">
        <is>
          <t>Land</t>
        </is>
      </c>
      <c r="E332" s="41" t="inlineStr">
        <is>
          <t>B2</t>
        </is>
      </c>
      <c r="F332" s="40" t="n">
        <v>0</v>
      </c>
      <c r="G332" s="67" t="inlineStr">
        <is>
          <t>This land enters tapped.
{T}: Add {B} or {R}.
{2}{B}{R}, {T}, Sacrifice this land: Put two +1/+1 counters on target Goblin or Orc you control. Activate only as a sorcery.</t>
        </is>
      </c>
      <c r="H332" s="39" t="inlineStr">
        <is>
          <t>Land</t>
        </is>
      </c>
      <c r="I332" s="39" t="inlineStr">
        <is>
          <t>Taps for {B} or {R}</t>
        </is>
      </c>
      <c r="J332" s="39" t="inlineStr">
        <is>
          <t>Enters tapped</t>
        </is>
      </c>
      <c r="K332" s="39" t="inlineStr">
        <is>
          <t>{2}{B}{R}, {T}, Sacrifice: put two +1/+1 counters on target Goblin or Orc you control</t>
        </is>
      </c>
      <c r="L332" s="88" t="inlineStr">
        <is>
          <t>L 0183</t>
        </is>
      </c>
      <c r="M332" s="41" t="n">
        <v>1</v>
      </c>
      <c r="N332" s="41" t="n">
        <v>1</v>
      </c>
      <c r="O332" s="63" t="inlineStr">
        <is>
          <t>Sean Vo</t>
        </is>
      </c>
      <c r="P332" s="90" t="n">
        <v>0.18</v>
      </c>
      <c r="Q332" s="42" t="inlineStr">
        <is>
          <t>L</t>
        </is>
      </c>
      <c r="R332" s="42" t="n"/>
      <c r="S332" s="42" t="n"/>
      <c r="T332" s="63" t="n"/>
      <c r="U332" s="63" t="n"/>
      <c r="V332" s="39" t="inlineStr">
        <is>
          <t>The Hobbit</t>
        </is>
      </c>
      <c r="W332" s="41" t="n">
        <v>1</v>
      </c>
      <c r="X332" s="37">
        <f>SUM(Y332:AE332)</f>
        <v/>
      </c>
      <c r="Y332" s="43" t="n"/>
      <c r="Z332" s="43" t="n"/>
      <c r="AA332" s="43" t="n"/>
      <c r="AB332" s="43" t="n"/>
      <c r="AC332" s="43" t="n"/>
      <c r="AD332" s="43" t="n"/>
      <c r="AE332" s="43" t="n"/>
      <c r="AF332" s="38">
        <f>IF((W332-SUM(Y332:AE332))&lt;0,0,W332-SUM(Y332:AE332))</f>
        <v/>
      </c>
      <c r="AG332" s="34">
        <f>MAX(0,$AT332-$W332-$AI332)</f>
        <v/>
      </c>
      <c r="AH332" s="39" t="n"/>
      <c r="AI332" s="39" t="n"/>
      <c r="AJ332" s="39" t="n">
        <v>0.18</v>
      </c>
      <c r="AK332" s="39">
        <f>IF(AND($AG332&gt;0,ISNUMBER($AJ332)),$AG332*$AJ332,0)</f>
        <v/>
      </c>
      <c r="AT332" s="37">
        <f>SUM(AU332:BA332)</f>
        <v/>
      </c>
      <c r="AU332" s="73" t="n"/>
      <c r="AV332" s="33" t="n"/>
      <c r="AW332" s="33" t="n"/>
      <c r="AX332" s="33" t="n"/>
      <c r="AY332" s="33" t="n"/>
      <c r="AZ332" s="33" t="n"/>
      <c r="BA332" s="74" t="n"/>
      <c r="BB332" s="107" t="n"/>
      <c r="BC332" s="42" t="n"/>
      <c r="BD332" s="42" t="n"/>
    </row>
    <row r="333" ht="15" customHeight="1" s="148">
      <c r="A333" t="inlineStr">
        <is>
          <t>c0329</t>
        </is>
      </c>
      <c r="B333" s="44" t="inlineStr">
        <is>
          <t>Golgari Guildgate</t>
        </is>
      </c>
      <c r="C333" s="34" t="inlineStr">
        <is>
          <t>L</t>
        </is>
      </c>
      <c r="D333" s="44" t="inlineStr">
        <is>
          <t>Land</t>
        </is>
      </c>
      <c r="E333" s="41" t="inlineStr">
        <is>
          <t>B2</t>
        </is>
      </c>
      <c r="F333" s="34" t="n">
        <v>0</v>
      </c>
      <c r="G333" s="67" t="inlineStr">
        <is>
          <t>This land enters tapped.
{T}: Add {B} or {G}.</t>
        </is>
      </c>
      <c r="H333" s="45" t="inlineStr">
        <is>
          <t>Land</t>
        </is>
      </c>
      <c r="I333" s="45" t="inlineStr">
        <is>
          <t>This land enters tapped. / {T}: Add {B} or {G}.</t>
        </is>
      </c>
      <c r="J333" s="45" t="n"/>
      <c r="K333" s="45" t="n"/>
      <c r="L333" s="41" t="n"/>
      <c r="M333" s="41" t="n"/>
      <c r="N333" s="41" t="n"/>
      <c r="O333" s="63" t="n"/>
      <c r="P333" s="63" t="n">
        <v>0.12</v>
      </c>
      <c r="Q333" s="41" t="n"/>
      <c r="R333" s="41" t="n"/>
      <c r="S333" s="41" t="n"/>
      <c r="T333" s="63" t="n"/>
      <c r="U333" s="63" t="n"/>
      <c r="V333" s="45" t="inlineStr">
        <is>
          <t>Return to Ravnica</t>
        </is>
      </c>
      <c r="W333" s="41" t="n">
        <v>2</v>
      </c>
      <c r="X333" s="37">
        <f>SUM(Y333:AE333)</f>
        <v/>
      </c>
      <c r="Y333" s="43" t="n"/>
      <c r="Z333" s="43" t="n"/>
      <c r="AA333" s="43" t="n">
        <v>1</v>
      </c>
      <c r="AB333" s="43" t="n">
        <v>1</v>
      </c>
      <c r="AC333" s="43" t="n"/>
      <c r="AD333" s="43" t="n"/>
      <c r="AE333" s="43" t="n"/>
      <c r="AF333" s="38">
        <f>IF((W333-SUM(Y333:AE333))&lt;0,0,W333-SUM(Y333:AE333))</f>
        <v/>
      </c>
      <c r="AG333" s="34">
        <f>MAX(0,$AT333-$W333-$AI333)</f>
        <v/>
      </c>
      <c r="AH333" s="34" t="n"/>
      <c r="AI333" s="34" t="n"/>
      <c r="AJ333" s="36" t="n">
        <v>0.1</v>
      </c>
      <c r="AK333" s="36">
        <f>IF(AND($AG333&gt;0,ISNUMBER($AJ333)),$AG333*$AJ333,0)</f>
        <v/>
      </c>
      <c r="AT333" s="37">
        <f>SUM(AU333:BA333)</f>
        <v/>
      </c>
      <c r="AU333" s="73" t="n"/>
      <c r="AV333" s="33" t="n"/>
      <c r="AW333" s="98" t="n">
        <v>1</v>
      </c>
      <c r="AX333" s="98" t="n">
        <v>1</v>
      </c>
      <c r="AY333" s="33" t="n"/>
      <c r="AZ333" s="33" t="n"/>
      <c r="BA333" s="74" t="n"/>
      <c r="BB333" s="106" t="n"/>
      <c r="BC333" s="42" t="n"/>
      <c r="BD333" s="50" t="inlineStr">
        <is>
          <t>ORDERED 2026-09-11 $0.60</t>
        </is>
      </c>
    </row>
    <row r="334" ht="15" customHeight="1" s="148">
      <c r="A334" t="inlineStr">
        <is>
          <t>c0330</t>
        </is>
      </c>
      <c r="B334" s="44" t="inlineStr">
        <is>
          <t>Grand Coliseum</t>
        </is>
      </c>
      <c r="C334" s="34" t="inlineStr">
        <is>
          <t>L</t>
        </is>
      </c>
      <c r="D334" s="44" t="inlineStr">
        <is>
          <t>Land</t>
        </is>
      </c>
      <c r="E334" s="41" t="inlineStr">
        <is>
          <t>B3</t>
        </is>
      </c>
      <c r="F334" s="34" t="n">
        <v>0</v>
      </c>
      <c r="G334" s="67" t="inlineStr">
        <is>
          <t>This land enters tapped.
{T}: Add {C}.
{T}: Add one mana of any color. This land deals 1 damage to you.</t>
        </is>
      </c>
      <c r="H334" s="45" t="inlineStr">
        <is>
          <t>Land</t>
        </is>
      </c>
      <c r="I334" s="45" t="inlineStr">
        <is>
          <t>This land enters tapped</t>
        </is>
      </c>
      <c r="J334" s="45" t="inlineStr">
        <is>
          <t>{T}: Add {C}</t>
        </is>
      </c>
      <c r="K334" s="45" t="inlineStr">
        <is>
          <t>{T}: Add one mana of any color. This land deals 1 damage to you</t>
        </is>
      </c>
      <c r="L334" s="42" t="n"/>
      <c r="M334" s="42" t="n"/>
      <c r="N334" s="42" t="n"/>
      <c r="O334" s="63" t="n"/>
      <c r="P334" s="63" t="n">
        <v>0.36</v>
      </c>
      <c r="Q334" s="42" t="n"/>
      <c r="R334" s="42" t="n"/>
      <c r="S334" s="42" t="n"/>
      <c r="T334" s="63" t="n"/>
      <c r="U334" s="63" t="n"/>
      <c r="V334" s="45" t="inlineStr">
        <is>
          <t>Onslaught</t>
        </is>
      </c>
      <c r="W334" s="41" t="n">
        <v>1</v>
      </c>
      <c r="X334" s="37">
        <f>SUM(Y334:AE334)</f>
        <v/>
      </c>
      <c r="Y334" s="43" t="n"/>
      <c r="Z334" s="43" t="n"/>
      <c r="AA334" s="43" t="n">
        <v>1</v>
      </c>
      <c r="AB334" s="43" t="n"/>
      <c r="AC334" s="43" t="n"/>
      <c r="AD334" s="43" t="n"/>
      <c r="AE334" s="43" t="n"/>
      <c r="AF334" s="38">
        <f>IF((W334-SUM(Y334:AE334))&lt;0,0,W334-SUM(Y334:AE334))</f>
        <v/>
      </c>
      <c r="AG334" s="34">
        <f>MAX(0,$AT334-$W334-$AI334)</f>
        <v/>
      </c>
      <c r="AH334" s="34" t="n"/>
      <c r="AI334" s="34" t="n"/>
      <c r="AJ334" s="36" t="n">
        <v>0.37</v>
      </c>
      <c r="AK334" s="36">
        <f>IF(AND($AG334&gt;0,ISNUMBER($AJ334)),$AG334*$AJ334,0)</f>
        <v/>
      </c>
      <c r="AT334" s="37">
        <f>SUM(AU334:BA334)</f>
        <v/>
      </c>
      <c r="AU334" s="73" t="n"/>
      <c r="AV334" s="33" t="n"/>
      <c r="AW334" s="99" t="n"/>
      <c r="AX334" s="33" t="n"/>
      <c r="AY334" s="33" t="n"/>
      <c r="AZ334" s="33" t="n"/>
      <c r="BA334" s="74" t="n"/>
      <c r="BB334" s="106" t="n"/>
      <c r="BC334" s="42" t="n"/>
      <c r="BD334" s="50" t="inlineStr">
        <is>
          <t>ORDERED 2026-09-11 $0.40</t>
        </is>
      </c>
    </row>
    <row r="335" ht="15" customHeight="1" s="148">
      <c r="A335" t="inlineStr">
        <is>
          <t>c0331</t>
        </is>
      </c>
      <c r="B335" s="44" t="inlineStr">
        <is>
          <t>Hinterland Harbor</t>
        </is>
      </c>
      <c r="C335" s="34" t="inlineStr">
        <is>
          <t>L</t>
        </is>
      </c>
      <c r="D335" s="44" t="inlineStr">
        <is>
          <t>Land</t>
        </is>
      </c>
      <c r="E335" s="41" t="inlineStr">
        <is>
          <t>B2</t>
        </is>
      </c>
      <c r="F335" s="34" t="n">
        <v>0</v>
      </c>
      <c r="G335" s="67" t="inlineStr">
        <is>
          <t>This land enters tapped unless you control a Forest or an Island.
{T}: Add {G} or {U}.</t>
        </is>
      </c>
      <c r="H335" s="45" t="inlineStr">
        <is>
          <t>Land</t>
        </is>
      </c>
      <c r="I335" s="45" t="inlineStr">
        <is>
          <t>Taps for {G} or {U}</t>
        </is>
      </c>
      <c r="J335" s="45" t="inlineStr">
        <is>
          <t>Enters untapped if you control a Forest or Island</t>
        </is>
      </c>
      <c r="K335" s="45" t="n"/>
      <c r="L335" s="41" t="n"/>
      <c r="M335" s="41" t="n"/>
      <c r="N335" s="41" t="n"/>
      <c r="O335" s="41" t="n"/>
      <c r="P335" s="41" t="n">
        <v>0.33</v>
      </c>
      <c r="Q335" s="41" t="n"/>
      <c r="R335" s="41" t="n"/>
      <c r="S335" s="41" t="n"/>
      <c r="T335" s="41" t="n"/>
      <c r="U335" s="41" t="n"/>
      <c r="V335" s="45" t="inlineStr">
        <is>
          <t>Innistrad</t>
        </is>
      </c>
      <c r="W335" s="41" t="n">
        <v>1</v>
      </c>
      <c r="X335" s="37">
        <f>SUM(Y335:AE335)</f>
        <v/>
      </c>
      <c r="Y335" s="43" t="n"/>
      <c r="Z335" s="43" t="n">
        <v>1</v>
      </c>
      <c r="AA335" s="43" t="n"/>
      <c r="AB335" s="43" t="n"/>
      <c r="AC335" s="43" t="n"/>
      <c r="AD335" s="43" t="n"/>
      <c r="AE335" s="43" t="n"/>
      <c r="AF335" s="38">
        <f>IF((W335-SUM(Y335:AE335))&lt;0,0,W335-SUM(Y335:AE335))</f>
        <v/>
      </c>
      <c r="AG335" s="34">
        <f>MAX(0,$AT335-$W335-$AI335)</f>
        <v/>
      </c>
      <c r="AH335" s="34" t="n"/>
      <c r="AI335" s="34" t="n"/>
      <c r="AJ335" s="36" t="n">
        <v>0.3</v>
      </c>
      <c r="AK335" s="36">
        <f>IF(AND($AG335&gt;0,ISNUMBER($AJ335)),$AG335*$AJ335,0)</f>
        <v/>
      </c>
      <c r="AT335" s="37">
        <f>SUM(AU335:BA335)</f>
        <v/>
      </c>
      <c r="AU335" s="73" t="n"/>
      <c r="AV335" s="98" t="n">
        <v>1</v>
      </c>
      <c r="AW335" s="33" t="n"/>
      <c r="AX335" s="33" t="n"/>
      <c r="AY335" s="33" t="n"/>
      <c r="AZ335" s="33" t="n"/>
      <c r="BA335" s="74" t="n"/>
      <c r="BB335" s="106" t="n"/>
      <c r="BC335" s="42" t="n"/>
      <c r="BD335" s="42" t="n"/>
    </row>
    <row r="336" ht="15" customHeight="1" s="148">
      <c r="A336" t="inlineStr">
        <is>
          <t>c0332</t>
        </is>
      </c>
      <c r="B336" s="44" t="inlineStr">
        <is>
          <t>Inspiring Vantage</t>
        </is>
      </c>
      <c r="C336" s="34" t="inlineStr">
        <is>
          <t>L</t>
        </is>
      </c>
      <c r="D336" s="44" t="inlineStr">
        <is>
          <t>Land</t>
        </is>
      </c>
      <c r="E336" s="41" t="inlineStr">
        <is>
          <t>B3</t>
        </is>
      </c>
      <c r="F336" s="34" t="n">
        <v>0</v>
      </c>
      <c r="G336" s="67" t="inlineStr">
        <is>
          <t>This land enters tapped unless you control two or fewer other lands.
{T}: Add {R} or {W}.</t>
        </is>
      </c>
      <c r="H336" s="45" t="inlineStr">
        <is>
          <t>Land</t>
        </is>
      </c>
      <c r="I336" s="45" t="inlineStr">
        <is>
          <t>This land enters tapped unless you control two or fewer other lands.
{T}: Add {R} or {W}.</t>
        </is>
      </c>
      <c r="J336" s="45" t="n"/>
      <c r="K336" s="45" t="n"/>
      <c r="L336" s="41" t="n"/>
      <c r="M336" s="41" t="n"/>
      <c r="N336" s="41" t="n"/>
      <c r="O336" s="41" t="n"/>
      <c r="P336" s="41" t="n">
        <v>2.54</v>
      </c>
      <c r="Q336" s="41" t="n"/>
      <c r="R336" s="41" t="n"/>
      <c r="S336" s="41" t="n"/>
      <c r="T336" s="41" t="n"/>
      <c r="U336" s="41" t="n"/>
      <c r="V336" s="45" t="inlineStr">
        <is>
          <t>Kaladesh</t>
        </is>
      </c>
      <c r="W336" s="41" t="n">
        <v>1</v>
      </c>
      <c r="X336" s="37">
        <f>SUM(Y336:AE336)</f>
        <v/>
      </c>
      <c r="Y336" s="43" t="n">
        <v>1</v>
      </c>
      <c r="Z336" s="43" t="n"/>
      <c r="AA336" s="43" t="n"/>
      <c r="AB336" s="43" t="n"/>
      <c r="AC336" s="43" t="n"/>
      <c r="AD336" s="43" t="n"/>
      <c r="AE336" s="43" t="n"/>
      <c r="AF336" s="38">
        <f>IF((W336-SUM(Y336:AE336))&lt;0,0,W336-SUM(Y336:AE336))</f>
        <v/>
      </c>
      <c r="AG336" s="34">
        <f>MAX(0,$AT336-$W336-$AI336)</f>
        <v/>
      </c>
      <c r="AH336" s="34" t="n"/>
      <c r="AI336" s="34" t="n"/>
      <c r="AJ336" s="36" t="n">
        <v>1.95</v>
      </c>
      <c r="AK336" s="36">
        <f>IF(AND($AG336&gt;0,ISNUMBER($AJ336)),$AG336*$AJ336,0)</f>
        <v/>
      </c>
      <c r="AT336" s="37">
        <f>SUM(AU336:BA336)</f>
        <v/>
      </c>
      <c r="AU336" s="82" t="n">
        <v>1</v>
      </c>
      <c r="AV336" s="33" t="n"/>
      <c r="AW336" s="33" t="n"/>
      <c r="AX336" s="33" t="n"/>
      <c r="AY336" s="33" t="n"/>
      <c r="AZ336" s="33" t="n"/>
      <c r="BA336" s="74" t="n"/>
      <c r="BB336" s="106" t="n"/>
      <c r="BC336" s="42" t="n"/>
      <c r="BD336" s="42" t="n"/>
    </row>
    <row r="337" ht="15" customHeight="1" s="148">
      <c r="A337" t="inlineStr">
        <is>
          <t>c0333</t>
        </is>
      </c>
      <c r="B337" s="30" t="inlineStr">
        <is>
          <t>Iron Hills</t>
        </is>
      </c>
      <c r="C337" s="31" t="inlineStr">
        <is>
          <t>L</t>
        </is>
      </c>
      <c r="D337" s="30" t="inlineStr">
        <is>
          <t>Land</t>
        </is>
      </c>
      <c r="E337" s="33" t="inlineStr">
        <is>
          <t>B2</t>
        </is>
      </c>
      <c r="F337" s="31" t="n">
        <v>0</v>
      </c>
      <c r="G337" s="67" t="inlineStr">
        <is>
          <t>This land enters tapped.
{T}: Add {R} or {W}.
{2}{R}{W}, {T}, Sacrifice this land: Put two +1/+1 counters on target Dwarf you control. Activate only as a sorcery.</t>
        </is>
      </c>
      <c r="H337" s="30" t="inlineStr">
        <is>
          <t>Land</t>
        </is>
      </c>
      <c r="I337" s="30" t="inlineStr">
        <is>
          <t>Taps for {R} or {W}</t>
        </is>
      </c>
      <c r="J337" s="30" t="inlineStr">
        <is>
          <t>Enters tapped</t>
        </is>
      </c>
      <c r="K337" s="30" t="inlineStr">
        <is>
          <t>{2}{R}{W}, {T}, sacrifice: put two +1/+1 counters on target Dwarf you control</t>
        </is>
      </c>
      <c r="L337" s="32" t="inlineStr">
        <is>
          <t>185</t>
        </is>
      </c>
      <c r="M337" s="32" t="n">
        <v>2</v>
      </c>
      <c r="N337" s="32" t="n">
        <v>0</v>
      </c>
      <c r="O337" s="63" t="n"/>
      <c r="P337" s="63" t="n">
        <v>0.16</v>
      </c>
      <c r="Q337" s="32" t="inlineStr">
        <is>
          <t>Common</t>
        </is>
      </c>
      <c r="R337" s="32" t="n"/>
      <c r="S337" s="32" t="n"/>
      <c r="T337" s="63" t="n"/>
      <c r="U337" s="63" t="n"/>
      <c r="V337" s="30" t="inlineStr">
        <is>
          <t>The Hobbit</t>
        </is>
      </c>
      <c r="W337" s="41" t="n">
        <v>2</v>
      </c>
      <c r="X337" s="37">
        <f>SUM(Y337:AE337)</f>
        <v/>
      </c>
      <c r="Y337" s="43" t="n">
        <v>1</v>
      </c>
      <c r="Z337" s="43" t="n"/>
      <c r="AA337" s="43" t="n"/>
      <c r="AB337" s="43" t="n"/>
      <c r="AC337" s="43" t="n"/>
      <c r="AD337" s="43" t="n"/>
      <c r="AE337" s="43" t="n"/>
      <c r="AF337" s="38">
        <f>IF((W337-SUM(Y337:AE337))&lt;0,0,W337-SUM(Y337:AE337))</f>
        <v/>
      </c>
      <c r="AG337" s="34">
        <f>MAX(0,$AT337-$W337-$AI337)</f>
        <v/>
      </c>
      <c r="AH337" s="30" t="n"/>
      <c r="AI337" s="30" t="n"/>
      <c r="AJ337" s="35" t="n">
        <v>0.16</v>
      </c>
      <c r="AK337" s="36">
        <f>IF(AND($AG337&gt;0,ISNUMBER($AJ337)),$AG337*$AJ337,0)</f>
        <v/>
      </c>
      <c r="AT337" s="37">
        <f>SUM(AU337:BA337)</f>
        <v/>
      </c>
      <c r="AU337" s="82" t="n">
        <v>1</v>
      </c>
      <c r="AV337" s="33" t="n"/>
      <c r="AW337" s="33" t="n"/>
      <c r="AX337" s="33" t="n"/>
      <c r="AY337" s="33" t="n"/>
      <c r="AZ337" s="33" t="n"/>
      <c r="BA337" s="74" t="n"/>
      <c r="BB337" s="108" t="n"/>
      <c r="BC337" s="32" t="n"/>
      <c r="BD337" s="32" t="n"/>
    </row>
    <row r="338" ht="15" customHeight="1" s="148">
      <c r="A338" t="inlineStr">
        <is>
          <t>c0334</t>
        </is>
      </c>
      <c r="B338" s="44" t="inlineStr">
        <is>
          <t>Island</t>
        </is>
      </c>
      <c r="C338" s="34" t="inlineStr">
        <is>
          <t>L</t>
        </is>
      </c>
      <c r="D338" s="44" t="inlineStr">
        <is>
          <t>Basic Land</t>
        </is>
      </c>
      <c r="E338" s="41" t="inlineStr">
        <is>
          <t>B2</t>
        </is>
      </c>
      <c r="F338" s="34" t="n">
        <v>0</v>
      </c>
      <c r="G338" s="67" t="inlineStr">
        <is>
          <t>({T}: Add {U}.)</t>
        </is>
      </c>
      <c r="H338" s="45" t="inlineStr">
        <is>
          <t>Land</t>
        </is>
      </c>
      <c r="I338" s="45" t="inlineStr">
        <is>
          <t>Taps for {U}</t>
        </is>
      </c>
      <c r="J338" s="45" t="n"/>
      <c r="K338" s="45" t="n"/>
      <c r="L338" s="42" t="n"/>
      <c r="M338" s="42" t="n"/>
      <c r="N338" s="42" t="n"/>
      <c r="O338" s="63" t="n"/>
      <c r="P338" s="63" t="n">
        <v>0.08</v>
      </c>
      <c r="Q338" s="42" t="n"/>
      <c r="R338" s="42" t="n"/>
      <c r="S338" s="42" t="n"/>
      <c r="T338" s="63" t="n"/>
      <c r="U338" s="63" t="n"/>
      <c r="V338" s="45" t="inlineStr">
        <is>
          <t>Limited Edition Alpha</t>
        </is>
      </c>
      <c r="W338" s="41" t="n">
        <v>82</v>
      </c>
      <c r="X338" s="37">
        <f>SUM(Y338:AE338)</f>
        <v/>
      </c>
      <c r="Y338" s="43" t="n"/>
      <c r="Z338" s="43" t="n">
        <v>7</v>
      </c>
      <c r="AA338" s="43" t="n">
        <v>7</v>
      </c>
      <c r="AB338" s="43" t="n"/>
      <c r="AC338" s="43" t="n"/>
      <c r="AD338" s="43" t="n"/>
      <c r="AE338" s="43" t="n">
        <v>13</v>
      </c>
      <c r="AF338" s="38">
        <f>IF((W338-SUM(Y338:AE338))&lt;0,0,W338-SUM(Y338:AE338))</f>
        <v/>
      </c>
      <c r="AG338" s="34">
        <f>MAX(0,$AT338-$W338-$AI338)</f>
        <v/>
      </c>
      <c r="AH338" s="34" t="n"/>
      <c r="AI338" s="34" t="n"/>
      <c r="AJ338" s="36" t="n">
        <v>0.1</v>
      </c>
      <c r="AK338" s="36">
        <f>IF(AND($AG338&gt;0,ISNUMBER($AJ338)),$AG338*$AJ338,0)</f>
        <v/>
      </c>
      <c r="AT338" s="37">
        <f>SUM(AU338:BA338)</f>
        <v/>
      </c>
      <c r="AU338" s="73" t="n"/>
      <c r="AV338" s="98" t="n">
        <v>7</v>
      </c>
      <c r="AW338" s="98" t="n">
        <v>7</v>
      </c>
      <c r="AX338" s="33" t="n"/>
      <c r="AY338" s="33" t="n"/>
      <c r="AZ338" s="33" t="n"/>
      <c r="BA338" s="80" t="n">
        <v>13</v>
      </c>
      <c r="BB338" s="106" t="n"/>
      <c r="BC338" s="42" t="n"/>
      <c r="BD338" s="42" t="n"/>
    </row>
    <row r="339" ht="15" customHeight="1" s="148">
      <c r="A339" t="inlineStr">
        <is>
          <t>c0335</t>
        </is>
      </c>
      <c r="B339" s="44" t="inlineStr">
        <is>
          <t>Isolated Chapel</t>
        </is>
      </c>
      <c r="C339" s="34" t="inlineStr">
        <is>
          <t>L</t>
        </is>
      </c>
      <c r="D339" s="44" t="inlineStr">
        <is>
          <t>Land</t>
        </is>
      </c>
      <c r="E339" s="41" t="inlineStr">
        <is>
          <t>B2</t>
        </is>
      </c>
      <c r="F339" s="34" t="n">
        <v>0</v>
      </c>
      <c r="G339" s="67" t="inlineStr">
        <is>
          <t>This land enters tapped unless you control a Plains or a Swamp.
{T}: Add {W} or {B}.</t>
        </is>
      </c>
      <c r="H339" s="45" t="inlineStr">
        <is>
          <t>Land</t>
        </is>
      </c>
      <c r="I339" s="45" t="inlineStr">
        <is>
          <t>Taps for {W} or {B}</t>
        </is>
      </c>
      <c r="J339" s="45" t="inlineStr">
        <is>
          <t>Enters tapped unless you control a Plains or Swamp</t>
        </is>
      </c>
      <c r="K339" s="45" t="n"/>
      <c r="L339" s="42" t="n"/>
      <c r="M339" s="42" t="n"/>
      <c r="N339" s="42" t="n"/>
      <c r="O339" s="42" t="n"/>
      <c r="P339" s="42" t="n">
        <v>0.38</v>
      </c>
      <c r="Q339" s="42" t="n"/>
      <c r="R339" s="42" t="n"/>
      <c r="S339" s="42" t="n"/>
      <c r="T339" s="42" t="n"/>
      <c r="U339" s="42" t="n"/>
      <c r="V339" s="45" t="inlineStr">
        <is>
          <t>Innistrad</t>
        </is>
      </c>
      <c r="W339" s="41" t="n">
        <v>2</v>
      </c>
      <c r="X339" s="37">
        <f>SUM(Y339:AE339)</f>
        <v/>
      </c>
      <c r="Y339" s="43" t="n"/>
      <c r="Z339" s="43" t="n"/>
      <c r="AA339" s="43" t="n"/>
      <c r="AB339" s="43" t="n">
        <v>1</v>
      </c>
      <c r="AC339" s="43" t="n">
        <v>1</v>
      </c>
      <c r="AD339" s="43" t="n"/>
      <c r="AE339" s="43" t="n"/>
      <c r="AF339" s="38">
        <f>IF((W339-SUM(Y339:AE339))&lt;0,0,W339-SUM(Y339:AE339))</f>
        <v/>
      </c>
      <c r="AG339" s="34">
        <f>MAX(0,$AT339-$W339-$AI339)</f>
        <v/>
      </c>
      <c r="AH339" s="34" t="n"/>
      <c r="AI339" s="34" t="n"/>
      <c r="AJ339" s="36" t="n">
        <v>0.39</v>
      </c>
      <c r="AK339" s="36">
        <f>IF(AND($AG339&gt;0,ISNUMBER($AJ339)),$AG339*$AJ339,0)</f>
        <v/>
      </c>
      <c r="AT339" s="37">
        <f>SUM(AU339:BA339)</f>
        <v/>
      </c>
      <c r="AU339" s="73" t="n"/>
      <c r="AV339" s="33" t="n"/>
      <c r="AW339" s="33" t="n"/>
      <c r="AX339" s="98" t="n">
        <v>1</v>
      </c>
      <c r="AY339" s="98" t="n">
        <v>1</v>
      </c>
      <c r="AZ339" s="33" t="n"/>
      <c r="BA339" s="74" t="n"/>
      <c r="BB339" s="106" t="n"/>
      <c r="BC339" s="42" t="n"/>
      <c r="BD339" s="42" t="n"/>
    </row>
    <row r="340" ht="15" customHeight="1" s="148">
      <c r="A340" t="inlineStr">
        <is>
          <t>c0336</t>
        </is>
      </c>
      <c r="B340" s="44" t="inlineStr">
        <is>
          <t>Karn's Bastion</t>
        </is>
      </c>
      <c r="C340" s="34" t="inlineStr">
        <is>
          <t>L</t>
        </is>
      </c>
      <c r="D340" s="44" t="inlineStr">
        <is>
          <t>Land</t>
        </is>
      </c>
      <c r="E340" s="41" t="inlineStr">
        <is>
          <t>B2</t>
        </is>
      </c>
      <c r="F340" s="34" t="n">
        <v>0</v>
      </c>
      <c r="G340" s="67" t="inlineStr">
        <is>
          <t>{T}: Add {C}.
{4}, {T}: Proliferate. (Choose any number of permanents and/or players, then give each another counter of each kind already there.)</t>
        </is>
      </c>
      <c r="H340" s="45" t="inlineStr">
        <is>
          <t>Proliferate</t>
        </is>
      </c>
      <c r="I340" s="45" t="inlineStr">
        <is>
          <t>Taps for {C}</t>
        </is>
      </c>
      <c r="J340" s="45" t="inlineStr">
        <is>
          <t>Pay {4} and tap to proliferate</t>
        </is>
      </c>
      <c r="K340" s="45" t="n"/>
      <c r="L340" s="42" t="n"/>
      <c r="M340" s="42" t="n"/>
      <c r="N340" s="42" t="n"/>
      <c r="O340" s="42" t="n"/>
      <c r="P340" s="42" t="n">
        <v>2.39</v>
      </c>
      <c r="Q340" s="42" t="n"/>
      <c r="R340" s="42" t="n"/>
      <c r="S340" s="42" t="n"/>
      <c r="T340" s="42" t="n"/>
      <c r="U340" s="42" t="n"/>
      <c r="V340" s="45" t="inlineStr">
        <is>
          <t>War of the Spark</t>
        </is>
      </c>
      <c r="W340" s="41" t="n">
        <v>1</v>
      </c>
      <c r="X340" s="37">
        <f>SUM(Y340:AE340)</f>
        <v/>
      </c>
      <c r="Y340" s="43" t="n"/>
      <c r="Z340" s="43" t="n"/>
      <c r="AA340" s="43" t="n">
        <v>1</v>
      </c>
      <c r="AB340" s="43" t="n"/>
      <c r="AC340" s="43" t="n"/>
      <c r="AD340" s="43" t="n"/>
      <c r="AE340" s="43" t="n"/>
      <c r="AF340" s="38">
        <f>IF((W340-SUM(Y340:AE340))&lt;0,0,W340-SUM(Y340:AE340))</f>
        <v/>
      </c>
      <c r="AG340" s="34">
        <f>MAX(0,$AT340-$W340-$AI340)</f>
        <v/>
      </c>
      <c r="AH340" s="34" t="n"/>
      <c r="AI340" s="34" t="n"/>
      <c r="AJ340" s="36" t="n">
        <v>2.55</v>
      </c>
      <c r="AK340" s="36">
        <f>IF(AND($AG340&gt;0,ISNUMBER($AJ340)),$AG340*$AJ340,0)</f>
        <v/>
      </c>
      <c r="AT340" s="37">
        <f>SUM(AU340:BA340)</f>
        <v/>
      </c>
      <c r="AU340" s="73" t="n"/>
      <c r="AV340" s="33" t="n"/>
      <c r="AW340" s="98" t="n">
        <v>1</v>
      </c>
      <c r="AX340" s="33" t="n"/>
      <c r="AY340" s="33" t="n"/>
      <c r="AZ340" s="33" t="n"/>
      <c r="BA340" s="74" t="n"/>
      <c r="BB340" s="106" t="n"/>
      <c r="BC340" s="42" t="n"/>
      <c r="BD340" s="42" t="n"/>
    </row>
    <row r="341" ht="15" customHeight="1" s="148">
      <c r="A341" t="inlineStr">
        <is>
          <t>c0337</t>
        </is>
      </c>
      <c r="B341" s="44" t="inlineStr">
        <is>
          <t>Kher Keep</t>
        </is>
      </c>
      <c r="C341" s="34" t="inlineStr">
        <is>
          <t>L</t>
        </is>
      </c>
      <c r="D341" s="44" t="inlineStr">
        <is>
          <t>Legendary Land</t>
        </is>
      </c>
      <c r="E341" s="41" t="inlineStr">
        <is>
          <t>B2</t>
        </is>
      </c>
      <c r="F341" s="34" t="n">
        <v>0</v>
      </c>
      <c r="G341" s="67" t="inlineStr">
        <is>
          <t>{T}: Add {C}.
{1}{R}, {T}: Create a 0/1 red Kobold creature token named Kobolds of Kher Keep.</t>
        </is>
      </c>
      <c r="H341" s="45" t="inlineStr">
        <is>
          <t>Land</t>
        </is>
      </c>
      <c r="I341" s="45" t="inlineStr">
        <is>
          <t>Taps for {C}</t>
        </is>
      </c>
      <c r="J341" s="45" t="inlineStr">
        <is>
          <t>{1}{R}, tap: creates a 0/1 Kobold token</t>
        </is>
      </c>
      <c r="K341" s="45" t="n"/>
      <c r="L341" s="42" t="n"/>
      <c r="M341" s="42" t="n"/>
      <c r="N341" s="42" t="n"/>
      <c r="O341" s="42" t="n"/>
      <c r="P341" s="42" t="n">
        <v>0.32</v>
      </c>
      <c r="Q341" s="42" t="n"/>
      <c r="R341" s="42" t="n"/>
      <c r="S341" s="42" t="n"/>
      <c r="T341" s="42" t="n"/>
      <c r="U341" s="42" t="n"/>
      <c r="V341" s="45" t="inlineStr">
        <is>
          <t>Time Spiral</t>
        </is>
      </c>
      <c r="W341" s="41" t="n">
        <v>1</v>
      </c>
      <c r="X341" s="37">
        <f>SUM(Y341:AE341)</f>
        <v/>
      </c>
      <c r="Y341" s="43" t="n"/>
      <c r="Z341" s="43" t="n"/>
      <c r="AA341" s="43" t="n"/>
      <c r="AB341" s="43" t="n"/>
      <c r="AC341" s="43" t="n"/>
      <c r="AD341" s="43" t="n">
        <v>1</v>
      </c>
      <c r="AE341" s="43" t="n"/>
      <c r="AF341" s="38">
        <f>IF((W341-SUM(Y341:AE341))&lt;0,0,W341-SUM(Y341:AE341))</f>
        <v/>
      </c>
      <c r="AG341" s="34">
        <f>MAX(0,$AT341-$W341-$AI341)</f>
        <v/>
      </c>
      <c r="AH341" s="34" t="n"/>
      <c r="AI341" s="34" t="n"/>
      <c r="AJ341" s="36" t="n">
        <v>0.36</v>
      </c>
      <c r="AK341" s="36">
        <f>IF(AND($AG341&gt;0,ISNUMBER($AJ341)),$AG341*$AJ341,0)</f>
        <v/>
      </c>
      <c r="AQ341" s="58" t="n"/>
      <c r="AT341" s="37">
        <f>SUM(AU341:BA341)</f>
        <v/>
      </c>
      <c r="AU341" s="73" t="n"/>
      <c r="AV341" s="33" t="n"/>
      <c r="AW341" s="33" t="n"/>
      <c r="AX341" s="33" t="n"/>
      <c r="AY341" s="33" t="n"/>
      <c r="AZ341" s="99" t="n"/>
      <c r="BA341" s="74" t="n"/>
      <c r="BB341" s="106" t="n"/>
      <c r="BC341" s="42" t="n"/>
      <c r="BD341" s="42" t="n"/>
    </row>
    <row r="342" ht="15" customHeight="1" s="148">
      <c r="A342" t="inlineStr">
        <is>
          <t>c0338</t>
        </is>
      </c>
      <c r="B342" s="44" t="inlineStr">
        <is>
          <t>Krosan Verge</t>
        </is>
      </c>
      <c r="C342" s="34" t="inlineStr">
        <is>
          <t>L</t>
        </is>
      </c>
      <c r="D342" s="44" t="inlineStr">
        <is>
          <t>Land</t>
        </is>
      </c>
      <c r="E342" s="41" t="inlineStr">
        <is>
          <t>B2</t>
        </is>
      </c>
      <c r="F342" s="34" t="n">
        <v>0</v>
      </c>
      <c r="G342" s="67" t="inlineStr">
        <is>
          <t>This land enters tapped.
{T}: Add {C}.
{2}, {T}, Sacrifice this land: Search your library for a Forest card and a Plains card, put them onto the battlefield tapped, then shuffle.</t>
        </is>
      </c>
      <c r="H342" s="45" t="inlineStr">
        <is>
          <t>Flexible Fixing</t>
        </is>
      </c>
      <c r="I342" s="45" t="inlineStr">
        <is>
          <t>Taps for {C}</t>
        </is>
      </c>
      <c r="J342" s="45" t="inlineStr">
        <is>
          <t>Sacrifice: search for a Forest and a Plains, put onto battlefield tapped</t>
        </is>
      </c>
      <c r="K342" s="45" t="n"/>
      <c r="L342" s="42" t="n"/>
      <c r="M342" s="42" t="n"/>
      <c r="N342" s="42" t="n"/>
      <c r="O342" s="42" t="n"/>
      <c r="P342" s="42" t="n">
        <v>0.3</v>
      </c>
      <c r="Q342" s="42" t="n"/>
      <c r="R342" s="42" t="n"/>
      <c r="S342" s="42" t="n"/>
      <c r="T342" s="42" t="n"/>
      <c r="U342" s="42" t="n"/>
      <c r="V342" s="45" t="inlineStr">
        <is>
          <t>Judgment</t>
        </is>
      </c>
      <c r="W342" s="41" t="n">
        <v>0</v>
      </c>
      <c r="X342" s="37">
        <f>SUM(Y342:AE342)</f>
        <v/>
      </c>
      <c r="Y342" s="43" t="n"/>
      <c r="Z342" s="43" t="n"/>
      <c r="AA342" s="43" t="n"/>
      <c r="AB342" s="43" t="n"/>
      <c r="AC342" s="43" t="n"/>
      <c r="AD342" s="43" t="n"/>
      <c r="AE342" s="43" t="n"/>
      <c r="AF342" s="38">
        <f>IF((W342-SUM(Y342:AE342))&lt;0,0,W342-SUM(Y342:AE342))</f>
        <v/>
      </c>
      <c r="AG342" s="34">
        <f>MAX(0,$AT342-$W342-$AI342)</f>
        <v/>
      </c>
      <c r="AH342" s="34" t="inlineStr">
        <is>
          <t>TCG</t>
        </is>
      </c>
      <c r="AI342" s="34" t="n">
        <v>1</v>
      </c>
      <c r="AJ342" s="36" t="n">
        <v>0.29</v>
      </c>
      <c r="AK342" s="36">
        <f>IF(AND($AG342&gt;0,ISNUMBER($AJ342)),$AG342*$AJ342,0)</f>
        <v/>
      </c>
      <c r="AL342" s="54" t="n"/>
      <c r="AM342" s="54" t="n"/>
      <c r="AN342" s="54" t="n"/>
      <c r="AO342" s="54" t="n"/>
      <c r="AP342" s="54" t="n"/>
      <c r="AQ342" s="54" t="n"/>
      <c r="AR342" s="54" t="n"/>
      <c r="AS342" s="54" t="n"/>
      <c r="AT342" s="37">
        <f>SUM(AU342:BA342)</f>
        <v/>
      </c>
      <c r="AU342" s="92" t="n"/>
      <c r="AV342" s="38" t="n"/>
      <c r="AW342" s="38" t="n"/>
      <c r="AX342" s="38" t="n"/>
      <c r="AY342" s="38" t="n"/>
      <c r="AZ342" s="38" t="n"/>
      <c r="BA342" s="94" t="n"/>
      <c r="BB342" s="106" t="n"/>
      <c r="BC342" s="42" t="n"/>
      <c r="BD342" s="48" t="n"/>
    </row>
    <row r="343" ht="15" customHeight="1" s="148">
      <c r="A343" t="inlineStr">
        <is>
          <t>c0339</t>
        </is>
      </c>
      <c r="B343" s="44" t="inlineStr">
        <is>
          <t>Lake-town</t>
        </is>
      </c>
      <c r="C343" s="40" t="inlineStr">
        <is>
          <t>L</t>
        </is>
      </c>
      <c r="D343" s="39" t="inlineStr">
        <is>
          <t>Land</t>
        </is>
      </c>
      <c r="E343" s="41" t="inlineStr">
        <is>
          <t>B2</t>
        </is>
      </c>
      <c r="F343" s="40" t="n">
        <v>0</v>
      </c>
      <c r="G343" s="67" t="inlineStr">
        <is>
          <t>This land enters tapped.
{T}: Add {W} or {U}.
{2}{W}{U}, {T}, Sacrifice this land: Put two +1/+1 counters on target Human you control. Activate only as a sorcery.</t>
        </is>
      </c>
      <c r="H343" s="39" t="inlineStr">
        <is>
          <t>Land</t>
        </is>
      </c>
      <c r="I343" s="39" t="inlineStr">
        <is>
          <t>Taps for {W} or {U}</t>
        </is>
      </c>
      <c r="J343" s="39" t="inlineStr">
        <is>
          <t>Enters tapped</t>
        </is>
      </c>
      <c r="K343" s="39" t="inlineStr">
        <is>
          <t>{2}{W}{U}, {T}, Sacrifice: put two +1/+1 counters on target Human you control</t>
        </is>
      </c>
      <c r="L343" s="42" t="n"/>
      <c r="M343" s="42" t="n"/>
      <c r="N343" s="42" t="n"/>
      <c r="O343" s="63" t="n"/>
      <c r="P343" s="63" t="n"/>
      <c r="Q343" s="42" t="n"/>
      <c r="R343" s="42" t="n"/>
      <c r="S343" s="42" t="n"/>
      <c r="T343" s="63" t="n"/>
      <c r="U343" s="63" t="n"/>
      <c r="V343" s="39" t="inlineStr">
        <is>
          <t>The Hobbit</t>
        </is>
      </c>
      <c r="W343" s="41" t="n">
        <v>1</v>
      </c>
      <c r="X343" s="37">
        <f>SUM(Y343:AE343)</f>
        <v/>
      </c>
      <c r="Y343" s="43" t="n"/>
      <c r="Z343" s="43" t="n"/>
      <c r="AA343" s="43" t="n">
        <v>1</v>
      </c>
      <c r="AB343" s="43" t="n"/>
      <c r="AC343" s="43" t="n"/>
      <c r="AD343" s="43" t="n"/>
      <c r="AE343" s="43" t="n"/>
      <c r="AF343" s="38">
        <f>IF((W343-SUM(Y343:AE343))&lt;0,0,W343-SUM(Y343:AE343))</f>
        <v/>
      </c>
      <c r="AG343" s="34">
        <f>MAX(0,$AT343-$W343-$AI343)</f>
        <v/>
      </c>
      <c r="AH343" s="39" t="n"/>
      <c r="AI343" s="39" t="n"/>
      <c r="AJ343" s="39" t="n">
        <v>0.17</v>
      </c>
      <c r="AK343" s="39">
        <f>IF(AND($AG343&gt;0,ISNUMBER($AJ343)),$AG343*$AJ343,0)</f>
        <v/>
      </c>
      <c r="AT343" s="37">
        <f>SUM(AU343:BA343)</f>
        <v/>
      </c>
      <c r="AU343" s="73" t="n"/>
      <c r="AV343" s="33" t="n"/>
      <c r="AW343" s="98" t="n">
        <v>1</v>
      </c>
      <c r="AX343" s="33" t="n"/>
      <c r="AY343" s="33" t="n"/>
      <c r="AZ343" s="33" t="n"/>
      <c r="BA343" s="74" t="n"/>
      <c r="BB343" s="107" t="n"/>
      <c r="BC343" s="42" t="n"/>
      <c r="BD343" s="42" t="n"/>
    </row>
    <row r="344" ht="15" customHeight="1" s="148">
      <c r="A344" t="inlineStr">
        <is>
          <t>c0340</t>
        </is>
      </c>
      <c r="B344" s="44" t="inlineStr">
        <is>
          <t>Llanowar Wastes</t>
        </is>
      </c>
      <c r="C344" s="34" t="inlineStr">
        <is>
          <t>L</t>
        </is>
      </c>
      <c r="D344" s="44" t="inlineStr">
        <is>
          <t>Land</t>
        </is>
      </c>
      <c r="E344" s="41" t="inlineStr">
        <is>
          <t>B2</t>
        </is>
      </c>
      <c r="F344" s="34" t="n">
        <v>0</v>
      </c>
      <c r="G344" s="67" t="inlineStr">
        <is>
          <t>{T}: Add {C}.
{T}: Add {B} or {G}. This land deals 1 damage to you.</t>
        </is>
      </c>
      <c r="H344" s="45" t="inlineStr">
        <is>
          <t>Land</t>
        </is>
      </c>
      <c r="I344" s="45" t="inlineStr">
        <is>
          <t>Taps for {C}, or {B}/{G} at the cost of 1 damage to you</t>
        </is>
      </c>
      <c r="J344" s="45" t="n"/>
      <c r="K344" s="45" t="n"/>
      <c r="L344" s="42" t="n"/>
      <c r="M344" s="42" t="n"/>
      <c r="N344" s="42" t="n"/>
      <c r="O344" s="42" t="n"/>
      <c r="P344" s="42" t="n">
        <v>0.6</v>
      </c>
      <c r="Q344" s="42" t="n"/>
      <c r="R344" s="42" t="n"/>
      <c r="S344" s="42" t="n"/>
      <c r="T344" s="42" t="n"/>
      <c r="U344" s="42" t="n"/>
      <c r="V344" s="45" t="inlineStr">
        <is>
          <t>Apocalypse</t>
        </is>
      </c>
      <c r="W344" s="41" t="n">
        <v>0</v>
      </c>
      <c r="X344" s="37">
        <f>SUM(Y344:AE344)</f>
        <v/>
      </c>
      <c r="Y344" s="43" t="n"/>
      <c r="Z344" s="43" t="n"/>
      <c r="AA344" s="43" t="n"/>
      <c r="AB344" s="43" t="n"/>
      <c r="AC344" s="43" t="n"/>
      <c r="AD344" s="43" t="n"/>
      <c r="AE344" s="43" t="n"/>
      <c r="AF344" s="38">
        <f>IF((W344-SUM(Y344:AE344))&lt;0,0,W344-SUM(Y344:AE344))</f>
        <v/>
      </c>
      <c r="AG344" s="34">
        <f>MAX(0,$AT344-$W344-$AI344)</f>
        <v/>
      </c>
      <c r="AH344" s="34" t="n"/>
      <c r="AI344" s="34" t="n"/>
      <c r="AJ344" s="36" t="n">
        <v>0.58</v>
      </c>
      <c r="AK344" s="36">
        <f>IF(AND($AG344&gt;0,ISNUMBER($AJ344)),$AG344*$AJ344,0)</f>
        <v/>
      </c>
      <c r="AL344" s="54" t="n"/>
      <c r="AM344" s="54" t="n"/>
      <c r="AN344" s="54" t="n"/>
      <c r="AO344" s="54" t="n"/>
      <c r="AP344" s="54" t="n"/>
      <c r="AQ344" s="54" t="n"/>
      <c r="AR344" s="54" t="n"/>
      <c r="AS344" s="54" t="n"/>
      <c r="AT344" s="37">
        <f>SUM(AU344:BA344)</f>
        <v/>
      </c>
      <c r="AU344" s="92" t="n"/>
      <c r="AV344" s="38" t="n"/>
      <c r="AW344" s="38" t="n">
        <v>1</v>
      </c>
      <c r="AX344" s="38" t="n">
        <v>1</v>
      </c>
      <c r="AY344" s="38" t="n"/>
      <c r="AZ344" s="38" t="n"/>
      <c r="BA344" s="94" t="n"/>
      <c r="BB344" s="106" t="n"/>
      <c r="BC344" s="42" t="n"/>
      <c r="BD344" s="48" t="n"/>
    </row>
    <row r="345" ht="15" customHeight="1" s="148">
      <c r="A345" t="inlineStr">
        <is>
          <t>c0341</t>
        </is>
      </c>
      <c r="B345" s="44" t="inlineStr">
        <is>
          <t>Lorehold Campus</t>
        </is>
      </c>
      <c r="C345" s="34" t="inlineStr">
        <is>
          <t>L</t>
        </is>
      </c>
      <c r="D345" s="44" t="inlineStr">
        <is>
          <t>Land</t>
        </is>
      </c>
      <c r="E345" s="41" t="inlineStr">
        <is>
          <t>B2</t>
        </is>
      </c>
      <c r="F345" s="34" t="n">
        <v>0</v>
      </c>
      <c r="G345" s="67" t="inlineStr">
        <is>
          <t>This land enters tapped.
{T}: Add {R} or {W}.
{4}, {T}: Scry 1. (Look at the top card of your library. You may put that card on the bottom.)</t>
        </is>
      </c>
      <c r="H345" s="45" t="inlineStr">
        <is>
          <t>Land</t>
        </is>
      </c>
      <c r="I345" s="45" t="inlineStr">
        <is>
          <t>Taps for {R} or {W}</t>
        </is>
      </c>
      <c r="J345" s="45" t="inlineStr">
        <is>
          <t>Enters tapped</t>
        </is>
      </c>
      <c r="K345" s="45" t="inlineStr">
        <is>
          <t>Pay {4}, tap: look at top card, may put it on bottom</t>
        </is>
      </c>
      <c r="L345" s="41" t="n"/>
      <c r="M345" s="41" t="n"/>
      <c r="N345" s="41" t="n"/>
      <c r="O345" s="41" t="n"/>
      <c r="P345" s="41" t="n">
        <v>0.25</v>
      </c>
      <c r="Q345" s="41" t="n"/>
      <c r="R345" s="41" t="n"/>
      <c r="S345" s="41" t="n"/>
      <c r="T345" s="41" t="n"/>
      <c r="U345" s="41" t="n"/>
      <c r="V345" s="45" t="inlineStr">
        <is>
          <t>Strixhaven: School of Mages</t>
        </is>
      </c>
      <c r="W345" s="41" t="n">
        <v>1</v>
      </c>
      <c r="X345" s="37">
        <f>SUM(Y345:AE345)</f>
        <v/>
      </c>
      <c r="Y345" s="43" t="n">
        <v>1</v>
      </c>
      <c r="Z345" s="43" t="n"/>
      <c r="AA345" s="43" t="n"/>
      <c r="AB345" s="43" t="n"/>
      <c r="AC345" s="43" t="n"/>
      <c r="AD345" s="43" t="n"/>
      <c r="AE345" s="43" t="n"/>
      <c r="AF345" s="38">
        <f>IF((W345-SUM(Y345:AE345))&lt;0,0,W345-SUM(Y345:AE345))</f>
        <v/>
      </c>
      <c r="AG345" s="34">
        <f>MAX(0,$AT345-$W345-$AI345)</f>
        <v/>
      </c>
      <c r="AH345" s="34" t="n"/>
      <c r="AI345" s="34" t="n"/>
      <c r="AJ345" s="36" t="n">
        <v>0.22</v>
      </c>
      <c r="AK345" s="36">
        <f>IF(AND($AG345&gt;0,ISNUMBER($AJ345)),$AG345*$AJ345,0)</f>
        <v/>
      </c>
      <c r="AT345" s="37">
        <f>SUM(AU345:BA345)</f>
        <v/>
      </c>
      <c r="AU345" s="82" t="n">
        <v>1</v>
      </c>
      <c r="AV345" s="33" t="n"/>
      <c r="AW345" s="33" t="n"/>
      <c r="AX345" s="33" t="n"/>
      <c r="AY345" s="33" t="n"/>
      <c r="AZ345" s="33" t="n"/>
      <c r="BA345" s="74" t="n"/>
      <c r="BB345" s="106" t="n"/>
      <c r="BC345" s="42" t="n"/>
      <c r="BD345" s="42" t="n"/>
    </row>
    <row r="346" ht="15" customHeight="1" s="148">
      <c r="A346" t="inlineStr">
        <is>
          <t>c0342</t>
        </is>
      </c>
      <c r="B346" s="44" t="inlineStr">
        <is>
          <t>Lotus Field</t>
        </is>
      </c>
      <c r="C346" s="34" t="inlineStr">
        <is>
          <t>L</t>
        </is>
      </c>
      <c r="D346" s="44" t="inlineStr">
        <is>
          <t>Land</t>
        </is>
      </c>
      <c r="E346" s="41" t="inlineStr">
        <is>
          <t>B2</t>
        </is>
      </c>
      <c r="F346" s="34" t="n">
        <v>0</v>
      </c>
      <c r="G346" s="67" t="inlineStr">
        <is>
          <t>Hexproof
This land enters tapped.
When this land enters, sacrifice two lands.
{T}: Add three mana of any one color.</t>
        </is>
      </c>
      <c r="H346" s="45" t="inlineStr">
        <is>
          <t>Ramp</t>
        </is>
      </c>
      <c r="I346" s="45" t="inlineStr">
        <is>
          <t>Taps for three mana of one color</t>
        </is>
      </c>
      <c r="J346" s="45" t="inlineStr">
        <is>
          <t>Sacrifice two lands when it enters</t>
        </is>
      </c>
      <c r="K346" s="45" t="n"/>
      <c r="L346" s="42" t="n"/>
      <c r="M346" s="42" t="n"/>
      <c r="N346" s="42" t="n"/>
      <c r="O346" s="42" t="n"/>
      <c r="P346" s="42" t="n">
        <v>2.57</v>
      </c>
      <c r="Q346" s="42" t="n"/>
      <c r="R346" s="42" t="n"/>
      <c r="S346" s="42" t="n"/>
      <c r="T346" s="42" t="n"/>
      <c r="U346" s="42" t="n"/>
      <c r="V346" s="45" t="inlineStr">
        <is>
          <t>Core Set 2020</t>
        </is>
      </c>
      <c r="W346" s="41" t="n">
        <v>1</v>
      </c>
      <c r="X346" s="37">
        <f>SUM(Y346:AE346)</f>
        <v/>
      </c>
      <c r="Y346" s="43" t="n"/>
      <c r="Z346" s="43" t="n">
        <v>1</v>
      </c>
      <c r="AA346" s="43" t="n"/>
      <c r="AB346" s="43" t="n"/>
      <c r="AC346" s="43" t="n"/>
      <c r="AD346" s="43" t="n"/>
      <c r="AE346" s="43" t="n"/>
      <c r="AF346" s="38">
        <f>IF((W346-SUM(Y346:AE346))&lt;0,0,W346-SUM(Y346:AE346))</f>
        <v/>
      </c>
      <c r="AG346" s="34">
        <f>MAX(0,$AT346-$W346-$AI346)</f>
        <v/>
      </c>
      <c r="AH346" s="34" t="n"/>
      <c r="AI346" s="34" t="n"/>
      <c r="AJ346" s="36" t="n">
        <v>2.63</v>
      </c>
      <c r="AK346" s="36">
        <f>IF(AND($AG346&gt;0,ISNUMBER($AJ346)),$AG346*$AJ346,0)</f>
        <v/>
      </c>
      <c r="AT346" s="37">
        <f>SUM(AU346:BA346)</f>
        <v/>
      </c>
      <c r="AU346" s="73" t="n"/>
      <c r="AV346" s="98" t="n">
        <v>1</v>
      </c>
      <c r="AW346" s="33" t="n"/>
      <c r="AX346" s="33" t="n"/>
      <c r="AY346" s="33" t="n"/>
      <c r="AZ346" s="33" t="n"/>
      <c r="BA346" s="74" t="n"/>
      <c r="BB346" s="106" t="n"/>
      <c r="BC346" s="42" t="n"/>
      <c r="BD346" s="42" t="n"/>
    </row>
    <row r="347" ht="15" customHeight="1" s="148">
      <c r="A347" t="inlineStr">
        <is>
          <t>c0343</t>
        </is>
      </c>
      <c r="B347" s="44" t="inlineStr">
        <is>
          <t>Meandering River</t>
        </is>
      </c>
      <c r="C347" s="34" t="inlineStr">
        <is>
          <t>L</t>
        </is>
      </c>
      <c r="D347" s="44" t="inlineStr">
        <is>
          <t>Land</t>
        </is>
      </c>
      <c r="E347" s="41" t="inlineStr">
        <is>
          <t>B2</t>
        </is>
      </c>
      <c r="F347" s="34" t="n">
        <v>0</v>
      </c>
      <c r="G347" s="67" t="inlineStr">
        <is>
          <t>This land enters tapped.
{T}: Add {W} or {U}.</t>
        </is>
      </c>
      <c r="H347" s="45" t="inlineStr">
        <is>
          <t>Land</t>
        </is>
      </c>
      <c r="I347" s="45" t="inlineStr">
        <is>
          <t>This land enters tapped. / {T}: Add {W} or {U}.</t>
        </is>
      </c>
      <c r="J347" s="45" t="n"/>
      <c r="K347" s="45" t="n"/>
      <c r="L347" s="41" t="n"/>
      <c r="M347" s="41" t="n"/>
      <c r="N347" s="41" t="n"/>
      <c r="O347" s="63" t="n"/>
      <c r="P347" s="63" t="n"/>
      <c r="Q347" s="41" t="n"/>
      <c r="R347" s="41" t="n"/>
      <c r="S347" s="41" t="n"/>
      <c r="T347" s="63" t="n"/>
      <c r="U347" s="63" t="n"/>
      <c r="V347" s="45" t="inlineStr">
        <is>
          <t>Oath of the Gatewatch</t>
        </is>
      </c>
      <c r="W347" s="41" t="n">
        <v>2</v>
      </c>
      <c r="X347" s="37">
        <f>SUM(Y347:AE347)</f>
        <v/>
      </c>
      <c r="Y347" s="43" t="n"/>
      <c r="Z347" s="43" t="n">
        <v>1</v>
      </c>
      <c r="AA347" s="43" t="n">
        <v>1</v>
      </c>
      <c r="AB347" s="43" t="n"/>
      <c r="AC347" s="43" t="n"/>
      <c r="AD347" s="43" t="n"/>
      <c r="AE347" s="43" t="n"/>
      <c r="AF347" s="38">
        <f>IF((W347-SUM(Y347:AE347))&lt;0,0,W347-SUM(Y347:AE347))</f>
        <v/>
      </c>
      <c r="AG347" s="34">
        <f>MAX(0,$AT347-$W347-$AI347)</f>
        <v/>
      </c>
      <c r="AH347" s="34" t="n"/>
      <c r="AI347" s="34" t="n"/>
      <c r="AJ347" s="36" t="n">
        <v>0.12</v>
      </c>
      <c r="AK347" s="36">
        <f>IF(AND($AG347&gt;0,ISNUMBER($AJ347)),$AG347*$AJ347,0)</f>
        <v/>
      </c>
      <c r="AT347" s="37">
        <f>SUM(AU347:BA347)</f>
        <v/>
      </c>
      <c r="AU347" s="73" t="n"/>
      <c r="AV347" s="98" t="n">
        <v>1</v>
      </c>
      <c r="AW347" s="98" t="n">
        <v>1</v>
      </c>
      <c r="AX347" s="33" t="n"/>
      <c r="AY347" s="33" t="n"/>
      <c r="AZ347" s="33" t="n"/>
      <c r="BA347" s="74" t="n"/>
      <c r="BB347" s="106" t="n"/>
      <c r="BC347" s="42" t="n"/>
      <c r="BD347" s="50" t="inlineStr">
        <is>
          <t>ORDERED 2026-09-11 $0.20</t>
        </is>
      </c>
    </row>
    <row r="348" ht="15" customHeight="1" s="148">
      <c r="A348" t="inlineStr">
        <is>
          <t>c0344</t>
        </is>
      </c>
      <c r="B348" s="44" t="inlineStr">
        <is>
          <t>Mirkwood</t>
        </is>
      </c>
      <c r="C348" s="34" t="inlineStr">
        <is>
          <t>L</t>
        </is>
      </c>
      <c r="D348" s="44" t="inlineStr">
        <is>
          <t>Land</t>
        </is>
      </c>
      <c r="E348" s="41" t="inlineStr">
        <is>
          <t>B2</t>
        </is>
      </c>
      <c r="F348" s="34" t="n">
        <v>0</v>
      </c>
      <c r="G348" s="67" t="inlineStr">
        <is>
          <t>This land enters tapped.
{T}: Add {B} or {G}.
{2}{B}{G}, {T}, Sacrifice this land: Put two +1/+1 counters on target Bear, Spider, or Wolf you control. Activate only as a sorcery.</t>
        </is>
      </c>
      <c r="H348" s="45" t="inlineStr">
        <is>
          <t>Land</t>
        </is>
      </c>
      <c r="I348" s="45" t="inlineStr">
        <is>
          <t>Taps for {B} or {G}</t>
        </is>
      </c>
      <c r="J348" s="45" t="inlineStr">
        <is>
          <t>Sacrifice to put two +1/+1 counters on target Bear, Spider, or Wolf you control</t>
        </is>
      </c>
      <c r="K348" s="45" t="n"/>
      <c r="L348" s="42" t="n"/>
      <c r="M348" s="42" t="n"/>
      <c r="N348" s="42" t="n"/>
      <c r="O348" s="63" t="n"/>
      <c r="P348" s="63" t="n">
        <v>0.16</v>
      </c>
      <c r="Q348" s="42" t="n"/>
      <c r="R348" s="42" t="n"/>
      <c r="S348" s="42" t="n"/>
      <c r="T348" s="63" t="n"/>
      <c r="U348" s="63" t="n"/>
      <c r="V348" s="45" t="inlineStr">
        <is>
          <t>The Hobbit</t>
        </is>
      </c>
      <c r="W348" s="41" t="n">
        <v>4</v>
      </c>
      <c r="X348" s="37">
        <f>SUM(Y348:AE348)</f>
        <v/>
      </c>
      <c r="Y348" s="43" t="n"/>
      <c r="Z348" s="43" t="n"/>
      <c r="AA348" s="43" t="n">
        <v>1</v>
      </c>
      <c r="AB348" s="43" t="n"/>
      <c r="AC348" s="43" t="n"/>
      <c r="AD348" s="43" t="n"/>
      <c r="AE348" s="43" t="n">
        <v>1</v>
      </c>
      <c r="AF348" s="38">
        <f>IF((W348-SUM(Y348:AE348))&lt;0,0,W348-SUM(Y348:AE348))</f>
        <v/>
      </c>
      <c r="AG348" s="34">
        <f>MAX(0,$AT348-$W348-$AI348)</f>
        <v/>
      </c>
      <c r="AH348" s="34" t="n"/>
      <c r="AI348" s="34" t="n"/>
      <c r="AJ348" s="36" t="n">
        <v>0.18</v>
      </c>
      <c r="AK348" s="36">
        <f>IF(AND($AG348&gt;0,ISNUMBER($AJ348)),$AG348*$AJ348,0)</f>
        <v/>
      </c>
      <c r="AT348" s="37">
        <f>SUM(AU348:BA348)</f>
        <v/>
      </c>
      <c r="AU348" s="73" t="n"/>
      <c r="AV348" s="33" t="n"/>
      <c r="AW348" s="98" t="n">
        <v>1</v>
      </c>
      <c r="AX348" s="33" t="n"/>
      <c r="AY348" s="33" t="n"/>
      <c r="AZ348" s="33" t="n"/>
      <c r="BA348" s="80" t="n">
        <v>1</v>
      </c>
      <c r="BB348" s="106" t="n"/>
      <c r="BC348" s="42" t="n"/>
      <c r="BD348" s="42" t="n"/>
    </row>
    <row r="349" ht="15" customHeight="1" s="148">
      <c r="A349" t="inlineStr">
        <is>
          <t>c0345</t>
        </is>
      </c>
      <c r="B349" s="44" t="inlineStr">
        <is>
          <t>Mistveil Plains</t>
        </is>
      </c>
      <c r="C349" s="34" t="inlineStr">
        <is>
          <t>L</t>
        </is>
      </c>
      <c r="D349" s="44" t="inlineStr">
        <is>
          <t>Land</t>
        </is>
      </c>
      <c r="E349" s="41" t="inlineStr">
        <is>
          <t>B2</t>
        </is>
      </c>
      <c r="F349" s="34" t="n">
        <v>0</v>
      </c>
      <c r="G349" s="67" t="inlineStr">
        <is>
          <t>({T}: Add {W}.)
This land enters tapped.
{W}, {T}: Put target card from your graveyard on the bottom of your library. Activate only if you control two or more white permanents.</t>
        </is>
      </c>
      <c r="H349" s="45" t="inlineStr">
        <is>
          <t>Land</t>
        </is>
      </c>
      <c r="I349" s="45" t="inlineStr">
        <is>
          <t>Taps for {W}</t>
        </is>
      </c>
      <c r="J349" s="45" t="inlineStr">
        <is>
          <t>Enters tapped</t>
        </is>
      </c>
      <c r="K349" s="45" t="inlineStr">
        <is>
          <t>Pay {W}, tap: put a card from graveyard on bottom of library</t>
        </is>
      </c>
      <c r="L349" s="41" t="n"/>
      <c r="M349" s="41" t="n"/>
      <c r="N349" s="41" t="n"/>
      <c r="O349" s="41" t="n"/>
      <c r="P349" s="41" t="n">
        <v>0.25</v>
      </c>
      <c r="Q349" s="41" t="n"/>
      <c r="R349" s="41" t="n"/>
      <c r="S349" s="41" t="n"/>
      <c r="T349" s="41" t="n"/>
      <c r="U349" s="41" t="n"/>
      <c r="V349" s="45" t="inlineStr">
        <is>
          <t>Shadowmoor</t>
        </is>
      </c>
      <c r="W349" s="41" t="n">
        <v>1</v>
      </c>
      <c r="X349" s="37">
        <f>SUM(Y349:AE349)</f>
        <v/>
      </c>
      <c r="Y349" s="43" t="n">
        <v>1</v>
      </c>
      <c r="Z349" s="43" t="n"/>
      <c r="AA349" s="43" t="n"/>
      <c r="AB349" s="43" t="n"/>
      <c r="AC349" s="43" t="n"/>
      <c r="AD349" s="43" t="n"/>
      <c r="AE349" s="43" t="n"/>
      <c r="AF349" s="38">
        <f>IF((W349-SUM(Y349:AE349))&lt;0,0,W349-SUM(Y349:AE349))</f>
        <v/>
      </c>
      <c r="AG349" s="34">
        <f>MAX(0,$AT349-$W349-$AI349)</f>
        <v/>
      </c>
      <c r="AH349" s="34" t="n"/>
      <c r="AI349" s="34" t="n"/>
      <c r="AJ349" s="36" t="n">
        <v>0.27</v>
      </c>
      <c r="AK349" s="36">
        <f>IF(AND($AG349&gt;0,ISNUMBER($AJ349)),$AG349*$AJ349,0)</f>
        <v/>
      </c>
      <c r="AT349" s="37">
        <f>SUM(AU349:BA349)</f>
        <v/>
      </c>
      <c r="AU349" s="82" t="n">
        <v>1</v>
      </c>
      <c r="AV349" s="33" t="n"/>
      <c r="AW349" s="33" t="n"/>
      <c r="AX349" s="33" t="n"/>
      <c r="AY349" s="33" t="n"/>
      <c r="AZ349" s="33" t="n"/>
      <c r="BA349" s="74" t="n"/>
      <c r="BB349" s="106" t="n"/>
      <c r="BC349" s="42" t="n"/>
      <c r="BD349" s="42" t="n"/>
    </row>
    <row r="350" ht="15" customHeight="1" s="148">
      <c r="A350" t="inlineStr">
        <is>
          <t>c0346</t>
        </is>
      </c>
      <c r="B350" s="44" t="inlineStr">
        <is>
          <t>Mountain</t>
        </is>
      </c>
      <c r="C350" s="34" t="inlineStr">
        <is>
          <t>L</t>
        </is>
      </c>
      <c r="D350" s="44" t="inlineStr">
        <is>
          <t>Basic Land</t>
        </is>
      </c>
      <c r="E350" s="41" t="inlineStr">
        <is>
          <t>B2</t>
        </is>
      </c>
      <c r="F350" s="34" t="n">
        <v>0</v>
      </c>
      <c r="G350" s="67" t="inlineStr">
        <is>
          <t>({T}: Add {R}.)</t>
        </is>
      </c>
      <c r="H350" s="45" t="inlineStr">
        <is>
          <t>Land</t>
        </is>
      </c>
      <c r="I350" s="45" t="inlineStr">
        <is>
          <t>Taps for {R}</t>
        </is>
      </c>
      <c r="J350" s="45" t="n"/>
      <c r="K350" s="45" t="n"/>
      <c r="L350" s="42" t="n"/>
      <c r="M350" s="42" t="n"/>
      <c r="N350" s="42" t="n"/>
      <c r="O350" s="63" t="n"/>
      <c r="P350" s="63" t="n">
        <v>0.08</v>
      </c>
      <c r="Q350" s="42" t="n"/>
      <c r="R350" s="42" t="n"/>
      <c r="S350" s="42" t="n"/>
      <c r="T350" s="63" t="n"/>
      <c r="U350" s="63" t="n"/>
      <c r="V350" s="45" t="inlineStr">
        <is>
          <t>Limited Edition Alpha</t>
        </is>
      </c>
      <c r="W350" s="41" t="n">
        <v>88</v>
      </c>
      <c r="X350" s="37">
        <f>SUM(Y350:AE350)</f>
        <v/>
      </c>
      <c r="Y350" s="43" t="n">
        <v>8</v>
      </c>
      <c r="Z350" s="43" t="n"/>
      <c r="AA350" s="43" t="n"/>
      <c r="AB350" s="43" t="n"/>
      <c r="AC350" s="43" t="n"/>
      <c r="AD350" s="43" t="n">
        <v>33</v>
      </c>
      <c r="AE350" s="43" t="n"/>
      <c r="AF350" s="38">
        <f>IF((W350-SUM(Y350:AE350))&lt;0,0,W350-SUM(Y350:AE350))</f>
        <v/>
      </c>
      <c r="AG350" s="34">
        <f>MAX(0,$AT350-$W350-$AI350)</f>
        <v/>
      </c>
      <c r="AH350" s="34" t="n"/>
      <c r="AI350" s="34" t="n"/>
      <c r="AJ350" s="36" t="n">
        <v>0.1</v>
      </c>
      <c r="AK350" s="36">
        <f>IF(AND($AG350&gt;0,ISNUMBER($AJ350)),$AG350*$AJ350,0)</f>
        <v/>
      </c>
      <c r="AT350" s="37">
        <f>SUM(AU350:BA350)</f>
        <v/>
      </c>
      <c r="AU350" s="82" t="n">
        <v>8</v>
      </c>
      <c r="AV350" s="33" t="n"/>
      <c r="AW350" s="33" t="n"/>
      <c r="AX350" s="33" t="n"/>
      <c r="AY350" s="33" t="n"/>
      <c r="AZ350" s="98" t="n">
        <v>33</v>
      </c>
      <c r="BA350" s="74" t="n"/>
      <c r="BB350" s="106" t="n"/>
      <c r="BC350" s="42" t="n"/>
      <c r="BD350" s="42" t="n"/>
    </row>
    <row r="351" ht="15" customHeight="1" s="148">
      <c r="A351" t="inlineStr">
        <is>
          <t>c0347</t>
        </is>
      </c>
      <c r="B351" s="44" t="inlineStr">
        <is>
          <t>Myriad Landscape</t>
        </is>
      </c>
      <c r="C351" s="34" t="inlineStr">
        <is>
          <t>L</t>
        </is>
      </c>
      <c r="D351" s="44" t="inlineStr">
        <is>
          <t>Land</t>
        </is>
      </c>
      <c r="E351" s="41" t="inlineStr">
        <is>
          <t>B2</t>
        </is>
      </c>
      <c r="F351" s="34" t="n">
        <v>0</v>
      </c>
      <c r="G351" s="67" t="inlineStr">
        <is>
          <t>This land enters tapped.
{T}: Add {C}.
{2}, {T}, Sacrifice this land: Search your library for up to two basic land cards that share a land type, put them onto the battlefield tapped, then shuffle.</t>
        </is>
      </c>
      <c r="H351" s="45" t="inlineStr">
        <is>
          <t>Flexible Fixing</t>
        </is>
      </c>
      <c r="I351" s="45" t="inlineStr">
        <is>
          <t>Taps for {C}</t>
        </is>
      </c>
      <c r="J351" s="45" t="inlineStr">
        <is>
          <t>Sacrifice: search for two basic lands sharing a land type, tapped</t>
        </is>
      </c>
      <c r="K351" s="45" t="n"/>
      <c r="L351" s="42" t="n"/>
      <c r="M351" s="42" t="n"/>
      <c r="N351" s="42" t="n"/>
      <c r="O351" s="42" t="n"/>
      <c r="P351" s="42" t="n">
        <v>0.27</v>
      </c>
      <c r="Q351" s="42" t="n"/>
      <c r="R351" s="42" t="n"/>
      <c r="S351" s="42" t="n"/>
      <c r="T351" s="42" t="n"/>
      <c r="U351" s="42" t="n"/>
      <c r="V351" s="45" t="inlineStr">
        <is>
          <t>Commander 2014</t>
        </is>
      </c>
      <c r="W351" s="41" t="n">
        <v>1</v>
      </c>
      <c r="X351" s="37">
        <f>SUM(Y351:AE351)</f>
        <v/>
      </c>
      <c r="Y351" s="43" t="n"/>
      <c r="Z351" s="43" t="n"/>
      <c r="AA351" s="43" t="n"/>
      <c r="AB351" s="43" t="n">
        <v>1</v>
      </c>
      <c r="AC351" s="43" t="n"/>
      <c r="AD351" s="43" t="n"/>
      <c r="AE351" s="43" t="n"/>
      <c r="AF351" s="38">
        <f>IF((W351-SUM(Y351:AE351))&lt;0,0,W351-SUM(Y351:AE351))</f>
        <v/>
      </c>
      <c r="AG351" s="34">
        <f>MAX(0,$AT351-$W351-$AI351)</f>
        <v/>
      </c>
      <c r="AH351" s="34" t="n"/>
      <c r="AI351" s="34" t="n"/>
      <c r="AJ351" s="36" t="n">
        <v>0.29</v>
      </c>
      <c r="AK351" s="36">
        <f>IF(AND($AG351&gt;0,ISNUMBER($AJ351)),$AG351*$AJ351,0)</f>
        <v/>
      </c>
      <c r="AT351" s="37">
        <f>SUM(AU351:BA351)</f>
        <v/>
      </c>
      <c r="AU351" s="73" t="n"/>
      <c r="AV351" s="33" t="n"/>
      <c r="AW351" s="33" t="n"/>
      <c r="AX351" s="99" t="n"/>
      <c r="AY351" s="33" t="n"/>
      <c r="AZ351" s="33" t="n"/>
      <c r="BA351" s="74" t="n"/>
      <c r="BB351" s="106" t="n"/>
      <c r="BC351" s="42" t="n"/>
      <c r="BD351" s="42" t="n"/>
    </row>
    <row r="352" ht="15" customHeight="1" s="148">
      <c r="A352" t="inlineStr">
        <is>
          <t>c0348</t>
        </is>
      </c>
      <c r="B352" s="44" t="inlineStr">
        <is>
          <t>Naya Panorama</t>
        </is>
      </c>
      <c r="C352" s="34" t="inlineStr">
        <is>
          <t>L</t>
        </is>
      </c>
      <c r="D352" s="44" t="inlineStr">
        <is>
          <t>Land</t>
        </is>
      </c>
      <c r="E352" s="41" t="inlineStr">
        <is>
          <t>B2</t>
        </is>
      </c>
      <c r="F352" s="34" t="n">
        <v>0</v>
      </c>
      <c r="G352" s="67" t="inlineStr">
        <is>
          <t>{T}: Add {C}.
{1}, {T}, Sacrifice this land: Search your library for a basic Mountain, Forest, or Plains card, put it onto the battlefield tapped, then shuffle.</t>
        </is>
      </c>
      <c r="H352" s="45" t="inlineStr">
        <is>
          <t>Land</t>
        </is>
      </c>
      <c r="I352" s="45" t="inlineStr">
        <is>
          <t>Taps for {C}</t>
        </is>
      </c>
      <c r="J352" s="45" t="inlineStr">
        <is>
          <t>Sacrifice to search for a Mountain, Forest, or Plains card, put tapped</t>
        </is>
      </c>
      <c r="K352" s="45" t="n"/>
      <c r="L352" s="42" t="n"/>
      <c r="M352" s="42" t="n"/>
      <c r="N352" s="42" t="n"/>
      <c r="O352" s="42" t="n"/>
      <c r="P352" s="42" t="n">
        <v>0.38</v>
      </c>
      <c r="Q352" s="42" t="n"/>
      <c r="R352" s="42" t="n"/>
      <c r="S352" s="42" t="n"/>
      <c r="T352" s="42" t="n"/>
      <c r="U352" s="42" t="n"/>
      <c r="V352" s="45" t="inlineStr">
        <is>
          <t>Shards of Alara</t>
        </is>
      </c>
      <c r="W352" s="41" t="n">
        <v>1</v>
      </c>
      <c r="X352" s="37">
        <f>SUM(Y352:AE352)</f>
        <v/>
      </c>
      <c r="Y352" s="43" t="n"/>
      <c r="Z352" s="43" t="n"/>
      <c r="AA352" s="43" t="n"/>
      <c r="AB352" s="43" t="n"/>
      <c r="AC352" s="43" t="n"/>
      <c r="AD352" s="43" t="n"/>
      <c r="AE352" s="43" t="n"/>
      <c r="AF352" s="38">
        <f>IF((W352-SUM(Y352:AE352))&lt;0,0,W352-SUM(Y352:AE352))</f>
        <v/>
      </c>
      <c r="AG352" s="34">
        <f>MAX(0,$AT352-$W352-$AI352)</f>
        <v/>
      </c>
      <c r="AH352" s="34" t="n"/>
      <c r="AI352" s="34" t="n"/>
      <c r="AJ352" s="36" t="n">
        <v>0.36</v>
      </c>
      <c r="AK352" s="36">
        <f>IF(AND($AG352&gt;0,ISNUMBER($AJ352)),$AG352*$AJ352,0)</f>
        <v/>
      </c>
      <c r="AT352" s="37">
        <f>SUM(AU352:BA352)</f>
        <v/>
      </c>
      <c r="AU352" s="73" t="n"/>
      <c r="AV352" s="33" t="n"/>
      <c r="AW352" s="33" t="n"/>
      <c r="AX352" s="33" t="n"/>
      <c r="AY352" s="33" t="n"/>
      <c r="AZ352" s="33" t="n"/>
      <c r="BA352" s="74" t="n"/>
      <c r="BB352" s="106" t="n"/>
      <c r="BC352" s="42" t="n"/>
      <c r="BD352" s="42" t="n"/>
    </row>
    <row r="353" ht="15" customHeight="1" s="148">
      <c r="A353" t="inlineStr">
        <is>
          <t>c0349</t>
        </is>
      </c>
      <c r="B353" s="44" t="inlineStr">
        <is>
          <t>Night Market</t>
        </is>
      </c>
      <c r="C353" s="34" t="inlineStr">
        <is>
          <t>L</t>
        </is>
      </c>
      <c r="D353" s="44" t="inlineStr">
        <is>
          <t>Land</t>
        </is>
      </c>
      <c r="E353" s="41" t="inlineStr">
        <is>
          <t>B2</t>
        </is>
      </c>
      <c r="F353" s="34" t="n">
        <v>0</v>
      </c>
      <c r="G353" s="67" t="inlineStr">
        <is>
          <t>This land enters tapped. As it enters, choose a color.
{T}: Add one mana of the chosen color.
Cycling {3} ({3}, Discard this card: Draw a card.)</t>
        </is>
      </c>
      <c r="H353" s="45" t="inlineStr">
        <is>
          <t>Land</t>
        </is>
      </c>
      <c r="I353" s="45" t="inlineStr">
        <is>
          <t>Taps for a chosen color</t>
        </is>
      </c>
      <c r="J353" s="45" t="inlineStr">
        <is>
          <t>Enters tapped</t>
        </is>
      </c>
      <c r="K353" s="45" t="inlineStr">
        <is>
          <t>Discard for {3} to draw a card instead of playing it</t>
        </is>
      </c>
      <c r="L353" s="88" t="inlineStr">
        <is>
          <t>C 0258</t>
        </is>
      </c>
      <c r="M353" s="41" t="n">
        <v>1</v>
      </c>
      <c r="N353" s="41" t="n">
        <v>1</v>
      </c>
      <c r="O353" s="63" t="inlineStr">
        <is>
          <t>David Alvarez</t>
        </is>
      </c>
      <c r="P353" s="90" t="n">
        <v>0.3</v>
      </c>
      <c r="Q353" s="41" t="inlineStr">
        <is>
          <t>C</t>
        </is>
      </c>
      <c r="R353" s="41" t="n"/>
      <c r="S353" s="41" t="n"/>
      <c r="T353" s="63" t="n"/>
      <c r="U353" s="63" t="n"/>
      <c r="V353" s="45" t="inlineStr">
        <is>
          <t>Aetherdrift</t>
        </is>
      </c>
      <c r="W353" s="41" t="n">
        <v>1</v>
      </c>
      <c r="X353" s="37">
        <f>SUM(Y353:AE353)</f>
        <v/>
      </c>
      <c r="Y353" s="43" t="n"/>
      <c r="Z353" s="43" t="n"/>
      <c r="AA353" s="43" t="n"/>
      <c r="AB353" s="43" t="n"/>
      <c r="AC353" s="43" t="n"/>
      <c r="AD353" s="43" t="n"/>
      <c r="AE353" s="43" t="n"/>
      <c r="AF353" s="38">
        <f>IF((W353-SUM(Y353:AE353))&lt;0,0,W353-SUM(Y353:AE353))</f>
        <v/>
      </c>
      <c r="AG353" s="34">
        <f>MAX(0,$AT353-$W353-$AI353)</f>
        <v/>
      </c>
      <c r="AH353" s="34" t="n"/>
      <c r="AI353" s="34" t="n"/>
      <c r="AJ353" s="36" t="n">
        <v>0.3</v>
      </c>
      <c r="AK353" s="36">
        <f>IF(AND($AG353&gt;0,ISNUMBER($AJ353)),$AG353*$AJ353,0)</f>
        <v/>
      </c>
      <c r="AT353" s="37">
        <f>SUM(AU353:BA353)</f>
        <v/>
      </c>
      <c r="AU353" s="73" t="n"/>
      <c r="AV353" s="33" t="n"/>
      <c r="AW353" s="33" t="n"/>
      <c r="AX353" s="33" t="n"/>
      <c r="AY353" s="33" t="n"/>
      <c r="AZ353" s="33" t="n"/>
      <c r="BA353" s="74" t="n"/>
      <c r="BB353" s="106" t="n"/>
      <c r="BC353" s="42" t="n"/>
      <c r="BD353" s="42" t="n"/>
    </row>
    <row r="354" ht="15" customHeight="1" s="148">
      <c r="A354" t="inlineStr">
        <is>
          <t>c0350</t>
        </is>
      </c>
      <c r="B354" s="44" t="inlineStr">
        <is>
          <t>Orzhov Basilica</t>
        </is>
      </c>
      <c r="C354" s="34" t="inlineStr">
        <is>
          <t>L</t>
        </is>
      </c>
      <c r="D354" s="44" t="inlineStr">
        <is>
          <t>Land</t>
        </is>
      </c>
      <c r="E354" s="41" t="inlineStr">
        <is>
          <t>B2</t>
        </is>
      </c>
      <c r="F354" s="34" t="n">
        <v>0</v>
      </c>
      <c r="G354" s="67" t="inlineStr">
        <is>
          <t>This land enters tapped.
When this land enters, return a land you control to its owner's hand.
{T}: Add {W}{B}.</t>
        </is>
      </c>
      <c r="H354" s="45" t="inlineStr">
        <is>
          <t>Land</t>
        </is>
      </c>
      <c r="I354" s="45" t="inlineStr">
        <is>
          <t>Taps for {W}{B}</t>
        </is>
      </c>
      <c r="J354" s="45" t="inlineStr">
        <is>
          <t>Enters tapped; bounces a land you control when it enters</t>
        </is>
      </c>
      <c r="K354" s="45" t="n"/>
      <c r="L354" s="42" t="n"/>
      <c r="M354" s="42" t="n"/>
      <c r="N354" s="42" t="n"/>
      <c r="O354" s="42" t="n"/>
      <c r="P354" s="42" t="n">
        <v>0.29</v>
      </c>
      <c r="Q354" s="42" t="n"/>
      <c r="R354" s="42" t="n"/>
      <c r="S354" s="42" t="n"/>
      <c r="T354" s="42" t="n"/>
      <c r="U354" s="42" t="n"/>
      <c r="V354" s="45" t="inlineStr">
        <is>
          <t>Guildpact</t>
        </is>
      </c>
      <c r="W354" s="41" t="n">
        <v>1</v>
      </c>
      <c r="X354" s="37">
        <f>SUM(Y354:AE354)</f>
        <v/>
      </c>
      <c r="Y354" s="43" t="n"/>
      <c r="Z354" s="43" t="n"/>
      <c r="AA354" s="43" t="n"/>
      <c r="AB354" s="43" t="n"/>
      <c r="AC354" s="43" t="n">
        <v>1</v>
      </c>
      <c r="AD354" s="43" t="n"/>
      <c r="AE354" s="43" t="n"/>
      <c r="AF354" s="38">
        <f>IF((W354-SUM(Y354:AE354))&lt;0,0,W354-SUM(Y354:AE354))</f>
        <v/>
      </c>
      <c r="AG354" s="34">
        <f>MAX(0,$AT354-$W354-$AI354)</f>
        <v/>
      </c>
      <c r="AH354" s="34" t="n"/>
      <c r="AI354" s="34" t="n"/>
      <c r="AJ354" s="36" t="n">
        <v>0.27</v>
      </c>
      <c r="AK354" s="36">
        <f>IF(AND($AG354&gt;0,ISNUMBER($AJ354)),$AG354*$AJ354,0)</f>
        <v/>
      </c>
      <c r="AT354" s="37">
        <f>SUM(AU354:BA354)</f>
        <v/>
      </c>
      <c r="AU354" s="73" t="n"/>
      <c r="AV354" s="33" t="n"/>
      <c r="AW354" s="33" t="n"/>
      <c r="AX354" s="33" t="n"/>
      <c r="AY354" s="98" t="n">
        <v>1</v>
      </c>
      <c r="AZ354" s="33" t="n"/>
      <c r="BA354" s="74" t="n"/>
      <c r="BB354" s="106" t="n"/>
      <c r="BC354" s="42" t="n"/>
      <c r="BD354" s="42" t="n"/>
    </row>
    <row r="355" ht="15" customHeight="1" s="148">
      <c r="A355" t="inlineStr">
        <is>
          <t>c0351</t>
        </is>
      </c>
      <c r="B355" s="44" t="inlineStr">
        <is>
          <t>Orzhov Guildgate</t>
        </is>
      </c>
      <c r="C355" s="34" t="inlineStr">
        <is>
          <t>L</t>
        </is>
      </c>
      <c r="D355" s="44" t="inlineStr">
        <is>
          <t>Land</t>
        </is>
      </c>
      <c r="E355" s="41" t="inlineStr">
        <is>
          <t>B2</t>
        </is>
      </c>
      <c r="F355" s="34" t="n">
        <v>0</v>
      </c>
      <c r="G355" s="67" t="inlineStr">
        <is>
          <t>This land enters tapped.
{T}: Add {W} or {B}.</t>
        </is>
      </c>
      <c r="H355" s="45" t="inlineStr">
        <is>
          <t>Land</t>
        </is>
      </c>
      <c r="I355" s="45" t="inlineStr">
        <is>
          <t>This land enters tapped. / {T}: Add {W} or {B}.</t>
        </is>
      </c>
      <c r="J355" s="45" t="n"/>
      <c r="K355" s="45" t="n"/>
      <c r="L355" s="41" t="n"/>
      <c r="M355" s="41" t="n"/>
      <c r="N355" s="41" t="n"/>
      <c r="O355" s="63" t="n"/>
      <c r="P355" s="63" t="n"/>
      <c r="Q355" s="41" t="n"/>
      <c r="R355" s="41" t="n"/>
      <c r="S355" s="41" t="n"/>
      <c r="T355" s="63" t="n"/>
      <c r="U355" s="63" t="n"/>
      <c r="V355" s="45" t="inlineStr">
        <is>
          <t>Gatecrash</t>
        </is>
      </c>
      <c r="W355" s="41" t="n">
        <v>1</v>
      </c>
      <c r="X355" s="37">
        <f>SUM(Y355:AE355)</f>
        <v/>
      </c>
      <c r="Y355" s="43" t="n"/>
      <c r="Z355" s="43" t="n"/>
      <c r="AA355" s="43" t="n"/>
      <c r="AB355" s="43" t="n"/>
      <c r="AC355" s="43" t="n">
        <v>1</v>
      </c>
      <c r="AD355" s="43" t="n"/>
      <c r="AE355" s="43" t="n"/>
      <c r="AF355" s="38">
        <f>IF((W355-SUM(Y355:AE355))&lt;0,0,W355-SUM(Y355:AE355))</f>
        <v/>
      </c>
      <c r="AG355" s="34">
        <f>MAX(0,$AT355-$W355-$AI355)</f>
        <v/>
      </c>
      <c r="AH355" s="34" t="n"/>
      <c r="AI355" s="34" t="n"/>
      <c r="AJ355" s="36" t="n">
        <v>0.13</v>
      </c>
      <c r="AK355" s="36">
        <f>IF(AND($AG355&gt;0,ISNUMBER($AJ355)),$AG355*$AJ355,0)</f>
        <v/>
      </c>
      <c r="AT355" s="37">
        <f>SUM(AU355:BA355)</f>
        <v/>
      </c>
      <c r="AU355" s="73" t="n"/>
      <c r="AV355" s="33" t="n"/>
      <c r="AW355" s="33" t="n"/>
      <c r="AX355" s="33" t="n"/>
      <c r="AY355" s="98" t="n">
        <v>1</v>
      </c>
      <c r="AZ355" s="33" t="n"/>
      <c r="BA355" s="74" t="n"/>
      <c r="BB355" s="106" t="n"/>
      <c r="BC355" s="42" t="n"/>
      <c r="BD355" s="50" t="inlineStr">
        <is>
          <t>ORDERED 2026-09-11 $0.40</t>
        </is>
      </c>
    </row>
    <row r="356" ht="15" customHeight="1" s="148">
      <c r="A356" t="inlineStr">
        <is>
          <t>c0352</t>
        </is>
      </c>
      <c r="B356" s="30" t="inlineStr">
        <is>
          <t>Paradox Gardens</t>
        </is>
      </c>
      <c r="C356" s="31" t="inlineStr">
        <is>
          <t>L</t>
        </is>
      </c>
      <c r="D356" s="30" t="inlineStr">
        <is>
          <t>Land</t>
        </is>
      </c>
      <c r="E356" s="33" t="inlineStr">
        <is>
          <t>B2</t>
        </is>
      </c>
      <c r="F356" s="30" t="n">
        <v>0</v>
      </c>
      <c r="G356" s="67" t="inlineStr">
        <is>
          <t>This land enters tapped.
{T}: Add {G} or {U}.
{2}{G}{U}, {T}: Surveil 1. (Look at the top card of your library. You may put it into your graveyard.)</t>
        </is>
      </c>
      <c r="H356" s="30" t="inlineStr">
        <is>
          <t>Land</t>
        </is>
      </c>
      <c r="I356" s="30" t="inlineStr">
        <is>
          <t>Taps for {G} or {U}</t>
        </is>
      </c>
      <c r="J356" s="30" t="inlineStr">
        <is>
          <t>Enters tapped</t>
        </is>
      </c>
      <c r="K356" s="30" t="inlineStr">
        <is>
          <t>{2}{G}{U}, {T}: Surveil 1</t>
        </is>
      </c>
      <c r="L356" s="32" t="inlineStr">
        <is>
          <t>258</t>
        </is>
      </c>
      <c r="M356" s="32" t="n">
        <v>1</v>
      </c>
      <c r="N356" s="32" t="n">
        <v>0</v>
      </c>
      <c r="O356" s="63" t="inlineStr">
        <is>
          <t>Leon Tukker</t>
        </is>
      </c>
      <c r="P356" s="63" t="n">
        <v>0.17</v>
      </c>
      <c r="Q356" s="32" t="inlineStr">
        <is>
          <t>Common</t>
        </is>
      </c>
      <c r="R356" s="32" t="n"/>
      <c r="S356" s="32" t="n"/>
      <c r="T356" s="63" t="n"/>
      <c r="U356" s="63" t="n"/>
      <c r="V356" s="30" t="inlineStr">
        <is>
          <t>Secrets of Strixhaven</t>
        </is>
      </c>
      <c r="W356" s="41" t="n">
        <v>1</v>
      </c>
      <c r="X356" s="37">
        <f>SUM(Y356:AE356)</f>
        <v/>
      </c>
      <c r="Y356" s="43" t="n"/>
      <c r="Z356" s="43" t="n">
        <v>1</v>
      </c>
      <c r="AA356" s="43" t="n"/>
      <c r="AB356" s="43" t="n"/>
      <c r="AC356" s="43" t="n"/>
      <c r="AD356" s="43" t="n"/>
      <c r="AE356" s="43" t="n"/>
      <c r="AF356" s="38">
        <f>IF((W356-SUM(Y356:AE356))&lt;0,0,W356-SUM(Y356:AE356))</f>
        <v/>
      </c>
      <c r="AG356" s="34">
        <f>MAX(0,$AT356-$W356-$AI356)</f>
        <v/>
      </c>
      <c r="AH356" s="30" t="n"/>
      <c r="AI356" s="30" t="n"/>
      <c r="AJ356" s="30" t="n">
        <v>0.17</v>
      </c>
      <c r="AK356" s="36">
        <f>IF(AND($AG356&gt;0,ISNUMBER($AJ356)),$AG356*$AJ356,0)</f>
        <v/>
      </c>
      <c r="AT356" s="37">
        <f>SUM(AU356:BA356)</f>
        <v/>
      </c>
      <c r="AU356" s="73" t="n"/>
      <c r="AV356" s="98" t="n">
        <v>1</v>
      </c>
      <c r="AW356" s="33" t="n"/>
      <c r="AX356" s="33" t="n"/>
      <c r="AY356" s="33" t="n"/>
      <c r="AZ356" s="33" t="n"/>
      <c r="BA356" s="74" t="n"/>
      <c r="BB356" s="108" t="n"/>
      <c r="BC356" s="32" t="n"/>
      <c r="BD356" s="32" t="n"/>
    </row>
    <row r="357" ht="15" customHeight="1" s="148">
      <c r="A357" t="inlineStr">
        <is>
          <t>c0353</t>
        </is>
      </c>
      <c r="B357" s="44" t="inlineStr">
        <is>
          <t>Path of Ancestry</t>
        </is>
      </c>
      <c r="C357" s="34" t="inlineStr">
        <is>
          <t>L</t>
        </is>
      </c>
      <c r="D357" s="44" t="inlineStr">
        <is>
          <t>Land</t>
        </is>
      </c>
      <c r="E357" s="41" t="inlineStr">
        <is>
          <t>B2</t>
        </is>
      </c>
      <c r="F357" s="34" t="n">
        <v>0</v>
      </c>
      <c r="G357" s="67" t="inlineStr">
        <is>
          <t>This land enters tapped.
{T}: Add one mana of any color in your commander's color identity. When that mana is spent to cast a creature spell that shares a creature type with your commander, scry 1. (Look at the top card of your library. You may put that card on the bottom.)</t>
        </is>
      </c>
      <c r="H357" s="45" t="inlineStr">
        <is>
          <t>Land</t>
        </is>
      </c>
      <c r="I357" s="45" t="inlineStr">
        <is>
          <t>Taps for one mana in your commander's color identity</t>
        </is>
      </c>
      <c r="J357" s="45" t="inlineStr">
        <is>
          <t>Scry 1 when that mana casts a creature sharing a type with your commander</t>
        </is>
      </c>
      <c r="K357" s="45" t="n"/>
      <c r="L357" s="42" t="n"/>
      <c r="M357" s="42" t="n"/>
      <c r="N357" s="42" t="n"/>
      <c r="O357" s="42" t="n"/>
      <c r="P357" s="42" t="n">
        <v>0.22</v>
      </c>
      <c r="Q357" s="42" t="n"/>
      <c r="R357" s="42" t="n"/>
      <c r="S357" s="42" t="n"/>
      <c r="T357" s="42" t="n"/>
      <c r="U357" s="42" t="n"/>
      <c r="V357" s="45" t="inlineStr">
        <is>
          <t>Commander 2017</t>
        </is>
      </c>
      <c r="W357" s="41" t="n">
        <v>1</v>
      </c>
      <c r="X357" s="37">
        <f>SUM(Y357:AE357)</f>
        <v/>
      </c>
      <c r="Y357" s="43" t="n"/>
      <c r="Z357" s="43" t="n"/>
      <c r="AA357" s="43" t="n"/>
      <c r="AB357" s="43" t="n"/>
      <c r="AC357" s="43" t="n"/>
      <c r="AD357" s="43" t="n">
        <v>1</v>
      </c>
      <c r="AE357" s="43" t="n"/>
      <c r="AF357" s="38">
        <f>IF((W357-SUM(Y357:AE357))&lt;0,0,W357-SUM(Y357:AE357))</f>
        <v/>
      </c>
      <c r="AG357" s="34">
        <f>MAX(0,$AT357-$W357-$AI357)</f>
        <v/>
      </c>
      <c r="AH357" s="34" t="n"/>
      <c r="AI357" s="34" t="n"/>
      <c r="AJ357" s="36" t="n">
        <v>0.22</v>
      </c>
      <c r="AK357" s="36">
        <f>IF(AND($AG357&gt;0,ISNUMBER($AJ357)),$AG357*$AJ357,0)</f>
        <v/>
      </c>
      <c r="AT357" s="37">
        <f>SUM(AU357:BA357)</f>
        <v/>
      </c>
      <c r="AU357" s="73" t="n"/>
      <c r="AV357" s="33" t="n"/>
      <c r="AW357" s="33" t="n"/>
      <c r="AX357" s="33" t="n"/>
      <c r="AY357" s="33" t="n"/>
      <c r="AZ357" s="98" t="n">
        <v>1</v>
      </c>
      <c r="BA357" s="74" t="n"/>
      <c r="BB357" s="106" t="n"/>
      <c r="BC357" s="42" t="n"/>
      <c r="BD357" s="42" t="n"/>
    </row>
    <row r="358" ht="15" customHeight="1" s="148">
      <c r="A358" t="inlineStr">
        <is>
          <t>c0354</t>
        </is>
      </c>
      <c r="B358" s="44" t="inlineStr">
        <is>
          <t>Plains</t>
        </is>
      </c>
      <c r="C358" s="34" t="inlineStr">
        <is>
          <t>L</t>
        </is>
      </c>
      <c r="D358" s="44" t="inlineStr">
        <is>
          <t>Basic Land</t>
        </is>
      </c>
      <c r="E358" s="41" t="inlineStr">
        <is>
          <t>B2</t>
        </is>
      </c>
      <c r="F358" s="34" t="n">
        <v>0</v>
      </c>
      <c r="G358" s="67" t="inlineStr">
        <is>
          <t>({T}: Add {W}.)</t>
        </is>
      </c>
      <c r="H358" s="45" t="inlineStr">
        <is>
          <t>Land</t>
        </is>
      </c>
      <c r="I358" s="45" t="inlineStr">
        <is>
          <t>Taps for {W}</t>
        </is>
      </c>
      <c r="J358" s="45" t="n"/>
      <c r="K358" s="45" t="n"/>
      <c r="L358" s="42" t="inlineStr">
        <is>
          <t>189</t>
        </is>
      </c>
      <c r="M358" s="42" t="n">
        <v>1</v>
      </c>
      <c r="N358" s="42" t="n">
        <v>0</v>
      </c>
      <c r="O358" s="63" t="inlineStr">
        <is>
          <t>Chris Cold</t>
        </is>
      </c>
      <c r="P358" s="63" t="n">
        <v>0.08</v>
      </c>
      <c r="Q358" s="42" t="inlineStr">
        <is>
          <t>Common</t>
        </is>
      </c>
      <c r="R358" s="42" t="n">
        <v>1</v>
      </c>
      <c r="S358" s="42" t="n">
        <v>0</v>
      </c>
      <c r="T358" s="63" t="inlineStr">
        <is>
          <t>Justin Gerard</t>
        </is>
      </c>
      <c r="U358" s="63" t="n">
        <v>0.08</v>
      </c>
      <c r="V358" s="45" t="inlineStr">
        <is>
          <t>The Hobbit</t>
        </is>
      </c>
      <c r="W358" s="41" t="n">
        <v>95</v>
      </c>
      <c r="X358" s="37">
        <f>SUM(Y358:AE358)</f>
        <v/>
      </c>
      <c r="Y358" s="43" t="n">
        <v>9</v>
      </c>
      <c r="Z358" s="43" t="n">
        <v>6</v>
      </c>
      <c r="AA358" s="43" t="n">
        <v>5</v>
      </c>
      <c r="AB358" s="43" t="n">
        <v>9</v>
      </c>
      <c r="AC358" s="43" t="n">
        <v>17</v>
      </c>
      <c r="AD358" s="43" t="n"/>
      <c r="AE358" s="43" t="n"/>
      <c r="AF358" s="38">
        <f>IF((W358-SUM(Y358:AE358))&lt;0,0,W358-SUM(Y358:AE358))</f>
        <v/>
      </c>
      <c r="AG358" s="34">
        <f>MAX(0,$AT358-$W358-$AI358)</f>
        <v/>
      </c>
      <c r="AH358" s="34" t="n"/>
      <c r="AI358" s="34" t="n"/>
      <c r="AJ358" s="36" t="n">
        <v>0.1</v>
      </c>
      <c r="AK358" s="36">
        <f>IF(AND($AG358&gt;0,ISNUMBER($AJ358)),$AG358*$AJ358,0)</f>
        <v/>
      </c>
      <c r="AT358" s="37">
        <f>SUM(AU358:BA358)</f>
        <v/>
      </c>
      <c r="AU358" s="82" t="n">
        <v>9</v>
      </c>
      <c r="AV358" s="98" t="n">
        <v>6</v>
      </c>
      <c r="AW358" s="98" t="n">
        <v>5</v>
      </c>
      <c r="AX358" s="98" t="n">
        <v>9</v>
      </c>
      <c r="AY358" s="98" t="n">
        <v>17</v>
      </c>
      <c r="AZ358" s="33" t="n"/>
      <c r="BA358" s="74" t="n"/>
      <c r="BB358" s="106" t="n"/>
      <c r="BC358" s="42" t="n"/>
      <c r="BD358" s="42" t="n"/>
    </row>
    <row r="359" ht="15" customHeight="1" s="148">
      <c r="A359" t="inlineStr">
        <is>
          <t>c0355</t>
        </is>
      </c>
      <c r="B359" s="30" t="inlineStr">
        <is>
          <t>Plaza of Heroes</t>
        </is>
      </c>
      <c r="C359" s="31" t="inlineStr">
        <is>
          <t>L</t>
        </is>
      </c>
      <c r="D359" s="30" t="inlineStr">
        <is>
          <t>Land</t>
        </is>
      </c>
      <c r="E359" s="33" t="inlineStr">
        <is>
          <t>B2</t>
        </is>
      </c>
      <c r="F359" s="30" t="n">
        <v>0</v>
      </c>
      <c r="G359" s="67" t="inlineStr">
        <is>
          <t>{T}: Add {C}.
{T}: Add one mana of any color. Spend this mana only to cast a legendary spell.
{T}: Add one mana of any color among legendary permanents you control.
{3}, {T}, Exile this land: Target legendary creature gains hexproof and indestructible until end of turn.</t>
        </is>
      </c>
      <c r="H359" s="30" t="inlineStr">
        <is>
          <t>Land</t>
        </is>
      </c>
      <c r="I359" s="30" t="inlineStr">
        <is>
          <t>Taps for {C}, or any color for a legendary spell, or any color among legendary permanents you control</t>
        </is>
      </c>
      <c r="J359" s="30" t="inlineStr">
        <is>
          <t>{3}, {T}, Exile: target legendary creature gains hexproof and indestructible until end of turn</t>
        </is>
      </c>
      <c r="K359" s="30" t="n"/>
      <c r="L359" s="32" t="n"/>
      <c r="M359" s="32" t="n"/>
      <c r="N359" s="32" t="n"/>
      <c r="O359" s="63" t="n"/>
      <c r="P359" s="63" t="n"/>
      <c r="Q359" s="32" t="n"/>
      <c r="R359" s="32" t="n"/>
      <c r="S359" s="32" t="n"/>
      <c r="T359" s="63" t="n"/>
      <c r="U359" s="63" t="n"/>
      <c r="V359" s="30" t="inlineStr">
        <is>
          <t>Dominaria United</t>
        </is>
      </c>
      <c r="W359" s="41" t="n">
        <v>1</v>
      </c>
      <c r="X359" s="37">
        <f>SUM(Y359:AE359)</f>
        <v/>
      </c>
      <c r="Y359" s="43" t="n"/>
      <c r="Z359" s="43" t="n"/>
      <c r="AA359" s="43" t="n"/>
      <c r="AB359" s="43" t="n">
        <v>1</v>
      </c>
      <c r="AC359" s="43" t="n"/>
      <c r="AD359" s="43" t="n"/>
      <c r="AE359" s="43" t="n"/>
      <c r="AF359" s="38">
        <f>IF((W359-SUM(Y359:AE359))&lt;0,0,W359-SUM(Y359:AE359))</f>
        <v/>
      </c>
      <c r="AG359" s="34">
        <f>MAX(0,$AT359-$W359-$AI359)</f>
        <v/>
      </c>
      <c r="AH359" s="30" t="n"/>
      <c r="AI359" s="30" t="n"/>
      <c r="AJ359" s="30" t="n">
        <v>4.82</v>
      </c>
      <c r="AK359" s="36">
        <f>IF(AND($AG359&gt;0,ISNUMBER($AJ359)),$AG359*$AJ359,0)</f>
        <v/>
      </c>
      <c r="AR359" s="58" t="n"/>
      <c r="AT359" s="37">
        <f>SUM(AU359:BA359)</f>
        <v/>
      </c>
      <c r="AU359" s="73" t="n"/>
      <c r="AV359" s="33" t="n"/>
      <c r="AW359" s="33" t="n"/>
      <c r="AX359" s="98" t="n">
        <v>1</v>
      </c>
      <c r="AY359" s="33" t="n"/>
      <c r="AZ359" s="33" t="n"/>
      <c r="BA359" s="79" t="n"/>
      <c r="BB359" s="108" t="n"/>
      <c r="BC359" s="32" t="n"/>
      <c r="BD359" s="32" t="n"/>
    </row>
    <row r="360" ht="15" customHeight="1" s="148">
      <c r="A360" t="inlineStr">
        <is>
          <t>c0356</t>
        </is>
      </c>
      <c r="B360" s="44" t="inlineStr">
        <is>
          <t>Radiant Grove</t>
        </is>
      </c>
      <c r="C360" s="34" t="inlineStr">
        <is>
          <t>L</t>
        </is>
      </c>
      <c r="D360" s="44" t="inlineStr">
        <is>
          <t>Land</t>
        </is>
      </c>
      <c r="E360" s="41" t="inlineStr">
        <is>
          <t>B2</t>
        </is>
      </c>
      <c r="F360" s="34" t="n">
        <v>0</v>
      </c>
      <c r="G360" s="67" t="inlineStr">
        <is>
          <t>({T}: Add {G} or {W}.)
This land enters tapped.</t>
        </is>
      </c>
      <c r="H360" s="45" t="inlineStr">
        <is>
          <t>Land</t>
        </is>
      </c>
      <c r="I360" s="45" t="inlineStr">
        <is>
          <t>Taps for {G} or {W}</t>
        </is>
      </c>
      <c r="J360" s="45" t="inlineStr">
        <is>
          <t>Enters tapped</t>
        </is>
      </c>
      <c r="K360" s="45" t="n"/>
      <c r="L360" s="42" t="n"/>
      <c r="M360" s="42" t="n"/>
      <c r="N360" s="42" t="n"/>
      <c r="O360" s="42" t="n"/>
      <c r="P360" s="42" t="n">
        <v>0.26</v>
      </c>
      <c r="Q360" s="42" t="n"/>
      <c r="R360" s="42" t="n"/>
      <c r="S360" s="42" t="n"/>
      <c r="T360" s="42" t="n"/>
      <c r="U360" s="42" t="n"/>
      <c r="V360" s="45" t="inlineStr">
        <is>
          <t>Dominaria United</t>
        </is>
      </c>
      <c r="W360" s="41" t="n">
        <v>0</v>
      </c>
      <c r="X360" s="37">
        <f>SUM(Y360:AE360)</f>
        <v/>
      </c>
      <c r="Y360" s="43" t="n"/>
      <c r="Z360" s="43" t="n"/>
      <c r="AA360" s="43" t="n"/>
      <c r="AB360" s="43" t="n"/>
      <c r="AC360" s="43" t="n"/>
      <c r="AD360" s="43" t="n"/>
      <c r="AE360" s="43" t="n"/>
      <c r="AF360" s="38">
        <f>IF((W360-SUM(Y360:AE360))&lt;0,0,W360-SUM(Y360:AE360))</f>
        <v/>
      </c>
      <c r="AG360" s="34">
        <f>MAX(0,$AT360-$W360-$AI360)</f>
        <v/>
      </c>
      <c r="AH360" s="34" t="inlineStr">
        <is>
          <t>TCG</t>
        </is>
      </c>
      <c r="AI360" s="34" t="n">
        <v>1</v>
      </c>
      <c r="AJ360" s="36" t="n">
        <v>0.22</v>
      </c>
      <c r="AK360" s="36">
        <f>IF(AND($AG360&gt;0,ISNUMBER($AJ360)),$AG360*$AJ360,0)</f>
        <v/>
      </c>
      <c r="AL360" s="54" t="n"/>
      <c r="AM360" s="54" t="n"/>
      <c r="AN360" s="54" t="n"/>
      <c r="AO360" s="54" t="n"/>
      <c r="AP360" s="54" t="n"/>
      <c r="AQ360" s="54" t="n"/>
      <c r="AR360" s="54" t="n"/>
      <c r="AS360" s="54" t="n"/>
      <c r="AT360" s="37">
        <f>SUM(AU360:BA360)</f>
        <v/>
      </c>
      <c r="AU360" s="92" t="n"/>
      <c r="AV360" s="38" t="n"/>
      <c r="AW360" s="38" t="n"/>
      <c r="AX360" s="38" t="n"/>
      <c r="AY360" s="38" t="n"/>
      <c r="AZ360" s="38" t="n"/>
      <c r="BA360" s="94" t="n"/>
      <c r="BB360" s="106" t="n"/>
      <c r="BC360" s="42" t="n"/>
      <c r="BD360" s="42" t="n"/>
    </row>
    <row r="361" ht="15" customHeight="1" s="148">
      <c r="A361" t="inlineStr">
        <is>
          <t>c0357</t>
        </is>
      </c>
      <c r="B361" s="44" t="inlineStr">
        <is>
          <t>Radiant Summit</t>
        </is>
      </c>
      <c r="C361" s="34" t="inlineStr">
        <is>
          <t>L</t>
        </is>
      </c>
      <c r="D361" s="44" t="inlineStr">
        <is>
          <t>Land</t>
        </is>
      </c>
      <c r="E361" s="41" t="inlineStr">
        <is>
          <t>B2</t>
        </is>
      </c>
      <c r="F361" s="34" t="n">
        <v>0</v>
      </c>
      <c r="G361" s="67" t="inlineStr">
        <is>
          <t>({T}: Add {R} or {W}.)
This land enters tapped unless you control two or more basic lands.</t>
        </is>
      </c>
      <c r="H361" s="45" t="inlineStr">
        <is>
          <t>Land</t>
        </is>
      </c>
      <c r="I361" s="45" t="inlineStr">
        <is>
          <t>Taps for {R} or {W}</t>
        </is>
      </c>
      <c r="J361" s="45" t="inlineStr">
        <is>
          <t>Enters tapped unless you control two or more basic lands</t>
        </is>
      </c>
      <c r="K361" s="45" t="n"/>
      <c r="L361" s="41" t="n"/>
      <c r="M361" s="41" t="n"/>
      <c r="N361" s="41" t="n"/>
      <c r="O361" s="41" t="n"/>
      <c r="P361" s="41" t="n">
        <v>0.39</v>
      </c>
      <c r="Q361" s="41" t="n"/>
      <c r="R361" s="41" t="n"/>
      <c r="S361" s="41" t="n"/>
      <c r="T361" s="41" t="n"/>
      <c r="U361" s="41" t="n"/>
      <c r="V361" s="45" t="inlineStr">
        <is>
          <t>Edge of Eternities Commander</t>
        </is>
      </c>
      <c r="W361" s="41" t="n">
        <v>1</v>
      </c>
      <c r="X361" s="37">
        <f>SUM(Y361:AE361)</f>
        <v/>
      </c>
      <c r="Y361" s="43" t="n">
        <v>1</v>
      </c>
      <c r="Z361" s="43" t="n"/>
      <c r="AA361" s="43" t="n"/>
      <c r="AB361" s="43" t="n"/>
      <c r="AC361" s="43" t="n"/>
      <c r="AD361" s="43" t="n"/>
      <c r="AE361" s="43" t="n"/>
      <c r="AF361" s="38">
        <f>IF((W361-SUM(Y361:AE361))&lt;0,0,W361-SUM(Y361:AE361))</f>
        <v/>
      </c>
      <c r="AG361" s="34">
        <f>MAX(0,$AT361-$W361-$AI361)</f>
        <v/>
      </c>
      <c r="AH361" s="34" t="n"/>
      <c r="AI361" s="34" t="n"/>
      <c r="AJ361" s="36" t="n">
        <v>0.4</v>
      </c>
      <c r="AK361" s="36">
        <f>IF(AND($AG361&gt;0,ISNUMBER($AJ361)),$AG361*$AJ361,0)</f>
        <v/>
      </c>
      <c r="AT361" s="37">
        <f>SUM(AU361:BA361)</f>
        <v/>
      </c>
      <c r="AU361" s="82" t="n">
        <v>1</v>
      </c>
      <c r="AV361" s="33" t="n"/>
      <c r="AW361" s="33" t="n"/>
      <c r="AX361" s="33" t="n"/>
      <c r="AY361" s="33" t="n"/>
      <c r="AZ361" s="33" t="n"/>
      <c r="BA361" s="74" t="n"/>
      <c r="BB361" s="106" t="n"/>
      <c r="BC361" s="42" t="n"/>
      <c r="BD361" s="42" t="n"/>
    </row>
    <row r="362" ht="15" customHeight="1" s="148">
      <c r="A362" t="inlineStr">
        <is>
          <t>c0358</t>
        </is>
      </c>
      <c r="B362" s="44" t="inlineStr">
        <is>
          <t>Reliquary Tower</t>
        </is>
      </c>
      <c r="C362" s="34" t="inlineStr">
        <is>
          <t>L</t>
        </is>
      </c>
      <c r="D362" s="44" t="inlineStr">
        <is>
          <t>Land</t>
        </is>
      </c>
      <c r="E362" s="41" t="inlineStr">
        <is>
          <t>B2</t>
        </is>
      </c>
      <c r="F362" s="34" t="n">
        <v>0</v>
      </c>
      <c r="G362" s="67" t="inlineStr">
        <is>
          <t>You have no maximum hand size.
{T}: Add {C}.</t>
        </is>
      </c>
      <c r="H362" s="45" t="inlineStr">
        <is>
          <t>Land</t>
        </is>
      </c>
      <c r="I362" s="45" t="inlineStr">
        <is>
          <t>You have no maximum hand size</t>
        </is>
      </c>
      <c r="J362" s="45" t="inlineStr">
        <is>
          <t>{T}: Add {C}</t>
        </is>
      </c>
      <c r="K362" s="45" t="n"/>
      <c r="L362" s="41" t="n"/>
      <c r="M362" s="41" t="n"/>
      <c r="N362" s="41" t="n"/>
      <c r="O362" s="41" t="n"/>
      <c r="P362" s="41" t="n">
        <v>4.26</v>
      </c>
      <c r="Q362" s="41" t="n"/>
      <c r="R362" s="41" t="n"/>
      <c r="S362" s="41" t="n"/>
      <c r="T362" s="41" t="n"/>
      <c r="U362" s="41" t="n"/>
      <c r="V362" s="45" t="inlineStr">
        <is>
          <t>Conflux</t>
        </is>
      </c>
      <c r="W362" s="41" t="n">
        <v>2</v>
      </c>
      <c r="X362" s="37">
        <f>SUM(Y362:AE362)</f>
        <v/>
      </c>
      <c r="Y362" s="43" t="n"/>
      <c r="Z362" s="43" t="n">
        <v>1</v>
      </c>
      <c r="AA362" s="43" t="n"/>
      <c r="AB362" s="43" t="n"/>
      <c r="AC362" s="43" t="n"/>
      <c r="AD362" s="43" t="n">
        <v>1</v>
      </c>
      <c r="AE362" s="43" t="n"/>
      <c r="AF362" s="38">
        <f>IF((W362-SUM(Y362:AE362))&lt;0,0,W362-SUM(Y362:AE362))</f>
        <v/>
      </c>
      <c r="AG362" s="34">
        <f>MAX(0,$AT362-$W362-$AI362)</f>
        <v/>
      </c>
      <c r="AH362" s="34" t="n"/>
      <c r="AI362" s="34" t="n"/>
      <c r="AJ362" s="36" t="n">
        <v>3.58</v>
      </c>
      <c r="AK362" s="36">
        <f>IF(AND($AG362&gt;0,ISNUMBER($AJ362)),$AG362*$AJ362,0)</f>
        <v/>
      </c>
      <c r="AT362" s="37">
        <f>SUM(AU362:BA362)</f>
        <v/>
      </c>
      <c r="AU362" s="73" t="n"/>
      <c r="AV362" s="98" t="n">
        <v>1</v>
      </c>
      <c r="AW362" s="33" t="n"/>
      <c r="AX362" s="33" t="n"/>
      <c r="AY362" s="33" t="n"/>
      <c r="AZ362" s="98" t="n">
        <v>1</v>
      </c>
      <c r="BA362" s="74" t="n"/>
      <c r="BB362" s="106" t="n"/>
      <c r="BC362" s="42" t="n"/>
      <c r="BD362" s="42" t="n"/>
    </row>
    <row r="363" ht="15" customHeight="1" s="148">
      <c r="A363" t="inlineStr">
        <is>
          <t>c0359</t>
        </is>
      </c>
      <c r="B363" s="44" t="inlineStr">
        <is>
          <t>Rugged Highlands</t>
        </is>
      </c>
      <c r="C363" s="34" t="inlineStr">
        <is>
          <t>L</t>
        </is>
      </c>
      <c r="D363" s="44" t="inlineStr">
        <is>
          <t>Land</t>
        </is>
      </c>
      <c r="E363" s="41" t="inlineStr">
        <is>
          <t>B2</t>
        </is>
      </c>
      <c r="F363" s="34" t="n">
        <v>0</v>
      </c>
      <c r="G363" s="67" t="inlineStr">
        <is>
          <t>This land enters tapped.
When this land enters, you gain 1 life.
{T}: Add {R} or {G}.</t>
        </is>
      </c>
      <c r="H363" s="45" t="inlineStr">
        <is>
          <t>Land</t>
        </is>
      </c>
      <c r="I363" s="45" t="inlineStr">
        <is>
          <t>Taps for {R} or {G}</t>
        </is>
      </c>
      <c r="J363" s="45" t="inlineStr">
        <is>
          <t>Gain 1 life when it enters</t>
        </is>
      </c>
      <c r="K363" s="45" t="n"/>
      <c r="L363" s="42" t="n"/>
      <c r="M363" s="42" t="n"/>
      <c r="N363" s="42" t="n"/>
      <c r="O363" s="63" t="n"/>
      <c r="P363" s="63" t="n">
        <v>0.22</v>
      </c>
      <c r="Q363" s="42" t="n"/>
      <c r="R363" s="42" t="n"/>
      <c r="S363" s="42" t="n"/>
      <c r="T363" s="63" t="n"/>
      <c r="U363" s="63" t="n"/>
      <c r="V363" s="45" t="inlineStr">
        <is>
          <t>Khans of Tarkir</t>
        </is>
      </c>
      <c r="W363" s="41" t="n">
        <v>1</v>
      </c>
      <c r="X363" s="37">
        <f>SUM(Y363:AE363)</f>
        <v/>
      </c>
      <c r="Y363" s="43" t="n"/>
      <c r="Z363" s="43" t="n"/>
      <c r="AA363" s="43" t="n"/>
      <c r="AB363" s="43" t="n"/>
      <c r="AC363" s="43" t="n"/>
      <c r="AD363" s="43" t="n"/>
      <c r="AE363" s="43" t="n"/>
      <c r="AF363" s="38">
        <f>IF((W363-SUM(Y363:AE363))&lt;0,0,W363-SUM(Y363:AE363))</f>
        <v/>
      </c>
      <c r="AG363" s="34">
        <f>MAX(0,$AT363-$W363-$AI363)</f>
        <v/>
      </c>
      <c r="AH363" s="34" t="n"/>
      <c r="AI363" s="34" t="n"/>
      <c r="AJ363" s="36" t="n">
        <v>0.12</v>
      </c>
      <c r="AK363" s="36">
        <f>IF(AND($AG363&gt;0,ISNUMBER($AJ363)),$AG363*$AJ363,0)</f>
        <v/>
      </c>
      <c r="AT363" s="37">
        <f>SUM(AU363:BA363)</f>
        <v/>
      </c>
      <c r="AU363" s="73" t="n"/>
      <c r="AV363" s="33" t="n"/>
      <c r="AW363" s="33" t="n"/>
      <c r="AX363" s="33" t="n"/>
      <c r="AY363" s="33" t="n"/>
      <c r="AZ363" s="33" t="n"/>
      <c r="BA363" s="74" t="n"/>
      <c r="BB363" s="106" t="n"/>
      <c r="BC363" s="42" t="n"/>
      <c r="BD363" s="42" t="n"/>
    </row>
    <row r="364" ht="15" customHeight="1" s="148">
      <c r="A364" t="inlineStr">
        <is>
          <t>c0360</t>
        </is>
      </c>
      <c r="B364" s="44" t="inlineStr">
        <is>
          <t>Rugged Prairie</t>
        </is>
      </c>
      <c r="C364" s="34" t="inlineStr">
        <is>
          <t>L</t>
        </is>
      </c>
      <c r="D364" s="44" t="inlineStr">
        <is>
          <t>Land</t>
        </is>
      </c>
      <c r="E364" s="41" t="inlineStr">
        <is>
          <t>B2</t>
        </is>
      </c>
      <c r="F364" s="34" t="n">
        <v>0</v>
      </c>
      <c r="G364" s="67" t="inlineStr">
        <is>
          <t>{T}: Add {C}.
{R/W}, {T}: Add {R}{R}, {R}{W}, or {W}{W}.</t>
        </is>
      </c>
      <c r="H364" s="45" t="inlineStr">
        <is>
          <t>Land</t>
        </is>
      </c>
      <c r="I364" s="45" t="inlineStr">
        <is>
          <t>Taps for {C}</t>
        </is>
      </c>
      <c r="J364" s="45" t="inlineStr">
        <is>
          <t>Pay a hybrid mana, tap: add two red and/or white mana</t>
        </is>
      </c>
      <c r="K364" s="45" t="n"/>
      <c r="L364" s="41" t="n"/>
      <c r="M364" s="41" t="n"/>
      <c r="N364" s="41" t="n"/>
      <c r="O364" s="41" t="n"/>
      <c r="P364" s="41" t="n">
        <v>0.34</v>
      </c>
      <c r="Q364" s="41" t="n"/>
      <c r="R364" s="41" t="n"/>
      <c r="S364" s="41" t="n"/>
      <c r="T364" s="41" t="n"/>
      <c r="U364" s="41" t="n"/>
      <c r="V364" s="45" t="inlineStr">
        <is>
          <t>Eventide</t>
        </is>
      </c>
      <c r="W364" s="41" t="n">
        <v>1</v>
      </c>
      <c r="X364" s="37">
        <f>SUM(Y364:AE364)</f>
        <v/>
      </c>
      <c r="Y364" s="43" t="n">
        <v>1</v>
      </c>
      <c r="Z364" s="43" t="n"/>
      <c r="AA364" s="43" t="n"/>
      <c r="AB364" s="43" t="n"/>
      <c r="AC364" s="43" t="n"/>
      <c r="AD364" s="43" t="n"/>
      <c r="AE364" s="43" t="n"/>
      <c r="AF364" s="38">
        <f>IF((W364-SUM(Y364:AE364))&lt;0,0,W364-SUM(Y364:AE364))</f>
        <v/>
      </c>
      <c r="AG364" s="34">
        <f>MAX(0,$AT364-$W364-$AI364)</f>
        <v/>
      </c>
      <c r="AH364" s="34" t="n"/>
      <c r="AI364" s="34" t="n"/>
      <c r="AJ364" s="36" t="n">
        <v>0.3</v>
      </c>
      <c r="AK364" s="36">
        <f>IF(AND($AG364&gt;0,ISNUMBER($AJ364)),$AG364*$AJ364,0)</f>
        <v/>
      </c>
      <c r="AT364" s="37">
        <f>SUM(AU364:BA364)</f>
        <v/>
      </c>
      <c r="AU364" s="82" t="n">
        <v>1</v>
      </c>
      <c r="AV364" s="33" t="n"/>
      <c r="AW364" s="33" t="n"/>
      <c r="AX364" s="33" t="n"/>
      <c r="AY364" s="33" t="n"/>
      <c r="AZ364" s="33" t="n"/>
      <c r="BA364" s="74" t="n"/>
      <c r="BB364" s="106" t="n"/>
      <c r="BC364" s="42" t="n"/>
      <c r="BD364" s="42" t="n"/>
    </row>
    <row r="365" ht="15" customHeight="1" s="148">
      <c r="A365" t="inlineStr">
        <is>
          <t>c0361</t>
        </is>
      </c>
      <c r="B365" s="44" t="inlineStr">
        <is>
          <t>Sacred Peaks</t>
        </is>
      </c>
      <c r="C365" s="34" t="inlineStr">
        <is>
          <t>L</t>
        </is>
      </c>
      <c r="D365" s="44" t="inlineStr">
        <is>
          <t>Land</t>
        </is>
      </c>
      <c r="E365" s="41" t="inlineStr">
        <is>
          <t>B2</t>
        </is>
      </c>
      <c r="F365" s="34" t="n">
        <v>0</v>
      </c>
      <c r="G365" s="67" t="inlineStr">
        <is>
          <t>({T}: Add {R} or {W}.)
This land enters tapped.</t>
        </is>
      </c>
      <c r="H365" s="45" t="inlineStr">
        <is>
          <t>Land</t>
        </is>
      </c>
      <c r="I365" s="45" t="inlineStr">
        <is>
          <t>Taps for {R} or {W}</t>
        </is>
      </c>
      <c r="J365" s="45" t="inlineStr">
        <is>
          <t>Enters tapped</t>
        </is>
      </c>
      <c r="K365" s="45" t="n"/>
      <c r="L365" s="41" t="n"/>
      <c r="M365" s="41" t="n"/>
      <c r="N365" s="41" t="n"/>
      <c r="O365" s="41" t="n"/>
      <c r="P365" s="41" t="n">
        <v>0.3</v>
      </c>
      <c r="Q365" s="41" t="n"/>
      <c r="R365" s="41" t="n"/>
      <c r="S365" s="41" t="n"/>
      <c r="T365" s="41" t="n"/>
      <c r="U365" s="41" t="n"/>
      <c r="V365" s="45" t="inlineStr">
        <is>
          <t>Dominaria United</t>
        </is>
      </c>
      <c r="W365" s="41" t="n">
        <v>1</v>
      </c>
      <c r="X365" s="37">
        <f>SUM(Y365:AE365)</f>
        <v/>
      </c>
      <c r="Y365" s="43" t="n">
        <v>1</v>
      </c>
      <c r="Z365" s="43" t="n"/>
      <c r="AA365" s="43" t="n"/>
      <c r="AB365" s="43" t="n"/>
      <c r="AC365" s="43" t="n"/>
      <c r="AD365" s="43" t="n"/>
      <c r="AE365" s="43" t="n"/>
      <c r="AF365" s="38">
        <f>IF((W365-SUM(Y365:AE365))&lt;0,0,W365-SUM(Y365:AE365))</f>
        <v/>
      </c>
      <c r="AG365" s="34">
        <f>MAX(0,$AT365-$W365-$AI365)</f>
        <v/>
      </c>
      <c r="AH365" s="34" t="n"/>
      <c r="AI365" s="34" t="n"/>
      <c r="AJ365" s="36" t="n">
        <v>0.28</v>
      </c>
      <c r="AK365" s="36">
        <f>IF(AND($AG365&gt;0,ISNUMBER($AJ365)),$AG365*$AJ365,0)</f>
        <v/>
      </c>
      <c r="AT365" s="37">
        <f>SUM(AU365:BA365)</f>
        <v/>
      </c>
      <c r="AU365" s="82" t="n">
        <v>1</v>
      </c>
      <c r="AV365" s="33" t="n"/>
      <c r="AW365" s="33" t="n"/>
      <c r="AX365" s="33" t="n"/>
      <c r="AY365" s="33" t="n"/>
      <c r="AZ365" s="33" t="n"/>
      <c r="BA365" s="74" t="n"/>
      <c r="BB365" s="106" t="n"/>
      <c r="BC365" s="42" t="n"/>
      <c r="BD365" s="42" t="n"/>
    </row>
    <row r="366" ht="15" customHeight="1" s="148">
      <c r="A366" t="inlineStr">
        <is>
          <t>c0362</t>
        </is>
      </c>
      <c r="B366" s="44" t="inlineStr">
        <is>
          <t>Sandsteppe Citadel</t>
        </is>
      </c>
      <c r="C366" s="34" t="inlineStr">
        <is>
          <t>L</t>
        </is>
      </c>
      <c r="D366" s="44" t="inlineStr">
        <is>
          <t>Land</t>
        </is>
      </c>
      <c r="E366" s="41" t="inlineStr">
        <is>
          <t>B2</t>
        </is>
      </c>
      <c r="F366" s="34" t="n">
        <v>0</v>
      </c>
      <c r="G366" s="67" t="inlineStr">
        <is>
          <t>This land enters tapped.
{T}: Add {W}, {B}, or {G}.</t>
        </is>
      </c>
      <c r="H366" s="45" t="inlineStr">
        <is>
          <t>Land</t>
        </is>
      </c>
      <c r="I366" s="45" t="inlineStr">
        <is>
          <t>Taps for {W}, {B}, or {G}</t>
        </is>
      </c>
      <c r="J366" s="45" t="inlineStr">
        <is>
          <t>Enters tapped</t>
        </is>
      </c>
      <c r="K366" s="45" t="n"/>
      <c r="L366" s="42" t="n"/>
      <c r="M366" s="42" t="n"/>
      <c r="N366" s="42" t="n"/>
      <c r="O366" s="42" t="n"/>
      <c r="P366" s="42" t="n">
        <v>0.35</v>
      </c>
      <c r="Q366" s="42" t="n"/>
      <c r="R366" s="42" t="n"/>
      <c r="S366" s="42" t="n"/>
      <c r="T366" s="42" t="n"/>
      <c r="U366" s="42" t="n"/>
      <c r="V366" s="45" t="inlineStr">
        <is>
          <t>Khans of Tarkir</t>
        </is>
      </c>
      <c r="W366" s="41" t="n">
        <v>1</v>
      </c>
      <c r="X366" s="37">
        <f>SUM(Y366:AE366)</f>
        <v/>
      </c>
      <c r="Y366" s="43" t="n"/>
      <c r="Z366" s="43" t="n"/>
      <c r="AA366" s="43" t="n"/>
      <c r="AB366" s="43" t="n">
        <v>1</v>
      </c>
      <c r="AC366" s="43" t="n"/>
      <c r="AD366" s="43" t="n"/>
      <c r="AE366" s="43" t="n"/>
      <c r="AF366" s="38">
        <f>IF((W366-SUM(Y366:AE366))&lt;0,0,W366-SUM(Y366:AE366))</f>
        <v/>
      </c>
      <c r="AG366" s="34">
        <f>MAX(0,$AT366-$W366-$AI366)</f>
        <v/>
      </c>
      <c r="AH366" s="34" t="n"/>
      <c r="AI366" s="34" t="n"/>
      <c r="AJ366" s="36" t="n">
        <v>0.39</v>
      </c>
      <c r="AK366" s="36">
        <f>IF(AND($AG366&gt;0,ISNUMBER($AJ366)),$AG366*$AJ366,0)</f>
        <v/>
      </c>
      <c r="AT366" s="37">
        <f>SUM(AU366:BA366)</f>
        <v/>
      </c>
      <c r="AU366" s="73" t="n"/>
      <c r="AV366" s="33" t="n"/>
      <c r="AW366" s="33" t="n"/>
      <c r="AX366" s="98" t="n">
        <v>1</v>
      </c>
      <c r="AY366" s="33" t="n"/>
      <c r="AZ366" s="33" t="n"/>
      <c r="BA366" s="74" t="n"/>
      <c r="BB366" s="106" t="n"/>
      <c r="BC366" s="42" t="n"/>
      <c r="BD366" s="42" t="n"/>
    </row>
    <row r="367" ht="15" customHeight="1" s="148">
      <c r="A367" t="inlineStr">
        <is>
          <t>c0363</t>
        </is>
      </c>
      <c r="B367" s="44" t="inlineStr">
        <is>
          <t>Scoured Barrens</t>
        </is>
      </c>
      <c r="C367" s="34" t="inlineStr">
        <is>
          <t>L</t>
        </is>
      </c>
      <c r="D367" s="44" t="inlineStr">
        <is>
          <t>Land</t>
        </is>
      </c>
      <c r="E367" s="41" t="inlineStr">
        <is>
          <t>B2</t>
        </is>
      </c>
      <c r="F367" s="34" t="n">
        <v>0</v>
      </c>
      <c r="G367" s="67" t="inlineStr">
        <is>
          <t>This land enters tapped.
When this land enters, you gain 1 life.
{T}: Add {W} or {B}.</t>
        </is>
      </c>
      <c r="H367" s="45" t="inlineStr">
        <is>
          <t>Land</t>
        </is>
      </c>
      <c r="I367" s="45" t="inlineStr">
        <is>
          <t>Taps for {W} or {B}</t>
        </is>
      </c>
      <c r="J367" s="45" t="inlineStr">
        <is>
          <t>Gain 1 life when it enters</t>
        </is>
      </c>
      <c r="K367" s="45" t="n"/>
      <c r="L367" s="42" t="n"/>
      <c r="M367" s="42" t="n"/>
      <c r="N367" s="42" t="n"/>
      <c r="O367" s="42" t="n"/>
      <c r="P367" s="42" t="n">
        <v>0.21</v>
      </c>
      <c r="Q367" s="42" t="n"/>
      <c r="R367" s="42" t="n"/>
      <c r="S367" s="42" t="n"/>
      <c r="T367" s="42" t="n"/>
      <c r="U367" s="42" t="n"/>
      <c r="V367" s="45" t="inlineStr">
        <is>
          <t>Khans of Tarkir</t>
        </is>
      </c>
      <c r="W367" s="41" t="n">
        <v>1</v>
      </c>
      <c r="X367" s="37">
        <f>SUM(Y367:AE367)</f>
        <v/>
      </c>
      <c r="Y367" s="43" t="n"/>
      <c r="Z367" s="43" t="n"/>
      <c r="AA367" s="43" t="n"/>
      <c r="AB367" s="43" t="n"/>
      <c r="AC367" s="43" t="n">
        <v>1</v>
      </c>
      <c r="AD367" s="43" t="n"/>
      <c r="AE367" s="43" t="n"/>
      <c r="AF367" s="38">
        <f>IF((W367-SUM(Y367:AE367))&lt;0,0,W367-SUM(Y367:AE367))</f>
        <v/>
      </c>
      <c r="AG367" s="34">
        <f>MAX(0,$AT367-$W367-$AI367)</f>
        <v/>
      </c>
      <c r="AH367" s="34" t="n"/>
      <c r="AI367" s="34" t="n"/>
      <c r="AJ367" s="36" t="n">
        <v>0.23</v>
      </c>
      <c r="AK367" s="36">
        <f>IF(AND($AG367&gt;0,ISNUMBER($AJ367)),$AG367*$AJ367,0)</f>
        <v/>
      </c>
      <c r="AT367" s="37">
        <f>SUM(AU367:BA367)</f>
        <v/>
      </c>
      <c r="AU367" s="73" t="n"/>
      <c r="AV367" s="33" t="n"/>
      <c r="AW367" s="33" t="n"/>
      <c r="AX367" s="33" t="n"/>
      <c r="AY367" s="98" t="n">
        <v>1</v>
      </c>
      <c r="AZ367" s="33" t="n"/>
      <c r="BA367" s="74" t="n"/>
      <c r="BB367" s="106" t="n"/>
      <c r="BC367" s="42" t="n"/>
      <c r="BD367" s="42" t="n"/>
    </row>
    <row r="368" ht="15" customHeight="1" s="148">
      <c r="A368" t="inlineStr">
        <is>
          <t>c0364</t>
        </is>
      </c>
      <c r="B368" s="44" t="inlineStr">
        <is>
          <t>Seaside Citadel</t>
        </is>
      </c>
      <c r="C368" s="34" t="inlineStr">
        <is>
          <t>L</t>
        </is>
      </c>
      <c r="D368" s="44" t="inlineStr">
        <is>
          <t>Land</t>
        </is>
      </c>
      <c r="E368" s="41" t="inlineStr">
        <is>
          <t>B2</t>
        </is>
      </c>
      <c r="F368" s="34" t="n">
        <v>0</v>
      </c>
      <c r="G368" s="67" t="inlineStr">
        <is>
          <t>This land enters tapped.
{T}: Add {G}, {W}, or {U}.</t>
        </is>
      </c>
      <c r="H368" s="45" t="inlineStr">
        <is>
          <t>Land</t>
        </is>
      </c>
      <c r="I368" s="45" t="inlineStr">
        <is>
          <t>Taps for {G}, {W}, or {U}</t>
        </is>
      </c>
      <c r="J368" s="45" t="inlineStr">
        <is>
          <t>Enters tapped</t>
        </is>
      </c>
      <c r="K368" s="45" t="n"/>
      <c r="L368" s="42" t="n"/>
      <c r="M368" s="42" t="n"/>
      <c r="N368" s="42" t="n"/>
      <c r="O368" s="42" t="n"/>
      <c r="P368" s="42" t="n">
        <v>0.32</v>
      </c>
      <c r="Q368" s="42" t="n"/>
      <c r="R368" s="42" t="n"/>
      <c r="S368" s="42" t="n"/>
      <c r="T368" s="42" t="n"/>
      <c r="U368" s="42" t="n"/>
      <c r="V368" s="45" t="inlineStr">
        <is>
          <t>Shards of Alara</t>
        </is>
      </c>
      <c r="W368" s="41" t="n">
        <v>1</v>
      </c>
      <c r="X368" s="37">
        <f>SUM(Y368:AE368)</f>
        <v/>
      </c>
      <c r="Y368" s="43" t="n"/>
      <c r="Z368" s="43" t="n">
        <v>1</v>
      </c>
      <c r="AA368" s="43" t="n"/>
      <c r="AB368" s="43" t="n"/>
      <c r="AC368" s="43" t="n"/>
      <c r="AD368" s="43" t="n"/>
      <c r="AE368" s="43" t="n"/>
      <c r="AF368" s="38">
        <f>IF((W368-SUM(Y368:AE368))&lt;0,0,W368-SUM(Y368:AE368))</f>
        <v/>
      </c>
      <c r="AG368" s="34">
        <f>MAX(0,$AT368-$W368-$AI368)</f>
        <v/>
      </c>
      <c r="AH368" s="34" t="n"/>
      <c r="AI368" s="34" t="n"/>
      <c r="AJ368" s="36" t="n">
        <v>0.37</v>
      </c>
      <c r="AK368" s="36">
        <f>IF(AND($AG368&gt;0,ISNUMBER($AJ368)),$AG368*$AJ368,0)</f>
        <v/>
      </c>
      <c r="AT368" s="37">
        <f>SUM(AU368:BA368)</f>
        <v/>
      </c>
      <c r="AU368" s="73" t="n"/>
      <c r="AV368" s="98" t="n">
        <v>1</v>
      </c>
      <c r="AW368" s="33" t="n"/>
      <c r="AX368" s="33" t="n"/>
      <c r="AY368" s="33" t="n"/>
      <c r="AZ368" s="33" t="n"/>
      <c r="BA368" s="74" t="n"/>
      <c r="BB368" s="106" t="n"/>
      <c r="BC368" s="42" t="n"/>
      <c r="BD368" s="42" t="n"/>
    </row>
    <row r="369" ht="15" customHeight="1" s="148">
      <c r="A369" t="inlineStr">
        <is>
          <t>c0365</t>
        </is>
      </c>
      <c r="B369" s="44" t="inlineStr">
        <is>
          <t>Selesnya Guildgate</t>
        </is>
      </c>
      <c r="C369" s="34" t="inlineStr">
        <is>
          <t>L</t>
        </is>
      </c>
      <c r="D369" s="44" t="inlineStr">
        <is>
          <t>Land</t>
        </is>
      </c>
      <c r="E369" s="41" t="inlineStr">
        <is>
          <t>B2</t>
        </is>
      </c>
      <c r="F369" s="34" t="n">
        <v>0</v>
      </c>
      <c r="G369" s="67" t="inlineStr">
        <is>
          <t>This land enters tapped.
{T}: Add {G} or {W}.</t>
        </is>
      </c>
      <c r="H369" s="45" t="inlineStr">
        <is>
          <t>Land</t>
        </is>
      </c>
      <c r="I369" s="45" t="inlineStr">
        <is>
          <t>This land enters tapped. / {T}: Add {G} or {W}.</t>
        </is>
      </c>
      <c r="J369" s="45" t="n"/>
      <c r="K369" s="45" t="n"/>
      <c r="L369" s="41" t="n"/>
      <c r="M369" s="41" t="n"/>
      <c r="N369" s="41" t="n"/>
      <c r="O369" s="63" t="n"/>
      <c r="P369" s="63" t="n"/>
      <c r="Q369" s="41" t="n"/>
      <c r="R369" s="41" t="n"/>
      <c r="S369" s="41" t="n"/>
      <c r="T369" s="63" t="n"/>
      <c r="U369" s="63" t="n"/>
      <c r="V369" s="45" t="inlineStr">
        <is>
          <t>Return to Ravnica</t>
        </is>
      </c>
      <c r="W369" s="41" t="n">
        <v>2</v>
      </c>
      <c r="X369" s="37">
        <f>SUM(Y369:AE369)</f>
        <v/>
      </c>
      <c r="Y369" s="43" t="n"/>
      <c r="Z369" s="43" t="n">
        <v>1</v>
      </c>
      <c r="AA369" s="43" t="n"/>
      <c r="AB369" s="43" t="n">
        <v>1</v>
      </c>
      <c r="AC369" s="43" t="n"/>
      <c r="AD369" s="43" t="n"/>
      <c r="AE369" s="43" t="n"/>
      <c r="AF369" s="38">
        <f>IF((W369-SUM(Y369:AE369))&lt;0,0,W369-SUM(Y369:AE369))</f>
        <v/>
      </c>
      <c r="AG369" s="34">
        <f>MAX(0,$AT369-$W369-$AI369)</f>
        <v/>
      </c>
      <c r="AH369" s="34" t="n"/>
      <c r="AI369" s="34" t="n"/>
      <c r="AJ369" s="36" t="n">
        <v>0.11</v>
      </c>
      <c r="AK369" s="36">
        <f>IF(AND($AG369&gt;0,ISNUMBER($AJ369)),$AG369*$AJ369,0)</f>
        <v/>
      </c>
      <c r="AT369" s="37">
        <f>SUM(AU369:BA369)</f>
        <v/>
      </c>
      <c r="AU369" s="73" t="n"/>
      <c r="AV369" s="98" t="n">
        <v>1</v>
      </c>
      <c r="AW369" s="33" t="n"/>
      <c r="AX369" s="98" t="n">
        <v>1</v>
      </c>
      <c r="AY369" s="33" t="n"/>
      <c r="AZ369" s="33" t="n"/>
      <c r="BA369" s="74" t="n"/>
      <c r="BB369" s="106" t="n"/>
      <c r="BC369" s="42" t="n"/>
      <c r="BD369" s="50" t="inlineStr">
        <is>
          <t>ORDERED 2026-09-11 $0.60</t>
        </is>
      </c>
    </row>
    <row r="370" ht="15" customHeight="1" s="148">
      <c r="A370" t="inlineStr">
        <is>
          <t>c0366</t>
        </is>
      </c>
      <c r="B370" s="44" t="inlineStr">
        <is>
          <t>Shineshadow Snarl</t>
        </is>
      </c>
      <c r="C370" s="34" t="inlineStr">
        <is>
          <t>L</t>
        </is>
      </c>
      <c r="D370" s="44" t="inlineStr">
        <is>
          <t>Land</t>
        </is>
      </c>
      <c r="E370" s="41" t="inlineStr">
        <is>
          <t>B2</t>
        </is>
      </c>
      <c r="F370" s="34" t="n">
        <v>0</v>
      </c>
      <c r="G370" s="67" t="inlineStr">
        <is>
          <t>As this land enters, you may reveal a Plains or Swamp card from your hand. If you don't, this land enters tapped.
{T}: Add {W} or {B}.</t>
        </is>
      </c>
      <c r="H370" s="45" t="inlineStr">
        <is>
          <t>Land</t>
        </is>
      </c>
      <c r="I370" s="45" t="inlineStr">
        <is>
          <t>Taps for {W} or {B}</t>
        </is>
      </c>
      <c r="J370" s="45" t="inlineStr">
        <is>
          <t>Enters untapped if you reveal a Plains or Swamp</t>
        </is>
      </c>
      <c r="K370" s="45" t="n"/>
      <c r="L370" s="42" t="n"/>
      <c r="M370" s="42" t="n"/>
      <c r="N370" s="42" t="n"/>
      <c r="O370" s="42" t="n"/>
      <c r="P370" s="42" t="n">
        <v>0.3</v>
      </c>
      <c r="Q370" s="42" t="n"/>
      <c r="R370" s="42" t="n"/>
      <c r="S370" s="42" t="n"/>
      <c r="T370" s="42" t="n"/>
      <c r="U370" s="42" t="n"/>
      <c r="V370" s="45" t="inlineStr">
        <is>
          <t>Strixhaven: School of Mages</t>
        </is>
      </c>
      <c r="W370" s="41" t="n">
        <v>0</v>
      </c>
      <c r="X370" s="37">
        <f>SUM(Y370:AE370)</f>
        <v/>
      </c>
      <c r="Y370" s="43" t="n"/>
      <c r="Z370" s="43" t="n"/>
      <c r="AA370" s="43" t="n"/>
      <c r="AB370" s="43" t="n"/>
      <c r="AC370" s="43" t="n"/>
      <c r="AD370" s="43" t="n"/>
      <c r="AE370" s="43" t="n"/>
      <c r="AF370" s="38">
        <f>IF((W370-SUM(Y370:AE370))&lt;0,0,W370-SUM(Y370:AE370))</f>
        <v/>
      </c>
      <c r="AG370" s="34">
        <f>MAX(0,$AT370-$W370-$AI370)</f>
        <v/>
      </c>
      <c r="AH370" s="34" t="n"/>
      <c r="AI370" s="34" t="n"/>
      <c r="AJ370" s="36" t="n">
        <v>0.27</v>
      </c>
      <c r="AK370" s="36">
        <f>IF(AND($AG370&gt;0,ISNUMBER($AJ370)),$AG370*$AJ370,0)</f>
        <v/>
      </c>
      <c r="AL370" s="54" t="n"/>
      <c r="AM370" s="54" t="n"/>
      <c r="AN370" s="54" t="n"/>
      <c r="AO370" s="54" t="n"/>
      <c r="AP370" s="54" t="n"/>
      <c r="AQ370" s="54" t="n"/>
      <c r="AR370" s="54" t="n"/>
      <c r="AS370" s="54" t="n"/>
      <c r="AT370" s="37">
        <f>SUM(AU370:BA370)</f>
        <v/>
      </c>
      <c r="AU370" s="92" t="n"/>
      <c r="AV370" s="38" t="n"/>
      <c r="AW370" s="38" t="n"/>
      <c r="AX370" s="38" t="n"/>
      <c r="AY370" s="38" t="n"/>
      <c r="AZ370" s="38" t="n"/>
      <c r="BA370" s="94" t="n"/>
      <c r="BB370" s="106" t="n"/>
      <c r="BC370" s="42" t="n"/>
      <c r="BD370" s="48" t="n"/>
    </row>
    <row r="371" ht="15" customHeight="1" s="148">
      <c r="A371" t="inlineStr">
        <is>
          <t>c0367</t>
        </is>
      </c>
      <c r="B371" s="44" t="inlineStr">
        <is>
          <t>Silverquill Campus</t>
        </is>
      </c>
      <c r="C371" s="34" t="inlineStr">
        <is>
          <t>L</t>
        </is>
      </c>
      <c r="D371" s="44" t="inlineStr">
        <is>
          <t>Land</t>
        </is>
      </c>
      <c r="E371" s="41" t="inlineStr">
        <is>
          <t>B2</t>
        </is>
      </c>
      <c r="F371" s="34" t="n">
        <v>0</v>
      </c>
      <c r="G371" s="67" t="inlineStr">
        <is>
          <t>This land enters tapped.
{T}: Add {W} or {B}.
{4}, {T}: Scry 1. (Look at the top card of your library. You may put that card on the bottom.)</t>
        </is>
      </c>
      <c r="H371" s="45" t="inlineStr">
        <is>
          <t>Land</t>
        </is>
      </c>
      <c r="I371" s="45" t="inlineStr">
        <is>
          <t>Taps for {W} or {B} (enters tapped)</t>
        </is>
      </c>
      <c r="J371" s="45" t="inlineStr">
        <is>
          <t>{4}, tap: Scry 1</t>
        </is>
      </c>
      <c r="K371" s="45" t="n"/>
      <c r="L371" s="42" t="n"/>
      <c r="M371" s="42" t="n"/>
      <c r="N371" s="42" t="n"/>
      <c r="O371" s="42" t="n"/>
      <c r="P371" s="42" t="n">
        <v>0.29</v>
      </c>
      <c r="Q371" s="42" t="n"/>
      <c r="R371" s="42" t="n"/>
      <c r="S371" s="42" t="n"/>
      <c r="T371" s="42" t="n"/>
      <c r="U371" s="42" t="n"/>
      <c r="V371" s="45" t="inlineStr">
        <is>
          <t>Strixhaven: School of Mages</t>
        </is>
      </c>
      <c r="W371" s="41" t="n">
        <v>0</v>
      </c>
      <c r="X371" s="37">
        <f>SUM(Y371:AE371)</f>
        <v/>
      </c>
      <c r="Y371" s="43" t="n"/>
      <c r="Z371" s="43" t="n"/>
      <c r="AA371" s="43" t="n"/>
      <c r="AB371" s="43" t="n"/>
      <c r="AC371" s="43" t="n"/>
      <c r="AD371" s="43" t="n"/>
      <c r="AE371" s="43" t="n"/>
      <c r="AF371" s="38">
        <f>IF((W371-SUM(Y371:AE371))&lt;0,0,W371-SUM(Y371:AE371))</f>
        <v/>
      </c>
      <c r="AG371" s="34">
        <f>MAX(0,$AT371-$W371-$AI371)</f>
        <v/>
      </c>
      <c r="AH371" s="34" t="n"/>
      <c r="AI371" s="34" t="n"/>
      <c r="AJ371" s="36" t="n">
        <v>0.29</v>
      </c>
      <c r="AK371" s="36">
        <f>IF(AND($AG371&gt;0,ISNUMBER($AJ371)),$AG371*$AJ371,0)</f>
        <v/>
      </c>
      <c r="AL371" s="54" t="n"/>
      <c r="AM371" s="54" t="n"/>
      <c r="AN371" s="54" t="n"/>
      <c r="AO371" s="54" t="n"/>
      <c r="AP371" s="54" t="n"/>
      <c r="AQ371" s="54" t="n"/>
      <c r="AR371" s="54" t="n"/>
      <c r="AS371" s="54" t="n"/>
      <c r="AT371" s="37">
        <f>SUM(AU371:BA371)</f>
        <v/>
      </c>
      <c r="AU371" s="92" t="n"/>
      <c r="AV371" s="38" t="n"/>
      <c r="AW371" s="38" t="n"/>
      <c r="AX371" s="38" t="n"/>
      <c r="AY371" s="38" t="n"/>
      <c r="AZ371" s="38" t="n"/>
      <c r="BA371" s="94" t="n"/>
      <c r="BB371" s="106" t="n"/>
      <c r="BC371" s="42" t="n"/>
      <c r="BD371" s="42" t="n"/>
    </row>
    <row r="372" ht="15" customHeight="1" s="148">
      <c r="A372" t="inlineStr">
        <is>
          <t>c0368</t>
        </is>
      </c>
      <c r="B372" s="44" t="inlineStr">
        <is>
          <t>Simic Guildgate</t>
        </is>
      </c>
      <c r="C372" s="34" t="inlineStr">
        <is>
          <t>L</t>
        </is>
      </c>
      <c r="D372" s="44" t="inlineStr">
        <is>
          <t>Land</t>
        </is>
      </c>
      <c r="E372" s="41" t="inlineStr">
        <is>
          <t>B2</t>
        </is>
      </c>
      <c r="F372" s="34" t="n">
        <v>0</v>
      </c>
      <c r="G372" s="67" t="inlineStr">
        <is>
          <t>This land enters tapped.
{T}: Add {G} or {U}.</t>
        </is>
      </c>
      <c r="H372" s="45" t="inlineStr">
        <is>
          <t>Land</t>
        </is>
      </c>
      <c r="I372" s="45" t="inlineStr">
        <is>
          <t>Taps for {G} or {U}</t>
        </is>
      </c>
      <c r="J372" s="45" t="n"/>
      <c r="K372" s="45" t="n"/>
      <c r="L372" s="41" t="n"/>
      <c r="M372" s="41" t="n"/>
      <c r="N372" s="41" t="n"/>
      <c r="O372" s="63" t="n"/>
      <c r="P372" s="63" t="n">
        <v>0.12</v>
      </c>
      <c r="Q372" s="41" t="n"/>
      <c r="R372" s="41" t="n"/>
      <c r="S372" s="41" t="n"/>
      <c r="T372" s="63" t="n"/>
      <c r="U372" s="63" t="n"/>
      <c r="V372" s="45" t="inlineStr">
        <is>
          <t>Gatecrash</t>
        </is>
      </c>
      <c r="W372" s="41" t="n">
        <v>2</v>
      </c>
      <c r="X372" s="37">
        <f>SUM(Y372:AE372)</f>
        <v/>
      </c>
      <c r="Y372" s="43" t="n"/>
      <c r="Z372" s="43" t="n">
        <v>1</v>
      </c>
      <c r="AA372" s="43" t="n">
        <v>1</v>
      </c>
      <c r="AB372" s="43" t="n"/>
      <c r="AC372" s="43" t="n"/>
      <c r="AD372" s="43" t="n"/>
      <c r="AE372" s="43" t="n"/>
      <c r="AF372" s="38">
        <f>IF((W372-SUM(Y372:AE372))&lt;0,0,W372-SUM(Y372:AE372))</f>
        <v/>
      </c>
      <c r="AG372" s="34">
        <f>MAX(0,$AT372-$W372-$AI372)</f>
        <v/>
      </c>
      <c r="AH372" s="34" t="n"/>
      <c r="AI372" s="34" t="n"/>
      <c r="AJ372" s="36" t="n">
        <v>0.11</v>
      </c>
      <c r="AK372" s="36">
        <f>IF(AND($AG372&gt;0,ISNUMBER($AJ372)),$AG372*$AJ372,0)</f>
        <v/>
      </c>
      <c r="AT372" s="37">
        <f>SUM(AU372:BA372)</f>
        <v/>
      </c>
      <c r="AU372" s="73" t="n"/>
      <c r="AV372" s="98" t="n">
        <v>1</v>
      </c>
      <c r="AW372" s="98" t="n">
        <v>1</v>
      </c>
      <c r="AX372" s="33" t="n"/>
      <c r="AY372" s="33" t="n"/>
      <c r="AZ372" s="33" t="n"/>
      <c r="BA372" s="74" t="n"/>
      <c r="BB372" s="106" t="n"/>
      <c r="BC372" s="42" t="n"/>
      <c r="BD372" s="50" t="inlineStr">
        <is>
          <t>ORDERED 2026-09-11 $0.70</t>
        </is>
      </c>
    </row>
    <row r="373" ht="15" customHeight="1" s="148">
      <c r="A373" t="inlineStr">
        <is>
          <t>c0369</t>
        </is>
      </c>
      <c r="B373" s="44" t="inlineStr">
        <is>
          <t>Stone Quarry</t>
        </is>
      </c>
      <c r="C373" s="34" t="inlineStr">
        <is>
          <t>L</t>
        </is>
      </c>
      <c r="D373" s="44" t="inlineStr">
        <is>
          <t>Land</t>
        </is>
      </c>
      <c r="E373" s="41" t="inlineStr">
        <is>
          <t>B2</t>
        </is>
      </c>
      <c r="F373" s="34" t="n">
        <v>0</v>
      </c>
      <c r="G373" s="67" t="inlineStr">
        <is>
          <t>This land enters tapped.
{T}: Add {R} or {W}.</t>
        </is>
      </c>
      <c r="H373" s="45" t="inlineStr">
        <is>
          <t>Land</t>
        </is>
      </c>
      <c r="I373" s="45" t="inlineStr">
        <is>
          <t>Taps for {R} or {W}</t>
        </is>
      </c>
      <c r="J373" s="45" t="inlineStr">
        <is>
          <t>Enters tapped</t>
        </is>
      </c>
      <c r="K373" s="45" t="n"/>
      <c r="L373" s="42" t="n"/>
      <c r="M373" s="42" t="n"/>
      <c r="N373" s="42" t="n"/>
      <c r="O373" s="42" t="n"/>
      <c r="P373" s="42" t="n">
        <v>0.17</v>
      </c>
      <c r="Q373" s="42" t="n"/>
      <c r="R373" s="42" t="n"/>
      <c r="S373" s="42" t="n"/>
      <c r="T373" s="42" t="n"/>
      <c r="U373" s="42" t="n"/>
      <c r="V373" s="45" t="inlineStr">
        <is>
          <t>Shadows over Innistrad</t>
        </is>
      </c>
      <c r="W373" s="41" t="n">
        <v>1</v>
      </c>
      <c r="X373" s="37">
        <f>SUM(Y373:AE373)</f>
        <v/>
      </c>
      <c r="Y373" s="43" t="n">
        <v>1</v>
      </c>
      <c r="Z373" s="43" t="n"/>
      <c r="AA373" s="43" t="n"/>
      <c r="AB373" s="43" t="n"/>
      <c r="AC373" s="43" t="n"/>
      <c r="AD373" s="43" t="n"/>
      <c r="AE373" s="43" t="n"/>
      <c r="AF373" s="38">
        <f>IF((W373-SUM(Y373:AE373))&lt;0,0,W373-SUM(Y373:AE373))</f>
        <v/>
      </c>
      <c r="AG373" s="34">
        <f>MAX(0,$AT373-$W373-$AI373)</f>
        <v/>
      </c>
      <c r="AH373" s="34" t="n"/>
      <c r="AI373" s="34" t="n"/>
      <c r="AJ373" s="36" t="n">
        <v>0.17</v>
      </c>
      <c r="AK373" s="36">
        <f>IF(AND($AG373&gt;0,ISNUMBER($AJ373)),$AG373*$AJ373,0)</f>
        <v/>
      </c>
      <c r="AT373" s="37">
        <f>SUM(AU373:BA373)</f>
        <v/>
      </c>
      <c r="AU373" s="82" t="n">
        <v>1</v>
      </c>
      <c r="AV373" s="33" t="n"/>
      <c r="AW373" s="33" t="n"/>
      <c r="AX373" s="33" t="n"/>
      <c r="AY373" s="33" t="n"/>
      <c r="AZ373" s="33" t="n"/>
      <c r="BA373" s="74" t="n"/>
      <c r="BB373" s="106" t="n"/>
      <c r="BC373" s="42" t="n"/>
      <c r="BD373" s="42" t="n"/>
    </row>
    <row r="374" ht="15" customHeight="1" s="148">
      <c r="A374" t="inlineStr">
        <is>
          <t>c0370</t>
        </is>
      </c>
      <c r="B374" s="44" t="inlineStr">
        <is>
          <t>Study Hall</t>
        </is>
      </c>
      <c r="C374" s="34" t="inlineStr">
        <is>
          <t>L</t>
        </is>
      </c>
      <c r="D374" s="44" t="inlineStr">
        <is>
          <t>Land</t>
        </is>
      </c>
      <c r="E374" s="41" t="inlineStr">
        <is>
          <t>B2</t>
        </is>
      </c>
      <c r="F374" s="34" t="n">
        <v>0</v>
      </c>
      <c r="G374" s="67" t="inlineStr">
        <is>
          <t>{T}: Add {C}.
{1}, {T}: Add one mana of any color. When you spend this mana to cast your commander, scry X, where X is the number of times it's been cast from the command zone this game.</t>
        </is>
      </c>
      <c r="H374" s="45" t="inlineStr">
        <is>
          <t>Land</t>
        </is>
      </c>
      <c r="I374" s="45" t="inlineStr">
        <is>
          <t>Taps for {C}</t>
        </is>
      </c>
      <c r="J374" s="45" t="inlineStr">
        <is>
          <t>Pay {1}, tap: add one mana of any color</t>
        </is>
      </c>
      <c r="K374" s="45" t="inlineStr">
        <is>
          <t>Scries when that mana casts your commander</t>
        </is>
      </c>
      <c r="L374" s="42" t="n"/>
      <c r="M374" s="42" t="n"/>
      <c r="N374" s="42" t="n"/>
      <c r="O374" s="63" t="n"/>
      <c r="P374" s="63" t="n">
        <v>0.24</v>
      </c>
      <c r="Q374" s="42" t="n"/>
      <c r="R374" s="42" t="n"/>
      <c r="S374" s="42" t="n"/>
      <c r="T374" s="63" t="n"/>
      <c r="U374" s="63" t="n"/>
      <c r="V374" s="45" t="inlineStr">
        <is>
          <t>Commander 2021</t>
        </is>
      </c>
      <c r="W374" s="41" t="n">
        <v>1</v>
      </c>
      <c r="X374" s="37">
        <f>SUM(Y374:AE374)</f>
        <v/>
      </c>
      <c r="Y374" s="43" t="n"/>
      <c r="Z374" s="43" t="n"/>
      <c r="AA374" s="43" t="n"/>
      <c r="AB374" s="43" t="n"/>
      <c r="AC374" s="43" t="n"/>
      <c r="AD374" s="43" t="n">
        <v>1</v>
      </c>
      <c r="AE374" s="43" t="n"/>
      <c r="AF374" s="38">
        <f>IF((W374-SUM(Y374:AE374))&lt;0,0,W374-SUM(Y374:AE374))</f>
        <v/>
      </c>
      <c r="AG374" s="34">
        <f>MAX(0,$AT374-$W374-$AI374)</f>
        <v/>
      </c>
      <c r="AH374" s="34" t="n"/>
      <c r="AI374" s="34" t="n"/>
      <c r="AJ374" s="36" t="n">
        <v>0.23</v>
      </c>
      <c r="AK374" s="36">
        <f>IF(AND($AG374&gt;0,ISNUMBER($AJ374)),$AG374*$AJ374,0)</f>
        <v/>
      </c>
      <c r="AT374" s="37">
        <f>SUM(AU374:BA374)</f>
        <v/>
      </c>
      <c r="AU374" s="73" t="n"/>
      <c r="AV374" s="33" t="n"/>
      <c r="AW374" s="33" t="n"/>
      <c r="AX374" s="33" t="n"/>
      <c r="AY374" s="33" t="n"/>
      <c r="AZ374" s="98" t="n">
        <v>1</v>
      </c>
      <c r="BA374" s="74" t="n"/>
      <c r="BB374" s="106" t="n"/>
      <c r="BC374" s="42" t="n"/>
      <c r="BD374" s="42" t="n"/>
    </row>
    <row r="375" ht="15" customHeight="1" s="148">
      <c r="A375" t="inlineStr">
        <is>
          <t>c0371</t>
        </is>
      </c>
      <c r="B375" s="44" t="inlineStr">
        <is>
          <t>Sunbaked Canyon</t>
        </is>
      </c>
      <c r="C375" s="34" t="inlineStr">
        <is>
          <t>L</t>
        </is>
      </c>
      <c r="D375" s="44" t="inlineStr">
        <is>
          <t>Land</t>
        </is>
      </c>
      <c r="E375" s="41" t="inlineStr">
        <is>
          <t>B3</t>
        </is>
      </c>
      <c r="F375" s="34" t="n">
        <v>0</v>
      </c>
      <c r="G375" s="67" t="inlineStr">
        <is>
          <t>{T}, Pay 1 life: Add {R} or {W}.
{1}, {T}, Sacrifice this land: Draw a card.</t>
        </is>
      </c>
      <c r="H375" s="45" t="inlineStr">
        <is>
          <t>Land</t>
        </is>
      </c>
      <c r="I375" s="45" t="inlineStr">
        <is>
          <t>{T}, Pay 1 life: Add {R} or {W}.
{1}, {T}, Sacrifice this land: Draw a card.</t>
        </is>
      </c>
      <c r="J375" s="45" t="n"/>
      <c r="K375" s="45" t="n"/>
      <c r="L375" s="42" t="n"/>
      <c r="M375" s="42" t="n"/>
      <c r="N375" s="42" t="n"/>
      <c r="O375" s="42" t="n"/>
      <c r="P375" s="42" t="n">
        <v>4.57</v>
      </c>
      <c r="Q375" s="42" t="n"/>
      <c r="R375" s="42" t="n"/>
      <c r="S375" s="42" t="n"/>
      <c r="T375" s="42" t="n"/>
      <c r="U375" s="42" t="n"/>
      <c r="V375" s="45" t="inlineStr">
        <is>
          <t>Modern Horizons</t>
        </is>
      </c>
      <c r="W375" s="41" t="n">
        <v>1</v>
      </c>
      <c r="X375" s="37">
        <f>SUM(Y375:AE375)</f>
        <v/>
      </c>
      <c r="Y375" s="43" t="n">
        <v>1</v>
      </c>
      <c r="Z375" s="43" t="n"/>
      <c r="AA375" s="43" t="n"/>
      <c r="AB375" s="43" t="n"/>
      <c r="AC375" s="43" t="n"/>
      <c r="AD375" s="43" t="n"/>
      <c r="AE375" s="43" t="n"/>
      <c r="AF375" s="38">
        <f>IF((W375-SUM(Y375:AE375))&lt;0,0,W375-SUM(Y375:AE375))</f>
        <v/>
      </c>
      <c r="AG375" s="34">
        <f>MAX(0,$AT375-$W375-$AI375)</f>
        <v/>
      </c>
      <c r="AH375" s="34" t="n"/>
      <c r="AI375" s="34" t="n"/>
      <c r="AJ375" s="36" t="n">
        <v>4.05</v>
      </c>
      <c r="AK375" s="36">
        <f>IF(AND($AG375&gt;0,ISNUMBER($AJ375)),$AG375*$AJ375,0)</f>
        <v/>
      </c>
      <c r="AT375" s="37">
        <f>SUM(AU375:BA375)</f>
        <v/>
      </c>
      <c r="AU375" s="82" t="n">
        <v>1</v>
      </c>
      <c r="AV375" s="33" t="n"/>
      <c r="AW375" s="33" t="n"/>
      <c r="AX375" s="33" t="n"/>
      <c r="AY375" s="33" t="n"/>
      <c r="AZ375" s="33" t="n"/>
      <c r="BA375" s="74" t="n"/>
      <c r="BB375" s="106" t="n"/>
      <c r="BC375" s="42" t="n"/>
      <c r="BD375" s="42" t="n"/>
    </row>
    <row r="376" ht="15" customHeight="1" s="148">
      <c r="A376" t="inlineStr">
        <is>
          <t>c0372</t>
        </is>
      </c>
      <c r="B376" s="44" t="inlineStr">
        <is>
          <t>Sunpetal Grove</t>
        </is>
      </c>
      <c r="C376" s="34" t="inlineStr">
        <is>
          <t>L</t>
        </is>
      </c>
      <c r="D376" s="44" t="inlineStr">
        <is>
          <t>Land</t>
        </is>
      </c>
      <c r="E376" s="41" t="inlineStr">
        <is>
          <t>B2</t>
        </is>
      </c>
      <c r="F376" s="34" t="n">
        <v>0</v>
      </c>
      <c r="G376" s="67" t="inlineStr">
        <is>
          <t>This land enters tapped unless you control a Forest or a Plains.
{T}: Add {G} or {W}.</t>
        </is>
      </c>
      <c r="H376" s="45" t="inlineStr">
        <is>
          <t>Land</t>
        </is>
      </c>
      <c r="I376" s="45" t="inlineStr">
        <is>
          <t>Taps for {G} or {W}</t>
        </is>
      </c>
      <c r="J376" s="45" t="inlineStr">
        <is>
          <t>Enters untapped if you control a Forest or Plains</t>
        </is>
      </c>
      <c r="K376" s="45" t="n"/>
      <c r="L376" s="42" t="n"/>
      <c r="M376" s="42" t="n"/>
      <c r="N376" s="42" t="n"/>
      <c r="O376" s="42" t="n"/>
      <c r="P376" s="42" t="n">
        <v>0.32</v>
      </c>
      <c r="Q376" s="42" t="n"/>
      <c r="R376" s="42" t="n"/>
      <c r="S376" s="42" t="n"/>
      <c r="T376" s="42" t="n"/>
      <c r="U376" s="42" t="n"/>
      <c r="V376" s="45" t="inlineStr">
        <is>
          <t>Magic 2010</t>
        </is>
      </c>
      <c r="W376" s="41" t="n">
        <v>2</v>
      </c>
      <c r="X376" s="37">
        <f>SUM(Y376:AE376)</f>
        <v/>
      </c>
      <c r="Y376" s="43" t="n"/>
      <c r="Z376" s="43" t="n"/>
      <c r="AA376" s="43" t="n">
        <v>1</v>
      </c>
      <c r="AB376" s="43" t="n">
        <v>1</v>
      </c>
      <c r="AC376" s="43" t="n"/>
      <c r="AD376" s="43" t="n"/>
      <c r="AE376" s="43" t="n"/>
      <c r="AF376" s="38">
        <f>IF((W376-SUM(Y376:AE376))&lt;0,0,W376-SUM(Y376:AE376))</f>
        <v/>
      </c>
      <c r="AG376" s="34">
        <f>MAX(0,$AT376-$W376-$AI376)</f>
        <v/>
      </c>
      <c r="AH376" s="34" t="n"/>
      <c r="AI376" s="34" t="n"/>
      <c r="AJ376" s="36" t="n">
        <v>0.36</v>
      </c>
      <c r="AK376" s="36">
        <f>IF(AND($AG376&gt;0,ISNUMBER($AJ376)),$AG376*$AJ376,0)</f>
        <v/>
      </c>
      <c r="AT376" s="37">
        <f>SUM(AU376:BA376)</f>
        <v/>
      </c>
      <c r="AU376" s="73" t="n"/>
      <c r="AV376" s="33" t="n"/>
      <c r="AW376" s="98" t="n">
        <v>1</v>
      </c>
      <c r="AX376" s="98" t="n">
        <v>1</v>
      </c>
      <c r="AY376" s="33" t="n"/>
      <c r="AZ376" s="33" t="n"/>
      <c r="BA376" s="74" t="n"/>
      <c r="BB376" s="106" t="n"/>
      <c r="BC376" s="42" t="n"/>
      <c r="BD376" s="42" t="n"/>
    </row>
    <row r="377" ht="15" customHeight="1" s="148">
      <c r="A377" t="inlineStr">
        <is>
          <t>c0373</t>
        </is>
      </c>
      <c r="B377" s="44" t="inlineStr">
        <is>
          <t>Sunscorched Divide</t>
        </is>
      </c>
      <c r="C377" s="34" t="inlineStr">
        <is>
          <t>L</t>
        </is>
      </c>
      <c r="D377" s="44" t="inlineStr">
        <is>
          <t>Land</t>
        </is>
      </c>
      <c r="E377" s="41" t="inlineStr">
        <is>
          <t>B2</t>
        </is>
      </c>
      <c r="F377" s="34" t="n">
        <v>0</v>
      </c>
      <c r="G377" s="67" t="inlineStr">
        <is>
          <t>{1}, {T}: Add {R}{W}.</t>
        </is>
      </c>
      <c r="H377" s="45" t="inlineStr">
        <is>
          <t>Land</t>
        </is>
      </c>
      <c r="I377" s="45" t="inlineStr">
        <is>
          <t>Pay {1}, tap: add {R}{W}</t>
        </is>
      </c>
      <c r="J377" s="45" t="n"/>
      <c r="K377" s="45" t="n"/>
      <c r="L377" s="41" t="n"/>
      <c r="M377" s="41" t="n"/>
      <c r="N377" s="41" t="n"/>
      <c r="O377" s="41" t="n"/>
      <c r="P377" s="41" t="n">
        <v>0.34</v>
      </c>
      <c r="Q377" s="41" t="n"/>
      <c r="R377" s="41" t="n"/>
      <c r="S377" s="41" t="n"/>
      <c r="T377" s="41" t="n"/>
      <c r="U377" s="41" t="n"/>
      <c r="V377" s="45" t="inlineStr">
        <is>
          <t>Fallout</t>
        </is>
      </c>
      <c r="W377" s="41" t="n">
        <v>1</v>
      </c>
      <c r="X377" s="37">
        <f>SUM(Y377:AE377)</f>
        <v/>
      </c>
      <c r="Y377" s="43" t="n">
        <v>1</v>
      </c>
      <c r="Z377" s="43" t="n"/>
      <c r="AA377" s="43" t="n"/>
      <c r="AB377" s="43" t="n"/>
      <c r="AC377" s="43" t="n"/>
      <c r="AD377" s="43" t="n"/>
      <c r="AE377" s="43" t="n"/>
      <c r="AF377" s="38">
        <f>IF((W377-SUM(Y377:AE377))&lt;0,0,W377-SUM(Y377:AE377))</f>
        <v/>
      </c>
      <c r="AG377" s="34">
        <f>MAX(0,$AT377-$W377-$AI377)</f>
        <v/>
      </c>
      <c r="AH377" s="34" t="n"/>
      <c r="AI377" s="34" t="n"/>
      <c r="AJ377" s="36" t="n">
        <v>0.29</v>
      </c>
      <c r="AK377" s="36">
        <f>IF(AND($AG377&gt;0,ISNUMBER($AJ377)),$AG377*$AJ377,0)</f>
        <v/>
      </c>
      <c r="AT377" s="37">
        <f>SUM(AU377:BA377)</f>
        <v/>
      </c>
      <c r="AU377" s="82" t="n">
        <v>1</v>
      </c>
      <c r="AV377" s="33" t="n"/>
      <c r="AW377" s="33" t="n"/>
      <c r="AX377" s="33" t="n"/>
      <c r="AY377" s="33" t="n"/>
      <c r="AZ377" s="33" t="n"/>
      <c r="BA377" s="74" t="n"/>
      <c r="BB377" s="106" t="n"/>
      <c r="BC377" s="42" t="n"/>
      <c r="BD377" s="42" t="n"/>
    </row>
    <row r="378" ht="15" customHeight="1" s="148">
      <c r="A378" t="inlineStr">
        <is>
          <t>c0374</t>
        </is>
      </c>
      <c r="B378" s="44" t="inlineStr">
        <is>
          <t>Swamp</t>
        </is>
      </c>
      <c r="C378" s="34" t="inlineStr">
        <is>
          <t>L</t>
        </is>
      </c>
      <c r="D378" s="44" t="inlineStr">
        <is>
          <t>Basic Land</t>
        </is>
      </c>
      <c r="E378" s="41" t="inlineStr">
        <is>
          <t>B2</t>
        </is>
      </c>
      <c r="F378" s="34" t="n">
        <v>0</v>
      </c>
      <c r="G378" s="67" t="inlineStr">
        <is>
          <t>({T}: Add {B}.)</t>
        </is>
      </c>
      <c r="H378" s="45" t="inlineStr">
        <is>
          <t>Land</t>
        </is>
      </c>
      <c r="I378" s="45" t="inlineStr">
        <is>
          <t>Taps for {B}</t>
        </is>
      </c>
      <c r="J378" s="45" t="n"/>
      <c r="K378" s="45" t="n"/>
      <c r="L378" s="42" t="inlineStr">
        <is>
          <t>269</t>
        </is>
      </c>
      <c r="M378" s="42" t="n">
        <v>1</v>
      </c>
      <c r="N378" s="42" t="n">
        <v>0</v>
      </c>
      <c r="O378" s="63" t="inlineStr">
        <is>
          <t>Joshua Raphael</t>
        </is>
      </c>
      <c r="P378" s="63" t="n">
        <v>0.09</v>
      </c>
      <c r="Q378" s="42" t="inlineStr">
        <is>
          <t>Common</t>
        </is>
      </c>
      <c r="R378" s="42" t="n">
        <v>1</v>
      </c>
      <c r="S378" s="42" t="n">
        <v>0</v>
      </c>
      <c r="T378" s="63" t="inlineStr">
        <is>
          <t>Erikas Perl</t>
        </is>
      </c>
      <c r="U378" s="63" t="n">
        <v>0.09</v>
      </c>
      <c r="V378" s="45" t="inlineStr">
        <is>
          <t>Secrets of Strixhaven</t>
        </is>
      </c>
      <c r="W378" s="41" t="n">
        <v>84</v>
      </c>
      <c r="X378" s="37">
        <f>SUM(Y378:AE378)</f>
        <v/>
      </c>
      <c r="Y378" s="43" t="n"/>
      <c r="Z378" s="43" t="n"/>
      <c r="AA378" s="43" t="n">
        <v>3</v>
      </c>
      <c r="AB378" s="43" t="n">
        <v>5</v>
      </c>
      <c r="AC378" s="43" t="n">
        <v>11</v>
      </c>
      <c r="AD378" s="43" t="n"/>
      <c r="AE378" s="43" t="n">
        <v>14</v>
      </c>
      <c r="AF378" s="38">
        <f>IF((W378-SUM(Y378:AE378))&lt;0,0,W378-SUM(Y378:AE378))</f>
        <v/>
      </c>
      <c r="AG378" s="34">
        <f>MAX(0,$AT378-$W378-$AI378)</f>
        <v/>
      </c>
      <c r="AH378" s="34" t="n"/>
      <c r="AI378" s="34" t="n"/>
      <c r="AJ378" s="36" t="n">
        <v>0.1</v>
      </c>
      <c r="AK378" s="36">
        <f>IF(AND($AG378&gt;0,ISNUMBER($AJ378)),$AG378*$AJ378,0)</f>
        <v/>
      </c>
      <c r="AT378" s="37">
        <f>SUM(AU378:BA378)</f>
        <v/>
      </c>
      <c r="AU378" s="73" t="n"/>
      <c r="AV378" s="33" t="n"/>
      <c r="AW378" s="98" t="n">
        <v>3</v>
      </c>
      <c r="AX378" s="98" t="n">
        <v>5</v>
      </c>
      <c r="AY378" s="98" t="n">
        <v>11</v>
      </c>
      <c r="AZ378" s="33" t="n"/>
      <c r="BA378" s="80" t="n">
        <v>14</v>
      </c>
      <c r="BB378" s="106" t="n"/>
      <c r="BC378" s="42" t="n"/>
      <c r="BD378" s="42" t="n"/>
    </row>
    <row r="379" ht="15" customHeight="1" s="148">
      <c r="A379" t="inlineStr">
        <is>
          <t>c0375</t>
        </is>
      </c>
      <c r="B379" s="44" t="inlineStr">
        <is>
          <t>Temple of Enlightenment</t>
        </is>
      </c>
      <c r="C379" s="34" t="inlineStr">
        <is>
          <t>L</t>
        </is>
      </c>
      <c r="D379" s="44" t="inlineStr">
        <is>
          <t>Land</t>
        </is>
      </c>
      <c r="E379" s="41" t="inlineStr">
        <is>
          <t>B2</t>
        </is>
      </c>
      <c r="F379" s="34" t="n">
        <v>0</v>
      </c>
      <c r="G379" s="67" t="inlineStr">
        <is>
          <t>This land enters tapped.
When this land enters, scry 1. (Look at the top card of your library. You may put that card on the bottom.)
{T}: Add {W} or {U}.</t>
        </is>
      </c>
      <c r="H379" s="45" t="inlineStr">
        <is>
          <t>Land</t>
        </is>
      </c>
      <c r="I379" s="45" t="inlineStr">
        <is>
          <t>Taps for {W} or {U}</t>
        </is>
      </c>
      <c r="J379" s="45" t="inlineStr">
        <is>
          <t>Scry 1 when it enters</t>
        </is>
      </c>
      <c r="K379" s="45" t="n"/>
      <c r="L379" s="41" t="n"/>
      <c r="M379" s="41" t="n"/>
      <c r="N379" s="41" t="n"/>
      <c r="O379" s="41" t="n"/>
      <c r="P379" s="41" t="n">
        <v>0.24</v>
      </c>
      <c r="Q379" s="41" t="n"/>
      <c r="R379" s="41" t="n"/>
      <c r="S379" s="41" t="n"/>
      <c r="T379" s="41" t="n"/>
      <c r="U379" s="41" t="n"/>
      <c r="V379" s="45" t="inlineStr">
        <is>
          <t>Born of the Gods</t>
        </is>
      </c>
      <c r="W379" s="41" t="n">
        <v>1</v>
      </c>
      <c r="X379" s="37">
        <f>SUM(Y379:AE379)</f>
        <v/>
      </c>
      <c r="Y379" s="43" t="n"/>
      <c r="Z379" s="43" t="n"/>
      <c r="AA379" s="43" t="n">
        <v>1</v>
      </c>
      <c r="AB379" s="43" t="n"/>
      <c r="AC379" s="43" t="n"/>
      <c r="AD379" s="43" t="n"/>
      <c r="AE379" s="43" t="n"/>
      <c r="AF379" s="38">
        <f>IF((W379-SUM(Y379:AE379))&lt;0,0,W379-SUM(Y379:AE379))</f>
        <v/>
      </c>
      <c r="AG379" s="34">
        <f>MAX(0,$AT379-$W379-$AI379)</f>
        <v/>
      </c>
      <c r="AH379" s="34" t="n"/>
      <c r="AI379" s="34" t="n"/>
      <c r="AJ379" s="36" t="n">
        <v>0.27</v>
      </c>
      <c r="AK379" s="36">
        <f>IF(AND($AG379&gt;0,ISNUMBER($AJ379)),$AG379*$AJ379,0)</f>
        <v/>
      </c>
      <c r="AT379" s="37">
        <f>SUM(AU379:BA379)</f>
        <v/>
      </c>
      <c r="AU379" s="73" t="n"/>
      <c r="AV379" s="33" t="n"/>
      <c r="AW379" s="98" t="n">
        <v>1</v>
      </c>
      <c r="AX379" s="33" t="n"/>
      <c r="AY379" s="33" t="n"/>
      <c r="AZ379" s="33" t="n"/>
      <c r="BA379" s="74" t="n"/>
      <c r="BB379" s="106" t="n"/>
      <c r="BC379" s="42" t="n"/>
      <c r="BD379" s="42" t="n"/>
    </row>
    <row r="380" ht="15" customHeight="1" s="148">
      <c r="A380" t="inlineStr">
        <is>
          <t>c0376</t>
        </is>
      </c>
      <c r="B380" s="44" t="inlineStr">
        <is>
          <t>Temple of Silence</t>
        </is>
      </c>
      <c r="C380" s="34" t="inlineStr">
        <is>
          <t>L</t>
        </is>
      </c>
      <c r="D380" s="44" t="inlineStr">
        <is>
          <t>Land</t>
        </is>
      </c>
      <c r="E380" s="41" t="inlineStr">
        <is>
          <t>B2</t>
        </is>
      </c>
      <c r="F380" s="34" t="n">
        <v>0</v>
      </c>
      <c r="G380" s="67" t="inlineStr">
        <is>
          <t>This land enters tapped.
When this land enters, scry 1. (Look at the top card of your library. You may put that card on the bottom.)
{T}: Add {W} or {B}.</t>
        </is>
      </c>
      <c r="H380" s="45" t="inlineStr">
        <is>
          <t>Land</t>
        </is>
      </c>
      <c r="I380" s="45" t="inlineStr">
        <is>
          <t>Taps for {W} or {B}</t>
        </is>
      </c>
      <c r="J380" s="45" t="inlineStr">
        <is>
          <t>Enters tapped; scry 1 when it enters</t>
        </is>
      </c>
      <c r="K380" s="45" t="n"/>
      <c r="L380" s="42" t="n"/>
      <c r="M380" s="42" t="n"/>
      <c r="N380" s="42" t="n"/>
      <c r="O380" s="42" t="n"/>
      <c r="P380" s="42" t="n">
        <v>0.32</v>
      </c>
      <c r="Q380" s="42" t="n"/>
      <c r="R380" s="42" t="n"/>
      <c r="S380" s="42" t="n"/>
      <c r="T380" s="42" t="n"/>
      <c r="U380" s="42" t="n"/>
      <c r="V380" s="45" t="inlineStr">
        <is>
          <t>Theros</t>
        </is>
      </c>
      <c r="W380" s="41" t="n">
        <v>1</v>
      </c>
      <c r="X380" s="37">
        <f>SUM(Y380:AE380)</f>
        <v/>
      </c>
      <c r="Y380" s="43" t="n"/>
      <c r="Z380" s="43" t="n"/>
      <c r="AA380" s="43" t="n"/>
      <c r="AB380" s="43" t="n"/>
      <c r="AC380" s="43" t="n">
        <v>1</v>
      </c>
      <c r="AD380" s="43" t="n"/>
      <c r="AE380" s="43" t="n"/>
      <c r="AF380" s="38">
        <f>IF((W380-SUM(Y380:AE380))&lt;0,0,W380-SUM(Y380:AE380))</f>
        <v/>
      </c>
      <c r="AG380" s="34">
        <f>MAX(0,$AT380-$W380-$AI380)</f>
        <v/>
      </c>
      <c r="AH380" s="34" t="n"/>
      <c r="AI380" s="34" t="n"/>
      <c r="AJ380" s="36" t="n">
        <v>0.35</v>
      </c>
      <c r="AK380" s="36">
        <f>IF(AND($AG380&gt;0,ISNUMBER($AJ380)),$AG380*$AJ380,0)</f>
        <v/>
      </c>
      <c r="AT380" s="37">
        <f>SUM(AU380:BA380)</f>
        <v/>
      </c>
      <c r="AU380" s="73" t="n"/>
      <c r="AV380" s="33" t="n"/>
      <c r="AW380" s="33" t="n"/>
      <c r="AX380" s="33" t="n"/>
      <c r="AY380" s="98" t="n">
        <v>1</v>
      </c>
      <c r="AZ380" s="33" t="n"/>
      <c r="BA380" s="74" t="n"/>
      <c r="BB380" s="106" t="n"/>
      <c r="BC380" s="42" t="n"/>
      <c r="BD380" s="42" t="n"/>
    </row>
    <row r="381" ht="15" customHeight="1" s="148">
      <c r="A381" t="inlineStr">
        <is>
          <t>c0377</t>
        </is>
      </c>
      <c r="B381" s="44" t="inlineStr">
        <is>
          <t>Temple of the False God</t>
        </is>
      </c>
      <c r="C381" s="34" t="inlineStr">
        <is>
          <t>L</t>
        </is>
      </c>
      <c r="D381" s="44" t="inlineStr">
        <is>
          <t>Land</t>
        </is>
      </c>
      <c r="E381" s="41" t="inlineStr">
        <is>
          <t>B2</t>
        </is>
      </c>
      <c r="F381" s="34" t="n">
        <v>0</v>
      </c>
      <c r="G381" s="67" t="inlineStr">
        <is>
          <t>{T}: Add {C}{C}. Activate only if you control five or more lands.</t>
        </is>
      </c>
      <c r="H381" s="45" t="inlineStr">
        <is>
          <t>Land</t>
        </is>
      </c>
      <c r="I381" s="45" t="inlineStr">
        <is>
          <t>Taps for {C}{C} if you control five or more lands</t>
        </is>
      </c>
      <c r="J381" s="45" t="n"/>
      <c r="K381" s="45" t="n"/>
      <c r="L381" s="42" t="n"/>
      <c r="M381" s="42" t="n"/>
      <c r="N381" s="42" t="n"/>
      <c r="O381" s="63" t="n"/>
      <c r="P381" s="63" t="n">
        <v>0.37</v>
      </c>
      <c r="Q381" s="42" t="n"/>
      <c r="R381" s="42" t="n"/>
      <c r="S381" s="42" t="n"/>
      <c r="T381" s="63" t="n"/>
      <c r="U381" s="63" t="n"/>
      <c r="V381" s="45" t="inlineStr">
        <is>
          <t>Scourge</t>
        </is>
      </c>
      <c r="W381" s="41" t="n">
        <v>1</v>
      </c>
      <c r="X381" s="37">
        <f>SUM(Y381:AE381)</f>
        <v/>
      </c>
      <c r="Y381" s="43" t="n"/>
      <c r="Z381" s="43" t="n"/>
      <c r="AA381" s="43" t="n"/>
      <c r="AB381" s="43" t="n"/>
      <c r="AC381" s="43" t="n"/>
      <c r="AD381" s="43" t="n"/>
      <c r="AE381" s="43" t="n"/>
      <c r="AF381" s="38">
        <f>IF((W381-SUM(Y381:AE381))&lt;0,0,W381-SUM(Y381:AE381))</f>
        <v/>
      </c>
      <c r="AG381" s="34">
        <f>MAX(0,$AT381-$W381-$AI381)</f>
        <v/>
      </c>
      <c r="AH381" s="34" t="n"/>
      <c r="AI381" s="34" t="n"/>
      <c r="AJ381" s="36" t="n">
        <v>0.27</v>
      </c>
      <c r="AK381" s="36">
        <f>IF(AND($AG381&gt;0,ISNUMBER($AJ381)),$AG381*$AJ381,0)</f>
        <v/>
      </c>
      <c r="AT381" s="37">
        <f>SUM(AU381:BA381)</f>
        <v/>
      </c>
      <c r="AU381" s="73" t="n"/>
      <c r="AV381" s="33" t="n"/>
      <c r="AW381" s="33" t="n"/>
      <c r="AX381" s="33" t="n"/>
      <c r="AY381" s="33" t="n"/>
      <c r="AZ381" s="33" t="n"/>
      <c r="BA381" s="74" t="n"/>
      <c r="BB381" s="106" t="n"/>
      <c r="BC381" s="42" t="n"/>
      <c r="BD381" s="42" t="n"/>
    </row>
    <row r="382" ht="15" customHeight="1" s="148">
      <c r="A382" t="inlineStr">
        <is>
          <t>c0378</t>
        </is>
      </c>
      <c r="B382" s="44" t="inlineStr">
        <is>
          <t>Temple of Triumph</t>
        </is>
      </c>
      <c r="C382" s="34" t="inlineStr">
        <is>
          <t>L</t>
        </is>
      </c>
      <c r="D382" s="44" t="inlineStr">
        <is>
          <t>Land</t>
        </is>
      </c>
      <c r="E382" s="41" t="inlineStr">
        <is>
          <t>B2</t>
        </is>
      </c>
      <c r="F382" s="34" t="n">
        <v>0</v>
      </c>
      <c r="G382" s="67" t="inlineStr">
        <is>
          <t>This land enters tapped.
When this land enters, scry 1. (Look at the top card of your library. You may put that card on the bottom.)
{T}: Add {R} or {W}.</t>
        </is>
      </c>
      <c r="H382" s="45" t="inlineStr">
        <is>
          <t>Land</t>
        </is>
      </c>
      <c r="I382" s="45" t="inlineStr">
        <is>
          <t>Taps for {R} or {W}</t>
        </is>
      </c>
      <c r="J382" s="45" t="inlineStr">
        <is>
          <t>Enters tapped</t>
        </is>
      </c>
      <c r="K382" s="45" t="inlineStr">
        <is>
          <t>Scries 1 when it enters</t>
        </is>
      </c>
      <c r="L382" s="41" t="n"/>
      <c r="M382" s="41" t="n"/>
      <c r="N382" s="41" t="n"/>
      <c r="O382" s="41" t="n"/>
      <c r="P382" s="41" t="n">
        <v>0.28</v>
      </c>
      <c r="Q382" s="41" t="n"/>
      <c r="R382" s="41" t="n"/>
      <c r="S382" s="41" t="n"/>
      <c r="T382" s="41" t="n"/>
      <c r="U382" s="41" t="n"/>
      <c r="V382" s="45" t="inlineStr">
        <is>
          <t>Theros</t>
        </is>
      </c>
      <c r="W382" s="41" t="n">
        <v>1</v>
      </c>
      <c r="X382" s="37">
        <f>SUM(Y382:AE382)</f>
        <v/>
      </c>
      <c r="Y382" s="43" t="n">
        <v>1</v>
      </c>
      <c r="Z382" s="43" t="n"/>
      <c r="AA382" s="43" t="n"/>
      <c r="AB382" s="43" t="n"/>
      <c r="AC382" s="43" t="n"/>
      <c r="AD382" s="43" t="n"/>
      <c r="AE382" s="43" t="n"/>
      <c r="AF382" s="38">
        <f>IF((W382-SUM(Y382:AE382))&lt;0,0,W382-SUM(Y382:AE382))</f>
        <v/>
      </c>
      <c r="AG382" s="34">
        <f>MAX(0,$AT382-$W382-$AI382)</f>
        <v/>
      </c>
      <c r="AH382" s="34" t="n"/>
      <c r="AI382" s="34" t="n"/>
      <c r="AJ382" s="36" t="n">
        <v>0.31</v>
      </c>
      <c r="AK382" s="36">
        <f>IF(AND($AG382&gt;0,ISNUMBER($AJ382)),$AG382*$AJ382,0)</f>
        <v/>
      </c>
      <c r="AT382" s="37">
        <f>SUM(AU382:BA382)</f>
        <v/>
      </c>
      <c r="AU382" s="82" t="n">
        <v>1</v>
      </c>
      <c r="AV382" s="33" t="n"/>
      <c r="AW382" s="33" t="n"/>
      <c r="AX382" s="33" t="n"/>
      <c r="AY382" s="33" t="n"/>
      <c r="AZ382" s="33" t="n"/>
      <c r="BA382" s="74" t="n"/>
      <c r="BB382" s="106" t="n"/>
      <c r="BC382" s="42" t="n"/>
      <c r="BD382" s="42" t="n"/>
    </row>
    <row r="383" ht="15" customHeight="1" s="148">
      <c r="A383" t="inlineStr">
        <is>
          <t>c0379</t>
        </is>
      </c>
      <c r="B383" s="44" t="inlineStr">
        <is>
          <t>Terramorphic Expanse</t>
        </is>
      </c>
      <c r="C383" s="34" t="inlineStr">
        <is>
          <t>L</t>
        </is>
      </c>
      <c r="D383" s="44" t="inlineStr">
        <is>
          <t>Land</t>
        </is>
      </c>
      <c r="E383" s="41" t="inlineStr">
        <is>
          <t>B2</t>
        </is>
      </c>
      <c r="F383" s="34" t="n">
        <v>0</v>
      </c>
      <c r="G383" s="67" t="inlineStr">
        <is>
          <t>{T}, Sacrifice this land: Search your library for a basic land card, put it onto the battlefield tapped, then shuffle.</t>
        </is>
      </c>
      <c r="H383" s="45" t="inlineStr">
        <is>
          <t>Land</t>
        </is>
      </c>
      <c r="I383" s="45" t="inlineStr">
        <is>
          <t>Sacrifice, search a basic land, put it into play tapped</t>
        </is>
      </c>
      <c r="J383" s="45" t="n"/>
      <c r="K383" s="45" t="n"/>
      <c r="L383" s="41" t="n"/>
      <c r="M383" s="41" t="n"/>
      <c r="N383" s="41" t="n"/>
      <c r="O383" s="41" t="n"/>
      <c r="P383" s="41" t="n">
        <v>0.27</v>
      </c>
      <c r="Q383" s="41" t="n"/>
      <c r="R383" s="41" t="n"/>
      <c r="S383" s="41" t="n"/>
      <c r="T383" s="41" t="n"/>
      <c r="U383" s="41" t="n"/>
      <c r="V383" s="45" t="inlineStr">
        <is>
          <t>Salvat 2005</t>
        </is>
      </c>
      <c r="W383" s="41" t="n">
        <v>2</v>
      </c>
      <c r="X383" s="37">
        <f>SUM(Y383:AE383)</f>
        <v/>
      </c>
      <c r="Y383" s="43" t="n"/>
      <c r="Z383" s="43" t="n">
        <v>1</v>
      </c>
      <c r="AA383" s="43" t="n"/>
      <c r="AB383" s="43" t="n"/>
      <c r="AC383" s="43" t="n"/>
      <c r="AD383" s="43" t="n"/>
      <c r="AE383" s="43" t="n"/>
      <c r="AF383" s="38">
        <f>IF((W383-SUM(Y383:AE383))&lt;0,0,W383-SUM(Y383:AE383))</f>
        <v/>
      </c>
      <c r="AG383" s="34">
        <f>MAX(0,$AT383-$W383-$AI383)</f>
        <v/>
      </c>
      <c r="AH383" s="34" t="n"/>
      <c r="AI383" s="34" t="n"/>
      <c r="AJ383" s="36" t="n">
        <v>0.25</v>
      </c>
      <c r="AK383" s="36">
        <f>IF(AND($AG383&gt;0,ISNUMBER($AJ383)),$AG383*$AJ383,0)</f>
        <v/>
      </c>
      <c r="AM383" s="58" t="n"/>
      <c r="AT383" s="37">
        <f>SUM(AU383:BA383)</f>
        <v/>
      </c>
      <c r="AU383" s="73" t="n"/>
      <c r="AV383" s="99" t="n"/>
      <c r="AW383" s="33" t="n"/>
      <c r="AX383" s="33" t="n"/>
      <c r="AY383" s="33" t="n"/>
      <c r="AZ383" s="33" t="n"/>
      <c r="BA383" s="74" t="n"/>
      <c r="BB383" s="106" t="n"/>
      <c r="BC383" s="42" t="n"/>
      <c r="BD383" s="42" t="n"/>
    </row>
    <row r="384" ht="15" customHeight="1" s="148">
      <c r="A384" t="inlineStr">
        <is>
          <t>c0380</t>
        </is>
      </c>
      <c r="B384" s="44" t="inlineStr">
        <is>
          <t>Thornwood Falls</t>
        </is>
      </c>
      <c r="C384" s="34" t="inlineStr">
        <is>
          <t>L</t>
        </is>
      </c>
      <c r="D384" s="44" t="inlineStr">
        <is>
          <t>Land</t>
        </is>
      </c>
      <c r="E384" s="41" t="inlineStr">
        <is>
          <t>B2</t>
        </is>
      </c>
      <c r="F384" s="34" t="n">
        <v>0</v>
      </c>
      <c r="G384" s="67" t="inlineStr">
        <is>
          <t>This land enters tapped.
When this land enters, you gain 1 life.
{T}: Add {G} or {U}.</t>
        </is>
      </c>
      <c r="H384" s="45" t="inlineStr">
        <is>
          <t>Land</t>
        </is>
      </c>
      <c r="I384" s="45" t="inlineStr">
        <is>
          <t>This land enters tapped. / When this land enters, you gain 1 life. / {</t>
        </is>
      </c>
      <c r="J384" s="45" t="n"/>
      <c r="K384" s="45" t="n"/>
      <c r="L384" s="41" t="n"/>
      <c r="M384" s="41" t="n"/>
      <c r="N384" s="41" t="n"/>
      <c r="O384" s="63" t="n"/>
      <c r="P384" s="63" t="n">
        <v>0.19</v>
      </c>
      <c r="Q384" s="41" t="n"/>
      <c r="R384" s="41" t="n"/>
      <c r="S384" s="41" t="n"/>
      <c r="T384" s="63" t="n"/>
      <c r="U384" s="63" t="n"/>
      <c r="V384" s="45" t="inlineStr">
        <is>
          <t>Khans of Tarkir</t>
        </is>
      </c>
      <c r="W384" s="41" t="n">
        <v>2</v>
      </c>
      <c r="X384" s="37">
        <f>SUM(Y384:AE384)</f>
        <v/>
      </c>
      <c r="Y384" s="43" t="n"/>
      <c r="Z384" s="43" t="n">
        <v>1</v>
      </c>
      <c r="AA384" s="43" t="n">
        <v>1</v>
      </c>
      <c r="AB384" s="43" t="n"/>
      <c r="AC384" s="43" t="n"/>
      <c r="AD384" s="43" t="n"/>
      <c r="AE384" s="43" t="n"/>
      <c r="AF384" s="38">
        <f>IF((W384-SUM(Y384:AE384))&lt;0,0,W384-SUM(Y384:AE384))</f>
        <v/>
      </c>
      <c r="AG384" s="34">
        <f>MAX(0,$AT384-$W384-$AI384)</f>
        <v/>
      </c>
      <c r="AH384" s="34" t="n"/>
      <c r="AI384" s="34" t="n"/>
      <c r="AJ384" s="36" t="n">
        <v>0.1</v>
      </c>
      <c r="AK384" s="36">
        <f>IF(AND($AG384&gt;0,ISNUMBER($AJ384)),$AG384*$AJ384,0)</f>
        <v/>
      </c>
      <c r="AT384" s="37">
        <f>SUM(AU384:BA384)</f>
        <v/>
      </c>
      <c r="AU384" s="73" t="n"/>
      <c r="AV384" s="98" t="n">
        <v>1</v>
      </c>
      <c r="AW384" s="98" t="n">
        <v>1</v>
      </c>
      <c r="AX384" s="33" t="n"/>
      <c r="AY384" s="33" t="n"/>
      <c r="AZ384" s="33" t="n"/>
      <c r="BA384" s="74" t="n"/>
      <c r="BB384" s="106" t="n"/>
      <c r="BC384" s="42" t="n"/>
      <c r="BD384" s="50" t="inlineStr">
        <is>
          <t>ORDERED 2026-09-11 $0.20</t>
        </is>
      </c>
    </row>
    <row r="385" ht="15" customHeight="1" s="148">
      <c r="A385" t="inlineStr">
        <is>
          <t>c0381</t>
        </is>
      </c>
      <c r="B385" s="44" t="inlineStr">
        <is>
          <t>Timber Gorge</t>
        </is>
      </c>
      <c r="C385" s="34" t="inlineStr">
        <is>
          <t>L</t>
        </is>
      </c>
      <c r="D385" s="44" t="inlineStr">
        <is>
          <t>Land</t>
        </is>
      </c>
      <c r="E385" s="41" t="inlineStr">
        <is>
          <t>B2</t>
        </is>
      </c>
      <c r="F385" s="34" t="n">
        <v>0</v>
      </c>
      <c r="G385" s="67" t="inlineStr">
        <is>
          <t>This land enters tapped.
{T}: Add {R} or {G}.</t>
        </is>
      </c>
      <c r="H385" s="45" t="inlineStr">
        <is>
          <t>Land</t>
        </is>
      </c>
      <c r="I385" s="45" t="inlineStr">
        <is>
          <t>Taps for {R} or {G}</t>
        </is>
      </c>
      <c r="J385" s="45" t="n"/>
      <c r="K385" s="45" t="n"/>
      <c r="L385" s="42" t="n"/>
      <c r="M385" s="42" t="n"/>
      <c r="N385" s="42" t="n"/>
      <c r="O385" s="63" t="n"/>
      <c r="P385" s="63" t="n">
        <v>0.22</v>
      </c>
      <c r="Q385" s="42" t="n"/>
      <c r="R385" s="42" t="n"/>
      <c r="S385" s="42" t="n"/>
      <c r="T385" s="63" t="n"/>
      <c r="U385" s="63" t="n"/>
      <c r="V385" s="45" t="inlineStr">
        <is>
          <t>Oath of the Gatewatch</t>
        </is>
      </c>
      <c r="W385" s="41" t="n">
        <v>1</v>
      </c>
      <c r="X385" s="37">
        <f>SUM(Y385:AE385)</f>
        <v/>
      </c>
      <c r="Y385" s="43" t="n"/>
      <c r="Z385" s="43" t="n"/>
      <c r="AA385" s="43" t="n"/>
      <c r="AB385" s="43" t="n"/>
      <c r="AC385" s="43" t="n"/>
      <c r="AD385" s="43" t="n"/>
      <c r="AE385" s="43" t="n"/>
      <c r="AF385" s="38">
        <f>IF((W385-SUM(Y385:AE385))&lt;0,0,W385-SUM(Y385:AE385))</f>
        <v/>
      </c>
      <c r="AG385" s="34">
        <f>MAX(0,$AT385-$W385-$AI385)</f>
        <v/>
      </c>
      <c r="AH385" s="34" t="n"/>
      <c r="AI385" s="34" t="n"/>
      <c r="AJ385" s="36" t="n">
        <v>0.08</v>
      </c>
      <c r="AK385" s="36">
        <f>IF(AND($AG385&gt;0,ISNUMBER($AJ385)),$AG385*$AJ385,0)</f>
        <v/>
      </c>
      <c r="AT385" s="37">
        <f>SUM(AU385:BA385)</f>
        <v/>
      </c>
      <c r="AU385" s="73" t="n"/>
      <c r="AV385" s="33" t="n"/>
      <c r="AW385" s="33" t="n"/>
      <c r="AX385" s="33" t="n"/>
      <c r="AY385" s="33" t="n"/>
      <c r="AZ385" s="33" t="n"/>
      <c r="BA385" s="74" t="n"/>
      <c r="BB385" s="106" t="n"/>
      <c r="BC385" s="42" t="n"/>
      <c r="BD385" s="42" t="n"/>
    </row>
    <row r="386" ht="15" customHeight="1" s="148">
      <c r="A386" t="inlineStr">
        <is>
          <t>c0382</t>
        </is>
      </c>
      <c r="B386" s="30" t="inlineStr">
        <is>
          <t>Titan's Grave</t>
        </is>
      </c>
      <c r="C386" s="31" t="inlineStr">
        <is>
          <t>L</t>
        </is>
      </c>
      <c r="D386" s="30" t="inlineStr">
        <is>
          <t>Land</t>
        </is>
      </c>
      <c r="E386" s="33" t="inlineStr">
        <is>
          <t>B2</t>
        </is>
      </c>
      <c r="F386" s="30" t="n">
        <v>0</v>
      </c>
      <c r="G386" s="67" t="inlineStr">
        <is>
          <t>This land enters tapped.
{T}: Add {B} or {G}.
{2}{B}{G}, {T}: Surveil 1. (Look at the top card of your library. You may put it into your graveyard.)</t>
        </is>
      </c>
      <c r="H386" s="30" t="inlineStr">
        <is>
          <t>Land</t>
        </is>
      </c>
      <c r="I386" s="30" t="inlineStr">
        <is>
          <t>Taps for {B} or {G}</t>
        </is>
      </c>
      <c r="J386" s="30" t="inlineStr">
        <is>
          <t>Enters tapped</t>
        </is>
      </c>
      <c r="K386" s="30" t="inlineStr">
        <is>
          <t>{2}{B}{G}, {T}: Surveil 1</t>
        </is>
      </c>
      <c r="L386" s="89" t="inlineStr">
        <is>
          <t>266</t>
        </is>
      </c>
      <c r="M386" s="33" t="n">
        <v>1</v>
      </c>
      <c r="N386" s="33" t="n">
        <v>0</v>
      </c>
      <c r="O386" s="63" t="inlineStr">
        <is>
          <t>Lorenzo Lanfranconi</t>
        </is>
      </c>
      <c r="P386" s="90" t="n">
        <v>0.19</v>
      </c>
      <c r="Q386" s="32" t="inlineStr">
        <is>
          <t>Common</t>
        </is>
      </c>
      <c r="R386" s="32" t="n"/>
      <c r="S386" s="32" t="n"/>
      <c r="T386" s="63" t="n"/>
      <c r="U386" s="63" t="n"/>
      <c r="V386" s="30" t="inlineStr">
        <is>
          <t>Secrets of Strixhaven</t>
        </is>
      </c>
      <c r="W386" s="41" t="n">
        <v>1</v>
      </c>
      <c r="X386" s="37">
        <f>SUM(Y386:AE386)</f>
        <v/>
      </c>
      <c r="Y386" s="43" t="n"/>
      <c r="Z386" s="43" t="n"/>
      <c r="AA386" s="43" t="n"/>
      <c r="AB386" s="43" t="n">
        <v>1</v>
      </c>
      <c r="AC386" s="43" t="n"/>
      <c r="AD386" s="43" t="n"/>
      <c r="AE386" s="43" t="n"/>
      <c r="AF386" s="38">
        <f>IF((W386-SUM(Y386:AE386))&lt;0,0,W386-SUM(Y386:AE386))</f>
        <v/>
      </c>
      <c r="AG386" s="34">
        <f>MAX(0,$AT386-$W386-$AI386)</f>
        <v/>
      </c>
      <c r="AH386" s="30" t="n"/>
      <c r="AI386" s="30" t="n"/>
      <c r="AJ386" s="30" t="n">
        <v>0.28</v>
      </c>
      <c r="AK386" s="36">
        <f>IF(AND($AG386&gt;0,ISNUMBER($AJ386)),$AG386*$AJ386,0)</f>
        <v/>
      </c>
      <c r="AT386" s="37">
        <f>SUM(AU386:BA386)</f>
        <v/>
      </c>
      <c r="AU386" s="73" t="n"/>
      <c r="AV386" s="33" t="n"/>
      <c r="AW386" s="33" t="n"/>
      <c r="AX386" s="98" t="n">
        <v>1</v>
      </c>
      <c r="AY386" s="33" t="n"/>
      <c r="AZ386" s="33" t="n"/>
      <c r="BA386" s="74" t="n"/>
      <c r="BB386" s="108" t="n"/>
      <c r="BC386" s="32" t="n"/>
      <c r="BD386" s="32" t="n"/>
    </row>
    <row r="387" ht="15" customHeight="1" s="148">
      <c r="A387" t="inlineStr">
        <is>
          <t>c0383</t>
        </is>
      </c>
      <c r="B387" s="44" t="inlineStr">
        <is>
          <t>Turbulent Steppe</t>
        </is>
      </c>
      <c r="C387" s="34" t="inlineStr">
        <is>
          <t>L</t>
        </is>
      </c>
      <c r="D387" s="44" t="inlineStr">
        <is>
          <t>Land</t>
        </is>
      </c>
      <c r="E387" s="41" t="inlineStr">
        <is>
          <t>B2</t>
        </is>
      </c>
      <c r="F387" s="34" t="n">
        <v>0</v>
      </c>
      <c r="G387" s="67" t="inlineStr">
        <is>
          <t>({T}: Add {R} or {W}.)
This land enters tapped unless your opponents control eight or more lands.</t>
        </is>
      </c>
      <c r="H387" s="45" t="inlineStr">
        <is>
          <t>Land</t>
        </is>
      </c>
      <c r="I387" s="45" t="inlineStr">
        <is>
          <t>Taps for {R} or {W}</t>
        </is>
      </c>
      <c r="J387" s="45" t="inlineStr">
        <is>
          <t>Enters tapped unless opponents control 8+ lands</t>
        </is>
      </c>
      <c r="K387" s="45" t="n"/>
      <c r="L387" s="41" t="n"/>
      <c r="M387" s="41" t="n"/>
      <c r="N387" s="41" t="n"/>
      <c r="O387" s="41" t="n"/>
      <c r="P387" s="41" t="n">
        <v>6.59</v>
      </c>
      <c r="Q387" s="41" t="n"/>
      <c r="R387" s="41" t="n"/>
      <c r="S387" s="41" t="n"/>
      <c r="T387" s="41" t="n"/>
      <c r="U387" s="41" t="n"/>
      <c r="V387" s="45" t="inlineStr">
        <is>
          <t>Secrets of Strixhaven Commander</t>
        </is>
      </c>
      <c r="W387" s="41" t="n">
        <v>1</v>
      </c>
      <c r="X387" s="37">
        <f>SUM(Y387:AE387)</f>
        <v/>
      </c>
      <c r="Y387" s="43" t="n">
        <v>1</v>
      </c>
      <c r="Z387" s="43" t="n"/>
      <c r="AA387" s="43" t="n"/>
      <c r="AB387" s="43" t="n"/>
      <c r="AC387" s="43" t="n"/>
      <c r="AD387" s="43" t="n"/>
      <c r="AE387" s="43" t="n"/>
      <c r="AF387" s="38">
        <f>IF((W387-SUM(Y387:AE387))&lt;0,0,W387-SUM(Y387:AE387))</f>
        <v/>
      </c>
      <c r="AG387" s="34">
        <f>MAX(0,$AT387-$W387-$AI387)</f>
        <v/>
      </c>
      <c r="AH387" s="34" t="n"/>
      <c r="AI387" s="34" t="n"/>
      <c r="AJ387" s="36" t="n">
        <v>5.38</v>
      </c>
      <c r="AK387" s="36">
        <f>IF(AND($AG387&gt;0,ISNUMBER($AJ387)),$AG387*$AJ387,0)</f>
        <v/>
      </c>
      <c r="AT387" s="37">
        <f>SUM(AU387:BA387)</f>
        <v/>
      </c>
      <c r="AU387" s="82" t="n">
        <v>1</v>
      </c>
      <c r="AV387" s="33" t="n"/>
      <c r="AW387" s="33" t="n"/>
      <c r="AX387" s="33" t="n"/>
      <c r="AY387" s="33" t="n"/>
      <c r="AZ387" s="33" t="n"/>
      <c r="BA387" s="74" t="n"/>
      <c r="BB387" s="106" t="n"/>
      <c r="BC387" s="42" t="n"/>
      <c r="BD387" s="42" t="n"/>
    </row>
    <row r="388" ht="15" customHeight="1" s="148">
      <c r="A388" t="inlineStr">
        <is>
          <t>c0384</t>
        </is>
      </c>
      <c r="B388" s="44" t="inlineStr">
        <is>
          <t>Vault of the Archangel</t>
        </is>
      </c>
      <c r="C388" s="34" t="inlineStr">
        <is>
          <t>L</t>
        </is>
      </c>
      <c r="D388" s="44" t="inlineStr">
        <is>
          <t>Land</t>
        </is>
      </c>
      <c r="E388" s="41" t="inlineStr">
        <is>
          <t>B2</t>
        </is>
      </c>
      <c r="F388" s="34" t="n">
        <v>0</v>
      </c>
      <c r="G388" s="67" t="inlineStr">
        <is>
          <t>{T}: Add {C}.
{2}{W}{B}, {T}: Creatures you control gain deathtouch and lifelink until end of turn.</t>
        </is>
      </c>
      <c r="H388" s="45" t="inlineStr">
        <is>
          <t>Land</t>
        </is>
      </c>
      <c r="I388" s="45" t="inlineStr">
        <is>
          <t>Taps for {C}</t>
        </is>
      </c>
      <c r="J388" s="45" t="inlineStr">
        <is>
          <t>{2}{W}{B}, tap: creatures you control gain deathtouch and lifelink</t>
        </is>
      </c>
      <c r="K388" s="45" t="n"/>
      <c r="L388" s="42" t="n"/>
      <c r="M388" s="42" t="n"/>
      <c r="N388" s="42" t="n"/>
      <c r="O388" s="42" t="n"/>
      <c r="P388" s="42" t="n">
        <v>0.86</v>
      </c>
      <c r="Q388" s="42" t="n"/>
      <c r="R388" s="42" t="n"/>
      <c r="S388" s="42" t="n"/>
      <c r="T388" s="42" t="n"/>
      <c r="U388" s="42" t="n"/>
      <c r="V388" s="45" t="inlineStr">
        <is>
          <t>Dark Ascension</t>
        </is>
      </c>
      <c r="W388" s="41" t="n">
        <v>1</v>
      </c>
      <c r="X388" s="37">
        <f>SUM(Y388:AE388)</f>
        <v/>
      </c>
      <c r="Y388" s="43" t="n"/>
      <c r="Z388" s="43" t="n"/>
      <c r="AA388" s="43" t="n"/>
      <c r="AB388" s="43" t="n"/>
      <c r="AC388" s="43" t="n">
        <v>1</v>
      </c>
      <c r="AD388" s="43" t="n"/>
      <c r="AE388" s="43" t="n"/>
      <c r="AF388" s="38">
        <f>IF((W388-SUM(Y388:AE388))&lt;0,0,W388-SUM(Y388:AE388))</f>
        <v/>
      </c>
      <c r="AG388" s="34">
        <f>MAX(0,$AT388-$W388-$AI388)</f>
        <v/>
      </c>
      <c r="AH388" s="34" t="n"/>
      <c r="AI388" s="34" t="n"/>
      <c r="AJ388" s="36" t="n">
        <v>0.76</v>
      </c>
      <c r="AK388" s="36">
        <f>IF(AND($AG388&gt;0,ISNUMBER($AJ388)),$AG388*$AJ388,0)</f>
        <v/>
      </c>
      <c r="AT388" s="37">
        <f>SUM(AU388:BA388)</f>
        <v/>
      </c>
      <c r="AU388" s="73" t="n"/>
      <c r="AV388" s="33" t="n"/>
      <c r="AW388" s="33" t="n"/>
      <c r="AX388" s="33" t="n"/>
      <c r="AY388" s="98" t="n">
        <v>1</v>
      </c>
      <c r="AZ388" s="33" t="n"/>
      <c r="BA388" s="74" t="n"/>
      <c r="BB388" s="106" t="n"/>
      <c r="BC388" s="42" t="n"/>
      <c r="BD388" s="42" t="n"/>
    </row>
    <row r="389" ht="15" customHeight="1" s="148">
      <c r="A389" t="inlineStr">
        <is>
          <t>c0385</t>
        </is>
      </c>
      <c r="B389" s="44" t="inlineStr">
        <is>
          <t>Wind-Scarred Crag</t>
        </is>
      </c>
      <c r="C389" s="34" t="inlineStr">
        <is>
          <t>L</t>
        </is>
      </c>
      <c r="D389" s="44" t="inlineStr">
        <is>
          <t>Land</t>
        </is>
      </c>
      <c r="E389" s="41" t="inlineStr">
        <is>
          <t>B2</t>
        </is>
      </c>
      <c r="F389" s="34" t="n">
        <v>0</v>
      </c>
      <c r="G389" s="67" t="inlineStr">
        <is>
          <t>This land enters tapped.
When this land enters, you gain 1 life.
{T}: Add {R} or {W}.</t>
        </is>
      </c>
      <c r="H389" s="45" t="inlineStr">
        <is>
          <t>Land</t>
        </is>
      </c>
      <c r="I389" s="45" t="inlineStr">
        <is>
          <t>Taps for {R} or {W}</t>
        </is>
      </c>
      <c r="J389" s="45" t="inlineStr">
        <is>
          <t>Enters tapped</t>
        </is>
      </c>
      <c r="K389" s="45" t="inlineStr">
        <is>
          <t>Gain 1 life when it enters</t>
        </is>
      </c>
      <c r="L389" s="42" t="n"/>
      <c r="M389" s="42" t="n"/>
      <c r="N389" s="42" t="n"/>
      <c r="O389" s="42" t="n"/>
      <c r="P389" s="42" t="n">
        <v>0.17</v>
      </c>
      <c r="Q389" s="42" t="n"/>
      <c r="R389" s="42" t="n"/>
      <c r="S389" s="42" t="n"/>
      <c r="T389" s="42" t="n"/>
      <c r="U389" s="42" t="n"/>
      <c r="V389" s="45" t="inlineStr">
        <is>
          <t>Khans of Tarkir</t>
        </is>
      </c>
      <c r="W389" s="41" t="n">
        <v>1</v>
      </c>
      <c r="X389" s="37">
        <f>SUM(Y389:AE389)</f>
        <v/>
      </c>
      <c r="Y389" s="43" t="n">
        <v>1</v>
      </c>
      <c r="Z389" s="43" t="n"/>
      <c r="AA389" s="43" t="n"/>
      <c r="AB389" s="43" t="n"/>
      <c r="AC389" s="43" t="n"/>
      <c r="AD389" s="43" t="n"/>
      <c r="AE389" s="43" t="n"/>
      <c r="AF389" s="38">
        <f>IF((W389-SUM(Y389:AE389))&lt;0,0,W389-SUM(Y389:AE389))</f>
        <v/>
      </c>
      <c r="AG389" s="34">
        <f>MAX(0,$AT389-$W389-$AI389)</f>
        <v/>
      </c>
      <c r="AH389" s="34" t="n"/>
      <c r="AI389" s="34" t="n"/>
      <c r="AJ389" s="36" t="n">
        <v>0.15</v>
      </c>
      <c r="AK389" s="36">
        <f>IF(AND($AG389&gt;0,ISNUMBER($AJ389)),$AG389*$AJ389,0)</f>
        <v/>
      </c>
      <c r="AT389" s="37">
        <f>SUM(AU389:BA389)</f>
        <v/>
      </c>
      <c r="AU389" s="82" t="n">
        <v>1</v>
      </c>
      <c r="AV389" s="33" t="n"/>
      <c r="AW389" s="33" t="n"/>
      <c r="AX389" s="33" t="n"/>
      <c r="AY389" s="33" t="n"/>
      <c r="AZ389" s="33" t="n"/>
      <c r="BA389" s="74" t="n"/>
      <c r="BB389" s="106" t="n"/>
      <c r="BC389" s="42" t="n"/>
      <c r="BD389" s="42" t="n"/>
    </row>
    <row r="390" ht="15" customHeight="1" s="148">
      <c r="A390" t="inlineStr">
        <is>
          <t>c0386</t>
        </is>
      </c>
      <c r="B390" s="44" t="inlineStr">
        <is>
          <t>Woodland Cemetery</t>
        </is>
      </c>
      <c r="C390" s="34" t="inlineStr">
        <is>
          <t>L</t>
        </is>
      </c>
      <c r="D390" s="44" t="inlineStr">
        <is>
          <t>Land</t>
        </is>
      </c>
      <c r="E390" s="41" t="inlineStr">
        <is>
          <t>B3</t>
        </is>
      </c>
      <c r="F390" s="34" t="n">
        <v>0</v>
      </c>
      <c r="G390" s="67" t="inlineStr">
        <is>
          <t>This land enters tapped unless you control a Swamp or a Forest.
{T}: Add {B} or {G}.</t>
        </is>
      </c>
      <c r="H390" s="45" t="inlineStr">
        <is>
          <t>Land</t>
        </is>
      </c>
      <c r="I390" s="45" t="inlineStr">
        <is>
          <t>This land enters tapped unless you control a Swamp or a Forest</t>
        </is>
      </c>
      <c r="J390" s="45" t="inlineStr">
        <is>
          <t>{T}: Add {B} or {G}</t>
        </is>
      </c>
      <c r="K390" s="45" t="n"/>
      <c r="L390" s="42" t="n"/>
      <c r="M390" s="42" t="n"/>
      <c r="N390" s="42" t="n"/>
      <c r="O390" s="42" t="n"/>
      <c r="P390" s="42" t="n">
        <v>0.64</v>
      </c>
      <c r="Q390" s="42" t="n"/>
      <c r="R390" s="42" t="n"/>
      <c r="S390" s="42" t="n"/>
      <c r="T390" s="42" t="n"/>
      <c r="U390" s="42" t="n"/>
      <c r="V390" s="45" t="inlineStr">
        <is>
          <t>Innistrad</t>
        </is>
      </c>
      <c r="W390" s="41" t="n">
        <v>0</v>
      </c>
      <c r="X390" s="37">
        <f>SUM(Y390:AE390)</f>
        <v/>
      </c>
      <c r="Y390" s="43" t="n"/>
      <c r="Z390" s="43" t="n"/>
      <c r="AA390" s="43" t="n"/>
      <c r="AB390" s="43" t="n"/>
      <c r="AC390" s="43" t="n"/>
      <c r="AD390" s="43" t="n"/>
      <c r="AE390" s="43" t="n"/>
      <c r="AF390" s="38">
        <f>IF((W390-SUM(Y390:AE390))&lt;0,0,W390-SUM(Y390:AE390))</f>
        <v/>
      </c>
      <c r="AG390" s="34">
        <f>MAX(0,$AT390-$W390-$AI390)</f>
        <v/>
      </c>
      <c r="AH390" s="34" t="n"/>
      <c r="AI390" s="34" t="n"/>
      <c r="AJ390" s="36" t="n">
        <v>0.63</v>
      </c>
      <c r="AK390" s="36">
        <f>IF(AND($AG390&gt;0,ISNUMBER($AJ390)),$AG390*$AJ390,0)</f>
        <v/>
      </c>
      <c r="AL390" s="54" t="n"/>
      <c r="AM390" s="54" t="n"/>
      <c r="AN390" s="54" t="n"/>
      <c r="AO390" s="54" t="n"/>
      <c r="AP390" s="54" t="n"/>
      <c r="AQ390" s="54" t="n"/>
      <c r="AR390" s="54" t="n"/>
      <c r="AS390" s="54" t="n"/>
      <c r="AT390" s="37">
        <f>SUM(AU390:BA390)</f>
        <v/>
      </c>
      <c r="AU390" s="92" t="n"/>
      <c r="AV390" s="38" t="n"/>
      <c r="AW390" s="38" t="n"/>
      <c r="AX390" s="38" t="n"/>
      <c r="AY390" s="38" t="n"/>
      <c r="AZ390" s="38" t="n"/>
      <c r="BA390" s="94" t="n"/>
      <c r="BB390" s="106" t="n"/>
      <c r="BC390" s="42" t="n"/>
      <c r="BD390" s="42" t="n"/>
    </row>
    <row r="391" ht="15" customHeight="1" s="148">
      <c r="A391" t="inlineStr">
        <is>
          <t>c0387</t>
        </is>
      </c>
      <c r="B391" s="44" t="inlineStr">
        <is>
          <t>Abigale, Eloquent First-Year</t>
        </is>
      </c>
      <c r="C391" s="34" t="inlineStr">
        <is>
          <t>Multi</t>
        </is>
      </c>
      <c r="D391" s="44" t="inlineStr">
        <is>
          <t>Legendary Creature</t>
        </is>
      </c>
      <c r="E391" s="41" t="inlineStr">
        <is>
          <t>B2</t>
        </is>
      </c>
      <c r="F391" s="34" t="n">
        <v>2</v>
      </c>
      <c r="G391" s="67" t="inlineStr">
        <is>
          <t>Flying, first strike, lifelink
When Abigale enters, up to one other target creature loses all abilities. Put a flying counter, a first strike counter, and a lifelink counter on that creature.
(1/1)</t>
        </is>
      </c>
      <c r="H391" s="45" t="inlineStr">
        <is>
          <t>Removal</t>
        </is>
      </c>
      <c r="I391" s="45" t="inlineStr">
        <is>
          <t>Up to one target creature loses all abilities and gains a flying, first strike, and lifelink counter when Abigale enters</t>
        </is>
      </c>
      <c r="J391" s="45" t="inlineStr">
        <is>
          <t>Gains you life equal to damage it deals</t>
        </is>
      </c>
      <c r="K391" s="45" t="n"/>
      <c r="L391" s="42" t="n"/>
      <c r="M391" s="42" t="n"/>
      <c r="N391" s="42" t="n"/>
      <c r="O391" s="63" t="n"/>
      <c r="P391" s="63" t="n">
        <v>0.3</v>
      </c>
      <c r="Q391" s="42" t="n"/>
      <c r="R391" s="42" t="n"/>
      <c r="S391" s="42" t="n"/>
      <c r="T391" s="63" t="n"/>
      <c r="U391" s="63" t="n"/>
      <c r="V391" s="45" t="inlineStr">
        <is>
          <t>Lorwyn Eclipsed</t>
        </is>
      </c>
      <c r="W391" s="41" t="n">
        <v>1</v>
      </c>
      <c r="X391" s="37">
        <f>SUM(Y391:AE391)</f>
        <v/>
      </c>
      <c r="Y391" s="43" t="n"/>
      <c r="Z391" s="43" t="n"/>
      <c r="AA391" s="43" t="n"/>
      <c r="AB391" s="43" t="n"/>
      <c r="AC391" s="43" t="n">
        <v>1</v>
      </c>
      <c r="AD391" s="43" t="n"/>
      <c r="AE391" s="43" t="n"/>
      <c r="AF391" s="38">
        <f>IF((W391-SUM(Y391:AE391))&lt;0,0,W391-SUM(Y391:AE391))</f>
        <v/>
      </c>
      <c r="AG391" s="34">
        <f>MAX(0,$AT391-$W391-$AI391)</f>
        <v/>
      </c>
      <c r="AH391" s="34" t="n"/>
      <c r="AI391" s="34" t="n"/>
      <c r="AJ391" s="36" t="n">
        <v>0.38</v>
      </c>
      <c r="AK391" s="36">
        <f>IF(AND($AG391&gt;0,ISNUMBER($AJ391)),$AG391*$AJ391,0)</f>
        <v/>
      </c>
      <c r="AT391" s="37">
        <f>SUM(AU391:BA391)</f>
        <v/>
      </c>
      <c r="AU391" s="73" t="n"/>
      <c r="AV391" s="33" t="n"/>
      <c r="AW391" s="33" t="n"/>
      <c r="AX391" s="33" t="n"/>
      <c r="AY391" s="98" t="n">
        <v>1</v>
      </c>
      <c r="AZ391" s="33" t="n"/>
      <c r="BA391" s="74" t="n"/>
      <c r="BB391" s="106" t="n"/>
      <c r="BC391" s="42" t="n"/>
      <c r="BD391" s="42" t="n"/>
    </row>
    <row r="392" ht="15" customHeight="1" s="148">
      <c r="A392" t="inlineStr">
        <is>
          <t>c0388</t>
        </is>
      </c>
      <c r="B392" s="30" t="inlineStr">
        <is>
          <t>Abstract Paintmage</t>
        </is>
      </c>
      <c r="C392" s="31" t="inlineStr">
        <is>
          <t>Multi</t>
        </is>
      </c>
      <c r="D392" s="30" t="inlineStr">
        <is>
          <t>Creature</t>
        </is>
      </c>
      <c r="E392" s="33" t="inlineStr">
        <is>
          <t>B2</t>
        </is>
      </c>
      <c r="F392" s="30" t="n">
        <v>3</v>
      </c>
      <c r="G392" s="67" t="inlineStr">
        <is>
          <t>At the beginning of your first main phase, add {U}{R}. Spend this mana only to cast instant and sorcery spells.
(2/2)</t>
        </is>
      </c>
      <c r="H392" s="30" t="inlineStr">
        <is>
          <t>Ramp</t>
        </is>
      </c>
      <c r="I392" s="30" t="inlineStr">
        <is>
          <t>At the beginning of your first main phase, add {U}{R}, spendable only on instants and sorceries</t>
        </is>
      </c>
      <c r="J392" s="30" t="n"/>
      <c r="K392" s="30" t="n"/>
      <c r="L392" s="32" t="inlineStr">
        <is>
          <t>171</t>
        </is>
      </c>
      <c r="M392" s="32" t="n">
        <v>1</v>
      </c>
      <c r="N392" s="32" t="n">
        <v>0</v>
      </c>
      <c r="O392" s="63" t="inlineStr">
        <is>
          <t>David Auden Nash</t>
        </is>
      </c>
      <c r="P392" s="63" t="n">
        <v>0.29</v>
      </c>
      <c r="Q392" s="32" t="inlineStr">
        <is>
          <t>Uncommon</t>
        </is>
      </c>
      <c r="R392" s="32" t="n"/>
      <c r="S392" s="32" t="n"/>
      <c r="T392" s="63" t="n"/>
      <c r="U392" s="63" t="n"/>
      <c r="V392" s="30" t="inlineStr">
        <is>
          <t>Secrets of Strixhaven</t>
        </is>
      </c>
      <c r="W392" s="41" t="n">
        <v>1</v>
      </c>
      <c r="X392" s="37">
        <f>SUM(Y392:AE392)</f>
        <v/>
      </c>
      <c r="Y392" s="43" t="n"/>
      <c r="Z392" s="43" t="n"/>
      <c r="AA392" s="43" t="n"/>
      <c r="AB392" s="43" t="n"/>
      <c r="AC392" s="43" t="n"/>
      <c r="AD392" s="43" t="n"/>
      <c r="AE392" s="43" t="n"/>
      <c r="AF392" s="38">
        <f>IF((W392-SUM(Y392:AE392))&lt;0,0,W392-SUM(Y392:AE392))</f>
        <v/>
      </c>
      <c r="AG392" s="34">
        <f>MAX(0,$AT392-$W392-$AI392)</f>
        <v/>
      </c>
      <c r="AH392" s="30" t="n"/>
      <c r="AI392" s="30" t="n"/>
      <c r="AJ392" s="30" t="n">
        <v>0.29</v>
      </c>
      <c r="AK392" s="36">
        <f>IF(AND($AG392&gt;0,ISNUMBER($AJ392)),$AG392*$AJ392,0)</f>
        <v/>
      </c>
      <c r="AT392" s="37">
        <f>SUM(AU392:BA392)</f>
        <v/>
      </c>
      <c r="AU392" s="73" t="n"/>
      <c r="AV392" s="33" t="n"/>
      <c r="AW392" s="33" t="n"/>
      <c r="AX392" s="33" t="n"/>
      <c r="AY392" s="33" t="n"/>
      <c r="AZ392" s="33" t="n"/>
      <c r="BA392" s="74" t="n"/>
      <c r="BB392" s="108" t="n"/>
      <c r="BC392" s="32" t="n"/>
      <c r="BD392" s="32" t="n"/>
    </row>
    <row r="393" ht="15" customHeight="1" s="148">
      <c r="A393" t="inlineStr">
        <is>
          <t>c0389</t>
        </is>
      </c>
      <c r="B393" s="44" t="inlineStr">
        <is>
          <t>Adarkar Wastes</t>
        </is>
      </c>
      <c r="C393" s="34" t="inlineStr">
        <is>
          <t>Multi</t>
        </is>
      </c>
      <c r="D393" s="44" t="inlineStr">
        <is>
          <t>Land</t>
        </is>
      </c>
      <c r="E393" s="41" t="inlineStr">
        <is>
          <t>B2</t>
        </is>
      </c>
      <c r="F393" s="34" t="n">
        <v>0</v>
      </c>
      <c r="G393" s="67" t="inlineStr">
        <is>
          <t>{T}: Add {C}.
{T}: Add {W} or {U}. This land deals 1 damage to you.</t>
        </is>
      </c>
      <c r="H393" s="45" t="inlineStr">
        <is>
          <t>Land</t>
        </is>
      </c>
      <c r="I393" s="45" t="inlineStr">
        <is>
          <t>{T}: Add {C}. / {T}: Add {W} or {U}. This land deals 1 damage to you.</t>
        </is>
      </c>
      <c r="J393" s="45" t="n"/>
      <c r="K393" s="45" t="n"/>
      <c r="L393" s="41" t="n"/>
      <c r="M393" s="41" t="n"/>
      <c r="N393" s="41" t="n"/>
      <c r="O393" s="41" t="n"/>
      <c r="P393" s="41" t="n">
        <v>0.35</v>
      </c>
      <c r="Q393" s="41" t="n"/>
      <c r="R393" s="41" t="n"/>
      <c r="S393" s="41" t="n"/>
      <c r="T393" s="41" t="n"/>
      <c r="U393" s="41" t="n"/>
      <c r="V393" s="45" t="inlineStr">
        <is>
          <t>Ice Age</t>
        </is>
      </c>
      <c r="W393" s="41" t="n">
        <v>0</v>
      </c>
      <c r="X393" s="37">
        <f>SUM(Y393:AE393)</f>
        <v/>
      </c>
      <c r="Y393" s="43" t="n"/>
      <c r="Z393" s="43" t="n"/>
      <c r="AA393" s="43" t="n"/>
      <c r="AB393" s="43" t="n"/>
      <c r="AC393" s="43" t="n"/>
      <c r="AD393" s="43" t="n"/>
      <c r="AE393" s="43" t="n"/>
      <c r="AF393" s="38">
        <f>IF((W393-SUM(Y393:AE393))&lt;0,0,W393-SUM(Y393:AE393))</f>
        <v/>
      </c>
      <c r="AG393" s="34">
        <f>MAX(0,$AT393-$W393-$AI393)</f>
        <v/>
      </c>
      <c r="AH393" s="34" t="n"/>
      <c r="AI393" s="34" t="n"/>
      <c r="AJ393" s="36" t="n">
        <v>0.4</v>
      </c>
      <c r="AK393" s="36">
        <f>IF(AND($AG393&gt;0,ISNUMBER($AJ393)),$AG393*$AJ393,0)</f>
        <v/>
      </c>
      <c r="AL393" s="54" t="n"/>
      <c r="AM393" s="54" t="n"/>
      <c r="AN393" s="54" t="n"/>
      <c r="AO393" s="54" t="n"/>
      <c r="AP393" s="54" t="n"/>
      <c r="AQ393" s="54" t="n"/>
      <c r="AR393" s="54" t="n"/>
      <c r="AS393" s="54" t="n"/>
      <c r="AT393" s="37">
        <f>SUM(AU393:BA393)</f>
        <v/>
      </c>
      <c r="AU393" s="92" t="n"/>
      <c r="AV393" s="38" t="n"/>
      <c r="AW393" s="38" t="n"/>
      <c r="AX393" s="38" t="n"/>
      <c r="AY393" s="38" t="n"/>
      <c r="AZ393" s="38" t="n"/>
      <c r="BA393" s="94" t="n"/>
      <c r="BB393" s="106" t="n"/>
      <c r="BC393" s="42" t="n"/>
      <c r="BD393" s="48" t="n"/>
    </row>
    <row r="394" ht="15" customHeight="1" s="148">
      <c r="A394" t="inlineStr">
        <is>
          <t>c0390</t>
        </is>
      </c>
      <c r="B394" s="39" t="inlineStr">
        <is>
          <t>Air Nomad Legacy</t>
        </is>
      </c>
      <c r="C394" s="40" t="inlineStr">
        <is>
          <t>Multi</t>
        </is>
      </c>
      <c r="D394" s="39" t="inlineStr">
        <is>
          <t>Enchantment</t>
        </is>
      </c>
      <c r="E394" s="41" t="inlineStr">
        <is>
          <t>B2</t>
        </is>
      </c>
      <c r="F394" s="40" t="n">
        <v>2</v>
      </c>
      <c r="G394" s="67" t="inlineStr">
        <is>
          <t>When this enchantment enters, create a Clue token. (It's an artifact with "{2}, Sacrifice this token: Draw a card.")
Creatures you control with flying get +1/+1.</t>
        </is>
      </c>
      <c r="H394" s="39" t="inlineStr">
        <is>
          <t>Lord/Anthem</t>
        </is>
      </c>
      <c r="I394" s="39" t="inlineStr">
        <is>
          <t>Creatures you control with flying get +1/+1</t>
        </is>
      </c>
      <c r="J394" s="39" t="inlineStr">
        <is>
          <t>Enters: create a Clue token ({2}, sacrifice it: draw a card)</t>
        </is>
      </c>
      <c r="K394" s="39" t="n"/>
      <c r="L394" s="42" t="n"/>
      <c r="M394" s="42" t="n"/>
      <c r="N394" s="42" t="n"/>
      <c r="O394" s="63" t="n"/>
      <c r="P394" s="63" t="n"/>
      <c r="Q394" s="42" t="n"/>
      <c r="R394" s="42" t="n"/>
      <c r="S394" s="42" t="n"/>
      <c r="T394" s="63" t="n"/>
      <c r="U394" s="63" t="n"/>
      <c r="V394" s="39" t="inlineStr">
        <is>
          <t>Avatar: The Last Airbender</t>
        </is>
      </c>
      <c r="W394" s="41" t="n">
        <v>1</v>
      </c>
      <c r="X394" s="37">
        <f>SUM(Y394:AE394)</f>
        <v/>
      </c>
      <c r="Y394" s="43" t="n"/>
      <c r="Z394" s="43" t="n"/>
      <c r="AA394" s="43" t="n"/>
      <c r="AB394" s="43" t="n"/>
      <c r="AC394" s="43" t="n"/>
      <c r="AD394" s="43" t="n"/>
      <c r="AE394" s="43" t="n"/>
      <c r="AF394" s="38">
        <f>IF((W394-SUM(Y394:AE394))&lt;0,0,W394-SUM(Y394:AE394))</f>
        <v/>
      </c>
      <c r="AG394" s="34">
        <f>MAX(0,$AT394-$W394-$AI394)</f>
        <v/>
      </c>
      <c r="AH394" s="39" t="n"/>
      <c r="AI394" s="39" t="n"/>
      <c r="AJ394" s="39" t="n">
        <v>0.28</v>
      </c>
      <c r="AK394" s="39">
        <f>IF(AND($AG394&gt;0,ISNUMBER($AJ394)),$AG394*$AJ394,0)</f>
        <v/>
      </c>
      <c r="AT394" s="37">
        <f>SUM(AU394:BA394)</f>
        <v/>
      </c>
      <c r="AU394" s="73" t="n"/>
      <c r="AV394" s="33" t="n"/>
      <c r="AW394" s="33" t="n"/>
      <c r="AX394" s="33" t="n"/>
      <c r="AY394" s="33" t="n"/>
      <c r="AZ394" s="33" t="n"/>
      <c r="BA394" s="74" t="n"/>
      <c r="BB394" s="107" t="n"/>
      <c r="BC394" s="42" t="n"/>
      <c r="BD394" s="42" t="n"/>
    </row>
    <row r="395" ht="15" customHeight="1" s="148">
      <c r="A395" t="inlineStr">
        <is>
          <t>c0391</t>
        </is>
      </c>
      <c r="B395" s="44" t="inlineStr">
        <is>
          <t>Ancient Lumberknot</t>
        </is>
      </c>
      <c r="C395" s="34" t="inlineStr">
        <is>
          <t>Multi</t>
        </is>
      </c>
      <c r="D395" s="44" t="inlineStr">
        <is>
          <t>Creature</t>
        </is>
      </c>
      <c r="E395" s="41" t="inlineStr">
        <is>
          <t>B3</t>
        </is>
      </c>
      <c r="F395" s="34" t="n">
        <v>4</v>
      </c>
      <c r="G395" s="67" t="inlineStr">
        <is>
          <t>Each creature you control with toughness greater than its power assigns combat damage equal to its toughness rather than its power.
(1/4)</t>
        </is>
      </c>
      <c r="H395" s="45" t="inlineStr">
        <is>
          <t>Toughness Payoff</t>
        </is>
      </c>
      <c r="I395" s="45" t="inlineStr">
        <is>
          <t>Each creature you control with toughness greater than its power assigns combat damage equal to its toughness rather than its power.</t>
        </is>
      </c>
      <c r="J395" s="45" t="n"/>
      <c r="K395" s="45" t="n"/>
      <c r="L395" s="41" t="n"/>
      <c r="M395" s="41" t="n"/>
      <c r="N395" s="41" t="n"/>
      <c r="O395" s="41" t="n"/>
      <c r="P395" s="41" t="n"/>
      <c r="Q395" s="41" t="n"/>
      <c r="R395" s="41" t="n"/>
      <c r="S395" s="41" t="n"/>
      <c r="T395" s="41" t="n"/>
      <c r="U395" s="41" t="n"/>
      <c r="V395" s="45" t="inlineStr">
        <is>
          <t>Innistrad: Crimson Vow</t>
        </is>
      </c>
      <c r="W395" s="41" t="n">
        <v>0</v>
      </c>
      <c r="X395" s="37">
        <f>SUM(Y395:AE395)</f>
        <v/>
      </c>
      <c r="Y395" s="43" t="n"/>
      <c r="Z395" s="43" t="n"/>
      <c r="AA395" s="43" t="n"/>
      <c r="AB395" s="43" t="n"/>
      <c r="AC395" s="43" t="n"/>
      <c r="AD395" s="43" t="n"/>
      <c r="AE395" s="43" t="n"/>
      <c r="AF395" s="38">
        <f>IF((W395-SUM(Y395:AE395))&lt;0,0,W395-SUM(Y395:AE395))</f>
        <v/>
      </c>
      <c r="AG395" s="34">
        <f>MAX(0,$AT395-$W395-$AI395)</f>
        <v/>
      </c>
      <c r="AH395" s="34" t="n"/>
      <c r="AI395" s="34" t="n"/>
      <c r="AJ395" s="36" t="n">
        <v>0.23</v>
      </c>
      <c r="AK395" s="36">
        <f>IF(AND($AG395&gt;0,ISNUMBER($AJ395)),$AG395*$AJ395,0)</f>
        <v/>
      </c>
      <c r="AL395" s="54" t="n"/>
      <c r="AM395" s="54" t="n"/>
      <c r="AN395" s="54" t="n"/>
      <c r="AO395" s="54" t="n"/>
      <c r="AP395" s="54" t="n"/>
      <c r="AQ395" s="54" t="n"/>
      <c r="AR395" s="54" t="n"/>
      <c r="AS395" s="54" t="n"/>
      <c r="AT395" s="37">
        <f>SUM(AU395:BA395)</f>
        <v/>
      </c>
      <c r="AU395" s="92" t="n"/>
      <c r="AV395" s="38" t="n"/>
      <c r="AW395" s="38" t="n"/>
      <c r="AX395" s="38" t="n"/>
      <c r="AY395" s="38" t="n"/>
      <c r="AZ395" s="38" t="n"/>
      <c r="BA395" s="94" t="n"/>
      <c r="BB395" s="106" t="n"/>
      <c r="BC395" s="42" t="n"/>
      <c r="BD395" s="48" t="n"/>
    </row>
    <row r="396" ht="15" customHeight="1" s="148">
      <c r="A396" t="inlineStr">
        <is>
          <t>c0392</t>
        </is>
      </c>
      <c r="B396" s="44" t="inlineStr">
        <is>
          <t>Anguished Unmaking</t>
        </is>
      </c>
      <c r="C396" s="34" t="inlineStr">
        <is>
          <t>Multi</t>
        </is>
      </c>
      <c r="D396" s="44" t="inlineStr">
        <is>
          <t>Instant</t>
        </is>
      </c>
      <c r="E396" s="41" t="inlineStr">
        <is>
          <t>B3</t>
        </is>
      </c>
      <c r="F396" s="34" t="n">
        <v>3</v>
      </c>
      <c r="G396" s="67" t="inlineStr">
        <is>
          <t>Exile target nonland permanent. You lose 3 life.</t>
        </is>
      </c>
      <c r="H396" s="45" t="inlineStr">
        <is>
          <t>Removal</t>
        </is>
      </c>
      <c r="I396" s="45" t="inlineStr">
        <is>
          <t>Exiles target nonland permanent</t>
        </is>
      </c>
      <c r="J396" s="45" t="inlineStr">
        <is>
          <t>You lose 3 life</t>
        </is>
      </c>
      <c r="K396" s="45" t="n"/>
      <c r="L396" s="42" t="n"/>
      <c r="M396" s="42" t="n"/>
      <c r="N396" s="42" t="n"/>
      <c r="O396" s="42" t="n"/>
      <c r="P396" s="42" t="n">
        <v>1.54</v>
      </c>
      <c r="Q396" s="42" t="n"/>
      <c r="R396" s="42" t="n"/>
      <c r="S396" s="42" t="n"/>
      <c r="T396" s="42" t="n"/>
      <c r="U396" s="42" t="n"/>
      <c r="V396" s="45" t="inlineStr">
        <is>
          <t>Shadows over Innistrad</t>
        </is>
      </c>
      <c r="W396" s="41" t="n">
        <v>1</v>
      </c>
      <c r="X396" s="37">
        <f>SUM(Y396:AE396)</f>
        <v/>
      </c>
      <c r="Y396" s="43" t="n"/>
      <c r="Z396" s="43" t="n"/>
      <c r="AA396" s="43" t="n">
        <v>1</v>
      </c>
      <c r="AB396" s="43" t="n"/>
      <c r="AC396" s="43" t="n"/>
      <c r="AD396" s="43" t="n"/>
      <c r="AE396" s="43" t="n"/>
      <c r="AF396" s="38">
        <f>IF((W396-SUM(Y396:AE396))&lt;0,0,W396-SUM(Y396:AE396))</f>
        <v/>
      </c>
      <c r="AG396" s="34">
        <f>MAX(0,$AT396-$W396-$AI396)</f>
        <v/>
      </c>
      <c r="AH396" s="34" t="n"/>
      <c r="AI396" s="34" t="n"/>
      <c r="AJ396" s="36" t="n">
        <v>1.46</v>
      </c>
      <c r="AK396" s="36">
        <f>IF(AND($AG396&gt;0,ISNUMBER($AJ396)),$AG396*$AJ396,0)</f>
        <v/>
      </c>
      <c r="AT396" s="37">
        <f>SUM(AU396:BA396)</f>
        <v/>
      </c>
      <c r="AU396" s="73" t="n"/>
      <c r="AV396" s="33" t="n"/>
      <c r="AW396" s="98" t="n">
        <v>1</v>
      </c>
      <c r="AX396" s="33" t="n"/>
      <c r="AY396" s="33" t="n"/>
      <c r="AZ396" s="33" t="n"/>
      <c r="BA396" s="74" t="n"/>
      <c r="BB396" s="106" t="n"/>
      <c r="BC396" s="42" t="n"/>
      <c r="BD396" s="48" t="n"/>
    </row>
    <row r="397" ht="15" customHeight="1" s="148">
      <c r="A397" t="inlineStr">
        <is>
          <t>c0393</t>
        </is>
      </c>
      <c r="B397" s="44" t="inlineStr">
        <is>
          <t>Anim Pakal, Thousandth Moon</t>
        </is>
      </c>
      <c r="C397" s="34" t="inlineStr">
        <is>
          <t>Multi</t>
        </is>
      </c>
      <c r="D397" s="44" t="inlineStr">
        <is>
          <t>Legendary Creature</t>
        </is>
      </c>
      <c r="E397" s="41" t="inlineStr">
        <is>
          <t>B3</t>
        </is>
      </c>
      <c r="F397" s="34" t="n">
        <v>3</v>
      </c>
      <c r="G397" s="67" t="inlineStr">
        <is>
          <t>Whenever you attack with one or more non-Gnome creatures, put a +1/+1 counter on Anim Pakal, then create X 1/1 colorless Gnome artifact creature tokens that are tapped and attacking, where X is the number of +1/+1 counters on Anim Pakal.
(1/2)</t>
        </is>
      </c>
      <c r="H397" s="45" t="inlineStr">
        <is>
          <t>Token Producer</t>
        </is>
      </c>
      <c r="I397" s="45" t="inlineStr">
        <is>
          <t>Whenever you attack with one or more non-Gnome creatures, put a +1/+1 counter on Anim Pakal, then create X 1/1 colorless</t>
        </is>
      </c>
      <c r="J397" s="45" t="n"/>
      <c r="K397" s="45" t="n"/>
      <c r="L397" s="42" t="n"/>
      <c r="M397" s="42" t="n"/>
      <c r="N397" s="42" t="n"/>
      <c r="O397" s="42" t="n"/>
      <c r="P397" s="42" t="n">
        <v>4.64</v>
      </c>
      <c r="Q397" s="42" t="n"/>
      <c r="R397" s="42" t="n"/>
      <c r="S397" s="42" t="n"/>
      <c r="T397" s="42" t="n"/>
      <c r="U397" s="42" t="n"/>
      <c r="V397" s="45" t="inlineStr">
        <is>
          <t>The Lost Caverns of Ixalan</t>
        </is>
      </c>
      <c r="W397" s="41" t="n">
        <v>0</v>
      </c>
      <c r="X397" s="37">
        <f>SUM(Y397:AE397)</f>
        <v/>
      </c>
      <c r="Y397" s="43" t="n"/>
      <c r="Z397" s="43" t="n"/>
      <c r="AA397" s="43" t="n"/>
      <c r="AB397" s="43" t="n"/>
      <c r="AC397" s="43" t="n"/>
      <c r="AD397" s="43" t="n"/>
      <c r="AE397" s="43" t="n"/>
      <c r="AF397" s="38">
        <f>IF((W397-SUM(Y397:AE397))&lt;0,0,W397-SUM(Y397:AE397))</f>
        <v/>
      </c>
      <c r="AG397" s="34">
        <f>MAX(0,$AT397-$W397-$AI397)</f>
        <v/>
      </c>
      <c r="AH397" s="34" t="n"/>
      <c r="AI397" s="34" t="n"/>
      <c r="AJ397" s="36" t="n">
        <v>3.69</v>
      </c>
      <c r="AK397" s="36">
        <f>IF(AND($AG397&gt;0,ISNUMBER($AJ397)),$AG397*$AJ397,0)</f>
        <v/>
      </c>
      <c r="AL397" s="54" t="n"/>
      <c r="AM397" s="54" t="n"/>
      <c r="AN397" s="54" t="n"/>
      <c r="AO397" s="54" t="n"/>
      <c r="AP397" s="54" t="n"/>
      <c r="AQ397" s="54" t="n"/>
      <c r="AR397" s="54" t="n"/>
      <c r="AS397" s="54" t="n"/>
      <c r="AT397" s="37">
        <f>SUM(AU397:BA397)</f>
        <v/>
      </c>
      <c r="AU397" s="92" t="n"/>
      <c r="AV397" s="38" t="n"/>
      <c r="AW397" s="38" t="n"/>
      <c r="AX397" s="38" t="n"/>
      <c r="AY397" s="38" t="n"/>
      <c r="AZ397" s="38" t="n"/>
      <c r="BA397" s="94" t="n"/>
      <c r="BB397" s="106" t="n"/>
      <c r="BC397" s="42" t="n"/>
      <c r="BD397" s="42" t="n"/>
    </row>
    <row r="398" ht="15" customHeight="1" s="148">
      <c r="A398" t="inlineStr">
        <is>
          <t>c0394</t>
        </is>
      </c>
      <c r="B398" s="44" t="inlineStr">
        <is>
          <t>Arbaaz Mir</t>
        </is>
      </c>
      <c r="C398" s="34" t="inlineStr">
        <is>
          <t>Multi</t>
        </is>
      </c>
      <c r="D398" s="44" t="inlineStr">
        <is>
          <t>Legendary Creature</t>
        </is>
      </c>
      <c r="E398" s="41" t="inlineStr">
        <is>
          <t>B2</t>
        </is>
      </c>
      <c r="F398" s="34" t="n">
        <v>2</v>
      </c>
      <c r="G398" s="67" t="inlineStr">
        <is>
          <t>Whenever Arbaaz Mir or another nontoken historic permanent you control enters, Arbaaz Mir deals 1 damage to each opponent and you gain 1 life. (Artifacts, legendaries, and Sagas are historic.)
(2/2)</t>
        </is>
      </c>
      <c r="H398" s="45" t="inlineStr">
        <is>
          <t>Value Engine</t>
        </is>
      </c>
      <c r="I398" s="45" t="inlineStr">
        <is>
          <t>Whenever a historic permanent you control enters, deals 1 damage to each opponent and gains you 1 life</t>
        </is>
      </c>
      <c r="J398" s="45" t="n"/>
      <c r="K398" s="45" t="n"/>
      <c r="L398" s="88" t="inlineStr">
        <is>
          <t>U 0138</t>
        </is>
      </c>
      <c r="M398" s="41" t="n">
        <v>1</v>
      </c>
      <c r="N398" s="41" t="n">
        <v>0</v>
      </c>
      <c r="O398" s="63" t="inlineStr">
        <is>
          <t>Bastien L. Deharme</t>
        </is>
      </c>
      <c r="P398" s="90" t="n">
        <v>0.3</v>
      </c>
      <c r="Q398" s="42" t="inlineStr">
        <is>
          <t>U</t>
        </is>
      </c>
      <c r="R398" s="42" t="n"/>
      <c r="S398" s="42" t="n"/>
      <c r="T398" s="63" t="n"/>
      <c r="U398" s="63" t="n"/>
      <c r="V398" s="45" t="inlineStr">
        <is>
          <t>Assassin's Creed</t>
        </is>
      </c>
      <c r="W398" s="41" t="n">
        <v>1</v>
      </c>
      <c r="X398" s="37">
        <f>SUM(Y398:AE398)</f>
        <v/>
      </c>
      <c r="Y398" s="43" t="n"/>
      <c r="Z398" s="43" t="n"/>
      <c r="AA398" s="43" t="n"/>
      <c r="AB398" s="43" t="n"/>
      <c r="AC398" s="43" t="n"/>
      <c r="AD398" s="43" t="n"/>
      <c r="AE398" s="43" t="n"/>
      <c r="AF398" s="38">
        <f>IF((W398-SUM(Y398:AE398))&lt;0,0,W398-SUM(Y398:AE398))</f>
        <v/>
      </c>
      <c r="AG398" s="34">
        <f>MAX(0,$AT398-$W398-$AI398)</f>
        <v/>
      </c>
      <c r="AH398" s="34" t="n"/>
      <c r="AI398" s="34" t="n"/>
      <c r="AJ398" s="36" t="n">
        <v>0.3</v>
      </c>
      <c r="AK398" s="36">
        <f>IF(AND($AG398&gt;0,ISNUMBER($AJ398)),$AG398*$AJ398,0)</f>
        <v/>
      </c>
      <c r="AT398" s="37">
        <f>SUM(AU398:BA398)</f>
        <v/>
      </c>
      <c r="AU398" s="73" t="n"/>
      <c r="AV398" s="33" t="n"/>
      <c r="AW398" s="33" t="n"/>
      <c r="AX398" s="33" t="n"/>
      <c r="AY398" s="33" t="n"/>
      <c r="AZ398" s="33" t="n"/>
      <c r="BA398" s="74" t="n"/>
      <c r="BB398" s="106" t="n"/>
      <c r="BC398" s="42" t="n"/>
      <c r="BD398" s="42" t="n"/>
    </row>
    <row r="399" ht="15" customHeight="1" s="148">
      <c r="A399" t="inlineStr">
        <is>
          <t>c0395</t>
        </is>
      </c>
      <c r="B399" s="44" t="inlineStr">
        <is>
          <t>Arcades, the Strategist</t>
        </is>
      </c>
      <c r="C399" s="34" t="inlineStr">
        <is>
          <t>Multi</t>
        </is>
      </c>
      <c r="D399" s="44" t="inlineStr">
        <is>
          <t>Legendary Creature</t>
        </is>
      </c>
      <c r="E399" s="41" t="inlineStr">
        <is>
          <t>B2</t>
        </is>
      </c>
      <c r="F399" s="34" t="n">
        <v>4</v>
      </c>
      <c r="G399" s="67" t="inlineStr">
        <is>
          <t>Flying, vigilance
Whenever a creature you control with defender enters, draw a card.
Each creature you control with defender assigns combat damage equal to its toughness rather than its power and can attack as though it didn't have defender.
(3/5)</t>
        </is>
      </c>
      <c r="H399" s="45" t="inlineStr">
        <is>
          <t>Defender Ramp</t>
        </is>
      </c>
      <c r="I399" s="45" t="inlineStr">
        <is>
          <t>Draws a card whenever a creature you control with defender enters</t>
        </is>
      </c>
      <c r="J399" s="45" t="inlineStr">
        <is>
          <t>Creatures you control with defender deal damage equal to toughness and can attack</t>
        </is>
      </c>
      <c r="K399" s="45" t="n"/>
      <c r="L399" s="42" t="n"/>
      <c r="M399" s="42" t="n"/>
      <c r="N399" s="42" t="n"/>
      <c r="O399" s="63" t="n"/>
      <c r="P399" s="63" t="n">
        <v>4.66</v>
      </c>
      <c r="Q399" s="42" t="n"/>
      <c r="R399" s="42" t="n"/>
      <c r="S399" s="42" t="n"/>
      <c r="T399" s="63" t="n"/>
      <c r="U399" s="63" t="n"/>
      <c r="V399" s="45" t="inlineStr">
        <is>
          <t>Core Set 2019</t>
        </is>
      </c>
      <c r="W399" s="41" t="n">
        <v>1</v>
      </c>
      <c r="X399" s="37">
        <f>SUM(Y399:AE399)</f>
        <v/>
      </c>
      <c r="Y399" s="43" t="n"/>
      <c r="Z399" s="43" t="n">
        <v>1</v>
      </c>
      <c r="AA399" s="43" t="n"/>
      <c r="AB399" s="43" t="n"/>
      <c r="AC399" s="43" t="n"/>
      <c r="AD399" s="43" t="n"/>
      <c r="AE399" s="43" t="n"/>
      <c r="AF399" s="38">
        <f>IF((W399-SUM(Y399:AE399))&lt;0,0,W399-SUM(Y399:AE399))</f>
        <v/>
      </c>
      <c r="AG399" s="34">
        <f>MAX(0,$AT399-$W399-$AI399)</f>
        <v/>
      </c>
      <c r="AH399" s="34" t="n"/>
      <c r="AI399" s="34" t="n"/>
      <c r="AJ399" s="36" t="n">
        <v>4.35</v>
      </c>
      <c r="AK399" s="36">
        <f>IF(AND($AG399&gt;0,ISNUMBER($AJ399)),$AG399*$AJ399,0)</f>
        <v/>
      </c>
      <c r="AM399" t="inlineStr">
        <is>
          <t>BL0052</t>
        </is>
      </c>
      <c r="AT399" s="37">
        <f>SUM(AU399:BA399)</f>
        <v/>
      </c>
      <c r="AU399" s="73" t="n"/>
      <c r="AV399" s="100" t="n"/>
      <c r="AW399" s="33" t="n"/>
      <c r="AX399" s="33" t="n"/>
      <c r="AY399" s="33" t="n"/>
      <c r="AZ399" s="33" t="n"/>
      <c r="BA399" s="74" t="n"/>
      <c r="BB399" s="106" t="n"/>
      <c r="BC399" s="42" t="n"/>
      <c r="BD399" s="42" t="n"/>
    </row>
    <row r="400" ht="15" customHeight="1" s="148">
      <c r="A400" t="inlineStr">
        <is>
          <t>c0396</t>
        </is>
      </c>
      <c r="B400" s="44" t="inlineStr">
        <is>
          <t>Arno Dorian</t>
        </is>
      </c>
      <c r="C400" s="34" t="inlineStr">
        <is>
          <t>Multi</t>
        </is>
      </c>
      <c r="D400" s="44" t="inlineStr">
        <is>
          <t>Legendary Creature</t>
        </is>
      </c>
      <c r="E400" s="41" t="inlineStr">
        <is>
          <t>B2</t>
        </is>
      </c>
      <c r="F400" s="34" t="n">
        <v>4</v>
      </c>
      <c r="G400" s="67" t="inlineStr">
        <is>
          <t>Deathtouch
Other Assassins you control get +2/+0.
Disguise {B}{R} (You may cast this card face down for {3} as a 2/2 creature with ward {2}. Turn it face up any time for its disguise cost.)
(3/3)</t>
        </is>
      </c>
      <c r="H400" s="45" t="inlineStr">
        <is>
          <t>Lord/Anthem</t>
        </is>
      </c>
      <c r="I400" s="45" t="inlineStr">
        <is>
          <t>Other Assassins you control get +2/+0</t>
        </is>
      </c>
      <c r="J400" s="45" t="inlineStr">
        <is>
          <t>Can be cast face-down for {3}, later flipped for its cost</t>
        </is>
      </c>
      <c r="K400" s="45" t="n"/>
      <c r="L400" s="42" t="n"/>
      <c r="M400" s="42" t="n"/>
      <c r="N400" s="42" t="n"/>
      <c r="O400" s="63" t="n"/>
      <c r="P400" s="63" t="n">
        <v>0.23</v>
      </c>
      <c r="Q400" s="42" t="n"/>
      <c r="R400" s="42" t="n"/>
      <c r="S400" s="42" t="n"/>
      <c r="T400" s="63" t="n"/>
      <c r="U400" s="63" t="n"/>
      <c r="V400" s="45" t="inlineStr">
        <is>
          <t>Assassin's Creed</t>
        </is>
      </c>
      <c r="W400" s="41" t="n">
        <v>1</v>
      </c>
      <c r="X400" s="37">
        <f>SUM(Y400:AE400)</f>
        <v/>
      </c>
      <c r="Y400" s="43" t="n"/>
      <c r="Z400" s="43" t="n"/>
      <c r="AA400" s="43" t="n"/>
      <c r="AB400" s="43" t="n"/>
      <c r="AC400" s="43" t="n"/>
      <c r="AD400" s="43" t="n"/>
      <c r="AE400" s="43" t="n"/>
      <c r="AF400" s="38">
        <f>IF((W400-SUM(Y400:AE400))&lt;0,0,W400-SUM(Y400:AE400))</f>
        <v/>
      </c>
      <c r="AG400" s="34">
        <f>MAX(0,$AT400-$W400-$AI400)</f>
        <v/>
      </c>
      <c r="AH400" s="34" t="n"/>
      <c r="AI400" s="34" t="n"/>
      <c r="AJ400" s="36" t="n">
        <v>0.25</v>
      </c>
      <c r="AK400" s="36">
        <f>IF(AND($AG400&gt;0,ISNUMBER($AJ400)),$AG400*$AJ400,0)</f>
        <v/>
      </c>
      <c r="AT400" s="37">
        <f>SUM(AU400:BA400)</f>
        <v/>
      </c>
      <c r="AU400" s="73" t="n"/>
      <c r="AV400" s="33" t="n"/>
      <c r="AW400" s="33" t="n"/>
      <c r="AX400" s="33" t="n"/>
      <c r="AY400" s="33" t="n"/>
      <c r="AZ400" s="33" t="n"/>
      <c r="BA400" s="74" t="n"/>
      <c r="BB400" s="106" t="n"/>
      <c r="BC400" s="42" t="n"/>
      <c r="BD400" s="42" t="n"/>
    </row>
    <row r="401" ht="15" customHeight="1" s="148">
      <c r="A401" t="inlineStr">
        <is>
          <t>c0397</t>
        </is>
      </c>
      <c r="B401" s="39" t="inlineStr">
        <is>
          <t>Assassin's Trophy</t>
        </is>
      </c>
      <c r="C401" s="40" t="inlineStr">
        <is>
          <t>Multi</t>
        </is>
      </c>
      <c r="D401" s="39" t="inlineStr">
        <is>
          <t>Instant</t>
        </is>
      </c>
      <c r="E401" s="41" t="inlineStr">
        <is>
          <t>B3</t>
        </is>
      </c>
      <c r="F401" s="40" t="n">
        <v>2</v>
      </c>
      <c r="G401" s="67" t="inlineStr">
        <is>
          <t>Destroy target permanent an opponent controls. Its controller may search their library for a basic land card, put it onto the battlefield, then shuffle.</t>
        </is>
      </c>
      <c r="H401" s="39" t="inlineStr">
        <is>
          <t>Removal</t>
        </is>
      </c>
      <c r="I401" s="39" t="inlineStr">
        <is>
          <t>Destroy target permanent an opponent controls. Its controller may search their library for a basic land card, put it onto the battlefield, then shuffle</t>
        </is>
      </c>
      <c r="J401" s="39" t="n"/>
      <c r="K401" s="39" t="n"/>
      <c r="L401" s="88" t="n"/>
      <c r="M401" s="41" t="n"/>
      <c r="N401" s="41" t="n"/>
      <c r="O401" s="63" t="n"/>
      <c r="P401" s="90" t="n">
        <v>1.19</v>
      </c>
      <c r="Q401" s="88" t="n"/>
      <c r="R401" s="41" t="n"/>
      <c r="S401" s="41" t="n"/>
      <c r="T401" s="63" t="n"/>
      <c r="U401" s="91" t="n"/>
      <c r="V401" s="39" t="inlineStr">
        <is>
          <t>Guilds of Ravnica</t>
        </is>
      </c>
      <c r="W401" s="41" t="n">
        <v>0</v>
      </c>
      <c r="X401" s="37">
        <f>SUM(Y401:AE401)</f>
        <v/>
      </c>
      <c r="Y401" s="43" t="n"/>
      <c r="Z401" s="43" t="n"/>
      <c r="AA401" s="43" t="n"/>
      <c r="AB401" s="43" t="n"/>
      <c r="AC401" s="43" t="n"/>
      <c r="AD401" s="43" t="n"/>
      <c r="AE401" s="43" t="n"/>
      <c r="AF401" s="38">
        <f>IF((W401-SUM(Y401:AE401))&lt;0,0,W401-SUM(Y401:AE401))</f>
        <v/>
      </c>
      <c r="AG401" s="34">
        <f>MAX(0,$AT401-$W401-$AI401)</f>
        <v/>
      </c>
      <c r="AH401" s="39" t="n"/>
      <c r="AI401" s="39" t="n"/>
      <c r="AJ401" s="39" t="n">
        <v>1.2</v>
      </c>
      <c r="AK401" s="39">
        <f>IF(AND($AG401&gt;0,ISNUMBER($AJ401)),$AG401*$AJ401,0)</f>
        <v/>
      </c>
      <c r="AT401" s="37">
        <f>SUM(AU401:BA401)</f>
        <v/>
      </c>
      <c r="AU401" s="73" t="n"/>
      <c r="AV401" s="33" t="n"/>
      <c r="AW401" s="33" t="n"/>
      <c r="AX401" s="33" t="n"/>
      <c r="AY401" s="33" t="n"/>
      <c r="AZ401" s="33" t="n"/>
      <c r="BA401" s="74" t="n">
        <v>1</v>
      </c>
      <c r="BB401" s="107" t="n"/>
      <c r="BC401" s="42" t="n"/>
      <c r="BD401" s="42" t="n"/>
    </row>
    <row r="402" ht="15" customHeight="1" s="148">
      <c r="A402" t="inlineStr">
        <is>
          <t>c0398</t>
        </is>
      </c>
      <c r="B402" s="44" t="inlineStr">
        <is>
          <t>Atraxa, Praetors' Voice</t>
        </is>
      </c>
      <c r="C402" s="34" t="inlineStr">
        <is>
          <t>Multi</t>
        </is>
      </c>
      <c r="D402" s="44" t="inlineStr">
        <is>
          <t>Legendary Creature</t>
        </is>
      </c>
      <c r="E402" s="41" t="inlineStr">
        <is>
          <t>B2</t>
        </is>
      </c>
      <c r="F402" s="34" t="n">
        <v>4</v>
      </c>
      <c r="G402" s="67" t="inlineStr">
        <is>
          <t>Flying, vigilance, deathtouch, lifelink
At the beginning of your end step, proliferate. (Choose any number of permanents and/or players, then give each another counter of each kind already there.)
(4/4)</t>
        </is>
      </c>
      <c r="H402" s="45" t="inlineStr">
        <is>
          <t>Commander</t>
        </is>
      </c>
      <c r="I402" s="45" t="inlineStr">
        <is>
          <t>Proliferates at the beginning of your end step</t>
        </is>
      </c>
      <c r="J402" s="45" t="inlineStr">
        <is>
          <t>Destroys anything it deals damage to</t>
        </is>
      </c>
      <c r="K402" s="45" t="inlineStr">
        <is>
          <t>Gains you life equal to damage it deals</t>
        </is>
      </c>
      <c r="L402" s="42" t="n"/>
      <c r="M402" s="42" t="n"/>
      <c r="N402" s="42" t="n">
        <v>1</v>
      </c>
      <c r="O402" s="42" t="n"/>
      <c r="P402" s="42" t="n">
        <v>27.97</v>
      </c>
      <c r="Q402" s="42" t="n"/>
      <c r="R402" s="42" t="n"/>
      <c r="S402" s="42" t="n"/>
      <c r="T402" s="42" t="n"/>
      <c r="U402" s="42" t="n"/>
      <c r="V402" s="45" t="inlineStr">
        <is>
          <t>Commander 2016</t>
        </is>
      </c>
      <c r="W402" s="41" t="n">
        <v>1</v>
      </c>
      <c r="X402" s="37">
        <f>SUM(Y402:AE402)</f>
        <v/>
      </c>
      <c r="Y402" s="43" t="n"/>
      <c r="Z402" s="43" t="n"/>
      <c r="AA402" s="43" t="n">
        <v>1</v>
      </c>
      <c r="AB402" s="43" t="n"/>
      <c r="AC402" s="43" t="n"/>
      <c r="AD402" s="43" t="n"/>
      <c r="AE402" s="43" t="n"/>
      <c r="AF402" s="38">
        <f>IF((W402-SUM(Y402:AE402))&lt;0,0,W402-SUM(Y402:AE402))</f>
        <v/>
      </c>
      <c r="AG402" s="34">
        <f>MAX(0,$AT402-$W402-$AI402)</f>
        <v/>
      </c>
      <c r="AH402" s="34" t="n"/>
      <c r="AI402" s="34" t="n"/>
      <c r="AJ402" s="36" t="n">
        <v>29.43</v>
      </c>
      <c r="AK402" s="36">
        <f>IF(AND($AG402&gt;0,ISNUMBER($AJ402)),$AG402*$AJ402,0)</f>
        <v/>
      </c>
      <c r="AT402" s="37">
        <f>SUM(AU402:BA402)</f>
        <v/>
      </c>
      <c r="AU402" s="73" t="n"/>
      <c r="AV402" s="33" t="n"/>
      <c r="AW402" s="98" t="n">
        <v>1</v>
      </c>
      <c r="AX402" s="33" t="n"/>
      <c r="AY402" s="33" t="n"/>
      <c r="AZ402" s="33" t="n"/>
      <c r="BA402" s="74" t="n"/>
      <c r="BB402" s="106" t="n"/>
      <c r="BC402" s="42" t="n"/>
      <c r="BD402" s="42" t="n"/>
    </row>
    <row r="403" ht="15" customHeight="1" s="148">
      <c r="A403" t="inlineStr">
        <is>
          <t>c0399</t>
        </is>
      </c>
      <c r="B403" s="44" t="inlineStr">
        <is>
          <t>Balefire Liege</t>
        </is>
      </c>
      <c r="C403" s="34" t="inlineStr">
        <is>
          <t>Multi</t>
        </is>
      </c>
      <c r="D403" s="44" t="inlineStr">
        <is>
          <t>Creature</t>
        </is>
      </c>
      <c r="E403" s="41" t="inlineStr">
        <is>
          <t>B2</t>
        </is>
      </c>
      <c r="F403" s="34" t="n">
        <v>5</v>
      </c>
      <c r="G403" s="67" t="inlineStr">
        <is>
          <t>Other red creatures you control get +1/+1.
Other white creatures you control get +1/+1.
Whenever you cast a red spell, this creature deals 3 damage to target player or planeswalker.
Whenever you cast a white spell, you gain 3 life.
(2/4)</t>
        </is>
      </c>
      <c r="H403" s="45" t="inlineStr">
        <is>
          <t>Lord/Anthem</t>
        </is>
      </c>
      <c r="I403" s="45" t="inlineStr">
        <is>
          <t>Other red creatures get +1/+1; other white creatures get +1/+1</t>
        </is>
      </c>
      <c r="J403" s="45" t="inlineStr">
        <is>
          <t>Casting a red spell deals 3 damage to a player or planeswalker</t>
        </is>
      </c>
      <c r="K403" s="45" t="inlineStr">
        <is>
          <t>Casting a white spell gains you 3 life</t>
        </is>
      </c>
      <c r="L403" s="41" t="n"/>
      <c r="M403" s="41" t="n"/>
      <c r="N403" s="41" t="n"/>
      <c r="O403" s="41" t="n"/>
      <c r="P403" s="41" t="n">
        <v>0.35</v>
      </c>
      <c r="Q403" s="41" t="n"/>
      <c r="R403" s="41" t="n"/>
      <c r="S403" s="41" t="n"/>
      <c r="T403" s="41" t="n"/>
      <c r="U403" s="41" t="n"/>
      <c r="V403" s="45" t="inlineStr">
        <is>
          <t>Eventide</t>
        </is>
      </c>
      <c r="W403" s="41" t="n">
        <v>1</v>
      </c>
      <c r="X403" s="37">
        <f>SUM(Y403:AE403)</f>
        <v/>
      </c>
      <c r="Y403" s="43" t="n"/>
      <c r="Z403" s="43" t="n"/>
      <c r="AA403" s="43" t="n"/>
      <c r="AB403" s="43" t="n"/>
      <c r="AC403" s="43" t="n"/>
      <c r="AD403" s="43" t="n"/>
      <c r="AE403" s="43" t="n"/>
      <c r="AF403" s="38">
        <f>IF((W403-SUM(Y403:AE403))&lt;0,0,W403-SUM(Y403:AE403))</f>
        <v/>
      </c>
      <c r="AG403" s="34">
        <f>MAX(0,$AT403-$W403-$AI403)</f>
        <v/>
      </c>
      <c r="AH403" s="34" t="n"/>
      <c r="AI403" s="34" t="n"/>
      <c r="AJ403" s="36" t="n">
        <v>0.62</v>
      </c>
      <c r="AK403" s="36">
        <f>IF(AND($AG403&gt;0,ISNUMBER($AJ403)),$AG403*$AJ403,0)</f>
        <v/>
      </c>
      <c r="AT403" s="37">
        <f>SUM(AU403:BA403)</f>
        <v/>
      </c>
      <c r="AU403" s="73" t="n"/>
      <c r="AV403" s="33" t="n"/>
      <c r="AW403" s="33" t="n"/>
      <c r="AX403" s="33" t="n"/>
      <c r="AY403" s="33" t="n"/>
      <c r="AZ403" s="33" t="n"/>
      <c r="BA403" s="74" t="n"/>
      <c r="BB403" s="106" t="n"/>
      <c r="BC403" s="42" t="n"/>
      <c r="BD403" s="42" t="n"/>
    </row>
    <row r="404" ht="15" customHeight="1" s="148">
      <c r="A404" t="inlineStr">
        <is>
          <t>c0400</t>
        </is>
      </c>
      <c r="B404" s="39" t="inlineStr">
        <is>
          <t>Bard the Bowman</t>
        </is>
      </c>
      <c r="C404" s="40" t="inlineStr">
        <is>
          <t>Multi</t>
        </is>
      </c>
      <c r="D404" s="39" t="inlineStr">
        <is>
          <t>Legendary Creature</t>
        </is>
      </c>
      <c r="E404" s="41" t="inlineStr">
        <is>
          <t>B2</t>
        </is>
      </c>
      <c r="F404" s="40" t="n">
        <v>3</v>
      </c>
      <c r="G404" s="67" t="inlineStr">
        <is>
          <t>Reach
Whenever you draw your second card each turn, put a +1/+1 counter on target creature. It gains lifelink until end of turn.
(1/3)</t>
        </is>
      </c>
      <c r="H404" s="39" t="inlineStr">
        <is>
          <t>Counters Payoff</t>
        </is>
      </c>
      <c r="I404" s="39" t="inlineStr">
        <is>
          <t>Whenever you draw your second card each turn, put a +1/+1 counter on target creature and it gains lifelink until end of turn</t>
        </is>
      </c>
      <c r="J404" s="39" t="inlineStr">
        <is>
          <t>Reach</t>
        </is>
      </c>
      <c r="K404" s="39" t="n"/>
      <c r="L404" s="42" t="n"/>
      <c r="M404" s="42" t="n"/>
      <c r="N404" s="42" t="n"/>
      <c r="O404" s="63" t="n"/>
      <c r="P404" s="63" t="n"/>
      <c r="Q404" s="42" t="n"/>
      <c r="R404" s="42" t="n"/>
      <c r="S404" s="42" t="n"/>
      <c r="T404" s="63" t="n"/>
      <c r="U404" s="63" t="n"/>
      <c r="V404" s="39" t="inlineStr">
        <is>
          <t>The Hobbit</t>
        </is>
      </c>
      <c r="W404" s="41" t="n">
        <v>1</v>
      </c>
      <c r="X404" s="37">
        <f>SUM(Y404:AE404)</f>
        <v/>
      </c>
      <c r="Y404" s="43" t="n"/>
      <c r="Z404" s="43" t="n"/>
      <c r="AA404" s="43" t="n"/>
      <c r="AB404" s="43" t="n"/>
      <c r="AC404" s="43" t="n"/>
      <c r="AD404" s="43" t="n"/>
      <c r="AE404" s="43" t="n"/>
      <c r="AF404" s="38">
        <f>IF((W404-SUM(Y404:AE404))&lt;0,0,W404-SUM(Y404:AE404))</f>
        <v/>
      </c>
      <c r="AG404" s="34">
        <f>MAX(0,$AT404-$W404-$AI404)</f>
        <v/>
      </c>
      <c r="AH404" s="39" t="n"/>
      <c r="AI404" s="39" t="n"/>
      <c r="AJ404" s="39" t="n">
        <v>0.2</v>
      </c>
      <c r="AK404" s="39">
        <f>IF(AND($AG404&gt;0,ISNUMBER($AJ404)),$AG404*$AJ404,0)</f>
        <v/>
      </c>
      <c r="AT404" s="37">
        <f>SUM(AU404:BA404)</f>
        <v/>
      </c>
      <c r="AU404" s="73" t="n"/>
      <c r="AV404" s="33" t="n"/>
      <c r="AW404" s="33" t="n"/>
      <c r="AX404" s="33" t="n"/>
      <c r="AY404" s="33" t="n"/>
      <c r="AZ404" s="33" t="n"/>
      <c r="BA404" s="74" t="n"/>
      <c r="BB404" s="107" t="n"/>
      <c r="BC404" s="42" t="n"/>
      <c r="BD404" s="42" t="n"/>
    </row>
    <row r="405" ht="15" customHeight="1" s="148">
      <c r="A405" t="inlineStr">
        <is>
          <t>c0401</t>
        </is>
      </c>
      <c r="B405" s="44" t="inlineStr">
        <is>
          <t>Bayek of Siwa</t>
        </is>
      </c>
      <c r="C405" s="34" t="inlineStr">
        <is>
          <t>Multi</t>
        </is>
      </c>
      <c r="D405" s="44" t="inlineStr">
        <is>
          <t>Legendary Creature</t>
        </is>
      </c>
      <c r="E405" s="41" t="inlineStr">
        <is>
          <t>B2</t>
        </is>
      </c>
      <c r="F405" s="34" t="n">
        <v>5</v>
      </c>
      <c r="G405" s="67" t="inlineStr">
        <is>
          <t>Double strike
During your turn, other historic creatures you control have double strike.
Disguise {1}{R}{W} (You may cast this card face down for {3} as a 2/2 creature with ward {2}. Turn it face up any time for its disguise cost.)
(3/4)</t>
        </is>
      </c>
      <c r="H405" s="45" t="inlineStr">
        <is>
          <t>Lord/Anthem</t>
        </is>
      </c>
      <c r="I405" s="45" t="inlineStr">
        <is>
          <t>Other historic creatures you control strike twice in combat during your turn</t>
        </is>
      </c>
      <c r="J405" s="45" t="inlineStr">
        <is>
          <t>Can be cast face-down for {3}, later flipped for its cost</t>
        </is>
      </c>
      <c r="K405" s="45" t="n"/>
      <c r="L405" s="42" t="n"/>
      <c r="M405" s="42" t="n"/>
      <c r="N405" s="42" t="n"/>
      <c r="O405" s="63" t="n"/>
      <c r="P405" s="63" t="n">
        <v>0.38</v>
      </c>
      <c r="Q405" s="42" t="n"/>
      <c r="R405" s="42" t="n"/>
      <c r="S405" s="42" t="n"/>
      <c r="T405" s="63" t="n"/>
      <c r="U405" s="63" t="n"/>
      <c r="V405" s="45" t="inlineStr">
        <is>
          <t>Assassin's Creed</t>
        </is>
      </c>
      <c r="W405" s="41" t="n">
        <v>1</v>
      </c>
      <c r="X405" s="37">
        <f>SUM(Y405:AE405)</f>
        <v/>
      </c>
      <c r="Y405" s="43" t="n"/>
      <c r="Z405" s="43" t="n"/>
      <c r="AA405" s="43" t="n"/>
      <c r="AB405" s="43" t="n"/>
      <c r="AC405" s="43" t="n"/>
      <c r="AD405" s="43" t="n"/>
      <c r="AE405" s="43" t="n"/>
      <c r="AF405" s="38">
        <f>IF((W405-SUM(Y405:AE405))&lt;0,0,W405-SUM(Y405:AE405))</f>
        <v/>
      </c>
      <c r="AG405" s="34">
        <f>MAX(0,$AT405-$W405-$AI405)</f>
        <v/>
      </c>
      <c r="AH405" s="34" t="n"/>
      <c r="AI405" s="34" t="n"/>
      <c r="AJ405" s="36" t="n">
        <v>0.39</v>
      </c>
      <c r="AK405" s="36">
        <f>IF(AND($AG405&gt;0,ISNUMBER($AJ405)),$AG405*$AJ405,0)</f>
        <v/>
      </c>
      <c r="AT405" s="37">
        <f>SUM(AU405:BA405)</f>
        <v/>
      </c>
      <c r="AU405" s="73" t="n"/>
      <c r="AV405" s="33" t="n"/>
      <c r="AW405" s="33" t="n"/>
      <c r="AX405" s="33" t="n"/>
      <c r="AY405" s="33" t="n"/>
      <c r="AZ405" s="33" t="n"/>
      <c r="BA405" s="74" t="n"/>
      <c r="BB405" s="106" t="n"/>
      <c r="BC405" s="42" t="n"/>
      <c r="BD405" s="42" t="n"/>
    </row>
    <row r="406" ht="15" customHeight="1" s="148">
      <c r="A406" t="inlineStr">
        <is>
          <t>c0402</t>
        </is>
      </c>
      <c r="B406" s="44" t="inlineStr">
        <is>
          <t>Belligerent Brontodon</t>
        </is>
      </c>
      <c r="C406" s="34" t="inlineStr">
        <is>
          <t>Multi</t>
        </is>
      </c>
      <c r="D406" s="44" t="inlineStr">
        <is>
          <t>Creature</t>
        </is>
      </c>
      <c r="E406" s="41" t="inlineStr">
        <is>
          <t>B2</t>
        </is>
      </c>
      <c r="F406" s="34" t="n">
        <v>7</v>
      </c>
      <c r="G406" s="67" t="inlineStr">
        <is>
          <t>Each creature you control assigns combat damage equal to its toughness rather than its power.
(4/6)</t>
        </is>
      </c>
      <c r="H406" s="45" t="inlineStr">
        <is>
          <t>Utility Creature</t>
        </is>
      </c>
      <c r="I406" s="45" t="inlineStr">
        <is>
          <t>Each creature you control assigns combat damage equal to its toughness rather than its power</t>
        </is>
      </c>
      <c r="J406" s="45" t="n"/>
      <c r="K406" s="45" t="n"/>
      <c r="L406" s="42" t="n"/>
      <c r="M406" s="42" t="n"/>
      <c r="N406" s="42" t="n"/>
      <c r="O406" s="42" t="n"/>
      <c r="P406" s="42" t="n">
        <v>0.25</v>
      </c>
      <c r="Q406" s="42" t="n"/>
      <c r="R406" s="42" t="n"/>
      <c r="S406" s="42" t="n"/>
      <c r="T406" s="42" t="n"/>
      <c r="U406" s="42" t="n"/>
      <c r="V406" s="45" t="inlineStr">
        <is>
          <t>Ixalan</t>
        </is>
      </c>
      <c r="W406" s="41" t="n">
        <v>1</v>
      </c>
      <c r="X406" s="37">
        <f>SUM(Y406:AE406)</f>
        <v/>
      </c>
      <c r="Y406" s="43" t="n"/>
      <c r="Z406" s="43" t="n"/>
      <c r="AA406" s="43" t="n"/>
      <c r="AB406" s="43" t="n">
        <v>1</v>
      </c>
      <c r="AC406" s="43" t="n"/>
      <c r="AD406" s="43" t="n"/>
      <c r="AE406" s="43" t="n"/>
      <c r="AF406" s="38">
        <f>IF((W406-SUM(Y406:AE406))&lt;0,0,W406-SUM(Y406:AE406))</f>
        <v/>
      </c>
      <c r="AG406" s="34">
        <f>MAX(0,$AT406-$W406-$AI406)</f>
        <v/>
      </c>
      <c r="AH406" s="34" t="n"/>
      <c r="AI406" s="34" t="n"/>
      <c r="AJ406" s="36" t="n">
        <v>0.25</v>
      </c>
      <c r="AK406" s="36">
        <f>IF(AND($AG406&gt;0,ISNUMBER($AJ406)),$AG406*$AJ406,0)</f>
        <v/>
      </c>
      <c r="AT406" s="37">
        <f>SUM(AU406:BA406)</f>
        <v/>
      </c>
      <c r="AU406" s="73" t="n"/>
      <c r="AV406" s="33" t="n"/>
      <c r="AW406" s="33" t="n"/>
      <c r="AX406" s="99" t="n"/>
      <c r="AY406" s="33" t="n"/>
      <c r="AZ406" s="33" t="n"/>
      <c r="BA406" s="74" t="n"/>
      <c r="BB406" s="106" t="n"/>
      <c r="BC406" s="42" t="n"/>
      <c r="BD406" s="42" t="n"/>
    </row>
    <row r="407" ht="15" customHeight="1" s="148">
      <c r="A407" t="inlineStr">
        <is>
          <t>c0403</t>
        </is>
      </c>
      <c r="B407" s="30" t="inlineStr">
        <is>
          <t>Berta, Wise Extrapolator</t>
        </is>
      </c>
      <c r="C407" s="31" t="inlineStr">
        <is>
          <t>Multi</t>
        </is>
      </c>
      <c r="D407" s="30" t="inlineStr">
        <is>
          <t>Legendary Creature</t>
        </is>
      </c>
      <c r="E407" s="33" t="inlineStr">
        <is>
          <t>B2</t>
        </is>
      </c>
      <c r="F407" s="30" t="n">
        <v>4</v>
      </c>
      <c r="G407" s="67" t="inlineStr">
        <is>
          <t>Increment (Whenever you cast a spell, if the amount of mana you spent is greater than this creature's power or toughness, put a +1/+1 counter on this creature.)
Whenever one or more +1/+1 counters are put on Berta, add one mana of any color.
{X}, {T}: Create a 0/0 green and blue Fractal creature token and put X +1/+1 counters on it.
(1/4)</t>
        </is>
      </c>
      <c r="H407" s="30" t="inlineStr">
        <is>
          <t>Value Engine</t>
        </is>
      </c>
      <c r="I407" s="30" t="inlineStr">
        <is>
          <t>Increment — whenever you cast a spell for more mana than Berta's power or toughness, put a +1/+1 counter on her</t>
        </is>
      </c>
      <c r="J407" s="30" t="inlineStr">
        <is>
          <t>Whenever one or more +1/+1 counters are put on Berta, add one mana of any color</t>
        </is>
      </c>
      <c r="K407" s="30" t="inlineStr">
        <is>
          <t>{X}, {T}: Create a 0/0 Fractal token with X +1/+1 counters on it</t>
        </is>
      </c>
      <c r="L407" s="32" t="inlineStr">
        <is>
          <t>175</t>
        </is>
      </c>
      <c r="M407" s="32" t="n">
        <v>1</v>
      </c>
      <c r="N407" s="32" t="n">
        <v>0</v>
      </c>
      <c r="O407" s="63" t="inlineStr">
        <is>
          <t>Tuan Duong Chu</t>
        </is>
      </c>
      <c r="P407" s="63" t="n">
        <v>0.32</v>
      </c>
      <c r="Q407" s="32" t="inlineStr">
        <is>
          <t>Rare</t>
        </is>
      </c>
      <c r="R407" s="32" t="n"/>
      <c r="S407" s="32" t="n"/>
      <c r="T407" s="63" t="n"/>
      <c r="U407" s="63" t="n"/>
      <c r="V407" s="30" t="inlineStr">
        <is>
          <t>Secrets of Strixhaven</t>
        </is>
      </c>
      <c r="W407" s="41" t="n">
        <v>1</v>
      </c>
      <c r="X407" s="37">
        <f>SUM(Y407:AE407)</f>
        <v/>
      </c>
      <c r="Y407" s="43" t="n"/>
      <c r="Z407" s="43" t="n"/>
      <c r="AA407" s="43" t="n">
        <v>1</v>
      </c>
      <c r="AB407" s="43" t="n"/>
      <c r="AC407" s="43" t="n"/>
      <c r="AD407" s="43" t="n"/>
      <c r="AE407" s="43" t="n"/>
      <c r="AF407" s="38">
        <f>IF((W407-SUM(Y407:AE407))&lt;0,0,W407-SUM(Y407:AE407))</f>
        <v/>
      </c>
      <c r="AG407" s="34">
        <f>MAX(0,$AT407-$W407-$AI407)</f>
        <v/>
      </c>
      <c r="AH407" s="30" t="n"/>
      <c r="AI407" s="30" t="n"/>
      <c r="AJ407" s="30" t="n">
        <v>0.32</v>
      </c>
      <c r="AK407" s="36">
        <f>IF(AND($AG407&gt;0,ISNUMBER($AJ407)),$AG407*$AJ407,0)</f>
        <v/>
      </c>
      <c r="AT407" s="37">
        <f>SUM(AU407:BA407)</f>
        <v/>
      </c>
      <c r="AU407" s="73" t="n"/>
      <c r="AV407" s="33" t="n"/>
      <c r="AW407" s="98" t="n">
        <v>1</v>
      </c>
      <c r="AX407" s="33" t="n"/>
      <c r="AY407" s="33" t="n"/>
      <c r="AZ407" s="33" t="n"/>
      <c r="BA407" s="74" t="n"/>
      <c r="BB407" s="108" t="n"/>
      <c r="BC407" s="32" t="n"/>
      <c r="BD407" s="32" t="n"/>
    </row>
    <row r="408" ht="15" customHeight="1" s="148">
      <c r="A408" t="inlineStr">
        <is>
          <t>c0404</t>
        </is>
      </c>
      <c r="B408" s="44" t="inlineStr">
        <is>
          <t>Betor, Ancestor's Voice</t>
        </is>
      </c>
      <c r="C408" s="34" t="inlineStr">
        <is>
          <t>Multi</t>
        </is>
      </c>
      <c r="D408" s="44" t="inlineStr">
        <is>
          <t>Legendary Creature</t>
        </is>
      </c>
      <c r="E408" s="41" t="inlineStr">
        <is>
          <t>B2</t>
        </is>
      </c>
      <c r="F408" s="34" t="n">
        <v>5</v>
      </c>
      <c r="G408" s="67" t="inlineStr">
        <is>
          <t>Flying, lifelink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
(3/5)</t>
        </is>
      </c>
      <c r="H408" s="45" t="inlineStr">
        <is>
          <t>Counters Payoff</t>
        </is>
      </c>
      <c r="I408" s="45" t="inlineStr">
        <is>
          <t>End step: put +1/+1 counters on a creature equal to life gained this turn</t>
        </is>
      </c>
      <c r="J408" s="45" t="inlineStr">
        <is>
          <t>End step: reanimate a creature MV ≤ life lost this turn</t>
        </is>
      </c>
      <c r="K408" s="45" t="inlineStr">
        <is>
          <t>Flying lifelink body</t>
        </is>
      </c>
      <c r="L408" s="42" t="n"/>
      <c r="M408" s="42" t="n"/>
      <c r="N408" s="42" t="n"/>
      <c r="O408" s="42" t="n"/>
      <c r="P408" s="42" t="n">
        <v>3.67</v>
      </c>
      <c r="Q408" s="42" t="n"/>
      <c r="R408" s="42" t="n"/>
      <c r="S408" s="42" t="n"/>
      <c r="T408" s="42" t="n"/>
      <c r="U408" s="42" t="n"/>
      <c r="V408" s="45" t="inlineStr">
        <is>
          <t>Tarkir: Dragonstorm Commander</t>
        </is>
      </c>
      <c r="W408" s="41" t="n">
        <v>1</v>
      </c>
      <c r="X408" s="37">
        <f>SUM(Y408:AE408)</f>
        <v/>
      </c>
      <c r="Y408" s="43" t="n"/>
      <c r="Z408" s="43" t="n"/>
      <c r="AA408" s="43" t="n"/>
      <c r="AB408" s="43" t="n">
        <v>1</v>
      </c>
      <c r="AC408" s="43" t="n"/>
      <c r="AD408" s="43" t="n"/>
      <c r="AE408" s="43" t="n"/>
      <c r="AF408" s="38">
        <f>IF((W408-SUM(Y408:AE408))&lt;0,0,W408-SUM(Y408:AE408))</f>
        <v/>
      </c>
      <c r="AG408" s="34">
        <f>MAX(0,$AT408-$W408-$AI408)</f>
        <v/>
      </c>
      <c r="AH408" s="34" t="n"/>
      <c r="AI408" s="34" t="n"/>
      <c r="AJ408" s="36" t="n">
        <v>3.68</v>
      </c>
      <c r="AK408" s="36">
        <f>IF(AND($AG408&gt;0,ISNUMBER($AJ408)),$AG408*$AJ408,0)</f>
        <v/>
      </c>
      <c r="AT408" s="37">
        <f>SUM(AU408:BA408)</f>
        <v/>
      </c>
      <c r="AU408" s="73" t="n"/>
      <c r="AV408" s="33" t="n"/>
      <c r="AW408" s="33" t="n"/>
      <c r="AX408" s="98" t="n">
        <v>1</v>
      </c>
      <c r="AY408" s="33" t="n"/>
      <c r="AZ408" s="33" t="n"/>
      <c r="BA408" s="74" t="n"/>
      <c r="BB408" s="106" t="n"/>
      <c r="BC408" s="42" t="n"/>
      <c r="BD408" s="42" t="n"/>
    </row>
    <row r="409" ht="15" customHeight="1" s="148">
      <c r="A409" t="inlineStr">
        <is>
          <t>c0405</t>
        </is>
      </c>
      <c r="B409" s="44" t="inlineStr">
        <is>
          <t>Blot Out the Sky</t>
        </is>
      </c>
      <c r="C409" s="34" t="inlineStr">
        <is>
          <t>Multi</t>
        </is>
      </c>
      <c r="D409" s="44" t="inlineStr">
        <is>
          <t>Sorcery</t>
        </is>
      </c>
      <c r="E409" s="41" t="inlineStr">
        <is>
          <t>B2</t>
        </is>
      </c>
      <c r="F409" s="34" t="n">
        <v>2</v>
      </c>
      <c r="G409" s="67" t="inlineStr">
        <is>
          <t>Create X tapped 2/1 white and black Inkling creature tokens with flying. If X is 6 or more, destroy all noncreature, nonland permanents.</t>
        </is>
      </c>
      <c r="H409" s="45" t="inlineStr">
        <is>
          <t>Token Producer</t>
        </is>
      </c>
      <c r="I409" s="45" t="inlineStr">
        <is>
          <t>Create X tapped 2/1 white and black Inkling creature tokens with flying. If X is 6 or more, destroy all noncreature, non</t>
        </is>
      </c>
      <c r="J409" s="45" t="n"/>
      <c r="K409" s="45" t="n"/>
      <c r="L409" s="42" t="n"/>
      <c r="M409" s="42" t="n"/>
      <c r="N409" s="42" t="n"/>
      <c r="O409" s="42" t="n"/>
      <c r="P409" s="42" t="n">
        <v>1.58</v>
      </c>
      <c r="Q409" s="42" t="n"/>
      <c r="R409" s="42" t="n"/>
      <c r="S409" s="42" t="n"/>
      <c r="T409" s="42" t="n"/>
      <c r="U409" s="42" t="n"/>
      <c r="V409" s="45" t="inlineStr">
        <is>
          <t>Strixhaven: School of Mages</t>
        </is>
      </c>
      <c r="W409" s="41" t="n">
        <v>0</v>
      </c>
      <c r="X409" s="37">
        <f>SUM(Y409:AE409)</f>
        <v/>
      </c>
      <c r="Y409" s="43" t="n"/>
      <c r="Z409" s="43" t="n"/>
      <c r="AA409" s="43" t="n"/>
      <c r="AB409" s="43" t="n"/>
      <c r="AC409" s="43" t="n"/>
      <c r="AD409" s="43" t="n"/>
      <c r="AE409" s="43" t="n"/>
      <c r="AF409" s="38">
        <f>IF((W409-SUM(Y409:AE409))&lt;0,0,W409-SUM(Y409:AE409))</f>
        <v/>
      </c>
      <c r="AG409" s="34">
        <f>MAX(0,$AT409-$W409-$AI409)</f>
        <v/>
      </c>
      <c r="AH409" s="34" t="n"/>
      <c r="AI409" s="34" t="n"/>
      <c r="AJ409" s="36" t="n">
        <v>1.47</v>
      </c>
      <c r="AK409" s="36">
        <f>IF(AND($AG409&gt;0,ISNUMBER($AJ409)),$AG409*$AJ409,0)</f>
        <v/>
      </c>
      <c r="AL409" s="54" t="n"/>
      <c r="AM409" s="54" t="n"/>
      <c r="AN409" s="54" t="n"/>
      <c r="AO409" s="54" t="n"/>
      <c r="AP409" s="54" t="n"/>
      <c r="AQ409" s="54" t="n"/>
      <c r="AR409" s="54" t="n"/>
      <c r="AS409" s="54" t="n"/>
      <c r="AT409" s="37">
        <f>SUM(AU409:BA409)</f>
        <v/>
      </c>
      <c r="AU409" s="92" t="n"/>
      <c r="AV409" s="38" t="n"/>
      <c r="AW409" s="38" t="n"/>
      <c r="AX409" s="38" t="n"/>
      <c r="AY409" s="38" t="n"/>
      <c r="AZ409" s="38" t="n"/>
      <c r="BA409" s="94" t="n"/>
      <c r="BB409" s="106" t="n"/>
      <c r="BC409" s="42" t="n"/>
      <c r="BD409" s="42" t="n"/>
    </row>
    <row r="410" ht="15" customHeight="1" s="148">
      <c r="A410" t="inlineStr">
        <is>
          <t>c0406</t>
        </is>
      </c>
      <c r="B410" s="44" t="inlineStr">
        <is>
          <t>Boggart Cursecrafter</t>
        </is>
      </c>
      <c r="C410" s="34" t="inlineStr">
        <is>
          <t>Multi</t>
        </is>
      </c>
      <c r="D410" s="44" t="inlineStr">
        <is>
          <t>Creature</t>
        </is>
      </c>
      <c r="E410" s="41" t="inlineStr">
        <is>
          <t>B2</t>
        </is>
      </c>
      <c r="F410" s="34" t="n">
        <v>2</v>
      </c>
      <c r="G410" s="67" t="inlineStr">
        <is>
          <t>Deathtouch
Whenever another Goblin you control dies, this creature deals 1 damage to each opponent.
(2/3)</t>
        </is>
      </c>
      <c r="H410" s="45" t="inlineStr">
        <is>
          <t>Aristocrats Payoff</t>
        </is>
      </c>
      <c r="I410" s="45" t="inlineStr">
        <is>
          <t>Deals 1 damage to each opponent whenever another Goblin you control dies</t>
        </is>
      </c>
      <c r="J410" s="45" t="n"/>
      <c r="K410" s="45" t="n"/>
      <c r="L410" s="42" t="n"/>
      <c r="M410" s="42" t="n"/>
      <c r="N410" s="42" t="n"/>
      <c r="O410" s="42" t="n"/>
      <c r="P410" s="42" t="n">
        <v>0.36</v>
      </c>
      <c r="Q410" s="42" t="n"/>
      <c r="R410" s="42" t="n"/>
      <c r="S410" s="42" t="n"/>
      <c r="T410" s="42" t="n"/>
      <c r="U410" s="42" t="n"/>
      <c r="V410" s="45" t="inlineStr">
        <is>
          <t>Lorwyn Eclipsed</t>
        </is>
      </c>
      <c r="W410" s="41" t="n">
        <v>1</v>
      </c>
      <c r="X410" s="37">
        <f>SUM(Y410:AE410)</f>
        <v/>
      </c>
      <c r="Y410" s="43" t="n"/>
      <c r="Z410" s="43" t="n"/>
      <c r="AA410" s="43" t="n"/>
      <c r="AB410" s="43" t="n"/>
      <c r="AC410" s="43" t="n"/>
      <c r="AD410" s="43" t="n"/>
      <c r="AE410" s="43" t="n"/>
      <c r="AF410" s="38">
        <f>IF((W410-SUM(Y410:AE410))&lt;0,0,W410-SUM(Y410:AE410))</f>
        <v/>
      </c>
      <c r="AG410" s="34">
        <f>MAX(0,$AT410-$W410-$AI410)</f>
        <v/>
      </c>
      <c r="AH410" s="34" t="n"/>
      <c r="AI410" s="34" t="n"/>
      <c r="AJ410" s="36" t="n">
        <v>0.28</v>
      </c>
      <c r="AK410" s="36">
        <f>IF(AND($AG410&gt;0,ISNUMBER($AJ410)),$AG410*$AJ410,0)</f>
        <v/>
      </c>
      <c r="AT410" s="37">
        <f>SUM(AU410:BA410)</f>
        <v/>
      </c>
      <c r="AU410" s="73" t="n"/>
      <c r="AV410" s="33" t="n"/>
      <c r="AW410" s="33" t="n"/>
      <c r="AX410" s="33" t="n"/>
      <c r="AY410" s="33" t="n"/>
      <c r="AZ410" s="33" t="n"/>
      <c r="BA410" s="74" t="n"/>
      <c r="BB410" s="106" t="n"/>
      <c r="BC410" s="42" t="n"/>
      <c r="BD410" s="42" t="n"/>
    </row>
    <row r="411" ht="15" customHeight="1" s="148">
      <c r="A411" t="inlineStr">
        <is>
          <t>c0407</t>
        </is>
      </c>
      <c r="B411" s="113" t="inlineStr">
        <is>
          <t>Bolg's Company</t>
        </is>
      </c>
      <c r="C411" s="115" t="inlineStr">
        <is>
          <t>Multi</t>
        </is>
      </c>
      <c r="D411" s="117" t="inlineStr">
        <is>
          <t>Creature</t>
        </is>
      </c>
      <c r="E411" s="67" t="inlineStr">
        <is>
          <t>B2</t>
        </is>
      </c>
      <c r="F411" s="115" t="n">
        <v>2</v>
      </c>
      <c r="G411" s="69" t="inlineStr">
        <is>
          <t>Bolg's Company {B}{R} — Creature — Goblin Soldier (2/2)
This creature has haste as long as you control another Goblin.
{T}, Sacrifice another Goblin: Add {B}{R}.</t>
        </is>
      </c>
      <c r="H411" s="113" t="inlineStr">
        <is>
          <t>Sacrifice Outlet</t>
        </is>
      </c>
      <c r="I411" s="113" t="inlineStr">
        <is>
          <t>{T}, Sacrifice another Goblin: Add {B}{R}</t>
        </is>
      </c>
      <c r="J411" s="113" t="n"/>
      <c r="K411" s="113" t="n"/>
      <c r="L411" s="69" t="inlineStr">
        <is>
          <t>211</t>
        </is>
      </c>
      <c r="M411" s="69" t="n">
        <v>1</v>
      </c>
      <c r="N411" s="69" t="n">
        <v>0</v>
      </c>
      <c r="O411" s="63" t="inlineStr">
        <is>
          <t>Denman Rooke</t>
        </is>
      </c>
      <c r="P411" s="85" t="n">
        <v>0.31</v>
      </c>
      <c r="Q411" s="69" t="inlineStr">
        <is>
          <t>Rare</t>
        </is>
      </c>
      <c r="R411" s="69" t="n"/>
      <c r="S411" s="69" t="n"/>
      <c r="T411" s="63" t="n"/>
      <c r="U411" s="63" t="n"/>
      <c r="V411" s="117" t="inlineStr">
        <is>
          <t>The Hobbit</t>
        </is>
      </c>
      <c r="W411" s="105" t="n">
        <v>1</v>
      </c>
      <c r="X411" s="37">
        <f>SUM(Y411:AE411)</f>
        <v/>
      </c>
      <c r="Y411" s="43" t="n"/>
      <c r="Z411" s="43" t="n"/>
      <c r="AA411" s="43" t="n"/>
      <c r="AB411" s="43" t="n"/>
      <c r="AC411" s="43" t="n"/>
      <c r="AD411" s="43" t="n"/>
      <c r="AE411" s="43" t="n"/>
      <c r="AF411" s="38">
        <f>IF((W411-SUM(Y411:AE411))&lt;0,0,W411-SUM(Y411:AE411))</f>
        <v/>
      </c>
      <c r="AG411" s="34">
        <f>MAX(0,$AT411-$W411-$AI411)</f>
        <v/>
      </c>
      <c r="AH411" s="113" t="n"/>
      <c r="AI411" s="113" t="n"/>
      <c r="AJ411" s="123" t="n">
        <v>0.31</v>
      </c>
      <c r="AK411" s="36">
        <f>IF(AND($AG411&gt;0,ISNUMBER($AJ411)),$AG411*$AJ411,0)</f>
        <v/>
      </c>
      <c r="AL411" s="69" t="n"/>
      <c r="AM411" s="69" t="n"/>
      <c r="AN411" s="69" t="n"/>
      <c r="AO411" s="69" t="n"/>
      <c r="AP411" s="69" t="n"/>
      <c r="AQ411" s="69" t="n"/>
      <c r="AR411" s="69" t="n"/>
      <c r="AS411" s="69" t="n"/>
      <c r="AT411" s="37">
        <f>SUM(AU411:BA411)</f>
        <v/>
      </c>
      <c r="AU411" s="73" t="n"/>
      <c r="AV411" s="33" t="n"/>
      <c r="AW411" s="33" t="n"/>
      <c r="AX411" s="33" t="n"/>
      <c r="AY411" s="33" t="n"/>
      <c r="AZ411" s="33" t="n"/>
      <c r="BA411" s="74" t="n"/>
      <c r="BB411" s="126" t="n"/>
      <c r="BC411" s="69" t="n"/>
      <c r="BD411" s="69" t="n"/>
    </row>
    <row r="412" ht="15" customHeight="1" s="148">
      <c r="A412" t="inlineStr">
        <is>
          <t>c0408</t>
        </is>
      </c>
      <c r="B412" s="44" t="inlineStr">
        <is>
          <t>Bolrac-Clan Crusher</t>
        </is>
      </c>
      <c r="C412" s="34" t="inlineStr">
        <is>
          <t>Multi</t>
        </is>
      </c>
      <c r="D412" s="44" t="inlineStr">
        <is>
          <t>Creature</t>
        </is>
      </c>
      <c r="E412" s="41" t="inlineStr">
        <is>
          <t>B2</t>
        </is>
      </c>
      <c r="F412" s="34" t="n">
        <v>5</v>
      </c>
      <c r="G412" s="67" t="inlineStr">
        <is>
          <t>{T}, Remove a +1/+1 counter from a creature you control: This creature deals 2 damage to any target.
(4/4)</t>
        </is>
      </c>
      <c r="H412" s="45" t="inlineStr">
        <is>
          <t>Removal</t>
        </is>
      </c>
      <c r="I412" s="45" t="inlineStr">
        <is>
          <t>Remove a +1/+1 counter from a creature you control to deal 2 damage to any target</t>
        </is>
      </c>
      <c r="J412" s="45" t="n"/>
      <c r="K412" s="45" t="n"/>
      <c r="L412" s="42" t="n"/>
      <c r="M412" s="42" t="n"/>
      <c r="N412" s="42" t="n"/>
      <c r="O412" s="63" t="n"/>
      <c r="P412" s="63" t="n">
        <v>0.06</v>
      </c>
      <c r="Q412" s="42" t="n"/>
      <c r="R412" s="42" t="n"/>
      <c r="S412" s="42" t="n"/>
      <c r="T412" s="63" t="n"/>
      <c r="U412" s="63" t="n"/>
      <c r="V412" s="45" t="inlineStr">
        <is>
          <t>Ravnica Allegiance</t>
        </is>
      </c>
      <c r="W412" s="41" t="n">
        <v>1</v>
      </c>
      <c r="X412" s="37">
        <f>SUM(Y412:AE412)</f>
        <v/>
      </c>
      <c r="Y412" s="43" t="n"/>
      <c r="Z412" s="43" t="n"/>
      <c r="AA412" s="43" t="n"/>
      <c r="AB412" s="43" t="n"/>
      <c r="AC412" s="43" t="n"/>
      <c r="AD412" s="43" t="n"/>
      <c r="AE412" s="43" t="n"/>
      <c r="AF412" s="38">
        <f>IF((W412-SUM(Y412:AE412))&lt;0,0,W412-SUM(Y412:AE412))</f>
        <v/>
      </c>
      <c r="AG412" s="34">
        <f>MAX(0,$AT412-$W412-$AI412)</f>
        <v/>
      </c>
      <c r="AH412" s="34" t="n"/>
      <c r="AI412" s="34" t="n"/>
      <c r="AJ412" s="36" t="n">
        <v>0.06</v>
      </c>
      <c r="AK412" s="36">
        <f>IF(AND($AG412&gt;0,ISNUMBER($AJ412)),$AG412*$AJ412,0)</f>
        <v/>
      </c>
      <c r="AT412" s="37">
        <f>SUM(AU412:BA412)</f>
        <v/>
      </c>
      <c r="AU412" s="73" t="n"/>
      <c r="AV412" s="33" t="n"/>
      <c r="AW412" s="33" t="n"/>
      <c r="AX412" s="33" t="n"/>
      <c r="AY412" s="33" t="n"/>
      <c r="AZ412" s="33" t="n"/>
      <c r="BA412" s="74" t="n"/>
      <c r="BB412" s="106" t="n"/>
      <c r="BC412" s="42" t="n"/>
      <c r="BD412" s="42" t="n"/>
    </row>
    <row r="413" ht="15" customHeight="1" s="148">
      <c r="A413" t="inlineStr">
        <is>
          <t>c0409</t>
        </is>
      </c>
      <c r="B413" s="44" t="inlineStr">
        <is>
          <t>Boros Charm</t>
        </is>
      </c>
      <c r="C413" s="34" t="inlineStr">
        <is>
          <t>Multi</t>
        </is>
      </c>
      <c r="D413" s="44" t="inlineStr">
        <is>
          <t>Instant</t>
        </is>
      </c>
      <c r="E413" s="41" t="inlineStr">
        <is>
          <t>B3</t>
        </is>
      </c>
      <c r="F413" s="34" t="n">
        <v>2</v>
      </c>
      <c r="G413" s="67" t="inlineStr">
        <is>
          <t>Choose one —
• Boros Charm deals 4 damage to target player or planeswalker.
• Permanents you control gain indestructible until end of turn.
• Target creature gains double strike until end of turn.</t>
        </is>
      </c>
      <c r="H413" s="45" t="inlineStr">
        <is>
          <t>Burn</t>
        </is>
      </c>
      <c r="I413" s="45" t="inlineStr">
        <is>
          <t>Choose one —
• Boros Charm deals 4 damage to target player or planeswalker.
• Permanents you control gain indestructible</t>
        </is>
      </c>
      <c r="J413" s="45" t="n"/>
      <c r="K413" s="45" t="n"/>
      <c r="L413" s="42" t="n"/>
      <c r="M413" s="42" t="n"/>
      <c r="N413" s="42" t="n"/>
      <c r="O413" s="42" t="n"/>
      <c r="P413" s="42" t="n">
        <v>4.51</v>
      </c>
      <c r="Q413" s="42" t="n"/>
      <c r="R413" s="42" t="n"/>
      <c r="S413" s="42" t="n"/>
      <c r="T413" s="42" t="n"/>
      <c r="U413" s="42" t="n"/>
      <c r="V413" s="45" t="inlineStr">
        <is>
          <t>Gatecrash</t>
        </is>
      </c>
      <c r="W413" s="41" t="n">
        <v>0</v>
      </c>
      <c r="X413" s="37">
        <f>SUM(Y413:AE413)</f>
        <v/>
      </c>
      <c r="Y413" s="43" t="n"/>
      <c r="Z413" s="43" t="n"/>
      <c r="AA413" s="43" t="n"/>
      <c r="AB413" s="43" t="n"/>
      <c r="AC413" s="43" t="n"/>
      <c r="AD413" s="43" t="n"/>
      <c r="AE413" s="43" t="n"/>
      <c r="AF413" s="38">
        <f>IF((W413-SUM(Y413:AE413))&lt;0,0,W413-SUM(Y413:AE413))</f>
        <v/>
      </c>
      <c r="AG413" s="34">
        <f>MAX(0,$AT413-$W413-$AI413)</f>
        <v/>
      </c>
      <c r="AH413" s="34" t="n"/>
      <c r="AI413" s="34" t="n"/>
      <c r="AJ413" s="36" t="n">
        <v>4.87</v>
      </c>
      <c r="AK413" s="36">
        <f>IF(AND($AG413&gt;0,ISNUMBER($AJ413)),$AG413*$AJ413,0)</f>
        <v/>
      </c>
      <c r="AL413" s="54" t="n"/>
      <c r="AM413" s="54" t="n"/>
      <c r="AN413" s="54" t="n"/>
      <c r="AO413" s="54" t="n"/>
      <c r="AP413" s="54" t="n"/>
      <c r="AQ413" s="54" t="n"/>
      <c r="AR413" s="54" t="n"/>
      <c r="AS413" s="54" t="n"/>
      <c r="AT413" s="37">
        <f>SUM(AU413:BA413)</f>
        <v/>
      </c>
      <c r="AU413" s="92" t="n">
        <v>1</v>
      </c>
      <c r="AV413" s="38" t="n"/>
      <c r="AW413" s="38" t="n"/>
      <c r="AX413" s="38" t="n"/>
      <c r="AY413" s="38" t="n"/>
      <c r="AZ413" s="38" t="n"/>
      <c r="BA413" s="94" t="n"/>
      <c r="BB413" s="106" t="n"/>
      <c r="BC413" s="42" t="n"/>
      <c r="BD413" s="42" t="n"/>
    </row>
    <row r="414" ht="15" customHeight="1" s="148">
      <c r="A414" t="inlineStr">
        <is>
          <t>c0410</t>
        </is>
      </c>
      <c r="B414" s="44" t="inlineStr">
        <is>
          <t>Boros Signet</t>
        </is>
      </c>
      <c r="C414" s="34" t="inlineStr">
        <is>
          <t>Multi</t>
        </is>
      </c>
      <c r="D414" s="44" t="inlineStr">
        <is>
          <t>Artifact</t>
        </is>
      </c>
      <c r="E414" s="41" t="inlineStr">
        <is>
          <t>B2</t>
        </is>
      </c>
      <c r="F414" s="34" t="n">
        <v>2</v>
      </c>
      <c r="G414" s="67" t="inlineStr">
        <is>
          <t>{1}, {T}: Add {R}{W}.</t>
        </is>
      </c>
      <c r="H414" s="45" t="inlineStr">
        <is>
          <t>Mana Rock</t>
        </is>
      </c>
      <c r="I414" s="45" t="inlineStr">
        <is>
          <t>{1}, {T}: Add {R}{W}</t>
        </is>
      </c>
      <c r="J414" s="45" t="n"/>
      <c r="K414" s="45" t="n"/>
      <c r="L414" s="42" t="n"/>
      <c r="M414" s="42" t="n"/>
      <c r="N414" s="42" t="n"/>
      <c r="O414" s="42" t="n"/>
      <c r="P414" s="42" t="n">
        <v>0.67</v>
      </c>
      <c r="Q414" s="42" t="n"/>
      <c r="R414" s="42" t="n"/>
      <c r="S414" s="42" t="n"/>
      <c r="T414" s="42" t="n"/>
      <c r="U414" s="42" t="n"/>
      <c r="V414" s="45" t="inlineStr">
        <is>
          <t>Ravnica: City of Guilds</t>
        </is>
      </c>
      <c r="W414" s="41" t="n">
        <v>0</v>
      </c>
      <c r="X414" s="37">
        <f>SUM(Y414:AE414)</f>
        <v/>
      </c>
      <c r="Y414" s="43" t="n"/>
      <c r="Z414" s="43" t="n"/>
      <c r="AA414" s="43" t="n"/>
      <c r="AB414" s="43" t="n"/>
      <c r="AC414" s="43" t="n"/>
      <c r="AD414" s="43" t="n"/>
      <c r="AE414" s="43" t="n"/>
      <c r="AF414" s="38">
        <f>IF((W414-SUM(Y414:AE414))&lt;0,0,W414-SUM(Y414:AE414))</f>
        <v/>
      </c>
      <c r="AG414" s="34">
        <f>MAX(0,$AT414-$W414-$AI414)</f>
        <v/>
      </c>
      <c r="AH414" s="34" t="n"/>
      <c r="AI414" s="34" t="n"/>
      <c r="AJ414" s="36" t="n">
        <v>0.52</v>
      </c>
      <c r="AK414" s="36">
        <f>IF(AND($AG414&gt;0,ISNUMBER($AJ414)),$AG414*$AJ414,0)</f>
        <v/>
      </c>
      <c r="AL414" s="54" t="n"/>
      <c r="AM414" s="54" t="n"/>
      <c r="AN414" s="54" t="n"/>
      <c r="AO414" s="54" t="n"/>
      <c r="AP414" s="54" t="n"/>
      <c r="AQ414" s="54" t="n"/>
      <c r="AR414" s="54" t="n"/>
      <c r="AS414" s="54" t="n"/>
      <c r="AT414" s="37">
        <f>SUM(AU414:BA414)</f>
        <v/>
      </c>
      <c r="AU414" s="92" t="n">
        <v>1</v>
      </c>
      <c r="AV414" s="38" t="n"/>
      <c r="AW414" s="38" t="n"/>
      <c r="AX414" s="38" t="n"/>
      <c r="AY414" s="38" t="n"/>
      <c r="AZ414" s="38" t="n"/>
      <c r="BA414" s="94" t="n"/>
      <c r="BB414" s="106" t="n"/>
      <c r="BC414" s="42" t="n"/>
      <c r="BD414" s="48" t="n"/>
    </row>
    <row r="415" ht="15" customHeight="1" s="148">
      <c r="A415" t="inlineStr">
        <is>
          <t>c0411</t>
        </is>
      </c>
      <c r="B415" s="30" t="inlineStr">
        <is>
          <t>Borrowed Knowledge</t>
        </is>
      </c>
      <c r="C415" s="31" t="inlineStr">
        <is>
          <t>Multi</t>
        </is>
      </c>
      <c r="D415" s="30" t="inlineStr">
        <is>
          <t>Sorcery</t>
        </is>
      </c>
      <c r="E415" s="33" t="inlineStr">
        <is>
          <t>B2</t>
        </is>
      </c>
      <c r="F415" s="31" t="n">
        <v>4</v>
      </c>
      <c r="G415" s="67" t="inlineStr">
        <is>
          <t>Choose one —
• Discard your hand, then draw cards equal to the number of cards in target opponent's hand.
• Discard your hand, then draw cards equal to the number of cards discarded this way.</t>
        </is>
      </c>
      <c r="H415" s="30" t="inlineStr">
        <is>
          <t>Wheel</t>
        </is>
      </c>
      <c r="I415" s="30" t="inlineStr">
        <is>
          <t>Discard your hand, then draw cards equal to the number of cards in target opponent's hand</t>
        </is>
      </c>
      <c r="J415" s="30" t="inlineStr">
        <is>
          <t>Or discard your hand and draw that many cards instead</t>
        </is>
      </c>
      <c r="K415" s="30" t="n"/>
      <c r="L415" s="89" t="inlineStr">
        <is>
          <t>178</t>
        </is>
      </c>
      <c r="M415" s="33" t="n">
        <v>3</v>
      </c>
      <c r="N415" s="33" t="n">
        <v>0</v>
      </c>
      <c r="O415" s="63" t="inlineStr">
        <is>
          <t>Inkognit</t>
        </is>
      </c>
      <c r="P415" s="90" t="n">
        <v>0.34</v>
      </c>
      <c r="Q415" s="32" t="inlineStr">
        <is>
          <t>Uncommon</t>
        </is>
      </c>
      <c r="R415" s="32" t="n"/>
      <c r="S415" s="32" t="n"/>
      <c r="T415" s="63" t="n"/>
      <c r="U415" s="63" t="n"/>
      <c r="V415" s="30" t="inlineStr">
        <is>
          <t>Secrets of Strixhaven</t>
        </is>
      </c>
      <c r="W415" s="41" t="n">
        <v>3</v>
      </c>
      <c r="X415" s="37">
        <f>SUM(Y415:AE415)</f>
        <v/>
      </c>
      <c r="Y415" s="43" t="n">
        <v>1</v>
      </c>
      <c r="Z415" s="43" t="n"/>
      <c r="AA415" s="43" t="n"/>
      <c r="AB415" s="43" t="n"/>
      <c r="AC415" s="43" t="n"/>
      <c r="AD415" s="43" t="n"/>
      <c r="AE415" s="43" t="n"/>
      <c r="AF415" s="38">
        <f>IF((W415-SUM(Y415:AE415))&lt;0,0,W415-SUM(Y415:AE415))</f>
        <v/>
      </c>
      <c r="AG415" s="34">
        <f>MAX(0,$AT415-$W415-$AI415)</f>
        <v/>
      </c>
      <c r="AH415" s="30" t="n"/>
      <c r="AI415" s="30" t="n"/>
      <c r="AJ415" s="35" t="n">
        <v>0.32</v>
      </c>
      <c r="AK415" s="36">
        <f>IF(AND($AG415&gt;0,ISNUMBER($AJ415)),$AG415*$AJ415,0)</f>
        <v/>
      </c>
      <c r="AL415" s="58" t="n"/>
      <c r="AT415" s="37">
        <f>SUM(AU415:BA415)</f>
        <v/>
      </c>
      <c r="AU415" s="83" t="n"/>
      <c r="AV415" s="33" t="n"/>
      <c r="AW415" s="33" t="n"/>
      <c r="AX415" s="33" t="n"/>
      <c r="AY415" s="33" t="n"/>
      <c r="AZ415" s="33" t="n"/>
      <c r="BA415" s="74" t="n"/>
      <c r="BB415" s="108" t="n"/>
      <c r="BC415" s="32" t="n"/>
      <c r="BD415" s="32" t="n"/>
    </row>
    <row r="416" ht="15" customHeight="1" s="148">
      <c r="A416" t="inlineStr">
        <is>
          <t>c0412</t>
        </is>
      </c>
      <c r="B416" s="44" t="inlineStr">
        <is>
          <t>Breena, the Demagogue</t>
        </is>
      </c>
      <c r="C416" s="34" t="inlineStr">
        <is>
          <t>Multi</t>
        </is>
      </c>
      <c r="D416" s="44" t="inlineStr">
        <is>
          <t>Legendary Creature</t>
        </is>
      </c>
      <c r="E416" s="41" t="inlineStr">
        <is>
          <t>B2</t>
        </is>
      </c>
      <c r="F416" s="34" t="n">
        <v>3</v>
      </c>
      <c r="G416" s="67" t="inlineStr">
        <is>
          <t>Flying
Whenever a player attacks one of your opponents, if that opponent has more life than another of your opponents, that attacking player draws a card and you put two +1/+1 counters on a creature you control.
(1/3)</t>
        </is>
      </c>
      <c r="H416" s="45" t="inlineStr">
        <is>
          <t>Card Draw</t>
        </is>
      </c>
      <c r="I416" s="45" t="inlineStr">
        <is>
          <t>Flying</t>
        </is>
      </c>
      <c r="J416" s="45" t="inlineStr">
        <is>
          <t>Whenever a player attacks one of your opponents, if that opponent has more life than another of your opponents, that att</t>
        </is>
      </c>
      <c r="K416" s="45" t="n"/>
      <c r="L416" s="42" t="n"/>
      <c r="M416" s="42" t="n"/>
      <c r="N416" s="42" t="n"/>
      <c r="O416" s="42" t="n"/>
      <c r="P416" s="42" t="n">
        <v>0.87</v>
      </c>
      <c r="Q416" s="42" t="n"/>
      <c r="R416" s="42" t="n"/>
      <c r="S416" s="42" t="n"/>
      <c r="T416" s="42" t="n"/>
      <c r="U416" s="42" t="n"/>
      <c r="V416" s="45" t="inlineStr">
        <is>
          <t>Commander 2021</t>
        </is>
      </c>
      <c r="W416" s="41" t="n">
        <v>0</v>
      </c>
      <c r="X416" s="37">
        <f>SUM(Y416:AE416)</f>
        <v/>
      </c>
      <c r="Y416" s="43" t="n"/>
      <c r="Z416" s="43" t="n"/>
      <c r="AA416" s="43" t="n"/>
      <c r="AB416" s="43" t="n"/>
      <c r="AC416" s="43" t="n"/>
      <c r="AD416" s="43" t="n"/>
      <c r="AE416" s="43" t="n"/>
      <c r="AF416" s="38">
        <f>IF((W416-SUM(Y416:AE416))&lt;0,0,W416-SUM(Y416:AE416))</f>
        <v/>
      </c>
      <c r="AG416" s="34">
        <f>MAX(0,$AT416-$W416-$AI416)</f>
        <v/>
      </c>
      <c r="AH416" s="34" t="n"/>
      <c r="AI416" s="34" t="n"/>
      <c r="AJ416" s="36" t="n">
        <v>1.03</v>
      </c>
      <c r="AK416" s="36">
        <f>IF(AND($AG416&gt;0,ISNUMBER($AJ416)),$AG416*$AJ416,0)</f>
        <v/>
      </c>
      <c r="AL416" s="54" t="n"/>
      <c r="AM416" s="54" t="n"/>
      <c r="AN416" s="54" t="n"/>
      <c r="AO416" s="54" t="n"/>
      <c r="AP416" s="54" t="n"/>
      <c r="AQ416" s="54" t="n"/>
      <c r="AR416" s="54" t="n"/>
      <c r="AS416" s="54" t="n"/>
      <c r="AT416" s="37">
        <f>SUM(AU416:BA416)</f>
        <v/>
      </c>
      <c r="AU416" s="92" t="n"/>
      <c r="AV416" s="38" t="n"/>
      <c r="AW416" s="38" t="n"/>
      <c r="AX416" s="38" t="n"/>
      <c r="AY416" s="38" t="n"/>
      <c r="AZ416" s="38" t="n"/>
      <c r="BA416" s="94" t="n"/>
      <c r="BB416" s="106" t="n"/>
      <c r="BC416" s="42" t="n"/>
      <c r="BD416" s="42" t="n"/>
    </row>
    <row r="417" ht="15" customHeight="1" s="148">
      <c r="A417" t="inlineStr">
        <is>
          <t>c0413</t>
        </is>
      </c>
      <c r="B417" s="44" t="inlineStr">
        <is>
          <t>Brightclimb Pathway</t>
        </is>
      </c>
      <c r="C417" s="34" t="inlineStr">
        <is>
          <t>Multi</t>
        </is>
      </c>
      <c r="D417" s="44" t="inlineStr">
        <is>
          <t>Land</t>
        </is>
      </c>
      <c r="E417" s="41" t="inlineStr">
        <is>
          <t>B3</t>
        </is>
      </c>
      <c r="F417" s="34" t="n">
        <v>0</v>
      </c>
      <c r="G417" s="67" t="inlineStr">
        <is>
          <t>Brightclimb Pathway — Land
{T}: Add {W}.
//
Grimclimb Pathway — Land
{T}: Add {B}.</t>
        </is>
      </c>
      <c r="H417" s="45" t="inlineStr">
        <is>
          <t>Land</t>
        </is>
      </c>
      <c r="I417" s="45" t="inlineStr">
        <is>
          <t>{T}: Add {W}.</t>
        </is>
      </c>
      <c r="J417" s="45" t="n"/>
      <c r="K417" s="45" t="n"/>
      <c r="L417" s="42" t="n"/>
      <c r="M417" s="42" t="n"/>
      <c r="N417" s="42" t="n"/>
      <c r="O417" s="42" t="n"/>
      <c r="P417" s="42" t="n"/>
      <c r="Q417" s="42" t="n"/>
      <c r="R417" s="42" t="n"/>
      <c r="S417" s="42" t="n"/>
      <c r="T417" s="42" t="n"/>
      <c r="U417" s="42" t="n"/>
      <c r="V417" s="45" t="inlineStr">
        <is>
          <t>Zendikar Rising</t>
        </is>
      </c>
      <c r="W417" s="41" t="n">
        <v>0</v>
      </c>
      <c r="X417" s="37">
        <f>SUM(Y417:AE417)</f>
        <v/>
      </c>
      <c r="Y417" s="43" t="n"/>
      <c r="Z417" s="43" t="n"/>
      <c r="AA417" s="43" t="n"/>
      <c r="AB417" s="43" t="n"/>
      <c r="AC417" s="43" t="n"/>
      <c r="AD417" s="43" t="n"/>
      <c r="AE417" s="43" t="n"/>
      <c r="AF417" s="38">
        <f>IF((W417-SUM(Y417:AE417))&lt;0,0,W417-SUM(Y417:AE417))</f>
        <v/>
      </c>
      <c r="AG417" s="34">
        <f>MAX(0,$AT417-$W417-$AI417)</f>
        <v/>
      </c>
      <c r="AH417" s="34" t="n"/>
      <c r="AI417" s="34" t="n"/>
      <c r="AJ417" s="36" t="n">
        <v>4.74</v>
      </c>
      <c r="AK417" s="36">
        <f>IF(AND($AG417&gt;0,ISNUMBER($AJ417)),$AG417*$AJ417,0)</f>
        <v/>
      </c>
      <c r="AL417" s="54" t="n"/>
      <c r="AM417" s="54" t="n"/>
      <c r="AN417" s="54" t="n"/>
      <c r="AO417" s="54" t="n"/>
      <c r="AP417" s="54" t="n"/>
      <c r="AQ417" s="54" t="n"/>
      <c r="AR417" s="54" t="n"/>
      <c r="AS417" s="54" t="n"/>
      <c r="AT417" s="37">
        <f>SUM(AU417:BA417)</f>
        <v/>
      </c>
      <c r="AU417" s="92" t="n"/>
      <c r="AV417" s="38" t="n"/>
      <c r="AW417" s="38" t="n"/>
      <c r="AX417" s="38" t="n"/>
      <c r="AY417" s="38" t="n"/>
      <c r="AZ417" s="38" t="n"/>
      <c r="BA417" s="94" t="n"/>
      <c r="BB417" s="106" t="n"/>
      <c r="BC417" s="42" t="n"/>
      <c r="BD417" s="42" t="n"/>
    </row>
    <row r="418" ht="15" customHeight="1" s="148">
      <c r="A418" t="inlineStr">
        <is>
          <t>c0414</t>
        </is>
      </c>
      <c r="B418" s="44" t="inlineStr">
        <is>
          <t>Chaos Spewer</t>
        </is>
      </c>
      <c r="C418" s="34" t="inlineStr">
        <is>
          <t>Multi</t>
        </is>
      </c>
      <c r="D418" s="44" t="inlineStr">
        <is>
          <t>Creature</t>
        </is>
      </c>
      <c r="E418" s="41" t="inlineStr">
        <is>
          <t>B2</t>
        </is>
      </c>
      <c r="F418" s="34" t="n">
        <v>3</v>
      </c>
      <c r="G418" s="67" t="inlineStr">
        <is>
          <t>When this creature enters, you may pay {2}. If you don't, blight 2. (To blight 2, put two -1/-1 counters on a creature you control.)
(5/4)</t>
        </is>
      </c>
      <c r="H418" s="45" t="inlineStr">
        <is>
          <t>Utility Creature</t>
        </is>
      </c>
      <c r="I418" s="45" t="inlineStr">
        <is>
          <t>Enters: pay {2} or put two -1/-1 counters on a creature you control</t>
        </is>
      </c>
      <c r="J418" s="45" t="n"/>
      <c r="K418" s="45" t="n"/>
      <c r="L418" s="42" t="n"/>
      <c r="M418" s="42" t="n"/>
      <c r="N418" s="42" t="n"/>
      <c r="O418" s="63" t="n"/>
      <c r="P418" s="63" t="n">
        <v>0.13</v>
      </c>
      <c r="Q418" s="42" t="n"/>
      <c r="R418" s="42" t="n"/>
      <c r="S418" s="42" t="n"/>
      <c r="T418" s="63" t="n"/>
      <c r="U418" s="63" t="n"/>
      <c r="V418" s="45" t="inlineStr">
        <is>
          <t>Lorwyn Eclipsed</t>
        </is>
      </c>
      <c r="W418" s="41" t="n">
        <v>2</v>
      </c>
      <c r="X418" s="37">
        <f>SUM(Y418:AE418)</f>
        <v/>
      </c>
      <c r="Y418" s="43" t="n"/>
      <c r="Z418" s="43" t="n"/>
      <c r="AA418" s="43" t="n"/>
      <c r="AB418" s="43" t="n"/>
      <c r="AC418" s="43" t="n"/>
      <c r="AD418" s="43" t="n"/>
      <c r="AE418" s="43" t="n"/>
      <c r="AF418" s="38">
        <f>IF((W418-SUM(Y418:AE418))&lt;0,0,W418-SUM(Y418:AE418))</f>
        <v/>
      </c>
      <c r="AG418" s="34">
        <f>MAX(0,$AT418-$W418-$AI418)</f>
        <v/>
      </c>
      <c r="AH418" s="34" t="n"/>
      <c r="AI418" s="34" t="n"/>
      <c r="AJ418" s="36" t="n">
        <v>0.15</v>
      </c>
      <c r="AK418" s="36">
        <f>IF(AND($AG418&gt;0,ISNUMBER($AJ418)),$AG418*$AJ418,0)</f>
        <v/>
      </c>
      <c r="AT418" s="37">
        <f>SUM(AU418:BA418)</f>
        <v/>
      </c>
      <c r="AU418" s="73" t="n"/>
      <c r="AV418" s="33" t="n"/>
      <c r="AW418" s="33" t="n"/>
      <c r="AX418" s="33" t="n"/>
      <c r="AY418" s="33" t="n"/>
      <c r="AZ418" s="33" t="n"/>
      <c r="BA418" s="74" t="n"/>
      <c r="BB418" s="106" t="n"/>
      <c r="BC418" s="42" t="n"/>
      <c r="BD418" s="42" t="n"/>
    </row>
    <row r="419" ht="15" customHeight="1" s="148">
      <c r="A419" t="inlineStr">
        <is>
          <t>c0415</t>
        </is>
      </c>
      <c r="B419" s="39" t="inlineStr">
        <is>
          <t>Chitinous Graspling</t>
        </is>
      </c>
      <c r="C419" s="40" t="inlineStr">
        <is>
          <t>Multi</t>
        </is>
      </c>
      <c r="D419" s="39" t="inlineStr">
        <is>
          <t>Creature</t>
        </is>
      </c>
      <c r="E419" s="41" t="inlineStr">
        <is>
          <t>B2</t>
        </is>
      </c>
      <c r="F419" s="40" t="n">
        <v>4</v>
      </c>
      <c r="G419" s="67" t="inlineStr">
        <is>
          <t>Changeling (This card is every creature type.)
Reach
(3/4)</t>
        </is>
      </c>
      <c r="H419" s="39" t="inlineStr">
        <is>
          <t>Utility Creature</t>
        </is>
      </c>
      <c r="I419" s="39" t="inlineStr">
        <is>
          <t>Changeling (it is every creature type)</t>
        </is>
      </c>
      <c r="J419" s="39" t="inlineStr">
        <is>
          <t>Reach</t>
        </is>
      </c>
      <c r="K419" s="39" t="n"/>
      <c r="L419" s="42" t="n"/>
      <c r="M419" s="42" t="n"/>
      <c r="N419" s="42" t="n"/>
      <c r="O419" s="63" t="n"/>
      <c r="P419" s="63" t="n"/>
      <c r="Q419" s="42" t="n"/>
      <c r="R419" s="42" t="n"/>
      <c r="S419" s="42" t="n"/>
      <c r="T419" s="63" t="n"/>
      <c r="U419" s="63" t="n"/>
      <c r="V419" s="39" t="inlineStr">
        <is>
          <t>Lorwyn Eclipsed</t>
        </is>
      </c>
      <c r="W419" s="41" t="n">
        <v>1</v>
      </c>
      <c r="X419" s="37">
        <f>SUM(Y419:AE419)</f>
        <v/>
      </c>
      <c r="Y419" s="43" t="n"/>
      <c r="Z419" s="43" t="n"/>
      <c r="AA419" s="43" t="n"/>
      <c r="AB419" s="43" t="n"/>
      <c r="AC419" s="43" t="n"/>
      <c r="AD419" s="43" t="n"/>
      <c r="AE419" s="43" t="n"/>
      <c r="AF419" s="38">
        <f>IF((W419-SUM(Y419:AE419))&lt;0,0,W419-SUM(Y419:AE419))</f>
        <v/>
      </c>
      <c r="AG419" s="34">
        <f>MAX(0,$AT419-$W419-$AI419)</f>
        <v/>
      </c>
      <c r="AH419" s="39" t="n"/>
      <c r="AI419" s="39" t="n"/>
      <c r="AJ419" s="39" t="n">
        <v>0.13</v>
      </c>
      <c r="AK419" s="39">
        <f>IF(AND($AG419&gt;0,ISNUMBER($AJ419)),$AG419*$AJ419,0)</f>
        <v/>
      </c>
      <c r="AT419" s="37">
        <f>SUM(AU419:BA419)</f>
        <v/>
      </c>
      <c r="AU419" s="73" t="n"/>
      <c r="AV419" s="33" t="n"/>
      <c r="AW419" s="33" t="n"/>
      <c r="AX419" s="33" t="n"/>
      <c r="AY419" s="33" t="n"/>
      <c r="AZ419" s="33" t="n"/>
      <c r="BA419" s="74" t="n"/>
      <c r="BB419" s="107" t="n"/>
      <c r="BC419" s="42" t="n"/>
      <c r="BD419" s="42" t="n"/>
    </row>
    <row r="420" ht="15" customHeight="1" s="148">
      <c r="A420" t="inlineStr">
        <is>
          <t>c0416</t>
        </is>
      </c>
      <c r="B420" s="44" t="inlineStr">
        <is>
          <t>Chulane, Teller of Tales</t>
        </is>
      </c>
      <c r="C420" s="34" t="inlineStr">
        <is>
          <t>Multi</t>
        </is>
      </c>
      <c r="D420" s="44" t="inlineStr">
        <is>
          <t>Legendary Creature</t>
        </is>
      </c>
      <c r="E420" s="41" t="inlineStr">
        <is>
          <t>B2</t>
        </is>
      </c>
      <c r="F420" s="34" t="n">
        <v>5</v>
      </c>
      <c r="G420" s="67" t="inlineStr">
        <is>
          <t>Vigilance
Whenever you cast a creature spell, draw a card, then you may put a land card from your hand onto the battlefield.
{3}, {T}: Return target creature you control to its owner's hand.
(2/4)</t>
        </is>
      </c>
      <c r="H420" s="45" t="inlineStr">
        <is>
          <t>Commander</t>
        </is>
      </c>
      <c r="I420" s="45" t="inlineStr">
        <is>
          <t>Draw a card and may put a land from hand onto the battlefield whenever you cast a creature spell</t>
        </is>
      </c>
      <c r="J420" s="45" t="inlineStr">
        <is>
          <t>{3}, tap: return target creature you control to hand</t>
        </is>
      </c>
      <c r="K420" s="45" t="inlineStr">
        <is>
          <t>Vigilance body</t>
        </is>
      </c>
      <c r="L420" s="42" t="n"/>
      <c r="M420" s="42" t="n"/>
      <c r="N420" s="42" t="n"/>
      <c r="O420" s="42" t="n"/>
      <c r="P420" s="42" t="n">
        <v>6.22</v>
      </c>
      <c r="Q420" s="42" t="n"/>
      <c r="R420" s="42" t="n"/>
      <c r="S420" s="42" t="n"/>
      <c r="T420" s="42" t="n"/>
      <c r="U420" s="42" t="n"/>
      <c r="V420" s="45" t="inlineStr">
        <is>
          <t>Throne of Eldraine</t>
        </is>
      </c>
      <c r="W420" s="41" t="n">
        <v>1</v>
      </c>
      <c r="X420" s="37">
        <f>SUM(Y420:AE420)</f>
        <v/>
      </c>
      <c r="Y420" s="43" t="n"/>
      <c r="Z420" s="43" t="n">
        <v>1</v>
      </c>
      <c r="AA420" s="43" t="n"/>
      <c r="AB420" s="43" t="n"/>
      <c r="AC420" s="43" t="n"/>
      <c r="AD420" s="43" t="n"/>
      <c r="AE420" s="43" t="n"/>
      <c r="AF420" s="38">
        <f>IF((W420-SUM(Y420:AE420))&lt;0,0,W420-SUM(Y420:AE420))</f>
        <v/>
      </c>
      <c r="AG420" s="34">
        <f>MAX(0,$AT420-$W420-$AI420)</f>
        <v/>
      </c>
      <c r="AH420" s="34" t="n"/>
      <c r="AI420" s="34" t="n"/>
      <c r="AJ420" s="36" t="n">
        <v>6.15</v>
      </c>
      <c r="AK420" s="36">
        <f>IF(AND($AG420&gt;0,ISNUMBER($AJ420)),$AG420*$AJ420,0)</f>
        <v/>
      </c>
      <c r="AT420" s="37">
        <f>SUM(AU420:BA420)</f>
        <v/>
      </c>
      <c r="AU420" s="73" t="n"/>
      <c r="AV420" s="98" t="n">
        <v>1</v>
      </c>
      <c r="AW420" s="33" t="n"/>
      <c r="AX420" s="33" t="n"/>
      <c r="AY420" s="33" t="n"/>
      <c r="AZ420" s="33" t="n"/>
      <c r="BA420" s="74" t="n"/>
      <c r="BB420" s="106" t="n"/>
      <c r="BC420" s="42" t="n"/>
      <c r="BD420" s="42" t="n"/>
    </row>
    <row r="421" ht="15" customHeight="1" s="148">
      <c r="A421" t="inlineStr">
        <is>
          <t>c0417</t>
        </is>
      </c>
      <c r="B421" s="44" t="inlineStr">
        <is>
          <t>Clan Guildmage</t>
        </is>
      </c>
      <c r="C421" s="34" t="inlineStr">
        <is>
          <t>Multi</t>
        </is>
      </c>
      <c r="D421" s="44" t="inlineStr">
        <is>
          <t>Creature</t>
        </is>
      </c>
      <c r="E421" s="41" t="inlineStr">
        <is>
          <t>B2</t>
        </is>
      </c>
      <c r="F421" s="34" t="n">
        <v>2</v>
      </c>
      <c r="G421" s="67" t="inlineStr">
        <is>
          <t>{1}{R}, {T}: Target creature can't block this turn.
{2}{G}, {T}: Target land you control becomes a 4/4 Elemental creature with haste until end of turn. It's still a land.
(2/2)</t>
        </is>
      </c>
      <c r="H421" s="45" t="inlineStr">
        <is>
          <t>Utility Creature</t>
        </is>
      </c>
      <c r="I421" s="45" t="inlineStr">
        <is>
          <t>Target creature can't block this turn</t>
        </is>
      </c>
      <c r="J421" s="45" t="inlineStr">
        <is>
          <t>Target land becomes a 4/4 hasty Elemental until end of turn</t>
        </is>
      </c>
      <c r="K421" s="45" t="n"/>
      <c r="L421" s="42" t="n"/>
      <c r="M421" s="42" t="n"/>
      <c r="N421" s="42" t="n"/>
      <c r="O421" s="63" t="n"/>
      <c r="P421" s="63" t="n">
        <v>0.06</v>
      </c>
      <c r="Q421" s="42" t="n"/>
      <c r="R421" s="42" t="n"/>
      <c r="S421" s="42" t="n"/>
      <c r="T421" s="63" t="n"/>
      <c r="U421" s="63" t="n"/>
      <c r="V421" s="45" t="inlineStr">
        <is>
          <t>Ravnica Allegiance</t>
        </is>
      </c>
      <c r="W421" s="41" t="n">
        <v>1</v>
      </c>
      <c r="X421" s="37">
        <f>SUM(Y421:AE421)</f>
        <v/>
      </c>
      <c r="Y421" s="43" t="n"/>
      <c r="Z421" s="43" t="n"/>
      <c r="AA421" s="43" t="n"/>
      <c r="AB421" s="43" t="n"/>
      <c r="AC421" s="43" t="n"/>
      <c r="AD421" s="43" t="n"/>
      <c r="AE421" s="43" t="n"/>
      <c r="AF421" s="38">
        <f>IF((W421-SUM(Y421:AE421))&lt;0,0,W421-SUM(Y421:AE421))</f>
        <v/>
      </c>
      <c r="AG421" s="34">
        <f>MAX(0,$AT421-$W421-$AI421)</f>
        <v/>
      </c>
      <c r="AH421" s="34" t="n"/>
      <c r="AI421" s="34" t="n"/>
      <c r="AJ421" s="36" t="n">
        <v>0.08</v>
      </c>
      <c r="AK421" s="36">
        <f>IF(AND($AG421&gt;0,ISNUMBER($AJ421)),$AG421*$AJ421,0)</f>
        <v/>
      </c>
      <c r="AT421" s="37">
        <f>SUM(AU421:BA421)</f>
        <v/>
      </c>
      <c r="AU421" s="73" t="n"/>
      <c r="AV421" s="33" t="n"/>
      <c r="AW421" s="33" t="n"/>
      <c r="AX421" s="33" t="n"/>
      <c r="AY421" s="33" t="n"/>
      <c r="AZ421" s="33" t="n"/>
      <c r="BA421" s="74" t="n"/>
      <c r="BB421" s="106" t="n"/>
      <c r="BC421" s="42" t="n"/>
      <c r="BD421" s="42" t="n"/>
    </row>
    <row r="422" ht="15" customHeight="1" s="148">
      <c r="A422" t="inlineStr">
        <is>
          <t>c0418</t>
        </is>
      </c>
      <c r="B422" s="44" t="inlineStr">
        <is>
          <t>Cloudblazer</t>
        </is>
      </c>
      <c r="C422" s="34" t="inlineStr">
        <is>
          <t>Multi</t>
        </is>
      </c>
      <c r="D422" s="44" t="inlineStr">
        <is>
          <t>Creature</t>
        </is>
      </c>
      <c r="E422" s="41" t="inlineStr">
        <is>
          <t>B2</t>
        </is>
      </c>
      <c r="F422" s="34" t="n">
        <v>5</v>
      </c>
      <c r="G422" s="67" t="inlineStr">
        <is>
          <t>Flying
When this creature enters, you gain 2 life and draw two cards.
(2/2)</t>
        </is>
      </c>
      <c r="H422" s="45" t="inlineStr">
        <is>
          <t>Card Draw</t>
        </is>
      </c>
      <c r="I422" s="45" t="inlineStr">
        <is>
          <t>Gain 2 life and draw two cards when it enters</t>
        </is>
      </c>
      <c r="J422" s="45" t="inlineStr">
        <is>
          <t>Flying body</t>
        </is>
      </c>
      <c r="K422" s="45" t="n"/>
      <c r="L422" s="41" t="n"/>
      <c r="M422" s="41" t="n"/>
      <c r="N422" s="41" t="n"/>
      <c r="O422" s="41" t="n"/>
      <c r="P422" s="41" t="n">
        <v>0.13</v>
      </c>
      <c r="Q422" s="41" t="n"/>
      <c r="R422" s="41" t="n"/>
      <c r="S422" s="41" t="n"/>
      <c r="T422" s="41" t="n"/>
      <c r="U422" s="41" t="n"/>
      <c r="V422" s="45" t="inlineStr">
        <is>
          <t>Kaladesh</t>
        </is>
      </c>
      <c r="W422" s="41" t="n">
        <v>1</v>
      </c>
      <c r="X422" s="37">
        <f>SUM(Y422:AE422)</f>
        <v/>
      </c>
      <c r="Y422" s="43" t="n"/>
      <c r="Z422" s="43" t="n">
        <v>1</v>
      </c>
      <c r="AA422" s="43" t="n"/>
      <c r="AB422" s="43" t="n"/>
      <c r="AC422" s="43" t="n"/>
      <c r="AD422" s="43" t="n"/>
      <c r="AE422" s="43" t="n"/>
      <c r="AF422" s="38">
        <f>IF((W422-SUM(Y422:AE422))&lt;0,0,W422-SUM(Y422:AE422))</f>
        <v/>
      </c>
      <c r="AG422" s="34">
        <f>MAX(0,$AT422-$W422-$AI422)</f>
        <v/>
      </c>
      <c r="AH422" s="34" t="n"/>
      <c r="AI422" s="34" t="n"/>
      <c r="AJ422" s="36" t="n">
        <v>0.14</v>
      </c>
      <c r="AK422" s="36">
        <f>IF(AND($AG422&gt;0,ISNUMBER($AJ422)),$AG422*$AJ422,0)</f>
        <v/>
      </c>
      <c r="AM422" s="58" t="n"/>
      <c r="AT422" s="37">
        <f>SUM(AU422:BA422)</f>
        <v/>
      </c>
      <c r="AU422" s="73" t="n"/>
      <c r="AV422" s="99" t="n"/>
      <c r="AW422" s="33" t="n"/>
      <c r="AX422" s="33" t="n"/>
      <c r="AY422" s="33" t="n"/>
      <c r="AZ422" s="33" t="n"/>
      <c r="BA422" s="74" t="n"/>
      <c r="BB422" s="106" t="n"/>
      <c r="BC422" s="42" t="n"/>
      <c r="BD422" s="42" t="n"/>
    </row>
    <row r="423" ht="15" customHeight="1" s="148">
      <c r="A423" t="inlineStr">
        <is>
          <t>c0419</t>
        </is>
      </c>
      <c r="B423" s="44" t="inlineStr">
        <is>
          <t>Coiling Oracle</t>
        </is>
      </c>
      <c r="C423" s="34" t="inlineStr">
        <is>
          <t>Multi</t>
        </is>
      </c>
      <c r="D423" s="44" t="inlineStr">
        <is>
          <t>Creature</t>
        </is>
      </c>
      <c r="E423" s="41" t="inlineStr">
        <is>
          <t>B2</t>
        </is>
      </c>
      <c r="F423" s="34" t="n">
        <v>2</v>
      </c>
      <c r="G423" s="67" t="inlineStr">
        <is>
          <t>When this creature enters, reveal the top card of your library. If it's a land card, put it onto the battlefield. Otherwise, put that card into your hand.
(1/1)</t>
        </is>
      </c>
      <c r="H423" s="45" t="inlineStr">
        <is>
          <t>Ramp</t>
        </is>
      </c>
      <c r="I423" s="45" t="inlineStr">
        <is>
          <t>Reveals top card of library; puts it onto the battlefield if a land, otherwise to hand</t>
        </is>
      </c>
      <c r="J423" s="45" t="n"/>
      <c r="K423" s="45" t="n"/>
      <c r="L423" s="41" t="n"/>
      <c r="M423" s="41" t="n"/>
      <c r="N423" s="41" t="n"/>
      <c r="O423" s="41" t="n"/>
      <c r="P423" s="41" t="n">
        <v>0.29</v>
      </c>
      <c r="Q423" s="41" t="n"/>
      <c r="R423" s="41" t="n"/>
      <c r="S423" s="41" t="n"/>
      <c r="T423" s="41" t="n"/>
      <c r="U423" s="41" t="n"/>
      <c r="V423" s="45" t="inlineStr">
        <is>
          <t>Dissension</t>
        </is>
      </c>
      <c r="W423" s="41" t="n">
        <v>1</v>
      </c>
      <c r="X423" s="37">
        <f>SUM(Y423:AE423)</f>
        <v/>
      </c>
      <c r="Y423" s="43" t="n"/>
      <c r="Z423" s="43" t="n">
        <v>1</v>
      </c>
      <c r="AA423" s="43" t="n"/>
      <c r="AB423" s="43" t="n"/>
      <c r="AC423" s="43" t="n"/>
      <c r="AD423" s="43" t="n"/>
      <c r="AE423" s="43" t="n"/>
      <c r="AF423" s="38">
        <f>IF((W423-SUM(Y423:AE423))&lt;0,0,W423-SUM(Y423:AE423))</f>
        <v/>
      </c>
      <c r="AG423" s="34">
        <f>MAX(0,$AT423-$W423-$AI423)</f>
        <v/>
      </c>
      <c r="AH423" s="34" t="n"/>
      <c r="AI423" s="34" t="n"/>
      <c r="AJ423" s="36" t="n">
        <v>0.23</v>
      </c>
      <c r="AK423" s="36">
        <f>IF(AND($AG423&gt;0,ISNUMBER($AJ423)),$AG423*$AJ423,0)</f>
        <v/>
      </c>
      <c r="AT423" s="37">
        <f>SUM(AU423:BA423)</f>
        <v/>
      </c>
      <c r="AU423" s="73" t="n"/>
      <c r="AV423" s="98" t="n">
        <v>1</v>
      </c>
      <c r="AW423" s="33" t="n"/>
      <c r="AX423" s="33" t="n"/>
      <c r="AY423" s="33" t="n"/>
      <c r="AZ423" s="33" t="n"/>
      <c r="BA423" s="74" t="n"/>
      <c r="BB423" s="106" t="n"/>
      <c r="BC423" s="42" t="n"/>
      <c r="BD423" s="42" t="n"/>
    </row>
    <row r="424" ht="15" customHeight="1" s="148">
      <c r="A424" t="inlineStr">
        <is>
          <t>c0420</t>
        </is>
      </c>
      <c r="B424" s="44" t="inlineStr">
        <is>
          <t>Colfenor, the Last Yew</t>
        </is>
      </c>
      <c r="C424" s="34" t="inlineStr">
        <is>
          <t>Multi</t>
        </is>
      </c>
      <c r="D424" s="44" t="inlineStr">
        <is>
          <t>Legendary Creature</t>
        </is>
      </c>
      <c r="E424" s="41" t="inlineStr">
        <is>
          <t>B2</t>
        </is>
      </c>
      <c r="F424" s="34" t="n">
        <v>6</v>
      </c>
      <c r="G424" s="67" t="inlineStr">
        <is>
          <t>Reach, vigilance
Whenever Colfenor or another creature you control dies, return up to one other target creature card with lesser toughness from your graveyard to your hand.
(3/7)</t>
        </is>
      </c>
      <c r="H424" s="45" t="inlineStr">
        <is>
          <t>Recursion</t>
        </is>
      </c>
      <c r="I424" s="45" t="inlineStr">
        <is>
          <t>Returns a creature card with lesser toughness from graveyard to hand when it or another creature you control dies</t>
        </is>
      </c>
      <c r="J424" s="45" t="inlineStr">
        <is>
          <t>Reach, vigilance body</t>
        </is>
      </c>
      <c r="K424" s="45" t="n"/>
      <c r="L424" s="42" t="n"/>
      <c r="M424" s="42" t="n"/>
      <c r="N424" s="42" t="n"/>
      <c r="O424" s="42" t="n"/>
      <c r="P424" s="42" t="n">
        <v>0.52</v>
      </c>
      <c r="Q424" s="42" t="n"/>
      <c r="R424" s="42" t="n"/>
      <c r="S424" s="42" t="n"/>
      <c r="T424" s="42" t="n"/>
      <c r="U424" s="42" t="n"/>
      <c r="V424" s="45" t="inlineStr">
        <is>
          <t>Commander Legends</t>
        </is>
      </c>
      <c r="W424" s="41" t="n">
        <v>0</v>
      </c>
      <c r="X424" s="37">
        <f>SUM(Y424:AE424)</f>
        <v/>
      </c>
      <c r="Y424" s="43" t="n"/>
      <c r="Z424" s="43" t="n"/>
      <c r="AA424" s="43" t="n"/>
      <c r="AB424" s="43" t="n"/>
      <c r="AC424" s="43" t="n"/>
      <c r="AD424" s="43" t="n"/>
      <c r="AE424" s="43" t="n"/>
      <c r="AF424" s="38">
        <f>IF((W424-SUM(Y424:AE424))&lt;0,0,W424-SUM(Y424:AE424))</f>
        <v/>
      </c>
      <c r="AG424" s="34">
        <f>MAX(0,$AT424-$W424-$AI424)</f>
        <v/>
      </c>
      <c r="AH424" s="34" t="n"/>
      <c r="AI424" s="34" t="n"/>
      <c r="AJ424" s="36" t="n">
        <v>0.54</v>
      </c>
      <c r="AK424" s="36">
        <f>IF(AND($AG424&gt;0,ISNUMBER($AJ424)),$AG424*$AJ424,0)</f>
        <v/>
      </c>
      <c r="AL424" s="54" t="n"/>
      <c r="AM424" s="54" t="n"/>
      <c r="AN424" s="54" t="n"/>
      <c r="AO424" s="54" t="n"/>
      <c r="AP424" s="54" t="n"/>
      <c r="AQ424" s="54" t="n"/>
      <c r="AR424" s="54" t="n"/>
      <c r="AS424" s="54" t="n"/>
      <c r="AT424" s="37">
        <f>SUM(AU424:BA424)</f>
        <v/>
      </c>
      <c r="AU424" s="92" t="n"/>
      <c r="AV424" s="38" t="n"/>
      <c r="AW424" s="38" t="n"/>
      <c r="AX424" s="38" t="n"/>
      <c r="AY424" s="38" t="n"/>
      <c r="AZ424" s="38" t="n"/>
      <c r="BA424" s="94" t="n"/>
      <c r="BB424" s="106" t="n"/>
      <c r="BC424" s="42" t="n"/>
      <c r="BD424" s="42" t="n"/>
    </row>
    <row r="425" ht="15" customHeight="1" s="148">
      <c r="A425" t="inlineStr">
        <is>
          <t>c0421</t>
        </is>
      </c>
      <c r="B425" s="44" t="inlineStr">
        <is>
          <t>Corpse Knight</t>
        </is>
      </c>
      <c r="C425" s="34" t="inlineStr">
        <is>
          <t>Multi</t>
        </is>
      </c>
      <c r="D425" s="44" t="inlineStr">
        <is>
          <t>Creature</t>
        </is>
      </c>
      <c r="E425" s="41" t="inlineStr">
        <is>
          <t>B2</t>
        </is>
      </c>
      <c r="F425" s="34" t="n">
        <v>2</v>
      </c>
      <c r="G425" s="67" t="inlineStr">
        <is>
          <t>Whenever another creature you control enters, each opponent loses 1 life.
(2/2)</t>
        </is>
      </c>
      <c r="H425" s="45" t="inlineStr">
        <is>
          <t>Drain Payoff</t>
        </is>
      </c>
      <c r="I425" s="45" t="inlineStr">
        <is>
          <t>Whenever another creature you control enters, each opponent loses 1 life</t>
        </is>
      </c>
      <c r="J425" s="45" t="n"/>
      <c r="K425" s="45" t="n"/>
      <c r="L425" s="42" t="n"/>
      <c r="M425" s="42" t="n"/>
      <c r="N425" s="42" t="n"/>
      <c r="O425" s="42" t="n"/>
      <c r="P425" s="42" t="n">
        <v>0.6899999999999999</v>
      </c>
      <c r="Q425" s="42" t="n"/>
      <c r="R425" s="42" t="n"/>
      <c r="S425" s="42" t="n"/>
      <c r="T425" s="42" t="n"/>
      <c r="U425" s="42" t="n"/>
      <c r="V425" s="45" t="inlineStr">
        <is>
          <t>Core Set 2020</t>
        </is>
      </c>
      <c r="W425" s="41" t="n">
        <v>1</v>
      </c>
      <c r="X425" s="37">
        <f>SUM(Y425:AE425)</f>
        <v/>
      </c>
      <c r="Y425" s="43" t="n"/>
      <c r="Z425" s="43" t="n"/>
      <c r="AA425" s="43" t="n"/>
      <c r="AB425" s="43" t="n"/>
      <c r="AC425" s="43" t="n">
        <v>1</v>
      </c>
      <c r="AD425" s="43" t="n"/>
      <c r="AE425" s="43" t="n"/>
      <c r="AF425" s="38">
        <f>IF((W425-SUM(Y425:AE425))&lt;0,0,W425-SUM(Y425:AE425))</f>
        <v/>
      </c>
      <c r="AG425" s="34">
        <f>MAX(0,$AT425-$W425-$AI425)</f>
        <v/>
      </c>
      <c r="AH425" s="34" t="n"/>
      <c r="AI425" s="34" t="n"/>
      <c r="AJ425" s="36" t="n">
        <v>0.6899999999999999</v>
      </c>
      <c r="AK425" s="36">
        <f>IF(AND($AG425&gt;0,ISNUMBER($AJ425)),$AG425*$AJ425,0)</f>
        <v/>
      </c>
      <c r="AT425" s="37">
        <f>SUM(AU425:BA425)</f>
        <v/>
      </c>
      <c r="AU425" s="73" t="n"/>
      <c r="AV425" s="33" t="n"/>
      <c r="AW425" s="33" t="n"/>
      <c r="AX425" s="33" t="n"/>
      <c r="AY425" s="98" t="n">
        <v>1</v>
      </c>
      <c r="AZ425" s="33" t="n"/>
      <c r="BA425" s="74" t="n"/>
      <c r="BB425" s="106" t="n"/>
      <c r="BC425" s="42" t="n"/>
      <c r="BD425" s="42" t="n"/>
    </row>
    <row r="426" ht="15" customHeight="1" s="148">
      <c r="A426" t="inlineStr">
        <is>
          <t>c0422</t>
        </is>
      </c>
      <c r="B426" s="44" t="inlineStr">
        <is>
          <t>Cruel Celebrant</t>
        </is>
      </c>
      <c r="C426" s="34" t="inlineStr">
        <is>
          <t>Multi</t>
        </is>
      </c>
      <c r="D426" s="44" t="inlineStr">
        <is>
          <t>Creature</t>
        </is>
      </c>
      <c r="E426" s="41" t="inlineStr">
        <is>
          <t>B2</t>
        </is>
      </c>
      <c r="F426" s="34" t="n">
        <v>2</v>
      </c>
      <c r="G426" s="67" t="inlineStr">
        <is>
          <t>Whenever this creature or another creature or planeswalker you control dies, each opponent loses 1 life and you gain 1 life.
(1/2)</t>
        </is>
      </c>
      <c r="H426" s="45" t="inlineStr">
        <is>
          <t>Drain Payoff</t>
        </is>
      </c>
      <c r="I426" s="45" t="inlineStr">
        <is>
          <t>Whenever it or another creature/planeswalker you control dies, each opponent loses 1 life and you gain 1 life</t>
        </is>
      </c>
      <c r="J426" s="45" t="n"/>
      <c r="K426" s="45" t="n"/>
      <c r="L426" s="42" t="n"/>
      <c r="M426" s="42" t="n"/>
      <c r="N426" s="42" t="n"/>
      <c r="O426" s="42" t="n"/>
      <c r="P426" s="42" t="n">
        <v>3.32</v>
      </c>
      <c r="Q426" s="42" t="n"/>
      <c r="R426" s="42" t="n"/>
      <c r="S426" s="42" t="n"/>
      <c r="T426" s="42" t="n"/>
      <c r="U426" s="42" t="n"/>
      <c r="V426" s="45" t="inlineStr">
        <is>
          <t>War of the Spark</t>
        </is>
      </c>
      <c r="W426" s="41" t="n">
        <v>1</v>
      </c>
      <c r="X426" s="37">
        <f>SUM(Y426:AE426)</f>
        <v/>
      </c>
      <c r="Y426" s="43" t="n"/>
      <c r="Z426" s="43" t="n"/>
      <c r="AA426" s="43" t="n"/>
      <c r="AB426" s="43" t="n"/>
      <c r="AC426" s="43" t="n">
        <v>1</v>
      </c>
      <c r="AD426" s="43" t="n"/>
      <c r="AE426" s="43" t="n"/>
      <c r="AF426" s="38">
        <f>IF((W426-SUM(Y426:AE426))&lt;0,0,W426-SUM(Y426:AE426))</f>
        <v/>
      </c>
      <c r="AG426" s="34">
        <f>MAX(0,$AT426-$W426-$AI426)</f>
        <v/>
      </c>
      <c r="AH426" s="34" t="n"/>
      <c r="AI426" s="34" t="n"/>
      <c r="AJ426" s="36" t="n">
        <v>1.68</v>
      </c>
      <c r="AK426" s="36">
        <f>IF(AND($AG426&gt;0,ISNUMBER($AJ426)),$AG426*$AJ426,0)</f>
        <v/>
      </c>
      <c r="AT426" s="37">
        <f>SUM(AU426:BA426)</f>
        <v/>
      </c>
      <c r="AU426" s="73" t="n"/>
      <c r="AV426" s="33" t="n"/>
      <c r="AW426" s="33" t="n"/>
      <c r="AX426" s="33" t="n"/>
      <c r="AY426" s="98" t="n">
        <v>1</v>
      </c>
      <c r="AZ426" s="33" t="n"/>
      <c r="BA426" s="74" t="n"/>
      <c r="BB426" s="106" t="n"/>
      <c r="BC426" s="42" t="n"/>
      <c r="BD426" s="42" t="n"/>
    </row>
    <row r="427" ht="15" customHeight="1" s="148">
      <c r="A427" t="inlineStr">
        <is>
          <t>c0423</t>
        </is>
      </c>
      <c r="B427" s="44" t="inlineStr">
        <is>
          <t>Deathbringer Liege</t>
        </is>
      </c>
      <c r="C427" s="34" t="inlineStr">
        <is>
          <t>Multi</t>
        </is>
      </c>
      <c r="D427" s="44" t="inlineStr">
        <is>
          <t>Creature</t>
        </is>
      </c>
      <c r="E427" s="41" t="inlineStr">
        <is>
          <t>B2</t>
        </is>
      </c>
      <c r="F427" s="34" t="n">
        <v>5</v>
      </c>
      <c r="G427" s="67" t="inlineStr">
        <is>
          <t>Other white creatures you control get +1/+1.
Other black creatures you control get +1/+1.
Whenever you cast a white spell, you may tap target creature.
Whenever you cast a black spell, you may destroy target creature if it's tapped.
(3/4)</t>
        </is>
      </c>
      <c r="H427" s="45" t="inlineStr">
        <is>
          <t>Lord/Anthem</t>
        </is>
      </c>
      <c r="I427" s="45" t="inlineStr">
        <is>
          <t>Other white creatures you control get +1/+1</t>
        </is>
      </c>
      <c r="J427" s="45" t="inlineStr">
        <is>
          <t>Other black creatures you control get +1/+1</t>
        </is>
      </c>
      <c r="K427" s="45" t="inlineStr">
        <is>
          <t>Whenever you cast a white spell, you may tap target creature</t>
        </is>
      </c>
      <c r="L427" s="42" t="n"/>
      <c r="M427" s="42" t="n"/>
      <c r="N427" s="42" t="n"/>
      <c r="O427" s="42" t="n"/>
      <c r="P427" s="42" t="n">
        <v>1.63</v>
      </c>
      <c r="Q427" s="42" t="n"/>
      <c r="R427" s="42" t="n"/>
      <c r="S427" s="42" t="n"/>
      <c r="T427" s="42" t="n"/>
      <c r="U427" s="42" t="n"/>
      <c r="V427" s="45" t="inlineStr">
        <is>
          <t>Eventide</t>
        </is>
      </c>
      <c r="W427" s="41" t="n">
        <v>0</v>
      </c>
      <c r="X427" s="37">
        <f>SUM(Y427:AE427)</f>
        <v/>
      </c>
      <c r="Y427" s="43" t="n"/>
      <c r="Z427" s="43" t="n"/>
      <c r="AA427" s="43" t="n"/>
      <c r="AB427" s="43" t="n"/>
      <c r="AC427" s="43" t="n"/>
      <c r="AD427" s="43" t="n"/>
      <c r="AE427" s="43" t="n"/>
      <c r="AF427" s="38">
        <f>IF((W427-SUM(Y427:AE427))&lt;0,0,W427-SUM(Y427:AE427))</f>
        <v/>
      </c>
      <c r="AG427" s="34">
        <f>MAX(0,$AT427-$W427-$AI427)</f>
        <v/>
      </c>
      <c r="AH427" s="34" t="n"/>
      <c r="AI427" s="34" t="n"/>
      <c r="AJ427" s="36" t="n">
        <v>1.08</v>
      </c>
      <c r="AK427" s="36">
        <f>IF(AND($AG427&gt;0,ISNUMBER($AJ427)),$AG427*$AJ427,0)</f>
        <v/>
      </c>
      <c r="AL427" s="54" t="n"/>
      <c r="AM427" s="54" t="n"/>
      <c r="AN427" s="54" t="n"/>
      <c r="AO427" s="54" t="n"/>
      <c r="AP427" s="54" t="n"/>
      <c r="AQ427" s="54" t="n"/>
      <c r="AR427" s="54" t="n"/>
      <c r="AS427" s="54" t="n"/>
      <c r="AT427" s="37">
        <f>SUM(AU427:BA427)</f>
        <v/>
      </c>
      <c r="AU427" s="92" t="n"/>
      <c r="AV427" s="38" t="n"/>
      <c r="AW427" s="38" t="n"/>
      <c r="AX427" s="38" t="n"/>
      <c r="AY427" s="38" t="n"/>
      <c r="AZ427" s="38" t="n"/>
      <c r="BA427" s="94" t="n"/>
      <c r="BB427" s="106" t="n"/>
      <c r="BC427" s="42" t="n"/>
      <c r="BD427" s="42" t="n"/>
    </row>
    <row r="428" ht="15" customHeight="1" s="148">
      <c r="A428" t="inlineStr">
        <is>
          <t>c0424</t>
        </is>
      </c>
      <c r="B428" s="44" t="inlineStr">
        <is>
          <t>Deepchannel Duelist</t>
        </is>
      </c>
      <c r="C428" s="34" t="inlineStr">
        <is>
          <t>Multi</t>
        </is>
      </c>
      <c r="D428" s="44" t="inlineStr">
        <is>
          <t>Creature</t>
        </is>
      </c>
      <c r="E428" s="41" t="inlineStr">
        <is>
          <t>B2</t>
        </is>
      </c>
      <c r="F428" s="34" t="n">
        <v>2</v>
      </c>
      <c r="G428" s="67" t="inlineStr">
        <is>
          <t>At the beginning of your end step, untap target Merfolk you control.
Other Merfolk you control get +1/+1.
(2/2)</t>
        </is>
      </c>
      <c r="H428" s="45" t="inlineStr">
        <is>
          <t>Lord/Anthem</t>
        </is>
      </c>
      <c r="I428" s="45" t="inlineStr">
        <is>
          <t>Other Merfolk you control get +1/+1</t>
        </is>
      </c>
      <c r="J428" s="45" t="inlineStr">
        <is>
          <t>Untaps target Merfolk you control at your end step</t>
        </is>
      </c>
      <c r="K428" s="45" t="n"/>
      <c r="L428" s="42" t="n"/>
      <c r="M428" s="42" t="n"/>
      <c r="N428" s="42" t="n"/>
      <c r="O428" s="63" t="n"/>
      <c r="P428" s="63" t="n">
        <v>0.26</v>
      </c>
      <c r="Q428" s="42" t="n"/>
      <c r="R428" s="42" t="n"/>
      <c r="S428" s="42" t="n"/>
      <c r="T428" s="63" t="n"/>
      <c r="U428" s="63" t="n"/>
      <c r="V428" s="45" t="inlineStr">
        <is>
          <t>Lorwyn Eclipsed</t>
        </is>
      </c>
      <c r="W428" s="41" t="n">
        <v>1</v>
      </c>
      <c r="X428" s="37">
        <f>SUM(Y428:AE428)</f>
        <v/>
      </c>
      <c r="Y428" s="43" t="n"/>
      <c r="Z428" s="43" t="n"/>
      <c r="AA428" s="43" t="n"/>
      <c r="AB428" s="43" t="n"/>
      <c r="AC428" s="43" t="n"/>
      <c r="AD428" s="43" t="n"/>
      <c r="AE428" s="43" t="n"/>
      <c r="AF428" s="38">
        <f>IF((W428-SUM(Y428:AE428))&lt;0,0,W428-SUM(Y428:AE428))</f>
        <v/>
      </c>
      <c r="AG428" s="34">
        <f>MAX(0,$AT428-$W428-$AI428)</f>
        <v/>
      </c>
      <c r="AH428" s="34" t="n"/>
      <c r="AI428" s="34" t="n"/>
      <c r="AJ428" s="36" t="n">
        <v>0.25</v>
      </c>
      <c r="AK428" s="36">
        <f>IF(AND($AG428&gt;0,ISNUMBER($AJ428)),$AG428*$AJ428,0)</f>
        <v/>
      </c>
      <c r="AT428" s="37">
        <f>SUM(AU428:BA428)</f>
        <v/>
      </c>
      <c r="AU428" s="73" t="n"/>
      <c r="AV428" s="33" t="n"/>
      <c r="AW428" s="33" t="n"/>
      <c r="AX428" s="33" t="n"/>
      <c r="AY428" s="33" t="n"/>
      <c r="AZ428" s="33" t="n"/>
      <c r="BA428" s="74" t="n"/>
      <c r="BB428" s="106" t="n"/>
      <c r="BC428" s="42" t="n"/>
      <c r="BD428" s="42" t="n"/>
    </row>
    <row r="429" ht="15" customHeight="1" s="148">
      <c r="A429" t="inlineStr">
        <is>
          <t>c0425</t>
        </is>
      </c>
      <c r="B429" s="30" t="inlineStr">
        <is>
          <t>Deflecting Palm</t>
        </is>
      </c>
      <c r="C429" s="31" t="inlineStr">
        <is>
          <t>Multi</t>
        </is>
      </c>
      <c r="D429" s="30" t="inlineStr">
        <is>
          <t>Instant</t>
        </is>
      </c>
      <c r="E429" s="33" t="inlineStr">
        <is>
          <t>B2</t>
        </is>
      </c>
      <c r="F429" s="30" t="n">
        <v>2</v>
      </c>
      <c r="G429" s="67" t="inlineStr">
        <is>
          <t>The next time a source of your choice would deal damage to you this turn, prevent that damage. If damage is prevented this way, Deflecting Palm deals that much damage to that source's controller.</t>
        </is>
      </c>
      <c r="H429" s="30" t="inlineStr">
        <is>
          <t>Protection</t>
        </is>
      </c>
      <c r="I429" s="30" t="inlineStr">
        <is>
          <t>Prevent the next damage a source of your choice would deal to you this turn</t>
        </is>
      </c>
      <c r="J429" s="30" t="inlineStr">
        <is>
          <t>Deals that much damage back to that source's controller</t>
        </is>
      </c>
      <c r="K429" s="30" t="n"/>
      <c r="L429" s="89" t="inlineStr">
        <is>
          <t>63</t>
        </is>
      </c>
      <c r="M429" s="33" t="n">
        <v>1</v>
      </c>
      <c r="N429" s="33" t="n">
        <v>0</v>
      </c>
      <c r="O429" s="63" t="inlineStr">
        <is>
          <t>Alex Stone</t>
        </is>
      </c>
      <c r="P429" s="90" t="n">
        <v>2.26</v>
      </c>
      <c r="Q429" s="32" t="inlineStr">
        <is>
          <t>Rare</t>
        </is>
      </c>
      <c r="R429" s="32" t="n"/>
      <c r="S429" s="32" t="n"/>
      <c r="T429" s="63" t="n"/>
      <c r="U429" s="63" t="n"/>
      <c r="V429" s="30" t="inlineStr">
        <is>
          <t>Secrets of Strixhaven Mystical Archive</t>
        </is>
      </c>
      <c r="W429" s="41" t="n">
        <v>1</v>
      </c>
      <c r="X429" s="37">
        <f>SUM(Y429:AE429)</f>
        <v/>
      </c>
      <c r="Y429" s="43" t="n">
        <v>1</v>
      </c>
      <c r="Z429" s="43" t="n"/>
      <c r="AA429" s="43" t="n"/>
      <c r="AB429" s="43" t="n"/>
      <c r="AC429" s="43" t="n"/>
      <c r="AD429" s="43" t="n"/>
      <c r="AE429" s="43" t="n"/>
      <c r="AF429" s="38">
        <f>IF((W429-SUM(Y429:AE429))&lt;0,0,W429-SUM(Y429:AE429))</f>
        <v/>
      </c>
      <c r="AG429" s="34">
        <f>MAX(0,$AT429-$W429-$AI429)</f>
        <v/>
      </c>
      <c r="AH429" s="30" t="n"/>
      <c r="AI429" s="30" t="n"/>
      <c r="AJ429" s="30" t="n">
        <v>4.07</v>
      </c>
      <c r="AK429" s="36">
        <f>IF(AND($AG429&gt;0,ISNUMBER($AJ429)),$AG429*$AJ429,0)</f>
        <v/>
      </c>
      <c r="AL429" t="inlineStr">
        <is>
          <t>BL0051</t>
        </is>
      </c>
      <c r="AT429" s="37">
        <f>SUM(AU429:BA429)</f>
        <v/>
      </c>
      <c r="AU429" s="84" t="n"/>
      <c r="AV429" s="33" t="n"/>
      <c r="AW429" s="33" t="n"/>
      <c r="AX429" s="33" t="n"/>
      <c r="AY429" s="33" t="n"/>
      <c r="AZ429" s="33" t="n"/>
      <c r="BA429" s="74" t="n"/>
      <c r="BB429" s="108" t="n"/>
      <c r="BC429" s="32" t="n"/>
      <c r="BD429" s="32" t="n"/>
    </row>
    <row r="430" ht="15" customHeight="1" s="148">
      <c r="A430" t="inlineStr">
        <is>
          <t>c0426</t>
        </is>
      </c>
      <c r="B430" s="44" t="inlineStr">
        <is>
          <t>Deputy of Detention</t>
        </is>
      </c>
      <c r="C430" s="34" t="inlineStr">
        <is>
          <t>Multi</t>
        </is>
      </c>
      <c r="D430" s="44" t="inlineStr">
        <is>
          <t>Creature</t>
        </is>
      </c>
      <c r="E430" s="41" t="inlineStr">
        <is>
          <t>B2</t>
        </is>
      </c>
      <c r="F430" s="34" t="n">
        <v>3</v>
      </c>
      <c r="G430" s="67" t="inlineStr">
        <is>
          <t>When this creature enters, exile target nonland permanent an opponent controls and all other nonland permanents that player controls with the same name as that permanent until this creature leaves the battlefield.
(1/3)</t>
        </is>
      </c>
      <c r="H430" s="45" t="inlineStr">
        <is>
          <t>Removal</t>
        </is>
      </c>
      <c r="I430" s="45" t="inlineStr">
        <is>
          <t>Exiles target nonland permanent and same-named copies its controller has until this leaves</t>
        </is>
      </c>
      <c r="J430" s="45" t="n"/>
      <c r="K430" s="45" t="n"/>
      <c r="L430" s="41" t="n"/>
      <c r="M430" s="41" t="n"/>
      <c r="N430" s="41" t="n"/>
      <c r="O430" s="41" t="n"/>
      <c r="P430" s="41" t="n">
        <v>0.35</v>
      </c>
      <c r="Q430" s="41" t="n"/>
      <c r="R430" s="41" t="n"/>
      <c r="S430" s="41" t="n"/>
      <c r="T430" s="41" t="n"/>
      <c r="U430" s="41" t="n"/>
      <c r="V430" s="45" t="inlineStr">
        <is>
          <t>Ravnica Allegiance</t>
        </is>
      </c>
      <c r="W430" s="41" t="n">
        <v>1</v>
      </c>
      <c r="X430" s="37">
        <f>SUM(Y430:AE430)</f>
        <v/>
      </c>
      <c r="Y430" s="43" t="n"/>
      <c r="Z430" s="43" t="n">
        <v>1</v>
      </c>
      <c r="AA430" s="43" t="n"/>
      <c r="AB430" s="43" t="n"/>
      <c r="AC430" s="43" t="n"/>
      <c r="AD430" s="43" t="n"/>
      <c r="AE430" s="43" t="n"/>
      <c r="AF430" s="38">
        <f>IF((W430-SUM(Y430:AE430))&lt;0,0,W430-SUM(Y430:AE430))</f>
        <v/>
      </c>
      <c r="AG430" s="34">
        <f>MAX(0,$AT430-$W430-$AI430)</f>
        <v/>
      </c>
      <c r="AH430" s="34" t="n"/>
      <c r="AI430" s="34" t="n"/>
      <c r="AJ430" s="36" t="n">
        <v>0.36</v>
      </c>
      <c r="AK430" s="36">
        <f>IF(AND($AG430&gt;0,ISNUMBER($AJ430)),$AG430*$AJ430,0)</f>
        <v/>
      </c>
      <c r="AT430" s="37">
        <f>SUM(AU430:BA430)</f>
        <v/>
      </c>
      <c r="AU430" s="73" t="n"/>
      <c r="AV430" s="98" t="n">
        <v>1</v>
      </c>
      <c r="AW430" s="33" t="n"/>
      <c r="AX430" s="33" t="n"/>
      <c r="AY430" s="33" t="n"/>
      <c r="AZ430" s="33" t="n"/>
      <c r="BA430" s="74" t="n"/>
      <c r="BB430" s="106" t="n"/>
      <c r="BC430" s="42" t="n"/>
      <c r="BD430" s="42" t="n"/>
    </row>
    <row r="431" ht="15" customHeight="1" s="148">
      <c r="A431" t="inlineStr">
        <is>
          <t>c0427</t>
        </is>
      </c>
      <c r="B431" s="44" t="inlineStr">
        <is>
          <t>Despark</t>
        </is>
      </c>
      <c r="C431" s="34" t="inlineStr">
        <is>
          <t>Multi</t>
        </is>
      </c>
      <c r="D431" s="44" t="inlineStr">
        <is>
          <t>Instant</t>
        </is>
      </c>
      <c r="E431" s="41" t="inlineStr">
        <is>
          <t>B2</t>
        </is>
      </c>
      <c r="F431" s="34" t="n">
        <v>2</v>
      </c>
      <c r="G431" s="67" t="inlineStr">
        <is>
          <t>Exile target permanent with mana value 4 or greater.</t>
        </is>
      </c>
      <c r="H431" s="45" t="inlineStr">
        <is>
          <t>Removal</t>
        </is>
      </c>
      <c r="I431" s="45" t="inlineStr">
        <is>
          <t>Exiles target permanent with mana value 4 or greater</t>
        </is>
      </c>
      <c r="J431" s="45" t="n"/>
      <c r="K431" s="45" t="n"/>
      <c r="L431" s="42" t="n"/>
      <c r="M431" s="42" t="n"/>
      <c r="N431" s="42" t="n"/>
      <c r="O431" s="42" t="n"/>
      <c r="P431" s="42" t="n">
        <v>0.33</v>
      </c>
      <c r="Q431" s="42" t="n"/>
      <c r="R431" s="42" t="n"/>
      <c r="S431" s="42" t="n"/>
      <c r="T431" s="42" t="n"/>
      <c r="U431" s="42" t="n"/>
      <c r="V431" s="45" t="inlineStr">
        <is>
          <t>War of the Spark</t>
        </is>
      </c>
      <c r="W431" s="41" t="n">
        <v>2</v>
      </c>
      <c r="X431" s="37">
        <f>SUM(Y431:AE431)</f>
        <v/>
      </c>
      <c r="Y431" s="43" t="n"/>
      <c r="Z431" s="43" t="n"/>
      <c r="AA431" s="43" t="n">
        <v>1</v>
      </c>
      <c r="AB431" s="43" t="n">
        <v>1</v>
      </c>
      <c r="AC431" s="43" t="n"/>
      <c r="AD431" s="43" t="n"/>
      <c r="AE431" s="43" t="n"/>
      <c r="AF431" s="38">
        <f>IF((W431-SUM(Y431:AE431))&lt;0,0,W431-SUM(Y431:AE431))</f>
        <v/>
      </c>
      <c r="AG431" s="34">
        <f>MAX(0,$AT431-$W431-$AI431)</f>
        <v/>
      </c>
      <c r="AH431" s="34" t="n"/>
      <c r="AI431" s="34" t="n"/>
      <c r="AJ431" s="36" t="n">
        <v>0.38</v>
      </c>
      <c r="AK431" s="36">
        <f>IF(AND($AG431&gt;0,ISNUMBER($AJ431)),$AG431*$AJ431,0)</f>
        <v/>
      </c>
      <c r="AT431" s="37">
        <f>SUM(AU431:BA431)</f>
        <v/>
      </c>
      <c r="AU431" s="73" t="n"/>
      <c r="AV431" s="33" t="n"/>
      <c r="AW431" s="98" t="n">
        <v>1</v>
      </c>
      <c r="AX431" s="98" t="n">
        <v>1</v>
      </c>
      <c r="AY431" s="33" t="n"/>
      <c r="AZ431" s="33" t="n"/>
      <c r="BA431" s="74" t="n"/>
      <c r="BB431" s="106" t="n"/>
      <c r="BC431" s="42" t="n"/>
      <c r="BD431" s="42" t="n"/>
    </row>
    <row r="432" ht="15" customHeight="1" s="148">
      <c r="A432" t="inlineStr">
        <is>
          <t>c0428</t>
        </is>
      </c>
      <c r="B432" s="44" t="inlineStr">
        <is>
          <t>Doran, the Siege Tower</t>
        </is>
      </c>
      <c r="C432" s="34" t="inlineStr">
        <is>
          <t>Multi</t>
        </is>
      </c>
      <c r="D432" s="44" t="inlineStr">
        <is>
          <t>Legendary Creature</t>
        </is>
      </c>
      <c r="E432" s="41" t="inlineStr">
        <is>
          <t>B3</t>
        </is>
      </c>
      <c r="F432" s="34" t="n">
        <v>3</v>
      </c>
      <c r="G432" s="67" t="inlineStr">
        <is>
          <t>Each creature assigns combat damage equal to its toughness rather than its power.
(0/5)</t>
        </is>
      </c>
      <c r="H432" s="45" t="inlineStr">
        <is>
          <t>Toughness Payoff</t>
        </is>
      </c>
      <c r="I432" s="45" t="inlineStr">
        <is>
          <t>Each creature assigns combat damage equal to its toughness rather than its power.</t>
        </is>
      </c>
      <c r="J432" s="45" t="n"/>
      <c r="K432" s="45" t="n"/>
      <c r="L432" s="42" t="n"/>
      <c r="M432" s="42" t="n"/>
      <c r="N432" s="42" t="n"/>
      <c r="O432" s="42" t="n"/>
      <c r="P432" s="42" t="n">
        <v>8.65</v>
      </c>
      <c r="Q432" s="42" t="n"/>
      <c r="R432" s="42" t="n"/>
      <c r="S432" s="42" t="n"/>
      <c r="T432" s="42" t="n"/>
      <c r="U432" s="42" t="n"/>
      <c r="V432" s="45" t="inlineStr">
        <is>
          <t>Lorwyn</t>
        </is>
      </c>
      <c r="W432" s="41" t="n">
        <v>0</v>
      </c>
      <c r="X432" s="37">
        <f>SUM(Y432:AE432)</f>
        <v/>
      </c>
      <c r="Y432" s="43" t="n"/>
      <c r="Z432" s="43" t="n"/>
      <c r="AA432" s="43" t="n"/>
      <c r="AB432" s="43" t="n"/>
      <c r="AC432" s="43" t="n"/>
      <c r="AD432" s="43" t="n"/>
      <c r="AE432" s="43" t="n"/>
      <c r="AF432" s="38">
        <f>IF((W432-SUM(Y432:AE432))&lt;0,0,W432-SUM(Y432:AE432))</f>
        <v/>
      </c>
      <c r="AG432" s="34">
        <f>MAX(0,$AT432-$W432-$AI432)</f>
        <v/>
      </c>
      <c r="AH432" s="34" t="n"/>
      <c r="AI432" s="34" t="n"/>
      <c r="AJ432" s="36" t="n">
        <v>8.48</v>
      </c>
      <c r="AK432" s="36">
        <f>IF(AND($AG432&gt;0,ISNUMBER($AJ432)),$AG432*$AJ432,0)</f>
        <v/>
      </c>
      <c r="AL432" s="54" t="n"/>
      <c r="AM432" s="54" t="n"/>
      <c r="AN432" s="54" t="n"/>
      <c r="AO432" s="54" t="n"/>
      <c r="AP432" s="54" t="n"/>
      <c r="AQ432" s="54" t="n"/>
      <c r="AR432" s="54" t="n"/>
      <c r="AS432" s="54" t="n"/>
      <c r="AT432" s="37">
        <f>SUM(AU432:BA432)</f>
        <v/>
      </c>
      <c r="AU432" s="92" t="n"/>
      <c r="AV432" s="38" t="n"/>
      <c r="AW432" s="38" t="n"/>
      <c r="AX432" s="38" t="n">
        <v>1</v>
      </c>
      <c r="AY432" s="38" t="n"/>
      <c r="AZ432" s="38" t="n"/>
      <c r="BA432" s="94" t="n"/>
      <c r="BB432" s="106" t="n"/>
      <c r="BC432" s="42" t="n"/>
      <c r="BD432" s="42" t="n"/>
    </row>
    <row r="433" ht="15" customHeight="1" s="148">
      <c r="A433" t="inlineStr">
        <is>
          <t>c0429</t>
        </is>
      </c>
      <c r="B433" s="44" t="inlineStr">
        <is>
          <t>Dragonlord Dromoka</t>
        </is>
      </c>
      <c r="C433" s="34" t="inlineStr">
        <is>
          <t>Multi</t>
        </is>
      </c>
      <c r="D433" s="44" t="inlineStr">
        <is>
          <t>Legendary Creature</t>
        </is>
      </c>
      <c r="E433" s="41" t="inlineStr">
        <is>
          <t>B2</t>
        </is>
      </c>
      <c r="F433" s="34" t="n">
        <v>6</v>
      </c>
      <c r="G433" s="67" t="inlineStr">
        <is>
          <t>This spell can't be countered.
Flying, lifelink
Your opponents can't cast spells during your turn.
(5/7)</t>
        </is>
      </c>
      <c r="H433" s="45" t="inlineStr">
        <is>
          <t>Finisher</t>
        </is>
      </c>
      <c r="I433" s="45" t="inlineStr">
        <is>
          <t>Opponents can't cast spells during your turn</t>
        </is>
      </c>
      <c r="J433" s="45" t="inlineStr">
        <is>
          <t>This spell can't be countered</t>
        </is>
      </c>
      <c r="K433" s="45" t="inlineStr">
        <is>
          <t>Flying lifelink body</t>
        </is>
      </c>
      <c r="L433" s="42" t="n"/>
      <c r="M433" s="42" t="n"/>
      <c r="N433" s="42" t="n"/>
      <c r="O433" s="42" t="n"/>
      <c r="P433" s="42" t="n">
        <v>1.88</v>
      </c>
      <c r="Q433" s="42" t="n"/>
      <c r="R433" s="42" t="n"/>
      <c r="S433" s="42" t="n"/>
      <c r="T433" s="42" t="n"/>
      <c r="U433" s="42" t="n"/>
      <c r="V433" s="45" t="inlineStr">
        <is>
          <t>Dragons of Tarkir</t>
        </is>
      </c>
      <c r="W433" s="41" t="n">
        <v>1</v>
      </c>
      <c r="X433" s="37">
        <f>SUM(Y433:AE433)</f>
        <v/>
      </c>
      <c r="Y433" s="43" t="n"/>
      <c r="Z433" s="43" t="n"/>
      <c r="AA433" s="43" t="n"/>
      <c r="AB433" s="43" t="n">
        <v>1</v>
      </c>
      <c r="AC433" s="43" t="n"/>
      <c r="AD433" s="43" t="n"/>
      <c r="AE433" s="43" t="n"/>
      <c r="AF433" s="38">
        <f>IF((W433-SUM(Y433:AE433))&lt;0,0,W433-SUM(Y433:AE433))</f>
        <v/>
      </c>
      <c r="AG433" s="34">
        <f>MAX(0,$AT433-$W433-$AI433)</f>
        <v/>
      </c>
      <c r="AH433" s="34" t="n"/>
      <c r="AI433" s="34" t="n"/>
      <c r="AJ433" s="36" t="n">
        <v>1.79</v>
      </c>
      <c r="AK433" s="36">
        <f>IF(AND($AG433&gt;0,ISNUMBER($AJ433)),$AG433*$AJ433,0)</f>
        <v/>
      </c>
      <c r="AT433" s="37">
        <f>SUM(AU433:BA433)</f>
        <v/>
      </c>
      <c r="AU433" s="73" t="n"/>
      <c r="AV433" s="33" t="n"/>
      <c r="AW433" s="33" t="n"/>
      <c r="AX433" s="98" t="n">
        <v>1</v>
      </c>
      <c r="AY433" s="33" t="n"/>
      <c r="AZ433" s="33" t="n"/>
      <c r="BA433" s="74" t="n"/>
      <c r="BB433" s="106" t="n"/>
      <c r="BC433" s="42" t="n"/>
      <c r="BD433" s="42" t="n"/>
    </row>
    <row r="434" ht="15" customHeight="1" s="148">
      <c r="A434" t="inlineStr">
        <is>
          <t>c0430</t>
        </is>
      </c>
      <c r="B434" s="44" t="inlineStr">
        <is>
          <t>Eerie Ultimatum</t>
        </is>
      </c>
      <c r="C434" s="34" t="inlineStr">
        <is>
          <t>Multi</t>
        </is>
      </c>
      <c r="D434" s="44" t="inlineStr">
        <is>
          <t>Sorcery</t>
        </is>
      </c>
      <c r="E434" s="41" t="inlineStr">
        <is>
          <t>B3</t>
        </is>
      </c>
      <c r="F434" s="34" t="n">
        <v>7</v>
      </c>
      <c r="G434" s="67" t="inlineStr">
        <is>
          <t>Return any number of permanent cards with different names from your graveyard to the battlefield.</t>
        </is>
      </c>
      <c r="H434" s="45" t="inlineStr">
        <is>
          <t>Recursion</t>
        </is>
      </c>
      <c r="I434" s="45" t="inlineStr">
        <is>
          <t>Return any number of permanent cards with different names from your graveyard to the battlefield</t>
        </is>
      </c>
      <c r="J434" s="45" t="n"/>
      <c r="K434" s="45" t="n"/>
      <c r="L434" s="42" t="n"/>
      <c r="M434" s="42" t="n"/>
      <c r="N434" s="42" t="n"/>
      <c r="O434" s="42" t="n"/>
      <c r="P434" s="42" t="n"/>
      <c r="Q434" s="42" t="n"/>
      <c r="R434" s="42" t="n"/>
      <c r="S434" s="42" t="n"/>
      <c r="T434" s="42" t="n"/>
      <c r="U434" s="42" t="n"/>
      <c r="V434" s="45" t="inlineStr">
        <is>
          <t>Ikoria: Lair of Behemoths</t>
        </is>
      </c>
      <c r="W434" s="41" t="n">
        <v>1</v>
      </c>
      <c r="X434" s="37">
        <f>SUM(Y434:AE434)</f>
        <v/>
      </c>
      <c r="Y434" s="43" t="n"/>
      <c r="Z434" s="43" t="n"/>
      <c r="AA434" s="43" t="n"/>
      <c r="AB434" s="43" t="n"/>
      <c r="AC434" s="43" t="n"/>
      <c r="AD434" s="43" t="n"/>
      <c r="AE434" s="43" t="n"/>
      <c r="AF434" s="38">
        <f>IF((W434-SUM(Y434:AE434))&lt;0,0,W434-SUM(Y434:AE434))</f>
        <v/>
      </c>
      <c r="AG434" s="34">
        <f>MAX(0,$AT434-$W434-$AI434)</f>
        <v/>
      </c>
      <c r="AH434" s="34" t="n"/>
      <c r="AI434" s="34" t="n"/>
      <c r="AJ434" s="36" t="n">
        <v>2.46</v>
      </c>
      <c r="AK434" s="36">
        <f>IF(AND($AG434&gt;0,ISNUMBER($AJ434)),$AG434*$AJ434,0)</f>
        <v/>
      </c>
      <c r="AT434" s="37">
        <f>SUM(AU434:BA434)</f>
        <v/>
      </c>
      <c r="AU434" s="73" t="n"/>
      <c r="AV434" s="33" t="n"/>
      <c r="AW434" s="33" t="n"/>
      <c r="AX434" s="33" t="n"/>
      <c r="AY434" s="33" t="n"/>
      <c r="AZ434" s="33" t="n"/>
      <c r="BA434" s="74" t="n"/>
      <c r="BB434" s="106" t="n"/>
      <c r="BC434" s="42" t="n"/>
      <c r="BD434" s="42" t="n"/>
    </row>
    <row r="435" ht="15" customHeight="1" s="148">
      <c r="A435" t="inlineStr">
        <is>
          <t>c0431</t>
        </is>
      </c>
      <c r="B435" s="44" t="inlineStr">
        <is>
          <t>Elas il-Kor, Sadistic Pilgrim</t>
        </is>
      </c>
      <c r="C435" s="34" t="inlineStr">
        <is>
          <t>Multi</t>
        </is>
      </c>
      <c r="D435" s="44" t="inlineStr">
        <is>
          <t>Legendary Creature</t>
        </is>
      </c>
      <c r="E435" s="41" t="inlineStr">
        <is>
          <t>B2</t>
        </is>
      </c>
      <c r="F435" s="34" t="n">
        <v>2</v>
      </c>
      <c r="G435" s="67" t="inlineStr">
        <is>
          <t>Deathtouch
Whenever another creature you control enters, you gain 1 life.
Whenever another creature you control dies, each opponent loses 1 life.
(2/2)</t>
        </is>
      </c>
      <c r="H435" s="45" t="inlineStr">
        <is>
          <t>Drain Payoff</t>
        </is>
      </c>
      <c r="I435" s="45" t="inlineStr">
        <is>
          <t>Gains you 1 life whenever another creature you control enters</t>
        </is>
      </c>
      <c r="J435" s="45" t="inlineStr">
        <is>
          <t>Each opponent loses 1 life whenever another creature you control dies</t>
        </is>
      </c>
      <c r="K435" s="45" t="inlineStr">
        <is>
          <t>Deathtouch body</t>
        </is>
      </c>
      <c r="L435" s="41" t="n"/>
      <c r="M435" s="41" t="n"/>
      <c r="N435" s="41" t="n"/>
      <c r="O435" s="41" t="n"/>
      <c r="P435" s="41" t="n">
        <v>1.44</v>
      </c>
      <c r="Q435" s="41" t="n"/>
      <c r="R435" s="41" t="n"/>
      <c r="S435" s="41" t="n"/>
      <c r="T435" s="41" t="n"/>
      <c r="U435" s="41" t="n"/>
      <c r="V435" s="45" t="inlineStr">
        <is>
          <t>Dominaria United</t>
        </is>
      </c>
      <c r="W435" s="41" t="n">
        <v>1</v>
      </c>
      <c r="X435" s="37">
        <f>SUM(Y435:AE435)</f>
        <v/>
      </c>
      <c r="Y435" s="43" t="n"/>
      <c r="Z435" s="43" t="n"/>
      <c r="AA435" s="43" t="n"/>
      <c r="AB435" s="43" t="n"/>
      <c r="AC435" s="43" t="n">
        <v>1</v>
      </c>
      <c r="AD435" s="43" t="n"/>
      <c r="AE435" s="43" t="n"/>
      <c r="AF435" s="38">
        <f>IF((W435-SUM(Y435:AE435))&lt;0,0,W435-SUM(Y435:AE435))</f>
        <v/>
      </c>
      <c r="AG435" s="34">
        <f>MAX(0,$AT435-$W435-$AI435)</f>
        <v/>
      </c>
      <c r="AH435" s="34" t="n"/>
      <c r="AI435" s="34" t="n"/>
      <c r="AJ435" s="36" t="n">
        <v>3.11</v>
      </c>
      <c r="AK435" s="36">
        <f>IF(AND($AG435&gt;0,ISNUMBER($AJ435)),$AG435*$AJ435,0)</f>
        <v/>
      </c>
      <c r="AT435" s="37">
        <f>SUM(AU435:BA435)</f>
        <v/>
      </c>
      <c r="AU435" s="73" t="n"/>
      <c r="AV435" s="33" t="n"/>
      <c r="AW435" s="33" t="n"/>
      <c r="AX435" s="33" t="n"/>
      <c r="AY435" s="98" t="n">
        <v>1</v>
      </c>
      <c r="AZ435" s="33" t="n"/>
      <c r="BA435" s="74" t="n"/>
      <c r="BB435" s="106" t="n"/>
      <c r="BC435" s="42" t="n"/>
      <c r="BD435" s="42" t="n"/>
    </row>
    <row r="436" ht="15" customHeight="1" s="148">
      <c r="A436" t="inlineStr">
        <is>
          <t>c0432</t>
        </is>
      </c>
      <c r="B436" s="44" t="inlineStr">
        <is>
          <t>Elenda, the Dusk Rose</t>
        </is>
      </c>
      <c r="C436" s="34" t="inlineStr">
        <is>
          <t>Multi</t>
        </is>
      </c>
      <c r="D436" s="44" t="inlineStr">
        <is>
          <t>Legendary Creature</t>
        </is>
      </c>
      <c r="E436" s="41" t="inlineStr">
        <is>
          <t>B3</t>
        </is>
      </c>
      <c r="F436" s="34" t="n">
        <v>4</v>
      </c>
      <c r="G436" s="67" t="inlineStr">
        <is>
          <t>Lifelink
Whenever another creature dies, put a +1/+1 counter on Elenda.
When Elenda dies, create X 1/1 white Vampire creature tokens with lifelink, where X is Elenda's power.
(1/1)</t>
        </is>
      </c>
      <c r="H436" s="45" t="inlineStr">
        <is>
          <t>Token Producer</t>
        </is>
      </c>
      <c r="I436" s="45" t="inlineStr">
        <is>
          <t>Lifelink
Whenever another creature dies, put a +1/+1 counter on Elenda.
When Elenda dies, create X 1/1 white Vampire cre</t>
        </is>
      </c>
      <c r="J436" s="45" t="n"/>
      <c r="K436" s="45" t="n"/>
      <c r="L436" s="42" t="n"/>
      <c r="M436" s="42" t="n"/>
      <c r="N436" s="42" t="n"/>
      <c r="O436" s="42" t="n"/>
      <c r="P436" s="42" t="n">
        <v>5.57</v>
      </c>
      <c r="Q436" s="42" t="n"/>
      <c r="R436" s="42" t="n"/>
      <c r="S436" s="42" t="n"/>
      <c r="T436" s="42" t="n"/>
      <c r="U436" s="42" t="n"/>
      <c r="V436" s="45" t="inlineStr">
        <is>
          <t>Rivals of Ixalan</t>
        </is>
      </c>
      <c r="W436" s="41" t="n">
        <v>0</v>
      </c>
      <c r="X436" s="37">
        <f>SUM(Y436:AE436)</f>
        <v/>
      </c>
      <c r="Y436" s="43" t="n"/>
      <c r="Z436" s="43" t="n"/>
      <c r="AA436" s="43" t="n"/>
      <c r="AB436" s="43" t="n"/>
      <c r="AC436" s="43" t="n"/>
      <c r="AD436" s="43" t="n"/>
      <c r="AE436" s="43" t="n"/>
      <c r="AF436" s="38">
        <f>IF((W436-SUM(Y436:AE436))&lt;0,0,W436-SUM(Y436:AE436))</f>
        <v/>
      </c>
      <c r="AG436" s="34">
        <f>MAX(0,$AT436-$W436-$AI436)</f>
        <v/>
      </c>
      <c r="AH436" s="34" t="n"/>
      <c r="AI436" s="34" t="n"/>
      <c r="AJ436" s="36" t="n">
        <v>5.36</v>
      </c>
      <c r="AK436" s="36">
        <f>IF(AND($AG436&gt;0,ISNUMBER($AJ436)),$AG436*$AJ436,0)</f>
        <v/>
      </c>
      <c r="AL436" s="54" t="n"/>
      <c r="AM436" s="54" t="n"/>
      <c r="AN436" s="54" t="n"/>
      <c r="AO436" s="54" t="n"/>
      <c r="AP436" s="54" t="n"/>
      <c r="AQ436" s="54" t="n"/>
      <c r="AR436" s="54" t="n"/>
      <c r="AS436" s="54" t="n"/>
      <c r="AT436" s="37">
        <f>SUM(AU436:BA436)</f>
        <v/>
      </c>
      <c r="AU436" s="92" t="n"/>
      <c r="AV436" s="38" t="n"/>
      <c r="AW436" s="38" t="n"/>
      <c r="AX436" s="38" t="n"/>
      <c r="AY436" s="38" t="n"/>
      <c r="AZ436" s="38" t="n"/>
      <c r="BA436" s="94" t="n"/>
      <c r="BB436" s="106" t="n"/>
      <c r="BC436" s="42" t="n"/>
      <c r="BD436" s="42" t="n"/>
    </row>
    <row r="437" ht="15" customHeight="1" s="148">
      <c r="A437" t="inlineStr">
        <is>
          <t>c0433</t>
        </is>
      </c>
      <c r="B437" s="39" t="inlineStr">
        <is>
          <t>Emptiness</t>
        </is>
      </c>
      <c r="C437" s="40" t="inlineStr">
        <is>
          <t>Multi</t>
        </is>
      </c>
      <c r="D437" s="39" t="inlineStr">
        <is>
          <t>Creature</t>
        </is>
      </c>
      <c r="E437" s="41" t="inlineStr">
        <is>
          <t>B2</t>
        </is>
      </c>
      <c r="F437" s="40" t="n">
        <v>6</v>
      </c>
      <c r="G437" s="67" t="inlineStr">
        <is>
          <t>When this creature enters, if {W}{W} was spent to cast it, return target creature card with mana value 3 or less from your graveyard to the battlefield.
When this creature enters, if {B}{B} was spent to cast it, put three -1/-1 counters on up to one target creature.
Evoke {W/B}{W/B}
(3/5)</t>
        </is>
      </c>
      <c r="H437" s="39" t="inlineStr">
        <is>
          <t>Recursion</t>
        </is>
      </c>
      <c r="I437" s="39" t="inlineStr">
        <is>
          <t>Enters: if {W}{W} was spent, return a creature card with mana value 3 or less from your graveyard to the battlefield</t>
        </is>
      </c>
      <c r="J437" s="39" t="inlineStr">
        <is>
          <t>Enters: if {B}{B} was spent, put three -1/-1 counters on up to one target creature</t>
        </is>
      </c>
      <c r="K437" s="39" t="inlineStr">
        <is>
          <t>Evoke {W/B}{W/B}: cast it cheaply by sacrificing it as it enters</t>
        </is>
      </c>
      <c r="L437" s="42" t="n"/>
      <c r="M437" s="42" t="n"/>
      <c r="N437" s="42" t="n"/>
      <c r="O437" s="42" t="n"/>
      <c r="P437" s="42" t="n"/>
      <c r="Q437" s="42" t="n"/>
      <c r="R437" s="42" t="n"/>
      <c r="S437" s="42" t="n"/>
      <c r="T437" s="42" t="n"/>
      <c r="U437" s="42" t="n"/>
      <c r="V437" s="39" t="inlineStr">
        <is>
          <t>Lorwyn Eclipsed</t>
        </is>
      </c>
      <c r="W437" s="41" t="n">
        <v>1</v>
      </c>
      <c r="X437" s="37">
        <f>SUM(Y437:AE437)</f>
        <v/>
      </c>
      <c r="Y437" s="43" t="n"/>
      <c r="Z437" s="43" t="n"/>
      <c r="AA437" s="43" t="n"/>
      <c r="AB437" s="43" t="n"/>
      <c r="AC437" s="43" t="n"/>
      <c r="AD437" s="43" t="n"/>
      <c r="AE437" s="43" t="n"/>
      <c r="AF437" s="38">
        <f>IF((W437-SUM(Y437:AE437))&lt;0,0,W437-SUM(Y437:AE437))</f>
        <v/>
      </c>
      <c r="AG437" s="34">
        <f>MAX(0,$AT437-$W437-$AI437)</f>
        <v/>
      </c>
      <c r="AH437" s="39" t="n"/>
      <c r="AI437" s="39" t="n"/>
      <c r="AJ437" s="39" t="n">
        <v>0.9</v>
      </c>
      <c r="AK437" s="39">
        <f>IF(AND($AG437&gt;0,ISNUMBER($AJ437)),$AG437*$AJ437,0)</f>
        <v/>
      </c>
      <c r="AT437" s="37">
        <f>SUM(AU437:BA437)</f>
        <v/>
      </c>
      <c r="AU437" s="73" t="n"/>
      <c r="AV437" s="33" t="n"/>
      <c r="AW437" s="33" t="n"/>
      <c r="AX437" s="33" t="n"/>
      <c r="AY437" s="33" t="n"/>
      <c r="AZ437" s="33" t="n"/>
      <c r="BA437" s="74" t="n"/>
      <c r="BB437" s="107" t="n"/>
      <c r="BC437" s="42" t="n"/>
      <c r="BD437" s="42" t="n"/>
    </row>
    <row r="438" ht="15" customHeight="1" s="148">
      <c r="A438" t="inlineStr">
        <is>
          <t>c0434</t>
        </is>
      </c>
      <c r="B438" s="30" t="inlineStr">
        <is>
          <t>Essenceknit Scholar</t>
        </is>
      </c>
      <c r="C438" s="31" t="inlineStr">
        <is>
          <t>Multi</t>
        </is>
      </c>
      <c r="D438" s="30" t="inlineStr">
        <is>
          <t>Creature</t>
        </is>
      </c>
      <c r="E438" s="33" t="inlineStr">
        <is>
          <t>B2</t>
        </is>
      </c>
      <c r="F438" s="30" t="n">
        <v>3</v>
      </c>
      <c r="G438" s="67" t="inlineStr">
        <is>
          <t>When this creature enters, create a 1/1 black and green Pest creature token with "Whenever this token attacks, you gain 1 life."
At the beginning of your end step, if a creature died under your control this turn, draw a card.
(3/1)</t>
        </is>
      </c>
      <c r="H438" s="30" t="inlineStr">
        <is>
          <t>Token Producer</t>
        </is>
      </c>
      <c r="I438" s="30" t="inlineStr">
        <is>
          <t>Enters: create a 1/1 Pest token that gains you 1 life whenever it attacks</t>
        </is>
      </c>
      <c r="J438" s="30" t="inlineStr">
        <is>
          <t>At the beginning of your end step, draw a card if a creature died under your control this turn</t>
        </is>
      </c>
      <c r="K438" s="30" t="n"/>
      <c r="L438" s="32" t="inlineStr">
        <is>
          <t>187</t>
        </is>
      </c>
      <c r="M438" s="32" t="n">
        <v>1</v>
      </c>
      <c r="N438" s="32" t="n">
        <v>0</v>
      </c>
      <c r="O438" s="63" t="inlineStr">
        <is>
          <t>Ioannis Fiore</t>
        </is>
      </c>
      <c r="P438" s="63" t="n">
        <v>0.24</v>
      </c>
      <c r="Q438" s="32" t="inlineStr">
        <is>
          <t>Uncommon</t>
        </is>
      </c>
      <c r="R438" s="32" t="n"/>
      <c r="S438" s="32" t="n"/>
      <c r="T438" s="63" t="n"/>
      <c r="U438" s="63" t="n"/>
      <c r="V438" s="30" t="inlineStr">
        <is>
          <t>Secrets of Strixhaven</t>
        </is>
      </c>
      <c r="W438" s="41" t="n">
        <v>1</v>
      </c>
      <c r="X438" s="37">
        <f>SUM(Y438:AE438)</f>
        <v/>
      </c>
      <c r="Y438" s="43" t="n"/>
      <c r="Z438" s="43" t="n"/>
      <c r="AA438" s="43" t="n"/>
      <c r="AB438" s="43" t="n"/>
      <c r="AC438" s="43" t="n"/>
      <c r="AD438" s="43" t="n"/>
      <c r="AE438" s="43" t="n"/>
      <c r="AF438" s="38">
        <f>IF((W438-SUM(Y438:AE438))&lt;0,0,W438-SUM(Y438:AE438))</f>
        <v/>
      </c>
      <c r="AG438" s="34">
        <f>MAX(0,$AT438-$W438-$AI438)</f>
        <v/>
      </c>
      <c r="AH438" s="30" t="n"/>
      <c r="AI438" s="30" t="n"/>
      <c r="AJ438" s="30" t="n">
        <v>0.24</v>
      </c>
      <c r="AK438" s="36">
        <f>IF(AND($AG438&gt;0,ISNUMBER($AJ438)),$AG438*$AJ438,0)</f>
        <v/>
      </c>
      <c r="AT438" s="37">
        <f>SUM(AU438:BA438)</f>
        <v/>
      </c>
      <c r="AU438" s="73" t="n"/>
      <c r="AV438" s="33" t="n"/>
      <c r="AW438" s="33" t="n"/>
      <c r="AX438" s="33" t="n"/>
      <c r="AY438" s="33" t="n"/>
      <c r="AZ438" s="33" t="n"/>
      <c r="BA438" s="74" t="n"/>
      <c r="BB438" s="108" t="n"/>
      <c r="BC438" s="32" t="n"/>
      <c r="BD438" s="32" t="n"/>
    </row>
    <row r="439" ht="15" customHeight="1" s="148">
      <c r="A439" t="inlineStr">
        <is>
          <t>c0435</t>
        </is>
      </c>
      <c r="B439" s="44" t="inlineStr">
        <is>
          <t>Excava, the Risen Past</t>
        </is>
      </c>
      <c r="C439" s="34" t="inlineStr">
        <is>
          <t>Multi</t>
        </is>
      </c>
      <c r="D439" s="44" t="inlineStr">
        <is>
          <t>Legendary Creature</t>
        </is>
      </c>
      <c r="E439" s="41" t="inlineStr">
        <is>
          <t>B2</t>
        </is>
      </c>
      <c r="F439" s="34" t="n">
        <v>4</v>
      </c>
      <c r="G439" s="67" t="inlineStr">
        <is>
          <t>Flying, haste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
(3/3)</t>
        </is>
      </c>
      <c r="H439" s="45" t="inlineStr">
        <is>
          <t>Recursion</t>
        </is>
      </c>
      <c r="I439" s="45" t="inlineStr">
        <is>
          <t>Can attack the turn it enters</t>
        </is>
      </c>
      <c r="J439" s="45" t="inlineStr">
        <is>
          <t>Attacking returns a MV 3 or less artifact/creature/enchantment from graveyard as a 1/1 Spirit that gets exiled if it dies</t>
        </is>
      </c>
      <c r="K439" s="45" t="n"/>
      <c r="L439" s="41" t="n"/>
      <c r="M439" s="41" t="n"/>
      <c r="N439" s="41" t="n"/>
      <c r="O439" s="41" t="n"/>
      <c r="P439" s="41" t="n">
        <v>0.62</v>
      </c>
      <c r="Q439" s="41" t="n"/>
      <c r="R439" s="41" t="n"/>
      <c r="S439" s="41" t="n"/>
      <c r="T439" s="41" t="n"/>
      <c r="U439" s="41" t="n"/>
      <c r="V439" s="45" t="inlineStr">
        <is>
          <t>Secrets of Strixhaven Commander</t>
        </is>
      </c>
      <c r="W439" s="41" t="n">
        <v>1</v>
      </c>
      <c r="X439" s="37">
        <f>SUM(Y439:AE439)</f>
        <v/>
      </c>
      <c r="Y439" s="43" t="n">
        <v>1</v>
      </c>
      <c r="Z439" s="43" t="n"/>
      <c r="AA439" s="43" t="n"/>
      <c r="AB439" s="43" t="n"/>
      <c r="AC439" s="43" t="n"/>
      <c r="AD439" s="43" t="n"/>
      <c r="AE439" s="43" t="n"/>
      <c r="AF439" s="38">
        <f>IF((W439-SUM(Y439:AE439))&lt;0,0,W439-SUM(Y439:AE439))</f>
        <v/>
      </c>
      <c r="AG439" s="34">
        <f>MAX(0,$AT439-$W439-$AI439)</f>
        <v/>
      </c>
      <c r="AH439" s="34" t="n"/>
      <c r="AI439" s="34" t="n"/>
      <c r="AJ439" s="36" t="n">
        <v>0.77</v>
      </c>
      <c r="AK439" s="36">
        <f>IF(AND($AG439&gt;0,ISNUMBER($AJ439)),$AG439*$AJ439,0)</f>
        <v/>
      </c>
      <c r="AT439" s="37">
        <f>SUM(AU439:BA439)</f>
        <v/>
      </c>
      <c r="AU439" s="82" t="n">
        <v>1</v>
      </c>
      <c r="AV439" s="33" t="n"/>
      <c r="AW439" s="33" t="n"/>
      <c r="AX439" s="33" t="n"/>
      <c r="AY439" s="33" t="n"/>
      <c r="AZ439" s="33" t="n"/>
      <c r="BA439" s="74" t="n"/>
      <c r="BB439" s="106" t="n"/>
      <c r="BC439" s="42" t="n"/>
      <c r="BD439" s="42" t="n"/>
    </row>
    <row r="440" ht="15" customHeight="1" s="148">
      <c r="A440" t="inlineStr">
        <is>
          <t>c0436</t>
        </is>
      </c>
      <c r="B440" s="44" t="inlineStr">
        <is>
          <t>Ezuri, Stalker of Spheres</t>
        </is>
      </c>
      <c r="C440" s="34" t="inlineStr">
        <is>
          <t>Multi</t>
        </is>
      </c>
      <c r="D440" s="44" t="inlineStr">
        <is>
          <t>Legendary Creature</t>
        </is>
      </c>
      <c r="E440" s="41" t="inlineStr">
        <is>
          <t>B2</t>
        </is>
      </c>
      <c r="F440" s="34" t="n">
        <v>4</v>
      </c>
      <c r="G440" s="67" t="inlineStr">
        <is>
          <t>When Ezuri enters, you may pay {3}. If you do, proliferate twice.
Whenever you proliferate, draw a card.
(3/3)</t>
        </is>
      </c>
      <c r="H440" s="45" t="inlineStr">
        <is>
          <t>Proliferate</t>
        </is>
      </c>
      <c r="I440" s="45" t="inlineStr">
        <is>
          <t>When Ezuri enters, you may pay {3}. If you do, proliferate twice</t>
        </is>
      </c>
      <c r="J440" s="45" t="inlineStr">
        <is>
          <t>Whenever you proliferate, draw a card</t>
        </is>
      </c>
      <c r="K440" s="45" t="n"/>
      <c r="L440" s="42" t="n"/>
      <c r="M440" s="42" t="n"/>
      <c r="N440" s="42" t="n"/>
      <c r="O440" s="42" t="n"/>
      <c r="P440" s="42" t="n">
        <v>0.95</v>
      </c>
      <c r="Q440" s="42" t="n"/>
      <c r="R440" s="42" t="n"/>
      <c r="S440" s="42" t="n"/>
      <c r="T440" s="42" t="n"/>
      <c r="U440" s="42" t="n"/>
      <c r="V440" s="45" t="inlineStr">
        <is>
          <t>Phyrexia: All Will Be One</t>
        </is>
      </c>
      <c r="W440" s="41" t="n">
        <v>0</v>
      </c>
      <c r="X440" s="37">
        <f>SUM(Y440:AE440)</f>
        <v/>
      </c>
      <c r="Y440" s="43" t="n"/>
      <c r="Z440" s="43" t="n"/>
      <c r="AA440" s="43" t="n"/>
      <c r="AB440" s="43" t="n"/>
      <c r="AC440" s="43" t="n"/>
      <c r="AD440" s="43" t="n"/>
      <c r="AE440" s="43" t="n"/>
      <c r="AF440" s="38">
        <f>IF((W440-SUM(Y440:AE440))&lt;0,0,W440-SUM(Y440:AE440))</f>
        <v/>
      </c>
      <c r="AG440" s="34">
        <f>MAX(0,$AT440-$W440-$AI440)</f>
        <v/>
      </c>
      <c r="AH440" s="34" t="n"/>
      <c r="AI440" s="34" t="n"/>
      <c r="AJ440" s="36" t="n">
        <v>0.79</v>
      </c>
      <c r="AK440" s="36">
        <f>IF(AND($AG440&gt;0,ISNUMBER($AJ440)),$AG440*$AJ440,0)</f>
        <v/>
      </c>
      <c r="AL440" s="54" t="n"/>
      <c r="AM440" s="54" t="n"/>
      <c r="AN440" s="54" t="n"/>
      <c r="AO440" s="54" t="n"/>
      <c r="AP440" s="54" t="n"/>
      <c r="AQ440" s="54" t="n"/>
      <c r="AR440" s="54" t="n"/>
      <c r="AS440" s="54" t="n"/>
      <c r="AT440" s="37">
        <f>SUM(AU440:BA440)</f>
        <v/>
      </c>
      <c r="AU440" s="92" t="n"/>
      <c r="AV440" s="38" t="n"/>
      <c r="AW440" s="38" t="n"/>
      <c r="AX440" s="38" t="n"/>
      <c r="AY440" s="38" t="n"/>
      <c r="AZ440" s="38" t="n"/>
      <c r="BA440" s="94" t="n"/>
      <c r="BB440" s="106" t="n"/>
      <c r="BC440" s="42" t="n"/>
      <c r="BD440" s="48" t="n"/>
    </row>
    <row r="441" ht="15" customHeight="1" s="148">
      <c r="A441" t="inlineStr">
        <is>
          <t>c0437</t>
        </is>
      </c>
      <c r="B441" s="44" t="inlineStr">
        <is>
          <t>Faeburrow Elder</t>
        </is>
      </c>
      <c r="C441" s="34" t="inlineStr">
        <is>
          <t>Multi</t>
        </is>
      </c>
      <c r="D441" s="44" t="inlineStr">
        <is>
          <t>Creature</t>
        </is>
      </c>
      <c r="E441" s="41" t="inlineStr">
        <is>
          <t>B2</t>
        </is>
      </c>
      <c r="F441" s="34" t="n">
        <v>3</v>
      </c>
      <c r="G441" s="67" t="inlineStr">
        <is>
          <t>Vigilance
This creature gets +1/+1 for each color among permanents you control.
{T}: For each color among permanents you control, add one mana of that color.
(0/0)</t>
        </is>
      </c>
      <c r="H441" s="45" t="inlineStr">
        <is>
          <t>Ramp</t>
        </is>
      </c>
      <c r="I441" s="45" t="inlineStr">
        <is>
          <t>Taps for one mana of each color among your permanents</t>
        </is>
      </c>
      <c r="J441" s="45" t="inlineStr">
        <is>
          <t>Gets +1/+1 for each color among your permanents</t>
        </is>
      </c>
      <c r="K441" s="45" t="n"/>
      <c r="L441" s="41" t="n"/>
      <c r="M441" s="41" t="n"/>
      <c r="N441" s="41" t="n"/>
      <c r="O441" s="41" t="n"/>
      <c r="P441" s="41" t="n">
        <v>0.47</v>
      </c>
      <c r="Q441" s="41" t="n"/>
      <c r="R441" s="41" t="n"/>
      <c r="S441" s="41" t="n"/>
      <c r="T441" s="41" t="n"/>
      <c r="U441" s="41" t="n"/>
      <c r="V441" s="45" t="inlineStr">
        <is>
          <t>Throne of Eldraine</t>
        </is>
      </c>
      <c r="W441" s="41" t="n">
        <v>1</v>
      </c>
      <c r="X441" s="37">
        <f>SUM(Y441:AE441)</f>
        <v/>
      </c>
      <c r="Y441" s="43" t="n"/>
      <c r="Z441" s="43" t="n">
        <v>1</v>
      </c>
      <c r="AA441" s="43" t="n"/>
      <c r="AB441" s="43" t="n"/>
      <c r="AC441" s="43" t="n"/>
      <c r="AD441" s="43" t="n"/>
      <c r="AE441" s="43" t="n"/>
      <c r="AF441" s="38">
        <f>IF((W441-SUM(Y441:AE441))&lt;0,0,W441-SUM(Y441:AE441))</f>
        <v/>
      </c>
      <c r="AG441" s="34">
        <f>MAX(0,$AT441-$W441-$AI441)</f>
        <v/>
      </c>
      <c r="AH441" s="34" t="n"/>
      <c r="AI441" s="34" t="n"/>
      <c r="AJ441" s="36" t="n">
        <v>0.4</v>
      </c>
      <c r="AK441" s="36">
        <f>IF(AND($AG441&gt;0,ISNUMBER($AJ441)),$AG441*$AJ441,0)</f>
        <v/>
      </c>
      <c r="AT441" s="37">
        <f>SUM(AU441:BA441)</f>
        <v/>
      </c>
      <c r="AU441" s="73" t="n"/>
      <c r="AV441" s="98" t="n">
        <v>1</v>
      </c>
      <c r="AW441" s="33" t="n"/>
      <c r="AX441" s="33" t="n"/>
      <c r="AY441" s="33" t="n"/>
      <c r="AZ441" s="33" t="n"/>
      <c r="BA441" s="74" t="n"/>
      <c r="BB441" s="106" t="n"/>
      <c r="BC441" s="42" t="n"/>
      <c r="BD441" s="42" t="n"/>
    </row>
    <row r="442" ht="15" customHeight="1" s="148">
      <c r="A442" t="inlineStr">
        <is>
          <t>c0438</t>
        </is>
      </c>
      <c r="B442" s="39" t="inlineStr">
        <is>
          <t>Fearsome Goblin Pair</t>
        </is>
      </c>
      <c r="C442" s="40" t="inlineStr">
        <is>
          <t>Multi</t>
        </is>
      </c>
      <c r="D442" s="39" t="inlineStr">
        <is>
          <t>Creature</t>
        </is>
      </c>
      <c r="E442" s="41" t="inlineStr">
        <is>
          <t>B2</t>
        </is>
      </c>
      <c r="F442" s="40" t="n">
        <v>3</v>
      </c>
      <c r="G442" s="67" t="inlineStr">
        <is>
          <t>When this creature dies, amass Goblins 4. (Put four +1/+1 counters on an Army you control. It's also a Goblin. If you don't control an Army, create a 0/0 black Goblin Army creature token first.)
(1/1)</t>
        </is>
      </c>
      <c r="H442" s="39" t="inlineStr">
        <is>
          <t>Token Producer</t>
        </is>
      </c>
      <c r="I442" s="39" t="inlineStr">
        <is>
          <t>When this creature dies, amass Goblins 4</t>
        </is>
      </c>
      <c r="J442" s="39" t="n"/>
      <c r="K442" s="39" t="n"/>
      <c r="L442" s="42" t="n"/>
      <c r="M442" s="42" t="n"/>
      <c r="N442" s="42" t="n"/>
      <c r="O442" s="63" t="n"/>
      <c r="P442" s="63" t="n">
        <v>0.21</v>
      </c>
      <c r="Q442" s="42" t="n"/>
      <c r="R442" s="42" t="n"/>
      <c r="S442" s="42" t="n"/>
      <c r="T442" s="63" t="n"/>
      <c r="U442" s="63" t="n"/>
      <c r="V442" s="39" t="inlineStr">
        <is>
          <t>The Hobbit</t>
        </is>
      </c>
      <c r="W442" s="41" t="n">
        <v>2</v>
      </c>
      <c r="X442" s="37">
        <f>SUM(Y442:AE442)</f>
        <v/>
      </c>
      <c r="Y442" s="43" t="n"/>
      <c r="Z442" s="43" t="n"/>
      <c r="AA442" s="43" t="n"/>
      <c r="AB442" s="43" t="n"/>
      <c r="AC442" s="43" t="n"/>
      <c r="AD442" s="43" t="n"/>
      <c r="AE442" s="43" t="n"/>
      <c r="AF442" s="38">
        <f>IF((W442-SUM(Y442:AE442))&lt;0,0,W442-SUM(Y442:AE442))</f>
        <v/>
      </c>
      <c r="AG442" s="34">
        <f>MAX(0,$AT442-$W442-$AI442)</f>
        <v/>
      </c>
      <c r="AH442" s="39" t="n"/>
      <c r="AI442" s="39" t="n"/>
      <c r="AJ442" s="39" t="n">
        <v>0.26</v>
      </c>
      <c r="AK442" s="39">
        <f>IF(AND($AG442&gt;0,ISNUMBER($AJ442)),$AG442*$AJ442,0)</f>
        <v/>
      </c>
      <c r="AT442" s="37">
        <f>SUM(AU442:BA442)</f>
        <v/>
      </c>
      <c r="AU442" s="73" t="n"/>
      <c r="AV442" s="33" t="n"/>
      <c r="AW442" s="33" t="n"/>
      <c r="AX442" s="33" t="n"/>
      <c r="AY442" s="33" t="n"/>
      <c r="AZ442" s="33" t="n"/>
      <c r="BA442" s="74" t="n"/>
      <c r="BB442" s="107" t="n"/>
      <c r="BC442" s="42" t="n"/>
      <c r="BD442" s="42" t="n"/>
    </row>
    <row r="443" ht="15" customHeight="1" s="148">
      <c r="A443" t="inlineStr">
        <is>
          <t>c0439</t>
        </is>
      </c>
      <c r="B443" s="39" t="inlineStr">
        <is>
          <t>Feisty Spikeling</t>
        </is>
      </c>
      <c r="C443" s="40" t="inlineStr">
        <is>
          <t>Multi</t>
        </is>
      </c>
      <c r="D443" s="39" t="inlineStr">
        <is>
          <t>Creature</t>
        </is>
      </c>
      <c r="E443" s="41" t="inlineStr">
        <is>
          <t>B2</t>
        </is>
      </c>
      <c r="F443" s="40" t="n">
        <v>2</v>
      </c>
      <c r="G443" s="67" t="inlineStr">
        <is>
          <t>Changeling (This card is every creature type.)
During your turn, this creature has first strike.
(2/1)</t>
        </is>
      </c>
      <c r="H443" s="39" t="inlineStr">
        <is>
          <t>Utility Creature</t>
        </is>
      </c>
      <c r="I443" s="39" t="inlineStr">
        <is>
          <t>Changeling (it is every creature type)</t>
        </is>
      </c>
      <c r="J443" s="39" t="inlineStr">
        <is>
          <t>Has first strike during your turn</t>
        </is>
      </c>
      <c r="K443" s="39" t="n"/>
      <c r="L443" s="42" t="n"/>
      <c r="M443" s="42" t="n"/>
      <c r="N443" s="42" t="n"/>
      <c r="O443" s="63" t="n"/>
      <c r="P443" s="63" t="n"/>
      <c r="Q443" s="42" t="n"/>
      <c r="R443" s="42" t="n"/>
      <c r="S443" s="42" t="n"/>
      <c r="T443" s="63" t="n"/>
      <c r="U443" s="63" t="n"/>
      <c r="V443" s="39" t="inlineStr">
        <is>
          <t>Lorwyn Eclipsed</t>
        </is>
      </c>
      <c r="W443" s="41" t="n">
        <v>1</v>
      </c>
      <c r="X443" s="37">
        <f>SUM(Y443:AE443)</f>
        <v/>
      </c>
      <c r="Y443" s="43" t="n"/>
      <c r="Z443" s="43" t="n"/>
      <c r="AA443" s="43" t="n"/>
      <c r="AB443" s="43" t="n"/>
      <c r="AC443" s="43" t="n"/>
      <c r="AD443" s="43" t="n"/>
      <c r="AE443" s="43" t="n"/>
      <c r="AF443" s="38">
        <f>IF((W443-SUM(Y443:AE443))&lt;0,0,W443-SUM(Y443:AE443))</f>
        <v/>
      </c>
      <c r="AG443" s="34">
        <f>MAX(0,$AT443-$W443-$AI443)</f>
        <v/>
      </c>
      <c r="AH443" s="39" t="n"/>
      <c r="AI443" s="39" t="n"/>
      <c r="AJ443" s="39" t="n">
        <v>0.13</v>
      </c>
      <c r="AK443" s="39">
        <f>IF(AND($AG443&gt;0,ISNUMBER($AJ443)),$AG443*$AJ443,0)</f>
        <v/>
      </c>
      <c r="AT443" s="37">
        <f>SUM(AU443:BA443)</f>
        <v/>
      </c>
      <c r="AU443" s="73" t="n"/>
      <c r="AV443" s="33" t="n"/>
      <c r="AW443" s="33" t="n"/>
      <c r="AX443" s="33" t="n"/>
      <c r="AY443" s="33" t="n"/>
      <c r="AZ443" s="33" t="n"/>
      <c r="BA443" s="74" t="n"/>
      <c r="BB443" s="107" t="n"/>
      <c r="BC443" s="42" t="n"/>
      <c r="BD443" s="42" t="n"/>
    </row>
    <row r="444" ht="15" customHeight="1" s="148">
      <c r="A444" t="inlineStr">
        <is>
          <t>c0440</t>
        </is>
      </c>
      <c r="B444" s="44" t="inlineStr">
        <is>
          <t>Felisa, Fang of Silverquill</t>
        </is>
      </c>
      <c r="C444" s="34" t="inlineStr">
        <is>
          <t>Multi</t>
        </is>
      </c>
      <c r="D444" s="44" t="inlineStr">
        <is>
          <t>Legendary Creature</t>
        </is>
      </c>
      <c r="E444" s="41" t="inlineStr">
        <is>
          <t>B2</t>
        </is>
      </c>
      <c r="F444" s="34" t="n">
        <v>4</v>
      </c>
      <c r="G444" s="67" t="inlineStr">
        <is>
          <t>Flying
Mentor (Whenever this creature attacks, put a +1/+1 counter on target attacking creature with lesser power.)
Whenever a nontoken creature you control dies, if it had counters on it, create X tapped 2/1 white and black Inkling creature tokens with flying, where X is the number of counters it had on it.
(3/2)</t>
        </is>
      </c>
      <c r="H444" s="45" t="inlineStr">
        <is>
          <t>Token Producer</t>
        </is>
      </c>
      <c r="I444" s="45" t="inlineStr">
        <is>
          <t>Flying</t>
        </is>
      </c>
      <c r="J444" s="45" t="inlineStr">
        <is>
          <t>Mentor</t>
        </is>
      </c>
      <c r="K444" s="45" t="inlineStr">
        <is>
          <t>Whenever a nontoken creature you control dies, if it had counters on it, create X tapped 2/1 white and black Inkling cre</t>
        </is>
      </c>
      <c r="L444" s="42" t="n"/>
      <c r="M444" s="42" t="n"/>
      <c r="N444" s="42" t="n"/>
      <c r="O444" s="42" t="n"/>
      <c r="P444" s="42" t="n">
        <v>1.71</v>
      </c>
      <c r="Q444" s="42" t="n"/>
      <c r="R444" s="42" t="n"/>
      <c r="S444" s="42" t="n"/>
      <c r="T444" s="42" t="n"/>
      <c r="U444" s="42" t="n"/>
      <c r="V444" s="45" t="inlineStr">
        <is>
          <t>Commander 2021</t>
        </is>
      </c>
      <c r="W444" s="41" t="n">
        <v>0</v>
      </c>
      <c r="X444" s="37">
        <f>SUM(Y444:AE444)</f>
        <v/>
      </c>
      <c r="Y444" s="43" t="n"/>
      <c r="Z444" s="43" t="n"/>
      <c r="AA444" s="43" t="n"/>
      <c r="AB444" s="43" t="n"/>
      <c r="AC444" s="43" t="n"/>
      <c r="AD444" s="43" t="n"/>
      <c r="AE444" s="43" t="n"/>
      <c r="AF444" s="38">
        <f>IF((W444-SUM(Y444:AE444))&lt;0,0,W444-SUM(Y444:AE444))</f>
        <v/>
      </c>
      <c r="AG444" s="34">
        <f>MAX(0,$AT444-$W444-$AI444)</f>
        <v/>
      </c>
      <c r="AH444" s="34" t="n"/>
      <c r="AI444" s="34" t="n"/>
      <c r="AJ444" s="36" t="n">
        <v>1.97</v>
      </c>
      <c r="AK444" s="36">
        <f>IF(AND($AG444&gt;0,ISNUMBER($AJ444)),$AG444*$AJ444,0)</f>
        <v/>
      </c>
      <c r="AL444" s="54" t="n"/>
      <c r="AM444" s="54" t="n"/>
      <c r="AN444" s="54" t="n"/>
      <c r="AO444" s="54" t="n"/>
      <c r="AP444" s="54" t="n"/>
      <c r="AQ444" s="54" t="n"/>
      <c r="AR444" s="54" t="n"/>
      <c r="AS444" s="54" t="n"/>
      <c r="AT444" s="37">
        <f>SUM(AU444:BA444)</f>
        <v/>
      </c>
      <c r="AU444" s="92" t="n"/>
      <c r="AV444" s="38" t="n"/>
      <c r="AW444" s="38" t="n"/>
      <c r="AX444" s="38" t="n"/>
      <c r="AY444" s="38" t="n"/>
      <c r="AZ444" s="38" t="n"/>
      <c r="BA444" s="94" t="n"/>
      <c r="BB444" s="106" t="n"/>
      <c r="BC444" s="42" t="n"/>
      <c r="BD444" s="42" t="n"/>
    </row>
    <row r="445" ht="15" customHeight="1" s="148">
      <c r="A445" t="inlineStr">
        <is>
          <t>c0441</t>
        </is>
      </c>
      <c r="B445" s="44" t="inlineStr">
        <is>
          <t>Felothar the Steadfast</t>
        </is>
      </c>
      <c r="C445" s="34" t="inlineStr">
        <is>
          <t>Multi</t>
        </is>
      </c>
      <c r="D445" s="44" t="inlineStr">
        <is>
          <t>Legendary Creature</t>
        </is>
      </c>
      <c r="E445" s="41" t="inlineStr">
        <is>
          <t>B2</t>
        </is>
      </c>
      <c r="F445" s="34" t="n">
        <v>4</v>
      </c>
      <c r="G445" s="67" t="inlineStr">
        <is>
          <t>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(0/5)</t>
        </is>
      </c>
      <c r="H445" s="45" t="inlineStr">
        <is>
          <t>Commander</t>
        </is>
      </c>
      <c r="I445" s="45" t="inlineStr">
        <is>
          <t>Your creatures assign combat damage equal to toughness</t>
        </is>
      </c>
      <c r="J445" s="45" t="inlineStr">
        <is>
          <t>Your defender creatures can attack</t>
        </is>
      </c>
      <c r="K445" s="45" t="inlineStr">
        <is>
          <t>Sacrifice a creature: draw cards equal to its toughness, discard equal to power</t>
        </is>
      </c>
      <c r="L445" s="42" t="n"/>
      <c r="M445" s="42" t="n"/>
      <c r="N445" s="42" t="n"/>
      <c r="O445" s="42" t="n"/>
      <c r="P445" s="42" t="n">
        <v>3.12</v>
      </c>
      <c r="Q445" s="42" t="n"/>
      <c r="R445" s="42" t="n"/>
      <c r="S445" s="42" t="n"/>
      <c r="T445" s="42" t="n"/>
      <c r="U445" s="42" t="n"/>
      <c r="V445" s="45" t="inlineStr">
        <is>
          <t>Tarkir: Dragonstorm Commander</t>
        </is>
      </c>
      <c r="W445" s="41" t="n">
        <v>1</v>
      </c>
      <c r="X445" s="37">
        <f>SUM(Y445:AE445)</f>
        <v/>
      </c>
      <c r="Y445" s="43" t="n"/>
      <c r="Z445" s="43" t="n"/>
      <c r="AA445" s="43" t="n"/>
      <c r="AB445" s="43" t="n">
        <v>1</v>
      </c>
      <c r="AC445" s="43" t="n"/>
      <c r="AD445" s="43" t="n"/>
      <c r="AE445" s="43" t="n"/>
      <c r="AF445" s="38">
        <f>IF((W445-SUM(Y445:AE445))&lt;0,0,W445-SUM(Y445:AE445))</f>
        <v/>
      </c>
      <c r="AG445" s="34">
        <f>MAX(0,$AT445-$W445-$AI445)</f>
        <v/>
      </c>
      <c r="AH445" s="34" t="n"/>
      <c r="AI445" s="34" t="n"/>
      <c r="AJ445" s="36" t="n">
        <v>3.05</v>
      </c>
      <c r="AK445" s="36">
        <f>IF(AND($AG445&gt;0,ISNUMBER($AJ445)),$AG445*$AJ445,0)</f>
        <v/>
      </c>
      <c r="AT445" s="37">
        <f>SUM(AU445:BA445)</f>
        <v/>
      </c>
      <c r="AU445" s="73" t="n"/>
      <c r="AV445" s="33" t="n"/>
      <c r="AW445" s="33" t="n"/>
      <c r="AX445" s="98" t="n">
        <v>1</v>
      </c>
      <c r="AY445" s="33" t="n"/>
      <c r="AZ445" s="33" t="n"/>
      <c r="BA445" s="74" t="n"/>
      <c r="BB445" s="106" t="n"/>
      <c r="BC445" s="42" t="n"/>
      <c r="BD445" s="42" t="n"/>
    </row>
    <row r="446" ht="15" customHeight="1" s="148">
      <c r="A446" t="inlineStr">
        <is>
          <t>c0442</t>
        </is>
      </c>
      <c r="B446" s="39" t="inlineStr">
        <is>
          <t>Flaring Cinder</t>
        </is>
      </c>
      <c r="C446" s="40" t="inlineStr">
        <is>
          <t>Multi</t>
        </is>
      </c>
      <c r="D446" s="39" t="inlineStr">
        <is>
          <t>Creature</t>
        </is>
      </c>
      <c r="E446" s="41" t="inlineStr">
        <is>
          <t>B2</t>
        </is>
      </c>
      <c r="F446" s="40" t="n">
        <v>3</v>
      </c>
      <c r="G446" s="67" t="inlineStr">
        <is>
          <t>When this creature enters and whenever you cast a spell with mana value 4 or greater, you may discard a card. If you do, draw a card.
(3/2)</t>
        </is>
      </c>
      <c r="H446" s="39" t="inlineStr">
        <is>
          <t>Discard/Looting</t>
        </is>
      </c>
      <c r="I446" s="39" t="inlineStr">
        <is>
          <t>When it enters and whenever you cast a spell with mana value 4 or greater, you may discard a card to draw a card</t>
        </is>
      </c>
      <c r="J446" s="39" t="n"/>
      <c r="K446" s="39" t="n"/>
      <c r="L446" s="42" t="inlineStr">
        <is>
          <t>225</t>
        </is>
      </c>
      <c r="M446" s="42" t="n">
        <v>1</v>
      </c>
      <c r="N446" s="42" t="n">
        <v>0</v>
      </c>
      <c r="O446" s="63" t="n"/>
      <c r="P446" s="63" t="n">
        <v>0.13</v>
      </c>
      <c r="Q446" s="42" t="inlineStr">
        <is>
          <t>Common</t>
        </is>
      </c>
      <c r="R446" s="42" t="n"/>
      <c r="S446" s="42" t="n"/>
      <c r="T446" s="63" t="n"/>
      <c r="U446" s="63" t="n"/>
      <c r="V446" s="39" t="inlineStr">
        <is>
          <t>Lorwyn Eclipsed</t>
        </is>
      </c>
      <c r="W446" s="41" t="n">
        <v>2</v>
      </c>
      <c r="X446" s="37">
        <f>SUM(Y446:AE446)</f>
        <v/>
      </c>
      <c r="Y446" s="43" t="n"/>
      <c r="Z446" s="43" t="n"/>
      <c r="AA446" s="43" t="n"/>
      <c r="AB446" s="43" t="n"/>
      <c r="AC446" s="43" t="n"/>
      <c r="AD446" s="43" t="n"/>
      <c r="AE446" s="43" t="n"/>
      <c r="AF446" s="38">
        <f>IF((W446-SUM(Y446:AE446))&lt;0,0,W446-SUM(Y446:AE446))</f>
        <v/>
      </c>
      <c r="AG446" s="34">
        <f>MAX(0,$AT446-$W446-$AI446)</f>
        <v/>
      </c>
      <c r="AH446" s="39" t="n"/>
      <c r="AI446" s="39" t="n"/>
      <c r="AJ446" s="39" t="n">
        <v>0.14</v>
      </c>
      <c r="AK446" s="39">
        <f>IF(AND($AG446&gt;0,ISNUMBER($AJ446)),$AG446*$AJ446,0)</f>
        <v/>
      </c>
      <c r="AT446" s="37">
        <f>SUM(AU446:BA446)</f>
        <v/>
      </c>
      <c r="AU446" s="73" t="n"/>
      <c r="AV446" s="33" t="n"/>
      <c r="AW446" s="33" t="n"/>
      <c r="AX446" s="33" t="n"/>
      <c r="AY446" s="33" t="n"/>
      <c r="AZ446" s="33" t="n"/>
      <c r="BA446" s="74" t="n"/>
      <c r="BB446" s="107" t="n"/>
      <c r="BC446" s="42" t="n"/>
      <c r="BD446" s="42" t="n"/>
    </row>
    <row r="447" ht="15" customHeight="1" s="148">
      <c r="A447" t="inlineStr">
        <is>
          <t>c0443</t>
        </is>
      </c>
      <c r="B447" s="44" t="inlineStr">
        <is>
          <t>Fracture</t>
        </is>
      </c>
      <c r="C447" s="34" t="inlineStr">
        <is>
          <t>Multi</t>
        </is>
      </c>
      <c r="D447" s="44" t="inlineStr">
        <is>
          <t>Instant</t>
        </is>
      </c>
      <c r="E447" s="41" t="inlineStr">
        <is>
          <t>B2</t>
        </is>
      </c>
      <c r="F447" s="34" t="n">
        <v>2</v>
      </c>
      <c r="G447" s="67" t="inlineStr">
        <is>
          <t>Destroy target artifact, enchantment, or planeswalker.</t>
        </is>
      </c>
      <c r="H447" s="45" t="inlineStr">
        <is>
          <t>Removal</t>
        </is>
      </c>
      <c r="I447" s="45" t="inlineStr">
        <is>
          <t>Destroy target artifact, enchantment, or planeswalker</t>
        </is>
      </c>
      <c r="J447" s="45" t="n"/>
      <c r="K447" s="45" t="n"/>
      <c r="L447" s="42" t="n"/>
      <c r="M447" s="42" t="n"/>
      <c r="N447" s="42" t="n"/>
      <c r="O447" s="42" t="n"/>
      <c r="P447" s="42" t="n">
        <v>0.63</v>
      </c>
      <c r="Q447" s="42" t="n"/>
      <c r="R447" s="42" t="n"/>
      <c r="S447" s="42" t="n"/>
      <c r="T447" s="42" t="n"/>
      <c r="U447" s="42" t="n"/>
      <c r="V447" s="45" t="inlineStr">
        <is>
          <t>Strixhaven: School of Mages</t>
        </is>
      </c>
      <c r="W447" s="41" t="n">
        <v>1</v>
      </c>
      <c r="X447" s="37">
        <f>SUM(Y447:AE447)</f>
        <v/>
      </c>
      <c r="Y447" s="43" t="n"/>
      <c r="Z447" s="43" t="n"/>
      <c r="AA447" s="43" t="n"/>
      <c r="AB447" s="43" t="n"/>
      <c r="AC447" s="43" t="n">
        <v>1</v>
      </c>
      <c r="AD447" s="43" t="n"/>
      <c r="AE447" s="43" t="n"/>
      <c r="AF447" s="38">
        <f>IF((W447-SUM(Y447:AE447))&lt;0,0,W447-SUM(Y447:AE447))</f>
        <v/>
      </c>
      <c r="AG447" s="34">
        <f>MAX(0,$AT447-$W447-$AI447)</f>
        <v/>
      </c>
      <c r="AH447" s="34" t="n"/>
      <c r="AI447" s="34" t="n"/>
      <c r="AJ447" s="36" t="n">
        <v>0.33</v>
      </c>
      <c r="AK447" s="36">
        <f>IF(AND($AG447&gt;0,ISNUMBER($AJ447)),$AG447*$AJ447,0)</f>
        <v/>
      </c>
      <c r="AT447" s="37">
        <f>SUM(AU447:BA447)</f>
        <v/>
      </c>
      <c r="AU447" s="73" t="n"/>
      <c r="AV447" s="33" t="n"/>
      <c r="AW447" s="33" t="n"/>
      <c r="AX447" s="33" t="n"/>
      <c r="AY447" s="98" t="n">
        <v>1</v>
      </c>
      <c r="AZ447" s="33" t="n"/>
      <c r="BA447" s="74" t="n"/>
      <c r="BB447" s="106" t="n"/>
      <c r="BC447" s="42" t="n"/>
      <c r="BD447" s="42" t="n"/>
    </row>
    <row r="448" ht="15" customHeight="1" s="148">
      <c r="A448" t="inlineStr">
        <is>
          <t>c0444</t>
        </is>
      </c>
      <c r="B448" s="44" t="inlineStr">
        <is>
          <t>Gangly Stompling</t>
        </is>
      </c>
      <c r="C448" s="34" t="inlineStr">
        <is>
          <t>Multi</t>
        </is>
      </c>
      <c r="D448" s="44" t="inlineStr">
        <is>
          <t>Creature</t>
        </is>
      </c>
      <c r="E448" s="41" t="inlineStr">
        <is>
          <t>B2</t>
        </is>
      </c>
      <c r="F448" s="34" t="n">
        <v>3</v>
      </c>
      <c r="G448" s="67" t="inlineStr">
        <is>
          <t>Changeling (This card is every creature type.)
Trample
(4/2)</t>
        </is>
      </c>
      <c r="H448" s="45" t="inlineStr">
        <is>
          <t>Utility Creature</t>
        </is>
      </c>
      <c r="I448" s="45" t="inlineStr">
        <is>
          <t>Counts as every creature type</t>
        </is>
      </c>
      <c r="J448" s="45" t="inlineStr">
        <is>
          <t>Deals excess combat damage to the defending player</t>
        </is>
      </c>
      <c r="K448" s="45" t="n"/>
      <c r="L448" s="42" t="n"/>
      <c r="M448" s="42" t="n"/>
      <c r="N448" s="42" t="n"/>
      <c r="O448" s="63" t="n"/>
      <c r="P448" s="63" t="n">
        <v>0.22</v>
      </c>
      <c r="Q448" s="42" t="n"/>
      <c r="R448" s="42" t="n"/>
      <c r="S448" s="42" t="n"/>
      <c r="T448" s="63" t="n"/>
      <c r="U448" s="63" t="n"/>
      <c r="V448" s="45" t="inlineStr">
        <is>
          <t>Lorwyn Eclipsed</t>
        </is>
      </c>
      <c r="W448" s="41" t="n">
        <v>2</v>
      </c>
      <c r="X448" s="37">
        <f>SUM(Y448:AE448)</f>
        <v/>
      </c>
      <c r="Y448" s="43" t="n"/>
      <c r="Z448" s="43" t="n"/>
      <c r="AA448" s="43" t="n"/>
      <c r="AB448" s="43" t="n"/>
      <c r="AC448" s="43" t="n"/>
      <c r="AD448" s="43" t="n"/>
      <c r="AE448" s="43" t="n"/>
      <c r="AF448" s="38">
        <f>IF((W448-SUM(Y448:AE448))&lt;0,0,W448-SUM(Y448:AE448))</f>
        <v/>
      </c>
      <c r="AG448" s="34">
        <f>MAX(0,$AT448-$W448-$AI448)</f>
        <v/>
      </c>
      <c r="AH448" s="34" t="n"/>
      <c r="AI448" s="34" t="n"/>
      <c r="AJ448" s="36" t="n">
        <v>0.24</v>
      </c>
      <c r="AK448" s="36">
        <f>IF(AND($AG448&gt;0,ISNUMBER($AJ448)),$AG448*$AJ448,0)</f>
        <v/>
      </c>
      <c r="AT448" s="37">
        <f>SUM(AU448:BA448)</f>
        <v/>
      </c>
      <c r="AU448" s="73" t="n"/>
      <c r="AV448" s="33" t="n"/>
      <c r="AW448" s="33" t="n"/>
      <c r="AX448" s="33" t="n"/>
      <c r="AY448" s="33" t="n"/>
      <c r="AZ448" s="33" t="n"/>
      <c r="BA448" s="74" t="n"/>
      <c r="BB448" s="106" t="n"/>
      <c r="BC448" s="42" t="n"/>
      <c r="BD448" s="42" t="n"/>
    </row>
    <row r="449" ht="15" customHeight="1" s="148">
      <c r="A449" t="inlineStr">
        <is>
          <t>c0445</t>
        </is>
      </c>
      <c r="B449" s="113" t="inlineStr">
        <is>
          <t>Goblin Plate Mail</t>
        </is>
      </c>
      <c r="C449" s="115" t="inlineStr">
        <is>
          <t>Multi</t>
        </is>
      </c>
      <c r="D449" s="117" t="inlineStr">
        <is>
          <t>Artifact</t>
        </is>
      </c>
      <c r="E449" s="67" t="inlineStr">
        <is>
          <t>B2</t>
        </is>
      </c>
      <c r="F449" s="115" t="n">
        <v>2</v>
      </c>
      <c r="G449" s="69" t="inlineStr">
        <is>
          <t>Goblin Plate Mail {1}{B/R} — Artifact — Equipment
When this Equipment enters, amass Goblins 1, then attach this Equipment to the amassed Army. (To amass Goblins 1, put a +1/+1 counter on an Army you control. It's also a Goblin. If you don't control an Army, create a 0/0 black Goblin Army creature token first.)
Equipped creature gets +1/+0 and has menace.
Equip {4}</t>
        </is>
      </c>
      <c r="H449" s="113" t="inlineStr">
        <is>
          <t>Token Producer</t>
        </is>
      </c>
      <c r="I449" s="113" t="inlineStr">
        <is>
          <t>When this Equipment enters, amass Goblins 1, then attach it to the amassed Army</t>
        </is>
      </c>
      <c r="J449" s="113" t="n"/>
      <c r="K449" s="113" t="n"/>
      <c r="L449" s="69" t="inlineStr">
        <is>
          <t>157</t>
        </is>
      </c>
      <c r="M449" s="69" t="n">
        <v>1</v>
      </c>
      <c r="N449" s="69" t="n">
        <v>0</v>
      </c>
      <c r="O449" s="63" t="inlineStr">
        <is>
          <t>Miklós Ligeti</t>
        </is>
      </c>
      <c r="P449" s="85" t="n">
        <v>0.11</v>
      </c>
      <c r="Q449" s="69" t="inlineStr">
        <is>
          <t>Common</t>
        </is>
      </c>
      <c r="R449" s="69" t="n"/>
      <c r="S449" s="69" t="n"/>
      <c r="T449" s="63" t="n"/>
      <c r="U449" s="63" t="n"/>
      <c r="V449" s="117" t="inlineStr">
        <is>
          <t>The Hobbit</t>
        </is>
      </c>
      <c r="W449" s="105" t="n">
        <v>1</v>
      </c>
      <c r="X449" s="37">
        <f>SUM(Y449:AE449)</f>
        <v/>
      </c>
      <c r="Y449" s="43" t="n"/>
      <c r="Z449" s="43" t="n"/>
      <c r="AA449" s="43" t="n"/>
      <c r="AB449" s="43" t="n"/>
      <c r="AC449" s="43" t="n"/>
      <c r="AD449" s="43" t="n"/>
      <c r="AE449" s="43" t="n"/>
      <c r="AF449" s="38">
        <f>IF((W449-SUM(Y449:AE449))&lt;0,0,W449-SUM(Y449:AE449))</f>
        <v/>
      </c>
      <c r="AG449" s="34">
        <f>MAX(0,$AT449-$W449-$AI449)</f>
        <v/>
      </c>
      <c r="AH449" s="113" t="n"/>
      <c r="AI449" s="113" t="n"/>
      <c r="AJ449" s="123" t="n">
        <v>0.11</v>
      </c>
      <c r="AK449" s="36">
        <f>IF(AND($AG449&gt;0,ISNUMBER($AJ449)),$AG449*$AJ449,0)</f>
        <v/>
      </c>
      <c r="AL449" s="69" t="n"/>
      <c r="AM449" s="69" t="n"/>
      <c r="AN449" s="69" t="n"/>
      <c r="AO449" s="69" t="n"/>
      <c r="AP449" s="69" t="n"/>
      <c r="AQ449" s="69" t="n"/>
      <c r="AR449" s="69" t="n"/>
      <c r="AS449" s="69" t="n"/>
      <c r="AT449" s="37">
        <f>SUM(AU449:BA449)</f>
        <v/>
      </c>
      <c r="AU449" s="73" t="n"/>
      <c r="AV449" s="33" t="n"/>
      <c r="AW449" s="33" t="n"/>
      <c r="AX449" s="33" t="n"/>
      <c r="AY449" s="33" t="n"/>
      <c r="AZ449" s="33" t="n"/>
      <c r="BA449" s="74" t="n"/>
      <c r="BB449" s="126" t="n"/>
      <c r="BC449" s="69" t="n"/>
      <c r="BD449" s="69" t="n"/>
    </row>
    <row r="450" ht="15" customHeight="1" s="148">
      <c r="A450" t="inlineStr">
        <is>
          <t>c0446</t>
        </is>
      </c>
      <c r="B450" s="44" t="inlineStr">
        <is>
          <t>Hidden Stockpile</t>
        </is>
      </c>
      <c r="C450" s="34" t="inlineStr">
        <is>
          <t>Multi</t>
        </is>
      </c>
      <c r="D450" s="44" t="inlineStr">
        <is>
          <t>Enchantment</t>
        </is>
      </c>
      <c r="E450" s="41" t="inlineStr">
        <is>
          <t>B2</t>
        </is>
      </c>
      <c r="F450" s="34" t="n">
        <v>2</v>
      </c>
      <c r="G450" s="67" t="inlineStr">
        <is>
          <t>Revolt — At the beginning of your end step, if a permanent left the battlefield under your control this turn, create a 1/1 colorless Servo artifact creature token.
{1}, Sacrifice a creature: Scry 1.</t>
        </is>
      </c>
      <c r="H450" s="45" t="inlineStr">
        <is>
          <t>Token Producer</t>
        </is>
      </c>
      <c r="I450" s="45" t="inlineStr">
        <is>
          <t>End step: creates a 1/1 Servo token if a permanent left the battlefield under your control this turn</t>
        </is>
      </c>
      <c r="J450" s="45" t="inlineStr">
        <is>
          <t>{1}, sacrifice a creature: Scry 1</t>
        </is>
      </c>
      <c r="K450" s="45" t="n"/>
      <c r="L450" s="42" t="n"/>
      <c r="M450" s="42" t="n"/>
      <c r="N450" s="42" t="n"/>
      <c r="O450" s="42" t="n"/>
      <c r="P450" s="42" t="n">
        <v>0.28</v>
      </c>
      <c r="Q450" s="42" t="n"/>
      <c r="R450" s="42" t="n"/>
      <c r="S450" s="42" t="n"/>
      <c r="T450" s="42" t="n"/>
      <c r="U450" s="42" t="n"/>
      <c r="V450" s="45" t="inlineStr">
        <is>
          <t>Aether Revolt</t>
        </is>
      </c>
      <c r="W450" s="41" t="n">
        <v>1</v>
      </c>
      <c r="X450" s="37">
        <f>SUM(Y450:AE450)</f>
        <v/>
      </c>
      <c r="Y450" s="43" t="n"/>
      <c r="Z450" s="43" t="n"/>
      <c r="AA450" s="43" t="n"/>
      <c r="AB450" s="43" t="n"/>
      <c r="AC450" s="43" t="n">
        <v>1</v>
      </c>
      <c r="AD450" s="43" t="n"/>
      <c r="AE450" s="43" t="n"/>
      <c r="AF450" s="38">
        <f>IF((W450-SUM(Y450:AE450))&lt;0,0,W450-SUM(Y450:AE450))</f>
        <v/>
      </c>
      <c r="AG450" s="34">
        <f>MAX(0,$AT450-$W450-$AI450)</f>
        <v/>
      </c>
      <c r="AH450" s="34" t="n"/>
      <c r="AI450" s="34" t="n"/>
      <c r="AJ450" s="36" t="n">
        <v>0.32</v>
      </c>
      <c r="AK450" s="36">
        <f>IF(AND($AG450&gt;0,ISNUMBER($AJ450)),$AG450*$AJ450,0)</f>
        <v/>
      </c>
      <c r="AP450" s="58" t="n"/>
      <c r="AT450" s="37">
        <f>SUM(AU450:BA450)</f>
        <v/>
      </c>
      <c r="AU450" s="73" t="n"/>
      <c r="AV450" s="33" t="n"/>
      <c r="AW450" s="33" t="n"/>
      <c r="AX450" s="33" t="n"/>
      <c r="AY450" s="98" t="n">
        <v>1</v>
      </c>
      <c r="AZ450" s="33" t="n"/>
      <c r="BA450" s="74" t="n"/>
      <c r="BB450" s="106" t="n"/>
      <c r="BC450" s="42" t="n"/>
      <c r="BD450" s="42" t="n"/>
    </row>
    <row r="451" ht="15" customHeight="1" s="148">
      <c r="A451" t="inlineStr">
        <is>
          <t>c0447</t>
        </is>
      </c>
      <c r="B451" s="44" t="inlineStr">
        <is>
          <t>Hofri Ghostforge</t>
        </is>
      </c>
      <c r="C451" s="34" t="inlineStr">
        <is>
          <t>Multi</t>
        </is>
      </c>
      <c r="D451" s="44" t="inlineStr">
        <is>
          <t>Legendary Creature</t>
        </is>
      </c>
      <c r="E451" s="41" t="inlineStr">
        <is>
          <t>B2</t>
        </is>
      </c>
      <c r="F451" s="34" t="n">
        <v>5</v>
      </c>
      <c r="G451" s="67" t="inlineStr">
        <is>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
(4/5)</t>
        </is>
      </c>
      <c r="H451" s="45" t="inlineStr">
        <is>
          <t>Lord/Anthem</t>
        </is>
      </c>
      <c r="I451" s="45" t="inlineStr">
        <is>
          <t>Spirits you control get +1/+1 and can attack the turn they enter</t>
        </is>
      </c>
      <c r="J451" s="45" t="inlineStr">
        <is>
          <t>Another nontoken creature dying lets you exile it and make a Spirit copy token</t>
        </is>
      </c>
      <c r="K451" s="45" t="n"/>
      <c r="L451" s="41" t="n"/>
      <c r="M451" s="41" t="n"/>
      <c r="N451" s="41" t="n"/>
      <c r="O451" s="41" t="n"/>
      <c r="P451" s="41" t="n">
        <v>0.33</v>
      </c>
      <c r="Q451" s="41" t="n"/>
      <c r="R451" s="41" t="n"/>
      <c r="S451" s="41" t="n"/>
      <c r="T451" s="41" t="n"/>
      <c r="U451" s="41" t="n"/>
      <c r="V451" s="45" t="inlineStr">
        <is>
          <t>Strixhaven: School of Mages</t>
        </is>
      </c>
      <c r="W451" s="41" t="n">
        <v>1</v>
      </c>
      <c r="X451" s="37">
        <f>SUM(Y451:AE451)</f>
        <v/>
      </c>
      <c r="Y451" s="43" t="n">
        <v>1</v>
      </c>
      <c r="Z451" s="43" t="n"/>
      <c r="AA451" s="43" t="n"/>
      <c r="AB451" s="43" t="n"/>
      <c r="AC451" s="43" t="n"/>
      <c r="AD451" s="43" t="n"/>
      <c r="AE451" s="43" t="n"/>
      <c r="AF451" s="38">
        <f>IF((W451-SUM(Y451:AE451))&lt;0,0,W451-SUM(Y451:AE451))</f>
        <v/>
      </c>
      <c r="AG451" s="34">
        <f>MAX(0,$AT451-$W451-$AI451)</f>
        <v/>
      </c>
      <c r="AH451" s="34" t="n"/>
      <c r="AI451" s="34" t="n"/>
      <c r="AJ451" s="36" t="n">
        <v>0.27</v>
      </c>
      <c r="AK451" s="36">
        <f>IF(AND($AG451&gt;0,ISNUMBER($AJ451)),$AG451*$AJ451,0)</f>
        <v/>
      </c>
      <c r="AT451" s="37">
        <f>SUM(AU451:BA451)</f>
        <v/>
      </c>
      <c r="AU451" s="82" t="n">
        <v>1</v>
      </c>
      <c r="AV451" s="33" t="n"/>
      <c r="AW451" s="33" t="n"/>
      <c r="AX451" s="33" t="n"/>
      <c r="AY451" s="33" t="n"/>
      <c r="AZ451" s="33" t="n"/>
      <c r="BA451" s="74" t="n"/>
      <c r="BB451" s="106" t="n"/>
      <c r="BC451" s="42" t="n"/>
      <c r="BD451" s="42" t="n"/>
    </row>
    <row r="452" ht="15" customHeight="1" s="148">
      <c r="A452" t="inlineStr">
        <is>
          <t>c0448</t>
        </is>
      </c>
      <c r="B452" s="44" t="inlineStr">
        <is>
          <t>Huatli, the Sun's Heart</t>
        </is>
      </c>
      <c r="C452" s="34" t="inlineStr">
        <is>
          <t>Multi</t>
        </is>
      </c>
      <c r="D452" s="44" t="inlineStr">
        <is>
          <t>Legendary Planeswalker</t>
        </is>
      </c>
      <c r="E452" s="41" t="inlineStr">
        <is>
          <t>B2</t>
        </is>
      </c>
      <c r="F452" s="34" t="n">
        <v>3</v>
      </c>
      <c r="G452" s="67" t="inlineStr">
        <is>
          <t>Each creature you control assigns combat damage equal to its toughness rather than its power.
−3: You gain life equal to the greatest toughness among creatures you control.
(Loyalty 7)</t>
        </is>
      </c>
      <c r="H452" s="45" t="inlineStr">
        <is>
          <t>Toughness Payoff</t>
        </is>
      </c>
      <c r="I452" s="45" t="inlineStr">
        <is>
          <t>Your creatures assign combat damage equal to toughness</t>
        </is>
      </c>
      <c r="J452" s="45" t="inlineStr">
        <is>
          <t>-3: gain life equal to the greatest toughness among your creatures</t>
        </is>
      </c>
      <c r="K452" s="45" t="n"/>
      <c r="L452" s="42" t="n"/>
      <c r="M452" s="42" t="n"/>
      <c r="N452" s="42" t="n"/>
      <c r="O452" s="42" t="n"/>
      <c r="P452" s="42" t="n">
        <v>0.44</v>
      </c>
      <c r="Q452" s="42" t="n"/>
      <c r="R452" s="42" t="n"/>
      <c r="S452" s="42" t="n"/>
      <c r="T452" s="42" t="n"/>
      <c r="U452" s="42" t="n"/>
      <c r="V452" s="45" t="inlineStr">
        <is>
          <t>War of the Spark</t>
        </is>
      </c>
      <c r="W452" s="41" t="n">
        <v>1</v>
      </c>
      <c r="X452" s="37">
        <f>SUM(Y452:AE452)</f>
        <v/>
      </c>
      <c r="Y452" s="43" t="n"/>
      <c r="Z452" s="43" t="n"/>
      <c r="AA452" s="43" t="n"/>
      <c r="AB452" s="43" t="n">
        <v>1</v>
      </c>
      <c r="AC452" s="43" t="n"/>
      <c r="AD452" s="43" t="n"/>
      <c r="AE452" s="43" t="n"/>
      <c r="AF452" s="38">
        <f>IF((W452-SUM(Y452:AE452))&lt;0,0,W452-SUM(Y452:AE452))</f>
        <v/>
      </c>
      <c r="AG452" s="34">
        <f>MAX(0,$AT452-$W452-$AI452)</f>
        <v/>
      </c>
      <c r="AH452" s="34" t="n"/>
      <c r="AI452" s="34" t="n"/>
      <c r="AJ452" s="36" t="n">
        <v>0.46</v>
      </c>
      <c r="AK452" s="36">
        <f>IF(AND($AG452&gt;0,ISNUMBER($AJ452)),$AG452*$AJ452,0)</f>
        <v/>
      </c>
      <c r="AT452" s="37">
        <f>SUM(AU452:BA452)</f>
        <v/>
      </c>
      <c r="AU452" s="73" t="n"/>
      <c r="AV452" s="33" t="n"/>
      <c r="AW452" s="33" t="n"/>
      <c r="AX452" s="98" t="n">
        <v>1</v>
      </c>
      <c r="AY452" s="33" t="n"/>
      <c r="AZ452" s="33" t="n"/>
      <c r="BA452" s="74" t="n"/>
      <c r="BB452" s="106" t="n"/>
      <c r="BC452" s="42" t="n"/>
      <c r="BD452" s="42" t="n"/>
    </row>
    <row r="453" ht="15" customHeight="1" s="148">
      <c r="A453" t="inlineStr">
        <is>
          <t>c0449</t>
        </is>
      </c>
      <c r="B453" s="44" t="inlineStr">
        <is>
          <t>Ikra Shidiqi, the Usurper</t>
        </is>
      </c>
      <c r="C453" s="34" t="inlineStr">
        <is>
          <t>Multi</t>
        </is>
      </c>
      <c r="D453" s="44" t="inlineStr">
        <is>
          <t>Legendary Creature</t>
        </is>
      </c>
      <c r="E453" s="41" t="inlineStr">
        <is>
          <t>B2</t>
        </is>
      </c>
      <c r="F453" s="34" t="n">
        <v>5</v>
      </c>
      <c r="G453" s="67" t="inlineStr">
        <is>
          <t>Menace
Whenever a creature you control deals combat damage to a player, you gain life equal to that creature's toughness.
Partner (You can have two commanders if both have partner.)
(3/7)</t>
        </is>
      </c>
      <c r="H453" s="45" t="inlineStr">
        <is>
          <t>Lifegain</t>
        </is>
      </c>
      <c r="I453" s="45" t="inlineStr">
        <is>
          <t>Gain life equal to a creature's toughness whenever it deals combat damage to a player</t>
        </is>
      </c>
      <c r="J453" s="45" t="inlineStr">
        <is>
          <t>Can have two commanders if paired with another partner commander</t>
        </is>
      </c>
      <c r="K453" s="45" t="n"/>
      <c r="L453" s="42" t="n"/>
      <c r="M453" s="42" t="n"/>
      <c r="N453" s="42" t="n"/>
      <c r="O453" s="42" t="n"/>
      <c r="P453" s="42" t="n">
        <v>0.47</v>
      </c>
      <c r="Q453" s="42" t="n"/>
      <c r="R453" s="42" t="n"/>
      <c r="S453" s="42" t="n"/>
      <c r="T453" s="42" t="n"/>
      <c r="U453" s="42" t="n"/>
      <c r="V453" s="45" t="inlineStr">
        <is>
          <t>Commander 2016</t>
        </is>
      </c>
      <c r="W453" s="41" t="n">
        <v>1</v>
      </c>
      <c r="X453" s="37">
        <f>SUM(Y453:AE453)</f>
        <v/>
      </c>
      <c r="Y453" s="43" t="n"/>
      <c r="Z453" s="43" t="n"/>
      <c r="AA453" s="43" t="n"/>
      <c r="AB453" s="43" t="n">
        <v>1</v>
      </c>
      <c r="AC453" s="43" t="n"/>
      <c r="AD453" s="43" t="n"/>
      <c r="AE453" s="43" t="n"/>
      <c r="AF453" s="38">
        <f>IF((W453-SUM(Y453:AE453))&lt;0,0,W453-SUM(Y453:AE453))</f>
        <v/>
      </c>
      <c r="AG453" s="34">
        <f>MAX(0,$AT453-$W453-$AI453)</f>
        <v/>
      </c>
      <c r="AH453" s="34" t="n"/>
      <c r="AI453" s="34" t="n"/>
      <c r="AJ453" s="36" t="n">
        <v>0.43</v>
      </c>
      <c r="AK453" s="36">
        <f>IF(AND($AG453&gt;0,ISNUMBER($AJ453)),$AG453*$AJ453,0)</f>
        <v/>
      </c>
      <c r="AT453" s="37">
        <f>SUM(AU453:BA453)</f>
        <v/>
      </c>
      <c r="AU453" s="73" t="n"/>
      <c r="AV453" s="33" t="n"/>
      <c r="AW453" s="33" t="n"/>
      <c r="AX453" s="98" t="n">
        <v>1</v>
      </c>
      <c r="AY453" s="33" t="n"/>
      <c r="AZ453" s="33" t="n"/>
      <c r="BA453" s="74" t="n"/>
      <c r="BB453" s="106" t="n"/>
      <c r="BC453" s="42" t="n"/>
      <c r="BD453" s="42" t="n"/>
    </row>
    <row r="454" ht="15" customHeight="1" s="148">
      <c r="A454" t="inlineStr">
        <is>
          <t>c0450</t>
        </is>
      </c>
      <c r="B454" s="30" t="inlineStr">
        <is>
          <t>Imperious Inkmage</t>
        </is>
      </c>
      <c r="C454" s="31" t="inlineStr">
        <is>
          <t>Multi</t>
        </is>
      </c>
      <c r="D454" s="30" t="inlineStr">
        <is>
          <t>Creature</t>
        </is>
      </c>
      <c r="E454" s="33" t="inlineStr">
        <is>
          <t>B2</t>
        </is>
      </c>
      <c r="F454" s="31" t="n">
        <v>3</v>
      </c>
      <c r="G454" s="67" t="inlineStr">
        <is>
          <t>Vigilance
When this creature enters, surveil 2. (Look at the top two cards of your library, then put any number of them into your graveyard and the rest on top of your library in any order.)
(3/3)</t>
        </is>
      </c>
      <c r="H454" s="30" t="inlineStr">
        <is>
          <t>Card Selection</t>
        </is>
      </c>
      <c r="I454" s="30" t="inlineStr">
        <is>
          <t>Enters: surveil 2 — look at the top two cards and put any number into your graveyard</t>
        </is>
      </c>
      <c r="J454" s="30" t="inlineStr">
        <is>
          <t>3/3 vigilance body</t>
        </is>
      </c>
      <c r="K454" s="30" t="n"/>
      <c r="L454" s="32" t="inlineStr">
        <is>
          <t>195</t>
        </is>
      </c>
      <c r="M454" s="32" t="n">
        <v>2</v>
      </c>
      <c r="N454" s="32" t="n">
        <v>0</v>
      </c>
      <c r="O454" s="63" t="inlineStr">
        <is>
          <t>Nathaniel Himawan</t>
        </is>
      </c>
      <c r="P454" s="63" t="n">
        <v>0.07000000000000001</v>
      </c>
      <c r="Q454" s="32" t="inlineStr">
        <is>
          <t>Common</t>
        </is>
      </c>
      <c r="R454" s="32" t="n"/>
      <c r="S454" s="32" t="n"/>
      <c r="T454" s="63" t="n"/>
      <c r="U454" s="63" t="n"/>
      <c r="V454" s="30" t="inlineStr">
        <is>
          <t>Secrets of Strixhaven</t>
        </is>
      </c>
      <c r="W454" s="41" t="n">
        <v>2</v>
      </c>
      <c r="X454" s="37">
        <f>SUM(Y454:AE454)</f>
        <v/>
      </c>
      <c r="Y454" s="43" t="n"/>
      <c r="Z454" s="43" t="n"/>
      <c r="AA454" s="43" t="n"/>
      <c r="AB454" s="43" t="n"/>
      <c r="AC454" s="43" t="n"/>
      <c r="AD454" s="43" t="n"/>
      <c r="AE454" s="43" t="n"/>
      <c r="AF454" s="38">
        <f>IF((W454-SUM(Y454:AE454))&lt;0,0,W454-SUM(Y454:AE454))</f>
        <v/>
      </c>
      <c r="AG454" s="34">
        <f>MAX(0,$AT454-$W454-$AI454)</f>
        <v/>
      </c>
      <c r="AH454" s="30" t="n"/>
      <c r="AI454" s="30" t="n"/>
      <c r="AJ454" s="35" t="n">
        <v>0.07000000000000001</v>
      </c>
      <c r="AK454" s="36">
        <f>IF(AND($AG454&gt;0,ISNUMBER($AJ454)),$AG454*$AJ454,0)</f>
        <v/>
      </c>
      <c r="AT454" s="37">
        <f>SUM(AU454:BA454)</f>
        <v/>
      </c>
      <c r="AU454" s="73" t="n"/>
      <c r="AV454" s="33" t="n"/>
      <c r="AW454" s="33" t="n"/>
      <c r="AX454" s="33" t="n"/>
      <c r="AY454" s="33" t="n"/>
      <c r="AZ454" s="33" t="n"/>
      <c r="BA454" s="74" t="n"/>
      <c r="BB454" s="108" t="n"/>
      <c r="BC454" s="32" t="n"/>
      <c r="BD454" s="32" t="n"/>
    </row>
    <row r="455" ht="15" customHeight="1" s="148">
      <c r="A455" t="inlineStr">
        <is>
          <t>c0451</t>
        </is>
      </c>
      <c r="B455" s="44" t="inlineStr">
        <is>
          <t>Indulging Patrician</t>
        </is>
      </c>
      <c r="C455" s="34" t="inlineStr">
        <is>
          <t>Multi</t>
        </is>
      </c>
      <c r="D455" s="44" t="inlineStr">
        <is>
          <t>Creature</t>
        </is>
      </c>
      <c r="E455" s="41" t="inlineStr">
        <is>
          <t>B2</t>
        </is>
      </c>
      <c r="F455" s="34" t="n">
        <v>3</v>
      </c>
      <c r="G455" s="67" t="inlineStr">
        <is>
          <t>Flying
Lifelink (Damage dealt by this creature also causes you to gain that much life.)
At the beginning of your end step, if you gained 3 or more life this turn, each opponent loses 3 life.
(1/4)</t>
        </is>
      </c>
      <c r="H455" s="45" t="inlineStr">
        <is>
          <t>Drain Payoff</t>
        </is>
      </c>
      <c r="I455" s="45" t="inlineStr">
        <is>
          <t>Each opponent loses 3 life at your end step if you gained 3 or more life that turn</t>
        </is>
      </c>
      <c r="J455" s="45" t="inlineStr">
        <is>
          <t>Gains you life equal to damage it deals</t>
        </is>
      </c>
      <c r="K455" s="45" t="n"/>
      <c r="L455" s="42" t="n"/>
      <c r="M455" s="42" t="n"/>
      <c r="N455" s="42" t="n"/>
      <c r="O455" s="42" t="n"/>
      <c r="P455" s="42" t="n">
        <v>0.35</v>
      </c>
      <c r="Q455" s="42" t="n"/>
      <c r="R455" s="42" t="n"/>
      <c r="S455" s="42" t="n"/>
      <c r="T455" s="42" t="n"/>
      <c r="U455" s="42" t="n"/>
      <c r="V455" s="45" t="inlineStr">
        <is>
          <t>Core Set 2021</t>
        </is>
      </c>
      <c r="W455" s="41" t="n">
        <v>1</v>
      </c>
      <c r="X455" s="37">
        <f>SUM(Y455:AE455)</f>
        <v/>
      </c>
      <c r="Y455" s="43" t="n"/>
      <c r="Z455" s="43" t="n"/>
      <c r="AA455" s="43" t="n"/>
      <c r="AB455" s="43" t="n"/>
      <c r="AC455" s="43" t="n">
        <v>1</v>
      </c>
      <c r="AD455" s="43" t="n"/>
      <c r="AE455" s="43" t="n"/>
      <c r="AF455" s="38">
        <f>IF((W455-SUM(Y455:AE455))&lt;0,0,W455-SUM(Y455:AE455))</f>
        <v/>
      </c>
      <c r="AG455" s="34">
        <f>MAX(0,$AT455-$W455-$AI455)</f>
        <v/>
      </c>
      <c r="AH455" s="34" t="n"/>
      <c r="AI455" s="34" t="n"/>
      <c r="AJ455" s="36" t="n">
        <v>0.33</v>
      </c>
      <c r="AK455" s="36">
        <f>IF(AND($AG455&gt;0,ISNUMBER($AJ455)),$AG455*$AJ455,0)</f>
        <v/>
      </c>
      <c r="AT455" s="37">
        <f>SUM(AU455:BA455)</f>
        <v/>
      </c>
      <c r="AU455" s="73" t="n"/>
      <c r="AV455" s="33" t="n"/>
      <c r="AW455" s="33" t="n"/>
      <c r="AX455" s="33" t="n"/>
      <c r="AY455" s="98" t="n">
        <v>1</v>
      </c>
      <c r="AZ455" s="33" t="n"/>
      <c r="BA455" s="74" t="n"/>
      <c r="BB455" s="106" t="n"/>
      <c r="BC455" s="42" t="n"/>
      <c r="BD455" s="42" t="n"/>
    </row>
    <row r="456" ht="15" customHeight="1" s="148">
      <c r="A456" t="inlineStr">
        <is>
          <t>c0452</t>
        </is>
      </c>
      <c r="B456" s="44" t="inlineStr">
        <is>
          <t>Inkshield</t>
        </is>
      </c>
      <c r="C456" s="34" t="inlineStr">
        <is>
          <t>Multi</t>
        </is>
      </c>
      <c r="D456" s="44" t="inlineStr">
        <is>
          <t>Instant</t>
        </is>
      </c>
      <c r="E456" s="41" t="inlineStr">
        <is>
          <t>B3</t>
        </is>
      </c>
      <c r="F456" s="34" t="n">
        <v>5</v>
      </c>
      <c r="G456" s="67" t="inlineStr">
        <is>
          <t>Prevent all combat damage that would be dealt to you this turn. For each 1 damage prevented this way, create a 2/1 white and black Inkling creature token with flying.</t>
        </is>
      </c>
      <c r="H456" s="45" t="inlineStr">
        <is>
          <t>Protection</t>
        </is>
      </c>
      <c r="I456" s="45" t="inlineStr">
        <is>
          <t>Prevent all combat damage that would be dealt to you this turn. For each 1 damage prevented this way, create a 2/1 white</t>
        </is>
      </c>
      <c r="J456" s="45" t="n"/>
      <c r="K456" s="45" t="n"/>
      <c r="L456" s="42" t="n"/>
      <c r="M456" s="42" t="n"/>
      <c r="N456" s="42" t="n"/>
      <c r="O456" s="42" t="n"/>
      <c r="P456" s="42" t="n">
        <v>5.95</v>
      </c>
      <c r="Q456" s="42" t="n"/>
      <c r="R456" s="42" t="n"/>
      <c r="S456" s="42" t="n"/>
      <c r="T456" s="42" t="n"/>
      <c r="U456" s="42" t="n"/>
      <c r="V456" s="45" t="inlineStr">
        <is>
          <t>Commander 2021</t>
        </is>
      </c>
      <c r="W456" s="41" t="n">
        <v>0</v>
      </c>
      <c r="X456" s="37">
        <f>SUM(Y456:AE456)</f>
        <v/>
      </c>
      <c r="Y456" s="43" t="n"/>
      <c r="Z456" s="43" t="n"/>
      <c r="AA456" s="43" t="n"/>
      <c r="AB456" s="43" t="n"/>
      <c r="AC456" s="43" t="n"/>
      <c r="AD456" s="43" t="n"/>
      <c r="AE456" s="43" t="n"/>
      <c r="AF456" s="38">
        <f>IF((W456-SUM(Y456:AE456))&lt;0,0,W456-SUM(Y456:AE456))</f>
        <v/>
      </c>
      <c r="AG456" s="34">
        <f>MAX(0,$AT456-$W456-$AI456)</f>
        <v/>
      </c>
      <c r="AH456" s="34" t="n"/>
      <c r="AI456" s="34" t="n"/>
      <c r="AJ456" s="36" t="n">
        <v>5.58</v>
      </c>
      <c r="AK456" s="36">
        <f>IF(AND($AG456&gt;0,ISNUMBER($AJ456)),$AG456*$AJ456,0)</f>
        <v/>
      </c>
      <c r="AL456" s="54" t="n"/>
      <c r="AM456" s="54" t="n"/>
      <c r="AN456" s="54" t="n"/>
      <c r="AO456" s="54" t="n"/>
      <c r="AP456" s="54" t="n"/>
      <c r="AQ456" s="54" t="n"/>
      <c r="AR456" s="54" t="n"/>
      <c r="AS456" s="54" t="n"/>
      <c r="AT456" s="37">
        <f>SUM(AU456:BA456)</f>
        <v/>
      </c>
      <c r="AU456" s="92" t="n"/>
      <c r="AV456" s="38" t="n"/>
      <c r="AW456" s="38" t="n"/>
      <c r="AX456" s="38" t="n"/>
      <c r="AY456" s="38" t="n"/>
      <c r="AZ456" s="38" t="n"/>
      <c r="BA456" s="94" t="n"/>
      <c r="BB456" s="106" t="n"/>
      <c r="BC456" s="42" t="n"/>
      <c r="BD456" s="42" t="n"/>
    </row>
    <row r="457" ht="15" customHeight="1" s="148">
      <c r="A457" t="inlineStr">
        <is>
          <t>c0453</t>
        </is>
      </c>
      <c r="B457" s="44" t="inlineStr">
        <is>
          <t>Jungle Barrier</t>
        </is>
      </c>
      <c r="C457" s="34" t="inlineStr">
        <is>
          <t>Multi</t>
        </is>
      </c>
      <c r="D457" s="44" t="inlineStr">
        <is>
          <t>Creature</t>
        </is>
      </c>
      <c r="E457" s="41" t="inlineStr">
        <is>
          <t>B2</t>
        </is>
      </c>
      <c r="F457" s="34" t="n">
        <v>4</v>
      </c>
      <c r="G457" s="67" t="inlineStr">
        <is>
          <t>Defender (This creature can't attack.)
When this creature enters, draw a card.
(2/6)</t>
        </is>
      </c>
      <c r="H457" s="45" t="inlineStr">
        <is>
          <t>Card Draw</t>
        </is>
      </c>
      <c r="I457" s="45" t="inlineStr">
        <is>
          <t>Draws a card when it enters</t>
        </is>
      </c>
      <c r="J457" s="45" t="n"/>
      <c r="K457" s="45" t="n"/>
      <c r="L457" s="88" t="inlineStr">
        <is>
          <t>106/143</t>
        </is>
      </c>
      <c r="M457" s="41" t="n">
        <v>1</v>
      </c>
      <c r="N457" s="41" t="n">
        <v>0</v>
      </c>
      <c r="O457" s="63" t="inlineStr">
        <is>
          <t>Edward P. Beard, Jr.</t>
        </is>
      </c>
      <c r="P457" s="90" t="n">
        <v>0.16</v>
      </c>
      <c r="Q457" s="41" t="n"/>
      <c r="R457" s="41" t="n"/>
      <c r="S457" s="41" t="n"/>
      <c r="T457" s="63" t="n"/>
      <c r="U457" s="63" t="n"/>
      <c r="V457" s="45" t="inlineStr">
        <is>
          <t>Apocalypse</t>
        </is>
      </c>
      <c r="W457" s="41" t="n">
        <v>1</v>
      </c>
      <c r="X457" s="37">
        <f>SUM(Y457:AE457)</f>
        <v/>
      </c>
      <c r="Y457" s="43" t="n"/>
      <c r="Z457" s="43" t="n">
        <v>1</v>
      </c>
      <c r="AA457" s="43" t="n"/>
      <c r="AB457" s="43" t="n"/>
      <c r="AC457" s="43" t="n"/>
      <c r="AD457" s="43" t="n"/>
      <c r="AE457" s="43" t="n"/>
      <c r="AF457" s="38">
        <f>IF((W457-SUM(Y457:AE457))&lt;0,0,W457-SUM(Y457:AE457))</f>
        <v/>
      </c>
      <c r="AG457" s="34">
        <f>MAX(0,$AT457-$W457-$AI457)</f>
        <v/>
      </c>
      <c r="AH457" s="34" t="n"/>
      <c r="AI457" s="34" t="n"/>
      <c r="AJ457" s="36" t="n">
        <v>0.16</v>
      </c>
      <c r="AK457" s="36">
        <f>IF(AND($AG457&gt;0,ISNUMBER($AJ457)),$AG457*$AJ457,0)</f>
        <v/>
      </c>
      <c r="AM457" s="58" t="n"/>
      <c r="AT457" s="37">
        <f>SUM(AU457:BA457)</f>
        <v/>
      </c>
      <c r="AU457" s="73" t="n"/>
      <c r="AV457" s="98" t="n">
        <v>1</v>
      </c>
      <c r="AW457" s="33" t="n"/>
      <c r="AX457" s="33" t="n"/>
      <c r="AY457" s="33" t="n"/>
      <c r="AZ457" s="33" t="n"/>
      <c r="BA457" s="74" t="n"/>
      <c r="BB457" s="106" t="n"/>
      <c r="BC457" s="42" t="n"/>
      <c r="BD457" s="42" t="n"/>
    </row>
    <row r="458" ht="15" customHeight="1" s="148">
      <c r="A458" t="inlineStr">
        <is>
          <t>c0454</t>
        </is>
      </c>
      <c r="B458" s="44" t="inlineStr">
        <is>
          <t>Kambal, Consul of Allocation</t>
        </is>
      </c>
      <c r="C458" s="34" t="inlineStr">
        <is>
          <t>Multi</t>
        </is>
      </c>
      <c r="D458" s="44" t="inlineStr">
        <is>
          <t>Legendary Creature</t>
        </is>
      </c>
      <c r="E458" s="41" t="inlineStr">
        <is>
          <t>B3</t>
        </is>
      </c>
      <c r="F458" s="34" t="n">
        <v>3</v>
      </c>
      <c r="G458" s="67" t="inlineStr">
        <is>
          <t>Whenever an opponent casts a noncreature spell, that player loses 2 life and you gain 2 life.
(2/3)</t>
        </is>
      </c>
      <c r="H458" s="45" t="inlineStr">
        <is>
          <t>Drain Payoff</t>
        </is>
      </c>
      <c r="I458" s="45" t="inlineStr">
        <is>
          <t>Whenever an opponent casts a noncreature spell, that player loses 2 life and you gain 2 life.</t>
        </is>
      </c>
      <c r="J458" s="45" t="n"/>
      <c r="K458" s="45" t="n"/>
      <c r="L458" s="41" t="n"/>
      <c r="M458" s="41" t="n"/>
      <c r="N458" s="41" t="n"/>
      <c r="O458" s="41" t="n"/>
      <c r="P458" s="41" t="n">
        <v>8.960000000000001</v>
      </c>
      <c r="Q458" s="41" t="n"/>
      <c r="R458" s="41" t="n"/>
      <c r="S458" s="41" t="n"/>
      <c r="T458" s="41" t="n"/>
      <c r="U458" s="41" t="n"/>
      <c r="V458" s="45" t="inlineStr">
        <is>
          <t>Kaladesh</t>
        </is>
      </c>
      <c r="W458" s="41" t="n">
        <v>0</v>
      </c>
      <c r="X458" s="37">
        <f>SUM(Y458:AE458)</f>
        <v/>
      </c>
      <c r="Y458" s="43" t="n"/>
      <c r="Z458" s="43" t="n"/>
      <c r="AA458" s="43" t="n"/>
      <c r="AB458" s="43" t="n"/>
      <c r="AC458" s="43" t="n"/>
      <c r="AD458" s="43" t="n"/>
      <c r="AE458" s="43" t="n"/>
      <c r="AF458" s="38">
        <f>IF((W458-SUM(Y458:AE458))&lt;0,0,W458-SUM(Y458:AE458))</f>
        <v/>
      </c>
      <c r="AG458" s="34">
        <f>MAX(0,$AT458-$W458-$AI458)</f>
        <v/>
      </c>
      <c r="AH458" s="34" t="n"/>
      <c r="AI458" s="34" t="n"/>
      <c r="AJ458" s="36" t="n">
        <v>10.17</v>
      </c>
      <c r="AK458" s="36">
        <f>IF(AND($AG458&gt;0,ISNUMBER($AJ458)),$AG458*$AJ458,0)</f>
        <v/>
      </c>
      <c r="AL458" s="54" t="n"/>
      <c r="AM458" s="54" t="n"/>
      <c r="AN458" s="54" t="n"/>
      <c r="AO458" s="54" t="n"/>
      <c r="AP458" s="54" t="n"/>
      <c r="AQ458" s="54" t="n"/>
      <c r="AR458" s="54" t="n"/>
      <c r="AS458" s="54" t="n"/>
      <c r="AT458" s="37">
        <f>SUM(AU458:BA458)</f>
        <v/>
      </c>
      <c r="AU458" s="92" t="n"/>
      <c r="AV458" s="38" t="n"/>
      <c r="AW458" s="38" t="n"/>
      <c r="AX458" s="38" t="n"/>
      <c r="AY458" s="38" t="n"/>
      <c r="AZ458" s="38" t="n"/>
      <c r="BA458" s="94" t="n"/>
      <c r="BB458" s="106" t="n"/>
      <c r="BC458" s="42" t="n"/>
      <c r="BD458" s="42" t="n"/>
    </row>
    <row r="459" ht="15" customHeight="1" s="148">
      <c r="A459" t="inlineStr">
        <is>
          <t>c0455</t>
        </is>
      </c>
      <c r="B459" s="44" t="inlineStr">
        <is>
          <t>Kambal, Profiteering Mayor</t>
        </is>
      </c>
      <c r="C459" s="34" t="inlineStr">
        <is>
          <t>Multi</t>
        </is>
      </c>
      <c r="D459" s="44" t="inlineStr">
        <is>
          <t>Legendary Creature</t>
        </is>
      </c>
      <c r="E459" s="41" t="inlineStr">
        <is>
          <t>B2</t>
        </is>
      </c>
      <c r="F459" s="34" t="n">
        <v>3</v>
      </c>
      <c r="G459" s="67" t="inlineStr">
        <is>
          <t>Whenever one or more tokens your opponents control enter, for each of them, create a tapped token that's a copy of it. This ability triggers only once each turn.
Whenever one or more tokens you control enter, each opponent loses 1 life and you gain 1 life.
(2/4)</t>
        </is>
      </c>
      <c r="H459" s="45" t="inlineStr">
        <is>
          <t>Utility Creature</t>
        </is>
      </c>
      <c r="I459" s="45" t="inlineStr">
        <is>
          <t>Whenever one or more tokens your opponents control enter, for each of them, create a tapped token that's a copy of it. T</t>
        </is>
      </c>
      <c r="J459" s="45" t="inlineStr">
        <is>
          <t>Whenever one or more tokens you control enter, each opponent loses 1 life and you gain 1 life</t>
        </is>
      </c>
      <c r="K459" s="45" t="n"/>
      <c r="L459" s="42" t="n"/>
      <c r="M459" s="42" t="n"/>
      <c r="N459" s="42" t="n"/>
      <c r="O459" s="42" t="n"/>
      <c r="P459" s="42" t="n">
        <v>6.28</v>
      </c>
      <c r="Q459" s="42" t="n"/>
      <c r="R459" s="42" t="n"/>
      <c r="S459" s="42" t="n"/>
      <c r="T459" s="42" t="n"/>
      <c r="U459" s="42" t="n"/>
      <c r="V459" s="45" t="inlineStr">
        <is>
          <t>Outlaws of Thunder Junction</t>
        </is>
      </c>
      <c r="W459" s="41" t="n">
        <v>1</v>
      </c>
      <c r="X459" s="37">
        <f>SUM(Y459:AE459)</f>
        <v/>
      </c>
      <c r="Y459" s="43" t="n"/>
      <c r="Z459" s="43" t="n"/>
      <c r="AA459" s="43" t="n"/>
      <c r="AB459" s="43" t="n"/>
      <c r="AC459" s="43" t="n">
        <v>1</v>
      </c>
      <c r="AD459" s="43" t="n"/>
      <c r="AE459" s="43" t="n"/>
      <c r="AF459" s="38">
        <f>IF((W459-SUM(Y459:AE459))&lt;0,0,W459-SUM(Y459:AE459))</f>
        <v/>
      </c>
      <c r="AG459" s="34">
        <f>MAX(0,$AT459-$W459-$AI459)</f>
        <v/>
      </c>
      <c r="AH459" s="34" t="n"/>
      <c r="AI459" s="34" t="n"/>
      <c r="AJ459" s="36" t="n">
        <v>6.03</v>
      </c>
      <c r="AK459" s="36">
        <f>IF(AND($AG459&gt;0,ISNUMBER($AJ459)),$AG459*$AJ459,0)</f>
        <v/>
      </c>
      <c r="AT459" s="37">
        <f>SUM(AU459:BA459)</f>
        <v/>
      </c>
      <c r="AU459" s="73" t="n"/>
      <c r="AV459" s="33" t="n"/>
      <c r="AW459" s="33" t="n"/>
      <c r="AX459" s="33" t="n"/>
      <c r="AY459" s="98" t="n">
        <v>1</v>
      </c>
      <c r="AZ459" s="33" t="n"/>
      <c r="BA459" s="74" t="n"/>
      <c r="BB459" s="106" t="n"/>
      <c r="BC459" s="42" t="n"/>
      <c r="BD459" s="42" t="n"/>
    </row>
    <row r="460" ht="15" customHeight="1" s="148">
      <c r="A460" t="inlineStr">
        <is>
          <t>c0456</t>
        </is>
      </c>
      <c r="B460" s="44" t="inlineStr">
        <is>
          <t>Kin-Tree Invocation</t>
        </is>
      </c>
      <c r="C460" s="34" t="inlineStr">
        <is>
          <t>Multi</t>
        </is>
      </c>
      <c r="D460" s="44" t="inlineStr">
        <is>
          <t>Sorcery</t>
        </is>
      </c>
      <c r="E460" s="41" t="inlineStr">
        <is>
          <t>B2</t>
        </is>
      </c>
      <c r="F460" s="34" t="n">
        <v>2</v>
      </c>
      <c r="G460" s="67" t="inlineStr">
        <is>
          <t>Create an X/X black and green Spirit Warrior creature token, where X is the greatest toughness among creatures you control.</t>
        </is>
      </c>
      <c r="H460" s="45" t="inlineStr">
        <is>
          <t>Token Producer</t>
        </is>
      </c>
      <c r="I460" s="45" t="inlineStr">
        <is>
          <t>Creates an X/X token, X = greatest toughness among your creatures</t>
        </is>
      </c>
      <c r="J460" s="45" t="n"/>
      <c r="K460" s="45" t="n"/>
      <c r="L460" s="42" t="n"/>
      <c r="M460" s="42" t="n"/>
      <c r="N460" s="42" t="n"/>
      <c r="O460" s="63" t="n"/>
      <c r="P460" s="63" t="n">
        <v>0.09</v>
      </c>
      <c r="Q460" s="42" t="n"/>
      <c r="R460" s="42" t="n"/>
      <c r="S460" s="42" t="n"/>
      <c r="T460" s="63" t="n"/>
      <c r="U460" s="63" t="n"/>
      <c r="V460" s="45" t="inlineStr">
        <is>
          <t>Khans of Tarkir</t>
        </is>
      </c>
      <c r="W460" s="41" t="n">
        <v>1</v>
      </c>
      <c r="X460" s="37">
        <f>SUM(Y460:AE460)</f>
        <v/>
      </c>
      <c r="Y460" s="43" t="n"/>
      <c r="Z460" s="43" t="n"/>
      <c r="AA460" s="43" t="n"/>
      <c r="AB460" s="43" t="n"/>
      <c r="AC460" s="43" t="n"/>
      <c r="AD460" s="43" t="n"/>
      <c r="AE460" s="43" t="n"/>
      <c r="AF460" s="38">
        <f>IF((W460-SUM(Y460:AE460))&lt;0,0,W460-SUM(Y460:AE460))</f>
        <v/>
      </c>
      <c r="AG460" s="34">
        <f>MAX(0,$AT460-$W460-$AI460)</f>
        <v/>
      </c>
      <c r="AH460" s="34" t="n"/>
      <c r="AI460" s="34" t="n"/>
      <c r="AJ460" s="36" t="n">
        <v>0.11</v>
      </c>
      <c r="AK460" s="36">
        <f>IF(AND($AG460&gt;0,ISNUMBER($AJ460)),$AG460*$AJ460,0)</f>
        <v/>
      </c>
      <c r="AT460" s="37">
        <f>SUM(AU460:BA460)</f>
        <v/>
      </c>
      <c r="AU460" s="73" t="n"/>
      <c r="AV460" s="33" t="n"/>
      <c r="AW460" s="33" t="n"/>
      <c r="AX460" s="33" t="n"/>
      <c r="AY460" s="33" t="n"/>
      <c r="AZ460" s="33" t="n"/>
      <c r="BA460" s="74" t="n"/>
      <c r="BB460" s="106" t="n"/>
      <c r="BC460" s="42" t="n"/>
      <c r="BD460" s="42" t="n"/>
    </row>
    <row r="461" ht="15" customHeight="1" s="148">
      <c r="A461" t="inlineStr">
        <is>
          <t>c0457</t>
        </is>
      </c>
      <c r="B461" s="44" t="inlineStr">
        <is>
          <t>Kiora's Follower</t>
        </is>
      </c>
      <c r="C461" s="34" t="inlineStr">
        <is>
          <t>Multi</t>
        </is>
      </c>
      <c r="D461" s="44" t="inlineStr">
        <is>
          <t>Creature</t>
        </is>
      </c>
      <c r="E461" s="41" t="inlineStr">
        <is>
          <t>B2</t>
        </is>
      </c>
      <c r="F461" s="34" t="n">
        <v>2</v>
      </c>
      <c r="G461" s="67" t="inlineStr">
        <is>
          <t>{T}: Untap another target permanent.
(2/2)</t>
        </is>
      </c>
      <c r="H461" s="45" t="inlineStr">
        <is>
          <t>Ramp</t>
        </is>
      </c>
      <c r="I461" s="45" t="inlineStr">
        <is>
          <t>{T}: Untap another target permanent</t>
        </is>
      </c>
      <c r="J461" s="45" t="n"/>
      <c r="K461" s="45" t="n"/>
      <c r="L461" s="42" t="n"/>
      <c r="M461" s="42" t="n"/>
      <c r="N461" s="42" t="n"/>
      <c r="O461" s="42" t="n"/>
      <c r="P461" s="42" t="n">
        <v>0.36</v>
      </c>
      <c r="Q461" s="42" t="n"/>
      <c r="R461" s="42" t="n"/>
      <c r="S461" s="42" t="n"/>
      <c r="T461" s="42" t="n"/>
      <c r="U461" s="42" t="n"/>
      <c r="V461" s="45" t="inlineStr">
        <is>
          <t>Born of the Gods</t>
        </is>
      </c>
      <c r="W461" s="41" t="n">
        <v>0</v>
      </c>
      <c r="X461" s="37">
        <f>SUM(Y461:AE461)</f>
        <v/>
      </c>
      <c r="Y461" s="43" t="n"/>
      <c r="Z461" s="43" t="n"/>
      <c r="AA461" s="43" t="n"/>
      <c r="AB461" s="43" t="n"/>
      <c r="AC461" s="43" t="n"/>
      <c r="AD461" s="43" t="n"/>
      <c r="AE461" s="43" t="n"/>
      <c r="AF461" s="38">
        <f>IF((W461-SUM(Y461:AE461))&lt;0,0,W461-SUM(Y461:AE461))</f>
        <v/>
      </c>
      <c r="AG461" s="34">
        <f>MAX(0,$AT461-$W461-$AI461)</f>
        <v/>
      </c>
      <c r="AH461" s="34" t="n"/>
      <c r="AI461" s="34" t="n"/>
      <c r="AJ461" s="36" t="n">
        <v>0.34</v>
      </c>
      <c r="AK461" s="36">
        <f>IF(AND($AG461&gt;0,ISNUMBER($AJ461)),$AG461*$AJ461,0)</f>
        <v/>
      </c>
      <c r="AL461" s="54" t="n"/>
      <c r="AM461" s="54" t="n"/>
      <c r="AN461" s="54" t="n"/>
      <c r="AO461" s="54" t="n"/>
      <c r="AP461" s="54" t="n"/>
      <c r="AQ461" s="54" t="n"/>
      <c r="AR461" s="54" t="n"/>
      <c r="AS461" s="54" t="n"/>
      <c r="AT461" s="37">
        <f>SUM(AU461:BA461)</f>
        <v/>
      </c>
      <c r="AU461" s="92" t="n"/>
      <c r="AV461" s="38" t="n"/>
      <c r="AW461" s="38" t="n"/>
      <c r="AX461" s="38" t="n"/>
      <c r="AY461" s="38" t="n"/>
      <c r="AZ461" s="38" t="n"/>
      <c r="BA461" s="94" t="n"/>
      <c r="BB461" s="106" t="n"/>
      <c r="BC461" s="42" t="n"/>
      <c r="BD461" s="48" t="n"/>
    </row>
    <row r="462" ht="15" customHeight="1" s="148">
      <c r="A462" t="inlineStr">
        <is>
          <t>c0458</t>
        </is>
      </c>
      <c r="B462" s="44" t="inlineStr">
        <is>
          <t>Kirol, History Buff // Pack a Punch</t>
        </is>
      </c>
      <c r="C462" s="34" t="inlineStr">
        <is>
          <t>Multi</t>
        </is>
      </c>
      <c r="D462" s="44" t="inlineStr">
        <is>
          <t>Legendary Creature</t>
        </is>
      </c>
      <c r="E462" s="41" t="inlineStr">
        <is>
          <t>B2</t>
        </is>
      </c>
      <c r="F462" s="34" t="n">
        <v>2</v>
      </c>
      <c r="G462" s="67" t="inlineStr">
        <is>
          <t>Kirol, History Buff {R}{W} — Legendary Creature — Vampire Cleric (2/3)
Whenever one or more cards leave your graveyard, Kirol becomes prepared. (While it's prepared, you may cast a copy of its spell. Doing so unprepares it.)
//
Pack a Punch {1}{R}{W} — Sorcery
Mill a card. Put two +1/+1 counters on target creature. It gains trample until end of turn.</t>
        </is>
      </c>
      <c r="H462" s="45" t="inlineStr">
        <is>
          <t>Value Engine</t>
        </is>
      </c>
      <c r="I462" s="45" t="inlineStr">
        <is>
          <t>Cards leaving your graveyard lets you cast a copy of its other half</t>
        </is>
      </c>
      <c r="J462" s="45" t="inlineStr">
        <is>
          <t>Other half: mill a card, put two +1/+1 counters on target creature</t>
        </is>
      </c>
      <c r="K462" s="45" t="inlineStr">
        <is>
          <t>Other half also lets that creature push through blockers this turn</t>
        </is>
      </c>
      <c r="L462" s="88" t="inlineStr">
        <is>
          <t>198</t>
        </is>
      </c>
      <c r="M462" s="41" t="n">
        <v>1</v>
      </c>
      <c r="N462" s="41" t="n">
        <v>0</v>
      </c>
      <c r="O462" s="63" t="inlineStr">
        <is>
          <t>Bryan Sola</t>
        </is>
      </c>
      <c r="P462" s="90" t="n">
        <v>0.17</v>
      </c>
      <c r="Q462" s="41" t="inlineStr">
        <is>
          <t>Uncommon</t>
        </is>
      </c>
      <c r="R462" s="41" t="n"/>
      <c r="S462" s="41" t="n"/>
      <c r="T462" s="63" t="n"/>
      <c r="U462" s="63" t="n"/>
      <c r="V462" s="45" t="inlineStr">
        <is>
          <t>Secrets of Strixhaven</t>
        </is>
      </c>
      <c r="W462" s="41" t="n">
        <v>2</v>
      </c>
      <c r="X462" s="37">
        <f>SUM(Y462:AE462)</f>
        <v/>
      </c>
      <c r="Y462" s="43" t="n"/>
      <c r="Z462" s="43" t="n"/>
      <c r="AA462" s="43" t="n"/>
      <c r="AB462" s="43" t="n"/>
      <c r="AC462" s="43" t="n"/>
      <c r="AD462" s="43" t="n"/>
      <c r="AE462" s="43" t="n"/>
      <c r="AF462" s="38">
        <f>IF((W462-SUM(Y462:AE462))&lt;0,0,W462-SUM(Y462:AE462))</f>
        <v/>
      </c>
      <c r="AG462" s="34">
        <f>MAX(0,$AT462-$W462-$AI462)</f>
        <v/>
      </c>
      <c r="AH462" s="34" t="n"/>
      <c r="AI462" s="34" t="n"/>
      <c r="AJ462" s="36" t="n">
        <v>0.3</v>
      </c>
      <c r="AK462" s="36">
        <f>IF(AND($AG462&gt;0,ISNUMBER($AJ462)),$AG462*$AJ462,0)</f>
        <v/>
      </c>
      <c r="AT462" s="37">
        <f>SUM(AU462:BA462)</f>
        <v/>
      </c>
      <c r="AU462" s="73" t="n"/>
      <c r="AV462" s="33" t="n"/>
      <c r="AW462" s="33" t="n"/>
      <c r="AX462" s="33" t="n"/>
      <c r="AY462" s="33" t="n"/>
      <c r="AZ462" s="33" t="n"/>
      <c r="BA462" s="74" t="n"/>
      <c r="BB462" s="106" t="n"/>
      <c r="BC462" s="42" t="n"/>
      <c r="BD462" s="42" t="n"/>
    </row>
    <row r="463" ht="15" customHeight="1" s="148">
      <c r="A463" t="inlineStr">
        <is>
          <t>c0459</t>
        </is>
      </c>
      <c r="B463" s="44" t="inlineStr">
        <is>
          <t>Knight of Autumn</t>
        </is>
      </c>
      <c r="C463" s="34" t="inlineStr">
        <is>
          <t>Multi</t>
        </is>
      </c>
      <c r="D463" s="44" t="inlineStr">
        <is>
          <t>Creature</t>
        </is>
      </c>
      <c r="E463" s="41" t="inlineStr">
        <is>
          <t>B2</t>
        </is>
      </c>
      <c r="F463" s="34" t="n">
        <v>3</v>
      </c>
      <c r="G463" s="67" t="inlineStr">
        <is>
          <t>When this creature enters, choose one —
• Put two +1/+1 counters on this creature.
• Destroy target artifact or enchantment.
• You gain 4 life.
(2/1)</t>
        </is>
      </c>
      <c r="H463" s="45" t="inlineStr">
        <is>
          <t>Artifact/Enchantment Removal</t>
        </is>
      </c>
      <c r="I463" s="45" t="inlineStr">
        <is>
          <t>Choose one when it enters: add two +1/+1 counters to itself, destroy target artifact/enchantment, or gain 4 life</t>
        </is>
      </c>
      <c r="J463" s="45" t="n"/>
      <c r="K463" s="45" t="n"/>
      <c r="L463" s="42" t="n"/>
      <c r="M463" s="42" t="n"/>
      <c r="N463" s="42" t="n"/>
      <c r="O463" s="42" t="n"/>
      <c r="P463" s="42" t="n">
        <v>0.43</v>
      </c>
      <c r="Q463" s="42" t="n"/>
      <c r="R463" s="42" t="n"/>
      <c r="S463" s="42" t="n"/>
      <c r="T463" s="42" t="n"/>
      <c r="U463" s="42" t="n"/>
      <c r="V463" s="45" t="inlineStr">
        <is>
          <t>Guilds of Ravnica</t>
        </is>
      </c>
      <c r="W463" s="41" t="n">
        <v>1</v>
      </c>
      <c r="X463" s="37">
        <f>SUM(Y463:AE463)</f>
        <v/>
      </c>
      <c r="Y463" s="43" t="n"/>
      <c r="Z463" s="43" t="n"/>
      <c r="AA463" s="43" t="n">
        <v>1</v>
      </c>
      <c r="AB463" s="43" t="n"/>
      <c r="AC463" s="43" t="n"/>
      <c r="AD463" s="43" t="n"/>
      <c r="AE463" s="43" t="n"/>
      <c r="AF463" s="38">
        <f>IF((W463-SUM(Y463:AE463))&lt;0,0,W463-SUM(Y463:AE463))</f>
        <v/>
      </c>
      <c r="AG463" s="34">
        <f>MAX(0,$AT463-$W463-$AI463)</f>
        <v/>
      </c>
      <c r="AH463" s="34" t="n"/>
      <c r="AI463" s="34" t="n"/>
      <c r="AJ463" s="36" t="n">
        <v>0.42</v>
      </c>
      <c r="AK463" s="36">
        <f>IF(AND($AG463&gt;0,ISNUMBER($AJ463)),$AG463*$AJ463,0)</f>
        <v/>
      </c>
      <c r="AT463" s="37">
        <f>SUM(AU463:BA463)</f>
        <v/>
      </c>
      <c r="AU463" s="73" t="n"/>
      <c r="AV463" s="33" t="n"/>
      <c r="AW463" s="98" t="n">
        <v>1</v>
      </c>
      <c r="AX463" s="33" t="n"/>
      <c r="AY463" s="33" t="n"/>
      <c r="AZ463" s="33" t="n"/>
      <c r="BA463" s="74" t="n"/>
      <c r="BB463" s="106" t="n"/>
      <c r="BC463" s="42" t="n"/>
      <c r="BD463" s="42" t="n"/>
    </row>
    <row r="464" ht="15" customHeight="1" s="148">
      <c r="A464" t="inlineStr">
        <is>
          <t>c0460</t>
        </is>
      </c>
      <c r="B464" s="44" t="inlineStr">
        <is>
          <t>Large Bear</t>
        </is>
      </c>
      <c r="C464" s="40" t="inlineStr">
        <is>
          <t>Multi</t>
        </is>
      </c>
      <c r="D464" s="39" t="inlineStr">
        <is>
          <t>Creature</t>
        </is>
      </c>
      <c r="E464" s="41" t="inlineStr">
        <is>
          <t>B2</t>
        </is>
      </c>
      <c r="F464" s="40" t="n">
        <v>5</v>
      </c>
      <c r="G464" s="67" t="inlineStr">
        <is>
          <t>Reach, trample, haste
(5/5)</t>
        </is>
      </c>
      <c r="H464" s="39" t="inlineStr">
        <is>
          <t>Finisher</t>
        </is>
      </c>
      <c r="I464" s="39" t="inlineStr">
        <is>
          <t>Reach, trample, haste</t>
        </is>
      </c>
      <c r="J464" s="39" t="n"/>
      <c r="K464" s="39" t="n"/>
      <c r="L464" s="42" t="n"/>
      <c r="M464" s="42" t="n"/>
      <c r="N464" s="42" t="n"/>
      <c r="O464" s="63" t="n"/>
      <c r="P464" s="63" t="n"/>
      <c r="Q464" s="42" t="n"/>
      <c r="R464" s="42" t="n"/>
      <c r="S464" s="42" t="n"/>
      <c r="T464" s="63" t="n"/>
      <c r="U464" s="63" t="n"/>
      <c r="V464" s="39" t="inlineStr">
        <is>
          <t>The Hobbit</t>
        </is>
      </c>
      <c r="W464" s="41" t="n">
        <v>1</v>
      </c>
      <c r="X464" s="37">
        <f>SUM(Y464:AE464)</f>
        <v/>
      </c>
      <c r="Y464" s="43" t="n"/>
      <c r="Z464" s="43" t="n"/>
      <c r="AA464" s="43" t="n"/>
      <c r="AB464" s="43" t="n"/>
      <c r="AC464" s="43" t="n"/>
      <c r="AD464" s="43" t="n"/>
      <c r="AE464" s="43" t="n"/>
      <c r="AF464" s="38">
        <f>IF((W464-SUM(Y464:AE464))&lt;0,0,W464-SUM(Y464:AE464))</f>
        <v/>
      </c>
      <c r="AG464" s="34">
        <f>MAX(0,$AT464-$W464-$AI464)</f>
        <v/>
      </c>
      <c r="AH464" s="39" t="n"/>
      <c r="AI464" s="39" t="n"/>
      <c r="AJ464" s="39" t="n">
        <v>1.1</v>
      </c>
      <c r="AK464" s="39">
        <f>IF(AND($AG464&gt;0,ISNUMBER($AJ464)),$AG464*$AJ464,0)</f>
        <v/>
      </c>
      <c r="AT464" s="37">
        <f>SUM(AU464:BA464)</f>
        <v/>
      </c>
      <c r="AU464" s="73" t="n"/>
      <c r="AV464" s="33" t="n"/>
      <c r="AW464" s="33" t="n"/>
      <c r="AX464" s="33" t="n"/>
      <c r="AY464" s="33" t="n"/>
      <c r="AZ464" s="33" t="n"/>
      <c r="BA464" s="74" t="n"/>
      <c r="BB464" s="107" t="n"/>
      <c r="BC464" s="42" t="n"/>
      <c r="BD464" s="42" t="n"/>
    </row>
    <row r="465" ht="15" customHeight="1" s="148">
      <c r="A465" t="inlineStr">
        <is>
          <t>c0461</t>
        </is>
      </c>
      <c r="B465" s="44" t="inlineStr">
        <is>
          <t>Lorehold Archivist // Restore Relic</t>
        </is>
      </c>
      <c r="C465" s="34" t="inlineStr">
        <is>
          <t>Multi</t>
        </is>
      </c>
      <c r="D465" s="44" t="inlineStr">
        <is>
          <t>Creature</t>
        </is>
      </c>
      <c r="E465" s="41" t="inlineStr">
        <is>
          <t>B2</t>
        </is>
      </c>
      <c r="F465" s="34" t="n">
        <v>3</v>
      </c>
      <c r="G465" s="67" t="inlineStr">
        <is>
          <t>Lorehold Archivist {1}{R}{W} — Creature — Dwarf Artificer (3/2)
First strike
At the beginning of your upkeep, if there are three or more artifact and/or creature cards in your graveyard, this creature becomes prepared. (While it's prepared, you may cast a copy of its spell. Doing so unprepares it.)
//
Restore Relic {2}{R}{W} — Sorcery
Exile target artifact or creature card from your graveyard. Create a token that's a copy of it.</t>
        </is>
      </c>
      <c r="H465" s="45" t="inlineStr">
        <is>
          <t>Recursion</t>
        </is>
      </c>
      <c r="I465" s="45" t="inlineStr">
        <is>
          <t>Deals combat damage before normal-speed blockers</t>
        </is>
      </c>
      <c r="J465" s="45" t="inlineStr">
        <is>
          <t>Upkeep: if 3+ artifacts/creatures are in your graveyard, you may cast a copy of its other half</t>
        </is>
      </c>
      <c r="K465" s="45" t="inlineStr">
        <is>
          <t>Other half: exile an artifact or creature card from graveyard, create a copy token</t>
        </is>
      </c>
      <c r="L465" s="41" t="n"/>
      <c r="M465" s="41" t="n"/>
      <c r="N465" s="41" t="n"/>
      <c r="O465" s="41" t="n"/>
      <c r="P465" s="41" t="n">
        <v>0.3</v>
      </c>
      <c r="Q465" s="41" t="n"/>
      <c r="R465" s="41" t="n"/>
      <c r="S465" s="41" t="n"/>
      <c r="T465" s="41" t="n"/>
      <c r="U465" s="41" t="n"/>
      <c r="V465" s="45" t="inlineStr">
        <is>
          <t>Secrets of Strixhaven Commander</t>
        </is>
      </c>
      <c r="W465" s="41" t="n">
        <v>1</v>
      </c>
      <c r="X465" s="37">
        <f>SUM(Y465:AE465)</f>
        <v/>
      </c>
      <c r="Y465" s="43" t="n">
        <v>1</v>
      </c>
      <c r="Z465" s="43" t="n"/>
      <c r="AA465" s="43" t="n"/>
      <c r="AB465" s="43" t="n"/>
      <c r="AC465" s="43" t="n"/>
      <c r="AD465" s="43" t="n"/>
      <c r="AE465" s="43" t="n"/>
      <c r="AF465" s="38">
        <f>IF((W465-SUM(Y465:AE465))&lt;0,0,W465-SUM(Y465:AE465))</f>
        <v/>
      </c>
      <c r="AG465" s="34">
        <f>MAX(0,$AT465-$W465-$AI465)</f>
        <v/>
      </c>
      <c r="AH465" s="34" t="n"/>
      <c r="AI465" s="34" t="n"/>
      <c r="AJ465" s="36" t="n">
        <v>0.27</v>
      </c>
      <c r="AK465" s="36">
        <f>IF(AND($AG465&gt;0,ISNUMBER($AJ465)),$AG465*$AJ465,0)</f>
        <v/>
      </c>
      <c r="AT465" s="37">
        <f>SUM(AU465:BA465)</f>
        <v/>
      </c>
      <c r="AU465" s="82" t="n">
        <v>1</v>
      </c>
      <c r="AV465" s="33" t="n"/>
      <c r="AW465" s="33" t="n"/>
      <c r="AX465" s="33" t="n"/>
      <c r="AY465" s="33" t="n"/>
      <c r="AZ465" s="33" t="n"/>
      <c r="BA465" s="74" t="n"/>
      <c r="BB465" s="106" t="n"/>
      <c r="BC465" s="42" t="n"/>
      <c r="BD465" s="42" t="n"/>
    </row>
    <row r="466" ht="15" customHeight="1" s="148">
      <c r="A466" t="inlineStr">
        <is>
          <t>c0462</t>
        </is>
      </c>
      <c r="B466" s="44" t="inlineStr">
        <is>
          <t>Lorehold Charm</t>
        </is>
      </c>
      <c r="C466" s="34" t="inlineStr">
        <is>
          <t>Multi</t>
        </is>
      </c>
      <c r="D466" s="44" t="inlineStr">
        <is>
          <t>Instant</t>
        </is>
      </c>
      <c r="E466" s="41" t="inlineStr">
        <is>
          <t>B2</t>
        </is>
      </c>
      <c r="F466" s="34" t="n">
        <v>2</v>
      </c>
      <c r="G466" s="67" t="inlineStr">
        <is>
          <t>Choose one —
• Each opponent sacrifices a nontoken artifact of their choice.
• Return target artifact or creature card with mana value 2 or less from your graveyard to the battlefield.
• Creatures you control get +1/+1 and gain trample until end of turn.</t>
        </is>
      </c>
      <c r="H466" s="45" t="inlineStr">
        <is>
          <t>Interaction</t>
        </is>
      </c>
      <c r="I466" s="45" t="inlineStr">
        <is>
          <t>Choose one: each opponent sacrifices a nontoken artifact</t>
        </is>
      </c>
      <c r="J466" s="45" t="inlineStr">
        <is>
          <t>Or returns a MV 2 or less artifact/creature from graveyard to battlefield</t>
        </is>
      </c>
      <c r="K466" s="45" t="inlineStr">
        <is>
          <t>Or your creatures get +1/+1 and push through blockers this turn</t>
        </is>
      </c>
      <c r="L466" s="42" t="n"/>
      <c r="M466" s="42" t="n"/>
      <c r="N466" s="42" t="n"/>
      <c r="O466" s="42" t="n"/>
      <c r="P466" s="42" t="n">
        <v>0.24</v>
      </c>
      <c r="Q466" s="42" t="n"/>
      <c r="R466" s="42" t="n"/>
      <c r="S466" s="42" t="n"/>
      <c r="T466" s="42" t="n"/>
      <c r="U466" s="42" t="n"/>
      <c r="V466" s="45" t="inlineStr">
        <is>
          <t>Secrets of Strixhaven</t>
        </is>
      </c>
      <c r="W466" s="41" t="n">
        <v>1</v>
      </c>
      <c r="X466" s="37">
        <f>SUM(Y466:AE466)</f>
        <v/>
      </c>
      <c r="Y466" s="43" t="n">
        <v>1</v>
      </c>
      <c r="Z466" s="43" t="n"/>
      <c r="AA466" s="43" t="n"/>
      <c r="AB466" s="43" t="n"/>
      <c r="AC466" s="43" t="n"/>
      <c r="AD466" s="43" t="n"/>
      <c r="AE466" s="43" t="n"/>
      <c r="AF466" s="38">
        <f>IF((W466-SUM(Y466:AE466))&lt;0,0,W466-SUM(Y466:AE466))</f>
        <v/>
      </c>
      <c r="AG466" s="34">
        <f>MAX(0,$AT466-$W466-$AI466)</f>
        <v/>
      </c>
      <c r="AH466" s="34" t="n"/>
      <c r="AI466" s="34" t="n"/>
      <c r="AJ466" s="36" t="n">
        <v>0.25</v>
      </c>
      <c r="AK466" s="36">
        <f>IF(AND($AG466&gt;0,ISNUMBER($AJ466)),$AG466*$AJ466,0)</f>
        <v/>
      </c>
      <c r="AT466" s="37">
        <f>SUM(AU466:BA466)</f>
        <v/>
      </c>
      <c r="AU466" s="82" t="n">
        <v>1</v>
      </c>
      <c r="AV466" s="33" t="n"/>
      <c r="AW466" s="33" t="n"/>
      <c r="AX466" s="33" t="n"/>
      <c r="AY466" s="33" t="n"/>
      <c r="AZ466" s="33" t="n"/>
      <c r="BA466" s="74" t="n"/>
      <c r="BB466" s="106" t="n"/>
      <c r="BC466" s="42" t="n"/>
      <c r="BD466" s="42" t="n"/>
    </row>
    <row r="467" ht="15" customHeight="1" s="148">
      <c r="A467" t="inlineStr">
        <is>
          <t>c0463</t>
        </is>
      </c>
      <c r="B467" s="44" t="inlineStr">
        <is>
          <t>Lorehold Command</t>
        </is>
      </c>
      <c r="C467" s="34" t="inlineStr">
        <is>
          <t>Multi</t>
        </is>
      </c>
      <c r="D467" s="44" t="inlineStr">
        <is>
          <t>Instant</t>
        </is>
      </c>
      <c r="E467" s="41" t="inlineStr">
        <is>
          <t>B2</t>
        </is>
      </c>
      <c r="F467" s="34" t="n">
        <v>5</v>
      </c>
      <c r="G467" s="67" t="inlineStr">
        <is>
          <t>Choose two —
• Create a 3/2 red and white Spirit creature token.
• Creatures you control get +1/+0 and gain indestructible and haste until end of turn.
• Lorehold Command deals 3 damage to any target. Target player gains 3 life.
• Sacrifice a permanent, then draw two cards.</t>
        </is>
      </c>
      <c r="H467" s="45" t="inlineStr">
        <is>
          <t>Removal</t>
        </is>
      </c>
      <c r="I467" s="45" t="inlineStr">
        <is>
          <t>Choose two —</t>
        </is>
      </c>
      <c r="J467" s="45" t="inlineStr">
        <is>
          <t>• Create a 3/2 red and white Spirit creature token</t>
        </is>
      </c>
      <c r="K467" s="45" t="inlineStr">
        <is>
          <t>• Creatures you control get +1/+0 and gain indestructible and haste until end of turn</t>
        </is>
      </c>
      <c r="L467" s="42" t="n"/>
      <c r="M467" s="42" t="n"/>
      <c r="N467" s="42" t="n"/>
      <c r="O467" s="42" t="n"/>
      <c r="P467" s="42" t="n">
        <v>0.39</v>
      </c>
      <c r="Q467" s="42" t="n"/>
      <c r="R467" s="42" t="n"/>
      <c r="S467" s="42" t="n"/>
      <c r="T467" s="42" t="n"/>
      <c r="U467" s="42" t="n"/>
      <c r="V467" s="45" t="inlineStr">
        <is>
          <t>Strixhaven: School of Mages</t>
        </is>
      </c>
      <c r="W467" s="41" t="n">
        <v>1</v>
      </c>
      <c r="X467" s="37">
        <f>SUM(Y467:AE467)</f>
        <v/>
      </c>
      <c r="Y467" s="43" t="n"/>
      <c r="Z467" s="43" t="n"/>
      <c r="AA467" s="43" t="n"/>
      <c r="AB467" s="43" t="n"/>
      <c r="AC467" s="43" t="n"/>
      <c r="AD467" s="43" t="n"/>
      <c r="AE467" s="43" t="n"/>
      <c r="AF467" s="38">
        <f>IF((W467-SUM(Y467:AE467))&lt;0,0,W467-SUM(Y467:AE467))</f>
        <v/>
      </c>
      <c r="AG467" s="34">
        <f>MAX(0,$AT467-$W467-$AI467)</f>
        <v/>
      </c>
      <c r="AH467" s="34" t="n"/>
      <c r="AI467" s="34" t="n"/>
      <c r="AJ467" s="36" t="n">
        <v>0.41</v>
      </c>
      <c r="AK467" s="36">
        <f>IF(AND($AG467&gt;0,ISNUMBER($AJ467)),$AG467*$AJ467,0)</f>
        <v/>
      </c>
      <c r="AT467" s="37">
        <f>SUM(AU467:BA467)</f>
        <v/>
      </c>
      <c r="AU467" s="73" t="n"/>
      <c r="AV467" s="33" t="n"/>
      <c r="AW467" s="33" t="n"/>
      <c r="AX467" s="33" t="n"/>
      <c r="AY467" s="33" t="n"/>
      <c r="AZ467" s="33" t="n"/>
      <c r="BA467" s="74" t="n"/>
      <c r="BB467" s="106" t="n"/>
      <c r="BC467" s="42" t="n"/>
      <c r="BD467" s="48" t="n"/>
    </row>
    <row r="468" ht="15" customHeight="1" s="148">
      <c r="A468" t="inlineStr">
        <is>
          <t>c0464</t>
        </is>
      </c>
      <c r="B468" s="44" t="inlineStr">
        <is>
          <t>Lorehold Excavation</t>
        </is>
      </c>
      <c r="C468" s="34" t="inlineStr">
        <is>
          <t>Multi</t>
        </is>
      </c>
      <c r="D468" s="44" t="inlineStr">
        <is>
          <t>Enchantment</t>
        </is>
      </c>
      <c r="E468" s="41" t="inlineStr">
        <is>
          <t>B2</t>
        </is>
      </c>
      <c r="F468" s="34" t="n">
        <v>2</v>
      </c>
      <c r="G468" s="67" t="inlineStr">
        <is>
          <t>At the beginning of your end step, mill a card. If a land card was milled this way, you gain 1 life. Otherwise, this enchantment deals 1 damage to each opponent. (To mill a card, put the top card of your library into your graveyard.)
{5}, Exile a creature card from your graveyard: Create a tapped 3/2 red and white Spirit creature token.</t>
        </is>
      </c>
      <c r="H468" s="45" t="inlineStr">
        <is>
          <t>Value Engine</t>
        </is>
      </c>
      <c r="I468" s="45" t="inlineStr">
        <is>
          <t>At the beginning of your end step, mill a card. If a land card was milled this way, you gain 1 life. Otherwise, this enc</t>
        </is>
      </c>
      <c r="J468" s="45" t="inlineStr">
        <is>
          <t>{5}, Exile a creature card from your graveyard: Create a tapped 3/2 red and white Spirit creature token</t>
        </is>
      </c>
      <c r="K468" s="45" t="n"/>
      <c r="L468" s="42" t="n"/>
      <c r="M468" s="42" t="n"/>
      <c r="N468" s="42" t="n"/>
      <c r="O468" s="42" t="n"/>
      <c r="P468" s="42" t="n">
        <v>0.23</v>
      </c>
      <c r="Q468" s="42" t="n"/>
      <c r="R468" s="42" t="n"/>
      <c r="S468" s="42" t="n"/>
      <c r="T468" s="42" t="n"/>
      <c r="U468" s="42" t="n"/>
      <c r="V468" s="45" t="inlineStr">
        <is>
          <t>Strixhaven: School of Mages</t>
        </is>
      </c>
      <c r="W468" s="41" t="n">
        <v>1</v>
      </c>
      <c r="X468" s="37">
        <f>SUM(Y468:AE468)</f>
        <v/>
      </c>
      <c r="Y468" s="43" t="n">
        <v>1</v>
      </c>
      <c r="Z468" s="43" t="n"/>
      <c r="AA468" s="43" t="n"/>
      <c r="AB468" s="43" t="n"/>
      <c r="AC468" s="43" t="n"/>
      <c r="AD468" s="43" t="n"/>
      <c r="AE468" s="43" t="n"/>
      <c r="AF468" s="38">
        <f>IF((W468-SUM(Y468:AE468))&lt;0,0,W468-SUM(Y468:AE468))</f>
        <v/>
      </c>
      <c r="AG468" s="34">
        <f>MAX(0,$AT468-$W468-$AI468)</f>
        <v/>
      </c>
      <c r="AH468" s="34" t="n"/>
      <c r="AI468" s="34" t="n"/>
      <c r="AJ468" s="36" t="n">
        <v>0.21</v>
      </c>
      <c r="AK468" s="36">
        <f>IF(AND($AG468&gt;0,ISNUMBER($AJ468)),$AG468*$AJ468,0)</f>
        <v/>
      </c>
      <c r="AT468" s="37">
        <f>SUM(AU468:BA468)</f>
        <v/>
      </c>
      <c r="AU468" s="82" t="n">
        <v>1</v>
      </c>
      <c r="AV468" s="33" t="n"/>
      <c r="AW468" s="33" t="n"/>
      <c r="AX468" s="33" t="n"/>
      <c r="AY468" s="33" t="n"/>
      <c r="AZ468" s="33" t="n"/>
      <c r="BA468" s="74" t="n"/>
      <c r="BB468" s="106" t="n"/>
      <c r="BC468" s="42" t="n"/>
      <c r="BD468" s="42" t="n"/>
    </row>
    <row r="469" ht="15" customHeight="1" s="148">
      <c r="A469" t="inlineStr">
        <is>
          <t>c0465</t>
        </is>
      </c>
      <c r="B469" s="44" t="inlineStr">
        <is>
          <t>Maralen, Fae Ascendant</t>
        </is>
      </c>
      <c r="C469" s="34" t="inlineStr">
        <is>
          <t>Multi</t>
        </is>
      </c>
      <c r="D469" s="44" t="inlineStr">
        <is>
          <t>Legendary Creature</t>
        </is>
      </c>
      <c r="E469" s="41" t="inlineStr">
        <is>
          <t>B2</t>
        </is>
      </c>
      <c r="F469" s="34" t="n">
        <v>5</v>
      </c>
      <c r="G469" s="67" t="inlineStr">
        <is>
          <t>Flying
Whenever Maralen or another Elf or Faerie you control enters, exile the top two cards of target opponent's library.
Once each turn, you may cast a spell with mana value less than or equal to the number of Elves and Faeries you control from among cards exiled with Maralen this turn without paying its mana cost.
(4/5)</t>
        </is>
      </c>
      <c r="H469" s="45" t="inlineStr">
        <is>
          <t>Commander</t>
        </is>
      </c>
      <c r="I469" s="45" t="inlineStr">
        <is>
          <t>Exiles two cards from opponent's library on Elf/Faerie ETB</t>
        </is>
      </c>
      <c r="J469" s="45" t="inlineStr">
        <is>
          <t>Free-casts exiled spells with MV ≤ Elves/Faeries you control</t>
        </is>
      </c>
      <c r="K469" s="45" t="n"/>
      <c r="L469" s="42" t="n"/>
      <c r="M469" s="42" t="n"/>
      <c r="N469" s="42" t="n"/>
      <c r="O469" s="63" t="n"/>
      <c r="P469" s="63" t="n">
        <v>0.47</v>
      </c>
      <c r="Q469" s="42" t="n"/>
      <c r="R469" s="42" t="n"/>
      <c r="S469" s="42" t="n"/>
      <c r="T469" s="63" t="n"/>
      <c r="U469" s="63" t="n"/>
      <c r="V469" s="45" t="inlineStr">
        <is>
          <t>Lorwyn Eclipsed</t>
        </is>
      </c>
      <c r="W469" s="41" t="n">
        <v>1</v>
      </c>
      <c r="X469" s="37">
        <f>SUM(Y469:AE469)</f>
        <v/>
      </c>
      <c r="Y469" s="43" t="n"/>
      <c r="Z469" s="43" t="n"/>
      <c r="AA469" s="43" t="n"/>
      <c r="AB469" s="43" t="n"/>
      <c r="AC469" s="43" t="n"/>
      <c r="AD469" s="43" t="n"/>
      <c r="AE469" s="43" t="n">
        <v>1</v>
      </c>
      <c r="AF469" s="38">
        <f>IF((W469-SUM(Y469:AE469))&lt;0,0,W469-SUM(Y469:AE469))</f>
        <v/>
      </c>
      <c r="AG469" s="34">
        <f>MAX(0,$AT469-$W469-$AI469)</f>
        <v/>
      </c>
      <c r="AH469" s="34" t="n"/>
      <c r="AI469" s="34" t="n"/>
      <c r="AJ469" s="36" t="n">
        <v>0.4</v>
      </c>
      <c r="AK469" s="36">
        <f>IF(AND($AG469&gt;0,ISNUMBER($AJ469)),$AG469*$AJ469,0)</f>
        <v/>
      </c>
      <c r="AT469" s="37">
        <f>SUM(AU469:BA469)</f>
        <v/>
      </c>
      <c r="AU469" s="73" t="n"/>
      <c r="AV469" s="33" t="n"/>
      <c r="AW469" s="33" t="n"/>
      <c r="AX469" s="33" t="n"/>
      <c r="AY469" s="33" t="n"/>
      <c r="AZ469" s="33" t="n"/>
      <c r="BA469" s="80" t="n">
        <v>1</v>
      </c>
      <c r="BB469" s="106" t="n"/>
      <c r="BC469" s="42" t="n"/>
      <c r="BD469" s="42" t="n"/>
    </row>
    <row r="470" ht="15" customHeight="1" s="148">
      <c r="A470" t="inlineStr">
        <is>
          <t>c0466</t>
        </is>
      </c>
      <c r="B470" s="44" t="inlineStr">
        <is>
          <t>Merfolk Skydiver</t>
        </is>
      </c>
      <c r="C470" s="34" t="inlineStr">
        <is>
          <t>Multi</t>
        </is>
      </c>
      <c r="D470" s="44" t="inlineStr">
        <is>
          <t>Creature</t>
        </is>
      </c>
      <c r="E470" s="41" t="inlineStr">
        <is>
          <t>B2</t>
        </is>
      </c>
      <c r="F470" s="34" t="n">
        <v>2</v>
      </c>
      <c r="G470" s="67" t="inlineStr">
        <is>
          <t>Flying
When this creature enters, put a +1/+1 counter on target creature you control.
{3}{G}{U}: Proliferate. (Choose any number of permanents and/or players, then give each another counter of each kind already there.)
(1/1)</t>
        </is>
      </c>
      <c r="H470" s="45" t="inlineStr">
        <is>
          <t>Proliferate</t>
        </is>
      </c>
      <c r="I470" s="45" t="inlineStr">
        <is>
          <t>Puts a +1/+1 counter on target creature you control when it enters</t>
        </is>
      </c>
      <c r="J470" s="45" t="inlineStr">
        <is>
          <t>Pay {3}{G}{U} to proliferate</t>
        </is>
      </c>
      <c r="K470" s="45" t="n"/>
      <c r="L470" s="42" t="n"/>
      <c r="M470" s="42" t="n"/>
      <c r="N470" s="42" t="n"/>
      <c r="O470" s="42" t="n"/>
      <c r="P470" s="42" t="n">
        <v>0.27</v>
      </c>
      <c r="Q470" s="42" t="n"/>
      <c r="R470" s="42" t="n"/>
      <c r="S470" s="42" t="n"/>
      <c r="T470" s="42" t="n"/>
      <c r="U470" s="42" t="n"/>
      <c r="V470" s="45" t="inlineStr">
        <is>
          <t>War of the Spark</t>
        </is>
      </c>
      <c r="W470" s="41" t="n">
        <v>1</v>
      </c>
      <c r="X470" s="37">
        <f>SUM(Y470:AE470)</f>
        <v/>
      </c>
      <c r="Y470" s="43" t="n"/>
      <c r="Z470" s="43" t="n"/>
      <c r="AA470" s="43" t="n">
        <v>1</v>
      </c>
      <c r="AB470" s="43" t="n"/>
      <c r="AC470" s="43" t="n"/>
      <c r="AD470" s="43" t="n"/>
      <c r="AE470" s="43" t="n"/>
      <c r="AF470" s="38">
        <f>IF((W470-SUM(Y470:AE470))&lt;0,0,W470-SUM(Y470:AE470))</f>
        <v/>
      </c>
      <c r="AG470" s="34">
        <f>MAX(0,$AT470-$W470-$AI470)</f>
        <v/>
      </c>
      <c r="AH470" s="34" t="n"/>
      <c r="AI470" s="34" t="n"/>
      <c r="AJ470" s="36" t="n">
        <v>0.24</v>
      </c>
      <c r="AK470" s="36">
        <f>IF(AND($AG470&gt;0,ISNUMBER($AJ470)),$AG470*$AJ470,0)</f>
        <v/>
      </c>
      <c r="AT470" s="37">
        <f>SUM(AU470:BA470)</f>
        <v/>
      </c>
      <c r="AU470" s="73" t="n"/>
      <c r="AV470" s="33" t="n"/>
      <c r="AW470" s="98" t="n">
        <v>1</v>
      </c>
      <c r="AX470" s="33" t="n"/>
      <c r="AY470" s="33" t="n"/>
      <c r="AZ470" s="33" t="n"/>
      <c r="BA470" s="74" t="n"/>
      <c r="BB470" s="106" t="n"/>
      <c r="BC470" s="42" t="n"/>
      <c r="BD470" s="42" t="n"/>
    </row>
    <row r="471" ht="15" customHeight="1" s="148">
      <c r="A471" t="inlineStr">
        <is>
          <t>c0467</t>
        </is>
      </c>
      <c r="B471" s="39" t="inlineStr">
        <is>
          <t>Merrow Skyswimmer</t>
        </is>
      </c>
      <c r="C471" s="40" t="inlineStr">
        <is>
          <t>Multi</t>
        </is>
      </c>
      <c r="D471" s="39" t="inlineStr">
        <is>
          <t>Creature</t>
        </is>
      </c>
      <c r="E471" s="41" t="inlineStr">
        <is>
          <t>B2</t>
        </is>
      </c>
      <c r="F471" s="40" t="n">
        <v>5</v>
      </c>
      <c r="G471" s="67" t="inlineStr">
        <is>
          <t>Convoke (Your creatures can help cast this spell. Each creature you tap while casting this spell pays for {1} or one mana of that creature's color.)
Flying, vigilance
When this creature enters, create a 1/1 white and blue Merfolk creature token.
(2/2)</t>
        </is>
      </c>
      <c r="H471" s="39" t="inlineStr">
        <is>
          <t>Token Producer</t>
        </is>
      </c>
      <c r="I471" s="39" t="inlineStr">
        <is>
          <t>Enters: create a 1/1 white and blue Merfolk token</t>
        </is>
      </c>
      <c r="J471" s="39" t="inlineStr">
        <is>
          <t>Flying, vigilance</t>
        </is>
      </c>
      <c r="K471" s="39" t="inlineStr">
        <is>
          <t>Convoke: tap your creatures to help cast it</t>
        </is>
      </c>
      <c r="L471" s="42" t="inlineStr">
        <is>
          <t>234</t>
        </is>
      </c>
      <c r="M471" s="42" t="n">
        <v>1</v>
      </c>
      <c r="N471" s="42" t="n">
        <v>0</v>
      </c>
      <c r="O471" s="63" t="n"/>
      <c r="P471" s="63" t="n">
        <v>0.13</v>
      </c>
      <c r="Q471" s="42" t="inlineStr">
        <is>
          <t>Common</t>
        </is>
      </c>
      <c r="R471" s="42" t="n"/>
      <c r="S471" s="42" t="n"/>
      <c r="T471" s="63" t="n"/>
      <c r="U471" s="63" t="n"/>
      <c r="V471" s="39" t="inlineStr">
        <is>
          <t>Lorwyn Eclipsed</t>
        </is>
      </c>
      <c r="W471" s="41" t="n">
        <v>2</v>
      </c>
      <c r="X471" s="37">
        <f>SUM(Y471:AE471)</f>
        <v/>
      </c>
      <c r="Y471" s="43" t="n"/>
      <c r="Z471" s="43" t="n"/>
      <c r="AA471" s="43" t="n"/>
      <c r="AB471" s="43" t="n"/>
      <c r="AC471" s="43" t="n"/>
      <c r="AD471" s="43" t="n"/>
      <c r="AE471" s="43" t="n"/>
      <c r="AF471" s="38">
        <f>IF((W471-SUM(Y471:AE471))&lt;0,0,W471-SUM(Y471:AE471))</f>
        <v/>
      </c>
      <c r="AG471" s="34">
        <f>MAX(0,$AT471-$W471-$AI471)</f>
        <v/>
      </c>
      <c r="AH471" s="39" t="n"/>
      <c r="AI471" s="39" t="n"/>
      <c r="AJ471" s="39" t="n">
        <v>0.14</v>
      </c>
      <c r="AK471" s="39">
        <f>IF(AND($AG471&gt;0,ISNUMBER($AJ471)),$AG471*$AJ471,0)</f>
        <v/>
      </c>
      <c r="AT471" s="37">
        <f>SUM(AU471:BA471)</f>
        <v/>
      </c>
      <c r="AU471" s="73" t="n"/>
      <c r="AV471" s="33" t="n"/>
      <c r="AW471" s="33" t="n"/>
      <c r="AX471" s="33" t="n"/>
      <c r="AY471" s="33" t="n"/>
      <c r="AZ471" s="33" t="n"/>
      <c r="BA471" s="74" t="n"/>
      <c r="BB471" s="107" t="n"/>
      <c r="BC471" s="42" t="n"/>
      <c r="BD471" s="42" t="n"/>
    </row>
    <row r="472" ht="15" customHeight="1" s="148">
      <c r="A472" t="inlineStr">
        <is>
          <t>c0468</t>
        </is>
      </c>
      <c r="B472" s="39" t="inlineStr">
        <is>
          <t>Mirkwood Nurturer</t>
        </is>
      </c>
      <c r="C472" s="40" t="inlineStr">
        <is>
          <t>Multi</t>
        </is>
      </c>
      <c r="D472" s="39" t="inlineStr">
        <is>
          <t>Creature</t>
        </is>
      </c>
      <c r="E472" s="41" t="inlineStr">
        <is>
          <t>B2</t>
        </is>
      </c>
      <c r="F472" s="40" t="n">
        <v>3</v>
      </c>
      <c r="G472" s="67" t="inlineStr">
        <is>
          <t>When this creature enters, return up to one other target permanent you control to its owner's hand. If you do, put a +1/+1 counter on this creature.
(3/2)</t>
        </is>
      </c>
      <c r="H472" s="39" t="inlineStr">
        <is>
          <t>Blink</t>
        </is>
      </c>
      <c r="I472" s="39" t="inlineStr">
        <is>
          <t>When this creature enters, return up to one other target permanent you control to its owner's hand. If you do, put a +1/</t>
        </is>
      </c>
      <c r="J472" s="39" t="n"/>
      <c r="K472" s="39" t="n"/>
      <c r="L472" s="41" t="n"/>
      <c r="M472" s="41" t="n"/>
      <c r="N472" s="41" t="n"/>
      <c r="O472" s="63" t="n"/>
      <c r="P472" s="63" t="n">
        <v>0.15</v>
      </c>
      <c r="Q472" s="41" t="n"/>
      <c r="R472" s="41" t="n"/>
      <c r="S472" s="41" t="n"/>
      <c r="T472" s="63" t="n"/>
      <c r="U472" s="63" t="n"/>
      <c r="V472" s="39" t="inlineStr">
        <is>
          <t>The Hobbit</t>
        </is>
      </c>
      <c r="W472" s="41" t="n">
        <v>3</v>
      </c>
      <c r="X472" s="37">
        <f>SUM(Y472:AE472)</f>
        <v/>
      </c>
      <c r="Y472" s="43" t="n"/>
      <c r="Z472" s="43" t="n">
        <v>1</v>
      </c>
      <c r="AA472" s="43" t="n"/>
      <c r="AB472" s="43" t="n"/>
      <c r="AC472" s="43" t="n"/>
      <c r="AD472" s="43" t="n"/>
      <c r="AE472" s="43" t="n">
        <v>1</v>
      </c>
      <c r="AF472" s="38">
        <f>IF((W472-SUM(Y472:AE472))&lt;0,0,W472-SUM(Y472:AE472))</f>
        <v/>
      </c>
      <c r="AG472" s="34">
        <f>MAX(0,$AT472-$W472-$AI472)</f>
        <v/>
      </c>
      <c r="AH472" s="39" t="n"/>
      <c r="AI472" s="39" t="n"/>
      <c r="AJ472" s="39" t="n">
        <v>0.15</v>
      </c>
      <c r="AK472" s="39">
        <f>IF(AND($AG472&gt;0,ISNUMBER($AJ472)),$AG472*$AJ472,0)</f>
        <v/>
      </c>
      <c r="AM472" s="58" t="n"/>
      <c r="AT472" s="37">
        <f>SUM(AU472:BA472)</f>
        <v/>
      </c>
      <c r="AU472" s="73" t="n"/>
      <c r="AV472" s="98" t="n">
        <v>1</v>
      </c>
      <c r="AW472" s="33" t="n"/>
      <c r="AX472" s="33" t="n"/>
      <c r="AY472" s="33" t="n"/>
      <c r="AZ472" s="33" t="n"/>
      <c r="BA472" s="80" t="n">
        <v>1</v>
      </c>
      <c r="BB472" s="107" t="n"/>
      <c r="BC472" s="42" t="n"/>
      <c r="BD472" s="42" t="n"/>
    </row>
    <row r="473" ht="15" customHeight="1" s="148">
      <c r="A473" t="inlineStr">
        <is>
          <t>c0469</t>
        </is>
      </c>
      <c r="B473" s="44" t="inlineStr">
        <is>
          <t>Mistmeadow Witch</t>
        </is>
      </c>
      <c r="C473" s="34" t="inlineStr">
        <is>
          <t>Multi</t>
        </is>
      </c>
      <c r="D473" s="44" t="inlineStr">
        <is>
          <t>Creature</t>
        </is>
      </c>
      <c r="E473" s="41" t="inlineStr">
        <is>
          <t>B2</t>
        </is>
      </c>
      <c r="F473" s="34" t="n">
        <v>2</v>
      </c>
      <c r="G473" s="67" t="inlineStr">
        <is>
          <t>{2}{W}{U}: Exile target creature. Return that card to the battlefield under its owner's control at the beginning of the next end step.
(1/1)</t>
        </is>
      </c>
      <c r="H473" s="45" t="inlineStr">
        <is>
          <t>Blink</t>
        </is>
      </c>
      <c r="I473" s="45" t="inlineStr">
        <is>
          <t>Exiles a creature, returning it at the next end step</t>
        </is>
      </c>
      <c r="J473" s="45" t="n"/>
      <c r="K473" s="45" t="n"/>
      <c r="L473" s="42" t="n"/>
      <c r="M473" s="42" t="n"/>
      <c r="N473" s="42" t="n"/>
      <c r="O473" s="42" t="n"/>
      <c r="P473" s="42" t="n">
        <v>0.24</v>
      </c>
      <c r="Q473" s="42" t="n"/>
      <c r="R473" s="42" t="n"/>
      <c r="S473" s="42" t="n"/>
      <c r="T473" s="42" t="n"/>
      <c r="U473" s="42" t="n"/>
      <c r="V473" s="45" t="inlineStr">
        <is>
          <t>Shadowmoor</t>
        </is>
      </c>
      <c r="W473" s="41" t="n">
        <v>1</v>
      </c>
      <c r="X473" s="37">
        <f>SUM(Y473:AE473)</f>
        <v/>
      </c>
      <c r="Y473" s="43" t="n"/>
      <c r="Z473" s="43" t="n">
        <v>1</v>
      </c>
      <c r="AA473" s="43" t="n"/>
      <c r="AB473" s="43" t="n"/>
      <c r="AC473" s="43" t="n"/>
      <c r="AD473" s="43" t="n"/>
      <c r="AE473" s="43" t="n"/>
      <c r="AF473" s="38">
        <f>IF((W473-SUM(Y473:AE473))&lt;0,0,W473-SUM(Y473:AE473))</f>
        <v/>
      </c>
      <c r="AG473" s="34">
        <f>MAX(0,$AT473-$W473-$AI473)</f>
        <v/>
      </c>
      <c r="AH473" s="34" t="n"/>
      <c r="AI473" s="34" t="n"/>
      <c r="AJ473" s="36" t="n">
        <v>0.23</v>
      </c>
      <c r="AK473" s="36">
        <f>IF(AND($AG473&gt;0,ISNUMBER($AJ473)),$AG473*$AJ473,0)</f>
        <v/>
      </c>
      <c r="AT473" s="37">
        <f>SUM(AU473:BA473)</f>
        <v/>
      </c>
      <c r="AU473" s="73" t="n"/>
      <c r="AV473" s="98" t="n">
        <v>1</v>
      </c>
      <c r="AW473" s="33" t="n"/>
      <c r="AX473" s="33" t="n"/>
      <c r="AY473" s="33" t="n"/>
      <c r="AZ473" s="33" t="n"/>
      <c r="BA473" s="74" t="n"/>
      <c r="BB473" s="106" t="n"/>
      <c r="BC473" s="42" t="n"/>
      <c r="BD473" s="42" t="n"/>
    </row>
    <row r="474" ht="15" customHeight="1" s="148">
      <c r="A474" t="inlineStr">
        <is>
          <t>c0470</t>
        </is>
      </c>
      <c r="B474" s="44" t="inlineStr">
        <is>
          <t>Momentary Blink</t>
        </is>
      </c>
      <c r="C474" s="34" t="inlineStr">
        <is>
          <t>Multi</t>
        </is>
      </c>
      <c r="D474" s="44" t="inlineStr">
        <is>
          <t>Instant</t>
        </is>
      </c>
      <c r="E474" s="41" t="inlineStr">
        <is>
          <t>B2</t>
        </is>
      </c>
      <c r="F474" s="34" t="n">
        <v>2</v>
      </c>
      <c r="G474" s="67" t="inlineStr">
        <is>
          <t>Exile target creature you control, then return it to the battlefield under its owner's control.
Flashback {3}{U} (You may cast this card from your graveyard for its flashback cost. Then exile it.)</t>
        </is>
      </c>
      <c r="H474" s="45" t="inlineStr">
        <is>
          <t>Blink</t>
        </is>
      </c>
      <c r="I474" s="45" t="inlineStr">
        <is>
          <t>Exiles then returns target creature you control</t>
        </is>
      </c>
      <c r="J474" s="45" t="inlineStr">
        <is>
          <t>Flashback {3}{U}</t>
        </is>
      </c>
      <c r="K474" s="45" t="n"/>
      <c r="L474" s="42" t="n"/>
      <c r="M474" s="42" t="n"/>
      <c r="N474" s="42" t="n"/>
      <c r="O474" s="42" t="n"/>
      <c r="P474" s="42" t="n">
        <v>0.24</v>
      </c>
      <c r="Q474" s="42" t="n"/>
      <c r="R474" s="42" t="n"/>
      <c r="S474" s="42" t="n"/>
      <c r="T474" s="42" t="n"/>
      <c r="U474" s="42" t="n"/>
      <c r="V474" s="45" t="inlineStr">
        <is>
          <t>Time Spiral</t>
        </is>
      </c>
      <c r="W474" s="41" t="n">
        <v>0</v>
      </c>
      <c r="X474" s="37">
        <f>SUM(Y474:AE474)</f>
        <v/>
      </c>
      <c r="Y474" s="43" t="n"/>
      <c r="Z474" s="43" t="n"/>
      <c r="AA474" s="43" t="n"/>
      <c r="AB474" s="43" t="n"/>
      <c r="AC474" s="43" t="n"/>
      <c r="AD474" s="43" t="n"/>
      <c r="AE474" s="43" t="n"/>
      <c r="AF474" s="38">
        <f>IF((W474-SUM(Y474:AE474))&lt;0,0,W474-SUM(Y474:AE474))</f>
        <v/>
      </c>
      <c r="AG474" s="34">
        <f>MAX(0,$AT474-$W474-$AI474)</f>
        <v/>
      </c>
      <c r="AH474" s="34" t="n"/>
      <c r="AI474" s="34" t="n"/>
      <c r="AJ474" s="36" t="n">
        <v>0.19</v>
      </c>
      <c r="AK474" s="36">
        <f>IF(AND($AG474&gt;0,ISNUMBER($AJ474)),$AG474*$AJ474,0)</f>
        <v/>
      </c>
      <c r="AL474" s="54" t="n"/>
      <c r="AM474" s="54" t="n"/>
      <c r="AN474" s="54" t="n"/>
      <c r="AO474" s="54" t="n"/>
      <c r="AP474" s="54" t="n"/>
      <c r="AQ474" s="54" t="n"/>
      <c r="AR474" s="54" t="n"/>
      <c r="AS474" s="54" t="n"/>
      <c r="AT474" s="37">
        <f>SUM(AU474:BA474)</f>
        <v/>
      </c>
      <c r="AU474" s="92" t="n"/>
      <c r="AV474" s="38" t="n"/>
      <c r="AW474" s="38" t="n"/>
      <c r="AX474" s="38" t="n"/>
      <c r="AY474" s="38" t="n"/>
      <c r="AZ474" s="38" t="n"/>
      <c r="BA474" s="94" t="n"/>
      <c r="BB474" s="106" t="n"/>
      <c r="BC474" s="42" t="n"/>
      <c r="BD474" s="42" t="n"/>
    </row>
    <row r="475" ht="15" customHeight="1" s="148">
      <c r="A475" t="inlineStr">
        <is>
          <t>c0471</t>
        </is>
      </c>
      <c r="B475" s="44" t="inlineStr">
        <is>
          <t>Mortify</t>
        </is>
      </c>
      <c r="C475" s="34" t="inlineStr">
        <is>
          <t>Multi</t>
        </is>
      </c>
      <c r="D475" s="44" t="inlineStr">
        <is>
          <t>Instant</t>
        </is>
      </c>
      <c r="E475" s="41" t="inlineStr">
        <is>
          <t>B2</t>
        </is>
      </c>
      <c r="F475" s="34" t="n">
        <v>3</v>
      </c>
      <c r="G475" s="67" t="inlineStr">
        <is>
          <t>Destroy target creature or enchantment.</t>
        </is>
      </c>
      <c r="H475" s="45" t="inlineStr">
        <is>
          <t>Removal</t>
        </is>
      </c>
      <c r="I475" s="45" t="inlineStr">
        <is>
          <t>Destroys target creature or enchantment</t>
        </is>
      </c>
      <c r="J475" s="45" t="n"/>
      <c r="K475" s="45" t="n"/>
      <c r="L475" s="42" t="n"/>
      <c r="M475" s="42" t="n"/>
      <c r="N475" s="42" t="n"/>
      <c r="O475" s="42" t="n"/>
      <c r="P475" s="42" t="n">
        <v>0.19</v>
      </c>
      <c r="Q475" s="42" t="n"/>
      <c r="R475" s="42" t="n"/>
      <c r="S475" s="42" t="n"/>
      <c r="T475" s="42" t="n"/>
      <c r="U475" s="42" t="n"/>
      <c r="V475" s="45" t="inlineStr">
        <is>
          <t>Guildpact</t>
        </is>
      </c>
      <c r="W475" s="41" t="n">
        <v>1</v>
      </c>
      <c r="X475" s="37">
        <f>SUM(Y475:AE475)</f>
        <v/>
      </c>
      <c r="Y475" s="43" t="n"/>
      <c r="Z475" s="43" t="n"/>
      <c r="AA475" s="43" t="n">
        <v>1</v>
      </c>
      <c r="AB475" s="43" t="n"/>
      <c r="AC475" s="43" t="n"/>
      <c r="AD475" s="43" t="n"/>
      <c r="AE475" s="43" t="n"/>
      <c r="AF475" s="38">
        <f>IF((W475-SUM(Y475:AE475))&lt;0,0,W475-SUM(Y475:AE475))</f>
        <v/>
      </c>
      <c r="AG475" s="34">
        <f>MAX(0,$AT475-$W475-$AI475)</f>
        <v/>
      </c>
      <c r="AH475" s="34" t="n"/>
      <c r="AI475" s="34" t="n"/>
      <c r="AJ475" s="36" t="n">
        <v>0.18</v>
      </c>
      <c r="AK475" s="36">
        <f>IF(AND($AG475&gt;0,ISNUMBER($AJ475)),$AG475*$AJ475,0)</f>
        <v/>
      </c>
      <c r="AT475" s="37">
        <f>SUM(AU475:BA475)</f>
        <v/>
      </c>
      <c r="AU475" s="73" t="n"/>
      <c r="AV475" s="33" t="n"/>
      <c r="AW475" s="98" t="n">
        <v>1</v>
      </c>
      <c r="AX475" s="33" t="n"/>
      <c r="AY475" s="33" t="n"/>
      <c r="AZ475" s="33" t="n"/>
      <c r="BA475" s="74" t="n"/>
      <c r="BB475" s="106" t="n"/>
      <c r="BC475" s="42" t="n"/>
      <c r="BD475" s="42" t="n"/>
    </row>
    <row r="476" ht="15" customHeight="1" s="148">
      <c r="A476" t="inlineStr">
        <is>
          <t>c0472</t>
        </is>
      </c>
      <c r="B476" s="44" t="inlineStr">
        <is>
          <t>Nori, Teller of Tales</t>
        </is>
      </c>
      <c r="C476" s="40" t="inlineStr">
        <is>
          <t>Multi</t>
        </is>
      </c>
      <c r="D476" s="39" t="inlineStr">
        <is>
          <t>Legendary Creature</t>
        </is>
      </c>
      <c r="E476" s="41" t="inlineStr">
        <is>
          <t>B2</t>
        </is>
      </c>
      <c r="F476" s="40" t="n">
        <v>2</v>
      </c>
      <c r="G476" s="67" t="inlineStr">
        <is>
          <t>Whenever Nori attacks, target attacking creature gains first strike until end of turn.
(2/2)</t>
        </is>
      </c>
      <c r="H476" s="39" t="inlineStr">
        <is>
          <t>Combat Trick</t>
        </is>
      </c>
      <c r="I476" s="39" t="inlineStr">
        <is>
          <t>Whenever it attacks, target attacking creature gains first strike until end of turn</t>
        </is>
      </c>
      <c r="J476" s="39" t="n"/>
      <c r="K476" s="39" t="n"/>
      <c r="L476" s="42" t="n"/>
      <c r="M476" s="42" t="n"/>
      <c r="N476" s="42" t="n"/>
      <c r="O476" s="63" t="n"/>
      <c r="P476" s="63" t="n"/>
      <c r="Q476" s="42" t="n"/>
      <c r="R476" s="42" t="n"/>
      <c r="S476" s="42" t="n"/>
      <c r="T476" s="63" t="n"/>
      <c r="U476" s="63" t="n"/>
      <c r="V476" s="39" t="inlineStr">
        <is>
          <t>The Hobbit</t>
        </is>
      </c>
      <c r="W476" s="41" t="n">
        <v>1</v>
      </c>
      <c r="X476" s="37">
        <f>SUM(Y476:AE476)</f>
        <v/>
      </c>
      <c r="Y476" s="43" t="n"/>
      <c r="Z476" s="43" t="n"/>
      <c r="AA476" s="43" t="n"/>
      <c r="AB476" s="43" t="n"/>
      <c r="AC476" s="43" t="n"/>
      <c r="AD476" s="43" t="n"/>
      <c r="AE476" s="43" t="n"/>
      <c r="AF476" s="38">
        <f>IF((W476-SUM(Y476:AE476))&lt;0,0,W476-SUM(Y476:AE476))</f>
        <v/>
      </c>
      <c r="AG476" s="34">
        <f>MAX(0,$AT476-$W476-$AI476)</f>
        <v/>
      </c>
      <c r="AH476" s="39" t="n"/>
      <c r="AI476" s="39" t="n"/>
      <c r="AJ476" s="39" t="n">
        <v>0.14</v>
      </c>
      <c r="AK476" s="39">
        <f>IF(AND($AG476&gt;0,ISNUMBER($AJ476)),$AG476*$AJ476,0)</f>
        <v/>
      </c>
      <c r="AT476" s="37">
        <f>SUM(AU476:BA476)</f>
        <v/>
      </c>
      <c r="AU476" s="73" t="n"/>
      <c r="AV476" s="33" t="n"/>
      <c r="AW476" s="33" t="n"/>
      <c r="AX476" s="33" t="n"/>
      <c r="AY476" s="33" t="n"/>
      <c r="AZ476" s="33" t="n"/>
      <c r="BA476" s="74" t="n"/>
      <c r="BB476" s="107" t="n"/>
      <c r="BC476" s="42" t="n"/>
      <c r="BD476" s="42" t="n"/>
    </row>
    <row r="477" ht="15" customHeight="1" s="148">
      <c r="A477" t="inlineStr">
        <is>
          <t>c0473</t>
        </is>
      </c>
      <c r="B477" s="39" t="inlineStr">
        <is>
          <t>Patient Instructor</t>
        </is>
      </c>
      <c r="C477" s="40" t="inlineStr">
        <is>
          <t>Multi</t>
        </is>
      </c>
      <c r="D477" s="39" t="inlineStr">
        <is>
          <t>Creature</t>
        </is>
      </c>
      <c r="E477" s="41" t="inlineStr">
        <is>
          <t>B2</t>
        </is>
      </c>
      <c r="F477" s="40" t="n">
        <v>3</v>
      </c>
      <c r="G477" s="67" t="inlineStr">
        <is>
          <t>Vigilance
When this creature enters, recruit. (Draw a card, then discard a card. If you discarded a nonland card, create a 1/1 white Human Soldier creature token.)
(2/2)</t>
        </is>
      </c>
      <c r="H477" s="39" t="inlineStr">
        <is>
          <t>Token Producer</t>
        </is>
      </c>
      <c r="I477" s="39" t="inlineStr">
        <is>
          <t>Enters: recruit (draw a card, then discard a card; if you discarded a nonland card, create a 1/1 Human Soldier token)</t>
        </is>
      </c>
      <c r="J477" s="39" t="inlineStr">
        <is>
          <t>Vigilance</t>
        </is>
      </c>
      <c r="K477" s="39" t="n"/>
      <c r="L477" s="42" t="inlineStr">
        <is>
          <t>162</t>
        </is>
      </c>
      <c r="M477" s="42" t="n">
        <v>1</v>
      </c>
      <c r="N477" s="42" t="n">
        <v>0</v>
      </c>
      <c r="O477" s="63" t="n"/>
      <c r="P477" s="63" t="n">
        <v>0.13</v>
      </c>
      <c r="Q477" s="42" t="inlineStr">
        <is>
          <t>Common</t>
        </is>
      </c>
      <c r="R477" s="42" t="n"/>
      <c r="S477" s="42" t="n"/>
      <c r="T477" s="63" t="n"/>
      <c r="U477" s="63" t="n"/>
      <c r="V477" s="39" t="inlineStr">
        <is>
          <t>The Hobbit</t>
        </is>
      </c>
      <c r="W477" s="41" t="n">
        <v>2</v>
      </c>
      <c r="X477" s="37">
        <f>SUM(Y477:AE477)</f>
        <v/>
      </c>
      <c r="Y477" s="43" t="n"/>
      <c r="Z477" s="43" t="n"/>
      <c r="AA477" s="43" t="n"/>
      <c r="AB477" s="43" t="n"/>
      <c r="AC477" s="43" t="n"/>
      <c r="AD477" s="43" t="n"/>
      <c r="AE477" s="43" t="n"/>
      <c r="AF477" s="38">
        <f>IF((W477-SUM(Y477:AE477))&lt;0,0,W477-SUM(Y477:AE477))</f>
        <v/>
      </c>
      <c r="AG477" s="34">
        <f>MAX(0,$AT477-$W477-$AI477)</f>
        <v/>
      </c>
      <c r="AH477" s="39" t="n"/>
      <c r="AI477" s="39" t="n"/>
      <c r="AJ477" s="39" t="n">
        <v>0.14</v>
      </c>
      <c r="AK477" s="39">
        <f>IF(AND($AG477&gt;0,ISNUMBER($AJ477)),$AG477*$AJ477,0)</f>
        <v/>
      </c>
      <c r="AT477" s="37">
        <f>SUM(AU477:BA477)</f>
        <v/>
      </c>
      <c r="AU477" s="73" t="n"/>
      <c r="AV477" s="33" t="n"/>
      <c r="AW477" s="33" t="n"/>
      <c r="AX477" s="33" t="n"/>
      <c r="AY477" s="33" t="n"/>
      <c r="AZ477" s="33" t="n"/>
      <c r="BA477" s="74" t="n"/>
      <c r="BB477" s="107" t="n"/>
      <c r="BC477" s="42" t="n"/>
      <c r="BD477" s="42" t="n"/>
    </row>
    <row r="478" ht="15" customHeight="1" s="148">
      <c r="A478" t="inlineStr">
        <is>
          <t>c0474</t>
        </is>
      </c>
      <c r="B478" s="30" t="inlineStr">
        <is>
          <t>Pest Mascot</t>
        </is>
      </c>
      <c r="C478" s="31" t="inlineStr">
        <is>
          <t>Multi</t>
        </is>
      </c>
      <c r="D478" s="30" t="inlineStr">
        <is>
          <t>Creature</t>
        </is>
      </c>
      <c r="E478" s="33" t="inlineStr">
        <is>
          <t>B2</t>
        </is>
      </c>
      <c r="F478" s="30" t="n">
        <v>3</v>
      </c>
      <c r="G478" s="67" t="inlineStr">
        <is>
          <t>Trample
Whenever you gain life, put a +1/+1 counter on this creature.
(2/3)</t>
        </is>
      </c>
      <c r="H478" s="30" t="inlineStr">
        <is>
          <t>Counters Payoff</t>
        </is>
      </c>
      <c r="I478" s="30" t="inlineStr">
        <is>
          <t>Whenever you gain life, put a +1/+1 counter on this creature</t>
        </is>
      </c>
      <c r="J478" s="30" t="inlineStr">
        <is>
          <t>2/3 trample body</t>
        </is>
      </c>
      <c r="K478" s="30" t="n"/>
      <c r="L478" s="32" t="inlineStr">
        <is>
          <t>209</t>
        </is>
      </c>
      <c r="M478" s="32" t="n">
        <v>1</v>
      </c>
      <c r="N478" s="32" t="n">
        <v>0</v>
      </c>
      <c r="O478" s="63" t="inlineStr">
        <is>
          <t>Filipe Pagliuso</t>
        </is>
      </c>
      <c r="P478" s="63" t="n">
        <v>0.25</v>
      </c>
      <c r="Q478" s="32" t="inlineStr">
        <is>
          <t>Common</t>
        </is>
      </c>
      <c r="R478" s="32" t="n"/>
      <c r="S478" s="32" t="n"/>
      <c r="T478" s="63" t="n"/>
      <c r="U478" s="63" t="n"/>
      <c r="V478" s="30" t="inlineStr">
        <is>
          <t>Secrets of Strixhaven</t>
        </is>
      </c>
      <c r="W478" s="41" t="n">
        <v>1</v>
      </c>
      <c r="X478" s="37">
        <f>SUM(Y478:AE478)</f>
        <v/>
      </c>
      <c r="Y478" s="43" t="n"/>
      <c r="Z478" s="43" t="n"/>
      <c r="AA478" s="43" t="n"/>
      <c r="AB478" s="43" t="n"/>
      <c r="AC478" s="43" t="n"/>
      <c r="AD478" s="43" t="n"/>
      <c r="AE478" s="43" t="n"/>
      <c r="AF478" s="38">
        <f>IF((W478-SUM(Y478:AE478))&lt;0,0,W478-SUM(Y478:AE478))</f>
        <v/>
      </c>
      <c r="AG478" s="34">
        <f>MAX(0,$AT478-$W478-$AI478)</f>
        <v/>
      </c>
      <c r="AH478" s="30" t="n"/>
      <c r="AI478" s="30" t="n"/>
      <c r="AJ478" s="30" t="n">
        <v>0.25</v>
      </c>
      <c r="AK478" s="36">
        <f>IF(AND($AG478&gt;0,ISNUMBER($AJ478)),$AG478*$AJ478,0)</f>
        <v/>
      </c>
      <c r="AT478" s="37">
        <f>SUM(AU478:BA478)</f>
        <v/>
      </c>
      <c r="AU478" s="73" t="n"/>
      <c r="AV478" s="33" t="n"/>
      <c r="AW478" s="33" t="n"/>
      <c r="AX478" s="33" t="n"/>
      <c r="AY478" s="33" t="n"/>
      <c r="AZ478" s="33" t="n"/>
      <c r="BA478" s="74" t="n"/>
      <c r="BB478" s="108" t="n"/>
      <c r="BC478" s="32" t="n"/>
      <c r="BD478" s="32" t="n"/>
    </row>
    <row r="479" ht="15" customHeight="1" s="148">
      <c r="A479" t="inlineStr">
        <is>
          <t>c0475</t>
        </is>
      </c>
      <c r="B479" s="51" t="inlineStr">
        <is>
          <t>Platypus-Bear</t>
        </is>
      </c>
      <c r="C479" s="52" t="inlineStr">
        <is>
          <t>Multi</t>
        </is>
      </c>
      <c r="D479" s="51" t="inlineStr">
        <is>
          <t>Creature</t>
        </is>
      </c>
      <c r="E479" s="41" t="inlineStr">
        <is>
          <t>B2</t>
        </is>
      </c>
      <c r="F479" s="38" t="n">
        <v>2</v>
      </c>
      <c r="G479" s="67" t="inlineStr">
        <is>
          <t>Defender
When this creature enters, mill two cards. (Put the top two cards of your library into your graveyard.)
As long as there is a Lesson card in your graveyard, this creature can attack as though it didn't have defender.
(2/3)</t>
        </is>
      </c>
      <c r="H479" s="53" t="inlineStr">
        <is>
          <t>Utility Creature</t>
        </is>
      </c>
      <c r="I479" s="53" t="inlineStr">
        <is>
          <t>Mills two cards when it enters</t>
        </is>
      </c>
      <c r="J479" s="53" t="inlineStr">
        <is>
          <t>Can attack if a Lesson is in your graveyard</t>
        </is>
      </c>
      <c r="K479" s="53" t="n"/>
      <c r="L479" s="42" t="n"/>
      <c r="M479" s="42" t="n"/>
      <c r="N479" s="42" t="n"/>
      <c r="O479" s="63" t="n"/>
      <c r="P479" s="63" t="n">
        <v>0.09</v>
      </c>
      <c r="Q479" s="42" t="n"/>
      <c r="R479" s="42" t="n"/>
      <c r="S479" s="42" t="n"/>
      <c r="T479" s="63" t="n"/>
      <c r="U479" s="63" t="n"/>
      <c r="V479" s="53" t="inlineStr">
        <is>
          <t>Avatar: The Last Airbender</t>
        </is>
      </c>
      <c r="W479" s="41" t="n">
        <v>2</v>
      </c>
      <c r="X479" s="37">
        <f>SUM(Y479:AE479)</f>
        <v/>
      </c>
      <c r="Y479" s="43" t="n"/>
      <c r="Z479" s="43" t="n"/>
      <c r="AA479" s="43" t="n"/>
      <c r="AB479" s="43" t="n"/>
      <c r="AC479" s="43" t="n"/>
      <c r="AD479" s="43" t="n"/>
      <c r="AE479" s="43" t="n"/>
      <c r="AF479" s="38">
        <f>IF((W479-SUM(Y479:AE479))&lt;0,0,W479-SUM(Y479:AE479))</f>
        <v/>
      </c>
      <c r="AG479" s="34">
        <f>MAX(0,$AT479-$W479-$AI479)</f>
        <v/>
      </c>
      <c r="AH479" s="38" t="n"/>
      <c r="AI479" s="38" t="n"/>
      <c r="AJ479" s="54" t="n">
        <v>0.13</v>
      </c>
      <c r="AK479" s="36">
        <f>IF(AND($AG479&gt;0,ISNUMBER($AJ479)),$AG479*$AJ479,0)</f>
        <v/>
      </c>
      <c r="AT479" s="37">
        <f>SUM(AU479:BA479)</f>
        <v/>
      </c>
      <c r="AU479" s="73" t="n"/>
      <c r="AV479" s="33" t="n"/>
      <c r="AW479" s="33" t="n"/>
      <c r="AX479" s="33" t="n"/>
      <c r="AY479" s="33" t="n"/>
      <c r="AZ479" s="33" t="n"/>
      <c r="BA479" s="74" t="n"/>
      <c r="BB479" s="47" t="n"/>
      <c r="BC479" s="42" t="n"/>
      <c r="BD479" s="42" t="n"/>
    </row>
    <row r="480" ht="15" customHeight="1" s="148">
      <c r="A480" t="inlineStr">
        <is>
          <t>c0476</t>
        </is>
      </c>
      <c r="B480" s="51" t="inlineStr">
        <is>
          <t>Pretending Poxbearers</t>
        </is>
      </c>
      <c r="C480" s="52" t="inlineStr">
        <is>
          <t>Multi</t>
        </is>
      </c>
      <c r="D480" s="51" t="inlineStr">
        <is>
          <t>Creature</t>
        </is>
      </c>
      <c r="E480" s="41" t="inlineStr">
        <is>
          <t>B2</t>
        </is>
      </c>
      <c r="F480" s="38" t="n">
        <v>2</v>
      </c>
      <c r="G480" s="67" t="inlineStr">
        <is>
          <t>When this creature dies, create a 1/1 white Ally creature token.
(2/1)</t>
        </is>
      </c>
      <c r="H480" s="53" t="inlineStr">
        <is>
          <t>Token Producer</t>
        </is>
      </c>
      <c r="I480" s="53" t="inlineStr">
        <is>
          <t>Dies: create a 1/1 white Ally token</t>
        </is>
      </c>
      <c r="J480" s="53" t="n"/>
      <c r="K480" s="53" t="n"/>
      <c r="L480" s="88" t="inlineStr">
        <is>
          <t>C 0237</t>
        </is>
      </c>
      <c r="M480" s="41" t="n">
        <v>1</v>
      </c>
      <c r="N480" s="41" t="n">
        <v>1</v>
      </c>
      <c r="O480" s="63" t="inlineStr">
        <is>
          <t>Salvatorre Zee Yazzie</t>
        </is>
      </c>
      <c r="P480" s="90" t="n">
        <v>0.16</v>
      </c>
      <c r="Q480" s="42" t="inlineStr">
        <is>
          <t>C</t>
        </is>
      </c>
      <c r="R480" s="42" t="n"/>
      <c r="S480" s="42" t="n"/>
      <c r="T480" s="63" t="n"/>
      <c r="U480" s="63" t="n"/>
      <c r="V480" s="53" t="inlineStr">
        <is>
          <t>Avatar: The Last Airbender</t>
        </is>
      </c>
      <c r="W480" s="41" t="n">
        <v>2</v>
      </c>
      <c r="X480" s="37">
        <f>SUM(Y480:AE480)</f>
        <v/>
      </c>
      <c r="Y480" s="43" t="n"/>
      <c r="Z480" s="43" t="n"/>
      <c r="AA480" s="43" t="n"/>
      <c r="AB480" s="43" t="n"/>
      <c r="AC480" s="43" t="n"/>
      <c r="AD480" s="43" t="n"/>
      <c r="AE480" s="43" t="n"/>
      <c r="AF480" s="38">
        <f>IF((W480-SUM(Y480:AE480))&lt;0,0,W480-SUM(Y480:AE480))</f>
        <v/>
      </c>
      <c r="AG480" s="52">
        <f>MAX(0,$AT480-$W480-$AI480)</f>
        <v/>
      </c>
      <c r="AH480" s="38" t="n"/>
      <c r="AI480" s="38" t="n"/>
      <c r="AJ480" s="54" t="n">
        <v>0.16</v>
      </c>
      <c r="AK480" s="55">
        <f>IF(AND($AG480&gt;0,ISNUMBER($AJ480)),$AG480*$AJ480,0)</f>
        <v/>
      </c>
      <c r="AT480" s="37">
        <f>SUM(AU480:BA480)</f>
        <v/>
      </c>
      <c r="AU480" s="73" t="n"/>
      <c r="AV480" s="33" t="n"/>
      <c r="AW480" s="33" t="n"/>
      <c r="AX480" s="33" t="n"/>
      <c r="AY480" s="33" t="n"/>
      <c r="AZ480" s="33" t="n"/>
      <c r="BA480" s="74" t="n"/>
      <c r="BB480" s="47" t="n"/>
      <c r="BC480" s="42" t="n"/>
      <c r="BD480" s="42" t="n"/>
    </row>
    <row r="481" ht="15" customHeight="1" s="148">
      <c r="A481" t="inlineStr">
        <is>
          <t>c0477</t>
        </is>
      </c>
      <c r="B481" s="51" t="inlineStr">
        <is>
          <t>Prideful Feastling</t>
        </is>
      </c>
      <c r="C481" s="52" t="inlineStr">
        <is>
          <t>Multi</t>
        </is>
      </c>
      <c r="D481" s="51" t="inlineStr">
        <is>
          <t>Creature</t>
        </is>
      </c>
      <c r="E481" s="41" t="inlineStr">
        <is>
          <t>B2</t>
        </is>
      </c>
      <c r="F481" s="38" t="n">
        <v>3</v>
      </c>
      <c r="G481" s="67" t="inlineStr">
        <is>
          <t>Changeling (This card is every creature type.)
Lifelink
(2/3)</t>
        </is>
      </c>
      <c r="H481" s="53" t="inlineStr">
        <is>
          <t>Lifegain</t>
        </is>
      </c>
      <c r="I481" s="53" t="inlineStr">
        <is>
          <t>Is every creature type</t>
        </is>
      </c>
      <c r="J481" s="53" t="inlineStr">
        <is>
          <t>Gains you life equal to damage it deals</t>
        </is>
      </c>
      <c r="K481" s="53" t="n"/>
      <c r="L481" s="42" t="n"/>
      <c r="M481" s="42" t="n"/>
      <c r="N481" s="42" t="n"/>
      <c r="O481" s="42" t="n"/>
      <c r="P481" s="42" t="n">
        <v>0.2</v>
      </c>
      <c r="Q481" s="42" t="n"/>
      <c r="R481" s="42" t="n"/>
      <c r="S481" s="42" t="n"/>
      <c r="T481" s="42" t="n"/>
      <c r="U481" s="42" t="n"/>
      <c r="V481" s="53" t="inlineStr">
        <is>
          <t>Lorwyn Eclipsed</t>
        </is>
      </c>
      <c r="W481" s="41" t="n">
        <v>1</v>
      </c>
      <c r="X481" s="37">
        <f>SUM(Y481:AE481)</f>
        <v/>
      </c>
      <c r="Y481" s="43" t="n"/>
      <c r="Z481" s="43" t="n"/>
      <c r="AA481" s="43" t="n"/>
      <c r="AB481" s="43" t="n"/>
      <c r="AC481" s="43" t="n"/>
      <c r="AD481" s="43" t="n"/>
      <c r="AE481" s="43" t="n"/>
      <c r="AF481" s="38">
        <f>IF((W481-SUM(Y481:AE481))&lt;0,0,W481-SUM(Y481:AE481))</f>
        <v/>
      </c>
      <c r="AG481" s="52">
        <f>MAX(0,$AT481-$W481-$AI481)</f>
        <v/>
      </c>
      <c r="AH481" s="38" t="n"/>
      <c r="AI481" s="38" t="n"/>
      <c r="AJ481" s="54" t="n">
        <v>0.13</v>
      </c>
      <c r="AK481" s="55">
        <f>IF(AND($AG481&gt;0,ISNUMBER($AJ481)),$AG481*$AJ481,0)</f>
        <v/>
      </c>
      <c r="AT481" s="37">
        <f>SUM(AU481:BA481)</f>
        <v/>
      </c>
      <c r="AU481" s="73" t="n"/>
      <c r="AV481" s="33" t="n"/>
      <c r="AW481" s="33" t="n"/>
      <c r="AX481" s="33" t="n"/>
      <c r="AY481" s="33" t="n"/>
      <c r="AZ481" s="33" t="n"/>
      <c r="BA481" s="74" t="n"/>
      <c r="BB481" s="47" t="n"/>
      <c r="BC481" s="42" t="n"/>
      <c r="BD481" s="42" t="n"/>
    </row>
    <row r="482" ht="15" customHeight="1" s="148">
      <c r="A482" t="inlineStr">
        <is>
          <t>c0478</t>
        </is>
      </c>
      <c r="B482" s="51" t="inlineStr">
        <is>
          <t>Priest of Fell Rites</t>
        </is>
      </c>
      <c r="C482" s="52" t="inlineStr">
        <is>
          <t>Multi</t>
        </is>
      </c>
      <c r="D482" s="51" t="inlineStr">
        <is>
          <t>Creature</t>
        </is>
      </c>
      <c r="E482" s="41" t="inlineStr">
        <is>
          <t>B2</t>
        </is>
      </c>
      <c r="F482" s="38" t="n">
        <v>2</v>
      </c>
      <c r="G482" s="67" t="inlineStr">
        <is>
          <t>{T}, Pay 3 life, Sacrifice this creature: Return target creature card from your graveyard to the battlefield. Activate only as a sorcery.
Unearth {3}{W}{B} ({3}{W}{B}: Return this card from your graveyard to the battlefield. It gains haste. Exile it at the beginning of the next end step or if it would leave the battlefield. Unearth only as a sorcery.)
(2/2)</t>
        </is>
      </c>
      <c r="H482" s="53" t="inlineStr">
        <is>
          <t>Reanimation</t>
        </is>
      </c>
      <c r="I482" s="53" t="inlineStr">
        <is>
          <t>Tap, pay 3 life, sacrifice: return target creature card from graveyard to the battlefield</t>
        </is>
      </c>
      <c r="J482" s="53" t="inlineStr">
        <is>
          <t>Unearth {3}{W}{B} to return from graveyard with haste temporarily</t>
        </is>
      </c>
      <c r="K482" s="53" t="n"/>
      <c r="L482" s="42" t="n"/>
      <c r="M482" s="42" t="n"/>
      <c r="N482" s="42" t="n"/>
      <c r="O482" s="42" t="n"/>
      <c r="P482" s="42" t="n">
        <v>0.36</v>
      </c>
      <c r="Q482" s="42" t="n"/>
      <c r="R482" s="42" t="n"/>
      <c r="S482" s="42" t="n"/>
      <c r="T482" s="42" t="n"/>
      <c r="U482" s="42" t="n"/>
      <c r="V482" s="53" t="inlineStr">
        <is>
          <t>Modern Horizons 2</t>
        </is>
      </c>
      <c r="W482" s="41" t="n">
        <v>0</v>
      </c>
      <c r="X482" s="37">
        <f>SUM(Y482:AE482)</f>
        <v/>
      </c>
      <c r="Y482" s="43" t="n"/>
      <c r="Z482" s="43" t="n"/>
      <c r="AA482" s="43" t="n"/>
      <c r="AB482" s="43" t="n"/>
      <c r="AC482" s="43" t="n"/>
      <c r="AD482" s="43" t="n"/>
      <c r="AE482" s="43" t="n"/>
      <c r="AF482" s="38">
        <f>IF((W482-SUM(Y482:AE482))&lt;0,0,W482-SUM(Y482:AE482))</f>
        <v/>
      </c>
      <c r="AG482" s="52">
        <f>MAX(0,$AT482-$W482-$AI482)</f>
        <v/>
      </c>
      <c r="AH482" s="38" t="n"/>
      <c r="AI482" s="38" t="n"/>
      <c r="AJ482" s="54" t="n">
        <v>0.36</v>
      </c>
      <c r="AK482" s="55">
        <f>IF(AND($AG482&gt;0,ISNUMBER($AJ482)),$AG482*$AJ482,0)</f>
        <v/>
      </c>
      <c r="AL482" s="54" t="n"/>
      <c r="AM482" s="54" t="n"/>
      <c r="AN482" s="54" t="n"/>
      <c r="AO482" s="54" t="n"/>
      <c r="AP482" s="54" t="n"/>
      <c r="AQ482" s="54" t="n"/>
      <c r="AR482" s="54" t="n"/>
      <c r="AS482" s="54" t="n"/>
      <c r="AT482" s="37">
        <f>SUM(AU482:BA482)</f>
        <v/>
      </c>
      <c r="AU482" s="92" t="n"/>
      <c r="AV482" s="38" t="n"/>
      <c r="AW482" s="38" t="n"/>
      <c r="AX482" s="38" t="n"/>
      <c r="AY482" s="38" t="n"/>
      <c r="AZ482" s="38" t="n"/>
      <c r="BA482" s="94" t="n"/>
      <c r="BB482" s="47" t="n"/>
      <c r="BC482" s="42" t="n"/>
      <c r="BD482" s="42" t="n"/>
    </row>
    <row r="483" ht="15" customHeight="1" s="148">
      <c r="A483" t="inlineStr">
        <is>
          <t>c0479</t>
        </is>
      </c>
      <c r="B483" s="59" t="inlineStr">
        <is>
          <t>Pterafractyl</t>
        </is>
      </c>
      <c r="C483" s="60" t="inlineStr">
        <is>
          <t>Multi</t>
        </is>
      </c>
      <c r="D483" s="59" t="inlineStr">
        <is>
          <t>Creature</t>
        </is>
      </c>
      <c r="E483" s="33" t="inlineStr">
        <is>
          <t>B2</t>
        </is>
      </c>
      <c r="F483" s="32" t="n">
        <v>2</v>
      </c>
      <c r="G483" s="67" t="inlineStr">
        <is>
          <t>Flying
This creature enters with X +1/+1 counters on it.
When this creature enters, you gain 2 life.
(1/0)</t>
        </is>
      </c>
      <c r="H483" s="32" t="inlineStr">
        <is>
          <t>Mana Sink</t>
        </is>
      </c>
      <c r="I483" s="32" t="inlineStr">
        <is>
          <t>Enters with X +1/+1 counters on it and has flying</t>
        </is>
      </c>
      <c r="J483" s="32" t="inlineStr">
        <is>
          <t>Enters: you gain 2 life</t>
        </is>
      </c>
      <c r="K483" s="32" t="n"/>
      <c r="L483" s="32" t="inlineStr">
        <is>
          <t>215</t>
        </is>
      </c>
      <c r="M483" s="32" t="n">
        <v>1</v>
      </c>
      <c r="N483" s="32" t="n">
        <v>0</v>
      </c>
      <c r="O483" s="63" t="inlineStr">
        <is>
          <t>Andrew Mar</t>
        </is>
      </c>
      <c r="P483" s="63" t="n">
        <v>0.18</v>
      </c>
      <c r="Q483" s="32" t="inlineStr">
        <is>
          <t>Common</t>
        </is>
      </c>
      <c r="R483" s="32" t="n"/>
      <c r="S483" s="32" t="n"/>
      <c r="T483" s="63" t="n"/>
      <c r="U483" s="63" t="n"/>
      <c r="V483" s="32" t="inlineStr">
        <is>
          <t>Secrets of Strixhaven</t>
        </is>
      </c>
      <c r="W483" s="41" t="n">
        <v>1</v>
      </c>
      <c r="X483" s="37">
        <f>SUM(Y483:AE483)</f>
        <v/>
      </c>
      <c r="Y483" s="43" t="n"/>
      <c r="Z483" s="43" t="n"/>
      <c r="AA483" s="43" t="n"/>
      <c r="AB483" s="43" t="n"/>
      <c r="AC483" s="43" t="n"/>
      <c r="AD483" s="43" t="n"/>
      <c r="AE483" s="43" t="n">
        <v>1</v>
      </c>
      <c r="AF483" s="38">
        <f>IF((W483-SUM(Y483:AE483))&lt;0,0,W483-SUM(Y483:AE483))</f>
        <v/>
      </c>
      <c r="AG483" s="52">
        <f>MAX(0,$AT483-$W483-$AI483)</f>
        <v/>
      </c>
      <c r="AH483" s="32" t="n"/>
      <c r="AI483" s="32" t="n"/>
      <c r="AJ483" s="32" t="n">
        <v>0.18</v>
      </c>
      <c r="AK483" s="55">
        <f>IF(AND($AG483&gt;0,ISNUMBER($AJ483)),$AG483*$AJ483,0)</f>
        <v/>
      </c>
      <c r="AN483" s="58" t="n"/>
      <c r="AT483" s="37">
        <f>SUM(AU483:BA483)</f>
        <v/>
      </c>
      <c r="AU483" s="73" t="n"/>
      <c r="AV483" s="33" t="n"/>
      <c r="AW483" s="33" t="n"/>
      <c r="AX483" s="33" t="n"/>
      <c r="AY483" s="33" t="n"/>
      <c r="AZ483" s="33" t="n"/>
      <c r="BA483" s="74" t="n"/>
      <c r="BB483" s="32" t="n"/>
      <c r="BC483" s="32" t="n"/>
      <c r="BD483" s="32" t="n"/>
    </row>
    <row r="484" ht="15" customHeight="1" s="148">
      <c r="A484" t="inlineStr">
        <is>
          <t>c0480</t>
        </is>
      </c>
      <c r="B484" s="51" t="inlineStr">
        <is>
          <t>Putrefy</t>
        </is>
      </c>
      <c r="C484" s="52" t="inlineStr">
        <is>
          <t>Multi</t>
        </is>
      </c>
      <c r="D484" s="51" t="inlineStr">
        <is>
          <t>Instant</t>
        </is>
      </c>
      <c r="E484" s="41" t="inlineStr">
        <is>
          <t>B2</t>
        </is>
      </c>
      <c r="F484" s="38" t="n">
        <v>3</v>
      </c>
      <c r="G484" s="67" t="inlineStr">
        <is>
          <t>Destroy target artifact or creature. It can't be regenerated.</t>
        </is>
      </c>
      <c r="H484" s="53" t="inlineStr">
        <is>
          <t>Removal</t>
        </is>
      </c>
      <c r="I484" s="53" t="inlineStr">
        <is>
          <t>Destroys target artifact or creature; it can't be regenerated</t>
        </is>
      </c>
      <c r="J484" s="53" t="n"/>
      <c r="K484" s="53" t="n"/>
      <c r="L484" s="42" t="n"/>
      <c r="M484" s="42" t="n"/>
      <c r="N484" s="42" t="n"/>
      <c r="O484" s="42" t="n"/>
      <c r="P484" s="42" t="n">
        <v>0.24</v>
      </c>
      <c r="Q484" s="42" t="n"/>
      <c r="R484" s="42" t="n"/>
      <c r="S484" s="42" t="n"/>
      <c r="T484" s="42" t="n"/>
      <c r="U484" s="42" t="n"/>
      <c r="V484" s="53" t="inlineStr">
        <is>
          <t>Ravnica: City of Guilds</t>
        </is>
      </c>
      <c r="W484" s="41" t="n">
        <v>1</v>
      </c>
      <c r="X484" s="37">
        <f>SUM(Y484:AE484)</f>
        <v/>
      </c>
      <c r="Y484" s="43" t="n"/>
      <c r="Z484" s="43" t="n"/>
      <c r="AA484" s="43" t="n"/>
      <c r="AB484" s="43" t="n">
        <v>1</v>
      </c>
      <c r="AC484" s="43" t="n"/>
      <c r="AD484" s="43" t="n"/>
      <c r="AE484" s="43" t="n"/>
      <c r="AF484" s="38">
        <f>IF((W484-SUM(Y484:AE484))&lt;0,0,W484-SUM(Y484:AE484))</f>
        <v/>
      </c>
      <c r="AG484" s="52">
        <f>MAX(0,$AT484-$W484-$AI484)</f>
        <v/>
      </c>
      <c r="AH484" s="38" t="n"/>
      <c r="AI484" s="38" t="n"/>
      <c r="AJ484" s="54" t="n">
        <v>0.34</v>
      </c>
      <c r="AK484" s="55">
        <f>IF(AND($AG484&gt;0,ISNUMBER($AJ484)),$AG484*$AJ484,0)</f>
        <v/>
      </c>
      <c r="AT484" s="37">
        <f>SUM(AU484:BA484)</f>
        <v/>
      </c>
      <c r="AU484" s="73" t="n"/>
      <c r="AV484" s="33" t="n"/>
      <c r="AW484" s="33" t="n"/>
      <c r="AX484" s="98" t="n">
        <v>1</v>
      </c>
      <c r="AY484" s="33" t="n"/>
      <c r="AZ484" s="33" t="n"/>
      <c r="BA484" s="74" t="n"/>
      <c r="BB484" s="47" t="n"/>
      <c r="BC484" s="42" t="n"/>
      <c r="BD484" s="42" t="n"/>
    </row>
    <row r="485" ht="15" customHeight="1" s="148">
      <c r="A485" t="inlineStr">
        <is>
          <t>c0481</t>
        </is>
      </c>
      <c r="B485" s="51" t="inlineStr">
        <is>
          <t>Quintorius Kand</t>
        </is>
      </c>
      <c r="C485" s="52" t="inlineStr">
        <is>
          <t>Multi</t>
        </is>
      </c>
      <c r="D485" s="51" t="inlineStr">
        <is>
          <t>Legendary Planeswalker</t>
        </is>
      </c>
      <c r="E485" s="41" t="inlineStr">
        <is>
          <t>B2</t>
        </is>
      </c>
      <c r="F485" s="38" t="n">
        <v>5</v>
      </c>
      <c r="G485" s="67" t="inlineStr">
        <is>
          <t>Whenever you cast a spell from exile, Quintorius Kand deals 2 damage to each opponent and you gain 2 life.
+1: Create a 3/2 red and white Spirit creature token.
−3: Discover 4.
−6: Exile any number of target cards from your graveyard. Add {R} for each card exiled this way. You may play those cards this turn.
(Loyalty 4)</t>
        </is>
      </c>
      <c r="H485" s="53" t="inlineStr">
        <is>
          <t>Value Engine</t>
        </is>
      </c>
      <c r="I485" s="53" t="inlineStr">
        <is>
          <t>Casting spells from exile deals 2 damage to each opponent and gains you 2 life</t>
        </is>
      </c>
      <c r="J485" s="53" t="inlineStr">
        <is>
          <t>+1: create a 3/2 Spirit token</t>
        </is>
      </c>
      <c r="K485" s="53" t="inlineStr">
        <is>
          <t>-3: Discover 4 (exile cards until a nonland MV 4 or less appears, cast or hand it free)</t>
        </is>
      </c>
      <c r="L485" s="42" t="n"/>
      <c r="M485" s="42" t="n"/>
      <c r="N485" s="42" t="n"/>
      <c r="O485" s="42" t="n"/>
      <c r="P485" s="42" t="n">
        <v>2</v>
      </c>
      <c r="Q485" s="42" t="n"/>
      <c r="R485" s="42" t="n"/>
      <c r="S485" s="42" t="n"/>
      <c r="T485" s="42" t="n"/>
      <c r="U485" s="42" t="n"/>
      <c r="V485" s="53" t="inlineStr">
        <is>
          <t>The Lost Caverns of Ixalan</t>
        </is>
      </c>
      <c r="W485" s="41" t="n">
        <v>1</v>
      </c>
      <c r="X485" s="37">
        <f>SUM(Y485:AE485)</f>
        <v/>
      </c>
      <c r="Y485" s="43" t="n">
        <v>1</v>
      </c>
      <c r="Z485" s="43" t="n"/>
      <c r="AA485" s="43" t="n"/>
      <c r="AB485" s="43" t="n"/>
      <c r="AC485" s="43" t="n"/>
      <c r="AD485" s="43" t="n"/>
      <c r="AE485" s="43" t="n"/>
      <c r="AF485" s="38">
        <f>IF((W485-SUM(Y485:AE485))&lt;0,0,W485-SUM(Y485:AE485))</f>
        <v/>
      </c>
      <c r="AG485" s="52">
        <f>MAX(0,$AT485-$W485-$AI485)</f>
        <v/>
      </c>
      <c r="AH485" s="38" t="n"/>
      <c r="AI485" s="38" t="n"/>
      <c r="AJ485" s="54" t="n">
        <v>1.99</v>
      </c>
      <c r="AK485" s="55">
        <f>IF(AND($AG485&gt;0,ISNUMBER($AJ485)),$AG485*$AJ485,0)</f>
        <v/>
      </c>
      <c r="AT485" s="37">
        <f>SUM(AU485:BA485)</f>
        <v/>
      </c>
      <c r="AU485" s="82" t="n">
        <v>1</v>
      </c>
      <c r="AV485" s="33" t="n"/>
      <c r="AW485" s="33" t="n"/>
      <c r="AX485" s="33" t="n"/>
      <c r="AY485" s="33" t="n"/>
      <c r="AZ485" s="33" t="n"/>
      <c r="BA485" s="74" t="n"/>
      <c r="BB485" s="47" t="n"/>
      <c r="BC485" s="42" t="n"/>
      <c r="BD485" s="42" t="n"/>
    </row>
    <row r="486" ht="15" customHeight="1" s="148">
      <c r="A486" t="inlineStr">
        <is>
          <t>c0482</t>
        </is>
      </c>
      <c r="B486" s="51" t="inlineStr">
        <is>
          <t>Quintorius, Field Historian</t>
        </is>
      </c>
      <c r="C486" s="52" t="inlineStr">
        <is>
          <t>Multi</t>
        </is>
      </c>
      <c r="D486" s="51" t="inlineStr">
        <is>
          <t>Legendary Creature</t>
        </is>
      </c>
      <c r="E486" s="41" t="inlineStr">
        <is>
          <t>B2</t>
        </is>
      </c>
      <c r="F486" s="38" t="n">
        <v>5</v>
      </c>
      <c r="G486" s="67" t="inlineStr">
        <is>
          <t>Spirits you control get +1/+0.
Whenever one or more cards leave your graveyard, create a 3/2 red and white Spirit creature token.
(2/4)</t>
        </is>
      </c>
      <c r="H486" s="53" t="inlineStr">
        <is>
          <t>Token Producer</t>
        </is>
      </c>
      <c r="I486" s="53" t="inlineStr">
        <is>
          <t>Spirits you control get +1/+0</t>
        </is>
      </c>
      <c r="J486" s="53" t="inlineStr">
        <is>
          <t>Whenever cards leave your graveyard, create a 3/2 Spirit token</t>
        </is>
      </c>
      <c r="K486" s="53" t="n"/>
      <c r="L486" s="41" t="n"/>
      <c r="M486" s="41" t="n"/>
      <c r="N486" s="41" t="n"/>
      <c r="O486" s="41" t="n"/>
      <c r="P486" s="41" t="n">
        <v>0.23</v>
      </c>
      <c r="Q486" s="41" t="n"/>
      <c r="R486" s="41" t="n"/>
      <c r="S486" s="41" t="n"/>
      <c r="T486" s="41" t="n"/>
      <c r="U486" s="41" t="n"/>
      <c r="V486" s="53" t="inlineStr">
        <is>
          <t>Strixhaven: School of Mages</t>
        </is>
      </c>
      <c r="W486" s="41" t="n">
        <v>1</v>
      </c>
      <c r="X486" s="37">
        <f>SUM(Y486:AE486)</f>
        <v/>
      </c>
      <c r="Y486" s="43" t="n">
        <v>1</v>
      </c>
      <c r="Z486" s="43" t="n"/>
      <c r="AA486" s="43" t="n"/>
      <c r="AB486" s="43" t="n"/>
      <c r="AC486" s="43" t="n"/>
      <c r="AD486" s="43" t="n"/>
      <c r="AE486" s="43" t="n"/>
      <c r="AF486" s="38">
        <f>IF((W486-SUM(Y486:AE486))&lt;0,0,W486-SUM(Y486:AE486))</f>
        <v/>
      </c>
      <c r="AG486" s="52">
        <f>MAX(0,$AT486-$W486-$AI486)</f>
        <v/>
      </c>
      <c r="AH486" s="38" t="inlineStr">
        <is>
          <t>GT</t>
        </is>
      </c>
      <c r="AI486" s="38" t="n"/>
      <c r="AJ486" s="54" t="n">
        <v>0.23</v>
      </c>
      <c r="AK486" s="55">
        <f>IF(AND($AG486&gt;0,ISNUMBER($AJ486)),$AG486*$AJ486,0)</f>
        <v/>
      </c>
      <c r="AL486" s="58" t="n"/>
      <c r="AS486" s="86" t="n">
        <v>1</v>
      </c>
      <c r="AT486" s="37">
        <f>SUM(AU486:BA486)</f>
        <v/>
      </c>
      <c r="AU486" s="82" t="n">
        <v>1</v>
      </c>
      <c r="AV486" s="33" t="n"/>
      <c r="AW486" s="33" t="n"/>
      <c r="AX486" s="33" t="n"/>
      <c r="AY486" s="33" t="n"/>
      <c r="AZ486" s="33" t="n"/>
      <c r="BA486" s="74" t="n"/>
      <c r="BB486" s="47" t="n"/>
      <c r="BC486" s="42" t="n"/>
      <c r="BD486" s="42" t="n"/>
    </row>
    <row r="487" ht="15" customHeight="1" s="148">
      <c r="A487" t="inlineStr">
        <is>
          <t>c0483</t>
        </is>
      </c>
      <c r="B487" s="51" t="inlineStr">
        <is>
          <t>Quintorius, History Chaser</t>
        </is>
      </c>
      <c r="C487" s="52" t="inlineStr">
        <is>
          <t>Multi</t>
        </is>
      </c>
      <c r="D487" s="51" t="inlineStr">
        <is>
          <t>Legendary Planeswalker</t>
        </is>
      </c>
      <c r="E487" s="41" t="inlineStr">
        <is>
          <t>B2</t>
        </is>
      </c>
      <c r="F487" s="38" t="n">
        <v>4</v>
      </c>
      <c r="G487" s="67" t="inlineStr">
        <is>
          <t>Whenever one or more cards leave your graveyard, create a 3/2 red and white Spirit creature token.
+1: You may discard a card. If you do, draw two cards, then mill a card.
−4: Spirits you control gain double strike and vigilance until end of turn.
Quintorius, History Chaser can be your commander.
(Loyalty 5)</t>
        </is>
      </c>
      <c r="H487" s="53" t="inlineStr">
        <is>
          <t>Token Producer</t>
        </is>
      </c>
      <c r="I487" s="53" t="inlineStr">
        <is>
          <t>Whenever cards leave your graveyard, create a 3/2 Spirit token</t>
        </is>
      </c>
      <c r="J487" s="53" t="inlineStr">
        <is>
          <t>+1: discard a card to draw two cards, then mill one</t>
        </is>
      </c>
      <c r="K487" s="53" t="inlineStr">
        <is>
          <t>-4: Spirits you control get extra combat abilities this turn</t>
        </is>
      </c>
      <c r="L487" s="41" t="n"/>
      <c r="M487" s="41" t="n"/>
      <c r="N487" s="41" t="n"/>
      <c r="O487" s="41" t="n"/>
      <c r="P487" s="41" t="n">
        <v>0.66</v>
      </c>
      <c r="Q487" s="41" t="n"/>
      <c r="R487" s="41" t="n"/>
      <c r="S487" s="41" t="n"/>
      <c r="T487" s="41" t="n"/>
      <c r="U487" s="41" t="n"/>
      <c r="V487" s="53" t="inlineStr">
        <is>
          <t>Secrets of Strixhaven Commander</t>
        </is>
      </c>
      <c r="W487" s="41" t="n">
        <v>1</v>
      </c>
      <c r="X487" s="37">
        <f>SUM(Y487:AE487)</f>
        <v/>
      </c>
      <c r="Y487" s="43" t="n">
        <v>1</v>
      </c>
      <c r="Z487" s="43" t="n"/>
      <c r="AA487" s="43" t="n"/>
      <c r="AB487" s="43" t="n"/>
      <c r="AC487" s="43" t="n"/>
      <c r="AD487" s="43" t="n"/>
      <c r="AE487" s="43" t="n"/>
      <c r="AF487" s="38">
        <f>IF((W487-SUM(Y487:AE487))&lt;0,0,W487-SUM(Y487:AE487))</f>
        <v/>
      </c>
      <c r="AG487" s="52">
        <f>MAX(0,$AT487-$W487-$AI487)</f>
        <v/>
      </c>
      <c r="AH487" s="38" t="n"/>
      <c r="AI487" s="38" t="n"/>
      <c r="AJ487" s="54" t="n">
        <v>0.64</v>
      </c>
      <c r="AK487" s="55">
        <f>IF(AND($AG487&gt;0,ISNUMBER($AJ487)),$AG487*$AJ487,0)</f>
        <v/>
      </c>
      <c r="AT487" s="37">
        <f>SUM(AU487:BA487)</f>
        <v/>
      </c>
      <c r="AU487" s="82" t="n">
        <v>1</v>
      </c>
      <c r="AV487" s="33" t="n"/>
      <c r="AW487" s="33" t="n"/>
      <c r="AX487" s="33" t="n"/>
      <c r="AY487" s="33" t="n"/>
      <c r="AZ487" s="33" t="n"/>
      <c r="BA487" s="74" t="n"/>
      <c r="BB487" s="47" t="n"/>
      <c r="BC487" s="42" t="n"/>
      <c r="BD487" s="42" t="n"/>
    </row>
    <row r="488" ht="15" customHeight="1" s="148">
      <c r="A488" t="inlineStr">
        <is>
          <t>c0484</t>
        </is>
      </c>
      <c r="B488" s="51" t="inlineStr">
        <is>
          <t>Quintorius, Loremaster</t>
        </is>
      </c>
      <c r="C488" s="52" t="inlineStr">
        <is>
          <t>Multi</t>
        </is>
      </c>
      <c r="D488" s="51" t="inlineStr">
        <is>
          <t>Legendary Creature</t>
        </is>
      </c>
      <c r="E488" s="41" t="inlineStr">
        <is>
          <t>B2</t>
        </is>
      </c>
      <c r="F488" s="38" t="n">
        <v>5</v>
      </c>
      <c r="G488" s="67" t="inlineStr">
        <is>
          <t>Vigilance
At the beginning of your end step, exile target noncreature, nonland card from your graveyard. Create a 3/2 red and white Spirit creature token.
{1}{R}{W}, {T}, Sacrifice a Spirit: Choose target card exiled with Quintorius. You may cast that card this turn without paying its mana cost. If that spell would be put into a graveyard, put it on the bottom of its owner's library instead.
(3/5)</t>
        </is>
      </c>
      <c r="H488" s="53" t="inlineStr">
        <is>
          <t>Commander</t>
        </is>
      </c>
      <c r="I488" s="53" t="inlineStr">
        <is>
          <t>Vigilant 3/2ish body</t>
        </is>
      </c>
      <c r="J488" s="53" t="inlineStr">
        <is>
          <t>End step: exile a noncreature nonland card from graveyard, create a 3/2 Spirit token</t>
        </is>
      </c>
      <c r="K488" s="53" t="inlineStr">
        <is>
          <t>Sacrifice a Spirit: cast an exiled card for free this turn</t>
        </is>
      </c>
      <c r="L488" s="41" t="n"/>
      <c r="M488" s="41" t="n"/>
      <c r="N488" s="41" t="n"/>
      <c r="O488" s="41" t="n"/>
      <c r="P488" s="41" t="n">
        <v>0.17</v>
      </c>
      <c r="Q488" s="41" t="n"/>
      <c r="R488" s="41" t="n"/>
      <c r="S488" s="41" t="n"/>
      <c r="T488" s="41" t="n"/>
      <c r="U488" s="41" t="n"/>
      <c r="V488" s="53" t="inlineStr">
        <is>
          <t>March of the Machine</t>
        </is>
      </c>
      <c r="W488" s="41" t="n">
        <v>1</v>
      </c>
      <c r="X488" s="37">
        <f>SUM(Y488:AE488)</f>
        <v/>
      </c>
      <c r="Y488" s="43" t="n">
        <v>1</v>
      </c>
      <c r="Z488" s="43" t="n"/>
      <c r="AA488" s="43" t="n"/>
      <c r="AB488" s="43" t="n"/>
      <c r="AC488" s="43" t="n"/>
      <c r="AD488" s="43" t="n"/>
      <c r="AE488" s="43" t="n"/>
      <c r="AF488" s="38">
        <f>IF((W488-SUM(Y488:AE488))&lt;0,0,W488-SUM(Y488:AE488))</f>
        <v/>
      </c>
      <c r="AG488" s="52">
        <f>MAX(0,$AT488-$W488-$AI488)</f>
        <v/>
      </c>
      <c r="AH488" s="38" t="n"/>
      <c r="AI488" s="38" t="n"/>
      <c r="AJ488" s="54" t="n">
        <v>0.18</v>
      </c>
      <c r="AK488" s="55">
        <f>IF(AND($AG488&gt;0,ISNUMBER($AJ488)),$AG488*$AJ488,0)</f>
        <v/>
      </c>
      <c r="AT488" s="37">
        <f>SUM(AU488:BA488)</f>
        <v/>
      </c>
      <c r="AU488" s="82" t="n">
        <v>1</v>
      </c>
      <c r="AV488" s="33" t="n"/>
      <c r="AW488" s="33" t="n"/>
      <c r="AX488" s="33" t="n"/>
      <c r="AY488" s="33" t="n"/>
      <c r="AZ488" s="33" t="n"/>
      <c r="BA488" s="74" t="n"/>
      <c r="BB488" s="47" t="n"/>
      <c r="BC488" s="42" t="n"/>
      <c r="BD488" s="42" t="n"/>
    </row>
    <row r="489" ht="15" customHeight="1" s="148">
      <c r="A489" t="inlineStr">
        <is>
          <t>c0485</t>
        </is>
      </c>
      <c r="B489" s="51" t="inlineStr">
        <is>
          <t>Ratonhnhaké꞉ton</t>
        </is>
      </c>
      <c r="C489" s="52" t="inlineStr">
        <is>
          <t>Multi</t>
        </is>
      </c>
      <c r="D489" s="51" t="inlineStr">
        <is>
          <t>Legendary Creature</t>
        </is>
      </c>
      <c r="E489" s="41" t="inlineStr">
        <is>
          <t>B2</t>
        </is>
      </c>
      <c r="F489" s="38" t="n">
        <v>3</v>
      </c>
      <c r="G489" s="67" t="inlineStr">
        <is>
          <t>As long as Ratonhnhaké꞉ton hasn't dealt damage yet, it has hexproof and can't be blocked.
Whenever Ratonhnhaké꞉ton deals combat damage to a player, create a 1/1 black Assassin creature token with menace. When you do, return target Equipment card from your graveyard to the battlefield, then attach it to that token.
(3/3)</t>
        </is>
      </c>
      <c r="H489" s="53" t="inlineStr">
        <is>
          <t>Token Producer</t>
        </is>
      </c>
      <c r="I489" s="53" t="inlineStr">
        <is>
          <t>Unblockable and hexproof until it first deals damage</t>
        </is>
      </c>
      <c r="J489" s="53" t="inlineStr">
        <is>
          <t>Combat damage makes a 1/1 Assassin token</t>
        </is>
      </c>
      <c r="K489" s="53" t="inlineStr">
        <is>
          <t>Also reanimates target Equipment onto that token</t>
        </is>
      </c>
      <c r="L489" s="88" t="inlineStr">
        <is>
          <t>R 0150</t>
        </is>
      </c>
      <c r="M489" s="41" t="n">
        <v>1</v>
      </c>
      <c r="N489" s="41" t="n">
        <v>0</v>
      </c>
      <c r="O489" s="63" t="inlineStr">
        <is>
          <t>Andreia Ugrai</t>
        </is>
      </c>
      <c r="P489" s="90" t="n">
        <v>1.47</v>
      </c>
      <c r="Q489" s="42" t="inlineStr">
        <is>
          <t>R</t>
        </is>
      </c>
      <c r="R489" s="42" t="n"/>
      <c r="S489" s="42" t="n"/>
      <c r="T489" s="63" t="n"/>
      <c r="U489" s="63" t="n"/>
      <c r="V489" s="53" t="inlineStr">
        <is>
          <t>Assassin's Creed</t>
        </is>
      </c>
      <c r="W489" s="41" t="n">
        <v>1</v>
      </c>
      <c r="X489" s="37">
        <f>SUM(Y489:AE489)</f>
        <v/>
      </c>
      <c r="Y489" s="43" t="n"/>
      <c r="Z489" s="43" t="n"/>
      <c r="AA489" s="43" t="n"/>
      <c r="AB489" s="43" t="n"/>
      <c r="AC489" s="43" t="n"/>
      <c r="AD489" s="43" t="n"/>
      <c r="AE489" s="43" t="n"/>
      <c r="AF489" s="38">
        <f>IF((W489-SUM(Y489:AE489))&lt;0,0,W489-SUM(Y489:AE489))</f>
        <v/>
      </c>
      <c r="AG489" s="52">
        <f>MAX(0,$AT489-$W489-$AI489)</f>
        <v/>
      </c>
      <c r="AH489" s="38" t="n"/>
      <c r="AI489" s="38" t="n"/>
      <c r="AJ489" s="54" t="n">
        <v>1.47</v>
      </c>
      <c r="AK489" s="55">
        <f>IF(AND($AG489&gt;0,ISNUMBER($AJ489)),$AG489*$AJ489,0)</f>
        <v/>
      </c>
      <c r="AT489" s="37">
        <f>SUM(AU489:BA489)</f>
        <v/>
      </c>
      <c r="AU489" s="73" t="n"/>
      <c r="AV489" s="33" t="n"/>
      <c r="AW489" s="33" t="n"/>
      <c r="AX489" s="33" t="n"/>
      <c r="AY489" s="33" t="n"/>
      <c r="AZ489" s="33" t="n"/>
      <c r="BA489" s="74" t="n"/>
      <c r="BB489" s="47" t="n"/>
      <c r="BC489" s="42" t="n"/>
      <c r="BD489" s="42" t="n"/>
    </row>
    <row r="490" ht="15" customHeight="1" s="148">
      <c r="A490" t="inlineStr">
        <is>
          <t>c0486</t>
        </is>
      </c>
      <c r="B490" s="51" t="inlineStr">
        <is>
          <t>Reaping Willow</t>
        </is>
      </c>
      <c r="C490" s="52" t="inlineStr">
        <is>
          <t>Multi</t>
        </is>
      </c>
      <c r="D490" s="51" t="inlineStr">
        <is>
          <t>Creature</t>
        </is>
      </c>
      <c r="E490" s="41" t="inlineStr">
        <is>
          <t>B2</t>
        </is>
      </c>
      <c r="F490" s="38" t="n">
        <v>4</v>
      </c>
      <c r="G490" s="67" t="inlineStr">
        <is>
          <t>Lifelink
This creature enters with two -1/-1 counters on it.
{1}{W/B}, Remove two counters from this creature: Return target creature card with mana value 3 or less from your graveyard to the battlefield. Activate only as a sorcery.
(3/6)</t>
        </is>
      </c>
      <c r="H490" s="53" t="inlineStr">
        <is>
          <t>Reanimation</t>
        </is>
      </c>
      <c r="I490" s="53" t="inlineStr">
        <is>
          <t>Enters with two -1/-1 counters on itself</t>
        </is>
      </c>
      <c r="J490" s="53" t="inlineStr">
        <is>
          <t>Remove counters: reanimate a creature card MV 3 or less</t>
        </is>
      </c>
      <c r="K490" s="53" t="n"/>
      <c r="L490" s="42" t="n"/>
      <c r="M490" s="42" t="n"/>
      <c r="N490" s="42" t="n"/>
      <c r="O490" s="42" t="n"/>
      <c r="P490" s="42" t="n">
        <v>0.19</v>
      </c>
      <c r="Q490" s="42" t="n"/>
      <c r="R490" s="42" t="n"/>
      <c r="S490" s="42" t="n"/>
      <c r="T490" s="42" t="n"/>
      <c r="U490" s="42" t="n"/>
      <c r="V490" s="53" t="inlineStr">
        <is>
          <t>Lorwyn Eclipsed</t>
        </is>
      </c>
      <c r="W490" s="41" t="n">
        <v>1</v>
      </c>
      <c r="X490" s="37">
        <f>SUM(Y490:AE490)</f>
        <v/>
      </c>
      <c r="Y490" s="43" t="n"/>
      <c r="Z490" s="43" t="n"/>
      <c r="AA490" s="43" t="n"/>
      <c r="AB490" s="43" t="n"/>
      <c r="AC490" s="43" t="n"/>
      <c r="AD490" s="43" t="n"/>
      <c r="AE490" s="43" t="n"/>
      <c r="AF490" s="38">
        <f>IF((W490-SUM(Y490:AE490))&lt;0,0,W490-SUM(Y490:AE490))</f>
        <v/>
      </c>
      <c r="AG490" s="52">
        <f>MAX(0,$AT490-$W490-$AI490)</f>
        <v/>
      </c>
      <c r="AH490" s="38" t="n"/>
      <c r="AI490" s="38" t="n"/>
      <c r="AJ490" s="54" t="n">
        <v>0.24</v>
      </c>
      <c r="AK490" s="55">
        <f>IF(AND($AG490&gt;0,ISNUMBER($AJ490)),$AG490*$AJ490,0)</f>
        <v/>
      </c>
      <c r="AT490" s="37">
        <f>SUM(AU490:BA490)</f>
        <v/>
      </c>
      <c r="AU490" s="73" t="n"/>
      <c r="AV490" s="33" t="n"/>
      <c r="AW490" s="33" t="n"/>
      <c r="AX490" s="33" t="n"/>
      <c r="AY490" s="33" t="n"/>
      <c r="AZ490" s="33" t="n"/>
      <c r="BA490" s="74" t="n"/>
      <c r="BB490" s="47" t="n"/>
      <c r="BC490" s="42" t="n"/>
      <c r="BD490" s="42" t="n"/>
    </row>
    <row r="491" ht="15" customHeight="1" s="148">
      <c r="A491" t="inlineStr">
        <is>
          <t>c0487</t>
        </is>
      </c>
      <c r="B491" s="51" t="inlineStr">
        <is>
          <t>Reconstruct History</t>
        </is>
      </c>
      <c r="C491" s="52" t="inlineStr">
        <is>
          <t>Multi</t>
        </is>
      </c>
      <c r="D491" s="51" t="inlineStr">
        <is>
          <t>Sorcery</t>
        </is>
      </c>
      <c r="E491" s="41" t="inlineStr">
        <is>
          <t>B2</t>
        </is>
      </c>
      <c r="F491" s="38" t="n">
        <v>4</v>
      </c>
      <c r="G491" s="67" t="inlineStr">
        <is>
          <t>Return up to one target artifact card, up to one target enchantment card, up to one target instant card, up to one target sorcery card, and up to one target planeswalker card from your graveyard to your hand.
Exile Reconstruct History.</t>
        </is>
      </c>
      <c r="H491" s="53" t="inlineStr">
        <is>
          <t>Recursion</t>
        </is>
      </c>
      <c r="I491" s="53" t="inlineStr">
        <is>
          <t>Return up to one target artifact card, up to one target enchantment card, up to one target instant card, up to one targe</t>
        </is>
      </c>
      <c r="J491" s="53" t="inlineStr">
        <is>
          <t>Exile Reconstruct History</t>
        </is>
      </c>
      <c r="K491" s="53" t="n"/>
      <c r="L491" s="42" t="n"/>
      <c r="M491" s="42" t="n"/>
      <c r="N491" s="42" t="n"/>
      <c r="O491" s="42" t="n"/>
      <c r="P491" s="42" t="n">
        <v>0.19</v>
      </c>
      <c r="Q491" s="42" t="n"/>
      <c r="R491" s="42" t="n"/>
      <c r="S491" s="42" t="n"/>
      <c r="T491" s="42" t="n"/>
      <c r="U491" s="42" t="n"/>
      <c r="V491" s="53" t="inlineStr">
        <is>
          <t>Strixhaven: School of Mages</t>
        </is>
      </c>
      <c r="W491" s="41" t="n">
        <v>1</v>
      </c>
      <c r="X491" s="37">
        <f>SUM(Y491:AE491)</f>
        <v/>
      </c>
      <c r="Y491" s="43" t="n">
        <v>1</v>
      </c>
      <c r="Z491" s="43" t="n"/>
      <c r="AA491" s="43" t="n"/>
      <c r="AB491" s="43" t="n"/>
      <c r="AC491" s="43" t="n"/>
      <c r="AD491" s="43" t="n"/>
      <c r="AE491" s="43" t="n"/>
      <c r="AF491" s="38">
        <f>IF((W491-SUM(Y491:AE491))&lt;0,0,W491-SUM(Y491:AE491))</f>
        <v/>
      </c>
      <c r="AG491" s="52">
        <f>MAX(0,$AT491-$W491-$AI491)</f>
        <v/>
      </c>
      <c r="AH491" s="38" t="n"/>
      <c r="AI491" s="38" t="n"/>
      <c r="AJ491" s="54" t="n">
        <v>0.11</v>
      </c>
      <c r="AK491" s="55">
        <f>IF(AND($AG491&gt;0,ISNUMBER($AJ491)),$AG491*$AJ491,0)</f>
        <v/>
      </c>
      <c r="AL491" s="58" t="n"/>
      <c r="AT491" s="37">
        <f>SUM(AU491:BA491)</f>
        <v/>
      </c>
      <c r="AU491" s="82" t="n">
        <v>1</v>
      </c>
      <c r="AV491" s="33" t="n"/>
      <c r="AW491" s="33" t="n"/>
      <c r="AX491" s="33" t="n"/>
      <c r="AY491" s="33" t="n"/>
      <c r="AZ491" s="33" t="n"/>
      <c r="BA491" s="74" t="n"/>
      <c r="BB491" s="47" t="n"/>
      <c r="BC491" s="42" t="n"/>
      <c r="BD491" s="42" t="n"/>
    </row>
    <row r="492" ht="15" customHeight="1" s="148">
      <c r="A492" t="inlineStr">
        <is>
          <t>c0488</t>
        </is>
      </c>
      <c r="B492" s="51" t="inlineStr">
        <is>
          <t>Reflector Mage</t>
        </is>
      </c>
      <c r="C492" s="52" t="inlineStr">
        <is>
          <t>Multi</t>
        </is>
      </c>
      <c r="D492" s="51" t="inlineStr">
        <is>
          <t>Creature</t>
        </is>
      </c>
      <c r="E492" s="41" t="inlineStr">
        <is>
          <t>B2</t>
        </is>
      </c>
      <c r="F492" s="38" t="n">
        <v>3</v>
      </c>
      <c r="G492" s="67" t="inlineStr">
        <is>
          <t>When this creature enters, return target creature an opponent controls to its owner's hand. That creature's owner can't cast spells with the same name as that creature until your next turn.
(2/3)</t>
        </is>
      </c>
      <c r="H492" s="53" t="inlineStr">
        <is>
          <t>Removal</t>
        </is>
      </c>
      <c r="I492" s="53" t="inlineStr">
        <is>
          <t>Bounces target opponent creature to hand when it enters</t>
        </is>
      </c>
      <c r="J492" s="53" t="inlineStr">
        <is>
          <t>That creature's owner can't recast it until your next turn</t>
        </is>
      </c>
      <c r="K492" s="53" t="n"/>
      <c r="L492" s="41" t="n"/>
      <c r="M492" s="41" t="n"/>
      <c r="N492" s="41" t="n"/>
      <c r="O492" s="41" t="n"/>
      <c r="P492" s="41" t="n">
        <v>0.48</v>
      </c>
      <c r="Q492" s="41" t="n"/>
      <c r="R492" s="41" t="n"/>
      <c r="S492" s="41" t="n"/>
      <c r="T492" s="41" t="n"/>
      <c r="U492" s="41" t="n"/>
      <c r="V492" s="53" t="inlineStr">
        <is>
          <t>Oath of the Gatewatch</t>
        </is>
      </c>
      <c r="W492" s="41" t="n">
        <v>1</v>
      </c>
      <c r="X492" s="37">
        <f>SUM(Y492:AE492)</f>
        <v/>
      </c>
      <c r="Y492" s="43" t="n"/>
      <c r="Z492" s="43" t="n">
        <v>1</v>
      </c>
      <c r="AA492" s="43" t="n"/>
      <c r="AB492" s="43" t="n"/>
      <c r="AC492" s="43" t="n"/>
      <c r="AD492" s="43" t="n"/>
      <c r="AE492" s="43" t="n"/>
      <c r="AF492" s="38">
        <f>IF((W492-SUM(Y492:AE492))&lt;0,0,W492-SUM(Y492:AE492))</f>
        <v/>
      </c>
      <c r="AG492" s="52">
        <f>MAX(0,$AT492-$W492-$AI492)</f>
        <v/>
      </c>
      <c r="AH492" s="38" t="n"/>
      <c r="AI492" s="38" t="n"/>
      <c r="AJ492" s="54" t="n">
        <v>0.5</v>
      </c>
      <c r="AK492" s="55">
        <f>IF(AND($AG492&gt;0,ISNUMBER($AJ492)),$AG492*$AJ492,0)</f>
        <v/>
      </c>
      <c r="AT492" s="37">
        <f>SUM(AU492:BA492)</f>
        <v/>
      </c>
      <c r="AU492" s="73" t="n"/>
      <c r="AV492" s="98" t="n">
        <v>1</v>
      </c>
      <c r="AW492" s="33" t="n"/>
      <c r="AX492" s="33" t="n"/>
      <c r="AY492" s="33" t="n"/>
      <c r="AZ492" s="33" t="n"/>
      <c r="BA492" s="74" t="n"/>
      <c r="BB492" s="47" t="n"/>
      <c r="BC492" s="42" t="n"/>
      <c r="BD492" s="42" t="n"/>
    </row>
    <row r="493" ht="15" customHeight="1" s="148">
      <c r="A493" t="inlineStr">
        <is>
          <t>c0489</t>
        </is>
      </c>
      <c r="B493" s="59" t="inlineStr">
        <is>
          <t>Render Speechless</t>
        </is>
      </c>
      <c r="C493" s="60" t="inlineStr">
        <is>
          <t>Multi</t>
        </is>
      </c>
      <c r="D493" s="59" t="inlineStr">
        <is>
          <t>Sorcery</t>
        </is>
      </c>
      <c r="E493" s="33" t="inlineStr">
        <is>
          <t>B2</t>
        </is>
      </c>
      <c r="F493" s="33" t="n">
        <v>4</v>
      </c>
      <c r="G493" s="67" t="inlineStr">
        <is>
          <t>Target opponent reveals their hand. You choose a nonland card from it. That player discards that card.
Put two +1/+1 counters on up to one target creature.</t>
        </is>
      </c>
      <c r="H493" s="32" t="inlineStr">
        <is>
          <t>Discard/Looting</t>
        </is>
      </c>
      <c r="I493" s="32" t="inlineStr">
        <is>
          <t>Target opponent reveals their hand and discards a nonland card you choose</t>
        </is>
      </c>
      <c r="J493" s="32" t="inlineStr">
        <is>
          <t>Put two +1/+1 counters on up to one target creature</t>
        </is>
      </c>
      <c r="K493" s="32" t="n"/>
      <c r="L493" s="32" t="inlineStr">
        <is>
          <t>220</t>
        </is>
      </c>
      <c r="M493" s="32" t="n">
        <v>1</v>
      </c>
      <c r="N493" s="32" t="n">
        <v>0</v>
      </c>
      <c r="O493" s="63" t="n"/>
      <c r="P493" s="63" t="n">
        <v>0.07000000000000001</v>
      </c>
      <c r="Q493" s="32" t="inlineStr">
        <is>
          <t>Common</t>
        </is>
      </c>
      <c r="R493" s="32" t="n"/>
      <c r="S493" s="32" t="n"/>
      <c r="T493" s="63" t="n"/>
      <c r="U493" s="63" t="n"/>
      <c r="V493" s="32" t="inlineStr">
        <is>
          <t>Secrets of Strixhaven</t>
        </is>
      </c>
      <c r="W493" s="41" t="n">
        <v>1</v>
      </c>
      <c r="X493" s="37">
        <f>SUM(Y493:AE493)</f>
        <v/>
      </c>
      <c r="Y493" s="43" t="n"/>
      <c r="Z493" s="43" t="n"/>
      <c r="AA493" s="43" t="n"/>
      <c r="AB493" s="43" t="n"/>
      <c r="AC493" s="43" t="n"/>
      <c r="AD493" s="43" t="n"/>
      <c r="AE493" s="43" t="n"/>
      <c r="AF493" s="38">
        <f>IF((W493-SUM(Y493:AE493))&lt;0,0,W493-SUM(Y493:AE493))</f>
        <v/>
      </c>
      <c r="AG493" s="52">
        <f>MAX(0,$AT493-$W493-$AI493)</f>
        <v/>
      </c>
      <c r="AH493" s="32" t="n"/>
      <c r="AI493" s="32" t="n"/>
      <c r="AJ493" s="61" t="n">
        <v>0.07000000000000001</v>
      </c>
      <c r="AK493" s="55">
        <f>IF(AND($AG493&gt;0,ISNUMBER($AJ493)),$AG493*$AJ493,0)</f>
        <v/>
      </c>
      <c r="AT493" s="37">
        <f>SUM(AU493:BA493)</f>
        <v/>
      </c>
      <c r="AU493" s="73" t="n"/>
      <c r="AV493" s="33" t="n"/>
      <c r="AW493" s="33" t="n"/>
      <c r="AX493" s="33" t="n"/>
      <c r="AY493" s="33" t="n"/>
      <c r="AZ493" s="33" t="n"/>
      <c r="BA493" s="74" t="n"/>
      <c r="BB493" s="32" t="n"/>
      <c r="BC493" s="32" t="n"/>
      <c r="BD493" s="32" t="n"/>
    </row>
    <row r="494" ht="15" customHeight="1" s="148">
      <c r="A494" t="inlineStr">
        <is>
          <t>c0490</t>
        </is>
      </c>
      <c r="B494" s="59" t="inlineStr">
        <is>
          <t>Resonating Lute</t>
        </is>
      </c>
      <c r="C494" s="60" t="inlineStr">
        <is>
          <t>Multi</t>
        </is>
      </c>
      <c r="D494" s="59" t="inlineStr">
        <is>
          <t>Artifact</t>
        </is>
      </c>
      <c r="E494" s="33" t="inlineStr">
        <is>
          <t>B2</t>
        </is>
      </c>
      <c r="F494" s="33" t="n">
        <v>4</v>
      </c>
      <c r="G494" s="67" t="inlineStr">
        <is>
          <t>Lands you control have "{T}: Add two mana of any one color. Spend this mana only to cast instant and sorcery spells."
{T}: Draw a card. Activate only if you have seven or more cards in your hand.</t>
        </is>
      </c>
      <c r="H494" s="32" t="inlineStr">
        <is>
          <t>Ramp</t>
        </is>
      </c>
      <c r="I494" s="32" t="inlineStr">
        <is>
          <t>Lands you control gain "{T}: Add two mana of any one color," spendable only on instants and sorceries</t>
        </is>
      </c>
      <c r="J494" s="32" t="inlineStr">
        <is>
          <t>{T}: Draw a card, only with seven or more cards in hand</t>
        </is>
      </c>
      <c r="K494" s="32" t="n"/>
      <c r="L494" s="32" t="inlineStr">
        <is>
          <t>221</t>
        </is>
      </c>
      <c r="M494" s="32" t="n">
        <v>1</v>
      </c>
      <c r="N494" s="32" t="n">
        <v>0</v>
      </c>
      <c r="O494" s="63" t="n"/>
      <c r="P494" s="63" t="n">
        <v>1.18</v>
      </c>
      <c r="Q494" s="32" t="inlineStr">
        <is>
          <t>Rare</t>
        </is>
      </c>
      <c r="R494" s="32" t="n"/>
      <c r="S494" s="32" t="n"/>
      <c r="T494" s="63" t="n"/>
      <c r="U494" s="63" t="n"/>
      <c r="V494" s="32" t="inlineStr">
        <is>
          <t>Secrets of Strixhaven</t>
        </is>
      </c>
      <c r="W494" s="41" t="n">
        <v>1</v>
      </c>
      <c r="X494" s="37">
        <f>SUM(Y494:AE494)</f>
        <v/>
      </c>
      <c r="Y494" s="43" t="n"/>
      <c r="Z494" s="43" t="n"/>
      <c r="AA494" s="43" t="n"/>
      <c r="AB494" s="43" t="n"/>
      <c r="AC494" s="43" t="n"/>
      <c r="AD494" s="43" t="n"/>
      <c r="AE494" s="43" t="n"/>
      <c r="AF494" s="38">
        <f>IF((W494-SUM(Y494:AE494))&lt;0,0,W494-SUM(Y494:AE494))</f>
        <v/>
      </c>
      <c r="AG494" s="52">
        <f>MAX(0,$AT494-$W494-$AI494)</f>
        <v/>
      </c>
      <c r="AH494" s="32" t="n"/>
      <c r="AI494" s="32" t="n"/>
      <c r="AJ494" s="61" t="n">
        <v>1.18</v>
      </c>
      <c r="AK494" s="55">
        <f>IF(AND($AG494&gt;0,ISNUMBER($AJ494)),$AG494*$AJ494,0)</f>
        <v/>
      </c>
      <c r="AT494" s="37">
        <f>SUM(AU494:BA494)</f>
        <v/>
      </c>
      <c r="AU494" s="73" t="n"/>
      <c r="AV494" s="33" t="n"/>
      <c r="AW494" s="33" t="n"/>
      <c r="AX494" s="33" t="n"/>
      <c r="AY494" s="33" t="n"/>
      <c r="AZ494" s="33" t="n"/>
      <c r="BA494" s="74" t="n"/>
      <c r="BB494" s="32" t="n"/>
      <c r="BC494" s="32" t="n"/>
      <c r="BD494" s="32" t="n"/>
    </row>
    <row r="495" ht="15" customHeight="1" s="148">
      <c r="A495" t="inlineStr">
        <is>
          <t>c0491</t>
        </is>
      </c>
      <c r="B495" s="51" t="inlineStr">
        <is>
          <t>Rip Apart</t>
        </is>
      </c>
      <c r="C495" s="52" t="inlineStr">
        <is>
          <t>Multi</t>
        </is>
      </c>
      <c r="D495" s="51" t="inlineStr">
        <is>
          <t>Sorcery</t>
        </is>
      </c>
      <c r="E495" s="41" t="inlineStr">
        <is>
          <t>B2</t>
        </is>
      </c>
      <c r="F495" s="38" t="n">
        <v>2</v>
      </c>
      <c r="G495" s="67" t="inlineStr">
        <is>
          <t>Choose one —
• Rip Apart deals 3 damage to target creature or planeswalker.
• Destroy target artifact or enchantment.</t>
        </is>
      </c>
      <c r="H495" s="53" t="inlineStr">
        <is>
          <t>Removal</t>
        </is>
      </c>
      <c r="I495" s="53" t="inlineStr">
        <is>
          <t>Choose one: deals 3 damage to target creature or planeswalker</t>
        </is>
      </c>
      <c r="J495" s="53" t="inlineStr">
        <is>
          <t>Or destroys target artifact or enchantment</t>
        </is>
      </c>
      <c r="K495" s="53" t="n"/>
      <c r="L495" s="42" t="n"/>
      <c r="M495" s="42" t="n"/>
      <c r="N495" s="42" t="n"/>
      <c r="O495" s="63" t="n"/>
      <c r="P495" s="63" t="n">
        <v>0.23</v>
      </c>
      <c r="Q495" s="42" t="n"/>
      <c r="R495" s="42" t="n"/>
      <c r="S495" s="42" t="n"/>
      <c r="T495" s="63" t="n"/>
      <c r="U495" s="63" t="n"/>
      <c r="V495" s="53" t="inlineStr">
        <is>
          <t>Strixhaven: School of Mages</t>
        </is>
      </c>
      <c r="W495" s="41" t="n">
        <v>1</v>
      </c>
      <c r="X495" s="37">
        <f>SUM(Y495:AE495)</f>
        <v/>
      </c>
      <c r="Y495" s="43" t="n">
        <v>1</v>
      </c>
      <c r="Z495" s="43" t="n"/>
      <c r="AA495" s="43" t="n"/>
      <c r="AB495" s="43" t="n"/>
      <c r="AC495" s="43" t="n"/>
      <c r="AD495" s="43" t="n"/>
      <c r="AE495" s="43" t="n"/>
      <c r="AF495" s="38">
        <f>IF((W495-SUM(Y495:AE495))&lt;0,0,W495-SUM(Y495:AE495))</f>
        <v/>
      </c>
      <c r="AG495" s="52">
        <f>MAX(0,$AT495-$W495-$AI495)</f>
        <v/>
      </c>
      <c r="AH495" s="38" t="n"/>
      <c r="AI495" s="38" t="n"/>
      <c r="AJ495" s="54" t="n">
        <v>0.21</v>
      </c>
      <c r="AK495" s="55">
        <f>IF(AND($AG495&gt;0,ISNUMBER($AJ495)),$AG495*$AJ495,0)</f>
        <v/>
      </c>
      <c r="AT495" s="37">
        <f>SUM(AU495:BA495)</f>
        <v/>
      </c>
      <c r="AU495" s="82" t="n">
        <v>1</v>
      </c>
      <c r="AV495" s="33" t="n"/>
      <c r="AW495" s="33" t="n"/>
      <c r="AX495" s="33" t="n"/>
      <c r="AY495" s="33" t="n"/>
      <c r="AZ495" s="33" t="n"/>
      <c r="BA495" s="74" t="n"/>
      <c r="BB495" s="47" t="n"/>
      <c r="BC495" s="42" t="n"/>
      <c r="BD495" s="42" t="n"/>
    </row>
    <row r="496" ht="15" customHeight="1" s="148">
      <c r="A496" t="inlineStr">
        <is>
          <t>c0492</t>
        </is>
      </c>
      <c r="B496" s="51" t="inlineStr">
        <is>
          <t>Risen Reef</t>
        </is>
      </c>
      <c r="C496" s="52" t="inlineStr">
        <is>
          <t>Multi</t>
        </is>
      </c>
      <c r="D496" s="51" t="inlineStr">
        <is>
          <t>Creature</t>
        </is>
      </c>
      <c r="E496" s="41" t="inlineStr">
        <is>
          <t>B2</t>
        </is>
      </c>
      <c r="F496" s="38" t="n">
        <v>3</v>
      </c>
      <c r="G496" s="67" t="inlineStr">
        <is>
          <t>Whenever this creature or another Elemental you control enters, look at the top card of your library. If it's a land card, you may put it onto the battlefield tapped. If you don't put the card onto the battlefield, put it into your hand.
(1/1)</t>
        </is>
      </c>
      <c r="H496" s="53" t="inlineStr">
        <is>
          <t>Card Advantage</t>
        </is>
      </c>
      <c r="I496" s="53" t="inlineStr">
        <is>
          <t>Whenever this creature or another Elemental you control enters, look at the top card of your library. If it's a land car</t>
        </is>
      </c>
      <c r="J496" s="53" t="n"/>
      <c r="K496" s="53" t="n"/>
      <c r="L496" s="42" t="n"/>
      <c r="M496" s="42" t="n"/>
      <c r="N496" s="42" t="n"/>
      <c r="O496" s="42" t="n"/>
      <c r="P496" s="42" t="n">
        <v>0.27</v>
      </c>
      <c r="Q496" s="42" t="n"/>
      <c r="R496" s="42" t="n"/>
      <c r="S496" s="42" t="n"/>
      <c r="T496" s="42" t="n"/>
      <c r="U496" s="42" t="n"/>
      <c r="V496" s="53" t="inlineStr">
        <is>
          <t>Core Set 2020</t>
        </is>
      </c>
      <c r="W496" s="41" t="n">
        <v>0</v>
      </c>
      <c r="X496" s="37">
        <f>SUM(Y496:AE496)</f>
        <v/>
      </c>
      <c r="Y496" s="43" t="n"/>
      <c r="Z496" s="43" t="n"/>
      <c r="AA496" s="43" t="n"/>
      <c r="AB496" s="43" t="n"/>
      <c r="AC496" s="43" t="n"/>
      <c r="AD496" s="43" t="n"/>
      <c r="AE496" s="43" t="n"/>
      <c r="AF496" s="38">
        <f>IF((W496-SUM(Y496:AE496))&lt;0,0,W496-SUM(Y496:AE496))</f>
        <v/>
      </c>
      <c r="AG496" s="52">
        <f>MAX(0,$AT496-$W496-$AI496)</f>
        <v/>
      </c>
      <c r="AH496" s="38" t="n"/>
      <c r="AI496" s="38" t="n"/>
      <c r="AJ496" s="54" t="n">
        <v>0.31</v>
      </c>
      <c r="AK496" s="55">
        <f>IF(AND($AG496&gt;0,ISNUMBER($AJ496)),$AG496*$AJ496,0)</f>
        <v/>
      </c>
      <c r="AL496" s="54" t="n"/>
      <c r="AM496" s="54" t="n"/>
      <c r="AN496" s="54" t="n"/>
      <c r="AO496" s="54" t="n"/>
      <c r="AP496" s="54" t="n"/>
      <c r="AQ496" s="54" t="n"/>
      <c r="AR496" s="54" t="n"/>
      <c r="AS496" s="54" t="n"/>
      <c r="AT496" s="37">
        <f>SUM(AU496:BA496)</f>
        <v/>
      </c>
      <c r="AU496" s="92" t="n"/>
      <c r="AV496" s="38" t="n"/>
      <c r="AW496" s="38" t="n"/>
      <c r="AX496" s="38" t="n"/>
      <c r="AY496" s="38" t="n"/>
      <c r="AZ496" s="38" t="n"/>
      <c r="BA496" s="94" t="n"/>
      <c r="BB496" s="47" t="n"/>
      <c r="BC496" s="42" t="n"/>
      <c r="BD496" s="42" t="n"/>
    </row>
    <row r="497" ht="15" customHeight="1" s="148">
      <c r="A497" t="inlineStr">
        <is>
          <t>c0493</t>
        </is>
      </c>
      <c r="B497" s="51" t="inlineStr">
        <is>
          <t>Rocketeer Boostbuggy</t>
        </is>
      </c>
      <c r="C497" s="52" t="inlineStr">
        <is>
          <t>Multi</t>
        </is>
      </c>
      <c r="D497" s="51" t="inlineStr">
        <is>
          <t>Artifact</t>
        </is>
      </c>
      <c r="E497" s="41" t="inlineStr">
        <is>
          <t>B2</t>
        </is>
      </c>
      <c r="F497" s="38" t="n">
        <v>2</v>
      </c>
      <c r="G497" s="67" t="inlineStr">
        <is>
          <t>Whenever this Vehicle attacks, create a Treasure token. (It's an artifact with "{T}, Sacrifice this token: Add one mana of any color.")
Exhaust — {3}: This Vehicle becomes an artifact creature. Put a +1/+1 counter on it. (Activate each exhaust ability only once.)
Crew 1
(3/2)</t>
        </is>
      </c>
      <c r="H497" s="53" t="inlineStr">
        <is>
          <t>Token Producer</t>
        </is>
      </c>
      <c r="I497" s="53" t="inlineStr">
        <is>
          <t>Creates a Treasure token whenever it attacks</t>
        </is>
      </c>
      <c r="J497" s="53" t="inlineStr">
        <is>
          <t>Pay {3} once to become a creature and get a +1/+1 counter</t>
        </is>
      </c>
      <c r="K497" s="53" t="n"/>
      <c r="L497" s="88" t="inlineStr">
        <is>
          <t>U 0327</t>
        </is>
      </c>
      <c r="M497" s="41" t="n">
        <v>1</v>
      </c>
      <c r="N497" s="41" t="n">
        <v>1</v>
      </c>
      <c r="O497" s="63" t="inlineStr">
        <is>
          <t>Adam Volker</t>
        </is>
      </c>
      <c r="P497" s="90" t="n">
        <v>0.25</v>
      </c>
      <c r="Q497" s="42" t="inlineStr">
        <is>
          <t>U</t>
        </is>
      </c>
      <c r="R497" s="42" t="n"/>
      <c r="S497" s="42" t="n"/>
      <c r="T497" s="63" t="n"/>
      <c r="U497" s="63" t="n"/>
      <c r="V497" s="53" t="inlineStr">
        <is>
          <t>Aetherdrift</t>
        </is>
      </c>
      <c r="W497" s="41" t="n">
        <v>1</v>
      </c>
      <c r="X497" s="37">
        <f>SUM(Y497:AE497)</f>
        <v/>
      </c>
      <c r="Y497" s="43" t="n"/>
      <c r="Z497" s="43" t="n"/>
      <c r="AA497" s="43" t="n"/>
      <c r="AB497" s="43" t="n"/>
      <c r="AC497" s="43" t="n"/>
      <c r="AD497" s="43" t="n"/>
      <c r="AE497" s="43" t="n"/>
      <c r="AF497" s="38">
        <f>IF((W497-SUM(Y497:AE497))&lt;0,0,W497-SUM(Y497:AE497))</f>
        <v/>
      </c>
      <c r="AG497" s="52">
        <f>MAX(0,$AT497-$W497-$AI497)</f>
        <v/>
      </c>
      <c r="AH497" s="38" t="n"/>
      <c r="AI497" s="38" t="n"/>
      <c r="AJ497" s="54" t="n">
        <v>0.25</v>
      </c>
      <c r="AK497" s="55">
        <f>IF(AND($AG497&gt;0,ISNUMBER($AJ497)),$AG497*$AJ497,0)</f>
        <v/>
      </c>
      <c r="AT497" s="37">
        <f>SUM(AU497:BA497)</f>
        <v/>
      </c>
      <c r="AU497" s="73" t="n"/>
      <c r="AV497" s="33" t="n"/>
      <c r="AW497" s="33" t="n"/>
      <c r="AX497" s="33" t="n"/>
      <c r="AY497" s="33" t="n"/>
      <c r="AZ497" s="33" t="n"/>
      <c r="BA497" s="74" t="n"/>
      <c r="BB497" s="47" t="n"/>
      <c r="BC497" s="42" t="n"/>
      <c r="BD497" s="42" t="n"/>
    </row>
    <row r="498" ht="15" customHeight="1" s="148">
      <c r="A498" t="inlineStr">
        <is>
          <t>c0494</t>
        </is>
      </c>
      <c r="B498" s="51" t="inlineStr">
        <is>
          <t>Roon of the Hidden Realm</t>
        </is>
      </c>
      <c r="C498" s="52" t="inlineStr">
        <is>
          <t>Multi</t>
        </is>
      </c>
      <c r="D498" s="51" t="inlineStr">
        <is>
          <t>Legendary Creature</t>
        </is>
      </c>
      <c r="E498" s="41" t="inlineStr">
        <is>
          <t>B2</t>
        </is>
      </c>
      <c r="F498" s="38" t="n">
        <v>5</v>
      </c>
      <c r="G498" s="67" t="inlineStr">
        <is>
          <t>Vigilance, trample
{2}, {T}: Exile another target creature. Return that card to the battlefield under its owner's control at the beginning of the next end step.
(4/4)</t>
        </is>
      </c>
      <c r="H498" s="53" t="inlineStr">
        <is>
          <t>Blink</t>
        </is>
      </c>
      <c r="I498" s="53" t="inlineStr">
        <is>
          <t>Exiles another creature, returns it at next end step</t>
        </is>
      </c>
      <c r="J498" s="53" t="inlineStr">
        <is>
          <t>Repeatable via {2}, tap activated ability</t>
        </is>
      </c>
      <c r="K498" s="53" t="n"/>
      <c r="L498" s="41" t="n"/>
      <c r="M498" s="41" t="n"/>
      <c r="N498" s="41" t="n"/>
      <c r="O498" s="63" t="n"/>
      <c r="P498" s="63" t="n">
        <v>0.33</v>
      </c>
      <c r="Q498" s="41" t="n"/>
      <c r="R498" s="41" t="n"/>
      <c r="S498" s="41" t="n"/>
      <c r="T498" s="63" t="n"/>
      <c r="U498" s="63" t="n"/>
      <c r="V498" s="53" t="inlineStr">
        <is>
          <t>Commander 2013</t>
        </is>
      </c>
      <c r="W498" s="41" t="n">
        <v>2</v>
      </c>
      <c r="X498" s="37">
        <f>SUM(Y498:AE498)</f>
        <v/>
      </c>
      <c r="Y498" s="43" t="n"/>
      <c r="Z498" s="43" t="n">
        <v>1</v>
      </c>
      <c r="AA498" s="43" t="n"/>
      <c r="AB498" s="43" t="n"/>
      <c r="AC498" s="43" t="n"/>
      <c r="AD498" s="43" t="n"/>
      <c r="AE498" s="43" t="n"/>
      <c r="AF498" s="38">
        <f>IF((W498-SUM(Y498:AE498))&lt;0,0,W498-SUM(Y498:AE498))</f>
        <v/>
      </c>
      <c r="AG498" s="52">
        <f>MAX(0,$AT498-$W498-$AI498)</f>
        <v/>
      </c>
      <c r="AH498" s="38" t="n"/>
      <c r="AI498" s="38" t="n"/>
      <c r="AJ498" s="54" t="n">
        <v>0.31</v>
      </c>
      <c r="AK498" s="55">
        <f>IF(AND($AG498&gt;0,ISNUMBER($AJ498)),$AG498*$AJ498,0)</f>
        <v/>
      </c>
      <c r="AT498" s="37">
        <f>SUM(AU498:BA498)</f>
        <v/>
      </c>
      <c r="AU498" s="73" t="n"/>
      <c r="AV498" s="98" t="n">
        <v>1</v>
      </c>
      <c r="AW498" s="33" t="n"/>
      <c r="AX498" s="33" t="n"/>
      <c r="AY498" s="33" t="n"/>
      <c r="AZ498" s="33" t="n"/>
      <c r="BA498" s="74" t="n"/>
      <c r="BB498" s="47" t="n"/>
      <c r="BC498" s="42" t="n"/>
      <c r="BD498" s="42" t="n"/>
    </row>
    <row r="499" ht="15" customHeight="1" s="148">
      <c r="A499" t="inlineStr">
        <is>
          <t>c0495</t>
        </is>
      </c>
      <c r="B499" s="51" t="inlineStr">
        <is>
          <t>Sapling of Colfenor</t>
        </is>
      </c>
      <c r="C499" s="52" t="inlineStr">
        <is>
          <t>Multi</t>
        </is>
      </c>
      <c r="D499" s="51" t="inlineStr">
        <is>
          <t>Legendary Creature</t>
        </is>
      </c>
      <c r="E499" s="41" t="inlineStr">
        <is>
          <t>B2</t>
        </is>
      </c>
      <c r="F499" s="38" t="n">
        <v>5</v>
      </c>
      <c r="G499" s="67" t="inlineStr">
        <is>
          <t>Indestructible
Whenever Sapling of Colfenor attacks, reveal the top card of your library. If it's a creature card, you gain life equal to that card's toughness, lose life equal to its power, then put it into your hand.
(2/5)</t>
        </is>
      </c>
      <c r="H499" s="53" t="inlineStr">
        <is>
          <t>Card Advantage</t>
        </is>
      </c>
      <c r="I499" s="53" t="inlineStr">
        <is>
          <t>Attacking reveals top card; if creature, gain life equal to its toughness</t>
        </is>
      </c>
      <c r="J499" s="53" t="inlineStr">
        <is>
          <t>Lose life equal to that creature's power, then put it into hand</t>
        </is>
      </c>
      <c r="K499" s="53" t="inlineStr">
        <is>
          <t>Indestructible body</t>
        </is>
      </c>
      <c r="L499" s="42" t="n"/>
      <c r="M499" s="42" t="n"/>
      <c r="N499" s="42" t="n"/>
      <c r="O499" s="42" t="n"/>
      <c r="P499" s="42" t="n">
        <v>6.21</v>
      </c>
      <c r="Q499" s="42" t="n"/>
      <c r="R499" s="42" t="n"/>
      <c r="S499" s="42" t="n"/>
      <c r="T499" s="42" t="n"/>
      <c r="U499" s="42" t="n"/>
      <c r="V499" s="53" t="inlineStr">
        <is>
          <t>Eventide</t>
        </is>
      </c>
      <c r="W499" s="41" t="n">
        <v>1</v>
      </c>
      <c r="X499" s="37">
        <f>SUM(Y499:AE499)</f>
        <v/>
      </c>
      <c r="Y499" s="43" t="n"/>
      <c r="Z499" s="43" t="n"/>
      <c r="AA499" s="43" t="n"/>
      <c r="AB499" s="43" t="n">
        <v>1</v>
      </c>
      <c r="AC499" s="43" t="n"/>
      <c r="AD499" s="43" t="n"/>
      <c r="AE499" s="43" t="n"/>
      <c r="AF499" s="38">
        <f>IF((W499-SUM(Y499:AE499))&lt;0,0,W499-SUM(Y499:AE499))</f>
        <v/>
      </c>
      <c r="AG499" s="52">
        <f>MAX(0,$AT499-$W499-$AI499)</f>
        <v/>
      </c>
      <c r="AH499" s="38" t="n"/>
      <c r="AI499" s="38" t="n"/>
      <c r="AJ499" s="54" t="n">
        <v>6.74</v>
      </c>
      <c r="AK499" s="55">
        <f>IF(AND($AG499&gt;0,ISNUMBER($AJ499)),$AG499*$AJ499,0)</f>
        <v/>
      </c>
      <c r="AT499" s="37">
        <f>SUM(AU499:BA499)</f>
        <v/>
      </c>
      <c r="AU499" s="73" t="n"/>
      <c r="AV499" s="33" t="n"/>
      <c r="AW499" s="33" t="n"/>
      <c r="AX499" s="98" t="n">
        <v>1</v>
      </c>
      <c r="AY499" s="33" t="n"/>
      <c r="AZ499" s="33" t="n"/>
      <c r="BA499" s="74" t="n"/>
      <c r="BB499" s="47" t="n"/>
      <c r="BC499" s="42" t="n"/>
      <c r="BD499" s="42" t="n"/>
    </row>
    <row r="500" ht="15" customHeight="1" s="148">
      <c r="A500" t="inlineStr">
        <is>
          <t>c0496</t>
        </is>
      </c>
      <c r="B500" s="51" t="inlineStr">
        <is>
          <t>Senate Griffin</t>
        </is>
      </c>
      <c r="C500" s="52" t="inlineStr">
        <is>
          <t>Multi</t>
        </is>
      </c>
      <c r="D500" s="51" t="inlineStr">
        <is>
          <t>Creature</t>
        </is>
      </c>
      <c r="E500" s="41" t="inlineStr">
        <is>
          <t>B2</t>
        </is>
      </c>
      <c r="F500" s="38" t="n">
        <v>4</v>
      </c>
      <c r="G500" s="67" t="inlineStr">
        <is>
          <t>Flying
When this creature enters, scry 1.
(3/2)</t>
        </is>
      </c>
      <c r="H500" s="53" t="inlineStr">
        <is>
          <t>Card Selection</t>
        </is>
      </c>
      <c r="I500" s="53" t="inlineStr">
        <is>
          <t>Scry 1 when it enters</t>
        </is>
      </c>
      <c r="J500" s="53" t="n"/>
      <c r="K500" s="53" t="n"/>
      <c r="L500" s="42" t="n"/>
      <c r="M500" s="42" t="n"/>
      <c r="N500" s="42" t="n"/>
      <c r="O500" s="63" t="n"/>
      <c r="P500" s="63" t="n">
        <v>0.07000000000000001</v>
      </c>
      <c r="Q500" s="42" t="n"/>
      <c r="R500" s="42" t="n"/>
      <c r="S500" s="42" t="n"/>
      <c r="T500" s="63" t="n"/>
      <c r="U500" s="63" t="n"/>
      <c r="V500" s="53" t="inlineStr">
        <is>
          <t>Ravnica Allegiance</t>
        </is>
      </c>
      <c r="W500" s="41" t="n">
        <v>1</v>
      </c>
      <c r="X500" s="37">
        <f>SUM(Y500:AE500)</f>
        <v/>
      </c>
      <c r="Y500" s="43" t="n"/>
      <c r="Z500" s="43" t="n"/>
      <c r="AA500" s="43" t="n"/>
      <c r="AB500" s="43" t="n"/>
      <c r="AC500" s="43" t="n"/>
      <c r="AD500" s="43" t="n"/>
      <c r="AE500" s="43" t="n"/>
      <c r="AF500" s="38">
        <f>IF((W500-SUM(Y500:AE500))&lt;0,0,W500-SUM(Y500:AE500))</f>
        <v/>
      </c>
      <c r="AG500" s="52">
        <f>MAX(0,$AT500-$W500-$AI500)</f>
        <v/>
      </c>
      <c r="AH500" s="38" t="n"/>
      <c r="AI500" s="38" t="n"/>
      <c r="AJ500" s="54" t="n">
        <v>0.08</v>
      </c>
      <c r="AK500" s="55">
        <f>IF(AND($AG500&gt;0,ISNUMBER($AJ500)),$AG500*$AJ500,0)</f>
        <v/>
      </c>
      <c r="AM500" s="58" t="n"/>
      <c r="AT500" s="37">
        <f>SUM(AU500:BA500)</f>
        <v/>
      </c>
      <c r="AU500" s="73" t="n"/>
      <c r="AV500" s="33" t="n"/>
      <c r="AW500" s="33" t="n"/>
      <c r="AX500" s="33" t="n"/>
      <c r="AY500" s="33" t="n"/>
      <c r="AZ500" s="33" t="n"/>
      <c r="BA500" s="74" t="n"/>
      <c r="BB500" s="47" t="n"/>
      <c r="BC500" s="42" t="n"/>
      <c r="BD500" s="42" t="n"/>
    </row>
    <row r="501" ht="15" customHeight="1" s="148">
      <c r="A501" t="inlineStr">
        <is>
          <t>c0497</t>
        </is>
      </c>
      <c r="B501" s="59" t="inlineStr">
        <is>
          <t>Shadow Urchin</t>
        </is>
      </c>
      <c r="C501" s="60" t="inlineStr">
        <is>
          <t>Multi</t>
        </is>
      </c>
      <c r="D501" s="59" t="inlineStr">
        <is>
          <t>Creature</t>
        </is>
      </c>
      <c r="E501" s="33" t="inlineStr">
        <is>
          <t>B2</t>
        </is>
      </c>
      <c r="F501" s="33" t="n">
        <v>3</v>
      </c>
      <c r="G501" s="67" t="inlineStr">
        <is>
          <t>Whenever this creature attacks, blight 1. (Put a -1/-1 counter on a creature you control.)
Whenever a creature you control with one or more counters on it dies, exile that many cards from the top of your library. Until your next end step, you may play those cards.
(3/4)</t>
        </is>
      </c>
      <c r="H501" s="32" t="inlineStr">
        <is>
          <t>Card Advantage</t>
        </is>
      </c>
      <c r="I501" s="32" t="inlineStr">
        <is>
          <t>Whenever a creature you control with counters on it dies, exile that many cards from the top of your library and play them until your next end step</t>
        </is>
      </c>
      <c r="J501" s="32" t="inlineStr">
        <is>
          <t>Whenever this creature attacks, blight 1 (put a -1/-1 counter on a creature you control)</t>
        </is>
      </c>
      <c r="K501" s="32" t="n"/>
      <c r="L501" s="32" t="inlineStr">
        <is>
          <t>242</t>
        </is>
      </c>
      <c r="M501" s="32" t="n">
        <v>1</v>
      </c>
      <c r="N501" s="32" t="n">
        <v>0</v>
      </c>
      <c r="O501" s="63" t="n"/>
      <c r="P501" s="63" t="n">
        <v>0.26</v>
      </c>
      <c r="Q501" s="32" t="inlineStr">
        <is>
          <t>Rare</t>
        </is>
      </c>
      <c r="R501" s="32" t="n"/>
      <c r="S501" s="32" t="n"/>
      <c r="T501" s="63" t="n"/>
      <c r="U501" s="63" t="n"/>
      <c r="V501" s="32" t="inlineStr">
        <is>
          <t>Lorwyn Eclipsed</t>
        </is>
      </c>
      <c r="W501" s="41" t="n">
        <v>1</v>
      </c>
      <c r="X501" s="37">
        <f>SUM(Y501:AE501)</f>
        <v/>
      </c>
      <c r="Y501" s="43" t="n"/>
      <c r="Z501" s="43" t="n"/>
      <c r="AA501" s="43" t="n"/>
      <c r="AB501" s="43" t="n"/>
      <c r="AC501" s="43" t="n"/>
      <c r="AD501" s="43" t="n"/>
      <c r="AE501" s="43" t="n"/>
      <c r="AF501" s="38">
        <f>IF((W501-SUM(Y501:AE501))&lt;0,0,W501-SUM(Y501:AE501))</f>
        <v/>
      </c>
      <c r="AG501" s="52">
        <f>MAX(0,$AT501-$W501-$AI501)</f>
        <v/>
      </c>
      <c r="AH501" s="32" t="n"/>
      <c r="AI501" s="32" t="n"/>
      <c r="AJ501" s="61" t="n">
        <v>0.26</v>
      </c>
      <c r="AK501" s="55">
        <f>IF(AND($AG501&gt;0,ISNUMBER($AJ501)),$AG501*$AJ501,0)</f>
        <v/>
      </c>
      <c r="AT501" s="37">
        <f>SUM(AU501:BA501)</f>
        <v/>
      </c>
      <c r="AU501" s="73" t="n"/>
      <c r="AV501" s="33" t="n"/>
      <c r="AW501" s="33" t="n"/>
      <c r="AX501" s="33" t="n"/>
      <c r="AY501" s="33" t="n"/>
      <c r="AZ501" s="33" t="n"/>
      <c r="BA501" s="74" t="n"/>
      <c r="BB501" s="32" t="n"/>
      <c r="BC501" s="32" t="n"/>
      <c r="BD501" s="32" t="n"/>
    </row>
    <row r="502" ht="15" customHeight="1" s="148">
      <c r="A502" t="inlineStr">
        <is>
          <t>c0498</t>
        </is>
      </c>
      <c r="B502" s="51" t="inlineStr">
        <is>
          <t>Shadrix Silverquill</t>
        </is>
      </c>
      <c r="C502" s="52" t="inlineStr">
        <is>
          <t>Multi</t>
        </is>
      </c>
      <c r="D502" s="51" t="inlineStr">
        <is>
          <t>Legendary Creature</t>
        </is>
      </c>
      <c r="E502" s="41" t="inlineStr">
        <is>
          <t>B2</t>
        </is>
      </c>
      <c r="F502" s="38" t="n">
        <v>5</v>
      </c>
      <c r="G502" s="67" t="inlineStr">
        <is>
          <t>Flying, double strike
At the beginning of combat on your turn, you may choose two. Each mode must target a different player.
• Target player creates a 2/1 white and black Inkling creature token with flying.
• Target player draws a card and loses 1 life.
• Target player puts a +1/+1 counter on each creature they control.
(2/5)</t>
        </is>
      </c>
      <c r="H502" s="53" t="inlineStr">
        <is>
          <t>Commander</t>
        </is>
      </c>
      <c r="I502" s="53" t="inlineStr">
        <is>
          <t>Combat: choose two modes, each targeting a different player</t>
        </is>
      </c>
      <c r="J502" s="53" t="inlineStr">
        <is>
          <t>Modes make a 2/1 flying token, draw+lose life, or add +1/+1 counters</t>
        </is>
      </c>
      <c r="K502" s="53" t="inlineStr">
        <is>
          <t>Flying double strike body</t>
        </is>
      </c>
      <c r="L502" s="42" t="n"/>
      <c r="M502" s="42" t="n"/>
      <c r="N502" s="42" t="n"/>
      <c r="O502" s="42" t="n"/>
      <c r="P502" s="42" t="n">
        <v>0.36</v>
      </c>
      <c r="Q502" s="42" t="n"/>
      <c r="R502" s="42" t="n"/>
      <c r="S502" s="42" t="n"/>
      <c r="T502" s="42" t="n"/>
      <c r="U502" s="42" t="n"/>
      <c r="V502" s="53" t="inlineStr">
        <is>
          <t>Strixhaven: School of Mages</t>
        </is>
      </c>
      <c r="W502" s="41" t="n">
        <v>1</v>
      </c>
      <c r="X502" s="37">
        <f>SUM(Y502:AE502)</f>
        <v/>
      </c>
      <c r="Y502" s="43" t="n"/>
      <c r="Z502" s="43" t="n"/>
      <c r="AA502" s="43" t="n"/>
      <c r="AB502" s="43" t="n"/>
      <c r="AC502" s="43" t="n">
        <v>1</v>
      </c>
      <c r="AD502" s="43" t="n"/>
      <c r="AE502" s="43" t="n"/>
      <c r="AF502" s="38">
        <f>IF((W502-SUM(Y502:AE502))&lt;0,0,W502-SUM(Y502:AE502))</f>
        <v/>
      </c>
      <c r="AG502" s="52">
        <f>MAX(0,$AT502-$W502-$AI502)</f>
        <v/>
      </c>
      <c r="AH502" s="38" t="n"/>
      <c r="AI502" s="38" t="n"/>
      <c r="AJ502" s="54" t="n">
        <v>0.34</v>
      </c>
      <c r="AK502" s="55">
        <f>IF(AND($AG502&gt;0,ISNUMBER($AJ502)),$AG502*$AJ502,0)</f>
        <v/>
      </c>
      <c r="AT502" s="37">
        <f>SUM(AU502:BA502)</f>
        <v/>
      </c>
      <c r="AU502" s="73" t="n"/>
      <c r="AV502" s="33" t="n"/>
      <c r="AW502" s="33" t="n"/>
      <c r="AX502" s="33" t="n"/>
      <c r="AY502" s="98" t="n">
        <v>1</v>
      </c>
      <c r="AZ502" s="33" t="n"/>
      <c r="BA502" s="74" t="n"/>
      <c r="BB502" s="47" t="n"/>
      <c r="BC502" s="42" t="n"/>
      <c r="BD502" s="42" t="n"/>
    </row>
    <row r="503" ht="15" customHeight="1" s="148">
      <c r="A503" t="inlineStr">
        <is>
          <t>c0499</t>
        </is>
      </c>
      <c r="B503" s="51" t="inlineStr">
        <is>
          <t>Shalai, Voice of Plenty</t>
        </is>
      </c>
      <c r="C503" s="52" t="inlineStr">
        <is>
          <t>Multi</t>
        </is>
      </c>
      <c r="D503" s="51" t="inlineStr">
        <is>
          <t>Legendary Creature</t>
        </is>
      </c>
      <c r="E503" s="41" t="inlineStr">
        <is>
          <t>B2</t>
        </is>
      </c>
      <c r="F503" s="38" t="n">
        <v>4</v>
      </c>
      <c r="G503" s="67" t="inlineStr">
        <is>
          <t>Flying
You, planeswalkers you control, and other creatures you control have hexproof.
{4}{G}{G}: Put a +1/+1 counter on each creature you control.
(3/4)</t>
        </is>
      </c>
      <c r="H503" s="53" t="inlineStr">
        <is>
          <t>Protection</t>
        </is>
      </c>
      <c r="I503" s="53" t="inlineStr">
        <is>
          <t>You, your planeswalkers, and your other creatures can't be targeted by opponents</t>
        </is>
      </c>
      <c r="J503" s="53" t="inlineStr">
        <is>
          <t>Pay {4}{G}{G} to put a +1/+1 counter on each creature you control</t>
        </is>
      </c>
      <c r="K503" s="53" t="n"/>
      <c r="L503" s="42" t="n"/>
      <c r="M503" s="42" t="n"/>
      <c r="N503" s="42" t="n"/>
      <c r="O503" s="42" t="n"/>
      <c r="P503" s="42" t="n">
        <v>1.08</v>
      </c>
      <c r="Q503" s="42" t="n"/>
      <c r="R503" s="42" t="n"/>
      <c r="S503" s="42" t="n"/>
      <c r="T503" s="42" t="n"/>
      <c r="U503" s="42" t="n"/>
      <c r="V503" s="53" t="inlineStr">
        <is>
          <t>Dominaria</t>
        </is>
      </c>
      <c r="W503" s="41" t="n">
        <v>1</v>
      </c>
      <c r="X503" s="37">
        <f>SUM(Y503:AE503)</f>
        <v/>
      </c>
      <c r="Y503" s="43" t="n"/>
      <c r="Z503" s="43" t="n"/>
      <c r="AA503" s="43" t="n"/>
      <c r="AB503" s="43" t="n">
        <v>1</v>
      </c>
      <c r="AC503" s="43" t="n"/>
      <c r="AD503" s="43" t="n"/>
      <c r="AE503" s="43" t="n"/>
      <c r="AF503" s="38">
        <f>IF((W503-SUM(Y503:AE503))&lt;0,0,W503-SUM(Y503:AE503))</f>
        <v/>
      </c>
      <c r="AG503" s="52">
        <f>MAX(0,$AT503-$W503-$AI503)</f>
        <v/>
      </c>
      <c r="AH503" s="38" t="n"/>
      <c r="AI503" s="38" t="n"/>
      <c r="AJ503" s="54" t="n">
        <v>1.16</v>
      </c>
      <c r="AK503" s="55">
        <f>IF(AND($AG503&gt;0,ISNUMBER($AJ503)),$AG503*$AJ503,0)</f>
        <v/>
      </c>
      <c r="AT503" s="37">
        <f>SUM(AU503:BA503)</f>
        <v/>
      </c>
      <c r="AU503" s="73" t="n"/>
      <c r="AV503" s="33" t="n"/>
      <c r="AW503" s="33" t="n"/>
      <c r="AX503" s="98" t="n">
        <v>1</v>
      </c>
      <c r="AY503" s="33" t="n"/>
      <c r="AZ503" s="33" t="n"/>
      <c r="BA503" s="74" t="n"/>
      <c r="BB503" s="47" t="n"/>
      <c r="BC503" s="42" t="n"/>
      <c r="BD503" s="42" t="n"/>
    </row>
    <row r="504" ht="15" customHeight="1" s="148">
      <c r="A504" t="inlineStr">
        <is>
          <t>c0500</t>
        </is>
      </c>
      <c r="B504" s="51" t="inlineStr">
        <is>
          <t>Sidar Kondo of Jamuraa</t>
        </is>
      </c>
      <c r="C504" s="52" t="inlineStr">
        <is>
          <t>Multi</t>
        </is>
      </c>
      <c r="D504" s="51" t="inlineStr">
        <is>
          <t>Legendary Creature</t>
        </is>
      </c>
      <c r="E504" s="41" t="inlineStr">
        <is>
          <t>B2</t>
        </is>
      </c>
      <c r="F504" s="38" t="n">
        <v>4</v>
      </c>
      <c r="G504" s="67" t="inlineStr">
        <is>
          <t>Flanking (Whenever a creature without flanking blocks this creature, the blocking creature gets -1/-1 until end of turn.)
Creatures your opponents control without flying or reach can't block creatures with power 2 or less.
Partner (You can have two commanders if both have partner.)
(2/5)</t>
        </is>
      </c>
      <c r="H504" s="53" t="inlineStr">
        <is>
          <t>Evasion</t>
        </is>
      </c>
      <c r="I504" s="53" t="inlineStr">
        <is>
          <t>Your creatures with power 2 or less can't be blocked by creatures without flying or reach</t>
        </is>
      </c>
      <c r="J504" s="53" t="inlineStr">
        <is>
          <t>Can have two commanders if paired with another partner commander</t>
        </is>
      </c>
      <c r="K504" s="53" t="n"/>
      <c r="L504" s="42" t="n"/>
      <c r="M504" s="42" t="n"/>
      <c r="N504" s="42" t="n"/>
      <c r="O504" s="42" t="n"/>
      <c r="P504" s="42" t="n">
        <v>0.3</v>
      </c>
      <c r="Q504" s="42" t="n"/>
      <c r="R504" s="42" t="n"/>
      <c r="S504" s="42" t="n"/>
      <c r="T504" s="42" t="n"/>
      <c r="U504" s="42" t="n"/>
      <c r="V504" s="53" t="inlineStr">
        <is>
          <t>Commander 2016</t>
        </is>
      </c>
      <c r="W504" s="41" t="n">
        <v>1</v>
      </c>
      <c r="X504" s="37">
        <f>SUM(Y504:AE504)</f>
        <v/>
      </c>
      <c r="Y504" s="43" t="n"/>
      <c r="Z504" s="43" t="n"/>
      <c r="AA504" s="43" t="n"/>
      <c r="AB504" s="43" t="n">
        <v>1</v>
      </c>
      <c r="AC504" s="43" t="n"/>
      <c r="AD504" s="43" t="n"/>
      <c r="AE504" s="43" t="n"/>
      <c r="AF504" s="38">
        <f>IF((W504-SUM(Y504:AE504))&lt;0,0,W504-SUM(Y504:AE504))</f>
        <v/>
      </c>
      <c r="AG504" s="52">
        <f>MAX(0,$AT504-$W504-$AI504)</f>
        <v/>
      </c>
      <c r="AH504" s="38" t="n"/>
      <c r="AI504" s="38" t="n"/>
      <c r="AJ504" s="54" t="n">
        <v>0.28</v>
      </c>
      <c r="AK504" s="55">
        <f>IF(AND($AG504&gt;0,ISNUMBER($AJ504)),$AG504*$AJ504,0)</f>
        <v/>
      </c>
      <c r="AT504" s="37">
        <f>SUM(AU504:BA504)</f>
        <v/>
      </c>
      <c r="AU504" s="73" t="n"/>
      <c r="AV504" s="33" t="n"/>
      <c r="AW504" s="33" t="n"/>
      <c r="AX504" s="98" t="n">
        <v>1</v>
      </c>
      <c r="AY504" s="33" t="n"/>
      <c r="AZ504" s="33" t="n"/>
      <c r="BA504" s="74" t="n"/>
      <c r="BB504" s="47" t="n"/>
      <c r="BC504" s="42" t="n"/>
      <c r="BD504" s="42" t="n"/>
    </row>
    <row r="505" ht="15" customHeight="1" s="148">
      <c r="A505" t="inlineStr">
        <is>
          <t>c0501</t>
        </is>
      </c>
      <c r="B505" s="59" t="inlineStr">
        <is>
          <t>Silverquill Charm</t>
        </is>
      </c>
      <c r="C505" s="60" t="inlineStr">
        <is>
          <t>Multi</t>
        </is>
      </c>
      <c r="D505" s="59" t="inlineStr">
        <is>
          <t>Instant</t>
        </is>
      </c>
      <c r="E505" s="33" t="inlineStr">
        <is>
          <t>B2</t>
        </is>
      </c>
      <c r="F505" s="33" t="n">
        <v>2</v>
      </c>
      <c r="G505" s="67" t="inlineStr">
        <is>
          <t>Choose one —
• Put two +1/+1 counters on target creature.
• Exile target creature with power 2 or less.
• Each opponent loses 3 life and you gain 3 life.</t>
        </is>
      </c>
      <c r="H505" s="32" t="inlineStr">
        <is>
          <t>Removal</t>
        </is>
      </c>
      <c r="I505" s="32" t="inlineStr">
        <is>
          <t>Choose one — exile target creature with power 2 or less</t>
        </is>
      </c>
      <c r="J505" s="32" t="inlineStr">
        <is>
          <t>Or put two +1/+1 counters on a creature, or drain each opponent for 3</t>
        </is>
      </c>
      <c r="K505" s="32" t="n"/>
      <c r="L505" s="32" t="inlineStr">
        <is>
          <t>225</t>
        </is>
      </c>
      <c r="M505" s="32" t="n">
        <v>1</v>
      </c>
      <c r="N505" s="32" t="n">
        <v>0</v>
      </c>
      <c r="O505" s="63" t="n"/>
      <c r="P505" s="63" t="n">
        <v>0.23</v>
      </c>
      <c r="Q505" s="32" t="inlineStr">
        <is>
          <t>Uncommon</t>
        </is>
      </c>
      <c r="R505" s="32" t="n"/>
      <c r="S505" s="32" t="n"/>
      <c r="T505" s="63" t="n"/>
      <c r="U505" s="63" t="n"/>
      <c r="V505" s="32" t="inlineStr">
        <is>
          <t>Secrets of Strixhaven</t>
        </is>
      </c>
      <c r="W505" s="41" t="n">
        <v>1</v>
      </c>
      <c r="X505" s="37">
        <f>SUM(Y505:AE505)</f>
        <v/>
      </c>
      <c r="Y505" s="43" t="n"/>
      <c r="Z505" s="43" t="n"/>
      <c r="AA505" s="43" t="n"/>
      <c r="AB505" s="43" t="n"/>
      <c r="AC505" s="43" t="n">
        <v>1</v>
      </c>
      <c r="AD505" s="43" t="n"/>
      <c r="AE505" s="43" t="n"/>
      <c r="AF505" s="38">
        <f>IF((W505-SUM(Y505:AE505))&lt;0,0,W505-SUM(Y505:AE505))</f>
        <v/>
      </c>
      <c r="AG505" s="52">
        <f>MAX(0,$AT505-$W505-$AI505)</f>
        <v/>
      </c>
      <c r="AH505" s="32" t="n"/>
      <c r="AI505" s="32" t="n"/>
      <c r="AJ505" s="61" t="n">
        <v>0.23</v>
      </c>
      <c r="AK505" s="55">
        <f>IF(AND($AG505&gt;0,ISNUMBER($AJ505)),$AG505*$AJ505,0)</f>
        <v/>
      </c>
      <c r="AT505" s="37">
        <f>SUM(AU505:BA505)</f>
        <v/>
      </c>
      <c r="AU505" s="73" t="n"/>
      <c r="AV505" s="33" t="n"/>
      <c r="AW505" s="33" t="n"/>
      <c r="AX505" s="33" t="n"/>
      <c r="AY505" s="98" t="n">
        <v>1</v>
      </c>
      <c r="AZ505" s="33" t="n"/>
      <c r="BA505" s="74" t="n"/>
      <c r="BB505" s="32" t="n"/>
      <c r="BC505" s="32" t="n"/>
      <c r="BD505" s="32" t="n"/>
    </row>
    <row r="506" ht="15" customHeight="1" s="148">
      <c r="A506" t="inlineStr">
        <is>
          <t>c0502</t>
        </is>
      </c>
      <c r="B506" s="59" t="inlineStr">
        <is>
          <t>Smaug, Wicked Worm</t>
        </is>
      </c>
      <c r="C506" s="60" t="inlineStr">
        <is>
          <t>Multi</t>
        </is>
      </c>
      <c r="D506" s="59" t="inlineStr">
        <is>
          <t>Legendary Creature</t>
        </is>
      </c>
      <c r="E506" s="33" t="inlineStr">
        <is>
          <t>B2</t>
        </is>
      </c>
      <c r="F506" s="33" t="n">
        <v>5</v>
      </c>
      <c r="G506" s="67" t="inlineStr">
        <is>
          <t>Flying
When Smaug enters, create X tapped Treasure tokens, where X is the number of artifacts your opponents control.
Whenever you cast a spell, if mana from a Treasure was spent to cast it, you draw a card and lose 1 life.
(5/5)</t>
        </is>
      </c>
      <c r="H506" s="32" t="inlineStr">
        <is>
          <t>Finisher</t>
        </is>
      </c>
      <c r="I506" s="32" t="inlineStr">
        <is>
          <t>Enters: create a tapped Treasure for each artifact your opponents control</t>
        </is>
      </c>
      <c r="J506" s="32" t="inlineStr">
        <is>
          <t>Whenever you cast a spell with Treasure mana, draw a card and lose 1 life</t>
        </is>
      </c>
      <c r="K506" s="32" t="inlineStr">
        <is>
          <t>5/5 flying body</t>
        </is>
      </c>
      <c r="L506" s="89" t="inlineStr">
        <is>
          <t>245</t>
        </is>
      </c>
      <c r="M506" s="33" t="n">
        <v>1</v>
      </c>
      <c r="N506" s="33" t="n">
        <v>0</v>
      </c>
      <c r="O506" s="63" t="n"/>
      <c r="P506" s="90" t="n">
        <v>1.5</v>
      </c>
      <c r="Q506" s="32" t="inlineStr">
        <is>
          <t>Rare</t>
        </is>
      </c>
      <c r="R506" s="32" t="n"/>
      <c r="S506" s="32" t="n"/>
      <c r="T506" s="63" t="n"/>
      <c r="U506" s="63" t="n"/>
      <c r="V506" s="32" t="inlineStr">
        <is>
          <t>The Hobbit</t>
        </is>
      </c>
      <c r="W506" s="41" t="n">
        <v>1</v>
      </c>
      <c r="X506" s="37">
        <f>SUM(Y506:AE506)</f>
        <v/>
      </c>
      <c r="Y506" s="43" t="n"/>
      <c r="Z506" s="43" t="n"/>
      <c r="AA506" s="43" t="n"/>
      <c r="AB506" s="43" t="n"/>
      <c r="AC506" s="43" t="n"/>
      <c r="AD506" s="43" t="n"/>
      <c r="AE506" s="43" t="n"/>
      <c r="AF506" s="38">
        <f>IF((W506-SUM(Y506:AE506))&lt;0,0,W506-SUM(Y506:AE506))</f>
        <v/>
      </c>
      <c r="AG506" s="52">
        <f>MAX(0,$AT506-$W506-$AI506)</f>
        <v/>
      </c>
      <c r="AH506" s="32" t="n"/>
      <c r="AI506" s="32" t="n"/>
      <c r="AJ506" s="61" t="n">
        <v>11.65</v>
      </c>
      <c r="AK506" s="55">
        <f>IF(AND($AG506&gt;0,ISNUMBER($AJ506)),$AG506*$AJ506,0)</f>
        <v/>
      </c>
      <c r="AT506" s="37">
        <f>SUM(AU506:BA506)</f>
        <v/>
      </c>
      <c r="AU506" s="73" t="n"/>
      <c r="AV506" s="33" t="n"/>
      <c r="AW506" s="33" t="n"/>
      <c r="AX506" s="33" t="n"/>
      <c r="AY506" s="33" t="n"/>
      <c r="AZ506" s="33" t="n"/>
      <c r="BA506" s="74" t="n"/>
      <c r="BB506" s="32" t="n"/>
      <c r="BC506" s="32" t="n"/>
      <c r="BD506" s="32" t="n"/>
    </row>
    <row r="507" ht="15" customHeight="1" s="148">
      <c r="A507" t="inlineStr">
        <is>
          <t>c0503</t>
        </is>
      </c>
      <c r="B507" s="51" t="inlineStr">
        <is>
          <t>Soulherder</t>
        </is>
      </c>
      <c r="C507" s="52" t="inlineStr">
        <is>
          <t>Multi</t>
        </is>
      </c>
      <c r="D507" s="51" t="inlineStr">
        <is>
          <t>Creature</t>
        </is>
      </c>
      <c r="E507" s="41" t="inlineStr">
        <is>
          <t>B2</t>
        </is>
      </c>
      <c r="F507" s="38" t="n">
        <v>3</v>
      </c>
      <c r="G507" s="67" t="inlineStr">
        <is>
          <t>Whenever a creature is exiled from the battlefield, put a +1/+1 counter on this creature.
At the beginning of your end step, you may exile another target creature you control, then return that card to the battlefield under its owner's control.
(1/1)</t>
        </is>
      </c>
      <c r="H507" s="53" t="inlineStr">
        <is>
          <t>Blink</t>
        </is>
      </c>
      <c r="I507" s="53" t="inlineStr">
        <is>
          <t>End step: may exile then return another target creature you control</t>
        </is>
      </c>
      <c r="J507" s="53" t="inlineStr">
        <is>
          <t>Gets a +1/+1 counter whenever a creature is exiled from the battlefield</t>
        </is>
      </c>
      <c r="K507" s="53" t="n"/>
      <c r="L507" s="42" t="n"/>
      <c r="M507" s="42" t="n"/>
      <c r="N507" s="42" t="n"/>
      <c r="O507" s="42" t="n"/>
      <c r="P507" s="42" t="n">
        <v>1.84</v>
      </c>
      <c r="Q507" s="42" t="n"/>
      <c r="R507" s="42" t="n"/>
      <c r="S507" s="42" t="n"/>
      <c r="T507" s="42" t="n"/>
      <c r="U507" s="42" t="n"/>
      <c r="V507" s="53" t="inlineStr">
        <is>
          <t>Modern Horizons</t>
        </is>
      </c>
      <c r="W507" s="41" t="n">
        <v>1</v>
      </c>
      <c r="X507" s="37">
        <f>SUM(Y507:AE507)</f>
        <v/>
      </c>
      <c r="Y507" s="43" t="n"/>
      <c r="Z507" s="43" t="n">
        <v>1</v>
      </c>
      <c r="AA507" s="43" t="n"/>
      <c r="AB507" s="43" t="n"/>
      <c r="AC507" s="43" t="n"/>
      <c r="AD507" s="43" t="n"/>
      <c r="AE507" s="43" t="n"/>
      <c r="AF507" s="38">
        <f>IF((W507-SUM(Y507:AE507))&lt;0,0,W507-SUM(Y507:AE507))</f>
        <v/>
      </c>
      <c r="AG507" s="52">
        <f>MAX(0,$AT507-$W507-$AI507)</f>
        <v/>
      </c>
      <c r="AH507" s="38" t="n"/>
      <c r="AI507" s="38" t="n"/>
      <c r="AJ507" s="54" t="n">
        <v>1.93</v>
      </c>
      <c r="AK507" s="55">
        <f>IF(AND($AG507&gt;0,ISNUMBER($AJ507)),$AG507*$AJ507,0)</f>
        <v/>
      </c>
      <c r="AT507" s="37">
        <f>SUM(AU507:BA507)</f>
        <v/>
      </c>
      <c r="AU507" s="73" t="n"/>
      <c r="AV507" s="98" t="n">
        <v>1</v>
      </c>
      <c r="AW507" s="33" t="n"/>
      <c r="AX507" s="33" t="n"/>
      <c r="AY507" s="33" t="n"/>
      <c r="AZ507" s="33" t="n"/>
      <c r="BA507" s="74" t="n"/>
      <c r="BB507" s="47" t="n"/>
      <c r="BC507" s="42" t="n"/>
      <c r="BD507" s="42" t="n"/>
    </row>
    <row r="508" ht="15" customHeight="1" s="148">
      <c r="A508" t="inlineStr">
        <is>
          <t>c0504</t>
        </is>
      </c>
      <c r="B508" s="59" t="inlineStr">
        <is>
          <t>Stadium Tidalmage</t>
        </is>
      </c>
      <c r="C508" s="60" t="inlineStr">
        <is>
          <t>Multi</t>
        </is>
      </c>
      <c r="D508" s="59" t="inlineStr">
        <is>
          <t>Creature</t>
        </is>
      </c>
      <c r="E508" s="33" t="inlineStr">
        <is>
          <t>B2</t>
        </is>
      </c>
      <c r="F508" s="32" t="n">
        <v>4</v>
      </c>
      <c r="G508" s="67" t="inlineStr">
        <is>
          <t>Whenever this creature enters or attacks, you may draw a card. If you do, discard a card.
(4/4)</t>
        </is>
      </c>
      <c r="H508" s="32" t="inlineStr">
        <is>
          <t>Discard/Looting</t>
        </is>
      </c>
      <c r="I508" s="32" t="inlineStr">
        <is>
          <t>Whenever this creature enters or attacks, you may draw a card, then discard a card</t>
        </is>
      </c>
      <c r="J508" s="32" t="inlineStr">
        <is>
          <t>4/4 body</t>
        </is>
      </c>
      <c r="K508" s="32" t="n"/>
      <c r="L508" s="32" t="inlineStr">
        <is>
          <t>232</t>
        </is>
      </c>
      <c r="M508" s="32" t="n">
        <v>1</v>
      </c>
      <c r="N508" s="32" t="n">
        <v>0</v>
      </c>
      <c r="O508" s="63" t="inlineStr">
        <is>
          <t>Ioannis Fiore</t>
        </is>
      </c>
      <c r="P508" s="63" t="n">
        <v>0.06</v>
      </c>
      <c r="Q508" s="32" t="inlineStr">
        <is>
          <t>Common</t>
        </is>
      </c>
      <c r="R508" s="32" t="n"/>
      <c r="S508" s="32" t="n"/>
      <c r="T508" s="63" t="n"/>
      <c r="U508" s="63" t="n"/>
      <c r="V508" s="32" t="inlineStr">
        <is>
          <t>Secrets of Strixhaven</t>
        </is>
      </c>
      <c r="W508" s="41" t="n">
        <v>1</v>
      </c>
      <c r="X508" s="37">
        <f>SUM(Y508:AE508)</f>
        <v/>
      </c>
      <c r="Y508" s="43" t="n"/>
      <c r="Z508" s="43" t="n"/>
      <c r="AA508" s="43" t="n"/>
      <c r="AB508" s="43" t="n"/>
      <c r="AC508" s="43" t="n"/>
      <c r="AD508" s="43" t="n"/>
      <c r="AE508" s="43" t="n"/>
      <c r="AF508" s="38">
        <f>IF((W508-SUM(Y508:AE508))&lt;0,0,W508-SUM(Y508:AE508))</f>
        <v/>
      </c>
      <c r="AG508" s="52">
        <f>MAX(0,$AT508-$W508-$AI508)</f>
        <v/>
      </c>
      <c r="AH508" s="32" t="n"/>
      <c r="AI508" s="32" t="n"/>
      <c r="AJ508" s="32" t="n">
        <v>0.06</v>
      </c>
      <c r="AK508" s="55">
        <f>IF(AND($AG508&gt;0,ISNUMBER($AJ508)),$AG508*$AJ508,0)</f>
        <v/>
      </c>
      <c r="AT508" s="37">
        <f>SUM(AU508:BA508)</f>
        <v/>
      </c>
      <c r="AU508" s="73" t="n"/>
      <c r="AV508" s="33" t="n"/>
      <c r="AW508" s="33" t="n"/>
      <c r="AX508" s="33" t="n"/>
      <c r="AY508" s="33" t="n"/>
      <c r="AZ508" s="33" t="n"/>
      <c r="BA508" s="74" t="n"/>
      <c r="BB508" s="32" t="n"/>
      <c r="BC508" s="32" t="n"/>
      <c r="BD508" s="32" t="n"/>
    </row>
    <row r="509" ht="15" customHeight="1" s="148">
      <c r="A509" t="inlineStr">
        <is>
          <t>c0505</t>
        </is>
      </c>
      <c r="B509" s="59" t="inlineStr">
        <is>
          <t>Tam, Observant Sequencer // Deep Sight</t>
        </is>
      </c>
      <c r="C509" s="60" t="inlineStr">
        <is>
          <t>Multi</t>
        </is>
      </c>
      <c r="D509" s="59" t="inlineStr">
        <is>
          <t>Legendary Creature</t>
        </is>
      </c>
      <c r="E509" s="33" t="inlineStr">
        <is>
          <t>B2</t>
        </is>
      </c>
      <c r="F509" s="32" t="n">
        <v>4</v>
      </c>
      <c r="G509" s="67" t="inlineStr">
        <is>
          <t>Tam, Observant Sequencer {2}{G}{U} — Legendary Creature — Gorgon Wizard (4/3)
Landfall — Whenever a land you control enters, Tam becomes prepared. (While it's prepared, you may cast a copy of its spell. Doing so unprepares it.)
//
Deep Sight {G}{U} — Sorcery
You draw a card and gain 1 life.</t>
        </is>
      </c>
      <c r="H509" s="32" t="inlineStr">
        <is>
          <t>Card Draw</t>
        </is>
      </c>
      <c r="I509" s="32" t="inlineStr">
        <is>
          <t>Landfall — whenever a land you control enters, Tam becomes prepared and you may cast a copy of its spell</t>
        </is>
      </c>
      <c r="J509" s="32" t="inlineStr">
        <is>
          <t>Deep Sight: draw a card and gain 1 life</t>
        </is>
      </c>
      <c r="K509" s="32" t="n"/>
      <c r="L509" s="32" t="inlineStr">
        <is>
          <t>237</t>
        </is>
      </c>
      <c r="M509" s="32" t="n">
        <v>1</v>
      </c>
      <c r="N509" s="32" t="n">
        <v>0</v>
      </c>
      <c r="O509" s="63" t="inlineStr">
        <is>
          <t>Jodie Muir</t>
        </is>
      </c>
      <c r="P509" s="63" t="n">
        <v>0.29</v>
      </c>
      <c r="Q509" s="32" t="inlineStr">
        <is>
          <t>Uncommon</t>
        </is>
      </c>
      <c r="R509" s="32" t="n"/>
      <c r="S509" s="32" t="n"/>
      <c r="T509" s="63" t="n"/>
      <c r="U509" s="63" t="n"/>
      <c r="V509" s="32" t="inlineStr">
        <is>
          <t>Secrets of Strixhaven</t>
        </is>
      </c>
      <c r="W509" s="41" t="n">
        <v>1</v>
      </c>
      <c r="X509" s="37">
        <f>SUM(Y509:AE509)</f>
        <v/>
      </c>
      <c r="Y509" s="43" t="n"/>
      <c r="Z509" s="43" t="n"/>
      <c r="AA509" s="43" t="n"/>
      <c r="AB509" s="43" t="n"/>
      <c r="AC509" s="43" t="n"/>
      <c r="AD509" s="43" t="n"/>
      <c r="AE509" s="43" t="n"/>
      <c r="AF509" s="38">
        <f>IF((W509-SUM(Y509:AE509))&lt;0,0,W509-SUM(Y509:AE509))</f>
        <v/>
      </c>
      <c r="AG509" s="52">
        <f>MAX(0,$AT509-$W509-$AI509)</f>
        <v/>
      </c>
      <c r="AH509" s="32" t="n"/>
      <c r="AI509" s="32" t="n"/>
      <c r="AJ509" s="32" t="n">
        <v>0.29</v>
      </c>
      <c r="AK509" s="55">
        <f>IF(AND($AG509&gt;0,ISNUMBER($AJ509)),$AG509*$AJ509,0)</f>
        <v/>
      </c>
      <c r="AM509" s="58" t="n"/>
      <c r="AT509" s="37">
        <f>SUM(AU509:BA509)</f>
        <v/>
      </c>
      <c r="AU509" s="73" t="n"/>
      <c r="AV509" s="33" t="n"/>
      <c r="AW509" s="33" t="n"/>
      <c r="AX509" s="33" t="n"/>
      <c r="AY509" s="33" t="n"/>
      <c r="AZ509" s="33" t="n"/>
      <c r="BA509" s="74" t="n"/>
      <c r="BB509" s="32" t="n"/>
      <c r="BC509" s="32" t="n"/>
      <c r="BD509" s="32" t="n"/>
    </row>
    <row r="510" ht="15" customHeight="1" s="148">
      <c r="A510" t="inlineStr">
        <is>
          <t>c0506</t>
        </is>
      </c>
      <c r="B510" s="51" t="inlineStr">
        <is>
          <t>Tatyova, Benthic Druid</t>
        </is>
      </c>
      <c r="C510" s="52" t="inlineStr">
        <is>
          <t>Multi</t>
        </is>
      </c>
      <c r="D510" s="51" t="inlineStr">
        <is>
          <t>Legendary Creature</t>
        </is>
      </c>
      <c r="E510" s="41" t="inlineStr">
        <is>
          <t>B2</t>
        </is>
      </c>
      <c r="F510" s="38" t="n">
        <v>5</v>
      </c>
      <c r="G510" s="67" t="inlineStr">
        <is>
          <t>Landfall — Whenever a land you control enters, you gain 1 life and draw a card.
(3/3)</t>
        </is>
      </c>
      <c r="H510" s="53" t="inlineStr">
        <is>
          <t>Card Draw</t>
        </is>
      </c>
      <c r="I510" s="53" t="inlineStr">
        <is>
          <t>Landfall — Whenever a land you control enters, you gain 1 life and draw a card</t>
        </is>
      </c>
      <c r="J510" s="53" t="n"/>
      <c r="K510" s="53" t="n"/>
      <c r="L510" s="42" t="n"/>
      <c r="M510" s="42" t="n"/>
      <c r="N510" s="42" t="n"/>
      <c r="O510" s="42" t="n"/>
      <c r="P510" s="42" t="n">
        <v>0.21</v>
      </c>
      <c r="Q510" s="42" t="n"/>
      <c r="R510" s="42" t="n"/>
      <c r="S510" s="42" t="n"/>
      <c r="T510" s="42" t="n"/>
      <c r="U510" s="42" t="n"/>
      <c r="V510" s="53" t="inlineStr">
        <is>
          <t>Dominaria</t>
        </is>
      </c>
      <c r="W510" s="41" t="n">
        <v>1</v>
      </c>
      <c r="X510" s="37">
        <f>SUM(Y510:AE510)</f>
        <v/>
      </c>
      <c r="Y510" s="43" t="n"/>
      <c r="Z510" s="43" t="n">
        <v>1</v>
      </c>
      <c r="AA510" s="43" t="n"/>
      <c r="AB510" s="43" t="n"/>
      <c r="AC510" s="43" t="n"/>
      <c r="AD510" s="43" t="n"/>
      <c r="AE510" s="43" t="n"/>
      <c r="AF510" s="38">
        <f>IF((W510-SUM(Y510:AE510))&lt;0,0,W510-SUM(Y510:AE510))</f>
        <v/>
      </c>
      <c r="AG510" s="52">
        <f>MAX(0,$AT510-$W510-$AI510)</f>
        <v/>
      </c>
      <c r="AH510" s="38" t="n"/>
      <c r="AI510" s="38" t="n"/>
      <c r="AJ510" s="54" t="n">
        <v>0.15</v>
      </c>
      <c r="AK510" s="55">
        <f>IF(AND($AG510&gt;0,ISNUMBER($AJ510)),$AG510*$AJ510,0)</f>
        <v/>
      </c>
      <c r="AM510" s="58" t="n"/>
      <c r="AT510" s="37">
        <f>SUM(AU510:BA510)</f>
        <v/>
      </c>
      <c r="AU510" s="73" t="n"/>
      <c r="AV510" s="99" t="n"/>
      <c r="AW510" s="33" t="n"/>
      <c r="AX510" s="33" t="n"/>
      <c r="AY510" s="33" t="n"/>
      <c r="AZ510" s="33" t="n"/>
      <c r="BA510" s="74" t="n"/>
      <c r="BB510" s="47" t="n"/>
      <c r="BC510" s="42" t="n"/>
      <c r="BD510" s="42" t="n"/>
    </row>
    <row r="511" ht="15" customHeight="1" s="148">
      <c r="A511" t="inlineStr">
        <is>
          <t>c0507</t>
        </is>
      </c>
      <c r="B511" s="51" t="inlineStr">
        <is>
          <t>Teysa Karlov</t>
        </is>
      </c>
      <c r="C511" s="52" t="inlineStr">
        <is>
          <t>Multi</t>
        </is>
      </c>
      <c r="D511" s="51" t="inlineStr">
        <is>
          <t>Legendary Creature</t>
        </is>
      </c>
      <c r="E511" s="41" t="inlineStr">
        <is>
          <t>B3</t>
        </is>
      </c>
      <c r="F511" s="38" t="n">
        <v>4</v>
      </c>
      <c r="G511" s="67" t="inlineStr">
        <is>
          <t>If a creature dying causes a triggered ability of a permanent you control to trigger, that ability triggers an additional time.
Creature tokens you control have vigilance and lifelink.
(2/4)</t>
        </is>
      </c>
      <c r="H511" s="53" t="inlineStr">
        <is>
          <t>Aristocrats Payoff</t>
        </is>
      </c>
      <c r="I511" s="53" t="inlineStr">
        <is>
          <t>If a creature dying causes a triggered ability of a permanent you control to trigger, that ability triggers an additiona</t>
        </is>
      </c>
      <c r="J511" s="53" t="n"/>
      <c r="K511" s="53" t="n"/>
      <c r="L511" s="41" t="n"/>
      <c r="M511" s="41" t="n"/>
      <c r="N511" s="41" t="n"/>
      <c r="O511" s="41" t="n"/>
      <c r="P511" s="41" t="n">
        <v>2.81</v>
      </c>
      <c r="Q511" s="41" t="n"/>
      <c r="R511" s="41" t="n"/>
      <c r="S511" s="41" t="n"/>
      <c r="T511" s="41" t="n"/>
      <c r="U511" s="41" t="n"/>
      <c r="V511" s="53" t="inlineStr">
        <is>
          <t>Ravnica Allegiance</t>
        </is>
      </c>
      <c r="W511" s="41" t="n">
        <v>1</v>
      </c>
      <c r="X511" s="37">
        <f>SUM(Y511:AE511)</f>
        <v/>
      </c>
      <c r="Y511" s="43" t="n"/>
      <c r="Z511" s="43" t="n"/>
      <c r="AA511" s="43" t="n"/>
      <c r="AB511" s="43" t="n"/>
      <c r="AC511" s="43" t="n">
        <v>1</v>
      </c>
      <c r="AD511" s="43" t="n"/>
      <c r="AE511" s="43" t="n"/>
      <c r="AF511" s="38">
        <f>IF((W511-SUM(Y511:AE511))&lt;0,0,W511-SUM(Y511:AE511))</f>
        <v/>
      </c>
      <c r="AG511" s="52">
        <f>MAX(0,$AT511-$W511-$AI511)</f>
        <v/>
      </c>
      <c r="AH511" s="38" t="n"/>
      <c r="AI511" s="38" t="n"/>
      <c r="AJ511" s="54" t="n">
        <v>2.67</v>
      </c>
      <c r="AK511" s="55">
        <f>IF(AND($AG511&gt;0,ISNUMBER($AJ511)),$AG511*$AJ511,0)</f>
        <v/>
      </c>
      <c r="AT511" s="37">
        <f>SUM(AU511:BA511)</f>
        <v/>
      </c>
      <c r="AU511" s="73" t="n"/>
      <c r="AV511" s="33" t="n"/>
      <c r="AW511" s="33" t="n"/>
      <c r="AX511" s="33" t="n"/>
      <c r="AY511" s="98" t="n">
        <v>1</v>
      </c>
      <c r="AZ511" s="33" t="n"/>
      <c r="BA511" s="74" t="n"/>
      <c r="BB511" s="47" t="n"/>
      <c r="BC511" s="42" t="n"/>
      <c r="BD511" s="42" t="n"/>
    </row>
    <row r="512" ht="15" customHeight="1" s="148">
      <c r="A512" t="inlineStr">
        <is>
          <t>c0508</t>
        </is>
      </c>
      <c r="B512" s="59" t="inlineStr">
        <is>
          <t>Thorin Oakenshield</t>
        </is>
      </c>
      <c r="C512" s="60" t="inlineStr">
        <is>
          <t>Multi</t>
        </is>
      </c>
      <c r="D512" s="59" t="inlineStr">
        <is>
          <t>Legendary Creature</t>
        </is>
      </c>
      <c r="E512" s="33" t="inlineStr">
        <is>
          <t>B2</t>
        </is>
      </c>
      <c r="F512" s="33" t="n">
        <v>2</v>
      </c>
      <c r="G512" s="67" t="inlineStr">
        <is>
          <t>Trample
Storied (If you control three or more artifacts, legendaries, and/or Sagas, you have an enduring story for the rest of the game.)
As long as you have an enduring story, artifacts and creatures you control have ward {1}.
(3/2)</t>
        </is>
      </c>
      <c r="H512" s="32" t="inlineStr">
        <is>
          <t>Protection</t>
        </is>
      </c>
      <c r="I512" s="32" t="inlineStr">
        <is>
          <t>Storied — once you control three or more artifacts, legendaries and/or Sagas, you have an enduring story for the rest of the game</t>
        </is>
      </c>
      <c r="J512" s="32" t="inlineStr">
        <is>
          <t>While you have an enduring story, artifacts and creatures you control have ward {1}</t>
        </is>
      </c>
      <c r="K512" s="32" t="inlineStr">
        <is>
          <t>3/2 trample body</t>
        </is>
      </c>
      <c r="L512" s="32" t="inlineStr">
        <is>
          <t>165</t>
        </is>
      </c>
      <c r="M512" s="32" t="n">
        <v>1</v>
      </c>
      <c r="N512" s="32" t="n">
        <v>0</v>
      </c>
      <c r="O512" s="63" t="n"/>
      <c r="P512" s="63" t="n">
        <v>0.24</v>
      </c>
      <c r="Q512" s="32" t="inlineStr">
        <is>
          <t>Uncommon</t>
        </is>
      </c>
      <c r="R512" s="32" t="n"/>
      <c r="S512" s="32" t="n"/>
      <c r="T512" s="63" t="n"/>
      <c r="U512" s="63" t="n"/>
      <c r="V512" s="32" t="inlineStr">
        <is>
          <t>The Hobbit</t>
        </is>
      </c>
      <c r="W512" s="41" t="n">
        <v>1</v>
      </c>
      <c r="X512" s="37">
        <f>SUM(Y512:AE512)</f>
        <v/>
      </c>
      <c r="Y512" s="43" t="n"/>
      <c r="Z512" s="43" t="n"/>
      <c r="AA512" s="43" t="n"/>
      <c r="AB512" s="43" t="n"/>
      <c r="AC512" s="43" t="n"/>
      <c r="AD512" s="43" t="n"/>
      <c r="AE512" s="43" t="n"/>
      <c r="AF512" s="38">
        <f>IF((W512-SUM(Y512:AE512))&lt;0,0,W512-SUM(Y512:AE512))</f>
        <v/>
      </c>
      <c r="AG512" s="52">
        <f>MAX(0,$AT512-$W512-$AI512)</f>
        <v/>
      </c>
      <c r="AH512" s="32" t="n"/>
      <c r="AI512" s="32" t="n"/>
      <c r="AJ512" s="61" t="n">
        <v>0.24</v>
      </c>
      <c r="AK512" s="55">
        <f>IF(AND($AG512&gt;0,ISNUMBER($AJ512)),$AG512*$AJ512,0)</f>
        <v/>
      </c>
      <c r="AT512" s="37">
        <f>SUM(AU512:BA512)</f>
        <v/>
      </c>
      <c r="AU512" s="73" t="n"/>
      <c r="AV512" s="33" t="n"/>
      <c r="AW512" s="33" t="n"/>
      <c r="AX512" s="33" t="n"/>
      <c r="AY512" s="33" t="n"/>
      <c r="AZ512" s="33" t="n"/>
      <c r="BA512" s="74" t="n"/>
      <c r="BB512" s="32" t="n"/>
      <c r="BC512" s="32" t="n"/>
      <c r="BD512" s="32" t="n"/>
    </row>
    <row r="513" ht="15" customHeight="1" s="148">
      <c r="A513" t="inlineStr">
        <is>
          <t>c0509</t>
        </is>
      </c>
      <c r="B513" s="114" t="inlineStr">
        <is>
          <t>Thranduil, the Elvenking</t>
        </is>
      </c>
      <c r="C513" s="116" t="inlineStr">
        <is>
          <t>Multi</t>
        </is>
      </c>
      <c r="D513" s="120" t="inlineStr">
        <is>
          <t>Legendary Creature</t>
        </is>
      </c>
      <c r="E513" s="67" t="inlineStr">
        <is>
          <t>B2</t>
        </is>
      </c>
      <c r="F513" s="105" t="n">
        <v>5</v>
      </c>
      <c r="G513" s="69" t="inlineStr">
        <is>
          <t>Thranduil, the Elvenking {2}{B}{G}{U} — Legendary Creature — Elf Noble (5/6)
Thranduil has all activated abilities of all Elf cards in your graveyard.
Whenever another legendary Elf you control enters, draw two cards, then discard a card.</t>
        </is>
      </c>
      <c r="H513" s="69" t="inlineStr">
        <is>
          <t>Card Draw</t>
        </is>
      </c>
      <c r="I513" s="69" t="inlineStr">
        <is>
          <t>Whenever another legendary Elf you control enters, draw two cards, then discard a card</t>
        </is>
      </c>
      <c r="J513" s="69" t="inlineStr">
        <is>
          <t>Thranduil has all activated abilities of all Elf cards in your graveyard</t>
        </is>
      </c>
      <c r="K513" s="69" t="n"/>
      <c r="L513" s="69" t="inlineStr">
        <is>
          <t>167</t>
        </is>
      </c>
      <c r="M513" s="69" t="n">
        <v>1</v>
      </c>
      <c r="N513" s="69" t="n">
        <v>0</v>
      </c>
      <c r="O513" s="63" t="inlineStr">
        <is>
          <t>Magali Villeneuve</t>
        </is>
      </c>
      <c r="P513" s="85" t="n">
        <v>0.5600000000000001</v>
      </c>
      <c r="Q513" s="69" t="inlineStr">
        <is>
          <t>Rare</t>
        </is>
      </c>
      <c r="R513" s="69" t="n"/>
      <c r="S513" s="69" t="n"/>
      <c r="T513" s="63" t="n"/>
      <c r="U513" s="63" t="n"/>
      <c r="V513" s="67" t="inlineStr">
        <is>
          <t>The Hobbit</t>
        </is>
      </c>
      <c r="W513" s="105" t="n">
        <v>1</v>
      </c>
      <c r="X513" s="37">
        <f>SUM(Y513:AE513)</f>
        <v/>
      </c>
      <c r="Y513" s="43" t="n"/>
      <c r="Z513" s="43" t="n"/>
      <c r="AA513" s="43" t="n"/>
      <c r="AB513" s="43" t="n"/>
      <c r="AC513" s="43" t="n"/>
      <c r="AD513" s="43" t="n"/>
      <c r="AE513" s="43" t="n"/>
      <c r="AF513" s="38">
        <f>IF((W513-SUM(Y513:AE513))&lt;0,0,W513-SUM(Y513:AE513))</f>
        <v/>
      </c>
      <c r="AG513" s="52">
        <f>MAX(0,$AT513-$W513-$AI513)</f>
        <v/>
      </c>
      <c r="AH513" s="69" t="n"/>
      <c r="AI513" s="69" t="n"/>
      <c r="AJ513" s="85" t="n">
        <v>0.5600000000000001</v>
      </c>
      <c r="AK513" s="55">
        <f>IF(AND($AG513&gt;0,ISNUMBER($AJ513)),$AG513*$AJ513,0)</f>
        <v/>
      </c>
      <c r="AL513" s="69" t="n"/>
      <c r="AM513" s="69" t="n"/>
      <c r="AN513" s="69" t="n"/>
      <c r="AO513" s="69" t="n"/>
      <c r="AP513" s="69" t="n"/>
      <c r="AQ513" s="69" t="n"/>
      <c r="AR513" s="69" t="n"/>
      <c r="AS513" s="69" t="n"/>
      <c r="AT513" s="37">
        <f>SUM(AU513:BA513)</f>
        <v/>
      </c>
      <c r="AU513" s="73" t="n"/>
      <c r="AV513" s="33" t="n"/>
      <c r="AW513" s="33" t="n"/>
      <c r="AX513" s="33" t="n"/>
      <c r="AY513" s="33" t="n"/>
      <c r="AZ513" s="33" t="n"/>
      <c r="BA513" s="74" t="n"/>
      <c r="BB513" s="69" t="n"/>
      <c r="BC513" s="69" t="n"/>
      <c r="BD513" s="69" t="n"/>
    </row>
    <row r="514" ht="15" customHeight="1" s="148">
      <c r="A514" t="inlineStr">
        <is>
          <t>c0510</t>
        </is>
      </c>
      <c r="B514" s="51" t="inlineStr">
        <is>
          <t>Thrilling Discovery</t>
        </is>
      </c>
      <c r="C514" s="52" t="inlineStr">
        <is>
          <t>Multi</t>
        </is>
      </c>
      <c r="D514" s="51" t="inlineStr">
        <is>
          <t>Sorcery</t>
        </is>
      </c>
      <c r="E514" s="41" t="inlineStr">
        <is>
          <t>B2</t>
        </is>
      </c>
      <c r="F514" s="38" t="n">
        <v>2</v>
      </c>
      <c r="G514" s="67" t="inlineStr">
        <is>
          <t>You gain 2 life. Then you may discard two cards. If you do, draw three cards.</t>
        </is>
      </c>
      <c r="H514" s="53" t="inlineStr">
        <is>
          <t>Card Draw</t>
        </is>
      </c>
      <c r="I514" s="53" t="inlineStr">
        <is>
          <t>Gain 2 life</t>
        </is>
      </c>
      <c r="J514" s="53" t="inlineStr">
        <is>
          <t>May discard two cards to draw three</t>
        </is>
      </c>
      <c r="K514" s="53" t="n"/>
      <c r="L514" s="42" t="n"/>
      <c r="M514" s="42" t="n"/>
      <c r="N514" s="42" t="n"/>
      <c r="O514" s="42" t="n"/>
      <c r="P514" s="42" t="n">
        <v>0.38</v>
      </c>
      <c r="Q514" s="42" t="n"/>
      <c r="R514" s="42" t="n"/>
      <c r="S514" s="42" t="n"/>
      <c r="T514" s="42" t="n"/>
      <c r="U514" s="42" t="n"/>
      <c r="V514" s="53" t="inlineStr">
        <is>
          <t>Strixhaven: School of Mages</t>
        </is>
      </c>
      <c r="W514" s="41" t="n">
        <v>1</v>
      </c>
      <c r="X514" s="37">
        <f>SUM(Y514:AE514)</f>
        <v/>
      </c>
      <c r="Y514" s="43" t="n">
        <v>1</v>
      </c>
      <c r="Z514" s="43" t="n"/>
      <c r="AA514" s="43" t="n"/>
      <c r="AB514" s="43" t="n"/>
      <c r="AC514" s="43" t="n"/>
      <c r="AD514" s="43" t="n"/>
      <c r="AE514" s="43" t="n"/>
      <c r="AF514" s="38">
        <f>IF((W514-SUM(Y514:AE514))&lt;0,0,W514-SUM(Y514:AE514))</f>
        <v/>
      </c>
      <c r="AG514" s="52">
        <f>MAX(0,$AT514-$W514-$AI514)</f>
        <v/>
      </c>
      <c r="AH514" s="38" t="n"/>
      <c r="AI514" s="38" t="n"/>
      <c r="AJ514" s="54" t="n">
        <v>0.39</v>
      </c>
      <c r="AK514" s="55">
        <f>IF(AND($AG514&gt;0,ISNUMBER($AJ514)),$AG514*$AJ514,0)</f>
        <v/>
      </c>
      <c r="AL514" s="58" t="n"/>
      <c r="AT514" s="37">
        <f>SUM(AU514:BA514)</f>
        <v/>
      </c>
      <c r="AU514" s="83" t="n"/>
      <c r="AV514" s="33" t="n"/>
      <c r="AW514" s="33" t="n"/>
      <c r="AX514" s="33" t="n"/>
      <c r="AY514" s="33" t="n"/>
      <c r="AZ514" s="33" t="n"/>
      <c r="BA514" s="74" t="n"/>
      <c r="BB514" s="47" t="n"/>
      <c r="BC514" s="42" t="n"/>
      <c r="BD514" s="42" t="n"/>
    </row>
    <row r="515" ht="15" customHeight="1" s="148">
      <c r="A515" t="inlineStr">
        <is>
          <t>c0511</t>
        </is>
      </c>
      <c r="B515" s="51" t="inlineStr">
        <is>
          <t>Tidus, Yuna's Guardian</t>
        </is>
      </c>
      <c r="C515" s="52" t="inlineStr">
        <is>
          <t>Multi</t>
        </is>
      </c>
      <c r="D515" s="51" t="inlineStr">
        <is>
          <t>Legendary Creature</t>
        </is>
      </c>
      <c r="E515" s="41" t="inlineStr">
        <is>
          <t>B2</t>
        </is>
      </c>
      <c r="F515" s="38" t="n">
        <v>3</v>
      </c>
      <c r="G515" s="67" t="inlineStr">
        <is>
          <t>At the beginning of combat on your turn, you may move a counter from target creature you control onto a second target creature you control.
Cheer — Whenever one or more creatures you control with counters on them deal combat damage to a player, you may draw a card and proliferate. Do this only once each turn.
(3/3)</t>
        </is>
      </c>
      <c r="H515" s="53" t="inlineStr">
        <is>
          <t>Proliferate</t>
        </is>
      </c>
      <c r="I515" s="53" t="inlineStr">
        <is>
          <t>Moves a counter from one creature you control to another</t>
        </is>
      </c>
      <c r="J515" s="53" t="inlineStr">
        <is>
          <t>Draw a card and proliferate when countered creatures deal damage</t>
        </is>
      </c>
      <c r="K515" s="53" t="n"/>
      <c r="L515" s="42" t="n"/>
      <c r="M515" s="42" t="n"/>
      <c r="N515" s="42" t="n"/>
      <c r="O515" s="42" t="n"/>
      <c r="P515" s="42" t="n">
        <v>2.64</v>
      </c>
      <c r="Q515" s="42" t="n"/>
      <c r="R515" s="42" t="n"/>
      <c r="S515" s="42" t="n"/>
      <c r="T515" s="42" t="n"/>
      <c r="U515" s="42" t="n"/>
      <c r="V515" s="53" t="inlineStr">
        <is>
          <t>Final Fantasy Commander</t>
        </is>
      </c>
      <c r="W515" s="41" t="n">
        <v>1</v>
      </c>
      <c r="X515" s="37">
        <f>SUM(Y515:AE515)</f>
        <v/>
      </c>
      <c r="Y515" s="43" t="n"/>
      <c r="Z515" s="43" t="n"/>
      <c r="AA515" s="43" t="n">
        <v>1</v>
      </c>
      <c r="AB515" s="43" t="n"/>
      <c r="AC515" s="43" t="n"/>
      <c r="AD515" s="43" t="n"/>
      <c r="AE515" s="43" t="n"/>
      <c r="AF515" s="38">
        <f>IF((W515-SUM(Y515:AE515))&lt;0,0,W515-SUM(Y515:AE515))</f>
        <v/>
      </c>
      <c r="AG515" s="52">
        <f>MAX(0,$AT515-$W515-$AI515)</f>
        <v/>
      </c>
      <c r="AH515" s="38" t="n"/>
      <c r="AI515" s="38" t="n"/>
      <c r="AJ515" s="54" t="n">
        <v>2.65</v>
      </c>
      <c r="AK515" s="55">
        <f>IF(AND($AG515&gt;0,ISNUMBER($AJ515)),$AG515*$AJ515,0)</f>
        <v/>
      </c>
      <c r="AT515" s="37">
        <f>SUM(AU515:BA515)</f>
        <v/>
      </c>
      <c r="AU515" s="73" t="n"/>
      <c r="AV515" s="33" t="n"/>
      <c r="AW515" s="98" t="n">
        <v>1</v>
      </c>
      <c r="AX515" s="33" t="n"/>
      <c r="AY515" s="33" t="n"/>
      <c r="AZ515" s="33" t="n"/>
      <c r="BA515" s="74" t="n"/>
      <c r="BB515" s="47" t="n"/>
      <c r="BC515" s="42" t="n"/>
      <c r="BD515" s="42" t="n"/>
    </row>
    <row r="516" ht="15" customHeight="1" s="148">
      <c r="A516" t="inlineStr">
        <is>
          <t>c0512</t>
        </is>
      </c>
      <c r="B516" s="59" t="inlineStr">
        <is>
          <t>Tom, Bert, and William</t>
        </is>
      </c>
      <c r="C516" s="60" t="inlineStr">
        <is>
          <t>Multi</t>
        </is>
      </c>
      <c r="D516" s="59" t="inlineStr">
        <is>
          <t>Legendary Creature</t>
        </is>
      </c>
      <c r="E516" s="33" t="inlineStr">
        <is>
          <t>B2</t>
        </is>
      </c>
      <c r="F516" s="33" t="n">
        <v>5</v>
      </c>
      <c r="G516" s="67" t="inlineStr">
        <is>
          <t>{1}, Sacrifice another creature: Draw cards equal to the sacrificed creature's power, then discard a card.
When Tom, Bert, and William die, if they were a creature, return them to the battlefield. They're an artifact. (They're no longer a creature.)
(5/5)</t>
        </is>
      </c>
      <c r="H516" s="32" t="inlineStr">
        <is>
          <t>Card Draw</t>
        </is>
      </c>
      <c r="I516" s="32" t="inlineStr">
        <is>
          <t>{1}, sacrifice another creature: draw cards equal to its power, then discard a card</t>
        </is>
      </c>
      <c r="J516" s="32" t="inlineStr">
        <is>
          <t>When they die as a creature, they return to the battlefield as an artifact</t>
        </is>
      </c>
      <c r="K516" s="32" t="n"/>
      <c r="L516" s="32" t="inlineStr">
        <is>
          <t>169</t>
        </is>
      </c>
      <c r="M516" s="32" t="n">
        <v>1</v>
      </c>
      <c r="N516" s="32" t="n">
        <v>0</v>
      </c>
      <c r="O516" s="63" t="n"/>
      <c r="P516" s="63" t="n">
        <v>0.3</v>
      </c>
      <c r="Q516" s="32" t="inlineStr">
        <is>
          <t>Rare</t>
        </is>
      </c>
      <c r="R516" s="32" t="n"/>
      <c r="S516" s="32" t="n"/>
      <c r="T516" s="63" t="n"/>
      <c r="U516" s="63" t="n"/>
      <c r="V516" s="32" t="inlineStr">
        <is>
          <t>The Hobbit</t>
        </is>
      </c>
      <c r="W516" s="41" t="n">
        <v>1</v>
      </c>
      <c r="X516" s="37">
        <f>SUM(Y516:AE516)</f>
        <v/>
      </c>
      <c r="Y516" s="43" t="n"/>
      <c r="Z516" s="43" t="n"/>
      <c r="AA516" s="43" t="n"/>
      <c r="AB516" s="43" t="n"/>
      <c r="AC516" s="43" t="n"/>
      <c r="AD516" s="43" t="n"/>
      <c r="AE516" s="43" t="n">
        <v>1</v>
      </c>
      <c r="AF516" s="38">
        <f>IF((W516-SUM(Y516:AE516))&lt;0,0,W516-SUM(Y516:AE516))</f>
        <v/>
      </c>
      <c r="AG516" s="52">
        <f>MAX(0,$AT516-$W516-$AI516)</f>
        <v/>
      </c>
      <c r="AH516" s="32" t="n"/>
      <c r="AI516" s="32" t="n"/>
      <c r="AJ516" s="61" t="n">
        <v>0.3</v>
      </c>
      <c r="AK516" s="55">
        <f>IF(AND($AG516&gt;0,ISNUMBER($AJ516)),$AG516*$AJ516,0)</f>
        <v/>
      </c>
      <c r="AO516" s="58" t="n"/>
      <c r="AR516" s="58" t="n"/>
      <c r="AT516" s="37">
        <f>SUM(AU516:BA516)</f>
        <v/>
      </c>
      <c r="AU516" s="73" t="n"/>
      <c r="AV516" s="33" t="n"/>
      <c r="AW516" s="33" t="n"/>
      <c r="AX516" s="33" t="n"/>
      <c r="AY516" s="33" t="n"/>
      <c r="AZ516" s="33" t="n"/>
      <c r="BA516" s="74" t="n"/>
      <c r="BB516" s="32" t="n"/>
      <c r="BC516" s="32" t="n"/>
      <c r="BD516" s="32" t="n"/>
    </row>
    <row r="517" ht="15" customHeight="1" s="148">
      <c r="A517" t="inlineStr">
        <is>
          <t>c0513</t>
        </is>
      </c>
      <c r="B517" s="51" t="inlineStr">
        <is>
          <t>Tranquil Cove</t>
        </is>
      </c>
      <c r="C517" s="52" t="inlineStr">
        <is>
          <t>Multi</t>
        </is>
      </c>
      <c r="D517" s="51" t="inlineStr">
        <is>
          <t>Land</t>
        </is>
      </c>
      <c r="E517" s="41" t="inlineStr">
        <is>
          <t>B2</t>
        </is>
      </c>
      <c r="F517" s="38" t="n">
        <v>0</v>
      </c>
      <c r="G517" s="67" t="inlineStr">
        <is>
          <t>This land enters tapped.
When this land enters, you gain 1 life.
{T}: Add {W} or {U}.</t>
        </is>
      </c>
      <c r="H517" s="53" t="inlineStr">
        <is>
          <t>Land</t>
        </is>
      </c>
      <c r="I517" s="53" t="inlineStr">
        <is>
          <t>This land enters tapped. / When this land enters, you gain 1 life. / {</t>
        </is>
      </c>
      <c r="J517" s="53" t="n"/>
      <c r="K517" s="53" t="n"/>
      <c r="L517" s="41" t="n"/>
      <c r="M517" s="41" t="n"/>
      <c r="N517" s="41" t="n"/>
      <c r="O517" s="41" t="n"/>
      <c r="P517" s="41" t="n">
        <v>0.15</v>
      </c>
      <c r="Q517" s="41" t="n"/>
      <c r="R517" s="41" t="n"/>
      <c r="S517" s="41" t="n"/>
      <c r="T517" s="41" t="n"/>
      <c r="U517" s="41" t="n"/>
      <c r="V517" s="53" t="inlineStr">
        <is>
          <t>Khans of Tarkir</t>
        </is>
      </c>
      <c r="W517" s="41" t="n">
        <v>0</v>
      </c>
      <c r="X517" s="37">
        <f>SUM(Y517:AE517)</f>
        <v/>
      </c>
      <c r="Y517" s="43" t="n"/>
      <c r="Z517" s="43" t="n"/>
      <c r="AA517" s="43" t="n"/>
      <c r="AB517" s="43" t="n"/>
      <c r="AC517" s="43" t="n"/>
      <c r="AD517" s="43" t="n"/>
      <c r="AE517" s="43" t="n"/>
      <c r="AF517" s="38">
        <f>IF((W517-SUM(Y517:AE517))&lt;0,0,W517-SUM(Y517:AE517))</f>
        <v/>
      </c>
      <c r="AG517" s="52">
        <f>MAX(0,$AT517-$W517-$AI517)</f>
        <v/>
      </c>
      <c r="AH517" s="38" t="n"/>
      <c r="AI517" s="38" t="n"/>
      <c r="AJ517" s="54" t="n">
        <v>0.15</v>
      </c>
      <c r="AK517" s="55">
        <f>IF(AND($AG517&gt;0,ISNUMBER($AJ517)),$AG517*$AJ517,0)</f>
        <v/>
      </c>
      <c r="AL517" s="54" t="n"/>
      <c r="AM517" s="54" t="n"/>
      <c r="AN517" s="54" t="n"/>
      <c r="AO517" s="54" t="n"/>
      <c r="AP517" s="54" t="n"/>
      <c r="AQ517" s="54" t="n"/>
      <c r="AR517" s="54" t="n"/>
      <c r="AS517" s="54" t="n"/>
      <c r="AT517" s="37">
        <f>SUM(AU517:BA517)</f>
        <v/>
      </c>
      <c r="AU517" s="92" t="n"/>
      <c r="AV517" s="38" t="n"/>
      <c r="AW517" s="38" t="n"/>
      <c r="AX517" s="38" t="n"/>
      <c r="AY517" s="38" t="n"/>
      <c r="AZ517" s="38" t="n"/>
      <c r="BA517" s="94" t="n"/>
      <c r="BB517" s="47" t="n"/>
      <c r="BC517" s="42" t="n"/>
      <c r="BD517" s="42" t="n"/>
    </row>
    <row r="518" ht="15" customHeight="1" s="148">
      <c r="A518" t="inlineStr">
        <is>
          <t>c0514</t>
        </is>
      </c>
      <c r="B518" s="51" t="inlineStr">
        <is>
          <t>Tranquil Expanse</t>
        </is>
      </c>
      <c r="C518" s="52" t="inlineStr">
        <is>
          <t>Multi</t>
        </is>
      </c>
      <c r="D518" s="51" t="inlineStr">
        <is>
          <t>Land</t>
        </is>
      </c>
      <c r="E518" s="41" t="inlineStr">
        <is>
          <t>B2</t>
        </is>
      </c>
      <c r="F518" s="38" t="n">
        <v>0</v>
      </c>
      <c r="G518" s="67" t="inlineStr">
        <is>
          <t>This land enters tapped.
{T}: Add {G} or {W}.</t>
        </is>
      </c>
      <c r="H518" s="53" t="inlineStr">
        <is>
          <t>Land</t>
        </is>
      </c>
      <c r="I518" s="53" t="inlineStr">
        <is>
          <t>This land enters tapped. / {T}: Add {G} or {W}.</t>
        </is>
      </c>
      <c r="J518" s="53" t="n"/>
      <c r="K518" s="53" t="n"/>
      <c r="L518" s="41" t="n"/>
      <c r="M518" s="41" t="n"/>
      <c r="N518" s="41" t="n"/>
      <c r="O518" s="63" t="n"/>
      <c r="P518" s="63" t="n"/>
      <c r="Q518" s="41" t="n"/>
      <c r="R518" s="41" t="n"/>
      <c r="S518" s="41" t="n"/>
      <c r="T518" s="63" t="n"/>
      <c r="U518" s="63" t="n"/>
      <c r="V518" s="53" t="inlineStr">
        <is>
          <t>Oath of the Gatewatch</t>
        </is>
      </c>
      <c r="W518" s="41" t="n">
        <v>2</v>
      </c>
      <c r="X518" s="37">
        <f>SUM(Y518:AE518)</f>
        <v/>
      </c>
      <c r="Y518" s="43" t="n"/>
      <c r="Z518" s="43" t="n"/>
      <c r="AA518" s="43" t="n"/>
      <c r="AB518" s="43" t="n">
        <v>1</v>
      </c>
      <c r="AC518" s="43" t="n"/>
      <c r="AD518" s="43" t="n"/>
      <c r="AE518" s="43" t="n"/>
      <c r="AF518" s="38">
        <f>IF((W518-SUM(Y518:AE518))&lt;0,0,W518-SUM(Y518:AE518))</f>
        <v/>
      </c>
      <c r="AG518" s="52">
        <f>MAX(0,$AT518-$W518-$AI518)</f>
        <v/>
      </c>
      <c r="AH518" s="38" t="n"/>
      <c r="AI518" s="38" t="n"/>
      <c r="AJ518" s="54" t="n">
        <v>0.1</v>
      </c>
      <c r="AK518" s="55">
        <f>IF(AND($AG518&gt;0,ISNUMBER($AJ518)),$AG518*$AJ518,0)</f>
        <v/>
      </c>
      <c r="AT518" s="37">
        <f>SUM(AU518:BA518)</f>
        <v/>
      </c>
      <c r="AU518" s="73" t="n"/>
      <c r="AV518" s="33" t="n"/>
      <c r="AW518" s="33" t="n"/>
      <c r="AX518" s="98" t="n">
        <v>1</v>
      </c>
      <c r="AY518" s="33" t="n"/>
      <c r="AZ518" s="33" t="n"/>
      <c r="BA518" s="74" t="n"/>
      <c r="BB518" s="47" t="n"/>
      <c r="BC518" s="42" t="n"/>
      <c r="BD518" s="50" t="inlineStr">
        <is>
          <t>ORDERED 2026-09-11 $0.20</t>
        </is>
      </c>
    </row>
    <row r="519" ht="15" customHeight="1" s="148">
      <c r="A519" t="inlineStr">
        <is>
          <t>c0515</t>
        </is>
      </c>
      <c r="B519" s="51" t="inlineStr">
        <is>
          <t>Underground River</t>
        </is>
      </c>
      <c r="C519" s="52" t="inlineStr">
        <is>
          <t>Multi</t>
        </is>
      </c>
      <c r="D519" s="51" t="inlineStr">
        <is>
          <t>Land</t>
        </is>
      </c>
      <c r="E519" s="41" t="inlineStr">
        <is>
          <t>B2</t>
        </is>
      </c>
      <c r="F519" s="38" t="n">
        <v>0</v>
      </c>
      <c r="G519" s="67" t="inlineStr">
        <is>
          <t>{T}: Add {C}.
{T}: Add {U} or {B}. This land deals 1 damage to you.</t>
        </is>
      </c>
      <c r="H519" s="53" t="inlineStr">
        <is>
          <t>Land</t>
        </is>
      </c>
      <c r="I519" s="53" t="inlineStr">
        <is>
          <t>{T}: Add {C}. / {T}: Add {U} or {B}. This land deals 1 damage to you.</t>
        </is>
      </c>
      <c r="J519" s="53" t="n"/>
      <c r="K519" s="53" t="n"/>
      <c r="L519" s="41" t="n"/>
      <c r="M519" s="41" t="n"/>
      <c r="N519" s="41" t="n"/>
      <c r="O519" s="41" t="n"/>
      <c r="P519" s="41" t="n"/>
      <c r="Q519" s="41" t="n"/>
      <c r="R519" s="41" t="n"/>
      <c r="S519" s="41" t="n"/>
      <c r="T519" s="41" t="n"/>
      <c r="U519" s="41" t="n"/>
      <c r="V519" s="53" t="inlineStr">
        <is>
          <t>Ice Age</t>
        </is>
      </c>
      <c r="W519" s="41" t="n">
        <v>0</v>
      </c>
      <c r="X519" s="37">
        <f>SUM(Y519:AE519)</f>
        <v/>
      </c>
      <c r="Y519" s="43" t="n"/>
      <c r="Z519" s="43" t="n"/>
      <c r="AA519" s="43" t="n"/>
      <c r="AB519" s="43" t="n"/>
      <c r="AC519" s="43" t="n"/>
      <c r="AD519" s="43" t="n"/>
      <c r="AE519" s="43" t="n"/>
      <c r="AF519" s="38">
        <f>IF((W519-SUM(Y519:AE519))&lt;0,0,W519-SUM(Y519:AE519))</f>
        <v/>
      </c>
      <c r="AG519" s="52">
        <f>MAX(0,$AT519-$W519-$AI519)</f>
        <v/>
      </c>
      <c r="AH519" s="38" t="n"/>
      <c r="AI519" s="38" t="n"/>
      <c r="AJ519" s="54" t="n">
        <v>2.39</v>
      </c>
      <c r="AK519" s="55">
        <f>IF(AND($AG519&gt;0,ISNUMBER($AJ519)),$AG519*$AJ519,0)</f>
        <v/>
      </c>
      <c r="AL519" s="54" t="n"/>
      <c r="AM519" s="54" t="n"/>
      <c r="AN519" s="54" t="n"/>
      <c r="AO519" s="54" t="n"/>
      <c r="AP519" s="54" t="n"/>
      <c r="AQ519" s="54" t="n"/>
      <c r="AR519" s="54" t="n"/>
      <c r="AS519" s="54" t="n"/>
      <c r="AT519" s="37">
        <f>SUM(AU519:BA519)</f>
        <v/>
      </c>
      <c r="AU519" s="92" t="n"/>
      <c r="AV519" s="38" t="n"/>
      <c r="AW519" s="38" t="n">
        <v>1</v>
      </c>
      <c r="AX519" s="38" t="n"/>
      <c r="AY519" s="38" t="n"/>
      <c r="AZ519" s="38" t="n"/>
      <c r="BA519" s="94" t="n"/>
      <c r="BB519" s="47" t="n"/>
      <c r="BC519" s="42" t="n"/>
      <c r="BD519" s="48" t="n"/>
    </row>
    <row r="520" ht="15" customHeight="1" s="148">
      <c r="A520" t="inlineStr">
        <is>
          <t>c0516</t>
        </is>
      </c>
      <c r="B520" s="51" t="inlineStr">
        <is>
          <t>Utter End</t>
        </is>
      </c>
      <c r="C520" s="52" t="inlineStr">
        <is>
          <t>Multi</t>
        </is>
      </c>
      <c r="D520" s="51" t="inlineStr">
        <is>
          <t>Instant</t>
        </is>
      </c>
      <c r="E520" s="41" t="inlineStr">
        <is>
          <t>B2</t>
        </is>
      </c>
      <c r="F520" s="38" t="n">
        <v>4</v>
      </c>
      <c r="G520" s="67" t="inlineStr">
        <is>
          <t>Exile target nonland permanent.</t>
        </is>
      </c>
      <c r="H520" s="53" t="inlineStr">
        <is>
          <t>Removal</t>
        </is>
      </c>
      <c r="I520" s="53" t="inlineStr">
        <is>
          <t>Exiles target nonland permanent</t>
        </is>
      </c>
      <c r="J520" s="53" t="n"/>
      <c r="K520" s="53" t="n"/>
      <c r="L520" s="42" t="n"/>
      <c r="M520" s="42" t="n"/>
      <c r="N520" s="42" t="n"/>
      <c r="O520" s="42" t="n"/>
      <c r="P520" s="42" t="n">
        <v>0.29</v>
      </c>
      <c r="Q520" s="42" t="n"/>
      <c r="R520" s="42" t="n"/>
      <c r="S520" s="42" t="n"/>
      <c r="T520" s="42" t="n"/>
      <c r="U520" s="42" t="n"/>
      <c r="V520" s="53" t="inlineStr">
        <is>
          <t>Khans of Tarkir</t>
        </is>
      </c>
      <c r="W520" s="41" t="n">
        <v>0</v>
      </c>
      <c r="X520" s="37">
        <f>SUM(Y520:AE520)</f>
        <v/>
      </c>
      <c r="Y520" s="43" t="n"/>
      <c r="Z520" s="43" t="n"/>
      <c r="AA520" s="43" t="n"/>
      <c r="AB520" s="43" t="n"/>
      <c r="AC520" s="43" t="n"/>
      <c r="AD520" s="43" t="n"/>
      <c r="AE520" s="43" t="n"/>
      <c r="AF520" s="38">
        <f>IF((W520-SUM(Y520:AE520))&lt;0,0,W520-SUM(Y520:AE520))</f>
        <v/>
      </c>
      <c r="AG520" s="52">
        <f>MAX(0,$AT520-$W520-$AI520)</f>
        <v/>
      </c>
      <c r="AH520" s="38" t="n"/>
      <c r="AI520" s="38" t="n"/>
      <c r="AJ520" s="54" t="n">
        <v>0.29</v>
      </c>
      <c r="AK520" s="55">
        <f>IF(AND($AG520&gt;0,ISNUMBER($AJ520)),$AG520*$AJ520,0)</f>
        <v/>
      </c>
      <c r="AL520" s="54" t="n"/>
      <c r="AM520" s="54" t="n"/>
      <c r="AN520" s="54" t="n"/>
      <c r="AO520" s="54" t="n"/>
      <c r="AP520" s="54" t="n"/>
      <c r="AQ520" s="54" t="n"/>
      <c r="AR520" s="54" t="n"/>
      <c r="AS520" s="54" t="n"/>
      <c r="AT520" s="37">
        <f>SUM(AU520:BA520)</f>
        <v/>
      </c>
      <c r="AU520" s="92" t="n"/>
      <c r="AV520" s="38" t="n"/>
      <c r="AW520" s="38" t="n"/>
      <c r="AX520" s="38" t="n"/>
      <c r="AY520" s="38" t="n"/>
      <c r="AZ520" s="38" t="n"/>
      <c r="BA520" s="94" t="n"/>
      <c r="BB520" s="47" t="n"/>
      <c r="BC520" s="42" t="n"/>
      <c r="BD520" s="42" t="n"/>
    </row>
    <row r="521" ht="15" customHeight="1" s="148">
      <c r="A521" t="inlineStr">
        <is>
          <t>c0517</t>
        </is>
      </c>
      <c r="B521" s="51" t="inlineStr">
        <is>
          <t>Venerable Warsinger</t>
        </is>
      </c>
      <c r="C521" s="52" t="inlineStr">
        <is>
          <t>Multi</t>
        </is>
      </c>
      <c r="D521" s="51" t="inlineStr">
        <is>
          <t>Creature</t>
        </is>
      </c>
      <c r="E521" s="41" t="inlineStr">
        <is>
          <t>B2</t>
        </is>
      </c>
      <c r="F521" s="38" t="n">
        <v>3</v>
      </c>
      <c r="G521" s="67" t="inlineStr">
        <is>
          <t>Vigilance, trample
Whenever this creature deals combat damage to a player, you may return target creature card with mana value X or less from your graveyard to the battlefield, where X is the amount of damage this creature dealt to that player.
(3/3)</t>
        </is>
      </c>
      <c r="H521" s="53" t="inlineStr">
        <is>
          <t>Recursion</t>
        </is>
      </c>
      <c r="I521" s="53" t="inlineStr">
        <is>
          <t>Can attack past blockers while staying untapped</t>
        </is>
      </c>
      <c r="J521" s="53" t="inlineStr">
        <is>
          <t>Combat damage to a player returns a creature card from graveyard with MV up to that damage</t>
        </is>
      </c>
      <c r="K521" s="53" t="n"/>
      <c r="L521" s="42" t="n"/>
      <c r="M521" s="42" t="n"/>
      <c r="N521" s="42" t="n"/>
      <c r="O521" s="42" t="n"/>
      <c r="P521" s="42" t="n">
        <v>0.25</v>
      </c>
      <c r="Q521" s="42" t="n"/>
      <c r="R521" s="42" t="n"/>
      <c r="S521" s="42" t="n"/>
      <c r="T521" s="42" t="n"/>
      <c r="U521" s="42" t="n"/>
      <c r="V521" s="53" t="inlineStr">
        <is>
          <t>Strixhaven: School of Mages</t>
        </is>
      </c>
      <c r="W521" s="41" t="n">
        <v>1</v>
      </c>
      <c r="X521" s="37">
        <f>SUM(Y521:AE521)</f>
        <v/>
      </c>
      <c r="Y521" s="43" t="n">
        <v>1</v>
      </c>
      <c r="Z521" s="43" t="n"/>
      <c r="AA521" s="43" t="n"/>
      <c r="AB521" s="43" t="n"/>
      <c r="AC521" s="43" t="n"/>
      <c r="AD521" s="43" t="n"/>
      <c r="AE521" s="43" t="n"/>
      <c r="AF521" s="38">
        <f>IF((W521-SUM(Y521:AE521))&lt;0,0,W521-SUM(Y521:AE521))</f>
        <v/>
      </c>
      <c r="AG521" s="52">
        <f>MAX(0,$AT521-$W521-$AI521)</f>
        <v/>
      </c>
      <c r="AH521" s="38" t="n"/>
      <c r="AI521" s="38" t="n"/>
      <c r="AJ521" s="54" t="n">
        <v>0.22</v>
      </c>
      <c r="AK521" s="55">
        <f>IF(AND($AG521&gt;0,ISNUMBER($AJ521)),$AG521*$AJ521,0)</f>
        <v/>
      </c>
      <c r="AT521" s="37">
        <f>SUM(AU521:BA521)</f>
        <v/>
      </c>
      <c r="AU521" s="82" t="n">
        <v>1</v>
      </c>
      <c r="AV521" s="33" t="n"/>
      <c r="AW521" s="33" t="n"/>
      <c r="AX521" s="33" t="n"/>
      <c r="AY521" s="33" t="n"/>
      <c r="AZ521" s="33" t="n"/>
      <c r="BA521" s="74" t="n"/>
      <c r="BB521" s="47" t="n"/>
      <c r="BC521" s="42" t="n"/>
      <c r="BD521" s="42" t="n"/>
    </row>
    <row r="522" ht="15" customHeight="1" s="148">
      <c r="A522" t="inlineStr">
        <is>
          <t>c0518</t>
        </is>
      </c>
      <c r="B522" s="51" t="inlineStr">
        <is>
          <t>Vindicate</t>
        </is>
      </c>
      <c r="C522" s="52" t="inlineStr">
        <is>
          <t>Multi</t>
        </is>
      </c>
      <c r="D522" s="51" t="inlineStr">
        <is>
          <t>Sorcery</t>
        </is>
      </c>
      <c r="E522" s="41" t="inlineStr">
        <is>
          <t>B2</t>
        </is>
      </c>
      <c r="F522" s="38" t="n">
        <v>3</v>
      </c>
      <c r="G522" s="67" t="inlineStr">
        <is>
          <t>Destroy target permanent.</t>
        </is>
      </c>
      <c r="H522" s="53" t="inlineStr">
        <is>
          <t>Removal</t>
        </is>
      </c>
      <c r="I522" s="53" t="inlineStr">
        <is>
          <t>Destroys target permanent of any type</t>
        </is>
      </c>
      <c r="J522" s="53" t="n"/>
      <c r="K522" s="53" t="n"/>
      <c r="L522" s="42" t="n"/>
      <c r="M522" s="42" t="n"/>
      <c r="N522" s="42" t="n"/>
      <c r="O522" s="42" t="n"/>
      <c r="P522" s="42" t="n">
        <v>0.8100000000000001</v>
      </c>
      <c r="Q522" s="42" t="n"/>
      <c r="R522" s="42" t="n"/>
      <c r="S522" s="42" t="n"/>
      <c r="T522" s="42" t="n"/>
      <c r="U522" s="42" t="n"/>
      <c r="V522" s="53" t="inlineStr">
        <is>
          <t>Apocalypse</t>
        </is>
      </c>
      <c r="W522" s="41" t="n">
        <v>1</v>
      </c>
      <c r="X522" s="37">
        <f>SUM(Y522:AE522)</f>
        <v/>
      </c>
      <c r="Y522" s="43" t="n"/>
      <c r="Z522" s="43" t="n"/>
      <c r="AA522" s="43" t="n"/>
      <c r="AB522" s="43" t="n">
        <v>1</v>
      </c>
      <c r="AC522" s="43" t="n"/>
      <c r="AD522" s="43" t="n"/>
      <c r="AE522" s="43" t="n"/>
      <c r="AF522" s="38">
        <f>IF((W522-SUM(Y522:AE522))&lt;0,0,W522-SUM(Y522:AE522))</f>
        <v/>
      </c>
      <c r="AG522" s="52">
        <f>MAX(0,$AT522-$W522-$AI522)</f>
        <v/>
      </c>
      <c r="AH522" s="38" t="n"/>
      <c r="AI522" s="38" t="n"/>
      <c r="AJ522" s="54" t="n">
        <v>0.76</v>
      </c>
      <c r="AK522" s="55">
        <f>IF(AND($AG522&gt;0,ISNUMBER($AJ522)),$AG522*$AJ522,0)</f>
        <v/>
      </c>
      <c r="AT522" s="37">
        <f>SUM(AU522:BA522)</f>
        <v/>
      </c>
      <c r="AU522" s="73" t="n"/>
      <c r="AV522" s="33" t="n"/>
      <c r="AW522" s="33" t="n"/>
      <c r="AX522" s="98" t="n">
        <v>1</v>
      </c>
      <c r="AY522" s="33" t="n"/>
      <c r="AZ522" s="33" t="n"/>
      <c r="BA522" s="74" t="n"/>
      <c r="BB522" s="47" t="n"/>
      <c r="BC522" s="42" t="n"/>
      <c r="BD522" s="42" t="n"/>
    </row>
    <row r="523" ht="15" customHeight="1" s="148">
      <c r="A523" t="inlineStr">
        <is>
          <t>c0519</t>
        </is>
      </c>
      <c r="B523" s="59" t="inlineStr">
        <is>
          <t>Visionary's Dance</t>
        </is>
      </c>
      <c r="C523" s="60" t="inlineStr">
        <is>
          <t>Multi</t>
        </is>
      </c>
      <c r="D523" s="59" t="inlineStr">
        <is>
          <t>Sorcery</t>
        </is>
      </c>
      <c r="E523" s="33" t="inlineStr">
        <is>
          <t>B2</t>
        </is>
      </c>
      <c r="F523" s="32" t="n">
        <v>7</v>
      </c>
      <c r="G523" s="67" t="inlineStr">
        <is>
          <t>Create two 3/3 blue and red Elemental creature tokens with flying.
{2}, Discard this card: Look at the top two cards of your library. Put one of them into your hand and the other into your graveyard.</t>
        </is>
      </c>
      <c r="H523" s="32" t="inlineStr">
        <is>
          <t>Token Producer</t>
        </is>
      </c>
      <c r="I523" s="32" t="inlineStr">
        <is>
          <t>Create two 3/3 Elemental tokens with flying</t>
        </is>
      </c>
      <c r="J523" s="32" t="inlineStr">
        <is>
          <t>{2}, discard this card: look at the top two cards, put one into your hand and the other into your graveyard</t>
        </is>
      </c>
      <c r="K523" s="32" t="n"/>
      <c r="L523" s="32" t="inlineStr">
        <is>
          <t>242</t>
        </is>
      </c>
      <c r="M523" s="32" t="n">
        <v>1</v>
      </c>
      <c r="N523" s="32" t="n">
        <v>0</v>
      </c>
      <c r="O523" s="63" t="inlineStr">
        <is>
          <t>Josiah "Jo" Cameron</t>
        </is>
      </c>
      <c r="P523" s="63" t="n">
        <v>0.12</v>
      </c>
      <c r="Q523" s="32" t="inlineStr">
        <is>
          <t>Common</t>
        </is>
      </c>
      <c r="R523" s="32" t="n"/>
      <c r="S523" s="32" t="n"/>
      <c r="T523" s="63" t="n"/>
      <c r="U523" s="63" t="n"/>
      <c r="V523" s="32" t="inlineStr">
        <is>
          <t>Secrets of Strixhaven</t>
        </is>
      </c>
      <c r="W523" s="41" t="n">
        <v>1</v>
      </c>
      <c r="X523" s="37">
        <f>SUM(Y523:AE523)</f>
        <v/>
      </c>
      <c r="Y523" s="43" t="n"/>
      <c r="Z523" s="43" t="n"/>
      <c r="AA523" s="43" t="n"/>
      <c r="AB523" s="43" t="n"/>
      <c r="AC523" s="43" t="n"/>
      <c r="AD523" s="43" t="n"/>
      <c r="AE523" s="43" t="n"/>
      <c r="AF523" s="38">
        <f>IF((W523-SUM(Y523:AE523))&lt;0,0,W523-SUM(Y523:AE523))</f>
        <v/>
      </c>
      <c r="AG523" s="52">
        <f>MAX(0,$AT523-$W523-$AI523)</f>
        <v/>
      </c>
      <c r="AH523" s="32" t="n"/>
      <c r="AI523" s="32" t="n"/>
      <c r="AJ523" s="32" t="n">
        <v>0.12</v>
      </c>
      <c r="AK523" s="55">
        <f>IF(AND($AG523&gt;0,ISNUMBER($AJ523)),$AG523*$AJ523,0)</f>
        <v/>
      </c>
      <c r="AT523" s="37">
        <f>SUM(AU523:BA523)</f>
        <v/>
      </c>
      <c r="AU523" s="73" t="n"/>
      <c r="AV523" s="33" t="n"/>
      <c r="AW523" s="33" t="n"/>
      <c r="AX523" s="33" t="n"/>
      <c r="AY523" s="33" t="n"/>
      <c r="AZ523" s="33" t="n"/>
      <c r="BA523" s="74" t="n"/>
      <c r="BB523" s="32" t="n"/>
      <c r="BC523" s="32" t="n"/>
      <c r="BD523" s="32" t="n"/>
    </row>
    <row r="524" ht="15" customHeight="1" s="148">
      <c r="A524" t="inlineStr">
        <is>
          <t>c0520</t>
        </is>
      </c>
      <c r="B524" s="51" t="inlineStr">
        <is>
          <t>Voracious Tome-Skimmer</t>
        </is>
      </c>
      <c r="C524" s="52" t="inlineStr">
        <is>
          <t>Multi</t>
        </is>
      </c>
      <c r="D524" s="51" t="inlineStr">
        <is>
          <t>Creature</t>
        </is>
      </c>
      <c r="E524" s="41" t="inlineStr">
        <is>
          <t>B2</t>
        </is>
      </c>
      <c r="F524" s="38" t="n">
        <v>3</v>
      </c>
      <c r="G524" s="67" t="inlineStr">
        <is>
          <t>Flying
Whenever you cast a spell during an opponent's turn, you may pay 1 life. If you do, draw a card.
(2/3)</t>
        </is>
      </c>
      <c r="H524" s="53" t="inlineStr">
        <is>
          <t>Card Draw</t>
        </is>
      </c>
      <c r="I524" s="53" t="inlineStr">
        <is>
          <t>Pay 1 life to draw a card when you cast on opponent's turn</t>
        </is>
      </c>
      <c r="J524" s="53" t="n"/>
      <c r="K524" s="53" t="n"/>
      <c r="L524" s="42" t="n"/>
      <c r="M524" s="42" t="n"/>
      <c r="N524" s="42" t="n"/>
      <c r="O524" s="63" t="n"/>
      <c r="P524" s="63" t="n">
        <v>0.26</v>
      </c>
      <c r="Q524" s="42" t="n"/>
      <c r="R524" s="42" t="n"/>
      <c r="S524" s="42" t="n"/>
      <c r="T524" s="63" t="n"/>
      <c r="U524" s="63" t="n"/>
      <c r="V524" s="53" t="inlineStr">
        <is>
          <t>Lorwyn Eclipsed</t>
        </is>
      </c>
      <c r="W524" s="41" t="n">
        <v>1</v>
      </c>
      <c r="X524" s="37">
        <f>SUM(Y524:AE524)</f>
        <v/>
      </c>
      <c r="Y524" s="43" t="n"/>
      <c r="Z524" s="43" t="n"/>
      <c r="AA524" s="43" t="n">
        <v>1</v>
      </c>
      <c r="AB524" s="43" t="n"/>
      <c r="AC524" s="43" t="n"/>
      <c r="AD524" s="43" t="n"/>
      <c r="AE524" s="43" t="n"/>
      <c r="AF524" s="38">
        <f>IF((W524-SUM(Y524:AE524))&lt;0,0,W524-SUM(Y524:AE524))</f>
        <v/>
      </c>
      <c r="AG524" s="52">
        <f>MAX(0,$AT524-$W524-$AI524)</f>
        <v/>
      </c>
      <c r="AH524" s="38" t="n"/>
      <c r="AI524" s="38" t="n"/>
      <c r="AJ524" s="54" t="n">
        <v>0.31</v>
      </c>
      <c r="AK524" s="55">
        <f>IF(AND($AG524&gt;0,ISNUMBER($AJ524)),$AG524*$AJ524,0)</f>
        <v/>
      </c>
      <c r="AN524" s="58" t="n"/>
      <c r="AT524" s="37">
        <f>SUM(AU524:BA524)</f>
        <v/>
      </c>
      <c r="AU524" s="73" t="n"/>
      <c r="AV524" s="33" t="n"/>
      <c r="AW524" s="99" t="n"/>
      <c r="AX524" s="33" t="n"/>
      <c r="AY524" s="33" t="n"/>
      <c r="AZ524" s="33" t="n"/>
      <c r="BA524" s="74" t="n"/>
      <c r="BB524" s="47" t="n"/>
      <c r="BC524" s="42" t="n"/>
      <c r="BD524" s="42" t="n"/>
    </row>
    <row r="525" ht="15" customHeight="1" s="148">
      <c r="A525" t="inlineStr">
        <is>
          <t>c0521</t>
        </is>
      </c>
      <c r="B525" s="56" t="inlineStr">
        <is>
          <t>Wandering Musicians</t>
        </is>
      </c>
      <c r="C525" s="57" t="inlineStr">
        <is>
          <t>Multi</t>
        </is>
      </c>
      <c r="D525" s="56" t="inlineStr">
        <is>
          <t>Creature</t>
        </is>
      </c>
      <c r="E525" s="41" t="inlineStr">
        <is>
          <t>B2</t>
        </is>
      </c>
      <c r="F525" s="41" t="n">
        <v>4</v>
      </c>
      <c r="G525" s="67" t="inlineStr">
        <is>
          <t>Whenever this creature attacks, creatures you control get +1/+0 until end of turn.
(2/5)</t>
        </is>
      </c>
      <c r="H525" s="42" t="inlineStr">
        <is>
          <t>Lord/Anthem</t>
        </is>
      </c>
      <c r="I525" s="42" t="inlineStr">
        <is>
          <t>Whenever it attacks, creatures you control get +1/+0 until end of turn</t>
        </is>
      </c>
      <c r="J525" s="42" t="n"/>
      <c r="K525" s="42" t="n"/>
      <c r="L525" s="42" t="n"/>
      <c r="M525" s="42" t="n"/>
      <c r="N525" s="42" t="n"/>
      <c r="O525" s="42" t="n"/>
      <c r="P525" s="42" t="n"/>
      <c r="Q525" s="42" t="n"/>
      <c r="R525" s="42" t="n"/>
      <c r="S525" s="42" t="n"/>
      <c r="T525" s="42" t="n"/>
      <c r="U525" s="42" t="n"/>
      <c r="V525" s="42" t="inlineStr">
        <is>
          <t>Avatar: The Last Airbender</t>
        </is>
      </c>
      <c r="W525" s="41" t="n">
        <v>0</v>
      </c>
      <c r="X525" s="37">
        <f>SUM(Y525:AE525)</f>
        <v/>
      </c>
      <c r="Y525" s="43" t="n"/>
      <c r="Z525" s="43" t="n"/>
      <c r="AA525" s="43" t="n"/>
      <c r="AB525" s="43" t="n"/>
      <c r="AC525" s="43" t="n"/>
      <c r="AD525" s="43" t="n"/>
      <c r="AE525" s="43" t="n"/>
      <c r="AF525" s="38">
        <f>IF((W525-SUM(Y525:AE525))&lt;0,0,W525-SUM(Y525:AE525))</f>
        <v/>
      </c>
      <c r="AG525" s="52">
        <f>MAX(0,$AT525-$W525-$AI525)</f>
        <v/>
      </c>
      <c r="AH525" s="42" t="n"/>
      <c r="AI525" s="42" t="n"/>
      <c r="AJ525" s="42" t="n">
        <v>0.12</v>
      </c>
      <c r="AK525" s="56">
        <f>IF(AND($AG525&gt;0,ISNUMBER($AJ525)),$AG525*$AJ525,0)</f>
        <v/>
      </c>
      <c r="AL525" s="42" t="n"/>
      <c r="AM525" s="42" t="n"/>
      <c r="AN525" s="42" t="n"/>
      <c r="AO525" s="42" t="n"/>
      <c r="AP525" s="42" t="n"/>
      <c r="AQ525" s="42" t="n"/>
      <c r="AR525" s="42" t="n"/>
      <c r="AS525" s="42" t="n"/>
      <c r="AT525" s="37">
        <f>SUM(AU525:BA525)</f>
        <v/>
      </c>
      <c r="AU525" s="93" t="n"/>
      <c r="AV525" s="41" t="n"/>
      <c r="AW525" s="41" t="n"/>
      <c r="AX525" s="41" t="n"/>
      <c r="AY525" s="41" t="n"/>
      <c r="AZ525" s="41" t="n"/>
      <c r="BA525" s="94" t="n"/>
      <c r="BB525" s="42" t="n"/>
      <c r="BC525" s="42" t="n"/>
      <c r="BD525" s="42" t="n"/>
    </row>
    <row r="526" ht="15" customHeight="1" s="148">
      <c r="A526" t="inlineStr">
        <is>
          <t>c0522</t>
        </is>
      </c>
      <c r="B526" s="51" t="inlineStr">
        <is>
          <t>Warleader's Call</t>
        </is>
      </c>
      <c r="C526" s="52" t="inlineStr">
        <is>
          <t>Multi</t>
        </is>
      </c>
      <c r="D526" s="51" t="inlineStr">
        <is>
          <t>Enchantment</t>
        </is>
      </c>
      <c r="E526" s="41" t="inlineStr">
        <is>
          <t>B3</t>
        </is>
      </c>
      <c r="F526" s="38" t="n">
        <v>3</v>
      </c>
      <c r="G526" s="67" t="inlineStr">
        <is>
          <t>Creatures you control get +1/+1.
Whenever a creature you control enters, this enchantment deals 1 damage to each opponent.</t>
        </is>
      </c>
      <c r="H526" s="53" t="inlineStr">
        <is>
          <t>Lord/Anthem</t>
        </is>
      </c>
      <c r="I526" s="53" t="inlineStr">
        <is>
          <t>Creatures you control get +1/+1</t>
        </is>
      </c>
      <c r="J526" s="53" t="inlineStr">
        <is>
          <t>Whenever a creature you control enters, this enchantment deals 1 damage to each opponent</t>
        </is>
      </c>
      <c r="K526" s="53" t="n"/>
      <c r="L526" s="42" t="n"/>
      <c r="M526" s="42" t="n"/>
      <c r="N526" s="42" t="n"/>
      <c r="O526" s="42" t="n"/>
      <c r="P526" s="42" t="n"/>
      <c r="Q526" s="42" t="n"/>
      <c r="R526" s="42" t="n"/>
      <c r="S526" s="42" t="n"/>
      <c r="T526" s="42" t="n"/>
      <c r="U526" s="42" t="n"/>
      <c r="V526" s="53" t="inlineStr">
        <is>
          <t>Murders at Karlov Manor</t>
        </is>
      </c>
      <c r="W526" s="41" t="n">
        <v>0</v>
      </c>
      <c r="X526" s="37">
        <f>SUM(Y526:AE526)</f>
        <v/>
      </c>
      <c r="Y526" s="43" t="n"/>
      <c r="Z526" s="43" t="n"/>
      <c r="AA526" s="43" t="n"/>
      <c r="AB526" s="43" t="n"/>
      <c r="AC526" s="43" t="n"/>
      <c r="AD526" s="43" t="n"/>
      <c r="AE526" s="43" t="n"/>
      <c r="AF526" s="38">
        <f>IF((W526-SUM(Y526:AE526))&lt;0,0,W526-SUM(Y526:AE526))</f>
        <v/>
      </c>
      <c r="AG526" s="52">
        <f>MAX(0,$AT526-$W526-$AI526)</f>
        <v/>
      </c>
      <c r="AH526" s="38" t="n"/>
      <c r="AI526" s="38" t="n"/>
      <c r="AJ526" s="54" t="n">
        <v>2.98</v>
      </c>
      <c r="AK526" s="55">
        <f>IF(AND($AG526&gt;0,ISNUMBER($AJ526)),$AG526*$AJ526,0)</f>
        <v/>
      </c>
      <c r="AL526" s="54" t="n"/>
      <c r="AM526" s="54" t="n"/>
      <c r="AN526" s="54" t="n"/>
      <c r="AO526" s="54" t="n"/>
      <c r="AP526" s="54" t="n"/>
      <c r="AQ526" s="54" t="n"/>
      <c r="AR526" s="54" t="n"/>
      <c r="AS526" s="54" t="n"/>
      <c r="AT526" s="37">
        <f>SUM(AU526:BA526)</f>
        <v/>
      </c>
      <c r="AU526" s="92" t="n"/>
      <c r="AV526" s="38" t="n"/>
      <c r="AW526" s="38" t="n"/>
      <c r="AX526" s="38" t="n"/>
      <c r="AY526" s="38" t="n"/>
      <c r="AZ526" s="38" t="n"/>
      <c r="BA526" s="94" t="n"/>
      <c r="BB526" s="47" t="n"/>
      <c r="BC526" s="42" t="n"/>
      <c r="BD526" s="48" t="n"/>
    </row>
    <row r="527" ht="15" customHeight="1" s="148">
      <c r="A527" t="inlineStr">
        <is>
          <t>c0523</t>
        </is>
      </c>
      <c r="B527" s="59" t="inlineStr">
        <is>
          <t>Wary Farmer</t>
        </is>
      </c>
      <c r="C527" s="60" t="inlineStr">
        <is>
          <t>Multi</t>
        </is>
      </c>
      <c r="D527" s="59" t="inlineStr">
        <is>
          <t>Creature</t>
        </is>
      </c>
      <c r="E527" s="33" t="inlineStr">
        <is>
          <t>B2</t>
        </is>
      </c>
      <c r="F527" s="33" t="n">
        <v>3</v>
      </c>
      <c r="G527" s="67" t="inlineStr">
        <is>
          <t>At the beginning of your end step, if another creature entered the battlefield under your control this turn, surveil 1. (Look at the top card of your library. You may put it into your graveyard.)
(3/3)</t>
        </is>
      </c>
      <c r="H527" s="32" t="inlineStr">
        <is>
          <t>Card Selection</t>
        </is>
      </c>
      <c r="I527" s="32" t="inlineStr">
        <is>
          <t>At the beginning of your end step, surveil 1 if another creature entered under your control this turn</t>
        </is>
      </c>
      <c r="J527" s="32" t="n"/>
      <c r="K527" s="32" t="n"/>
      <c r="L527" s="32" t="inlineStr">
        <is>
          <t>251</t>
        </is>
      </c>
      <c r="M527" s="32" t="n">
        <v>1</v>
      </c>
      <c r="N527" s="32" t="n">
        <v>0</v>
      </c>
      <c r="O527" s="63" t="n"/>
      <c r="P527" s="63" t="n">
        <v>0.14</v>
      </c>
      <c r="Q527" s="32" t="inlineStr">
        <is>
          <t>Common</t>
        </is>
      </c>
      <c r="R527" s="32" t="n"/>
      <c r="S527" s="32" t="n"/>
      <c r="T527" s="63" t="n"/>
      <c r="U527" s="63" t="n"/>
      <c r="V527" s="32" t="inlineStr">
        <is>
          <t>Lorwyn Eclipsed</t>
        </is>
      </c>
      <c r="W527" s="41" t="n">
        <v>1</v>
      </c>
      <c r="X527" s="37">
        <f>SUM(Y527:AE527)</f>
        <v/>
      </c>
      <c r="Y527" s="43" t="n"/>
      <c r="Z527" s="43" t="n"/>
      <c r="AA527" s="43" t="n"/>
      <c r="AB527" s="43" t="n"/>
      <c r="AC527" s="43" t="n"/>
      <c r="AD527" s="43" t="n"/>
      <c r="AE527" s="43" t="n"/>
      <c r="AF527" s="38">
        <f>IF((W527-SUM(Y527:AE527))&lt;0,0,W527-SUM(Y527:AE527))</f>
        <v/>
      </c>
      <c r="AG527" s="52">
        <f>MAX(0,$AT527-$W527-$AI527)</f>
        <v/>
      </c>
      <c r="AH527" s="32" t="n"/>
      <c r="AI527" s="32" t="n"/>
      <c r="AJ527" s="61" t="n">
        <v>0.14</v>
      </c>
      <c r="AK527" s="55">
        <f>IF(AND($AG527&gt;0,ISNUMBER($AJ527)),$AG527*$AJ527,0)</f>
        <v/>
      </c>
      <c r="AT527" s="37">
        <f>SUM(AU527:BA527)</f>
        <v/>
      </c>
      <c r="AU527" s="73" t="n"/>
      <c r="AV527" s="33" t="n"/>
      <c r="AW527" s="33" t="n"/>
      <c r="AX527" s="33" t="n"/>
      <c r="AY527" s="33" t="n"/>
      <c r="AZ527" s="33" t="n"/>
      <c r="BA527" s="74" t="n"/>
      <c r="BB527" s="32" t="n"/>
      <c r="BC527" s="32" t="n"/>
      <c r="BD527" s="32" t="n"/>
    </row>
    <row r="528" ht="15" customHeight="1" s="148">
      <c r="A528" t="inlineStr">
        <is>
          <t>c0524</t>
        </is>
      </c>
      <c r="B528" s="51" t="inlineStr">
        <is>
          <t>Wavesifter</t>
        </is>
      </c>
      <c r="C528" s="52" t="inlineStr">
        <is>
          <t>Multi</t>
        </is>
      </c>
      <c r="D528" s="51" t="inlineStr">
        <is>
          <t>Creature</t>
        </is>
      </c>
      <c r="E528" s="41" t="inlineStr">
        <is>
          <t>B2</t>
        </is>
      </c>
      <c r="F528" s="38" t="n">
        <v>5</v>
      </c>
      <c r="G528" s="67" t="inlineStr">
        <is>
          <t>Flying
When this creature enters, investigate twice. (To investigate, create a Clue token. It's an artifact with "{2}, Sacrifice this token: Draw a card.")
Evoke {G}{U} (You may cast this spell for its evoke cost. If you do, it's sacrificed when it enters.)
(3/2)</t>
        </is>
      </c>
      <c r="H528" s="53" t="inlineStr">
        <is>
          <t>Card Draw</t>
        </is>
      </c>
      <c r="I528" s="53" t="inlineStr">
        <is>
          <t>Creates two Clue tokens (sac, {2}: draw a card)</t>
        </is>
      </c>
      <c r="J528" s="53" t="inlineStr">
        <is>
          <t>Can be cast for its evoke cost, then sacrificed</t>
        </is>
      </c>
      <c r="K528" s="53" t="n"/>
      <c r="L528" s="41" t="n"/>
      <c r="M528" s="41" t="n"/>
      <c r="N528" s="41" t="n"/>
      <c r="O528" s="41" t="n"/>
      <c r="P528" s="41" t="n">
        <v>0.31</v>
      </c>
      <c r="Q528" s="41" t="n"/>
      <c r="R528" s="41" t="n"/>
      <c r="S528" s="41" t="n"/>
      <c r="T528" s="41" t="n"/>
      <c r="U528" s="41" t="n"/>
      <c r="V528" s="53" t="inlineStr">
        <is>
          <t>Modern Horizons 2</t>
        </is>
      </c>
      <c r="W528" s="41" t="n">
        <v>1</v>
      </c>
      <c r="X528" s="37">
        <f>SUM(Y528:AE528)</f>
        <v/>
      </c>
      <c r="Y528" s="43" t="n"/>
      <c r="Z528" s="43" t="n">
        <v>1</v>
      </c>
      <c r="AA528" s="43" t="n"/>
      <c r="AB528" s="43" t="n"/>
      <c r="AC528" s="43" t="n"/>
      <c r="AD528" s="43" t="n"/>
      <c r="AE528" s="43" t="n"/>
      <c r="AF528" s="38">
        <f>IF((W528-SUM(Y528:AE528))&lt;0,0,W528-SUM(Y528:AE528))</f>
        <v/>
      </c>
      <c r="AG528" s="52">
        <f>MAX(0,$AT528-$W528-$AI528)</f>
        <v/>
      </c>
      <c r="AH528" s="38" t="n"/>
      <c r="AI528" s="38" t="n"/>
      <c r="AJ528" s="54" t="n">
        <v>0.29</v>
      </c>
      <c r="AK528" s="55">
        <f>IF(AND($AG528&gt;0,ISNUMBER($AJ528)),$AG528*$AJ528,0)</f>
        <v/>
      </c>
      <c r="AM528" s="58" t="n"/>
      <c r="AT528" s="37">
        <f>SUM(AU528:BA528)</f>
        <v/>
      </c>
      <c r="AU528" s="73" t="n"/>
      <c r="AV528" s="99" t="n"/>
      <c r="AW528" s="33" t="n"/>
      <c r="AX528" s="33" t="n"/>
      <c r="AY528" s="33" t="n"/>
      <c r="AZ528" s="33" t="n"/>
      <c r="BA528" s="74" t="n"/>
      <c r="BB528" s="47" t="n"/>
      <c r="BC528" s="42" t="n"/>
      <c r="BD528" s="42" t="n"/>
    </row>
    <row r="529" ht="15" customHeight="1" s="148">
      <c r="A529" t="inlineStr">
        <is>
          <t>c0525</t>
        </is>
      </c>
      <c r="B529" s="114" t="inlineStr">
        <is>
          <t>Wistfulness</t>
        </is>
      </c>
      <c r="C529" s="116" t="inlineStr">
        <is>
          <t>Multi</t>
        </is>
      </c>
      <c r="D529" s="120" t="inlineStr">
        <is>
          <t>Creature</t>
        </is>
      </c>
      <c r="E529" s="67" t="inlineStr">
        <is>
          <t>B2</t>
        </is>
      </c>
      <c r="F529" s="105" t="n">
        <v>5</v>
      </c>
      <c r="G529" s="69" t="inlineStr">
        <is>
          <t>Wistfulness {3}{G/U}{G/U} — Creature — Elemental Incarnation (6/5)
When this creature enters, if {G}{G} was spent to cast it, exile target artifact or enchantment an opponent controls.
When this creature enters, if {U}{U} was spent to cast it, draw two cards, then discard a card.
Evoke {G/U}{G/U} (You may cast this spell for its evoke cost. If you do, it's sacrificed when it enters.)</t>
        </is>
      </c>
      <c r="H529" s="69" t="inlineStr">
        <is>
          <t>Artifact/Enchantment Removal</t>
        </is>
      </c>
      <c r="I529" s="69" t="inlineStr">
        <is>
          <t>Enters with {G}{G} spent: exile target artifact or enchantment an opponent controls</t>
        </is>
      </c>
      <c r="J529" s="69" t="inlineStr">
        <is>
          <t>Enters with {U}{U} spent: draw two cards</t>
        </is>
      </c>
      <c r="K529" s="69" t="n"/>
      <c r="L529" s="69" t="inlineStr">
        <is>
          <t>252</t>
        </is>
      </c>
      <c r="M529" s="69" t="n">
        <v>1</v>
      </c>
      <c r="N529" s="69" t="n">
        <v>0</v>
      </c>
      <c r="O529" s="63" t="inlineStr">
        <is>
          <t>Jesper Ejsing</t>
        </is>
      </c>
      <c r="P529" s="85" t="n">
        <v>4.23</v>
      </c>
      <c r="Q529" s="69" t="inlineStr">
        <is>
          <t>Mythic</t>
        </is>
      </c>
      <c r="R529" s="69" t="n"/>
      <c r="S529" s="69" t="n"/>
      <c r="T529" s="63" t="n"/>
      <c r="U529" s="63" t="n"/>
      <c r="V529" s="67" t="inlineStr">
        <is>
          <t>Lorwyn Eclipsed</t>
        </is>
      </c>
      <c r="W529" s="105" t="n">
        <v>1</v>
      </c>
      <c r="X529" s="37">
        <f>SUM(Y529:AE529)</f>
        <v/>
      </c>
      <c r="Y529" s="43" t="n"/>
      <c r="Z529" s="43" t="n"/>
      <c r="AA529" s="43" t="n"/>
      <c r="AB529" s="43" t="n"/>
      <c r="AC529" s="43" t="n"/>
      <c r="AD529" s="43" t="n"/>
      <c r="AE529" s="43" t="n"/>
      <c r="AF529" s="38">
        <f>IF((W529-SUM(Y529:AE529))&lt;0,0,W529-SUM(Y529:AE529))</f>
        <v/>
      </c>
      <c r="AG529" s="52">
        <f>MAX(0,$AT529-$W529-$AI529)</f>
        <v/>
      </c>
      <c r="AH529" s="69" t="n"/>
      <c r="AI529" s="69" t="n"/>
      <c r="AJ529" s="85" t="n">
        <v>4.23</v>
      </c>
      <c r="AK529" s="55">
        <f>IF(AND($AG529&gt;0,ISNUMBER($AJ529)),$AG529*$AJ529,0)</f>
        <v/>
      </c>
      <c r="AL529" s="69" t="n"/>
      <c r="AM529" s="69" t="n"/>
      <c r="AN529" s="69" t="n"/>
      <c r="AO529" s="69" t="n"/>
      <c r="AP529" s="69" t="n"/>
      <c r="AQ529" s="69" t="n"/>
      <c r="AR529" s="69" t="n"/>
      <c r="AS529" s="69" t="n"/>
      <c r="AT529" s="37">
        <f>SUM(AU529:BA529)</f>
        <v/>
      </c>
      <c r="AU529" s="73" t="n"/>
      <c r="AV529" s="33" t="n"/>
      <c r="AW529" s="33" t="n"/>
      <c r="AX529" s="33" t="n"/>
      <c r="AY529" s="33" t="n"/>
      <c r="AZ529" s="33" t="n"/>
      <c r="BA529" s="74" t="n"/>
      <c r="BB529" s="69" t="n"/>
      <c r="BC529" s="69" t="n"/>
      <c r="BD529" s="69" t="n"/>
    </row>
    <row r="530" ht="15" customHeight="1" s="148">
      <c r="A530" t="inlineStr">
        <is>
          <t>c0526</t>
        </is>
      </c>
      <c r="B530" s="51" t="inlineStr">
        <is>
          <t>Yavimaya Coast</t>
        </is>
      </c>
      <c r="C530" s="52" t="inlineStr">
        <is>
          <t>Multi</t>
        </is>
      </c>
      <c r="D530" s="51" t="inlineStr">
        <is>
          <t>Land</t>
        </is>
      </c>
      <c r="E530" s="41" t="inlineStr">
        <is>
          <t>B2</t>
        </is>
      </c>
      <c r="F530" s="38" t="n">
        <v>0</v>
      </c>
      <c r="G530" s="67" t="inlineStr">
        <is>
          <t>{T}: Add {C}.
{T}: Add {G} or {U}. This land deals 1 damage to you.</t>
        </is>
      </c>
      <c r="H530" s="53" t="inlineStr">
        <is>
          <t>Land</t>
        </is>
      </c>
      <c r="I530" s="53" t="inlineStr">
        <is>
          <t>{T}: Add {C}. / {T}: Add {G} or {U}. This land deals 1 damage to you.</t>
        </is>
      </c>
      <c r="J530" s="53" t="n"/>
      <c r="K530" s="53" t="n"/>
      <c r="L530" s="41" t="n"/>
      <c r="M530" s="41" t="n"/>
      <c r="N530" s="41" t="n"/>
      <c r="O530" s="41" t="n"/>
      <c r="P530" s="41" t="n">
        <v>0.38</v>
      </c>
      <c r="Q530" s="41" t="n"/>
      <c r="R530" s="41" t="n"/>
      <c r="S530" s="41" t="n"/>
      <c r="T530" s="41" t="n"/>
      <c r="U530" s="41" t="n"/>
      <c r="V530" s="53" t="inlineStr">
        <is>
          <t>Apocalypse</t>
        </is>
      </c>
      <c r="W530" s="41" t="n">
        <v>0</v>
      </c>
      <c r="X530" s="37">
        <f>SUM(Y530:AE530)</f>
        <v/>
      </c>
      <c r="Y530" s="43" t="n"/>
      <c r="Z530" s="43" t="n"/>
      <c r="AA530" s="43" t="n"/>
      <c r="AB530" s="43" t="n"/>
      <c r="AC530" s="43" t="n"/>
      <c r="AD530" s="43" t="n"/>
      <c r="AE530" s="43" t="n"/>
      <c r="AF530" s="38">
        <f>IF((W530-SUM(Y530:AE530))&lt;0,0,W530-SUM(Y530:AE530))</f>
        <v/>
      </c>
      <c r="AG530" s="52">
        <f>MAX(0,$AT530-$W530-$AI530)</f>
        <v/>
      </c>
      <c r="AH530" s="38" t="n"/>
      <c r="AI530" s="38" t="n"/>
      <c r="AJ530" s="54" t="n">
        <v>0.36</v>
      </c>
      <c r="AK530" s="55">
        <f>IF(AND($AG530&gt;0,ISNUMBER($AJ530)),$AG530*$AJ530,0)</f>
        <v/>
      </c>
      <c r="AL530" s="54" t="n"/>
      <c r="AM530" s="54" t="n"/>
      <c r="AN530" s="54" t="n"/>
      <c r="AO530" s="54" t="n"/>
      <c r="AP530" s="54" t="n"/>
      <c r="AQ530" s="54" t="n"/>
      <c r="AR530" s="54" t="n"/>
      <c r="AS530" s="54" t="n"/>
      <c r="AT530" s="37">
        <f>SUM(AU530:BA530)</f>
        <v/>
      </c>
      <c r="AU530" s="92" t="n"/>
      <c r="AV530" s="38" t="n"/>
      <c r="AW530" s="38" t="n"/>
      <c r="AX530" s="38" t="n"/>
      <c r="AY530" s="38" t="n"/>
      <c r="AZ530" s="38" t="n"/>
      <c r="BA530" s="94" t="n"/>
      <c r="BB530" s="47" t="n"/>
      <c r="BC530" s="42" t="n"/>
      <c r="BD530" s="48" t="n"/>
    </row>
    <row r="531" ht="15" customHeight="1" s="148">
      <c r="A531" t="inlineStr">
        <is>
          <t>c0527</t>
        </is>
      </c>
      <c r="B531" s="59" t="inlineStr">
        <is>
          <t>Zaffai and the Tempests</t>
        </is>
      </c>
      <c r="C531" s="60" t="inlineStr">
        <is>
          <t>Multi</t>
        </is>
      </c>
      <c r="D531" s="59" t="inlineStr">
        <is>
          <t>Legendary Creature</t>
        </is>
      </c>
      <c r="E531" s="33" t="inlineStr">
        <is>
          <t>B2</t>
        </is>
      </c>
      <c r="F531" s="32" t="n">
        <v>7</v>
      </c>
      <c r="G531" s="67" t="inlineStr">
        <is>
          <t>Once during each of your turns, you may cast an instant or sorcery spell from your hand without paying its mana cost.
(5/7)</t>
        </is>
      </c>
      <c r="H531" s="32" t="inlineStr">
        <is>
          <t>Cost Reducer</t>
        </is>
      </c>
      <c r="I531" s="32" t="inlineStr">
        <is>
          <t>Once during each of your turns, cast an instant or sorcery from your hand without paying its mana cost</t>
        </is>
      </c>
      <c r="J531" s="32" t="inlineStr">
        <is>
          <t>5/7 body</t>
        </is>
      </c>
      <c r="K531" s="32" t="n"/>
      <c r="L531" s="32" t="inlineStr">
        <is>
          <t>246</t>
        </is>
      </c>
      <c r="M531" s="32" t="n">
        <v>1</v>
      </c>
      <c r="N531" s="32" t="n">
        <v>0</v>
      </c>
      <c r="O531" s="63" t="inlineStr">
        <is>
          <t>Olivier Bernard</t>
        </is>
      </c>
      <c r="P531" s="63" t="n">
        <v>0.23</v>
      </c>
      <c r="Q531" s="32" t="inlineStr">
        <is>
          <t>Rare</t>
        </is>
      </c>
      <c r="R531" s="32" t="n"/>
      <c r="S531" s="32" t="n"/>
      <c r="T531" s="63" t="n"/>
      <c r="U531" s="63" t="n"/>
      <c r="V531" s="32" t="inlineStr">
        <is>
          <t>Secrets of Strixhaven</t>
        </is>
      </c>
      <c r="W531" s="41" t="n">
        <v>1</v>
      </c>
      <c r="X531" s="37">
        <f>SUM(Y531:AE531)</f>
        <v/>
      </c>
      <c r="Y531" s="43" t="n"/>
      <c r="Z531" s="43" t="n"/>
      <c r="AA531" s="43" t="n"/>
      <c r="AB531" s="43" t="n"/>
      <c r="AC531" s="43" t="n"/>
      <c r="AD531" s="43" t="n"/>
      <c r="AE531" s="43" t="n"/>
      <c r="AF531" s="38">
        <f>IF((W531-SUM(Y531:AE531))&lt;0,0,W531-SUM(Y531:AE531))</f>
        <v/>
      </c>
      <c r="AG531" s="52">
        <f>MAX(0,$AT531-$W531-$AI531)</f>
        <v/>
      </c>
      <c r="AH531" s="32" t="n"/>
      <c r="AI531" s="32" t="n"/>
      <c r="AJ531" s="32" t="n">
        <v>0.23</v>
      </c>
      <c r="AK531" s="55">
        <f>IF(AND($AG531&gt;0,ISNUMBER($AJ531)),$AG531*$AJ531,0)</f>
        <v/>
      </c>
      <c r="AT531" s="37">
        <f>SUM(AU531:BA531)</f>
        <v/>
      </c>
      <c r="AU531" s="73" t="n"/>
      <c r="AV531" s="33" t="n"/>
      <c r="AW531" s="33" t="n"/>
      <c r="AX531" s="33" t="n"/>
      <c r="AY531" s="33" t="n"/>
      <c r="AZ531" s="33" t="n"/>
      <c r="BA531" s="74" t="n"/>
      <c r="BB531" s="32" t="n"/>
      <c r="BC531" s="32" t="n"/>
      <c r="BD531" s="32" t="n"/>
    </row>
    <row r="532" ht="15" customHeight="1" s="148">
      <c r="A532" t="inlineStr">
        <is>
          <t>c0528</t>
        </is>
      </c>
      <c r="B532" s="51" t="inlineStr">
        <is>
          <t>Abrade</t>
        </is>
      </c>
      <c r="C532" s="52" t="inlineStr">
        <is>
          <t>R</t>
        </is>
      </c>
      <c r="D532" s="51" t="inlineStr">
        <is>
          <t>Instant</t>
        </is>
      </c>
      <c r="E532" s="41" t="inlineStr">
        <is>
          <t>B2</t>
        </is>
      </c>
      <c r="F532" s="38" t="n">
        <v>2</v>
      </c>
      <c r="G532" s="67" t="inlineStr">
        <is>
          <t>Choose one —
• Abrade deals 3 damage to target creature.
• Destroy target artifact.</t>
        </is>
      </c>
      <c r="H532" s="53" t="inlineStr">
        <is>
          <t>Removal</t>
        </is>
      </c>
      <c r="I532" s="53" t="inlineStr">
        <is>
          <t>Deals 3 damage to target creature, or destroys target artifact</t>
        </is>
      </c>
      <c r="J532" s="53" t="n"/>
      <c r="K532" s="53" t="n"/>
      <c r="L532" s="42" t="n"/>
      <c r="M532" s="42" t="n"/>
      <c r="N532" s="42" t="n"/>
      <c r="O532" s="42" t="n"/>
      <c r="P532" s="42" t="n">
        <v>0.3</v>
      </c>
      <c r="Q532" s="42" t="n"/>
      <c r="R532" s="42" t="n"/>
      <c r="S532" s="42" t="n"/>
      <c r="T532" s="42" t="n"/>
      <c r="U532" s="42" t="n"/>
      <c r="V532" s="53" t="inlineStr">
        <is>
          <t>Hour of Devastation</t>
        </is>
      </c>
      <c r="W532" s="41" t="n">
        <v>1</v>
      </c>
      <c r="X532" s="37">
        <f>SUM(Y532:AE532)</f>
        <v/>
      </c>
      <c r="Y532" s="43" t="n"/>
      <c r="Z532" s="43" t="n"/>
      <c r="AA532" s="43" t="n"/>
      <c r="AB532" s="43" t="n"/>
      <c r="AC532" s="43" t="n"/>
      <c r="AD532" s="43" t="n">
        <v>1</v>
      </c>
      <c r="AE532" s="43" t="n"/>
      <c r="AF532" s="38">
        <f>IF((W532-SUM(Y532:AE532))&lt;0,0,W532-SUM(Y532:AE532))</f>
        <v/>
      </c>
      <c r="AG532" s="52">
        <f>MAX(0,$AT532-$W532-$AI532)</f>
        <v/>
      </c>
      <c r="AH532" s="38" t="n"/>
      <c r="AI532" s="38" t="n"/>
      <c r="AJ532" s="54" t="n">
        <v>0.34</v>
      </c>
      <c r="AK532" s="55">
        <f>IF(AND($AG532&gt;0,ISNUMBER($AJ532)),$AG532*$AJ532,0)</f>
        <v/>
      </c>
      <c r="AT532" s="37">
        <f>SUM(AU532:BA532)</f>
        <v/>
      </c>
      <c r="AU532" s="73" t="n"/>
      <c r="AV532" s="33" t="n"/>
      <c r="AW532" s="33" t="n"/>
      <c r="AX532" s="33" t="n"/>
      <c r="AY532" s="33" t="n"/>
      <c r="AZ532" s="98" t="n">
        <v>1</v>
      </c>
      <c r="BA532" s="74" t="n"/>
      <c r="BB532" s="47" t="n"/>
      <c r="BC532" s="42" t="n"/>
      <c r="BD532" s="42" t="n"/>
    </row>
    <row r="533" ht="15" customHeight="1" s="148">
      <c r="A533" t="inlineStr">
        <is>
          <t>c0529</t>
        </is>
      </c>
      <c r="B533" s="51" t="inlineStr">
        <is>
          <t>Advanced Reconstruction</t>
        </is>
      </c>
      <c r="C533" s="52" t="inlineStr">
        <is>
          <t>R</t>
        </is>
      </c>
      <c r="D533" s="51" t="inlineStr">
        <is>
          <t>Enchantment</t>
        </is>
      </c>
      <c r="E533" s="41" t="inlineStr">
        <is>
          <t>B2</t>
        </is>
      </c>
      <c r="F533" s="38" t="n">
        <v>4</v>
      </c>
      <c r="G533" s="67" t="inlineStr">
        <is>
          <t>(Gain the next level as a sorcery to add its ability.)
At the beginning of your first main phase, mill a card, then exile a card from your graveyard at random. You may play the exiled card this turn.
{1}{R}: Level 2
Whenever one or more cards leave your graveyard, this Class deals 2 damage to each opponent.
{1}{R}: Level 3
Spells you cast from anywhere other than your hand cost {2} less to cast.</t>
        </is>
      </c>
      <c r="H533" s="53" t="inlineStr">
        <is>
          <t>Card Advantage</t>
        </is>
      </c>
      <c r="I533" s="53" t="inlineStr">
        <is>
          <t>Main phase: mill a card, then exile a random graveyard card you may play this turn</t>
        </is>
      </c>
      <c r="J533" s="53" t="inlineStr">
        <is>
          <t>Level 2: deals 2 damage to each opponent when cards leave your graveyard</t>
        </is>
      </c>
      <c r="K533" s="53" t="inlineStr">
        <is>
          <t>Level 3: spells cast from anywhere but hand cost {2} less</t>
        </is>
      </c>
      <c r="L533" s="41" t="n"/>
      <c r="M533" s="41" t="n"/>
      <c r="N533" s="41" t="n"/>
      <c r="O533" s="41" t="n"/>
      <c r="P533" s="41" t="n">
        <v>0.39</v>
      </c>
      <c r="Q533" s="41" t="n"/>
      <c r="R533" s="41" t="n"/>
      <c r="S533" s="41" t="n"/>
      <c r="T533" s="41" t="n"/>
      <c r="U533" s="41" t="n"/>
      <c r="V533" s="53" t="inlineStr">
        <is>
          <t>Secrets of Strixhaven Commander</t>
        </is>
      </c>
      <c r="W533" s="41" t="n">
        <v>1</v>
      </c>
      <c r="X533" s="37">
        <f>SUM(Y533:AE533)</f>
        <v/>
      </c>
      <c r="Y533" s="43" t="n">
        <v>1</v>
      </c>
      <c r="Z533" s="43" t="n"/>
      <c r="AA533" s="43" t="n"/>
      <c r="AB533" s="43" t="n"/>
      <c r="AC533" s="43" t="n"/>
      <c r="AD533" s="43" t="n"/>
      <c r="AE533" s="43" t="n"/>
      <c r="AF533" s="38">
        <f>IF((W533-SUM(Y533:AE533))&lt;0,0,W533-SUM(Y533:AE533))</f>
        <v/>
      </c>
      <c r="AG533" s="52">
        <f>MAX(0,$AT533-$W533-$AI533)</f>
        <v/>
      </c>
      <c r="AH533" s="38" t="n"/>
      <c r="AI533" s="38" t="n"/>
      <c r="AJ533" s="54" t="n">
        <v>0.37</v>
      </c>
      <c r="AK533" s="55">
        <f>IF(AND($AG533&gt;0,ISNUMBER($AJ533)),$AG533*$AJ533,0)</f>
        <v/>
      </c>
      <c r="AT533" s="37">
        <f>SUM(AU533:BA533)</f>
        <v/>
      </c>
      <c r="AU533" s="82" t="n">
        <v>1</v>
      </c>
      <c r="AV533" s="33" t="n"/>
      <c r="AW533" s="33" t="n"/>
      <c r="AX533" s="33" t="n"/>
      <c r="AY533" s="33" t="n"/>
      <c r="AZ533" s="33" t="n"/>
      <c r="BA533" s="74" t="n"/>
      <c r="BB533" s="47" t="n"/>
      <c r="BC533" s="42" t="n"/>
      <c r="BD533" s="42" t="n"/>
    </row>
    <row r="534" ht="15" customHeight="1" s="148">
      <c r="A534" t="inlineStr">
        <is>
          <t>c0530</t>
        </is>
      </c>
      <c r="B534" s="51" t="inlineStr">
        <is>
          <t>Akoum Hellhound</t>
        </is>
      </c>
      <c r="C534" s="52" t="inlineStr">
        <is>
          <t>R</t>
        </is>
      </c>
      <c r="D534" s="51" t="inlineStr">
        <is>
          <t>Creature</t>
        </is>
      </c>
      <c r="E534" s="41" t="inlineStr">
        <is>
          <t>B2</t>
        </is>
      </c>
      <c r="F534" s="38" t="n">
        <v>1</v>
      </c>
      <c r="G534" s="67" t="inlineStr">
        <is>
          <t>Landfall — Whenever a land you control enters, this creature gets +2/+2 until end of turn.
(0/1)</t>
        </is>
      </c>
      <c r="H534" s="53" t="inlineStr">
        <is>
          <t>Combat Trick</t>
        </is>
      </c>
      <c r="I534" s="53" t="inlineStr">
        <is>
          <t>Gets +2/+2 until end of turn when a land you control enters</t>
        </is>
      </c>
      <c r="J534" s="53" t="n"/>
      <c r="K534" s="53" t="n"/>
      <c r="L534" s="42" t="n"/>
      <c r="M534" s="42" t="n"/>
      <c r="N534" s="42" t="n"/>
      <c r="O534" s="42" t="n"/>
      <c r="P534" s="42" t="n">
        <v>0.21</v>
      </c>
      <c r="Q534" s="42" t="n"/>
      <c r="R534" s="42" t="n"/>
      <c r="S534" s="42" t="n"/>
      <c r="T534" s="42" t="n"/>
      <c r="U534" s="42" t="n"/>
      <c r="V534" s="53" t="inlineStr">
        <is>
          <t>Zendikar Rising</t>
        </is>
      </c>
      <c r="W534" s="41" t="n">
        <v>1</v>
      </c>
      <c r="X534" s="37">
        <f>SUM(Y534:AE534)</f>
        <v/>
      </c>
      <c r="Y534" s="43" t="n"/>
      <c r="Z534" s="43" t="n"/>
      <c r="AA534" s="43" t="n"/>
      <c r="AB534" s="43" t="n"/>
      <c r="AC534" s="43" t="n"/>
      <c r="AD534" s="43" t="n"/>
      <c r="AE534" s="43" t="n"/>
      <c r="AF534" s="38">
        <f>IF((W534-SUM(Y534:AE534))&lt;0,0,W534-SUM(Y534:AE534))</f>
        <v/>
      </c>
      <c r="AG534" s="52">
        <f>MAX(0,$AT534-$W534-$AI534)</f>
        <v/>
      </c>
      <c r="AH534" s="38" t="n"/>
      <c r="AI534" s="38" t="n"/>
      <c r="AJ534" s="54" t="n">
        <v>0.2</v>
      </c>
      <c r="AK534" s="55">
        <f>IF(AND($AG534&gt;0,ISNUMBER($AJ534)),$AG534*$AJ534,0)</f>
        <v/>
      </c>
      <c r="AT534" s="37">
        <f>SUM(AU534:BA534)</f>
        <v/>
      </c>
      <c r="AU534" s="73" t="n"/>
      <c r="AV534" s="33" t="n"/>
      <c r="AW534" s="33" t="n"/>
      <c r="AX534" s="33" t="n"/>
      <c r="AY534" s="33" t="n"/>
      <c r="AZ534" s="33" t="n"/>
      <c r="BA534" s="74" t="n"/>
      <c r="BB534" s="47" t="n"/>
      <c r="BC534" s="42" t="n"/>
      <c r="BD534" s="42" t="n"/>
    </row>
    <row r="535" ht="15" customHeight="1" s="148">
      <c r="A535" t="inlineStr">
        <is>
          <t>c0531</t>
        </is>
      </c>
      <c r="B535" s="51" t="inlineStr">
        <is>
          <t>Alexios, Deimos of Kosmos</t>
        </is>
      </c>
      <c r="C535" s="38" t="inlineStr">
        <is>
          <t>R</t>
        </is>
      </c>
      <c r="D535" s="47" t="inlineStr">
        <is>
          <t>Legendary Creature</t>
        </is>
      </c>
      <c r="E535" s="41" t="inlineStr">
        <is>
          <t>B2</t>
        </is>
      </c>
      <c r="F535" s="38" t="n">
        <v>4</v>
      </c>
      <c r="G535" s="67" t="inlineStr">
        <is>
          <t>Trample
Alexios attacks each combat if able, can't be sacrificed, and can't attack its owner.
At the beginning of each player's upkeep, that player gains control of Alexios, untaps it, and puts a +1/+1 counter on it. It gains haste until end of turn.
(4/4)</t>
        </is>
      </c>
      <c r="H535" s="53" t="inlineStr">
        <is>
          <t>Finisher</t>
        </is>
      </c>
      <c r="I535" s="53" t="inlineStr">
        <is>
          <t>Must attack each combat, can't be sacrificed or attack you</t>
        </is>
      </c>
      <c r="J535" s="53" t="inlineStr">
        <is>
          <t>Passes to whoever's upkeep it is, untapped with a +1/+1 counter and haste</t>
        </is>
      </c>
      <c r="K535" s="53" t="inlineStr">
        <is>
          <t>Trample body that grows every turn cycle</t>
        </is>
      </c>
      <c r="L535" s="42" t="n"/>
      <c r="M535" s="42" t="n"/>
      <c r="N535" s="42" t="n"/>
      <c r="O535" s="42" t="n"/>
      <c r="P535" s="42" t="n">
        <v>0.48</v>
      </c>
      <c r="Q535" s="42" t="n"/>
      <c r="R535" s="42" t="n"/>
      <c r="S535" s="42" t="n"/>
      <c r="T535" s="42" t="n"/>
      <c r="U535" s="42" t="n"/>
      <c r="V535" s="53" t="inlineStr">
        <is>
          <t>Assassin's Creed</t>
        </is>
      </c>
      <c r="W535" s="41" t="n">
        <v>1</v>
      </c>
      <c r="X535" s="37">
        <f>SUM(Y535:AE535)</f>
        <v/>
      </c>
      <c r="Y535" s="43" t="n"/>
      <c r="Z535" s="43" t="n"/>
      <c r="AA535" s="43" t="n"/>
      <c r="AB535" s="43" t="n"/>
      <c r="AC535" s="43" t="n"/>
      <c r="AD535" s="43" t="n"/>
      <c r="AE535" s="43" t="n"/>
      <c r="AF535" s="38">
        <f>IF((W535-SUM(Y535:AE535))&lt;0,0,W535-SUM(Y535:AE535))</f>
        <v/>
      </c>
      <c r="AG535" s="38">
        <f>MAX(0,$AT535-$W535-$AI535)</f>
        <v/>
      </c>
      <c r="AH535" s="38" t="n"/>
      <c r="AI535" s="38" t="n"/>
      <c r="AJ535" s="54" t="n">
        <v>0.39</v>
      </c>
      <c r="AK535" s="54">
        <f>IF(AND($AG535&gt;0,ISNUMBER($AJ535)),$AG535*$AJ535,0)</f>
        <v/>
      </c>
      <c r="AQ535" s="58" t="n"/>
      <c r="AT535" s="37">
        <f>SUM(AU535:BA535)</f>
        <v/>
      </c>
      <c r="AU535" s="73" t="n"/>
      <c r="AV535" s="33" t="n"/>
      <c r="AW535" s="33" t="n"/>
      <c r="AX535" s="33" t="n"/>
      <c r="AY535" s="33" t="n"/>
      <c r="AZ535" s="33" t="n"/>
      <c r="BA535" s="74" t="n"/>
      <c r="BB535" s="47" t="n"/>
      <c r="BC535" s="42" t="n"/>
      <c r="BD535" s="42" t="n"/>
    </row>
    <row r="536" ht="15" customHeight="1" s="148">
      <c r="A536" t="inlineStr">
        <is>
          <t>c0532</t>
        </is>
      </c>
      <c r="B536" s="59" t="inlineStr">
        <is>
          <t>Ancestral Anger</t>
        </is>
      </c>
      <c r="C536" s="33" t="inlineStr">
        <is>
          <t>R</t>
        </is>
      </c>
      <c r="D536" s="32" t="inlineStr">
        <is>
          <t>Sorcery</t>
        </is>
      </c>
      <c r="E536" s="33" t="inlineStr">
        <is>
          <t>B2</t>
        </is>
      </c>
      <c r="F536" s="33" t="n">
        <v>1</v>
      </c>
      <c r="G536" s="67" t="inlineStr">
        <is>
          <t>Target creature gains trample and gets +X/+0 until end of turn, where X is 1 plus the number of cards named Ancestral Anger in your graveyard.
Draw a card.</t>
        </is>
      </c>
      <c r="H536" s="32" t="inlineStr">
        <is>
          <t>Combat Trick</t>
        </is>
      </c>
      <c r="I536" s="32" t="inlineStr">
        <is>
          <t>Target creature gains trample and gets +X/+0, where X is 1 plus the number of copies of this card in your graveyard</t>
        </is>
      </c>
      <c r="J536" s="32" t="inlineStr">
        <is>
          <t>Draw a card</t>
        </is>
      </c>
      <c r="K536" s="32" t="n"/>
      <c r="L536" s="32" t="inlineStr">
        <is>
          <t>106</t>
        </is>
      </c>
      <c r="M536" s="32" t="n">
        <v>1</v>
      </c>
      <c r="N536" s="32" t="n">
        <v>0</v>
      </c>
      <c r="O536" s="63" t="n"/>
      <c r="P536" s="63" t="n">
        <v>0.13</v>
      </c>
      <c r="Q536" s="32" t="inlineStr">
        <is>
          <t>Common</t>
        </is>
      </c>
      <c r="R536" s="32" t="n"/>
      <c r="S536" s="32" t="n"/>
      <c r="T536" s="63" t="n"/>
      <c r="U536" s="63" t="n"/>
      <c r="V536" s="32" t="inlineStr">
        <is>
          <t>Secrets of Strixhaven</t>
        </is>
      </c>
      <c r="W536" s="41" t="n">
        <v>1</v>
      </c>
      <c r="X536" s="37">
        <f>SUM(Y536:AE536)</f>
        <v/>
      </c>
      <c r="Y536" s="43" t="n"/>
      <c r="Z536" s="43" t="n"/>
      <c r="AA536" s="43" t="n"/>
      <c r="AB536" s="43" t="n"/>
      <c r="AC536" s="43" t="n"/>
      <c r="AD536" s="43" t="n"/>
      <c r="AE536" s="43" t="n"/>
      <c r="AF536" s="38">
        <f>IF((W536-SUM(Y536:AE536))&lt;0,0,W536-SUM(Y536:AE536))</f>
        <v/>
      </c>
      <c r="AG536" s="38">
        <f>MAX(0,$AT536-$W536-$AI536)</f>
        <v/>
      </c>
      <c r="AH536" s="32" t="n"/>
      <c r="AI536" s="32" t="n"/>
      <c r="AJ536" s="61" t="n">
        <v>0.13</v>
      </c>
      <c r="AK536" s="54">
        <f>IF(AND($AG536&gt;0,ISNUMBER($AJ536)),$AG536*$AJ536,0)</f>
        <v/>
      </c>
      <c r="AT536" s="37">
        <f>SUM(AU536:BA536)</f>
        <v/>
      </c>
      <c r="AU536" s="73" t="n"/>
      <c r="AV536" s="33" t="n"/>
      <c r="AW536" s="33" t="n"/>
      <c r="AX536" s="33" t="n"/>
      <c r="AY536" s="33" t="n"/>
      <c r="AZ536" s="33" t="n"/>
      <c r="BA536" s="74" t="n"/>
      <c r="BB536" s="32" t="n"/>
      <c r="BC536" s="32" t="n"/>
      <c r="BD536" s="32" t="n"/>
    </row>
    <row r="537" ht="15" customHeight="1" s="148">
      <c r="A537" t="inlineStr">
        <is>
          <t>c0533</t>
        </is>
      </c>
      <c r="B537" s="51" t="inlineStr">
        <is>
          <t>Anger</t>
        </is>
      </c>
      <c r="C537" s="38" t="inlineStr">
        <is>
          <t>R</t>
        </is>
      </c>
      <c r="D537" s="47" t="inlineStr">
        <is>
          <t>Creature</t>
        </is>
      </c>
      <c r="E537" s="41" t="inlineStr">
        <is>
          <t>B2</t>
        </is>
      </c>
      <c r="F537" s="38" t="n">
        <v>4</v>
      </c>
      <c r="G537" s="67" t="inlineStr">
        <is>
          <t>Haste
As long as this card is in your graveyard and you control a Mountain, creatures you control have haste.
(2/2)</t>
        </is>
      </c>
      <c r="H537" s="53" t="inlineStr">
        <is>
          <t>Haste Enabler</t>
        </is>
      </c>
      <c r="I537" s="53" t="inlineStr">
        <is>
          <t>While in your graveyard with a Mountain, your creatures can attack the turn they enter</t>
        </is>
      </c>
      <c r="J537" s="53" t="n"/>
      <c r="K537" s="53" t="n"/>
      <c r="L537" s="42" t="n"/>
      <c r="M537" s="42" t="n"/>
      <c r="N537" s="42" t="n"/>
      <c r="O537" s="42" t="n"/>
      <c r="P537" s="42" t="n">
        <v>0.6</v>
      </c>
      <c r="Q537" s="42" t="n"/>
      <c r="R537" s="42" t="n"/>
      <c r="S537" s="42" t="n"/>
      <c r="T537" s="42" t="n"/>
      <c r="U537" s="42" t="n"/>
      <c r="V537" s="53" t="inlineStr">
        <is>
          <t>Judgment</t>
        </is>
      </c>
      <c r="W537" s="41" t="n">
        <v>1</v>
      </c>
      <c r="X537" s="37">
        <f>SUM(Y537:AE537)</f>
        <v/>
      </c>
      <c r="Y537" s="43" t="n"/>
      <c r="Z537" s="43" t="n"/>
      <c r="AA537" s="43" t="n"/>
      <c r="AB537" s="43" t="n"/>
      <c r="AC537" s="43" t="n"/>
      <c r="AD537" s="43" t="n">
        <v>1</v>
      </c>
      <c r="AE537" s="43" t="n"/>
      <c r="AF537" s="38">
        <f>IF((W537-SUM(Y537:AE537))&lt;0,0,W537-SUM(Y537:AE537))</f>
        <v/>
      </c>
      <c r="AG537" s="38">
        <f>MAX(0,$AT537-$W537-$AI537)</f>
        <v/>
      </c>
      <c r="AH537" s="38" t="n"/>
      <c r="AI537" s="38" t="n"/>
      <c r="AJ537" s="54" t="n">
        <v>0.6</v>
      </c>
      <c r="AK537" s="54">
        <f>IF(AND($AG537&gt;0,ISNUMBER($AJ537)),$AG537*$AJ537,0)</f>
        <v/>
      </c>
      <c r="AT537" s="37">
        <f>SUM(AU537:BA537)</f>
        <v/>
      </c>
      <c r="AU537" s="73" t="n"/>
      <c r="AV537" s="33" t="n"/>
      <c r="AW537" s="33" t="n"/>
      <c r="AX537" s="33" t="n"/>
      <c r="AY537" s="33" t="n"/>
      <c r="AZ537" s="99" t="n"/>
      <c r="BA537" s="74" t="n"/>
      <c r="BB537" s="47" t="n"/>
      <c r="BC537" s="42" t="n"/>
      <c r="BD537" s="42" t="n"/>
    </row>
    <row r="538" ht="15" customHeight="1" s="148">
      <c r="A538" t="inlineStr">
        <is>
          <t>c0534</t>
        </is>
      </c>
      <c r="B538" s="56" t="inlineStr">
        <is>
          <t>Ashling, Rekindled</t>
        </is>
      </c>
      <c r="C538" s="41" t="inlineStr">
        <is>
          <t>R</t>
        </is>
      </c>
      <c r="D538" s="42" t="inlineStr">
        <is>
          <t>Legendary Creature</t>
        </is>
      </c>
      <c r="E538" s="41" t="inlineStr">
        <is>
          <t>B2</t>
        </is>
      </c>
      <c r="F538" s="41" t="n">
        <v>2</v>
      </c>
      <c r="G538" s="67" t="inlineStr">
        <is>
          <t>Ashling, Rekindled {1}{R} — Legendary Creature — Elemental Sorcerer (1/3)
Whenever this creature enters or transforms into Ashling, Rekindled, you may discard a card. If you do, draw a card.
At the beginning of your first main phase, you may pay {U}. If you do, transform Ashling.
//
Ashling, Rimebound — Legendary Creature — Elemental Wizard (1/3)
Whenever this creature transforms into Ashling, Rimebound and at the beginning of your first main phase, add two mana of any one color. Spend this mana only to cast spells with mana value 4 or greater.
At the beginning of your first main phase, you may pay {R}. If you do, transform Ashling.</t>
        </is>
      </c>
      <c r="H538" s="42" t="inlineStr">
        <is>
          <t>Discard/Looting</t>
        </is>
      </c>
      <c r="I538" s="42" t="inlineStr">
        <is>
          <t>When it enters or transforms into Ashling, Rekindled, you may discard a card to draw a card</t>
        </is>
      </c>
      <c r="J538" s="42" t="inlineStr">
        <is>
          <t>At the beginning of your first main phase you may pay {U} to transform it</t>
        </is>
      </c>
      <c r="K538" s="42" t="inlineStr">
        <is>
          <t>Back face Ashling, Rimebound: on transforming and each first main phase, add two mana of any one color for spells with mana value 4 or greater</t>
        </is>
      </c>
      <c r="L538" s="42" t="n"/>
      <c r="M538" s="42" t="n"/>
      <c r="N538" s="42" t="n"/>
      <c r="O538" s="63" t="n"/>
      <c r="P538" s="63" t="n"/>
      <c r="Q538" s="42" t="n"/>
      <c r="R538" s="42" t="n"/>
      <c r="S538" s="42" t="n"/>
      <c r="T538" s="63" t="n"/>
      <c r="U538" s="63" t="n"/>
      <c r="V538" s="42" t="inlineStr">
        <is>
          <t>Lorwyn Eclipsed</t>
        </is>
      </c>
      <c r="W538" s="41" t="n">
        <v>1</v>
      </c>
      <c r="X538" s="37">
        <f>SUM(Y538:AE538)</f>
        <v/>
      </c>
      <c r="Y538" s="43" t="n"/>
      <c r="Z538" s="43" t="n"/>
      <c r="AA538" s="43" t="n"/>
      <c r="AB538" s="43" t="n"/>
      <c r="AC538" s="43" t="n"/>
      <c r="AD538" s="43" t="n"/>
      <c r="AE538" s="43" t="n"/>
      <c r="AF538" s="38">
        <f>IF((W538-SUM(Y538:AE538))&lt;0,0,W538-SUM(Y538:AE538))</f>
        <v/>
      </c>
      <c r="AG538" s="38">
        <f>MAX(0,$AT538-$W538-$AI538)</f>
        <v/>
      </c>
      <c r="AH538" s="42" t="n"/>
      <c r="AI538" s="42" t="n"/>
      <c r="AJ538" s="42" t="n">
        <v>0.8</v>
      </c>
      <c r="AK538" s="42">
        <f>IF(AND($AG538&gt;0,ISNUMBER($AJ538)),$AG538*$AJ538,0)</f>
        <v/>
      </c>
      <c r="AT538" s="37">
        <f>SUM(AU538:BA538)</f>
        <v/>
      </c>
      <c r="AU538" s="73" t="n"/>
      <c r="AV538" s="33" t="n"/>
      <c r="AW538" s="33" t="n"/>
      <c r="AX538" s="33" t="n"/>
      <c r="AY538" s="33" t="n"/>
      <c r="AZ538" s="33" t="n"/>
      <c r="BA538" s="74" t="n"/>
      <c r="BB538" s="42" t="n"/>
      <c r="BC538" s="42" t="n"/>
      <c r="BD538" s="42" t="n"/>
    </row>
    <row r="539" ht="15" customHeight="1" s="148">
      <c r="A539" t="inlineStr">
        <is>
          <t>c0535</t>
        </is>
      </c>
      <c r="B539" s="51" t="inlineStr">
        <is>
          <t>Atsushi, the Blazing Sky</t>
        </is>
      </c>
      <c r="C539" s="38" t="inlineStr">
        <is>
          <t>R</t>
        </is>
      </c>
      <c r="D539" s="47" t="inlineStr">
        <is>
          <t>Legendary Creature</t>
        </is>
      </c>
      <c r="E539" s="41" t="inlineStr">
        <is>
          <t>B2</t>
        </is>
      </c>
      <c r="F539" s="38" t="n">
        <v>4</v>
      </c>
      <c r="G539" s="67" t="inlineStr">
        <is>
          <t>Flying, trample
When Atsushi dies, choose one —
• Exile the top two cards of your library. Until the end of your next turn, you may play those cards.
• Create three Treasure tokens.
(4/4)</t>
        </is>
      </c>
      <c r="H539" s="53" t="inlineStr">
        <is>
          <t>Value Engine</t>
        </is>
      </c>
      <c r="I539" s="53" t="inlineStr">
        <is>
          <t>Flying body that deals extra combat damage through blockers</t>
        </is>
      </c>
      <c r="J539" s="53" t="inlineStr">
        <is>
          <t>Dies: exile top two library cards to play until next turn's end</t>
        </is>
      </c>
      <c r="K539" s="53" t="inlineStr">
        <is>
          <t>Or dies: create three Treasure tokens</t>
        </is>
      </c>
      <c r="L539" s="41" t="n"/>
      <c r="M539" s="41" t="n"/>
      <c r="N539" s="41" t="n"/>
      <c r="O539" s="41" t="n"/>
      <c r="P539" s="41" t="n">
        <v>0.39</v>
      </c>
      <c r="Q539" s="41" t="n"/>
      <c r="R539" s="41" t="n"/>
      <c r="S539" s="41" t="n"/>
      <c r="T539" s="41" t="n"/>
      <c r="U539" s="41" t="n"/>
      <c r="V539" s="53" t="inlineStr">
        <is>
          <t>Kamigawa: Neon Dynasty</t>
        </is>
      </c>
      <c r="W539" s="41" t="n">
        <v>1</v>
      </c>
      <c r="X539" s="37">
        <f>SUM(Y539:AE539)</f>
        <v/>
      </c>
      <c r="Y539" s="43" t="n"/>
      <c r="Z539" s="43" t="n"/>
      <c r="AA539" s="43" t="n"/>
      <c r="AB539" s="43" t="n"/>
      <c r="AC539" s="43" t="n"/>
      <c r="AD539" s="43" t="n"/>
      <c r="AE539" s="43" t="n"/>
      <c r="AF539" s="38">
        <f>IF((W539-SUM(Y539:AE539))&lt;0,0,W539-SUM(Y539:AE539))</f>
        <v/>
      </c>
      <c r="AG539" s="38">
        <f>MAX(0,$AT539-$W539-$AI539)</f>
        <v/>
      </c>
      <c r="AH539" s="38" t="n"/>
      <c r="AI539" s="38" t="n"/>
      <c r="AJ539" s="54" t="n">
        <v>0.41</v>
      </c>
      <c r="AK539" s="54">
        <f>IF(AND($AG539&gt;0,ISNUMBER($AJ539)),$AG539*$AJ539,0)</f>
        <v/>
      </c>
      <c r="AT539" s="37">
        <f>SUM(AU539:BA539)</f>
        <v/>
      </c>
      <c r="AU539" s="73" t="n"/>
      <c r="AV539" s="33" t="n"/>
      <c r="AW539" s="33" t="n"/>
      <c r="AX539" s="33" t="n"/>
      <c r="AY539" s="33" t="n"/>
      <c r="AZ539" s="33" t="n"/>
      <c r="BA539" s="74" t="n"/>
      <c r="BB539" s="47" t="n"/>
      <c r="BC539" s="42" t="n"/>
      <c r="BD539" s="42" t="n"/>
    </row>
    <row r="540" ht="15" customHeight="1" s="148">
      <c r="A540" t="inlineStr">
        <is>
          <t>c0536</t>
        </is>
      </c>
      <c r="B540" s="51" t="inlineStr">
        <is>
          <t>Barrage of Expendables</t>
        </is>
      </c>
      <c r="C540" s="38" t="inlineStr">
        <is>
          <t>R</t>
        </is>
      </c>
      <c r="D540" s="47" t="inlineStr">
        <is>
          <t>Enchantment</t>
        </is>
      </c>
      <c r="E540" s="41" t="inlineStr">
        <is>
          <t>B2</t>
        </is>
      </c>
      <c r="F540" s="38" t="n">
        <v>1</v>
      </c>
      <c r="G540" s="67" t="inlineStr">
        <is>
          <t>{R}, Sacrifice a creature: This enchantment deals 1 damage to any target.</t>
        </is>
      </c>
      <c r="H540" s="53" t="inlineStr">
        <is>
          <t>Sacrifice Outlet</t>
        </is>
      </c>
      <c r="I540" s="53" t="inlineStr">
        <is>
          <t>{R}, sacrifice a creature: deals 1 damage to any target</t>
        </is>
      </c>
      <c r="J540" s="53" t="n"/>
      <c r="K540" s="53" t="n"/>
      <c r="L540" s="42" t="n"/>
      <c r="M540" s="42" t="n"/>
      <c r="N540" s="42" t="n"/>
      <c r="O540" s="42" t="n"/>
      <c r="P540" s="42" t="n">
        <v>0.32</v>
      </c>
      <c r="Q540" s="42" t="n"/>
      <c r="R540" s="42" t="n"/>
      <c r="S540" s="42" t="n"/>
      <c r="T540" s="42" t="n"/>
      <c r="U540" s="42" t="n"/>
      <c r="V540" s="53" t="inlineStr">
        <is>
          <t>Magic 2014</t>
        </is>
      </c>
      <c r="W540" s="41" t="n">
        <v>1</v>
      </c>
      <c r="X540" s="37">
        <f>SUM(Y540:AE540)</f>
        <v/>
      </c>
      <c r="Y540" s="43" t="n"/>
      <c r="Z540" s="43" t="n"/>
      <c r="AA540" s="43" t="n"/>
      <c r="AB540" s="43" t="n"/>
      <c r="AC540" s="43" t="n"/>
      <c r="AD540" s="43" t="n">
        <v>1</v>
      </c>
      <c r="AE540" s="43" t="n"/>
      <c r="AF540" s="38">
        <f>IF((W540-SUM(Y540:AE540))&lt;0,0,W540-SUM(Y540:AE540))</f>
        <v/>
      </c>
      <c r="AG540" s="38">
        <f>MAX(0,$AT540-$W540-$AI540)</f>
        <v/>
      </c>
      <c r="AH540" s="38" t="n"/>
      <c r="AI540" s="38" t="n"/>
      <c r="AJ540" s="54" t="n">
        <v>0.31</v>
      </c>
      <c r="AK540" s="54">
        <f>IF(AND($AG540&gt;0,ISNUMBER($AJ540)),$AG540*$AJ540,0)</f>
        <v/>
      </c>
      <c r="AT540" s="37">
        <f>SUM(AU540:BA540)</f>
        <v/>
      </c>
      <c r="AU540" s="73" t="n"/>
      <c r="AV540" s="33" t="n"/>
      <c r="AW540" s="33" t="n"/>
      <c r="AX540" s="33" t="n"/>
      <c r="AY540" s="33" t="n"/>
      <c r="AZ540" s="99" t="n"/>
      <c r="BA540" s="74" t="n"/>
      <c r="BB540" s="47" t="n"/>
      <c r="BC540" s="42" t="n"/>
      <c r="BD540" s="42" t="n"/>
    </row>
    <row r="541" ht="15" customHeight="1" s="148">
      <c r="A541" t="inlineStr">
        <is>
          <t>c0537</t>
        </is>
      </c>
      <c r="B541" s="51" t="inlineStr">
        <is>
          <t>Battle Hymn</t>
        </is>
      </c>
      <c r="C541" s="38" t="inlineStr">
        <is>
          <t>R</t>
        </is>
      </c>
      <c r="D541" s="47" t="inlineStr">
        <is>
          <t>Instant</t>
        </is>
      </c>
      <c r="E541" s="41" t="inlineStr">
        <is>
          <t>B2</t>
        </is>
      </c>
      <c r="F541" s="38" t="n">
        <v>2</v>
      </c>
      <c r="G541" s="67" t="inlineStr">
        <is>
          <t>Add {R} for each creature you control.</t>
        </is>
      </c>
      <c r="H541" s="53" t="inlineStr">
        <is>
          <t>Ramp</t>
        </is>
      </c>
      <c r="I541" s="53" t="inlineStr">
        <is>
          <t>Add {R} for each creature you control</t>
        </is>
      </c>
      <c r="J541" s="53" t="n"/>
      <c r="K541" s="53" t="n"/>
      <c r="L541" s="42" t="n"/>
      <c r="M541" s="42" t="n"/>
      <c r="N541" s="42" t="n"/>
      <c r="O541" s="42" t="n"/>
      <c r="P541" s="42" t="n">
        <v>2.34</v>
      </c>
      <c r="Q541" s="42" t="n"/>
      <c r="R541" s="42" t="n"/>
      <c r="S541" s="42" t="n"/>
      <c r="T541" s="42" t="n"/>
      <c r="U541" s="42" t="n"/>
      <c r="V541" s="53" t="inlineStr">
        <is>
          <t>Avacyn Restored</t>
        </is>
      </c>
      <c r="W541" s="41" t="n">
        <v>0</v>
      </c>
      <c r="X541" s="37">
        <f>SUM(Y541:AE541)</f>
        <v/>
      </c>
      <c r="Y541" s="43" t="n"/>
      <c r="Z541" s="43" t="n"/>
      <c r="AA541" s="43" t="n"/>
      <c r="AB541" s="43" t="n"/>
      <c r="AC541" s="43" t="n"/>
      <c r="AD541" s="43" t="n"/>
      <c r="AE541" s="43" t="n"/>
      <c r="AF541" s="38">
        <f>IF((W541-SUM(Y541:AE541))&lt;0,0,W541-SUM(Y541:AE541))</f>
        <v/>
      </c>
      <c r="AG541" s="38">
        <f>MAX(0,$AT541-$W541-$AI541)</f>
        <v/>
      </c>
      <c r="AH541" s="38" t="n"/>
      <c r="AI541" s="38" t="n"/>
      <c r="AJ541" s="54" t="n">
        <v>1.55</v>
      </c>
      <c r="AK541" s="54">
        <f>IF(AND($AG541&gt;0,ISNUMBER($AJ541)),$AG541*$AJ541,0)</f>
        <v/>
      </c>
      <c r="AL541" s="54" t="n"/>
      <c r="AM541" s="54" t="n"/>
      <c r="AN541" s="54" t="n"/>
      <c r="AO541" s="54" t="n"/>
      <c r="AP541" s="54" t="n"/>
      <c r="AQ541" s="54" t="n"/>
      <c r="AR541" s="54" t="n"/>
      <c r="AS541" s="54" t="n"/>
      <c r="AT541" s="37">
        <f>SUM(AU541:BA541)</f>
        <v/>
      </c>
      <c r="AU541" s="92" t="n"/>
      <c r="AV541" s="38" t="n"/>
      <c r="AW541" s="38" t="n"/>
      <c r="AX541" s="38" t="n"/>
      <c r="AY541" s="38" t="n"/>
      <c r="AZ541" s="38" t="n"/>
      <c r="BA541" s="94" t="n"/>
      <c r="BB541" s="47" t="n"/>
      <c r="BC541" s="42" t="n"/>
      <c r="BD541" s="48" t="n"/>
    </row>
    <row r="542" ht="15" customHeight="1" s="148">
      <c r="A542" t="inlineStr">
        <is>
          <t>c0538</t>
        </is>
      </c>
      <c r="B542" s="51" t="inlineStr">
        <is>
          <t>Beetleback Chief</t>
        </is>
      </c>
      <c r="C542" s="38" t="inlineStr">
        <is>
          <t>R</t>
        </is>
      </c>
      <c r="D542" s="47" t="inlineStr">
        <is>
          <t>Creature</t>
        </is>
      </c>
      <c r="E542" s="41" t="inlineStr">
        <is>
          <t>B2</t>
        </is>
      </c>
      <c r="F542" s="38" t="n">
        <v>4</v>
      </c>
      <c r="G542" s="67" t="inlineStr">
        <is>
          <t>When this creature enters, create two 1/1 red Goblin creature tokens.
(2/2)</t>
        </is>
      </c>
      <c r="H542" s="53" t="inlineStr">
        <is>
          <t>Token Producer</t>
        </is>
      </c>
      <c r="I542" s="53" t="inlineStr">
        <is>
          <t>Creates two 1/1 Goblin tokens when it enters</t>
        </is>
      </c>
      <c r="J542" s="53" t="n"/>
      <c r="K542" s="53" t="n"/>
      <c r="L542" s="42" t="n"/>
      <c r="M542" s="42" t="n"/>
      <c r="N542" s="42" t="n"/>
      <c r="O542" s="42" t="n"/>
      <c r="P542" s="42" t="n">
        <v>0.31</v>
      </c>
      <c r="Q542" s="42" t="n"/>
      <c r="R542" s="42" t="n"/>
      <c r="S542" s="42" t="n"/>
      <c r="T542" s="42" t="n"/>
      <c r="U542" s="42" t="n"/>
      <c r="V542" s="53" t="inlineStr">
        <is>
          <t>Planechase 2012</t>
        </is>
      </c>
      <c r="W542" s="41" t="n">
        <v>1</v>
      </c>
      <c r="X542" s="37">
        <f>SUM(Y542:AE542)</f>
        <v/>
      </c>
      <c r="Y542" s="43" t="n"/>
      <c r="Z542" s="43" t="n"/>
      <c r="AA542" s="43" t="n"/>
      <c r="AB542" s="43" t="n"/>
      <c r="AC542" s="43" t="n"/>
      <c r="AD542" s="43" t="n">
        <v>1</v>
      </c>
      <c r="AE542" s="43" t="n"/>
      <c r="AF542" s="38">
        <f>IF((W542-SUM(Y542:AE542))&lt;0,0,W542-SUM(Y542:AE542))</f>
        <v/>
      </c>
      <c r="AG542" s="38">
        <f>MAX(0,$AT542-$W542-$AI542)</f>
        <v/>
      </c>
      <c r="AH542" s="38" t="n"/>
      <c r="AI542" s="38" t="n"/>
      <c r="AJ542" s="54" t="n">
        <v>0.31</v>
      </c>
      <c r="AK542" s="54">
        <f>IF(AND($AG542&gt;0,ISNUMBER($AJ542)),$AG542*$AJ542,0)</f>
        <v/>
      </c>
      <c r="AQ542" s="58" t="n"/>
      <c r="AT542" s="37">
        <f>SUM(AU542:BA542)</f>
        <v/>
      </c>
      <c r="AU542" s="73" t="n"/>
      <c r="AV542" s="33" t="n"/>
      <c r="AW542" s="33" t="n"/>
      <c r="AX542" s="33" t="n"/>
      <c r="AY542" s="33" t="n"/>
      <c r="AZ542" s="98" t="n">
        <v>1</v>
      </c>
      <c r="BA542" s="74" t="n"/>
      <c r="BB542" s="47" t="n"/>
      <c r="BC542" s="42" t="n"/>
      <c r="BD542" s="42" t="n"/>
    </row>
    <row r="543" ht="15" customHeight="1" s="148">
      <c r="A543" t="inlineStr">
        <is>
          <t>c0539</t>
        </is>
      </c>
      <c r="B543" s="51" t="inlineStr">
        <is>
          <t>Big Score</t>
        </is>
      </c>
      <c r="C543" s="38" t="inlineStr">
        <is>
          <t>R</t>
        </is>
      </c>
      <c r="D543" s="47" t="inlineStr">
        <is>
          <t>Instant</t>
        </is>
      </c>
      <c r="E543" s="41" t="inlineStr">
        <is>
          <t>B2</t>
        </is>
      </c>
      <c r="F543" s="38" t="n">
        <v>4</v>
      </c>
      <c r="G543" s="67" t="inlineStr">
        <is>
          <t>As an additional cost to cast this spell, discard a card.
Draw two cards and create two Treasure tokens. (They're artifacts with "{T}, Sacrifice this token: Add one mana of any color.")</t>
        </is>
      </c>
      <c r="H543" s="53" t="inlineStr">
        <is>
          <t>Card Draw</t>
        </is>
      </c>
      <c r="I543" s="53" t="inlineStr">
        <is>
          <t>Discard a card to draw two cards and create two Treasure tokens</t>
        </is>
      </c>
      <c r="J543" s="53" t="n"/>
      <c r="K543" s="53" t="n"/>
      <c r="L543" s="42" t="n"/>
      <c r="M543" s="42" t="n"/>
      <c r="N543" s="42" t="n"/>
      <c r="O543" s="42" t="n"/>
      <c r="P543" s="42" t="n">
        <v>0.43</v>
      </c>
      <c r="Q543" s="42" t="n"/>
      <c r="R543" s="42" t="n"/>
      <c r="S543" s="42" t="n"/>
      <c r="T543" s="42" t="n"/>
      <c r="U543" s="42" t="n"/>
      <c r="V543" s="53" t="inlineStr">
        <is>
          <t>Streets of New Capenna</t>
        </is>
      </c>
      <c r="W543" s="41" t="n">
        <v>1</v>
      </c>
      <c r="X543" s="37">
        <f>SUM(Y543:AE543)</f>
        <v/>
      </c>
      <c r="Y543" s="43" t="n">
        <v>1</v>
      </c>
      <c r="Z543" s="43" t="n"/>
      <c r="AA543" s="43" t="n"/>
      <c r="AB543" s="43" t="n"/>
      <c r="AC543" s="43" t="n"/>
      <c r="AD543" s="43" t="n"/>
      <c r="AE543" s="43" t="n"/>
      <c r="AF543" s="38">
        <f>IF((W543-SUM(Y543:AE543))&lt;0,0,W543-SUM(Y543:AE543))</f>
        <v/>
      </c>
      <c r="AG543" s="38">
        <f>MAX(0,$AT543-$W543-$AI543)</f>
        <v/>
      </c>
      <c r="AH543" s="38" t="n"/>
      <c r="AI543" s="38" t="n"/>
      <c r="AJ543" s="54" t="n">
        <v>0.45</v>
      </c>
      <c r="AK543" s="54">
        <f>IF(AND($AG543&gt;0,ISNUMBER($AJ543)),$AG543*$AJ543,0)</f>
        <v/>
      </c>
      <c r="AL543" s="58" t="n"/>
      <c r="AT543" s="37">
        <f>SUM(AU543:BA543)</f>
        <v/>
      </c>
      <c r="AU543" s="83" t="n"/>
      <c r="AV543" s="33" t="n"/>
      <c r="AW543" s="33" t="n"/>
      <c r="AX543" s="33" t="n"/>
      <c r="AY543" s="33" t="n"/>
      <c r="AZ543" s="33" t="n"/>
      <c r="BA543" s="74" t="n"/>
      <c r="BB543" s="47" t="n"/>
      <c r="BC543" s="42" t="n"/>
      <c r="BD543" s="42" t="n"/>
    </row>
    <row r="544" ht="15" customHeight="1" s="148">
      <c r="A544" t="inlineStr">
        <is>
          <t>c0540</t>
        </is>
      </c>
      <c r="B544" s="51" t="inlineStr">
        <is>
          <t>Blasphemous Act</t>
        </is>
      </c>
      <c r="C544" s="38" t="inlineStr">
        <is>
          <t>R</t>
        </is>
      </c>
      <c r="D544" s="47" t="inlineStr">
        <is>
          <t>Sorcery</t>
        </is>
      </c>
      <c r="E544" s="41" t="inlineStr">
        <is>
          <t>B3</t>
        </is>
      </c>
      <c r="F544" s="38" t="n">
        <v>9</v>
      </c>
      <c r="G544" s="67" t="inlineStr">
        <is>
          <t>This spell costs {1} less to cast for each creature on the battlefield.
Blasphemous Act deals 13 damage to each creature.</t>
        </is>
      </c>
      <c r="H544" s="53" t="inlineStr">
        <is>
          <t>Board Wipe</t>
        </is>
      </c>
      <c r="I544" s="53" t="inlineStr">
        <is>
          <t>Deals 13 damage to each creature</t>
        </is>
      </c>
      <c r="J544" s="53" t="inlineStr">
        <is>
          <t>Costs {1} less for each creature on the battlefield</t>
        </is>
      </c>
      <c r="K544" s="53" t="n"/>
      <c r="L544" s="42" t="n"/>
      <c r="M544" s="42" t="n"/>
      <c r="N544" s="42" t="n"/>
      <c r="O544" s="63" t="n"/>
      <c r="P544" s="63" t="n">
        <v>0.93</v>
      </c>
      <c r="Q544" s="42" t="n"/>
      <c r="R544" s="42" t="n"/>
      <c r="S544" s="42" t="n"/>
      <c r="T544" s="63" t="n"/>
      <c r="U544" s="63" t="n"/>
      <c r="V544" s="53" t="inlineStr">
        <is>
          <t>Innistrad</t>
        </is>
      </c>
      <c r="W544" s="41" t="n">
        <v>1</v>
      </c>
      <c r="X544" s="37">
        <f>SUM(Y544:AE544)</f>
        <v/>
      </c>
      <c r="Y544" s="43" t="n"/>
      <c r="Z544" s="43" t="n"/>
      <c r="AA544" s="43" t="n"/>
      <c r="AB544" s="43" t="n"/>
      <c r="AC544" s="43" t="n"/>
      <c r="AD544" s="43" t="n"/>
      <c r="AE544" s="43" t="n"/>
      <c r="AF544" s="38">
        <f>IF((W544-SUM(Y544:AE544))&lt;0,0,W544-SUM(Y544:AE544))</f>
        <v/>
      </c>
      <c r="AG544" s="38">
        <f>MAX(0,$AT544-$W544-$AI544)</f>
        <v/>
      </c>
      <c r="AH544" s="38" t="n"/>
      <c r="AI544" s="38" t="n"/>
      <c r="AJ544" s="54" t="n">
        <v>0.98</v>
      </c>
      <c r="AK544" s="54">
        <f>IF(AND($AG544&gt;0,ISNUMBER($AJ544)),$AG544*$AJ544,0)</f>
        <v/>
      </c>
      <c r="AT544" s="37">
        <f>SUM(AU544:BA544)</f>
        <v/>
      </c>
      <c r="AU544" s="73" t="n"/>
      <c r="AV544" s="33" t="n"/>
      <c r="AW544" s="33" t="n"/>
      <c r="AX544" s="33" t="n"/>
      <c r="AY544" s="33" t="n"/>
      <c r="AZ544" s="33" t="n"/>
      <c r="BA544" s="74" t="n"/>
      <c r="BB544" s="47" t="n"/>
      <c r="BC544" s="42" t="n"/>
      <c r="BD544" s="42" t="n"/>
    </row>
    <row r="545" ht="15" customHeight="1" s="148">
      <c r="A545" t="inlineStr">
        <is>
          <t>c0541</t>
        </is>
      </c>
      <c r="B545" s="59" t="inlineStr">
        <is>
          <t>Blazing Firesinger</t>
        </is>
      </c>
      <c r="C545" s="33" t="inlineStr">
        <is>
          <t>R</t>
        </is>
      </c>
      <c r="D545" s="32" t="inlineStr">
        <is>
          <t>Creature</t>
        </is>
      </c>
      <c r="E545" s="33" t="inlineStr">
        <is>
          <t>B2</t>
        </is>
      </c>
      <c r="F545" s="33" t="n">
        <v>3</v>
      </c>
      <c r="G545" s="67" t="inlineStr">
        <is>
          <t>Blazing Firesinger {2}{R} — Creature — Dwarf Bard (2/3)
This creature enters prepared. (While it's prepared, you may cast a copy of its spell. Doing so unprepares it.)
//
Seething Song {2}{R} — Instant
Add {R}{R}{R}{R}{R}.</t>
        </is>
      </c>
      <c r="H545" s="32" t="inlineStr">
        <is>
          <t>Ramp</t>
        </is>
      </c>
      <c r="I545" s="32" t="inlineStr">
        <is>
          <t>Enters prepared — you may cast a copy of Seething Song to add {R}{R}{R}{R}{R}</t>
        </is>
      </c>
      <c r="J545" s="32" t="inlineStr">
        <is>
          <t>2/3 body</t>
        </is>
      </c>
      <c r="K545" s="32" t="n"/>
      <c r="L545" s="32" t="inlineStr">
        <is>
          <t>109</t>
        </is>
      </c>
      <c r="M545" s="32" t="n">
        <v>1</v>
      </c>
      <c r="N545" s="32" t="n">
        <v>0</v>
      </c>
      <c r="O545" s="63" t="n"/>
      <c r="P545" s="63" t="n">
        <v>0.35</v>
      </c>
      <c r="Q545" s="32" t="inlineStr">
        <is>
          <t>Uncommon</t>
        </is>
      </c>
      <c r="R545" s="32" t="n"/>
      <c r="S545" s="32" t="n"/>
      <c r="T545" s="63" t="n"/>
      <c r="U545" s="63" t="n"/>
      <c r="V545" s="32" t="inlineStr">
        <is>
          <t>Secrets of Strixhaven</t>
        </is>
      </c>
      <c r="W545" s="41" t="n">
        <v>1</v>
      </c>
      <c r="X545" s="37">
        <f>SUM(Y545:AE545)</f>
        <v/>
      </c>
      <c r="Y545" s="43" t="n"/>
      <c r="Z545" s="43" t="n"/>
      <c r="AA545" s="43" t="n"/>
      <c r="AB545" s="43" t="n"/>
      <c r="AC545" s="43" t="n"/>
      <c r="AD545" s="43" t="n"/>
      <c r="AE545" s="43" t="n"/>
      <c r="AF545" s="38">
        <f>IF((W545-SUM(Y545:AE545))&lt;0,0,W545-SUM(Y545:AE545))</f>
        <v/>
      </c>
      <c r="AG545" s="38">
        <f>MAX(0,$AT545-$W545-$AI545)</f>
        <v/>
      </c>
      <c r="AH545" s="32" t="n"/>
      <c r="AI545" s="32" t="n"/>
      <c r="AJ545" s="61" t="n">
        <v>0.35</v>
      </c>
      <c r="AK545" s="54">
        <f>IF(AND($AG545&gt;0,ISNUMBER($AJ545)),$AG545*$AJ545,0)</f>
        <v/>
      </c>
      <c r="AT545" s="37">
        <f>SUM(AU545:BA545)</f>
        <v/>
      </c>
      <c r="AU545" s="73" t="n"/>
      <c r="AV545" s="33" t="n"/>
      <c r="AW545" s="33" t="n"/>
      <c r="AX545" s="33" t="n"/>
      <c r="AY545" s="33" t="n"/>
      <c r="AZ545" s="33" t="n"/>
      <c r="BA545" s="74" t="n"/>
      <c r="BB545" s="32" t="n"/>
      <c r="BC545" s="32" t="n"/>
      <c r="BD545" s="32" t="n"/>
    </row>
    <row r="546" ht="15" customHeight="1" s="148">
      <c r="A546" t="inlineStr">
        <is>
          <t>c0542</t>
        </is>
      </c>
      <c r="B546" s="51" t="inlineStr">
        <is>
          <t>Bloodthirsty Adversary</t>
        </is>
      </c>
      <c r="C546" s="38" t="inlineStr">
        <is>
          <t>R</t>
        </is>
      </c>
      <c r="D546" s="47" t="inlineStr">
        <is>
          <t>Creature</t>
        </is>
      </c>
      <c r="E546" s="41" t="inlineStr">
        <is>
          <t>B2</t>
        </is>
      </c>
      <c r="F546" s="38" t="n">
        <v>2</v>
      </c>
      <c r="G546" s="67" t="inlineStr">
        <is>
          <t>Haste
When this creature enters, you may pay {2}{R} any number of times. When you pay this cost one or more times, put that many +1/+1 counters on this creature, then exile up to that many target instant and/or sorcery cards with mana value 3 or less from your graveyard and copy them. You may cast any number of the copies without paying their mana costs.
(2/2)</t>
        </is>
      </c>
      <c r="H546" s="53" t="inlineStr">
        <is>
          <t>Utility Creature</t>
        </is>
      </c>
      <c r="I546" s="53" t="inlineStr">
        <is>
          <t>Haste</t>
        </is>
      </c>
      <c r="J546" s="53" t="inlineStr">
        <is>
          <t>When this creature enters, you may pay {2}{R} any number of times. When you pay this cost one or more times, put that ma</t>
        </is>
      </c>
      <c r="K546" s="53" t="n"/>
      <c r="L546" s="42" t="n"/>
      <c r="M546" s="42" t="n"/>
      <c r="N546" s="42" t="n"/>
      <c r="O546" s="63" t="n"/>
      <c r="P546" s="63" t="n">
        <v>0.32</v>
      </c>
      <c r="Q546" s="42" t="n"/>
      <c r="R546" s="42" t="n"/>
      <c r="S546" s="42" t="n"/>
      <c r="T546" s="63" t="n"/>
      <c r="U546" s="63" t="n"/>
      <c r="V546" s="53" t="inlineStr">
        <is>
          <t>Innistrad: Midnight Hunt</t>
        </is>
      </c>
      <c r="W546" s="41" t="n">
        <v>1</v>
      </c>
      <c r="X546" s="37">
        <f>SUM(Y546:AE546)</f>
        <v/>
      </c>
      <c r="Y546" s="43" t="n"/>
      <c r="Z546" s="43" t="n"/>
      <c r="AA546" s="43" t="n"/>
      <c r="AB546" s="43" t="n"/>
      <c r="AC546" s="43" t="n"/>
      <c r="AD546" s="43" t="n"/>
      <c r="AE546" s="43" t="n"/>
      <c r="AF546" s="38">
        <f>IF((W546-SUM(Y546:AE546))&lt;0,0,W546-SUM(Y546:AE546))</f>
        <v/>
      </c>
      <c r="AG546" s="38">
        <f>MAX(0,$AT546-$W546-$AI546)</f>
        <v/>
      </c>
      <c r="AH546" s="38" t="n"/>
      <c r="AI546" s="38" t="n"/>
      <c r="AJ546" s="54" t="n">
        <v>0.35</v>
      </c>
      <c r="AK546" s="54">
        <f>IF(AND($AG546&gt;0,ISNUMBER($AJ546)),$AG546*$AJ546,0)</f>
        <v/>
      </c>
      <c r="AT546" s="37">
        <f>SUM(AU546:BA546)</f>
        <v/>
      </c>
      <c r="AU546" s="73" t="n"/>
      <c r="AV546" s="33" t="n"/>
      <c r="AW546" s="33" t="n"/>
      <c r="AX546" s="33" t="n"/>
      <c r="AY546" s="33" t="n"/>
      <c r="AZ546" s="33" t="n"/>
      <c r="BA546" s="74" t="n"/>
      <c r="BB546" s="47" t="n"/>
      <c r="BC546" s="42" t="n"/>
      <c r="BD546" s="42" t="n"/>
    </row>
    <row r="547" ht="15" customHeight="1" s="148">
      <c r="A547" t="inlineStr">
        <is>
          <t>c0543</t>
        </is>
      </c>
      <c r="B547" s="51" t="inlineStr">
        <is>
          <t>Boar-q-pine</t>
        </is>
      </c>
      <c r="C547" s="38" t="inlineStr">
        <is>
          <t>R</t>
        </is>
      </c>
      <c r="D547" s="47" t="inlineStr">
        <is>
          <t>Creature</t>
        </is>
      </c>
      <c r="E547" s="41" t="inlineStr">
        <is>
          <t>B2</t>
        </is>
      </c>
      <c r="F547" s="38" t="n">
        <v>3</v>
      </c>
      <c r="G547" s="67" t="inlineStr">
        <is>
          <t>Whenever you cast a noncreature spell, put a +1/+1 counter on this creature.
(2/2)</t>
        </is>
      </c>
      <c r="H547" s="53" t="inlineStr">
        <is>
          <t>Utility Creature</t>
        </is>
      </c>
      <c r="I547" s="53" t="inlineStr">
        <is>
          <t>Gets a +1/+1 counter whenever you cast a noncreature spell</t>
        </is>
      </c>
      <c r="J547" s="53" t="n"/>
      <c r="K547" s="53" t="n"/>
      <c r="L547" s="42" t="n"/>
      <c r="M547" s="42" t="n"/>
      <c r="N547" s="42" t="n"/>
      <c r="O547" s="63" t="n"/>
      <c r="P547" s="63" t="n">
        <v>0.15</v>
      </c>
      <c r="Q547" s="42" t="n"/>
      <c r="R547" s="42" t="n"/>
      <c r="S547" s="42" t="n"/>
      <c r="T547" s="63" t="n"/>
      <c r="U547" s="63" t="n"/>
      <c r="V547" s="53" t="inlineStr">
        <is>
          <t>Avatar: The Last Airbender</t>
        </is>
      </c>
      <c r="W547" s="41" t="n">
        <v>1</v>
      </c>
      <c r="X547" s="37">
        <f>SUM(Y547:AE547)</f>
        <v/>
      </c>
      <c r="Y547" s="43" t="n"/>
      <c r="Z547" s="43" t="n"/>
      <c r="AA547" s="43" t="n"/>
      <c r="AB547" s="43" t="n"/>
      <c r="AC547" s="43" t="n"/>
      <c r="AD547" s="43" t="n"/>
      <c r="AE547" s="43" t="n"/>
      <c r="AF547" s="38">
        <f>IF((W547-SUM(Y547:AE547))&lt;0,0,W547-SUM(Y547:AE547))</f>
        <v/>
      </c>
      <c r="AG547" s="38">
        <f>MAX(0,$AT547-$W547-$AI547)</f>
        <v/>
      </c>
      <c r="AH547" s="38" t="n"/>
      <c r="AI547" s="38" t="n"/>
      <c r="AJ547" s="54" t="n">
        <v>0.12</v>
      </c>
      <c r="AK547" s="54">
        <f>IF(AND($AG547&gt;0,ISNUMBER($AJ547)),$AG547*$AJ547,0)</f>
        <v/>
      </c>
      <c r="AT547" s="37">
        <f>SUM(AU547:BA547)</f>
        <v/>
      </c>
      <c r="AU547" s="73" t="n"/>
      <c r="AV547" s="33" t="n"/>
      <c r="AW547" s="33" t="n"/>
      <c r="AX547" s="33" t="n"/>
      <c r="AY547" s="33" t="n"/>
      <c r="AZ547" s="33" t="n"/>
      <c r="BA547" s="74" t="n"/>
      <c r="BB547" s="47" t="n"/>
      <c r="BC547" s="42" t="n"/>
      <c r="BD547" s="42" t="n"/>
    </row>
    <row r="548" ht="15" customHeight="1" s="148">
      <c r="A548" t="inlineStr">
        <is>
          <t>c0544</t>
        </is>
      </c>
      <c r="B548" s="59" t="inlineStr">
        <is>
          <t>Boldwyr Aggressor</t>
        </is>
      </c>
      <c r="C548" s="33" t="inlineStr">
        <is>
          <t>R</t>
        </is>
      </c>
      <c r="D548" s="32" t="inlineStr">
        <is>
          <t>Creature</t>
        </is>
      </c>
      <c r="E548" s="33" t="inlineStr">
        <is>
          <t>B2</t>
        </is>
      </c>
      <c r="F548" s="33" t="n">
        <v>5</v>
      </c>
      <c r="G548" s="67" t="inlineStr">
        <is>
          <t>Double strike
Other Giants you control have double strike.
(2/5)</t>
        </is>
      </c>
      <c r="H548" s="32" t="inlineStr">
        <is>
          <t>Lord/Anthem</t>
        </is>
      </c>
      <c r="I548" s="32" t="inlineStr">
        <is>
          <t>Other Giants you control have double strike</t>
        </is>
      </c>
      <c r="J548" s="32" t="inlineStr">
        <is>
          <t>Double strike on a 2/5 body</t>
        </is>
      </c>
      <c r="K548" s="32" t="n"/>
      <c r="L548" s="32" t="inlineStr">
        <is>
          <t>125</t>
        </is>
      </c>
      <c r="M548" s="32" t="n">
        <v>1</v>
      </c>
      <c r="N548" s="32" t="n">
        <v>0</v>
      </c>
      <c r="O548" s="63" t="n"/>
      <c r="P548" s="63" t="n">
        <v>0.26</v>
      </c>
      <c r="Q548" s="32" t="inlineStr">
        <is>
          <t>Uncommon</t>
        </is>
      </c>
      <c r="R548" s="32" t="n"/>
      <c r="S548" s="32" t="n"/>
      <c r="T548" s="63" t="n"/>
      <c r="U548" s="63" t="n"/>
      <c r="V548" s="32" t="inlineStr">
        <is>
          <t>Lorwyn Eclipsed</t>
        </is>
      </c>
      <c r="W548" s="41" t="n">
        <v>1</v>
      </c>
      <c r="X548" s="37">
        <f>SUM(Y548:AE548)</f>
        <v/>
      </c>
      <c r="Y548" s="43" t="n"/>
      <c r="Z548" s="43" t="n"/>
      <c r="AA548" s="43" t="n"/>
      <c r="AB548" s="43" t="n"/>
      <c r="AC548" s="43" t="n"/>
      <c r="AD548" s="43" t="n"/>
      <c r="AE548" s="43" t="n"/>
      <c r="AF548" s="38">
        <f>IF((W548-SUM(Y548:AE548))&lt;0,0,W548-SUM(Y548:AE548))</f>
        <v/>
      </c>
      <c r="AG548" s="38">
        <f>MAX(0,$AT548-$W548-$AI548)</f>
        <v/>
      </c>
      <c r="AH548" s="32" t="n"/>
      <c r="AI548" s="32" t="n"/>
      <c r="AJ548" s="61" t="n">
        <v>0.26</v>
      </c>
      <c r="AK548" s="54">
        <f>IF(AND($AG548&gt;0,ISNUMBER($AJ548)),$AG548*$AJ548,0)</f>
        <v/>
      </c>
      <c r="AT548" s="37">
        <f>SUM(AU548:BA548)</f>
        <v/>
      </c>
      <c r="AU548" s="73" t="n"/>
      <c r="AV548" s="33" t="n"/>
      <c r="AW548" s="33" t="n"/>
      <c r="AX548" s="33" t="n"/>
      <c r="AY548" s="33" t="n"/>
      <c r="AZ548" s="33" t="n"/>
      <c r="BA548" s="74" t="n"/>
      <c r="BB548" s="32" t="n"/>
      <c r="BC548" s="32" t="n"/>
      <c r="BD548" s="32" t="n"/>
    </row>
    <row r="549" ht="15" customHeight="1" s="148">
      <c r="A549" t="inlineStr">
        <is>
          <t>c0545</t>
        </is>
      </c>
      <c r="B549" s="51" t="inlineStr">
        <is>
          <t>Bolt Bend</t>
        </is>
      </c>
      <c r="C549" s="38" t="inlineStr">
        <is>
          <t>R</t>
        </is>
      </c>
      <c r="D549" s="47" t="inlineStr">
        <is>
          <t>Instant</t>
        </is>
      </c>
      <c r="E549" s="41" t="inlineStr">
        <is>
          <t>B3</t>
        </is>
      </c>
      <c r="F549" s="38" t="n">
        <v>4</v>
      </c>
      <c r="G549" s="67" t="inlineStr">
        <is>
          <t>This spell costs {3} less to cast if you control a creature with power 4 or greater.
Change the target of target spell or ability with a single target.</t>
        </is>
      </c>
      <c r="H549" s="53" t="inlineStr">
        <is>
          <t>Interaction</t>
        </is>
      </c>
      <c r="I549" s="53" t="inlineStr">
        <is>
          <t>This spell costs {3} less to cast if you control a creature with power 4 or greater.
Change the target of target spell or ability with a single target.</t>
        </is>
      </c>
      <c r="J549" s="53" t="n"/>
      <c r="K549" s="53" t="n"/>
      <c r="L549" s="41" t="n"/>
      <c r="M549" s="41" t="n"/>
      <c r="N549" s="41" t="n"/>
      <c r="O549" s="41" t="n"/>
      <c r="P549" s="41" t="n"/>
      <c r="Q549" s="41" t="n"/>
      <c r="R549" s="41" t="n"/>
      <c r="S549" s="41" t="n"/>
      <c r="T549" s="41" t="n"/>
      <c r="U549" s="41" t="n"/>
      <c r="V549" s="53" t="inlineStr">
        <is>
          <t>War of the Spark</t>
        </is>
      </c>
      <c r="W549" s="41" t="n">
        <v>0</v>
      </c>
      <c r="X549" s="37">
        <f>SUM(Y549:AE549)</f>
        <v/>
      </c>
      <c r="Y549" s="43" t="n"/>
      <c r="Z549" s="43" t="n"/>
      <c r="AA549" s="43" t="n"/>
      <c r="AB549" s="43" t="n"/>
      <c r="AC549" s="43" t="n"/>
      <c r="AD549" s="43" t="n"/>
      <c r="AE549" s="43" t="n"/>
      <c r="AF549" s="38">
        <f>IF((W549-SUM(Y549:AE549))&lt;0,0,W549-SUM(Y549:AE549))</f>
        <v/>
      </c>
      <c r="AG549" s="38">
        <f>MAX(0,$AT549-$W549-$AI549)</f>
        <v/>
      </c>
      <c r="AH549" s="38" t="n"/>
      <c r="AI549" s="38" t="n"/>
      <c r="AJ549" s="54" t="n">
        <v>3.24</v>
      </c>
      <c r="AK549" s="54">
        <f>IF(AND($AG549&gt;0,ISNUMBER($AJ549)),$AG549*$AJ549,0)</f>
        <v/>
      </c>
      <c r="AL549" s="54" t="n"/>
      <c r="AM549" s="54" t="n"/>
      <c r="AN549" s="54" t="n"/>
      <c r="AO549" s="54" t="n"/>
      <c r="AP549" s="54" t="n"/>
      <c r="AQ549" s="54" t="n"/>
      <c r="AR549" s="54" t="n"/>
      <c r="AS549" s="54" t="n"/>
      <c r="AT549" s="37">
        <f>SUM(AU549:BA549)</f>
        <v/>
      </c>
      <c r="AU549" s="92" t="n"/>
      <c r="AV549" s="38" t="n"/>
      <c r="AW549" s="38" t="n"/>
      <c r="AX549" s="38" t="n"/>
      <c r="AY549" s="38" t="n"/>
      <c r="AZ549" s="38" t="n"/>
      <c r="BA549" s="94" t="n"/>
      <c r="BB549" s="47" t="n"/>
      <c r="BC549" s="42" t="n"/>
      <c r="BD549" s="42" t="n"/>
    </row>
    <row r="550" ht="15" customHeight="1" s="148">
      <c r="A550" t="inlineStr">
        <is>
          <t>c0546</t>
        </is>
      </c>
      <c r="B550" s="56" t="inlineStr">
        <is>
          <t>Bombur, Gentle Dreamer</t>
        </is>
      </c>
      <c r="C550" s="41" t="inlineStr">
        <is>
          <t>R</t>
        </is>
      </c>
      <c r="D550" s="42" t="inlineStr">
        <is>
          <t>Legendary Creature</t>
        </is>
      </c>
      <c r="E550" s="41" t="inlineStr">
        <is>
          <t>B2</t>
        </is>
      </c>
      <c r="F550" s="41" t="n">
        <v>3</v>
      </c>
      <c r="G550" s="67" t="inlineStr">
        <is>
          <t>Storied (If you control three or more artifacts, legendaries, and/or Sagas, you have an enduring story for the rest of the game.)
Bombur doesn't untap during your untap step unless you have an enduring story.
(5/3)</t>
        </is>
      </c>
      <c r="H550" s="42" t="inlineStr">
        <is>
          <t>Utility Creature</t>
        </is>
      </c>
      <c r="I550" s="42" t="inlineStr">
        <is>
          <t>A 5/3 that does not untap during your untap step unless you have an enduring story</t>
        </is>
      </c>
      <c r="J550" s="42" t="inlineStr">
        <is>
          <t>Storied - you have an enduring story for the rest of the game once you control three or more artifacts, legendaries, and/or Sagas</t>
        </is>
      </c>
      <c r="K550" s="42" t="n"/>
      <c r="L550" s="42" t="inlineStr">
        <is>
          <t>88</t>
        </is>
      </c>
      <c r="M550" s="42" t="n">
        <v>1</v>
      </c>
      <c r="N550" s="42" t="n">
        <v>0</v>
      </c>
      <c r="O550" s="63" t="inlineStr">
        <is>
          <t>Eric Deschamps</t>
        </is>
      </c>
      <c r="P550" s="63" t="n">
        <v>0.2</v>
      </c>
      <c r="Q550" s="42" t="inlineStr">
        <is>
          <t>Uncommon</t>
        </is>
      </c>
      <c r="R550" s="42" t="n"/>
      <c r="S550" s="42" t="n"/>
      <c r="T550" s="63" t="n"/>
      <c r="U550" s="63" t="n"/>
      <c r="V550" s="42" t="inlineStr">
        <is>
          <t>The Hobbit</t>
        </is>
      </c>
      <c r="W550" s="41" t="n">
        <v>2</v>
      </c>
      <c r="X550" s="37">
        <f>SUM(Y550:AE550)</f>
        <v/>
      </c>
      <c r="Y550" s="43" t="n"/>
      <c r="Z550" s="43" t="n"/>
      <c r="AA550" s="43" t="n"/>
      <c r="AB550" s="43" t="n"/>
      <c r="AC550" s="43" t="n"/>
      <c r="AD550" s="43" t="n"/>
      <c r="AE550" s="43" t="n"/>
      <c r="AF550" s="38">
        <f>IF((W550-SUM(Y550:AE550))&lt;0,0,W550-SUM(Y550:AE550))</f>
        <v/>
      </c>
      <c r="AG550" s="38">
        <f>MAX(0,$AT550-$W550-$AI550)</f>
        <v/>
      </c>
      <c r="AH550" s="42" t="n"/>
      <c r="AI550" s="42" t="n"/>
      <c r="AJ550" s="42" t="n">
        <v>0.2</v>
      </c>
      <c r="AK550" s="42">
        <f>IF(AND($AG550&gt;0,ISNUMBER($AJ550)),$AG550*$AJ550,0)</f>
        <v/>
      </c>
      <c r="AT550" s="37">
        <f>SUM(AU550:BA550)</f>
        <v/>
      </c>
      <c r="AU550" s="73" t="n"/>
      <c r="AV550" s="33" t="n"/>
      <c r="AW550" s="33" t="n"/>
      <c r="AX550" s="33" t="n"/>
      <c r="AY550" s="33" t="n"/>
      <c r="AZ550" s="33" t="n"/>
      <c r="BA550" s="74" t="n"/>
      <c r="BB550" s="42" t="n"/>
      <c r="BC550" s="42" t="n"/>
      <c r="BD550" s="42" t="n"/>
    </row>
    <row r="551" ht="15" customHeight="1" s="148">
      <c r="A551" t="inlineStr">
        <is>
          <t>c0547</t>
        </is>
      </c>
      <c r="B551" s="114" t="inlineStr">
        <is>
          <t>Boneclub Berserker</t>
        </is>
      </c>
      <c r="C551" s="105" t="inlineStr">
        <is>
          <t>R</t>
        </is>
      </c>
      <c r="D551" s="67" t="inlineStr">
        <is>
          <t>Creature</t>
        </is>
      </c>
      <c r="E551" s="67" t="inlineStr">
        <is>
          <t>B2</t>
        </is>
      </c>
      <c r="F551" s="105" t="n">
        <v>4</v>
      </c>
      <c r="G551" s="69" t="inlineStr">
        <is>
          <t>Boneclub Berserker {3}{R} — Creature — Goblin Berserker (2/4)
This creature gets +2/+0 for each other Goblin you control.</t>
        </is>
      </c>
      <c r="H551" s="69" t="inlineStr">
        <is>
          <t>Utility Creature</t>
        </is>
      </c>
      <c r="I551" s="69" t="inlineStr">
        <is>
          <t>This creature gets +2/+0 for each other Goblin you control</t>
        </is>
      </c>
      <c r="J551" s="69" t="n"/>
      <c r="K551" s="69" t="n"/>
      <c r="L551" s="69" t="inlineStr">
        <is>
          <t>126</t>
        </is>
      </c>
      <c r="M551" s="69" t="n">
        <v>1</v>
      </c>
      <c r="N551" s="69" t="n">
        <v>0</v>
      </c>
      <c r="O551" s="63" t="inlineStr">
        <is>
          <t>Slawomir Maniak</t>
        </is>
      </c>
      <c r="P551" s="85" t="n">
        <v>0.16</v>
      </c>
      <c r="Q551" s="69" t="inlineStr">
        <is>
          <t>Common</t>
        </is>
      </c>
      <c r="R551" s="69" t="n"/>
      <c r="S551" s="69" t="n"/>
      <c r="T551" s="63" t="n"/>
      <c r="U551" s="63" t="n"/>
      <c r="V551" s="67" t="inlineStr">
        <is>
          <t>Lorwyn Eclipsed</t>
        </is>
      </c>
      <c r="W551" s="105" t="n">
        <v>1</v>
      </c>
      <c r="X551" s="37">
        <f>SUM(Y551:AE551)</f>
        <v/>
      </c>
      <c r="Y551" s="43" t="n"/>
      <c r="Z551" s="43" t="n"/>
      <c r="AA551" s="43" t="n"/>
      <c r="AB551" s="43" t="n"/>
      <c r="AC551" s="43" t="n"/>
      <c r="AD551" s="43" t="n"/>
      <c r="AE551" s="43" t="n"/>
      <c r="AF551" s="38">
        <f>IF((W551-SUM(Y551:AE551))&lt;0,0,W551-SUM(Y551:AE551))</f>
        <v/>
      </c>
      <c r="AG551" s="38">
        <f>MAX(0,$AT551-$W551-$AI551)</f>
        <v/>
      </c>
      <c r="AH551" s="69" t="n"/>
      <c r="AI551" s="69" t="n"/>
      <c r="AJ551" s="85" t="n">
        <v>0.16</v>
      </c>
      <c r="AK551" s="54">
        <f>IF(AND($AG551&gt;0,ISNUMBER($AJ551)),$AG551*$AJ551,0)</f>
        <v/>
      </c>
      <c r="AL551" s="69" t="n"/>
      <c r="AM551" s="69" t="n"/>
      <c r="AN551" s="69" t="n"/>
      <c r="AO551" s="69" t="n"/>
      <c r="AP551" s="69" t="n"/>
      <c r="AQ551" s="69" t="n"/>
      <c r="AR551" s="69" t="n"/>
      <c r="AS551" s="69" t="n"/>
      <c r="AT551" s="37">
        <f>SUM(AU551:BA551)</f>
        <v/>
      </c>
      <c r="AU551" s="92" t="n"/>
      <c r="AV551" s="38" t="n"/>
      <c r="AW551" s="38" t="n"/>
      <c r="AX551" s="38" t="n"/>
      <c r="AY551" s="38" t="n"/>
      <c r="AZ551" s="38" t="n"/>
      <c r="BA551" s="94" t="n"/>
      <c r="BB551" s="69" t="n"/>
      <c r="BC551" s="69" t="n"/>
      <c r="BD551" s="69" t="n"/>
    </row>
    <row r="552" ht="15" customHeight="1" s="148">
      <c r="A552" t="inlineStr">
        <is>
          <t>c0548</t>
        </is>
      </c>
      <c r="B552" s="56" t="inlineStr">
        <is>
          <t>Bothersome Noisemaker</t>
        </is>
      </c>
      <c r="C552" s="41" t="inlineStr">
        <is>
          <t>R</t>
        </is>
      </c>
      <c r="D552" s="42" t="inlineStr">
        <is>
          <t>Creature</t>
        </is>
      </c>
      <c r="E552" s="41" t="inlineStr">
        <is>
          <t>B2</t>
        </is>
      </c>
      <c r="F552" s="41" t="n">
        <v>2</v>
      </c>
      <c r="G552" s="67" t="inlineStr">
        <is>
          <t>Whenever you cast a noncreature spell, amass Goblins 1. (Put a +1/+1 counter on an Army you control. It's also a Goblin. If you don't control an Army, create a 0/0 black Goblin Army creature token first.)
(2/2)</t>
        </is>
      </c>
      <c r="H552" s="42" t="inlineStr">
        <is>
          <t>Token Producer</t>
        </is>
      </c>
      <c r="I552" s="42" t="inlineStr">
        <is>
          <t>Whenever you cast a noncreature spell, put a +1/+1 counter on a Goblin Army you control, creating a 0/0 one first if you have none</t>
        </is>
      </c>
      <c r="J552" s="42" t="n"/>
      <c r="K552" s="42" t="n"/>
      <c r="L552" s="42" t="n"/>
      <c r="M552" s="42" t="n"/>
      <c r="N552" s="42" t="n"/>
      <c r="O552" s="63" t="n"/>
      <c r="P552" s="63" t="n"/>
      <c r="Q552" s="42" t="n"/>
      <c r="R552" s="42" t="n"/>
      <c r="S552" s="42" t="n"/>
      <c r="T552" s="63" t="n"/>
      <c r="U552" s="63" t="n"/>
      <c r="V552" s="42" t="inlineStr">
        <is>
          <t>The Hobbit</t>
        </is>
      </c>
      <c r="W552" s="41" t="n">
        <v>1</v>
      </c>
      <c r="X552" s="37">
        <f>SUM(Y552:AE552)</f>
        <v/>
      </c>
      <c r="Y552" s="43" t="n"/>
      <c r="Z552" s="43" t="n"/>
      <c r="AA552" s="43" t="n"/>
      <c r="AB552" s="43" t="n"/>
      <c r="AC552" s="43" t="n"/>
      <c r="AD552" s="43" t="n"/>
      <c r="AE552" s="43" t="n"/>
      <c r="AF552" s="38">
        <f>IF((W552-SUM(Y552:AE552))&lt;0,0,W552-SUM(Y552:AE552))</f>
        <v/>
      </c>
      <c r="AG552" s="38">
        <f>MAX(0,$AT552-$W552-$AI552)</f>
        <v/>
      </c>
      <c r="AH552" s="42" t="n"/>
      <c r="AI552" s="42" t="n"/>
      <c r="AJ552" s="42" t="n">
        <v>0.24</v>
      </c>
      <c r="AK552" s="42">
        <f>IF(AND($AG552&gt;0,ISNUMBER($AJ552)),$AG552*$AJ552,0)</f>
        <v/>
      </c>
      <c r="AT552" s="37">
        <f>SUM(AU552:BA552)</f>
        <v/>
      </c>
      <c r="AU552" s="73" t="n"/>
      <c r="AV552" s="33" t="n"/>
      <c r="AW552" s="33" t="n"/>
      <c r="AX552" s="33" t="n"/>
      <c r="AY552" s="33" t="n"/>
      <c r="AZ552" s="33" t="n"/>
      <c r="BA552" s="74" t="n"/>
      <c r="BB552" s="42" t="n"/>
      <c r="BC552" s="42" t="n"/>
      <c r="BD552" s="42" t="n"/>
    </row>
    <row r="553" ht="15" customHeight="1" s="148">
      <c r="A553" t="inlineStr">
        <is>
          <t>c0549</t>
        </is>
      </c>
      <c r="B553" s="51" t="inlineStr">
        <is>
          <t>Brightstone Ritual</t>
        </is>
      </c>
      <c r="C553" s="38" t="inlineStr">
        <is>
          <t>R</t>
        </is>
      </c>
      <c r="D553" s="47" t="inlineStr">
        <is>
          <t>Instant</t>
        </is>
      </c>
      <c r="E553" s="41" t="inlineStr">
        <is>
          <t>B3</t>
        </is>
      </c>
      <c r="F553" s="38" t="n">
        <v>1</v>
      </c>
      <c r="G553" s="67" t="inlineStr">
        <is>
          <t>Add {R} for each Goblin on the battlefield.</t>
        </is>
      </c>
      <c r="H553" s="53" t="inlineStr">
        <is>
          <t>Ramp</t>
        </is>
      </c>
      <c r="I553" s="53" t="inlineStr">
        <is>
          <t>Add {R} for each Goblin on the battlefield</t>
        </is>
      </c>
      <c r="J553" s="53" t="n"/>
      <c r="K553" s="53" t="n"/>
      <c r="L553" s="42" t="n"/>
      <c r="M553" s="42" t="n"/>
      <c r="N553" s="42" t="n"/>
      <c r="O553" s="42" t="n"/>
      <c r="P553" s="42" t="n"/>
      <c r="Q553" s="42" t="n"/>
      <c r="R553" s="42" t="n"/>
      <c r="S553" s="42" t="n"/>
      <c r="T553" s="42" t="n"/>
      <c r="U553" s="42" t="n"/>
      <c r="V553" s="53" t="inlineStr">
        <is>
          <t>Onslaught</t>
        </is>
      </c>
      <c r="W553" s="41" t="n">
        <v>0</v>
      </c>
      <c r="X553" s="37">
        <f>SUM(Y553:AE553)</f>
        <v/>
      </c>
      <c r="Y553" s="43" t="n"/>
      <c r="Z553" s="43" t="n"/>
      <c r="AA553" s="43" t="n"/>
      <c r="AB553" s="43" t="n"/>
      <c r="AC553" s="43" t="n"/>
      <c r="AD553" s="43" t="n"/>
      <c r="AE553" s="43" t="n"/>
      <c r="AF553" s="38">
        <f>IF((W553-SUM(Y553:AE553))&lt;0,0,W553-SUM(Y553:AE553))</f>
        <v/>
      </c>
      <c r="AG553" s="38">
        <f>MAX(0,$AT553-$W553-$AI553)</f>
        <v/>
      </c>
      <c r="AH553" s="38" t="n"/>
      <c r="AI553" s="38" t="n"/>
      <c r="AJ553" s="54" t="n">
        <v>2.29</v>
      </c>
      <c r="AK553" s="54">
        <f>IF(AND($AG553&gt;0,ISNUMBER($AJ553)),$AG553*$AJ553,0)</f>
        <v/>
      </c>
      <c r="AL553" s="54" t="n"/>
      <c r="AM553" s="54" t="n"/>
      <c r="AN553" s="54" t="n"/>
      <c r="AO553" s="54" t="n"/>
      <c r="AP553" s="54" t="n"/>
      <c r="AQ553" s="54" t="n"/>
      <c r="AR553" s="54" t="n"/>
      <c r="AS553" s="54" t="n"/>
      <c r="AT553" s="37">
        <f>SUM(AU553:BA553)</f>
        <v/>
      </c>
      <c r="AU553" s="92" t="n"/>
      <c r="AV553" s="38" t="n"/>
      <c r="AW553" s="38" t="n"/>
      <c r="AX553" s="38" t="n"/>
      <c r="AY553" s="38" t="n"/>
      <c r="AZ553" s="38" t="n"/>
      <c r="BA553" s="94" t="n"/>
      <c r="BB553" s="47" t="n"/>
      <c r="BC553" s="42" t="n"/>
      <c r="BD553" s="42" t="n"/>
    </row>
    <row r="554" ht="15" customHeight="1" s="148">
      <c r="A554" t="inlineStr">
        <is>
          <t>c0550</t>
        </is>
      </c>
      <c r="B554" s="39" t="inlineStr">
        <is>
          <t>Burn, Burn, Tree and Fern</t>
        </is>
      </c>
      <c r="C554" s="40" t="inlineStr">
        <is>
          <t>R</t>
        </is>
      </c>
      <c r="D554" s="39" t="inlineStr">
        <is>
          <t>Enchantment</t>
        </is>
      </c>
      <c r="E554" s="41" t="inlineStr">
        <is>
          <t>B2</t>
        </is>
      </c>
      <c r="F554" s="40" t="n">
        <v>4</v>
      </c>
      <c r="G554" s="67" t="inlineStr">
        <is>
          <t>(As this Saga enters and after your draw step, add a lore counter. Sacrifice after IV.)
I — This Saga deals 6 damage to target creature an opponent controls.
II — Destroy target artifact an opponent controls.
III, IV — Add {R}.</t>
        </is>
      </c>
      <c r="H554" s="39" t="inlineStr">
        <is>
          <t>Removal</t>
        </is>
      </c>
      <c r="I554" s="39" t="inlineStr">
        <is>
          <t>Chapter I: deals 6 damage to target creature an opponent controls</t>
        </is>
      </c>
      <c r="J554" s="39" t="inlineStr">
        <is>
          <t>Chapter II: destroy target artifact an opponent controls</t>
        </is>
      </c>
      <c r="K554" s="39" t="inlineStr">
        <is>
          <t>Chapters III and IV: add {R}</t>
        </is>
      </c>
      <c r="L554" s="42" t="n"/>
      <c r="M554" s="42" t="n"/>
      <c r="N554" s="42" t="n"/>
      <c r="O554" s="63" t="n"/>
      <c r="P554" s="63" t="n"/>
      <c r="Q554" s="42" t="n"/>
      <c r="R554" s="42" t="n"/>
      <c r="S554" s="42" t="n"/>
      <c r="T554" s="63" t="n"/>
      <c r="U554" s="63" t="n"/>
      <c r="V554" s="39" t="inlineStr">
        <is>
          <t>The Hobbit</t>
        </is>
      </c>
      <c r="W554" s="41" t="n">
        <v>1</v>
      </c>
      <c r="X554" s="37">
        <f>SUM(Y554:AE554)</f>
        <v/>
      </c>
      <c r="Y554" s="43" t="n"/>
      <c r="Z554" s="43" t="n"/>
      <c r="AA554" s="43" t="n"/>
      <c r="AB554" s="43" t="n"/>
      <c r="AC554" s="43" t="n"/>
      <c r="AD554" s="43" t="n">
        <v>1</v>
      </c>
      <c r="AE554" s="43" t="n"/>
      <c r="AF554" s="38">
        <f>IF((W554-SUM(Y554:AE554))&lt;0,0,W554-SUM(Y554:AE554))</f>
        <v/>
      </c>
      <c r="AG554" s="34">
        <f>MAX(0,$AT554-$W554-$AI554)</f>
        <v/>
      </c>
      <c r="AH554" s="39" t="n"/>
      <c r="AI554" s="39" t="n"/>
      <c r="AJ554" s="39" t="n">
        <v>0.18</v>
      </c>
      <c r="AK554" s="39">
        <f>IF(AND($AG554&gt;0,ISNUMBER($AJ554)),$AG554*$AJ554,0)</f>
        <v/>
      </c>
      <c r="AQ554" s="58" t="n"/>
      <c r="AT554" s="37">
        <f>SUM(AU554:BA554)</f>
        <v/>
      </c>
      <c r="AU554" s="73" t="n"/>
      <c r="AV554" s="33" t="n"/>
      <c r="AW554" s="33" t="n"/>
      <c r="AX554" s="33" t="n"/>
      <c r="AY554" s="33" t="n"/>
      <c r="AZ554" s="99" t="n"/>
      <c r="BA554" s="74" t="n"/>
      <c r="BB554" s="107" t="n"/>
      <c r="BC554" s="42" t="n"/>
      <c r="BD554" s="42" t="n"/>
    </row>
    <row r="555" ht="15" customHeight="1" s="148">
      <c r="A555" t="inlineStr">
        <is>
          <t>c0551</t>
        </is>
      </c>
      <c r="B555" s="44" t="inlineStr">
        <is>
          <t>Burning Curiosity</t>
        </is>
      </c>
      <c r="C555" s="34" t="inlineStr">
        <is>
          <t>R</t>
        </is>
      </c>
      <c r="D555" s="44" t="inlineStr">
        <is>
          <t>Sorcery</t>
        </is>
      </c>
      <c r="E555" s="41" t="inlineStr">
        <is>
          <t>B2</t>
        </is>
      </c>
      <c r="F555" s="34" t="n">
        <v>3</v>
      </c>
      <c r="G555" s="67" t="inlineStr">
        <is>
          <t>As an additional cost to cast this spell, you may blight 1. (You may put a -1/-1 counter on a creature you control.)
Exile the top two cards of your library. If this spell's additional cost was paid, exile the top three cards instead. Until the end of your next turn, you may play those cards.</t>
        </is>
      </c>
      <c r="H555" s="45" t="inlineStr">
        <is>
          <t>Card Selection</t>
        </is>
      </c>
      <c r="I555" s="45" t="inlineStr">
        <is>
          <t>Exiles top two cards of library to play until end of next turn</t>
        </is>
      </c>
      <c r="J555" s="45" t="inlineStr">
        <is>
          <t>Optionally put a -1/-1 counter on a creature to exile three instead</t>
        </is>
      </c>
      <c r="K555" s="45" t="n"/>
      <c r="L555" s="88" t="inlineStr">
        <is>
          <t>C 0129</t>
        </is>
      </c>
      <c r="M555" s="41" t="n">
        <v>1</v>
      </c>
      <c r="N555" s="41" t="n">
        <v>1</v>
      </c>
      <c r="O555" s="63" t="inlineStr">
        <is>
          <t>Jim Pavelec</t>
        </is>
      </c>
      <c r="P555" s="90" t="n">
        <v>0.28</v>
      </c>
      <c r="Q555" s="42" t="inlineStr">
        <is>
          <t>C</t>
        </is>
      </c>
      <c r="R555" s="42" t="n"/>
      <c r="S555" s="42" t="n"/>
      <c r="T555" s="63" t="n"/>
      <c r="U555" s="63" t="n"/>
      <c r="V555" s="45" t="inlineStr">
        <is>
          <t>Lorwyn Eclipsed</t>
        </is>
      </c>
      <c r="W555" s="41" t="n">
        <v>1</v>
      </c>
      <c r="X555" s="37">
        <f>SUM(Y555:AE555)</f>
        <v/>
      </c>
      <c r="Y555" s="43" t="n">
        <v>1</v>
      </c>
      <c r="Z555" s="43" t="n"/>
      <c r="AA555" s="43" t="n"/>
      <c r="AB555" s="43" t="n"/>
      <c r="AC555" s="43" t="n"/>
      <c r="AD555" s="43" t="n"/>
      <c r="AE555" s="43" t="n"/>
      <c r="AF555" s="38">
        <f>IF((W555-SUM(Y555:AE555))&lt;0,0,W555-SUM(Y555:AE555))</f>
        <v/>
      </c>
      <c r="AG555" s="34">
        <f>MAX(0,$AT555-$W555-$AI555)</f>
        <v/>
      </c>
      <c r="AH555" s="34" t="n"/>
      <c r="AI555" s="34" t="n"/>
      <c r="AJ555" s="36" t="n">
        <v>0.28</v>
      </c>
      <c r="AK555" s="36">
        <f>IF(AND($AG555&gt;0,ISNUMBER($AJ555)),$AG555*$AJ555,0)</f>
        <v/>
      </c>
      <c r="AL555" s="58" t="n"/>
      <c r="AT555" s="37">
        <f>SUM(AU555:BA555)</f>
        <v/>
      </c>
      <c r="AU555" s="83" t="n"/>
      <c r="AV555" s="33" t="n"/>
      <c r="AW555" s="33" t="n"/>
      <c r="AX555" s="33" t="n"/>
      <c r="AY555" s="33" t="n"/>
      <c r="AZ555" s="33" t="n"/>
      <c r="BA555" s="74" t="n"/>
      <c r="BB555" s="106" t="n"/>
      <c r="BC555" s="42" t="n"/>
      <c r="BD555" s="42" t="n"/>
    </row>
    <row r="556" ht="15" customHeight="1" s="148">
      <c r="A556" t="inlineStr">
        <is>
          <t>c0552</t>
        </is>
      </c>
      <c r="B556" s="44" t="inlineStr">
        <is>
          <t>Cathartic Pyre</t>
        </is>
      </c>
      <c r="C556" s="34" t="inlineStr">
        <is>
          <t>R</t>
        </is>
      </c>
      <c r="D556" s="44" t="inlineStr">
        <is>
          <t>Instant</t>
        </is>
      </c>
      <c r="E556" s="41" t="inlineStr">
        <is>
          <t>B2</t>
        </is>
      </c>
      <c r="F556" s="34" t="n">
        <v>2</v>
      </c>
      <c r="G556" s="67" t="inlineStr">
        <is>
          <t>Choose one —
• Cathartic Pyre deals 3 damage to target creature or planeswalker.
• Discard up to two cards, then draw that many cards.</t>
        </is>
      </c>
      <c r="H556" s="45" t="inlineStr">
        <is>
          <t>Removal</t>
        </is>
      </c>
      <c r="I556" s="45" t="inlineStr">
        <is>
          <t>Deals 3 damage to a creature or planeswalker</t>
        </is>
      </c>
      <c r="J556" s="45" t="inlineStr">
        <is>
          <t>Or discard up to two cards and draw that many</t>
        </is>
      </c>
      <c r="K556" s="45" t="n"/>
      <c r="L556" s="42" t="n"/>
      <c r="M556" s="42" t="n"/>
      <c r="N556" s="42" t="n"/>
      <c r="O556" s="42" t="n"/>
      <c r="P556" s="42" t="n">
        <v>0.27</v>
      </c>
      <c r="Q556" s="42" t="n"/>
      <c r="R556" s="42" t="n"/>
      <c r="S556" s="42" t="n"/>
      <c r="T556" s="42" t="n"/>
      <c r="U556" s="42" t="n"/>
      <c r="V556" s="45" t="inlineStr">
        <is>
          <t>Innistrad: Midnight Hunt</t>
        </is>
      </c>
      <c r="W556" s="41" t="n">
        <v>0</v>
      </c>
      <c r="X556" s="37">
        <f>SUM(Y556:AE556)</f>
        <v/>
      </c>
      <c r="Y556" s="43" t="n"/>
      <c r="Z556" s="43" t="n"/>
      <c r="AA556" s="43" t="n"/>
      <c r="AB556" s="43" t="n"/>
      <c r="AC556" s="43" t="n"/>
      <c r="AD556" s="43" t="n"/>
      <c r="AE556" s="43" t="n"/>
      <c r="AF556" s="38">
        <f>IF((W556-SUM(Y556:AE556))&lt;0,0,W556-SUM(Y556:AE556))</f>
        <v/>
      </c>
      <c r="AG556" s="34">
        <f>MAX(0,$AT556-$W556-$AI556)</f>
        <v/>
      </c>
      <c r="AH556" s="34" t="n"/>
      <c r="AI556" s="34" t="n"/>
      <c r="AJ556" s="36" t="n">
        <v>0.31</v>
      </c>
      <c r="AK556" s="36">
        <f>IF(AND($AG556&gt;0,ISNUMBER($AJ556)),$AG556*$AJ556,0)</f>
        <v/>
      </c>
      <c r="AL556" s="54" t="n"/>
      <c r="AM556" s="54" t="n"/>
      <c r="AN556" s="54" t="n"/>
      <c r="AO556" s="54" t="n"/>
      <c r="AP556" s="54" t="n"/>
      <c r="AQ556" s="54" t="n"/>
      <c r="AR556" s="54" t="n"/>
      <c r="AS556" s="54" t="n"/>
      <c r="AT556" s="37">
        <f>SUM(AU556:BA556)</f>
        <v/>
      </c>
      <c r="AU556" s="92" t="n"/>
      <c r="AV556" s="38" t="n"/>
      <c r="AW556" s="38" t="n"/>
      <c r="AX556" s="38" t="n"/>
      <c r="AY556" s="38" t="n"/>
      <c r="AZ556" s="38" t="n"/>
      <c r="BA556" s="94" t="n"/>
      <c r="BB556" s="106" t="n"/>
      <c r="BC556" s="42" t="n"/>
      <c r="BD556" s="42" t="n"/>
    </row>
    <row r="557" ht="15" customHeight="1" s="148">
      <c r="A557" t="inlineStr">
        <is>
          <t>c0553</t>
        </is>
      </c>
      <c r="B557" s="44" t="inlineStr">
        <is>
          <t>Cathartic Reunion</t>
        </is>
      </c>
      <c r="C557" s="34" t="inlineStr">
        <is>
          <t>R</t>
        </is>
      </c>
      <c r="D557" s="44" t="inlineStr">
        <is>
          <t>Sorcery</t>
        </is>
      </c>
      <c r="E557" s="41" t="inlineStr">
        <is>
          <t>B2</t>
        </is>
      </c>
      <c r="F557" s="34" t="n">
        <v>2</v>
      </c>
      <c r="G557" s="67" t="inlineStr">
        <is>
          <t>As an additional cost to cast this spell, discard two cards.
Draw three cards.</t>
        </is>
      </c>
      <c r="H557" s="45" t="inlineStr">
        <is>
          <t>Discard/Looting</t>
        </is>
      </c>
      <c r="I557" s="45" t="inlineStr">
        <is>
          <t>Discard two cards to draw three cards</t>
        </is>
      </c>
      <c r="J557" s="45" t="n"/>
      <c r="K557" s="45" t="n"/>
      <c r="L557" s="42" t="n"/>
      <c r="M557" s="42" t="n"/>
      <c r="N557" s="42" t="n"/>
      <c r="O557" s="42" t="n"/>
      <c r="P557" s="42" t="n">
        <v>0.2</v>
      </c>
      <c r="Q557" s="42" t="n"/>
      <c r="R557" s="42" t="n"/>
      <c r="S557" s="42" t="n"/>
      <c r="T557" s="42" t="n"/>
      <c r="U557" s="42" t="n"/>
      <c r="V557" s="45" t="inlineStr">
        <is>
          <t>Kaladesh</t>
        </is>
      </c>
      <c r="W557" s="41" t="n">
        <v>1</v>
      </c>
      <c r="X557" s="37">
        <f>SUM(Y557:AE557)</f>
        <v/>
      </c>
      <c r="Y557" s="43" t="n">
        <v>1</v>
      </c>
      <c r="Z557" s="43" t="n"/>
      <c r="AA557" s="43" t="n"/>
      <c r="AB557" s="43" t="n"/>
      <c r="AC557" s="43" t="n"/>
      <c r="AD557" s="43" t="n"/>
      <c r="AE557" s="43" t="n"/>
      <c r="AF557" s="38">
        <f>IF((W557-SUM(Y557:AE557))&lt;0,0,W557-SUM(Y557:AE557))</f>
        <v/>
      </c>
      <c r="AG557" s="34">
        <f>MAX(0,$AT557-$W557-$AI557)</f>
        <v/>
      </c>
      <c r="AH557" s="34" t="n"/>
      <c r="AI557" s="34" t="n"/>
      <c r="AJ557" s="36" t="n">
        <v>0.27</v>
      </c>
      <c r="AK557" s="36">
        <f>IF(AND($AG557&gt;0,ISNUMBER($AJ557)),$AG557*$AJ557,0)</f>
        <v/>
      </c>
      <c r="AT557" s="37">
        <f>SUM(AU557:BA557)</f>
        <v/>
      </c>
      <c r="AU557" s="82" t="n">
        <v>1</v>
      </c>
      <c r="AV557" s="33" t="n"/>
      <c r="AW557" s="33" t="n"/>
      <c r="AX557" s="33" t="n"/>
      <c r="AY557" s="33" t="n"/>
      <c r="AZ557" s="33" t="n"/>
      <c r="BA557" s="74" t="n"/>
      <c r="BB557" s="106" t="n"/>
      <c r="BC557" s="42" t="n"/>
      <c r="BD557" s="42" t="n"/>
    </row>
    <row r="558" ht="15" customHeight="1" s="148">
      <c r="A558" t="inlineStr">
        <is>
          <t>c0554</t>
        </is>
      </c>
      <c r="B558" s="44" t="inlineStr">
        <is>
          <t>Chancellor of the Forge</t>
        </is>
      </c>
      <c r="C558" s="34" t="inlineStr">
        <is>
          <t>R</t>
        </is>
      </c>
      <c r="D558" s="44" t="inlineStr">
        <is>
          <t>Creature</t>
        </is>
      </c>
      <c r="E558" s="41" t="inlineStr">
        <is>
          <t>B3</t>
        </is>
      </c>
      <c r="F558" s="34" t="n">
        <v>7</v>
      </c>
      <c r="G558" s="67" t="inlineStr">
        <is>
          <t>You may reveal this card from your opening hand. If you do, at the beginning of the first upkeep, create a 1/1 red Phyrexian Goblin creature token with haste.
When this creature enters, create X 1/1 red Phyrexian Goblin creature tokens with haste, where X is the number of creatures you control.
(5/5)</t>
        </is>
      </c>
      <c r="H558" s="45" t="inlineStr">
        <is>
          <t>Token Producer</t>
        </is>
      </c>
      <c r="I558" s="45" t="inlineStr">
        <is>
          <t>You may reveal this card from your opening hand. If you do, at the beginning of the first upkeep, create a 1/1 red Phyre</t>
        </is>
      </c>
      <c r="J558" s="45" t="inlineStr">
        <is>
          <t>When this creature enters, create X 1/1 red Phyrexian Goblin creature tokens with haste, where X is the number of creatu</t>
        </is>
      </c>
      <c r="K558" s="45" t="n"/>
      <c r="L558" s="42" t="n"/>
      <c r="M558" s="42" t="n"/>
      <c r="N558" s="42" t="n"/>
      <c r="O558" s="42" t="n"/>
      <c r="P558" s="42" t="n"/>
      <c r="Q558" s="42" t="n"/>
      <c r="R558" s="42" t="n"/>
      <c r="S558" s="42" t="n"/>
      <c r="T558" s="42" t="n"/>
      <c r="U558" s="42" t="n"/>
      <c r="V558" s="45" t="inlineStr">
        <is>
          <t>New Phyrexia</t>
        </is>
      </c>
      <c r="W558" s="41" t="n">
        <v>0</v>
      </c>
      <c r="X558" s="37">
        <f>SUM(Y558:AE558)</f>
        <v/>
      </c>
      <c r="Y558" s="43" t="n"/>
      <c r="Z558" s="43" t="n"/>
      <c r="AA558" s="43" t="n"/>
      <c r="AB558" s="43" t="n"/>
      <c r="AC558" s="43" t="n"/>
      <c r="AD558" s="43" t="n"/>
      <c r="AE558" s="43" t="n"/>
      <c r="AF558" s="38">
        <f>IF((W558-SUM(Y558:AE558))&lt;0,0,W558-SUM(Y558:AE558))</f>
        <v/>
      </c>
      <c r="AG558" s="34">
        <f>MAX(0,$AT558-$W558-$AI558)</f>
        <v/>
      </c>
      <c r="AH558" s="34" t="n"/>
      <c r="AI558" s="34" t="n"/>
      <c r="AJ558" s="36" t="n">
        <v>1.11</v>
      </c>
      <c r="AK558" s="36">
        <f>IF(AND($AG558&gt;0,ISNUMBER($AJ558)),$AG558*$AJ558,0)</f>
        <v/>
      </c>
      <c r="AL558" s="54" t="n"/>
      <c r="AM558" s="54" t="n"/>
      <c r="AN558" s="54" t="n"/>
      <c r="AO558" s="54" t="n"/>
      <c r="AP558" s="54" t="n"/>
      <c r="AQ558" s="54" t="n"/>
      <c r="AR558" s="54" t="n"/>
      <c r="AS558" s="54" t="n"/>
      <c r="AT558" s="37">
        <f>SUM(AU558:BA558)</f>
        <v/>
      </c>
      <c r="AU558" s="92" t="n"/>
      <c r="AV558" s="38" t="n"/>
      <c r="AW558" s="38" t="n"/>
      <c r="AX558" s="38" t="n"/>
      <c r="AY558" s="38" t="n"/>
      <c r="AZ558" s="38" t="n"/>
      <c r="BA558" s="94" t="n"/>
      <c r="BB558" s="106" t="n"/>
      <c r="BC558" s="42" t="n"/>
      <c r="BD558" s="48" t="n"/>
    </row>
    <row r="559" ht="15" customHeight="1" s="148">
      <c r="A559" t="inlineStr">
        <is>
          <t>c0555</t>
        </is>
      </c>
      <c r="B559" s="44" t="inlineStr">
        <is>
          <t>Chaos Warp</t>
        </is>
      </c>
      <c r="C559" s="34" t="inlineStr">
        <is>
          <t>R</t>
        </is>
      </c>
      <c r="D559" s="44" t="inlineStr">
        <is>
          <t>Instant</t>
        </is>
      </c>
      <c r="E559" s="41" t="inlineStr">
        <is>
          <t>B2</t>
        </is>
      </c>
      <c r="F559" s="34" t="n">
        <v>3</v>
      </c>
      <c r="G559" s="67" t="inlineStr">
        <is>
          <t>The owner of target permanent shuffles it into their library, then reveals the top card of their library. If it's a permanent card, they put it onto the battlefield.</t>
        </is>
      </c>
      <c r="H559" s="45" t="inlineStr">
        <is>
          <t>Removal</t>
        </is>
      </c>
      <c r="I559" s="45" t="inlineStr">
        <is>
          <t>Shuffles target permanent into its owner's library, who may hit a new permanent off the top</t>
        </is>
      </c>
      <c r="J559" s="45" t="n"/>
      <c r="K559" s="45" t="n"/>
      <c r="L559" s="42" t="n"/>
      <c r="M559" s="42" t="n"/>
      <c r="N559" s="42" t="n"/>
      <c r="O559" s="42" t="n"/>
      <c r="P559" s="42" t="n">
        <v>0.34</v>
      </c>
      <c r="Q559" s="42" t="n"/>
      <c r="R559" s="42" t="n"/>
      <c r="S559" s="42" t="n"/>
      <c r="T559" s="42" t="n"/>
      <c r="U559" s="42" t="n"/>
      <c r="V559" s="45" t="inlineStr">
        <is>
          <t>Commander 2011</t>
        </is>
      </c>
      <c r="W559" s="41" t="n">
        <v>1</v>
      </c>
      <c r="X559" s="37">
        <f>SUM(Y559:AE559)</f>
        <v/>
      </c>
      <c r="Y559" s="43" t="n"/>
      <c r="Z559" s="43" t="n"/>
      <c r="AA559" s="43" t="n"/>
      <c r="AB559" s="43" t="n"/>
      <c r="AC559" s="43" t="n"/>
      <c r="AD559" s="43" t="n">
        <v>1</v>
      </c>
      <c r="AE559" s="43" t="n"/>
      <c r="AF559" s="38">
        <f>IF((W559-SUM(Y559:AE559))&lt;0,0,W559-SUM(Y559:AE559))</f>
        <v/>
      </c>
      <c r="AG559" s="34">
        <f>MAX(0,$AT559-$W559-$AI559)</f>
        <v/>
      </c>
      <c r="AH559" s="34" t="n"/>
      <c r="AI559" s="34" t="n"/>
      <c r="AJ559" s="36" t="n">
        <v>0.34</v>
      </c>
      <c r="AK559" s="36">
        <f>IF(AND($AG559&gt;0,ISNUMBER($AJ559)),$AG559*$AJ559,0)</f>
        <v/>
      </c>
      <c r="AT559" s="37">
        <f>SUM(AU559:BA559)</f>
        <v/>
      </c>
      <c r="AU559" s="73" t="n"/>
      <c r="AV559" s="33" t="n"/>
      <c r="AW559" s="33" t="n"/>
      <c r="AX559" s="33" t="n"/>
      <c r="AY559" s="33" t="n"/>
      <c r="AZ559" s="98" t="n">
        <v>1</v>
      </c>
      <c r="BA559" s="74" t="n"/>
      <c r="BB559" s="106" t="n"/>
      <c r="BC559" s="42" t="n"/>
      <c r="BD559" s="42" t="n"/>
    </row>
    <row r="560" ht="15" customHeight="1" s="148">
      <c r="A560" t="inlineStr">
        <is>
          <t>c0556</t>
        </is>
      </c>
      <c r="B560" s="30" t="inlineStr">
        <is>
          <t>Charging Strifeknight</t>
        </is>
      </c>
      <c r="C560" s="31" t="inlineStr">
        <is>
          <t>R</t>
        </is>
      </c>
      <c r="D560" s="30" t="inlineStr">
        <is>
          <t>Creature</t>
        </is>
      </c>
      <c r="E560" s="33" t="inlineStr">
        <is>
          <t>B2</t>
        </is>
      </c>
      <c r="F560" s="31" t="n">
        <v>3</v>
      </c>
      <c r="G560" s="67" t="inlineStr">
        <is>
          <t>Haste
{T}, Discard a card: Draw a card.
(3/3)</t>
        </is>
      </c>
      <c r="H560" s="30" t="inlineStr">
        <is>
          <t>Discard/Looting</t>
        </is>
      </c>
      <c r="I560" s="30" t="inlineStr">
        <is>
          <t>{T}, discard a card: Draw a card</t>
        </is>
      </c>
      <c r="J560" s="30" t="inlineStr">
        <is>
          <t>3/3 haste body</t>
        </is>
      </c>
      <c r="K560" s="30" t="n"/>
      <c r="L560" s="32" t="inlineStr">
        <is>
          <t>110</t>
        </is>
      </c>
      <c r="M560" s="32" t="n">
        <v>1</v>
      </c>
      <c r="N560" s="32" t="n">
        <v>0</v>
      </c>
      <c r="O560" s="63" t="n"/>
      <c r="P560" s="63" t="n">
        <v>0.21</v>
      </c>
      <c r="Q560" s="32" t="inlineStr">
        <is>
          <t>Uncommon</t>
        </is>
      </c>
      <c r="R560" s="32" t="n"/>
      <c r="S560" s="32" t="n"/>
      <c r="T560" s="63" t="n"/>
      <c r="U560" s="63" t="n"/>
      <c r="V560" s="30" t="inlineStr">
        <is>
          <t>Secrets of Strixhaven</t>
        </is>
      </c>
      <c r="W560" s="41" t="n">
        <v>1</v>
      </c>
      <c r="X560" s="37">
        <f>SUM(Y560:AE560)</f>
        <v/>
      </c>
      <c r="Y560" s="43" t="n"/>
      <c r="Z560" s="43" t="n"/>
      <c r="AA560" s="43" t="n"/>
      <c r="AB560" s="43" t="n"/>
      <c r="AC560" s="43" t="n"/>
      <c r="AD560" s="43" t="n"/>
      <c r="AE560" s="43" t="n"/>
      <c r="AF560" s="38">
        <f>IF((W560-SUM(Y560:AE560))&lt;0,0,W560-SUM(Y560:AE560))</f>
        <v/>
      </c>
      <c r="AG560" s="34">
        <f>MAX(0,$AT560-$W560-$AI560)</f>
        <v/>
      </c>
      <c r="AH560" s="30" t="n"/>
      <c r="AI560" s="30" t="n"/>
      <c r="AJ560" s="35" t="n">
        <v>0.21</v>
      </c>
      <c r="AK560" s="36">
        <f>IF(AND($AG560&gt;0,ISNUMBER($AJ560)),$AG560*$AJ560,0)</f>
        <v/>
      </c>
      <c r="AT560" s="37">
        <f>SUM(AU560:BA560)</f>
        <v/>
      </c>
      <c r="AU560" s="73" t="n"/>
      <c r="AV560" s="33" t="n"/>
      <c r="AW560" s="33" t="n"/>
      <c r="AX560" s="33" t="n"/>
      <c r="AY560" s="33" t="n"/>
      <c r="AZ560" s="33" t="n"/>
      <c r="BA560" s="74" t="n"/>
      <c r="BB560" s="108" t="n"/>
      <c r="BC560" s="32" t="n"/>
      <c r="BD560" s="32" t="n"/>
    </row>
    <row r="561" ht="15" customHeight="1" s="148">
      <c r="A561" t="inlineStr">
        <is>
          <t>c0557</t>
        </is>
      </c>
      <c r="B561" s="44" t="inlineStr">
        <is>
          <t>Cinder Strike</t>
        </is>
      </c>
      <c r="C561" s="34" t="inlineStr">
        <is>
          <t>R</t>
        </is>
      </c>
      <c r="D561" s="44" t="inlineStr">
        <is>
          <t>Sorcery</t>
        </is>
      </c>
      <c r="E561" s="41" t="inlineStr">
        <is>
          <t>B2</t>
        </is>
      </c>
      <c r="F561" s="34" t="n">
        <v>1</v>
      </c>
      <c r="G561" s="67" t="inlineStr">
        <is>
          <t>As an additional cost to cast this spell, you may blight 1. (You may put a -1/-1 counter on a creature you control.)
Cinder Strike deals 2 damage to target creature. It deals 4 damage to that creature instead if this spell's additional cost was paid.</t>
        </is>
      </c>
      <c r="H561" s="45" t="inlineStr">
        <is>
          <t>Removal</t>
        </is>
      </c>
      <c r="I561" s="45" t="inlineStr">
        <is>
          <t>Deals 2 damage to target creature</t>
        </is>
      </c>
      <c r="J561" s="45" t="inlineStr">
        <is>
          <t>Deals 4 instead if you put a -1/-1 counter on a creature you control</t>
        </is>
      </c>
      <c r="K561" s="45" t="n"/>
      <c r="L561" s="42" t="n"/>
      <c r="M561" s="42" t="n"/>
      <c r="N561" s="42" t="n"/>
      <c r="O561" s="42" t="n"/>
      <c r="P561" s="42" t="n">
        <v>0.23</v>
      </c>
      <c r="Q561" s="42" t="n"/>
      <c r="R561" s="42" t="n"/>
      <c r="S561" s="42" t="n"/>
      <c r="T561" s="42" t="n"/>
      <c r="U561" s="42" t="n"/>
      <c r="V561" s="45" t="inlineStr">
        <is>
          <t>Lorwyn Eclipsed</t>
        </is>
      </c>
      <c r="W561" s="41" t="n">
        <v>1</v>
      </c>
      <c r="X561" s="37">
        <f>SUM(Y561:AE561)</f>
        <v/>
      </c>
      <c r="Y561" s="43" t="n"/>
      <c r="Z561" s="43" t="n"/>
      <c r="AA561" s="43" t="n"/>
      <c r="AB561" s="43" t="n"/>
      <c r="AC561" s="43" t="n"/>
      <c r="AD561" s="43" t="n">
        <v>1</v>
      </c>
      <c r="AE561" s="43" t="n"/>
      <c r="AF561" s="38">
        <f>IF((W561-SUM(Y561:AE561))&lt;0,0,W561-SUM(Y561:AE561))</f>
        <v/>
      </c>
      <c r="AG561" s="34">
        <f>MAX(0,$AT561-$W561-$AI561)</f>
        <v/>
      </c>
      <c r="AH561" s="34" t="n"/>
      <c r="AI561" s="34" t="n"/>
      <c r="AJ561" s="36" t="n">
        <v>0.2</v>
      </c>
      <c r="AK561" s="36">
        <f>IF(AND($AG561&gt;0,ISNUMBER($AJ561)),$AG561*$AJ561,0)</f>
        <v/>
      </c>
      <c r="AQ561" s="58" t="inlineStr">
        <is>
          <t>BL0081</t>
        </is>
      </c>
      <c r="AT561" s="37">
        <f>SUM(AU561:BA561)</f>
        <v/>
      </c>
      <c r="AU561" s="73" t="n"/>
      <c r="AV561" s="33" t="n"/>
      <c r="AW561" s="33" t="n"/>
      <c r="AX561" s="33" t="n"/>
      <c r="AY561" s="33" t="n"/>
      <c r="AZ561" s="100" t="n"/>
      <c r="BA561" s="74" t="n"/>
      <c r="BB561" s="106" t="n"/>
      <c r="BC561" s="42" t="n"/>
      <c r="BD561" s="42" t="n"/>
    </row>
    <row r="562" ht="15" customHeight="1" s="148">
      <c r="A562" t="inlineStr">
        <is>
          <t>c0558</t>
        </is>
      </c>
      <c r="B562" s="44" t="inlineStr">
        <is>
          <t>Combustion Technique</t>
        </is>
      </c>
      <c r="C562" s="34" t="inlineStr">
        <is>
          <t>R</t>
        </is>
      </c>
      <c r="D562" s="44" t="inlineStr">
        <is>
          <t>Instant</t>
        </is>
      </c>
      <c r="E562" s="41" t="inlineStr">
        <is>
          <t>B2</t>
        </is>
      </c>
      <c r="F562" s="34" t="n">
        <v>2</v>
      </c>
      <c r="G562" s="67" t="inlineStr">
        <is>
          <t>Combustion Technique deals damage equal to 2 plus the number of Lesson cards in your graveyard to target creature. If that creature would die this turn, exile it instead.</t>
        </is>
      </c>
      <c r="H562" s="45" t="inlineStr">
        <is>
          <t>Removal</t>
        </is>
      </c>
      <c r="I562" s="45" t="inlineStr">
        <is>
          <t>Deals 2 plus Lesson cards in graveyard damage to target creature</t>
        </is>
      </c>
      <c r="J562" s="45" t="inlineStr">
        <is>
          <t>Exiles that creature instead of letting it die this turn</t>
        </is>
      </c>
      <c r="K562" s="45" t="n"/>
      <c r="L562" s="42" t="n"/>
      <c r="M562" s="42" t="n"/>
      <c r="N562" s="42" t="n"/>
      <c r="O562" s="63" t="n"/>
      <c r="P562" s="63" t="n">
        <v>0.31</v>
      </c>
      <c r="Q562" s="42" t="n"/>
      <c r="R562" s="42" t="n"/>
      <c r="S562" s="42" t="n"/>
      <c r="T562" s="63" t="n"/>
      <c r="U562" s="63" t="n"/>
      <c r="V562" s="45" t="inlineStr">
        <is>
          <t>Avatar: The Last Airbender</t>
        </is>
      </c>
      <c r="W562" s="41" t="n">
        <v>1</v>
      </c>
      <c r="X562" s="37">
        <f>SUM(Y562:AE562)</f>
        <v/>
      </c>
      <c r="Y562" s="43" t="n"/>
      <c r="Z562" s="43" t="n"/>
      <c r="AA562" s="43" t="n"/>
      <c r="AB562" s="43" t="n"/>
      <c r="AC562" s="43" t="n"/>
      <c r="AD562" s="43" t="n"/>
      <c r="AE562" s="43" t="n"/>
      <c r="AF562" s="38">
        <f>IF((W562-SUM(Y562:AE562))&lt;0,0,W562-SUM(Y562:AE562))</f>
        <v/>
      </c>
      <c r="AG562" s="34">
        <f>MAX(0,$AT562-$W562-$AI562)</f>
        <v/>
      </c>
      <c r="AH562" s="34" t="n"/>
      <c r="AI562" s="34" t="n"/>
      <c r="AJ562" s="36" t="n">
        <v>0.3</v>
      </c>
      <c r="AK562" s="36">
        <f>IF(AND($AG562&gt;0,ISNUMBER($AJ562)),$AG562*$AJ562,0)</f>
        <v/>
      </c>
      <c r="AQ562" s="58" t="n"/>
      <c r="AT562" s="37">
        <f>SUM(AU562:BA562)</f>
        <v/>
      </c>
      <c r="AU562" s="73" t="n"/>
      <c r="AV562" s="33" t="n"/>
      <c r="AW562" s="33" t="n"/>
      <c r="AX562" s="33" t="n"/>
      <c r="AY562" s="33" t="n"/>
      <c r="AZ562" s="33" t="n"/>
      <c r="BA562" s="74" t="n"/>
      <c r="BB562" s="106" t="n"/>
      <c r="BC562" s="42" t="n"/>
      <c r="BD562" s="42" t="n"/>
    </row>
    <row r="563" ht="15" customHeight="1" s="148">
      <c r="A563" t="inlineStr">
        <is>
          <t>c0559</t>
        </is>
      </c>
      <c r="B563" s="44" t="inlineStr">
        <is>
          <t>Conspicuous Snoop</t>
        </is>
      </c>
      <c r="C563" s="34" t="inlineStr">
        <is>
          <t>R</t>
        </is>
      </c>
      <c r="D563" s="44" t="inlineStr">
        <is>
          <t>Creature</t>
        </is>
      </c>
      <c r="E563" s="41" t="inlineStr">
        <is>
          <t>B3</t>
        </is>
      </c>
      <c r="F563" s="34" t="n">
        <v>2</v>
      </c>
      <c r="G563" s="67" t="inlineStr">
        <is>
          <t>Play with the top card of your library revealed.
You may cast Goblin spells from the top of your library.
As long as the top card of your library is a Goblin card, this creature has all activated abilities of that card.
(2/2)</t>
        </is>
      </c>
      <c r="H563" s="45" t="inlineStr">
        <is>
          <t>Value Engine</t>
        </is>
      </c>
      <c r="I563" s="45" t="inlineStr">
        <is>
          <t>Play with the top card of your library revealed.
You may cast Goblin spells from the top of your library.
As long as the</t>
        </is>
      </c>
      <c r="J563" s="45" t="n"/>
      <c r="K563" s="45" t="n"/>
      <c r="L563" s="42" t="n"/>
      <c r="M563" s="42" t="n"/>
      <c r="N563" s="42" t="n"/>
      <c r="O563" s="42" t="n"/>
      <c r="P563" s="42" t="n">
        <v>4.44</v>
      </c>
      <c r="Q563" s="42" t="n"/>
      <c r="R563" s="42" t="n"/>
      <c r="S563" s="42" t="n"/>
      <c r="T563" s="42" t="n"/>
      <c r="U563" s="42" t="n"/>
      <c r="V563" s="45" t="inlineStr">
        <is>
          <t>Core Set 2021</t>
        </is>
      </c>
      <c r="W563" s="41" t="n">
        <v>1</v>
      </c>
      <c r="X563" s="37">
        <f>SUM(Y563:AE563)</f>
        <v/>
      </c>
      <c r="Y563" s="43" t="n"/>
      <c r="Z563" s="43" t="n"/>
      <c r="AA563" s="43" t="n"/>
      <c r="AB563" s="43" t="n"/>
      <c r="AC563" s="43" t="n"/>
      <c r="AD563" s="43" t="n">
        <v>1</v>
      </c>
      <c r="AE563" s="43" t="n"/>
      <c r="AF563" s="38">
        <f>IF((W563-SUM(Y563:AE563))&lt;0,0,W563-SUM(Y563:AE563))</f>
        <v/>
      </c>
      <c r="AG563" s="34">
        <f>MAX(0,$AT563-$W563-$AI563)</f>
        <v/>
      </c>
      <c r="AH563" s="34" t="n"/>
      <c r="AI563" s="34" t="n"/>
      <c r="AJ563" s="36" t="n">
        <v>4.85</v>
      </c>
      <c r="AK563" s="36">
        <f>IF(AND($AG563&gt;0,ISNUMBER($AJ563)),$AG563*$AJ563,0)</f>
        <v/>
      </c>
      <c r="AT563" s="37">
        <f>SUM(AU563:BA563)</f>
        <v/>
      </c>
      <c r="AU563" s="73" t="n"/>
      <c r="AV563" s="33" t="n"/>
      <c r="AW563" s="33" t="n"/>
      <c r="AX563" s="33" t="n"/>
      <c r="AY563" s="33" t="n"/>
      <c r="AZ563" s="98" t="n">
        <v>1</v>
      </c>
      <c r="BA563" s="74" t="n"/>
      <c r="BB563" s="106" t="n"/>
      <c r="BC563" s="42" t="n"/>
      <c r="BD563" s="42" t="n"/>
    </row>
    <row r="564" ht="15" customHeight="1" s="148">
      <c r="A564" t="inlineStr">
        <is>
          <t>c0560</t>
        </is>
      </c>
      <c r="B564" s="44" t="inlineStr">
        <is>
          <t>Conspiracy Theorist</t>
        </is>
      </c>
      <c r="C564" s="34" t="inlineStr">
        <is>
          <t>R</t>
        </is>
      </c>
      <c r="D564" s="44" t="inlineStr">
        <is>
          <t>Creature</t>
        </is>
      </c>
      <c r="E564" s="41" t="inlineStr">
        <is>
          <t>B2</t>
        </is>
      </c>
      <c r="F564" s="34" t="n">
        <v>2</v>
      </c>
      <c r="G564" s="67" t="inlineStr">
        <is>
          <t>Whenever this creature attacks, you may pay {1} and discard a card. If you do, draw a card.
Whenever you discard one or more nonland cards, you may exile one of them from your graveyard. If you do, you may cast it this turn.
(2/2)</t>
        </is>
      </c>
      <c r="H564" s="45" t="inlineStr">
        <is>
          <t>Card Draw</t>
        </is>
      </c>
      <c r="I564" s="45" t="inlineStr">
        <is>
          <t>Attacking lets you pay {1} and discard a card to draw a card</t>
        </is>
      </c>
      <c r="J564" s="45" t="inlineStr">
        <is>
          <t>Discarding a nonland card lets you exile it and cast it this turn</t>
        </is>
      </c>
      <c r="K564" s="45" t="n"/>
      <c r="L564" s="42" t="n"/>
      <c r="M564" s="42" t="n"/>
      <c r="N564" s="42" t="n"/>
      <c r="O564" s="63" t="n"/>
      <c r="P564" s="63" t="n">
        <v>0.28</v>
      </c>
      <c r="Q564" s="42" t="n"/>
      <c r="R564" s="42" t="n"/>
      <c r="S564" s="42" t="n"/>
      <c r="T564" s="63" t="n"/>
      <c r="U564" s="63" t="n"/>
      <c r="V564" s="45" t="inlineStr">
        <is>
          <t>Strixhaven: School of Mages</t>
        </is>
      </c>
      <c r="W564" s="41" t="n">
        <v>1</v>
      </c>
      <c r="X564" s="37">
        <f>SUM(Y564:AE564)</f>
        <v/>
      </c>
      <c r="Y564" s="43" t="n">
        <v>1</v>
      </c>
      <c r="Z564" s="43" t="n"/>
      <c r="AA564" s="43" t="n"/>
      <c r="AB564" s="43" t="n"/>
      <c r="AC564" s="43" t="n"/>
      <c r="AD564" s="43" t="n"/>
      <c r="AE564" s="43" t="n"/>
      <c r="AF564" s="38">
        <f>IF((W564-SUM(Y564:AE564))&lt;0,0,W564-SUM(Y564:AE564))</f>
        <v/>
      </c>
      <c r="AG564" s="34">
        <f>MAX(0,$AT564-$W564-$AI564)</f>
        <v/>
      </c>
      <c r="AH564" s="34" t="n"/>
      <c r="AI564" s="34" t="n"/>
      <c r="AJ564" s="36" t="n">
        <v>0.3</v>
      </c>
      <c r="AK564" s="36">
        <f>IF(AND($AG564&gt;0,ISNUMBER($AJ564)),$AG564*$AJ564,0)</f>
        <v/>
      </c>
      <c r="AT564" s="37">
        <f>SUM(AU564:BA564)</f>
        <v/>
      </c>
      <c r="AU564" s="82" t="n">
        <v>1</v>
      </c>
      <c r="AV564" s="33" t="n"/>
      <c r="AW564" s="33" t="n"/>
      <c r="AX564" s="33" t="n"/>
      <c r="AY564" s="33" t="n"/>
      <c r="AZ564" s="33" t="n"/>
      <c r="BA564" s="74" t="n"/>
      <c r="BB564" s="106" t="n"/>
      <c r="BC564" s="42" t="n"/>
      <c r="BD564" s="42" t="n"/>
    </row>
    <row r="565" ht="15" customHeight="1" s="148">
      <c r="A565" t="inlineStr">
        <is>
          <t>c0561</t>
        </is>
      </c>
      <c r="B565" s="39" t="inlineStr">
        <is>
          <t>Demand Answers</t>
        </is>
      </c>
      <c r="C565" s="40" t="inlineStr">
        <is>
          <t>R</t>
        </is>
      </c>
      <c r="D565" s="39" t="inlineStr">
        <is>
          <t>Instant</t>
        </is>
      </c>
      <c r="E565" s="41" t="inlineStr">
        <is>
          <t>B2</t>
        </is>
      </c>
      <c r="F565" s="40" t="n">
        <v>2</v>
      </c>
      <c r="G565" s="67" t="inlineStr">
        <is>
          <t>As an additional cost to cast this spell, sacrifice an artifact or discard a card.
Draw two cards.</t>
        </is>
      </c>
      <c r="H565" s="39" t="inlineStr">
        <is>
          <t>Card Draw</t>
        </is>
      </c>
      <c r="I565" s="39" t="inlineStr">
        <is>
          <t>Draw two cards</t>
        </is>
      </c>
      <c r="J565" s="39" t="inlineStr">
        <is>
          <t>As an additional cost to cast this spell, sacrifice an artifact or discard a card</t>
        </is>
      </c>
      <c r="K565" s="39" t="n"/>
      <c r="L565" s="88" t="n"/>
      <c r="M565" s="41" t="n"/>
      <c r="N565" s="41" t="n"/>
      <c r="O565" s="63" t="n"/>
      <c r="P565" s="90" t="n">
        <v>0.47</v>
      </c>
      <c r="Q565" s="88" t="n"/>
      <c r="R565" s="41" t="n"/>
      <c r="S565" s="41" t="n"/>
      <c r="T565" s="63" t="n"/>
      <c r="U565" s="91" t="n"/>
      <c r="V565" s="39" t="inlineStr">
        <is>
          <t>Murders at Karlov Manor</t>
        </is>
      </c>
      <c r="W565" s="41" t="n">
        <v>0</v>
      </c>
      <c r="X565" s="37">
        <f>SUM(Y565:AE565)</f>
        <v/>
      </c>
      <c r="Y565" s="43" t="n"/>
      <c r="Z565" s="43" t="n"/>
      <c r="AA565" s="43" t="n"/>
      <c r="AB565" s="43" t="n"/>
      <c r="AC565" s="43" t="n"/>
      <c r="AD565" s="43" t="n"/>
      <c r="AE565" s="43" t="n"/>
      <c r="AF565" s="38">
        <f>IF((W565-SUM(Y565:AE565))&lt;0,0,W565-SUM(Y565:AE565))</f>
        <v/>
      </c>
      <c r="AG565" s="34">
        <f>MAX(0,$AT565-$W565-$AI565)</f>
        <v/>
      </c>
      <c r="AH565" s="39" t="n"/>
      <c r="AI565" s="39" t="n"/>
      <c r="AJ565" s="39" t="n">
        <v>0.5</v>
      </c>
      <c r="AK565" s="39">
        <f>IF(AND($AG565&gt;0,ISNUMBER($AJ565)),$AG565*$AJ565,0)</f>
        <v/>
      </c>
      <c r="AT565" s="37">
        <f>SUM(AU565:BA565)</f>
        <v/>
      </c>
      <c r="AU565" s="73" t="n">
        <v>1</v>
      </c>
      <c r="AV565" s="33" t="n"/>
      <c r="AW565" s="33" t="n"/>
      <c r="AX565" s="33" t="n"/>
      <c r="AY565" s="33" t="n"/>
      <c r="AZ565" s="33" t="n">
        <v>1</v>
      </c>
      <c r="BA565" s="74" t="n"/>
      <c r="BB565" s="107" t="n"/>
      <c r="BC565" s="42" t="n"/>
      <c r="BD565" s="42" t="n"/>
    </row>
    <row r="566" ht="15" customHeight="1" s="148">
      <c r="A566" t="inlineStr">
        <is>
          <t>c0562</t>
        </is>
      </c>
      <c r="B566" s="44" t="inlineStr">
        <is>
          <t>Den of the Bugbear</t>
        </is>
      </c>
      <c r="C566" s="34" t="inlineStr">
        <is>
          <t>R</t>
        </is>
      </c>
      <c r="D566" s="44" t="inlineStr">
        <is>
          <t>Land</t>
        </is>
      </c>
      <c r="E566" s="41" t="inlineStr">
        <is>
          <t>B3</t>
        </is>
      </c>
      <c r="F566" s="34" t="n">
        <v>0</v>
      </c>
      <c r="G566" s="67" t="inlineStr">
        <is>
          <t>If you control two or more other lands, this land enters tapped.
{T}: Add {R}.
{3}{R}: Until end of turn, this land becomes a 3/2 red Goblin creature with "Whenever this creature attacks, create a 1/1 red Goblin creature token that's tapped and attacking." It's still a land.</t>
        </is>
      </c>
      <c r="H566" s="45" t="inlineStr">
        <is>
          <t>Land</t>
        </is>
      </c>
      <c r="I566" s="45" t="inlineStr">
        <is>
          <t>If you control two or more other lands, this land enters tapped.
{T}: Add {R}.
{3}{R}: Until end of turn, this land beco</t>
        </is>
      </c>
      <c r="J566" s="45" t="n"/>
      <c r="K566" s="45" t="n"/>
      <c r="L566" s="42" t="n"/>
      <c r="M566" s="42" t="n"/>
      <c r="N566" s="42" t="n"/>
      <c r="O566" s="42" t="n"/>
      <c r="P566" s="42" t="n">
        <v>1.68</v>
      </c>
      <c r="Q566" s="42" t="n"/>
      <c r="R566" s="42" t="n"/>
      <c r="S566" s="42" t="n"/>
      <c r="T566" s="42" t="n"/>
      <c r="U566" s="42" t="n"/>
      <c r="V566" s="45" t="inlineStr">
        <is>
          <t>Adventures in the Forgotten Realms</t>
        </is>
      </c>
      <c r="W566" s="41" t="n">
        <v>0</v>
      </c>
      <c r="X566" s="37">
        <f>SUM(Y566:AE566)</f>
        <v/>
      </c>
      <c r="Y566" s="43" t="n"/>
      <c r="Z566" s="43" t="n"/>
      <c r="AA566" s="43" t="n"/>
      <c r="AB566" s="43" t="n"/>
      <c r="AC566" s="43" t="n"/>
      <c r="AD566" s="43" t="n"/>
      <c r="AE566" s="43" t="n"/>
      <c r="AF566" s="38">
        <f>IF((W566-SUM(Y566:AE566))&lt;0,0,W566-SUM(Y566:AE566))</f>
        <v/>
      </c>
      <c r="AG566" s="34">
        <f>MAX(0,$AT566-$W566-$AI566)</f>
        <v/>
      </c>
      <c r="AH566" s="34" t="n"/>
      <c r="AI566" s="34" t="n"/>
      <c r="AJ566" s="36" t="n">
        <v>1.33</v>
      </c>
      <c r="AK566" s="36">
        <f>IF(AND($AG566&gt;0,ISNUMBER($AJ566)),$AG566*$AJ566,0)</f>
        <v/>
      </c>
      <c r="AL566" s="54" t="n"/>
      <c r="AM566" s="54" t="n"/>
      <c r="AN566" s="54" t="n"/>
      <c r="AO566" s="54" t="n"/>
      <c r="AP566" s="54" t="n"/>
      <c r="AQ566" s="54" t="n"/>
      <c r="AR566" s="54" t="n"/>
      <c r="AS566" s="54" t="n"/>
      <c r="AT566" s="37">
        <f>SUM(AU566:BA566)</f>
        <v/>
      </c>
      <c r="AU566" s="92" t="n"/>
      <c r="AV566" s="38" t="n"/>
      <c r="AW566" s="38" t="n"/>
      <c r="AX566" s="38" t="n"/>
      <c r="AY566" s="38" t="n"/>
      <c r="AZ566" s="38" t="n">
        <v>1</v>
      </c>
      <c r="BA566" s="94" t="n"/>
      <c r="BB566" s="106" t="n"/>
      <c r="BC566" s="42" t="n"/>
      <c r="BD566" s="48" t="n"/>
    </row>
    <row r="567" ht="15" customHeight="1" s="148">
      <c r="A567" t="inlineStr">
        <is>
          <t>c0563</t>
        </is>
      </c>
      <c r="B567" s="39" t="inlineStr">
        <is>
          <t>Dori, Bearer of Friends</t>
        </is>
      </c>
      <c r="C567" s="40" t="inlineStr">
        <is>
          <t>R</t>
        </is>
      </c>
      <c r="D567" s="39" t="inlineStr">
        <is>
          <t>Legendary Creature</t>
        </is>
      </c>
      <c r="E567" s="41" t="inlineStr">
        <is>
          <t>B2</t>
        </is>
      </c>
      <c r="F567" s="40" t="n">
        <v>3</v>
      </c>
      <c r="G567" s="67" t="inlineStr">
        <is>
          <t>Trample
When Dori enters, create a Treasure token. (It's an artifact with "{T}, Sacrifice this token: Add one mana of any color.")
(3/2)</t>
        </is>
      </c>
      <c r="H567" s="39" t="inlineStr">
        <is>
          <t>Ramp</t>
        </is>
      </c>
      <c r="I567" s="39" t="inlineStr">
        <is>
          <t>Enters: create a Treasure token</t>
        </is>
      </c>
      <c r="J567" s="39" t="inlineStr">
        <is>
          <t>Trample</t>
        </is>
      </c>
      <c r="K567" s="39" t="n"/>
      <c r="L567" s="42" t="n"/>
      <c r="M567" s="42" t="n"/>
      <c r="N567" s="42" t="n"/>
      <c r="O567" s="63" t="n"/>
      <c r="P567" s="63" t="n"/>
      <c r="Q567" s="42" t="n"/>
      <c r="R567" s="42" t="n"/>
      <c r="S567" s="42" t="n"/>
      <c r="T567" s="63" t="n"/>
      <c r="U567" s="63" t="n"/>
      <c r="V567" s="39" t="inlineStr">
        <is>
          <t>The Hobbit</t>
        </is>
      </c>
      <c r="W567" s="41" t="n">
        <v>1</v>
      </c>
      <c r="X567" s="37">
        <f>SUM(Y567:AE567)</f>
        <v/>
      </c>
      <c r="Y567" s="43" t="n"/>
      <c r="Z567" s="43" t="n"/>
      <c r="AA567" s="43" t="n"/>
      <c r="AB567" s="43" t="n"/>
      <c r="AC567" s="43" t="n"/>
      <c r="AD567" s="43" t="n"/>
      <c r="AE567" s="43" t="n"/>
      <c r="AF567" s="38">
        <f>IF((W567-SUM(Y567:AE567))&lt;0,0,W567-SUM(Y567:AE567))</f>
        <v/>
      </c>
      <c r="AG567" s="34">
        <f>MAX(0,$AT567-$W567-$AI567)</f>
        <v/>
      </c>
      <c r="AH567" s="39" t="n"/>
      <c r="AI567" s="39" t="n"/>
      <c r="AJ567" s="39" t="n">
        <v>0.17</v>
      </c>
      <c r="AK567" s="39">
        <f>IF(AND($AG567&gt;0,ISNUMBER($AJ567)),$AG567*$AJ567,0)</f>
        <v/>
      </c>
      <c r="AT567" s="37">
        <f>SUM(AU567:BA567)</f>
        <v/>
      </c>
      <c r="AU567" s="73" t="n"/>
      <c r="AV567" s="33" t="n"/>
      <c r="AW567" s="33" t="n"/>
      <c r="AX567" s="33" t="n"/>
      <c r="AY567" s="33" t="n"/>
      <c r="AZ567" s="33" t="n"/>
      <c r="BA567" s="74" t="n"/>
      <c r="BB567" s="107" t="n"/>
      <c r="BC567" s="42" t="n"/>
      <c r="BD567" s="42" t="n"/>
    </row>
    <row r="568" ht="15" customHeight="1" s="148">
      <c r="A568" t="inlineStr">
        <is>
          <t>c0564</t>
        </is>
      </c>
      <c r="B568" s="44" t="inlineStr">
        <is>
          <t>Dragon Fodder</t>
        </is>
      </c>
      <c r="C568" s="34" t="inlineStr">
        <is>
          <t>R</t>
        </is>
      </c>
      <c r="D568" s="44" t="inlineStr">
        <is>
          <t>Sorcery</t>
        </is>
      </c>
      <c r="E568" s="41" t="inlineStr">
        <is>
          <t>B2</t>
        </is>
      </c>
      <c r="F568" s="34" t="n">
        <v>2</v>
      </c>
      <c r="G568" s="67" t="inlineStr">
        <is>
          <t>Create two 1/1 red Goblin creature tokens.</t>
        </is>
      </c>
      <c r="H568" s="45" t="inlineStr">
        <is>
          <t>Token Producer</t>
        </is>
      </c>
      <c r="I568" s="45" t="inlineStr">
        <is>
          <t>Creates two 1/1 Goblin tokens</t>
        </is>
      </c>
      <c r="J568" s="45" t="n"/>
      <c r="K568" s="45" t="n"/>
      <c r="L568" s="42" t="n"/>
      <c r="M568" s="42" t="n"/>
      <c r="N568" s="42" t="n"/>
      <c r="O568" s="42" t="n"/>
      <c r="P568" s="42" t="n">
        <v>0.13</v>
      </c>
      <c r="Q568" s="42" t="n"/>
      <c r="R568" s="42" t="n"/>
      <c r="S568" s="42" t="n"/>
      <c r="T568" s="42" t="n"/>
      <c r="U568" s="42" t="n"/>
      <c r="V568" s="45" t="inlineStr">
        <is>
          <t>Shards of Alara</t>
        </is>
      </c>
      <c r="W568" s="41" t="n">
        <v>1</v>
      </c>
      <c r="X568" s="37">
        <f>SUM(Y568:AE568)</f>
        <v/>
      </c>
      <c r="Y568" s="43" t="n"/>
      <c r="Z568" s="43" t="n"/>
      <c r="AA568" s="43" t="n"/>
      <c r="AB568" s="43" t="n"/>
      <c r="AC568" s="43" t="n"/>
      <c r="AD568" s="43" t="n">
        <v>1</v>
      </c>
      <c r="AE568" s="43" t="n"/>
      <c r="AF568" s="38">
        <f>IF((W568-SUM(Y568:AE568))&lt;0,0,W568-SUM(Y568:AE568))</f>
        <v/>
      </c>
      <c r="AG568" s="34">
        <f>MAX(0,$AT568-$W568-$AI568)</f>
        <v/>
      </c>
      <c r="AH568" s="34" t="n"/>
      <c r="AI568" s="34" t="n"/>
      <c r="AJ568" s="36" t="n">
        <v>0.1</v>
      </c>
      <c r="AK568" s="36">
        <f>IF(AND($AG568&gt;0,ISNUMBER($AJ568)),$AG568*$AJ568,0)</f>
        <v/>
      </c>
      <c r="AQ568" s="58" t="n"/>
      <c r="AT568" s="37">
        <f>SUM(AU568:BA568)</f>
        <v/>
      </c>
      <c r="AU568" s="73" t="n"/>
      <c r="AV568" s="33" t="n"/>
      <c r="AW568" s="33" t="n"/>
      <c r="AX568" s="33" t="n"/>
      <c r="AY568" s="33" t="n"/>
      <c r="AZ568" s="98" t="n">
        <v>1</v>
      </c>
      <c r="BA568" s="74" t="n"/>
      <c r="BB568" s="106" t="n"/>
      <c r="BC568" s="42" t="n"/>
      <c r="BD568" s="42" t="n"/>
    </row>
    <row r="569" ht="15" customHeight="1" s="148">
      <c r="A569" t="inlineStr">
        <is>
          <t>c0565</t>
        </is>
      </c>
      <c r="B569" s="44" t="inlineStr">
        <is>
          <t>Dwarven Mauler</t>
        </is>
      </c>
      <c r="C569" s="34" t="inlineStr">
        <is>
          <t>R</t>
        </is>
      </c>
      <c r="D569" s="44" t="inlineStr">
        <is>
          <t>Creature</t>
        </is>
      </c>
      <c r="E569" s="41" t="inlineStr">
        <is>
          <t>B2</t>
        </is>
      </c>
      <c r="F569" s="34" t="n">
        <v>1</v>
      </c>
      <c r="G569" s="67" t="inlineStr">
        <is>
          <t>Equip abilities you activate that target this creature cost {2} less to activate.
(2/1)</t>
        </is>
      </c>
      <c r="H569" s="45" t="inlineStr">
        <is>
          <t>Cost Reducer</t>
        </is>
      </c>
      <c r="I569" s="45" t="inlineStr">
        <is>
          <t>Reduces equip costs targeting itself by {2}</t>
        </is>
      </c>
      <c r="J569" s="45" t="inlineStr">
        <is>
          <t>Cheap 1-drop body</t>
        </is>
      </c>
      <c r="K569" s="45" t="n"/>
      <c r="L569" s="42" t="n"/>
      <c r="M569" s="42" t="n"/>
      <c r="N569" s="42" t="n"/>
      <c r="O569" s="63" t="n"/>
      <c r="P569" s="63" t="n">
        <v>0.25</v>
      </c>
      <c r="Q569" s="42" t="n"/>
      <c r="R569" s="42" t="n"/>
      <c r="S569" s="42" t="n"/>
      <c r="T569" s="63" t="n"/>
      <c r="U569" s="63" t="n"/>
      <c r="V569" s="45" t="inlineStr">
        <is>
          <t>The Hobbit</t>
        </is>
      </c>
      <c r="W569" s="41" t="n">
        <v>1</v>
      </c>
      <c r="X569" s="37">
        <f>SUM(Y569:AE569)</f>
        <v/>
      </c>
      <c r="Y569" s="43" t="n"/>
      <c r="Z569" s="43" t="n"/>
      <c r="AA569" s="43" t="n"/>
      <c r="AB569" s="43" t="n"/>
      <c r="AC569" s="43" t="n"/>
      <c r="AD569" s="43" t="n"/>
      <c r="AE569" s="43" t="n"/>
      <c r="AF569" s="38">
        <f>IF((W569-SUM(Y569:AE569))&lt;0,0,W569-SUM(Y569:AE569))</f>
        <v/>
      </c>
      <c r="AG569" s="34">
        <f>MAX(0,$AT569-$W569-$AI569)</f>
        <v/>
      </c>
      <c r="AH569" s="34" t="n"/>
      <c r="AI569" s="34" t="n"/>
      <c r="AJ569" s="36" t="n">
        <v>0.28</v>
      </c>
      <c r="AK569" s="36">
        <f>IF(AND($AG569&gt;0,ISNUMBER($AJ569)),$AG569*$AJ569,0)</f>
        <v/>
      </c>
      <c r="AT569" s="37">
        <f>SUM(AU569:BA569)</f>
        <v/>
      </c>
      <c r="AU569" s="73" t="n"/>
      <c r="AV569" s="33" t="n"/>
      <c r="AW569" s="33" t="n"/>
      <c r="AX569" s="33" t="n"/>
      <c r="AY569" s="33" t="n"/>
      <c r="AZ569" s="33" t="n"/>
      <c r="BA569" s="74" t="n"/>
      <c r="BB569" s="106" t="n"/>
      <c r="BC569" s="42" t="n"/>
      <c r="BD569" s="42" t="n"/>
    </row>
    <row r="570" ht="15" customHeight="1" s="148">
      <c r="A570" t="inlineStr">
        <is>
          <t>c0566</t>
        </is>
      </c>
      <c r="B570" s="44" t="inlineStr">
        <is>
          <t>Empty the Warrens</t>
        </is>
      </c>
      <c r="C570" s="34" t="inlineStr">
        <is>
          <t>R</t>
        </is>
      </c>
      <c r="D570" s="44" t="inlineStr">
        <is>
          <t>Sorcery</t>
        </is>
      </c>
      <c r="E570" s="41" t="inlineStr">
        <is>
          <t>B2</t>
        </is>
      </c>
      <c r="F570" s="34" t="n">
        <v>4</v>
      </c>
      <c r="G570" s="67" t="inlineStr">
        <is>
          <t>Create two 1/1 red Goblin creature tokens.
Storm (When you cast this spell, copy it for each spell cast before it this turn.)</t>
        </is>
      </c>
      <c r="H570" s="45" t="inlineStr">
        <is>
          <t>Token Producer</t>
        </is>
      </c>
      <c r="I570" s="45" t="inlineStr">
        <is>
          <t>Creates two 1/1 Goblin tokens</t>
        </is>
      </c>
      <c r="J570" s="45" t="inlineStr">
        <is>
          <t>Copied for each spell already cast this turn (Storm)</t>
        </is>
      </c>
      <c r="K570" s="45" t="n"/>
      <c r="L570" s="42" t="n"/>
      <c r="M570" s="42" t="n"/>
      <c r="N570" s="42" t="n"/>
      <c r="O570" s="42" t="n"/>
      <c r="P570" s="42" t="n">
        <v>0.15</v>
      </c>
      <c r="Q570" s="42" t="n"/>
      <c r="R570" s="42" t="n"/>
      <c r="S570" s="42" t="n"/>
      <c r="T570" s="42" t="n"/>
      <c r="U570" s="42" t="n"/>
      <c r="V570" s="45" t="inlineStr">
        <is>
          <t>Time Spiral</t>
        </is>
      </c>
      <c r="W570" s="41" t="n">
        <v>1</v>
      </c>
      <c r="X570" s="37">
        <f>SUM(Y570:AE570)</f>
        <v/>
      </c>
      <c r="Y570" s="43" t="n"/>
      <c r="Z570" s="43" t="n"/>
      <c r="AA570" s="43" t="n"/>
      <c r="AB570" s="43" t="n"/>
      <c r="AC570" s="43" t="n"/>
      <c r="AD570" s="43" t="n">
        <v>1</v>
      </c>
      <c r="AE570" s="43" t="n"/>
      <c r="AF570" s="38">
        <f>IF((W570-SUM(Y570:AE570))&lt;0,0,W570-SUM(Y570:AE570))</f>
        <v/>
      </c>
      <c r="AG570" s="34">
        <f>MAX(0,$AT570-$W570-$AI570)</f>
        <v/>
      </c>
      <c r="AH570" s="34" t="n"/>
      <c r="AI570" s="34" t="n"/>
      <c r="AJ570" s="36" t="n">
        <v>0.15</v>
      </c>
      <c r="AK570" s="36">
        <f>IF(AND($AG570&gt;0,ISNUMBER($AJ570)),$AG570*$AJ570,0)</f>
        <v/>
      </c>
      <c r="AQ570" s="58" t="n"/>
      <c r="AT570" s="37">
        <f>SUM(AU570:BA570)</f>
        <v/>
      </c>
      <c r="AU570" s="73" t="n"/>
      <c r="AV570" s="33" t="n"/>
      <c r="AW570" s="33" t="n"/>
      <c r="AX570" s="33" t="n"/>
      <c r="AY570" s="33" t="n"/>
      <c r="AZ570" s="98" t="n">
        <v>1</v>
      </c>
      <c r="BA570" s="74" t="n"/>
      <c r="BB570" s="106" t="n"/>
      <c r="BC570" s="42" t="n"/>
      <c r="BD570" s="42" t="n"/>
    </row>
    <row r="571" ht="15" customHeight="1" s="148">
      <c r="A571" t="inlineStr">
        <is>
          <t>c0567</t>
        </is>
      </c>
      <c r="B571" s="44" t="inlineStr">
        <is>
          <t>Enraged Flamecaster</t>
        </is>
      </c>
      <c r="C571" s="34" t="inlineStr">
        <is>
          <t>R</t>
        </is>
      </c>
      <c r="D571" s="44" t="inlineStr">
        <is>
          <t>Creature</t>
        </is>
      </c>
      <c r="E571" s="41" t="inlineStr">
        <is>
          <t>B2</t>
        </is>
      </c>
      <c r="F571" s="34" t="n">
        <v>3</v>
      </c>
      <c r="G571" s="67" t="inlineStr">
        <is>
          <t>Reach
Whenever you cast a spell with mana value 4 or greater, this creature deals 2 damage to each opponent.
(3/2)</t>
        </is>
      </c>
      <c r="H571" s="45" t="inlineStr">
        <is>
          <t>Burn</t>
        </is>
      </c>
      <c r="I571" s="45" t="inlineStr">
        <is>
          <t>Deals 2 damage to each opponent when you cast a spell MV 4 or greater</t>
        </is>
      </c>
      <c r="J571" s="45" t="n"/>
      <c r="K571" s="45" t="n"/>
      <c r="L571" s="42" t="n"/>
      <c r="M571" s="42" t="n"/>
      <c r="N571" s="42" t="n"/>
      <c r="O571" s="63" t="n"/>
      <c r="P571" s="63" t="n">
        <v>0.14</v>
      </c>
      <c r="Q571" s="42" t="n"/>
      <c r="R571" s="42" t="n"/>
      <c r="S571" s="42" t="n"/>
      <c r="T571" s="63" t="n"/>
      <c r="U571" s="63" t="n"/>
      <c r="V571" s="45" t="inlineStr">
        <is>
          <t>Lorwyn Eclipsed</t>
        </is>
      </c>
      <c r="W571" s="41" t="n">
        <v>2</v>
      </c>
      <c r="X571" s="37">
        <f>SUM(Y571:AE571)</f>
        <v/>
      </c>
      <c r="Y571" s="43" t="n"/>
      <c r="Z571" s="43" t="n"/>
      <c r="AA571" s="43" t="n"/>
      <c r="AB571" s="43" t="n"/>
      <c r="AC571" s="43" t="n"/>
      <c r="AD571" s="43" t="n"/>
      <c r="AE571" s="43" t="n"/>
      <c r="AF571" s="38">
        <f>IF((W571-SUM(Y571:AE571))&lt;0,0,W571-SUM(Y571:AE571))</f>
        <v/>
      </c>
      <c r="AG571" s="34">
        <f>MAX(0,$AT571-$W571-$AI571)</f>
        <v/>
      </c>
      <c r="AH571" s="34" t="n"/>
      <c r="AI571" s="34" t="n"/>
      <c r="AJ571" s="36" t="n">
        <v>0.18</v>
      </c>
      <c r="AK571" s="36">
        <f>IF(AND($AG571&gt;0,ISNUMBER($AJ571)),$AG571*$AJ571,0)</f>
        <v/>
      </c>
      <c r="AT571" s="37">
        <f>SUM(AU571:BA571)</f>
        <v/>
      </c>
      <c r="AU571" s="73" t="n"/>
      <c r="AV571" s="33" t="n"/>
      <c r="AW571" s="33" t="n"/>
      <c r="AX571" s="33" t="n"/>
      <c r="AY571" s="33" t="n"/>
      <c r="AZ571" s="33" t="n"/>
      <c r="BA571" s="74" t="n"/>
      <c r="BB571" s="106" t="n"/>
      <c r="BC571" s="42" t="n"/>
      <c r="BD571" s="42" t="n"/>
    </row>
    <row r="572" ht="15" customHeight="1" s="148">
      <c r="A572" t="inlineStr">
        <is>
          <t>c0568</t>
        </is>
      </c>
      <c r="B572" s="39" t="inlineStr">
        <is>
          <t>Explosive Prodigy</t>
        </is>
      </c>
      <c r="C572" s="40" t="inlineStr">
        <is>
          <t>R</t>
        </is>
      </c>
      <c r="D572" s="39" t="inlineStr">
        <is>
          <t>Creature</t>
        </is>
      </c>
      <c r="E572" s="41" t="inlineStr">
        <is>
          <t>B2</t>
        </is>
      </c>
      <c r="F572" s="40" t="n">
        <v>2</v>
      </c>
      <c r="G572" s="67" t="inlineStr">
        <is>
          <t>Vivid — When this creature enters, it deals X damage to target creature an opponent controls, where X is the number of colors among permanents you control.
(1/1)</t>
        </is>
      </c>
      <c r="H572" s="39" t="inlineStr">
        <is>
          <t>Removal</t>
        </is>
      </c>
      <c r="I572" s="39" t="inlineStr">
        <is>
          <t>Enters: deals X damage to target creature an opponent controls, where X is the number of colors among your permanents</t>
        </is>
      </c>
      <c r="J572" s="39" t="n"/>
      <c r="K572" s="39" t="n"/>
      <c r="L572" s="42" t="n"/>
      <c r="M572" s="42" t="n"/>
      <c r="N572" s="42" t="n"/>
      <c r="O572" s="63" t="n"/>
      <c r="P572" s="63" t="n"/>
      <c r="Q572" s="42" t="n"/>
      <c r="R572" s="42" t="n"/>
      <c r="S572" s="42" t="n"/>
      <c r="T572" s="63" t="n"/>
      <c r="U572" s="63" t="n"/>
      <c r="V572" s="39" t="inlineStr">
        <is>
          <t>Lorwyn Eclipsed</t>
        </is>
      </c>
      <c r="W572" s="41" t="n">
        <v>1</v>
      </c>
      <c r="X572" s="37">
        <f>SUM(Y572:AE572)</f>
        <v/>
      </c>
      <c r="Y572" s="43" t="n"/>
      <c r="Z572" s="43" t="n"/>
      <c r="AA572" s="43" t="n"/>
      <c r="AB572" s="43" t="n"/>
      <c r="AC572" s="43" t="n"/>
      <c r="AD572" s="43" t="n"/>
      <c r="AE572" s="43" t="n"/>
      <c r="AF572" s="38">
        <f>IF((W572-SUM(Y572:AE572))&lt;0,0,W572-SUM(Y572:AE572))</f>
        <v/>
      </c>
      <c r="AG572" s="34">
        <f>MAX(0,$AT572-$W572-$AI572)</f>
        <v/>
      </c>
      <c r="AH572" s="39" t="n"/>
      <c r="AI572" s="39" t="n"/>
      <c r="AJ572" s="39" t="n">
        <v>0.17</v>
      </c>
      <c r="AK572" s="39">
        <f>IF(AND($AG572&gt;0,ISNUMBER($AJ572)),$AG572*$AJ572,0)</f>
        <v/>
      </c>
      <c r="AT572" s="37">
        <f>SUM(AU572:BA572)</f>
        <v/>
      </c>
      <c r="AU572" s="73" t="n"/>
      <c r="AV572" s="33" t="n"/>
      <c r="AW572" s="33" t="n"/>
      <c r="AX572" s="33" t="n"/>
      <c r="AY572" s="33" t="n"/>
      <c r="AZ572" s="33" t="n"/>
      <c r="BA572" s="74" t="n"/>
      <c r="BB572" s="107" t="n"/>
      <c r="BC572" s="42" t="n"/>
      <c r="BD572" s="42" t="n"/>
    </row>
    <row r="573" ht="15" customHeight="1" s="148">
      <c r="A573" t="inlineStr">
        <is>
          <t>c0569</t>
        </is>
      </c>
      <c r="B573" s="30" t="inlineStr">
        <is>
          <t>Expressive Firedancer</t>
        </is>
      </c>
      <c r="C573" s="31" t="inlineStr">
        <is>
          <t>R</t>
        </is>
      </c>
      <c r="D573" s="30" t="inlineStr">
        <is>
          <t>Creature</t>
        </is>
      </c>
      <c r="E573" s="33" t="inlineStr">
        <is>
          <t>B2</t>
        </is>
      </c>
      <c r="F573" s="31" t="n">
        <v>2</v>
      </c>
      <c r="G573" s="67" t="inlineStr">
        <is>
          <t>Opus — Whenever you cast an instant or sorcery spell, this creature gets +1/+1 until end of turn. If five or more mana was spent to cast that spell, this creature also gains double strike until end of turn.
(2/2)</t>
        </is>
      </c>
      <c r="H573" s="30" t="inlineStr">
        <is>
          <t>Utility Creature</t>
        </is>
      </c>
      <c r="I573" s="30" t="inlineStr">
        <is>
          <t>Opus — whenever you cast an instant or sorcery, this creature gets +1/+1 until end of turn</t>
        </is>
      </c>
      <c r="J573" s="30" t="inlineStr">
        <is>
          <t>It also gains double strike if five or more mana was spent to cast that spell</t>
        </is>
      </c>
      <c r="K573" s="30" t="n"/>
      <c r="L573" s="32" t="inlineStr">
        <is>
          <t>114</t>
        </is>
      </c>
      <c r="M573" s="32" t="n">
        <v>1</v>
      </c>
      <c r="N573" s="32" t="n">
        <v>0</v>
      </c>
      <c r="O573" s="63" t="n"/>
      <c r="P573" s="63" t="n">
        <v>0.05</v>
      </c>
      <c r="Q573" s="32" t="inlineStr">
        <is>
          <t>Common</t>
        </is>
      </c>
      <c r="R573" s="32" t="n"/>
      <c r="S573" s="32" t="n"/>
      <c r="T573" s="63" t="n"/>
      <c r="U573" s="63" t="n"/>
      <c r="V573" s="30" t="inlineStr">
        <is>
          <t>Secrets of Strixhaven</t>
        </is>
      </c>
      <c r="W573" s="41" t="n">
        <v>1</v>
      </c>
      <c r="X573" s="37">
        <f>SUM(Y573:AE573)</f>
        <v/>
      </c>
      <c r="Y573" s="43" t="n"/>
      <c r="Z573" s="43" t="n"/>
      <c r="AA573" s="43" t="n"/>
      <c r="AB573" s="43" t="n"/>
      <c r="AC573" s="43" t="n"/>
      <c r="AD573" s="43" t="n"/>
      <c r="AE573" s="43" t="n"/>
      <c r="AF573" s="38">
        <f>IF((W573-SUM(Y573:AE573))&lt;0,0,W573-SUM(Y573:AE573))</f>
        <v/>
      </c>
      <c r="AG573" s="34">
        <f>MAX(0,$AT573-$W573-$AI573)</f>
        <v/>
      </c>
      <c r="AH573" s="30" t="n"/>
      <c r="AI573" s="30" t="n"/>
      <c r="AJ573" s="35" t="n">
        <v>0.05</v>
      </c>
      <c r="AK573" s="36">
        <f>IF(AND($AG573&gt;0,ISNUMBER($AJ573)),$AG573*$AJ573,0)</f>
        <v/>
      </c>
      <c r="AT573" s="37">
        <f>SUM(AU573:BA573)</f>
        <v/>
      </c>
      <c r="AU573" s="73" t="n"/>
      <c r="AV573" s="33" t="n"/>
      <c r="AW573" s="33" t="n"/>
      <c r="AX573" s="33" t="n"/>
      <c r="AY573" s="33" t="n"/>
      <c r="AZ573" s="33" t="n"/>
      <c r="BA573" s="74" t="n"/>
      <c r="BB573" s="108" t="n"/>
      <c r="BC573" s="32" t="n"/>
      <c r="BD573" s="32" t="n"/>
    </row>
    <row r="574" ht="15" customHeight="1" s="148">
      <c r="A574" t="inlineStr">
        <is>
          <t>c0570</t>
        </is>
      </c>
      <c r="B574" s="44" t="inlineStr">
        <is>
          <t>Fable of the Mirror-Breaker</t>
        </is>
      </c>
      <c r="C574" s="34" t="inlineStr">
        <is>
          <t>R</t>
        </is>
      </c>
      <c r="D574" s="44" t="inlineStr">
        <is>
          <t>Enchantment</t>
        </is>
      </c>
      <c r="E574" s="41" t="inlineStr">
        <is>
          <t>B3</t>
        </is>
      </c>
      <c r="F574" s="34" t="n">
        <v>3</v>
      </c>
      <c r="G574" s="67" t="inlineStr">
        <is>
          <t>Fable of the Mirror-Breaker {2}{R} — Enchantment — Saga
(As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
//
Reflection of Kiki-Jiki — Enchantment Creature — Goblin Shaman (2/2)
{1}, {T}: Create a token that's a copy of another target nonlegendary creature you control, except it has haste. Sacrifice it at the beginning of the next end step.</t>
        </is>
      </c>
      <c r="H574" s="45" t="inlineStr">
        <is>
          <t>Value Engine</t>
        </is>
      </c>
      <c r="I574" s="45" t="inlineStr">
        <is>
          <t>(As this Saga enters and after your draw step, add a lore counter.)
I — Create a 2/2 red Goblin Shaman creature token wi</t>
        </is>
      </c>
      <c r="J574" s="45" t="n"/>
      <c r="K574" s="45" t="n"/>
      <c r="L574" s="41" t="n"/>
      <c r="M574" s="41" t="n"/>
      <c r="N574" s="41" t="n"/>
      <c r="O574" s="41" t="n"/>
      <c r="P574" s="41" t="n"/>
      <c r="Q574" s="41" t="n"/>
      <c r="R574" s="41" t="n"/>
      <c r="S574" s="41" t="n"/>
      <c r="T574" s="41" t="n"/>
      <c r="U574" s="41" t="n"/>
      <c r="V574" s="45" t="inlineStr">
        <is>
          <t>Kamigawa: Neon Dynasty</t>
        </is>
      </c>
      <c r="W574" s="41" t="n">
        <v>1</v>
      </c>
      <c r="X574" s="37">
        <f>SUM(Y574:AE574)</f>
        <v/>
      </c>
      <c r="Y574" s="43" t="n"/>
      <c r="Z574" s="43" t="n"/>
      <c r="AA574" s="43" t="n"/>
      <c r="AB574" s="43" t="n"/>
      <c r="AC574" s="43" t="n"/>
      <c r="AD574" s="43" t="n">
        <v>1</v>
      </c>
      <c r="AE574" s="43" t="n"/>
      <c r="AF574" s="38">
        <f>IF((W574-SUM(Y574:AE574))&lt;0,0,W574-SUM(Y574:AE574))</f>
        <v/>
      </c>
      <c r="AG574" s="34">
        <f>MAX(0,$AT574-$W574-$AI574)</f>
        <v/>
      </c>
      <c r="AH574" s="34" t="n"/>
      <c r="AI574" s="34" t="n"/>
      <c r="AJ574" s="36" t="n">
        <v>6.72</v>
      </c>
      <c r="AK574" s="36">
        <f>IF(AND($AG574&gt;0,ISNUMBER($AJ574)),$AG574*$AJ574,0)</f>
        <v/>
      </c>
      <c r="AT574" s="37">
        <f>SUM(AU574:BA574)</f>
        <v/>
      </c>
      <c r="AU574" s="73" t="n"/>
      <c r="AV574" s="33" t="n"/>
      <c r="AW574" s="33" t="n"/>
      <c r="AX574" s="33" t="n"/>
      <c r="AY574" s="33" t="n"/>
      <c r="AZ574" s="98" t="n">
        <v>1</v>
      </c>
      <c r="BA574" s="74" t="n"/>
      <c r="BB574" s="106" t="n"/>
      <c r="BC574" s="42" t="n"/>
      <c r="BD574" s="42" t="n"/>
    </row>
    <row r="575" ht="15" customHeight="1" s="148">
      <c r="A575" t="inlineStr">
        <is>
          <t>c0571</t>
        </is>
      </c>
      <c r="B575" s="44" t="inlineStr">
        <is>
          <t>Faithless Looting</t>
        </is>
      </c>
      <c r="C575" s="34" t="inlineStr">
        <is>
          <t>R</t>
        </is>
      </c>
      <c r="D575" s="44" t="inlineStr">
        <is>
          <t>Sorcery</t>
        </is>
      </c>
      <c r="E575" s="41" t="inlineStr">
        <is>
          <t>B2</t>
        </is>
      </c>
      <c r="F575" s="34" t="n">
        <v>1</v>
      </c>
      <c r="G575" s="67" t="inlineStr">
        <is>
          <t>Draw two cards, then discard two cards.
Flashback {2}{R} (You may cast this card from your graveyard for its flashback cost. Then exile it.)</t>
        </is>
      </c>
      <c r="H575" s="45" t="inlineStr">
        <is>
          <t>Discard/Looting</t>
        </is>
      </c>
      <c r="I575" s="45" t="inlineStr">
        <is>
          <t>Draw two cards, then discard two cards</t>
        </is>
      </c>
      <c r="J575" s="45" t="inlineStr">
        <is>
          <t>Flashback lets you cast it again from graveyard</t>
        </is>
      </c>
      <c r="K575" s="45" t="n"/>
      <c r="L575" s="41" t="n"/>
      <c r="M575" s="41" t="n"/>
      <c r="N575" s="41" t="n"/>
      <c r="O575" s="41" t="n"/>
      <c r="P575" s="41" t="n">
        <v>0.37</v>
      </c>
      <c r="Q575" s="41" t="n"/>
      <c r="R575" s="41" t="n"/>
      <c r="S575" s="41" t="n"/>
      <c r="T575" s="41" t="n"/>
      <c r="U575" s="41" t="n"/>
      <c r="V575" s="45" t="inlineStr">
        <is>
          <t>Dark Ascension</t>
        </is>
      </c>
      <c r="W575" s="41" t="n">
        <v>2</v>
      </c>
      <c r="X575" s="37">
        <f>SUM(Y575:AE575)</f>
        <v/>
      </c>
      <c r="Y575" s="43" t="n">
        <v>1</v>
      </c>
      <c r="Z575" s="43" t="n"/>
      <c r="AA575" s="43" t="n"/>
      <c r="AB575" s="43" t="n"/>
      <c r="AC575" s="43" t="n"/>
      <c r="AD575" s="43" t="n"/>
      <c r="AE575" s="43" t="n"/>
      <c r="AF575" s="38">
        <f>IF((W575-SUM(Y575:AE575))&lt;0,0,W575-SUM(Y575:AE575))</f>
        <v/>
      </c>
      <c r="AG575" s="34">
        <f>MAX(0,$AT575-$W575-$AI575)</f>
        <v/>
      </c>
      <c r="AH575" s="34" t="n"/>
      <c r="AI575" s="34" t="n"/>
      <c r="AJ575" s="36" t="n">
        <v>0.39</v>
      </c>
      <c r="AK575" s="36">
        <f>IF(AND($AG575&gt;0,ISNUMBER($AJ575)),$AG575*$AJ575,0)</f>
        <v/>
      </c>
      <c r="AL575" s="58" t="n"/>
      <c r="AT575" s="37">
        <f>SUM(AU575:BA575)</f>
        <v/>
      </c>
      <c r="AU575" s="82" t="n">
        <v>1</v>
      </c>
      <c r="AV575" s="33" t="n"/>
      <c r="AW575" s="33" t="n"/>
      <c r="AX575" s="33" t="n"/>
      <c r="AY575" s="33" t="n"/>
      <c r="AZ575" s="33" t="n"/>
      <c r="BA575" s="74" t="n"/>
      <c r="BB575" s="106" t="n"/>
      <c r="BC575" s="42" t="n"/>
      <c r="BD575" s="42" t="n"/>
    </row>
    <row r="576" ht="15" customHeight="1" s="148">
      <c r="A576" t="inlineStr">
        <is>
          <t>c0572</t>
        </is>
      </c>
      <c r="B576" s="44" t="inlineStr">
        <is>
          <t>Fanatical Firebrand</t>
        </is>
      </c>
      <c r="C576" s="34" t="inlineStr">
        <is>
          <t>R</t>
        </is>
      </c>
      <c r="D576" s="44" t="inlineStr">
        <is>
          <t>Creature</t>
        </is>
      </c>
      <c r="E576" s="41" t="inlineStr">
        <is>
          <t>B2</t>
        </is>
      </c>
      <c r="F576" s="34" t="n">
        <v>1</v>
      </c>
      <c r="G576" s="67" t="inlineStr">
        <is>
          <t>Haste (This creature can attack and {T} as soon as it comes under your control.)
{T}, Sacrifice this creature: It deals 1 damage to any target.
(1/1)</t>
        </is>
      </c>
      <c r="H576" s="45" t="inlineStr">
        <is>
          <t>Burn</t>
        </is>
      </c>
      <c r="I576" s="45" t="inlineStr">
        <is>
          <t>Sacrifice: deals 1 damage to any target</t>
        </is>
      </c>
      <c r="J576" s="45" t="inlineStr">
        <is>
          <t>Can attack immediately (haste)</t>
        </is>
      </c>
      <c r="K576" s="45" t="n"/>
      <c r="L576" s="42" t="n"/>
      <c r="M576" s="42" t="n"/>
      <c r="N576" s="42" t="n"/>
      <c r="O576" s="42" t="n"/>
      <c r="P576" s="42" t="n">
        <v>0.23</v>
      </c>
      <c r="Q576" s="42" t="n"/>
      <c r="R576" s="42" t="n"/>
      <c r="S576" s="42" t="n"/>
      <c r="T576" s="42" t="n"/>
      <c r="U576" s="42" t="n"/>
      <c r="V576" s="45" t="inlineStr">
        <is>
          <t>Rivals of Ixalan</t>
        </is>
      </c>
      <c r="W576" s="41" t="n">
        <v>1</v>
      </c>
      <c r="X576" s="37">
        <f>SUM(Y576:AE576)</f>
        <v/>
      </c>
      <c r="Y576" s="43" t="n"/>
      <c r="Z576" s="43" t="n"/>
      <c r="AA576" s="43" t="n"/>
      <c r="AB576" s="43" t="n"/>
      <c r="AC576" s="43" t="n"/>
      <c r="AD576" s="43" t="n">
        <v>1</v>
      </c>
      <c r="AE576" s="43" t="n"/>
      <c r="AF576" s="38">
        <f>IF((W576-SUM(Y576:AE576))&lt;0,0,W576-SUM(Y576:AE576))</f>
        <v/>
      </c>
      <c r="AG576" s="34">
        <f>MAX(0,$AT576-$W576-$AI576)</f>
        <v/>
      </c>
      <c r="AH576" s="34" t="n"/>
      <c r="AI576" s="34" t="n"/>
      <c r="AJ576" s="36" t="n">
        <v>0.25</v>
      </c>
      <c r="AK576" s="36">
        <f>IF(AND($AG576&gt;0,ISNUMBER($AJ576)),$AG576*$AJ576,0)</f>
        <v/>
      </c>
      <c r="AQ576" s="58" t="n"/>
      <c r="AT576" s="37">
        <f>SUM(AU576:BA576)</f>
        <v/>
      </c>
      <c r="AU576" s="73" t="n"/>
      <c r="AV576" s="33" t="n"/>
      <c r="AW576" s="33" t="n"/>
      <c r="AX576" s="33" t="n"/>
      <c r="AY576" s="33" t="n"/>
      <c r="AZ576" s="98" t="n">
        <v>1</v>
      </c>
      <c r="BA576" s="74" t="n"/>
      <c r="BB576" s="106" t="n"/>
      <c r="BC576" s="42" t="n"/>
      <c r="BD576" s="42" t="n"/>
    </row>
    <row r="577" ht="15" customHeight="1" s="148">
      <c r="A577" t="inlineStr">
        <is>
          <t>c0573</t>
        </is>
      </c>
      <c r="B577" s="44" t="inlineStr">
        <is>
          <t>Fateful Tempest</t>
        </is>
      </c>
      <c r="C577" s="34" t="inlineStr">
        <is>
          <t>R</t>
        </is>
      </c>
      <c r="D577" s="44" t="inlineStr">
        <is>
          <t>Sorcery</t>
        </is>
      </c>
      <c r="E577" s="41" t="inlineStr">
        <is>
          <t>B2</t>
        </is>
      </c>
      <c r="F577" s="34" t="n">
        <v>3</v>
      </c>
      <c r="G577" s="67" t="inlineStr">
        <is>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is>
      </c>
      <c r="H577" s="45" t="inlineStr">
        <is>
          <t>Burn</t>
        </is>
      </c>
      <c r="I577" s="45" t="inlineStr">
        <is>
          <t>Deals damage to each opponent equal to mana value milled by votes</t>
        </is>
      </c>
      <c r="J577" s="45" t="inlineStr">
        <is>
          <t>Exiles cards you may play until end of next turn for present votes</t>
        </is>
      </c>
      <c r="K577" s="45" t="n"/>
      <c r="L577" s="42" t="n"/>
      <c r="M577" s="42" t="n"/>
      <c r="N577" s="42" t="n"/>
      <c r="O577" s="63" t="n"/>
      <c r="P577" s="63" t="n">
        <v>0.2</v>
      </c>
      <c r="Q577" s="42" t="n"/>
      <c r="R577" s="42" t="n"/>
      <c r="S577" s="42" t="n"/>
      <c r="T577" s="63" t="n"/>
      <c r="U577" s="63" t="n"/>
      <c r="V577" s="45" t="inlineStr">
        <is>
          <t>Secrets of Strixhaven Commander</t>
        </is>
      </c>
      <c r="W577" s="41" t="n">
        <v>1</v>
      </c>
      <c r="X577" s="37">
        <f>SUM(Y577:AE577)</f>
        <v/>
      </c>
      <c r="Y577" s="43" t="n"/>
      <c r="Z577" s="43" t="n"/>
      <c r="AA577" s="43" t="n"/>
      <c r="AB577" s="43" t="n"/>
      <c r="AC577" s="43" t="n"/>
      <c r="AD577" s="43" t="n"/>
      <c r="AE577" s="43" t="n"/>
      <c r="AF577" s="38">
        <f>IF((W577-SUM(Y577:AE577))&lt;0,0,W577-SUM(Y577:AE577))</f>
        <v/>
      </c>
      <c r="AG577" s="34">
        <f>MAX(0,$AT577-$W577-$AI577)</f>
        <v/>
      </c>
      <c r="AH577" s="34" t="n"/>
      <c r="AI577" s="34" t="n"/>
      <c r="AJ577" s="36" t="n">
        <v>0.21</v>
      </c>
      <c r="AK577" s="36">
        <f>IF(AND($AG577&gt;0,ISNUMBER($AJ577)),$AG577*$AJ577,0)</f>
        <v/>
      </c>
      <c r="AT577" s="37">
        <f>SUM(AU577:BA577)</f>
        <v/>
      </c>
      <c r="AU577" s="73" t="n"/>
      <c r="AV577" s="33" t="n"/>
      <c r="AW577" s="33" t="n"/>
      <c r="AX577" s="33" t="n"/>
      <c r="AY577" s="33" t="n"/>
      <c r="AZ577" s="33" t="n"/>
      <c r="BA577" s="74" t="n"/>
      <c r="BB577" s="106" t="n"/>
      <c r="BC577" s="42" t="n"/>
      <c r="BD577" s="42" t="n"/>
    </row>
    <row r="578" ht="15" customHeight="1" s="148">
      <c r="A578" t="inlineStr">
        <is>
          <t>c0574</t>
        </is>
      </c>
      <c r="B578" s="44" t="inlineStr">
        <is>
          <t>Fervor</t>
        </is>
      </c>
      <c r="C578" s="34" t="inlineStr">
        <is>
          <t>R</t>
        </is>
      </c>
      <c r="D578" s="44" t="inlineStr">
        <is>
          <t>Enchantment</t>
        </is>
      </c>
      <c r="E578" s="41" t="inlineStr">
        <is>
          <t>B3</t>
        </is>
      </c>
      <c r="F578" s="34" t="n">
        <v>3</v>
      </c>
      <c r="G578" s="67" t="inlineStr">
        <is>
          <t>Creatures you control have haste. (They can attack and {T} as soon as they come under your control.)</t>
        </is>
      </c>
      <c r="H578" s="45" t="inlineStr">
        <is>
          <t>Haste Enabler</t>
        </is>
      </c>
      <c r="I578" s="45" t="inlineStr">
        <is>
          <t>Creatures you control have haste. (They can attack and {T} as soon as they come under your control.)</t>
        </is>
      </c>
      <c r="J578" s="45" t="n"/>
      <c r="K578" s="45" t="n"/>
      <c r="L578" s="41" t="n"/>
      <c r="M578" s="41" t="n"/>
      <c r="N578" s="41" t="n"/>
      <c r="O578" s="41" t="n"/>
      <c r="P578" s="41" t="n">
        <v>5.2</v>
      </c>
      <c r="Q578" s="41" t="n"/>
      <c r="R578" s="41" t="n"/>
      <c r="S578" s="41" t="n"/>
      <c r="T578" s="41" t="n"/>
      <c r="U578" s="41" t="n"/>
      <c r="V578" s="45" t="inlineStr">
        <is>
          <t>Weatherlight</t>
        </is>
      </c>
      <c r="W578" s="41" t="n">
        <v>0</v>
      </c>
      <c r="X578" s="37">
        <f>SUM(Y578:AE578)</f>
        <v/>
      </c>
      <c r="Y578" s="43" t="n"/>
      <c r="Z578" s="43" t="n"/>
      <c r="AA578" s="43" t="n"/>
      <c r="AB578" s="43" t="n"/>
      <c r="AC578" s="43" t="n"/>
      <c r="AD578" s="43" t="n"/>
      <c r="AE578" s="43" t="n"/>
      <c r="AF578" s="38">
        <f>IF((W578-SUM(Y578:AE578))&lt;0,0,W578-SUM(Y578:AE578))</f>
        <v/>
      </c>
      <c r="AG578" s="34">
        <f>MAX(0,$AT578-$W578-$AI578)</f>
        <v/>
      </c>
      <c r="AH578" s="34" t="n"/>
      <c r="AI578" s="34" t="n"/>
      <c r="AJ578" s="36" t="n">
        <v>2.22</v>
      </c>
      <c r="AK578" s="36">
        <f>IF(AND($AG578&gt;0,ISNUMBER($AJ578)),$AG578*$AJ578,0)</f>
        <v/>
      </c>
      <c r="AL578" s="54" t="n"/>
      <c r="AM578" s="54" t="n"/>
      <c r="AN578" s="54" t="n"/>
      <c r="AO578" s="54" t="n"/>
      <c r="AP578" s="54" t="n"/>
      <c r="AQ578" s="54" t="n"/>
      <c r="AR578" s="54" t="n"/>
      <c r="AS578" s="54" t="n"/>
      <c r="AT578" s="37">
        <f>SUM(AU578:BA578)</f>
        <v/>
      </c>
      <c r="AU578" s="92" t="n"/>
      <c r="AV578" s="38" t="n"/>
      <c r="AW578" s="38" t="n"/>
      <c r="AX578" s="38" t="n"/>
      <c r="AY578" s="38" t="n"/>
      <c r="AZ578" s="38" t="n"/>
      <c r="BA578" s="94" t="n"/>
      <c r="BB578" s="106" t="n"/>
      <c r="BC578" s="42" t="n"/>
      <c r="BD578" s="42" t="n"/>
    </row>
    <row r="579" ht="15" customHeight="1" s="148">
      <c r="A579" t="inlineStr">
        <is>
          <t>c0575</t>
        </is>
      </c>
      <c r="B579" s="44" t="inlineStr">
        <is>
          <t>Fire Diamond</t>
        </is>
      </c>
      <c r="C579" s="34" t="inlineStr">
        <is>
          <t>R</t>
        </is>
      </c>
      <c r="D579" s="44" t="inlineStr">
        <is>
          <t>Artifact</t>
        </is>
      </c>
      <c r="E579" s="41" t="inlineStr">
        <is>
          <t>B2</t>
        </is>
      </c>
      <c r="F579" s="34" t="n">
        <v>2</v>
      </c>
      <c r="G579" s="67" t="inlineStr">
        <is>
          <t>This artifact enters tapped.
{T}: Add {R}.</t>
        </is>
      </c>
      <c r="H579" s="45" t="inlineStr">
        <is>
          <t>Mana Rock</t>
        </is>
      </c>
      <c r="I579" s="45" t="inlineStr">
        <is>
          <t>Taps for {R} (enters tapped)</t>
        </is>
      </c>
      <c r="J579" s="45" t="n"/>
      <c r="K579" s="45" t="n"/>
      <c r="L579" s="42" t="n"/>
      <c r="M579" s="42" t="n"/>
      <c r="N579" s="42" t="n"/>
      <c r="O579" s="42" t="n"/>
      <c r="P579" s="42" t="n">
        <v>0.4</v>
      </c>
      <c r="Q579" s="42" t="n"/>
      <c r="R579" s="42" t="n"/>
      <c r="S579" s="42" t="n"/>
      <c r="T579" s="42" t="n"/>
      <c r="U579" s="42" t="n"/>
      <c r="V579" s="45" t="inlineStr">
        <is>
          <t>Mirage</t>
        </is>
      </c>
      <c r="W579" s="41" t="n">
        <v>0</v>
      </c>
      <c r="X579" s="37">
        <f>SUM(Y579:AE579)</f>
        <v/>
      </c>
      <c r="Y579" s="43" t="n"/>
      <c r="Z579" s="43" t="n"/>
      <c r="AA579" s="43" t="n"/>
      <c r="AB579" s="43" t="n"/>
      <c r="AC579" s="43" t="n"/>
      <c r="AD579" s="43" t="n"/>
      <c r="AE579" s="43" t="n"/>
      <c r="AF579" s="38">
        <f>IF((W579-SUM(Y579:AE579))&lt;0,0,W579-SUM(Y579:AE579))</f>
        <v/>
      </c>
      <c r="AG579" s="34">
        <f>MAX(0,$AT579-$W579-$AI579)</f>
        <v/>
      </c>
      <c r="AH579" s="34" t="n"/>
      <c r="AI579" s="34" t="n"/>
      <c r="AJ579" s="36" t="n">
        <v>0.36</v>
      </c>
      <c r="AK579" s="36">
        <f>IF(AND($AG579&gt;0,ISNUMBER($AJ579)),$AG579*$AJ579,0)</f>
        <v/>
      </c>
      <c r="AL579" s="54" t="n"/>
      <c r="AM579" s="54" t="n"/>
      <c r="AN579" s="54" t="n"/>
      <c r="AO579" s="54" t="n"/>
      <c r="AP579" s="54" t="n"/>
      <c r="AQ579" s="54" t="n"/>
      <c r="AR579" s="54" t="n"/>
      <c r="AS579" s="54" t="n"/>
      <c r="AT579" s="37">
        <f>SUM(AU579:BA579)</f>
        <v/>
      </c>
      <c r="AU579" s="92" t="n"/>
      <c r="AV579" s="38" t="n"/>
      <c r="AW579" s="38" t="n"/>
      <c r="AX579" s="38" t="n"/>
      <c r="AY579" s="38" t="n"/>
      <c r="AZ579" s="38" t="n"/>
      <c r="BA579" s="94" t="n"/>
      <c r="BB579" s="106" t="n"/>
      <c r="BC579" s="42" t="n"/>
      <c r="BD579" s="42" t="n"/>
    </row>
    <row r="580" ht="15" customHeight="1" s="148">
      <c r="A580" t="inlineStr">
        <is>
          <t>c0576</t>
        </is>
      </c>
      <c r="B580" s="39" t="inlineStr">
        <is>
          <t>Fire Nation Cadets</t>
        </is>
      </c>
      <c r="C580" s="40" t="inlineStr">
        <is>
          <t>R</t>
        </is>
      </c>
      <c r="D580" s="39" t="inlineStr">
        <is>
          <t>Creature</t>
        </is>
      </c>
      <c r="E580" s="41" t="inlineStr">
        <is>
          <t>B2</t>
        </is>
      </c>
      <c r="F580" s="40" t="n">
        <v>1</v>
      </c>
      <c r="G580" s="67" t="inlineStr">
        <is>
          <t>This creature has firebending 2 as long as there's a Lesson card in your graveyard. (Whenever this creature attacks, add {R}{R}. This mana lasts until end of combat.)
{2}: This creature gets +1/+0 until end of turn.
(1/2)</t>
        </is>
      </c>
      <c r="H580" s="39" t="inlineStr">
        <is>
          <t>Utility Creature</t>
        </is>
      </c>
      <c r="I580" s="39" t="inlineStr">
        <is>
          <t>{2}: It gets +1/+0 until end of turn</t>
        </is>
      </c>
      <c r="J580" s="39" t="inlineStr">
        <is>
          <t>Has firebending 2 while a Lesson card is in your graveyard - whenever it attacks, add {R}{R} until end of combat</t>
        </is>
      </c>
      <c r="K580" s="39" t="n"/>
      <c r="L580" s="42" t="n"/>
      <c r="M580" s="42" t="n"/>
      <c r="N580" s="42" t="n"/>
      <c r="O580" s="63" t="n"/>
      <c r="P580" s="63" t="n"/>
      <c r="Q580" s="42" t="n"/>
      <c r="R580" s="42" t="n"/>
      <c r="S580" s="42" t="n"/>
      <c r="T580" s="63" t="n"/>
      <c r="U580" s="63" t="n"/>
      <c r="V580" s="39" t="inlineStr">
        <is>
          <t>Avatar: The Last Airbender</t>
        </is>
      </c>
      <c r="W580" s="41" t="n">
        <v>1</v>
      </c>
      <c r="X580" s="37">
        <f>SUM(Y580:AE580)</f>
        <v/>
      </c>
      <c r="Y580" s="43" t="n"/>
      <c r="Z580" s="43" t="n"/>
      <c r="AA580" s="43" t="n"/>
      <c r="AB580" s="43" t="n"/>
      <c r="AC580" s="43" t="n"/>
      <c r="AD580" s="43" t="n"/>
      <c r="AE580" s="43" t="n"/>
      <c r="AF580" s="38">
        <f>IF((W580-SUM(Y580:AE580))&lt;0,0,W580-SUM(Y580:AE580))</f>
        <v/>
      </c>
      <c r="AG580" s="34">
        <f>MAX(0,$AT580-$W580-$AI580)</f>
        <v/>
      </c>
      <c r="AH580" s="39" t="n"/>
      <c r="AI580" s="39" t="n"/>
      <c r="AJ580" s="39" t="n">
        <v>0.18</v>
      </c>
      <c r="AK580" s="39">
        <f>IF(AND($AG580&gt;0,ISNUMBER($AJ580)),$AG580*$AJ580,0)</f>
        <v/>
      </c>
      <c r="AT580" s="37">
        <f>SUM(AU580:BA580)</f>
        <v/>
      </c>
      <c r="AU580" s="73" t="n"/>
      <c r="AV580" s="33" t="n"/>
      <c r="AW580" s="33" t="n"/>
      <c r="AX580" s="33" t="n"/>
      <c r="AY580" s="33" t="n"/>
      <c r="AZ580" s="33" t="n"/>
      <c r="BA580" s="74" t="n"/>
      <c r="BB580" s="107" t="n"/>
      <c r="BC580" s="42" t="n"/>
      <c r="BD580" s="42" t="n"/>
    </row>
    <row r="581" ht="15" customHeight="1" s="148">
      <c r="A581" t="inlineStr">
        <is>
          <t>c0577</t>
        </is>
      </c>
      <c r="B581" s="30" t="inlineStr">
        <is>
          <t>Flame-Chain Mauler</t>
        </is>
      </c>
      <c r="C581" s="31" t="inlineStr">
        <is>
          <t>R</t>
        </is>
      </c>
      <c r="D581" s="30" t="inlineStr">
        <is>
          <t>Creature</t>
        </is>
      </c>
      <c r="E581" s="33" t="inlineStr">
        <is>
          <t>B2</t>
        </is>
      </c>
      <c r="F581" s="31" t="n">
        <v>2</v>
      </c>
      <c r="G581" s="67" t="inlineStr">
        <is>
          <t>{1}{R}: This creature gets +1/+0 and gains menace until end of turn. (It can't be blocked except by two or more creatures.)
(2/2)</t>
        </is>
      </c>
      <c r="H581" s="30" t="inlineStr">
        <is>
          <t>Mana Sink</t>
        </is>
      </c>
      <c r="I581" s="30" t="inlineStr">
        <is>
          <t>{1}{R}: This creature gets +1/+0 and gains menace until end of turn</t>
        </is>
      </c>
      <c r="J581" s="30" t="n"/>
      <c r="K581" s="30" t="n"/>
      <c r="L581" s="32" t="inlineStr">
        <is>
          <t>138</t>
        </is>
      </c>
      <c r="M581" s="32" t="n">
        <v>1</v>
      </c>
      <c r="N581" s="32" t="n">
        <v>0</v>
      </c>
      <c r="O581" s="63" t="n"/>
      <c r="P581" s="63" t="n">
        <v>0.1</v>
      </c>
      <c r="Q581" s="32" t="inlineStr">
        <is>
          <t>Common</t>
        </is>
      </c>
      <c r="R581" s="32" t="n"/>
      <c r="S581" s="32" t="n"/>
      <c r="T581" s="63" t="n"/>
      <c r="U581" s="63" t="n"/>
      <c r="V581" s="30" t="inlineStr">
        <is>
          <t>Lorwyn Eclipsed</t>
        </is>
      </c>
      <c r="W581" s="41" t="n">
        <v>1</v>
      </c>
      <c r="X581" s="37">
        <f>SUM(Y581:AE581)</f>
        <v/>
      </c>
      <c r="Y581" s="43" t="n"/>
      <c r="Z581" s="43" t="n"/>
      <c r="AA581" s="43" t="n"/>
      <c r="AB581" s="43" t="n"/>
      <c r="AC581" s="43" t="n"/>
      <c r="AD581" s="43" t="n"/>
      <c r="AE581" s="43" t="n"/>
      <c r="AF581" s="38">
        <f>IF((W581-SUM(Y581:AE581))&lt;0,0,W581-SUM(Y581:AE581))</f>
        <v/>
      </c>
      <c r="AG581" s="34">
        <f>MAX(0,$AT581-$W581-$AI581)</f>
        <v/>
      </c>
      <c r="AH581" s="30" t="n"/>
      <c r="AI581" s="30" t="n"/>
      <c r="AJ581" s="35" t="n">
        <v>0.1</v>
      </c>
      <c r="AK581" s="36">
        <f>IF(AND($AG581&gt;0,ISNUMBER($AJ581)),$AG581*$AJ581,0)</f>
        <v/>
      </c>
      <c r="AT581" s="37">
        <f>SUM(AU581:BA581)</f>
        <v/>
      </c>
      <c r="AU581" s="73" t="n"/>
      <c r="AV581" s="33" t="n"/>
      <c r="AW581" s="33" t="n"/>
      <c r="AX581" s="33" t="n"/>
      <c r="AY581" s="33" t="n"/>
      <c r="AZ581" s="33" t="n"/>
      <c r="BA581" s="74" t="n"/>
      <c r="BB581" s="108" t="n"/>
      <c r="BC581" s="32" t="n"/>
      <c r="BD581" s="32" t="n"/>
    </row>
    <row r="582" ht="15" customHeight="1" s="148">
      <c r="A582" t="inlineStr">
        <is>
          <t>c0578</t>
        </is>
      </c>
      <c r="B582" s="30" t="inlineStr">
        <is>
          <t>Flamekin Gildweaver</t>
        </is>
      </c>
      <c r="C582" s="31" t="inlineStr">
        <is>
          <t>R</t>
        </is>
      </c>
      <c r="D582" s="30" t="inlineStr">
        <is>
          <t>Creature</t>
        </is>
      </c>
      <c r="E582" s="33" t="inlineStr">
        <is>
          <t>B2</t>
        </is>
      </c>
      <c r="F582" s="31" t="n">
        <v>4</v>
      </c>
      <c r="G582" s="67" t="inlineStr">
        <is>
          <t>Trample
When this creature enters, create a Treasure token. (It's an artifact with "{T}, Sacrifice this token: Add one mana of any color.")
(4/3)</t>
        </is>
      </c>
      <c r="H582" s="30" t="inlineStr">
        <is>
          <t>Ramp</t>
        </is>
      </c>
      <c r="I582" s="30" t="inlineStr">
        <is>
          <t>Enters: create a Treasure token</t>
        </is>
      </c>
      <c r="J582" s="30" t="inlineStr">
        <is>
          <t>4/3 trample body</t>
        </is>
      </c>
      <c r="K582" s="30" t="n"/>
      <c r="L582" s="32" t="inlineStr">
        <is>
          <t>140</t>
        </is>
      </c>
      <c r="M582" s="32" t="n">
        <v>1</v>
      </c>
      <c r="N582" s="32" t="n">
        <v>0</v>
      </c>
      <c r="O582" s="63" t="n"/>
      <c r="P582" s="63" t="n">
        <v>0.12</v>
      </c>
      <c r="Q582" s="32" t="inlineStr">
        <is>
          <t>Common</t>
        </is>
      </c>
      <c r="R582" s="32" t="n"/>
      <c r="S582" s="32" t="n"/>
      <c r="T582" s="63" t="n"/>
      <c r="U582" s="63" t="n"/>
      <c r="V582" s="30" t="inlineStr">
        <is>
          <t>Lorwyn Eclipsed</t>
        </is>
      </c>
      <c r="W582" s="41" t="n">
        <v>1</v>
      </c>
      <c r="X582" s="37">
        <f>SUM(Y582:AE582)</f>
        <v/>
      </c>
      <c r="Y582" s="43" t="n"/>
      <c r="Z582" s="43" t="n"/>
      <c r="AA582" s="43" t="n"/>
      <c r="AB582" s="43" t="n"/>
      <c r="AC582" s="43" t="n"/>
      <c r="AD582" s="43" t="n"/>
      <c r="AE582" s="43" t="n"/>
      <c r="AF582" s="38">
        <f>IF((W582-SUM(Y582:AE582))&lt;0,0,W582-SUM(Y582:AE582))</f>
        <v/>
      </c>
      <c r="AG582" s="34">
        <f>MAX(0,$AT582-$W582-$AI582)</f>
        <v/>
      </c>
      <c r="AH582" s="30" t="n"/>
      <c r="AI582" s="30" t="n"/>
      <c r="AJ582" s="35" t="n">
        <v>0.12</v>
      </c>
      <c r="AK582" s="36">
        <f>IF(AND($AG582&gt;0,ISNUMBER($AJ582)),$AG582*$AJ582,0)</f>
        <v/>
      </c>
      <c r="AT582" s="37">
        <f>SUM(AU582:BA582)</f>
        <v/>
      </c>
      <c r="AU582" s="73" t="n"/>
      <c r="AV582" s="33" t="n"/>
      <c r="AW582" s="33" t="n"/>
      <c r="AX582" s="33" t="n"/>
      <c r="AY582" s="33" t="n"/>
      <c r="AZ582" s="33" t="n"/>
      <c r="BA582" s="74" t="n"/>
      <c r="BB582" s="108" t="n"/>
      <c r="BC582" s="32" t="n"/>
      <c r="BD582" s="32" t="n"/>
    </row>
    <row r="583" ht="15" customHeight="1" s="148">
      <c r="A583" t="inlineStr">
        <is>
          <t>c0579</t>
        </is>
      </c>
      <c r="B583" s="30" t="inlineStr">
        <is>
          <t>Flashback</t>
        </is>
      </c>
      <c r="C583" s="31" t="inlineStr">
        <is>
          <t>R</t>
        </is>
      </c>
      <c r="D583" s="30" t="inlineStr">
        <is>
          <t>Instant</t>
        </is>
      </c>
      <c r="E583" s="33" t="inlineStr">
        <is>
          <t>B2</t>
        </is>
      </c>
      <c r="F583" s="30" t="n">
        <v>1</v>
      </c>
      <c r="G583" s="67" t="inlineStr">
        <is>
          <t>Target instant or sorcery card in your graveyard gains flashback until end of turn. The flashback cost is equal to its mana cost. (You may cast that card from your graveyard for its flashback cost. Then exile it.)</t>
        </is>
      </c>
      <c r="H583" s="30" t="inlineStr">
        <is>
          <t>Recursion</t>
        </is>
      </c>
      <c r="I583" s="30" t="inlineStr">
        <is>
          <t>Target instant or sorcery card in your graveyard gains flashback until end of turn for its mana cost</t>
        </is>
      </c>
      <c r="J583" s="30" t="n"/>
      <c r="K583" s="30" t="n"/>
      <c r="L583" s="32" t="inlineStr">
        <is>
          <t>115</t>
        </is>
      </c>
      <c r="M583" s="32" t="n">
        <v>1</v>
      </c>
      <c r="N583" s="32" t="n">
        <v>0</v>
      </c>
      <c r="O583" s="63" t="inlineStr">
        <is>
          <t>Flavio Greco Paglia</t>
        </is>
      </c>
      <c r="P583" s="63" t="n">
        <v>3.08</v>
      </c>
      <c r="Q583" s="32" t="inlineStr">
        <is>
          <t>Rare</t>
        </is>
      </c>
      <c r="R583" s="32" t="n"/>
      <c r="S583" s="32" t="n"/>
      <c r="T583" s="63" t="n"/>
      <c r="U583" s="63" t="n"/>
      <c r="V583" s="30" t="inlineStr">
        <is>
          <t>Secrets of Strixhaven</t>
        </is>
      </c>
      <c r="W583" s="41" t="n">
        <v>1</v>
      </c>
      <c r="X583" s="37">
        <f>SUM(Y583:AE583)</f>
        <v/>
      </c>
      <c r="Y583" s="43" t="n">
        <v>1</v>
      </c>
      <c r="Z583" s="43" t="n"/>
      <c r="AA583" s="43" t="n"/>
      <c r="AB583" s="43" t="n"/>
      <c r="AC583" s="43" t="n"/>
      <c r="AD583" s="43" t="n"/>
      <c r="AE583" s="43" t="n"/>
      <c r="AF583" s="38">
        <f>IF((W583-SUM(Y583:AE583))&lt;0,0,W583-SUM(Y583:AE583))</f>
        <v/>
      </c>
      <c r="AG583" s="34">
        <f>MAX(0,$AT583-$W583-$AI583)</f>
        <v/>
      </c>
      <c r="AH583" s="30" t="n"/>
      <c r="AI583" s="30" t="n"/>
      <c r="AJ583" s="30" t="n">
        <v>3.08</v>
      </c>
      <c r="AK583" s="36">
        <f>IF(AND($AG583&gt;0,ISNUMBER($AJ583)),$AG583*$AJ583,0)</f>
        <v/>
      </c>
      <c r="AT583" s="37">
        <f>SUM(AU583:BA583)</f>
        <v/>
      </c>
      <c r="AU583" s="96" t="n">
        <v>1</v>
      </c>
      <c r="AV583" s="33" t="n"/>
      <c r="AW583" s="33" t="n"/>
      <c r="AX583" s="33" t="n"/>
      <c r="AY583" s="33" t="n"/>
      <c r="AZ583" s="33" t="n"/>
      <c r="BA583" s="74" t="n"/>
      <c r="BB583" s="108" t="n"/>
      <c r="BC583" s="32" t="n"/>
      <c r="BD583" s="32" t="n"/>
    </row>
    <row r="584" ht="15" customHeight="1" s="148">
      <c r="A584" t="inlineStr">
        <is>
          <t>c0580</t>
        </is>
      </c>
      <c r="B584" s="44" t="inlineStr">
        <is>
          <t>Foundry Street Denizen</t>
        </is>
      </c>
      <c r="C584" s="34" t="inlineStr">
        <is>
          <t>R</t>
        </is>
      </c>
      <c r="D584" s="44" t="inlineStr">
        <is>
          <t>Creature</t>
        </is>
      </c>
      <c r="E584" s="41" t="inlineStr">
        <is>
          <t>B2</t>
        </is>
      </c>
      <c r="F584" s="34" t="n">
        <v>1</v>
      </c>
      <c r="G584" s="67" t="inlineStr">
        <is>
          <t>Whenever another red creature you control enters, this creature gets +1/+0 until end of turn.
(1/1)</t>
        </is>
      </c>
      <c r="H584" s="45" t="inlineStr">
        <is>
          <t>Lord/Anthem</t>
        </is>
      </c>
      <c r="I584" s="45" t="inlineStr">
        <is>
          <t>Gets +1/+0 until end of turn whenever another red creature you control enters</t>
        </is>
      </c>
      <c r="J584" s="45" t="n"/>
      <c r="K584" s="45" t="n"/>
      <c r="L584" s="42" t="n"/>
      <c r="M584" s="42" t="n"/>
      <c r="N584" s="42" t="n"/>
      <c r="O584" s="42" t="n"/>
      <c r="P584" s="42" t="n">
        <v>0.19</v>
      </c>
      <c r="Q584" s="42" t="n"/>
      <c r="R584" s="42" t="n"/>
      <c r="S584" s="42" t="n"/>
      <c r="T584" s="42" t="n"/>
      <c r="U584" s="42" t="n"/>
      <c r="V584" s="45" t="inlineStr">
        <is>
          <t>Gatecrash</t>
        </is>
      </c>
      <c r="W584" s="41" t="n">
        <v>1</v>
      </c>
      <c r="X584" s="37">
        <f>SUM(Y584:AE584)</f>
        <v/>
      </c>
      <c r="Y584" s="43" t="n"/>
      <c r="Z584" s="43" t="n"/>
      <c r="AA584" s="43" t="n"/>
      <c r="AB584" s="43" t="n"/>
      <c r="AC584" s="43" t="n"/>
      <c r="AD584" s="43" t="n">
        <v>1</v>
      </c>
      <c r="AE584" s="43" t="n"/>
      <c r="AF584" s="38">
        <f>IF((W584-SUM(Y584:AE584))&lt;0,0,W584-SUM(Y584:AE584))</f>
        <v/>
      </c>
      <c r="AG584" s="34">
        <f>MAX(0,$AT584-$W584-$AI584)</f>
        <v/>
      </c>
      <c r="AH584" s="34" t="n"/>
      <c r="AI584" s="34" t="n"/>
      <c r="AJ584" s="36" t="n">
        <v>0.17</v>
      </c>
      <c r="AK584" s="36">
        <f>IF(AND($AG584&gt;0,ISNUMBER($AJ584)),$AG584*$AJ584,0)</f>
        <v/>
      </c>
      <c r="AQ584" s="58" t="n"/>
      <c r="AT584" s="37">
        <f>SUM(AU584:BA584)</f>
        <v/>
      </c>
      <c r="AU584" s="73" t="n"/>
      <c r="AV584" s="33" t="n"/>
      <c r="AW584" s="33" t="n"/>
      <c r="AX584" s="33" t="n"/>
      <c r="AY584" s="33" t="n"/>
      <c r="AZ584" s="98" t="n">
        <v>1</v>
      </c>
      <c r="BA584" s="74" t="n"/>
      <c r="BB584" s="106" t="n"/>
      <c r="BC584" s="42" t="n"/>
      <c r="BD584" s="42" t="n"/>
    </row>
    <row r="585" ht="15" customHeight="1" s="148">
      <c r="A585" t="inlineStr">
        <is>
          <t>c0581</t>
        </is>
      </c>
      <c r="B585" s="30" t="inlineStr">
        <is>
          <t>Gandalf, Goblins' Bane</t>
        </is>
      </c>
      <c r="C585" s="31" t="inlineStr">
        <is>
          <t>R</t>
        </is>
      </c>
      <c r="D585" s="30" t="inlineStr">
        <is>
          <t>Legendary Creature</t>
        </is>
      </c>
      <c r="E585" s="33" t="inlineStr">
        <is>
          <t>B2</t>
        </is>
      </c>
      <c r="F585" s="31" t="n">
        <v>3</v>
      </c>
      <c r="G585" s="67" t="inlineStr">
        <is>
          <t>Gandalf, Goblins' Bane {2}{R} — Legendary Creature — Avatar Wizard (2/3)
Whenever you cast a noncreature spell, Gandalf gets +1/+1 until end of turn and deals 1 damage to each opponent.
//
Flameshape {1}{R} — Sorcery — Adventure
Look at the top two cards of your library and exile them face down. For as long as they remain exiled, you may play them if you control a Wizard.</t>
        </is>
      </c>
      <c r="H585" s="30" t="inlineStr">
        <is>
          <t>Burn</t>
        </is>
      </c>
      <c r="I585" s="30" t="inlineStr">
        <is>
          <t>Whenever you cast a noncreature spell, Gandalf gets +1/+1 until end of turn and deals 1 damage to each opponent</t>
        </is>
      </c>
      <c r="J585" s="30" t="inlineStr">
        <is>
          <t>Flameshape {1}{R}: exile the top two cards face down and play them for as long as you control a Wizard</t>
        </is>
      </c>
      <c r="K585" s="30" t="n"/>
      <c r="L585" s="32" t="inlineStr">
        <is>
          <t>96</t>
        </is>
      </c>
      <c r="M585" s="32" t="n">
        <v>1</v>
      </c>
      <c r="N585" s="32" t="n">
        <v>0</v>
      </c>
      <c r="O585" s="63" t="n"/>
      <c r="P585" s="63" t="n">
        <v>4.65</v>
      </c>
      <c r="Q585" s="32" t="inlineStr">
        <is>
          <t>Mythic</t>
        </is>
      </c>
      <c r="R585" s="32" t="n"/>
      <c r="S585" s="32" t="n"/>
      <c r="T585" s="63" t="n"/>
      <c r="U585" s="63" t="n"/>
      <c r="V585" s="30" t="inlineStr">
        <is>
          <t>The Hobbit</t>
        </is>
      </c>
      <c r="W585" s="41" t="n">
        <v>1</v>
      </c>
      <c r="X585" s="37">
        <f>SUM(Y585:AE585)</f>
        <v/>
      </c>
      <c r="Y585" s="43" t="n"/>
      <c r="Z585" s="43" t="n"/>
      <c r="AA585" s="43" t="n"/>
      <c r="AB585" s="43" t="n"/>
      <c r="AC585" s="43" t="n"/>
      <c r="AD585" s="43" t="n"/>
      <c r="AE585" s="43" t="n"/>
      <c r="AF585" s="38">
        <f>IF((W585-SUM(Y585:AE585))&lt;0,0,W585-SUM(Y585:AE585))</f>
        <v/>
      </c>
      <c r="AG585" s="34">
        <f>MAX(0,$AT585-$W585-$AI585)</f>
        <v/>
      </c>
      <c r="AH585" s="30" t="n"/>
      <c r="AI585" s="30" t="n"/>
      <c r="AJ585" s="35" t="n">
        <v>4.65</v>
      </c>
      <c r="AK585" s="36">
        <f>IF(AND($AG585&gt;0,ISNUMBER($AJ585)),$AG585*$AJ585,0)</f>
        <v/>
      </c>
      <c r="AT585" s="37">
        <f>SUM(AU585:BA585)</f>
        <v/>
      </c>
      <c r="AU585" s="73" t="n"/>
      <c r="AV585" s="33" t="n"/>
      <c r="AW585" s="33" t="n"/>
      <c r="AX585" s="33" t="n"/>
      <c r="AY585" s="33" t="n"/>
      <c r="AZ585" s="33" t="n"/>
      <c r="BA585" s="74" t="n"/>
      <c r="BB585" s="108" t="n"/>
      <c r="BC585" s="32" t="n"/>
      <c r="BD585" s="32" t="n"/>
    </row>
    <row r="586" ht="15" customHeight="1" s="148">
      <c r="A586" t="inlineStr">
        <is>
          <t>c0582</t>
        </is>
      </c>
      <c r="B586" s="30" t="inlineStr">
        <is>
          <t>Garrison Excavator</t>
        </is>
      </c>
      <c r="C586" s="31" t="inlineStr">
        <is>
          <t>R</t>
        </is>
      </c>
      <c r="D586" s="30" t="inlineStr">
        <is>
          <t>Creature</t>
        </is>
      </c>
      <c r="E586" s="33" t="inlineStr">
        <is>
          <t>B2</t>
        </is>
      </c>
      <c r="F586" s="30" t="n">
        <v>4</v>
      </c>
      <c r="G586" s="67" t="inlineStr">
        <is>
          <t>Menace (This creature can't be blocked except by two or more creatures.)
Whenever one or more cards leave your graveyard, create a 2/2 red and white Spirit creature token.
(3/4)</t>
        </is>
      </c>
      <c r="H586" s="30" t="inlineStr">
        <is>
          <t>Token Producer</t>
        </is>
      </c>
      <c r="I586" s="30" t="inlineStr">
        <is>
          <t>Whenever one or more cards leave your graveyard, create a 2/2 Spirit token</t>
        </is>
      </c>
      <c r="J586" s="30" t="inlineStr">
        <is>
          <t>Menace on a 3/4 body</t>
        </is>
      </c>
      <c r="K586" s="30" t="n"/>
      <c r="L586" s="32" t="inlineStr">
        <is>
          <t>116</t>
        </is>
      </c>
      <c r="M586" s="32" t="n">
        <v>1</v>
      </c>
      <c r="N586" s="32" t="n">
        <v>0</v>
      </c>
      <c r="O586" s="63" t="inlineStr">
        <is>
          <t>Cristi Balanescu</t>
        </is>
      </c>
      <c r="P586" s="63" t="n">
        <v>0.22</v>
      </c>
      <c r="Q586" s="32" t="inlineStr">
        <is>
          <t>Uncommon</t>
        </is>
      </c>
      <c r="R586" s="32" t="n"/>
      <c r="S586" s="32" t="n"/>
      <c r="T586" s="63" t="n"/>
      <c r="U586" s="63" t="n"/>
      <c r="V586" s="30" t="inlineStr">
        <is>
          <t>Secrets of Strixhaven</t>
        </is>
      </c>
      <c r="W586" s="41" t="n">
        <v>1</v>
      </c>
      <c r="X586" s="37">
        <f>SUM(Y586:AE586)</f>
        <v/>
      </c>
      <c r="Y586" s="43" t="n">
        <v>1</v>
      </c>
      <c r="Z586" s="43" t="n"/>
      <c r="AA586" s="43" t="n"/>
      <c r="AB586" s="43" t="n"/>
      <c r="AC586" s="43" t="n"/>
      <c r="AD586" s="43" t="n"/>
      <c r="AE586" s="43" t="n"/>
      <c r="AF586" s="38">
        <f>IF((W586-SUM(Y586:AE586))&lt;0,0,W586-SUM(Y586:AE586))</f>
        <v/>
      </c>
      <c r="AG586" s="34">
        <f>MAX(0,$AT586-$W586-$AI586)</f>
        <v/>
      </c>
      <c r="AH586" s="30" t="n"/>
      <c r="AI586" s="30" t="n"/>
      <c r="AJ586" s="30" t="n">
        <v>0.22</v>
      </c>
      <c r="AK586" s="36">
        <f>IF(AND($AG586&gt;0,ISNUMBER($AJ586)),$AG586*$AJ586,0)</f>
        <v/>
      </c>
      <c r="AL586" s="58" t="n"/>
      <c r="AT586" s="37">
        <f>SUM(AU586:BA586)</f>
        <v/>
      </c>
      <c r="AU586" s="82" t="n">
        <v>1</v>
      </c>
      <c r="AV586" s="33" t="n"/>
      <c r="AW586" s="33" t="n"/>
      <c r="AX586" s="33" t="n"/>
      <c r="AY586" s="33" t="n"/>
      <c r="AZ586" s="33" t="n"/>
      <c r="BA586" s="74" t="n"/>
      <c r="BB586" s="108" t="n"/>
      <c r="BC586" s="32" t="n"/>
      <c r="BD586" s="32" t="n"/>
    </row>
    <row r="587" ht="15" customHeight="1" s="148">
      <c r="A587" t="inlineStr">
        <is>
          <t>c0583</t>
        </is>
      </c>
      <c r="B587" s="39" t="inlineStr">
        <is>
          <t>Getaway Barrel</t>
        </is>
      </c>
      <c r="C587" s="40" t="inlineStr">
        <is>
          <t>R</t>
        </is>
      </c>
      <c r="D587" s="39" t="inlineStr">
        <is>
          <t>Artifact</t>
        </is>
      </c>
      <c r="E587" s="41" t="inlineStr">
        <is>
          <t>B2</t>
        </is>
      </c>
      <c r="F587" s="40" t="n">
        <v>4</v>
      </c>
      <c r="G587" s="67" t="inlineStr">
        <is>
          <t>When this artifact is put into a graveyard from the battlefield, reveal the top thirteen cards of your library. Put a random creature card from among them onto the battlefield. Put the rest on the bottom of your library in a random order.</t>
        </is>
      </c>
      <c r="H587" s="39" t="inlineStr">
        <is>
          <t>Card Advantage</t>
        </is>
      </c>
      <c r="I587" s="39" t="inlineStr">
        <is>
          <t>When this artifact is put into a graveyard from the battlefield, reveal the top thirteen cards of your library. Put a ra</t>
        </is>
      </c>
      <c r="J587" s="39" t="n"/>
      <c r="K587" s="39" t="n"/>
      <c r="L587" s="42" t="n"/>
      <c r="M587" s="42" t="n"/>
      <c r="N587" s="42" t="n"/>
      <c r="O587" s="63" t="n"/>
      <c r="P587" s="63" t="n">
        <v>0.21</v>
      </c>
      <c r="Q587" s="42" t="n"/>
      <c r="R587" s="42" t="n"/>
      <c r="S587" s="42" t="n"/>
      <c r="T587" s="63" t="n"/>
      <c r="U587" s="63" t="n"/>
      <c r="V587" s="39" t="inlineStr">
        <is>
          <t>The Hobbit</t>
        </is>
      </c>
      <c r="W587" s="41" t="n">
        <v>1</v>
      </c>
      <c r="X587" s="37">
        <f>SUM(Y587:AE587)</f>
        <v/>
      </c>
      <c r="Y587" s="43" t="n">
        <v>1</v>
      </c>
      <c r="Z587" s="43" t="n"/>
      <c r="AA587" s="43" t="n"/>
      <c r="AB587" s="43" t="n"/>
      <c r="AC587" s="43" t="n"/>
      <c r="AD587" s="43" t="n"/>
      <c r="AE587" s="43" t="n"/>
      <c r="AF587" s="38">
        <f>IF((W587-SUM(Y587:AE587))&lt;0,0,W587-SUM(Y587:AE587))</f>
        <v/>
      </c>
      <c r="AG587" s="34">
        <f>MAX(0,$AT587-$W587-$AI587)</f>
        <v/>
      </c>
      <c r="AH587" s="39" t="n"/>
      <c r="AI587" s="39" t="n"/>
      <c r="AJ587" s="39" t="n">
        <v>0.29</v>
      </c>
      <c r="AK587" s="39">
        <f>IF(AND($AG587&gt;0,ISNUMBER($AJ587)),$AG587*$AJ587,0)</f>
        <v/>
      </c>
      <c r="AT587" s="37">
        <f>SUM(AU587:BA587)</f>
        <v/>
      </c>
      <c r="AU587" s="82" t="n">
        <v>1</v>
      </c>
      <c r="AV587" s="33" t="n"/>
      <c r="AW587" s="33" t="n"/>
      <c r="AX587" s="33" t="n"/>
      <c r="AY587" s="33" t="n"/>
      <c r="AZ587" s="33" t="n"/>
      <c r="BA587" s="74" t="n"/>
      <c r="BB587" s="107" t="n"/>
      <c r="BC587" s="42" t="n"/>
      <c r="BD587" s="42" t="n"/>
    </row>
    <row r="588" ht="15" customHeight="1" s="148">
      <c r="A588" t="inlineStr">
        <is>
          <t>c0584</t>
        </is>
      </c>
      <c r="B588" s="44" t="inlineStr">
        <is>
          <t>Ghor-Clan Wrecker</t>
        </is>
      </c>
      <c r="C588" s="34" t="inlineStr">
        <is>
          <t>R</t>
        </is>
      </c>
      <c r="D588" s="44" t="inlineStr">
        <is>
          <t>Creature</t>
        </is>
      </c>
      <c r="E588" s="41" t="inlineStr">
        <is>
          <t>B2</t>
        </is>
      </c>
      <c r="F588" s="34" t="n">
        <v>4</v>
      </c>
      <c r="G588" s="67" t="inlineStr">
        <is>
          <t>Riot (This creature enters with your choice of a +1/+1 counter or haste.)
Menace (This creature can't be blocked except by two or more creatures.)
(2/2)</t>
        </is>
      </c>
      <c r="H588" s="45" t="inlineStr">
        <is>
          <t>Finisher</t>
        </is>
      </c>
      <c r="I588" s="45" t="inlineStr">
        <is>
          <t>Enters with a +1/+1 counter or haste, your choice</t>
        </is>
      </c>
      <c r="J588" s="45" t="inlineStr">
        <is>
          <t>Can't be blocked except by two or more creatures</t>
        </is>
      </c>
      <c r="K588" s="45" t="n"/>
      <c r="L588" s="42" t="n"/>
      <c r="M588" s="42" t="n"/>
      <c r="N588" s="42" t="n"/>
      <c r="O588" s="63" t="n"/>
      <c r="P588" s="63" t="n">
        <v>0.13</v>
      </c>
      <c r="Q588" s="42" t="n"/>
      <c r="R588" s="42" t="n"/>
      <c r="S588" s="42" t="n"/>
      <c r="T588" s="63" t="n"/>
      <c r="U588" s="63" t="n"/>
      <c r="V588" s="45" t="inlineStr">
        <is>
          <t>Ravnica Allegiance</t>
        </is>
      </c>
      <c r="W588" s="41" t="n">
        <v>1</v>
      </c>
      <c r="X588" s="37">
        <f>SUM(Y588:AE588)</f>
        <v/>
      </c>
      <c r="Y588" s="43" t="n"/>
      <c r="Z588" s="43" t="n"/>
      <c r="AA588" s="43" t="n"/>
      <c r="AB588" s="43" t="n"/>
      <c r="AC588" s="43" t="n"/>
      <c r="AD588" s="43" t="n"/>
      <c r="AE588" s="43" t="n"/>
      <c r="AF588" s="38">
        <f>IF((W588-SUM(Y588:AE588))&lt;0,0,W588-SUM(Y588:AE588))</f>
        <v/>
      </c>
      <c r="AG588" s="34">
        <f>MAX(0,$AT588-$W588-$AI588)</f>
        <v/>
      </c>
      <c r="AH588" s="34" t="n"/>
      <c r="AI588" s="34" t="n"/>
      <c r="AJ588" s="36" t="n">
        <v>0.15</v>
      </c>
      <c r="AK588" s="36">
        <f>IF(AND($AG588&gt;0,ISNUMBER($AJ588)),$AG588*$AJ588,0)</f>
        <v/>
      </c>
      <c r="AT588" s="37">
        <f>SUM(AU588:BA588)</f>
        <v/>
      </c>
      <c r="AU588" s="73" t="n"/>
      <c r="AV588" s="33" t="n"/>
      <c r="AW588" s="33" t="n"/>
      <c r="AX588" s="33" t="n"/>
      <c r="AY588" s="33" t="n"/>
      <c r="AZ588" s="33" t="n"/>
      <c r="BA588" s="74" t="n"/>
      <c r="BB588" s="106" t="n"/>
      <c r="BC588" s="42" t="n"/>
      <c r="BD588" s="42" t="n"/>
    </row>
    <row r="589" ht="15" customHeight="1" s="148">
      <c r="A589" t="inlineStr">
        <is>
          <t>c0585</t>
        </is>
      </c>
      <c r="B589" s="39" t="inlineStr">
        <is>
          <t>Glóin the Mighty</t>
        </is>
      </c>
      <c r="C589" s="40" t="inlineStr">
        <is>
          <t>R</t>
        </is>
      </c>
      <c r="D589" s="39" t="inlineStr">
        <is>
          <t>Legendary Creature</t>
        </is>
      </c>
      <c r="E589" s="41" t="inlineStr">
        <is>
          <t>B2</t>
        </is>
      </c>
      <c r="F589" s="40" t="n">
        <v>4</v>
      </c>
      <c r="G589" s="67" t="inlineStr">
        <is>
          <t>Glóin the Mighty {3}{R} — Legendary Creature — Dwarf Warrior (4/3)
At the beginning of your first main phase, add {R}{R}.
//
Easy Pickings {2}{R} — Sorcery — Adventure
Easy Pickings deals 1 damage to each creature your opponents control. (Then exile this card. You may cast the creature later from exile.)</t>
        </is>
      </c>
      <c r="H589" s="39" t="inlineStr">
        <is>
          <t>Ramp</t>
        </is>
      </c>
      <c r="I589" s="39" t="inlineStr">
        <is>
          <t>At the beginning of your first main phase, add {R}{R}</t>
        </is>
      </c>
      <c r="J589" s="39" t="inlineStr">
        <is>
          <t>Back face Easy Pickings {2}{R}: deals 1 damage to each creature your opponents control</t>
        </is>
      </c>
      <c r="K589" s="39" t="n"/>
      <c r="L589" s="42" t="n"/>
      <c r="M589" s="42" t="n"/>
      <c r="N589" s="42" t="n"/>
      <c r="O589" s="63" t="n"/>
      <c r="P589" s="63" t="n"/>
      <c r="Q589" s="42" t="n"/>
      <c r="R589" s="42" t="n"/>
      <c r="S589" s="42" t="n"/>
      <c r="T589" s="63" t="n"/>
      <c r="U589" s="63" t="n"/>
      <c r="V589" s="39" t="inlineStr">
        <is>
          <t>The Hobbit</t>
        </is>
      </c>
      <c r="W589" s="41" t="n">
        <v>1</v>
      </c>
      <c r="X589" s="37">
        <f>SUM(Y589:AE589)</f>
        <v/>
      </c>
      <c r="Y589" s="43" t="n"/>
      <c r="Z589" s="43" t="n"/>
      <c r="AA589" s="43" t="n"/>
      <c r="AB589" s="43" t="n"/>
      <c r="AC589" s="43" t="n"/>
      <c r="AD589" s="43" t="n"/>
      <c r="AE589" s="43" t="n"/>
      <c r="AF589" s="38">
        <f>IF((W589-SUM(Y589:AE589))&lt;0,0,W589-SUM(Y589:AE589))</f>
        <v/>
      </c>
      <c r="AG589" s="34">
        <f>MAX(0,$AT589-$W589-$AI589)</f>
        <v/>
      </c>
      <c r="AH589" s="39" t="n"/>
      <c r="AI589" s="39" t="n"/>
      <c r="AJ589" s="39" t="n">
        <v>0.25</v>
      </c>
      <c r="AK589" s="39">
        <f>IF(AND($AG589&gt;0,ISNUMBER($AJ589)),$AG589*$AJ589,0)</f>
        <v/>
      </c>
      <c r="AT589" s="37">
        <f>SUM(AU589:BA589)</f>
        <v/>
      </c>
      <c r="AU589" s="73" t="n"/>
      <c r="AV589" s="33" t="n"/>
      <c r="AW589" s="33" t="n"/>
      <c r="AX589" s="33" t="n"/>
      <c r="AY589" s="33" t="n"/>
      <c r="AZ589" s="33" t="n"/>
      <c r="BA589" s="74" t="n"/>
      <c r="BB589" s="107" t="n"/>
      <c r="BC589" s="42" t="n"/>
      <c r="BD589" s="42" t="n"/>
    </row>
    <row r="590" ht="15" customHeight="1" s="148">
      <c r="A590" t="inlineStr">
        <is>
          <t>c0586</t>
        </is>
      </c>
      <c r="B590" s="44" t="inlineStr">
        <is>
          <t>Goblin Bombardment</t>
        </is>
      </c>
      <c r="C590" s="34" t="inlineStr">
        <is>
          <t>R</t>
        </is>
      </c>
      <c r="D590" s="44" t="inlineStr">
        <is>
          <t>Enchantment</t>
        </is>
      </c>
      <c r="E590" s="41" t="inlineStr">
        <is>
          <t>B3</t>
        </is>
      </c>
      <c r="F590" s="34" t="n">
        <v>2</v>
      </c>
      <c r="G590" s="67" t="inlineStr">
        <is>
          <t>Sacrifice a creature: This enchantment deals 1 damage to any target.</t>
        </is>
      </c>
      <c r="H590" s="45" t="inlineStr">
        <is>
          <t>Sacrifice Outlet</t>
        </is>
      </c>
      <c r="I590" s="45" t="inlineStr">
        <is>
          <t>Sacrifice a creature: deals 1 damage to any target</t>
        </is>
      </c>
      <c r="J590" s="45" t="n"/>
      <c r="K590" s="45" t="n"/>
      <c r="L590" s="42" t="n"/>
      <c r="M590" s="42" t="n"/>
      <c r="N590" s="42" t="n"/>
      <c r="O590" s="42" t="n"/>
      <c r="P590" s="42" t="n">
        <v>3.71</v>
      </c>
      <c r="Q590" s="42" t="n"/>
      <c r="R590" s="42" t="n"/>
      <c r="S590" s="42" t="n"/>
      <c r="T590" s="42" t="n"/>
      <c r="U590" s="42" t="n"/>
      <c r="V590" s="45" t="inlineStr">
        <is>
          <t>Tempest</t>
        </is>
      </c>
      <c r="W590" s="41" t="n">
        <v>1</v>
      </c>
      <c r="X590" s="37">
        <f>SUM(Y590:AE590)</f>
        <v/>
      </c>
      <c r="Y590" s="43" t="n"/>
      <c r="Z590" s="43" t="n"/>
      <c r="AA590" s="43" t="n"/>
      <c r="AB590" s="43" t="n"/>
      <c r="AC590" s="43" t="n"/>
      <c r="AD590" s="43" t="n">
        <v>1</v>
      </c>
      <c r="AE590" s="43" t="n"/>
      <c r="AF590" s="38">
        <f>IF((W590-SUM(Y590:AE590))&lt;0,0,W590-SUM(Y590:AE590))</f>
        <v/>
      </c>
      <c r="AG590" s="34">
        <f>MAX(0,$AT590-$W590-$AI590)</f>
        <v/>
      </c>
      <c r="AH590" s="34" t="n"/>
      <c r="AI590" s="34" t="n"/>
      <c r="AJ590" s="36" t="n">
        <v>2.85</v>
      </c>
      <c r="AK590" s="36">
        <f>IF(AND($AG590&gt;0,ISNUMBER($AJ590)),$AG590*$AJ590,0)</f>
        <v/>
      </c>
      <c r="AT590" s="37">
        <f>SUM(AU590:BA590)</f>
        <v/>
      </c>
      <c r="AU590" s="73" t="n"/>
      <c r="AV590" s="33" t="n"/>
      <c r="AW590" s="33" t="n"/>
      <c r="AX590" s="33" t="n"/>
      <c r="AY590" s="33" t="n"/>
      <c r="AZ590" s="98" t="n">
        <v>1</v>
      </c>
      <c r="BA590" s="74" t="n"/>
      <c r="BB590" s="106" t="n"/>
      <c r="BC590" s="42" t="n"/>
      <c r="BD590" s="42" t="n"/>
    </row>
    <row r="591" ht="15" customHeight="1" s="148">
      <c r="A591" t="inlineStr">
        <is>
          <t>c0587</t>
        </is>
      </c>
      <c r="B591" s="44" t="inlineStr">
        <is>
          <t>Goblin Chieftain</t>
        </is>
      </c>
      <c r="C591" s="34" t="inlineStr">
        <is>
          <t>R</t>
        </is>
      </c>
      <c r="D591" s="44" t="inlineStr">
        <is>
          <t>Creature</t>
        </is>
      </c>
      <c r="E591" s="41" t="inlineStr">
        <is>
          <t>B3</t>
        </is>
      </c>
      <c r="F591" s="34" t="n">
        <v>3</v>
      </c>
      <c r="G591" s="67" t="inlineStr">
        <is>
          <t>Haste (This creature can attack and {T} as soon as it comes under your control.)
Other Goblin creatures you control get +1/+1 and have haste.
(2/2)</t>
        </is>
      </c>
      <c r="H591" s="45" t="inlineStr">
        <is>
          <t>Lord/Anthem</t>
        </is>
      </c>
      <c r="I591" s="45" t="inlineStr">
        <is>
          <t xml:space="preserve">Haste (This creature can attack and {T} as soon as it comes under your control.)
Other Goblin creatures you control get </t>
        </is>
      </c>
      <c r="J591" s="45" t="n"/>
      <c r="K591" s="45" t="n"/>
      <c r="L591" s="42" t="n"/>
      <c r="M591" s="42" t="n"/>
      <c r="N591" s="42" t="n"/>
      <c r="O591" s="42" t="n"/>
      <c r="P591" s="42" t="n">
        <v>6.71</v>
      </c>
      <c r="Q591" s="42" t="n"/>
      <c r="R591" s="42" t="n"/>
      <c r="S591" s="42" t="n"/>
      <c r="T591" s="42" t="n"/>
      <c r="U591" s="42" t="n"/>
      <c r="V591" s="45" t="inlineStr">
        <is>
          <t>Magic 2010</t>
        </is>
      </c>
      <c r="W591" s="41" t="n">
        <v>1</v>
      </c>
      <c r="X591" s="37">
        <f>SUM(Y591:AE591)</f>
        <v/>
      </c>
      <c r="Y591" s="43" t="n"/>
      <c r="Z591" s="43" t="n"/>
      <c r="AA591" s="43" t="n"/>
      <c r="AB591" s="43" t="n"/>
      <c r="AC591" s="43" t="n"/>
      <c r="AD591" s="43" t="n">
        <v>1</v>
      </c>
      <c r="AE591" s="43" t="n"/>
      <c r="AF591" s="38">
        <f>IF((W591-SUM(Y591:AE591))&lt;0,0,W591-SUM(Y591:AE591))</f>
        <v/>
      </c>
      <c r="AG591" s="34">
        <f>MAX(0,$AT591-$W591-$AI591)</f>
        <v/>
      </c>
      <c r="AH591" s="34" t="n"/>
      <c r="AI591" s="34" t="n"/>
      <c r="AJ591" s="36" t="n">
        <v>5.94</v>
      </c>
      <c r="AK591" s="36">
        <f>IF(AND($AG591&gt;0,ISNUMBER($AJ591)),$AG591*$AJ591,0)</f>
        <v/>
      </c>
      <c r="AT591" s="37">
        <f>SUM(AU591:BA591)</f>
        <v/>
      </c>
      <c r="AU591" s="73" t="n"/>
      <c r="AV591" s="33" t="n"/>
      <c r="AW591" s="33" t="n"/>
      <c r="AX591" s="33" t="n"/>
      <c r="AY591" s="33" t="n"/>
      <c r="AZ591" s="98" t="n">
        <v>1</v>
      </c>
      <c r="BA591" s="74" t="n"/>
      <c r="BB591" s="106" t="n"/>
      <c r="BC591" s="42" t="n"/>
      <c r="BD591" s="42" t="n"/>
    </row>
    <row r="592" ht="15" customHeight="1" s="148">
      <c r="A592" t="inlineStr">
        <is>
          <t>c0588</t>
        </is>
      </c>
      <c r="B592" s="44" t="inlineStr">
        <is>
          <t>Goblin Gathering</t>
        </is>
      </c>
      <c r="C592" s="34" t="inlineStr">
        <is>
          <t>R</t>
        </is>
      </c>
      <c r="D592" s="44" t="inlineStr">
        <is>
          <t>Sorcery</t>
        </is>
      </c>
      <c r="E592" s="41" t="inlineStr">
        <is>
          <t>B2</t>
        </is>
      </c>
      <c r="F592" s="34" t="n">
        <v>3</v>
      </c>
      <c r="G592" s="67" t="inlineStr">
        <is>
          <t>Create a number of 1/1 red Goblin creature tokens equal to two plus the number of cards named Goblin Gathering in your graveyard.</t>
        </is>
      </c>
      <c r="H592" s="45" t="inlineStr">
        <is>
          <t>Token Producer</t>
        </is>
      </c>
      <c r="I592" s="45" t="inlineStr">
        <is>
          <t>Creates two 1/1 Goblin tokens, plus one more per copy in your graveyard</t>
        </is>
      </c>
      <c r="J592" s="45" t="n"/>
      <c r="K592" s="45" t="n"/>
      <c r="L592" s="42" t="n"/>
      <c r="M592" s="42" t="n"/>
      <c r="N592" s="42" t="n"/>
      <c r="O592" s="42" t="n"/>
      <c r="P592" s="42" t="n">
        <v>0.11</v>
      </c>
      <c r="Q592" s="42" t="n"/>
      <c r="R592" s="42" t="n"/>
      <c r="S592" s="42" t="n"/>
      <c r="T592" s="42" t="n"/>
      <c r="U592" s="42" t="n"/>
      <c r="V592" s="45" t="inlineStr">
        <is>
          <t>Ravnica Allegiance</t>
        </is>
      </c>
      <c r="W592" s="41" t="n">
        <v>1</v>
      </c>
      <c r="X592" s="37">
        <f>SUM(Y592:AE592)</f>
        <v/>
      </c>
      <c r="Y592" s="43" t="n"/>
      <c r="Z592" s="43" t="n"/>
      <c r="AA592" s="43" t="n"/>
      <c r="AB592" s="43" t="n"/>
      <c r="AC592" s="43" t="n"/>
      <c r="AD592" s="43" t="n">
        <v>1</v>
      </c>
      <c r="AE592" s="43" t="n"/>
      <c r="AF592" s="38">
        <f>IF((W592-SUM(Y592:AE592))&lt;0,0,W592-SUM(Y592:AE592))</f>
        <v/>
      </c>
      <c r="AG592" s="34">
        <f>MAX(0,$AT592-$W592-$AI592)</f>
        <v/>
      </c>
      <c r="AH592" s="34" t="n"/>
      <c r="AI592" s="34" t="n"/>
      <c r="AJ592" s="36" t="n">
        <v>0.11</v>
      </c>
      <c r="AK592" s="36">
        <f>IF(AND($AG592&gt;0,ISNUMBER($AJ592)),$AG592*$AJ592,0)</f>
        <v/>
      </c>
      <c r="AQ592" s="58" t="n"/>
      <c r="AT592" s="37">
        <f>SUM(AU592:BA592)</f>
        <v/>
      </c>
      <c r="AU592" s="73" t="n"/>
      <c r="AV592" s="33" t="n"/>
      <c r="AW592" s="33" t="n"/>
      <c r="AX592" s="33" t="n"/>
      <c r="AY592" s="33" t="n"/>
      <c r="AZ592" s="98" t="n">
        <v>1</v>
      </c>
      <c r="BA592" s="74" t="n"/>
      <c r="BB592" s="106" t="n"/>
      <c r="BC592" s="42" t="n"/>
      <c r="BD592" s="42" t="n"/>
    </row>
    <row r="593" ht="15" customHeight="1" s="148">
      <c r="A593" t="inlineStr">
        <is>
          <t>c0589</t>
        </is>
      </c>
      <c r="B593" s="30" t="inlineStr">
        <is>
          <t>Goblin Glasswright // Craft with Pride</t>
        </is>
      </c>
      <c r="C593" s="31" t="inlineStr">
        <is>
          <t>R</t>
        </is>
      </c>
      <c r="D593" s="30" t="inlineStr">
        <is>
          <t>Creature</t>
        </is>
      </c>
      <c r="E593" s="33" t="inlineStr">
        <is>
          <t>B2</t>
        </is>
      </c>
      <c r="F593" s="30" t="n">
        <v>2</v>
      </c>
      <c r="G593" s="67" t="inlineStr">
        <is>
          <t>Goblin Glasswright {1}{R} — Creature — Goblin Sorcerer (2/2)
This creature enters prepared. (While it's prepared, you may cast a copy of its spell. Doing so unprepares it.)
//
Craft with Pride {R} — Sorcery
Create a Treasure token. (It's an artifact with "{T}, Sacrifice this token: Add one mana of any color.")</t>
        </is>
      </c>
      <c r="H593" s="30" t="inlineStr">
        <is>
          <t>Ramp</t>
        </is>
      </c>
      <c r="I593" s="30" t="inlineStr">
        <is>
          <t>Enters prepared — you may cast a copy of Craft with Pride to create a Treasure token</t>
        </is>
      </c>
      <c r="J593" s="30" t="inlineStr">
        <is>
          <t>2/2 body</t>
        </is>
      </c>
      <c r="K593" s="30" t="n"/>
      <c r="L593" s="32" t="inlineStr">
        <is>
          <t>117</t>
        </is>
      </c>
      <c r="M593" s="32" t="n">
        <v>1</v>
      </c>
      <c r="N593" s="32" t="n">
        <v>0</v>
      </c>
      <c r="O593" s="63" t="inlineStr">
        <is>
          <t>David Auden Nash</t>
        </is>
      </c>
      <c r="P593" s="63" t="n">
        <v>0.16</v>
      </c>
      <c r="Q593" s="32" t="inlineStr">
        <is>
          <t>Common</t>
        </is>
      </c>
      <c r="R593" s="32" t="n"/>
      <c r="S593" s="32" t="n"/>
      <c r="T593" s="63" t="n"/>
      <c r="U593" s="63" t="n"/>
      <c r="V593" s="30" t="inlineStr">
        <is>
          <t>Secrets of Strixhaven</t>
        </is>
      </c>
      <c r="W593" s="41" t="n">
        <v>1</v>
      </c>
      <c r="X593" s="37">
        <f>SUM(Y593:AE593)</f>
        <v/>
      </c>
      <c r="Y593" s="43" t="n"/>
      <c r="Z593" s="43" t="n"/>
      <c r="AA593" s="43" t="n"/>
      <c r="AB593" s="43" t="n"/>
      <c r="AC593" s="43" t="n"/>
      <c r="AD593" s="43" t="n">
        <v>1</v>
      </c>
      <c r="AE593" s="43" t="n"/>
      <c r="AF593" s="38">
        <f>IF((W593-SUM(Y593:AE593))&lt;0,0,W593-SUM(Y593:AE593))</f>
        <v/>
      </c>
      <c r="AG593" s="34">
        <f>MAX(0,$AT593-$W593-$AI593)</f>
        <v/>
      </c>
      <c r="AH593" s="30" t="n"/>
      <c r="AI593" s="30" t="n"/>
      <c r="AJ593" s="30" t="n">
        <v>0.16</v>
      </c>
      <c r="AK593" s="36">
        <f>IF(AND($AG593&gt;0,ISNUMBER($AJ593)),$AG593*$AJ593,0)</f>
        <v/>
      </c>
      <c r="AQ593" s="58" t="n"/>
      <c r="AT593" s="37">
        <f>SUM(AU593:BA593)</f>
        <v/>
      </c>
      <c r="AU593" s="73" t="n"/>
      <c r="AV593" s="33" t="n"/>
      <c r="AW593" s="33" t="n"/>
      <c r="AX593" s="33" t="n"/>
      <c r="AY593" s="33" t="n"/>
      <c r="AZ593" s="98" t="n">
        <v>1</v>
      </c>
      <c r="BA593" s="74" t="n"/>
      <c r="BB593" s="108" t="n"/>
      <c r="BC593" s="32" t="n"/>
      <c r="BD593" s="32" t="n"/>
    </row>
    <row r="594" ht="15" customHeight="1" s="148">
      <c r="A594" t="inlineStr">
        <is>
          <t>c0590</t>
        </is>
      </c>
      <c r="B594" s="44" t="inlineStr">
        <is>
          <t>Goblin Instigator</t>
        </is>
      </c>
      <c r="C594" s="34" t="inlineStr">
        <is>
          <t>R</t>
        </is>
      </c>
      <c r="D594" s="44" t="inlineStr">
        <is>
          <t>Creature</t>
        </is>
      </c>
      <c r="E594" s="41" t="inlineStr">
        <is>
          <t>B2</t>
        </is>
      </c>
      <c r="F594" s="34" t="n">
        <v>2</v>
      </c>
      <c r="G594" s="67" t="inlineStr">
        <is>
          <t>When this creature enters, create a 1/1 red Goblin creature token.
(1/1)</t>
        </is>
      </c>
      <c r="H594" s="45" t="inlineStr">
        <is>
          <t>Token Producer</t>
        </is>
      </c>
      <c r="I594" s="45" t="inlineStr">
        <is>
          <t>Creates a 1/1 Goblin token when it enters</t>
        </is>
      </c>
      <c r="J594" s="45" t="n"/>
      <c r="K594" s="45" t="n"/>
      <c r="L594" s="42" t="n"/>
      <c r="M594" s="42" t="n"/>
      <c r="N594" s="42" t="n"/>
      <c r="O594" s="42" t="n"/>
      <c r="P594" s="42" t="n">
        <v>0.4</v>
      </c>
      <c r="Q594" s="42" t="n"/>
      <c r="R594" s="42" t="n"/>
      <c r="S594" s="42" t="n"/>
      <c r="T594" s="42" t="n"/>
      <c r="U594" s="42" t="n"/>
      <c r="V594" s="45" t="inlineStr">
        <is>
          <t>Core Set 2019</t>
        </is>
      </c>
      <c r="W594" s="41" t="n">
        <v>1</v>
      </c>
      <c r="X594" s="37">
        <f>SUM(Y594:AE594)</f>
        <v/>
      </c>
      <c r="Y594" s="43" t="n"/>
      <c r="Z594" s="43" t="n"/>
      <c r="AA594" s="43" t="n"/>
      <c r="AB594" s="43" t="n"/>
      <c r="AC594" s="43" t="n"/>
      <c r="AD594" s="43" t="n">
        <v>1</v>
      </c>
      <c r="AE594" s="43" t="n"/>
      <c r="AF594" s="38">
        <f>IF((W594-SUM(Y594:AE594))&lt;0,0,W594-SUM(Y594:AE594))</f>
        <v/>
      </c>
      <c r="AG594" s="34">
        <f>MAX(0,$AT594-$W594-$AI594)</f>
        <v/>
      </c>
      <c r="AH594" s="34" t="n"/>
      <c r="AI594" s="34" t="n"/>
      <c r="AJ594" s="36" t="n">
        <v>0.39</v>
      </c>
      <c r="AK594" s="36">
        <f>IF(AND($AG594&gt;0,ISNUMBER($AJ594)),$AG594*$AJ594,0)</f>
        <v/>
      </c>
      <c r="AQ594" s="58" t="n"/>
      <c r="AT594" s="37">
        <f>SUM(AU594:BA594)</f>
        <v/>
      </c>
      <c r="AU594" s="73" t="n"/>
      <c r="AV594" s="33" t="n"/>
      <c r="AW594" s="33" t="n"/>
      <c r="AX594" s="33" t="n"/>
      <c r="AY594" s="33" t="n"/>
      <c r="AZ594" s="98" t="n">
        <v>1</v>
      </c>
      <c r="BA594" s="74" t="n"/>
      <c r="BB594" s="106" t="n"/>
      <c r="BC594" s="42" t="n"/>
      <c r="BD594" s="42" t="n"/>
    </row>
    <row r="595" ht="15" customHeight="1" s="148">
      <c r="A595" t="inlineStr">
        <is>
          <t>c0591</t>
        </is>
      </c>
      <c r="B595" s="44" t="inlineStr">
        <is>
          <t>Goblin Lackey</t>
        </is>
      </c>
      <c r="C595" s="34" t="inlineStr">
        <is>
          <t>R</t>
        </is>
      </c>
      <c r="D595" s="44" t="inlineStr">
        <is>
          <t>Creature</t>
        </is>
      </c>
      <c r="E595" s="41" t="inlineStr">
        <is>
          <t>B3</t>
        </is>
      </c>
      <c r="F595" s="34" t="n">
        <v>1</v>
      </c>
      <c r="G595" s="67" t="inlineStr">
        <is>
          <t>Whenever this creature deals damage to a player, you may put a Goblin permanent card from your hand onto the battlefield.
(1/1)</t>
        </is>
      </c>
      <c r="H595" s="45" t="inlineStr">
        <is>
          <t>Token Producer</t>
        </is>
      </c>
      <c r="I595" s="45" t="inlineStr">
        <is>
          <t>Whenever this creature deals damage to a player, you may put a Goblin permanent card from your hand onto the battlefield</t>
        </is>
      </c>
      <c r="J595" s="45" t="n"/>
      <c r="K595" s="45" t="n"/>
      <c r="L595" s="42" t="n"/>
      <c r="M595" s="42" t="n"/>
      <c r="N595" s="42" t="n"/>
      <c r="O595" s="42" t="n"/>
      <c r="P595" s="42" t="n"/>
      <c r="Q595" s="42" t="n"/>
      <c r="R595" s="42" t="n"/>
      <c r="S595" s="42" t="n"/>
      <c r="T595" s="42" t="n"/>
      <c r="U595" s="42" t="n"/>
      <c r="V595" s="45" t="inlineStr">
        <is>
          <t>Urza's Saga</t>
        </is>
      </c>
      <c r="W595" s="41" t="n">
        <v>0</v>
      </c>
      <c r="X595" s="37">
        <f>SUM(Y595:AE595)</f>
        <v/>
      </c>
      <c r="Y595" s="43" t="n"/>
      <c r="Z595" s="43" t="n"/>
      <c r="AA595" s="43" t="n"/>
      <c r="AB595" s="43" t="n"/>
      <c r="AC595" s="43" t="n"/>
      <c r="AD595" s="43" t="n"/>
      <c r="AE595" s="43" t="n"/>
      <c r="AF595" s="38">
        <f>IF((W595-SUM(Y595:AE595))&lt;0,0,W595-SUM(Y595:AE595))</f>
        <v/>
      </c>
      <c r="AG595" s="34">
        <f>MAX(0,$AT595-$W595-$AI595)</f>
        <v/>
      </c>
      <c r="AH595" s="34" t="n"/>
      <c r="AI595" s="34" t="n"/>
      <c r="AJ595" s="36" t="n">
        <v>9.34</v>
      </c>
      <c r="AK595" s="36">
        <f>IF(AND($AG595&gt;0,ISNUMBER($AJ595)),$AG595*$AJ595,0)</f>
        <v/>
      </c>
      <c r="AL595" s="54" t="n"/>
      <c r="AM595" s="54" t="n"/>
      <c r="AN595" s="54" t="n"/>
      <c r="AO595" s="54" t="n"/>
      <c r="AP595" s="54" t="n"/>
      <c r="AQ595" s="54" t="n"/>
      <c r="AR595" s="54" t="n"/>
      <c r="AS595" s="54" t="n"/>
      <c r="AT595" s="37">
        <f>SUM(AU595:BA595)</f>
        <v/>
      </c>
      <c r="AU595" s="92" t="n"/>
      <c r="AV595" s="38" t="n"/>
      <c r="AW595" s="38" t="n"/>
      <c r="AX595" s="38" t="n"/>
      <c r="AY595" s="38" t="n"/>
      <c r="AZ595" s="38" t="n"/>
      <c r="BA595" s="94" t="n"/>
      <c r="BB595" s="106" t="n"/>
      <c r="BC595" s="42" t="n"/>
      <c r="BD595" s="42" t="n"/>
    </row>
    <row r="596" ht="15" customHeight="1" s="148">
      <c r="A596" t="inlineStr">
        <is>
          <t>c0592</t>
        </is>
      </c>
      <c r="B596" s="44" t="inlineStr">
        <is>
          <t>Goblin Matron</t>
        </is>
      </c>
      <c r="C596" s="34" t="inlineStr">
        <is>
          <t>R</t>
        </is>
      </c>
      <c r="D596" s="44" t="inlineStr">
        <is>
          <t>Creature</t>
        </is>
      </c>
      <c r="E596" s="41" t="inlineStr">
        <is>
          <t>B2</t>
        </is>
      </c>
      <c r="F596" s="34" t="n">
        <v>3</v>
      </c>
      <c r="G596" s="67" t="inlineStr">
        <is>
          <t>When this creature enters, you may search your library for a Goblin card, reveal that card, put it into your hand, then shuffle.
(1/1)</t>
        </is>
      </c>
      <c r="H596" s="45" t="inlineStr">
        <is>
          <t>Tutor</t>
        </is>
      </c>
      <c r="I596" s="45" t="inlineStr">
        <is>
          <t>Searches library for a Goblin card to hand when it enters</t>
        </is>
      </c>
      <c r="J596" s="45" t="n"/>
      <c r="K596" s="45" t="n"/>
      <c r="L596" s="42" t="n"/>
      <c r="M596" s="42" t="n"/>
      <c r="N596" s="42" t="n"/>
      <c r="O596" s="42" t="n"/>
      <c r="P596" s="42" t="n">
        <v>0.29</v>
      </c>
      <c r="Q596" s="42" t="n"/>
      <c r="R596" s="42" t="n"/>
      <c r="S596" s="42" t="n"/>
      <c r="T596" s="42" t="n"/>
      <c r="U596" s="42" t="n"/>
      <c r="V596" s="45" t="inlineStr">
        <is>
          <t>Portal Second Age</t>
        </is>
      </c>
      <c r="W596" s="41" t="n">
        <v>1</v>
      </c>
      <c r="X596" s="37">
        <f>SUM(Y596:AE596)</f>
        <v/>
      </c>
      <c r="Y596" s="43" t="n"/>
      <c r="Z596" s="43" t="n"/>
      <c r="AA596" s="43" t="n"/>
      <c r="AB596" s="43" t="n"/>
      <c r="AC596" s="43" t="n"/>
      <c r="AD596" s="43" t="n">
        <v>1</v>
      </c>
      <c r="AE596" s="43" t="n"/>
      <c r="AF596" s="38">
        <f>IF((W596-SUM(Y596:AE596))&lt;0,0,W596-SUM(Y596:AE596))</f>
        <v/>
      </c>
      <c r="AG596" s="34">
        <f>MAX(0,$AT596-$W596-$AI596)</f>
        <v/>
      </c>
      <c r="AH596" s="34" t="n"/>
      <c r="AI596" s="34" t="n"/>
      <c r="AJ596" s="36" t="n">
        <v>0.32</v>
      </c>
      <c r="AK596" s="36">
        <f>IF(AND($AG596&gt;0,ISNUMBER($AJ596)),$AG596*$AJ596,0)</f>
        <v/>
      </c>
      <c r="AQ596" s="58" t="n"/>
      <c r="AT596" s="37">
        <f>SUM(AU596:BA596)</f>
        <v/>
      </c>
      <c r="AU596" s="73" t="n"/>
      <c r="AV596" s="33" t="n"/>
      <c r="AW596" s="33" t="n"/>
      <c r="AX596" s="33" t="n"/>
      <c r="AY596" s="33" t="n"/>
      <c r="AZ596" s="98" t="n">
        <v>1</v>
      </c>
      <c r="BA596" s="74" t="n"/>
      <c r="BB596" s="106" t="n"/>
      <c r="BC596" s="42" t="n"/>
      <c r="BD596" s="42" t="n"/>
    </row>
    <row r="597" ht="15" customHeight="1" s="148">
      <c r="A597" t="inlineStr">
        <is>
          <t>c0593</t>
        </is>
      </c>
      <c r="B597" s="44" t="inlineStr">
        <is>
          <t>Goblin Motivator</t>
        </is>
      </c>
      <c r="C597" s="34" t="inlineStr">
        <is>
          <t>R</t>
        </is>
      </c>
      <c r="D597" s="44" t="inlineStr">
        <is>
          <t>Creature</t>
        </is>
      </c>
      <c r="E597" s="41" t="inlineStr">
        <is>
          <t>B2</t>
        </is>
      </c>
      <c r="F597" s="34" t="n">
        <v>1</v>
      </c>
      <c r="G597" s="67" t="inlineStr">
        <is>
          <t>{T}: Target creature gains haste until end of turn. (It can attack and {T} this turn.)
(1/1)</t>
        </is>
      </c>
      <c r="H597" s="45" t="inlineStr">
        <is>
          <t>Haste Enabler</t>
        </is>
      </c>
      <c r="I597" s="45" t="inlineStr">
        <is>
          <t>Tap: target creature gains haste until end of turn</t>
        </is>
      </c>
      <c r="J597" s="45" t="n"/>
      <c r="K597" s="45" t="n"/>
      <c r="L597" s="42" t="n"/>
      <c r="M597" s="42" t="n"/>
      <c r="N597" s="42" t="n"/>
      <c r="O597" s="42" t="n"/>
      <c r="P597" s="42" t="n">
        <v>0.26</v>
      </c>
      <c r="Q597" s="42" t="n"/>
      <c r="R597" s="42" t="n"/>
      <c r="S597" s="42" t="n"/>
      <c r="T597" s="42" t="n"/>
      <c r="U597" s="42" t="n"/>
      <c r="V597" s="45" t="inlineStr">
        <is>
          <t>Core Set 2019</t>
        </is>
      </c>
      <c r="W597" s="41" t="n">
        <v>0</v>
      </c>
      <c r="X597" s="37">
        <f>SUM(Y597:AE597)</f>
        <v/>
      </c>
      <c r="Y597" s="43" t="n"/>
      <c r="Z597" s="43" t="n"/>
      <c r="AA597" s="43" t="n"/>
      <c r="AB597" s="43" t="n"/>
      <c r="AC597" s="43" t="n"/>
      <c r="AD597" s="43" t="n"/>
      <c r="AE597" s="43" t="n"/>
      <c r="AF597" s="38">
        <f>IF((W597-SUM(Y597:AE597))&lt;0,0,W597-SUM(Y597:AE597))</f>
        <v/>
      </c>
      <c r="AG597" s="34">
        <f>MAX(0,$AT597-$W597-$AI597)</f>
        <v/>
      </c>
      <c r="AH597" s="34" t="n"/>
      <c r="AI597" s="34" t="n"/>
      <c r="AJ597" s="36" t="n">
        <v>0.26</v>
      </c>
      <c r="AK597" s="36">
        <f>IF(AND($AG597&gt;0,ISNUMBER($AJ597)),$AG597*$AJ597,0)</f>
        <v/>
      </c>
      <c r="AL597" s="54" t="n"/>
      <c r="AM597" s="54" t="n"/>
      <c r="AN597" s="54" t="n"/>
      <c r="AO597" s="54" t="n"/>
      <c r="AP597" s="54" t="n"/>
      <c r="AQ597" s="54" t="n"/>
      <c r="AR597" s="54" t="n"/>
      <c r="AS597" s="54" t="n"/>
      <c r="AT597" s="37">
        <f>SUM(AU597:BA597)</f>
        <v/>
      </c>
      <c r="AU597" s="92" t="n"/>
      <c r="AV597" s="38" t="n"/>
      <c r="AW597" s="38" t="n"/>
      <c r="AX597" s="38" t="n"/>
      <c r="AY597" s="38" t="n"/>
      <c r="AZ597" s="38" t="n">
        <v>1</v>
      </c>
      <c r="BA597" s="94" t="n"/>
      <c r="BB597" s="106" t="n"/>
      <c r="BC597" s="42" t="n"/>
      <c r="BD597" s="42" t="n"/>
    </row>
    <row r="598" ht="15" customHeight="1" s="148">
      <c r="A598" t="inlineStr">
        <is>
          <t>c0594</t>
        </is>
      </c>
      <c r="B598" s="44" t="inlineStr">
        <is>
          <t>Goblin Oriflamme</t>
        </is>
      </c>
      <c r="C598" s="34" t="inlineStr">
        <is>
          <t>R</t>
        </is>
      </c>
      <c r="D598" s="44" t="inlineStr">
        <is>
          <t>Enchantment</t>
        </is>
      </c>
      <c r="E598" s="41" t="inlineStr">
        <is>
          <t>B2</t>
        </is>
      </c>
      <c r="F598" s="34" t="n">
        <v>2</v>
      </c>
      <c r="G598" s="67" t="inlineStr">
        <is>
          <t>Attacking creatures you control get +1/+0.</t>
        </is>
      </c>
      <c r="H598" s="45" t="inlineStr">
        <is>
          <t>Lord/Anthem</t>
        </is>
      </c>
      <c r="I598" s="45" t="inlineStr">
        <is>
          <t>Attacking creatures you control get +1/+0</t>
        </is>
      </c>
      <c r="J598" s="45" t="n"/>
      <c r="K598" s="45" t="n"/>
      <c r="L598" s="42" t="n"/>
      <c r="M598" s="42" t="n"/>
      <c r="N598" s="42" t="n"/>
      <c r="O598" s="42" t="n"/>
      <c r="P598" s="42" t="n">
        <v>0.42</v>
      </c>
      <c r="Q598" s="42" t="n"/>
      <c r="R598" s="42" t="n"/>
      <c r="S598" s="42" t="n"/>
      <c r="T598" s="42" t="n"/>
      <c r="U598" s="42" t="n"/>
      <c r="V598" s="45" t="inlineStr">
        <is>
          <t>Modern Horizons</t>
        </is>
      </c>
      <c r="W598" s="41" t="n">
        <v>0</v>
      </c>
      <c r="X598" s="37">
        <f>SUM(Y598:AE598)</f>
        <v/>
      </c>
      <c r="Y598" s="43" t="n"/>
      <c r="Z598" s="43" t="n"/>
      <c r="AA598" s="43" t="n"/>
      <c r="AB598" s="43" t="n"/>
      <c r="AC598" s="43" t="n"/>
      <c r="AD598" s="43" t="n"/>
      <c r="AE598" s="43" t="n"/>
      <c r="AF598" s="38">
        <f>IF((W598-SUM(Y598:AE598))&lt;0,0,W598-SUM(Y598:AE598))</f>
        <v/>
      </c>
      <c r="AG598" s="34">
        <f>MAX(0,$AT598-$W598-$AI598)</f>
        <v/>
      </c>
      <c r="AH598" s="34" t="n"/>
      <c r="AI598" s="34" t="n"/>
      <c r="AJ598" s="36" t="n">
        <v>0.53</v>
      </c>
      <c r="AK598" s="36">
        <f>IF(AND($AG598&gt;0,ISNUMBER($AJ598)),$AG598*$AJ598,0)</f>
        <v/>
      </c>
      <c r="AL598" s="54" t="n"/>
      <c r="AM598" s="54" t="n"/>
      <c r="AN598" s="54" t="n"/>
      <c r="AO598" s="54" t="n"/>
      <c r="AP598" s="54" t="n"/>
      <c r="AQ598" s="54" t="n"/>
      <c r="AR598" s="54" t="n"/>
      <c r="AS598" s="54" t="n"/>
      <c r="AT598" s="37">
        <f>SUM(AU598:BA598)</f>
        <v/>
      </c>
      <c r="AU598" s="92" t="n"/>
      <c r="AV598" s="38" t="n"/>
      <c r="AW598" s="38" t="n"/>
      <c r="AX598" s="38" t="n"/>
      <c r="AY598" s="38" t="n"/>
      <c r="AZ598" s="38" t="n"/>
      <c r="BA598" s="94" t="n"/>
      <c r="BB598" s="106" t="n"/>
      <c r="BC598" s="42" t="n"/>
      <c r="BD598" s="42" t="n"/>
    </row>
    <row r="599" ht="15" customHeight="1" s="148">
      <c r="A599" t="inlineStr">
        <is>
          <t>c0595</t>
        </is>
      </c>
      <c r="B599" s="44" t="inlineStr">
        <is>
          <t>Goblin Piledriver</t>
        </is>
      </c>
      <c r="C599" s="34" t="inlineStr">
        <is>
          <t>R</t>
        </is>
      </c>
      <c r="D599" s="44" t="inlineStr">
        <is>
          <t>Creature</t>
        </is>
      </c>
      <c r="E599" s="41" t="inlineStr">
        <is>
          <t>B3</t>
        </is>
      </c>
      <c r="F599" s="34" t="n">
        <v>2</v>
      </c>
      <c r="G599" s="67" t="inlineStr">
        <is>
          <t>Protection from blue (This creature can't be blocked, targeted, dealt damage, or enchanted by anything blue.)
Whenever this creature attacks, it gets +2/+0 until end of turn for each other attacking Goblin.
(1/2)</t>
        </is>
      </c>
      <c r="H599" s="45" t="inlineStr">
        <is>
          <t>Lord/Anthem</t>
        </is>
      </c>
      <c r="I599" s="45" t="inlineStr">
        <is>
          <t>Protection from blue (This creature can't be blocked, targeted, dealt damage, or enchanted by anything blue.)
Whenever t</t>
        </is>
      </c>
      <c r="J599" s="45" t="n"/>
      <c r="K599" s="45" t="n"/>
      <c r="L599" s="42" t="n"/>
      <c r="M599" s="42" t="n"/>
      <c r="N599" s="42" t="n"/>
      <c r="O599" s="42" t="n"/>
      <c r="P599" s="42" t="n">
        <v>2.62</v>
      </c>
      <c r="Q599" s="42" t="n"/>
      <c r="R599" s="42" t="n"/>
      <c r="S599" s="42" t="n"/>
      <c r="T599" s="42" t="n"/>
      <c r="U599" s="42" t="n"/>
      <c r="V599" s="45" t="inlineStr">
        <is>
          <t>Onslaught</t>
        </is>
      </c>
      <c r="W599" s="41" t="n">
        <v>0</v>
      </c>
      <c r="X599" s="37">
        <f>SUM(Y599:AE599)</f>
        <v/>
      </c>
      <c r="Y599" s="43" t="n"/>
      <c r="Z599" s="43" t="n"/>
      <c r="AA599" s="43" t="n"/>
      <c r="AB599" s="43" t="n"/>
      <c r="AC599" s="43" t="n"/>
      <c r="AD599" s="43" t="n"/>
      <c r="AE599" s="43" t="n"/>
      <c r="AF599" s="38">
        <f>IF((W599-SUM(Y599:AE599))&lt;0,0,W599-SUM(Y599:AE599))</f>
        <v/>
      </c>
      <c r="AG599" s="34">
        <f>MAX(0,$AT599-$W599-$AI599)</f>
        <v/>
      </c>
      <c r="AH599" s="34" t="n"/>
      <c r="AI599" s="34" t="n"/>
      <c r="AJ599" s="36" t="n">
        <v>2.58</v>
      </c>
      <c r="AK599" s="36">
        <f>IF(AND($AG599&gt;0,ISNUMBER($AJ599)),$AG599*$AJ599,0)</f>
        <v/>
      </c>
      <c r="AL599" s="54" t="n"/>
      <c r="AM599" s="54" t="n"/>
      <c r="AN599" s="54" t="n"/>
      <c r="AO599" s="54" t="n"/>
      <c r="AP599" s="54" t="n"/>
      <c r="AQ599" s="54" t="n"/>
      <c r="AR599" s="54" t="n"/>
      <c r="AS599" s="54" t="n"/>
      <c r="AT599" s="37">
        <f>SUM(AU599:BA599)</f>
        <v/>
      </c>
      <c r="AU599" s="92" t="n"/>
      <c r="AV599" s="38" t="n"/>
      <c r="AW599" s="38" t="n"/>
      <c r="AX599" s="38" t="n"/>
      <c r="AY599" s="38" t="n"/>
      <c r="AZ599" s="38" t="n"/>
      <c r="BA599" s="94" t="n"/>
      <c r="BB599" s="106" t="n"/>
      <c r="BC599" s="42" t="n"/>
      <c r="BD599" s="48" t="n"/>
    </row>
    <row r="600" ht="15" customHeight="1" s="148">
      <c r="A600" t="inlineStr">
        <is>
          <t>c0596</t>
        </is>
      </c>
      <c r="B600" s="44" t="inlineStr">
        <is>
          <t>Goblin Rabblemaster</t>
        </is>
      </c>
      <c r="C600" s="34" t="inlineStr">
        <is>
          <t>R</t>
        </is>
      </c>
      <c r="D600" s="44" t="inlineStr">
        <is>
          <t>Creature</t>
        </is>
      </c>
      <c r="E600" s="41" t="inlineStr">
        <is>
          <t>B3</t>
        </is>
      </c>
      <c r="F600" s="34" t="n">
        <v>3</v>
      </c>
      <c r="G600" s="67" t="inlineStr">
        <is>
          <t>Other Goblin creatures you control attack each combat if able.
At the beginning of combat on your turn, create a 1/1 red Goblin creature token with haste.
Whenever this creature attacks, it gets +1/+0 until end of turn for each other attacking Goblin.
(2/2)</t>
        </is>
      </c>
      <c r="H600" s="45" t="inlineStr">
        <is>
          <t>Token Producer</t>
        </is>
      </c>
      <c r="I600" s="45" t="inlineStr">
        <is>
          <t>Creates a 1/1 Goblin that must attack at each of your combats</t>
        </is>
      </c>
      <c r="J600" s="45" t="inlineStr">
        <is>
          <t>Gets +1/+0 per other attacking Goblin; other Goblins must attack</t>
        </is>
      </c>
      <c r="K600" s="45" t="n"/>
      <c r="L600" s="42" t="n"/>
      <c r="M600" s="42" t="n"/>
      <c r="N600" s="42" t="n"/>
      <c r="O600" s="42" t="n"/>
      <c r="P600" s="42" t="n">
        <v>0.65</v>
      </c>
      <c r="Q600" s="42" t="n"/>
      <c r="R600" s="42" t="n"/>
      <c r="S600" s="42" t="n"/>
      <c r="T600" s="42" t="n"/>
      <c r="U600" s="42" t="n"/>
      <c r="V600" s="45" t="inlineStr">
        <is>
          <t>Magic 2015</t>
        </is>
      </c>
      <c r="W600" s="41" t="n">
        <v>1</v>
      </c>
      <c r="X600" s="37">
        <f>SUM(Y600:AE600)</f>
        <v/>
      </c>
      <c r="Y600" s="43" t="n"/>
      <c r="Z600" s="43" t="n"/>
      <c r="AA600" s="43" t="n"/>
      <c r="AB600" s="43" t="n"/>
      <c r="AC600" s="43" t="n"/>
      <c r="AD600" s="43" t="n">
        <v>1</v>
      </c>
      <c r="AE600" s="43" t="n"/>
      <c r="AF600" s="38">
        <f>IF((W600-SUM(Y600:AE600))&lt;0,0,W600-SUM(Y600:AE600))</f>
        <v/>
      </c>
      <c r="AG600" s="34">
        <f>MAX(0,$AT600-$W600-$AI600)</f>
        <v/>
      </c>
      <c r="AH600" s="34" t="n"/>
      <c r="AI600" s="34" t="n"/>
      <c r="AJ600" s="36" t="n">
        <v>0.66</v>
      </c>
      <c r="AK600" s="36">
        <f>IF(AND($AG600&gt;0,ISNUMBER($AJ600)),$AG600*$AJ600,0)</f>
        <v/>
      </c>
      <c r="AT600" s="37">
        <f>SUM(AU600:BA600)</f>
        <v/>
      </c>
      <c r="AU600" s="73" t="n"/>
      <c r="AV600" s="33" t="n"/>
      <c r="AW600" s="33" t="n"/>
      <c r="AX600" s="33" t="n"/>
      <c r="AY600" s="33" t="n"/>
      <c r="AZ600" s="98" t="n">
        <v>1</v>
      </c>
      <c r="BA600" s="74" t="n"/>
      <c r="BB600" s="106" t="n"/>
      <c r="BC600" s="42" t="n"/>
      <c r="BD600" s="42" t="n"/>
    </row>
    <row r="601" ht="15" customHeight="1" s="148">
      <c r="A601" t="inlineStr">
        <is>
          <t>c0597</t>
        </is>
      </c>
      <c r="B601" s="44" t="inlineStr">
        <is>
          <t>Goblin Rally</t>
        </is>
      </c>
      <c r="C601" s="34" t="inlineStr">
        <is>
          <t>R</t>
        </is>
      </c>
      <c r="D601" s="44" t="inlineStr">
        <is>
          <t>Sorcery</t>
        </is>
      </c>
      <c r="E601" s="41" t="inlineStr">
        <is>
          <t>B2</t>
        </is>
      </c>
      <c r="F601" s="34" t="n">
        <v>5</v>
      </c>
      <c r="G601" s="67" t="inlineStr">
        <is>
          <t>Create four 1/1 red Goblin creature tokens.</t>
        </is>
      </c>
      <c r="H601" s="45" t="inlineStr">
        <is>
          <t>Token Producer</t>
        </is>
      </c>
      <c r="I601" s="45" t="inlineStr">
        <is>
          <t>Creates four 1/1 Goblin tokens</t>
        </is>
      </c>
      <c r="J601" s="45" t="n"/>
      <c r="K601" s="45" t="n"/>
      <c r="L601" s="42" t="n"/>
      <c r="M601" s="42" t="n"/>
      <c r="N601" s="42" t="n"/>
      <c r="O601" s="42" t="n"/>
      <c r="P601" s="42" t="n">
        <v>0.36</v>
      </c>
      <c r="Q601" s="42" t="n"/>
      <c r="R601" s="42" t="n"/>
      <c r="S601" s="42" t="n"/>
      <c r="T601" s="42" t="n"/>
      <c r="U601" s="42" t="n"/>
      <c r="V601" s="45" t="inlineStr">
        <is>
          <t>Return to Ravnica</t>
        </is>
      </c>
      <c r="W601" s="41" t="n">
        <v>1</v>
      </c>
      <c r="X601" s="37">
        <f>SUM(Y601:AE601)</f>
        <v/>
      </c>
      <c r="Y601" s="43" t="n"/>
      <c r="Z601" s="43" t="n"/>
      <c r="AA601" s="43" t="n"/>
      <c r="AB601" s="43" t="n"/>
      <c r="AC601" s="43" t="n"/>
      <c r="AD601" s="43" t="n">
        <v>1</v>
      </c>
      <c r="AE601" s="43" t="n"/>
      <c r="AF601" s="38">
        <f>IF((W601-SUM(Y601:AE601))&lt;0,0,W601-SUM(Y601:AE601))</f>
        <v/>
      </c>
      <c r="AG601" s="34">
        <f>MAX(0,$AT601-$W601-$AI601)</f>
        <v/>
      </c>
      <c r="AH601" s="34" t="n"/>
      <c r="AI601" s="34" t="n"/>
      <c r="AJ601" s="36" t="n">
        <v>0.36</v>
      </c>
      <c r="AK601" s="36">
        <f>IF(AND($AG601&gt;0,ISNUMBER($AJ601)),$AG601*$AJ601,0)</f>
        <v/>
      </c>
      <c r="AQ601" s="58" t="n"/>
      <c r="AT601" s="37">
        <f>SUM(AU601:BA601)</f>
        <v/>
      </c>
      <c r="AU601" s="73" t="n"/>
      <c r="AV601" s="33" t="n"/>
      <c r="AW601" s="33" t="n"/>
      <c r="AX601" s="33" t="n"/>
      <c r="AY601" s="33" t="n"/>
      <c r="AZ601" s="98" t="n">
        <v>1</v>
      </c>
      <c r="BA601" s="74" t="n"/>
      <c r="BB601" s="106" t="n"/>
      <c r="BC601" s="42" t="n"/>
      <c r="BD601" s="42" t="n"/>
    </row>
    <row r="602" ht="15" customHeight="1" s="148">
      <c r="A602" t="inlineStr">
        <is>
          <t>c0598</t>
        </is>
      </c>
      <c r="B602" s="44" t="inlineStr">
        <is>
          <t>Goblin Recruiter</t>
        </is>
      </c>
      <c r="C602" s="34" t="inlineStr">
        <is>
          <t>R</t>
        </is>
      </c>
      <c r="D602" s="44" t="inlineStr">
        <is>
          <t>Creature</t>
        </is>
      </c>
      <c r="E602" s="41" t="inlineStr">
        <is>
          <t>B3</t>
        </is>
      </c>
      <c r="F602" s="34" t="n">
        <v>2</v>
      </c>
      <c r="G602" s="67" t="inlineStr">
        <is>
          <t>When this creature enters, search your library for any number of Goblin cards, reveal them, then shuffle and put those cards on top in any order.
(1/1)</t>
        </is>
      </c>
      <c r="H602" s="45" t="inlineStr">
        <is>
          <t>Tutor</t>
        </is>
      </c>
      <c r="I602" s="45" t="inlineStr">
        <is>
          <t>When this creature enters, search your library for any number of Goblin cards, reveal them, then shuffle and put those c</t>
        </is>
      </c>
      <c r="J602" s="45" t="n"/>
      <c r="K602" s="45" t="n"/>
      <c r="L602" s="42" t="n"/>
      <c r="M602" s="42" t="n"/>
      <c r="N602" s="42" t="n"/>
      <c r="O602" s="42" t="n"/>
      <c r="P602" s="42" t="n">
        <v>6.8</v>
      </c>
      <c r="Q602" s="42" t="n"/>
      <c r="R602" s="42" t="n"/>
      <c r="S602" s="42" t="n"/>
      <c r="T602" s="42" t="n"/>
      <c r="U602" s="42" t="n"/>
      <c r="V602" s="45" t="inlineStr">
        <is>
          <t>Visions</t>
        </is>
      </c>
      <c r="W602" s="41" t="n">
        <v>0</v>
      </c>
      <c r="X602" s="37">
        <f>SUM(Y602:AE602)</f>
        <v/>
      </c>
      <c r="Y602" s="43" t="n"/>
      <c r="Z602" s="43" t="n"/>
      <c r="AA602" s="43" t="n"/>
      <c r="AB602" s="43" t="n"/>
      <c r="AC602" s="43" t="n"/>
      <c r="AD602" s="43" t="n"/>
      <c r="AE602" s="43" t="n"/>
      <c r="AF602" s="38">
        <f>IF((W602-SUM(Y602:AE602))&lt;0,0,W602-SUM(Y602:AE602))</f>
        <v/>
      </c>
      <c r="AG602" s="34">
        <f>MAX(0,$AT602-$W602-$AI602)</f>
        <v/>
      </c>
      <c r="AH602" s="34" t="n"/>
      <c r="AI602" s="34" t="n"/>
      <c r="AJ602" s="36" t="n">
        <v>5.54</v>
      </c>
      <c r="AK602" s="36">
        <f>IF(AND($AG602&gt;0,ISNUMBER($AJ602)),$AG602*$AJ602,0)</f>
        <v/>
      </c>
      <c r="AL602" s="54" t="n"/>
      <c r="AM602" s="54" t="n"/>
      <c r="AN602" s="54" t="n"/>
      <c r="AO602" s="54" t="n"/>
      <c r="AP602" s="54" t="n"/>
      <c r="AQ602" s="54" t="n"/>
      <c r="AR602" s="54" t="n"/>
      <c r="AS602" s="54" t="n"/>
      <c r="AT602" s="37">
        <f>SUM(AU602:BA602)</f>
        <v/>
      </c>
      <c r="AU602" s="92" t="n"/>
      <c r="AV602" s="38" t="n"/>
      <c r="AW602" s="38" t="n"/>
      <c r="AX602" s="38" t="n"/>
      <c r="AY602" s="38" t="n"/>
      <c r="AZ602" s="38" t="n"/>
      <c r="BA602" s="94" t="n"/>
      <c r="BB602" s="106" t="n"/>
      <c r="BC602" s="42" t="n"/>
      <c r="BD602" s="42" t="n"/>
    </row>
    <row r="603" ht="15" customHeight="1" s="148">
      <c r="A603" t="inlineStr">
        <is>
          <t>c0599</t>
        </is>
      </c>
      <c r="B603" s="44" t="inlineStr">
        <is>
          <t>Goblin Ringleader</t>
        </is>
      </c>
      <c r="C603" s="34" t="inlineStr">
        <is>
          <t>R</t>
        </is>
      </c>
      <c r="D603" s="44" t="inlineStr">
        <is>
          <t>Creature</t>
        </is>
      </c>
      <c r="E603" s="41" t="inlineStr">
        <is>
          <t>B2</t>
        </is>
      </c>
      <c r="F603" s="34" t="n">
        <v>4</v>
      </c>
      <c r="G603" s="67" t="inlineStr">
        <is>
          <t>Haste (This creature can attack and {T} as soon as it comes under your control.)
When this creature enters, reveal the top four cards of your library. Put all Goblin cards revealed this way into your hand and the rest on the bottom of your library in any order.
(2/2)</t>
        </is>
      </c>
      <c r="H603" s="45" t="inlineStr">
        <is>
          <t>Tutor</t>
        </is>
      </c>
      <c r="I603" s="45" t="inlineStr">
        <is>
          <t>Reveals top four cards, puts all Goblin cards found into hand</t>
        </is>
      </c>
      <c r="J603" s="45" t="inlineStr">
        <is>
          <t>Can attack immediately when it enters (haste)</t>
        </is>
      </c>
      <c r="K603" s="45" t="n"/>
      <c r="L603" s="42" t="n"/>
      <c r="M603" s="42" t="n"/>
      <c r="N603" s="42" t="n"/>
      <c r="O603" s="42" t="n"/>
      <c r="P603" s="42" t="n">
        <v>0.96</v>
      </c>
      <c r="Q603" s="42" t="n"/>
      <c r="R603" s="42" t="n"/>
      <c r="S603" s="42" t="n"/>
      <c r="T603" s="42" t="n"/>
      <c r="U603" s="42" t="n"/>
      <c r="V603" s="45" t="inlineStr">
        <is>
          <t>Apocalypse</t>
        </is>
      </c>
      <c r="W603" s="41" t="n">
        <v>1</v>
      </c>
      <c r="X603" s="37">
        <f>SUM(Y603:AE603)</f>
        <v/>
      </c>
      <c r="Y603" s="43" t="n"/>
      <c r="Z603" s="43" t="n"/>
      <c r="AA603" s="43" t="n"/>
      <c r="AB603" s="43" t="n"/>
      <c r="AC603" s="43" t="n"/>
      <c r="AD603" s="43" t="n">
        <v>1</v>
      </c>
      <c r="AE603" s="43" t="n"/>
      <c r="AF603" s="38">
        <f>IF((W603-SUM(Y603:AE603))&lt;0,0,W603-SUM(Y603:AE603))</f>
        <v/>
      </c>
      <c r="AG603" s="34">
        <f>MAX(0,$AT603-$W603-$AI603)</f>
        <v/>
      </c>
      <c r="AH603" s="34" t="n"/>
      <c r="AI603" s="34" t="n"/>
      <c r="AJ603" s="36" t="n">
        <v>0.99</v>
      </c>
      <c r="AK603" s="36">
        <f>IF(AND($AG603&gt;0,ISNUMBER($AJ603)),$AG603*$AJ603,0)</f>
        <v/>
      </c>
      <c r="AQ603" s="58" t="n"/>
      <c r="AT603" s="37">
        <f>SUM(AU603:BA603)</f>
        <v/>
      </c>
      <c r="AU603" s="73" t="n"/>
      <c r="AV603" s="33" t="n"/>
      <c r="AW603" s="33" t="n"/>
      <c r="AX603" s="33" t="n"/>
      <c r="AY603" s="33" t="n"/>
      <c r="AZ603" s="98" t="n">
        <v>1</v>
      </c>
      <c r="BA603" s="74" t="n"/>
      <c r="BB603" s="106" t="n"/>
      <c r="BC603" s="42" t="n"/>
      <c r="BD603" s="42" t="n"/>
    </row>
    <row r="604" ht="15" customHeight="1" s="148">
      <c r="A604" t="inlineStr">
        <is>
          <t>c0600</t>
        </is>
      </c>
      <c r="B604" s="44" t="inlineStr">
        <is>
          <t>Goblin Trashmaster</t>
        </is>
      </c>
      <c r="C604" s="34" t="inlineStr">
        <is>
          <t>R</t>
        </is>
      </c>
      <c r="D604" s="44" t="inlineStr">
        <is>
          <t>Creature</t>
        </is>
      </c>
      <c r="E604" s="41" t="inlineStr">
        <is>
          <t>B3</t>
        </is>
      </c>
      <c r="F604" s="34" t="n">
        <v>4</v>
      </c>
      <c r="G604" s="67" t="inlineStr">
        <is>
          <t>Other Goblins you control get +1/+1.
Sacrifice a Goblin: Destroy target artifact.
(3/3)</t>
        </is>
      </c>
      <c r="H604" s="45" t="inlineStr">
        <is>
          <t>Lord/Anthem</t>
        </is>
      </c>
      <c r="I604" s="45" t="inlineStr">
        <is>
          <t>Other Goblins you control get +1/+1.
Sacrifice a Goblin: Destroy target artifact.</t>
        </is>
      </c>
      <c r="J604" s="45" t="n"/>
      <c r="K604" s="45" t="n"/>
      <c r="L604" s="42" t="n"/>
      <c r="M604" s="42" t="n"/>
      <c r="N604" s="42" t="n"/>
      <c r="O604" s="42" t="n"/>
      <c r="P604" s="42" t="n">
        <v>7.65</v>
      </c>
      <c r="Q604" s="42" t="n"/>
      <c r="R604" s="42" t="n"/>
      <c r="S604" s="42" t="n"/>
      <c r="T604" s="42" t="n"/>
      <c r="U604" s="42" t="n"/>
      <c r="V604" s="45" t="inlineStr">
        <is>
          <t>Core Set 2019</t>
        </is>
      </c>
      <c r="W604" s="41" t="n">
        <v>1</v>
      </c>
      <c r="X604" s="37">
        <f>SUM(Y604:AE604)</f>
        <v/>
      </c>
      <c r="Y604" s="43" t="n"/>
      <c r="Z604" s="43" t="n"/>
      <c r="AA604" s="43" t="n"/>
      <c r="AB604" s="43" t="n"/>
      <c r="AC604" s="43" t="n"/>
      <c r="AD604" s="43" t="n">
        <v>1</v>
      </c>
      <c r="AE604" s="43" t="n"/>
      <c r="AF604" s="38">
        <f>IF((W604-SUM(Y604:AE604))&lt;0,0,W604-SUM(Y604:AE604))</f>
        <v/>
      </c>
      <c r="AG604" s="34">
        <f>MAX(0,$AT604-$W604-$AI604)</f>
        <v/>
      </c>
      <c r="AH604" s="34" t="n"/>
      <c r="AI604" s="34" t="n"/>
      <c r="AJ604" s="36" t="n">
        <v>7.78</v>
      </c>
      <c r="AK604" s="36">
        <f>IF(AND($AG604&gt;0,ISNUMBER($AJ604)),$AG604*$AJ604,0)</f>
        <v/>
      </c>
      <c r="AT604" s="37">
        <f>SUM(AU604:BA604)</f>
        <v/>
      </c>
      <c r="AU604" s="73" t="n"/>
      <c r="AV604" s="33" t="n"/>
      <c r="AW604" s="33" t="n"/>
      <c r="AX604" s="33" t="n"/>
      <c r="AY604" s="33" t="n"/>
      <c r="AZ604" s="98" t="n">
        <v>1</v>
      </c>
      <c r="BA604" s="74" t="n"/>
      <c r="BB604" s="106" t="n"/>
      <c r="BC604" s="42" t="n"/>
      <c r="BD604" s="42" t="n"/>
    </row>
    <row r="605" ht="15" customHeight="1" s="148">
      <c r="A605" t="inlineStr">
        <is>
          <t>c0601</t>
        </is>
      </c>
      <c r="B605" s="44" t="inlineStr">
        <is>
          <t>Goblin Warchief</t>
        </is>
      </c>
      <c r="C605" s="34" t="inlineStr">
        <is>
          <t>R</t>
        </is>
      </c>
      <c r="D605" s="44" t="inlineStr">
        <is>
          <t>Creature</t>
        </is>
      </c>
      <c r="E605" s="41" t="inlineStr">
        <is>
          <t>B2</t>
        </is>
      </c>
      <c r="F605" s="34" t="n">
        <v>3</v>
      </c>
      <c r="G605" s="67" t="inlineStr">
        <is>
          <t>Goblin spells you cast cost {1} less to cast.
Goblins you control have haste.
(2/2)</t>
        </is>
      </c>
      <c r="H605" s="45" t="inlineStr">
        <is>
          <t>Cost Reducer</t>
        </is>
      </c>
      <c r="I605" s="45" t="inlineStr">
        <is>
          <t>Goblin spells you cast cost {1} less</t>
        </is>
      </c>
      <c r="J605" s="45" t="inlineStr">
        <is>
          <t>Goblins you control have haste</t>
        </is>
      </c>
      <c r="K605" s="45" t="n"/>
      <c r="L605" s="42" t="n"/>
      <c r="M605" s="42" t="n"/>
      <c r="N605" s="42" t="n"/>
      <c r="O605" s="42" t="n"/>
      <c r="P605" s="42" t="n">
        <v>1.39</v>
      </c>
      <c r="Q605" s="42" t="n"/>
      <c r="R605" s="42" t="n"/>
      <c r="S605" s="42" t="n"/>
      <c r="T605" s="42" t="n"/>
      <c r="U605" s="42" t="n"/>
      <c r="V605" s="45" t="inlineStr">
        <is>
          <t>Scourge</t>
        </is>
      </c>
      <c r="W605" s="41" t="n">
        <v>1</v>
      </c>
      <c r="X605" s="37">
        <f>SUM(Y605:AE605)</f>
        <v/>
      </c>
      <c r="Y605" s="43" t="n"/>
      <c r="Z605" s="43" t="n"/>
      <c r="AA605" s="43" t="n"/>
      <c r="AB605" s="43" t="n"/>
      <c r="AC605" s="43" t="n"/>
      <c r="AD605" s="43" t="n">
        <v>1</v>
      </c>
      <c r="AE605" s="43" t="n"/>
      <c r="AF605" s="38">
        <f>IF((W605-SUM(Y605:AE605))&lt;0,0,W605-SUM(Y605:AE605))</f>
        <v/>
      </c>
      <c r="AG605" s="34">
        <f>MAX(0,$AT605-$W605-$AI605)</f>
        <v/>
      </c>
      <c r="AH605" s="34" t="n"/>
      <c r="AI605" s="34" t="n"/>
      <c r="AJ605" s="36" t="n">
        <v>1.14</v>
      </c>
      <c r="AK605" s="36">
        <f>IF(AND($AG605&gt;0,ISNUMBER($AJ605)),$AG605*$AJ605,0)</f>
        <v/>
      </c>
      <c r="AT605" s="37">
        <f>SUM(AU605:BA605)</f>
        <v/>
      </c>
      <c r="AU605" s="73" t="n"/>
      <c r="AV605" s="33" t="n"/>
      <c r="AW605" s="33" t="n"/>
      <c r="AX605" s="33" t="n"/>
      <c r="AY605" s="33" t="n"/>
      <c r="AZ605" s="98" t="n">
        <v>1</v>
      </c>
      <c r="BA605" s="74" t="n"/>
      <c r="BB605" s="106" t="n"/>
      <c r="BC605" s="42" t="n"/>
      <c r="BD605" s="42" t="n"/>
    </row>
    <row r="606" ht="15" customHeight="1" s="148">
      <c r="A606" t="inlineStr">
        <is>
          <t>c0602</t>
        </is>
      </c>
      <c r="B606" s="113" t="inlineStr">
        <is>
          <t>Goblin-town Flunkies</t>
        </is>
      </c>
      <c r="C606" s="115" t="inlineStr">
        <is>
          <t>R</t>
        </is>
      </c>
      <c r="D606" s="117" t="inlineStr">
        <is>
          <t>Creature</t>
        </is>
      </c>
      <c r="E606" s="67" t="inlineStr">
        <is>
          <t>B2</t>
        </is>
      </c>
      <c r="F606" s="115" t="n">
        <v>2</v>
      </c>
      <c r="G606" s="69" t="inlineStr">
        <is>
          <t>Goblin-town Flunkies {1}{R} — Creature — Goblin Soldier (1/1)
Haste
When this creature enters, amass Goblins 1. (Put a +1/+1 counter on an Army you control. It's also a Goblin. If you don't control an Army, create a 0/0 black Goblin Army creature token first.)</t>
        </is>
      </c>
      <c r="H606" s="113" t="inlineStr">
        <is>
          <t>Token Producer</t>
        </is>
      </c>
      <c r="I606" s="113" t="inlineStr">
        <is>
          <t>Haste; when this creature enters, amass Goblins 1</t>
        </is>
      </c>
      <c r="J606" s="113" t="n"/>
      <c r="K606" s="113" t="n"/>
      <c r="L606" s="69" t="inlineStr">
        <is>
          <t>100</t>
        </is>
      </c>
      <c r="M606" s="69" t="n">
        <v>1</v>
      </c>
      <c r="N606" s="69" t="n">
        <v>0</v>
      </c>
      <c r="O606" s="63" t="inlineStr">
        <is>
          <t>Jason Kang</t>
        </is>
      </c>
      <c r="P606" s="85" t="n">
        <v>0.15</v>
      </c>
      <c r="Q606" s="69" t="inlineStr">
        <is>
          <t>Common</t>
        </is>
      </c>
      <c r="R606" s="69" t="n"/>
      <c r="S606" s="69" t="n"/>
      <c r="T606" s="63" t="n"/>
      <c r="U606" s="63" t="n"/>
      <c r="V606" s="117" t="inlineStr">
        <is>
          <t>The Hobbit</t>
        </is>
      </c>
      <c r="W606" s="105" t="n">
        <v>1</v>
      </c>
      <c r="X606" s="37">
        <f>SUM(Y606:AE606)</f>
        <v/>
      </c>
      <c r="Y606" s="43" t="n"/>
      <c r="Z606" s="43" t="n"/>
      <c r="AA606" s="43" t="n"/>
      <c r="AB606" s="43" t="n"/>
      <c r="AC606" s="43" t="n"/>
      <c r="AD606" s="43" t="n"/>
      <c r="AE606" s="43" t="n"/>
      <c r="AF606" s="38">
        <f>IF((W606-SUM(Y606:AE606))&lt;0,0,W606-SUM(Y606:AE606))</f>
        <v/>
      </c>
      <c r="AG606" s="34">
        <f>MAX(0,$AT606-$W606-$AI606)</f>
        <v/>
      </c>
      <c r="AH606" s="113" t="n"/>
      <c r="AI606" s="113" t="n"/>
      <c r="AJ606" s="123" t="n">
        <v>0.15</v>
      </c>
      <c r="AK606" s="36">
        <f>IF(AND($AG606&gt;0,ISNUMBER($AJ606)),$AG606*$AJ606,0)</f>
        <v/>
      </c>
      <c r="AL606" s="69" t="n"/>
      <c r="AM606" s="69" t="n"/>
      <c r="AN606" s="69" t="n"/>
      <c r="AO606" s="69" t="n"/>
      <c r="AP606" s="69" t="n"/>
      <c r="AQ606" s="69" t="n"/>
      <c r="AR606" s="69" t="n"/>
      <c r="AS606" s="69" t="n"/>
      <c r="AT606" s="37">
        <f>SUM(AU606:BA606)</f>
        <v/>
      </c>
      <c r="AU606" s="73" t="n"/>
      <c r="AV606" s="33" t="n"/>
      <c r="AW606" s="33" t="n"/>
      <c r="AX606" s="33" t="n"/>
      <c r="AY606" s="33" t="n"/>
      <c r="AZ606" s="33" t="n"/>
      <c r="BA606" s="74" t="n"/>
      <c r="BB606" s="126" t="n"/>
      <c r="BC606" s="69" t="n"/>
      <c r="BD606" s="69" t="n"/>
    </row>
    <row r="607" ht="15" customHeight="1" s="148">
      <c r="A607" t="inlineStr">
        <is>
          <t>c0603</t>
        </is>
      </c>
      <c r="B607" s="44" t="inlineStr">
        <is>
          <t>Great Furnace</t>
        </is>
      </c>
      <c r="C607" s="34" t="inlineStr">
        <is>
          <t>R</t>
        </is>
      </c>
      <c r="D607" s="44" t="inlineStr">
        <is>
          <t>Artifact Land</t>
        </is>
      </c>
      <c r="E607" s="41" t="inlineStr">
        <is>
          <t>B2</t>
        </is>
      </c>
      <c r="F607" s="34" t="n">
        <v>0</v>
      </c>
      <c r="G607" s="67" t="inlineStr">
        <is>
          <t>{T}: Add {R}.</t>
        </is>
      </c>
      <c r="H607" s="45" t="inlineStr">
        <is>
          <t>Land</t>
        </is>
      </c>
      <c r="I607" s="45" t="inlineStr">
        <is>
          <t>Taps for {R}</t>
        </is>
      </c>
      <c r="J607" s="45" t="n"/>
      <c r="K607" s="45" t="n"/>
      <c r="L607" s="42" t="n"/>
      <c r="M607" s="42" t="n"/>
      <c r="N607" s="42" t="n"/>
      <c r="O607" s="42" t="n"/>
      <c r="P607" s="42" t="n">
        <v>2.34</v>
      </c>
      <c r="Q607" s="42" t="n"/>
      <c r="R607" s="42" t="n"/>
      <c r="S607" s="42" t="n"/>
      <c r="T607" s="42" t="n"/>
      <c r="U607" s="42" t="n"/>
      <c r="V607" s="45" t="inlineStr">
        <is>
          <t>Mirrodin</t>
        </is>
      </c>
      <c r="W607" s="41" t="n">
        <v>0</v>
      </c>
      <c r="X607" s="37">
        <f>SUM(Y607:AE607)</f>
        <v/>
      </c>
      <c r="Y607" s="43" t="n"/>
      <c r="Z607" s="43" t="n"/>
      <c r="AA607" s="43" t="n"/>
      <c r="AB607" s="43" t="n"/>
      <c r="AC607" s="43" t="n"/>
      <c r="AD607" s="43" t="n"/>
      <c r="AE607" s="43" t="n"/>
      <c r="AF607" s="38">
        <f>IF((W607-SUM(Y607:AE607))&lt;0,0,W607-SUM(Y607:AE607))</f>
        <v/>
      </c>
      <c r="AG607" s="34">
        <f>MAX(0,$AT607-$W607-$AI607)</f>
        <v/>
      </c>
      <c r="AH607" s="34" t="n"/>
      <c r="AI607" s="34" t="n"/>
      <c r="AJ607" s="36" t="n">
        <v>2.43</v>
      </c>
      <c r="AK607" s="36">
        <f>IF(AND($AG607&gt;0,ISNUMBER($AJ607)),$AG607*$AJ607,0)</f>
        <v/>
      </c>
      <c r="AL607" s="54" t="n"/>
      <c r="AM607" s="54" t="n"/>
      <c r="AN607" s="54" t="n"/>
      <c r="AO607" s="54" t="n"/>
      <c r="AP607" s="54" t="n"/>
      <c r="AQ607" s="54" t="n"/>
      <c r="AR607" s="54" t="n"/>
      <c r="AS607" s="54" t="n"/>
      <c r="AT607" s="37">
        <f>SUM(AU607:BA607)</f>
        <v/>
      </c>
      <c r="AU607" s="92" t="n"/>
      <c r="AV607" s="38" t="n"/>
      <c r="AW607" s="38" t="n"/>
      <c r="AX607" s="38" t="n"/>
      <c r="AY607" s="38" t="n"/>
      <c r="AZ607" s="38" t="n"/>
      <c r="BA607" s="94" t="n"/>
      <c r="BB607" s="106" t="n"/>
      <c r="BC607" s="42" t="n"/>
      <c r="BD607" s="42" t="n"/>
    </row>
    <row r="608" ht="15" customHeight="1" s="148">
      <c r="A608" t="inlineStr">
        <is>
          <t>c0604</t>
        </is>
      </c>
      <c r="B608" s="44" t="inlineStr">
        <is>
          <t>Gristle Glutton</t>
        </is>
      </c>
      <c r="C608" s="34" t="inlineStr">
        <is>
          <t>R</t>
        </is>
      </c>
      <c r="D608" s="44" t="inlineStr">
        <is>
          <t>Creature</t>
        </is>
      </c>
      <c r="E608" s="41" t="inlineStr">
        <is>
          <t>B2</t>
        </is>
      </c>
      <c r="F608" s="34" t="n">
        <v>2</v>
      </c>
      <c r="G608" s="67" t="inlineStr">
        <is>
          <t>{T}, Blight 1: Discard a card. If you do, draw a card. (To blight 1, put a -1/-1 counter on a creature you control.)
(1/3)</t>
        </is>
      </c>
      <c r="H608" s="45" t="inlineStr">
        <is>
          <t>Discard/Looting</t>
        </is>
      </c>
      <c r="I608" s="45" t="inlineStr">
        <is>
          <t>Put a -1/-1 counter on a creature to loot (discard then draw)</t>
        </is>
      </c>
      <c r="J608" s="45" t="n"/>
      <c r="K608" s="45" t="n"/>
      <c r="L608" s="88" t="inlineStr">
        <is>
          <t>C 0144</t>
        </is>
      </c>
      <c r="M608" s="41" t="n">
        <v>1</v>
      </c>
      <c r="N608" s="41" t="n">
        <v>1</v>
      </c>
      <c r="O608" s="63" t="inlineStr">
        <is>
          <t>Filip Burburan</t>
        </is>
      </c>
      <c r="P608" s="90" t="n">
        <v>0.3</v>
      </c>
      <c r="Q608" s="42" t="inlineStr">
        <is>
          <t>C</t>
        </is>
      </c>
      <c r="R608" s="42" t="n"/>
      <c r="S608" s="42" t="n"/>
      <c r="T608" s="63" t="n"/>
      <c r="U608" s="63" t="n"/>
      <c r="V608" s="45" t="inlineStr">
        <is>
          <t>Lorwyn Eclipsed</t>
        </is>
      </c>
      <c r="W608" s="41" t="n">
        <v>1</v>
      </c>
      <c r="X608" s="37">
        <f>SUM(Y608:AE608)</f>
        <v/>
      </c>
      <c r="Y608" s="43" t="n"/>
      <c r="Z608" s="43" t="n"/>
      <c r="AA608" s="43" t="n"/>
      <c r="AB608" s="43" t="n"/>
      <c r="AC608" s="43" t="n"/>
      <c r="AD608" s="43" t="n"/>
      <c r="AE608" s="43" t="n"/>
      <c r="AF608" s="38">
        <f>IF((W608-SUM(Y608:AE608))&lt;0,0,W608-SUM(Y608:AE608))</f>
        <v/>
      </c>
      <c r="AG608" s="34">
        <f>MAX(0,$AT608-$W608-$AI608)</f>
        <v/>
      </c>
      <c r="AH608" s="34" t="n"/>
      <c r="AI608" s="34" t="n"/>
      <c r="AJ608" s="36" t="n">
        <v>0.3</v>
      </c>
      <c r="AK608" s="36">
        <f>IF(AND($AG608&gt;0,ISNUMBER($AJ608)),$AG608*$AJ608,0)</f>
        <v/>
      </c>
      <c r="AT608" s="37">
        <f>SUM(AU608:BA608)</f>
        <v/>
      </c>
      <c r="AU608" s="73" t="n"/>
      <c r="AV608" s="33" t="n"/>
      <c r="AW608" s="33" t="n"/>
      <c r="AX608" s="33" t="n"/>
      <c r="AY608" s="33" t="n"/>
      <c r="AZ608" s="33" t="n"/>
      <c r="BA608" s="74" t="n"/>
      <c r="BB608" s="106" t="n"/>
      <c r="BC608" s="42" t="n"/>
      <c r="BD608" s="42" t="n"/>
    </row>
    <row r="609" ht="15" customHeight="1" s="148">
      <c r="A609" t="inlineStr">
        <is>
          <t>c0605</t>
        </is>
      </c>
      <c r="B609" s="44" t="inlineStr">
        <is>
          <t>Gundabad Opportunist</t>
        </is>
      </c>
      <c r="C609" s="34" t="inlineStr">
        <is>
          <t>R</t>
        </is>
      </c>
      <c r="D609" s="44" t="inlineStr">
        <is>
          <t>Creature</t>
        </is>
      </c>
      <c r="E609" s="41" t="inlineStr">
        <is>
          <t>B2</t>
        </is>
      </c>
      <c r="F609" s="40" t="n">
        <v>4</v>
      </c>
      <c r="G609" s="67" t="inlineStr">
        <is>
          <t>When this creature enters, exile the top card of your library. Until the end of your next turn, you may play that card.
(4/2)</t>
        </is>
      </c>
      <c r="H609" s="49" t="inlineStr">
        <is>
          <t>Card Advantage</t>
        </is>
      </c>
      <c r="I609" s="49" t="inlineStr">
        <is>
          <t>Exiles the top card of your library when it enters; you may play it until your next turn ends</t>
        </is>
      </c>
      <c r="J609" s="49" t="n"/>
      <c r="K609" s="49" t="n"/>
      <c r="L609" s="88" t="inlineStr">
        <is>
          <t>C 0101</t>
        </is>
      </c>
      <c r="M609" s="41" t="n">
        <v>1</v>
      </c>
      <c r="N609" s="41" t="n">
        <v>1</v>
      </c>
      <c r="O609" s="63" t="inlineStr">
        <is>
          <t>Michele Giorgi</t>
        </is>
      </c>
      <c r="P609" s="90" t="n">
        <v>0.25</v>
      </c>
      <c r="Q609" s="42" t="inlineStr">
        <is>
          <t>C</t>
        </is>
      </c>
      <c r="R609" s="42" t="n"/>
      <c r="S609" s="42" t="n"/>
      <c r="T609" s="63" t="n"/>
      <c r="U609" s="63" t="n"/>
      <c r="V609" s="49" t="inlineStr">
        <is>
          <t>The Hobbit</t>
        </is>
      </c>
      <c r="W609" s="41" t="n">
        <v>3</v>
      </c>
      <c r="X609" s="37">
        <f>SUM(Y609:AE609)</f>
        <v/>
      </c>
      <c r="Y609" s="43" t="n"/>
      <c r="Z609" s="43" t="n"/>
      <c r="AA609" s="43" t="n"/>
      <c r="AB609" s="43" t="n"/>
      <c r="AC609" s="43" t="n"/>
      <c r="AD609" s="43" t="n">
        <v>1</v>
      </c>
      <c r="AE609" s="43" t="n"/>
      <c r="AF609" s="38">
        <f>IF((W609-SUM(Y609:AE609))&lt;0,0,W609-SUM(Y609:AE609))</f>
        <v/>
      </c>
      <c r="AG609" s="34">
        <f>MAX(0,$AT609-$W609-$AI609)</f>
        <v/>
      </c>
      <c r="AH609" s="39" t="n"/>
      <c r="AI609" s="39" t="n"/>
      <c r="AJ609" s="39" t="n">
        <v>0.25</v>
      </c>
      <c r="AK609" s="36">
        <f>IF(AND($AG609&gt;0,ISNUMBER($AJ609)),$AG609*$AJ609,0)</f>
        <v/>
      </c>
      <c r="AQ609" s="58" t="n"/>
      <c r="AT609" s="37">
        <f>SUM(AU609:BA609)</f>
        <v/>
      </c>
      <c r="AU609" s="73" t="n"/>
      <c r="AV609" s="33" t="n"/>
      <c r="AW609" s="33" t="n"/>
      <c r="AX609" s="33" t="n"/>
      <c r="AY609" s="33" t="n"/>
      <c r="AZ609" s="98" t="n">
        <v>1</v>
      </c>
      <c r="BA609" s="74" t="n"/>
      <c r="BB609" s="107" t="n"/>
      <c r="BC609" s="42" t="n"/>
      <c r="BD609" s="42" t="n"/>
    </row>
    <row r="610" ht="15" customHeight="1" s="148">
      <c r="A610" t="inlineStr">
        <is>
          <t>c0606</t>
        </is>
      </c>
      <c r="B610" s="44" t="inlineStr">
        <is>
          <t>Hanweir Garrison</t>
        </is>
      </c>
      <c r="C610" s="34" t="inlineStr">
        <is>
          <t>R</t>
        </is>
      </c>
      <c r="D610" s="44" t="inlineStr">
        <is>
          <t>Creature</t>
        </is>
      </c>
      <c r="E610" s="41" t="inlineStr">
        <is>
          <t>B2</t>
        </is>
      </c>
      <c r="F610" s="34" t="n">
        <v>3</v>
      </c>
      <c r="G610" s="67" t="inlineStr">
        <is>
          <t>Whenever this creature attacks, create two 1/1 red Human creature tokens that are tapped and attacking.
(Melds with Hanweir Battlements.)
(2/3)</t>
        </is>
      </c>
      <c r="H610" s="45" t="inlineStr">
        <is>
          <t>Token Producer</t>
        </is>
      </c>
      <c r="I610" s="45" t="inlineStr">
        <is>
          <t>Creates two 1/1 Human tokens, tapped and attacking, whenever it attacks</t>
        </is>
      </c>
      <c r="J610" s="45" t="n"/>
      <c r="K610" s="45" t="n"/>
      <c r="L610" s="42" t="n"/>
      <c r="M610" s="42" t="n"/>
      <c r="N610" s="42" t="n"/>
      <c r="O610" s="63" t="n"/>
      <c r="P610" s="63" t="n">
        <v>1.41</v>
      </c>
      <c r="Q610" s="42" t="n"/>
      <c r="R610" s="42" t="n"/>
      <c r="S610" s="42" t="n"/>
      <c r="T610" s="63" t="n"/>
      <c r="U610" s="63" t="n"/>
      <c r="V610" s="45" t="inlineStr">
        <is>
          <t>Eldritch Moon</t>
        </is>
      </c>
      <c r="W610" s="41" t="n">
        <v>2</v>
      </c>
      <c r="X610" s="37">
        <f>SUM(Y610:AE610)</f>
        <v/>
      </c>
      <c r="Y610" s="43" t="n"/>
      <c r="Z610" s="43" t="n"/>
      <c r="AA610" s="43" t="n"/>
      <c r="AB610" s="43" t="n"/>
      <c r="AC610" s="43" t="n"/>
      <c r="AD610" s="43" t="n">
        <v>1</v>
      </c>
      <c r="AE610" s="43" t="n"/>
      <c r="AF610" s="38">
        <f>IF((W610-SUM(Y610:AE610))&lt;0,0,W610-SUM(Y610:AE610))</f>
        <v/>
      </c>
      <c r="AG610" s="34">
        <f>MAX(0,$AT610-$W610-$AI610)</f>
        <v/>
      </c>
      <c r="AH610" s="34" t="n"/>
      <c r="AI610" s="34" t="n"/>
      <c r="AJ610" s="36" t="n">
        <v>2.03</v>
      </c>
      <c r="AK610" s="36">
        <f>IF(AND($AG610&gt;0,ISNUMBER($AJ610)),$AG610*$AJ610,0)</f>
        <v/>
      </c>
      <c r="AT610" s="37">
        <f>SUM(AU610:BA610)</f>
        <v/>
      </c>
      <c r="AU610" s="73" t="n"/>
      <c r="AV610" s="33" t="n"/>
      <c r="AW610" s="33" t="n"/>
      <c r="AX610" s="33" t="n"/>
      <c r="AY610" s="33" t="n"/>
      <c r="AZ610" s="98" t="n">
        <v>1</v>
      </c>
      <c r="BA610" s="74" t="n"/>
      <c r="BB610" s="106" t="n"/>
      <c r="BC610" s="42" t="n"/>
      <c r="BD610" s="42" t="n"/>
    </row>
    <row r="611" ht="15" customHeight="1" s="148">
      <c r="A611" t="inlineStr">
        <is>
          <t>c0607</t>
        </is>
      </c>
      <c r="B611" s="44" t="inlineStr">
        <is>
          <t>Hobgoblin Bandit Lord</t>
        </is>
      </c>
      <c r="C611" s="34" t="inlineStr">
        <is>
          <t>R</t>
        </is>
      </c>
      <c r="D611" s="44" t="inlineStr">
        <is>
          <t>Creature</t>
        </is>
      </c>
      <c r="E611" s="41" t="inlineStr">
        <is>
          <t>B3</t>
        </is>
      </c>
      <c r="F611" s="34" t="n">
        <v>3</v>
      </c>
      <c r="G611" s="67" t="inlineStr">
        <is>
          <t>Other Goblins you control get +1/+1.
{R}, {T}: This creature deals damage equal to the number of Goblins that entered the battlefield under your control this turn to any target.
(2/3)</t>
        </is>
      </c>
      <c r="H611" s="45" t="inlineStr">
        <is>
          <t>Lord/Anthem</t>
        </is>
      </c>
      <c r="I611" s="45" t="inlineStr">
        <is>
          <t>Other Goblins you control get +1/+1.
{R}, {T}: This creature deals damage equal to the number of Goblins that entered the battlefield under your control this turn to any target.</t>
        </is>
      </c>
      <c r="J611" s="45" t="n"/>
      <c r="K611" s="45" t="n"/>
      <c r="L611" s="41" t="n"/>
      <c r="M611" s="41" t="n"/>
      <c r="N611" s="41" t="n"/>
      <c r="O611" s="41" t="n"/>
      <c r="P611" s="41" t="n"/>
      <c r="Q611" s="41" t="n"/>
      <c r="R611" s="41" t="n"/>
      <c r="S611" s="41" t="n"/>
      <c r="T611" s="41" t="n"/>
      <c r="U611" s="41" t="n"/>
      <c r="V611" s="45" t="inlineStr">
        <is>
          <t>Adventures in the Forgotten Realms</t>
        </is>
      </c>
      <c r="W611" s="41" t="n">
        <v>0</v>
      </c>
      <c r="X611" s="37">
        <f>SUM(Y611:AE611)</f>
        <v/>
      </c>
      <c r="Y611" s="43" t="n"/>
      <c r="Z611" s="43" t="n"/>
      <c r="AA611" s="43" t="n"/>
      <c r="AB611" s="43" t="n"/>
      <c r="AC611" s="43" t="n"/>
      <c r="AD611" s="43" t="n"/>
      <c r="AE611" s="43" t="n"/>
      <c r="AF611" s="38">
        <f>IF((W611-SUM(Y611:AE611))&lt;0,0,W611-SUM(Y611:AE611))</f>
        <v/>
      </c>
      <c r="AG611" s="34">
        <f>MAX(0,$AT611-$W611-$AI611)</f>
        <v/>
      </c>
      <c r="AH611" s="34" t="n"/>
      <c r="AI611" s="34" t="n"/>
      <c r="AJ611" s="36" t="n">
        <v>4.77</v>
      </c>
      <c r="AK611" s="36">
        <f>IF(AND($AG611&gt;0,ISNUMBER($AJ611)),$AG611*$AJ611,0)</f>
        <v/>
      </c>
      <c r="AL611" s="54" t="n"/>
      <c r="AM611" s="54" t="n"/>
      <c r="AN611" s="54" t="n"/>
      <c r="AO611" s="54" t="n"/>
      <c r="AP611" s="54" t="n"/>
      <c r="AQ611" s="54" t="n"/>
      <c r="AR611" s="54" t="n"/>
      <c r="AS611" s="54" t="n"/>
      <c r="AT611" s="37">
        <f>SUM(AU611:BA611)</f>
        <v/>
      </c>
      <c r="AU611" s="92" t="n"/>
      <c r="AV611" s="38" t="n"/>
      <c r="AW611" s="38" t="n"/>
      <c r="AX611" s="38" t="n"/>
      <c r="AY611" s="38" t="n"/>
      <c r="AZ611" s="38" t="n"/>
      <c r="BA611" s="94" t="n"/>
      <c r="BB611" s="106" t="n"/>
      <c r="BC611" s="42" t="n"/>
      <c r="BD611" s="48" t="n"/>
    </row>
    <row r="612" ht="15" customHeight="1" s="148">
      <c r="A612" t="inlineStr">
        <is>
          <t>c0608</t>
        </is>
      </c>
      <c r="B612" s="44" t="inlineStr">
        <is>
          <t>Hordeling Outburst</t>
        </is>
      </c>
      <c r="C612" s="34" t="inlineStr">
        <is>
          <t>R</t>
        </is>
      </c>
      <c r="D612" s="44" t="inlineStr">
        <is>
          <t>Sorcery</t>
        </is>
      </c>
      <c r="E612" s="41" t="inlineStr">
        <is>
          <t>B2</t>
        </is>
      </c>
      <c r="F612" s="34" t="n">
        <v>3</v>
      </c>
      <c r="G612" s="67" t="inlineStr">
        <is>
          <t>Create three 1/1 red Goblin creature tokens.</t>
        </is>
      </c>
      <c r="H612" s="45" t="inlineStr">
        <is>
          <t>Token Producer</t>
        </is>
      </c>
      <c r="I612" s="45" t="inlineStr">
        <is>
          <t>Creates three 1/1 Goblin tokens</t>
        </is>
      </c>
      <c r="J612" s="45" t="n"/>
      <c r="K612" s="45" t="n"/>
      <c r="L612" s="42" t="n"/>
      <c r="M612" s="42" t="n"/>
      <c r="N612" s="42" t="n"/>
      <c r="O612" s="42" t="n"/>
      <c r="P612" s="42" t="n">
        <v>0.53</v>
      </c>
      <c r="Q612" s="42" t="n"/>
      <c r="R612" s="42" t="n"/>
      <c r="S612" s="42" t="n"/>
      <c r="T612" s="42" t="n"/>
      <c r="U612" s="42" t="n"/>
      <c r="V612" s="45" t="inlineStr">
        <is>
          <t>Khans of Tarkir</t>
        </is>
      </c>
      <c r="W612" s="41" t="n">
        <v>1</v>
      </c>
      <c r="X612" s="37">
        <f>SUM(Y612:AE612)</f>
        <v/>
      </c>
      <c r="Y612" s="43" t="n"/>
      <c r="Z612" s="43" t="n"/>
      <c r="AA612" s="43" t="n"/>
      <c r="AB612" s="43" t="n"/>
      <c r="AC612" s="43" t="n"/>
      <c r="AD612" s="43" t="n">
        <v>1</v>
      </c>
      <c r="AE612" s="43" t="n"/>
      <c r="AF612" s="38">
        <f>IF((W612-SUM(Y612:AE612))&lt;0,0,W612-SUM(Y612:AE612))</f>
        <v/>
      </c>
      <c r="AG612" s="34">
        <f>MAX(0,$AT612-$W612-$AI612)</f>
        <v/>
      </c>
      <c r="AH612" s="34" t="n"/>
      <c r="AI612" s="34" t="n"/>
      <c r="AJ612" s="36" t="n">
        <v>0.45</v>
      </c>
      <c r="AK612" s="36">
        <f>IF(AND($AG612&gt;0,ISNUMBER($AJ612)),$AG612*$AJ612,0)</f>
        <v/>
      </c>
      <c r="AQ612" s="58" t="n"/>
      <c r="AT612" s="37">
        <f>SUM(AU612:BA612)</f>
        <v/>
      </c>
      <c r="AU612" s="73" t="n"/>
      <c r="AV612" s="33" t="n"/>
      <c r="AW612" s="33" t="n"/>
      <c r="AX612" s="33" t="n"/>
      <c r="AY612" s="33" t="n"/>
      <c r="AZ612" s="98" t="n">
        <v>1</v>
      </c>
      <c r="BA612" s="74" t="n"/>
      <c r="BB612" s="106" t="n"/>
      <c r="BC612" s="42" t="n"/>
      <c r="BD612" s="42" t="n"/>
    </row>
    <row r="613" ht="15" customHeight="1" s="148">
      <c r="A613" t="inlineStr">
        <is>
          <t>c0609</t>
        </is>
      </c>
      <c r="B613" s="44" t="inlineStr">
        <is>
          <t>Impact Tremors</t>
        </is>
      </c>
      <c r="C613" s="34" t="inlineStr">
        <is>
          <t>R</t>
        </is>
      </c>
      <c r="D613" s="44" t="inlineStr">
        <is>
          <t>Enchantment</t>
        </is>
      </c>
      <c r="E613" s="41" t="inlineStr">
        <is>
          <t>B2</t>
        </is>
      </c>
      <c r="F613" s="34" t="n">
        <v>2</v>
      </c>
      <c r="G613" s="67" t="inlineStr">
        <is>
          <t>Whenever a creature you control enters, this enchantment deals 1 damage to each opponent.</t>
        </is>
      </c>
      <c r="H613" s="45" t="inlineStr">
        <is>
          <t>Burn</t>
        </is>
      </c>
      <c r="I613" s="45" t="inlineStr">
        <is>
          <t>Whenever a creature you control enters, deals 1 damage to each opponent</t>
        </is>
      </c>
      <c r="J613" s="45" t="n"/>
      <c r="K613" s="45" t="n"/>
      <c r="L613" s="42" t="n"/>
      <c r="M613" s="42" t="n"/>
      <c r="N613" s="42" t="n"/>
      <c r="O613" s="42" t="n"/>
      <c r="P613" s="42" t="n">
        <v>2.32</v>
      </c>
      <c r="Q613" s="42" t="n"/>
      <c r="R613" s="42" t="n"/>
      <c r="S613" s="42" t="n"/>
      <c r="T613" s="42" t="n"/>
      <c r="U613" s="42" t="n"/>
      <c r="V613" s="45" t="inlineStr">
        <is>
          <t>Dragons of Tarkir</t>
        </is>
      </c>
      <c r="W613" s="41" t="n">
        <v>1</v>
      </c>
      <c r="X613" s="37">
        <f>SUM(Y613:AE613)</f>
        <v/>
      </c>
      <c r="Y613" s="43" t="n"/>
      <c r="Z613" s="43" t="n"/>
      <c r="AA613" s="43" t="n"/>
      <c r="AB613" s="43" t="n"/>
      <c r="AC613" s="43" t="n"/>
      <c r="AD613" s="43" t="n">
        <v>1</v>
      </c>
      <c r="AE613" s="43" t="n"/>
      <c r="AF613" s="38">
        <f>IF((W613-SUM(Y613:AE613))&lt;0,0,W613-SUM(Y613:AE613))</f>
        <v/>
      </c>
      <c r="AG613" s="34">
        <f>MAX(0,$AT613-$W613-$AI613)</f>
        <v/>
      </c>
      <c r="AH613" s="34" t="n"/>
      <c r="AI613" s="34" t="n"/>
      <c r="AJ613" s="36" t="n">
        <v>2.1</v>
      </c>
      <c r="AK613" s="36">
        <f>IF(AND($AG613&gt;0,ISNUMBER($AJ613)),$AG613*$AJ613,0)</f>
        <v/>
      </c>
      <c r="AT613" s="37">
        <f>SUM(AU613:BA613)</f>
        <v/>
      </c>
      <c r="AU613" s="73" t="n"/>
      <c r="AV613" s="33" t="n"/>
      <c r="AW613" s="33" t="n"/>
      <c r="AX613" s="33" t="n"/>
      <c r="AY613" s="33" t="n"/>
      <c r="AZ613" s="99" t="n"/>
      <c r="BA613" s="74" t="n"/>
      <c r="BB613" s="106" t="n"/>
      <c r="BC613" s="42" t="n"/>
      <c r="BD613" s="42" t="n"/>
    </row>
    <row r="614" ht="15" customHeight="1" s="148">
      <c r="A614" t="inlineStr">
        <is>
          <t>c0610</t>
        </is>
      </c>
      <c r="B614" s="30" t="inlineStr">
        <is>
          <t>Impolite Entrance</t>
        </is>
      </c>
      <c r="C614" s="31" t="inlineStr">
        <is>
          <t>R</t>
        </is>
      </c>
      <c r="D614" s="30" t="inlineStr">
        <is>
          <t>Sorcery</t>
        </is>
      </c>
      <c r="E614" s="33" t="inlineStr">
        <is>
          <t>B2</t>
        </is>
      </c>
      <c r="F614" s="31" t="n">
        <v>1</v>
      </c>
      <c r="G614" s="67" t="inlineStr">
        <is>
          <t>Target creature gains trample and haste until end of turn.
Draw a card.</t>
        </is>
      </c>
      <c r="H614" s="30" t="inlineStr">
        <is>
          <t>Combat Trick</t>
        </is>
      </c>
      <c r="I614" s="30" t="inlineStr">
        <is>
          <t>Target creature gains trample and haste until end of turn</t>
        </is>
      </c>
      <c r="J614" s="30" t="inlineStr">
        <is>
          <t>Draw a card</t>
        </is>
      </c>
      <c r="K614" s="30" t="n"/>
      <c r="L614" s="32" t="inlineStr">
        <is>
          <t>146</t>
        </is>
      </c>
      <c r="M614" s="32" t="n">
        <v>1</v>
      </c>
      <c r="N614" s="32" t="n">
        <v>0</v>
      </c>
      <c r="O614" s="63" t="n"/>
      <c r="P614" s="63" t="n">
        <v>0.33</v>
      </c>
      <c r="Q614" s="32" t="inlineStr">
        <is>
          <t>Uncommon</t>
        </is>
      </c>
      <c r="R614" s="32" t="n"/>
      <c r="S614" s="32" t="n"/>
      <c r="T614" s="63" t="n"/>
      <c r="U614" s="63" t="n"/>
      <c r="V614" s="30" t="inlineStr">
        <is>
          <t>Lorwyn Eclipsed</t>
        </is>
      </c>
      <c r="W614" s="41" t="n">
        <v>1</v>
      </c>
      <c r="X614" s="37">
        <f>SUM(Y614:AE614)</f>
        <v/>
      </c>
      <c r="Y614" s="43" t="n"/>
      <c r="Z614" s="43" t="n"/>
      <c r="AA614" s="43" t="n"/>
      <c r="AB614" s="43" t="n"/>
      <c r="AC614" s="43" t="n"/>
      <c r="AD614" s="43" t="n"/>
      <c r="AE614" s="43" t="n"/>
      <c r="AF614" s="38">
        <f>IF((W614-SUM(Y614:AE614))&lt;0,0,W614-SUM(Y614:AE614))</f>
        <v/>
      </c>
      <c r="AG614" s="34">
        <f>MAX(0,$AT614-$W614-$AI614)</f>
        <v/>
      </c>
      <c r="AH614" s="30" t="n"/>
      <c r="AI614" s="30" t="n"/>
      <c r="AJ614" s="35" t="n">
        <v>0.33</v>
      </c>
      <c r="AK614" s="36">
        <f>IF(AND($AG614&gt;0,ISNUMBER($AJ614)),$AG614*$AJ614,0)</f>
        <v/>
      </c>
      <c r="AT614" s="37">
        <f>SUM(AU614:BA614)</f>
        <v/>
      </c>
      <c r="AU614" s="73" t="n"/>
      <c r="AV614" s="33" t="n"/>
      <c r="AW614" s="33" t="n"/>
      <c r="AX614" s="33" t="n"/>
      <c r="AY614" s="33" t="n"/>
      <c r="AZ614" s="33" t="n"/>
      <c r="BA614" s="74" t="n"/>
      <c r="BB614" s="108" t="n"/>
      <c r="BC614" s="32" t="n"/>
      <c r="BD614" s="32" t="n"/>
    </row>
    <row r="615" ht="15" customHeight="1" s="148">
      <c r="A615" t="inlineStr">
        <is>
          <t>c0611</t>
        </is>
      </c>
      <c r="B615" s="39" t="inlineStr">
        <is>
          <t>Iron Hills Stalwart</t>
        </is>
      </c>
      <c r="C615" s="40" t="inlineStr">
        <is>
          <t>R</t>
        </is>
      </c>
      <c r="D615" s="39" t="inlineStr">
        <is>
          <t>Creature</t>
        </is>
      </c>
      <c r="E615" s="41" t="inlineStr">
        <is>
          <t>B2</t>
        </is>
      </c>
      <c r="F615" s="40" t="n">
        <v>5</v>
      </c>
      <c r="G615" s="67" t="inlineStr">
        <is>
          <t>Reach, trample
When this creature enters, attach target Equipment you control to up to one target creature you control.
(4/5)</t>
        </is>
      </c>
      <c r="H615" s="39" t="inlineStr">
        <is>
          <t>Utility Creature</t>
        </is>
      </c>
      <c r="I615" s="39" t="inlineStr">
        <is>
          <t>Reach, trample</t>
        </is>
      </c>
      <c r="J615" s="39" t="inlineStr">
        <is>
          <t>Enters: attach target Equipment you control to up to one target creature you control</t>
        </is>
      </c>
      <c r="K615" s="39" t="n"/>
      <c r="L615" s="42" t="inlineStr">
        <is>
          <t>102</t>
        </is>
      </c>
      <c r="M615" s="42" t="n">
        <v>1</v>
      </c>
      <c r="N615" s="42" t="n">
        <v>0</v>
      </c>
      <c r="O615" s="63" t="n"/>
      <c r="P615" s="63" t="n">
        <v>0.13</v>
      </c>
      <c r="Q615" s="42" t="inlineStr">
        <is>
          <t>Common</t>
        </is>
      </c>
      <c r="R615" s="42" t="n"/>
      <c r="S615" s="42" t="n"/>
      <c r="T615" s="63" t="n"/>
      <c r="U615" s="63" t="n"/>
      <c r="V615" s="39" t="inlineStr">
        <is>
          <t>The Hobbit</t>
        </is>
      </c>
      <c r="W615" s="41" t="n">
        <v>2</v>
      </c>
      <c r="X615" s="37">
        <f>SUM(Y615:AE615)</f>
        <v/>
      </c>
      <c r="Y615" s="43" t="n"/>
      <c r="Z615" s="43" t="n"/>
      <c r="AA615" s="43" t="n"/>
      <c r="AB615" s="43" t="n"/>
      <c r="AC615" s="43" t="n"/>
      <c r="AD615" s="43" t="n"/>
      <c r="AE615" s="43" t="n"/>
      <c r="AF615" s="38">
        <f>IF((W615-SUM(Y615:AE615))&lt;0,0,W615-SUM(Y615:AE615))</f>
        <v/>
      </c>
      <c r="AG615" s="34">
        <f>MAX(0,$AT615-$W615-$AI615)</f>
        <v/>
      </c>
      <c r="AH615" s="39" t="n"/>
      <c r="AI615" s="39" t="n"/>
      <c r="AJ615" s="39" t="n">
        <v>0.12</v>
      </c>
      <c r="AK615" s="39">
        <f>IF(AND($AG615&gt;0,ISNUMBER($AJ615)),$AG615*$AJ615,0)</f>
        <v/>
      </c>
      <c r="AT615" s="37">
        <f>SUM(AU615:BA615)</f>
        <v/>
      </c>
      <c r="AU615" s="73" t="n"/>
      <c r="AV615" s="33" t="n"/>
      <c r="AW615" s="33" t="n"/>
      <c r="AX615" s="33" t="n"/>
      <c r="AY615" s="33" t="n"/>
      <c r="AZ615" s="33" t="n"/>
      <c r="BA615" s="74" t="n"/>
      <c r="BB615" s="107" t="n"/>
      <c r="BC615" s="42" t="n"/>
      <c r="BD615" s="42" t="n"/>
    </row>
    <row r="616" ht="15" customHeight="1" s="148">
      <c r="A616" t="inlineStr">
        <is>
          <t>c0612</t>
        </is>
      </c>
      <c r="B616" s="44" t="inlineStr">
        <is>
          <t>Jeska's Will</t>
        </is>
      </c>
      <c r="C616" s="34" t="inlineStr">
        <is>
          <t>R</t>
        </is>
      </c>
      <c r="D616" s="44" t="inlineStr">
        <is>
          <t>Sorcery</t>
        </is>
      </c>
      <c r="E616" s="41" t="inlineStr">
        <is>
          <t>B3</t>
        </is>
      </c>
      <c r="F616" s="34" t="n">
        <v>3</v>
      </c>
      <c r="G616" s="67" t="inlineStr">
        <is>
          <t>Choose one. If you control a commander as you cast this spell, you may choose both instead.
• Add {R} for each card in target opponent's hand.
• Exile the top three cards of your library. You may play them this turn.</t>
        </is>
      </c>
      <c r="H616" s="45" t="inlineStr">
        <is>
          <t>Ramp</t>
        </is>
      </c>
      <c r="I616" s="45" t="inlineStr">
        <is>
          <t>Choose one. If you control a commander as you cast this spell, you may choose both instead</t>
        </is>
      </c>
      <c r="J616" s="45" t="inlineStr">
        <is>
          <t>• Add {R} for each card in target opponent's hand</t>
        </is>
      </c>
      <c r="K616" s="45" t="inlineStr">
        <is>
          <t>• Exile the top three cards of your library. You may play them this turn</t>
        </is>
      </c>
      <c r="L616" s="42" t="n"/>
      <c r="M616" s="42" t="n"/>
      <c r="N616" s="42" t="n"/>
      <c r="O616" s="42" t="n"/>
      <c r="P616" s="42" t="n">
        <v>40.33</v>
      </c>
      <c r="Q616" s="42" t="n"/>
      <c r="R616" s="42" t="n"/>
      <c r="S616" s="42" t="n"/>
      <c r="T616" s="42" t="n"/>
      <c r="U616" s="42" t="n"/>
      <c r="V616" s="45" t="inlineStr">
        <is>
          <t>Commander Legends</t>
        </is>
      </c>
      <c r="W616" s="41" t="n">
        <v>0</v>
      </c>
      <c r="X616" s="37">
        <f>SUM(Y616:AE616)</f>
        <v/>
      </c>
      <c r="Y616" s="43" t="n"/>
      <c r="Z616" s="43" t="n"/>
      <c r="AA616" s="43" t="n"/>
      <c r="AB616" s="43" t="n"/>
      <c r="AC616" s="43" t="n"/>
      <c r="AD616" s="43" t="n"/>
      <c r="AE616" s="43" t="n"/>
      <c r="AF616" s="38">
        <f>IF((W616-SUM(Y616:AE616))&lt;0,0,W616-SUM(Y616:AE616))</f>
        <v/>
      </c>
      <c r="AG616" s="34">
        <f>MAX(0,$AT616-$W616-$AI616)</f>
        <v/>
      </c>
      <c r="AH616" s="34" t="n"/>
      <c r="AI616" s="34" t="n"/>
      <c r="AJ616" s="36" t="n">
        <v>40.09</v>
      </c>
      <c r="AK616" s="36">
        <f>IF(AND($AG616&gt;0,ISNUMBER($AJ616)),$AG616*$AJ616,0)</f>
        <v/>
      </c>
      <c r="AL616" s="54" t="n"/>
      <c r="AM616" s="54" t="n"/>
      <c r="AN616" s="54" t="n"/>
      <c r="AO616" s="54" t="n"/>
      <c r="AP616" s="54" t="n"/>
      <c r="AQ616" s="54" t="n"/>
      <c r="AR616" s="54" t="n"/>
      <c r="AS616" s="54" t="n"/>
      <c r="AT616" s="37">
        <f>SUM(AU616:BA616)</f>
        <v/>
      </c>
      <c r="AU616" s="92" t="n"/>
      <c r="AV616" s="38" t="n"/>
      <c r="AW616" s="38" t="n"/>
      <c r="AX616" s="38" t="n"/>
      <c r="AY616" s="38" t="n"/>
      <c r="AZ616" s="38" t="n"/>
      <c r="BA616" s="94" t="n"/>
      <c r="BB616" s="106" t="n"/>
      <c r="BC616" s="42" t="n"/>
      <c r="BD616" s="42" t="n"/>
    </row>
    <row r="617" ht="15" customHeight="1" s="148">
      <c r="A617" t="inlineStr">
        <is>
          <t>c0613</t>
        </is>
      </c>
      <c r="B617" s="44" t="inlineStr">
        <is>
          <t>Kiki-Jiki, Mirror Breaker</t>
        </is>
      </c>
      <c r="C617" s="34" t="inlineStr">
        <is>
          <t>R</t>
        </is>
      </c>
      <c r="D617" s="44" t="inlineStr">
        <is>
          <t>Legendary Creature</t>
        </is>
      </c>
      <c r="E617" s="41" t="inlineStr">
        <is>
          <t>B3</t>
        </is>
      </c>
      <c r="F617" s="34" t="n">
        <v>5</v>
      </c>
      <c r="G617" s="67" t="inlineStr">
        <is>
          <t>Haste
{T}: Create a token that's a copy of target nonlegendary creature you control, except it has haste. Sacrifice it at the beginning of the next end step.
(2/2)</t>
        </is>
      </c>
      <c r="H617" s="45" t="inlineStr">
        <is>
          <t>Value Engine</t>
        </is>
      </c>
      <c r="I617" s="45" t="inlineStr">
        <is>
          <t>Haste</t>
        </is>
      </c>
      <c r="J617" s="45" t="inlineStr">
        <is>
          <t xml:space="preserve">{T}: Create a token that's a copy of target nonlegendary creature you control, except it has haste. Sacrifice it at the </t>
        </is>
      </c>
      <c r="K617" s="45" t="n"/>
      <c r="L617" s="42" t="n"/>
      <c r="M617" s="42" t="n"/>
      <c r="N617" s="42" t="n"/>
      <c r="O617" s="42" t="n"/>
      <c r="P617" s="42" t="n"/>
      <c r="Q617" s="42" t="n"/>
      <c r="R617" s="42" t="n"/>
      <c r="S617" s="42" t="n"/>
      <c r="T617" s="42" t="n"/>
      <c r="U617" s="42" t="n"/>
      <c r="V617" s="45" t="inlineStr">
        <is>
          <t>Champions of Kamigawa</t>
        </is>
      </c>
      <c r="W617" s="41" t="n">
        <v>0</v>
      </c>
      <c r="X617" s="37">
        <f>SUM(Y617:AE617)</f>
        <v/>
      </c>
      <c r="Y617" s="43" t="n"/>
      <c r="Z617" s="43" t="n"/>
      <c r="AA617" s="43" t="n"/>
      <c r="AB617" s="43" t="n"/>
      <c r="AC617" s="43" t="n"/>
      <c r="AD617" s="43" t="n"/>
      <c r="AE617" s="43" t="n"/>
      <c r="AF617" s="38">
        <f>IF((W617-SUM(Y617:AE617))&lt;0,0,W617-SUM(Y617:AE617))</f>
        <v/>
      </c>
      <c r="AG617" s="34">
        <f>MAX(0,$AT617-$W617-$AI617)</f>
        <v/>
      </c>
      <c r="AH617" s="34" t="n"/>
      <c r="AI617" s="34" t="n"/>
      <c r="AJ617" s="36" t="n">
        <v>14.23</v>
      </c>
      <c r="AK617" s="36">
        <f>IF(AND($AG617&gt;0,ISNUMBER($AJ617)),$AG617*$AJ617,0)</f>
        <v/>
      </c>
      <c r="AL617" s="54" t="n"/>
      <c r="AM617" s="54" t="n"/>
      <c r="AN617" s="54" t="n"/>
      <c r="AO617" s="54" t="n"/>
      <c r="AP617" s="54" t="n"/>
      <c r="AQ617" s="54" t="n"/>
      <c r="AR617" s="54" t="n"/>
      <c r="AS617" s="54" t="n"/>
      <c r="AT617" s="37">
        <f>SUM(AU617:BA617)</f>
        <v/>
      </c>
      <c r="AU617" s="92" t="n"/>
      <c r="AV617" s="38" t="n"/>
      <c r="AW617" s="38" t="n"/>
      <c r="AX617" s="38" t="n"/>
      <c r="AY617" s="38" t="n"/>
      <c r="AZ617" s="38" t="n"/>
      <c r="BA617" s="94" t="n"/>
      <c r="BB617" s="106" t="n"/>
      <c r="BC617" s="42" t="n"/>
      <c r="BD617" s="42" t="n"/>
    </row>
    <row r="618" ht="15" customHeight="1" s="148">
      <c r="A618" t="inlineStr">
        <is>
          <t>c0614</t>
        </is>
      </c>
      <c r="B618" s="39" t="inlineStr">
        <is>
          <t>Kindle the Inner Flame</t>
        </is>
      </c>
      <c r="C618" s="40" t="inlineStr">
        <is>
          <t>R</t>
        </is>
      </c>
      <c r="D618" s="39" t="inlineStr">
        <is>
          <t>Kindred Sorcery</t>
        </is>
      </c>
      <c r="E618" s="41" t="inlineStr">
        <is>
          <t>B2</t>
        </is>
      </c>
      <c r="F618" s="40" t="n">
        <v>4</v>
      </c>
      <c r="G618" s="67" t="inlineStr">
        <is>
          <t>Create a token that's a copy of target creature you control, except it has haste and "At the beginning of the end step, sacrifice this token."
Flashback—{1}{R}, Behold three Elementals. (You may cast this card from your graveyard for its flashback cost. Then exile it. To behold an Elemental, choose an Elemental you control or reveal an Elemental card from your hand.)</t>
        </is>
      </c>
      <c r="H618" s="39" t="inlineStr">
        <is>
          <t>Copy/Clone</t>
        </is>
      </c>
      <c r="I618" s="39" t="inlineStr">
        <is>
          <t>Create a token copy of target creature you control with haste, sacrificed at the beginning of the end step</t>
        </is>
      </c>
      <c r="J618" s="39" t="inlineStr">
        <is>
          <t>Flashback {1}{R} and behold three Elementals: cast it from your graveyard, then exile it</t>
        </is>
      </c>
      <c r="K618" s="39" t="n"/>
      <c r="L618" s="42" t="n"/>
      <c r="M618" s="42" t="n"/>
      <c r="N618" s="42" t="n"/>
      <c r="O618" s="63" t="n"/>
      <c r="P618" s="63" t="n"/>
      <c r="Q618" s="42" t="n"/>
      <c r="R618" s="42" t="n"/>
      <c r="S618" s="42" t="n"/>
      <c r="T618" s="63" t="n"/>
      <c r="U618" s="63" t="n"/>
      <c r="V618" s="39" t="inlineStr">
        <is>
          <t>Lorwyn Eclipsed</t>
        </is>
      </c>
      <c r="W618" s="41" t="n">
        <v>1</v>
      </c>
      <c r="X618" s="37">
        <f>SUM(Y618:AE618)</f>
        <v/>
      </c>
      <c r="Y618" s="43" t="n"/>
      <c r="Z618" s="43" t="n"/>
      <c r="AA618" s="43" t="n"/>
      <c r="AB618" s="43" t="n"/>
      <c r="AC618" s="43" t="n"/>
      <c r="AD618" s="43" t="n"/>
      <c r="AE618" s="43" t="n"/>
      <c r="AF618" s="38">
        <f>IF((W618-SUM(Y618:AE618))&lt;0,0,W618-SUM(Y618:AE618))</f>
        <v/>
      </c>
      <c r="AG618" s="34">
        <f>MAX(0,$AT618-$W618-$AI618)</f>
        <v/>
      </c>
      <c r="AH618" s="39" t="n"/>
      <c r="AI618" s="39" t="n"/>
      <c r="AJ618" s="39" t="n">
        <v>0.26</v>
      </c>
      <c r="AK618" s="39">
        <f>IF(AND($AG618&gt;0,ISNUMBER($AJ618)),$AG618*$AJ618,0)</f>
        <v/>
      </c>
      <c r="AT618" s="37">
        <f>SUM(AU618:BA618)</f>
        <v/>
      </c>
      <c r="AU618" s="73" t="n"/>
      <c r="AV618" s="33" t="n"/>
      <c r="AW618" s="33" t="n"/>
      <c r="AX618" s="33" t="n"/>
      <c r="AY618" s="33" t="n"/>
      <c r="AZ618" s="33" t="n"/>
      <c r="BA618" s="74" t="n"/>
      <c r="BB618" s="107" t="n"/>
      <c r="BC618" s="42" t="n"/>
      <c r="BD618" s="42" t="n"/>
    </row>
    <row r="619" ht="15" customHeight="1" s="148">
      <c r="A619" t="inlineStr">
        <is>
          <t>c0615</t>
        </is>
      </c>
      <c r="B619" s="44" t="inlineStr">
        <is>
          <t>Krenko, Mob Boss</t>
        </is>
      </c>
      <c r="C619" s="34" t="inlineStr">
        <is>
          <t>R</t>
        </is>
      </c>
      <c r="D619" s="44" t="inlineStr">
        <is>
          <t>Legendary Creature</t>
        </is>
      </c>
      <c r="E619" s="41" t="inlineStr">
        <is>
          <t>B2</t>
        </is>
      </c>
      <c r="F619" s="34" t="n">
        <v>4</v>
      </c>
      <c r="G619" s="67" t="inlineStr">
        <is>
          <t>{T}: Create X 1/1 red Goblin creature tokens, where X is the number of Goblins you control.
(3/3)</t>
        </is>
      </c>
      <c r="H619" s="45" t="inlineStr">
        <is>
          <t>Commander</t>
        </is>
      </c>
      <c r="I619" s="45" t="inlineStr">
        <is>
          <t>Tap: creates X 1/1 Goblin tokens, X = Goblins you control</t>
        </is>
      </c>
      <c r="J619" s="45" t="n"/>
      <c r="K619" s="45" t="n"/>
      <c r="L619" s="42" t="n"/>
      <c r="M619" s="42" t="n"/>
      <c r="N619" s="42" t="n"/>
      <c r="O619" s="63" t="n"/>
      <c r="P619" s="63" t="n">
        <v>2.73</v>
      </c>
      <c r="Q619" s="42" t="n"/>
      <c r="R619" s="42" t="n"/>
      <c r="S619" s="42" t="n"/>
      <c r="T619" s="63" t="n"/>
      <c r="U619" s="63" t="n"/>
      <c r="V619" s="45" t="inlineStr">
        <is>
          <t>Magic 2013</t>
        </is>
      </c>
      <c r="W619" s="41" t="n">
        <v>2</v>
      </c>
      <c r="X619" s="37">
        <f>SUM(Y619:AE619)</f>
        <v/>
      </c>
      <c r="Y619" s="43" t="n"/>
      <c r="Z619" s="43" t="n"/>
      <c r="AA619" s="43" t="n"/>
      <c r="AB619" s="43" t="n"/>
      <c r="AC619" s="43" t="n"/>
      <c r="AD619" s="43" t="n">
        <v>1</v>
      </c>
      <c r="AE619" s="43" t="n"/>
      <c r="AF619" s="38">
        <f>IF((W619-SUM(Y619:AE619))&lt;0,0,W619-SUM(Y619:AE619))</f>
        <v/>
      </c>
      <c r="AG619" s="34">
        <f>MAX(0,$AT619-$W619-$AI619)</f>
        <v/>
      </c>
      <c r="AH619" s="34" t="n"/>
      <c r="AI619" s="34" t="n"/>
      <c r="AJ619" s="36" t="n">
        <v>3.22</v>
      </c>
      <c r="AK619" s="36">
        <f>IF(AND($AG619&gt;0,ISNUMBER($AJ619)),$AG619*$AJ619,0)</f>
        <v/>
      </c>
      <c r="AT619" s="37">
        <f>SUM(AU619:BA619)</f>
        <v/>
      </c>
      <c r="AU619" s="73" t="n"/>
      <c r="AV619" s="33" t="n"/>
      <c r="AW619" s="33" t="n"/>
      <c r="AX619" s="33" t="n"/>
      <c r="AY619" s="33" t="n"/>
      <c r="AZ619" s="98" t="n">
        <v>1</v>
      </c>
      <c r="BA619" s="74" t="n"/>
      <c r="BB619" s="106" t="n"/>
      <c r="BC619" s="42" t="n"/>
      <c r="BD619" s="42" t="n"/>
    </row>
    <row r="620" ht="15" customHeight="1" s="148">
      <c r="A620" t="inlineStr">
        <is>
          <t>c0616</t>
        </is>
      </c>
      <c r="B620" s="44" t="inlineStr">
        <is>
          <t>Krenko, Tin Street Kingpin</t>
        </is>
      </c>
      <c r="C620" s="34" t="inlineStr">
        <is>
          <t>R</t>
        </is>
      </c>
      <c r="D620" s="44" t="inlineStr">
        <is>
          <t>Legendary Creature</t>
        </is>
      </c>
      <c r="E620" s="41" t="inlineStr">
        <is>
          <t>B2</t>
        </is>
      </c>
      <c r="F620" s="34" t="n">
        <v>3</v>
      </c>
      <c r="G620" s="67" t="inlineStr">
        <is>
          <t>Whenever Krenko attacks, put a +1/+1 counter on it, then create a number of 1/1 red Goblin creature tokens equal to Krenko's power.
(1/2)</t>
        </is>
      </c>
      <c r="H620" s="45" t="inlineStr">
        <is>
          <t>Token Producer</t>
        </is>
      </c>
      <c r="I620" s="45" t="inlineStr">
        <is>
          <t>Whenever Krenko attacks, put a +1/+1 counter on it, then create a number of 1/1 red Goblin creature tokens equal to Kren</t>
        </is>
      </c>
      <c r="J620" s="45" t="n"/>
      <c r="K620" s="45" t="n"/>
      <c r="L620" s="42" t="n"/>
      <c r="M620" s="42" t="n"/>
      <c r="N620" s="42" t="n"/>
      <c r="O620" s="42" t="n"/>
      <c r="P620" s="42" t="n">
        <v>3.51</v>
      </c>
      <c r="Q620" s="42" t="n"/>
      <c r="R620" s="42" t="n"/>
      <c r="S620" s="42" t="n"/>
      <c r="T620" s="42" t="n"/>
      <c r="U620" s="42" t="n"/>
      <c r="V620" s="45" t="inlineStr">
        <is>
          <t>War of the Spark</t>
        </is>
      </c>
      <c r="W620" s="41" t="n">
        <v>1</v>
      </c>
      <c r="X620" s="37">
        <f>SUM(Y620:AE620)</f>
        <v/>
      </c>
      <c r="Y620" s="43" t="n"/>
      <c r="Z620" s="43" t="n"/>
      <c r="AA620" s="43" t="n"/>
      <c r="AB620" s="43" t="n"/>
      <c r="AC620" s="43" t="n"/>
      <c r="AD620" s="43" t="n">
        <v>1</v>
      </c>
      <c r="AE620" s="43" t="n"/>
      <c r="AF620" s="38">
        <f>IF((W620-SUM(Y620:AE620))&lt;0,0,W620-SUM(Y620:AE620))</f>
        <v/>
      </c>
      <c r="AG620" s="34">
        <f>MAX(0,$AT620-$W620-$AI620)</f>
        <v/>
      </c>
      <c r="AH620" s="34" t="n"/>
      <c r="AI620" s="34" t="n"/>
      <c r="AJ620" s="36" t="n">
        <v>2.63</v>
      </c>
      <c r="AK620" s="36">
        <f>IF(AND($AG620&gt;0,ISNUMBER($AJ620)),$AG620*$AJ620,0)</f>
        <v/>
      </c>
      <c r="AT620" s="37">
        <f>SUM(AU620:BA620)</f>
        <v/>
      </c>
      <c r="AU620" s="73" t="n"/>
      <c r="AV620" s="33" t="n"/>
      <c r="AW620" s="33" t="n"/>
      <c r="AX620" s="33" t="n"/>
      <c r="AY620" s="33" t="n"/>
      <c r="AZ620" s="98" t="n">
        <v>1</v>
      </c>
      <c r="BA620" s="74" t="n"/>
      <c r="BB620" s="106" t="n"/>
      <c r="BC620" s="42" t="n"/>
      <c r="BD620" s="42" t="n"/>
    </row>
    <row r="621" ht="15" customHeight="1" s="148">
      <c r="A621" t="inlineStr">
        <is>
          <t>c0617</t>
        </is>
      </c>
      <c r="B621" s="44" t="inlineStr">
        <is>
          <t>Krenko's Command</t>
        </is>
      </c>
      <c r="C621" s="34" t="inlineStr">
        <is>
          <t>R</t>
        </is>
      </c>
      <c r="D621" s="44" t="inlineStr">
        <is>
          <t>Sorcery</t>
        </is>
      </c>
      <c r="E621" s="41" t="inlineStr">
        <is>
          <t>B2</t>
        </is>
      </c>
      <c r="F621" s="34" t="n">
        <v>2</v>
      </c>
      <c r="G621" s="67" t="inlineStr">
        <is>
          <t>Create two 1/1 red Goblin creature tokens.</t>
        </is>
      </c>
      <c r="H621" s="45" t="inlineStr">
        <is>
          <t>Token Producer</t>
        </is>
      </c>
      <c r="I621" s="45" t="inlineStr">
        <is>
          <t>Creates two 1/1 Goblin tokens</t>
        </is>
      </c>
      <c r="J621" s="45" t="n"/>
      <c r="K621" s="45" t="n"/>
      <c r="L621" s="42" t="n"/>
      <c r="M621" s="42" t="n"/>
      <c r="N621" s="42" t="n"/>
      <c r="O621" s="63" t="n"/>
      <c r="P621" s="63" t="n">
        <v>0.26</v>
      </c>
      <c r="Q621" s="42" t="n"/>
      <c r="R621" s="42" t="n"/>
      <c r="S621" s="42" t="n"/>
      <c r="T621" s="63" t="n"/>
      <c r="U621" s="63" t="n"/>
      <c r="V621" s="45" t="inlineStr">
        <is>
          <t>Magic 2013</t>
        </is>
      </c>
      <c r="W621" s="41" t="n">
        <v>2</v>
      </c>
      <c r="X621" s="37">
        <f>SUM(Y621:AE621)</f>
        <v/>
      </c>
      <c r="Y621" s="43" t="n"/>
      <c r="Z621" s="43" t="n"/>
      <c r="AA621" s="43" t="n"/>
      <c r="AB621" s="43" t="n"/>
      <c r="AC621" s="43" t="n"/>
      <c r="AD621" s="43" t="n">
        <v>1</v>
      </c>
      <c r="AE621" s="43" t="n"/>
      <c r="AF621" s="38">
        <f>IF((W621-SUM(Y621:AE621))&lt;0,0,W621-SUM(Y621:AE621))</f>
        <v/>
      </c>
      <c r="AG621" s="34">
        <f>MAX(0,$AT621-$W621-$AI621)</f>
        <v/>
      </c>
      <c r="AH621" s="34" t="n"/>
      <c r="AI621" s="34" t="n"/>
      <c r="AJ621" s="36" t="n">
        <v>0.24</v>
      </c>
      <c r="AK621" s="36">
        <f>IF(AND($AG621&gt;0,ISNUMBER($AJ621)),$AG621*$AJ621,0)</f>
        <v/>
      </c>
      <c r="AQ621" s="58" t="n"/>
      <c r="AT621" s="37">
        <f>SUM(AU621:BA621)</f>
        <v/>
      </c>
      <c r="AU621" s="73" t="n"/>
      <c r="AV621" s="33" t="n"/>
      <c r="AW621" s="33" t="n"/>
      <c r="AX621" s="33" t="n"/>
      <c r="AY621" s="33" t="n"/>
      <c r="AZ621" s="98" t="n">
        <v>1</v>
      </c>
      <c r="BA621" s="74" t="n"/>
      <c r="BB621" s="106" t="n"/>
      <c r="BC621" s="42" t="n"/>
      <c r="BD621" s="42" t="n"/>
    </row>
    <row r="622" ht="15" customHeight="1" s="148">
      <c r="A622" t="inlineStr">
        <is>
          <t>c0618</t>
        </is>
      </c>
      <c r="B622" s="44" t="inlineStr">
        <is>
          <t>Kulrath Zealot</t>
        </is>
      </c>
      <c r="C622" s="34" t="inlineStr">
        <is>
          <t>R</t>
        </is>
      </c>
      <c r="D622" s="44" t="inlineStr">
        <is>
          <t>Creature</t>
        </is>
      </c>
      <c r="E622" s="41" t="inlineStr">
        <is>
          <t>B2</t>
        </is>
      </c>
      <c r="F622" s="34" t="n">
        <v>6</v>
      </c>
      <c r="G622" s="67" t="inlineStr">
        <is>
          <t>When this creature enters, exile the top card of your library. Until the end of your next turn, you may play that card.
Basic landcycling {1}{R} ({1}{R}, Discard this card: Search your library for a basic land card, reveal it, put it into your hand, then shuffle.)
(6/5)</t>
        </is>
      </c>
      <c r="H622" s="45" t="inlineStr">
        <is>
          <t>Card Selection</t>
        </is>
      </c>
      <c r="I622" s="45" t="inlineStr">
        <is>
          <t>Exiles top card of library to play until end of next turn</t>
        </is>
      </c>
      <c r="J622" s="45" t="inlineStr">
        <is>
          <t>Can discard for {1}{R} to tutor a basic land to hand</t>
        </is>
      </c>
      <c r="K622" s="45" t="n"/>
      <c r="L622" s="42" t="n"/>
      <c r="M622" s="42" t="n"/>
      <c r="N622" s="42" t="n"/>
      <c r="O622" s="63" t="n"/>
      <c r="P622" s="63" t="n">
        <v>0.16</v>
      </c>
      <c r="Q622" s="42" t="n"/>
      <c r="R622" s="42" t="n"/>
      <c r="S622" s="42" t="n"/>
      <c r="T622" s="63" t="n"/>
      <c r="U622" s="63" t="n"/>
      <c r="V622" s="45" t="inlineStr">
        <is>
          <t>Lorwyn Eclipsed</t>
        </is>
      </c>
      <c r="W622" s="41" t="n">
        <v>2</v>
      </c>
      <c r="X622" s="37">
        <f>SUM(Y622:AE622)</f>
        <v/>
      </c>
      <c r="Y622" s="43" t="n"/>
      <c r="Z622" s="43" t="n"/>
      <c r="AA622" s="43" t="n"/>
      <c r="AB622" s="43" t="n"/>
      <c r="AC622" s="43" t="n"/>
      <c r="AD622" s="43" t="n"/>
      <c r="AE622" s="43" t="n"/>
      <c r="AF622" s="38">
        <f>IF((W622-SUM(Y622:AE622))&lt;0,0,W622-SUM(Y622:AE622))</f>
        <v/>
      </c>
      <c r="AG622" s="34">
        <f>MAX(0,$AT622-$W622-$AI622)</f>
        <v/>
      </c>
      <c r="AH622" s="34" t="n"/>
      <c r="AI622" s="34" t="n"/>
      <c r="AJ622" s="36" t="n">
        <v>0.14</v>
      </c>
      <c r="AK622" s="36">
        <f>IF(AND($AG622&gt;0,ISNUMBER($AJ622)),$AG622*$AJ622,0)</f>
        <v/>
      </c>
      <c r="AT622" s="37">
        <f>SUM(AU622:BA622)</f>
        <v/>
      </c>
      <c r="AU622" s="73" t="n"/>
      <c r="AV622" s="33" t="n"/>
      <c r="AW622" s="33" t="n"/>
      <c r="AX622" s="33" t="n"/>
      <c r="AY622" s="33" t="n"/>
      <c r="AZ622" s="33" t="n"/>
      <c r="BA622" s="74" t="n"/>
      <c r="BB622" s="106" t="n"/>
      <c r="BC622" s="42" t="n"/>
      <c r="BD622" s="42" t="n"/>
    </row>
    <row r="623" ht="15" customHeight="1" s="148">
      <c r="A623" t="inlineStr">
        <is>
          <t>c0619</t>
        </is>
      </c>
      <c r="B623" s="44" t="inlineStr">
        <is>
          <t>Laelia, the Blade Reforged</t>
        </is>
      </c>
      <c r="C623" s="34" t="inlineStr">
        <is>
          <t>R</t>
        </is>
      </c>
      <c r="D623" s="44" t="inlineStr">
        <is>
          <t>Legendary Creature</t>
        </is>
      </c>
      <c r="E623" s="41" t="inlineStr">
        <is>
          <t>B2</t>
        </is>
      </c>
      <c r="F623" s="34" t="n">
        <v>3</v>
      </c>
      <c r="G623" s="67" t="inlineStr">
        <is>
          <t>Haste
Whenever Laelia attacks, exile the top card of your library. You may play that card this turn.
Whenever one or more cards are put into exile from your library and/or your graveyard, put a +1/+1 counter on Laelia.
(2/2)</t>
        </is>
      </c>
      <c r="H623" s="45" t="inlineStr">
        <is>
          <t>Card Advantage</t>
        </is>
      </c>
      <c r="I623" s="45" t="inlineStr">
        <is>
          <t>Can attack the turn it enters</t>
        </is>
      </c>
      <c r="J623" s="45" t="inlineStr">
        <is>
          <t>Attacking exiles the top library card to play this turn</t>
        </is>
      </c>
      <c r="K623" s="45" t="inlineStr">
        <is>
          <t>Gets a +1/+1 counter whenever cards are exiled from library or graveyard</t>
        </is>
      </c>
      <c r="L623" s="41" t="n"/>
      <c r="M623" s="41" t="n"/>
      <c r="N623" s="41" t="n"/>
      <c r="O623" s="41" t="n"/>
      <c r="P623" s="41" t="n">
        <v>0.34</v>
      </c>
      <c r="Q623" s="41" t="n"/>
      <c r="R623" s="41" t="n"/>
      <c r="S623" s="41" t="n"/>
      <c r="T623" s="41" t="n"/>
      <c r="U623" s="41" t="n"/>
      <c r="V623" s="45" t="inlineStr">
        <is>
          <t>Commander 2021</t>
        </is>
      </c>
      <c r="W623" s="41" t="n">
        <v>1</v>
      </c>
      <c r="X623" s="37">
        <f>SUM(Y623:AE623)</f>
        <v/>
      </c>
      <c r="Y623" s="43" t="n">
        <v>1</v>
      </c>
      <c r="Z623" s="43" t="n"/>
      <c r="AA623" s="43" t="n"/>
      <c r="AB623" s="43" t="n"/>
      <c r="AC623" s="43" t="n"/>
      <c r="AD623" s="43" t="n"/>
      <c r="AE623" s="43" t="n"/>
      <c r="AF623" s="38">
        <f>IF((W623-SUM(Y623:AE623))&lt;0,0,W623-SUM(Y623:AE623))</f>
        <v/>
      </c>
      <c r="AG623" s="34">
        <f>MAX(0,$AT623-$W623-$AI623)</f>
        <v/>
      </c>
      <c r="AH623" s="34" t="n"/>
      <c r="AI623" s="34" t="n"/>
      <c r="AJ623" s="36" t="n">
        <v>0.3</v>
      </c>
      <c r="AK623" s="36">
        <f>IF(AND($AG623&gt;0,ISNUMBER($AJ623)),$AG623*$AJ623,0)</f>
        <v/>
      </c>
      <c r="AT623" s="37">
        <f>SUM(AU623:BA623)</f>
        <v/>
      </c>
      <c r="AU623" s="82" t="n">
        <v>1</v>
      </c>
      <c r="AV623" s="33" t="n"/>
      <c r="AW623" s="33" t="n"/>
      <c r="AX623" s="33" t="n"/>
      <c r="AY623" s="33" t="n"/>
      <c r="AZ623" s="33" t="n"/>
      <c r="BA623" s="74" t="n"/>
      <c r="BB623" s="106" t="n"/>
      <c r="BC623" s="42" t="n"/>
      <c r="BD623" s="42" t="n"/>
    </row>
    <row r="624" ht="15" customHeight="1" s="148">
      <c r="A624" t="inlineStr">
        <is>
          <t>c0620</t>
        </is>
      </c>
      <c r="B624" s="113" t="inlineStr">
        <is>
          <t>Lavaleaper</t>
        </is>
      </c>
      <c r="C624" s="115" t="inlineStr">
        <is>
          <t>R</t>
        </is>
      </c>
      <c r="D624" s="117" t="inlineStr">
        <is>
          <t>Creature</t>
        </is>
      </c>
      <c r="E624" s="67" t="inlineStr">
        <is>
          <t>B2</t>
        </is>
      </c>
      <c r="F624" s="115" t="n">
        <v>4</v>
      </c>
      <c r="G624" s="69" t="inlineStr">
        <is>
          <t>Lavaleaper {3}{R} — Creature — Elemental (4/4)
All creatures have haste.
Whenever a player taps a basic land for mana, that player adds one mana of any type that land produced.</t>
        </is>
      </c>
      <c r="H624" s="113" t="inlineStr">
        <is>
          <t>Haste Enabler</t>
        </is>
      </c>
      <c r="I624" s="113" t="inlineStr">
        <is>
          <t>All creatures have haste</t>
        </is>
      </c>
      <c r="J624" s="113" t="n"/>
      <c r="K624" s="113" t="n"/>
      <c r="L624" s="69" t="inlineStr">
        <is>
          <t>150</t>
        </is>
      </c>
      <c r="M624" s="69" t="n">
        <v>1</v>
      </c>
      <c r="N624" s="69" t="n">
        <v>0</v>
      </c>
      <c r="O624" s="63" t="inlineStr">
        <is>
          <t>Ron Spears</t>
        </is>
      </c>
      <c r="P624" s="85" t="n">
        <v>0.35</v>
      </c>
      <c r="Q624" s="69" t="inlineStr">
        <is>
          <t>Rare</t>
        </is>
      </c>
      <c r="R624" s="69" t="n"/>
      <c r="S624" s="69" t="n"/>
      <c r="T624" s="63" t="n"/>
      <c r="U624" s="63" t="n"/>
      <c r="V624" s="117" t="inlineStr">
        <is>
          <t>Lorwyn Eclipsed</t>
        </is>
      </c>
      <c r="W624" s="105" t="n">
        <v>1</v>
      </c>
      <c r="X624" s="37">
        <f>SUM(Y624:AE624)</f>
        <v/>
      </c>
      <c r="Y624" s="43" t="n"/>
      <c r="Z624" s="43" t="n"/>
      <c r="AA624" s="43" t="n"/>
      <c r="AB624" s="43" t="n"/>
      <c r="AC624" s="43" t="n"/>
      <c r="AD624" s="43" t="n"/>
      <c r="AE624" s="43" t="n"/>
      <c r="AF624" s="38">
        <f>IF((W624-SUM(Y624:AE624))&lt;0,0,W624-SUM(Y624:AE624))</f>
        <v/>
      </c>
      <c r="AG624" s="34">
        <f>MAX(0,$AT624-$W624-$AI624)</f>
        <v/>
      </c>
      <c r="AH624" s="113" t="n"/>
      <c r="AI624" s="113" t="n"/>
      <c r="AJ624" s="123" t="n">
        <v>0.35</v>
      </c>
      <c r="AK624" s="36">
        <f>IF(AND($AG624&gt;0,ISNUMBER($AJ624)),$AG624*$AJ624,0)</f>
        <v/>
      </c>
      <c r="AL624" s="69" t="n"/>
      <c r="AM624" s="69" t="n"/>
      <c r="AN624" s="69" t="n"/>
      <c r="AO624" s="69" t="n"/>
      <c r="AP624" s="69" t="n"/>
      <c r="AQ624" s="69" t="n"/>
      <c r="AR624" s="69" t="n"/>
      <c r="AS624" s="69" t="n"/>
      <c r="AT624" s="37">
        <f>SUM(AU624:BA624)</f>
        <v/>
      </c>
      <c r="AU624" s="73" t="n"/>
      <c r="AV624" s="33" t="n"/>
      <c r="AW624" s="33" t="n"/>
      <c r="AX624" s="33" t="n"/>
      <c r="AY624" s="33" t="n"/>
      <c r="AZ624" s="33" t="n"/>
      <c r="BA624" s="74" t="n"/>
      <c r="BB624" s="126" t="n"/>
      <c r="BC624" s="69" t="n"/>
      <c r="BD624" s="69" t="n"/>
    </row>
    <row r="625" ht="15" customHeight="1" s="148">
      <c r="A625" t="inlineStr">
        <is>
          <t>c0621</t>
        </is>
      </c>
      <c r="B625" s="44" t="inlineStr">
        <is>
          <t>Legion Warboss</t>
        </is>
      </c>
      <c r="C625" s="34" t="inlineStr">
        <is>
          <t>R</t>
        </is>
      </c>
      <c r="D625" s="44" t="inlineStr">
        <is>
          <t>Creature</t>
        </is>
      </c>
      <c r="E625" s="41" t="inlineStr">
        <is>
          <t>B2</t>
        </is>
      </c>
      <c r="F625" s="34" t="n">
        <v>3</v>
      </c>
      <c r="G625" s="67" t="inlineStr">
        <is>
          <t>Mentor (Whenever this creature attacks, put a +1/+1 counter on target attacking creature with lesser power.)
At the beginning of combat on your turn, create a 1/1 red Goblin creature token. That token gains haste until end of turn and attacks this combat if able.
(2/2)</t>
        </is>
      </c>
      <c r="H625" s="45" t="inlineStr">
        <is>
          <t>Token Producer</t>
        </is>
      </c>
      <c r="I625" s="45" t="inlineStr">
        <is>
          <t>Combat: creates a hasty 1/1 Goblin token that attacks</t>
        </is>
      </c>
      <c r="J625" s="45" t="inlineStr">
        <is>
          <t>Puts a +1/+1 counter on an attacker with lesser power</t>
        </is>
      </c>
      <c r="K625" s="45" t="n"/>
      <c r="L625" s="42" t="n"/>
      <c r="M625" s="42" t="n"/>
      <c r="N625" s="42" t="n"/>
      <c r="O625" s="42" t="n"/>
      <c r="P625" s="42" t="n">
        <v>0.38</v>
      </c>
      <c r="Q625" s="42" t="n"/>
      <c r="R625" s="42" t="n"/>
      <c r="S625" s="42" t="n"/>
      <c r="T625" s="42" t="n"/>
      <c r="U625" s="42" t="n"/>
      <c r="V625" s="45" t="inlineStr">
        <is>
          <t>Guilds of Ravnica</t>
        </is>
      </c>
      <c r="W625" s="41" t="n">
        <v>1</v>
      </c>
      <c r="X625" s="37">
        <f>SUM(Y625:AE625)</f>
        <v/>
      </c>
      <c r="Y625" s="43" t="n"/>
      <c r="Z625" s="43" t="n"/>
      <c r="AA625" s="43" t="n"/>
      <c r="AB625" s="43" t="n"/>
      <c r="AC625" s="43" t="n"/>
      <c r="AD625" s="43" t="n">
        <v>1</v>
      </c>
      <c r="AE625" s="43" t="n"/>
      <c r="AF625" s="38">
        <f>IF((W625-SUM(Y625:AE625))&lt;0,0,W625-SUM(Y625:AE625))</f>
        <v/>
      </c>
      <c r="AG625" s="34">
        <f>MAX(0,$AT625-$W625-$AI625)</f>
        <v/>
      </c>
      <c r="AH625" s="34" t="n"/>
      <c r="AI625" s="34" t="n"/>
      <c r="AJ625" s="36" t="n">
        <v>0.35</v>
      </c>
      <c r="AK625" s="36">
        <f>IF(AND($AG625&gt;0,ISNUMBER($AJ625)),$AG625*$AJ625,0)</f>
        <v/>
      </c>
      <c r="AT625" s="37">
        <f>SUM(AU625:BA625)</f>
        <v/>
      </c>
      <c r="AU625" s="73" t="n"/>
      <c r="AV625" s="33" t="n"/>
      <c r="AW625" s="33" t="n"/>
      <c r="AX625" s="33" t="n"/>
      <c r="AY625" s="33" t="n"/>
      <c r="AZ625" s="98" t="n">
        <v>1</v>
      </c>
      <c r="BA625" s="74" t="n"/>
      <c r="BB625" s="106" t="n"/>
      <c r="BC625" s="42" t="n"/>
      <c r="BD625" s="42" t="n"/>
    </row>
    <row r="626" ht="15" customHeight="1" s="148">
      <c r="A626" t="inlineStr">
        <is>
          <t>c0622</t>
        </is>
      </c>
      <c r="B626" s="44" t="inlineStr">
        <is>
          <t>Light Up the Stage</t>
        </is>
      </c>
      <c r="C626" s="34" t="inlineStr">
        <is>
          <t>R</t>
        </is>
      </c>
      <c r="D626" s="44" t="inlineStr">
        <is>
          <t>Sorcery</t>
        </is>
      </c>
      <c r="E626" s="41" t="inlineStr">
        <is>
          <t>B2</t>
        </is>
      </c>
      <c r="F626" s="34" t="n">
        <v>3</v>
      </c>
      <c r="G626" s="67" t="inlineStr">
        <is>
          <t>Spectacle {R} (You may cast this spell for its spectacle cost rather than its mana cost if an opponent lost life this turn.)
Exile the top two cards of your library. Until the end of your next turn, you may play those cards.</t>
        </is>
      </c>
      <c r="H626" s="45" t="inlineStr">
        <is>
          <t>Card Draw</t>
        </is>
      </c>
      <c r="I626" s="45" t="inlineStr">
        <is>
          <t>Exiles top two cards of library; may play them until end of next turn</t>
        </is>
      </c>
      <c r="J626" s="45" t="inlineStr">
        <is>
          <t>Castable for {R} if an opponent lost life this turn</t>
        </is>
      </c>
      <c r="K626" s="45" t="n"/>
      <c r="L626" s="42" t="n"/>
      <c r="M626" s="42" t="n"/>
      <c r="N626" s="42" t="n"/>
      <c r="O626" s="42" t="n"/>
      <c r="P626" s="42" t="n">
        <v>0.36</v>
      </c>
      <c r="Q626" s="42" t="n"/>
      <c r="R626" s="42" t="n"/>
      <c r="S626" s="42" t="n"/>
      <c r="T626" s="42" t="n"/>
      <c r="U626" s="42" t="n"/>
      <c r="V626" s="45" t="inlineStr">
        <is>
          <t>Ravnica Allegiance</t>
        </is>
      </c>
      <c r="W626" s="41" t="n">
        <v>1</v>
      </c>
      <c r="X626" s="37">
        <f>SUM(Y626:AE626)</f>
        <v/>
      </c>
      <c r="Y626" s="43" t="n"/>
      <c r="Z626" s="43" t="n"/>
      <c r="AA626" s="43" t="n"/>
      <c r="AB626" s="43" t="n"/>
      <c r="AC626" s="43" t="n"/>
      <c r="AD626" s="43" t="n">
        <v>1</v>
      </c>
      <c r="AE626" s="43" t="n"/>
      <c r="AF626" s="38">
        <f>IF((W626-SUM(Y626:AE626))&lt;0,0,W626-SUM(Y626:AE626))</f>
        <v/>
      </c>
      <c r="AG626" s="34">
        <f>MAX(0,$AT626-$W626-$AI626)</f>
        <v/>
      </c>
      <c r="AH626" s="34" t="n"/>
      <c r="AI626" s="34" t="n"/>
      <c r="AJ626" s="36" t="n">
        <v>0.38</v>
      </c>
      <c r="AK626" s="36">
        <f>IF(AND($AG626&gt;0,ISNUMBER($AJ626)),$AG626*$AJ626,0)</f>
        <v/>
      </c>
      <c r="AQ626" s="58" t="n"/>
      <c r="AT626" s="37">
        <f>SUM(AU626:BA626)</f>
        <v/>
      </c>
      <c r="AU626" s="73" t="n"/>
      <c r="AV626" s="33" t="n"/>
      <c r="AW626" s="33" t="n"/>
      <c r="AX626" s="33" t="n"/>
      <c r="AY626" s="33" t="n"/>
      <c r="AZ626" s="99" t="n"/>
      <c r="BA626" s="74" t="n"/>
      <c r="BB626" s="106" t="n"/>
      <c r="BC626" s="42" t="n"/>
      <c r="BD626" s="42" t="n"/>
    </row>
    <row r="627" ht="15" customHeight="1" s="148">
      <c r="A627" t="inlineStr">
        <is>
          <t>c0623</t>
        </is>
      </c>
      <c r="B627" s="44" t="inlineStr">
        <is>
          <t>Massive Raid</t>
        </is>
      </c>
      <c r="C627" s="34" t="inlineStr">
        <is>
          <t>R</t>
        </is>
      </c>
      <c r="D627" s="44" t="inlineStr">
        <is>
          <t>Instant</t>
        </is>
      </c>
      <c r="E627" s="41" t="inlineStr">
        <is>
          <t>B2</t>
        </is>
      </c>
      <c r="F627" s="34" t="n">
        <v>3</v>
      </c>
      <c r="G627" s="67" t="inlineStr">
        <is>
          <t>Massive Raid deals damage to any target equal to the number of creatures you control.</t>
        </is>
      </c>
      <c r="H627" s="45" t="inlineStr">
        <is>
          <t>Burn</t>
        </is>
      </c>
      <c r="I627" s="45" t="inlineStr">
        <is>
          <t>Massive Raid deals damage to any target equal to the number of creatures you control</t>
        </is>
      </c>
      <c r="J627" s="45" t="n"/>
      <c r="K627" s="45" t="n"/>
      <c r="L627" s="42" t="n"/>
      <c r="M627" s="42" t="n"/>
      <c r="N627" s="42" t="n"/>
      <c r="O627" s="42" t="n"/>
      <c r="P627" s="42" t="n">
        <v>0.26</v>
      </c>
      <c r="Q627" s="42" t="n"/>
      <c r="R627" s="42" t="n"/>
      <c r="S627" s="42" t="n"/>
      <c r="T627" s="42" t="n"/>
      <c r="U627" s="42" t="n"/>
      <c r="V627" s="45" t="inlineStr">
        <is>
          <t>Gatecrash</t>
        </is>
      </c>
      <c r="W627" s="41" t="n">
        <v>1</v>
      </c>
      <c r="X627" s="37">
        <f>SUM(Y627:AE627)</f>
        <v/>
      </c>
      <c r="Y627" s="43" t="n"/>
      <c r="Z627" s="43" t="n"/>
      <c r="AA627" s="43" t="n"/>
      <c r="AB627" s="43" t="n"/>
      <c r="AC627" s="43" t="n"/>
      <c r="AD627" s="43" t="n">
        <v>1</v>
      </c>
      <c r="AE627" s="43" t="n"/>
      <c r="AF627" s="38">
        <f>IF((W627-SUM(Y627:AE627))&lt;0,0,W627-SUM(Y627:AE627))</f>
        <v/>
      </c>
      <c r="AG627" s="34">
        <f>MAX(0,$AT627-$W627-$AI627)</f>
        <v/>
      </c>
      <c r="AH627" s="34" t="n"/>
      <c r="AI627" s="34" t="n"/>
      <c r="AJ627" s="36" t="n">
        <v>0.22</v>
      </c>
      <c r="AK627" s="36">
        <f>IF(AND($AG627&gt;0,ISNUMBER($AJ627)),$AG627*$AJ627,0)</f>
        <v/>
      </c>
      <c r="AT627" s="37">
        <f>SUM(AU627:BA627)</f>
        <v/>
      </c>
      <c r="AU627" s="73" t="n"/>
      <c r="AV627" s="33" t="n"/>
      <c r="AW627" s="33" t="n"/>
      <c r="AX627" s="33" t="n"/>
      <c r="AY627" s="33" t="n"/>
      <c r="AZ627" s="33" t="n"/>
      <c r="BA627" s="74" t="n"/>
      <c r="BB627" s="106" t="n"/>
      <c r="BC627" s="42" t="n"/>
      <c r="BD627" s="42" t="n"/>
    </row>
    <row r="628" ht="15" customHeight="1" s="148">
      <c r="A628" t="inlineStr">
        <is>
          <t>c0624</t>
        </is>
      </c>
      <c r="B628" s="30" t="inlineStr">
        <is>
          <t>Mica, Reader of Ruins</t>
        </is>
      </c>
      <c r="C628" s="31" t="inlineStr">
        <is>
          <t>R</t>
        </is>
      </c>
      <c r="D628" s="30" t="inlineStr">
        <is>
          <t>Legendary Creature</t>
        </is>
      </c>
      <c r="E628" s="33" t="inlineStr">
        <is>
          <t>B2</t>
        </is>
      </c>
      <c r="F628" s="30" t="n">
        <v>4</v>
      </c>
      <c r="G628" s="67" t="inlineStr">
        <is>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
(4/4)</t>
        </is>
      </c>
      <c r="H628" s="30" t="inlineStr">
        <is>
          <t>Copy/Clone</t>
        </is>
      </c>
      <c r="I628" s="30" t="inlineStr">
        <is>
          <t>Whenever you cast an instant or sorcery, you may sacrifice an artifact to copy it and choose new targets</t>
        </is>
      </c>
      <c r="J628" s="30" t="inlineStr">
        <is>
          <t>Ward — pay 3 life</t>
        </is>
      </c>
      <c r="K628" s="30" t="n"/>
      <c r="L628" s="32" t="inlineStr">
        <is>
          <t>124</t>
        </is>
      </c>
      <c r="M628" s="32" t="n">
        <v>2</v>
      </c>
      <c r="N628" s="32" t="n">
        <v>0</v>
      </c>
      <c r="O628" s="63" t="inlineStr">
        <is>
          <t>Josu Hernaiz</t>
        </is>
      </c>
      <c r="P628" s="63" t="n">
        <v>0.21</v>
      </c>
      <c r="Q628" s="32" t="inlineStr">
        <is>
          <t>Uncommon</t>
        </is>
      </c>
      <c r="R628" s="32" t="n"/>
      <c r="S628" s="32" t="n"/>
      <c r="T628" s="63" t="n"/>
      <c r="U628" s="63" t="n"/>
      <c r="V628" s="30" t="inlineStr">
        <is>
          <t>Secrets of Strixhaven</t>
        </is>
      </c>
      <c r="W628" s="41" t="n">
        <v>2</v>
      </c>
      <c r="X628" s="37">
        <f>SUM(Y628:AE628)</f>
        <v/>
      </c>
      <c r="Y628" s="43" t="n"/>
      <c r="Z628" s="43" t="n"/>
      <c r="AA628" s="43" t="n"/>
      <c r="AB628" s="43" t="n"/>
      <c r="AC628" s="43" t="n"/>
      <c r="AD628" s="43" t="n"/>
      <c r="AE628" s="43" t="n"/>
      <c r="AF628" s="38">
        <f>IF((W628-SUM(Y628:AE628))&lt;0,0,W628-SUM(Y628:AE628))</f>
        <v/>
      </c>
      <c r="AG628" s="34">
        <f>MAX(0,$AT628-$W628-$AI628)</f>
        <v/>
      </c>
      <c r="AH628" s="30" t="n"/>
      <c r="AI628" s="30" t="n"/>
      <c r="AJ628" s="30" t="n">
        <v>0.21</v>
      </c>
      <c r="AK628" s="36">
        <f>IF(AND($AG628&gt;0,ISNUMBER($AJ628)),$AG628*$AJ628,0)</f>
        <v/>
      </c>
      <c r="AT628" s="37">
        <f>SUM(AU628:BA628)</f>
        <v/>
      </c>
      <c r="AU628" s="73" t="n"/>
      <c r="AV628" s="33" t="n"/>
      <c r="AW628" s="33" t="n"/>
      <c r="AX628" s="33" t="n"/>
      <c r="AY628" s="33" t="n"/>
      <c r="AZ628" s="33" t="n"/>
      <c r="BA628" s="74" t="n"/>
      <c r="BB628" s="108" t="n"/>
      <c r="BC628" s="32" t="n"/>
      <c r="BD628" s="32" t="n"/>
    </row>
    <row r="629" ht="15" customHeight="1" s="148">
      <c r="A629" t="inlineStr">
        <is>
          <t>c0625</t>
        </is>
      </c>
      <c r="B629" s="30" t="inlineStr">
        <is>
          <t>Misty Mountains Raider</t>
        </is>
      </c>
      <c r="C629" s="31" t="inlineStr">
        <is>
          <t>R</t>
        </is>
      </c>
      <c r="D629" s="30" t="inlineStr">
        <is>
          <t>Creature</t>
        </is>
      </c>
      <c r="E629" s="33" t="inlineStr">
        <is>
          <t>B2</t>
        </is>
      </c>
      <c r="F629" s="31" t="n">
        <v>5</v>
      </c>
      <c r="G629" s="67" t="inlineStr">
        <is>
          <t>Whenever you attack, amass Goblins 2. (Put two +1/+1 counters on an Army you control. It's also a Goblin. If you don't control an Army, create a 0/0 black Goblin Army creature token first.)
(4/4)</t>
        </is>
      </c>
      <c r="H629" s="30" t="inlineStr">
        <is>
          <t>Token Producer</t>
        </is>
      </c>
      <c r="I629" s="30" t="inlineStr">
        <is>
          <t>Whenever you attack, amass Goblins 2 — put two +1/+1 counters on an Army you control, creating a 0/0 Goblin Army token first if you have none</t>
        </is>
      </c>
      <c r="J629" s="30" t="n"/>
      <c r="K629" s="30" t="n"/>
      <c r="L629" s="32" t="inlineStr">
        <is>
          <t>105</t>
        </is>
      </c>
      <c r="M629" s="32" t="n">
        <v>1</v>
      </c>
      <c r="N629" s="32" t="n">
        <v>0</v>
      </c>
      <c r="O629" s="63" t="n"/>
      <c r="P629" s="63" t="n">
        <v>0.21</v>
      </c>
      <c r="Q629" s="32" t="inlineStr">
        <is>
          <t>Uncommon</t>
        </is>
      </c>
      <c r="R629" s="32" t="n"/>
      <c r="S629" s="32" t="n"/>
      <c r="T629" s="63" t="n"/>
      <c r="U629" s="63" t="n"/>
      <c r="V629" s="30" t="inlineStr">
        <is>
          <t>The Hobbit</t>
        </is>
      </c>
      <c r="W629" s="41" t="n">
        <v>1</v>
      </c>
      <c r="X629" s="37">
        <f>SUM(Y629:AE629)</f>
        <v/>
      </c>
      <c r="Y629" s="43" t="n"/>
      <c r="Z629" s="43" t="n"/>
      <c r="AA629" s="43" t="n"/>
      <c r="AB629" s="43" t="n"/>
      <c r="AC629" s="43" t="n"/>
      <c r="AD629" s="43" t="n"/>
      <c r="AE629" s="43" t="n"/>
      <c r="AF629" s="38">
        <f>IF((W629-SUM(Y629:AE629))&lt;0,0,W629-SUM(Y629:AE629))</f>
        <v/>
      </c>
      <c r="AG629" s="34">
        <f>MAX(0,$AT629-$W629-$AI629)</f>
        <v/>
      </c>
      <c r="AH629" s="30" t="n"/>
      <c r="AI629" s="30" t="n"/>
      <c r="AJ629" s="35" t="n">
        <v>0.21</v>
      </c>
      <c r="AK629" s="36">
        <f>IF(AND($AG629&gt;0,ISNUMBER($AJ629)),$AG629*$AJ629,0)</f>
        <v/>
      </c>
      <c r="AQ629" s="58" t="n"/>
      <c r="AT629" s="37">
        <f>SUM(AU629:BA629)</f>
        <v/>
      </c>
      <c r="AU629" s="73" t="n"/>
      <c r="AV629" s="33" t="n"/>
      <c r="AW629" s="33" t="n"/>
      <c r="AX629" s="33" t="n"/>
      <c r="AY629" s="33" t="n"/>
      <c r="AZ629" s="33" t="n"/>
      <c r="BA629" s="74" t="n"/>
      <c r="BB629" s="108" t="n"/>
      <c r="BC629" s="32" t="n"/>
      <c r="BD629" s="32" t="n"/>
    </row>
    <row r="630" ht="15" customHeight="1" s="148">
      <c r="A630" t="inlineStr">
        <is>
          <t>c0626</t>
        </is>
      </c>
      <c r="B630" s="44" t="inlineStr">
        <is>
          <t>Mizzix's Mastery</t>
        </is>
      </c>
      <c r="C630" s="34" t="inlineStr">
        <is>
          <t>R</t>
        </is>
      </c>
      <c r="D630" s="44" t="inlineStr">
        <is>
          <t>Sorcery</t>
        </is>
      </c>
      <c r="E630" s="41" t="inlineStr">
        <is>
          <t>B3</t>
        </is>
      </c>
      <c r="F630" s="34" t="n">
        <v>4</v>
      </c>
      <c r="G630" s="67" t="inlineStr">
        <is>
          <t>Exile target card that's an instant or sorcery from your graveyard. For each card exiled this way, copy it, and you may cast the copy without paying its mana cost. Exile Mizzix's Mastery.
Overload {5}{R}{R}{R} (You may cast this spell for its overload cost. If you do, change "target" in its text to "each.")</t>
        </is>
      </c>
      <c r="H630" s="45" t="inlineStr">
        <is>
          <t>Recursion</t>
        </is>
      </c>
      <c r="I630" s="45" t="inlineStr">
        <is>
          <t xml:space="preserve">Exile target card that's an instant or sorcery from your graveyard. For each card exiled this way, copy it, and you may </t>
        </is>
      </c>
      <c r="J630" s="45" t="inlineStr">
        <is>
          <t>Overload {5}{R}{R}{R}</t>
        </is>
      </c>
      <c r="K630" s="45" t="n"/>
      <c r="L630" s="42" t="n"/>
      <c r="M630" s="42" t="n"/>
      <c r="N630" s="42" t="n"/>
      <c r="O630" s="42" t="n"/>
      <c r="P630" s="42" t="n">
        <v>8.1</v>
      </c>
      <c r="Q630" s="42" t="n"/>
      <c r="R630" s="42" t="n"/>
      <c r="S630" s="42" t="n"/>
      <c r="T630" s="42" t="n"/>
      <c r="U630" s="42" t="n"/>
      <c r="V630" s="45" t="inlineStr">
        <is>
          <t>Commander 2015</t>
        </is>
      </c>
      <c r="W630" s="41" t="n">
        <v>0</v>
      </c>
      <c r="X630" s="37">
        <f>SUM(Y630:AE630)</f>
        <v/>
      </c>
      <c r="Y630" s="43" t="n"/>
      <c r="Z630" s="43" t="n"/>
      <c r="AA630" s="43" t="n"/>
      <c r="AB630" s="43" t="n"/>
      <c r="AC630" s="43" t="n"/>
      <c r="AD630" s="43" t="n"/>
      <c r="AE630" s="43" t="n"/>
      <c r="AF630" s="38">
        <f>IF((W630-SUM(Y630:AE630))&lt;0,0,W630-SUM(Y630:AE630))</f>
        <v/>
      </c>
      <c r="AG630" s="34">
        <f>MAX(0,$AT630-$W630-$AI630)</f>
        <v/>
      </c>
      <c r="AH630" s="34" t="n"/>
      <c r="AI630" s="34" t="n"/>
      <c r="AJ630" s="36" t="n">
        <v>4.52</v>
      </c>
      <c r="AK630" s="36">
        <f>IF(AND($AG630&gt;0,ISNUMBER($AJ630)),$AG630*$AJ630,0)</f>
        <v/>
      </c>
      <c r="AL630" s="54" t="n"/>
      <c r="AM630" s="54" t="n"/>
      <c r="AN630" s="54" t="n"/>
      <c r="AO630" s="54" t="n"/>
      <c r="AP630" s="54" t="n"/>
      <c r="AQ630" s="54" t="n"/>
      <c r="AR630" s="54" t="n"/>
      <c r="AS630" s="54" t="n"/>
      <c r="AT630" s="37">
        <f>SUM(AU630:BA630)</f>
        <v/>
      </c>
      <c r="AU630" s="92" t="n">
        <v>1</v>
      </c>
      <c r="AV630" s="38" t="n"/>
      <c r="AW630" s="38" t="n"/>
      <c r="AX630" s="38" t="n"/>
      <c r="AY630" s="38" t="n"/>
      <c r="AZ630" s="38" t="n"/>
      <c r="BA630" s="94" t="n"/>
      <c r="BB630" s="106" t="n"/>
      <c r="BC630" s="42" t="n"/>
      <c r="BD630" s="42" t="n"/>
    </row>
    <row r="631" ht="15" customHeight="1" s="148">
      <c r="A631" t="inlineStr">
        <is>
          <t>c0627</t>
        </is>
      </c>
      <c r="B631" s="44" t="inlineStr">
        <is>
          <t>Mogg War Marshal</t>
        </is>
      </c>
      <c r="C631" s="34" t="inlineStr">
        <is>
          <t>R</t>
        </is>
      </c>
      <c r="D631" s="44" t="inlineStr">
        <is>
          <t>Creature</t>
        </is>
      </c>
      <c r="E631" s="41" t="inlineStr">
        <is>
          <t>B2</t>
        </is>
      </c>
      <c r="F631" s="34" t="n">
        <v>2</v>
      </c>
      <c r="G631" s="67" t="inlineStr">
        <is>
          <t>Echo {1}{R} (At the beginning of your upkeep, if this came under your control since the beginning of your last upkeep, sacrifice it unless you pay its echo cost.)
When this creature enters or dies, create a 1/1 red Goblin creature token.
(1/1)</t>
        </is>
      </c>
      <c r="H631" s="45" t="inlineStr">
        <is>
          <t>Token Producer</t>
        </is>
      </c>
      <c r="I631" s="45" t="inlineStr">
        <is>
          <t>Creates a 1/1 Goblin token when it enters or dies</t>
        </is>
      </c>
      <c r="J631" s="45" t="inlineStr">
        <is>
          <t>Sacrifice it next upkeep unless you pay {1}{R} (Echo)</t>
        </is>
      </c>
      <c r="K631" s="45" t="n"/>
      <c r="L631" s="42" t="n"/>
      <c r="M631" s="42" t="n"/>
      <c r="N631" s="42" t="n"/>
      <c r="O631" s="42" t="n"/>
      <c r="P631" s="42" t="n">
        <v>0.27</v>
      </c>
      <c r="Q631" s="42" t="n"/>
      <c r="R631" s="42" t="n"/>
      <c r="S631" s="42" t="n"/>
      <c r="T631" s="42" t="n"/>
      <c r="U631" s="42" t="n"/>
      <c r="V631" s="45" t="inlineStr">
        <is>
          <t>Time Spiral</t>
        </is>
      </c>
      <c r="W631" s="41" t="n">
        <v>1</v>
      </c>
      <c r="X631" s="37">
        <f>SUM(Y631:AE631)</f>
        <v/>
      </c>
      <c r="Y631" s="43" t="n"/>
      <c r="Z631" s="43" t="n"/>
      <c r="AA631" s="43" t="n"/>
      <c r="AB631" s="43" t="n"/>
      <c r="AC631" s="43" t="n"/>
      <c r="AD631" s="43" t="n">
        <v>1</v>
      </c>
      <c r="AE631" s="43" t="n"/>
      <c r="AF631" s="38">
        <f>IF((W631-SUM(Y631:AE631))&lt;0,0,W631-SUM(Y631:AE631))</f>
        <v/>
      </c>
      <c r="AG631" s="34">
        <f>MAX(0,$AT631-$W631-$AI631)</f>
        <v/>
      </c>
      <c r="AH631" s="34" t="n"/>
      <c r="AI631" s="34" t="n"/>
      <c r="AJ631" s="36" t="n">
        <v>0.34</v>
      </c>
      <c r="AK631" s="36">
        <f>IF(AND($AG631&gt;0,ISNUMBER($AJ631)),$AG631*$AJ631,0)</f>
        <v/>
      </c>
      <c r="AQ631" s="58" t="n"/>
      <c r="AS631" s="58" t="n"/>
      <c r="AT631" s="37">
        <f>SUM(AU631:BA631)</f>
        <v/>
      </c>
      <c r="AU631" s="73" t="n"/>
      <c r="AV631" s="33" t="n"/>
      <c r="AW631" s="33" t="n"/>
      <c r="AX631" s="33" t="n"/>
      <c r="AY631" s="33" t="n"/>
      <c r="AZ631" s="98" t="n">
        <v>1</v>
      </c>
      <c r="BA631" s="74" t="n"/>
      <c r="BB631" s="106" t="n"/>
      <c r="BC631" s="42" t="n"/>
      <c r="BD631" s="42" t="n"/>
    </row>
    <row r="632" ht="15" customHeight="1" s="148">
      <c r="A632" t="inlineStr">
        <is>
          <t>c0628</t>
        </is>
      </c>
      <c r="B632" s="44" t="inlineStr">
        <is>
          <t>Molten Echoes</t>
        </is>
      </c>
      <c r="C632" s="34" t="inlineStr">
        <is>
          <t>R</t>
        </is>
      </c>
      <c r="D632" s="44" t="inlineStr">
        <is>
          <t>Enchantment</t>
        </is>
      </c>
      <c r="E632" s="41" t="inlineStr">
        <is>
          <t>B3</t>
        </is>
      </c>
      <c r="F632" s="34" t="n">
        <v>4</v>
      </c>
      <c r="G632" s="67" t="inlineStr">
        <is>
          <t>As this enchantment enters, choose a creature type.
Whenever a nontoken creature you control of the chosen type enters, create a token that's a copy of that creature. That token gains haste. Exile it at the beginning of the next end step.</t>
        </is>
      </c>
      <c r="H632" s="45" t="inlineStr">
        <is>
          <t>Copy/Clone</t>
        </is>
      </c>
      <c r="I632" s="45" t="inlineStr">
        <is>
          <t xml:space="preserve">As this enchantment enters, choose a creature type.
Whenever a nontoken creature you control of the chosen type enters, </t>
        </is>
      </c>
      <c r="J632" s="45" t="n"/>
      <c r="K632" s="45" t="n"/>
      <c r="L632" s="41" t="n"/>
      <c r="M632" s="41" t="n"/>
      <c r="N632" s="41" t="n"/>
      <c r="O632" s="41" t="n"/>
      <c r="P632" s="41" t="n">
        <v>10.12</v>
      </c>
      <c r="Q632" s="41" t="n"/>
      <c r="R632" s="41" t="n"/>
      <c r="S632" s="41" t="n"/>
      <c r="T632" s="41" t="n"/>
      <c r="U632" s="41" t="n"/>
      <c r="V632" s="45" t="inlineStr">
        <is>
          <t>Commander 2020</t>
        </is>
      </c>
      <c r="W632" s="41" t="n">
        <v>0</v>
      </c>
      <c r="X632" s="37">
        <f>SUM(Y632:AE632)</f>
        <v/>
      </c>
      <c r="Y632" s="43" t="n"/>
      <c r="Z632" s="43" t="n"/>
      <c r="AA632" s="43" t="n"/>
      <c r="AB632" s="43" t="n"/>
      <c r="AC632" s="43" t="n"/>
      <c r="AD632" s="43" t="n"/>
      <c r="AE632" s="43" t="n"/>
      <c r="AF632" s="38">
        <f>IF((W632-SUM(Y632:AE632))&lt;0,0,W632-SUM(Y632:AE632))</f>
        <v/>
      </c>
      <c r="AG632" s="34">
        <f>MAX(0,$AT632-$W632-$AI632)</f>
        <v/>
      </c>
      <c r="AH632" s="34" t="n"/>
      <c r="AI632" s="34" t="n"/>
      <c r="AJ632" s="36" t="n">
        <v>9.51</v>
      </c>
      <c r="AK632" s="36">
        <f>IF(AND($AG632&gt;0,ISNUMBER($AJ632)),$AG632*$AJ632,0)</f>
        <v/>
      </c>
      <c r="AL632" s="54" t="n"/>
      <c r="AM632" s="54" t="n"/>
      <c r="AN632" s="54" t="n"/>
      <c r="AO632" s="54" t="n"/>
      <c r="AP632" s="54" t="n"/>
      <c r="AQ632" s="54" t="n"/>
      <c r="AR632" s="54" t="n"/>
      <c r="AS632" s="54" t="n"/>
      <c r="AT632" s="37">
        <f>SUM(AU632:BA632)</f>
        <v/>
      </c>
      <c r="AU632" s="92" t="n"/>
      <c r="AV632" s="38" t="n"/>
      <c r="AW632" s="38" t="n"/>
      <c r="AX632" s="38" t="n"/>
      <c r="AY632" s="38" t="n"/>
      <c r="AZ632" s="38" t="n"/>
      <c r="BA632" s="94" t="n"/>
      <c r="BB632" s="106" t="n"/>
      <c r="BC632" s="42" t="n"/>
      <c r="BD632" s="42" t="n"/>
    </row>
    <row r="633" ht="15" customHeight="1" s="148">
      <c r="A633" t="inlineStr">
        <is>
          <t>c0629</t>
        </is>
      </c>
      <c r="B633" s="44" t="inlineStr">
        <is>
          <t>Monastery Raid</t>
        </is>
      </c>
      <c r="C633" s="34" t="inlineStr">
        <is>
          <t>R</t>
        </is>
      </c>
      <c r="D633" s="44" t="inlineStr">
        <is>
          <t>Sorcery</t>
        </is>
      </c>
      <c r="E633" s="41" t="inlineStr">
        <is>
          <t>B2</t>
        </is>
      </c>
      <c r="F633" s="34" t="n">
        <v>3</v>
      </c>
      <c r="G633" s="67" t="inlineStr">
        <is>
          <t>Freerunning {X}{R} (You may cast this spell for its freerunning cost if you dealt combat damage to a player this turn with an Assassin or commander.)
Exile the top two cards of your library. If this spell's freerunning cost was paid, exile the top X cards of your library instead. You may play the exiled cards until the end of your next turn.</t>
        </is>
      </c>
      <c r="H633" s="45" t="inlineStr">
        <is>
          <t>Card Selection</t>
        </is>
      </c>
      <c r="I633" s="45" t="inlineStr">
        <is>
          <t>Exiles top two cards to play until end of next turn</t>
        </is>
      </c>
      <c r="J633" s="45" t="inlineStr">
        <is>
          <t>Freerunning lets you pay {X}{R} to exile X cards instead</t>
        </is>
      </c>
      <c r="K633" s="45" t="n"/>
      <c r="L633" s="88" t="inlineStr">
        <is>
          <t>U 0035</t>
        </is>
      </c>
      <c r="M633" s="41" t="n">
        <v>1</v>
      </c>
      <c r="N633" s="41" t="n">
        <v>1</v>
      </c>
      <c r="O633" s="63" t="inlineStr">
        <is>
          <t>Alexandre Honore</t>
        </is>
      </c>
      <c r="P633" s="90" t="n">
        <v>0.29</v>
      </c>
      <c r="Q633" s="42" t="inlineStr">
        <is>
          <t>U</t>
        </is>
      </c>
      <c r="R633" s="42" t="n"/>
      <c r="S633" s="42" t="n"/>
      <c r="T633" s="63" t="n"/>
      <c r="U633" s="63" t="n"/>
      <c r="V633" s="45" t="inlineStr">
        <is>
          <t>Assassin's Creed</t>
        </is>
      </c>
      <c r="W633" s="41" t="n">
        <v>1</v>
      </c>
      <c r="X633" s="37">
        <f>SUM(Y633:AE633)</f>
        <v/>
      </c>
      <c r="Y633" s="43" t="n">
        <v>1</v>
      </c>
      <c r="Z633" s="43" t="n"/>
      <c r="AA633" s="43" t="n"/>
      <c r="AB633" s="43" t="n"/>
      <c r="AC633" s="43" t="n"/>
      <c r="AD633" s="43" t="n"/>
      <c r="AE633" s="43" t="n"/>
      <c r="AF633" s="38">
        <f>IF((W633-SUM(Y633:AE633))&lt;0,0,W633-SUM(Y633:AE633))</f>
        <v/>
      </c>
      <c r="AG633" s="34">
        <f>MAX(0,$AT633-$W633-$AI633)</f>
        <v/>
      </c>
      <c r="AH633" s="34" t="n"/>
      <c r="AI633" s="34" t="n"/>
      <c r="AJ633" s="36" t="n">
        <v>0.29</v>
      </c>
      <c r="AK633" s="36">
        <f>IF(AND($AG633&gt;0,ISNUMBER($AJ633)),$AG633*$AJ633,0)</f>
        <v/>
      </c>
      <c r="AT633" s="37">
        <f>SUM(AU633:BA633)</f>
        <v/>
      </c>
      <c r="AU633" s="83" t="n"/>
      <c r="AV633" s="33" t="n"/>
      <c r="AW633" s="33" t="n"/>
      <c r="AX633" s="33" t="n"/>
      <c r="AY633" s="33" t="n"/>
      <c r="AZ633" s="33" t="n"/>
      <c r="BA633" s="74" t="n"/>
      <c r="BB633" s="106" t="n"/>
      <c r="BC633" s="42" t="n"/>
      <c r="BD633" s="42" t="n"/>
    </row>
    <row r="634" ht="15" customHeight="1" s="148">
      <c r="A634" t="inlineStr">
        <is>
          <t>c0630</t>
        </is>
      </c>
      <c r="B634" s="44" t="inlineStr">
        <is>
          <t>Muxus, Goblin Grandee</t>
        </is>
      </c>
      <c r="C634" s="34" t="inlineStr">
        <is>
          <t>R</t>
        </is>
      </c>
      <c r="D634" s="44" t="inlineStr">
        <is>
          <t>Legendary Creature</t>
        </is>
      </c>
      <c r="E634" s="41" t="inlineStr">
        <is>
          <t>B3</t>
        </is>
      </c>
      <c r="F634" s="34" t="n">
        <v>6</v>
      </c>
      <c r="G634" s="67" t="inlineStr">
        <is>
          <t>When Muxus enters, reveal the top six cards of your library. Put all Goblin creature cards with mana value 5 or less from among them onto the battlefield and the rest on the bottom of your library in a random order.
Whenever Muxus attacks, it gets +1/+1 until end of turn for each other Goblin you control.
(4/4)</t>
        </is>
      </c>
      <c r="H634" s="45" t="inlineStr">
        <is>
          <t>Finisher</t>
        </is>
      </c>
      <c r="I634" s="45" t="inlineStr">
        <is>
          <t>When Muxus enters, reveal the top six cards of your library. Put all Goblin creature cards with mana value 5 or less fro</t>
        </is>
      </c>
      <c r="J634" s="45" t="n"/>
      <c r="K634" s="45" t="n"/>
      <c r="L634" s="42" t="n"/>
      <c r="M634" s="42" t="n"/>
      <c r="N634" s="42" t="n"/>
      <c r="O634" s="42" t="n"/>
      <c r="P634" s="42" t="n">
        <v>13.56</v>
      </c>
      <c r="Q634" s="42" t="n"/>
      <c r="R634" s="42" t="n"/>
      <c r="S634" s="42" t="n"/>
      <c r="T634" s="42" t="n"/>
      <c r="U634" s="42" t="n"/>
      <c r="V634" s="45" t="inlineStr">
        <is>
          <t>Jumpstart</t>
        </is>
      </c>
      <c r="W634" s="41" t="n">
        <v>0</v>
      </c>
      <c r="X634" s="37">
        <f>SUM(Y634:AE634)</f>
        <v/>
      </c>
      <c r="Y634" s="43" t="n"/>
      <c r="Z634" s="43" t="n"/>
      <c r="AA634" s="43" t="n"/>
      <c r="AB634" s="43" t="n"/>
      <c r="AC634" s="43" t="n"/>
      <c r="AD634" s="43" t="n"/>
      <c r="AE634" s="43" t="n"/>
      <c r="AF634" s="38">
        <f>IF((W634-SUM(Y634:AE634))&lt;0,0,W634-SUM(Y634:AE634))</f>
        <v/>
      </c>
      <c r="AG634" s="34">
        <f>MAX(0,$AT634-$W634-$AI634)</f>
        <v/>
      </c>
      <c r="AH634" s="34" t="n"/>
      <c r="AI634" s="34" t="n"/>
      <c r="AJ634" s="36" t="n">
        <v>11.19</v>
      </c>
      <c r="AK634" s="36">
        <f>IF(AND($AG634&gt;0,ISNUMBER($AJ634)),$AG634*$AJ634,0)</f>
        <v/>
      </c>
      <c r="AL634" s="54" t="n"/>
      <c r="AM634" s="54" t="n"/>
      <c r="AN634" s="54" t="n"/>
      <c r="AO634" s="54" t="n"/>
      <c r="AP634" s="54" t="n"/>
      <c r="AQ634" s="54" t="n"/>
      <c r="AR634" s="54" t="n"/>
      <c r="AS634" s="54" t="n"/>
      <c r="AT634" s="37">
        <f>SUM(AU634:BA634)</f>
        <v/>
      </c>
      <c r="AU634" s="92" t="n"/>
      <c r="AV634" s="38" t="n"/>
      <c r="AW634" s="38" t="n"/>
      <c r="AX634" s="38" t="n"/>
      <c r="AY634" s="38" t="n"/>
      <c r="AZ634" s="38" t="n"/>
      <c r="BA634" s="94" t="n"/>
      <c r="BB634" s="106" t="n"/>
      <c r="BC634" s="42" t="n"/>
      <c r="BD634" s="42" t="n"/>
    </row>
    <row r="635" ht="15" customHeight="1" s="148">
      <c r="A635" t="inlineStr">
        <is>
          <t>c0631</t>
        </is>
      </c>
      <c r="B635" s="44" t="inlineStr">
        <is>
          <t>Naktamun Lorespinner // Wheel of Fortune</t>
        </is>
      </c>
      <c r="C635" s="34" t="inlineStr">
        <is>
          <t>R</t>
        </is>
      </c>
      <c r="D635" s="44" t="inlineStr">
        <is>
          <t>Creature</t>
        </is>
      </c>
      <c r="E635" s="41" t="inlineStr">
        <is>
          <t>B2</t>
        </is>
      </c>
      <c r="F635" s="34" t="n">
        <v>3</v>
      </c>
      <c r="G635" s="67" t="inlineStr">
        <is>
          <t>Naktamun Lorespinner {2}{R} — Creature — Jackal Wizard (3/3)
At the beginning of your upkeep, if a player has one or fewer cards in hand, this creature becomes prepared. (While it's prepared, you may cast a copy of its spell. Doing so unprepares it.)
//
Wheel of Fortune {2}{R} — Sorcery
Each player discards their hand, then draws seven cards.</t>
        </is>
      </c>
      <c r="H635" s="45" t="inlineStr">
        <is>
          <t>Wheel</t>
        </is>
      </c>
      <c r="I635" s="45" t="inlineStr">
        <is>
          <t>Front: becomes prepared to recast its spell when a player is low on cards</t>
        </is>
      </c>
      <c r="J635" s="45" t="inlineStr">
        <is>
          <t>Back (Wheel of Fortune): each player discards hand, draws seven</t>
        </is>
      </c>
      <c r="K635" s="45" t="n"/>
      <c r="L635" s="42" t="n"/>
      <c r="M635" s="42" t="n"/>
      <c r="N635" s="42" t="n"/>
      <c r="O635" s="42" t="n"/>
      <c r="P635" s="42" t="n">
        <v>1.29</v>
      </c>
      <c r="Q635" s="42" t="n"/>
      <c r="R635" s="42" t="n"/>
      <c r="S635" s="42" t="n"/>
      <c r="T635" s="42" t="n"/>
      <c r="U635" s="42" t="n"/>
      <c r="V635" s="45" t="inlineStr">
        <is>
          <t>Secrets of Strixhaven Commander</t>
        </is>
      </c>
      <c r="W635" s="41" t="n">
        <v>1</v>
      </c>
      <c r="X635" s="37">
        <f>SUM(Y635:AE635)</f>
        <v/>
      </c>
      <c r="Y635" s="43" t="n"/>
      <c r="Z635" s="43" t="n"/>
      <c r="AA635" s="43" t="n"/>
      <c r="AB635" s="43" t="n"/>
      <c r="AC635" s="43" t="n"/>
      <c r="AD635" s="43" t="n">
        <v>1</v>
      </c>
      <c r="AE635" s="43" t="n"/>
      <c r="AF635" s="38">
        <f>IF((W635-SUM(Y635:AE635))&lt;0,0,W635-SUM(Y635:AE635))</f>
        <v/>
      </c>
      <c r="AG635" s="34">
        <f>MAX(0,$AT635-$W635-$AI635)</f>
        <v/>
      </c>
      <c r="AH635" s="34" t="n"/>
      <c r="AI635" s="34" t="n"/>
      <c r="AJ635" s="36" t="n">
        <v>1.69</v>
      </c>
      <c r="AK635" s="36">
        <f>IF(AND($AG635&gt;0,ISNUMBER($AJ635)),$AG635*$AJ635,0)</f>
        <v/>
      </c>
      <c r="AQ635" t="inlineStr">
        <is>
          <t>BL0065</t>
        </is>
      </c>
      <c r="AT635" s="37">
        <f>SUM(AU635:BA635)</f>
        <v/>
      </c>
      <c r="AU635" s="73" t="n"/>
      <c r="AV635" s="33" t="n"/>
      <c r="AW635" s="33" t="n"/>
      <c r="AX635" s="33" t="n"/>
      <c r="AY635" s="33" t="n"/>
      <c r="AZ635" s="100" t="n"/>
      <c r="BA635" s="74" t="n"/>
      <c r="BB635" s="106" t="n"/>
      <c r="BC635" s="42" t="n"/>
      <c r="BD635" s="42" t="n"/>
    </row>
    <row r="636" ht="15" customHeight="1" s="148">
      <c r="A636" t="inlineStr">
        <is>
          <t>c0632</t>
        </is>
      </c>
      <c r="B636" s="44" t="inlineStr">
        <is>
          <t>Ogre Battledriver</t>
        </is>
      </c>
      <c r="C636" s="34" t="inlineStr">
        <is>
          <t>R</t>
        </is>
      </c>
      <c r="D636" s="44" t="inlineStr">
        <is>
          <t>Creature</t>
        </is>
      </c>
      <c r="E636" s="41" t="inlineStr">
        <is>
          <t>B2</t>
        </is>
      </c>
      <c r="F636" s="34" t="n">
        <v>4</v>
      </c>
      <c r="G636" s="67" t="inlineStr">
        <is>
          <t>Whenever another creature you control enters, that creature gets +2/+0 and gains haste until end of turn. (It can attack and {T} this turn.)
(3/3)</t>
        </is>
      </c>
      <c r="H636" s="45" t="inlineStr">
        <is>
          <t>Haste Enabler</t>
        </is>
      </c>
      <c r="I636" s="45" t="inlineStr">
        <is>
          <t>Other creatures get +2/+0 and haste when they enter</t>
        </is>
      </c>
      <c r="J636" s="45" t="n"/>
      <c r="K636" s="45" t="n"/>
      <c r="L636" s="42" t="n"/>
      <c r="M636" s="42" t="n"/>
      <c r="N636" s="42" t="n"/>
      <c r="O636" s="42" t="n"/>
      <c r="P636" s="42" t="n">
        <v>0.34</v>
      </c>
      <c r="Q636" s="42" t="n"/>
      <c r="R636" s="42" t="n"/>
      <c r="S636" s="42" t="n"/>
      <c r="T636" s="42" t="n"/>
      <c r="U636" s="42" t="n"/>
      <c r="V636" s="45" t="inlineStr">
        <is>
          <t>Magic 2014</t>
        </is>
      </c>
      <c r="W636" s="41" t="n">
        <v>1</v>
      </c>
      <c r="X636" s="37">
        <f>SUM(Y636:AE636)</f>
        <v/>
      </c>
      <c r="Y636" s="43" t="n"/>
      <c r="Z636" s="43" t="n"/>
      <c r="AA636" s="43" t="n"/>
      <c r="AB636" s="43" t="n"/>
      <c r="AC636" s="43" t="n"/>
      <c r="AD636" s="43" t="n">
        <v>1</v>
      </c>
      <c r="AE636" s="43" t="n"/>
      <c r="AF636" s="38">
        <f>IF((W636-SUM(Y636:AE636))&lt;0,0,W636-SUM(Y636:AE636))</f>
        <v/>
      </c>
      <c r="AG636" s="34">
        <f>MAX(0,$AT636-$W636-$AI636)</f>
        <v/>
      </c>
      <c r="AH636" s="34" t="n"/>
      <c r="AI636" s="34" t="n"/>
      <c r="AJ636" s="36" t="n">
        <v>0.35</v>
      </c>
      <c r="AK636" s="36">
        <f>IF(AND($AG636&gt;0,ISNUMBER($AJ636)),$AG636*$AJ636,0)</f>
        <v/>
      </c>
      <c r="AT636" s="37">
        <f>SUM(AU636:BA636)</f>
        <v/>
      </c>
      <c r="AU636" s="73" t="n"/>
      <c r="AV636" s="33" t="n"/>
      <c r="AW636" s="33" t="n"/>
      <c r="AX636" s="33" t="n"/>
      <c r="AY636" s="33" t="n"/>
      <c r="AZ636" s="99" t="n"/>
      <c r="BA636" s="74" t="n"/>
      <c r="BB636" s="106" t="n"/>
      <c r="BC636" s="42" t="n"/>
      <c r="BD636" s="42" t="n"/>
    </row>
    <row r="637" ht="15" customHeight="1" s="148">
      <c r="A637" t="inlineStr">
        <is>
          <t>c0633</t>
        </is>
      </c>
      <c r="B637" s="39" t="inlineStr">
        <is>
          <t>Óin the Brave</t>
        </is>
      </c>
      <c r="C637" s="40" t="inlineStr">
        <is>
          <t>R</t>
        </is>
      </c>
      <c r="D637" s="39" t="inlineStr">
        <is>
          <t>Legendary Creature</t>
        </is>
      </c>
      <c r="E637" s="41" t="inlineStr">
        <is>
          <t>B2</t>
        </is>
      </c>
      <c r="F637" s="40" t="n">
        <v>2</v>
      </c>
      <c r="G637" s="67" t="inlineStr">
        <is>
          <t>Storied (If you control three or more artifacts, legendaries, and/or Sagas, you have an enduring story for the rest of the game.)
As long as you have an enduring story, Óin gets +1/+0 and has haste.
{1}, {T}, Discard a card: Draw a card.
(1/3)</t>
        </is>
      </c>
      <c r="H637" s="39" t="inlineStr">
        <is>
          <t>Discard/Looting</t>
        </is>
      </c>
      <c r="I637" s="39" t="inlineStr">
        <is>
          <t>{1}, {T}, Discard a card: Draw a card</t>
        </is>
      </c>
      <c r="J637" s="39" t="inlineStr">
        <is>
          <t>Gets +1/+0 and has haste as long as you have an enduring story</t>
        </is>
      </c>
      <c r="K637" s="39" t="inlineStr">
        <is>
          <t>Storied - you have an enduring story for the rest of the game once you control three or more artifacts, legendaries, and/or Sagas</t>
        </is>
      </c>
      <c r="L637" s="42" t="inlineStr">
        <is>
          <t>106</t>
        </is>
      </c>
      <c r="M637" s="42" t="n">
        <v>1</v>
      </c>
      <c r="N637" s="42" t="n">
        <v>0</v>
      </c>
      <c r="O637" s="63" t="n"/>
      <c r="P637" s="63" t="n">
        <v>0.11</v>
      </c>
      <c r="Q637" s="42" t="inlineStr">
        <is>
          <t>Common</t>
        </is>
      </c>
      <c r="R637" s="42" t="n"/>
      <c r="S637" s="42" t="n"/>
      <c r="T637" s="63" t="n"/>
      <c r="U637" s="63" t="n"/>
      <c r="V637" s="39" t="inlineStr">
        <is>
          <t>The Hobbit</t>
        </is>
      </c>
      <c r="W637" s="41" t="n">
        <v>2</v>
      </c>
      <c r="X637" s="37">
        <f>SUM(Y637:AE637)</f>
        <v/>
      </c>
      <c r="Y637" s="43" t="n"/>
      <c r="Z637" s="43" t="n"/>
      <c r="AA637" s="43" t="n"/>
      <c r="AB637" s="43" t="n"/>
      <c r="AC637" s="43" t="n"/>
      <c r="AD637" s="43" t="n"/>
      <c r="AE637" s="43" t="n"/>
      <c r="AF637" s="38">
        <f>IF((W637-SUM(Y637:AE637))&lt;0,0,W637-SUM(Y637:AE637))</f>
        <v/>
      </c>
      <c r="AG637" s="34">
        <f>MAX(0,$AT637-$W637-$AI637)</f>
        <v/>
      </c>
      <c r="AH637" s="39" t="n"/>
      <c r="AI637" s="39" t="n"/>
      <c r="AJ637" s="39" t="n">
        <v>0.17</v>
      </c>
      <c r="AK637" s="39">
        <f>IF(AND($AG637&gt;0,ISNUMBER($AJ637)),$AG637*$AJ637,0)</f>
        <v/>
      </c>
      <c r="AT637" s="37">
        <f>SUM(AU637:BA637)</f>
        <v/>
      </c>
      <c r="AU637" s="73" t="n"/>
      <c r="AV637" s="33" t="n"/>
      <c r="AW637" s="33" t="n"/>
      <c r="AX637" s="33" t="n"/>
      <c r="AY637" s="33" t="n"/>
      <c r="AZ637" s="33" t="n"/>
      <c r="BA637" s="74" t="n"/>
      <c r="BB637" s="107" t="n"/>
      <c r="BC637" s="42" t="n"/>
      <c r="BD637" s="42" t="n"/>
    </row>
    <row r="638" ht="15" customHeight="1" s="148">
      <c r="A638" t="inlineStr">
        <is>
          <t>c0634</t>
        </is>
      </c>
      <c r="B638" s="44" t="inlineStr">
        <is>
          <t>Outpost Siege</t>
        </is>
      </c>
      <c r="C638" s="34" t="inlineStr">
        <is>
          <t>R</t>
        </is>
      </c>
      <c r="D638" s="44" t="inlineStr">
        <is>
          <t>Enchantment</t>
        </is>
      </c>
      <c r="E638" s="41" t="inlineStr">
        <is>
          <t>B2</t>
        </is>
      </c>
      <c r="F638" s="34" t="n">
        <v>4</v>
      </c>
      <c r="G638" s="67" t="inlineStr">
        <is>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is>
      </c>
      <c r="H638" s="45" t="inlineStr">
        <is>
          <t>Card Advantage</t>
        </is>
      </c>
      <c r="I638" s="45" t="inlineStr">
        <is>
          <t>Choose a mode as it enters</t>
        </is>
      </c>
      <c r="J638" s="45" t="inlineStr">
        <is>
          <t>Khans: each upkeep, exile top card and may play it this turn</t>
        </is>
      </c>
      <c r="K638" s="45" t="inlineStr">
        <is>
          <t>Dragons: whenever a creature you control leaves the battlefield, deals 1 damage to any target</t>
        </is>
      </c>
      <c r="L638" s="42" t="n"/>
      <c r="M638" s="42" t="n"/>
      <c r="N638" s="42" t="n"/>
      <c r="O638" s="42" t="n"/>
      <c r="P638" s="42" t="n">
        <v>0.28</v>
      </c>
      <c r="Q638" s="42" t="n"/>
      <c r="R638" s="42" t="n"/>
      <c r="S638" s="42" t="n"/>
      <c r="T638" s="42" t="n"/>
      <c r="U638" s="42" t="n"/>
      <c r="V638" s="45" t="inlineStr">
        <is>
          <t>Fate Reforged</t>
        </is>
      </c>
      <c r="W638" s="41" t="n">
        <v>1</v>
      </c>
      <c r="X638" s="37">
        <f>SUM(Y638:AE638)</f>
        <v/>
      </c>
      <c r="Y638" s="43" t="n"/>
      <c r="Z638" s="43" t="n"/>
      <c r="AA638" s="43" t="n"/>
      <c r="AB638" s="43" t="n"/>
      <c r="AC638" s="43" t="n"/>
      <c r="AD638" s="43" t="n">
        <v>1</v>
      </c>
      <c r="AE638" s="43" t="n"/>
      <c r="AF638" s="38">
        <f>IF((W638-SUM(Y638:AE638))&lt;0,0,W638-SUM(Y638:AE638))</f>
        <v/>
      </c>
      <c r="AG638" s="34">
        <f>MAX(0,$AT638-$W638-$AI638)</f>
        <v/>
      </c>
      <c r="AH638" s="34" t="n"/>
      <c r="AI638" s="34" t="n"/>
      <c r="AJ638" s="36" t="n">
        <v>0.28</v>
      </c>
      <c r="AK638" s="36">
        <f>IF(AND($AG638&gt;0,ISNUMBER($AJ638)),$AG638*$AJ638,0)</f>
        <v/>
      </c>
      <c r="AQ638" s="58" t="n"/>
      <c r="AT638" s="37">
        <f>SUM(AU638:BA638)</f>
        <v/>
      </c>
      <c r="AU638" s="73" t="n"/>
      <c r="AV638" s="33" t="n"/>
      <c r="AW638" s="33" t="n"/>
      <c r="AX638" s="33" t="n"/>
      <c r="AY638" s="33" t="n"/>
      <c r="AZ638" s="99" t="n"/>
      <c r="BA638" s="74" t="n"/>
      <c r="BB638" s="106" t="n"/>
      <c r="BC638" s="42" t="n"/>
      <c r="BD638" s="42" t="n"/>
    </row>
    <row r="639" ht="15" customHeight="1" s="148">
      <c r="A639" t="inlineStr">
        <is>
          <t>c0635</t>
        </is>
      </c>
      <c r="B639" s="44" t="inlineStr">
        <is>
          <t>Pashalik Mons</t>
        </is>
      </c>
      <c r="C639" s="34" t="inlineStr">
        <is>
          <t>R</t>
        </is>
      </c>
      <c r="D639" s="44" t="inlineStr">
        <is>
          <t>Legendary Creature</t>
        </is>
      </c>
      <c r="E639" s="41" t="inlineStr">
        <is>
          <t>B3</t>
        </is>
      </c>
      <c r="F639" s="34" t="n">
        <v>3</v>
      </c>
      <c r="G639" s="67" t="inlineStr">
        <is>
          <t>Whenever Pashalik Mons or another Goblin you control dies, Pashalik Mons deals 1 damage to any target.
{3}{R}, Sacrifice a Goblin: Create two 1/1 red Goblin creature tokens.
(2/2)</t>
        </is>
      </c>
      <c r="H639" s="45" t="inlineStr">
        <is>
          <t>Aristocrats Payoff</t>
        </is>
      </c>
      <c r="I639" s="45" t="inlineStr">
        <is>
          <t>Whenever Pashalik Mons or another Goblin you control dies, Pashalik Mons deals 1 damage to any target.
{3}{R}, Sacrifice</t>
        </is>
      </c>
      <c r="J639" s="45" t="n"/>
      <c r="K639" s="45" t="n"/>
      <c r="L639" s="42" t="n"/>
      <c r="M639" s="42" t="n"/>
      <c r="N639" s="42" t="n"/>
      <c r="O639" s="42" t="n"/>
      <c r="P639" s="42" t="n">
        <v>4.42</v>
      </c>
      <c r="Q639" s="42" t="n"/>
      <c r="R639" s="42" t="n"/>
      <c r="S639" s="42" t="n"/>
      <c r="T639" s="42" t="n"/>
      <c r="U639" s="42" t="n"/>
      <c r="V639" s="45" t="inlineStr">
        <is>
          <t>Modern Horizons</t>
        </is>
      </c>
      <c r="W639" s="41" t="n">
        <v>0</v>
      </c>
      <c r="X639" s="37">
        <f>SUM(Y639:AE639)</f>
        <v/>
      </c>
      <c r="Y639" s="43" t="n"/>
      <c r="Z639" s="43" t="n"/>
      <c r="AA639" s="43" t="n"/>
      <c r="AB639" s="43" t="n"/>
      <c r="AC639" s="43" t="n"/>
      <c r="AD639" s="43" t="n"/>
      <c r="AE639" s="43" t="n"/>
      <c r="AF639" s="38">
        <f>IF((W639-SUM(Y639:AE639))&lt;0,0,W639-SUM(Y639:AE639))</f>
        <v/>
      </c>
      <c r="AG639" s="34">
        <f>MAX(0,$AT639-$W639-$AI639)</f>
        <v/>
      </c>
      <c r="AH639" s="34" t="n"/>
      <c r="AI639" s="34" t="n"/>
      <c r="AJ639" s="36" t="n">
        <v>3.9</v>
      </c>
      <c r="AK639" s="36">
        <f>IF(AND($AG639&gt;0,ISNUMBER($AJ639)),$AG639*$AJ639,0)</f>
        <v/>
      </c>
      <c r="AL639" s="54" t="n"/>
      <c r="AM639" s="54" t="n"/>
      <c r="AN639" s="54" t="n"/>
      <c r="AO639" s="54" t="n"/>
      <c r="AP639" s="54" t="n"/>
      <c r="AQ639" s="54" t="n"/>
      <c r="AR639" s="54" t="n"/>
      <c r="AS639" s="54" t="n"/>
      <c r="AT639" s="37">
        <f>SUM(AU639:BA639)</f>
        <v/>
      </c>
      <c r="AU639" s="92" t="n"/>
      <c r="AV639" s="38" t="n"/>
      <c r="AW639" s="38" t="n"/>
      <c r="AX639" s="38" t="n"/>
      <c r="AY639" s="38" t="n"/>
      <c r="AZ639" s="38" t="n"/>
      <c r="BA639" s="94" t="n"/>
      <c r="BB639" s="106" t="n"/>
      <c r="BC639" s="42" t="n"/>
      <c r="BD639" s="48" t="n"/>
    </row>
    <row r="640" ht="15" customHeight="1" s="148">
      <c r="A640" t="inlineStr">
        <is>
          <t>c0636</t>
        </is>
      </c>
      <c r="B640" s="44" t="inlineStr">
        <is>
          <t>Professional Face-Breaker</t>
        </is>
      </c>
      <c r="C640" s="34" t="inlineStr">
        <is>
          <t>R</t>
        </is>
      </c>
      <c r="D640" s="44" t="inlineStr">
        <is>
          <t>Creature</t>
        </is>
      </c>
      <c r="E640" s="41" t="inlineStr">
        <is>
          <t>B3</t>
        </is>
      </c>
      <c r="F640" s="34" t="n">
        <v>3</v>
      </c>
      <c r="G640" s="67" t="inlineStr">
        <is>
          <t>Menace
Whenever one or more creatures you control deal combat damage to a player, create a Treasure token.
Sacrifice a Treasure: Exile the top card of your library. You may play that card this turn.
(2/3)</t>
        </is>
      </c>
      <c r="H640" s="45" t="inlineStr">
        <is>
          <t>Token Producer</t>
        </is>
      </c>
      <c r="I640" s="45" t="inlineStr">
        <is>
          <t>Menace
Whenever one or more creatures you control deal combat damage to a player, create a Treasure token.
Sacrifice a T</t>
        </is>
      </c>
      <c r="J640" s="45" t="n"/>
      <c r="K640" s="45" t="n"/>
      <c r="L640" s="42" t="n"/>
      <c r="M640" s="42" t="n"/>
      <c r="N640" s="42" t="n"/>
      <c r="O640" s="42" t="n"/>
      <c r="P640" s="42" t="n">
        <v>8.08</v>
      </c>
      <c r="Q640" s="42" t="n"/>
      <c r="R640" s="42" t="n"/>
      <c r="S640" s="42" t="n"/>
      <c r="T640" s="42" t="n"/>
      <c r="U640" s="42" t="n"/>
      <c r="V640" s="45" t="inlineStr">
        <is>
          <t>Streets of New Capenna</t>
        </is>
      </c>
      <c r="W640" s="41" t="n">
        <v>0</v>
      </c>
      <c r="X640" s="37">
        <f>SUM(Y640:AE640)</f>
        <v/>
      </c>
      <c r="Y640" s="43" t="n"/>
      <c r="Z640" s="43" t="n"/>
      <c r="AA640" s="43" t="n"/>
      <c r="AB640" s="43" t="n"/>
      <c r="AC640" s="43" t="n"/>
      <c r="AD640" s="43" t="n"/>
      <c r="AE640" s="43" t="n"/>
      <c r="AF640" s="38">
        <f>IF((W640-SUM(Y640:AE640))&lt;0,0,W640-SUM(Y640:AE640))</f>
        <v/>
      </c>
      <c r="AG640" s="34">
        <f>MAX(0,$AT640-$W640-$AI640)</f>
        <v/>
      </c>
      <c r="AH640" s="34" t="n"/>
      <c r="AI640" s="34" t="n"/>
      <c r="AJ640" s="36" t="n">
        <v>7.22</v>
      </c>
      <c r="AK640" s="36">
        <f>IF(AND($AG640&gt;0,ISNUMBER($AJ640)),$AG640*$AJ640,0)</f>
        <v/>
      </c>
      <c r="AL640" s="54" t="n"/>
      <c r="AM640" s="54" t="n"/>
      <c r="AN640" s="54" t="n"/>
      <c r="AO640" s="54" t="n"/>
      <c r="AP640" s="54" t="n"/>
      <c r="AQ640" s="54" t="n"/>
      <c r="AR640" s="54" t="n"/>
      <c r="AS640" s="54" t="n"/>
      <c r="AT640" s="37">
        <f>SUM(AU640:BA640)</f>
        <v/>
      </c>
      <c r="AU640" s="92" t="n"/>
      <c r="AV640" s="38" t="n"/>
      <c r="AW640" s="38" t="n"/>
      <c r="AX640" s="38" t="n"/>
      <c r="AY640" s="38" t="n"/>
      <c r="AZ640" s="38" t="n"/>
      <c r="BA640" s="94" t="n"/>
      <c r="BB640" s="106" t="n"/>
      <c r="BC640" s="42" t="n"/>
      <c r="BD640" s="42" t="n"/>
    </row>
    <row r="641" ht="15" customHeight="1" s="148">
      <c r="A641" t="inlineStr">
        <is>
          <t>c0637</t>
        </is>
      </c>
      <c r="B641" s="44" t="inlineStr">
        <is>
          <t>Purphoros, God of the Forge</t>
        </is>
      </c>
      <c r="C641" s="34" t="inlineStr">
        <is>
          <t>R</t>
        </is>
      </c>
      <c r="D641" s="44" t="inlineStr">
        <is>
          <t>Legendary Enchantment Creature</t>
        </is>
      </c>
      <c r="E641" s="41" t="inlineStr">
        <is>
          <t>B3</t>
        </is>
      </c>
      <c r="F641" s="34" t="n">
        <v>4</v>
      </c>
      <c r="G641" s="67" t="inlineStr">
        <is>
          <t>Indestructible
As long as your devotion to red is less than five, Purphoros isn't a creature.
Whenever another creature you control enters, Purphoros deals 2 damage to each opponent.
{2}{R}: Creatures you control get +1/+0 until end of turn.
(6/5)</t>
        </is>
      </c>
      <c r="H641" s="45" t="inlineStr">
        <is>
          <t>Burn</t>
        </is>
      </c>
      <c r="I641" s="45" t="inlineStr">
        <is>
          <t>Deals 2 damage to each opponent when another creature you control enters</t>
        </is>
      </c>
      <c r="J641" s="45" t="inlineStr">
        <is>
          <t>{2}{R}: your creatures get +1/+0 until end of turn</t>
        </is>
      </c>
      <c r="K641" s="45" t="inlineStr">
        <is>
          <t>Indestructible; only a creature at devotion to red 5+</t>
        </is>
      </c>
      <c r="L641" s="42" t="n"/>
      <c r="M641" s="42" t="n"/>
      <c r="N641" s="42" t="n"/>
      <c r="O641" s="42" t="n"/>
      <c r="P641" s="42" t="n">
        <v>30.45</v>
      </c>
      <c r="Q641" s="42" t="n"/>
      <c r="R641" s="42" t="n"/>
      <c r="S641" s="42" t="n"/>
      <c r="T641" s="42" t="n"/>
      <c r="U641" s="42" t="n"/>
      <c r="V641" s="45" t="inlineStr">
        <is>
          <t>Theros</t>
        </is>
      </c>
      <c r="W641" s="41" t="n">
        <v>1</v>
      </c>
      <c r="X641" s="37">
        <f>SUM(Y641:AE641)</f>
        <v/>
      </c>
      <c r="Y641" s="43" t="n"/>
      <c r="Z641" s="43" t="n"/>
      <c r="AA641" s="43" t="n"/>
      <c r="AB641" s="43" t="n"/>
      <c r="AC641" s="43" t="n"/>
      <c r="AD641" s="43" t="n">
        <v>1</v>
      </c>
      <c r="AE641" s="43" t="n"/>
      <c r="AF641" s="38">
        <f>IF((W641-SUM(Y641:AE641))&lt;0,0,W641-SUM(Y641:AE641))</f>
        <v/>
      </c>
      <c r="AG641" s="34">
        <f>MAX(0,$AT641-$W641-$AI641)</f>
        <v/>
      </c>
      <c r="AH641" s="34" t="n"/>
      <c r="AI641" s="34" t="n"/>
      <c r="AJ641" s="36" t="n">
        <v>31.48</v>
      </c>
      <c r="AK641" s="36">
        <f>IF(AND($AG641&gt;0,ISNUMBER($AJ641)),$AG641*$AJ641,0)</f>
        <v/>
      </c>
      <c r="AT641" s="37">
        <f>SUM(AU641:BA641)</f>
        <v/>
      </c>
      <c r="AU641" s="73" t="n"/>
      <c r="AV641" s="33" t="n"/>
      <c r="AW641" s="33" t="n"/>
      <c r="AX641" s="33" t="n"/>
      <c r="AY641" s="33" t="n"/>
      <c r="AZ641" s="98" t="n">
        <v>1</v>
      </c>
      <c r="BA641" s="74" t="n"/>
      <c r="BB641" s="106" t="n"/>
      <c r="BC641" s="42" t="n"/>
      <c r="BD641" s="42" t="n"/>
    </row>
    <row r="642" ht="15" customHeight="1" s="148">
      <c r="A642" t="inlineStr">
        <is>
          <t>c0638</t>
        </is>
      </c>
      <c r="B642" s="44" t="inlineStr">
        <is>
          <t>Purphoros's Intervention</t>
        </is>
      </c>
      <c r="C642" s="34" t="inlineStr">
        <is>
          <t>R</t>
        </is>
      </c>
      <c r="D642" s="44" t="inlineStr">
        <is>
          <t>Sorcery</t>
        </is>
      </c>
      <c r="E642" s="41" t="inlineStr">
        <is>
          <t>B3</t>
        </is>
      </c>
      <c r="F642" s="34" t="n">
        <v>1</v>
      </c>
      <c r="G642" s="67" t="inlineStr">
        <is>
          <t>Choose one —
• Create an X/1 red Elemental creature token with trample and haste. Sacrifice it at the beginning of the next end step.
• Purphoros's Intervention deals twice X damage to target creature or planeswalker.</t>
        </is>
      </c>
      <c r="H642" s="45" t="inlineStr">
        <is>
          <t>Removal</t>
        </is>
      </c>
      <c r="I642" s="45" t="inlineStr">
        <is>
          <t>X damage to target creature/planeswalker, or make an X/1 hasty trampler</t>
        </is>
      </c>
      <c r="J642" s="45" t="n"/>
      <c r="K642" s="45" t="n"/>
      <c r="L642" s="42" t="n"/>
      <c r="M642" s="42" t="n"/>
      <c r="N642" s="42" t="n"/>
      <c r="O642" s="63" t="n"/>
      <c r="P642" s="63" t="n">
        <v>0.21</v>
      </c>
      <c r="Q642" s="42" t="n"/>
      <c r="R642" s="42" t="n"/>
      <c r="S642" s="42" t="n"/>
      <c r="T642" s="63" t="n"/>
      <c r="U642" s="63" t="n"/>
      <c r="V642" s="45" t="inlineStr">
        <is>
          <t>Theros Beyond Death</t>
        </is>
      </c>
      <c r="W642" s="41" t="n">
        <v>1</v>
      </c>
      <c r="X642" s="37">
        <f>SUM(Y642:AE642)</f>
        <v/>
      </c>
      <c r="Y642" s="43" t="n"/>
      <c r="Z642" s="43" t="n"/>
      <c r="AA642" s="43" t="n"/>
      <c r="AB642" s="43" t="n"/>
      <c r="AC642" s="43" t="n"/>
      <c r="AD642" s="43" t="n">
        <v>1</v>
      </c>
      <c r="AE642" s="43" t="n"/>
      <c r="AF642" s="38">
        <f>IF((W642-SUM(Y642:AE642))&lt;0,0,W642-SUM(Y642:AE642))</f>
        <v/>
      </c>
      <c r="AG642" s="34">
        <f>MAX(0,$AT642-$W642-$AI642)</f>
        <v/>
      </c>
      <c r="AH642" s="34" t="n"/>
      <c r="AI642" s="34" t="n"/>
      <c r="AJ642" s="36" t="n">
        <v>0.28</v>
      </c>
      <c r="AK642" s="36">
        <f>IF(AND($AG642&gt;0,ISNUMBER($AJ642)),$AG642*$AJ642,0)</f>
        <v/>
      </c>
      <c r="AT642" s="37">
        <f>SUM(AU642:BA642)</f>
        <v/>
      </c>
      <c r="AU642" s="73" t="n"/>
      <c r="AV642" s="33" t="n"/>
      <c r="AW642" s="33" t="n"/>
      <c r="AX642" s="33" t="n"/>
      <c r="AY642" s="33" t="n"/>
      <c r="AZ642" s="98" t="n">
        <v>1</v>
      </c>
      <c r="BA642" s="74" t="n"/>
      <c r="BB642" s="106" t="n"/>
      <c r="BC642" s="42" t="n"/>
      <c r="BD642" s="42" t="n"/>
    </row>
    <row r="643" ht="15" customHeight="1" s="148">
      <c r="A643" t="inlineStr">
        <is>
          <t>c0639</t>
        </is>
      </c>
      <c r="B643" s="51" t="inlineStr">
        <is>
          <t>Quest for the Goblin Lord</t>
        </is>
      </c>
      <c r="C643" s="52" t="inlineStr">
        <is>
          <t>R</t>
        </is>
      </c>
      <c r="D643" s="51" t="inlineStr">
        <is>
          <t>Enchantment</t>
        </is>
      </c>
      <c r="E643" s="41" t="inlineStr">
        <is>
          <t>B2</t>
        </is>
      </c>
      <c r="F643" s="38" t="n">
        <v>1</v>
      </c>
      <c r="G643" s="67" t="inlineStr">
        <is>
          <t>Whenever a Goblin you control enters, you may put a quest counter on this enchantment.
As long as this enchantment has five or more quest counters on it, creatures you control get +2/+0.</t>
        </is>
      </c>
      <c r="H643" s="53" t="inlineStr">
        <is>
          <t>Lord/Anthem</t>
        </is>
      </c>
      <c r="I643" s="53" t="inlineStr">
        <is>
          <t>Gains a quest counter whenever a Goblin you control enters</t>
        </is>
      </c>
      <c r="J643" s="53" t="inlineStr">
        <is>
          <t>At five or more counters, your creatures get +2/+0</t>
        </is>
      </c>
      <c r="K643" s="53" t="n"/>
      <c r="L643" s="42" t="n"/>
      <c r="M643" s="42" t="n"/>
      <c r="N643" s="42" t="n"/>
      <c r="O643" s="42" t="n"/>
      <c r="P643" s="42" t="n">
        <v>1.75</v>
      </c>
      <c r="Q643" s="42" t="n"/>
      <c r="R643" s="42" t="n"/>
      <c r="S643" s="42" t="n"/>
      <c r="T643" s="42" t="n"/>
      <c r="U643" s="42" t="n"/>
      <c r="V643" s="53" t="inlineStr">
        <is>
          <t>Worldwake</t>
        </is>
      </c>
      <c r="W643" s="41" t="n">
        <v>1</v>
      </c>
      <c r="X643" s="37">
        <f>SUM(Y643:AE643)</f>
        <v/>
      </c>
      <c r="Y643" s="43" t="n"/>
      <c r="Z643" s="43" t="n"/>
      <c r="AA643" s="43" t="n"/>
      <c r="AB643" s="43" t="n"/>
      <c r="AC643" s="43" t="n"/>
      <c r="AD643" s="43" t="n">
        <v>1</v>
      </c>
      <c r="AE643" s="43" t="n"/>
      <c r="AF643" s="38">
        <f>IF((W643-SUM(Y643:AE643))&lt;0,0,W643-SUM(Y643:AE643))</f>
        <v/>
      </c>
      <c r="AG643" s="34">
        <f>MAX(0,$AT643-$W643-$AI643)</f>
        <v/>
      </c>
      <c r="AH643" s="38" t="n"/>
      <c r="AI643" s="38" t="n"/>
      <c r="AJ643" s="54" t="n">
        <v>1.84</v>
      </c>
      <c r="AK643" s="54">
        <f>IF(AND($AG643&gt;0,ISNUMBER($AJ643)),$AG643*$AJ643,0)</f>
        <v/>
      </c>
      <c r="AT643" s="37">
        <f>SUM(AU643:BA643)</f>
        <v/>
      </c>
      <c r="AU643" s="73" t="n"/>
      <c r="AV643" s="33" t="n"/>
      <c r="AW643" s="33" t="n"/>
      <c r="AX643" s="33" t="n"/>
      <c r="AY643" s="33" t="n"/>
      <c r="AZ643" s="98" t="n">
        <v>1</v>
      </c>
      <c r="BA643" s="74" t="n"/>
      <c r="BB643" s="47" t="n"/>
      <c r="BC643" s="42" t="n"/>
      <c r="BD643" s="42" t="n"/>
    </row>
    <row r="644" ht="15" customHeight="1" s="148">
      <c r="A644" t="inlineStr">
        <is>
          <t>c0640</t>
        </is>
      </c>
      <c r="B644" s="47" t="inlineStr">
        <is>
          <t>Ragged Short Spear</t>
        </is>
      </c>
      <c r="C644" s="38" t="inlineStr">
        <is>
          <t>R</t>
        </is>
      </c>
      <c r="D644" s="47" t="inlineStr">
        <is>
          <t>Artifact</t>
        </is>
      </c>
      <c r="E644" s="41" t="inlineStr">
        <is>
          <t>B2</t>
        </is>
      </c>
      <c r="F644" s="38" t="n">
        <v>2</v>
      </c>
      <c r="G644" s="67" t="inlineStr">
        <is>
          <t>When this Equipment enters, you may discard a card. If you do, draw two cards.
Equipped creature gets +2/+0.
Equip {3} ({3}: Attach to target creature you control. Equip only as a sorcery.)</t>
        </is>
      </c>
      <c r="H644" s="53" t="inlineStr">
        <is>
          <t>Card Draw</t>
        </is>
      </c>
      <c r="I644" s="53" t="inlineStr">
        <is>
          <t>Enters: discard a card to draw two</t>
        </is>
      </c>
      <c r="J644" s="53" t="inlineStr">
        <is>
          <t>Equipped creature gets +2/+0</t>
        </is>
      </c>
      <c r="K644" s="53" t="n"/>
      <c r="L644" s="42" t="inlineStr">
        <is>
          <t>108</t>
        </is>
      </c>
      <c r="M644" s="42" t="n">
        <v>1</v>
      </c>
      <c r="N644" s="42" t="n">
        <v>0</v>
      </c>
      <c r="O644" s="63" t="inlineStr">
        <is>
          <t>Miklós Ligeti</t>
        </is>
      </c>
      <c r="P644" s="63" t="n">
        <v>0.13</v>
      </c>
      <c r="Q644" s="42" t="inlineStr">
        <is>
          <t>Common</t>
        </is>
      </c>
      <c r="R644" s="42" t="n"/>
      <c r="S644" s="42" t="n"/>
      <c r="T644" s="63" t="n"/>
      <c r="U644" s="63" t="n"/>
      <c r="V644" s="53" t="inlineStr">
        <is>
          <t>The Hobbit</t>
        </is>
      </c>
      <c r="W644" s="41" t="n">
        <v>3</v>
      </c>
      <c r="X644" s="37">
        <f>SUM(Y644:AE644)</f>
        <v/>
      </c>
      <c r="Y644" s="43" t="n">
        <v>1</v>
      </c>
      <c r="Z644" s="43" t="n"/>
      <c r="AA644" s="43" t="n"/>
      <c r="AB644" s="43" t="n"/>
      <c r="AC644" s="43" t="n"/>
      <c r="AD644" s="43" t="n"/>
      <c r="AE644" s="43" t="n"/>
      <c r="AF644" s="38">
        <f>IF((W644-SUM(Y644:AE644))&lt;0,0,W644-SUM(Y644:AE644))</f>
        <v/>
      </c>
      <c r="AG644" s="34">
        <f>MAX(0,$AT644-$W644-$AI644)</f>
        <v/>
      </c>
      <c r="AH644" s="38" t="n"/>
      <c r="AI644" s="38" t="n"/>
      <c r="AJ644" s="54" t="n">
        <v>0.14</v>
      </c>
      <c r="AK644" s="54">
        <f>IF(AND($AG644&gt;0,ISNUMBER($AJ644)),$AG644*$AJ644,0)</f>
        <v/>
      </c>
      <c r="AL644" s="58" t="inlineStr">
        <is>
          <t>BL0021</t>
        </is>
      </c>
      <c r="AQ644" s="58" t="n"/>
      <c r="AT644" s="37">
        <f>SUM(AU644:BA644)</f>
        <v/>
      </c>
      <c r="AU644" s="83" t="n"/>
      <c r="AV644" s="33" t="n"/>
      <c r="AW644" s="33" t="n"/>
      <c r="AX644" s="33" t="n"/>
      <c r="AY644" s="33" t="n"/>
      <c r="AZ644" s="33" t="n"/>
      <c r="BA644" s="74" t="n"/>
      <c r="BB644" s="47" t="n"/>
      <c r="BC644" s="42" t="n"/>
      <c r="BD644" s="42" t="n"/>
    </row>
    <row r="645" ht="15" customHeight="1" s="148">
      <c r="A645" t="inlineStr">
        <is>
          <t>c0641</t>
        </is>
      </c>
      <c r="B645" s="47" t="inlineStr">
        <is>
          <t>Raid Bombardment</t>
        </is>
      </c>
      <c r="C645" s="38" t="inlineStr">
        <is>
          <t>R</t>
        </is>
      </c>
      <c r="D645" s="47" t="inlineStr">
        <is>
          <t>Enchantment</t>
        </is>
      </c>
      <c r="E645" s="41" t="inlineStr">
        <is>
          <t>B2</t>
        </is>
      </c>
      <c r="F645" s="38" t="n">
        <v>3</v>
      </c>
      <c r="G645" s="67" t="inlineStr">
        <is>
          <t>Whenever a creature you control with power 2 or less attacks, this enchantment deals 1 damage to the player or planeswalker that creature is attacking.</t>
        </is>
      </c>
      <c r="H645" s="53" t="inlineStr">
        <is>
          <t>Burn</t>
        </is>
      </c>
      <c r="I645" s="53" t="inlineStr">
        <is>
          <t>Whenever a creature you control with power 2 or less attacks, deals 1 damage to what it's attacking</t>
        </is>
      </c>
      <c r="J645" s="53" t="n"/>
      <c r="K645" s="53" t="n"/>
      <c r="L645" s="42" t="n"/>
      <c r="M645" s="42" t="n"/>
      <c r="N645" s="42" t="n"/>
      <c r="O645" s="42" t="n"/>
      <c r="P645" s="42" t="n">
        <v>0.32</v>
      </c>
      <c r="Q645" s="42" t="n"/>
      <c r="R645" s="42" t="n"/>
      <c r="S645" s="42" t="n"/>
      <c r="T645" s="42" t="n"/>
      <c r="U645" s="42" t="n"/>
      <c r="V645" s="53" t="inlineStr">
        <is>
          <t>Rise of the Eldrazi</t>
        </is>
      </c>
      <c r="W645" s="41" t="n">
        <v>1</v>
      </c>
      <c r="X645" s="37">
        <f>SUM(Y645:AE645)</f>
        <v/>
      </c>
      <c r="Y645" s="43" t="n"/>
      <c r="Z645" s="43" t="n"/>
      <c r="AA645" s="43" t="n"/>
      <c r="AB645" s="43" t="n"/>
      <c r="AC645" s="43" t="n"/>
      <c r="AD645" s="43" t="n"/>
      <c r="AE645" s="43" t="n"/>
      <c r="AF645" s="38">
        <f>IF((W645-SUM(Y645:AE645))&lt;0,0,W645-SUM(Y645:AE645))</f>
        <v/>
      </c>
      <c r="AG645" s="34">
        <f>MAX(0,$AT645-$W645-$AI645)</f>
        <v/>
      </c>
      <c r="AH645" s="38" t="n"/>
      <c r="AI645" s="38" t="n"/>
      <c r="AJ645" s="54" t="n">
        <v>0.3</v>
      </c>
      <c r="AK645" s="54">
        <f>IF(AND($AG645&gt;0,ISNUMBER($AJ645)),$AG645*$AJ645,0)</f>
        <v/>
      </c>
      <c r="AT645" s="37">
        <f>SUM(AU645:BA645)</f>
        <v/>
      </c>
      <c r="AU645" s="73" t="n"/>
      <c r="AV645" s="33" t="n"/>
      <c r="AW645" s="33" t="n"/>
      <c r="AX645" s="33" t="n"/>
      <c r="AY645" s="33" t="n"/>
      <c r="AZ645" s="33" t="n"/>
      <c r="BA645" s="74" t="n"/>
      <c r="BB645" s="47" t="n"/>
      <c r="BC645" s="42" t="n"/>
      <c r="BD645" s="42" t="n"/>
    </row>
    <row r="646" ht="15" customHeight="1" s="148">
      <c r="A646" t="inlineStr">
        <is>
          <t>c0642</t>
        </is>
      </c>
      <c r="B646" s="47" t="inlineStr">
        <is>
          <t>Reckless Bushwhacker</t>
        </is>
      </c>
      <c r="C646" s="38" t="inlineStr">
        <is>
          <t>R</t>
        </is>
      </c>
      <c r="D646" s="47" t="inlineStr">
        <is>
          <t>Creature</t>
        </is>
      </c>
      <c r="E646" s="41" t="inlineStr">
        <is>
          <t>B2</t>
        </is>
      </c>
      <c r="F646" s="38" t="n">
        <v>3</v>
      </c>
      <c r="G646" s="67" t="inlineStr">
        <is>
          <t>Surge {1}{R} (You may cast this spell for its surge cost if you or a teammate has cast another spell this turn.)
Haste
When this creature enters, if its surge cost was paid, other creatures you control get +1/+0 and gain haste until end of turn.
(2/1)</t>
        </is>
      </c>
      <c r="H646" s="53" t="inlineStr">
        <is>
          <t>Haste Enabler</t>
        </is>
      </c>
      <c r="I646" s="53" t="inlineStr">
        <is>
          <t>Surge {1}{R}</t>
        </is>
      </c>
      <c r="J646" s="53" t="inlineStr">
        <is>
          <t>Haste</t>
        </is>
      </c>
      <c r="K646" s="53" t="inlineStr">
        <is>
          <t>When this creature enters, if its surge cost was paid, other creatures you control get +1/+0 and gain haste until end of</t>
        </is>
      </c>
      <c r="L646" s="42" t="n"/>
      <c r="M646" s="42" t="n"/>
      <c r="N646" s="42" t="n"/>
      <c r="O646" s="42" t="n"/>
      <c r="P646" s="42" t="n">
        <v>0.3</v>
      </c>
      <c r="Q646" s="42" t="n"/>
      <c r="R646" s="42" t="n"/>
      <c r="S646" s="42" t="n"/>
      <c r="T646" s="42" t="n"/>
      <c r="U646" s="42" t="n"/>
      <c r="V646" s="53" t="inlineStr">
        <is>
          <t>Oath of the Gatewatch</t>
        </is>
      </c>
      <c r="W646" s="41" t="n">
        <v>0</v>
      </c>
      <c r="X646" s="37">
        <f>SUM(Y646:AE646)</f>
        <v/>
      </c>
      <c r="Y646" s="43" t="n"/>
      <c r="Z646" s="43" t="n"/>
      <c r="AA646" s="43" t="n"/>
      <c r="AB646" s="43" t="n"/>
      <c r="AC646" s="43" t="n"/>
      <c r="AD646" s="43" t="n"/>
      <c r="AE646" s="43" t="n"/>
      <c r="AF646" s="38">
        <f>IF((W646-SUM(Y646:AE646))&lt;0,0,W646-SUM(Y646:AE646))</f>
        <v/>
      </c>
      <c r="AG646" s="34">
        <f>MAX(0,$AT646-$W646-$AI646)</f>
        <v/>
      </c>
      <c r="AH646" s="38" t="n"/>
      <c r="AI646" s="38" t="n"/>
      <c r="AJ646" s="54" t="n">
        <v>0.19</v>
      </c>
      <c r="AK646" s="54">
        <f>IF(AND($AG646&gt;0,ISNUMBER($AJ646)),$AG646*$AJ646,0)</f>
        <v/>
      </c>
      <c r="AL646" s="54" t="n"/>
      <c r="AM646" s="54" t="n"/>
      <c r="AN646" s="54" t="n"/>
      <c r="AO646" s="54" t="n"/>
      <c r="AP646" s="54" t="n"/>
      <c r="AQ646" s="54" t="n"/>
      <c r="AR646" s="54" t="n"/>
      <c r="AS646" s="54" t="n"/>
      <c r="AT646" s="37">
        <f>SUM(AU646:BA646)</f>
        <v/>
      </c>
      <c r="AU646" s="92" t="n"/>
      <c r="AV646" s="38" t="n"/>
      <c r="AW646" s="38" t="n"/>
      <c r="AX646" s="38" t="n"/>
      <c r="AY646" s="38" t="n"/>
      <c r="AZ646" s="38" t="n"/>
      <c r="BA646" s="94" t="n"/>
      <c r="BB646" s="47" t="n"/>
      <c r="BC646" s="42" t="n"/>
      <c r="BD646" s="48" t="n"/>
    </row>
    <row r="647" ht="15" customHeight="1" s="148">
      <c r="A647" t="inlineStr">
        <is>
          <t>c0643</t>
        </is>
      </c>
      <c r="B647" s="47" t="inlineStr">
        <is>
          <t>Reckless Ransacking</t>
        </is>
      </c>
      <c r="C647" s="38" t="inlineStr">
        <is>
          <t>R</t>
        </is>
      </c>
      <c r="D647" s="47" t="inlineStr">
        <is>
          <t>Instant</t>
        </is>
      </c>
      <c r="E647" s="41" t="inlineStr">
        <is>
          <t>B2</t>
        </is>
      </c>
      <c r="F647" s="38" t="n">
        <v>2</v>
      </c>
      <c r="G647" s="67" t="inlineStr">
        <is>
          <t>Target creature gets +3/+2 until end of turn. Create a Treasure token. (It's an artifact with "{T}, Sacrifice this token: Add one mana of any color.")</t>
        </is>
      </c>
      <c r="H647" s="53" t="inlineStr">
        <is>
          <t>Combat Trick</t>
        </is>
      </c>
      <c r="I647" s="53" t="inlineStr">
        <is>
          <t>Target creature gets +3/+2 until end of turn</t>
        </is>
      </c>
      <c r="J647" s="53" t="inlineStr">
        <is>
          <t>Creates a Treasure token</t>
        </is>
      </c>
      <c r="K647" s="53" t="n"/>
      <c r="L647" s="42" t="n"/>
      <c r="M647" s="42" t="n"/>
      <c r="N647" s="42" t="n"/>
      <c r="O647" s="63" t="n"/>
      <c r="P647" s="63" t="n">
        <v>0.27</v>
      </c>
      <c r="Q647" s="42" t="n"/>
      <c r="R647" s="42" t="n"/>
      <c r="S647" s="42" t="n"/>
      <c r="T647" s="63" t="n"/>
      <c r="U647" s="63" t="n"/>
      <c r="V647" s="53" t="inlineStr">
        <is>
          <t>Lorwyn Eclipsed</t>
        </is>
      </c>
      <c r="W647" s="41" t="n">
        <v>1</v>
      </c>
      <c r="X647" s="37">
        <f>SUM(Y647:AE647)</f>
        <v/>
      </c>
      <c r="Y647" s="43" t="n"/>
      <c r="Z647" s="43" t="n"/>
      <c r="AA647" s="43" t="n"/>
      <c r="AB647" s="43" t="n"/>
      <c r="AC647" s="43" t="n"/>
      <c r="AD647" s="43" t="n"/>
      <c r="AE647" s="43" t="n"/>
      <c r="AF647" s="38">
        <f>IF((W647-SUM(Y647:AE647))&lt;0,0,W647-SUM(Y647:AE647))</f>
        <v/>
      </c>
      <c r="AG647" s="34">
        <f>MAX(0,$AT647-$W647-$AI647)</f>
        <v/>
      </c>
      <c r="AH647" s="38" t="n"/>
      <c r="AI647" s="38" t="n"/>
      <c r="AJ647" s="54" t="n">
        <v>0.27</v>
      </c>
      <c r="AK647" s="54">
        <f>IF(AND($AG647&gt;0,ISNUMBER($AJ647)),$AG647*$AJ647,0)</f>
        <v/>
      </c>
      <c r="AT647" s="37">
        <f>SUM(AU647:BA647)</f>
        <v/>
      </c>
      <c r="AU647" s="73" t="n"/>
      <c r="AV647" s="33" t="n"/>
      <c r="AW647" s="33" t="n"/>
      <c r="AX647" s="33" t="n"/>
      <c r="AY647" s="33" t="n"/>
      <c r="AZ647" s="33" t="n"/>
      <c r="BA647" s="74" t="n"/>
      <c r="BB647" s="47" t="n"/>
      <c r="BC647" s="42" t="n"/>
      <c r="BD647" s="42" t="n"/>
    </row>
    <row r="648" ht="15" customHeight="1" s="148">
      <c r="A648" t="inlineStr">
        <is>
          <t>c0644</t>
        </is>
      </c>
      <c r="B648" s="47" t="inlineStr">
        <is>
          <t>Relic Retriever</t>
        </is>
      </c>
      <c r="C648" s="38" t="inlineStr">
        <is>
          <t>R</t>
        </is>
      </c>
      <c r="D648" s="47" t="inlineStr">
        <is>
          <t>Creature</t>
        </is>
      </c>
      <c r="E648" s="41" t="inlineStr">
        <is>
          <t>B2</t>
        </is>
      </c>
      <c r="F648" s="38" t="n">
        <v>2</v>
      </c>
      <c r="G648" s="67" t="inlineStr">
        <is>
          <t>First strike
At the beginning of each end step, if a card left your graveyard this turn, create a Treasure token. (It's an artifact with "{T}, Sacrifice this token: Add one mana of any color.")
(2/1)</t>
        </is>
      </c>
      <c r="H648" s="53" t="inlineStr">
        <is>
          <t>Value Engine</t>
        </is>
      </c>
      <c r="I648" s="53" t="inlineStr">
        <is>
          <t>Deals combat damage before normal-speed blockers</t>
        </is>
      </c>
      <c r="J648" s="53" t="inlineStr">
        <is>
          <t>End step: create a Treasure token if a card left your graveyard this turn</t>
        </is>
      </c>
      <c r="K648" s="53" t="n"/>
      <c r="L648" s="42" t="n"/>
      <c r="M648" s="42" t="n"/>
      <c r="N648" s="42" t="n"/>
      <c r="O648" s="63" t="n"/>
      <c r="P648" s="63" t="n">
        <v>0.2</v>
      </c>
      <c r="Q648" s="42" t="n"/>
      <c r="R648" s="42" t="n"/>
      <c r="S648" s="42" t="n"/>
      <c r="T648" s="63" t="n"/>
      <c r="U648" s="63" t="n"/>
      <c r="V648" s="53" t="inlineStr">
        <is>
          <t>Secrets of Strixhaven Commander</t>
        </is>
      </c>
      <c r="W648" s="41" t="n">
        <v>1</v>
      </c>
      <c r="X648" s="37">
        <f>SUM(Y648:AE648)</f>
        <v/>
      </c>
      <c r="Y648" s="43" t="n">
        <v>1</v>
      </c>
      <c r="Z648" s="43" t="n"/>
      <c r="AA648" s="43" t="n"/>
      <c r="AB648" s="43" t="n"/>
      <c r="AC648" s="43" t="n"/>
      <c r="AD648" s="43" t="n"/>
      <c r="AE648" s="43" t="n"/>
      <c r="AF648" s="38">
        <f>IF((W648-SUM(Y648:AE648))&lt;0,0,W648-SUM(Y648:AE648))</f>
        <v/>
      </c>
      <c r="AG648" s="34">
        <f>MAX(0,$AT648-$W648-$AI648)</f>
        <v/>
      </c>
      <c r="AH648" s="38" t="n"/>
      <c r="AI648" s="38" t="n"/>
      <c r="AJ648" s="54" t="n">
        <v>0.24</v>
      </c>
      <c r="AK648" s="54">
        <f>IF(AND($AG648&gt;0,ISNUMBER($AJ648)),$AG648*$AJ648,0)</f>
        <v/>
      </c>
      <c r="AT648" s="37">
        <f>SUM(AU648:BA648)</f>
        <v/>
      </c>
      <c r="AU648" s="82" t="n">
        <v>1</v>
      </c>
      <c r="AV648" s="33" t="n"/>
      <c r="AW648" s="33" t="n"/>
      <c r="AX648" s="33" t="n"/>
      <c r="AY648" s="33" t="n"/>
      <c r="AZ648" s="33" t="n"/>
      <c r="BA648" s="74" t="n"/>
      <c r="BB648" s="47" t="n"/>
      <c r="BC648" s="42" t="n"/>
      <c r="BD648" s="42" t="n"/>
    </row>
    <row r="649" ht="15" customHeight="1" s="148">
      <c r="A649" t="inlineStr">
        <is>
          <t>c0645</t>
        </is>
      </c>
      <c r="B649" s="32" t="inlineStr">
        <is>
          <t>Rubble Rouser</t>
        </is>
      </c>
      <c r="C649" s="33" t="inlineStr">
        <is>
          <t>R</t>
        </is>
      </c>
      <c r="D649" s="32" t="inlineStr">
        <is>
          <t>Creature</t>
        </is>
      </c>
      <c r="E649" s="33" t="inlineStr">
        <is>
          <t>B2</t>
        </is>
      </c>
      <c r="F649" s="32" t="n">
        <v>3</v>
      </c>
      <c r="G649" s="67" t="inlineStr">
        <is>
          <t>When this creature enters, you may discard a card. If you do, draw a card.
{T}, Exile a card from your graveyard: Add {R}. When you do, this creature deals 1 damage to each opponent.
(1/4)</t>
        </is>
      </c>
      <c r="H649" s="32" t="inlineStr">
        <is>
          <t>Burn</t>
        </is>
      </c>
      <c r="I649" s="32" t="inlineStr">
        <is>
          <t>{T}, exile a card from your graveyard: Add {R}, and this creature deals 1 damage to each opponent</t>
        </is>
      </c>
      <c r="J649" s="32" t="inlineStr">
        <is>
          <t>Enters: you may discard a card, and if you do, draw a card</t>
        </is>
      </c>
      <c r="K649" s="32" t="n"/>
      <c r="L649" s="32" t="inlineStr">
        <is>
          <t>128</t>
        </is>
      </c>
      <c r="M649" s="32" t="n">
        <v>1</v>
      </c>
      <c r="N649" s="32" t="n">
        <v>0</v>
      </c>
      <c r="O649" s="63" t="inlineStr">
        <is>
          <t>Craig J Spearing</t>
        </is>
      </c>
      <c r="P649" s="63" t="n">
        <v>0.16</v>
      </c>
      <c r="Q649" s="32" t="inlineStr">
        <is>
          <t>Common</t>
        </is>
      </c>
      <c r="R649" s="32" t="n"/>
      <c r="S649" s="32" t="n"/>
      <c r="T649" s="63" t="n"/>
      <c r="U649" s="63" t="n"/>
      <c r="V649" s="32" t="inlineStr">
        <is>
          <t>Secrets of Strixhaven</t>
        </is>
      </c>
      <c r="W649" s="41" t="n">
        <v>1</v>
      </c>
      <c r="X649" s="37">
        <f>SUM(Y649:AE649)</f>
        <v/>
      </c>
      <c r="Y649" s="43" t="n">
        <v>1</v>
      </c>
      <c r="Z649" s="43" t="n"/>
      <c r="AA649" s="43" t="n"/>
      <c r="AB649" s="43" t="n"/>
      <c r="AC649" s="43" t="n"/>
      <c r="AD649" s="43" t="n"/>
      <c r="AE649" s="43" t="n"/>
      <c r="AF649" s="38">
        <f>IF((W649-SUM(Y649:AE649))&lt;0,0,W649-SUM(Y649:AE649))</f>
        <v/>
      </c>
      <c r="AG649" s="34">
        <f>MAX(0,$AT649-$W649-$AI649)</f>
        <v/>
      </c>
      <c r="AH649" s="32" t="n"/>
      <c r="AI649" s="32" t="n"/>
      <c r="AJ649" s="32" t="n">
        <v>0.16</v>
      </c>
      <c r="AK649" s="54">
        <f>IF(AND($AG649&gt;0,ISNUMBER($AJ649)),$AG649*$AJ649,0)</f>
        <v/>
      </c>
      <c r="AL649" s="58" t="n"/>
      <c r="AT649" s="37">
        <f>SUM(AU649:BA649)</f>
        <v/>
      </c>
      <c r="AU649" s="82" t="n">
        <v>1</v>
      </c>
      <c r="AV649" s="33" t="n"/>
      <c r="AW649" s="33" t="n"/>
      <c r="AX649" s="33" t="n"/>
      <c r="AY649" s="33" t="n"/>
      <c r="AZ649" s="33" t="n"/>
      <c r="BA649" s="74" t="n"/>
      <c r="BB649" s="32" t="n"/>
      <c r="BC649" s="32" t="n"/>
      <c r="BD649" s="32" t="n"/>
    </row>
    <row r="650" ht="15" customHeight="1" s="148">
      <c r="A650" t="inlineStr">
        <is>
          <t>c0646</t>
        </is>
      </c>
      <c r="B650" s="47" t="inlineStr">
        <is>
          <t>Rummaging Goblin</t>
        </is>
      </c>
      <c r="C650" s="38" t="inlineStr">
        <is>
          <t>R</t>
        </is>
      </c>
      <c r="D650" s="47" t="inlineStr">
        <is>
          <t>Creature</t>
        </is>
      </c>
      <c r="E650" s="41" t="inlineStr">
        <is>
          <t>B2</t>
        </is>
      </c>
      <c r="F650" s="38" t="n">
        <v>3</v>
      </c>
      <c r="G650" s="67" t="inlineStr">
        <is>
          <t>{T}, Discard a card: Draw a card.
(1/1)</t>
        </is>
      </c>
      <c r="H650" s="53" t="inlineStr">
        <is>
          <t>Discard/Looting</t>
        </is>
      </c>
      <c r="I650" s="53" t="inlineStr">
        <is>
          <t>Tap, discard a card: draw a card</t>
        </is>
      </c>
      <c r="J650" s="53" t="n"/>
      <c r="K650" s="53" t="n"/>
      <c r="L650" s="42" t="n"/>
      <c r="M650" s="42" t="n"/>
      <c r="N650" s="42" t="n"/>
      <c r="O650" s="42" t="n"/>
      <c r="P650" s="42" t="n">
        <v>0.2</v>
      </c>
      <c r="Q650" s="42" t="n"/>
      <c r="R650" s="42" t="n"/>
      <c r="S650" s="42" t="n"/>
      <c r="T650" s="42" t="n"/>
      <c r="U650" s="42" t="n"/>
      <c r="V650" s="53" t="inlineStr">
        <is>
          <t>Magic 2013</t>
        </is>
      </c>
      <c r="W650" s="41" t="n">
        <v>0</v>
      </c>
      <c r="X650" s="37">
        <f>SUM(Y650:AE650)</f>
        <v/>
      </c>
      <c r="Y650" s="43" t="n"/>
      <c r="Z650" s="43" t="n"/>
      <c r="AA650" s="43" t="n"/>
      <c r="AB650" s="43" t="n"/>
      <c r="AC650" s="43" t="n"/>
      <c r="AD650" s="43" t="n"/>
      <c r="AE650" s="43" t="n"/>
      <c r="AF650" s="38">
        <f>IF((W650-SUM(Y650:AE650))&lt;0,0,W650-SUM(Y650:AE650))</f>
        <v/>
      </c>
      <c r="AG650" s="34">
        <f>MAX(0,$AT650-$W650-$AI650)</f>
        <v/>
      </c>
      <c r="AH650" s="38" t="n"/>
      <c r="AI650" s="38" t="n"/>
      <c r="AJ650" s="54" t="n">
        <v>0.2</v>
      </c>
      <c r="AK650" s="54">
        <f>IF(AND($AG650&gt;0,ISNUMBER($AJ650)),$AG650*$AJ650,0)</f>
        <v/>
      </c>
      <c r="AL650" s="54" t="n"/>
      <c r="AM650" s="54" t="n"/>
      <c r="AN650" s="54" t="n"/>
      <c r="AO650" s="54" t="n"/>
      <c r="AP650" s="54" t="n"/>
      <c r="AQ650" s="54" t="n"/>
      <c r="AR650" s="54" t="n"/>
      <c r="AS650" s="54" t="n"/>
      <c r="AT650" s="37">
        <f>SUM(AU650:BA650)</f>
        <v/>
      </c>
      <c r="AU650" s="92" t="n"/>
      <c r="AV650" s="38" t="n"/>
      <c r="AW650" s="38" t="n"/>
      <c r="AX650" s="38" t="n"/>
      <c r="AY650" s="38" t="n"/>
      <c r="AZ650" s="38" t="n"/>
      <c r="BA650" s="94" t="n"/>
      <c r="BB650" s="47" t="n"/>
      <c r="BC650" s="42" t="n"/>
      <c r="BD650" s="42" t="n"/>
    </row>
    <row r="651" ht="15" customHeight="1" s="148">
      <c r="A651" t="inlineStr">
        <is>
          <t>c0647</t>
        </is>
      </c>
      <c r="B651" s="47" t="inlineStr">
        <is>
          <t>Rundvelt Hordemaster</t>
        </is>
      </c>
      <c r="C651" s="38" t="inlineStr">
        <is>
          <t>R</t>
        </is>
      </c>
      <c r="D651" s="47" t="inlineStr">
        <is>
          <t>Creature</t>
        </is>
      </c>
      <c r="E651" s="41" t="inlineStr">
        <is>
          <t>B3</t>
        </is>
      </c>
      <c r="F651" s="38" t="n">
        <v>2</v>
      </c>
      <c r="G651" s="67" t="inlineStr">
        <is>
          <t>Other Goblins you control get +1/+1.
Whenever this creature or another Goblin you control dies, exile the top card of your library. If it's a Goblin creature card, you may cast that card until the end of your next turn.
(1/1)</t>
        </is>
      </c>
      <c r="H651" s="53" t="inlineStr">
        <is>
          <t>Lord/Anthem</t>
        </is>
      </c>
      <c r="I651" s="53" t="inlineStr">
        <is>
          <t>Other Goblins you control get +1/+1.
Whenever this creature or another Goblin you control dies, exile the top card of yo</t>
        </is>
      </c>
      <c r="J651" s="53" t="n"/>
      <c r="K651" s="53" t="n"/>
      <c r="L651" s="41" t="n"/>
      <c r="M651" s="41" t="n"/>
      <c r="N651" s="41" t="n"/>
      <c r="O651" s="41" t="n"/>
      <c r="P651" s="41" t="n">
        <v>3.52</v>
      </c>
      <c r="Q651" s="41" t="n"/>
      <c r="R651" s="41" t="n"/>
      <c r="S651" s="41" t="n"/>
      <c r="T651" s="41" t="n"/>
      <c r="U651" s="41" t="n"/>
      <c r="V651" s="53" t="inlineStr">
        <is>
          <t>Dominaria United</t>
        </is>
      </c>
      <c r="W651" s="41" t="n">
        <v>0</v>
      </c>
      <c r="X651" s="37">
        <f>SUM(Y651:AE651)</f>
        <v/>
      </c>
      <c r="Y651" s="43" t="n"/>
      <c r="Z651" s="43" t="n"/>
      <c r="AA651" s="43" t="n"/>
      <c r="AB651" s="43" t="n"/>
      <c r="AC651" s="43" t="n"/>
      <c r="AD651" s="43" t="n"/>
      <c r="AE651" s="43" t="n"/>
      <c r="AF651" s="38">
        <f>IF((W651-SUM(Y651:AE651))&lt;0,0,W651-SUM(Y651:AE651))</f>
        <v/>
      </c>
      <c r="AG651" s="34">
        <f>MAX(0,$AT651-$W651-$AI651)</f>
        <v/>
      </c>
      <c r="AH651" s="38" t="n"/>
      <c r="AI651" s="38" t="n"/>
      <c r="AJ651" s="54" t="n">
        <v>4.87</v>
      </c>
      <c r="AK651" s="54">
        <f>IF(AND($AG651&gt;0,ISNUMBER($AJ651)),$AG651*$AJ651,0)</f>
        <v/>
      </c>
      <c r="AL651" s="54" t="n"/>
      <c r="AM651" s="54" t="n"/>
      <c r="AN651" s="54" t="n"/>
      <c r="AO651" s="54" t="n"/>
      <c r="AP651" s="54" t="n"/>
      <c r="AQ651" s="54" t="n"/>
      <c r="AR651" s="54" t="n"/>
      <c r="AS651" s="54" t="n"/>
      <c r="AT651" s="37">
        <f>SUM(AU651:BA651)</f>
        <v/>
      </c>
      <c r="AU651" s="92" t="n"/>
      <c r="AV651" s="38" t="n"/>
      <c r="AW651" s="38" t="n"/>
      <c r="AX651" s="38" t="n"/>
      <c r="AY651" s="38" t="n"/>
      <c r="AZ651" s="38" t="n">
        <v>1</v>
      </c>
      <c r="BA651" s="94" t="n"/>
      <c r="BB651" s="47" t="n"/>
      <c r="BC651" s="42" t="n"/>
      <c r="BD651" s="42" t="n"/>
    </row>
    <row r="652" ht="15" customHeight="1" s="148">
      <c r="A652" t="inlineStr">
        <is>
          <t>c0648</t>
        </is>
      </c>
      <c r="B652" s="47" t="inlineStr">
        <is>
          <t>Seize the Spoils</t>
        </is>
      </c>
      <c r="C652" s="38" t="inlineStr">
        <is>
          <t>R</t>
        </is>
      </c>
      <c r="D652" s="47" t="inlineStr">
        <is>
          <t>Sorcery</t>
        </is>
      </c>
      <c r="E652" s="41" t="inlineStr">
        <is>
          <t>B2</t>
        </is>
      </c>
      <c r="F652" s="38" t="n">
        <v>3</v>
      </c>
      <c r="G652" s="67" t="inlineStr">
        <is>
          <t>As an additional cost to cast this spell, discard a card.
Draw two cards and create a Treasure token. (It's an artifact with "{T}, Sacrifice this token: Add one mana of any color.")</t>
        </is>
      </c>
      <c r="H652" s="53" t="inlineStr">
        <is>
          <t>Card Draw</t>
        </is>
      </c>
      <c r="I652" s="53" t="inlineStr">
        <is>
          <t>Discard a card as an additional cost</t>
        </is>
      </c>
      <c r="J652" s="53" t="inlineStr">
        <is>
          <t>Draw two cards and create a Treasure token</t>
        </is>
      </c>
      <c r="K652" s="53" t="n"/>
      <c r="L652" s="41" t="n"/>
      <c r="M652" s="41" t="n"/>
      <c r="N652" s="41" t="n"/>
      <c r="O652" s="41" t="n"/>
      <c r="P652" s="41" t="n">
        <v>0.31</v>
      </c>
      <c r="Q652" s="41" t="n"/>
      <c r="R652" s="41" t="n"/>
      <c r="S652" s="41" t="n"/>
      <c r="T652" s="41" t="n"/>
      <c r="U652" s="41" t="n"/>
      <c r="V652" s="53" t="inlineStr">
        <is>
          <t>Kaldheim</t>
        </is>
      </c>
      <c r="W652" s="41" t="n">
        <v>1</v>
      </c>
      <c r="X652" s="37">
        <f>SUM(Y652:AE652)</f>
        <v/>
      </c>
      <c r="Y652" s="43" t="n">
        <v>1</v>
      </c>
      <c r="Z652" s="43" t="n"/>
      <c r="AA652" s="43" t="n"/>
      <c r="AB652" s="43" t="n"/>
      <c r="AC652" s="43" t="n"/>
      <c r="AD652" s="43" t="n"/>
      <c r="AE652" s="43" t="n"/>
      <c r="AF652" s="38">
        <f>IF((W652-SUM(Y652:AE652))&lt;0,0,W652-SUM(Y652:AE652))</f>
        <v/>
      </c>
      <c r="AG652" s="34">
        <f>MAX(0,$AT652-$W652-$AI652)</f>
        <v/>
      </c>
      <c r="AH652" s="38" t="n"/>
      <c r="AI652" s="38" t="n"/>
      <c r="AJ652" s="54" t="n">
        <v>0.22</v>
      </c>
      <c r="AK652" s="54">
        <f>IF(AND($AG652&gt;0,ISNUMBER($AJ652)),$AG652*$AJ652,0)</f>
        <v/>
      </c>
      <c r="AL652" s="58" t="n"/>
      <c r="AT652" s="37">
        <f>SUM(AU652:BA652)</f>
        <v/>
      </c>
      <c r="AU652" s="83" t="n"/>
      <c r="AV652" s="33" t="n"/>
      <c r="AW652" s="33" t="n"/>
      <c r="AX652" s="33" t="n"/>
      <c r="AY652" s="33" t="n"/>
      <c r="AZ652" s="33" t="n"/>
      <c r="BA652" s="74" t="n"/>
      <c r="BB652" s="47" t="n"/>
      <c r="BC652" s="42" t="n"/>
      <c r="BD652" s="42" t="n"/>
    </row>
    <row r="653" ht="15" customHeight="1" s="148">
      <c r="A653" t="inlineStr">
        <is>
          <t>c0649</t>
        </is>
      </c>
      <c r="B653" s="47" t="inlineStr">
        <is>
          <t>Shared Animosity</t>
        </is>
      </c>
      <c r="C653" s="38" t="inlineStr">
        <is>
          <t>R</t>
        </is>
      </c>
      <c r="D653" s="47" t="inlineStr">
        <is>
          <t>Enchantment</t>
        </is>
      </c>
      <c r="E653" s="41" t="inlineStr">
        <is>
          <t>B3</t>
        </is>
      </c>
      <c r="F653" s="38" t="n">
        <v>3</v>
      </c>
      <c r="G653" s="67" t="inlineStr">
        <is>
          <t>Whenever a creature you control attacks, it gets +1/+0 until end of turn for each other attacking creature that shares a creature type with it.</t>
        </is>
      </c>
      <c r="H653" s="53" t="inlineStr">
        <is>
          <t>Lord/Anthem</t>
        </is>
      </c>
      <c r="I653" s="53" t="inlineStr">
        <is>
          <t>Whenever a creature you control attacks, it gets +1/+0 until end of turn for each other attacking creature that shares a</t>
        </is>
      </c>
      <c r="J653" s="53" t="n"/>
      <c r="K653" s="53" t="n"/>
      <c r="L653" s="41" t="n"/>
      <c r="M653" s="41" t="n"/>
      <c r="N653" s="41" t="n"/>
      <c r="O653" s="41" t="n"/>
      <c r="P653" s="41" t="n">
        <v>4.81</v>
      </c>
      <c r="Q653" s="41" t="n"/>
      <c r="R653" s="41" t="n"/>
      <c r="S653" s="41" t="n"/>
      <c r="T653" s="41" t="n"/>
      <c r="U653" s="41" t="n"/>
      <c r="V653" s="53" t="inlineStr">
        <is>
          <t>Morningtide</t>
        </is>
      </c>
      <c r="W653" s="41" t="n">
        <v>1</v>
      </c>
      <c r="X653" s="37">
        <f>SUM(Y653:AE653)</f>
        <v/>
      </c>
      <c r="Y653" s="43" t="n"/>
      <c r="Z653" s="43" t="n"/>
      <c r="AA653" s="43" t="n"/>
      <c r="AB653" s="43" t="n"/>
      <c r="AC653" s="43" t="n"/>
      <c r="AD653" s="43" t="n">
        <v>1</v>
      </c>
      <c r="AE653" s="43" t="n"/>
      <c r="AF653" s="38">
        <f>IF((W653-SUM(Y653:AE653))&lt;0,0,W653-SUM(Y653:AE653))</f>
        <v/>
      </c>
      <c r="AG653" s="34">
        <f>MAX(0,$AT653-$W653-$AI653)</f>
        <v/>
      </c>
      <c r="AH653" s="38" t="n"/>
      <c r="AI653" s="38" t="n"/>
      <c r="AJ653" s="54" t="n">
        <v>4.47</v>
      </c>
      <c r="AK653" s="54">
        <f>IF(AND($AG653&gt;0,ISNUMBER($AJ653)),$AG653*$AJ653,0)</f>
        <v/>
      </c>
      <c r="AT653" s="37">
        <f>SUM(AU653:BA653)</f>
        <v/>
      </c>
      <c r="AU653" s="73" t="n"/>
      <c r="AV653" s="33" t="n"/>
      <c r="AW653" s="33" t="n"/>
      <c r="AX653" s="33" t="n"/>
      <c r="AY653" s="33" t="n"/>
      <c r="AZ653" s="98" t="n">
        <v>1</v>
      </c>
      <c r="BA653" s="74" t="n"/>
      <c r="BB653" s="47" t="n"/>
      <c r="BC653" s="42" t="n"/>
      <c r="BD653" s="42" t="n"/>
    </row>
    <row r="654" ht="15" customHeight="1" s="148">
      <c r="A654" t="inlineStr">
        <is>
          <t>c0650</t>
        </is>
      </c>
      <c r="B654" s="47" t="inlineStr">
        <is>
          <t>Siege Smash</t>
        </is>
      </c>
      <c r="C654" s="38" t="inlineStr">
        <is>
          <t>R</t>
        </is>
      </c>
      <c r="D654" s="47" t="inlineStr">
        <is>
          <t>Instant</t>
        </is>
      </c>
      <c r="E654" s="41" t="inlineStr">
        <is>
          <t>B2</t>
        </is>
      </c>
      <c r="F654" s="38" t="n">
        <v>2</v>
      </c>
      <c r="G654" s="67" t="inlineStr">
        <is>
          <t>Split second (As long as this spell is on the stack, players can't cast spells or activate abilities that aren't mana abilities.)
Choose one —
• Destroy target artifact.
• Target creature gets +3/+2 and gains trample until end of turn.</t>
        </is>
      </c>
      <c r="H654" s="53" t="inlineStr">
        <is>
          <t>Artifact/Enchantment Removal</t>
        </is>
      </c>
      <c r="I654" s="53" t="inlineStr">
        <is>
          <t>Split second: nobody can respond while it is on the stack</t>
        </is>
      </c>
      <c r="J654" s="53" t="inlineStr">
        <is>
          <t>Destroys an artifact</t>
        </is>
      </c>
      <c r="K654" s="53" t="inlineStr">
        <is>
          <t>Or gives a creature +3/+2 and trample</t>
        </is>
      </c>
      <c r="L654" s="42" t="n"/>
      <c r="M654" s="42" t="n"/>
      <c r="N654" s="42" t="n"/>
      <c r="O654" s="63" t="n"/>
      <c r="P654" s="63" t="n">
        <v>0.27</v>
      </c>
      <c r="Q654" s="42" t="n"/>
      <c r="R654" s="42" t="n"/>
      <c r="S654" s="42" t="n"/>
      <c r="T654" s="63" t="n"/>
      <c r="U654" s="63" t="n"/>
      <c r="V654" s="53" t="inlineStr">
        <is>
          <t>Modern Horizons 3</t>
        </is>
      </c>
      <c r="W654" s="41" t="n">
        <v>1</v>
      </c>
      <c r="X654" s="37">
        <f>SUM(Y654:AE654)</f>
        <v/>
      </c>
      <c r="Y654" s="43" t="n"/>
      <c r="Z654" s="43" t="n"/>
      <c r="AA654" s="43" t="n"/>
      <c r="AB654" s="43" t="n"/>
      <c r="AC654" s="43" t="n"/>
      <c r="AD654" s="43" t="n">
        <v>1</v>
      </c>
      <c r="AE654" s="43" t="n"/>
      <c r="AF654" s="38">
        <f>IF((W654-SUM(Y654:AE654))&lt;0,0,W654-SUM(Y654:AE654))</f>
        <v/>
      </c>
      <c r="AG654" s="34">
        <f>MAX(0,$AT654-$W654-$AI654)</f>
        <v/>
      </c>
      <c r="AH654" s="38" t="n"/>
      <c r="AI654" s="38" t="n"/>
      <c r="AJ654" s="54" t="n">
        <v>0.3</v>
      </c>
      <c r="AK654" s="54">
        <f>IF(AND($AG654&gt;0,ISNUMBER($AJ654)),$AG654*$AJ654,0)</f>
        <v/>
      </c>
      <c r="AQ654" s="58" t="inlineStr">
        <is>
          <t>BL0082</t>
        </is>
      </c>
      <c r="AT654" s="37">
        <f>SUM(AU654:BA654)</f>
        <v/>
      </c>
      <c r="AU654" s="73" t="n"/>
      <c r="AV654" s="33" t="n"/>
      <c r="AW654" s="33" t="n"/>
      <c r="AX654" s="33" t="n"/>
      <c r="AY654" s="33" t="n"/>
      <c r="AZ654" s="100" t="n"/>
      <c r="BA654" s="74" t="n"/>
      <c r="BB654" s="47" t="n"/>
      <c r="BC654" s="42" t="n"/>
      <c r="BD654" s="42" t="n"/>
    </row>
    <row r="655" ht="15" customHeight="1" s="148">
      <c r="A655" t="inlineStr">
        <is>
          <t>c0651</t>
        </is>
      </c>
      <c r="B655" s="47" t="inlineStr">
        <is>
          <t>Siege-Gang Commander</t>
        </is>
      </c>
      <c r="C655" s="38" t="inlineStr">
        <is>
          <t>R</t>
        </is>
      </c>
      <c r="D655" s="47" t="inlineStr">
        <is>
          <t>Creature</t>
        </is>
      </c>
      <c r="E655" s="41" t="inlineStr">
        <is>
          <t>B2</t>
        </is>
      </c>
      <c r="F655" s="38" t="n">
        <v>5</v>
      </c>
      <c r="G655" s="67" t="inlineStr">
        <is>
          <t>When this creature enters, create three 1/1 red Goblin creature tokens.
{1}{R}, Sacrifice a Goblin: This creature deals 2 damage to any target.
(2/2)</t>
        </is>
      </c>
      <c r="H655" s="53" t="inlineStr">
        <is>
          <t>Token Producer</t>
        </is>
      </c>
      <c r="I655" s="53" t="inlineStr">
        <is>
          <t>Creates three 1/1 Goblin tokens when it enters</t>
        </is>
      </c>
      <c r="J655" s="53" t="inlineStr">
        <is>
          <t>{1}{R}, sacrifice a Goblin: deals 2 damage to any target</t>
        </is>
      </c>
      <c r="K655" s="53" t="n"/>
      <c r="L655" s="42" t="n"/>
      <c r="M655" s="42" t="n"/>
      <c r="N655" s="42" t="n"/>
      <c r="O655" s="42" t="n"/>
      <c r="P655" s="42" t="n">
        <v>0.31</v>
      </c>
      <c r="Q655" s="42" t="n"/>
      <c r="R655" s="42" t="n"/>
      <c r="S655" s="42" t="n"/>
      <c r="T655" s="42" t="n"/>
      <c r="U655" s="42" t="n"/>
      <c r="V655" s="53" t="inlineStr">
        <is>
          <t>Scourge</t>
        </is>
      </c>
      <c r="W655" s="41" t="n">
        <v>1</v>
      </c>
      <c r="X655" s="37">
        <f>SUM(Y655:AE655)</f>
        <v/>
      </c>
      <c r="Y655" s="43" t="n"/>
      <c r="Z655" s="43" t="n"/>
      <c r="AA655" s="43" t="n"/>
      <c r="AB655" s="43" t="n"/>
      <c r="AC655" s="43" t="n"/>
      <c r="AD655" s="43" t="n">
        <v>1</v>
      </c>
      <c r="AE655" s="43" t="n"/>
      <c r="AF655" s="38">
        <f>IF((W655-SUM(Y655:AE655))&lt;0,0,W655-SUM(Y655:AE655))</f>
        <v/>
      </c>
      <c r="AG655" s="34">
        <f>MAX(0,$AT655-$W655-$AI655)</f>
        <v/>
      </c>
      <c r="AH655" s="38" t="n"/>
      <c r="AI655" s="38" t="n"/>
      <c r="AJ655" s="54" t="n">
        <v>0.27</v>
      </c>
      <c r="AK655" s="54">
        <f>IF(AND($AG655&gt;0,ISNUMBER($AJ655)),$AG655*$AJ655,0)</f>
        <v/>
      </c>
      <c r="AT655" s="37">
        <f>SUM(AU655:BA655)</f>
        <v/>
      </c>
      <c r="AU655" s="73" t="n"/>
      <c r="AV655" s="33" t="n"/>
      <c r="AW655" s="33" t="n"/>
      <c r="AX655" s="33" t="n"/>
      <c r="AY655" s="33" t="n"/>
      <c r="AZ655" s="98" t="n">
        <v>1</v>
      </c>
      <c r="BA655" s="74" t="n"/>
      <c r="BB655" s="47" t="n"/>
      <c r="BC655" s="42" t="n"/>
      <c r="BD655" s="42" t="n"/>
    </row>
    <row r="656" ht="15" customHeight="1" s="148">
      <c r="A656" t="inlineStr">
        <is>
          <t>c0652</t>
        </is>
      </c>
      <c r="B656" s="47" t="inlineStr">
        <is>
          <t>Skirk Fire Marshal</t>
        </is>
      </c>
      <c r="C656" s="38" t="inlineStr">
        <is>
          <t>R</t>
        </is>
      </c>
      <c r="D656" s="47" t="inlineStr">
        <is>
          <t>Creature</t>
        </is>
      </c>
      <c r="E656" s="41" t="inlineStr">
        <is>
          <t>B3</t>
        </is>
      </c>
      <c r="F656" s="38" t="n">
        <v>5</v>
      </c>
      <c r="G656" s="67" t="inlineStr">
        <is>
          <t>Protection from red
Tap five untapped Goblins you control: This creature deals 10 damage to each creature and each player.
(2/2)</t>
        </is>
      </c>
      <c r="H656" s="53" t="inlineStr">
        <is>
          <t>Finisher</t>
        </is>
      </c>
      <c r="I656" s="53" t="inlineStr">
        <is>
          <t>Protection from red</t>
        </is>
      </c>
      <c r="J656" s="53" t="inlineStr">
        <is>
          <t>Tap five untapped Goblins you control: This creature deals 10 damage to each creature and each player</t>
        </is>
      </c>
      <c r="K656" s="53" t="n"/>
      <c r="L656" s="42" t="n"/>
      <c r="M656" s="42" t="n"/>
      <c r="N656" s="42" t="n"/>
      <c r="O656" s="42" t="n"/>
      <c r="P656" s="42" t="n">
        <v>2.88</v>
      </c>
      <c r="Q656" s="42" t="n"/>
      <c r="R656" s="42" t="n"/>
      <c r="S656" s="42" t="n"/>
      <c r="T656" s="42" t="n"/>
      <c r="U656" s="42" t="n"/>
      <c r="V656" s="53" t="inlineStr">
        <is>
          <t>Onslaught</t>
        </is>
      </c>
      <c r="W656" s="41" t="n">
        <v>0</v>
      </c>
      <c r="X656" s="37">
        <f>SUM(Y656:AE656)</f>
        <v/>
      </c>
      <c r="Y656" s="43" t="n"/>
      <c r="Z656" s="43" t="n"/>
      <c r="AA656" s="43" t="n"/>
      <c r="AB656" s="43" t="n"/>
      <c r="AC656" s="43" t="n"/>
      <c r="AD656" s="43" t="n"/>
      <c r="AE656" s="43" t="n"/>
      <c r="AF656" s="38">
        <f>IF((W656-SUM(Y656:AE656))&lt;0,0,W656-SUM(Y656:AE656))</f>
        <v/>
      </c>
      <c r="AG656" s="34">
        <f>MAX(0,$AT656-$W656-$AI656)</f>
        <v/>
      </c>
      <c r="AH656" s="38" t="n"/>
      <c r="AI656" s="38" t="n"/>
      <c r="AJ656" s="54" t="n">
        <v>0.93</v>
      </c>
      <c r="AK656" s="54">
        <f>IF(AND($AG656&gt;0,ISNUMBER($AJ656)),$AG656*$AJ656,0)</f>
        <v/>
      </c>
      <c r="AL656" s="54" t="n"/>
      <c r="AM656" s="54" t="n"/>
      <c r="AN656" s="54" t="n"/>
      <c r="AO656" s="54" t="n"/>
      <c r="AP656" s="54" t="n"/>
      <c r="AQ656" s="54" t="n"/>
      <c r="AR656" s="54" t="n"/>
      <c r="AS656" s="54" t="n"/>
      <c r="AT656" s="37">
        <f>SUM(AU656:BA656)</f>
        <v/>
      </c>
      <c r="AU656" s="92" t="n"/>
      <c r="AV656" s="38" t="n"/>
      <c r="AW656" s="38" t="n"/>
      <c r="AX656" s="38" t="n"/>
      <c r="AY656" s="38" t="n"/>
      <c r="AZ656" s="38" t="n"/>
      <c r="BA656" s="94" t="n"/>
      <c r="BB656" s="47" t="n"/>
      <c r="BC656" s="42" t="n"/>
      <c r="BD656" s="48" t="n"/>
    </row>
    <row r="657" ht="15" customHeight="1" s="148">
      <c r="A657" t="inlineStr">
        <is>
          <t>c0653</t>
        </is>
      </c>
      <c r="B657" s="47" t="inlineStr">
        <is>
          <t>Skirk Prospector</t>
        </is>
      </c>
      <c r="C657" s="38" t="inlineStr">
        <is>
          <t>R</t>
        </is>
      </c>
      <c r="D657" s="47" t="inlineStr">
        <is>
          <t>Creature</t>
        </is>
      </c>
      <c r="E657" s="41" t="inlineStr">
        <is>
          <t>B2</t>
        </is>
      </c>
      <c r="F657" s="38" t="n">
        <v>1</v>
      </c>
      <c r="G657" s="67" t="inlineStr">
        <is>
          <t>Sacrifice a Goblin: Add {R}.
(1/1)</t>
        </is>
      </c>
      <c r="H657" s="53" t="inlineStr">
        <is>
          <t>Sacrifice Outlet</t>
        </is>
      </c>
      <c r="I657" s="53" t="inlineStr">
        <is>
          <t>Sacrifice a Goblin: add {R}</t>
        </is>
      </c>
      <c r="J657" s="53" t="n"/>
      <c r="K657" s="53" t="n"/>
      <c r="L657" s="42" t="n"/>
      <c r="M657" s="42" t="n"/>
      <c r="N657" s="42" t="n"/>
      <c r="O657" s="42" t="n"/>
      <c r="P657" s="42" t="n">
        <v>0.32</v>
      </c>
      <c r="Q657" s="42" t="n"/>
      <c r="R657" s="42" t="n"/>
      <c r="S657" s="42" t="n"/>
      <c r="T657" s="42" t="n"/>
      <c r="U657" s="42" t="n"/>
      <c r="V657" s="53" t="inlineStr">
        <is>
          <t>Onslaught</t>
        </is>
      </c>
      <c r="W657" s="41" t="n">
        <v>1</v>
      </c>
      <c r="X657" s="37">
        <f>SUM(Y657:AE657)</f>
        <v/>
      </c>
      <c r="Y657" s="43" t="n"/>
      <c r="Z657" s="43" t="n"/>
      <c r="AA657" s="43" t="n"/>
      <c r="AB657" s="43" t="n"/>
      <c r="AC657" s="43" t="n"/>
      <c r="AD657" s="43" t="n">
        <v>1</v>
      </c>
      <c r="AE657" s="43" t="n"/>
      <c r="AF657" s="38">
        <f>IF((W657-SUM(Y657:AE657))&lt;0,0,W657-SUM(Y657:AE657))</f>
        <v/>
      </c>
      <c r="AG657" s="34">
        <f>MAX(0,$AT657-$W657-$AI657)</f>
        <v/>
      </c>
      <c r="AH657" s="38" t="n"/>
      <c r="AI657" s="38" t="n"/>
      <c r="AJ657" s="54" t="n">
        <v>0.37</v>
      </c>
      <c r="AK657" s="54">
        <f>IF(AND($AG657&gt;0,ISNUMBER($AJ657)),$AG657*$AJ657,0)</f>
        <v/>
      </c>
      <c r="AQ657" s="58" t="n"/>
      <c r="AT657" s="37">
        <f>SUM(AU657:BA657)</f>
        <v/>
      </c>
      <c r="AU657" s="73" t="n"/>
      <c r="AV657" s="33" t="n"/>
      <c r="AW657" s="33" t="n"/>
      <c r="AX657" s="33" t="n"/>
      <c r="AY657" s="33" t="n"/>
      <c r="AZ657" s="98" t="n">
        <v>1</v>
      </c>
      <c r="BA657" s="74" t="n"/>
      <c r="BB657" s="47" t="n"/>
      <c r="BC657" s="42" t="n"/>
      <c r="BD657" s="42" t="n"/>
    </row>
    <row r="658" ht="15" customHeight="1" s="148">
      <c r="A658" t="inlineStr">
        <is>
          <t>c0654</t>
        </is>
      </c>
      <c r="B658" s="42" t="inlineStr">
        <is>
          <t>Smaug, the Great Calamity</t>
        </is>
      </c>
      <c r="C658" s="41" t="inlineStr">
        <is>
          <t>R</t>
        </is>
      </c>
      <c r="D658" s="42" t="inlineStr">
        <is>
          <t>Legendary Creature</t>
        </is>
      </c>
      <c r="E658" s="41" t="inlineStr">
        <is>
          <t>B2</t>
        </is>
      </c>
      <c r="F658" s="41" t="n">
        <v>7</v>
      </c>
      <c r="G658" s="67" t="inlineStr">
        <is>
          <t>Smaug, the Great Calamity {5}{R}{R} — Legendary Creature — Dragon (5/5)
Flying
//
Spew Flame {4}{R} — Sorcery — Adventure
Spew Flame deals 5 damage to target creature. (Then exile this card. You may cast the creature later from exile.)</t>
        </is>
      </c>
      <c r="H658" s="42" t="inlineStr">
        <is>
          <t>Finisher</t>
        </is>
      </c>
      <c r="I658" s="42" t="inlineStr">
        <is>
          <t>Flying</t>
        </is>
      </c>
      <c r="J658" s="42" t="inlineStr">
        <is>
          <t>Back face Spew Flame {4}{R}: deals 5 damage to target creature</t>
        </is>
      </c>
      <c r="K658" s="42" t="n"/>
      <c r="L658" s="88" t="inlineStr">
        <is>
          <t>109</t>
        </is>
      </c>
      <c r="M658" s="41" t="n">
        <v>1</v>
      </c>
      <c r="N658" s="41" t="n">
        <v>0</v>
      </c>
      <c r="O658" s="63" t="n"/>
      <c r="P658" s="90" t="n">
        <v>0.15</v>
      </c>
      <c r="Q658" s="42" t="inlineStr">
        <is>
          <t>Common</t>
        </is>
      </c>
      <c r="R658" s="42" t="n"/>
      <c r="S658" s="42" t="n"/>
      <c r="T658" s="63" t="n"/>
      <c r="U658" s="63" t="n"/>
      <c r="V658" s="42" t="inlineStr">
        <is>
          <t>The Hobbit</t>
        </is>
      </c>
      <c r="W658" s="41" t="n">
        <v>3</v>
      </c>
      <c r="X658" s="37">
        <f>SUM(Y658:AE658)</f>
        <v/>
      </c>
      <c r="Y658" s="43" t="n"/>
      <c r="Z658" s="43" t="n"/>
      <c r="AA658" s="43" t="n"/>
      <c r="AB658" s="43" t="n"/>
      <c r="AC658" s="43" t="n"/>
      <c r="AD658" s="43" t="n"/>
      <c r="AE658" s="43" t="n"/>
      <c r="AF658" s="38">
        <f>IF((W658-SUM(Y658:AE658))&lt;0,0,W658-SUM(Y658:AE658))</f>
        <v/>
      </c>
      <c r="AG658" s="34">
        <f>MAX(0,$AT658-$W658-$AI658)</f>
        <v/>
      </c>
      <c r="AH658" s="42" t="n"/>
      <c r="AI658" s="42" t="n"/>
      <c r="AJ658" s="42" t="n">
        <v>0.26</v>
      </c>
      <c r="AK658" s="42">
        <f>IF(AND($AG658&gt;0,ISNUMBER($AJ658)),$AG658*$AJ658,0)</f>
        <v/>
      </c>
      <c r="AT658" s="37">
        <f>SUM(AU658:BA658)</f>
        <v/>
      </c>
      <c r="AU658" s="73" t="n"/>
      <c r="AV658" s="33" t="n"/>
      <c r="AW658" s="33" t="n"/>
      <c r="AX658" s="33" t="n"/>
      <c r="AY658" s="33" t="n"/>
      <c r="AZ658" s="33" t="n"/>
      <c r="BA658" s="74" t="n"/>
      <c r="BB658" s="42" t="n"/>
      <c r="BC658" s="42" t="n"/>
      <c r="BD658" s="42" t="n"/>
    </row>
    <row r="659" ht="15" customHeight="1" s="148">
      <c r="A659" t="inlineStr">
        <is>
          <t>c0655</t>
        </is>
      </c>
      <c r="B659" s="47" t="inlineStr">
        <is>
          <t>Sourbread Auntie</t>
        </is>
      </c>
      <c r="C659" s="38" t="inlineStr">
        <is>
          <t>R</t>
        </is>
      </c>
      <c r="D659" s="47" t="inlineStr">
        <is>
          <t>Creature</t>
        </is>
      </c>
      <c r="E659" s="41" t="inlineStr">
        <is>
          <t>B2</t>
        </is>
      </c>
      <c r="F659" s="38" t="n">
        <v>4</v>
      </c>
      <c r="G659" s="67" t="inlineStr">
        <is>
          <t>When this creature enters, you may blight 2. If you do, create two 1/1 black and red Goblin creature tokens. (To blight 2, put two -1/-1 counters on a creature you control.)
(4/3)</t>
        </is>
      </c>
      <c r="H659" s="53" t="inlineStr">
        <is>
          <t>Token Producer</t>
        </is>
      </c>
      <c r="I659" s="53" t="inlineStr">
        <is>
          <t>May put two -1/-1 counters on a creature to make two Goblin tokens</t>
        </is>
      </c>
      <c r="J659" s="53" t="n"/>
      <c r="K659" s="53" t="n"/>
      <c r="L659" s="42" t="n"/>
      <c r="M659" s="42" t="n"/>
      <c r="N659" s="42" t="n"/>
      <c r="O659" s="42" t="n"/>
      <c r="P659" s="42" t="n">
        <v>0.27</v>
      </c>
      <c r="Q659" s="42" t="n"/>
      <c r="R659" s="42" t="n"/>
      <c r="S659" s="42" t="n"/>
      <c r="T659" s="42" t="n"/>
      <c r="U659" s="42" t="n"/>
      <c r="V659" s="53" t="inlineStr">
        <is>
          <t>Lorwyn Eclipsed</t>
        </is>
      </c>
      <c r="W659" s="41" t="n">
        <v>1</v>
      </c>
      <c r="X659" s="37">
        <f>SUM(Y659:AE659)</f>
        <v/>
      </c>
      <c r="Y659" s="43" t="n"/>
      <c r="Z659" s="43" t="n"/>
      <c r="AA659" s="43" t="n"/>
      <c r="AB659" s="43" t="n"/>
      <c r="AC659" s="43" t="n"/>
      <c r="AD659" s="43" t="n">
        <v>1</v>
      </c>
      <c r="AE659" s="43" t="n"/>
      <c r="AF659" s="38">
        <f>IF((W659-SUM(Y659:AE659))&lt;0,0,W659-SUM(Y659:AE659))</f>
        <v/>
      </c>
      <c r="AG659" s="34">
        <f>MAX(0,$AT659-$W659-$AI659)</f>
        <v/>
      </c>
      <c r="AH659" s="38" t="n"/>
      <c r="AI659" s="38" t="n"/>
      <c r="AJ659" s="54" t="n">
        <v>0.28</v>
      </c>
      <c r="AK659" s="54">
        <f>IF(AND($AG659&gt;0,ISNUMBER($AJ659)),$AG659*$AJ659,0)</f>
        <v/>
      </c>
      <c r="AQ659" s="58" t="n"/>
      <c r="AT659" s="37">
        <f>SUM(AU659:BA659)</f>
        <v/>
      </c>
      <c r="AU659" s="73" t="n"/>
      <c r="AV659" s="33" t="n"/>
      <c r="AW659" s="33" t="n"/>
      <c r="AX659" s="33" t="n"/>
      <c r="AY659" s="33" t="n"/>
      <c r="AZ659" s="98" t="n">
        <v>1</v>
      </c>
      <c r="BA659" s="74" t="n"/>
      <c r="BB659" s="47" t="n"/>
      <c r="BC659" s="42" t="n"/>
      <c r="BD659" s="42" t="n"/>
    </row>
    <row r="660" ht="15" customHeight="1" s="148">
      <c r="A660" t="inlineStr">
        <is>
          <t>c0656</t>
        </is>
      </c>
      <c r="B660" s="47" t="inlineStr">
        <is>
          <t>Spirit of Resilience</t>
        </is>
      </c>
      <c r="C660" s="38" t="inlineStr">
        <is>
          <t>R</t>
        </is>
      </c>
      <c r="D660" s="47" t="inlineStr">
        <is>
          <t>Creature</t>
        </is>
      </c>
      <c r="E660" s="41" t="inlineStr">
        <is>
          <t>B2</t>
        </is>
      </c>
      <c r="F660" s="38" t="n">
        <v>3</v>
      </c>
      <c r="G660" s="67" t="inlineStr">
        <is>
          <t>Whenever one or more cards leave your graveyard, put a +1/+1 counter on this creature, then you may have this creature become a copy of an artifact or creature card from among those cards until end of turn.
(2/2)</t>
        </is>
      </c>
      <c r="H660" s="53" t="inlineStr">
        <is>
          <t>Value Engine</t>
        </is>
      </c>
      <c r="I660" s="53" t="inlineStr">
        <is>
          <t>Gets a +1/+1 counter whenever cards leave your graveyard</t>
        </is>
      </c>
      <c r="J660" s="53" t="inlineStr">
        <is>
          <t>May become a copy of an artifact/creature card that just left your graveyard until end of turn</t>
        </is>
      </c>
      <c r="K660" s="53" t="n"/>
      <c r="L660" s="41" t="n"/>
      <c r="M660" s="41" t="n"/>
      <c r="N660" s="41" t="n"/>
      <c r="O660" s="41" t="n"/>
      <c r="P660" s="41" t="n">
        <v>0.18</v>
      </c>
      <c r="Q660" s="41" t="n"/>
      <c r="R660" s="41" t="n"/>
      <c r="S660" s="41" t="n"/>
      <c r="T660" s="41" t="n"/>
      <c r="U660" s="41" t="n"/>
      <c r="V660" s="53" t="inlineStr">
        <is>
          <t>Secrets of Strixhaven Commander</t>
        </is>
      </c>
      <c r="W660" s="41" t="n">
        <v>1</v>
      </c>
      <c r="X660" s="37">
        <f>SUM(Y660:AE660)</f>
        <v/>
      </c>
      <c r="Y660" s="43" t="n"/>
      <c r="Z660" s="43" t="n"/>
      <c r="AA660" s="43" t="n"/>
      <c r="AB660" s="43" t="n"/>
      <c r="AC660" s="43" t="n"/>
      <c r="AD660" s="43" t="n"/>
      <c r="AE660" s="43" t="n"/>
      <c r="AF660" s="38">
        <f>IF((W660-SUM(Y660:AE660))&lt;0,0,W660-SUM(Y660:AE660))</f>
        <v/>
      </c>
      <c r="AG660" s="34">
        <f>MAX(0,$AT660-$W660-$AI660)</f>
        <v/>
      </c>
      <c r="AH660" s="38" t="n"/>
      <c r="AI660" s="38" t="n"/>
      <c r="AJ660" s="54" t="n">
        <v>0.17</v>
      </c>
      <c r="AK660" s="54">
        <f>IF(AND($AG660&gt;0,ISNUMBER($AJ660)),$AG660*$AJ660,0)</f>
        <v/>
      </c>
      <c r="AT660" s="37">
        <f>SUM(AU660:BA660)</f>
        <v/>
      </c>
      <c r="AU660" s="73" t="n"/>
      <c r="AV660" s="33" t="n"/>
      <c r="AW660" s="33" t="n"/>
      <c r="AX660" s="33" t="n"/>
      <c r="AY660" s="33" t="n"/>
      <c r="AZ660" s="33" t="n"/>
      <c r="BA660" s="74" t="n"/>
      <c r="BB660" s="47" t="n"/>
      <c r="BC660" s="42" t="n"/>
      <c r="BD660" s="42" t="n"/>
    </row>
    <row r="661" ht="15" customHeight="1" s="148">
      <c r="A661" t="inlineStr">
        <is>
          <t>c0657</t>
        </is>
      </c>
      <c r="B661" s="44" t="inlineStr">
        <is>
          <t>Squee, Dubious Monarch</t>
        </is>
      </c>
      <c r="C661" s="34" t="inlineStr">
        <is>
          <t>R</t>
        </is>
      </c>
      <c r="D661" s="44" t="inlineStr">
        <is>
          <t>Legendary Creature</t>
        </is>
      </c>
      <c r="E661" s="41" t="inlineStr">
        <is>
          <t>B2</t>
        </is>
      </c>
      <c r="F661" s="34" t="n">
        <v>3</v>
      </c>
      <c r="G661" s="67" t="inlineStr">
        <is>
          <t>Haste
Whenever Squee attacks, create a 1/1 red Goblin creature token that's tapped and attacking.
You may cast this card from your graveyard by paying {3}{R} and exiling four other cards from your graveyard rather than paying its mana cost.
(2/2)</t>
        </is>
      </c>
      <c r="H661" s="45" t="inlineStr">
        <is>
          <t>Token Producer</t>
        </is>
      </c>
      <c r="I661" s="45" t="inlineStr">
        <is>
          <t>Can attack the turn it enters</t>
        </is>
      </c>
      <c r="J661" s="45" t="inlineStr">
        <is>
          <t>Attacking creates a tapped and attacking 1/1 Goblin token</t>
        </is>
      </c>
      <c r="K661" s="45" t="inlineStr">
        <is>
          <t>Can be cast from graveyard by exiling four other graveyard cards instead of paying its cost</t>
        </is>
      </c>
      <c r="L661" s="42" t="n"/>
      <c r="M661" s="42" t="n"/>
      <c r="N661" s="42" t="n"/>
      <c r="O661" s="42" t="n"/>
      <c r="P661" s="42" t="n">
        <v>0.77</v>
      </c>
      <c r="Q661" s="42" t="n"/>
      <c r="R661" s="42" t="n"/>
      <c r="S661" s="42" t="n"/>
      <c r="T661" s="42" t="n"/>
      <c r="U661" s="42" t="n"/>
      <c r="V661" s="45" t="inlineStr">
        <is>
          <t>Dominaria United</t>
        </is>
      </c>
      <c r="W661" s="41" t="n">
        <v>1</v>
      </c>
      <c r="X661" s="37">
        <f>SUM(Y661:AE661)</f>
        <v/>
      </c>
      <c r="Y661" s="43" t="n"/>
      <c r="Z661" s="43" t="n"/>
      <c r="AA661" s="43" t="n"/>
      <c r="AB661" s="43" t="n"/>
      <c r="AC661" s="43" t="n"/>
      <c r="AD661" s="43" t="n">
        <v>1</v>
      </c>
      <c r="AE661" s="43" t="n"/>
      <c r="AF661" s="38">
        <f>IF((W661-SUM(Y661:AE661))&lt;0,0,W661-SUM(Y661:AE661))</f>
        <v/>
      </c>
      <c r="AG661" s="34">
        <f>MAX(0,$AT661-$W661-$AI661)</f>
        <v/>
      </c>
      <c r="AH661" s="34" t="n"/>
      <c r="AI661" s="34" t="n"/>
      <c r="AJ661" s="36" t="n">
        <v>0.67</v>
      </c>
      <c r="AK661" s="36">
        <f>IF(AND($AG661&gt;0,ISNUMBER($AJ661)),$AG661*$AJ661,0)</f>
        <v/>
      </c>
      <c r="AT661" s="37">
        <f>SUM(AU661:BA661)</f>
        <v/>
      </c>
      <c r="AU661" s="73" t="n"/>
      <c r="AV661" s="33" t="n"/>
      <c r="AW661" s="33" t="n"/>
      <c r="AX661" s="33" t="n"/>
      <c r="AY661" s="33" t="n"/>
      <c r="AZ661" s="98" t="n">
        <v>1</v>
      </c>
      <c r="BA661" s="74" t="n"/>
      <c r="BB661" s="106" t="n"/>
      <c r="BC661" s="42" t="n"/>
      <c r="BD661" s="42" t="n"/>
    </row>
    <row r="662" ht="15" customHeight="1" s="148">
      <c r="A662" t="inlineStr">
        <is>
          <t>c0658</t>
        </is>
      </c>
      <c r="B662" s="44" t="inlineStr">
        <is>
          <t>Squee, Goblin Nabob</t>
        </is>
      </c>
      <c r="C662" s="34" t="inlineStr">
        <is>
          <t>R</t>
        </is>
      </c>
      <c r="D662" s="44" t="inlineStr">
        <is>
          <t>Legendary Creature</t>
        </is>
      </c>
      <c r="E662" s="41" t="inlineStr">
        <is>
          <t>B2</t>
        </is>
      </c>
      <c r="F662" s="34" t="n">
        <v>3</v>
      </c>
      <c r="G662" s="67" t="inlineStr">
        <is>
          <t>At the beginning of your upkeep, you may return this card from your graveyard to your hand.
(1/1)</t>
        </is>
      </c>
      <c r="H662" s="45" t="inlineStr">
        <is>
          <t>Recursion</t>
        </is>
      </c>
      <c r="I662" s="45" t="inlineStr">
        <is>
          <t>Upkeep: you may return this card from graveyard to your hand</t>
        </is>
      </c>
      <c r="J662" s="45" t="n"/>
      <c r="K662" s="45" t="n"/>
      <c r="L662" s="41" t="n"/>
      <c r="M662" s="41" t="n"/>
      <c r="N662" s="41" t="n"/>
      <c r="O662" s="63" t="n"/>
      <c r="P662" s="63" t="n">
        <v>0.27</v>
      </c>
      <c r="Q662" s="41" t="n"/>
      <c r="R662" s="41" t="n"/>
      <c r="S662" s="41" t="n"/>
      <c r="T662" s="63" t="n"/>
      <c r="U662" s="63" t="n"/>
      <c r="V662" s="45" t="inlineStr">
        <is>
          <t>Mercadian Masques</t>
        </is>
      </c>
      <c r="W662" s="41" t="n">
        <v>1</v>
      </c>
      <c r="X662" s="37">
        <f>SUM(Y662:AE662)</f>
        <v/>
      </c>
      <c r="Y662" s="43" t="n"/>
      <c r="Z662" s="43" t="n"/>
      <c r="AA662" s="43" t="n"/>
      <c r="AB662" s="43" t="n"/>
      <c r="AC662" s="43" t="n"/>
      <c r="AD662" s="43" t="n"/>
      <c r="AE662" s="43" t="n"/>
      <c r="AF662" s="38">
        <f>IF((W662-SUM(Y662:AE662))&lt;0,0,W662-SUM(Y662:AE662))</f>
        <v/>
      </c>
      <c r="AG662" s="34">
        <f>MAX(0,$AT662-$W662-$AI662)</f>
        <v/>
      </c>
      <c r="AH662" s="34" t="n"/>
      <c r="AI662" s="34" t="n"/>
      <c r="AJ662" s="36" t="n">
        <v>0.3</v>
      </c>
      <c r="AK662" s="36">
        <f>IF(AND($AG662&gt;0,ISNUMBER($AJ662)),$AG662*$AJ662,0)</f>
        <v/>
      </c>
      <c r="AT662" s="37">
        <f>SUM(AU662:BA662)</f>
        <v/>
      </c>
      <c r="AU662" s="73" t="n"/>
      <c r="AV662" s="33" t="n"/>
      <c r="AW662" s="33" t="n"/>
      <c r="AX662" s="33" t="n"/>
      <c r="AY662" s="33" t="n"/>
      <c r="AZ662" s="33" t="n"/>
      <c r="BA662" s="74" t="n"/>
      <c r="BB662" s="106" t="n"/>
      <c r="BC662" s="42" t="n"/>
      <c r="BD662" s="46" t="n"/>
    </row>
    <row r="663" ht="15" customHeight="1" s="148">
      <c r="A663" t="inlineStr">
        <is>
          <t>c0659</t>
        </is>
      </c>
      <c r="B663" s="87" t="inlineStr">
        <is>
          <t>Squee, the Immortal</t>
        </is>
      </c>
      <c r="C663" s="38" t="inlineStr">
        <is>
          <t>R</t>
        </is>
      </c>
      <c r="D663" s="47" t="inlineStr">
        <is>
          <t>Legendary Creature</t>
        </is>
      </c>
      <c r="E663" s="41" t="inlineStr">
        <is>
          <t>B2</t>
        </is>
      </c>
      <c r="F663" s="38" t="n">
        <v>3</v>
      </c>
      <c r="G663" s="67" t="inlineStr">
        <is>
          <t>You may cast this card from your graveyard or from exile.
(2/1)</t>
        </is>
      </c>
      <c r="H663" s="53" t="inlineStr">
        <is>
          <t>Recursion</t>
        </is>
      </c>
      <c r="I663" s="53" t="inlineStr">
        <is>
          <t>You may cast this card from your graveyard or from exile</t>
        </is>
      </c>
      <c r="J663" s="53" t="n"/>
      <c r="K663" s="53" t="n"/>
      <c r="L663" s="41" t="n"/>
      <c r="M663" s="41" t="n"/>
      <c r="N663" s="41" t="n"/>
      <c r="O663" s="41" t="n"/>
      <c r="P663" s="41" t="n">
        <v>1.44</v>
      </c>
      <c r="Q663" s="41" t="n"/>
      <c r="R663" s="41" t="n"/>
      <c r="S663" s="41" t="n"/>
      <c r="T663" s="41" t="n"/>
      <c r="U663" s="41" t="n"/>
      <c r="V663" s="53" t="inlineStr">
        <is>
          <t>Dominaria</t>
        </is>
      </c>
      <c r="W663" s="41" t="n">
        <v>1</v>
      </c>
      <c r="X663" s="37">
        <f>SUM(Y663:AE663)</f>
        <v/>
      </c>
      <c r="Y663" s="43" t="n">
        <v>1</v>
      </c>
      <c r="Z663" s="43" t="n"/>
      <c r="AA663" s="43" t="n"/>
      <c r="AB663" s="43" t="n"/>
      <c r="AC663" s="43" t="n"/>
      <c r="AD663" s="43" t="n"/>
      <c r="AE663" s="43" t="n"/>
      <c r="AF663" s="38">
        <f>IF((W663-SUM(Y663:AE663))&lt;0,0,W663-SUM(Y663:AE663))</f>
        <v/>
      </c>
      <c r="AG663" s="34">
        <f>MAX(0,$AT663-$W663-$AI663)</f>
        <v/>
      </c>
      <c r="AH663" s="38" t="n"/>
      <c r="AI663" s="38" t="n"/>
      <c r="AJ663" s="54" t="n">
        <v>1.37</v>
      </c>
      <c r="AK663" s="54">
        <f>IF(AND($AG663&gt;0,ISNUMBER($AJ663)),$AG663*$AJ663,0)</f>
        <v/>
      </c>
      <c r="AT663" s="37">
        <f>SUM(AU663:BA663)</f>
        <v/>
      </c>
      <c r="AU663" s="82" t="n">
        <v>1</v>
      </c>
      <c r="AV663" s="33" t="n"/>
      <c r="AW663" s="33" t="n"/>
      <c r="AX663" s="33" t="n"/>
      <c r="AY663" s="33" t="n"/>
      <c r="AZ663" s="33" t="n"/>
      <c r="BA663" s="74" t="n"/>
      <c r="BB663" s="47" t="n"/>
      <c r="BC663" s="42" t="n"/>
      <c r="BD663" s="42" t="n"/>
    </row>
    <row r="664" ht="15" customHeight="1" s="148">
      <c r="A664" t="inlineStr">
        <is>
          <t>c0660</t>
        </is>
      </c>
      <c r="B664" s="95" t="inlineStr">
        <is>
          <t>Steal the Show</t>
        </is>
      </c>
      <c r="C664" s="33" t="inlineStr">
        <is>
          <t>R</t>
        </is>
      </c>
      <c r="D664" s="32" t="inlineStr">
        <is>
          <t>Sorcery</t>
        </is>
      </c>
      <c r="E664" s="33" t="inlineStr">
        <is>
          <t>B2</t>
        </is>
      </c>
      <c r="F664" s="32" t="n">
        <v>3</v>
      </c>
      <c r="G664" s="67" t="inlineStr">
        <is>
          <t>Choose one or both —
• Target player discards any number of cards, then draws that many cards.
• Steal the Show deals damage equal to the number of instant and sorcery cards in your graveyard to target creature or planeswalker.</t>
        </is>
      </c>
      <c r="H664" s="32" t="inlineStr">
        <is>
          <t>Discard/Looting</t>
        </is>
      </c>
      <c r="I664" s="32" t="inlineStr">
        <is>
          <t>Choose one or both — target player discards any number of cards, then draws that many</t>
        </is>
      </c>
      <c r="J664" s="32" t="inlineStr">
        <is>
          <t>And/or deal damage equal to the instants and sorceries in your graveyard to a creature or planeswalker</t>
        </is>
      </c>
      <c r="K664" s="32" t="n"/>
      <c r="L664" s="32" t="inlineStr">
        <is>
          <t>130</t>
        </is>
      </c>
      <c r="M664" s="32" t="n">
        <v>1</v>
      </c>
      <c r="N664" s="32" t="n">
        <v>0</v>
      </c>
      <c r="O664" s="63" t="inlineStr">
        <is>
          <t>Pauline Voss</t>
        </is>
      </c>
      <c r="P664" s="63" t="n">
        <v>0.28</v>
      </c>
      <c r="Q664" s="32" t="inlineStr">
        <is>
          <t>Rare</t>
        </is>
      </c>
      <c r="R664" s="32" t="n"/>
      <c r="S664" s="32" t="n"/>
      <c r="T664" s="63" t="n"/>
      <c r="U664" s="63" t="n"/>
      <c r="V664" s="32" t="inlineStr">
        <is>
          <t>Secrets of Strixhaven</t>
        </is>
      </c>
      <c r="W664" s="41" t="n">
        <v>1</v>
      </c>
      <c r="X664" s="37">
        <f>SUM(Y664:AE664)</f>
        <v/>
      </c>
      <c r="Y664" s="43" t="n"/>
      <c r="Z664" s="43" t="n"/>
      <c r="AA664" s="43" t="n"/>
      <c r="AB664" s="43" t="n"/>
      <c r="AC664" s="43" t="n"/>
      <c r="AD664" s="43" t="n"/>
      <c r="AE664" s="43" t="n"/>
      <c r="AF664" s="38">
        <f>IF((W664-SUM(Y664:AE664))&lt;0,0,W664-SUM(Y664:AE664))</f>
        <v/>
      </c>
      <c r="AG664" s="34">
        <f>MAX(0,$AT664-$W664-$AI664)</f>
        <v/>
      </c>
      <c r="AH664" s="32" t="n"/>
      <c r="AI664" s="32" t="n"/>
      <c r="AJ664" s="32" t="n">
        <v>0.28</v>
      </c>
      <c r="AK664" s="54">
        <f>IF(AND($AG664&gt;0,ISNUMBER($AJ664)),$AG664*$AJ664,0)</f>
        <v/>
      </c>
      <c r="AT664" s="37">
        <f>SUM(AU664:BA664)</f>
        <v/>
      </c>
      <c r="AU664" s="73" t="n"/>
      <c r="AV664" s="33" t="n"/>
      <c r="AW664" s="33" t="n"/>
      <c r="AX664" s="33" t="n"/>
      <c r="AY664" s="33" t="n"/>
      <c r="AZ664" s="33" t="n"/>
      <c r="BA664" s="74" t="n"/>
      <c r="BB664" s="32" t="n"/>
      <c r="BC664" s="32" t="n"/>
      <c r="BD664" s="32" t="n"/>
    </row>
    <row r="665" ht="15" customHeight="1" s="148">
      <c r="A665" t="inlineStr">
        <is>
          <t>c0661</t>
        </is>
      </c>
      <c r="B665" s="87" t="inlineStr">
        <is>
          <t>Tempt with Vengeance</t>
        </is>
      </c>
      <c r="C665" s="38" t="inlineStr">
        <is>
          <t>R</t>
        </is>
      </c>
      <c r="D665" s="47" t="inlineStr">
        <is>
          <t>Sorcery</t>
        </is>
      </c>
      <c r="E665" s="41" t="inlineStr">
        <is>
          <t>B2</t>
        </is>
      </c>
      <c r="F665" s="38" t="n">
        <v>1</v>
      </c>
      <c r="G665" s="67" t="inlineStr">
        <is>
          <t>Tempting offer — Create X 1/1 red Elemental creature tokens with haste. Each opponent may create X 1/1 red Elemental creature tokens with haste. For each opponent who does, create X 1/1 red Elemental creature tokens with haste.</t>
        </is>
      </c>
      <c r="H665" s="53" t="inlineStr">
        <is>
          <t>Token Producer</t>
        </is>
      </c>
      <c r="I665" s="53" t="inlineStr">
        <is>
          <t>Creates X 1/1 hasty Elemental tokens</t>
        </is>
      </c>
      <c r="J665" s="53" t="inlineStr">
        <is>
          <t>Opponents may match it, then you get that many more tokens</t>
        </is>
      </c>
      <c r="K665" s="53" t="n"/>
      <c r="L665" s="42" t="n"/>
      <c r="M665" s="42" t="n"/>
      <c r="N665" s="42" t="n"/>
      <c r="O665" s="63" t="n"/>
      <c r="P665" s="63" t="n">
        <v>0.33</v>
      </c>
      <c r="Q665" s="42" t="n"/>
      <c r="R665" s="42" t="n"/>
      <c r="S665" s="42" t="n"/>
      <c r="T665" s="63" t="n"/>
      <c r="U665" s="63" t="n"/>
      <c r="V665" s="53" t="inlineStr">
        <is>
          <t>Commander 2013</t>
        </is>
      </c>
      <c r="W665" s="41" t="n">
        <v>1</v>
      </c>
      <c r="X665" s="37">
        <f>SUM(Y665:AE665)</f>
        <v/>
      </c>
      <c r="Y665" s="43" t="n"/>
      <c r="Z665" s="43" t="n"/>
      <c r="AA665" s="43" t="n"/>
      <c r="AB665" s="43" t="n"/>
      <c r="AC665" s="43" t="n"/>
      <c r="AD665" s="43" t="n"/>
      <c r="AE665" s="43" t="n"/>
      <c r="AF665" s="38">
        <f>IF((W665-SUM(Y665:AE665))&lt;0,0,W665-SUM(Y665:AE665))</f>
        <v/>
      </c>
      <c r="AG665" s="34">
        <f>MAX(0,$AT665-$W665-$AI665)</f>
        <v/>
      </c>
      <c r="AH665" s="38" t="n"/>
      <c r="AI665" s="38" t="n"/>
      <c r="AJ665" s="54" t="n">
        <v>0.32</v>
      </c>
      <c r="AK665" s="54">
        <f>IF(AND($AG665&gt;0,ISNUMBER($AJ665)),$AG665*$AJ665,0)</f>
        <v/>
      </c>
      <c r="AT665" s="37">
        <f>SUM(AU665:BA665)</f>
        <v/>
      </c>
      <c r="AU665" s="73" t="n"/>
      <c r="AV665" s="33" t="n"/>
      <c r="AW665" s="33" t="n"/>
      <c r="AX665" s="33" t="n"/>
      <c r="AY665" s="33" t="n"/>
      <c r="AZ665" s="33" t="n"/>
      <c r="BA665" s="74" t="n"/>
      <c r="BB665" s="47" t="n"/>
      <c r="BC665" s="42" t="n"/>
      <c r="BD665" s="42" t="n"/>
    </row>
    <row r="666" ht="15" customHeight="1" s="148">
      <c r="A666" t="inlineStr">
        <is>
          <t>c0662</t>
        </is>
      </c>
      <c r="B666" s="101" t="inlineStr">
        <is>
          <t>The Misty Mountains Cold</t>
        </is>
      </c>
      <c r="C666" s="41" t="inlineStr">
        <is>
          <t>R</t>
        </is>
      </c>
      <c r="D666" s="42" t="inlineStr">
        <is>
          <t>Enchantment</t>
        </is>
      </c>
      <c r="E666" s="41" t="inlineStr">
        <is>
          <t>B2</t>
        </is>
      </c>
      <c r="F666" s="41" t="n">
        <v>3</v>
      </c>
      <c r="G666" s="67" t="inlineStr">
        <is>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is>
      </c>
      <c r="H666" s="42" t="inlineStr">
        <is>
          <t>Ramp</t>
        </is>
      </c>
      <c r="I666" s="42" t="inlineStr">
        <is>
          <t>Chapters I through IV: create a Treasure token</t>
        </is>
      </c>
      <c r="J666" s="42" t="inlineStr">
        <is>
          <t>Sacrifice it once you control four or more Treasures to create a 6/6 red Dragon token with flying</t>
        </is>
      </c>
      <c r="K666" s="42" t="n"/>
      <c r="L666" s="42" t="n"/>
      <c r="M666" s="42" t="n"/>
      <c r="N666" s="42" t="n"/>
      <c r="O666" s="63" t="n"/>
      <c r="P666" s="63" t="n"/>
      <c r="Q666" s="42" t="n"/>
      <c r="R666" s="42" t="n"/>
      <c r="S666" s="42" t="n"/>
      <c r="T666" s="63" t="n"/>
      <c r="U666" s="63" t="n"/>
      <c r="V666" s="42" t="inlineStr">
        <is>
          <t>The Hobbit</t>
        </is>
      </c>
      <c r="W666" s="41" t="n">
        <v>1</v>
      </c>
      <c r="X666" s="37">
        <f>SUM(Y666:AE666)</f>
        <v/>
      </c>
      <c r="Y666" s="43" t="n"/>
      <c r="Z666" s="43" t="n"/>
      <c r="AA666" s="43" t="n"/>
      <c r="AB666" s="43" t="n"/>
      <c r="AC666" s="43" t="n"/>
      <c r="AD666" s="43" t="n"/>
      <c r="AE666" s="43" t="n"/>
      <c r="AF666" s="38">
        <f>IF((W666-SUM(Y666:AE666))&lt;0,0,W666-SUM(Y666:AE666))</f>
        <v/>
      </c>
      <c r="AG666" s="34">
        <f>MAX(0,$AT666-$W666-$AI666)</f>
        <v/>
      </c>
      <c r="AH666" s="42" t="n"/>
      <c r="AI666" s="42" t="n"/>
      <c r="AJ666" s="42" t="n">
        <v>0.3</v>
      </c>
      <c r="AK666" s="42">
        <f>IF(AND($AG666&gt;0,ISNUMBER($AJ666)),$AG666*$AJ666,0)</f>
        <v/>
      </c>
      <c r="AT666" s="37">
        <f>SUM(AU666:BA666)</f>
        <v/>
      </c>
      <c r="AU666" s="73" t="n"/>
      <c r="AV666" s="33" t="n"/>
      <c r="AW666" s="33" t="n"/>
      <c r="AX666" s="33" t="n"/>
      <c r="AY666" s="33" t="n"/>
      <c r="AZ666" s="33" t="n"/>
      <c r="BA666" s="74" t="n"/>
      <c r="BB666" s="42" t="n"/>
      <c r="BC666" s="42" t="n"/>
      <c r="BD666" s="42" t="n"/>
    </row>
    <row r="667" ht="15" customHeight="1" s="148">
      <c r="A667" t="inlineStr">
        <is>
          <t>c0663</t>
        </is>
      </c>
      <c r="B667" s="87" t="inlineStr">
        <is>
          <t>Thrill of Possibility</t>
        </is>
      </c>
      <c r="C667" s="38" t="inlineStr">
        <is>
          <t>R</t>
        </is>
      </c>
      <c r="D667" s="47" t="inlineStr">
        <is>
          <t>Instant</t>
        </is>
      </c>
      <c r="E667" s="41" t="inlineStr">
        <is>
          <t>B2</t>
        </is>
      </c>
      <c r="F667" s="38" t="n">
        <v>2</v>
      </c>
      <c r="G667" s="67" t="inlineStr">
        <is>
          <t>As an additional cost to cast this spell, discard a card.
Draw two cards.</t>
        </is>
      </c>
      <c r="H667" s="53" t="inlineStr">
        <is>
          <t>Card Draw</t>
        </is>
      </c>
      <c r="I667" s="53" t="inlineStr">
        <is>
          <t>Discard a card as an additional cost</t>
        </is>
      </c>
      <c r="J667" s="53" t="inlineStr">
        <is>
          <t>Draw two cards</t>
        </is>
      </c>
      <c r="K667" s="53" t="n"/>
      <c r="L667" s="42" t="n"/>
      <c r="M667" s="42" t="n"/>
      <c r="N667" s="42" t="n"/>
      <c r="O667" s="42" t="n"/>
      <c r="P667" s="42" t="n">
        <v>0.36</v>
      </c>
      <c r="Q667" s="42" t="n"/>
      <c r="R667" s="42" t="n"/>
      <c r="S667" s="42" t="n"/>
      <c r="T667" s="42" t="n"/>
      <c r="U667" s="42" t="n"/>
      <c r="V667" s="53" t="inlineStr">
        <is>
          <t>Throne of Eldraine</t>
        </is>
      </c>
      <c r="W667" s="41" t="n">
        <v>1</v>
      </c>
      <c r="X667" s="37">
        <f>SUM(Y667:AE667)</f>
        <v/>
      </c>
      <c r="Y667" s="43" t="n"/>
      <c r="Z667" s="43" t="n"/>
      <c r="AA667" s="43" t="n"/>
      <c r="AB667" s="43" t="n"/>
      <c r="AC667" s="43" t="n"/>
      <c r="AD667" s="43" t="n">
        <v>1</v>
      </c>
      <c r="AE667" s="43" t="n"/>
      <c r="AF667" s="38">
        <f>IF((W667-SUM(Y667:AE667))&lt;0,0,W667-SUM(Y667:AE667))</f>
        <v/>
      </c>
      <c r="AG667" s="34">
        <f>MAX(0,$AT667-$W667-$AI667)</f>
        <v/>
      </c>
      <c r="AH667" s="38" t="n"/>
      <c r="AI667" s="38" t="n"/>
      <c r="AJ667" s="54" t="n">
        <v>0.3</v>
      </c>
      <c r="AK667" s="54">
        <f>IF(AND($AG667&gt;0,ISNUMBER($AJ667)),$AG667*$AJ667,0)</f>
        <v/>
      </c>
      <c r="AQ667" s="58" t="inlineStr">
        <is>
          <t>BL0021</t>
        </is>
      </c>
      <c r="AT667" s="37">
        <f>SUM(AU667:BA667)</f>
        <v/>
      </c>
      <c r="AU667" s="73" t="n">
        <v>1</v>
      </c>
      <c r="AV667" s="33" t="n"/>
      <c r="AW667" s="33" t="n"/>
      <c r="AX667" s="33" t="n"/>
      <c r="AY667" s="33" t="n"/>
      <c r="AZ667" s="100" t="n"/>
      <c r="BA667" s="74" t="n"/>
      <c r="BB667" s="47" t="n"/>
      <c r="BC667" s="42" t="n"/>
      <c r="BD667" s="42" t="n"/>
    </row>
    <row r="668" ht="15" customHeight="1" s="148">
      <c r="A668" t="inlineStr">
        <is>
          <t>c0664</t>
        </is>
      </c>
      <c r="B668" s="101" t="inlineStr">
        <is>
          <t>Tidings of War</t>
        </is>
      </c>
      <c r="C668" s="41" t="inlineStr">
        <is>
          <t>R</t>
        </is>
      </c>
      <c r="D668" s="42" t="inlineStr">
        <is>
          <t>Sorcery</t>
        </is>
      </c>
      <c r="E668" s="41" t="inlineStr">
        <is>
          <t>B2</t>
        </is>
      </c>
      <c r="F668" s="41" t="n">
        <v>1</v>
      </c>
      <c r="G668" s="67" t="inlineStr">
        <is>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is>
      </c>
      <c r="H668" s="42" t="inlineStr">
        <is>
          <t>Token Producer</t>
        </is>
      </c>
      <c r="I668" s="42" t="inlineStr">
        <is>
          <t>Amass Goblins 1. If this spell was cast from a graveyard, amass Goblins 3 instead</t>
        </is>
      </c>
      <c r="J668" s="42" t="inlineStr">
        <is>
          <t>Flashback {3}{R}</t>
        </is>
      </c>
      <c r="K668" s="42" t="n"/>
      <c r="L668" s="42" t="inlineStr">
        <is>
          <t>115</t>
        </is>
      </c>
      <c r="M668" s="42" t="n">
        <v>1</v>
      </c>
      <c r="N668" s="42" t="n">
        <v>0</v>
      </c>
      <c r="O668" s="63" t="inlineStr">
        <is>
          <t>Pavel Kolomeyets</t>
        </is>
      </c>
      <c r="P668" s="63" t="n">
        <v>0.12</v>
      </c>
      <c r="Q668" s="42" t="inlineStr">
        <is>
          <t>Common</t>
        </is>
      </c>
      <c r="R668" s="42" t="n"/>
      <c r="S668" s="42" t="n"/>
      <c r="T668" s="63" t="n"/>
      <c r="U668" s="63" t="n"/>
      <c r="V668" s="42" t="inlineStr">
        <is>
          <t>The Hobbit</t>
        </is>
      </c>
      <c r="W668" s="41" t="n">
        <v>2</v>
      </c>
      <c r="X668" s="37">
        <f>SUM(Y668:AE668)</f>
        <v/>
      </c>
      <c r="Y668" s="43" t="n"/>
      <c r="Z668" s="43" t="n"/>
      <c r="AA668" s="43" t="n"/>
      <c r="AB668" s="43" t="n"/>
      <c r="AC668" s="43" t="n"/>
      <c r="AD668" s="43" t="n">
        <v>1</v>
      </c>
      <c r="AE668" s="43" t="n"/>
      <c r="AF668" s="38">
        <f>IF((W668-SUM(Y668:AE668))&lt;0,0,W668-SUM(Y668:AE668))</f>
        <v/>
      </c>
      <c r="AG668" s="34">
        <f>MAX(0,$AT668-$W668-$AI668)</f>
        <v/>
      </c>
      <c r="AH668" s="42" t="n"/>
      <c r="AI668" s="42" t="n"/>
      <c r="AJ668" s="42" t="n">
        <v>0.2</v>
      </c>
      <c r="AK668" s="42">
        <f>IF(AND($AG668&gt;0,ISNUMBER($AJ668)),$AG668*$AJ668,0)</f>
        <v/>
      </c>
      <c r="AL668" s="58" t="n"/>
      <c r="AQ668" s="58" t="n"/>
      <c r="AT668" s="37">
        <f>SUM(AU668:BA668)</f>
        <v/>
      </c>
      <c r="AU668" s="73" t="n"/>
      <c r="AV668" s="33" t="n"/>
      <c r="AW668" s="33" t="n"/>
      <c r="AX668" s="33" t="n"/>
      <c r="AY668" s="33" t="n"/>
      <c r="AZ668" s="98" t="n">
        <v>1</v>
      </c>
      <c r="BA668" s="74" t="n"/>
      <c r="BB668" s="42" t="n"/>
      <c r="BC668" s="42" t="n"/>
      <c r="BD668" s="42" t="n"/>
    </row>
    <row r="669" ht="15" customHeight="1" s="148">
      <c r="A669" t="inlineStr">
        <is>
          <t>c0665</t>
        </is>
      </c>
      <c r="B669" s="95" t="inlineStr">
        <is>
          <t>Tome Blast</t>
        </is>
      </c>
      <c r="C669" s="33" t="inlineStr">
        <is>
          <t>R</t>
        </is>
      </c>
      <c r="D669" s="32" t="inlineStr">
        <is>
          <t>Sorcery</t>
        </is>
      </c>
      <c r="E669" s="33" t="inlineStr">
        <is>
          <t>B2</t>
        </is>
      </c>
      <c r="F669" s="32" t="n">
        <v>2</v>
      </c>
      <c r="G669" s="67" t="inlineStr">
        <is>
          <t>Tome Blast deals 2 damage to any target.
Flashback {4}{R} (You may cast this card from your graveyard for its flashback cost. Then exile it.)</t>
        </is>
      </c>
      <c r="H669" s="32" t="inlineStr">
        <is>
          <t>Burn</t>
        </is>
      </c>
      <c r="I669" s="32" t="inlineStr">
        <is>
          <t>Deals 2 damage to any target</t>
        </is>
      </c>
      <c r="J669" s="32" t="inlineStr">
        <is>
          <t>Flashback {4}{R}</t>
        </is>
      </c>
      <c r="K669" s="32" t="n"/>
      <c r="L669" s="32" t="inlineStr">
        <is>
          <t>135</t>
        </is>
      </c>
      <c r="M669" s="32" t="n">
        <v>2</v>
      </c>
      <c r="N669" s="32" t="n">
        <v>0</v>
      </c>
      <c r="O669" s="63" t="inlineStr">
        <is>
          <t>Filipe Pagliuso</t>
        </is>
      </c>
      <c r="P669" s="63" t="n">
        <v>0.11</v>
      </c>
      <c r="Q669" s="32" t="inlineStr">
        <is>
          <t>Common</t>
        </is>
      </c>
      <c r="R669" s="32" t="n"/>
      <c r="S669" s="32" t="n"/>
      <c r="T669" s="63" t="n"/>
      <c r="U669" s="63" t="n"/>
      <c r="V669" s="32" t="inlineStr">
        <is>
          <t>Secrets of Strixhaven</t>
        </is>
      </c>
      <c r="W669" s="41" t="n">
        <v>2</v>
      </c>
      <c r="X669" s="37">
        <f>SUM(Y669:AE669)</f>
        <v/>
      </c>
      <c r="Y669" s="43" t="n"/>
      <c r="Z669" s="43" t="n"/>
      <c r="AA669" s="43" t="n"/>
      <c r="AB669" s="43" t="n"/>
      <c r="AC669" s="43" t="n"/>
      <c r="AD669" s="43" t="n"/>
      <c r="AE669" s="43" t="n"/>
      <c r="AF669" s="38">
        <f>IF((W669-SUM(Y669:AE669))&lt;0,0,W669-SUM(Y669:AE669))</f>
        <v/>
      </c>
      <c r="AG669" s="34">
        <f>MAX(0,$AT669-$W669-$AI669)</f>
        <v/>
      </c>
      <c r="AH669" s="32" t="n"/>
      <c r="AI669" s="32" t="n"/>
      <c r="AJ669" s="32" t="n">
        <v>0.11</v>
      </c>
      <c r="AK669" s="54">
        <f>IF(AND($AG669&gt;0,ISNUMBER($AJ669)),$AG669*$AJ669,0)</f>
        <v/>
      </c>
      <c r="AT669" s="37">
        <f>SUM(AU669:BA669)</f>
        <v/>
      </c>
      <c r="AU669" s="73" t="n"/>
      <c r="AV669" s="33" t="n"/>
      <c r="AW669" s="33" t="n"/>
      <c r="AX669" s="33" t="n"/>
      <c r="AY669" s="33" t="n"/>
      <c r="AZ669" s="33" t="n"/>
      <c r="BA669" s="74" t="n"/>
      <c r="BB669" s="32" t="n"/>
      <c r="BC669" s="32" t="n"/>
      <c r="BD669" s="32" t="n"/>
    </row>
    <row r="670" ht="15" customHeight="1" s="148">
      <c r="A670" t="inlineStr">
        <is>
          <t>c0666</t>
        </is>
      </c>
      <c r="B670" s="30" t="inlineStr">
        <is>
          <t>Tormenting Voice</t>
        </is>
      </c>
      <c r="C670" s="31" t="inlineStr">
        <is>
          <t>R</t>
        </is>
      </c>
      <c r="D670" s="30" t="inlineStr">
        <is>
          <t>Sorcery</t>
        </is>
      </c>
      <c r="E670" s="33" t="inlineStr">
        <is>
          <t>B2</t>
        </is>
      </c>
      <c r="F670" s="30" t="n">
        <v>2</v>
      </c>
      <c r="G670" s="67" t="inlineStr">
        <is>
          <t>As an additional cost to cast this spell, discard a card.
Draw two cards.</t>
        </is>
      </c>
      <c r="H670" s="30" t="inlineStr">
        <is>
          <t>Card Draw</t>
        </is>
      </c>
      <c r="I670" s="30" t="inlineStr">
        <is>
          <t>Discard a card as an additional cost, then draw two cards</t>
        </is>
      </c>
      <c r="J670" s="30" t="n"/>
      <c r="K670" s="30" t="n"/>
      <c r="L670" s="32" t="n"/>
      <c r="M670" s="32" t="n"/>
      <c r="N670" s="32" t="n"/>
      <c r="O670" s="63" t="n"/>
      <c r="P670" s="63" t="n"/>
      <c r="Q670" s="32" t="n"/>
      <c r="R670" s="32" t="n"/>
      <c r="S670" s="32" t="n"/>
      <c r="T670" s="63" t="n"/>
      <c r="U670" s="63" t="n"/>
      <c r="V670" s="30" t="inlineStr">
        <is>
          <t>Khans of Tarkir</t>
        </is>
      </c>
      <c r="W670" s="41" t="n">
        <v>1</v>
      </c>
      <c r="X670" s="37">
        <f>SUM(Y670:AE670)</f>
        <v/>
      </c>
      <c r="Y670" s="43" t="n"/>
      <c r="Z670" s="43" t="n"/>
      <c r="AA670" s="43" t="n"/>
      <c r="AB670" s="43" t="n"/>
      <c r="AC670" s="43" t="n"/>
      <c r="AD670" s="43" t="n">
        <v>1</v>
      </c>
      <c r="AE670" s="43" t="n"/>
      <c r="AF670" s="38">
        <f>IF((W670-SUM(Y670:AE670))&lt;0,0,W670-SUM(Y670:AE670))</f>
        <v/>
      </c>
      <c r="AG670" s="34">
        <f>MAX(0,$AT670-$W670-$AI670)</f>
        <v/>
      </c>
      <c r="AH670" s="30" t="n"/>
      <c r="AI670" s="30" t="n"/>
      <c r="AJ670" s="30" t="n">
        <v>0.05</v>
      </c>
      <c r="AK670" s="36">
        <f>IF(AND($AG670&gt;0,ISNUMBER($AJ670)),$AG670*$AJ670,0)</f>
        <v/>
      </c>
      <c r="AR670" s="58" t="n"/>
      <c r="AT670" s="37">
        <f>SUM(AU670:BA670)</f>
        <v/>
      </c>
      <c r="AU670" s="73" t="n"/>
      <c r="AV670" s="33" t="n"/>
      <c r="AW670" s="33" t="n"/>
      <c r="AX670" s="33" t="n"/>
      <c r="AY670" s="33" t="n"/>
      <c r="AZ670" s="98" t="n">
        <v>1</v>
      </c>
      <c r="BA670" s="79" t="n"/>
      <c r="BB670" s="108" t="n"/>
      <c r="BC670" s="32" t="n"/>
      <c r="BD670" s="32" t="n"/>
    </row>
    <row r="671" ht="15" customHeight="1" s="148">
      <c r="A671" t="inlineStr">
        <is>
          <t>c0667</t>
        </is>
      </c>
      <c r="B671" s="44" t="inlineStr">
        <is>
          <t>Tweeze</t>
        </is>
      </c>
      <c r="C671" s="34" t="inlineStr">
        <is>
          <t>R</t>
        </is>
      </c>
      <c r="D671" s="44" t="inlineStr">
        <is>
          <t>Instant</t>
        </is>
      </c>
      <c r="E671" s="41" t="inlineStr">
        <is>
          <t>B2</t>
        </is>
      </c>
      <c r="F671" s="34" t="n">
        <v>3</v>
      </c>
      <c r="G671" s="67" t="inlineStr">
        <is>
          <t>Tweeze deals 3 damage to any target. You may discard a card. If you do, draw a card.</t>
        </is>
      </c>
      <c r="H671" s="45" t="inlineStr">
        <is>
          <t>Burn</t>
        </is>
      </c>
      <c r="I671" s="45" t="inlineStr">
        <is>
          <t>Deals 3 damage to any target</t>
        </is>
      </c>
      <c r="J671" s="45" t="inlineStr">
        <is>
          <t>May discard a card to draw a card</t>
        </is>
      </c>
      <c r="K671" s="45" t="n"/>
      <c r="L671" s="42" t="inlineStr">
        <is>
          <t>162</t>
        </is>
      </c>
      <c r="M671" s="42" t="n">
        <v>1</v>
      </c>
      <c r="N671" s="42" t="n">
        <v>0</v>
      </c>
      <c r="O671" s="42" t="inlineStr">
        <is>
          <t>Scott Gustafson</t>
        </is>
      </c>
      <c r="P671" s="42" t="n">
        <v>0.14</v>
      </c>
      <c r="Q671" s="42" t="inlineStr">
        <is>
          <t>Common</t>
        </is>
      </c>
      <c r="R671" s="42" t="n"/>
      <c r="S671" s="42" t="n"/>
      <c r="T671" s="42" t="n"/>
      <c r="U671" s="42" t="n"/>
      <c r="V671" s="45" t="inlineStr">
        <is>
          <t>Lorwyn Eclipsed</t>
        </is>
      </c>
      <c r="W671" s="41" t="n">
        <v>2</v>
      </c>
      <c r="X671" s="37">
        <f>SUM(Y671:AE671)</f>
        <v/>
      </c>
      <c r="Y671" s="43" t="n"/>
      <c r="Z671" s="43" t="n"/>
      <c r="AA671" s="43" t="n"/>
      <c r="AB671" s="43" t="n"/>
      <c r="AC671" s="43" t="n"/>
      <c r="AD671" s="43" t="n"/>
      <c r="AE671" s="43" t="n"/>
      <c r="AF671" s="38">
        <f>IF((W671-SUM(Y671:AE671))&lt;0,0,W671-SUM(Y671:AE671))</f>
        <v/>
      </c>
      <c r="AG671" s="34">
        <f>MAX(0,$AT671-$W671-$AI671)</f>
        <v/>
      </c>
      <c r="AH671" s="34" t="n"/>
      <c r="AI671" s="34" t="n"/>
      <c r="AJ671" s="36" t="n">
        <v>0.15</v>
      </c>
      <c r="AK671" s="36">
        <f>IF(AND($AG671&gt;0,ISNUMBER($AJ671)),$AG671*$AJ671,0)</f>
        <v/>
      </c>
      <c r="AT671" s="37">
        <f>SUM(AU671:BA671)</f>
        <v/>
      </c>
      <c r="AU671" s="73" t="n"/>
      <c r="AV671" s="33" t="n"/>
      <c r="AW671" s="33" t="n"/>
      <c r="AX671" s="33" t="n"/>
      <c r="AY671" s="33" t="n"/>
      <c r="AZ671" s="33" t="n"/>
      <c r="BA671" s="74" t="n"/>
      <c r="BB671" s="106" t="n"/>
      <c r="BC671" s="42" t="n"/>
      <c r="BD671" s="42" t="n"/>
    </row>
    <row r="672" ht="15" customHeight="1" s="148">
      <c r="A672" t="inlineStr">
        <is>
          <t>c0668</t>
        </is>
      </c>
      <c r="B672" s="44" t="inlineStr">
        <is>
          <t>Underworld Breach</t>
        </is>
      </c>
      <c r="C672" s="34" t="inlineStr">
        <is>
          <t>R</t>
        </is>
      </c>
      <c r="D672" s="44" t="inlineStr">
        <is>
          <t>Enchantment</t>
        </is>
      </c>
      <c r="E672" s="41" t="inlineStr">
        <is>
          <t>B3</t>
        </is>
      </c>
      <c r="F672" s="34" t="n">
        <v>2</v>
      </c>
      <c r="G672" s="67" t="inlineStr">
        <is>
          <t>Each nonland card in your graveyard has escape. The escape cost is equal to the card's mana cost plus exile three other cards from your graveyard. (You may cast cards from your graveyard for their escape cost.)
At the beginning of the end step, sacrifice this enchantment.</t>
        </is>
      </c>
      <c r="H672" s="45" t="inlineStr">
        <is>
          <t>Recursion</t>
        </is>
      </c>
      <c r="I672" s="45" t="inlineStr">
        <is>
          <t xml:space="preserve">Each nonland card in your graveyard has escape. The escape cost is equal to the card's mana cost plus exile three other </t>
        </is>
      </c>
      <c r="J672" s="45" t="n"/>
      <c r="K672" s="45" t="n"/>
      <c r="L672" s="42" t="n"/>
      <c r="M672" s="42" t="n"/>
      <c r="N672" s="42" t="n"/>
      <c r="O672" s="42" t="n"/>
      <c r="P672" s="42" t="n">
        <v>10.79</v>
      </c>
      <c r="Q672" s="42" t="n"/>
      <c r="R672" s="42" t="n"/>
      <c r="S672" s="42" t="n"/>
      <c r="T672" s="42" t="n"/>
      <c r="U672" s="42" t="n"/>
      <c r="V672" s="45" t="inlineStr">
        <is>
          <t>Theros Beyond Death</t>
        </is>
      </c>
      <c r="W672" s="41" t="n">
        <v>1</v>
      </c>
      <c r="X672" s="37">
        <f>SUM(Y672:AE672)</f>
        <v/>
      </c>
      <c r="Y672" s="43" t="n"/>
      <c r="Z672" s="43" t="n"/>
      <c r="AA672" s="43" t="n"/>
      <c r="AB672" s="43" t="n"/>
      <c r="AC672" s="43" t="n"/>
      <c r="AD672" s="43" t="n"/>
      <c r="AE672" s="43" t="n"/>
      <c r="AF672" s="38">
        <f>IF((W672-SUM(Y672:AE672))&lt;0,0,W672-SUM(Y672:AE672))</f>
        <v/>
      </c>
      <c r="AG672" s="34">
        <f>MAX(0,$AT672-$W672-$AI672)</f>
        <v/>
      </c>
      <c r="AH672" s="34" t="n"/>
      <c r="AI672" s="34" t="n"/>
      <c r="AJ672" s="36" t="n">
        <v>7.35</v>
      </c>
      <c r="AK672" s="36">
        <f>IF(AND($AG672&gt;0,ISNUMBER($AJ672)),$AG672*$AJ672,0)</f>
        <v/>
      </c>
      <c r="AT672" s="37">
        <f>SUM(AU672:BA672)</f>
        <v/>
      </c>
      <c r="AU672" s="73" t="n"/>
      <c r="AV672" s="33" t="n"/>
      <c r="AW672" s="33" t="n"/>
      <c r="AX672" s="33" t="n"/>
      <c r="AY672" s="33" t="n"/>
      <c r="AZ672" s="33" t="n"/>
      <c r="BA672" s="74" t="n"/>
      <c r="BB672" s="106" t="n"/>
      <c r="BC672" s="42" t="n"/>
      <c r="BD672" s="46" t="n"/>
    </row>
    <row r="673" ht="15" customHeight="1" s="148">
      <c r="A673" t="inlineStr">
        <is>
          <t>c0669</t>
        </is>
      </c>
      <c r="B673" s="44" t="inlineStr">
        <is>
          <t>Unexpected Windfall</t>
        </is>
      </c>
      <c r="C673" s="34" t="inlineStr">
        <is>
          <t>R</t>
        </is>
      </c>
      <c r="D673" s="44" t="inlineStr">
        <is>
          <t>Instant</t>
        </is>
      </c>
      <c r="E673" s="41" t="inlineStr">
        <is>
          <t>B2</t>
        </is>
      </c>
      <c r="F673" s="34" t="n">
        <v>4</v>
      </c>
      <c r="G673" s="67" t="inlineStr">
        <is>
          <t>As an additional cost to cast this spell, discard a card.
Draw two cards and create two Treasure tokens. (They're artifacts with "{T}, Sacrifice this token: Add one mana of any color.")</t>
        </is>
      </c>
      <c r="H673" s="45" t="inlineStr">
        <is>
          <t>Value Engine</t>
        </is>
      </c>
      <c r="I673" s="45" t="inlineStr">
        <is>
          <t>As an additional cost to cast this spell, discard a card</t>
        </is>
      </c>
      <c r="J673" s="45" t="inlineStr">
        <is>
          <t>Draw two cards and create two Treasure tokens</t>
        </is>
      </c>
      <c r="K673" s="45" t="n"/>
      <c r="L673" s="42" t="n"/>
      <c r="M673" s="42" t="n"/>
      <c r="N673" s="42" t="n"/>
      <c r="O673" s="42" t="n"/>
      <c r="P673" s="42" t="n">
        <v>3.34</v>
      </c>
      <c r="Q673" s="42" t="n"/>
      <c r="R673" s="42" t="n"/>
      <c r="S673" s="42" t="n"/>
      <c r="T673" s="42" t="n"/>
      <c r="U673" s="42" t="n"/>
      <c r="V673" s="45" t="inlineStr">
        <is>
          <t>Adventures in the Forgotten Realms</t>
        </is>
      </c>
      <c r="W673" s="41" t="n">
        <v>0</v>
      </c>
      <c r="X673" s="37">
        <f>SUM(Y673:AE673)</f>
        <v/>
      </c>
      <c r="Y673" s="43" t="n"/>
      <c r="Z673" s="43" t="n"/>
      <c r="AA673" s="43" t="n"/>
      <c r="AB673" s="43" t="n"/>
      <c r="AC673" s="43" t="n"/>
      <c r="AD673" s="43" t="n"/>
      <c r="AE673" s="43" t="n"/>
      <c r="AF673" s="38">
        <f>IF((W673-SUM(Y673:AE673))&lt;0,0,W673-SUM(Y673:AE673))</f>
        <v/>
      </c>
      <c r="AG673" s="34">
        <f>MAX(0,$AT673-$W673-$AI673)</f>
        <v/>
      </c>
      <c r="AH673" s="34" t="n"/>
      <c r="AI673" s="34" t="n"/>
      <c r="AJ673" s="36" t="n">
        <v>3.34</v>
      </c>
      <c r="AK673" s="36">
        <f>IF(AND($AG673&gt;0,ISNUMBER($AJ673)),$AG673*$AJ673,0)</f>
        <v/>
      </c>
      <c r="AL673" s="54" t="n"/>
      <c r="AM673" s="54" t="n"/>
      <c r="AN673" s="54" t="n"/>
      <c r="AO673" s="54" t="n"/>
      <c r="AP673" s="54" t="n"/>
      <c r="AQ673" s="54" t="n"/>
      <c r="AR673" s="54" t="n"/>
      <c r="AS673" s="54" t="n"/>
      <c r="AT673" s="37">
        <f>SUM(AU673:BA673)</f>
        <v/>
      </c>
      <c r="AU673" s="92" t="n"/>
      <c r="AV673" s="38" t="n"/>
      <c r="AW673" s="38" t="n"/>
      <c r="AX673" s="38" t="n"/>
      <c r="AY673" s="38" t="n"/>
      <c r="AZ673" s="38" t="n"/>
      <c r="BA673" s="94" t="n"/>
      <c r="BB673" s="106" t="n"/>
      <c r="BC673" s="42" t="n"/>
      <c r="BD673" s="46" t="n"/>
    </row>
    <row r="674" ht="15" customHeight="1" s="148">
      <c r="A674" t="inlineStr">
        <is>
          <t>c0670</t>
        </is>
      </c>
      <c r="B674" s="44" t="inlineStr">
        <is>
          <t>Valakut Exploration</t>
        </is>
      </c>
      <c r="C674" s="34" t="inlineStr">
        <is>
          <t>R</t>
        </is>
      </c>
      <c r="D674" s="44" t="inlineStr">
        <is>
          <t>Enchantment</t>
        </is>
      </c>
      <c r="E674" s="41" t="inlineStr">
        <is>
          <t>B2</t>
        </is>
      </c>
      <c r="F674" s="34" t="n">
        <v>3</v>
      </c>
      <c r="G674" s="67" t="inlineStr">
        <is>
          <t>Landfall — Whenever a land you control enters, exile the top card of your library. You may play that card for as long as it remains exiled.
At the beginning of your end step, if there are cards exiled with this enchantment, put them into their owner's graveyard, then this enchantment deals that much damage to each opponent.</t>
        </is>
      </c>
      <c r="H674" s="45" t="inlineStr">
        <is>
          <t>Card Advantage</t>
        </is>
      </c>
      <c r="I674" s="45" t="inlineStr">
        <is>
          <t>A land you control entering exiles the top library card, playable while exiled</t>
        </is>
      </c>
      <c r="J674" s="45" t="inlineStr">
        <is>
          <t>End step: cards exiled this way go to graveyard and deal that much damage to each opponent</t>
        </is>
      </c>
      <c r="K674" s="45" t="n"/>
      <c r="L674" s="41" t="n"/>
      <c r="M674" s="41" t="n"/>
      <c r="N674" s="41" t="n"/>
      <c r="O674" s="41" t="n"/>
      <c r="P674" s="41" t="n">
        <v>3.97</v>
      </c>
      <c r="Q674" s="41" t="n"/>
      <c r="R674" s="41" t="n"/>
      <c r="S674" s="41" t="n"/>
      <c r="T674" s="41" t="n"/>
      <c r="U674" s="41" t="n"/>
      <c r="V674" s="45" t="inlineStr">
        <is>
          <t>Zendikar Rising</t>
        </is>
      </c>
      <c r="W674" s="41" t="n">
        <v>1</v>
      </c>
      <c r="X674" s="37">
        <f>SUM(Y674:AE674)</f>
        <v/>
      </c>
      <c r="Y674" s="43" t="n">
        <v>1</v>
      </c>
      <c r="Z674" s="43" t="n"/>
      <c r="AA674" s="43" t="n"/>
      <c r="AB674" s="43" t="n"/>
      <c r="AC674" s="43" t="n"/>
      <c r="AD674" s="43" t="n"/>
      <c r="AE674" s="43" t="n"/>
      <c r="AF674" s="38">
        <f>IF((W674-SUM(Y674:AE674))&lt;0,0,W674-SUM(Y674:AE674))</f>
        <v/>
      </c>
      <c r="AG674" s="34">
        <f>MAX(0,$AT674-$W674-$AI674)</f>
        <v/>
      </c>
      <c r="AH674" s="34" t="n"/>
      <c r="AI674" s="34" t="n"/>
      <c r="AJ674" s="36" t="n">
        <v>4.11</v>
      </c>
      <c r="AK674" s="36">
        <f>IF(AND($AG674&gt;0,ISNUMBER($AJ674)),$AG674*$AJ674,0)</f>
        <v/>
      </c>
      <c r="AT674" s="37">
        <f>SUM(AU674:BA674)</f>
        <v/>
      </c>
      <c r="AU674" s="82" t="n">
        <v>1</v>
      </c>
      <c r="AV674" s="33" t="n"/>
      <c r="AW674" s="33" t="n"/>
      <c r="AX674" s="33" t="n"/>
      <c r="AY674" s="33" t="n"/>
      <c r="AZ674" s="33" t="n"/>
      <c r="BA674" s="74" t="n"/>
      <c r="BB674" s="106" t="n"/>
      <c r="BC674" s="42" t="n"/>
      <c r="BD674" s="46" t="n"/>
    </row>
    <row r="675" ht="15" customHeight="1" s="148">
      <c r="A675" t="inlineStr">
        <is>
          <t>c0671</t>
        </is>
      </c>
      <c r="B675" s="44" t="inlineStr">
        <is>
          <t>Vandalblast</t>
        </is>
      </c>
      <c r="C675" s="34" t="inlineStr">
        <is>
          <t>R</t>
        </is>
      </c>
      <c r="D675" s="44" t="inlineStr">
        <is>
          <t>Sorcery</t>
        </is>
      </c>
      <c r="E675" s="41" t="inlineStr">
        <is>
          <t>B3</t>
        </is>
      </c>
      <c r="F675" s="34" t="n">
        <v>1</v>
      </c>
      <c r="G675" s="67" t="inlineStr">
        <is>
          <t>Destroy target artifact you don't control.
Overload {4}{R} (You may cast this spell for its overload cost. If you do, change "target" in its text to "each.")</t>
        </is>
      </c>
      <c r="H675" s="45" t="inlineStr">
        <is>
          <t>Artifact/Enchantment Removal</t>
        </is>
      </c>
      <c r="I675" s="45" t="inlineStr">
        <is>
          <t>Destroys target artifact you don't control</t>
        </is>
      </c>
      <c r="J675" s="45" t="inlineStr">
        <is>
          <t>Overload {4}{R}: destroys every artifact you don't control</t>
        </is>
      </c>
      <c r="K675" s="45" t="n"/>
      <c r="L675" s="42" t="n"/>
      <c r="M675" s="42" t="n"/>
      <c r="N675" s="42" t="n"/>
      <c r="O675" s="42" t="n"/>
      <c r="P675" s="42" t="n">
        <v>1.33</v>
      </c>
      <c r="Q675" s="42" t="n"/>
      <c r="R675" s="42" t="n"/>
      <c r="S675" s="42" t="n"/>
      <c r="T675" s="42" t="n"/>
      <c r="U675" s="42" t="n"/>
      <c r="V675" s="45" t="inlineStr">
        <is>
          <t>Return to Ravnica</t>
        </is>
      </c>
      <c r="W675" s="41" t="n">
        <v>1</v>
      </c>
      <c r="X675" s="37">
        <f>SUM(Y675:AE675)</f>
        <v/>
      </c>
      <c r="Y675" s="43" t="n"/>
      <c r="Z675" s="43" t="n"/>
      <c r="AA675" s="43" t="n"/>
      <c r="AB675" s="43" t="n"/>
      <c r="AC675" s="43" t="n"/>
      <c r="AD675" s="43" t="n">
        <v>1</v>
      </c>
      <c r="AE675" s="43" t="n"/>
      <c r="AF675" s="38">
        <f>IF((W675-SUM(Y675:AE675))&lt;0,0,W675-SUM(Y675:AE675))</f>
        <v/>
      </c>
      <c r="AG675" s="34">
        <f>MAX(0,$AT675-$W675-$AI675)</f>
        <v/>
      </c>
      <c r="AH675" s="34" t="n"/>
      <c r="AI675" s="34" t="n"/>
      <c r="AJ675" s="36" t="n">
        <v>1.51</v>
      </c>
      <c r="AK675" s="36">
        <f>IF(AND($AG675&gt;0,ISNUMBER($AJ675)),$AG675*$AJ675,0)</f>
        <v/>
      </c>
      <c r="AT675" s="37">
        <f>SUM(AU675:BA675)</f>
        <v/>
      </c>
      <c r="AU675" s="73" t="n"/>
      <c r="AV675" s="33" t="n"/>
      <c r="AW675" s="33" t="n"/>
      <c r="AX675" s="33" t="n"/>
      <c r="AY675" s="33" t="n"/>
      <c r="AZ675" s="98" t="n">
        <v>1</v>
      </c>
      <c r="BA675" s="74" t="n"/>
      <c r="BB675" s="106" t="n"/>
      <c r="BC675" s="42" t="n"/>
      <c r="BD675" s="46" t="n"/>
    </row>
    <row r="676" ht="15" customHeight="1" s="148">
      <c r="A676" t="inlineStr">
        <is>
          <t>c0672</t>
        </is>
      </c>
      <c r="B676" s="44" t="inlineStr">
        <is>
          <t>Voldaren Epicure</t>
        </is>
      </c>
      <c r="C676" s="34" t="inlineStr">
        <is>
          <t>R</t>
        </is>
      </c>
      <c r="D676" s="44" t="inlineStr">
        <is>
          <t>Creature</t>
        </is>
      </c>
      <c r="E676" s="41" t="inlineStr">
        <is>
          <t>B2</t>
        </is>
      </c>
      <c r="F676" s="34" t="n">
        <v>1</v>
      </c>
      <c r="G676" s="67" t="inlineStr">
        <is>
          <t>When this creature enters, it deals 1 damage to each opponent. Create a Blood token. (It's an artifact with "{1}, {T}, Discard a card, Sacrifice this token: Draw a card.")
(1/1)</t>
        </is>
      </c>
      <c r="H676" s="45" t="inlineStr">
        <is>
          <t>Burn</t>
        </is>
      </c>
      <c r="I676" s="45" t="inlineStr">
        <is>
          <t>Deals 1 damage to each opponent when it enters</t>
        </is>
      </c>
      <c r="J676" s="45" t="inlineStr">
        <is>
          <t>Creates a Blood token (sacrifice + discard: draw a card)</t>
        </is>
      </c>
      <c r="K676" s="45" t="n"/>
      <c r="L676" s="42" t="n"/>
      <c r="M676" s="42" t="n"/>
      <c r="N676" s="42" t="n"/>
      <c r="O676" s="42" t="n"/>
      <c r="P676" s="42" t="n">
        <v>0.36</v>
      </c>
      <c r="Q676" s="42" t="n"/>
      <c r="R676" s="42" t="n"/>
      <c r="S676" s="42" t="n"/>
      <c r="T676" s="42" t="n"/>
      <c r="U676" s="42" t="n"/>
      <c r="V676" s="45" t="inlineStr">
        <is>
          <t>Innistrad: Crimson Vow</t>
        </is>
      </c>
      <c r="W676" s="41" t="n">
        <v>1</v>
      </c>
      <c r="X676" s="37">
        <f>SUM(Y676:AE676)</f>
        <v/>
      </c>
      <c r="Y676" s="43" t="n"/>
      <c r="Z676" s="43" t="n"/>
      <c r="AA676" s="43" t="n"/>
      <c r="AB676" s="43" t="n"/>
      <c r="AC676" s="43" t="n"/>
      <c r="AD676" s="43" t="n"/>
      <c r="AE676" s="43" t="n"/>
      <c r="AF676" s="38">
        <f>IF((W676-SUM(Y676:AE676))&lt;0,0,W676-SUM(Y676:AE676))</f>
        <v/>
      </c>
      <c r="AG676" s="34">
        <f>MAX(0,$AT676-$W676-$AI676)</f>
        <v/>
      </c>
      <c r="AH676" s="34" t="n"/>
      <c r="AI676" s="34" t="n"/>
      <c r="AJ676" s="36" t="n">
        <v>0.33</v>
      </c>
      <c r="AK676" s="36">
        <f>IF(AND($AG676&gt;0,ISNUMBER($AJ676)),$AG676*$AJ676,0)</f>
        <v/>
      </c>
      <c r="AT676" s="37">
        <f>SUM(AU676:BA676)</f>
        <v/>
      </c>
      <c r="AU676" s="73" t="n"/>
      <c r="AV676" s="33" t="n"/>
      <c r="AW676" s="33" t="n"/>
      <c r="AX676" s="33" t="n"/>
      <c r="AY676" s="33" t="n"/>
      <c r="AZ676" s="33" t="n"/>
      <c r="BA676" s="74" t="n"/>
      <c r="BB676" s="106" t="n"/>
      <c r="BC676" s="42" t="n"/>
      <c r="BD676" s="46" t="n"/>
    </row>
    <row r="677" ht="15" customHeight="1" s="148">
      <c r="A677" t="inlineStr">
        <is>
          <t>c0673</t>
        </is>
      </c>
      <c r="B677" s="39" t="inlineStr">
        <is>
          <t>Wartime Protestors</t>
        </is>
      </c>
      <c r="C677" s="40" t="inlineStr">
        <is>
          <t>R</t>
        </is>
      </c>
      <c r="D677" s="39" t="inlineStr">
        <is>
          <t>Creature</t>
        </is>
      </c>
      <c r="E677" s="41" t="inlineStr">
        <is>
          <t>B2</t>
        </is>
      </c>
      <c r="F677" s="40" t="n">
        <v>4</v>
      </c>
      <c r="G677" s="67" t="inlineStr">
        <is>
          <t>Haste
Whenever another Ally you control enters, put a +1/+1 counter on that creature and it gains haste until end of turn.
(4/4)</t>
        </is>
      </c>
      <c r="H677" s="39" t="inlineStr">
        <is>
          <t>Haste Enabler</t>
        </is>
      </c>
      <c r="I677" s="39" t="inlineStr">
        <is>
          <t>Whenever another Ally you control enters, put a +1/+1 counter on that creature and it gains haste until end of turn</t>
        </is>
      </c>
      <c r="J677" s="39" t="inlineStr">
        <is>
          <t>Haste</t>
        </is>
      </c>
      <c r="K677" s="39" t="n"/>
      <c r="L677" s="42" t="n"/>
      <c r="M677" s="42" t="n"/>
      <c r="N677" s="42" t="n"/>
      <c r="O677" s="63" t="n"/>
      <c r="P677" s="63" t="n"/>
      <c r="Q677" s="42" t="n"/>
      <c r="R677" s="42" t="n"/>
      <c r="S677" s="42" t="n"/>
      <c r="T677" s="63" t="n"/>
      <c r="U677" s="63" t="n"/>
      <c r="V677" s="39" t="inlineStr">
        <is>
          <t>Avatar: The Last Airbender</t>
        </is>
      </c>
      <c r="W677" s="41" t="n">
        <v>1</v>
      </c>
      <c r="X677" s="37">
        <f>SUM(Y677:AE677)</f>
        <v/>
      </c>
      <c r="Y677" s="43" t="n"/>
      <c r="Z677" s="43" t="n"/>
      <c r="AA677" s="43" t="n"/>
      <c r="AB677" s="43" t="n"/>
      <c r="AC677" s="43" t="n"/>
      <c r="AD677" s="43" t="n"/>
      <c r="AE677" s="43" t="n"/>
      <c r="AF677" s="38">
        <f>IF((W677-SUM(Y677:AE677))&lt;0,0,W677-SUM(Y677:AE677))</f>
        <v/>
      </c>
      <c r="AG677" s="34">
        <f>MAX(0,$AT677-$W677-$AI677)</f>
        <v/>
      </c>
      <c r="AH677" s="39" t="n"/>
      <c r="AI677" s="39" t="n"/>
      <c r="AJ677" s="39" t="n">
        <v>0.27</v>
      </c>
      <c r="AK677" s="39">
        <f>IF(AND($AG677&gt;0,ISNUMBER($AJ677)),$AG677*$AJ677,0)</f>
        <v/>
      </c>
      <c r="AT677" s="37">
        <f>SUM(AU677:BA677)</f>
        <v/>
      </c>
      <c r="AU677" s="73" t="n"/>
      <c r="AV677" s="33" t="n"/>
      <c r="AW677" s="33" t="n"/>
      <c r="AX677" s="33" t="n"/>
      <c r="AY677" s="33" t="n"/>
      <c r="AZ677" s="33" t="n"/>
      <c r="BA677" s="74" t="n"/>
      <c r="BB677" s="107" t="n"/>
      <c r="BC677" s="42" t="n"/>
      <c r="BD677" s="42" t="n"/>
    </row>
    <row r="678" ht="15" customHeight="1" s="148">
      <c r="A678" t="inlineStr">
        <is>
          <t>c0674</t>
        </is>
      </c>
      <c r="B678" s="44" t="inlineStr">
        <is>
          <t>Witty Roastmaster</t>
        </is>
      </c>
      <c r="C678" s="34" t="inlineStr">
        <is>
          <t>R</t>
        </is>
      </c>
      <c r="D678" s="44" t="inlineStr">
        <is>
          <t>Creature</t>
        </is>
      </c>
      <c r="E678" s="41" t="inlineStr">
        <is>
          <t>B2</t>
        </is>
      </c>
      <c r="F678" s="34" t="n">
        <v>3</v>
      </c>
      <c r="G678" s="67" t="inlineStr">
        <is>
          <t>Alliance — Whenever another creature you control enters, this creature deals 1 damage to each opponent.
(3/2)</t>
        </is>
      </c>
      <c r="H678" s="45" t="inlineStr">
        <is>
          <t>Burn</t>
        </is>
      </c>
      <c r="I678" s="45" t="inlineStr">
        <is>
          <t>Whenever another creature you control enters, deals 1 damage to each opponent</t>
        </is>
      </c>
      <c r="J678" s="45" t="n"/>
      <c r="K678" s="45" t="n"/>
      <c r="L678" s="42" t="n"/>
      <c r="M678" s="42" t="n"/>
      <c r="N678" s="42" t="n"/>
      <c r="O678" s="42" t="n"/>
      <c r="P678" s="42" t="n">
        <v>1.37</v>
      </c>
      <c r="Q678" s="42" t="n"/>
      <c r="R678" s="42" t="n"/>
      <c r="S678" s="42" t="n"/>
      <c r="T678" s="42" t="n"/>
      <c r="U678" s="42" t="n"/>
      <c r="V678" s="45" t="inlineStr">
        <is>
          <t>Streets of New Capenna</t>
        </is>
      </c>
      <c r="W678" s="41" t="n">
        <v>1</v>
      </c>
      <c r="X678" s="37">
        <f>SUM(Y678:AE678)</f>
        <v/>
      </c>
      <c r="Y678" s="43" t="n"/>
      <c r="Z678" s="43" t="n"/>
      <c r="AA678" s="43" t="n"/>
      <c r="AB678" s="43" t="n"/>
      <c r="AC678" s="43" t="n"/>
      <c r="AD678" s="43" t="n">
        <v>1</v>
      </c>
      <c r="AE678" s="43" t="n"/>
      <c r="AF678" s="38">
        <f>IF((W678-SUM(Y678:AE678))&lt;0,0,W678-SUM(Y678:AE678))</f>
        <v/>
      </c>
      <c r="AG678" s="34">
        <f>MAX(0,$AT678-$W678-$AI678)</f>
        <v/>
      </c>
      <c r="AH678" s="34" t="n"/>
      <c r="AI678" s="34" t="n"/>
      <c r="AJ678" s="36" t="n">
        <v>1.45</v>
      </c>
      <c r="AK678" s="36">
        <f>IF(AND($AG678&gt;0,ISNUMBER($AJ678)),$AG678*$AJ678,0)</f>
        <v/>
      </c>
      <c r="AT678" s="37">
        <f>SUM(AU678:BA678)</f>
        <v/>
      </c>
      <c r="AU678" s="73" t="n"/>
      <c r="AV678" s="33" t="n"/>
      <c r="AW678" s="33" t="n"/>
      <c r="AX678" s="33" t="n"/>
      <c r="AY678" s="33" t="n"/>
      <c r="AZ678" s="98" t="n">
        <v>1</v>
      </c>
      <c r="BA678" s="74" t="n"/>
      <c r="BB678" s="106" t="n"/>
      <c r="BC678" s="42" t="n"/>
      <c r="BD678" s="42" t="n"/>
    </row>
    <row r="679" ht="15" customHeight="1" s="148">
      <c r="A679" t="inlineStr">
        <is>
          <t>c0675</t>
        </is>
      </c>
      <c r="B679" s="44" t="inlineStr">
        <is>
          <t>Aetherize</t>
        </is>
      </c>
      <c r="C679" s="34" t="inlineStr">
        <is>
          <t>U</t>
        </is>
      </c>
      <c r="D679" s="44" t="inlineStr">
        <is>
          <t>Instant</t>
        </is>
      </c>
      <c r="E679" s="41" t="inlineStr">
        <is>
          <t>B2</t>
        </is>
      </c>
      <c r="F679" s="34" t="n">
        <v>4</v>
      </c>
      <c r="G679" s="67" t="inlineStr">
        <is>
          <t>Return all attacking creatures to their owner's hand.</t>
        </is>
      </c>
      <c r="H679" s="45" t="inlineStr">
        <is>
          <t>Interaction</t>
        </is>
      </c>
      <c r="I679" s="45" t="inlineStr">
        <is>
          <t>Returns all attacking creatures to their owners' hands</t>
        </is>
      </c>
      <c r="J679" s="45" t="n"/>
      <c r="K679" s="45" t="n"/>
      <c r="L679" s="42" t="n"/>
      <c r="M679" s="42" t="n"/>
      <c r="N679" s="42" t="n"/>
      <c r="O679" s="63" t="n"/>
      <c r="P679" s="63" t="n">
        <v>0.62</v>
      </c>
      <c r="Q679" s="42" t="n"/>
      <c r="R679" s="42" t="n"/>
      <c r="S679" s="42" t="n"/>
      <c r="T679" s="63" t="n"/>
      <c r="U679" s="63" t="n"/>
      <c r="V679" s="45" t="inlineStr">
        <is>
          <t>Gatecrash</t>
        </is>
      </c>
      <c r="W679" s="41" t="n">
        <v>1</v>
      </c>
      <c r="X679" s="37">
        <f>SUM(Y679:AE679)</f>
        <v/>
      </c>
      <c r="Y679" s="43" t="n"/>
      <c r="Z679" s="43" t="n"/>
      <c r="AA679" s="43" t="n"/>
      <c r="AB679" s="43" t="n"/>
      <c r="AC679" s="43" t="n"/>
      <c r="AD679" s="43" t="n"/>
      <c r="AE679" s="43" t="n">
        <v>1</v>
      </c>
      <c r="AF679" s="38">
        <f>IF((W679-SUM(Y679:AE679))&lt;0,0,W679-SUM(Y679:AE679))</f>
        <v/>
      </c>
      <c r="AG679" s="34">
        <f>MAX(0,$AT679-$W679-$AI679)</f>
        <v/>
      </c>
      <c r="AH679" s="34" t="n"/>
      <c r="AI679" s="34" t="n"/>
      <c r="AJ679" s="36" t="n">
        <v>0.62</v>
      </c>
      <c r="AK679" s="36">
        <f>IF(AND($AG679&gt;0,ISNUMBER($AJ679)),$AG679*$AJ679,0)</f>
        <v/>
      </c>
      <c r="AR679" s="58" t="inlineStr">
        <is>
          <t>BL0012</t>
        </is>
      </c>
      <c r="AT679" s="37">
        <f>SUM(AU679:BA679)</f>
        <v/>
      </c>
      <c r="AU679" s="73" t="n"/>
      <c r="AV679" s="33" t="n"/>
      <c r="AW679" s="33" t="n"/>
      <c r="AX679" s="33" t="n"/>
      <c r="AY679" s="33" t="n"/>
      <c r="AZ679" s="33" t="n"/>
      <c r="BA679" s="79" t="n"/>
      <c r="BB679" s="106" t="n"/>
      <c r="BC679" s="42" t="n"/>
      <c r="BD679" s="46" t="n"/>
    </row>
    <row r="680" ht="15" customHeight="1" s="148">
      <c r="A680" t="inlineStr">
        <is>
          <t>c0676</t>
        </is>
      </c>
      <c r="B680" s="30" t="inlineStr">
        <is>
          <t>Bilbo Baggins, Burglar // Take a Glance</t>
        </is>
      </c>
      <c r="C680" s="31" t="inlineStr">
        <is>
          <t>U</t>
        </is>
      </c>
      <c r="D680" s="30" t="inlineStr">
        <is>
          <t>Legendary Creature</t>
        </is>
      </c>
      <c r="E680" s="33" t="inlineStr">
        <is>
          <t>B2</t>
        </is>
      </c>
      <c r="F680" s="30" t="n">
        <v>3</v>
      </c>
      <c r="G680" s="67" t="inlineStr">
        <is>
          <t>Bilbo Baggins, Burglar {2}{U} — Legendary Creature — Halfling Rogue (2/1)
When Bilbo Baggins enters, draw a card.
//
Take a Glance {U} — Sorcery — Adventure
Scry 2. (Then exile this card. You may cast the creature later from exile.)</t>
        </is>
      </c>
      <c r="H680" s="30" t="inlineStr">
        <is>
          <t>Card Draw</t>
        </is>
      </c>
      <c r="I680" s="30" t="inlineStr">
        <is>
          <t>Enters: draw a card</t>
        </is>
      </c>
      <c r="J680" s="30" t="inlineStr">
        <is>
          <t>Take a Glance {U} — Adventure: scry 2, then cast Bilbo later from exile</t>
        </is>
      </c>
      <c r="K680" s="30" t="n"/>
      <c r="L680" s="32" t="inlineStr">
        <is>
          <t>34</t>
        </is>
      </c>
      <c r="M680" s="32" t="n">
        <v>2</v>
      </c>
      <c r="N680" s="32" t="n">
        <v>0</v>
      </c>
      <c r="O680" s="63" t="inlineStr">
        <is>
          <t>Kieran Yanner</t>
        </is>
      </c>
      <c r="P680" s="63" t="n">
        <v>0.14</v>
      </c>
      <c r="Q680" s="32" t="inlineStr">
        <is>
          <t>Common</t>
        </is>
      </c>
      <c r="R680" s="32" t="n"/>
      <c r="S680" s="32" t="n"/>
      <c r="T680" s="63" t="n"/>
      <c r="U680" s="63" t="n"/>
      <c r="V680" s="30" t="inlineStr">
        <is>
          <t>The Hobbit</t>
        </is>
      </c>
      <c r="W680" s="41" t="n">
        <v>3</v>
      </c>
      <c r="X680" s="37">
        <f>SUM(Y680:AE680)</f>
        <v/>
      </c>
      <c r="Y680" s="43" t="n"/>
      <c r="Z680" s="43" t="n">
        <v>1</v>
      </c>
      <c r="AA680" s="43" t="n"/>
      <c r="AB680" s="43" t="n"/>
      <c r="AC680" s="43" t="n"/>
      <c r="AD680" s="43" t="n"/>
      <c r="AE680" s="43" t="n"/>
      <c r="AF680" s="38">
        <f>IF((W680-SUM(Y680:AE680))&lt;0,0,W680-SUM(Y680:AE680))</f>
        <v/>
      </c>
      <c r="AG680" s="34">
        <f>MAX(0,$AT680-$W680-$AI680)</f>
        <v/>
      </c>
      <c r="AH680" s="30" t="n"/>
      <c r="AI680" s="30" t="n"/>
      <c r="AJ680" s="30" t="n">
        <v>0.14</v>
      </c>
      <c r="AK680" s="36">
        <f>IF(AND($AG680&gt;0,ISNUMBER($AJ680)),$AG680*$AJ680,0)</f>
        <v/>
      </c>
      <c r="AM680" s="58" t="n"/>
      <c r="AT680" s="37">
        <f>SUM(AU680:BA680)</f>
        <v/>
      </c>
      <c r="AU680" s="73" t="n"/>
      <c r="AV680" s="99" t="n"/>
      <c r="AW680" s="33" t="n"/>
      <c r="AX680" s="33" t="n"/>
      <c r="AY680" s="33" t="n"/>
      <c r="AZ680" s="33" t="n"/>
      <c r="BA680" s="74" t="n"/>
      <c r="BB680" s="108" t="n"/>
      <c r="BC680" s="32" t="n"/>
      <c r="BD680" s="97" t="n"/>
    </row>
    <row r="681" ht="15" customHeight="1" s="148">
      <c r="A681" t="inlineStr">
        <is>
          <t>c0677</t>
        </is>
      </c>
      <c r="B681" s="44" t="inlineStr">
        <is>
          <t>Blizzard Strix</t>
        </is>
      </c>
      <c r="C681" s="34" t="inlineStr">
        <is>
          <t>U</t>
        </is>
      </c>
      <c r="D681" s="44" t="inlineStr">
        <is>
          <t>Snow Creature</t>
        </is>
      </c>
      <c r="E681" s="41" t="inlineStr">
        <is>
          <t>B2</t>
        </is>
      </c>
      <c r="F681" s="34" t="n">
        <v>5</v>
      </c>
      <c r="G681" s="67" t="inlineStr">
        <is>
          <t>Flash
Flying
When this creature enters, if you control another snow permanent, exile target permanent other than this creature. Return that card to the battlefield under its owner's control at the beginning of the next end step.
(3/2)</t>
        </is>
      </c>
      <c r="H681" s="45" t="inlineStr">
        <is>
          <t>Blink</t>
        </is>
      </c>
      <c r="I681" s="45" t="inlineStr">
        <is>
          <t>Exiles target permanent when it enters if you control a snow permanent</t>
        </is>
      </c>
      <c r="J681" s="45" t="inlineStr">
        <is>
          <t>Returns that permanent at the next end step</t>
        </is>
      </c>
      <c r="K681" s="45" t="n"/>
      <c r="L681" s="42" t="n"/>
      <c r="M681" s="42" t="n"/>
      <c r="N681" s="42" t="n"/>
      <c r="O681" s="63" t="n"/>
      <c r="P681" s="63" t="n">
        <v>0.16</v>
      </c>
      <c r="Q681" s="42" t="n"/>
      <c r="R681" s="42" t="n"/>
      <c r="S681" s="42" t="n"/>
      <c r="T681" s="63" t="n"/>
      <c r="U681" s="63" t="n"/>
      <c r="V681" s="45" t="inlineStr">
        <is>
          <t>Modern Horizons</t>
        </is>
      </c>
      <c r="W681" s="41" t="n">
        <v>1</v>
      </c>
      <c r="X681" s="37">
        <f>SUM(Y681:AE681)</f>
        <v/>
      </c>
      <c r="Y681" s="43" t="n"/>
      <c r="Z681" s="43" t="n">
        <v>1</v>
      </c>
      <c r="AA681" s="43" t="n"/>
      <c r="AB681" s="43" t="n"/>
      <c r="AC681" s="43" t="n"/>
      <c r="AD681" s="43" t="n"/>
      <c r="AE681" s="43" t="n"/>
      <c r="AF681" s="38">
        <f>IF((W681-SUM(Y681:AE681))&lt;0,0,W681-SUM(Y681:AE681))</f>
        <v/>
      </c>
      <c r="AG681" s="34">
        <f>MAX(0,$AT681-$W681-$AI681)</f>
        <v/>
      </c>
      <c r="AH681" s="34" t="n"/>
      <c r="AI681" s="34" t="n"/>
      <c r="AJ681" s="36" t="n">
        <v>0.18</v>
      </c>
      <c r="AK681" s="36">
        <f>IF(AND($AG681&gt;0,ISNUMBER($AJ681)),$AG681*$AJ681,0)</f>
        <v/>
      </c>
      <c r="AT681" s="37">
        <f>SUM(AU681:BA681)</f>
        <v/>
      </c>
      <c r="AU681" s="73" t="n"/>
      <c r="AV681" s="98" t="n">
        <v>1</v>
      </c>
      <c r="AW681" s="33" t="n"/>
      <c r="AX681" s="33" t="n"/>
      <c r="AY681" s="33" t="n"/>
      <c r="AZ681" s="33" t="n"/>
      <c r="BA681" s="74" t="n"/>
      <c r="BB681" s="106" t="n"/>
      <c r="BC681" s="42" t="n"/>
      <c r="BD681" s="42" t="n"/>
    </row>
    <row r="682" ht="15" customHeight="1" s="148">
      <c r="A682" t="inlineStr">
        <is>
          <t>c0678</t>
        </is>
      </c>
      <c r="B682" s="39" t="inlineStr">
        <is>
          <t>Brainstorm</t>
        </is>
      </c>
      <c r="C682" s="40" t="inlineStr">
        <is>
          <t>U</t>
        </is>
      </c>
      <c r="D682" s="39" t="inlineStr">
        <is>
          <t>Instant</t>
        </is>
      </c>
      <c r="E682" s="41" t="inlineStr">
        <is>
          <t>B3</t>
        </is>
      </c>
      <c r="F682" s="40" t="n">
        <v>1</v>
      </c>
      <c r="G682" s="67" t="inlineStr">
        <is>
          <t>Draw three cards, then put two cards from your hand on top of your library in any order.</t>
        </is>
      </c>
      <c r="H682" s="39" t="inlineStr">
        <is>
          <t>Card Draw</t>
        </is>
      </c>
      <c r="I682" s="39" t="inlineStr">
        <is>
          <t>Draw three cards, then put two cards from your hand on top of your library in any order</t>
        </is>
      </c>
      <c r="J682" s="39" t="n"/>
      <c r="K682" s="39" t="n"/>
      <c r="L682" s="88" t="n"/>
      <c r="M682" s="41" t="n"/>
      <c r="N682" s="41" t="n"/>
      <c r="O682" s="63" t="n"/>
      <c r="P682" s="90" t="n"/>
      <c r="Q682" s="88" t="n"/>
      <c r="R682" s="41" t="n"/>
      <c r="S682" s="41" t="n"/>
      <c r="T682" s="63" t="n"/>
      <c r="U682" s="91" t="n"/>
      <c r="V682" s="39" t="inlineStr">
        <is>
          <t>Ice Age</t>
        </is>
      </c>
      <c r="W682" s="41" t="n">
        <v>0</v>
      </c>
      <c r="X682" s="37">
        <f>SUM(Y682:AE682)</f>
        <v/>
      </c>
      <c r="Y682" s="43" t="n"/>
      <c r="Z682" s="43" t="n"/>
      <c r="AA682" s="43" t="n"/>
      <c r="AB682" s="43" t="n"/>
      <c r="AC682" s="43" t="n"/>
      <c r="AD682" s="43" t="n"/>
      <c r="AE682" s="43" t="n"/>
      <c r="AF682" s="38">
        <f>IF((W682-SUM(Y682:AE682))&lt;0,0,W682-SUM(Y682:AE682))</f>
        <v/>
      </c>
      <c r="AG682" s="34">
        <f>MAX(0,$AT682-$W682-$AI682)</f>
        <v/>
      </c>
      <c r="AH682" s="39" t="n"/>
      <c r="AI682" s="39" t="n"/>
      <c r="AJ682" s="39" t="n">
        <v>1.38</v>
      </c>
      <c r="AK682" s="39">
        <f>IF(AND($AG682&gt;0,ISNUMBER($AJ682)),$AG682*$AJ682,0)</f>
        <v/>
      </c>
      <c r="AT682" s="37">
        <f>SUM(AU682:BA682)</f>
        <v/>
      </c>
      <c r="AU682" s="73" t="n"/>
      <c r="AV682" s="33" t="n"/>
      <c r="AW682" s="33" t="n">
        <v>1</v>
      </c>
      <c r="AX682" s="33" t="n"/>
      <c r="AY682" s="33" t="n"/>
      <c r="AZ682" s="33" t="n"/>
      <c r="BA682" s="74" t="n">
        <v>1</v>
      </c>
      <c r="BB682" s="107" t="n"/>
      <c r="BC682" s="42" t="n"/>
      <c r="BD682" s="42" t="n"/>
    </row>
    <row r="683" ht="15" customHeight="1" s="148">
      <c r="A683" t="inlineStr">
        <is>
          <t>c0679</t>
        </is>
      </c>
      <c r="B683" s="44" t="inlineStr">
        <is>
          <t>Contentious Plan</t>
        </is>
      </c>
      <c r="C683" s="34" t="inlineStr">
        <is>
          <t>U</t>
        </is>
      </c>
      <c r="D683" s="44" t="inlineStr">
        <is>
          <t>Sorcery</t>
        </is>
      </c>
      <c r="E683" s="41" t="inlineStr">
        <is>
          <t>B2</t>
        </is>
      </c>
      <c r="F683" s="34" t="n">
        <v>2</v>
      </c>
      <c r="G683" s="67" t="inlineStr">
        <is>
          <t>Proliferate. (Choose any number of permanents and/or players, then give each another counter of each kind already there.)
Draw a card.</t>
        </is>
      </c>
      <c r="H683" s="45" t="inlineStr">
        <is>
          <t>Proliferate</t>
        </is>
      </c>
      <c r="I683" s="45" t="inlineStr">
        <is>
          <t>Proliferate</t>
        </is>
      </c>
      <c r="J683" s="45" t="inlineStr">
        <is>
          <t>Draw a card</t>
        </is>
      </c>
      <c r="K683" s="45" t="n"/>
      <c r="L683" s="42" t="n"/>
      <c r="M683" s="42" t="n"/>
      <c r="N683" s="42" t="n"/>
      <c r="O683" s="42" t="n"/>
      <c r="P683" s="42" t="n">
        <v>0.32</v>
      </c>
      <c r="Q683" s="42" t="n"/>
      <c r="R683" s="42" t="n"/>
      <c r="S683" s="42" t="n"/>
      <c r="T683" s="42" t="n"/>
      <c r="U683" s="42" t="n"/>
      <c r="V683" s="45" t="inlineStr">
        <is>
          <t>War of the Spark</t>
        </is>
      </c>
      <c r="W683" s="41" t="n">
        <v>0</v>
      </c>
      <c r="X683" s="37">
        <f>SUM(Y683:AE683)</f>
        <v/>
      </c>
      <c r="Y683" s="43" t="n"/>
      <c r="Z683" s="43" t="n"/>
      <c r="AA683" s="43" t="n"/>
      <c r="AB683" s="43" t="n"/>
      <c r="AC683" s="43" t="n"/>
      <c r="AD683" s="43" t="n"/>
      <c r="AE683" s="43" t="n"/>
      <c r="AF683" s="38">
        <f>IF((W683-SUM(Y683:AE683))&lt;0,0,W683-SUM(Y683:AE683))</f>
        <v/>
      </c>
      <c r="AG683" s="34">
        <f>MAX(0,$AT683-$W683-$AI683)</f>
        <v/>
      </c>
      <c r="AH683" s="34" t="n"/>
      <c r="AI683" s="34" t="n"/>
      <c r="AJ683" s="36" t="n">
        <v>0.39</v>
      </c>
      <c r="AK683" s="36">
        <f>IF(AND($AG683&gt;0,ISNUMBER($AJ683)),$AG683*$AJ683,0)</f>
        <v/>
      </c>
      <c r="AL683" s="54" t="n"/>
      <c r="AM683" s="54" t="n"/>
      <c r="AN683" s="54" t="n"/>
      <c r="AO683" s="54" t="n"/>
      <c r="AP683" s="54" t="n"/>
      <c r="AQ683" s="54" t="n"/>
      <c r="AR683" s="54" t="n"/>
      <c r="AS683" s="54" t="n"/>
      <c r="AT683" s="37">
        <f>SUM(AU683:BA683)</f>
        <v/>
      </c>
      <c r="AU683" s="92" t="n"/>
      <c r="AV683" s="38" t="n"/>
      <c r="AW683" s="38" t="n">
        <v>1</v>
      </c>
      <c r="AX683" s="38" t="n"/>
      <c r="AY683" s="38" t="n"/>
      <c r="AZ683" s="38" t="n"/>
      <c r="BA683" s="94" t="n"/>
      <c r="BB683" s="106" t="n"/>
      <c r="BC683" s="42" t="n"/>
      <c r="BD683" s="48" t="n"/>
    </row>
    <row r="684" ht="15" customHeight="1" s="148">
      <c r="A684" t="inlineStr">
        <is>
          <t>c0680</t>
        </is>
      </c>
      <c r="B684" s="44" t="inlineStr">
        <is>
          <t>Counterspell</t>
        </is>
      </c>
      <c r="C684" s="34" t="inlineStr">
        <is>
          <t>U</t>
        </is>
      </c>
      <c r="D684" s="44" t="inlineStr">
        <is>
          <t>Instant</t>
        </is>
      </c>
      <c r="E684" s="41" t="inlineStr">
        <is>
          <t>B3</t>
        </is>
      </c>
      <c r="F684" s="34" t="n">
        <v>2</v>
      </c>
      <c r="G684" s="67" t="inlineStr">
        <is>
          <t>Counter target spell.</t>
        </is>
      </c>
      <c r="H684" s="45" t="inlineStr">
        <is>
          <t>Interaction</t>
        </is>
      </c>
      <c r="I684" s="45" t="inlineStr">
        <is>
          <t>Counters target spell</t>
        </is>
      </c>
      <c r="J684" s="45" t="n"/>
      <c r="K684" s="45" t="n"/>
      <c r="L684" s="41" t="n"/>
      <c r="M684" s="41" t="n"/>
      <c r="N684" s="41" t="n"/>
      <c r="O684" s="41" t="n"/>
      <c r="P684" s="41" t="n">
        <v>3.51</v>
      </c>
      <c r="Q684" s="41" t="n"/>
      <c r="R684" s="41" t="n"/>
      <c r="S684" s="41" t="n"/>
      <c r="T684" s="41" t="n"/>
      <c r="U684" s="41" t="n"/>
      <c r="V684" s="45" t="inlineStr">
        <is>
          <t>Limited Edition Alpha</t>
        </is>
      </c>
      <c r="W684" s="41" t="n">
        <v>1</v>
      </c>
      <c r="X684" s="37">
        <f>SUM(Y684:AE684)</f>
        <v/>
      </c>
      <c r="Y684" s="43" t="n"/>
      <c r="Z684" s="43" t="n"/>
      <c r="AA684" s="43" t="n"/>
      <c r="AB684" s="43" t="n"/>
      <c r="AC684" s="43" t="n"/>
      <c r="AD684" s="43" t="n"/>
      <c r="AE684" s="43" t="n">
        <v>1</v>
      </c>
      <c r="AF684" s="38">
        <f>IF((W684-SUM(Y684:AE684))&lt;0,0,W684-SUM(Y684:AE684))</f>
        <v/>
      </c>
      <c r="AG684" s="34">
        <f>MAX(0,$AT684-$W684-$AI684)</f>
        <v/>
      </c>
      <c r="AH684" s="34" t="n"/>
      <c r="AI684" s="34" t="n"/>
      <c r="AJ684" s="36" t="n">
        <v>4</v>
      </c>
      <c r="AK684" s="36">
        <f>IF(AND($AG684&gt;0,ISNUMBER($AJ684)),$AG684*$AJ684,0)</f>
        <v/>
      </c>
      <c r="AT684" s="37">
        <f>SUM(AU684:BA684)</f>
        <v/>
      </c>
      <c r="AU684" s="73" t="n"/>
      <c r="AV684" s="33" t="n"/>
      <c r="AW684" s="33" t="n"/>
      <c r="AX684" s="33" t="n"/>
      <c r="AY684" s="33" t="n"/>
      <c r="AZ684" s="33" t="n"/>
      <c r="BA684" s="80" t="n">
        <v>1</v>
      </c>
      <c r="BB684" s="106" t="n"/>
      <c r="BC684" s="42" t="n"/>
      <c r="BD684" s="42" t="n"/>
    </row>
    <row r="685" ht="15" customHeight="1" s="148">
      <c r="A685" t="inlineStr">
        <is>
          <t>c0681</t>
        </is>
      </c>
      <c r="B685" s="44" t="inlineStr">
        <is>
          <t>Deepglow Skate</t>
        </is>
      </c>
      <c r="C685" s="34" t="inlineStr">
        <is>
          <t>U</t>
        </is>
      </c>
      <c r="D685" s="44" t="inlineStr">
        <is>
          <t>Creature</t>
        </is>
      </c>
      <c r="E685" s="41" t="inlineStr">
        <is>
          <t>B2</t>
        </is>
      </c>
      <c r="F685" s="34" t="n">
        <v>5</v>
      </c>
      <c r="G685" s="67" t="inlineStr">
        <is>
          <t>When this creature enters, double the number of each kind of counter on any number of target permanents.
(3/3)</t>
        </is>
      </c>
      <c r="H685" s="45" t="inlineStr">
        <is>
          <t>Proliferate</t>
        </is>
      </c>
      <c r="I685" s="45" t="inlineStr">
        <is>
          <t>Doubles each kind of counter on any number of target permanents when it enters</t>
        </is>
      </c>
      <c r="J685" s="45" t="n"/>
      <c r="K685" s="45" t="n"/>
      <c r="L685" s="42" t="n"/>
      <c r="M685" s="42" t="n"/>
      <c r="N685" s="42" t="n"/>
      <c r="O685" s="42" t="n"/>
      <c r="P685" s="42" t="n">
        <v>0.28</v>
      </c>
      <c r="Q685" s="42" t="n"/>
      <c r="R685" s="42" t="n"/>
      <c r="S685" s="42" t="n"/>
      <c r="T685" s="42" t="n"/>
      <c r="U685" s="42" t="n"/>
      <c r="V685" s="45" t="inlineStr">
        <is>
          <t>Commander 2016</t>
        </is>
      </c>
      <c r="W685" s="41" t="n">
        <v>1</v>
      </c>
      <c r="X685" s="37">
        <f>SUM(Y685:AE685)</f>
        <v/>
      </c>
      <c r="Y685" s="43" t="n"/>
      <c r="Z685" s="43" t="n"/>
      <c r="AA685" s="43" t="n">
        <v>1</v>
      </c>
      <c r="AB685" s="43" t="n"/>
      <c r="AC685" s="43" t="n"/>
      <c r="AD685" s="43" t="n"/>
      <c r="AE685" s="43" t="n"/>
      <c r="AF685" s="38">
        <f>IF((W685-SUM(Y685:AE685))&lt;0,0,W685-SUM(Y685:AE685))</f>
        <v/>
      </c>
      <c r="AG685" s="34">
        <f>MAX(0,$AT685-$W685-$AI685)</f>
        <v/>
      </c>
      <c r="AH685" s="34" t="n"/>
      <c r="AI685" s="34" t="n"/>
      <c r="AJ685" s="36" t="n">
        <v>0.28</v>
      </c>
      <c r="AK685" s="36">
        <f>IF(AND($AG685&gt;0,ISNUMBER($AJ685)),$AG685*$AJ685,0)</f>
        <v/>
      </c>
      <c r="AN685" s="58" t="n"/>
      <c r="AT685" s="37">
        <f>SUM(AU685:BA685)</f>
        <v/>
      </c>
      <c r="AU685" s="73" t="n"/>
      <c r="AV685" s="33" t="n"/>
      <c r="AW685" s="98" t="n">
        <v>1</v>
      </c>
      <c r="AX685" s="33" t="n"/>
      <c r="AY685" s="33" t="n"/>
      <c r="AZ685" s="33" t="n"/>
      <c r="BA685" s="74" t="n"/>
      <c r="BB685" s="106" t="n"/>
      <c r="BC685" s="42" t="n"/>
      <c r="BD685" s="42" t="n"/>
    </row>
    <row r="686" ht="15" customHeight="1" s="148">
      <c r="A686" t="inlineStr">
        <is>
          <t>c0682</t>
        </is>
      </c>
      <c r="B686" s="44" t="inlineStr">
        <is>
          <t>Divert Disaster</t>
        </is>
      </c>
      <c r="C686" s="34" t="inlineStr">
        <is>
          <t>U</t>
        </is>
      </c>
      <c r="D686" s="44" t="inlineStr">
        <is>
          <t>Instant</t>
        </is>
      </c>
      <c r="E686" s="41" t="inlineStr">
        <is>
          <t>B2</t>
        </is>
      </c>
      <c r="F686" s="34" t="n">
        <v>2</v>
      </c>
      <c r="G686" s="67" t="inlineStr">
        <is>
          <t>Counter target spell unless its controller pays {2}. If they do, you create a Lander token. (It's an artifact with "{2}, {T}, Sacrifice this token: Search your library for a basic land card, put it onto the battlefield tapped, then shuffle.")</t>
        </is>
      </c>
      <c r="H686" s="45" t="inlineStr">
        <is>
          <t>Interaction</t>
        </is>
      </c>
      <c r="I686" s="45" t="inlineStr">
        <is>
          <t>Counters a spell unless its controller pays 2</t>
        </is>
      </c>
      <c r="J686" s="45" t="inlineStr">
        <is>
          <t>If they pay, you get a Lander token that fetches a tapped basic</t>
        </is>
      </c>
      <c r="K686" s="45" t="n"/>
      <c r="L686" s="42" t="n"/>
      <c r="M686" s="42" t="n"/>
      <c r="N686" s="42" t="n"/>
      <c r="O686" s="63" t="n"/>
      <c r="P686" s="63" t="n">
        <v>0.22</v>
      </c>
      <c r="Q686" s="42" t="n"/>
      <c r="R686" s="42" t="n"/>
      <c r="S686" s="42" t="n"/>
      <c r="T686" s="63" t="n"/>
      <c r="U686" s="63" t="n"/>
      <c r="V686" s="45" t="inlineStr">
        <is>
          <t>Edge of Eternities</t>
        </is>
      </c>
      <c r="W686" s="41" t="n">
        <v>1</v>
      </c>
      <c r="X686" s="37">
        <f>SUM(Y686:AE686)</f>
        <v/>
      </c>
      <c r="Y686" s="43" t="n"/>
      <c r="Z686" s="43" t="n"/>
      <c r="AA686" s="43" t="n"/>
      <c r="AB686" s="43" t="n"/>
      <c r="AC686" s="43" t="n"/>
      <c r="AD686" s="43" t="n"/>
      <c r="AE686" s="43" t="n">
        <v>1</v>
      </c>
      <c r="AF686" s="38">
        <f>IF((W686-SUM(Y686:AE686))&lt;0,0,W686-SUM(Y686:AE686))</f>
        <v/>
      </c>
      <c r="AG686" s="34">
        <f>MAX(0,$AT686-$W686-$AI686)</f>
        <v/>
      </c>
      <c r="AH686" s="34" t="inlineStr">
        <is>
          <t>GT</t>
        </is>
      </c>
      <c r="AI686" s="34" t="n"/>
      <c r="AJ686" s="36" t="n">
        <v>0.26</v>
      </c>
      <c r="AK686" s="36">
        <f>IF(AND($AG686&gt;0,ISNUMBER($AJ686)),$AG686*$AJ686,0)</f>
        <v/>
      </c>
      <c r="AR686" s="58" t="n"/>
      <c r="AS686" s="86" t="n">
        <v>1</v>
      </c>
      <c r="AT686" s="37">
        <f>SUM(AU686:BA686)</f>
        <v/>
      </c>
      <c r="AU686" s="73" t="n"/>
      <c r="AV686" s="33" t="n"/>
      <c r="AW686" s="33" t="n"/>
      <c r="AX686" s="33" t="n"/>
      <c r="AY686" s="33" t="n"/>
      <c r="AZ686" s="33" t="n"/>
      <c r="BA686" s="80" t="n">
        <v>1</v>
      </c>
      <c r="BB686" s="106" t="n"/>
      <c r="BC686" s="42" t="n"/>
      <c r="BD686" s="42" t="n"/>
    </row>
    <row r="687" ht="15" customHeight="1" s="148">
      <c r="A687" t="inlineStr">
        <is>
          <t>c0683</t>
        </is>
      </c>
      <c r="B687" s="44" t="inlineStr">
        <is>
          <t>Dream Stalker</t>
        </is>
      </c>
      <c r="C687" s="34" t="inlineStr">
        <is>
          <t>U</t>
        </is>
      </c>
      <c r="D687" s="44" t="inlineStr">
        <is>
          <t>Creature</t>
        </is>
      </c>
      <c r="E687" s="41" t="inlineStr">
        <is>
          <t>B2</t>
        </is>
      </c>
      <c r="F687" s="34" t="n">
        <v>2</v>
      </c>
      <c r="G687" s="67" t="inlineStr">
        <is>
          <t>When this creature enters, return a permanent you control to its owner's hand.
(1/5)</t>
        </is>
      </c>
      <c r="H687" s="45" t="inlineStr">
        <is>
          <t>Blink</t>
        </is>
      </c>
      <c r="I687" s="45" t="inlineStr">
        <is>
          <t>When this creature enters, return a permanent you control to its owner's hand</t>
        </is>
      </c>
      <c r="J687" s="45" t="n"/>
      <c r="K687" s="45" t="n"/>
      <c r="L687" s="42" t="n"/>
      <c r="M687" s="42" t="n"/>
      <c r="N687" s="42" t="n"/>
      <c r="O687" s="42" t="n"/>
      <c r="P687" s="42" t="n">
        <v>0.29</v>
      </c>
      <c r="Q687" s="42" t="n"/>
      <c r="R687" s="42" t="n"/>
      <c r="S687" s="42" t="n"/>
      <c r="T687" s="42" t="n"/>
      <c r="U687" s="42" t="n"/>
      <c r="V687" s="45" t="inlineStr">
        <is>
          <t>Time Spiral</t>
        </is>
      </c>
      <c r="W687" s="41" t="n">
        <v>0</v>
      </c>
      <c r="X687" s="37">
        <f>SUM(Y687:AE687)</f>
        <v/>
      </c>
      <c r="Y687" s="43" t="n"/>
      <c r="Z687" s="43" t="n"/>
      <c r="AA687" s="43" t="n"/>
      <c r="AB687" s="43" t="n"/>
      <c r="AC687" s="43" t="n"/>
      <c r="AD687" s="43" t="n"/>
      <c r="AE687" s="43" t="n"/>
      <c r="AF687" s="38">
        <f>IF((W687-SUM(Y687:AE687))&lt;0,0,W687-SUM(Y687:AE687))</f>
        <v/>
      </c>
      <c r="AG687" s="34">
        <f>MAX(0,$AT687-$W687-$AI687)</f>
        <v/>
      </c>
      <c r="AH687" s="34" t="n"/>
      <c r="AI687" s="34" t="n"/>
      <c r="AJ687" s="36" t="n">
        <v>0.17</v>
      </c>
      <c r="AK687" s="36">
        <f>IF(AND($AG687&gt;0,ISNUMBER($AJ687)),$AG687*$AJ687,0)</f>
        <v/>
      </c>
      <c r="AL687" s="54" t="n"/>
      <c r="AM687" s="54" t="n"/>
      <c r="AN687" s="54" t="n"/>
      <c r="AO687" s="54" t="n"/>
      <c r="AP687" s="54" t="n"/>
      <c r="AQ687" s="54" t="n"/>
      <c r="AR687" s="54" t="n"/>
      <c r="AS687" s="54" t="n"/>
      <c r="AT687" s="37">
        <f>SUM(AU687:BA687)</f>
        <v/>
      </c>
      <c r="AU687" s="92" t="n"/>
      <c r="AV687" s="38" t="n"/>
      <c r="AW687" s="38" t="n"/>
      <c r="AX687" s="38" t="n"/>
      <c r="AY687" s="38" t="n"/>
      <c r="AZ687" s="38" t="n"/>
      <c r="BA687" s="94" t="n"/>
      <c r="BB687" s="106" t="n"/>
      <c r="BC687" s="42" t="n"/>
      <c r="BD687" s="48" t="n"/>
    </row>
    <row r="688" ht="15" customHeight="1" s="148">
      <c r="A688" t="inlineStr">
        <is>
          <t>c0684</t>
        </is>
      </c>
      <c r="B688" s="30" t="inlineStr">
        <is>
          <t>Elvenking's Harper</t>
        </is>
      </c>
      <c r="C688" s="31" t="inlineStr">
        <is>
          <t>U</t>
        </is>
      </c>
      <c r="D688" s="30" t="inlineStr">
        <is>
          <t>Creature</t>
        </is>
      </c>
      <c r="E688" s="33" t="inlineStr">
        <is>
          <t>B2</t>
        </is>
      </c>
      <c r="F688" s="31" t="n">
        <v>2</v>
      </c>
      <c r="G688" s="67" t="inlineStr">
        <is>
          <t>{4}{U}: Target creature can't be blocked this turn.
(2/2)</t>
        </is>
      </c>
      <c r="H688" s="30" t="inlineStr">
        <is>
          <t>Evasion</t>
        </is>
      </c>
      <c r="I688" s="30" t="inlineStr">
        <is>
          <t>{4}{U}: Target creature can't be blocked this turn</t>
        </is>
      </c>
      <c r="J688" s="30" t="n"/>
      <c r="K688" s="30" t="n"/>
      <c r="L688" s="32" t="inlineStr">
        <is>
          <t>38</t>
        </is>
      </c>
      <c r="M688" s="32" t="n">
        <v>1</v>
      </c>
      <c r="N688" s="32" t="n">
        <v>0</v>
      </c>
      <c r="O688" s="63" t="n"/>
      <c r="P688" s="63" t="n">
        <v>0.1</v>
      </c>
      <c r="Q688" s="32" t="inlineStr">
        <is>
          <t>Common</t>
        </is>
      </c>
      <c r="R688" s="32" t="n"/>
      <c r="S688" s="32" t="n"/>
      <c r="T688" s="63" t="n"/>
      <c r="U688" s="63" t="n"/>
      <c r="V688" s="30" t="inlineStr">
        <is>
          <t>The Hobbit</t>
        </is>
      </c>
      <c r="W688" s="41" t="n">
        <v>1</v>
      </c>
      <c r="X688" s="37">
        <f>SUM(Y688:AE688)</f>
        <v/>
      </c>
      <c r="Y688" s="43" t="n"/>
      <c r="Z688" s="43" t="n"/>
      <c r="AA688" s="43" t="n"/>
      <c r="AB688" s="43" t="n"/>
      <c r="AC688" s="43" t="n"/>
      <c r="AD688" s="43" t="n"/>
      <c r="AE688" s="43" t="n">
        <v>1</v>
      </c>
      <c r="AF688" s="38">
        <f>IF((W688-SUM(Y688:AE688))&lt;0,0,W688-SUM(Y688:AE688))</f>
        <v/>
      </c>
      <c r="AG688" s="34">
        <f>MAX(0,$AT688-$W688-$AI688)</f>
        <v/>
      </c>
      <c r="AH688" s="30" t="n"/>
      <c r="AI688" s="30" t="n"/>
      <c r="AJ688" s="35" t="n">
        <v>0.1</v>
      </c>
      <c r="AK688" s="36">
        <f>IF(AND($AG688&gt;0,ISNUMBER($AJ688)),$AG688*$AJ688,0)</f>
        <v/>
      </c>
      <c r="AT688" s="37">
        <f>SUM(AU688:BA688)</f>
        <v/>
      </c>
      <c r="AU688" s="73" t="n"/>
      <c r="AV688" s="33" t="n"/>
      <c r="AW688" s="33" t="n"/>
      <c r="AX688" s="33" t="n"/>
      <c r="AY688" s="33" t="n"/>
      <c r="AZ688" s="33" t="n"/>
      <c r="BA688" s="80" t="n">
        <v>1</v>
      </c>
      <c r="BB688" s="108" t="n"/>
      <c r="BC688" s="32" t="n"/>
      <c r="BD688" s="32" t="n"/>
    </row>
    <row r="689" ht="15" customHeight="1" s="148">
      <c r="A689" t="inlineStr">
        <is>
          <t>c0685</t>
        </is>
      </c>
      <c r="B689" s="39" t="inlineStr">
        <is>
          <t>Enchanted River's Grasp</t>
        </is>
      </c>
      <c r="C689" s="40" t="inlineStr">
        <is>
          <t>U</t>
        </is>
      </c>
      <c r="D689" s="39" t="inlineStr">
        <is>
          <t>Enchantment</t>
        </is>
      </c>
      <c r="E689" s="41" t="inlineStr">
        <is>
          <t>B2</t>
        </is>
      </c>
      <c r="F689" s="40" t="n">
        <v>3</v>
      </c>
      <c r="G689" s="67" t="inlineStr">
        <is>
          <t>Enchant creature
When this Aura enters, tap enchanted creature and remove all counters from it.
Enchanted creature loses all abilities and doesn't untap during its controller's untap step.</t>
        </is>
      </c>
      <c r="H689" s="39" t="inlineStr">
        <is>
          <t>Removal</t>
        </is>
      </c>
      <c r="I689" s="39" t="inlineStr">
        <is>
          <t>Enchant creature</t>
        </is>
      </c>
      <c r="J689" s="39" t="inlineStr">
        <is>
          <t>When this Aura enters, tap enchanted creature and remove all counters from it</t>
        </is>
      </c>
      <c r="K689" s="39" t="inlineStr">
        <is>
          <t>Enchanted creature loses all abilities and doesn't untap during its controller's untap step</t>
        </is>
      </c>
      <c r="L689" s="42" t="n"/>
      <c r="M689" s="42" t="n"/>
      <c r="N689" s="42" t="n"/>
      <c r="O689" s="63" t="n"/>
      <c r="P689" s="63" t="n">
        <v>0.14</v>
      </c>
      <c r="Q689" s="42" t="n"/>
      <c r="R689" s="42" t="n"/>
      <c r="S689" s="42" t="n"/>
      <c r="T689" s="63" t="n"/>
      <c r="U689" s="63" t="n"/>
      <c r="V689" s="39" t="inlineStr">
        <is>
          <t>The Hobbit</t>
        </is>
      </c>
      <c r="W689" s="41" t="n">
        <v>2</v>
      </c>
      <c r="X689" s="37">
        <f>SUM(Y689:AE689)</f>
        <v/>
      </c>
      <c r="Y689" s="43" t="n"/>
      <c r="Z689" s="43" t="n"/>
      <c r="AA689" s="43" t="n"/>
      <c r="AB689" s="43" t="n"/>
      <c r="AC689" s="43" t="n"/>
      <c r="AD689" s="43" t="n"/>
      <c r="AE689" s="43" t="n">
        <v>1</v>
      </c>
      <c r="AF689" s="38">
        <f>IF((W689-SUM(Y689:AE689))&lt;0,0,W689-SUM(Y689:AE689))</f>
        <v/>
      </c>
      <c r="AG689" s="34">
        <f>MAX(0,$AT689-$W689-$AI689)</f>
        <v/>
      </c>
      <c r="AH689" s="39" t="n"/>
      <c r="AI689" s="39" t="n"/>
      <c r="AJ689" s="39" t="n">
        <v>0.15</v>
      </c>
      <c r="AK689" s="39">
        <f>IF(AND($AG689&gt;0,ISNUMBER($AJ689)),$AG689*$AJ689,0)</f>
        <v/>
      </c>
      <c r="AR689" s="58" t="n"/>
      <c r="AT689" s="37">
        <f>SUM(AU689:BA689)</f>
        <v/>
      </c>
      <c r="AU689" s="73" t="n"/>
      <c r="AV689" s="33" t="n"/>
      <c r="AW689" s="33" t="n"/>
      <c r="AX689" s="33" t="n"/>
      <c r="AY689" s="33" t="n"/>
      <c r="AZ689" s="33" t="n"/>
      <c r="BA689" s="79" t="n"/>
      <c r="BB689" s="107" t="n"/>
      <c r="BC689" s="42" t="n"/>
      <c r="BD689" s="42" t="n"/>
    </row>
    <row r="690" ht="15" customHeight="1" s="148">
      <c r="A690" t="inlineStr">
        <is>
          <t>c0686</t>
        </is>
      </c>
      <c r="B690" s="30" t="inlineStr">
        <is>
          <t>Essence Scatter</t>
        </is>
      </c>
      <c r="C690" s="31" t="inlineStr">
        <is>
          <t>U</t>
        </is>
      </c>
      <c r="D690" s="30" t="inlineStr">
        <is>
          <t>Instant</t>
        </is>
      </c>
      <c r="E690" s="33" t="inlineStr">
        <is>
          <t>B2</t>
        </is>
      </c>
      <c r="F690" s="30" t="n">
        <v>2</v>
      </c>
      <c r="G690" s="67" t="inlineStr">
        <is>
          <t>Counter target creature spell.</t>
        </is>
      </c>
      <c r="H690" s="30" t="inlineStr">
        <is>
          <t>Interaction</t>
        </is>
      </c>
      <c r="I690" s="30" t="inlineStr">
        <is>
          <t>Counter target creature spell</t>
        </is>
      </c>
      <c r="J690" s="30" t="n"/>
      <c r="K690" s="30" t="n"/>
      <c r="L690" s="32" t="inlineStr">
        <is>
          <t>47</t>
        </is>
      </c>
      <c r="M690" s="32" t="n">
        <v>1</v>
      </c>
      <c r="N690" s="32" t="n">
        <v>0</v>
      </c>
      <c r="O690" s="63" t="inlineStr">
        <is>
          <t>Elliot Lang</t>
        </is>
      </c>
      <c r="P690" s="63" t="n">
        <v>0.07000000000000001</v>
      </c>
      <c r="Q690" s="32" t="inlineStr">
        <is>
          <t>Common</t>
        </is>
      </c>
      <c r="R690" s="32" t="n"/>
      <c r="S690" s="32" t="n"/>
      <c r="T690" s="63" t="n"/>
      <c r="U690" s="63" t="n"/>
      <c r="V690" s="30" t="inlineStr">
        <is>
          <t>Secrets of Strixhaven</t>
        </is>
      </c>
      <c r="W690" s="41" t="n">
        <v>1</v>
      </c>
      <c r="X690" s="37">
        <f>SUM(Y690:AE690)</f>
        <v/>
      </c>
      <c r="Y690" s="43" t="n"/>
      <c r="Z690" s="43" t="n"/>
      <c r="AA690" s="43" t="n"/>
      <c r="AB690" s="43" t="n"/>
      <c r="AC690" s="43" t="n"/>
      <c r="AD690" s="43" t="n"/>
      <c r="AE690" s="43" t="n">
        <v>1</v>
      </c>
      <c r="AF690" s="38">
        <f>IF((W690-SUM(Y690:AE690))&lt;0,0,W690-SUM(Y690:AE690))</f>
        <v/>
      </c>
      <c r="AG690" s="34">
        <f>MAX(0,$AT690-$W690-$AI690)</f>
        <v/>
      </c>
      <c r="AH690" s="30" t="n"/>
      <c r="AI690" s="30" t="n"/>
      <c r="AJ690" s="30" t="n">
        <v>0.07000000000000001</v>
      </c>
      <c r="AK690" s="36">
        <f>IF(AND($AG690&gt;0,ISNUMBER($AJ690)),$AG690*$AJ690,0)</f>
        <v/>
      </c>
      <c r="AR690" s="58" t="n"/>
      <c r="AT690" s="37">
        <f>SUM(AU690:BA690)</f>
        <v/>
      </c>
      <c r="AU690" s="73" t="n"/>
      <c r="AV690" s="33" t="n"/>
      <c r="AW690" s="33" t="n"/>
      <c r="AX690" s="33" t="n"/>
      <c r="AY690" s="33" t="n"/>
      <c r="AZ690" s="33" t="n"/>
      <c r="BA690" s="80" t="n">
        <v>1</v>
      </c>
      <c r="BB690" s="108" t="n"/>
      <c r="BC690" s="32" t="n"/>
      <c r="BD690" s="32" t="n"/>
    </row>
    <row r="691" ht="15" customHeight="1" s="148">
      <c r="A691" t="inlineStr">
        <is>
          <t>c0687</t>
        </is>
      </c>
      <c r="B691" s="44" t="inlineStr">
        <is>
          <t>Faerie Duelist</t>
        </is>
      </c>
      <c r="C691" s="34" t="inlineStr">
        <is>
          <t>U</t>
        </is>
      </c>
      <c r="D691" s="44" t="inlineStr">
        <is>
          <t>Creature</t>
        </is>
      </c>
      <c r="E691" s="41" t="inlineStr">
        <is>
          <t>B2</t>
        </is>
      </c>
      <c r="F691" s="34" t="n">
        <v>2</v>
      </c>
      <c r="G691" s="67" t="inlineStr">
        <is>
          <t>Flash
Flying
When this creature enters, target creature an opponent controls gets -2/-0 until end of turn.
(1/2)</t>
        </is>
      </c>
      <c r="H691" s="45" t="inlineStr">
        <is>
          <t>Removal</t>
        </is>
      </c>
      <c r="I691" s="45" t="inlineStr">
        <is>
          <t>Target opponent creature gets -2/-0 until end of turn when it enters</t>
        </is>
      </c>
      <c r="J691" s="45" t="n"/>
      <c r="K691" s="45" t="n"/>
      <c r="L691" s="42" t="n"/>
      <c r="M691" s="42" t="n"/>
      <c r="N691" s="42" t="n"/>
      <c r="O691" s="63" t="n"/>
      <c r="P691" s="63" t="n">
        <v>0.09</v>
      </c>
      <c r="Q691" s="42" t="n"/>
      <c r="R691" s="42" t="n"/>
      <c r="S691" s="42" t="n"/>
      <c r="T691" s="63" t="n"/>
      <c r="U691" s="63" t="n"/>
      <c r="V691" s="45" t="inlineStr">
        <is>
          <t>Ravnica Allegiance</t>
        </is>
      </c>
      <c r="W691" s="41" t="n">
        <v>1</v>
      </c>
      <c r="X691" s="37">
        <f>SUM(Y691:AE691)</f>
        <v/>
      </c>
      <c r="Y691" s="43" t="n"/>
      <c r="Z691" s="43" t="n"/>
      <c r="AA691" s="43" t="n"/>
      <c r="AB691" s="43" t="n"/>
      <c r="AC691" s="43" t="n"/>
      <c r="AD691" s="43" t="n"/>
      <c r="AE691" s="43" t="n">
        <v>1</v>
      </c>
      <c r="AF691" s="38">
        <f>IF((W691-SUM(Y691:AE691))&lt;0,0,W691-SUM(Y691:AE691))</f>
        <v/>
      </c>
      <c r="AG691" s="34">
        <f>MAX(0,$AT691-$W691-$AI691)</f>
        <v/>
      </c>
      <c r="AH691" s="34" t="n"/>
      <c r="AI691" s="34" t="n"/>
      <c r="AJ691" s="36" t="n">
        <v>0.09</v>
      </c>
      <c r="AK691" s="36">
        <f>IF(AND($AG691&gt;0,ISNUMBER($AJ691)),$AG691*$AJ691,0)</f>
        <v/>
      </c>
      <c r="AR691" s="58" t="n"/>
      <c r="AS691" s="58" t="n"/>
      <c r="AT691" s="37">
        <f>SUM(AU691:BA691)</f>
        <v/>
      </c>
      <c r="AU691" s="73" t="n"/>
      <c r="AV691" s="33" t="n"/>
      <c r="AW691" s="33" t="n"/>
      <c r="AX691" s="33" t="n"/>
      <c r="AY691" s="33" t="n"/>
      <c r="AZ691" s="33" t="n"/>
      <c r="BA691" s="80" t="n">
        <v>1</v>
      </c>
      <c r="BB691" s="106" t="n"/>
      <c r="BC691" s="42" t="n"/>
      <c r="BD691" s="42" t="n"/>
    </row>
    <row r="692" ht="15" customHeight="1" s="148">
      <c r="A692" t="inlineStr">
        <is>
          <t>c0688</t>
        </is>
      </c>
      <c r="B692" s="44" t="inlineStr">
        <is>
          <t>Fblthp, the Lost</t>
        </is>
      </c>
      <c r="C692" s="34" t="inlineStr">
        <is>
          <t>U</t>
        </is>
      </c>
      <c r="D692" s="44" t="inlineStr">
        <is>
          <t>Legendary Creature</t>
        </is>
      </c>
      <c r="E692" s="41" t="inlineStr">
        <is>
          <t>B2</t>
        </is>
      </c>
      <c r="F692" s="34" t="n">
        <v>2</v>
      </c>
      <c r="G692" s="67" t="inlineStr">
        <is>
          <t>When Fblthp enters, draw a card. If it entered from your library or was cast from your library, draw two cards instead.
When Fblthp becomes the target of a spell, shuffle Fblthp into its owner's library.
(1/1)</t>
        </is>
      </c>
      <c r="H692" s="45" t="inlineStr">
        <is>
          <t>Card Draw</t>
        </is>
      </c>
      <c r="I692" s="45" t="inlineStr">
        <is>
          <t>When Fblthp enters, draw a card. If it entered from your library or was cast from your library, draw two cards instead</t>
        </is>
      </c>
      <c r="J692" s="45" t="inlineStr">
        <is>
          <t>When Fblthp becomes the target of a spell, shuffle Fblthp into its owner's library</t>
        </is>
      </c>
      <c r="K692" s="45" t="n"/>
      <c r="L692" s="42" t="n"/>
      <c r="M692" s="42" t="n"/>
      <c r="N692" s="42" t="n"/>
      <c r="O692" s="42" t="n"/>
      <c r="P692" s="42" t="n">
        <v>0.35</v>
      </c>
      <c r="Q692" s="42" t="n"/>
      <c r="R692" s="42" t="n"/>
      <c r="S692" s="42" t="n"/>
      <c r="T692" s="42" t="n"/>
      <c r="U692" s="42" t="n"/>
      <c r="V692" s="45" t="inlineStr">
        <is>
          <t>War of the Spark</t>
        </is>
      </c>
      <c r="W692" s="41" t="n">
        <v>1</v>
      </c>
      <c r="X692" s="37">
        <f>SUM(Y692:AE692)</f>
        <v/>
      </c>
      <c r="Y692" s="43" t="n"/>
      <c r="Z692" s="43" t="n">
        <v>1</v>
      </c>
      <c r="AA692" s="43" t="n"/>
      <c r="AB692" s="43" t="n"/>
      <c r="AC692" s="43" t="n"/>
      <c r="AD692" s="43" t="n"/>
      <c r="AE692" s="43" t="n"/>
      <c r="AF692" s="38">
        <f>IF((W692-SUM(Y692:AE692))&lt;0,0,W692-SUM(Y692:AE692))</f>
        <v/>
      </c>
      <c r="AG692" s="34">
        <f>MAX(0,$AT692-$W692-$AI692)</f>
        <v/>
      </c>
      <c r="AH692" s="34" t="n"/>
      <c r="AI692" s="34" t="n"/>
      <c r="AJ692" s="36" t="n">
        <v>0.27</v>
      </c>
      <c r="AK692" s="36">
        <f>IF(AND($AG692&gt;0,ISNUMBER($AJ692)),$AG692*$AJ692,0)</f>
        <v/>
      </c>
      <c r="AT692" s="37">
        <f>SUM(AU692:BA692)</f>
        <v/>
      </c>
      <c r="AU692" s="73" t="n"/>
      <c r="AV692" s="98" t="n">
        <v>1</v>
      </c>
      <c r="AW692" s="33" t="n"/>
      <c r="AX692" s="33" t="n"/>
      <c r="AY692" s="33" t="n"/>
      <c r="AZ692" s="33" t="n"/>
      <c r="BA692" s="74" t="n"/>
      <c r="BB692" s="106" t="n"/>
      <c r="BC692" s="42" t="n"/>
      <c r="BD692" s="42" t="n"/>
    </row>
    <row r="693" ht="15" customHeight="1" s="148">
      <c r="A693" t="inlineStr">
        <is>
          <t>c0689</t>
        </is>
      </c>
      <c r="B693" s="30" t="inlineStr">
        <is>
          <t>Flow State</t>
        </is>
      </c>
      <c r="C693" s="31" t="inlineStr">
        <is>
          <t>U</t>
        </is>
      </c>
      <c r="D693" s="30" t="inlineStr">
        <is>
          <t>Sorcery</t>
        </is>
      </c>
      <c r="E693" s="33" t="inlineStr">
        <is>
          <t>B2</t>
        </is>
      </c>
      <c r="F693" s="30" t="n">
        <v>2</v>
      </c>
      <c r="G693" s="67" t="inlineStr">
        <is>
          <t>Look at the top three cards of your library. Put one of them into your hand and the rest on the bottom of your library in any order. If there is an instant card and a sorcery card in your graveyard, instead put two of them into your hand and the rest on the bottom of your library in any order.</t>
        </is>
      </c>
      <c r="H693" s="30" t="inlineStr">
        <is>
          <t>Card Selection</t>
        </is>
      </c>
      <c r="I693" s="30" t="inlineStr">
        <is>
          <t>Look at the top three cards and put one into your hand</t>
        </is>
      </c>
      <c r="J693" s="30" t="inlineStr">
        <is>
          <t>Take two of them instead if there is both an instant and a sorcery in your graveyard</t>
        </is>
      </c>
      <c r="K693" s="30" t="n"/>
      <c r="L693" s="32" t="inlineStr">
        <is>
          <t>49</t>
        </is>
      </c>
      <c r="M693" s="32" t="n">
        <v>1</v>
      </c>
      <c r="N693" s="32" t="n">
        <v>0</v>
      </c>
      <c r="O693" s="63" t="inlineStr">
        <is>
          <t>Genel Jumalon</t>
        </is>
      </c>
      <c r="P693" s="63" t="n">
        <v>1.89</v>
      </c>
      <c r="Q693" s="32" t="inlineStr">
        <is>
          <t>Uncommon</t>
        </is>
      </c>
      <c r="R693" s="32" t="n"/>
      <c r="S693" s="32" t="n"/>
      <c r="T693" s="63" t="n"/>
      <c r="U693" s="63" t="n"/>
      <c r="V693" s="30" t="inlineStr">
        <is>
          <t>Secrets of Strixhaven</t>
        </is>
      </c>
      <c r="W693" s="41" t="n">
        <v>1</v>
      </c>
      <c r="X693" s="37">
        <f>SUM(Y693:AE693)</f>
        <v/>
      </c>
      <c r="Y693" s="43" t="n"/>
      <c r="Z693" s="43" t="n"/>
      <c r="AA693" s="43" t="n">
        <v>1</v>
      </c>
      <c r="AB693" s="43" t="n"/>
      <c r="AC693" s="43" t="n"/>
      <c r="AD693" s="43" t="n"/>
      <c r="AE693" s="43" t="n"/>
      <c r="AF693" s="38">
        <f>IF((W693-SUM(Y693:AE693))&lt;0,0,W693-SUM(Y693:AE693))</f>
        <v/>
      </c>
      <c r="AG693" s="34">
        <f>MAX(0,$AT693-$W693-$AI693)</f>
        <v/>
      </c>
      <c r="AH693" s="30" t="n"/>
      <c r="AI693" s="30" t="n"/>
      <c r="AJ693" s="30" t="n">
        <v>1.89</v>
      </c>
      <c r="AK693" s="36">
        <f>IF(AND($AG693&gt;0,ISNUMBER($AJ693)),$AG693*$AJ693,0)</f>
        <v/>
      </c>
      <c r="AT693" s="37">
        <f>SUM(AU693:BA693)</f>
        <v/>
      </c>
      <c r="AU693" s="73" t="n"/>
      <c r="AV693" s="33" t="n"/>
      <c r="AW693" s="98" t="n">
        <v>1</v>
      </c>
      <c r="AX693" s="33" t="n"/>
      <c r="AY693" s="33" t="n"/>
      <c r="AZ693" s="33" t="n"/>
      <c r="BA693" s="74" t="n"/>
      <c r="BB693" s="108" t="n"/>
      <c r="BC693" s="32" t="n"/>
      <c r="BD693" s="32" t="n"/>
    </row>
    <row r="694" ht="15" customHeight="1" s="148">
      <c r="A694" t="inlineStr">
        <is>
          <t>c0690</t>
        </is>
      </c>
      <c r="B694" s="44" t="inlineStr">
        <is>
          <t>Flux Channeler</t>
        </is>
      </c>
      <c r="C694" s="34" t="inlineStr">
        <is>
          <t>U</t>
        </is>
      </c>
      <c r="D694" s="44" t="inlineStr">
        <is>
          <t>Creature</t>
        </is>
      </c>
      <c r="E694" s="41" t="inlineStr">
        <is>
          <t>B2</t>
        </is>
      </c>
      <c r="F694" s="34" t="n">
        <v>3</v>
      </c>
      <c r="G694" s="67" t="inlineStr">
        <is>
          <t>Whenever you cast a noncreature spell, proliferate. (Choose any number of permanents and/or players, then give each another counter of each kind already there.)
(2/2)</t>
        </is>
      </c>
      <c r="H694" s="45" t="inlineStr">
        <is>
          <t>Proliferate</t>
        </is>
      </c>
      <c r="I694" s="45" t="inlineStr">
        <is>
          <t>Proliferate whenever you cast a noncreature spell</t>
        </is>
      </c>
      <c r="J694" s="45" t="n"/>
      <c r="K694" s="45" t="n"/>
      <c r="L694" s="42" t="n"/>
      <c r="M694" s="42" t="n"/>
      <c r="N694" s="42" t="n"/>
      <c r="O694" s="42" t="n"/>
      <c r="P694" s="42" t="n">
        <v>3.3</v>
      </c>
      <c r="Q694" s="42" t="n"/>
      <c r="R694" s="42" t="n"/>
      <c r="S694" s="42" t="n"/>
      <c r="T694" s="42" t="n"/>
      <c r="U694" s="42" t="n"/>
      <c r="V694" s="45" t="inlineStr">
        <is>
          <t>War of the Spark</t>
        </is>
      </c>
      <c r="W694" s="41" t="n">
        <v>1</v>
      </c>
      <c r="X694" s="37">
        <f>SUM(Y694:AE694)</f>
        <v/>
      </c>
      <c r="Y694" s="43" t="n"/>
      <c r="Z694" s="43" t="n"/>
      <c r="AA694" s="43" t="n">
        <v>1</v>
      </c>
      <c r="AB694" s="43" t="n"/>
      <c r="AC694" s="43" t="n"/>
      <c r="AD694" s="43" t="n"/>
      <c r="AE694" s="43" t="n"/>
      <c r="AF694" s="38">
        <f>IF((W694-SUM(Y694:AE694))&lt;0,0,W694-SUM(Y694:AE694))</f>
        <v/>
      </c>
      <c r="AG694" s="34">
        <f>MAX(0,$AT694-$W694-$AI694)</f>
        <v/>
      </c>
      <c r="AH694" s="34" t="n"/>
      <c r="AI694" s="34" t="n"/>
      <c r="AJ694" s="36" t="n">
        <v>3.49</v>
      </c>
      <c r="AK694" s="36">
        <f>IF(AND($AG694&gt;0,ISNUMBER($AJ694)),$AG694*$AJ694,0)</f>
        <v/>
      </c>
      <c r="AT694" s="37">
        <f>SUM(AU694:BA694)</f>
        <v/>
      </c>
      <c r="AU694" s="73" t="n"/>
      <c r="AV694" s="33" t="n"/>
      <c r="AW694" s="98" t="n">
        <v>1</v>
      </c>
      <c r="AX694" s="33" t="n"/>
      <c r="AY694" s="33" t="n"/>
      <c r="AZ694" s="33" t="n"/>
      <c r="BA694" s="74" t="n"/>
      <c r="BB694" s="106" t="n"/>
      <c r="BC694" s="42" t="n"/>
      <c r="BD694" s="42" t="n"/>
    </row>
    <row r="695" ht="15" customHeight="1" s="148">
      <c r="A695" t="inlineStr">
        <is>
          <t>c0691</t>
        </is>
      </c>
      <c r="B695" s="30" t="inlineStr">
        <is>
          <t>Fractal Anomaly</t>
        </is>
      </c>
      <c r="C695" s="31" t="inlineStr">
        <is>
          <t>U</t>
        </is>
      </c>
      <c r="D695" s="30" t="inlineStr">
        <is>
          <t>Instant</t>
        </is>
      </c>
      <c r="E695" s="33" t="inlineStr">
        <is>
          <t>B2</t>
        </is>
      </c>
      <c r="F695" s="31" t="n">
        <v>1</v>
      </c>
      <c r="G695" s="67" t="inlineStr">
        <is>
          <t>Create a 0/0 green and blue Fractal creature token and put X +1/+1 counters on it, where X is the number of cards you've drawn this turn.</t>
        </is>
      </c>
      <c r="H695" s="30" t="inlineStr">
        <is>
          <t>Token Producer</t>
        </is>
      </c>
      <c r="I695" s="30" t="inlineStr">
        <is>
          <t>Create a 0/0 Fractal token with a +1/+1 counter for each card you have drawn this turn</t>
        </is>
      </c>
      <c r="J695" s="30" t="n"/>
      <c r="K695" s="30" t="n"/>
      <c r="L695" s="32" t="inlineStr">
        <is>
          <t>50</t>
        </is>
      </c>
      <c r="M695" s="32" t="n">
        <v>1</v>
      </c>
      <c r="N695" s="32" t="n">
        <v>0</v>
      </c>
      <c r="O695" s="63" t="n"/>
      <c r="P695" s="63" t="n">
        <v>0.23</v>
      </c>
      <c r="Q695" s="32" t="inlineStr">
        <is>
          <t>Uncommon</t>
        </is>
      </c>
      <c r="R695" s="32" t="n"/>
      <c r="S695" s="32" t="n"/>
      <c r="T695" s="63" t="n"/>
      <c r="U695" s="63" t="n"/>
      <c r="V695" s="30" t="inlineStr">
        <is>
          <t>Secrets of Strixhaven</t>
        </is>
      </c>
      <c r="W695" s="41" t="n">
        <v>1</v>
      </c>
      <c r="X695" s="37">
        <f>SUM(Y695:AE695)</f>
        <v/>
      </c>
      <c r="Y695" s="43" t="n"/>
      <c r="Z695" s="43" t="n"/>
      <c r="AA695" s="43" t="n"/>
      <c r="AB695" s="43" t="n"/>
      <c r="AC695" s="43" t="n"/>
      <c r="AD695" s="43" t="n"/>
      <c r="AE695" s="43" t="n"/>
      <c r="AF695" s="38">
        <f>IF((W695-SUM(Y695:AE695))&lt;0,0,W695-SUM(Y695:AE695))</f>
        <v/>
      </c>
      <c r="AG695" s="34">
        <f>MAX(0,$AT695-$W695-$AI695)</f>
        <v/>
      </c>
      <c r="AH695" s="30" t="n"/>
      <c r="AI695" s="30" t="n"/>
      <c r="AJ695" s="35" t="n">
        <v>0.23</v>
      </c>
      <c r="AK695" s="36">
        <f>IF(AND($AG695&gt;0,ISNUMBER($AJ695)),$AG695*$AJ695,0)</f>
        <v/>
      </c>
      <c r="AT695" s="37">
        <f>SUM(AU695:BA695)</f>
        <v/>
      </c>
      <c r="AU695" s="73" t="n"/>
      <c r="AV695" s="33" t="n"/>
      <c r="AW695" s="33" t="n"/>
      <c r="AX695" s="33" t="n"/>
      <c r="AY695" s="33" t="n"/>
      <c r="AZ695" s="33" t="n"/>
      <c r="BA695" s="74" t="n"/>
      <c r="BB695" s="108" t="n"/>
      <c r="BC695" s="32" t="n"/>
      <c r="BD695" s="32" t="n"/>
    </row>
    <row r="696" ht="15" customHeight="1" s="148">
      <c r="A696" t="inlineStr">
        <is>
          <t>c0692</t>
        </is>
      </c>
      <c r="B696" s="42" t="inlineStr">
        <is>
          <t>Frantic Search</t>
        </is>
      </c>
      <c r="C696" s="41" t="inlineStr">
        <is>
          <t>U</t>
        </is>
      </c>
      <c r="D696" s="42" t="inlineStr">
        <is>
          <t>Instant</t>
        </is>
      </c>
      <c r="E696" s="41" t="inlineStr">
        <is>
          <t>B2</t>
        </is>
      </c>
      <c r="F696" s="41" t="n">
        <v>3</v>
      </c>
      <c r="G696" s="67" t="inlineStr">
        <is>
          <t>Draw two cards, then discard two cards. Untap up to three lands.</t>
        </is>
      </c>
      <c r="H696" s="42" t="inlineStr">
        <is>
          <t>Card Draw</t>
        </is>
      </c>
      <c r="I696" s="42" t="inlineStr">
        <is>
          <t>Draw two cards, then discard two cards. Untap up to three lands</t>
        </is>
      </c>
      <c r="J696" s="42" t="n"/>
      <c r="K696" s="42" t="n"/>
      <c r="L696" s="88" t="n"/>
      <c r="M696" s="41" t="n"/>
      <c r="N696" s="41" t="n"/>
      <c r="O696" s="63" t="n"/>
      <c r="P696" s="90" t="n">
        <v>2.12</v>
      </c>
      <c r="Q696" s="88" t="n"/>
      <c r="R696" s="41" t="n"/>
      <c r="S696" s="41" t="n"/>
      <c r="T696" s="63" t="n"/>
      <c r="U696" s="91" t="n"/>
      <c r="V696" s="42" t="inlineStr">
        <is>
          <t>Urza's Legacy</t>
        </is>
      </c>
      <c r="W696" s="41" t="n">
        <v>0</v>
      </c>
      <c r="X696" s="37">
        <f>SUM(Y696:AE696)</f>
        <v/>
      </c>
      <c r="Y696" s="43" t="n"/>
      <c r="Z696" s="43" t="n"/>
      <c r="AA696" s="43" t="n"/>
      <c r="AB696" s="43" t="n"/>
      <c r="AC696" s="43" t="n"/>
      <c r="AD696" s="43" t="n"/>
      <c r="AE696" s="43" t="n"/>
      <c r="AF696" s="38">
        <f>IF((W696-SUM(Y696:AE696))&lt;0,0,W696-SUM(Y696:AE696))</f>
        <v/>
      </c>
      <c r="AG696" s="38">
        <f>MAX(0,$AT696-$W696-$AI696)</f>
        <v/>
      </c>
      <c r="AH696" s="42" t="n"/>
      <c r="AI696" s="42" t="n"/>
      <c r="AJ696" s="42" t="n">
        <v>2.17</v>
      </c>
      <c r="AK696" s="42">
        <f>IF(AND($AG696&gt;0,ISNUMBER($AJ696)),$AG696*$AJ696,0)</f>
        <v/>
      </c>
      <c r="AT696" s="37">
        <f>SUM(AU696:BA696)</f>
        <v/>
      </c>
      <c r="AU696" s="73" t="n"/>
      <c r="AV696" s="33" t="n"/>
      <c r="AW696" s="33" t="n">
        <v>1</v>
      </c>
      <c r="AX696" s="33" t="n"/>
      <c r="AY696" s="33" t="n"/>
      <c r="AZ696" s="33" t="n"/>
      <c r="BA696" s="74" t="n"/>
      <c r="BB696" s="42" t="n"/>
      <c r="BC696" s="42" t="n"/>
      <c r="BD696" s="42" t="n"/>
    </row>
    <row r="697" ht="15" customHeight="1" s="148">
      <c r="A697" t="inlineStr">
        <is>
          <t>c0693</t>
        </is>
      </c>
      <c r="B697" s="47" t="inlineStr">
        <is>
          <t>Freed from the Real</t>
        </is>
      </c>
      <c r="C697" s="38" t="inlineStr">
        <is>
          <t>U</t>
        </is>
      </c>
      <c r="D697" s="47" t="inlineStr">
        <is>
          <t>Enchantment</t>
        </is>
      </c>
      <c r="E697" s="41" t="inlineStr">
        <is>
          <t>B3</t>
        </is>
      </c>
      <c r="F697" s="38" t="n">
        <v>3</v>
      </c>
      <c r="G697" s="67" t="inlineStr">
        <is>
          <t>Enchant creature
{U}: Tap enchanted creature.
{U}: Untap enchanted creature.</t>
        </is>
      </c>
      <c r="H697" s="53" t="inlineStr">
        <is>
          <t>Value Engine</t>
        </is>
      </c>
      <c r="I697" s="53" t="inlineStr">
        <is>
          <t>Enchant creature</t>
        </is>
      </c>
      <c r="J697" s="53" t="inlineStr">
        <is>
          <t>{U}: Tap enchanted creature</t>
        </is>
      </c>
      <c r="K697" s="53" t="inlineStr">
        <is>
          <t>{U}: Untap enchanted creature</t>
        </is>
      </c>
      <c r="L697" s="42" t="n"/>
      <c r="M697" s="42" t="n"/>
      <c r="N697" s="42" t="n"/>
      <c r="O697" s="42" t="n"/>
      <c r="P697" s="42" t="n"/>
      <c r="Q697" s="42" t="n"/>
      <c r="R697" s="42" t="n"/>
      <c r="S697" s="42" t="n"/>
      <c r="T697" s="42" t="n"/>
      <c r="U697" s="42" t="n"/>
      <c r="V697" s="53" t="inlineStr">
        <is>
          <t>Saviors of Kamigawa</t>
        </is>
      </c>
      <c r="W697" s="41" t="n">
        <v>1</v>
      </c>
      <c r="X697" s="37">
        <f>SUM(Y697:AE697)</f>
        <v/>
      </c>
      <c r="Y697" s="43" t="n"/>
      <c r="Z697" s="43" t="n">
        <v>1</v>
      </c>
      <c r="AA697" s="43" t="n"/>
      <c r="AB697" s="43" t="n"/>
      <c r="AC697" s="43" t="n"/>
      <c r="AD697" s="43" t="n"/>
      <c r="AE697" s="43" t="n"/>
      <c r="AF697" s="38">
        <f>IF((W697-SUM(Y697:AE697))&lt;0,0,W697-SUM(Y697:AE697))</f>
        <v/>
      </c>
      <c r="AG697" s="38">
        <f>MAX(0,$AT697-$W697-$AI697)</f>
        <v/>
      </c>
      <c r="AH697" s="38" t="n"/>
      <c r="AI697" s="38" t="n"/>
      <c r="AJ697" s="54" t="n">
        <v>7.02</v>
      </c>
      <c r="AK697" s="54">
        <f>IF(AND($AG697&gt;0,ISNUMBER($AJ697)),$AG697*$AJ697,0)</f>
        <v/>
      </c>
      <c r="AT697" s="37">
        <f>SUM(AU697:BA697)</f>
        <v/>
      </c>
      <c r="AU697" s="73" t="n"/>
      <c r="AV697" s="98" t="n">
        <v>1</v>
      </c>
      <c r="AW697" s="33" t="n"/>
      <c r="AX697" s="33" t="n"/>
      <c r="AY697" s="33" t="n"/>
      <c r="AZ697" s="33" t="n"/>
      <c r="BA697" s="74" t="n"/>
      <c r="BB697" s="47" t="n"/>
      <c r="BC697" s="42" t="n"/>
      <c r="BD697" s="42" t="n"/>
    </row>
    <row r="698" ht="15" customHeight="1" s="148">
      <c r="A698" t="inlineStr">
        <is>
          <t>c0694</t>
        </is>
      </c>
      <c r="B698" s="47" t="inlineStr">
        <is>
          <t>Fuel for the Cause</t>
        </is>
      </c>
      <c r="C698" s="38" t="inlineStr">
        <is>
          <t>U</t>
        </is>
      </c>
      <c r="D698" s="47" t="inlineStr">
        <is>
          <t>Instant</t>
        </is>
      </c>
      <c r="E698" s="41" t="inlineStr">
        <is>
          <t>B2</t>
        </is>
      </c>
      <c r="F698" s="38" t="n">
        <v>4</v>
      </c>
      <c r="G698" s="67" t="inlineStr">
        <is>
          <t>Counter target spell, then proliferate. (Choose any number of permanents and/or players, then give each another counter of each kind already there.)</t>
        </is>
      </c>
      <c r="H698" s="53" t="inlineStr">
        <is>
          <t>Interaction</t>
        </is>
      </c>
      <c r="I698" s="53" t="inlineStr">
        <is>
          <t>Counter target spell, then proliferate</t>
        </is>
      </c>
      <c r="J698" s="53" t="n"/>
      <c r="K698" s="53" t="n"/>
      <c r="L698" s="42" t="n"/>
      <c r="M698" s="42" t="n"/>
      <c r="N698" s="42" t="n"/>
      <c r="O698" s="42" t="n"/>
      <c r="P698" s="42" t="n">
        <v>0.34</v>
      </c>
      <c r="Q698" s="42" t="n"/>
      <c r="R698" s="42" t="n"/>
      <c r="S698" s="42" t="n"/>
      <c r="T698" s="42" t="n"/>
      <c r="U698" s="42" t="n"/>
      <c r="V698" s="53" t="inlineStr">
        <is>
          <t>Mirrodin Besieged</t>
        </is>
      </c>
      <c r="W698" s="41" t="n">
        <v>1</v>
      </c>
      <c r="X698" s="37">
        <f>SUM(Y698:AE698)</f>
        <v/>
      </c>
      <c r="Y698" s="43" t="n"/>
      <c r="Z698" s="43" t="n"/>
      <c r="AA698" s="43" t="n">
        <v>1</v>
      </c>
      <c r="AB698" s="43" t="n"/>
      <c r="AC698" s="43" t="n"/>
      <c r="AD698" s="43" t="n"/>
      <c r="AE698" s="43" t="n"/>
      <c r="AF698" s="38">
        <f>IF((W698-SUM(Y698:AE698))&lt;0,0,W698-SUM(Y698:AE698))</f>
        <v/>
      </c>
      <c r="AG698" s="38">
        <f>MAX(0,$AT698-$W698-$AI698)</f>
        <v/>
      </c>
      <c r="AH698" s="38" t="n"/>
      <c r="AI698" s="38" t="n"/>
      <c r="AJ698" s="54" t="n">
        <v>0.34</v>
      </c>
      <c r="AK698" s="54">
        <f>IF(AND($AG698&gt;0,ISNUMBER($AJ698)),$AG698*$AJ698,0)</f>
        <v/>
      </c>
      <c r="AN698" s="58" t="n"/>
      <c r="AT698" s="37">
        <f>SUM(AU698:BA698)</f>
        <v/>
      </c>
      <c r="AU698" s="73" t="n"/>
      <c r="AV698" s="33" t="n"/>
      <c r="AW698" s="98" t="n">
        <v>1</v>
      </c>
      <c r="AX698" s="33" t="n"/>
      <c r="AY698" s="33" t="n"/>
      <c r="AZ698" s="33" t="n"/>
      <c r="BA698" s="74" t="n"/>
      <c r="BB698" s="47" t="n"/>
      <c r="BC698" s="42" t="n"/>
      <c r="BD698" s="42" t="n"/>
    </row>
    <row r="699" ht="15" customHeight="1" s="148">
      <c r="A699" t="inlineStr">
        <is>
          <t>c0695</t>
        </is>
      </c>
      <c r="B699" s="47" t="inlineStr">
        <is>
          <t>Gandalf, Wandering Wizard</t>
        </is>
      </c>
      <c r="C699" s="41" t="inlineStr">
        <is>
          <t>U</t>
        </is>
      </c>
      <c r="D699" s="42" t="inlineStr">
        <is>
          <t>Legendary Creature</t>
        </is>
      </c>
      <c r="E699" s="41" t="inlineStr">
        <is>
          <t>B2</t>
        </is>
      </c>
      <c r="F699" s="41" t="n">
        <v>5</v>
      </c>
      <c r="G699" s="67" t="inlineStr">
        <is>
          <t>Ward {3} (Whenever this creature becomes the target of a spell or ability an opponent controls, counter it unless that player pays {3}.)
{6}: Gandalf's owner shuffles him into their library and draws three cards.
(4/5)</t>
        </is>
      </c>
      <c r="H699" s="42" t="inlineStr">
        <is>
          <t>Card Draw</t>
        </is>
      </c>
      <c r="I699" s="42" t="inlineStr">
        <is>
          <t>{6}: Shuffle him into your library and draw three cards</t>
        </is>
      </c>
      <c r="J699" s="42" t="inlineStr">
        <is>
          <t>Ward {3}</t>
        </is>
      </c>
      <c r="K699" s="42" t="n"/>
      <c r="L699" s="42" t="n"/>
      <c r="M699" s="42" t="n"/>
      <c r="N699" s="42" t="n"/>
      <c r="O699" s="63" t="n"/>
      <c r="P699" s="63" t="n"/>
      <c r="Q699" s="42" t="n"/>
      <c r="R699" s="42" t="n"/>
      <c r="S699" s="42" t="n"/>
      <c r="T699" s="63" t="n"/>
      <c r="U699" s="63" t="n"/>
      <c r="V699" s="42" t="inlineStr">
        <is>
          <t>The Hobbit</t>
        </is>
      </c>
      <c r="W699" s="41" t="n">
        <v>1</v>
      </c>
      <c r="X699" s="37">
        <f>SUM(Y699:AE699)</f>
        <v/>
      </c>
      <c r="Y699" s="43" t="n"/>
      <c r="Z699" s="43" t="n">
        <v>1</v>
      </c>
      <c r="AA699" s="43" t="n"/>
      <c r="AB699" s="43" t="n"/>
      <c r="AC699" s="43" t="n"/>
      <c r="AD699" s="43" t="n"/>
      <c r="AE699" s="43" t="n"/>
      <c r="AF699" s="38">
        <f>IF((W699-SUM(Y699:AE699))&lt;0,0,W699-SUM(Y699:AE699))</f>
        <v/>
      </c>
      <c r="AG699" s="38">
        <f>MAX(0,$AT699-$W699-$AI699)</f>
        <v/>
      </c>
      <c r="AH699" s="38" t="inlineStr">
        <is>
          <t>GT</t>
        </is>
      </c>
      <c r="AI699" s="38" t="n"/>
      <c r="AJ699" s="42" t="n">
        <v>0.11</v>
      </c>
      <c r="AK699" s="42">
        <f>IF(AND($AG699&gt;0,ISNUMBER($AJ699)),$AG699*$AJ699,0)</f>
        <v/>
      </c>
      <c r="AM699" t="inlineStr">
        <is>
          <t>BL0053</t>
        </is>
      </c>
      <c r="AR699" s="58" t="n"/>
      <c r="AS699" s="86" t="n">
        <v>1</v>
      </c>
      <c r="AT699" s="37">
        <f>SUM(AU699:BA699)</f>
        <v/>
      </c>
      <c r="AU699" s="73" t="n"/>
      <c r="AV699" s="99" t="n"/>
      <c r="AW699" s="33" t="n"/>
      <c r="AX699" s="33" t="n"/>
      <c r="AY699" s="33" t="n"/>
      <c r="AZ699" s="33" t="n"/>
      <c r="BA699" s="81" t="n"/>
      <c r="BB699" s="42" t="n"/>
      <c r="BC699" s="42" t="n"/>
      <c r="BD699" s="42" t="n"/>
    </row>
    <row r="700" ht="15" customHeight="1" s="148">
      <c r="A700" t="inlineStr">
        <is>
          <t>c0696</t>
        </is>
      </c>
      <c r="B700" s="42" t="inlineStr">
        <is>
          <t>Giant Koi</t>
        </is>
      </c>
      <c r="C700" s="41" t="inlineStr">
        <is>
          <t>U</t>
        </is>
      </c>
      <c r="D700" s="42" t="inlineStr">
        <is>
          <t>Creature</t>
        </is>
      </c>
      <c r="E700" s="41" t="inlineStr">
        <is>
          <t>B2</t>
        </is>
      </c>
      <c r="F700" s="41" t="n">
        <v>6</v>
      </c>
      <c r="G700" s="67" t="inlineStr">
        <is>
          <t>Waterbend {3}: This creature can't be blocked this turn. (While paying a waterbend cost, you can tap your artifacts and creatures to help. Each one pays for {1}.)
Islandcycling {2} ({2}, Discard this card: Search your library for an Island card, reveal it, put it into your hand, then shuffle.)
(5/7)</t>
        </is>
      </c>
      <c r="H700" s="42" t="inlineStr">
        <is>
          <t>Finisher</t>
        </is>
      </c>
      <c r="I700" s="42" t="inlineStr">
        <is>
          <t>Waterbend {3}: it cannot be blocked this turn (tap artifacts and creatures to help pay)</t>
        </is>
      </c>
      <c r="J700" s="42" t="inlineStr">
        <is>
          <t>Islandcycling {2}: discard it to search your library for an Island</t>
        </is>
      </c>
      <c r="K700" s="42" t="n"/>
      <c r="L700" s="42" t="n"/>
      <c r="M700" s="42" t="n"/>
      <c r="N700" s="42" t="n"/>
      <c r="O700" s="63" t="n"/>
      <c r="P700" s="63" t="n"/>
      <c r="Q700" s="42" t="n"/>
      <c r="R700" s="42" t="n"/>
      <c r="S700" s="42" t="n"/>
      <c r="T700" s="63" t="n"/>
      <c r="U700" s="63" t="n"/>
      <c r="V700" s="42" t="inlineStr">
        <is>
          <t>Avatar: The Last Airbender</t>
        </is>
      </c>
      <c r="W700" s="41" t="n">
        <v>1</v>
      </c>
      <c r="X700" s="37">
        <f>SUM(Y700:AE700)</f>
        <v/>
      </c>
      <c r="Y700" s="43" t="n"/>
      <c r="Z700" s="43" t="n"/>
      <c r="AA700" s="43" t="n"/>
      <c r="AB700" s="43" t="n"/>
      <c r="AC700" s="43" t="n"/>
      <c r="AD700" s="43" t="n"/>
      <c r="AE700" s="43" t="n"/>
      <c r="AF700" s="38">
        <f>IF((W700-SUM(Y700:AE700))&lt;0,0,W700-SUM(Y700:AE700))</f>
        <v/>
      </c>
      <c r="AG700" s="38">
        <f>MAX(0,$AT700-$W700-$AI700)</f>
        <v/>
      </c>
      <c r="AH700" s="42" t="n"/>
      <c r="AI700" s="42" t="n"/>
      <c r="AJ700" s="42" t="n">
        <v>0.11</v>
      </c>
      <c r="AK700" s="42">
        <f>IF(AND($AG700&gt;0,ISNUMBER($AJ700)),$AG700*$AJ700,0)</f>
        <v/>
      </c>
      <c r="AT700" s="37">
        <f>SUM(AU700:BA700)</f>
        <v/>
      </c>
      <c r="AU700" s="73" t="n"/>
      <c r="AV700" s="33" t="n"/>
      <c r="AW700" s="33" t="n"/>
      <c r="AX700" s="33" t="n"/>
      <c r="AY700" s="33" t="n"/>
      <c r="AZ700" s="33" t="n"/>
      <c r="BA700" s="74" t="n"/>
      <c r="BB700" s="42" t="n"/>
      <c r="BC700" s="42" t="n"/>
      <c r="BD700" s="42" t="n"/>
    </row>
    <row r="701" ht="15" customHeight="1" s="148">
      <c r="A701" t="inlineStr">
        <is>
          <t>c0697</t>
        </is>
      </c>
      <c r="B701" s="47" t="inlineStr">
        <is>
          <t>Glamer Gifter</t>
        </is>
      </c>
      <c r="C701" s="38" t="inlineStr">
        <is>
          <t>U</t>
        </is>
      </c>
      <c r="D701" s="47" t="inlineStr">
        <is>
          <t>Creature</t>
        </is>
      </c>
      <c r="E701" s="41" t="inlineStr">
        <is>
          <t>B2</t>
        </is>
      </c>
      <c r="F701" s="38" t="n">
        <v>2</v>
      </c>
      <c r="G701" s="67" t="inlineStr">
        <is>
          <t>Flash
Flying
When this creature enters, choose up to one other target creature. Until end of turn, that creature has base power and toughness 4/4 and gains all creature types.
(1/2)</t>
        </is>
      </c>
      <c r="H701" s="53" t="inlineStr">
        <is>
          <t>Combat Trick</t>
        </is>
      </c>
      <c r="I701" s="53" t="inlineStr">
        <is>
          <t>Target creature becomes a 4/4 with every creature type until end of turn</t>
        </is>
      </c>
      <c r="J701" s="53" t="n"/>
      <c r="K701" s="53" t="n"/>
      <c r="L701" s="42" t="inlineStr">
        <is>
          <t>49</t>
        </is>
      </c>
      <c r="M701" s="42" t="n">
        <v>1</v>
      </c>
      <c r="N701" s="42" t="n">
        <v>0</v>
      </c>
      <c r="O701" s="63" t="inlineStr">
        <is>
          <t>Ben Hill</t>
        </is>
      </c>
      <c r="P701" s="63" t="n">
        <v>0.21</v>
      </c>
      <c r="Q701" s="42" t="inlineStr">
        <is>
          <t>Uncommon</t>
        </is>
      </c>
      <c r="R701" s="42" t="n"/>
      <c r="S701" s="42" t="n"/>
      <c r="T701" s="63" t="n"/>
      <c r="U701" s="63" t="n"/>
      <c r="V701" s="53" t="inlineStr">
        <is>
          <t>Lorwyn Eclipsed</t>
        </is>
      </c>
      <c r="W701" s="41" t="n">
        <v>2</v>
      </c>
      <c r="X701" s="37">
        <f>SUM(Y701:AE701)</f>
        <v/>
      </c>
      <c r="Y701" s="43" t="n"/>
      <c r="Z701" s="43" t="n"/>
      <c r="AA701" s="43" t="n"/>
      <c r="AB701" s="43" t="n"/>
      <c r="AC701" s="43" t="n"/>
      <c r="AD701" s="43" t="n"/>
      <c r="AE701" s="43" t="n">
        <v>1</v>
      </c>
      <c r="AF701" s="38">
        <f>IF((W701-SUM(Y701:AE701))&lt;0,0,W701-SUM(Y701:AE701))</f>
        <v/>
      </c>
      <c r="AG701" s="38">
        <f>MAX(0,$AT701-$W701-$AI701)</f>
        <v/>
      </c>
      <c r="AH701" s="38" t="n"/>
      <c r="AI701" s="38" t="n"/>
      <c r="AJ701" s="54" t="n">
        <v>0.23</v>
      </c>
      <c r="AK701" s="54">
        <f>IF(AND($AG701&gt;0,ISNUMBER($AJ701)),$AG701*$AJ701,0)</f>
        <v/>
      </c>
      <c r="AT701" s="37">
        <f>SUM(AU701:BA701)</f>
        <v/>
      </c>
      <c r="AU701" s="73" t="n"/>
      <c r="AV701" s="33" t="n"/>
      <c r="AW701" s="33" t="n"/>
      <c r="AX701" s="33" t="n"/>
      <c r="AY701" s="33" t="n"/>
      <c r="AZ701" s="33" t="n"/>
      <c r="BA701" s="80" t="n">
        <v>1</v>
      </c>
      <c r="BB701" s="47" t="n"/>
      <c r="BC701" s="42" t="n"/>
      <c r="BD701" s="42" t="n"/>
    </row>
    <row r="702" ht="15" customHeight="1" s="148">
      <c r="A702" t="inlineStr">
        <is>
          <t>c0698</t>
        </is>
      </c>
      <c r="B702" s="47" t="inlineStr">
        <is>
          <t>Glamermite</t>
        </is>
      </c>
      <c r="C702" s="38" t="inlineStr">
        <is>
          <t>U</t>
        </is>
      </c>
      <c r="D702" s="47" t="inlineStr">
        <is>
          <t>Creature</t>
        </is>
      </c>
      <c r="E702" s="41" t="inlineStr">
        <is>
          <t>B2</t>
        </is>
      </c>
      <c r="F702" s="38" t="n">
        <v>3</v>
      </c>
      <c r="G702" s="67" t="inlineStr">
        <is>
          <t>Flash
Flying
When this creature enters, choose one —
• Tap target creature.
• Untap target creature.
(2/2)</t>
        </is>
      </c>
      <c r="H702" s="53" t="inlineStr">
        <is>
          <t>Utility Creature</t>
        </is>
      </c>
      <c r="I702" s="53" t="inlineStr">
        <is>
          <t>Taps or untaps target creature when it enters</t>
        </is>
      </c>
      <c r="J702" s="53" t="inlineStr">
        <is>
          <t>Flash flying body</t>
        </is>
      </c>
      <c r="K702" s="53" t="n"/>
      <c r="L702" s="42" t="n"/>
      <c r="M702" s="42" t="n"/>
      <c r="N702" s="42" t="n"/>
      <c r="O702" s="63" t="n"/>
      <c r="P702" s="63" t="n">
        <v>0.19</v>
      </c>
      <c r="Q702" s="42" t="n"/>
      <c r="R702" s="42" t="n"/>
      <c r="S702" s="42" t="n"/>
      <c r="T702" s="63" t="n"/>
      <c r="U702" s="63" t="n"/>
      <c r="V702" s="53" t="inlineStr">
        <is>
          <t>Lorwyn Eclipsed</t>
        </is>
      </c>
      <c r="W702" s="41" t="n">
        <v>1</v>
      </c>
      <c r="X702" s="37">
        <f>SUM(Y702:AE702)</f>
        <v/>
      </c>
      <c r="Y702" s="43" t="n"/>
      <c r="Z702" s="43" t="n"/>
      <c r="AA702" s="43" t="n"/>
      <c r="AB702" s="43" t="n"/>
      <c r="AC702" s="43" t="n"/>
      <c r="AD702" s="43" t="n"/>
      <c r="AE702" s="43" t="n">
        <v>1</v>
      </c>
      <c r="AF702" s="38">
        <f>IF((W702-SUM(Y702:AE702))&lt;0,0,W702-SUM(Y702:AE702))</f>
        <v/>
      </c>
      <c r="AG702" s="38">
        <f>MAX(0,$AT702-$W702-$AI702)</f>
        <v/>
      </c>
      <c r="AH702" s="38" t="n"/>
      <c r="AI702" s="38" t="n"/>
      <c r="AJ702" s="54" t="n">
        <v>0.24</v>
      </c>
      <c r="AK702" s="54">
        <f>IF(AND($AG702&gt;0,ISNUMBER($AJ702)),$AG702*$AJ702,0)</f>
        <v/>
      </c>
      <c r="AR702" s="58" t="n"/>
      <c r="AT702" s="37">
        <f>SUM(AU702:BA702)</f>
        <v/>
      </c>
      <c r="AU702" s="73" t="n"/>
      <c r="AV702" s="33" t="n"/>
      <c r="AW702" s="33" t="n"/>
      <c r="AX702" s="33" t="n"/>
      <c r="AY702" s="33" t="n"/>
      <c r="AZ702" s="33" t="n"/>
      <c r="BA702" s="80" t="n">
        <v>1</v>
      </c>
      <c r="BB702" s="47" t="n"/>
      <c r="BC702" s="42" t="n"/>
      <c r="BD702" s="42" t="n"/>
    </row>
    <row r="703" ht="15" customHeight="1" s="148">
      <c r="A703" t="inlineStr">
        <is>
          <t>c0699</t>
        </is>
      </c>
      <c r="B703" s="47" t="inlineStr">
        <is>
          <t>Gran-Gran</t>
        </is>
      </c>
      <c r="C703" s="38" t="inlineStr">
        <is>
          <t>U</t>
        </is>
      </c>
      <c r="D703" s="47" t="inlineStr">
        <is>
          <t>Legendary Creature</t>
        </is>
      </c>
      <c r="E703" s="41" t="inlineStr">
        <is>
          <t>B2</t>
        </is>
      </c>
      <c r="F703" s="38" t="n">
        <v>1</v>
      </c>
      <c r="G703" s="67" t="inlineStr">
        <is>
          <t>Whenever Gran-Gran becomes tapped, draw a card, then discard a card.
Noncreature spells you cast cost {1} less to cast as long as there are three or more Lesson cards in your graveyard.
(1/2)</t>
        </is>
      </c>
      <c r="H703" s="53" t="inlineStr">
        <is>
          <t>Discard/Looting</t>
        </is>
      </c>
      <c r="I703" s="53" t="inlineStr">
        <is>
          <t>Draws then discards a card whenever it becomes tapped</t>
        </is>
      </c>
      <c r="J703" s="53" t="inlineStr">
        <is>
          <t>Noncreature spells cost {1} less with three or more Lessons in your graveyard</t>
        </is>
      </c>
      <c r="K703" s="53" t="n"/>
      <c r="L703" s="41" t="n"/>
      <c r="M703" s="41" t="n"/>
      <c r="N703" s="41" t="n"/>
      <c r="O703" s="63" t="n"/>
      <c r="P703" s="63" t="n">
        <v>0.31</v>
      </c>
      <c r="Q703" s="41" t="n"/>
      <c r="R703" s="41" t="n"/>
      <c r="S703" s="41" t="n"/>
      <c r="T703" s="63" t="n"/>
      <c r="U703" s="63" t="n"/>
      <c r="V703" s="53" t="inlineStr">
        <is>
          <t>Avatar: The Last Airbender</t>
        </is>
      </c>
      <c r="W703" s="41" t="n">
        <v>1</v>
      </c>
      <c r="X703" s="37">
        <f>SUM(Y703:AE703)</f>
        <v/>
      </c>
      <c r="Y703" s="43" t="n"/>
      <c r="Z703" s="43" t="n"/>
      <c r="AA703" s="43" t="n"/>
      <c r="AB703" s="43" t="n"/>
      <c r="AC703" s="43" t="n"/>
      <c r="AD703" s="43" t="n"/>
      <c r="AE703" s="43" t="n"/>
      <c r="AF703" s="38">
        <f>IF((W703-SUM(Y703:AE703))&lt;0,0,W703-SUM(Y703:AE703))</f>
        <v/>
      </c>
      <c r="AG703" s="38">
        <f>MAX(0,$AT703-$W703-$AI703)</f>
        <v/>
      </c>
      <c r="AH703" s="38" t="n"/>
      <c r="AI703" s="38" t="n"/>
      <c r="AJ703" s="54" t="n">
        <v>0.3</v>
      </c>
      <c r="AK703" s="54">
        <f>IF(AND($AG703&gt;0,ISNUMBER($AJ703)),$AG703*$AJ703,0)</f>
        <v/>
      </c>
      <c r="AT703" s="37">
        <f>SUM(AU703:BA703)</f>
        <v/>
      </c>
      <c r="AU703" s="73" t="n"/>
      <c r="AV703" s="33" t="n"/>
      <c r="AW703" s="33" t="n"/>
      <c r="AX703" s="33" t="n"/>
      <c r="AY703" s="33" t="n"/>
      <c r="AZ703" s="33" t="n"/>
      <c r="BA703" s="74" t="n"/>
      <c r="BB703" s="47" t="n"/>
      <c r="BC703" s="42" t="n"/>
      <c r="BD703" s="42" t="n"/>
    </row>
    <row r="704" ht="15" customHeight="1" s="148">
      <c r="A704" t="inlineStr">
        <is>
          <t>c0700</t>
        </is>
      </c>
      <c r="B704" s="47" t="inlineStr">
        <is>
          <t>Ichormoon Gauntlet</t>
        </is>
      </c>
      <c r="C704" s="38" t="inlineStr">
        <is>
          <t>U</t>
        </is>
      </c>
      <c r="D704" s="47" t="inlineStr">
        <is>
          <t>Artifact</t>
        </is>
      </c>
      <c r="E704" s="41" t="inlineStr">
        <is>
          <t>B3</t>
        </is>
      </c>
      <c r="F704" s="38" t="n">
        <v>3</v>
      </c>
      <c r="G704" s="67" t="inlineStr">
        <is>
          <t>Planeswalkers you control have "[0]: Proliferate" and "[−12]: Take an extra turn after this one."
Whenever you cast a noncreature spell, choose a counter on target permanent. Put an additional counter of that kind on that permanent.</t>
        </is>
      </c>
      <c r="H704" s="53" t="inlineStr">
        <is>
          <t>Proliferate</t>
        </is>
      </c>
      <c r="I704" s="53" t="inlineStr">
        <is>
          <t>Planeswalkers you control have "[0]: Proliferate" and "[−12]: Take an extra turn after this one."
Whenever you cast a no</t>
        </is>
      </c>
      <c r="J704" s="53" t="n"/>
      <c r="K704" s="53" t="n"/>
      <c r="L704" s="42" t="n"/>
      <c r="M704" s="42" t="n"/>
      <c r="N704" s="42" t="n"/>
      <c r="O704" s="42" t="n"/>
      <c r="P704" s="42" t="n">
        <v>23.83</v>
      </c>
      <c r="Q704" s="42" t="n"/>
      <c r="R704" s="42" t="n"/>
      <c r="S704" s="42" t="n"/>
      <c r="T704" s="42" t="n"/>
      <c r="U704" s="42" t="n"/>
      <c r="V704" s="53" t="inlineStr">
        <is>
          <t>Phyrexia: All Will Be One</t>
        </is>
      </c>
      <c r="W704" s="41" t="n">
        <v>1</v>
      </c>
      <c r="X704" s="37">
        <f>SUM(Y704:AE704)</f>
        <v/>
      </c>
      <c r="Y704" s="43" t="n"/>
      <c r="Z704" s="43" t="n"/>
      <c r="AA704" s="43" t="n">
        <v>1</v>
      </c>
      <c r="AB704" s="43" t="n"/>
      <c r="AC704" s="43" t="n"/>
      <c r="AD704" s="43" t="n"/>
      <c r="AE704" s="43" t="n"/>
      <c r="AF704" s="38">
        <f>IF((W704-SUM(Y704:AE704))&lt;0,0,W704-SUM(Y704:AE704))</f>
        <v/>
      </c>
      <c r="AG704" s="38">
        <f>MAX(0,$AT704-$W704-$AI704)</f>
        <v/>
      </c>
      <c r="AH704" s="38" t="n"/>
      <c r="AI704" s="38" t="n"/>
      <c r="AJ704" s="54" t="n">
        <v>4.8</v>
      </c>
      <c r="AK704" s="54">
        <f>IF(AND($AG704&gt;0,ISNUMBER($AJ704)),$AG704*$AJ704,0)</f>
        <v/>
      </c>
      <c r="AT704" s="37">
        <f>SUM(AU704:BA704)</f>
        <v/>
      </c>
      <c r="AU704" s="73" t="n"/>
      <c r="AV704" s="33" t="n"/>
      <c r="AW704" s="98" t="n">
        <v>1</v>
      </c>
      <c r="AX704" s="33" t="n"/>
      <c r="AY704" s="33" t="n"/>
      <c r="AZ704" s="33" t="n"/>
      <c r="BA704" s="74" t="n"/>
      <c r="BB704" s="47" t="n"/>
      <c r="BC704" s="42" t="n"/>
      <c r="BD704" s="42" t="n"/>
    </row>
    <row r="705" ht="15" customHeight="1" s="148">
      <c r="A705" t="inlineStr">
        <is>
          <t>c0701</t>
        </is>
      </c>
      <c r="B705" s="47" t="inlineStr">
        <is>
          <t>Inexorable Tide</t>
        </is>
      </c>
      <c r="C705" s="38" t="inlineStr">
        <is>
          <t>U</t>
        </is>
      </c>
      <c r="D705" s="47" t="inlineStr">
        <is>
          <t>Enchantment</t>
        </is>
      </c>
      <c r="E705" s="41" t="inlineStr">
        <is>
          <t>B2</t>
        </is>
      </c>
      <c r="F705" s="38" t="n">
        <v>5</v>
      </c>
      <c r="G705" s="67" t="inlineStr">
        <is>
          <t>Whenever you cast a spell, proliferate. (Choose any number of permanents and/or players, then give each another counter of each kind already there.)</t>
        </is>
      </c>
      <c r="H705" s="53" t="inlineStr">
        <is>
          <t>Proliferate</t>
        </is>
      </c>
      <c r="I705" s="53" t="inlineStr">
        <is>
          <t>Whenever you cast a spell, proliferate</t>
        </is>
      </c>
      <c r="J705" s="53" t="n"/>
      <c r="K705" s="53" t="n"/>
      <c r="L705" s="42" t="n"/>
      <c r="M705" s="42" t="n"/>
      <c r="N705" s="42" t="n"/>
      <c r="O705" s="42" t="n"/>
      <c r="P705" s="42" t="n">
        <v>5.71</v>
      </c>
      <c r="Q705" s="42" t="n"/>
      <c r="R705" s="42" t="n"/>
      <c r="S705" s="42" t="n"/>
      <c r="T705" s="42" t="n"/>
      <c r="U705" s="42" t="n"/>
      <c r="V705" s="53" t="inlineStr">
        <is>
          <t>Scars of Mirrodin</t>
        </is>
      </c>
      <c r="W705" s="41" t="n">
        <v>1</v>
      </c>
      <c r="X705" s="37">
        <f>SUM(Y705:AE705)</f>
        <v/>
      </c>
      <c r="Y705" s="43" t="n"/>
      <c r="Z705" s="43" t="n"/>
      <c r="AA705" s="43" t="n">
        <v>1</v>
      </c>
      <c r="AB705" s="43" t="n"/>
      <c r="AC705" s="43" t="n"/>
      <c r="AD705" s="43" t="n"/>
      <c r="AE705" s="43" t="n"/>
      <c r="AF705" s="38">
        <f>IF((W705-SUM(Y705:AE705))&lt;0,0,W705-SUM(Y705:AE705))</f>
        <v/>
      </c>
      <c r="AG705" s="38">
        <f>MAX(0,$AT705-$W705-$AI705)</f>
        <v/>
      </c>
      <c r="AH705" s="38" t="n"/>
      <c r="AI705" s="38" t="n"/>
      <c r="AJ705" s="54" t="n">
        <v>3.66</v>
      </c>
      <c r="AK705" s="54">
        <f>IF(AND($AG705&gt;0,ISNUMBER($AJ705)),$AG705*$AJ705,0)</f>
        <v/>
      </c>
      <c r="AT705" s="37">
        <f>SUM(AU705:BA705)</f>
        <v/>
      </c>
      <c r="AU705" s="73" t="n"/>
      <c r="AV705" s="33" t="n"/>
      <c r="AW705" s="98" t="n">
        <v>1</v>
      </c>
      <c r="AX705" s="33" t="n"/>
      <c r="AY705" s="33" t="n"/>
      <c r="AZ705" s="33" t="n"/>
      <c r="BA705" s="74" t="n"/>
      <c r="BB705" s="47" t="n"/>
      <c r="BC705" s="42" t="n"/>
      <c r="BD705" s="42" t="n"/>
    </row>
    <row r="706" ht="15" customHeight="1" s="148">
      <c r="A706" t="inlineStr">
        <is>
          <t>c0702</t>
        </is>
      </c>
      <c r="B706" s="47" t="inlineStr">
        <is>
          <t>Intruder Alarm</t>
        </is>
      </c>
      <c r="C706" s="38" t="inlineStr">
        <is>
          <t>U</t>
        </is>
      </c>
      <c r="D706" s="47" t="inlineStr">
        <is>
          <t>Enchantment</t>
        </is>
      </c>
      <c r="E706" s="41" t="inlineStr">
        <is>
          <t>B2</t>
        </is>
      </c>
      <c r="F706" s="38" t="n">
        <v>3</v>
      </c>
      <c r="G706" s="67" t="inlineStr">
        <is>
          <t>Creatures don't untap during their controllers' untap steps.
Whenever a creature enters, untap all creatures.</t>
        </is>
      </c>
      <c r="H706" s="53" t="inlineStr">
        <is>
          <t>Value Engine</t>
        </is>
      </c>
      <c r="I706" s="53" t="inlineStr">
        <is>
          <t>Creatures don't untap during their controllers' untap steps</t>
        </is>
      </c>
      <c r="J706" s="53" t="inlineStr">
        <is>
          <t>Whenever a creature enters, untap all creatures</t>
        </is>
      </c>
      <c r="K706" s="53" t="n"/>
      <c r="L706" s="42" t="n"/>
      <c r="M706" s="42" t="n"/>
      <c r="N706" s="42" t="n"/>
      <c r="O706" s="42" t="n"/>
      <c r="P706" s="42" t="n">
        <v>5.95</v>
      </c>
      <c r="Q706" s="42" t="n"/>
      <c r="R706" s="42" t="n"/>
      <c r="S706" s="42" t="n"/>
      <c r="T706" s="42" t="n"/>
      <c r="U706" s="42" t="n"/>
      <c r="V706" s="53" t="inlineStr">
        <is>
          <t>Stronghold</t>
        </is>
      </c>
      <c r="W706" s="41" t="n">
        <v>1</v>
      </c>
      <c r="X706" s="37">
        <f>SUM(Y706:AE706)</f>
        <v/>
      </c>
      <c r="Y706" s="43" t="n"/>
      <c r="Z706" s="43" t="n"/>
      <c r="AA706" s="43" t="n"/>
      <c r="AB706" s="43" t="n"/>
      <c r="AC706" s="43" t="n"/>
      <c r="AD706" s="43" t="n"/>
      <c r="AE706" s="43" t="n"/>
      <c r="AF706" s="38">
        <f>IF((W706-SUM(Y706:AE706))&lt;0,0,W706-SUM(Y706:AE706))</f>
        <v/>
      </c>
      <c r="AG706" s="38">
        <f>MAX(0,$AT706-$W706-$AI706)</f>
        <v/>
      </c>
      <c r="AH706" s="38" t="n"/>
      <c r="AI706" s="38" t="n"/>
      <c r="AJ706" s="54" t="n">
        <v>3.68</v>
      </c>
      <c r="AK706" s="54">
        <f>IF(AND($AG706&gt;0,ISNUMBER($AJ706)),$AG706*$AJ706,0)</f>
        <v/>
      </c>
      <c r="AT706" s="37">
        <f>SUM(AU706:BA706)</f>
        <v/>
      </c>
      <c r="AU706" s="73" t="n"/>
      <c r="AV706" s="33" t="n">
        <v>1</v>
      </c>
      <c r="AW706" s="33" t="n"/>
      <c r="AX706" s="33" t="n"/>
      <c r="AY706" s="33" t="n"/>
      <c r="AZ706" s="33" t="n"/>
      <c r="BA706" s="74" t="n"/>
      <c r="BB706" s="47" t="n"/>
      <c r="BC706" s="42" t="n"/>
      <c r="BD706" s="42" t="n"/>
    </row>
    <row r="707" ht="15" customHeight="1" s="148">
      <c r="A707" t="inlineStr">
        <is>
          <t>c0703</t>
        </is>
      </c>
      <c r="B707" s="32" t="inlineStr">
        <is>
          <t>Lake-town Mariners // Gone Fishing</t>
        </is>
      </c>
      <c r="C707" s="33" t="inlineStr">
        <is>
          <t>U</t>
        </is>
      </c>
      <c r="D707" s="32" t="inlineStr">
        <is>
          <t>Creature</t>
        </is>
      </c>
      <c r="E707" s="33" t="inlineStr">
        <is>
          <t>B2</t>
        </is>
      </c>
      <c r="F707" s="32" t="n">
        <v>6</v>
      </c>
      <c r="G707" s="67" t="inlineStr">
        <is>
          <t>Lake-town Mariners {4}{U}{U} — Creature — Human Citizen (6/5)
Vigilance
Ward {2} (Whenever this creature becomes the target of a spell or ability an opponent controls, counter it unless that player pays {2}.)
//
Gone Fishing {3}{U} — Instant — Adventure
Exile two target creatures and/or lands you control, then return them to the battlefield under their owner's control.</t>
        </is>
      </c>
      <c r="H707" s="32" t="inlineStr">
        <is>
          <t>Blink</t>
        </is>
      </c>
      <c r="I707" s="32" t="inlineStr">
        <is>
          <t>Gone Fishing {3}{U} — Adventure: exile two target creatures and/or lands you control, then return them to the battlefield</t>
        </is>
      </c>
      <c r="J707" s="32" t="inlineStr">
        <is>
          <t>6/5 vigilance body with ward {2}</t>
        </is>
      </c>
      <c r="K707" s="32" t="n"/>
      <c r="L707" s="32" t="inlineStr">
        <is>
          <t>44</t>
        </is>
      </c>
      <c r="M707" s="32" t="n">
        <v>2</v>
      </c>
      <c r="N707" s="32" t="n">
        <v>0</v>
      </c>
      <c r="O707" s="63" t="inlineStr">
        <is>
          <t>Wei Guan</t>
        </is>
      </c>
      <c r="P707" s="63" t="n">
        <v>0.13</v>
      </c>
      <c r="Q707" s="32" t="inlineStr">
        <is>
          <t>Uncommon</t>
        </is>
      </c>
      <c r="R707" s="32" t="n"/>
      <c r="S707" s="32" t="n"/>
      <c r="T707" s="63" t="n"/>
      <c r="U707" s="63" t="n"/>
      <c r="V707" s="32" t="inlineStr">
        <is>
          <t>The Hobbit</t>
        </is>
      </c>
      <c r="W707" s="41" t="n">
        <v>2</v>
      </c>
      <c r="X707" s="37">
        <f>SUM(Y707:AE707)</f>
        <v/>
      </c>
      <c r="Y707" s="43" t="n"/>
      <c r="Z707" s="43" t="n">
        <v>1</v>
      </c>
      <c r="AA707" s="43" t="n"/>
      <c r="AB707" s="43" t="n"/>
      <c r="AC707" s="43" t="n"/>
      <c r="AD707" s="43" t="n"/>
      <c r="AE707" s="43" t="n"/>
      <c r="AF707" s="38">
        <f>IF((W707-SUM(Y707:AE707))&lt;0,0,W707-SUM(Y707:AE707))</f>
        <v/>
      </c>
      <c r="AG707" s="38">
        <f>MAX(0,$AT707-$W707-$AI707)</f>
        <v/>
      </c>
      <c r="AH707" s="32" t="n"/>
      <c r="AI707" s="32" t="n"/>
      <c r="AJ707" s="32" t="n">
        <v>0.09</v>
      </c>
      <c r="AK707" s="54">
        <f>IF(AND($AG707&gt;0,ISNUMBER($AJ707)),$AG707*$AJ707,0)</f>
        <v/>
      </c>
      <c r="AT707" s="37">
        <f>SUM(AU707:BA707)</f>
        <v/>
      </c>
      <c r="AU707" s="73" t="n"/>
      <c r="AV707" s="99" t="n"/>
      <c r="AW707" s="33" t="n"/>
      <c r="AX707" s="33" t="n"/>
      <c r="AY707" s="33" t="n"/>
      <c r="AZ707" s="33" t="n"/>
      <c r="BA707" s="74" t="n"/>
      <c r="BB707" s="32" t="n"/>
      <c r="BC707" s="32" t="n"/>
      <c r="BD707" s="32" t="n"/>
    </row>
    <row r="708" ht="15" customHeight="1" s="148">
      <c r="A708" t="inlineStr">
        <is>
          <t>c0704</t>
        </is>
      </c>
      <c r="B708" s="32" t="inlineStr">
        <is>
          <t>Latchkey Faerie</t>
        </is>
      </c>
      <c r="C708" s="33" t="inlineStr">
        <is>
          <t>U</t>
        </is>
      </c>
      <c r="D708" s="32" t="inlineStr">
        <is>
          <t>Creature</t>
        </is>
      </c>
      <c r="E708" s="33" t="inlineStr">
        <is>
          <t>B2</t>
        </is>
      </c>
      <c r="F708" s="32" t="n">
        <v>4</v>
      </c>
      <c r="G708" s="67" t="inlineStr">
        <is>
          <t>Flying
Prowl {2}{U} (You may cast this for its prowl cost if you dealt combat damage to a player this turn with a Faerie or Rogue.)
When this creature enters, if its prowl cost was paid, draw a card.
(3/1)</t>
        </is>
      </c>
      <c r="H708" s="32" t="inlineStr">
        <is>
          <t>Card Draw</t>
        </is>
      </c>
      <c r="I708" s="32" t="inlineStr">
        <is>
          <t>Enters: draw a card if its prowl cost was paid</t>
        </is>
      </c>
      <c r="J708" s="32" t="inlineStr">
        <is>
          <t>Prowl {2}{U}</t>
        </is>
      </c>
      <c r="K708" s="32" t="inlineStr">
        <is>
          <t>Flying</t>
        </is>
      </c>
      <c r="L708" s="32" t="n"/>
      <c r="M708" s="32" t="n"/>
      <c r="N708" s="32" t="n"/>
      <c r="O708" s="63" t="n"/>
      <c r="P708" s="63" t="n"/>
      <c r="Q708" s="32" t="n"/>
      <c r="R708" s="32" t="n"/>
      <c r="S708" s="32" t="n"/>
      <c r="T708" s="63" t="n"/>
      <c r="U708" s="63" t="n"/>
      <c r="V708" s="32" t="inlineStr">
        <is>
          <t>Morningtide</t>
        </is>
      </c>
      <c r="W708" s="41" t="n">
        <v>1</v>
      </c>
      <c r="X708" s="37">
        <f>SUM(Y708:AE708)</f>
        <v/>
      </c>
      <c r="Y708" s="43" t="n"/>
      <c r="Z708" s="43" t="n"/>
      <c r="AA708" s="43" t="n"/>
      <c r="AB708" s="43" t="n"/>
      <c r="AC708" s="43" t="n"/>
      <c r="AD708" s="43" t="n"/>
      <c r="AE708" s="43" t="n">
        <v>1</v>
      </c>
      <c r="AF708" s="38">
        <f>IF((W708-SUM(Y708:AE708))&lt;0,0,W708-SUM(Y708:AE708))</f>
        <v/>
      </c>
      <c r="AG708" s="38">
        <f>MAX(0,$AT708-$W708-$AI708)</f>
        <v/>
      </c>
      <c r="AH708" s="32" t="n"/>
      <c r="AI708" s="32" t="n"/>
      <c r="AJ708" s="32" t="n">
        <v>0.13</v>
      </c>
      <c r="AK708" s="54">
        <f>IF(AND($AG708&gt;0,ISNUMBER($AJ708)),$AG708*$AJ708,0)</f>
        <v/>
      </c>
      <c r="AR708" s="58" t="n"/>
      <c r="AT708" s="37">
        <f>SUM(AU708:BA708)</f>
        <v/>
      </c>
      <c r="AU708" s="73" t="n"/>
      <c r="AV708" s="33" t="n"/>
      <c r="AW708" s="33" t="n"/>
      <c r="AX708" s="33" t="n"/>
      <c r="AY708" s="33" t="n"/>
      <c r="AZ708" s="33" t="n"/>
      <c r="BA708" s="80" t="n">
        <v>1</v>
      </c>
      <c r="BB708" s="32" t="n"/>
      <c r="BC708" s="32" t="n"/>
      <c r="BD708" s="32" t="n"/>
    </row>
    <row r="709" ht="15" customHeight="1" s="148">
      <c r="A709" t="inlineStr">
        <is>
          <t>c0705</t>
        </is>
      </c>
      <c r="B709" s="42" t="inlineStr">
        <is>
          <t>Long Lake Nuisance</t>
        </is>
      </c>
      <c r="C709" s="38" t="inlineStr">
        <is>
          <t>U</t>
        </is>
      </c>
      <c r="D709" s="47" t="inlineStr">
        <is>
          <t>Creature</t>
        </is>
      </c>
      <c r="E709" s="41" t="inlineStr">
        <is>
          <t>B2</t>
        </is>
      </c>
      <c r="F709" s="38" t="n">
        <v>4</v>
      </c>
      <c r="G709" s="67" t="inlineStr">
        <is>
          <t>Flying
When this creature enters, recruit. (Draw a card, then discard a card. If you discarded a nonland card, create a 1/1 white Human Soldier creature token.)
(3/1)</t>
        </is>
      </c>
      <c r="H709" s="42" t="inlineStr">
        <is>
          <t>Token Producer</t>
        </is>
      </c>
      <c r="I709" s="42" t="inlineStr">
        <is>
          <t>Enters: recruit — draw a card, then discard a card, creating a 1/1 Human Soldier token if you discarded a nonland card</t>
        </is>
      </c>
      <c r="J709" s="42" t="inlineStr">
        <is>
          <t>3/1 flying body</t>
        </is>
      </c>
      <c r="K709" s="42" t="n"/>
      <c r="L709" s="42" t="inlineStr">
        <is>
          <t>45</t>
        </is>
      </c>
      <c r="M709" s="42" t="n">
        <v>1</v>
      </c>
      <c r="N709" s="42" t="n">
        <v>0</v>
      </c>
      <c r="O709" s="63" t="n"/>
      <c r="P709" s="63" t="n">
        <v>0.08</v>
      </c>
      <c r="Q709" s="42" t="inlineStr">
        <is>
          <t>Common</t>
        </is>
      </c>
      <c r="R709" s="42" t="n"/>
      <c r="S709" s="42" t="n"/>
      <c r="T709" s="63" t="n"/>
      <c r="U709" s="63" t="n"/>
      <c r="V709" s="53" t="inlineStr">
        <is>
          <t>The Hobbit</t>
        </is>
      </c>
      <c r="W709" s="41" t="n">
        <v>3</v>
      </c>
      <c r="X709" s="37">
        <f>SUM(Y709:AE709)</f>
        <v/>
      </c>
      <c r="Y709" s="43" t="n"/>
      <c r="Z709" s="43" t="n">
        <v>1</v>
      </c>
      <c r="AA709" s="43" t="n"/>
      <c r="AB709" s="43" t="n"/>
      <c r="AC709" s="43" t="n"/>
      <c r="AD709" s="43" t="n"/>
      <c r="AE709" s="43" t="n"/>
      <c r="AF709" s="38">
        <f>IF((W709-SUM(Y709:AE709))&lt;0,0,W709-SUM(Y709:AE709))</f>
        <v/>
      </c>
      <c r="AG709" s="38">
        <f>MAX(0,$AT709-$W709-$AI709)</f>
        <v/>
      </c>
      <c r="AH709" s="38" t="n"/>
      <c r="AI709" s="38" t="n"/>
      <c r="AJ709" s="54" t="n"/>
      <c r="AK709" s="54">
        <f>IF(AND($AG709&gt;0,ISNUMBER($AJ709)),$AG709*$AJ709,0)</f>
        <v/>
      </c>
      <c r="AT709" s="37">
        <f>SUM(AU709:BA709)</f>
        <v/>
      </c>
      <c r="AU709" s="73" t="n"/>
      <c r="AV709" s="99" t="n"/>
      <c r="AW709" s="33" t="n"/>
      <c r="AX709" s="33" t="n"/>
      <c r="AY709" s="33" t="n"/>
      <c r="AZ709" s="33" t="n"/>
      <c r="BA709" s="74" t="n"/>
      <c r="BB709" s="42" t="n"/>
      <c r="BC709" s="42" t="n"/>
      <c r="BD709" s="42" t="n"/>
    </row>
    <row r="710" ht="15" customHeight="1" s="148">
      <c r="A710" t="inlineStr">
        <is>
          <t>c0706</t>
        </is>
      </c>
      <c r="B710" s="47" t="inlineStr">
        <is>
          <t>Loyal Inventor</t>
        </is>
      </c>
      <c r="C710" s="38" t="inlineStr">
        <is>
          <t>U</t>
        </is>
      </c>
      <c r="D710" s="47" t="inlineStr">
        <is>
          <t>Creature</t>
        </is>
      </c>
      <c r="E710" s="41" t="inlineStr">
        <is>
          <t>B2</t>
        </is>
      </c>
      <c r="F710" s="38" t="n">
        <v>3</v>
      </c>
      <c r="G710" s="67" t="inlineStr">
        <is>
          <t>Vigilance
When this creature enters, you may search your library for an artifact card, reveal it, then shuffle. Put that card into your hand if you control an Assassin. Otherwise, put that card on top of your library.
(2/3)</t>
        </is>
      </c>
      <c r="H710" s="53" t="inlineStr">
        <is>
          <t>Tutor</t>
        </is>
      </c>
      <c r="I710" s="53" t="inlineStr">
        <is>
          <t>Searches library for an artifact card when it enters</t>
        </is>
      </c>
      <c r="J710" s="53" t="inlineStr">
        <is>
          <t>Puts it in hand if you control an Assassin, else on top of library</t>
        </is>
      </c>
      <c r="K710" s="53" t="n"/>
      <c r="L710" s="42" t="n"/>
      <c r="M710" s="42" t="n"/>
      <c r="N710" s="42" t="n"/>
      <c r="O710" s="63" t="n"/>
      <c r="P710" s="63" t="n">
        <v>0.33</v>
      </c>
      <c r="Q710" s="42" t="n"/>
      <c r="R710" s="42" t="n"/>
      <c r="S710" s="42" t="n"/>
      <c r="T710" s="63" t="n"/>
      <c r="U710" s="63" t="n"/>
      <c r="V710" s="53" t="inlineStr">
        <is>
          <t>Assassin's Creed</t>
        </is>
      </c>
      <c r="W710" s="41" t="n">
        <v>1</v>
      </c>
      <c r="X710" s="37">
        <f>SUM(Y710:AE710)</f>
        <v/>
      </c>
      <c r="Y710" s="43" t="n"/>
      <c r="Z710" s="43" t="n"/>
      <c r="AA710" s="43" t="n"/>
      <c r="AB710" s="43" t="n"/>
      <c r="AC710" s="43" t="n"/>
      <c r="AD710" s="43" t="n"/>
      <c r="AE710" s="43" t="n"/>
      <c r="AF710" s="38">
        <f>IF((W710-SUM(Y710:AE710))&lt;0,0,W710-SUM(Y710:AE710))</f>
        <v/>
      </c>
      <c r="AG710" s="38">
        <f>MAX(0,$AT710-$W710-$AI710)</f>
        <v/>
      </c>
      <c r="AH710" s="38" t="n"/>
      <c r="AI710" s="38" t="n"/>
      <c r="AJ710" s="54" t="n">
        <v>0.25</v>
      </c>
      <c r="AK710" s="54">
        <f>IF(AND($AG710&gt;0,ISNUMBER($AJ710)),$AG710*$AJ710,0)</f>
        <v/>
      </c>
      <c r="AT710" s="37">
        <f>SUM(AU710:BA710)</f>
        <v/>
      </c>
      <c r="AU710" s="73" t="n"/>
      <c r="AV710" s="33" t="n"/>
      <c r="AW710" s="33" t="n"/>
      <c r="AX710" s="33" t="n"/>
      <c r="AY710" s="33" t="n"/>
      <c r="AZ710" s="33" t="n"/>
      <c r="BA710" s="74" t="n"/>
      <c r="BB710" s="47" t="n"/>
      <c r="BC710" s="42" t="n"/>
      <c r="BD710" s="42" t="n"/>
    </row>
    <row r="711" ht="15" customHeight="1" s="148">
      <c r="A711" t="inlineStr">
        <is>
          <t>c0707</t>
        </is>
      </c>
      <c r="B711" s="47" t="inlineStr">
        <is>
          <t>Man-o'-War</t>
        </is>
      </c>
      <c r="C711" s="38" t="inlineStr">
        <is>
          <t>U</t>
        </is>
      </c>
      <c r="D711" s="47" t="inlineStr">
        <is>
          <t>Creature</t>
        </is>
      </c>
      <c r="E711" s="41" t="inlineStr">
        <is>
          <t>B2</t>
        </is>
      </c>
      <c r="F711" s="38" t="n">
        <v>3</v>
      </c>
      <c r="G711" s="67" t="inlineStr">
        <is>
          <t>When this creature enters, return target creature to its owner's hand.
(2/2)</t>
        </is>
      </c>
      <c r="H711" s="53" t="inlineStr">
        <is>
          <t>Removal</t>
        </is>
      </c>
      <c r="I711" s="53" t="inlineStr">
        <is>
          <t>When this creature enters, return target creature to its owner's hand</t>
        </is>
      </c>
      <c r="J711" s="53" t="n"/>
      <c r="K711" s="53" t="n"/>
      <c r="L711" s="41" t="n"/>
      <c r="M711" s="41" t="n"/>
      <c r="N711" s="41" t="n"/>
      <c r="O711" s="41" t="n"/>
      <c r="P711" s="41" t="n">
        <v>0.16</v>
      </c>
      <c r="Q711" s="41" t="n"/>
      <c r="R711" s="41" t="n"/>
      <c r="S711" s="41" t="n"/>
      <c r="T711" s="41" t="n"/>
      <c r="U711" s="41" t="n"/>
      <c r="V711" s="53" t="inlineStr">
        <is>
          <t>Visions</t>
        </is>
      </c>
      <c r="W711" s="41" t="n">
        <v>1</v>
      </c>
      <c r="X711" s="37">
        <f>SUM(Y711:AE711)</f>
        <v/>
      </c>
      <c r="Y711" s="43" t="n"/>
      <c r="Z711" s="43" t="n">
        <v>1</v>
      </c>
      <c r="AA711" s="43" t="n"/>
      <c r="AB711" s="43" t="n"/>
      <c r="AC711" s="43" t="n"/>
      <c r="AD711" s="43" t="n"/>
      <c r="AE711" s="43" t="n"/>
      <c r="AF711" s="38">
        <f>IF((W711-SUM(Y711:AE711))&lt;0,0,W711-SUM(Y711:AE711))</f>
        <v/>
      </c>
      <c r="AG711" s="38">
        <f>MAX(0,$AT711-$W711-$AI711)</f>
        <v/>
      </c>
      <c r="AH711" s="38" t="n"/>
      <c r="AI711" s="38" t="n"/>
      <c r="AJ711" s="54" t="n">
        <v>0.08</v>
      </c>
      <c r="AK711" s="54">
        <f>IF(AND($AG711&gt;0,ISNUMBER($AJ711)),$AG711*$AJ711,0)</f>
        <v/>
      </c>
      <c r="AT711" s="37">
        <f>SUM(AU711:BA711)</f>
        <v/>
      </c>
      <c r="AU711" s="73" t="n"/>
      <c r="AV711" s="98" t="n">
        <v>1</v>
      </c>
      <c r="AW711" s="33" t="n"/>
      <c r="AX711" s="33" t="n"/>
      <c r="AY711" s="33" t="n"/>
      <c r="AZ711" s="33" t="n"/>
      <c r="BA711" s="74" t="n"/>
      <c r="BB711" s="47" t="n"/>
      <c r="BC711" s="42" t="n"/>
      <c r="BD711" s="42" t="n"/>
    </row>
    <row r="712" ht="15" customHeight="1" s="148">
      <c r="A712" t="inlineStr">
        <is>
          <t>c0708</t>
        </is>
      </c>
      <c r="B712" s="32" t="inlineStr">
        <is>
          <t>Master's Councillors</t>
        </is>
      </c>
      <c r="C712" s="33" t="inlineStr">
        <is>
          <t>U</t>
        </is>
      </c>
      <c r="D712" s="32" t="inlineStr">
        <is>
          <t>Creature</t>
        </is>
      </c>
      <c r="E712" s="33" t="inlineStr">
        <is>
          <t>B2</t>
        </is>
      </c>
      <c r="F712" s="33" t="n">
        <v>2</v>
      </c>
      <c r="G712" s="67" t="inlineStr">
        <is>
          <t>Vigilance
This creature gets +2/+0 for each graveyard with seven or more cards in it.
Whenever you draw your second card each turn, target player mills three cards. (They put the top three cards of their library into their graveyard.)
(1/3)</t>
        </is>
      </c>
      <c r="H712" s="32" t="inlineStr">
        <is>
          <t>Utility Creature</t>
        </is>
      </c>
      <c r="I712" s="32" t="inlineStr">
        <is>
          <t>Gets +2/+0 for each graveyard with seven or more cards in it</t>
        </is>
      </c>
      <c r="J712" s="32" t="inlineStr">
        <is>
          <t>Whenever you draw your second card each turn, target player mills three cards</t>
        </is>
      </c>
      <c r="K712" s="32" t="inlineStr">
        <is>
          <t>Vigilance</t>
        </is>
      </c>
      <c r="L712" s="32" t="inlineStr">
        <is>
          <t>47</t>
        </is>
      </c>
      <c r="M712" s="32" t="n">
        <v>1</v>
      </c>
      <c r="N712" s="32" t="n">
        <v>0</v>
      </c>
      <c r="O712" s="63" t="n"/>
      <c r="P712" s="63" t="n">
        <v>0.16</v>
      </c>
      <c r="Q712" s="32" t="inlineStr">
        <is>
          <t>Uncommon</t>
        </is>
      </c>
      <c r="R712" s="32" t="n"/>
      <c r="S712" s="32" t="n"/>
      <c r="T712" s="63" t="n"/>
      <c r="U712" s="63" t="n"/>
      <c r="V712" s="32" t="inlineStr">
        <is>
          <t>The Hobbit</t>
        </is>
      </c>
      <c r="W712" s="41" t="n">
        <v>1</v>
      </c>
      <c r="X712" s="37">
        <f>SUM(Y712:AE712)</f>
        <v/>
      </c>
      <c r="Y712" s="43" t="n"/>
      <c r="Z712" s="43" t="n"/>
      <c r="AA712" s="43" t="n"/>
      <c r="AB712" s="43" t="n"/>
      <c r="AC712" s="43" t="n"/>
      <c r="AD712" s="43" t="n"/>
      <c r="AE712" s="43" t="n"/>
      <c r="AF712" s="38">
        <f>IF((W712-SUM(Y712:AE712))&lt;0,0,W712-SUM(Y712:AE712))</f>
        <v/>
      </c>
      <c r="AG712" s="38">
        <f>MAX(0,$AT712-$W712-$AI712)</f>
        <v/>
      </c>
      <c r="AH712" s="32" t="n"/>
      <c r="AI712" s="32" t="n"/>
      <c r="AJ712" s="61" t="n">
        <v>0.16</v>
      </c>
      <c r="AK712" s="54">
        <f>IF(AND($AG712&gt;0,ISNUMBER($AJ712)),$AG712*$AJ712,0)</f>
        <v/>
      </c>
      <c r="AT712" s="37">
        <f>SUM(AU712:BA712)</f>
        <v/>
      </c>
      <c r="AU712" s="73" t="n"/>
      <c r="AV712" s="33" t="n"/>
      <c r="AW712" s="33" t="n"/>
      <c r="AX712" s="33" t="n"/>
      <c r="AY712" s="33" t="n"/>
      <c r="AZ712" s="33" t="n"/>
      <c r="BA712" s="74" t="n"/>
      <c r="BB712" s="32" t="n"/>
      <c r="BC712" s="32" t="n"/>
      <c r="BD712" s="32" t="n"/>
    </row>
    <row r="713" ht="15" customHeight="1" s="148">
      <c r="A713" t="inlineStr">
        <is>
          <t>c0709</t>
        </is>
      </c>
      <c r="B713" s="47" t="inlineStr">
        <is>
          <t>Mirrorform</t>
        </is>
      </c>
      <c r="C713" s="38" t="inlineStr">
        <is>
          <t>U</t>
        </is>
      </c>
      <c r="D713" s="47" t="inlineStr">
        <is>
          <t>Instant</t>
        </is>
      </c>
      <c r="E713" s="41" t="inlineStr">
        <is>
          <t>B2</t>
        </is>
      </c>
      <c r="F713" s="38" t="n">
        <v>6</v>
      </c>
      <c r="G713" s="67" t="inlineStr">
        <is>
          <t>Each nonland permanent you control becomes a copy of target non-Aura permanent.</t>
        </is>
      </c>
      <c r="H713" s="53" t="inlineStr">
        <is>
          <t>Copy/Clone</t>
        </is>
      </c>
      <c r="I713" s="53" t="inlineStr">
        <is>
          <t>Each nonland permanent you control becomes a copy of target non-Aura permanent</t>
        </is>
      </c>
      <c r="J713" s="53" t="n"/>
      <c r="K713" s="53" t="n"/>
      <c r="L713" s="42" t="n"/>
      <c r="M713" s="42" t="n"/>
      <c r="N713" s="42" t="n"/>
      <c r="O713" s="63" t="n"/>
      <c r="P713" s="63" t="n">
        <v>1.96</v>
      </c>
      <c r="Q713" s="42" t="n"/>
      <c r="R713" s="42" t="n"/>
      <c r="S713" s="42" t="n"/>
      <c r="T713" s="63" t="n"/>
      <c r="U713" s="63" t="n"/>
      <c r="V713" s="53" t="inlineStr">
        <is>
          <t>Lorwyn Eclipsed</t>
        </is>
      </c>
      <c r="W713" s="41" t="n">
        <v>1</v>
      </c>
      <c r="X713" s="37">
        <f>SUM(Y713:AE713)</f>
        <v/>
      </c>
      <c r="Y713" s="43" t="n"/>
      <c r="Z713" s="43" t="n"/>
      <c r="AA713" s="43" t="n"/>
      <c r="AB713" s="43" t="n"/>
      <c r="AC713" s="43" t="n"/>
      <c r="AD713" s="43" t="n"/>
      <c r="AE713" s="43" t="n"/>
      <c r="AF713" s="38">
        <f>IF((W713-SUM(Y713:AE713))&lt;0,0,W713-SUM(Y713:AE713))</f>
        <v/>
      </c>
      <c r="AG713" s="38">
        <f>MAX(0,$AT713-$W713-$AI713)</f>
        <v/>
      </c>
      <c r="AH713" s="38" t="n"/>
      <c r="AI713" s="38" t="n"/>
      <c r="AJ713" s="54" t="n">
        <v>1.75</v>
      </c>
      <c r="AK713" s="54">
        <f>IF(AND($AG713&gt;0,ISNUMBER($AJ713)),$AG713*$AJ713,0)</f>
        <v/>
      </c>
      <c r="AT713" s="37">
        <f>SUM(AU713:BA713)</f>
        <v/>
      </c>
      <c r="AU713" s="73" t="n"/>
      <c r="AV713" s="33" t="n"/>
      <c r="AW713" s="33" t="n"/>
      <c r="AX713" s="33" t="n"/>
      <c r="AY713" s="33" t="n"/>
      <c r="AZ713" s="33" t="n"/>
      <c r="BA713" s="74" t="n"/>
      <c r="BB713" s="47" t="n"/>
      <c r="BC713" s="42" t="n"/>
      <c r="BD713" s="42" t="n"/>
    </row>
    <row r="714" ht="15" customHeight="1" s="148">
      <c r="A714" t="inlineStr">
        <is>
          <t>c0710</t>
        </is>
      </c>
      <c r="B714" s="47" t="inlineStr">
        <is>
          <t>Mulldrifter</t>
        </is>
      </c>
      <c r="C714" s="38" t="inlineStr">
        <is>
          <t>U</t>
        </is>
      </c>
      <c r="D714" s="47" t="inlineStr">
        <is>
          <t>Creature</t>
        </is>
      </c>
      <c r="E714" s="41" t="inlineStr">
        <is>
          <t>B2</t>
        </is>
      </c>
      <c r="F714" s="38" t="n">
        <v>5</v>
      </c>
      <c r="G714" s="67" t="inlineStr">
        <is>
          <t>Flying
When this creature enters, draw two cards.
Evoke {2}{U} (You may cast this spell for its evoke cost. If you do, it's sacrificed when it enters.)
(2/2)</t>
        </is>
      </c>
      <c r="H714" s="53" t="inlineStr">
        <is>
          <t>Card Draw</t>
        </is>
      </c>
      <c r="I714" s="53" t="inlineStr">
        <is>
          <t>Draws two cards when it enters</t>
        </is>
      </c>
      <c r="J714" s="53" t="inlineStr">
        <is>
          <t>Can be cast for {2}{U}, sacrificing itself immediately (Evoke)</t>
        </is>
      </c>
      <c r="K714" s="53" t="inlineStr">
        <is>
          <t>Flying body</t>
        </is>
      </c>
      <c r="L714" s="42" t="n"/>
      <c r="M714" s="42" t="n"/>
      <c r="N714" s="42" t="n"/>
      <c r="O714" s="42" t="n"/>
      <c r="P714" s="42" t="n">
        <v>0.33</v>
      </c>
      <c r="Q714" s="42" t="n"/>
      <c r="R714" s="42" t="n"/>
      <c r="S714" s="42" t="n"/>
      <c r="T714" s="42" t="n"/>
      <c r="U714" s="42" t="n"/>
      <c r="V714" s="53" t="inlineStr">
        <is>
          <t>Lorwyn</t>
        </is>
      </c>
      <c r="W714" s="41" t="n">
        <v>1</v>
      </c>
      <c r="X714" s="37">
        <f>SUM(Y714:AE714)</f>
        <v/>
      </c>
      <c r="Y714" s="43" t="n"/>
      <c r="Z714" s="43" t="n"/>
      <c r="AA714" s="43" t="n">
        <v>1</v>
      </c>
      <c r="AB714" s="43" t="n"/>
      <c r="AC714" s="43" t="n"/>
      <c r="AD714" s="43" t="n"/>
      <c r="AE714" s="43" t="n"/>
      <c r="AF714" s="38">
        <f>IF((W714-SUM(Y714:AE714))&lt;0,0,W714-SUM(Y714:AE714))</f>
        <v/>
      </c>
      <c r="AG714" s="38">
        <f>MAX(0,$AT714-$W714-$AI714)</f>
        <v/>
      </c>
      <c r="AH714" s="38" t="n"/>
      <c r="AI714" s="38" t="n"/>
      <c r="AJ714" s="54" t="n">
        <v>0.32</v>
      </c>
      <c r="AK714" s="54">
        <f>IF(AND($AG714&gt;0,ISNUMBER($AJ714)),$AG714*$AJ714,0)</f>
        <v/>
      </c>
      <c r="AM714" s="58" t="n"/>
      <c r="AN714" t="inlineStr">
        <is>
          <t>BL0073</t>
        </is>
      </c>
      <c r="AT714" s="37">
        <f>SUM(AU714:BA714)</f>
        <v/>
      </c>
      <c r="AU714" s="73" t="n"/>
      <c r="AV714" s="33" t="n">
        <v>1</v>
      </c>
      <c r="AW714" s="100" t="n"/>
      <c r="AX714" s="33" t="n"/>
      <c r="AY714" s="33" t="n"/>
      <c r="AZ714" s="33" t="n"/>
      <c r="BA714" s="74" t="n"/>
      <c r="BB714" s="47" t="n"/>
      <c r="BC714" s="42" t="n"/>
      <c r="BD714" s="42" t="n"/>
    </row>
    <row r="715" ht="15" customHeight="1" s="148">
      <c r="A715" t="inlineStr">
        <is>
          <t>c0711</t>
        </is>
      </c>
      <c r="B715" s="32" t="inlineStr">
        <is>
          <t>Muse's Encouragement</t>
        </is>
      </c>
      <c r="C715" s="33" t="inlineStr">
        <is>
          <t>U</t>
        </is>
      </c>
      <c r="D715" s="32" t="inlineStr">
        <is>
          <t>Instant</t>
        </is>
      </c>
      <c r="E715" s="33" t="inlineStr">
        <is>
          <t>B2</t>
        </is>
      </c>
      <c r="F715" s="33" t="n">
        <v>5</v>
      </c>
      <c r="G715" s="67" t="inlineStr">
        <is>
          <t>Create a 3/3 blue and red Elemental creature token with flying.
Surveil 2. (Look at the top two cards of your library, then put any number of them into your graveyard and the rest on top of your library in any order.)</t>
        </is>
      </c>
      <c r="H715" s="32" t="inlineStr">
        <is>
          <t>Token Producer</t>
        </is>
      </c>
      <c r="I715" s="32" t="inlineStr">
        <is>
          <t>Create a 3/3 Elemental token with flying</t>
        </is>
      </c>
      <c r="J715" s="32" t="inlineStr">
        <is>
          <t>Surveil 2</t>
        </is>
      </c>
      <c r="K715" s="32" t="n"/>
      <c r="L715" s="32" t="inlineStr">
        <is>
          <t>61</t>
        </is>
      </c>
      <c r="M715" s="32" t="n">
        <v>1</v>
      </c>
      <c r="N715" s="32" t="n">
        <v>0</v>
      </c>
      <c r="O715" s="63" t="n"/>
      <c r="P715" s="63" t="n">
        <v>0.07000000000000001</v>
      </c>
      <c r="Q715" s="32" t="inlineStr">
        <is>
          <t>Common</t>
        </is>
      </c>
      <c r="R715" s="32" t="n"/>
      <c r="S715" s="32" t="n"/>
      <c r="T715" s="63" t="n"/>
      <c r="U715" s="63" t="n"/>
      <c r="V715" s="32" t="inlineStr">
        <is>
          <t>Secrets of Strixhaven</t>
        </is>
      </c>
      <c r="W715" s="41" t="n">
        <v>1</v>
      </c>
      <c r="X715" s="37">
        <f>SUM(Y715:AE715)</f>
        <v/>
      </c>
      <c r="Y715" s="43" t="n"/>
      <c r="Z715" s="43" t="n"/>
      <c r="AA715" s="43" t="n"/>
      <c r="AB715" s="43" t="n"/>
      <c r="AC715" s="43" t="n"/>
      <c r="AD715" s="43" t="n"/>
      <c r="AE715" s="43" t="n"/>
      <c r="AF715" s="38">
        <f>IF((W715-SUM(Y715:AE715))&lt;0,0,W715-SUM(Y715:AE715))</f>
        <v/>
      </c>
      <c r="AG715" s="38">
        <f>MAX(0,$AT715-$W715-$AI715)</f>
        <v/>
      </c>
      <c r="AH715" s="32" t="n"/>
      <c r="AI715" s="32" t="n"/>
      <c r="AJ715" s="61" t="n">
        <v>0.07000000000000001</v>
      </c>
      <c r="AK715" s="54">
        <f>IF(AND($AG715&gt;0,ISNUMBER($AJ715)),$AG715*$AJ715,0)</f>
        <v/>
      </c>
      <c r="AT715" s="37">
        <f>SUM(AU715:BA715)</f>
        <v/>
      </c>
      <c r="AU715" s="73" t="n"/>
      <c r="AV715" s="33" t="n"/>
      <c r="AW715" s="33" t="n"/>
      <c r="AX715" s="33" t="n"/>
      <c r="AY715" s="33" t="n"/>
      <c r="AZ715" s="33" t="n"/>
      <c r="BA715" s="74" t="n"/>
      <c r="BB715" s="32" t="n"/>
      <c r="BC715" s="32" t="n"/>
      <c r="BD715" s="32" t="n"/>
    </row>
    <row r="716" ht="15" customHeight="1" s="148">
      <c r="A716" t="inlineStr">
        <is>
          <t>c0712</t>
        </is>
      </c>
      <c r="B716" s="42" t="inlineStr">
        <is>
          <t>Mystic Remora</t>
        </is>
      </c>
      <c r="C716" s="41" t="inlineStr">
        <is>
          <t>U</t>
        </is>
      </c>
      <c r="D716" s="42" t="inlineStr">
        <is>
          <t>Enchantment</t>
        </is>
      </c>
      <c r="E716" s="41" t="inlineStr">
        <is>
          <t>B3</t>
        </is>
      </c>
      <c r="F716" s="41" t="n">
        <v>1</v>
      </c>
      <c r="G716" s="67" t="inlineStr">
        <is>
          <t>Cumulative upkeep {1} (At the beginning of your upkeep, put an age counter on this permanent, then sacrifice it unless you pay its upkeep cost for each age counter on it.)
Whenever an opponent casts a noncreature spell, you may draw a card unless that player pays {4}.</t>
        </is>
      </c>
      <c r="H716" s="42" t="inlineStr">
        <is>
          <t>Card Draw</t>
        </is>
      </c>
      <c r="I716" s="42" t="inlineStr">
        <is>
          <t>Whenever an opponent casts a noncreature spell, you may draw a card unless that player pays {4}</t>
        </is>
      </c>
      <c r="J716" s="42" t="inlineStr">
        <is>
          <t>Cumulative upkeep {1}</t>
        </is>
      </c>
      <c r="K716" s="42" t="n"/>
      <c r="L716" s="88" t="n"/>
      <c r="M716" s="41" t="n"/>
      <c r="N716" s="41" t="n"/>
      <c r="O716" s="63" t="n"/>
      <c r="P716" s="90" t="n"/>
      <c r="Q716" s="88" t="n"/>
      <c r="R716" s="41" t="n"/>
      <c r="S716" s="41" t="n"/>
      <c r="T716" s="63" t="n"/>
      <c r="U716" s="91" t="n"/>
      <c r="V716" s="42" t="inlineStr">
        <is>
          <t>Ice Age</t>
        </is>
      </c>
      <c r="W716" s="41" t="n">
        <v>0</v>
      </c>
      <c r="X716" s="37">
        <f>SUM(Y716:AE716)</f>
        <v/>
      </c>
      <c r="Y716" s="43" t="n"/>
      <c r="Z716" s="43" t="n"/>
      <c r="AA716" s="43" t="n"/>
      <c r="AB716" s="43" t="n"/>
      <c r="AC716" s="43" t="n"/>
      <c r="AD716" s="43" t="n"/>
      <c r="AE716" s="43" t="n"/>
      <c r="AF716" s="38">
        <f>IF((W716-SUM(Y716:AE716))&lt;0,0,W716-SUM(Y716:AE716))</f>
        <v/>
      </c>
      <c r="AG716" s="38">
        <f>MAX(0,$AT716-$W716-$AI716)</f>
        <v/>
      </c>
      <c r="AH716" s="42" t="n"/>
      <c r="AI716" s="42" t="n"/>
      <c r="AJ716" s="42" t="n">
        <v>12.86</v>
      </c>
      <c r="AK716" s="42">
        <f>IF(AND($AG716&gt;0,ISNUMBER($AJ716)),$AG716*$AJ716,0)</f>
        <v/>
      </c>
      <c r="AT716" s="37">
        <f>SUM(AU716:BA716)</f>
        <v/>
      </c>
      <c r="AU716" s="73" t="n"/>
      <c r="AV716" s="33" t="n"/>
      <c r="AW716" s="33" t="n">
        <v>1</v>
      </c>
      <c r="AX716" s="33" t="n"/>
      <c r="AY716" s="33" t="n"/>
      <c r="AZ716" s="33" t="n"/>
      <c r="BA716" s="74" t="n"/>
      <c r="BB716" s="42" t="n"/>
      <c r="BC716" s="42" t="n"/>
      <c r="BD716" s="42" t="n"/>
    </row>
    <row r="717" ht="15" customHeight="1" s="148">
      <c r="A717" t="inlineStr">
        <is>
          <t>c0713</t>
        </is>
      </c>
      <c r="B717" s="47" t="inlineStr">
        <is>
          <t>Negate</t>
        </is>
      </c>
      <c r="C717" s="38" t="inlineStr">
        <is>
          <t>U</t>
        </is>
      </c>
      <c r="D717" s="47" t="inlineStr">
        <is>
          <t>Instant</t>
        </is>
      </c>
      <c r="E717" s="41" t="inlineStr">
        <is>
          <t>B2</t>
        </is>
      </c>
      <c r="F717" s="38" t="n">
        <v>2</v>
      </c>
      <c r="G717" s="67" t="inlineStr">
        <is>
          <t>Counter target noncreature spell.</t>
        </is>
      </c>
      <c r="H717" s="53" t="inlineStr">
        <is>
          <t>Interaction</t>
        </is>
      </c>
      <c r="I717" s="53" t="inlineStr">
        <is>
          <t>Counters target noncreature spell</t>
        </is>
      </c>
      <c r="J717" s="53" t="n"/>
      <c r="K717" s="53" t="n"/>
      <c r="L717" s="41" t="n"/>
      <c r="M717" s="41" t="n"/>
      <c r="N717" s="41" t="n"/>
      <c r="O717" s="41" t="n"/>
      <c r="P717" s="41" t="n">
        <v>0.25</v>
      </c>
      <c r="Q717" s="41" t="n"/>
      <c r="R717" s="41" t="n"/>
      <c r="S717" s="41" t="n"/>
      <c r="T717" s="41" t="n"/>
      <c r="U717" s="41" t="n"/>
      <c r="V717" s="53" t="inlineStr">
        <is>
          <t>Morningtide</t>
        </is>
      </c>
      <c r="W717" s="41" t="n">
        <v>1</v>
      </c>
      <c r="X717" s="37">
        <f>SUM(Y717:AE717)</f>
        <v/>
      </c>
      <c r="Y717" s="43" t="n"/>
      <c r="Z717" s="43" t="n">
        <v>1</v>
      </c>
      <c r="AA717" s="43" t="n"/>
      <c r="AB717" s="43" t="n"/>
      <c r="AC717" s="43" t="n"/>
      <c r="AD717" s="43" t="n"/>
      <c r="AE717" s="43" t="n"/>
      <c r="AF717" s="38">
        <f>IF((W717-SUM(Y717:AE717))&lt;0,0,W717-SUM(Y717:AE717))</f>
        <v/>
      </c>
      <c r="AG717" s="38">
        <f>MAX(0,$AT717-$W717-$AI717)</f>
        <v/>
      </c>
      <c r="AH717" s="38" t="n"/>
      <c r="AI717" s="38" t="n"/>
      <c r="AJ717" s="54" t="n">
        <v>0.23</v>
      </c>
      <c r="AK717" s="54">
        <f>IF(AND($AG717&gt;0,ISNUMBER($AJ717)),$AG717*$AJ717,0)</f>
        <v/>
      </c>
      <c r="AM717" t="inlineStr">
        <is>
          <t>BL0071</t>
        </is>
      </c>
      <c r="AR717" s="58" t="n"/>
      <c r="AT717" s="37">
        <f>SUM(AU717:BA717)</f>
        <v/>
      </c>
      <c r="AU717" s="73" t="n"/>
      <c r="AV717" s="100" t="n"/>
      <c r="AW717" s="33" t="n"/>
      <c r="AX717" s="33" t="n"/>
      <c r="AY717" s="33" t="n"/>
      <c r="AZ717" s="33" t="n"/>
      <c r="BA717" s="74" t="n"/>
      <c r="BB717" s="47" t="n"/>
      <c r="BC717" s="42" t="n"/>
      <c r="BD717" s="42" t="n"/>
    </row>
    <row r="718" ht="15" customHeight="1" s="148">
      <c r="A718" t="inlineStr">
        <is>
          <t>c0714</t>
        </is>
      </c>
      <c r="B718" s="47" t="inlineStr">
        <is>
          <t>Octopus Form</t>
        </is>
      </c>
      <c r="C718" s="38" t="inlineStr">
        <is>
          <t>U</t>
        </is>
      </c>
      <c r="D718" s="47" t="inlineStr">
        <is>
          <t>Instant</t>
        </is>
      </c>
      <c r="E718" s="41" t="inlineStr">
        <is>
          <t>B2</t>
        </is>
      </c>
      <c r="F718" s="38" t="n">
        <v>1</v>
      </c>
      <c r="G718" s="67" t="inlineStr">
        <is>
          <t>Target creature you control gets +1/+1 and gains hexproof until end of turn. Untap it. (It can't be the target of spells or abilities your opponents control.)</t>
        </is>
      </c>
      <c r="H718" s="53" t="inlineStr">
        <is>
          <t>Protection</t>
        </is>
      </c>
      <c r="I718" s="53" t="inlineStr">
        <is>
          <t>Target creature you control gets +1/+1 and can't be targeted by opponents until end of turn</t>
        </is>
      </c>
      <c r="J718" s="53" t="inlineStr">
        <is>
          <t>Untaps that creature</t>
        </is>
      </c>
      <c r="K718" s="53" t="n"/>
      <c r="L718" s="42" t="n"/>
      <c r="M718" s="42" t="n"/>
      <c r="N718" s="42" t="n"/>
      <c r="O718" s="42" t="n"/>
      <c r="P718" s="42" t="n">
        <v>0.21</v>
      </c>
      <c r="Q718" s="42" t="n"/>
      <c r="R718" s="42" t="n"/>
      <c r="S718" s="42" t="n"/>
      <c r="T718" s="42" t="n"/>
      <c r="U718" s="42" t="n"/>
      <c r="V718" s="53" t="inlineStr">
        <is>
          <t>Avatar: The Last Airbender</t>
        </is>
      </c>
      <c r="W718" s="41" t="n">
        <v>1</v>
      </c>
      <c r="X718" s="37">
        <f>SUM(Y718:AE718)</f>
        <v/>
      </c>
      <c r="Y718" s="43" t="n"/>
      <c r="Z718" s="43" t="n"/>
      <c r="AA718" s="43" t="n"/>
      <c r="AB718" s="43" t="n"/>
      <c r="AC718" s="43" t="n"/>
      <c r="AD718" s="43" t="n"/>
      <c r="AE718" s="43" t="n"/>
      <c r="AF718" s="38">
        <f>IF((W718-SUM(Y718:AE718))&lt;0,0,W718-SUM(Y718:AE718))</f>
        <v/>
      </c>
      <c r="AG718" s="38">
        <f>MAX(0,$AT718-$W718-$AI718)</f>
        <v/>
      </c>
      <c r="AH718" s="38" t="n"/>
      <c r="AI718" s="38" t="n"/>
      <c r="AJ718" s="54" t="n">
        <v>0.26</v>
      </c>
      <c r="AK718" s="54">
        <f>IF(AND($AG718&gt;0,ISNUMBER($AJ718)),$AG718*$AJ718,0)</f>
        <v/>
      </c>
      <c r="AN718" s="58" t="n"/>
      <c r="AT718" s="37">
        <f>SUM(AU718:BA718)</f>
        <v/>
      </c>
      <c r="AU718" s="73" t="n"/>
      <c r="AV718" s="33" t="n"/>
      <c r="AW718" s="33" t="n"/>
      <c r="AX718" s="33" t="n"/>
      <c r="AY718" s="33" t="n"/>
      <c r="AZ718" s="33" t="n"/>
      <c r="BA718" s="74" t="n"/>
      <c r="BB718" s="47" t="n"/>
      <c r="BC718" s="42" t="n"/>
      <c r="BD718" s="42" t="n"/>
    </row>
    <row r="719" ht="15" customHeight="1" s="148">
      <c r="A719" t="inlineStr">
        <is>
          <t>c0715</t>
        </is>
      </c>
      <c r="B719" s="42" t="inlineStr">
        <is>
          <t>Old Fat Spider Can't See Me</t>
        </is>
      </c>
      <c r="C719" s="41" t="inlineStr">
        <is>
          <t>U</t>
        </is>
      </c>
      <c r="D719" s="42" t="inlineStr">
        <is>
          <t>Enchantment</t>
        </is>
      </c>
      <c r="E719" s="41" t="inlineStr">
        <is>
          <t>B2</t>
        </is>
      </c>
      <c r="F719" s="41" t="n">
        <v>3</v>
      </c>
      <c r="G719" s="67" t="inlineStr">
        <is>
          <t>(As this Saga enters and after your draw step, add a lore counter. Sacrifice after IV.)
I — Target creature you control gains hexproof for as long as this Saga remains on the battlefield.
II — Prevent all damage that would be dealt by up to one target creature for as long as this Saga remains on the battlefield.
III, IV — Draw a card.</t>
        </is>
      </c>
      <c r="H719" s="42" t="inlineStr">
        <is>
          <t>Protection</t>
        </is>
      </c>
      <c r="I719" s="42" t="inlineStr">
        <is>
          <t>Chapter I: a creature you control gains hexproof while the Saga lasts</t>
        </is>
      </c>
      <c r="J719" s="42" t="inlineStr">
        <is>
          <t>Chapter II: prevents all damage from one creature while the Saga lasts</t>
        </is>
      </c>
      <c r="K719" s="42" t="inlineStr">
        <is>
          <t>Chapters III and IV: draw a card each</t>
        </is>
      </c>
      <c r="L719" s="42" t="n"/>
      <c r="M719" s="42" t="n"/>
      <c r="N719" s="42" t="n"/>
      <c r="O719" s="63" t="n"/>
      <c r="P719" s="63" t="n">
        <v>0.19</v>
      </c>
      <c r="Q719" s="42" t="n"/>
      <c r="R719" s="42" t="n"/>
      <c r="S719" s="42" t="n"/>
      <c r="T719" s="63" t="n"/>
      <c r="U719" s="63" t="n"/>
      <c r="V719" s="42" t="inlineStr">
        <is>
          <t>The Hobbit</t>
        </is>
      </c>
      <c r="W719" s="41" t="n">
        <v>1</v>
      </c>
      <c r="X719" s="37">
        <f>SUM(Y719:AE719)</f>
        <v/>
      </c>
      <c r="Y719" s="43" t="n"/>
      <c r="Z719" s="43" t="n"/>
      <c r="AA719" s="43" t="n"/>
      <c r="AB719" s="43" t="n"/>
      <c r="AC719" s="43" t="n"/>
      <c r="AD719" s="43" t="n"/>
      <c r="AE719" s="43" t="n"/>
      <c r="AF719" s="38">
        <f>IF((W719-SUM(Y719:AE719))&lt;0,0,W719-SUM(Y719:AE719))</f>
        <v/>
      </c>
      <c r="AG719" s="38">
        <f>MAX(0,$AT719-$W719-$AI719)</f>
        <v/>
      </c>
      <c r="AH719" s="42" t="n"/>
      <c r="AI719" s="42" t="n"/>
      <c r="AJ719" s="42" t="n">
        <v>0.2</v>
      </c>
      <c r="AK719" s="42">
        <f>IF(AND($AG719&gt;0,ISNUMBER($AJ719)),$AG719*$AJ719,0)</f>
        <v/>
      </c>
      <c r="AT719" s="37">
        <f>SUM(AU719:BA719)</f>
        <v/>
      </c>
      <c r="AU719" s="73" t="n"/>
      <c r="AV719" s="33" t="n"/>
      <c r="AW719" s="33" t="n"/>
      <c r="AX719" s="33" t="n"/>
      <c r="AY719" s="33" t="n"/>
      <c r="AZ719" s="33" t="n"/>
      <c r="BA719" s="74" t="n"/>
      <c r="BB719" s="42" t="n"/>
      <c r="BC719" s="42" t="n"/>
      <c r="BD719" s="42" t="n"/>
    </row>
    <row r="720" ht="15" customHeight="1" s="148">
      <c r="A720" t="inlineStr">
        <is>
          <t>c0716</t>
        </is>
      </c>
      <c r="B720" s="47" t="inlineStr">
        <is>
          <t>Peregrine Drake</t>
        </is>
      </c>
      <c r="C720" s="38" t="inlineStr">
        <is>
          <t>U</t>
        </is>
      </c>
      <c r="D720" s="47" t="inlineStr">
        <is>
          <t>Creature</t>
        </is>
      </c>
      <c r="E720" s="41" t="inlineStr">
        <is>
          <t>B2</t>
        </is>
      </c>
      <c r="F720" s="38" t="n">
        <v>5</v>
      </c>
      <c r="G720" s="67" t="inlineStr">
        <is>
          <t>Flying
When this creature enters, untap up to five lands.
(2/3)</t>
        </is>
      </c>
      <c r="H720" s="53" t="inlineStr">
        <is>
          <t>Ramp</t>
        </is>
      </c>
      <c r="I720" s="53" t="inlineStr">
        <is>
          <t>Untaps up to five lands when it enters</t>
        </is>
      </c>
      <c r="J720" s="53" t="inlineStr">
        <is>
          <t>Flying body</t>
        </is>
      </c>
      <c r="K720" s="53" t="n"/>
      <c r="L720" s="42" t="n"/>
      <c r="M720" s="42" t="n"/>
      <c r="N720" s="42" t="n"/>
      <c r="O720" s="42" t="n"/>
      <c r="P720" s="42" t="n">
        <v>0.28</v>
      </c>
      <c r="Q720" s="42" t="n"/>
      <c r="R720" s="42" t="n"/>
      <c r="S720" s="42" t="n"/>
      <c r="T720" s="42" t="n"/>
      <c r="U720" s="42" t="n"/>
      <c r="V720" s="53" t="inlineStr">
        <is>
          <t>Urza's Saga</t>
        </is>
      </c>
      <c r="W720" s="41" t="n">
        <v>1</v>
      </c>
      <c r="X720" s="37">
        <f>SUM(Y720:AE720)</f>
        <v/>
      </c>
      <c r="Y720" s="43" t="n"/>
      <c r="Z720" s="43" t="n">
        <v>1</v>
      </c>
      <c r="AA720" s="43" t="n"/>
      <c r="AB720" s="43" t="n"/>
      <c r="AC720" s="43" t="n"/>
      <c r="AD720" s="43" t="n"/>
      <c r="AE720" s="43" t="n"/>
      <c r="AF720" s="38">
        <f>IF((W720-SUM(Y720:AE720))&lt;0,0,W720-SUM(Y720:AE720))</f>
        <v/>
      </c>
      <c r="AG720" s="38">
        <f>MAX(0,$AT720-$W720-$AI720)</f>
        <v/>
      </c>
      <c r="AH720" s="38" t="n"/>
      <c r="AI720" s="38" t="n"/>
      <c r="AJ720" s="54" t="n">
        <v>0.27</v>
      </c>
      <c r="AK720" s="54">
        <f>IF(AND($AG720&gt;0,ISNUMBER($AJ720)),$AG720*$AJ720,0)</f>
        <v/>
      </c>
      <c r="AM720" s="58" t="n"/>
      <c r="AT720" s="37">
        <f>SUM(AU720:BA720)</f>
        <v/>
      </c>
      <c r="AU720" s="73" t="n"/>
      <c r="AV720" s="99" t="n"/>
      <c r="AW720" s="33" t="n"/>
      <c r="AX720" s="33" t="n"/>
      <c r="AY720" s="33" t="n"/>
      <c r="AZ720" s="33" t="n"/>
      <c r="BA720" s="74" t="n"/>
      <c r="BB720" s="47" t="n"/>
      <c r="BC720" s="42" t="n"/>
      <c r="BD720" s="42" t="n"/>
    </row>
    <row r="721" ht="15" customHeight="1" s="148">
      <c r="A721" t="inlineStr">
        <is>
          <t>c0717</t>
        </is>
      </c>
      <c r="B721" s="42" t="inlineStr">
        <is>
          <t>Plunder the Trollshaws</t>
        </is>
      </c>
      <c r="C721" s="41" t="inlineStr">
        <is>
          <t>U</t>
        </is>
      </c>
      <c r="D721" s="42" t="inlineStr">
        <is>
          <t>Instant</t>
        </is>
      </c>
      <c r="E721" s="41" t="inlineStr">
        <is>
          <t>B2</t>
        </is>
      </c>
      <c r="F721" s="41" t="n">
        <v>2</v>
      </c>
      <c r="G721" s="67" t="inlineStr">
        <is>
          <t>Draw a card. If this spell was cast from a graveyard, draw two cards instead.
Flashback {3}{U} (You may cast this card from your graveyard for its flashback cost. Then exile it.)</t>
        </is>
      </c>
      <c r="H721" s="42" t="inlineStr">
        <is>
          <t>Card Draw</t>
        </is>
      </c>
      <c r="I721" s="42" t="inlineStr">
        <is>
          <t>Draw a card, or two cards if it was cast from a graveyard</t>
        </is>
      </c>
      <c r="J721" s="42" t="inlineStr">
        <is>
          <t>Flashback {3}{U}: cast it from your graveyard, then exile it</t>
        </is>
      </c>
      <c r="K721" s="42" t="n"/>
      <c r="L721" s="42" t="inlineStr">
        <is>
          <t>51</t>
        </is>
      </c>
      <c r="M721" s="42" t="n">
        <v>1</v>
      </c>
      <c r="N721" s="42" t="n">
        <v>0</v>
      </c>
      <c r="O721" s="63" t="n"/>
      <c r="P721" s="63" t="n">
        <v>0.16</v>
      </c>
      <c r="Q721" s="42" t="inlineStr">
        <is>
          <t>Common</t>
        </is>
      </c>
      <c r="R721" s="42" t="n"/>
      <c r="S721" s="42" t="n"/>
      <c r="T721" s="63" t="n"/>
      <c r="U721" s="63" t="n"/>
      <c r="V721" s="42" t="inlineStr">
        <is>
          <t>The Hobbit</t>
        </is>
      </c>
      <c r="W721" s="41" t="n">
        <v>2</v>
      </c>
      <c r="X721" s="37">
        <f>SUM(Y721:AE721)</f>
        <v/>
      </c>
      <c r="Y721" s="43" t="n"/>
      <c r="Z721" s="43" t="n"/>
      <c r="AA721" s="43" t="n">
        <v>1</v>
      </c>
      <c r="AB721" s="43" t="n"/>
      <c r="AC721" s="43" t="n"/>
      <c r="AD721" s="43" t="n"/>
      <c r="AE721" s="43" t="n">
        <v>1</v>
      </c>
      <c r="AF721" s="38">
        <f>IF((W721-SUM(Y721:AE721))&lt;0,0,W721-SUM(Y721:AE721))</f>
        <v/>
      </c>
      <c r="AG721" s="38">
        <f>MAX(0,$AT721-$W721-$AI721)</f>
        <v/>
      </c>
      <c r="AH721" s="42" t="n"/>
      <c r="AI721" s="42" t="n"/>
      <c r="AJ721" s="42" t="n">
        <v>0.18</v>
      </c>
      <c r="AK721" s="42">
        <f>IF(AND($AG721&gt;0,ISNUMBER($AJ721)),$AG721*$AJ721,0)</f>
        <v/>
      </c>
      <c r="AN721" s="58" t="inlineStr">
        <is>
          <t>BL0005</t>
        </is>
      </c>
      <c r="AR721" s="58" t="n"/>
      <c r="AT721" s="37">
        <f>SUM(AU721:BA721)</f>
        <v/>
      </c>
      <c r="AU721" s="73" t="n"/>
      <c r="AV721" s="33" t="n"/>
      <c r="AW721" s="100" t="n"/>
      <c r="AX721" s="33" t="n"/>
      <c r="AY721" s="33" t="n"/>
      <c r="AZ721" s="33" t="n"/>
      <c r="BA721" s="79" t="n"/>
      <c r="BB721" s="42" t="n"/>
      <c r="BC721" s="42" t="n"/>
      <c r="BD721" s="42" t="n"/>
    </row>
    <row r="722" ht="15" customHeight="1" s="148">
      <c r="A722" t="inlineStr">
        <is>
          <t>c0718</t>
        </is>
      </c>
      <c r="B722" s="47" t="inlineStr">
        <is>
          <t>Prologue to Phyresis</t>
        </is>
      </c>
      <c r="C722" s="38" t="inlineStr">
        <is>
          <t>U</t>
        </is>
      </c>
      <c r="D722" s="47" t="inlineStr">
        <is>
          <t>Instant</t>
        </is>
      </c>
      <c r="E722" s="41" t="inlineStr">
        <is>
          <t>B3</t>
        </is>
      </c>
      <c r="F722" s="38" t="n">
        <v>2</v>
      </c>
      <c r="G722" s="67" t="inlineStr">
        <is>
          <t>Each opponent gets a poison counter.
Draw a card.</t>
        </is>
      </c>
      <c r="H722" s="53" t="inlineStr">
        <is>
          <t>Counters Payoff</t>
        </is>
      </c>
      <c r="I722" s="53" t="inlineStr">
        <is>
          <t>Each opponent gets a poison counter.
Draw a card.</t>
        </is>
      </c>
      <c r="J722" s="53" t="n"/>
      <c r="K722" s="53" t="n"/>
      <c r="L722" s="41" t="n"/>
      <c r="M722" s="41" t="n"/>
      <c r="N722" s="41" t="n"/>
      <c r="O722" s="41" t="n"/>
      <c r="P722" s="41" t="n"/>
      <c r="Q722" s="41" t="n"/>
      <c r="R722" s="41" t="n"/>
      <c r="S722" s="41" t="n"/>
      <c r="T722" s="41" t="n"/>
      <c r="U722" s="41" t="n"/>
      <c r="V722" s="53" t="inlineStr">
        <is>
          <t>Phyrexia: All Will Be One</t>
        </is>
      </c>
      <c r="W722" s="41" t="n">
        <v>0</v>
      </c>
      <c r="X722" s="37">
        <f>SUM(Y722:AE722)</f>
        <v/>
      </c>
      <c r="Y722" s="43" t="n"/>
      <c r="Z722" s="43" t="n"/>
      <c r="AA722" s="43" t="n"/>
      <c r="AB722" s="43" t="n"/>
      <c r="AC722" s="43" t="n"/>
      <c r="AD722" s="43" t="n"/>
      <c r="AE722" s="43" t="n"/>
      <c r="AF722" s="38">
        <f>IF((W722-SUM(Y722:AE722))&lt;0,0,W722-SUM(Y722:AE722))</f>
        <v/>
      </c>
      <c r="AG722" s="38">
        <f>MAX(0,$AT722-$W722-$AI722)</f>
        <v/>
      </c>
      <c r="AH722" s="38" t="n"/>
      <c r="AI722" s="38" t="n"/>
      <c r="AJ722" s="54" t="n">
        <v>0.53</v>
      </c>
      <c r="AK722" s="54">
        <f>IF(AND($AG722&gt;0,ISNUMBER($AJ722)),$AG722*$AJ722,0)</f>
        <v/>
      </c>
      <c r="AL722" s="54" t="n"/>
      <c r="AM722" s="54" t="n"/>
      <c r="AN722" s="54" t="n"/>
      <c r="AO722" s="54" t="n"/>
      <c r="AP722" s="54" t="n"/>
      <c r="AQ722" s="54" t="n"/>
      <c r="AR722" s="54" t="n"/>
      <c r="AS722" s="54" t="n"/>
      <c r="AT722" s="37">
        <f>SUM(AU722:BA722)</f>
        <v/>
      </c>
      <c r="AU722" s="92" t="n"/>
      <c r="AV722" s="38" t="n"/>
      <c r="AW722" s="38" t="n"/>
      <c r="AX722" s="38" t="n"/>
      <c r="AY722" s="38" t="n"/>
      <c r="AZ722" s="38" t="n"/>
      <c r="BA722" s="94" t="n"/>
      <c r="BB722" s="47" t="n"/>
      <c r="BC722" s="42" t="n"/>
      <c r="BD722" s="48" t="n"/>
    </row>
    <row r="723" ht="15" customHeight="1" s="148">
      <c r="A723" t="inlineStr">
        <is>
          <t>c0719</t>
        </is>
      </c>
      <c r="B723" s="47" t="inlineStr">
        <is>
          <t>Rhystic Study</t>
        </is>
      </c>
      <c r="C723" s="38" t="inlineStr">
        <is>
          <t>U</t>
        </is>
      </c>
      <c r="D723" s="47" t="inlineStr">
        <is>
          <t>Enchantment</t>
        </is>
      </c>
      <c r="E723" s="41" t="inlineStr">
        <is>
          <t>B3</t>
        </is>
      </c>
      <c r="F723" s="38" t="n">
        <v>3</v>
      </c>
      <c r="G723" s="67" t="inlineStr">
        <is>
          <t>Whenever an opponent casts a spell, you may draw a card unless that player pays {1}.</t>
        </is>
      </c>
      <c r="H723" s="53" t="inlineStr">
        <is>
          <t>Card Draw</t>
        </is>
      </c>
      <c r="I723" s="53" t="inlineStr">
        <is>
          <t>Whenever an opponent casts a spell, you may draw a card unless that player pays {1}.</t>
        </is>
      </c>
      <c r="J723" s="53" t="n"/>
      <c r="K723" s="53" t="n"/>
      <c r="L723" s="42" t="n"/>
      <c r="M723" s="42" t="n"/>
      <c r="N723" s="42" t="n"/>
      <c r="O723" s="42" t="n"/>
      <c r="P723" s="42" t="n">
        <v>70.18000000000001</v>
      </c>
      <c r="Q723" s="42" t="n"/>
      <c r="R723" s="42" t="n"/>
      <c r="S723" s="42" t="n"/>
      <c r="T723" s="42" t="n"/>
      <c r="U723" s="42" t="n"/>
      <c r="V723" s="53" t="inlineStr">
        <is>
          <t>Prophecy</t>
        </is>
      </c>
      <c r="W723" s="41" t="n">
        <v>0</v>
      </c>
      <c r="X723" s="37">
        <f>SUM(Y723:AE723)</f>
        <v/>
      </c>
      <c r="Y723" s="43" t="n"/>
      <c r="Z723" s="43" t="n"/>
      <c r="AA723" s="43" t="n"/>
      <c r="AB723" s="43" t="n"/>
      <c r="AC723" s="43" t="n"/>
      <c r="AD723" s="43" t="n"/>
      <c r="AE723" s="43" t="n"/>
      <c r="AF723" s="38">
        <f>IF((W723-SUM(Y723:AE723))&lt;0,0,W723-SUM(Y723:AE723))</f>
        <v/>
      </c>
      <c r="AG723" s="38">
        <f>MAX(0,$AT723-$W723-$AI723)</f>
        <v/>
      </c>
      <c r="AH723" s="38" t="n"/>
      <c r="AI723" s="38" t="n"/>
      <c r="AJ723" s="54" t="n">
        <v>70.58</v>
      </c>
      <c r="AK723" s="54">
        <f>IF(AND($AG723&gt;0,ISNUMBER($AJ723)),$AG723*$AJ723,0)</f>
        <v/>
      </c>
      <c r="AL723" s="54" t="n"/>
      <c r="AM723" s="54" t="n"/>
      <c r="AN723" s="54" t="n"/>
      <c r="AO723" s="54" t="n"/>
      <c r="AP723" s="54" t="n"/>
      <c r="AQ723" s="54" t="n"/>
      <c r="AR723" s="54" t="n"/>
      <c r="AS723" s="54" t="n"/>
      <c r="AT723" s="37">
        <f>SUM(AU723:BA723)</f>
        <v/>
      </c>
      <c r="AU723" s="92" t="n"/>
      <c r="AV723" s="38" t="n"/>
      <c r="AW723" s="38" t="n"/>
      <c r="AX723" s="38" t="n"/>
      <c r="AY723" s="38" t="n"/>
      <c r="AZ723" s="38" t="n"/>
      <c r="BA723" s="94" t="n"/>
      <c r="BB723" s="47" t="n"/>
      <c r="BC723" s="42" t="n"/>
      <c r="BD723" s="42" t="n"/>
    </row>
    <row r="724" ht="15" customHeight="1" s="148">
      <c r="A724" t="inlineStr">
        <is>
          <t>c0720</t>
        </is>
      </c>
      <c r="B724" s="32" t="inlineStr">
        <is>
          <t>Rime Chill</t>
        </is>
      </c>
      <c r="C724" s="33" t="inlineStr">
        <is>
          <t>U</t>
        </is>
      </c>
      <c r="D724" s="32" t="inlineStr">
        <is>
          <t>Instant</t>
        </is>
      </c>
      <c r="E724" s="33" t="inlineStr">
        <is>
          <t>B2</t>
        </is>
      </c>
      <c r="F724" s="33" t="n">
        <v>7</v>
      </c>
      <c r="G724" s="67" t="inlineStr">
        <is>
          <t>Vivid — This spell costs {1} less to cast for each color among permanents you control.
Tap up to two target creatures. Put a stun counter on each of them. (If a permanent with a stun counter would become untapped, remove one from it instead.)
Draw a card.</t>
        </is>
      </c>
      <c r="H724" s="32" t="inlineStr">
        <is>
          <t>Interaction</t>
        </is>
      </c>
      <c r="I724" s="32" t="inlineStr">
        <is>
          <t>Tap up to two target creatures and put a stun counter on each of them</t>
        </is>
      </c>
      <c r="J724" s="32" t="inlineStr">
        <is>
          <t>Vivid — costs {1} less to cast for each color among permanents you control</t>
        </is>
      </c>
      <c r="K724" s="32" t="inlineStr">
        <is>
          <t>Draw a card</t>
        </is>
      </c>
      <c r="L724" s="32" t="inlineStr">
        <is>
          <t>64</t>
        </is>
      </c>
      <c r="M724" s="32" t="n">
        <v>1</v>
      </c>
      <c r="N724" s="32" t="n">
        <v>0</v>
      </c>
      <c r="O724" s="63" t="n"/>
      <c r="P724" s="63" t="n">
        <v>0.1</v>
      </c>
      <c r="Q724" s="32" t="inlineStr">
        <is>
          <t>Uncommon</t>
        </is>
      </c>
      <c r="R724" s="32" t="n"/>
      <c r="S724" s="32" t="n"/>
      <c r="T724" s="63" t="n"/>
      <c r="U724" s="63" t="n"/>
      <c r="V724" s="32" t="inlineStr">
        <is>
          <t>Lorwyn Eclipsed</t>
        </is>
      </c>
      <c r="W724" s="41" t="n">
        <v>1</v>
      </c>
      <c r="X724" s="37">
        <f>SUM(Y724:AE724)</f>
        <v/>
      </c>
      <c r="Y724" s="43" t="n"/>
      <c r="Z724" s="43" t="n"/>
      <c r="AA724" s="43" t="n"/>
      <c r="AB724" s="43" t="n"/>
      <c r="AC724" s="43" t="n"/>
      <c r="AD724" s="43" t="n"/>
      <c r="AE724" s="43" t="n"/>
      <c r="AF724" s="38">
        <f>IF((W724-SUM(Y724:AE724))&lt;0,0,W724-SUM(Y724:AE724))</f>
        <v/>
      </c>
      <c r="AG724" s="38">
        <f>MAX(0,$AT724-$W724-$AI724)</f>
        <v/>
      </c>
      <c r="AH724" s="32" t="n"/>
      <c r="AI724" s="32" t="n"/>
      <c r="AJ724" s="61" t="n">
        <v>0.1</v>
      </c>
      <c r="AK724" s="54">
        <f>IF(AND($AG724&gt;0,ISNUMBER($AJ724)),$AG724*$AJ724,0)</f>
        <v/>
      </c>
      <c r="AT724" s="37">
        <f>SUM(AU724:BA724)</f>
        <v/>
      </c>
      <c r="AU724" s="73" t="n"/>
      <c r="AV724" s="33" t="n"/>
      <c r="AW724" s="33" t="n"/>
      <c r="AX724" s="33" t="n"/>
      <c r="AY724" s="33" t="n"/>
      <c r="AZ724" s="33" t="n"/>
      <c r="BA724" s="74" t="n"/>
      <c r="BB724" s="32" t="n"/>
      <c r="BC724" s="32" t="n"/>
      <c r="BD724" s="32" t="n"/>
    </row>
    <row r="725" ht="15" customHeight="1" s="148">
      <c r="A725" t="inlineStr">
        <is>
          <t>c0721</t>
        </is>
      </c>
      <c r="B725" s="42" t="inlineStr">
        <is>
          <t>Rimekin Recluse</t>
        </is>
      </c>
      <c r="C725" s="41" t="inlineStr">
        <is>
          <t>U</t>
        </is>
      </c>
      <c r="D725" s="42" t="inlineStr">
        <is>
          <t>Creature</t>
        </is>
      </c>
      <c r="E725" s="41" t="inlineStr">
        <is>
          <t>B2</t>
        </is>
      </c>
      <c r="F725" s="41" t="n">
        <v>3</v>
      </c>
      <c r="G725" s="67" t="inlineStr">
        <is>
          <t>When this creature enters, return up to one other target creature to its owner's hand.
(3/2)</t>
        </is>
      </c>
      <c r="H725" s="42" t="inlineStr">
        <is>
          <t>Interaction</t>
        </is>
      </c>
      <c r="I725" s="42" t="inlineStr">
        <is>
          <t>Enters: return up to one other target creature to its owner's hand</t>
        </is>
      </c>
      <c r="J725" s="42" t="n"/>
      <c r="K725" s="42" t="n"/>
      <c r="L725" s="42" t="n"/>
      <c r="M725" s="42" t="n"/>
      <c r="N725" s="42" t="n"/>
      <c r="O725" s="63" t="n"/>
      <c r="P725" s="63" t="n"/>
      <c r="Q725" s="42" t="n"/>
      <c r="R725" s="42" t="n"/>
      <c r="S725" s="42" t="n"/>
      <c r="T725" s="63" t="n"/>
      <c r="U725" s="63" t="n"/>
      <c r="V725" s="42" t="inlineStr">
        <is>
          <t>Lorwyn Eclipsed</t>
        </is>
      </c>
      <c r="W725" s="41" t="n">
        <v>1</v>
      </c>
      <c r="X725" s="37">
        <f>SUM(Y725:AE725)</f>
        <v/>
      </c>
      <c r="Y725" s="43" t="n"/>
      <c r="Z725" s="43" t="n"/>
      <c r="AA725" s="43" t="n"/>
      <c r="AB725" s="43" t="n"/>
      <c r="AC725" s="43" t="n"/>
      <c r="AD725" s="43" t="n"/>
      <c r="AE725" s="43" t="n">
        <v>1</v>
      </c>
      <c r="AF725" s="38">
        <f>IF((W725-SUM(Y725:AE725))&lt;0,0,W725-SUM(Y725:AE725))</f>
        <v/>
      </c>
      <c r="AG725" s="38">
        <f>MAX(0,$AT725-$W725-$AI725)</f>
        <v/>
      </c>
      <c r="AH725" s="42" t="n"/>
      <c r="AI725" s="42" t="n"/>
      <c r="AJ725" s="42" t="n">
        <v>0.23</v>
      </c>
      <c r="AK725" s="42">
        <f>IF(AND($AG725&gt;0,ISNUMBER($AJ725)),$AG725*$AJ725,0)</f>
        <v/>
      </c>
      <c r="AT725" s="37">
        <f>SUM(AU725:BA725)</f>
        <v/>
      </c>
      <c r="AU725" s="73" t="n"/>
      <c r="AV725" s="33" t="n"/>
      <c r="AW725" s="33" t="n"/>
      <c r="AX725" s="33" t="n"/>
      <c r="AY725" s="33" t="n"/>
      <c r="AZ725" s="33" t="n"/>
      <c r="BA725" s="80" t="n">
        <v>1</v>
      </c>
      <c r="BB725" s="42" t="n"/>
      <c r="BC725" s="42" t="n"/>
      <c r="BD725" s="42" t="n"/>
    </row>
    <row r="726" ht="15" customHeight="1" s="148">
      <c r="A726" t="inlineStr">
        <is>
          <t>c0722</t>
        </is>
      </c>
      <c r="B726" s="32" t="inlineStr">
        <is>
          <t>Run Behind</t>
        </is>
      </c>
      <c r="C726" s="33" t="inlineStr">
        <is>
          <t>U</t>
        </is>
      </c>
      <c r="D726" s="32" t="inlineStr">
        <is>
          <t>Instant</t>
        </is>
      </c>
      <c r="E726" s="33" t="inlineStr">
        <is>
          <t>B2</t>
        </is>
      </c>
      <c r="F726" s="32" t="n">
        <v>4</v>
      </c>
      <c r="G726" s="67" t="inlineStr">
        <is>
          <t>This spell costs {1} less to cast if it targets an attacking creature.
Target creature's owner puts it on their choice of the top or bottom of their library.</t>
        </is>
      </c>
      <c r="H726" s="32" t="inlineStr">
        <is>
          <t>Removal</t>
        </is>
      </c>
      <c r="I726" s="32" t="inlineStr">
        <is>
          <t>Target creature's owner puts it on their choice of the top or bottom of their library</t>
        </is>
      </c>
      <c r="J726" s="32" t="inlineStr">
        <is>
          <t>Costs {1} less to cast if it targets an attacking creature</t>
        </is>
      </c>
      <c r="K726" s="32" t="n"/>
      <c r="L726" s="32" t="inlineStr">
        <is>
          <t>66</t>
        </is>
      </c>
      <c r="M726" s="32" t="n">
        <v>1</v>
      </c>
      <c r="N726" s="32" t="n">
        <v>0</v>
      </c>
      <c r="O726" s="63" t="inlineStr">
        <is>
          <t>Nereida</t>
        </is>
      </c>
      <c r="P726" s="63" t="n">
        <v>0.05</v>
      </c>
      <c r="Q726" s="32" t="inlineStr">
        <is>
          <t>Common</t>
        </is>
      </c>
      <c r="R726" s="32" t="n"/>
      <c r="S726" s="32" t="n"/>
      <c r="T726" s="63" t="n"/>
      <c r="U726" s="63" t="n"/>
      <c r="V726" s="32" t="inlineStr">
        <is>
          <t>Secrets of Strixhaven</t>
        </is>
      </c>
      <c r="W726" s="41" t="n">
        <v>1</v>
      </c>
      <c r="X726" s="37">
        <f>SUM(Y726:AE726)</f>
        <v/>
      </c>
      <c r="Y726" s="43" t="n"/>
      <c r="Z726" s="43" t="n"/>
      <c r="AA726" s="43" t="n"/>
      <c r="AB726" s="43" t="n"/>
      <c r="AC726" s="43" t="n"/>
      <c r="AD726" s="43" t="n"/>
      <c r="AE726" s="43" t="n"/>
      <c r="AF726" s="38">
        <f>IF((W726-SUM(Y726:AE726))&lt;0,0,W726-SUM(Y726:AE726))</f>
        <v/>
      </c>
      <c r="AG726" s="38">
        <f>MAX(0,$AT726-$W726-$AI726)</f>
        <v/>
      </c>
      <c r="AH726" s="32" t="n"/>
      <c r="AI726" s="32" t="n"/>
      <c r="AJ726" s="32" t="n">
        <v>0.05</v>
      </c>
      <c r="AK726" s="54">
        <f>IF(AND($AG726&gt;0,ISNUMBER($AJ726)),$AG726*$AJ726,0)</f>
        <v/>
      </c>
      <c r="AT726" s="37">
        <f>SUM(AU726:BA726)</f>
        <v/>
      </c>
      <c r="AU726" s="73" t="n"/>
      <c r="AV726" s="33" t="n"/>
      <c r="AW726" s="33" t="n"/>
      <c r="AX726" s="33" t="n"/>
      <c r="AY726" s="33" t="n"/>
      <c r="AZ726" s="33" t="n"/>
      <c r="BA726" s="74" t="n"/>
      <c r="BB726" s="32" t="n"/>
      <c r="BC726" s="32" t="n"/>
      <c r="BD726" s="32" t="n"/>
    </row>
    <row r="727" ht="15" customHeight="1" s="148">
      <c r="A727" t="inlineStr">
        <is>
          <t>c0723</t>
        </is>
      </c>
      <c r="B727" s="47" t="inlineStr">
        <is>
          <t>Serum Snare</t>
        </is>
      </c>
      <c r="C727" s="38" t="inlineStr">
        <is>
          <t>U</t>
        </is>
      </c>
      <c r="D727" s="47" t="inlineStr">
        <is>
          <t>Instant</t>
        </is>
      </c>
      <c r="E727" s="41" t="inlineStr">
        <is>
          <t>B2</t>
        </is>
      </c>
      <c r="F727" s="38" t="n">
        <v>2</v>
      </c>
      <c r="G727" s="67" t="inlineStr">
        <is>
          <t>Return target nonland permanent to its owner's hand. If that permanent had mana value 3 or less, proliferate. (Choose any number of permanents and/or players, then give each another counter of each kind already there.)</t>
        </is>
      </c>
      <c r="H727" s="53" t="inlineStr">
        <is>
          <t>Removal</t>
        </is>
      </c>
      <c r="I727" s="53" t="inlineStr">
        <is>
          <t>Return target nonland permanent to its owner's hand. If that permanent had mana value 3 or less, proliferate</t>
        </is>
      </c>
      <c r="J727" s="53" t="n"/>
      <c r="K727" s="53" t="n"/>
      <c r="L727" s="42" t="n"/>
      <c r="M727" s="42" t="n"/>
      <c r="N727" s="42" t="n"/>
      <c r="O727" s="42" t="n"/>
      <c r="P727" s="42" t="n">
        <v>0.26</v>
      </c>
      <c r="Q727" s="42" t="n"/>
      <c r="R727" s="42" t="n"/>
      <c r="S727" s="42" t="n"/>
      <c r="T727" s="42" t="n"/>
      <c r="U727" s="42" t="n"/>
      <c r="V727" s="53" t="inlineStr">
        <is>
          <t>Phyrexia: All Will Be One</t>
        </is>
      </c>
      <c r="W727" s="41" t="n">
        <v>0</v>
      </c>
      <c r="X727" s="37">
        <f>SUM(Y727:AE727)</f>
        <v/>
      </c>
      <c r="Y727" s="43" t="n"/>
      <c r="Z727" s="43" t="n"/>
      <c r="AA727" s="43" t="n"/>
      <c r="AB727" s="43" t="n"/>
      <c r="AC727" s="43" t="n"/>
      <c r="AD727" s="43" t="n"/>
      <c r="AE727" s="43" t="n"/>
      <c r="AF727" s="38">
        <f>IF((W727-SUM(Y727:AE727))&lt;0,0,W727-SUM(Y727:AE727))</f>
        <v/>
      </c>
      <c r="AG727" s="38">
        <f>MAX(0,$AT727-$W727-$AI727)</f>
        <v/>
      </c>
      <c r="AH727" s="38" t="n"/>
      <c r="AI727" s="38" t="n"/>
      <c r="AJ727" s="54" t="n">
        <v>0.35</v>
      </c>
      <c r="AK727" s="54">
        <f>IF(AND($AG727&gt;0,ISNUMBER($AJ727)),$AG727*$AJ727,0)</f>
        <v/>
      </c>
      <c r="AL727" s="54" t="n"/>
      <c r="AM727" s="54" t="n"/>
      <c r="AN727" s="54" t="n"/>
      <c r="AO727" s="54" t="n"/>
      <c r="AP727" s="54" t="n"/>
      <c r="AQ727" s="54" t="n"/>
      <c r="AR727" s="54" t="n"/>
      <c r="AS727" s="54" t="n"/>
      <c r="AT727" s="37">
        <f>SUM(AU727:BA727)</f>
        <v/>
      </c>
      <c r="AU727" s="92" t="n"/>
      <c r="AV727" s="38" t="n"/>
      <c r="AW727" s="38" t="n"/>
      <c r="AX727" s="38" t="n"/>
      <c r="AY727" s="38" t="n"/>
      <c r="AZ727" s="38" t="n"/>
      <c r="BA727" s="94" t="n"/>
      <c r="BB727" s="47" t="n"/>
      <c r="BC727" s="42" t="n"/>
      <c r="BD727" s="42" t="n"/>
    </row>
    <row r="728" ht="15" customHeight="1" s="148">
      <c r="A728" t="inlineStr">
        <is>
          <t>c0724</t>
        </is>
      </c>
      <c r="B728" s="47" t="inlineStr">
        <is>
          <t>Shinestriker</t>
        </is>
      </c>
      <c r="C728" s="38" t="inlineStr">
        <is>
          <t>U</t>
        </is>
      </c>
      <c r="D728" s="47" t="inlineStr">
        <is>
          <t>Creature</t>
        </is>
      </c>
      <c r="E728" s="41" t="inlineStr">
        <is>
          <t>B2</t>
        </is>
      </c>
      <c r="F728" s="38" t="n">
        <v>6</v>
      </c>
      <c r="G728" s="67" t="inlineStr">
        <is>
          <t>Flying
Vivid — When this creature enters, draw cards equal to the number of colors among permanents you control.
(3/3)</t>
        </is>
      </c>
      <c r="H728" s="53" t="inlineStr">
        <is>
          <t>Card Draw</t>
        </is>
      </c>
      <c r="I728" s="53" t="inlineStr">
        <is>
          <t>Draws a card for each color among permanents you control</t>
        </is>
      </c>
      <c r="J728" s="53" t="n"/>
      <c r="K728" s="53" t="n"/>
      <c r="L728" s="41" t="n"/>
      <c r="M728" s="41" t="n"/>
      <c r="N728" s="41" t="n"/>
      <c r="O728" s="41" t="n"/>
      <c r="P728" s="41" t="n">
        <v>0.31</v>
      </c>
      <c r="Q728" s="41" t="n"/>
      <c r="R728" s="41" t="n"/>
      <c r="S728" s="41" t="n"/>
      <c r="T728" s="41" t="n"/>
      <c r="U728" s="41" t="n"/>
      <c r="V728" s="53" t="inlineStr">
        <is>
          <t>Lorwyn Eclipsed</t>
        </is>
      </c>
      <c r="W728" s="41" t="n">
        <v>1</v>
      </c>
      <c r="X728" s="37">
        <f>SUM(Y728:AE728)</f>
        <v/>
      </c>
      <c r="Y728" s="43" t="n"/>
      <c r="Z728" s="43" t="n">
        <v>1</v>
      </c>
      <c r="AA728" s="43" t="n"/>
      <c r="AB728" s="43" t="n"/>
      <c r="AC728" s="43" t="n"/>
      <c r="AD728" s="43" t="n"/>
      <c r="AE728" s="43" t="n"/>
      <c r="AF728" s="38">
        <f>IF((W728-SUM(Y728:AE728))&lt;0,0,W728-SUM(Y728:AE728))</f>
        <v/>
      </c>
      <c r="AG728" s="38">
        <f>MAX(0,$AT728-$W728-$AI728)</f>
        <v/>
      </c>
      <c r="AH728" s="38" t="n"/>
      <c r="AI728" s="38" t="n"/>
      <c r="AJ728" s="54" t="n">
        <v>0.26</v>
      </c>
      <c r="AK728" s="54">
        <f>IF(AND($AG728&gt;0,ISNUMBER($AJ728)),$AG728*$AJ728,0)</f>
        <v/>
      </c>
      <c r="AM728" s="58" t="n"/>
      <c r="AT728" s="37">
        <f>SUM(AU728:BA728)</f>
        <v/>
      </c>
      <c r="AU728" s="73" t="n"/>
      <c r="AV728" s="99" t="n"/>
      <c r="AW728" s="33" t="n"/>
      <c r="AX728" s="33" t="n"/>
      <c r="AY728" s="33" t="n"/>
      <c r="AZ728" s="33" t="n"/>
      <c r="BA728" s="74" t="n"/>
      <c r="BB728" s="47" t="n"/>
      <c r="BC728" s="42" t="n"/>
      <c r="BD728" s="42" t="n"/>
    </row>
    <row r="729" ht="15" customHeight="1" s="148">
      <c r="A729" t="inlineStr">
        <is>
          <t>c0725</t>
        </is>
      </c>
      <c r="B729" s="47" t="inlineStr">
        <is>
          <t>Shrieking Drake</t>
        </is>
      </c>
      <c r="C729" s="38" t="inlineStr">
        <is>
          <t>U</t>
        </is>
      </c>
      <c r="D729" s="47" t="inlineStr">
        <is>
          <t>Creature</t>
        </is>
      </c>
      <c r="E729" s="41" t="inlineStr">
        <is>
          <t>B2</t>
        </is>
      </c>
      <c r="F729" s="38" t="n">
        <v>1</v>
      </c>
      <c r="G729" s="67" t="inlineStr">
        <is>
          <t>Flying
When this creature enters, return a creature you control to its owner's hand.
(1/1)</t>
        </is>
      </c>
      <c r="H729" s="53" t="inlineStr">
        <is>
          <t>Blink</t>
        </is>
      </c>
      <c r="I729" s="53" t="inlineStr">
        <is>
          <t>Flying</t>
        </is>
      </c>
      <c r="J729" s="53" t="inlineStr">
        <is>
          <t>When this creature enters, return a creature you control to its owner's hand</t>
        </is>
      </c>
      <c r="K729" s="53" t="n"/>
      <c r="L729" s="42" t="n"/>
      <c r="M729" s="42" t="n"/>
      <c r="N729" s="42" t="n"/>
      <c r="O729" s="42" t="n"/>
      <c r="P729" s="42" t="n">
        <v>0.23</v>
      </c>
      <c r="Q729" s="42" t="n"/>
      <c r="R729" s="42" t="n"/>
      <c r="S729" s="42" t="n"/>
      <c r="T729" s="42" t="n"/>
      <c r="U729" s="42" t="n"/>
      <c r="V729" s="53" t="inlineStr">
        <is>
          <t>Visions</t>
        </is>
      </c>
      <c r="W729" s="41" t="n">
        <v>1</v>
      </c>
      <c r="X729" s="37">
        <f>SUM(Y729:AE729)</f>
        <v/>
      </c>
      <c r="Y729" s="43" t="n"/>
      <c r="Z729" s="43" t="n">
        <v>1</v>
      </c>
      <c r="AA729" s="43" t="n"/>
      <c r="AB729" s="43" t="n"/>
      <c r="AC729" s="43" t="n"/>
      <c r="AD729" s="43" t="n"/>
      <c r="AE729" s="43" t="n"/>
      <c r="AF729" s="38">
        <f>IF((W729-SUM(Y729:AE729))&lt;0,0,W729-SUM(Y729:AE729))</f>
        <v/>
      </c>
      <c r="AG729" s="38">
        <f>MAX(0,$AT729-$W729-$AI729)</f>
        <v/>
      </c>
      <c r="AH729" s="38" t="n"/>
      <c r="AI729" s="38" t="n"/>
      <c r="AJ729" s="54" t="n">
        <v>0.23</v>
      </c>
      <c r="AK729" s="54">
        <f>IF(AND($AG729&gt;0,ISNUMBER($AJ729)),$AG729*$AJ729,0)</f>
        <v/>
      </c>
      <c r="AT729" s="37">
        <f>SUM(AU729:BA729)</f>
        <v/>
      </c>
      <c r="AU729" s="73" t="n"/>
      <c r="AV729" s="98" t="n">
        <v>1</v>
      </c>
      <c r="AW729" s="33" t="n"/>
      <c r="AX729" s="33" t="n"/>
      <c r="AY729" s="33" t="n"/>
      <c r="AZ729" s="33" t="n"/>
      <c r="BA729" s="74" t="n"/>
      <c r="BB729" s="47" t="n"/>
      <c r="BC729" s="42" t="n"/>
      <c r="BD729" s="42" t="n"/>
    </row>
    <row r="730" ht="15" customHeight="1" s="148">
      <c r="A730" t="inlineStr">
        <is>
          <t>c0726</t>
        </is>
      </c>
      <c r="B730" s="32" t="inlineStr">
        <is>
          <t>Silvergill Peddler</t>
        </is>
      </c>
      <c r="C730" s="33" t="inlineStr">
        <is>
          <t>U</t>
        </is>
      </c>
      <c r="D730" s="32" t="inlineStr">
        <is>
          <t>Creature</t>
        </is>
      </c>
      <c r="E730" s="33" t="inlineStr">
        <is>
          <t>B2</t>
        </is>
      </c>
      <c r="F730" s="33" t="n">
        <v>3</v>
      </c>
      <c r="G730" s="67" t="inlineStr">
        <is>
          <t>Whenever this creature becomes tapped, draw a card, then discard a card.
(2/3)</t>
        </is>
      </c>
      <c r="H730" s="32" t="inlineStr">
        <is>
          <t>Discard/Looting</t>
        </is>
      </c>
      <c r="I730" s="32" t="inlineStr">
        <is>
          <t>Whenever this creature becomes tapped, draw a card, then discard a card</t>
        </is>
      </c>
      <c r="J730" s="32" t="n"/>
      <c r="K730" s="32" t="n"/>
      <c r="L730" s="32" t="inlineStr">
        <is>
          <t>70</t>
        </is>
      </c>
      <c r="M730" s="32" t="n">
        <v>1</v>
      </c>
      <c r="N730" s="32" t="n">
        <v>0</v>
      </c>
      <c r="O730" s="63" t="n"/>
      <c r="P730" s="63" t="n">
        <v>0.15</v>
      </c>
      <c r="Q730" s="32" t="inlineStr">
        <is>
          <t>Common</t>
        </is>
      </c>
      <c r="R730" s="32" t="n"/>
      <c r="S730" s="32" t="n"/>
      <c r="T730" s="63" t="n"/>
      <c r="U730" s="63" t="n"/>
      <c r="V730" s="32" t="inlineStr">
        <is>
          <t>Lorwyn Eclipsed</t>
        </is>
      </c>
      <c r="W730" s="41" t="n">
        <v>1</v>
      </c>
      <c r="X730" s="37">
        <f>SUM(Y730:AE730)</f>
        <v/>
      </c>
      <c r="Y730" s="43" t="n"/>
      <c r="Z730" s="43" t="n"/>
      <c r="AA730" s="43" t="n"/>
      <c r="AB730" s="43" t="n"/>
      <c r="AC730" s="43" t="n"/>
      <c r="AD730" s="43" t="n"/>
      <c r="AE730" s="43" t="n"/>
      <c r="AF730" s="38">
        <f>IF((W730-SUM(Y730:AE730))&lt;0,0,W730-SUM(Y730:AE730))</f>
        <v/>
      </c>
      <c r="AG730" s="38">
        <f>MAX(0,$AT730-$W730-$AI730)</f>
        <v/>
      </c>
      <c r="AH730" s="32" t="n"/>
      <c r="AI730" s="32" t="n"/>
      <c r="AJ730" s="61" t="n">
        <v>0.15</v>
      </c>
      <c r="AK730" s="54">
        <f>IF(AND($AG730&gt;0,ISNUMBER($AJ730)),$AG730*$AJ730,0)</f>
        <v/>
      </c>
      <c r="AT730" s="37">
        <f>SUM(AU730:BA730)</f>
        <v/>
      </c>
      <c r="AU730" s="73" t="n"/>
      <c r="AV730" s="33" t="n"/>
      <c r="AW730" s="33" t="n"/>
      <c r="AX730" s="33" t="n"/>
      <c r="AY730" s="33" t="n"/>
      <c r="AZ730" s="33" t="n"/>
      <c r="BA730" s="74" t="n"/>
      <c r="BB730" s="32" t="n"/>
      <c r="BC730" s="32" t="n"/>
      <c r="BD730" s="32" t="n"/>
    </row>
    <row r="731" ht="15" customHeight="1" s="148">
      <c r="A731" t="inlineStr">
        <is>
          <t>c0727</t>
        </is>
      </c>
      <c r="B731" s="47" t="inlineStr">
        <is>
          <t>Siren's Ruse</t>
        </is>
      </c>
      <c r="C731" s="38" t="inlineStr">
        <is>
          <t>U</t>
        </is>
      </c>
      <c r="D731" s="47" t="inlineStr">
        <is>
          <t>Instant</t>
        </is>
      </c>
      <c r="E731" s="41" t="inlineStr">
        <is>
          <t>B2</t>
        </is>
      </c>
      <c r="F731" s="38" t="n">
        <v>2</v>
      </c>
      <c r="G731" s="67" t="inlineStr">
        <is>
          <t>Exile target creature you control, then return that card to the battlefield under its owner's control. If a Pirate was exiled this way, draw a card.</t>
        </is>
      </c>
      <c r="H731" s="53" t="inlineStr">
        <is>
          <t>Blink</t>
        </is>
      </c>
      <c r="I731" s="53" t="inlineStr">
        <is>
          <t>Exiles then returns target creature you control</t>
        </is>
      </c>
      <c r="J731" s="53" t="inlineStr">
        <is>
          <t>Draw a card if the exiled creature was a Pirate</t>
        </is>
      </c>
      <c r="K731" s="53" t="n"/>
      <c r="L731" s="41" t="n"/>
      <c r="M731" s="41" t="n"/>
      <c r="N731" s="41" t="n"/>
      <c r="O731" s="41" t="n"/>
      <c r="P731" s="41" t="n">
        <v>0.24</v>
      </c>
      <c r="Q731" s="41" t="n"/>
      <c r="R731" s="41" t="n"/>
      <c r="S731" s="41" t="n"/>
      <c r="T731" s="41" t="n"/>
      <c r="U731" s="41" t="n"/>
      <c r="V731" s="53" t="inlineStr">
        <is>
          <t>Ixalan</t>
        </is>
      </c>
      <c r="W731" s="41" t="n">
        <v>1</v>
      </c>
      <c r="X731" s="37">
        <f>SUM(Y731:AE731)</f>
        <v/>
      </c>
      <c r="Y731" s="43" t="n"/>
      <c r="Z731" s="43" t="n">
        <v>1</v>
      </c>
      <c r="AA731" s="43" t="n"/>
      <c r="AB731" s="43" t="n"/>
      <c r="AC731" s="43" t="n"/>
      <c r="AD731" s="43" t="n"/>
      <c r="AE731" s="43" t="n"/>
      <c r="AF731" s="38">
        <f>IF((W731-SUM(Y731:AE731))&lt;0,0,W731-SUM(Y731:AE731))</f>
        <v/>
      </c>
      <c r="AG731" s="38">
        <f>MAX(0,$AT731-$W731-$AI731)</f>
        <v/>
      </c>
      <c r="AH731" s="38" t="n"/>
      <c r="AI731" s="38" t="n"/>
      <c r="AJ731" s="54" t="n">
        <v>0.23</v>
      </c>
      <c r="AK731" s="54">
        <f>IF(AND($AG731&gt;0,ISNUMBER($AJ731)),$AG731*$AJ731,0)</f>
        <v/>
      </c>
      <c r="AT731" s="37">
        <f>SUM(AU731:BA731)</f>
        <v/>
      </c>
      <c r="AU731" s="73" t="n"/>
      <c r="AV731" s="98" t="n">
        <v>1</v>
      </c>
      <c r="AW731" s="33" t="n"/>
      <c r="AX731" s="33" t="n"/>
      <c r="AY731" s="33" t="n"/>
      <c r="AZ731" s="33" t="n"/>
      <c r="BA731" s="74" t="n"/>
      <c r="BB731" s="47" t="n"/>
      <c r="BC731" s="42" t="n"/>
      <c r="BD731" s="42" t="n"/>
    </row>
    <row r="732" ht="15" customHeight="1" s="148">
      <c r="A732" t="inlineStr">
        <is>
          <t>c0728</t>
        </is>
      </c>
      <c r="B732" s="32" t="inlineStr">
        <is>
          <t>Spellbook Seeker // Careful Study</t>
        </is>
      </c>
      <c r="C732" s="33" t="inlineStr">
        <is>
          <t>U</t>
        </is>
      </c>
      <c r="D732" s="32" t="inlineStr">
        <is>
          <t>Creature</t>
        </is>
      </c>
      <c r="E732" s="33" t="inlineStr">
        <is>
          <t>B2</t>
        </is>
      </c>
      <c r="F732" s="32" t="n">
        <v>4</v>
      </c>
      <c r="G732" s="67" t="inlineStr">
        <is>
          <t>Spellbook Seeker {3}{U} — Creature — Bird Wizard (3/3)
Flying
This creature enters prepared. (While it's prepared, you may cast a copy of its spell. Doing so unprepares it.)
//
Careful Study {U} — Sorcery
Draw two cards, then discard two cards.</t>
        </is>
      </c>
      <c r="H732" s="32" t="inlineStr">
        <is>
          <t>Discard/Looting</t>
        </is>
      </c>
      <c r="I732" s="32" t="inlineStr">
        <is>
          <t>Enters prepared — you may cast a copy of Careful Study to draw two cards, then discard two</t>
        </is>
      </c>
      <c r="J732" s="32" t="inlineStr">
        <is>
          <t>3/3 flying body</t>
        </is>
      </c>
      <c r="K732" s="32" t="n"/>
      <c r="L732" s="32" t="inlineStr">
        <is>
          <t>68</t>
        </is>
      </c>
      <c r="M732" s="32" t="n">
        <v>1</v>
      </c>
      <c r="N732" s="32" t="n">
        <v>0</v>
      </c>
      <c r="O732" s="63" t="inlineStr">
        <is>
          <t>Scott Murphy</t>
        </is>
      </c>
      <c r="P732" s="63" t="n">
        <v>0.11</v>
      </c>
      <c r="Q732" s="32" t="inlineStr">
        <is>
          <t>Common</t>
        </is>
      </c>
      <c r="R732" s="32" t="n"/>
      <c r="S732" s="32" t="n"/>
      <c r="T732" s="63" t="n"/>
      <c r="U732" s="63" t="n"/>
      <c r="V732" s="32" t="inlineStr">
        <is>
          <t>Secrets of Strixhaven</t>
        </is>
      </c>
      <c r="W732" s="41" t="n">
        <v>1</v>
      </c>
      <c r="X732" s="37">
        <f>SUM(Y732:AE732)</f>
        <v/>
      </c>
      <c r="Y732" s="43" t="n"/>
      <c r="Z732" s="43" t="n"/>
      <c r="AA732" s="43" t="n"/>
      <c r="AB732" s="43" t="n"/>
      <c r="AC732" s="43" t="n"/>
      <c r="AD732" s="43" t="n"/>
      <c r="AE732" s="43" t="n"/>
      <c r="AF732" s="38">
        <f>IF((W732-SUM(Y732:AE732))&lt;0,0,W732-SUM(Y732:AE732))</f>
        <v/>
      </c>
      <c r="AG732" s="38">
        <f>MAX(0,$AT732-$W732-$AI732)</f>
        <v/>
      </c>
      <c r="AH732" s="32" t="n"/>
      <c r="AI732" s="32" t="n"/>
      <c r="AJ732" s="32" t="n">
        <v>0.11</v>
      </c>
      <c r="AK732" s="54">
        <f>IF(AND($AG732&gt;0,ISNUMBER($AJ732)),$AG732*$AJ732,0)</f>
        <v/>
      </c>
      <c r="AT732" s="37">
        <f>SUM(AU732:BA732)</f>
        <v/>
      </c>
      <c r="AU732" s="73" t="n"/>
      <c r="AV732" s="33" t="n"/>
      <c r="AW732" s="33" t="n"/>
      <c r="AX732" s="33" t="n"/>
      <c r="AY732" s="33" t="n"/>
      <c r="AZ732" s="33" t="n"/>
      <c r="BA732" s="74" t="n"/>
      <c r="BB732" s="32" t="n"/>
      <c r="BC732" s="32" t="n"/>
      <c r="BD732" s="32" t="n"/>
    </row>
    <row r="733" ht="15" customHeight="1" s="148">
      <c r="A733" t="inlineStr">
        <is>
          <t>c0729</t>
        </is>
      </c>
      <c r="B733" s="47" t="inlineStr">
        <is>
          <t>Steady Progress</t>
        </is>
      </c>
      <c r="C733" s="38" t="inlineStr">
        <is>
          <t>U</t>
        </is>
      </c>
      <c r="D733" s="47" t="inlineStr">
        <is>
          <t>Instant</t>
        </is>
      </c>
      <c r="E733" s="41" t="inlineStr">
        <is>
          <t>B2</t>
        </is>
      </c>
      <c r="F733" s="38" t="n">
        <v>3</v>
      </c>
      <c r="G733" s="67" t="inlineStr">
        <is>
          <t>Proliferate. (Choose any number of permanents and/or players, then give each another counter of each kind already there.)
Draw a card.</t>
        </is>
      </c>
      <c r="H733" s="53" t="inlineStr">
        <is>
          <t>Proliferate</t>
        </is>
      </c>
      <c r="I733" s="53" t="inlineStr">
        <is>
          <t>Proliferate, then draw a card</t>
        </is>
      </c>
      <c r="J733" s="53" t="n"/>
      <c r="K733" s="53" t="n"/>
      <c r="L733" s="42" t="n"/>
      <c r="M733" s="42" t="n"/>
      <c r="N733" s="42" t="n"/>
      <c r="O733" s="63" t="n"/>
      <c r="P733" s="63" t="n">
        <v>0.3</v>
      </c>
      <c r="Q733" s="42" t="n"/>
      <c r="R733" s="42" t="n"/>
      <c r="S733" s="42" t="n"/>
      <c r="T733" s="63" t="n"/>
      <c r="U733" s="63" t="n"/>
      <c r="V733" s="53" t="inlineStr">
        <is>
          <t>Scars of Mirrodin</t>
        </is>
      </c>
      <c r="W733" s="41" t="n">
        <v>2</v>
      </c>
      <c r="X733" s="37">
        <f>SUM(Y733:AE733)</f>
        <v/>
      </c>
      <c r="Y733" s="43" t="n"/>
      <c r="Z733" s="43" t="n"/>
      <c r="AA733" s="43" t="n">
        <v>1</v>
      </c>
      <c r="AB733" s="43" t="n"/>
      <c r="AC733" s="43" t="n"/>
      <c r="AD733" s="43" t="n"/>
      <c r="AE733" s="43" t="n"/>
      <c r="AF733" s="38">
        <f>IF((W733-SUM(Y733:AE733))&lt;0,0,W733-SUM(Y733:AE733))</f>
        <v/>
      </c>
      <c r="AG733" s="38">
        <f>MAX(0,$AT733-$W733-$AI733)</f>
        <v/>
      </c>
      <c r="AH733" s="38" t="n"/>
      <c r="AI733" s="38" t="n"/>
      <c r="AJ733" s="54" t="n">
        <v>0.29</v>
      </c>
      <c r="AK733" s="54">
        <f>IF(AND($AG733&gt;0,ISNUMBER($AJ733)),$AG733*$AJ733,0)</f>
        <v/>
      </c>
      <c r="AT733" s="37">
        <f>SUM(AU733:BA733)</f>
        <v/>
      </c>
      <c r="AU733" s="73" t="n"/>
      <c r="AV733" s="33" t="n"/>
      <c r="AW733" s="98" t="n">
        <v>1</v>
      </c>
      <c r="AX733" s="33" t="n"/>
      <c r="AY733" s="33" t="n"/>
      <c r="AZ733" s="33" t="n"/>
      <c r="BA733" s="74" t="n"/>
      <c r="BB733" s="47" t="n"/>
      <c r="BC733" s="42" t="n"/>
      <c r="BD733" s="42" t="n"/>
    </row>
    <row r="734" ht="15" customHeight="1" s="148">
      <c r="A734" t="inlineStr">
        <is>
          <t>c0730</t>
        </is>
      </c>
      <c r="B734" s="47" t="inlineStr">
        <is>
          <t>Stratosoarer</t>
        </is>
      </c>
      <c r="C734" s="38" t="inlineStr">
        <is>
          <t>U</t>
        </is>
      </c>
      <c r="D734" s="47" t="inlineStr">
        <is>
          <t>Creature</t>
        </is>
      </c>
      <c r="E734" s="41" t="inlineStr">
        <is>
          <t>B2</t>
        </is>
      </c>
      <c r="F734" s="38" t="n">
        <v>5</v>
      </c>
      <c r="G734" s="67" t="inlineStr">
        <is>
          <t>Flying
When this creature enters, target creature gains flying until end of turn.
Basic landcycling {1}{U} ({1}{U}, Discard this card: Search your library for a basic land card, reveal it, put it into your hand, then shuffle.)
(3/5)</t>
        </is>
      </c>
      <c r="H734" s="53" t="inlineStr">
        <is>
          <t>Flexible Fixing</t>
        </is>
      </c>
      <c r="I734" s="53" t="inlineStr">
        <is>
          <t>Gives target creature flying until end of turn when it enters</t>
        </is>
      </c>
      <c r="J734" s="53" t="inlineStr">
        <is>
          <t>Basic landcycling: discard for {1}{U} to fetch a basic land</t>
        </is>
      </c>
      <c r="K734" s="53" t="n"/>
      <c r="L734" s="42" t="inlineStr">
        <is>
          <t>72</t>
        </is>
      </c>
      <c r="M734" s="42" t="n">
        <v>1</v>
      </c>
      <c r="N734" s="42" t="n">
        <v>0</v>
      </c>
      <c r="O734" s="63" t="inlineStr">
        <is>
          <t>John Tedrick</t>
        </is>
      </c>
      <c r="P734" s="63" t="n">
        <v>0.08</v>
      </c>
      <c r="Q734" s="42" t="inlineStr">
        <is>
          <t>Common</t>
        </is>
      </c>
      <c r="R734" s="42" t="n"/>
      <c r="S734" s="42" t="n"/>
      <c r="T734" s="63" t="n"/>
      <c r="U734" s="63" t="n"/>
      <c r="V734" s="53" t="inlineStr">
        <is>
          <t>Lorwyn Eclipsed</t>
        </is>
      </c>
      <c r="W734" s="41" t="n">
        <v>2</v>
      </c>
      <c r="X734" s="37">
        <f>SUM(Y734:AE734)</f>
        <v/>
      </c>
      <c r="Y734" s="43" t="n"/>
      <c r="Z734" s="43" t="n"/>
      <c r="AA734" s="43" t="n"/>
      <c r="AB734" s="43" t="n"/>
      <c r="AC734" s="43" t="n"/>
      <c r="AD734" s="43" t="n"/>
      <c r="AE734" s="43" t="n">
        <v>1</v>
      </c>
      <c r="AF734" s="38">
        <f>IF((W734-SUM(Y734:AE734))&lt;0,0,W734-SUM(Y734:AE734))</f>
        <v/>
      </c>
      <c r="AG734" s="38">
        <f>MAX(0,$AT734-$W734-$AI734)</f>
        <v/>
      </c>
      <c r="AH734" s="38" t="n"/>
      <c r="AI734" s="38" t="n"/>
      <c r="AJ734" s="54" t="n">
        <v>0.09</v>
      </c>
      <c r="AK734" s="54">
        <f>IF(AND($AG734&gt;0,ISNUMBER($AJ734)),$AG734*$AJ734,0)</f>
        <v/>
      </c>
      <c r="AM734" s="58" t="n"/>
      <c r="AT734" s="37">
        <f>SUM(AU734:BA734)</f>
        <v/>
      </c>
      <c r="AU734" s="73" t="n"/>
      <c r="AV734" s="33" t="n"/>
      <c r="AW734" s="33" t="n"/>
      <c r="AX734" s="33" t="n"/>
      <c r="AY734" s="33" t="n"/>
      <c r="AZ734" s="33" t="n"/>
      <c r="BA734" s="79" t="n"/>
      <c r="BB734" s="47" t="n"/>
      <c r="BC734" s="42" t="n"/>
      <c r="BD734" s="42" t="n"/>
    </row>
    <row r="735" ht="15" customHeight="1" s="148">
      <c r="A735" t="inlineStr">
        <is>
          <t>c0731</t>
        </is>
      </c>
      <c r="B735" s="42" t="inlineStr">
        <is>
          <t>Summit Sentinel</t>
        </is>
      </c>
      <c r="C735" s="41" t="inlineStr">
        <is>
          <t>U</t>
        </is>
      </c>
      <c r="D735" s="42" t="inlineStr">
        <is>
          <t>Creature</t>
        </is>
      </c>
      <c r="E735" s="41" t="inlineStr">
        <is>
          <t>B2</t>
        </is>
      </c>
      <c r="F735" s="41" t="n">
        <v>2</v>
      </c>
      <c r="G735" s="67" t="inlineStr">
        <is>
          <t>When this creature dies, draw a card.
(1/3)</t>
        </is>
      </c>
      <c r="H735" s="42" t="inlineStr">
        <is>
          <t>Card Draw</t>
        </is>
      </c>
      <c r="I735" s="42" t="inlineStr">
        <is>
          <t>When it dies, draw a card</t>
        </is>
      </c>
      <c r="J735" s="42" t="n"/>
      <c r="K735" s="42" t="n"/>
      <c r="L735" s="42" t="n"/>
      <c r="M735" s="42" t="n"/>
      <c r="N735" s="42" t="n"/>
      <c r="O735" s="63" t="n"/>
      <c r="P735" s="63" t="n"/>
      <c r="Q735" s="42" t="n"/>
      <c r="R735" s="42" t="n"/>
      <c r="S735" s="42" t="n"/>
      <c r="T735" s="63" t="n"/>
      <c r="U735" s="63" t="n"/>
      <c r="V735" s="42" t="inlineStr">
        <is>
          <t>Lorwyn Eclipsed</t>
        </is>
      </c>
      <c r="W735" s="41" t="n">
        <v>1</v>
      </c>
      <c r="X735" s="37">
        <f>SUM(Y735:AE735)</f>
        <v/>
      </c>
      <c r="Y735" s="43" t="n"/>
      <c r="Z735" s="43" t="n"/>
      <c r="AA735" s="43" t="n"/>
      <c r="AB735" s="43" t="n"/>
      <c r="AC735" s="43" t="n"/>
      <c r="AD735" s="43" t="n"/>
      <c r="AE735" s="43" t="n">
        <v>1</v>
      </c>
      <c r="AF735" s="38">
        <f>IF((W735-SUM(Y735:AE735))&lt;0,0,W735-SUM(Y735:AE735))</f>
        <v/>
      </c>
      <c r="AG735" s="38">
        <f>MAX(0,$AT735-$W735-$AI735)</f>
        <v/>
      </c>
      <c r="AH735" s="42" t="n"/>
      <c r="AI735" s="42" t="n"/>
      <c r="AJ735" s="42" t="n">
        <v>0.07000000000000001</v>
      </c>
      <c r="AK735" s="42">
        <f>IF(AND($AG735&gt;0,ISNUMBER($AJ735)),$AG735*$AJ735,0)</f>
        <v/>
      </c>
      <c r="AR735" s="58" t="n"/>
      <c r="AT735" s="37">
        <f>SUM(AU735:BA735)</f>
        <v/>
      </c>
      <c r="AU735" s="73" t="n"/>
      <c r="AV735" s="33" t="n"/>
      <c r="AW735" s="33" t="n"/>
      <c r="AX735" s="33" t="n"/>
      <c r="AY735" s="33" t="n"/>
      <c r="AZ735" s="33" t="n"/>
      <c r="BA735" s="79" t="n"/>
      <c r="BB735" s="42" t="n"/>
      <c r="BC735" s="42" t="n"/>
      <c r="BD735" s="42" t="n"/>
    </row>
    <row r="736" ht="15" customHeight="1" s="148">
      <c r="A736" t="inlineStr">
        <is>
          <t>c0732</t>
        </is>
      </c>
      <c r="B736" s="47" t="inlineStr">
        <is>
          <t>Tekuthal, Inquiry Dominus</t>
        </is>
      </c>
      <c r="C736" s="38" t="inlineStr">
        <is>
          <t>U</t>
        </is>
      </c>
      <c r="D736" s="47" t="inlineStr">
        <is>
          <t>Legendary Creature</t>
        </is>
      </c>
      <c r="E736" s="41" t="inlineStr">
        <is>
          <t>B2</t>
        </is>
      </c>
      <c r="F736" s="38" t="n">
        <v>4</v>
      </c>
      <c r="G736" s="67" t="inlineStr">
        <is>
          <t>Flying
If you would proliferate, proliferate twice instead.
{1}{U/P}{U/P}, Remove three counters from among other artifacts, creatures, and planeswalkers you control: Put an indestructible counter on Tekuthal. ({U/P} can be paid with either {U} or 2 life.)
(3/5)</t>
        </is>
      </c>
      <c r="H736" s="53" t="inlineStr">
        <is>
          <t>Proliferate</t>
        </is>
      </c>
      <c r="I736" s="53" t="inlineStr">
        <is>
          <t>Doubles your proliferate triggers into two proliferates</t>
        </is>
      </c>
      <c r="J736" s="53" t="inlineStr">
        <is>
          <t>Remove three counters from your permanents to add an indestructible counter to itself</t>
        </is>
      </c>
      <c r="K736" s="53" t="inlineStr">
        <is>
          <t>Flying body</t>
        </is>
      </c>
      <c r="L736" s="42" t="n"/>
      <c r="M736" s="42" t="n"/>
      <c r="N736" s="42" t="n"/>
      <c r="O736" s="42" t="n"/>
      <c r="P736" s="42" t="n">
        <v>1.23</v>
      </c>
      <c r="Q736" s="42" t="n"/>
      <c r="R736" s="42" t="n"/>
      <c r="S736" s="42" t="n"/>
      <c r="T736" s="42" t="n"/>
      <c r="U736" s="42" t="n"/>
      <c r="V736" s="53" t="inlineStr">
        <is>
          <t>Phyrexia: All Will Be One</t>
        </is>
      </c>
      <c r="W736" s="41" t="n">
        <v>1</v>
      </c>
      <c r="X736" s="37">
        <f>SUM(Y736:AE736)</f>
        <v/>
      </c>
      <c r="Y736" s="43" t="n"/>
      <c r="Z736" s="43" t="n"/>
      <c r="AA736" s="43" t="n">
        <v>1</v>
      </c>
      <c r="AB736" s="43" t="n"/>
      <c r="AC736" s="43" t="n"/>
      <c r="AD736" s="43" t="n"/>
      <c r="AE736" s="43" t="n"/>
      <c r="AF736" s="38">
        <f>IF((W736-SUM(Y736:AE736))&lt;0,0,W736-SUM(Y736:AE736))</f>
        <v/>
      </c>
      <c r="AG736" s="38">
        <f>MAX(0,$AT736-$W736-$AI736)</f>
        <v/>
      </c>
      <c r="AH736" s="38" t="n"/>
      <c r="AI736" s="38" t="n"/>
      <c r="AJ736" s="54" t="n">
        <v>1.47</v>
      </c>
      <c r="AK736" s="54">
        <f>IF(AND($AG736&gt;0,ISNUMBER($AJ736)),$AG736*$AJ736,0)</f>
        <v/>
      </c>
      <c r="AT736" s="37">
        <f>SUM(AU736:BA736)</f>
        <v/>
      </c>
      <c r="AU736" s="73" t="n"/>
      <c r="AV736" s="33" t="n"/>
      <c r="AW736" s="98" t="n">
        <v>1</v>
      </c>
      <c r="AX736" s="33" t="n"/>
      <c r="AY736" s="33" t="n"/>
      <c r="AZ736" s="33" t="n"/>
      <c r="BA736" s="74" t="n"/>
      <c r="BB736" s="47" t="n"/>
      <c r="BC736" s="42" t="n"/>
      <c r="BD736" s="42" t="n"/>
    </row>
    <row r="737" ht="15" customHeight="1" s="148">
      <c r="A737" t="inlineStr">
        <is>
          <t>c0733</t>
        </is>
      </c>
      <c r="B737" s="47" t="inlineStr">
        <is>
          <t>Temporal Cleansing</t>
        </is>
      </c>
      <c r="C737" s="38" t="inlineStr">
        <is>
          <t>U</t>
        </is>
      </c>
      <c r="D737" s="47" t="inlineStr">
        <is>
          <t>Sorcery</t>
        </is>
      </c>
      <c r="E737" s="41" t="inlineStr">
        <is>
          <t>B2</t>
        </is>
      </c>
      <c r="F737" s="38" t="n">
        <v>4</v>
      </c>
      <c r="G737" s="67" t="inlineStr">
        <is>
          <t>Convoke (Your creatures can help cast this spell. Each creature you tap while casting this spell pays for {1} or one mana of that creature's color.)
The owner of target nonland permanent puts it into their library second from the top or on the bottom.</t>
        </is>
      </c>
      <c r="H737" s="53" t="inlineStr">
        <is>
          <t>Removal</t>
        </is>
      </c>
      <c r="I737" s="53" t="inlineStr">
        <is>
          <t>Puts target nonland permanent into its owner's library second from top or on bottom</t>
        </is>
      </c>
      <c r="J737" s="53" t="inlineStr">
        <is>
          <t>Your creatures can tap to help pay its cost</t>
        </is>
      </c>
      <c r="K737" s="53" t="n"/>
      <c r="L737" s="42" t="inlineStr">
        <is>
          <t>78</t>
        </is>
      </c>
      <c r="M737" s="42" t="n">
        <v>1</v>
      </c>
      <c r="N737" s="42" t="n">
        <v>0</v>
      </c>
      <c r="O737" s="63" t="n"/>
      <c r="P737" s="63" t="n">
        <v>0.16</v>
      </c>
      <c r="Q737" s="42" t="inlineStr">
        <is>
          <t>Common</t>
        </is>
      </c>
      <c r="R737" s="42" t="n"/>
      <c r="S737" s="42" t="n"/>
      <c r="T737" s="63" t="n"/>
      <c r="U737" s="63" t="n"/>
      <c r="V737" s="53" t="inlineStr">
        <is>
          <t>Lorwyn Eclipsed</t>
        </is>
      </c>
      <c r="W737" s="41" t="n">
        <v>2</v>
      </c>
      <c r="X737" s="37">
        <f>SUM(Y737:AE737)</f>
        <v/>
      </c>
      <c r="Y737" s="43" t="n"/>
      <c r="Z737" s="43" t="n"/>
      <c r="AA737" s="43" t="n"/>
      <c r="AB737" s="43" t="n"/>
      <c r="AC737" s="43" t="n"/>
      <c r="AD737" s="43" t="n"/>
      <c r="AE737" s="43" t="n"/>
      <c r="AF737" s="38">
        <f>IF((W737-SUM(Y737:AE737))&lt;0,0,W737-SUM(Y737:AE737))</f>
        <v/>
      </c>
      <c r="AG737" s="38">
        <f>MAX(0,$AT737-$W737-$AI737)</f>
        <v/>
      </c>
      <c r="AH737" s="38" t="n"/>
      <c r="AI737" s="38" t="n"/>
      <c r="AJ737" s="54" t="n">
        <v>0.15</v>
      </c>
      <c r="AK737" s="54">
        <f>IF(AND($AG737&gt;0,ISNUMBER($AJ737)),$AG737*$AJ737,0)</f>
        <v/>
      </c>
      <c r="AR737" s="58" t="n"/>
      <c r="AT737" s="37">
        <f>SUM(AU737:BA737)</f>
        <v/>
      </c>
      <c r="AU737" s="73" t="n"/>
      <c r="AV737" s="33" t="n"/>
      <c r="AW737" s="33" t="n"/>
      <c r="AX737" s="33" t="n"/>
      <c r="AY737" s="33" t="n"/>
      <c r="AZ737" s="33" t="n"/>
      <c r="BA737" s="74" t="n"/>
      <c r="BB737" s="47" t="n"/>
      <c r="BC737" s="42" t="n"/>
      <c r="BD737" s="42" t="n"/>
    </row>
    <row r="738" ht="15" customHeight="1" s="148">
      <c r="A738" t="inlineStr">
        <is>
          <t>c0734</t>
        </is>
      </c>
      <c r="B738" s="47" t="inlineStr">
        <is>
          <t>Tezzeret's Gambit</t>
        </is>
      </c>
      <c r="C738" s="38" t="inlineStr">
        <is>
          <t>U</t>
        </is>
      </c>
      <c r="D738" s="47" t="inlineStr">
        <is>
          <t>Sorcery</t>
        </is>
      </c>
      <c r="E738" s="41" t="inlineStr">
        <is>
          <t>B2</t>
        </is>
      </c>
      <c r="F738" s="38" t="n">
        <v>4</v>
      </c>
      <c r="G738" s="67" t="inlineStr">
        <is>
          <t>({U/P} can be paid with either {U} or 2 life.)
Draw two cards, then proliferate. (Choose any number of permanents and/or players, then give each another counter of each kind already there.)</t>
        </is>
      </c>
      <c r="H738" s="53" t="inlineStr">
        <is>
          <t>Proliferate</t>
        </is>
      </c>
      <c r="I738" s="53" t="inlineStr">
        <is>
          <t>Draw two cards, then proliferate</t>
        </is>
      </c>
      <c r="J738" s="53" t="inlineStr">
        <is>
          <t>Can pay 2 life instead of {U}</t>
        </is>
      </c>
      <c r="K738" s="53" t="n"/>
      <c r="L738" s="42" t="n"/>
      <c r="M738" s="42" t="n"/>
      <c r="N738" s="42" t="n"/>
      <c r="O738" s="42" t="n"/>
      <c r="P738" s="42" t="n">
        <v>0.27</v>
      </c>
      <c r="Q738" s="42" t="n"/>
      <c r="R738" s="42" t="n"/>
      <c r="S738" s="42" t="n"/>
      <c r="T738" s="42" t="n"/>
      <c r="U738" s="42" t="n"/>
      <c r="V738" s="53" t="inlineStr">
        <is>
          <t>New Phyrexia</t>
        </is>
      </c>
      <c r="W738" s="41" t="n">
        <v>1</v>
      </c>
      <c r="X738" s="37">
        <f>SUM(Y738:AE738)</f>
        <v/>
      </c>
      <c r="Y738" s="43" t="n"/>
      <c r="Z738" s="43" t="n"/>
      <c r="AA738" s="43" t="n">
        <v>1</v>
      </c>
      <c r="AB738" s="43" t="n"/>
      <c r="AC738" s="43" t="n"/>
      <c r="AD738" s="43" t="n"/>
      <c r="AE738" s="43" t="n"/>
      <c r="AF738" s="38">
        <f>IF((W738-SUM(Y738:AE738))&lt;0,0,W738-SUM(Y738:AE738))</f>
        <v/>
      </c>
      <c r="AG738" s="38">
        <f>MAX(0,$AT738-$W738-$AI738)</f>
        <v/>
      </c>
      <c r="AH738" s="38" t="n"/>
      <c r="AI738" s="38" t="n"/>
      <c r="AJ738" s="54" t="n">
        <v>0.27</v>
      </c>
      <c r="AK738" s="54">
        <f>IF(AND($AG738&gt;0,ISNUMBER($AJ738)),$AG738*$AJ738,0)</f>
        <v/>
      </c>
      <c r="AN738" s="58" t="n"/>
      <c r="AT738" s="37">
        <f>SUM(AU738:BA738)</f>
        <v/>
      </c>
      <c r="AU738" s="73" t="n"/>
      <c r="AV738" s="33" t="n"/>
      <c r="AW738" s="98" t="n">
        <v>1</v>
      </c>
      <c r="AX738" s="33" t="n"/>
      <c r="AY738" s="33" t="n"/>
      <c r="AZ738" s="33" t="n"/>
      <c r="BA738" s="74" t="n"/>
      <c r="BB738" s="47" t="n"/>
      <c r="BC738" s="42" t="n"/>
      <c r="BD738" s="42" t="n"/>
    </row>
    <row r="739" ht="15" customHeight="1" s="148">
      <c r="A739" t="inlineStr">
        <is>
          <t>c0735</t>
        </is>
      </c>
      <c r="B739" s="47" t="inlineStr">
        <is>
          <t>Thranduil's Decree</t>
        </is>
      </c>
      <c r="C739" s="41" t="inlineStr">
        <is>
          <t>U</t>
        </is>
      </c>
      <c r="D739" s="42" t="inlineStr">
        <is>
          <t>Instant</t>
        </is>
      </c>
      <c r="E739" s="41" t="inlineStr">
        <is>
          <t>B2</t>
        </is>
      </c>
      <c r="F739" s="41" t="n">
        <v>6</v>
      </c>
      <c r="G739" s="67" t="inlineStr">
        <is>
          <t>Counter target spell. If a permanent spell is countered this way, exile it instead of putting it into its owner's graveyard. You may cast that card without paying its mana cost for as long as it remains exiled.</t>
        </is>
      </c>
      <c r="H739" s="42" t="inlineStr">
        <is>
          <t>Interaction</t>
        </is>
      </c>
      <c r="I739" s="42" t="inlineStr">
        <is>
          <t>Counter target spell</t>
        </is>
      </c>
      <c r="J739" s="42" t="inlineStr">
        <is>
          <t>If a permanent spell is countered this way, exile it instead and you may cast it without paying its mana cost while it remains exiled</t>
        </is>
      </c>
      <c r="K739" s="42" t="n"/>
      <c r="L739" s="42" t="n"/>
      <c r="M739" s="42" t="n"/>
      <c r="N739" s="42" t="n"/>
      <c r="O739" s="63" t="n"/>
      <c r="P739" s="63" t="n"/>
      <c r="Q739" s="42" t="n"/>
      <c r="R739" s="42" t="n"/>
      <c r="S739" s="42" t="n"/>
      <c r="T739" s="63" t="n"/>
      <c r="U739" s="63" t="n"/>
      <c r="V739" s="42" t="inlineStr">
        <is>
          <t>The Hobbit</t>
        </is>
      </c>
      <c r="W739" s="41" t="n">
        <v>1</v>
      </c>
      <c r="X739" s="37">
        <f>SUM(Y739:AE739)</f>
        <v/>
      </c>
      <c r="Y739" s="43" t="n"/>
      <c r="Z739" s="43" t="n"/>
      <c r="AA739" s="43" t="n"/>
      <c r="AB739" s="43" t="n"/>
      <c r="AC739" s="43" t="n"/>
      <c r="AD739" s="43" t="n"/>
      <c r="AE739" s="43" t="n"/>
      <c r="AF739" s="38">
        <f>IF((W739-SUM(Y739:AE739))&lt;0,0,W739-SUM(Y739:AE739))</f>
        <v/>
      </c>
      <c r="AG739" s="38">
        <f>MAX(0,$AT739-$W739-$AI739)</f>
        <v/>
      </c>
      <c r="AH739" s="42" t="n"/>
      <c r="AI739" s="42" t="n"/>
      <c r="AJ739" s="42" t="n">
        <v>0.22</v>
      </c>
      <c r="AK739" s="42">
        <f>IF(AND($AG739&gt;0,ISNUMBER($AJ739)),$AG739*$AJ739,0)</f>
        <v/>
      </c>
      <c r="AR739" s="58" t="n"/>
      <c r="AT739" s="37">
        <f>SUM(AU739:BA739)</f>
        <v/>
      </c>
      <c r="AU739" s="73" t="n"/>
      <c r="AV739" s="33" t="n"/>
      <c r="AW739" s="33" t="n"/>
      <c r="AX739" s="33" t="n"/>
      <c r="AY739" s="33" t="n"/>
      <c r="AZ739" s="33" t="n"/>
      <c r="BA739" s="74" t="n"/>
      <c r="BB739" s="42" t="n"/>
      <c r="BC739" s="42" t="n"/>
      <c r="BD739" s="42" t="n"/>
    </row>
    <row r="740" ht="15" customHeight="1" s="148">
      <c r="A740" t="inlineStr">
        <is>
          <t>c0736</t>
        </is>
      </c>
      <c r="B740" s="47" t="inlineStr">
        <is>
          <t>Thrummingbird</t>
        </is>
      </c>
      <c r="C740" s="38" t="inlineStr">
        <is>
          <t>U</t>
        </is>
      </c>
      <c r="D740" s="47" t="inlineStr">
        <is>
          <t>Creature</t>
        </is>
      </c>
      <c r="E740" s="41" t="inlineStr">
        <is>
          <t>B2</t>
        </is>
      </c>
      <c r="F740" s="38" t="n">
        <v>2</v>
      </c>
      <c r="G740" s="67" t="inlineStr">
        <is>
          <t>Flying
Whenever this creature deals combat damage to a player, proliferate. (Choose any number of permanents and/or players, then give each another counter of each kind already there.)
(1/1)</t>
        </is>
      </c>
      <c r="H740" s="53" t="inlineStr">
        <is>
          <t>Proliferate</t>
        </is>
      </c>
      <c r="I740" s="53" t="inlineStr">
        <is>
          <t>Proliferate when it deals combat damage to a player</t>
        </is>
      </c>
      <c r="J740" s="53" t="inlineStr">
        <is>
          <t>Flying body</t>
        </is>
      </c>
      <c r="K740" s="53" t="n"/>
      <c r="L740" s="42" t="n"/>
      <c r="M740" s="42" t="n"/>
      <c r="N740" s="42" t="n"/>
      <c r="O740" s="42" t="n"/>
      <c r="P740" s="42" t="n">
        <v>0.25</v>
      </c>
      <c r="Q740" s="42" t="n"/>
      <c r="R740" s="42" t="n"/>
      <c r="S740" s="42" t="n"/>
      <c r="T740" s="42" t="n"/>
      <c r="U740" s="42" t="n"/>
      <c r="V740" s="53" t="inlineStr">
        <is>
          <t>Scars of Mirrodin</t>
        </is>
      </c>
      <c r="W740" s="41" t="n">
        <v>1</v>
      </c>
      <c r="X740" s="37">
        <f>SUM(Y740:AE740)</f>
        <v/>
      </c>
      <c r="Y740" s="43" t="n"/>
      <c r="Z740" s="43" t="n"/>
      <c r="AA740" s="43" t="n">
        <v>1</v>
      </c>
      <c r="AB740" s="43" t="n"/>
      <c r="AC740" s="43" t="n"/>
      <c r="AD740" s="43" t="n"/>
      <c r="AE740" s="43" t="n"/>
      <c r="AF740" s="38">
        <f>IF((W740-SUM(Y740:AE740))&lt;0,0,W740-SUM(Y740:AE740))</f>
        <v/>
      </c>
      <c r="AG740" s="38">
        <f>MAX(0,$AT740-$W740-$AI740)</f>
        <v/>
      </c>
      <c r="AH740" s="38" t="n"/>
      <c r="AI740" s="38" t="n"/>
      <c r="AJ740" s="54" t="n">
        <v>0.21</v>
      </c>
      <c r="AK740" s="54">
        <f>IF(AND($AG740&gt;0,ISNUMBER($AJ740)),$AG740*$AJ740,0)</f>
        <v/>
      </c>
      <c r="AT740" s="37">
        <f>SUM(AU740:BA740)</f>
        <v/>
      </c>
      <c r="AU740" s="73" t="n"/>
      <c r="AV740" s="33" t="n"/>
      <c r="AW740" s="98" t="n">
        <v>1</v>
      </c>
      <c r="AX740" s="33" t="n"/>
      <c r="AY740" s="33" t="n"/>
      <c r="AZ740" s="33" t="n"/>
      <c r="BA740" s="74" t="n"/>
      <c r="BB740" s="47" t="n"/>
      <c r="BC740" s="42" t="n"/>
      <c r="BD740" s="42" t="n"/>
    </row>
    <row r="741" ht="15" customHeight="1" s="148">
      <c r="A741" t="inlineStr">
        <is>
          <t>c0737</t>
        </is>
      </c>
      <c r="B741" s="47" t="inlineStr">
        <is>
          <t>Uneasy Partings</t>
        </is>
      </c>
      <c r="C741" s="41" t="inlineStr">
        <is>
          <t>U</t>
        </is>
      </c>
      <c r="D741" s="42" t="inlineStr">
        <is>
          <t>Instant</t>
        </is>
      </c>
      <c r="E741" s="41" t="inlineStr">
        <is>
          <t>B2</t>
        </is>
      </c>
      <c r="F741" s="41" t="n">
        <v>4</v>
      </c>
      <c r="G741" s="67" t="inlineStr">
        <is>
          <t>This spell costs {1} less to cast if it targets an attacking nontoken creature.
Target creature's owner puts it on their choice of the top or bottom of their library.</t>
        </is>
      </c>
      <c r="H741" s="42" t="inlineStr">
        <is>
          <t>Removal</t>
        </is>
      </c>
      <c r="I741" s="42" t="inlineStr">
        <is>
          <t>Target creature's owner puts it on the top or bottom of their library</t>
        </is>
      </c>
      <c r="J741" s="42" t="inlineStr">
        <is>
          <t>Costs {1} less to cast if it targets an attacking nontoken creature</t>
        </is>
      </c>
      <c r="K741" s="42" t="n"/>
      <c r="L741" s="88" t="inlineStr">
        <is>
          <t>C 0058</t>
        </is>
      </c>
      <c r="M741" s="41" t="n">
        <v>1</v>
      </c>
      <c r="N741" s="41" t="n">
        <v>1</v>
      </c>
      <c r="O741" s="63" t="inlineStr">
        <is>
          <t>Javier Charro</t>
        </is>
      </c>
      <c r="P741" s="90" t="n">
        <v>0.14</v>
      </c>
      <c r="Q741" s="42" t="inlineStr">
        <is>
          <t>C</t>
        </is>
      </c>
      <c r="R741" s="42" t="n"/>
      <c r="S741" s="42" t="n"/>
      <c r="T741" s="63" t="n"/>
      <c r="U741" s="63" t="n"/>
      <c r="V741" s="42" t="inlineStr">
        <is>
          <t>The Hobbit</t>
        </is>
      </c>
      <c r="W741" s="41" t="n">
        <v>2</v>
      </c>
      <c r="X741" s="37">
        <f>SUM(Y741:AE741)</f>
        <v/>
      </c>
      <c r="Y741" s="43" t="n"/>
      <c r="Z741" s="43" t="n"/>
      <c r="AA741" s="43" t="n"/>
      <c r="AB741" s="43" t="n"/>
      <c r="AC741" s="43" t="n"/>
      <c r="AD741" s="43" t="n"/>
      <c r="AE741" s="43" t="n"/>
      <c r="AF741" s="38">
        <f>IF((W741-SUM(Y741:AE741))&lt;0,0,W741-SUM(Y741:AE741))</f>
        <v/>
      </c>
      <c r="AG741" s="38">
        <f>MAX(0,$AT741-$W741-$AI741)</f>
        <v/>
      </c>
      <c r="AH741" s="42" t="n"/>
      <c r="AI741" s="42" t="n"/>
      <c r="AJ741" s="42" t="n">
        <v>0.14</v>
      </c>
      <c r="AK741" s="42">
        <f>IF(AND($AG741&gt;0,ISNUMBER($AJ741)),$AG741*$AJ741,0)</f>
        <v/>
      </c>
      <c r="AT741" s="37">
        <f>SUM(AU741:BA741)</f>
        <v/>
      </c>
      <c r="AU741" s="73" t="n"/>
      <c r="AV741" s="33" t="n"/>
      <c r="AW741" s="33" t="n"/>
      <c r="AX741" s="33" t="n"/>
      <c r="AY741" s="33" t="n"/>
      <c r="AZ741" s="33" t="n"/>
      <c r="BA741" s="74" t="n"/>
      <c r="BB741" s="42" t="n"/>
      <c r="BC741" s="42" t="n"/>
      <c r="BD741" s="42" t="n"/>
    </row>
    <row r="742" ht="15" customHeight="1" s="148">
      <c r="A742" t="inlineStr">
        <is>
          <t>c0738</t>
        </is>
      </c>
      <c r="B742" s="47" t="inlineStr">
        <is>
          <t>Unexpected Assistance</t>
        </is>
      </c>
      <c r="C742" s="38" t="inlineStr">
        <is>
          <t>U</t>
        </is>
      </c>
      <c r="D742" s="47" t="inlineStr">
        <is>
          <t>Instant</t>
        </is>
      </c>
      <c r="E742" s="41" t="inlineStr">
        <is>
          <t>B2</t>
        </is>
      </c>
      <c r="F742" s="38" t="n">
        <v>5</v>
      </c>
      <c r="G742" s="67" t="inlineStr">
        <is>
          <t>Convoke (Your creatures can help cast this spell. Each creature you tap while casting this spell pays for {1} or one mana of that creature's color.)
Draw three cards, then discard a card.</t>
        </is>
      </c>
      <c r="H742" s="53" t="inlineStr">
        <is>
          <t>Card Draw</t>
        </is>
      </c>
      <c r="I742" s="53" t="inlineStr">
        <is>
          <t>Tapping your creatures can help pay its cost</t>
        </is>
      </c>
      <c r="J742" s="53" t="inlineStr">
        <is>
          <t>Draw three cards, then discard a card</t>
        </is>
      </c>
      <c r="K742" s="53" t="n"/>
      <c r="L742" s="42" t="n"/>
      <c r="M742" s="42" t="n"/>
      <c r="N742" s="42" t="n"/>
      <c r="O742" s="63" t="n"/>
      <c r="P742" s="63" t="n">
        <v>0.26</v>
      </c>
      <c r="Q742" s="42" t="n"/>
      <c r="R742" s="42" t="n"/>
      <c r="S742" s="42" t="n"/>
      <c r="T742" s="63" t="n"/>
      <c r="U742" s="63" t="n"/>
      <c r="V742" s="53" t="inlineStr">
        <is>
          <t>Lorwyn Eclipsed</t>
        </is>
      </c>
      <c r="W742" s="41" t="n">
        <v>2</v>
      </c>
      <c r="X742" s="37">
        <f>SUM(Y742:AE742)</f>
        <v/>
      </c>
      <c r="Y742" s="43" t="n"/>
      <c r="Z742" s="43" t="n"/>
      <c r="AA742" s="43" t="n"/>
      <c r="AB742" s="43" t="n"/>
      <c r="AC742" s="43" t="n"/>
      <c r="AD742" s="43" t="n"/>
      <c r="AE742" s="43" t="n">
        <v>1</v>
      </c>
      <c r="AF742" s="38">
        <f>IF((W742-SUM(Y742:AE742))&lt;0,0,W742-SUM(Y742:AE742))</f>
        <v/>
      </c>
      <c r="AG742" s="38">
        <f>MAX(0,$AT742-$W742-$AI742)</f>
        <v/>
      </c>
      <c r="AH742" s="38" t="n"/>
      <c r="AI742" s="38" t="n"/>
      <c r="AJ742" s="54" t="n">
        <v>0.22</v>
      </c>
      <c r="AK742" s="54">
        <f>IF(AND($AG742&gt;0,ISNUMBER($AJ742)),$AG742*$AJ742,0)</f>
        <v/>
      </c>
      <c r="AR742" s="58" t="inlineStr">
        <is>
          <t>BL0087</t>
        </is>
      </c>
      <c r="AT742" s="37">
        <f>SUM(AU742:BA742)</f>
        <v/>
      </c>
      <c r="AU742" s="73" t="n"/>
      <c r="AV742" s="33" t="n"/>
      <c r="AW742" s="33" t="n"/>
      <c r="AX742" s="33" t="n"/>
      <c r="AY742" s="33" t="n"/>
      <c r="AZ742" s="33" t="n"/>
      <c r="BA742" s="81" t="n"/>
      <c r="BB742" s="47" t="n"/>
      <c r="BC742" s="42" t="n"/>
      <c r="BD742" s="42" t="n"/>
    </row>
    <row r="743" ht="15" customHeight="1" s="148">
      <c r="A743" t="inlineStr">
        <is>
          <t>c0739</t>
        </is>
      </c>
      <c r="B743" s="47" t="inlineStr">
        <is>
          <t>Unwelcome Sprite</t>
        </is>
      </c>
      <c r="C743" s="38" t="inlineStr">
        <is>
          <t>U</t>
        </is>
      </c>
      <c r="D743" s="47" t="inlineStr">
        <is>
          <t>Creature</t>
        </is>
      </c>
      <c r="E743" s="41" t="inlineStr">
        <is>
          <t>B2</t>
        </is>
      </c>
      <c r="F743" s="38" t="n">
        <v>2</v>
      </c>
      <c r="G743" s="67" t="inlineStr">
        <is>
          <t>Flying
Whenever you cast a spell during an opponent's turn, surveil 2. (Look at the top two cards of your library. You may put any number of them into your graveyard and the rest on top of your library in any order.)
(2/1)</t>
        </is>
      </c>
      <c r="H743" s="53" t="inlineStr">
        <is>
          <t>Card Selection</t>
        </is>
      </c>
      <c r="I743" s="53" t="inlineStr">
        <is>
          <t>Surveils 2 whenever you cast a spell during an opponent's turn</t>
        </is>
      </c>
      <c r="J743" s="53" t="n"/>
      <c r="K743" s="53" t="n"/>
      <c r="L743" s="42" t="inlineStr">
        <is>
          <t>81</t>
        </is>
      </c>
      <c r="M743" s="42" t="n">
        <v>1</v>
      </c>
      <c r="N743" s="42" t="n">
        <v>0</v>
      </c>
      <c r="O743" s="63" t="n"/>
      <c r="P743" s="63" t="n">
        <v>0.21</v>
      </c>
      <c r="Q743" s="42" t="inlineStr">
        <is>
          <t>Uncommon</t>
        </is>
      </c>
      <c r="R743" s="42" t="n"/>
      <c r="S743" s="42" t="n"/>
      <c r="T743" s="63" t="n"/>
      <c r="U743" s="63" t="n"/>
      <c r="V743" s="53" t="inlineStr">
        <is>
          <t>Lorwyn Eclipsed</t>
        </is>
      </c>
      <c r="W743" s="41" t="n">
        <v>1</v>
      </c>
      <c r="X743" s="37">
        <f>SUM(Y743:AE743)</f>
        <v/>
      </c>
      <c r="Y743" s="43" t="n"/>
      <c r="Z743" s="43" t="n"/>
      <c r="AA743" s="43" t="n">
        <v>1</v>
      </c>
      <c r="AB743" s="43" t="n"/>
      <c r="AC743" s="43" t="n"/>
      <c r="AD743" s="43" t="n"/>
      <c r="AE743" s="43" t="n"/>
      <c r="AF743" s="38">
        <f>IF((W743-SUM(Y743:AE743))&lt;0,0,W743-SUM(Y743:AE743))</f>
        <v/>
      </c>
      <c r="AG743" s="38">
        <f>MAX(0,$AT743-$W743-$AI743)</f>
        <v/>
      </c>
      <c r="AH743" s="38" t="n"/>
      <c r="AI743" s="38" t="n"/>
      <c r="AJ743" s="54" t="n">
        <v>0.24</v>
      </c>
      <c r="AK743" s="54">
        <f>IF(AND($AG743&gt;0,ISNUMBER($AJ743)),$AG743*$AJ743,0)</f>
        <v/>
      </c>
      <c r="AN743" s="58" t="inlineStr">
        <is>
          <t>BL0041</t>
        </is>
      </c>
      <c r="AT743" s="37">
        <f>SUM(AU743:BA743)</f>
        <v/>
      </c>
      <c r="AU743" s="73" t="n"/>
      <c r="AV743" s="33" t="n"/>
      <c r="AW743" s="99" t="n"/>
      <c r="AX743" s="33" t="n"/>
      <c r="AY743" s="33" t="n"/>
      <c r="AZ743" s="33" t="n"/>
      <c r="BA743" s="80" t="n"/>
      <c r="BB743" s="47" t="n"/>
      <c r="BC743" s="42" t="n"/>
      <c r="BD743" s="42" t="n"/>
    </row>
    <row r="744" ht="15" customHeight="1" s="148">
      <c r="A744" t="inlineStr">
        <is>
          <t>c0740</t>
        </is>
      </c>
      <c r="B744" s="47" t="inlineStr">
        <is>
          <t>Viral Drake</t>
        </is>
      </c>
      <c r="C744" s="38" t="inlineStr">
        <is>
          <t>U</t>
        </is>
      </c>
      <c r="D744" s="47" t="inlineStr">
        <is>
          <t>Creature</t>
        </is>
      </c>
      <c r="E744" s="41" t="inlineStr">
        <is>
          <t>B2</t>
        </is>
      </c>
      <c r="F744" s="38" t="n">
        <v>4</v>
      </c>
      <c r="G744" s="67" t="inlineStr">
        <is>
          <t>Flying
Infect (This creature deals damage to creatures in the form of -1/-1 counters and to players in the form of poison counters.)
{3}{U}: Proliferate. (Choose any number of permanents and/or players, then give each another counter of each kind already there.)
(1/4)</t>
        </is>
      </c>
      <c r="H744" s="53" t="inlineStr">
        <is>
          <t>Proliferate</t>
        </is>
      </c>
      <c r="I744" s="53" t="inlineStr">
        <is>
          <t>Deals damage as -1/-1 counters to creatures, poison counters to players</t>
        </is>
      </c>
      <c r="J744" s="53" t="inlineStr">
        <is>
          <t>{3}{U}: Proliferate</t>
        </is>
      </c>
      <c r="K744" s="53" t="inlineStr">
        <is>
          <t>Flying body</t>
        </is>
      </c>
      <c r="L744" s="42" t="n"/>
      <c r="M744" s="42" t="n"/>
      <c r="N744" s="42" t="n"/>
      <c r="O744" s="63" t="n"/>
      <c r="P744" s="63" t="n">
        <v>1.95</v>
      </c>
      <c r="Q744" s="42" t="n"/>
      <c r="R744" s="42" t="n"/>
      <c r="S744" s="42" t="n"/>
      <c r="T744" s="63" t="n"/>
      <c r="U744" s="63" t="n"/>
      <c r="V744" s="53" t="inlineStr">
        <is>
          <t>New Phyrexia</t>
        </is>
      </c>
      <c r="W744" s="41" t="n">
        <v>2</v>
      </c>
      <c r="X744" s="37">
        <f>SUM(Y744:AE744)</f>
        <v/>
      </c>
      <c r="Y744" s="43" t="n"/>
      <c r="Z744" s="43" t="n"/>
      <c r="AA744" s="43" t="n">
        <v>1</v>
      </c>
      <c r="AB744" s="43" t="n"/>
      <c r="AC744" s="43" t="n"/>
      <c r="AD744" s="43" t="n"/>
      <c r="AE744" s="43" t="n"/>
      <c r="AF744" s="38">
        <f>IF((W744-SUM(Y744:AE744))&lt;0,0,W744-SUM(Y744:AE744))</f>
        <v/>
      </c>
      <c r="AG744" s="38">
        <f>MAX(0,$AT744-$W744-$AI744)</f>
        <v/>
      </c>
      <c r="AH744" s="38" t="n"/>
      <c r="AI744" s="38" t="n"/>
      <c r="AJ744" s="54" t="n">
        <v>1.94</v>
      </c>
      <c r="AK744" s="54">
        <f>IF(AND($AG744&gt;0,ISNUMBER($AJ744)),$AG744*$AJ744,0)</f>
        <v/>
      </c>
      <c r="AT744" s="37">
        <f>SUM(AU744:BA744)</f>
        <v/>
      </c>
      <c r="AU744" s="73" t="n"/>
      <c r="AV744" s="33" t="n"/>
      <c r="AW744" s="98" t="n">
        <v>1</v>
      </c>
      <c r="AX744" s="33" t="n"/>
      <c r="AY744" s="33" t="n"/>
      <c r="AZ744" s="33" t="n"/>
      <c r="BA744" s="74" t="n"/>
      <c r="BB744" s="47" t="n"/>
      <c r="BC744" s="42" t="n"/>
      <c r="BD744" s="42" t="n"/>
    </row>
    <row r="745" ht="15" customHeight="1" s="148">
      <c r="A745" t="inlineStr">
        <is>
          <t>c0741</t>
        </is>
      </c>
      <c r="B745" s="47" t="inlineStr">
        <is>
          <t>Wanderwine Distracter</t>
        </is>
      </c>
      <c r="C745" s="38" t="inlineStr">
        <is>
          <t>U</t>
        </is>
      </c>
      <c r="D745" s="47" t="inlineStr">
        <is>
          <t>Creature</t>
        </is>
      </c>
      <c r="E745" s="41" t="inlineStr">
        <is>
          <t>B2</t>
        </is>
      </c>
      <c r="F745" s="38" t="n">
        <v>4</v>
      </c>
      <c r="G745" s="67" t="inlineStr">
        <is>
          <t>Whenever this creature becomes tapped, target creature an opponent controls gets -3/-0 until end of turn.
(4/3)</t>
        </is>
      </c>
      <c r="H745" s="53" t="inlineStr">
        <is>
          <t>Removal</t>
        </is>
      </c>
      <c r="I745" s="53" t="inlineStr">
        <is>
          <t>Target opponent creature gets -3/-0 until end of turn whenever this becomes tapped</t>
        </is>
      </c>
      <c r="J745" s="53" t="n"/>
      <c r="K745" s="53" t="n"/>
      <c r="L745" s="42" t="n"/>
      <c r="M745" s="42" t="n"/>
      <c r="N745" s="42" t="n"/>
      <c r="O745" s="63" t="n"/>
      <c r="P745" s="63" t="n">
        <v>0.07000000000000001</v>
      </c>
      <c r="Q745" s="42" t="n"/>
      <c r="R745" s="42" t="n"/>
      <c r="S745" s="42" t="n"/>
      <c r="T745" s="63" t="n"/>
      <c r="U745" s="63" t="n"/>
      <c r="V745" s="53" t="inlineStr">
        <is>
          <t>Lorwyn Eclipsed</t>
        </is>
      </c>
      <c r="W745" s="41" t="n">
        <v>1</v>
      </c>
      <c r="X745" s="37">
        <f>SUM(Y745:AE745)</f>
        <v/>
      </c>
      <c r="Y745" s="43" t="n"/>
      <c r="Z745" s="43" t="n"/>
      <c r="AA745" s="43" t="n"/>
      <c r="AB745" s="43" t="n"/>
      <c r="AC745" s="43" t="n"/>
      <c r="AD745" s="43" t="n"/>
      <c r="AE745" s="43" t="n"/>
      <c r="AF745" s="38">
        <f>IF((W745-SUM(Y745:AE745))&lt;0,0,W745-SUM(Y745:AE745))</f>
        <v/>
      </c>
      <c r="AG745" s="38">
        <f>MAX(0,$AT745-$W745-$AI745)</f>
        <v/>
      </c>
      <c r="AH745" s="38" t="n"/>
      <c r="AI745" s="38" t="n"/>
      <c r="AJ745" s="54" t="n">
        <v>0.08</v>
      </c>
      <c r="AK745" s="54">
        <f>IF(AND($AG745&gt;0,ISNUMBER($AJ745)),$AG745*$AJ745,0)</f>
        <v/>
      </c>
      <c r="AT745" s="37">
        <f>SUM(AU745:BA745)</f>
        <v/>
      </c>
      <c r="AU745" s="73" t="n"/>
      <c r="AV745" s="33" t="n"/>
      <c r="AW745" s="33" t="n"/>
      <c r="AX745" s="33" t="n"/>
      <c r="AY745" s="33" t="n"/>
      <c r="AZ745" s="33" t="n"/>
      <c r="BA745" s="74" t="n"/>
      <c r="BB745" s="47" t="n"/>
      <c r="BC745" s="42" t="n"/>
      <c r="BD745" s="42" t="n"/>
    </row>
    <row r="746" ht="15" customHeight="1" s="148">
      <c r="A746" t="inlineStr">
        <is>
          <t>c0742</t>
        </is>
      </c>
      <c r="B746" s="32" t="inlineStr">
        <is>
          <t>An Unexpected Party // At the Door</t>
        </is>
      </c>
      <c r="C746" s="33" t="inlineStr">
        <is>
          <t>W</t>
        </is>
      </c>
      <c r="D746" s="32" t="inlineStr">
        <is>
          <t>Enchantment</t>
        </is>
      </c>
      <c r="E746" s="33" t="inlineStr">
        <is>
          <t>B2</t>
        </is>
      </c>
      <c r="F746" s="32" t="n">
        <v>4</v>
      </c>
      <c r="G746" s="67" t="inlineStr">
        <is>
          <t>An Unexpected Party {2}{W}{W} — Enchantment
As this enchantment enters, choose a creature type.
Creatures you control of the chosen type get +2/+2.
//
At the Door {X}{2}{W} — Sorcery — Adventure
Create X 2/2 red Dwarf creature tokens. (Then exile this card. You may cast the enchantment later from exile.)</t>
        </is>
      </c>
      <c r="H746" s="32" t="inlineStr">
        <is>
          <t>Lord/Anthem</t>
        </is>
      </c>
      <c r="I746" s="32" t="inlineStr">
        <is>
          <t>Creatures you control of the creature type chosen as it entered get +2/+2</t>
        </is>
      </c>
      <c r="J746" s="32" t="inlineStr">
        <is>
          <t>At the Door {X}{2}{W} — Adventure: create X 2/2 Dwarf tokens, then cast the enchantment later from exile</t>
        </is>
      </c>
      <c r="K746" s="32" t="n"/>
      <c r="L746" s="32" t="inlineStr">
        <is>
          <t>29</t>
        </is>
      </c>
      <c r="M746" s="32" t="n">
        <v>1</v>
      </c>
      <c r="N746" s="32" t="n">
        <v>0</v>
      </c>
      <c r="O746" s="63" t="inlineStr">
        <is>
          <t>Matt Stewart</t>
        </is>
      </c>
      <c r="P746" s="63" t="n">
        <v>0.31</v>
      </c>
      <c r="Q746" s="32" t="inlineStr">
        <is>
          <t>Rare</t>
        </is>
      </c>
      <c r="R746" s="32" t="n"/>
      <c r="S746" s="32" t="n"/>
      <c r="T746" s="63" t="n"/>
      <c r="U746" s="63" t="n"/>
      <c r="V746" s="32" t="inlineStr">
        <is>
          <t>The Hobbit</t>
        </is>
      </c>
      <c r="W746" s="41" t="n">
        <v>1</v>
      </c>
      <c r="X746" s="37">
        <f>SUM(Y746:AE746)</f>
        <v/>
      </c>
      <c r="Y746" s="43" t="n"/>
      <c r="Z746" s="43" t="n"/>
      <c r="AA746" s="43" t="n"/>
      <c r="AB746" s="43" t="n"/>
      <c r="AC746" s="43" t="n"/>
      <c r="AD746" s="43" t="n"/>
      <c r="AE746" s="43" t="n"/>
      <c r="AF746" s="38">
        <f>IF((W746-SUM(Y746:AE746))&lt;0,0,W746-SUM(Y746:AE746))</f>
        <v/>
      </c>
      <c r="AG746" s="38">
        <f>MAX(0,$AT746-$W746-$AI746)</f>
        <v/>
      </c>
      <c r="AH746" s="32" t="n"/>
      <c r="AI746" s="32" t="n"/>
      <c r="AJ746" s="32" t="n">
        <v>0.31</v>
      </c>
      <c r="AK746" s="54">
        <f>IF(AND($AG746&gt;0,ISNUMBER($AJ746)),$AG746*$AJ746,0)</f>
        <v/>
      </c>
      <c r="AT746" s="37">
        <f>SUM(AU746:BA746)</f>
        <v/>
      </c>
      <c r="AU746" s="73" t="n"/>
      <c r="AV746" s="33" t="n"/>
      <c r="AW746" s="33" t="n"/>
      <c r="AX746" s="33" t="n"/>
      <c r="AY746" s="33" t="n"/>
      <c r="AZ746" s="33" t="n"/>
      <c r="BA746" s="74" t="n"/>
      <c r="BB746" s="32" t="n"/>
      <c r="BC746" s="32" t="n"/>
      <c r="BD746" s="32" t="n"/>
    </row>
    <row r="747" ht="15" customHeight="1" s="148">
      <c r="A747" t="inlineStr">
        <is>
          <t>c0743</t>
        </is>
      </c>
      <c r="B747" s="47" t="inlineStr">
        <is>
          <t>Angel of Indemnity</t>
        </is>
      </c>
      <c r="C747" s="38" t="inlineStr">
        <is>
          <t>W</t>
        </is>
      </c>
      <c r="D747" s="47" t="inlineStr">
        <is>
          <t>Creature</t>
        </is>
      </c>
      <c r="E747" s="41" t="inlineStr">
        <is>
          <t>B2</t>
        </is>
      </c>
      <c r="F747" s="38" t="n">
        <v>6</v>
      </c>
      <c r="G747" s="67" t="inlineStr">
        <is>
          <t>Flying, lifelink
When this creature enters, return target permanent card with mana value 4 or less from your graveyard to the battlefield.
Encore {6}{W}{W} ({6}{W}{W}, Exile this card from your graveyard: For each opponent, create a token copy that attacks that opponent this turn if able. They gain haste. Sacrifice them at the beginning of the next end step. Activate only as a sorcery.)
(5/5)</t>
        </is>
      </c>
      <c r="H747" s="53" t="inlineStr">
        <is>
          <t>Recursion</t>
        </is>
      </c>
      <c r="I747" s="53" t="inlineStr">
        <is>
          <t>Returns a permanent card MV 4 or less from graveyard when it enters</t>
        </is>
      </c>
      <c r="J747" s="53" t="inlineStr">
        <is>
          <t>Encore: exile from graveyard to make attacking token copies for each opponent</t>
        </is>
      </c>
      <c r="K747" s="53" t="inlineStr">
        <is>
          <t>Flying lifelink body</t>
        </is>
      </c>
      <c r="L747" s="42" t="n"/>
      <c r="M747" s="42" t="n"/>
      <c r="N747" s="42" t="n"/>
      <c r="O747" s="42" t="n"/>
      <c r="P747" s="42" t="n">
        <v>0.4</v>
      </c>
      <c r="Q747" s="42" t="n"/>
      <c r="R747" s="42" t="n"/>
      <c r="S747" s="42" t="n"/>
      <c r="T747" s="42" t="n"/>
      <c r="U747" s="42" t="n"/>
      <c r="V747" s="53" t="inlineStr">
        <is>
          <t>Outlaws of Thunder Junction Commander</t>
        </is>
      </c>
      <c r="W747" s="41" t="n">
        <v>1</v>
      </c>
      <c r="X747" s="37">
        <f>SUM(Y747:AE747)</f>
        <v/>
      </c>
      <c r="Y747" s="43" t="n"/>
      <c r="Z747" s="43" t="n"/>
      <c r="AA747" s="43" t="n"/>
      <c r="AB747" s="43" t="n"/>
      <c r="AC747" s="43" t="n">
        <v>1</v>
      </c>
      <c r="AD747" s="43" t="n"/>
      <c r="AE747" s="43" t="n"/>
      <c r="AF747" s="38">
        <f>IF((W747-SUM(Y747:AE747))&lt;0,0,W747-SUM(Y747:AE747))</f>
        <v/>
      </c>
      <c r="AG747" s="38">
        <f>MAX(0,$AT747-$W747-$AI747)</f>
        <v/>
      </c>
      <c r="AH747" s="38" t="n"/>
      <c r="AI747" s="38" t="n"/>
      <c r="AJ747" s="54" t="n">
        <v>0.38</v>
      </c>
      <c r="AK747" s="54">
        <f>IF(AND($AG747&gt;0,ISNUMBER($AJ747)),$AG747*$AJ747,0)</f>
        <v/>
      </c>
      <c r="AT747" s="37">
        <f>SUM(AU747:BA747)</f>
        <v/>
      </c>
      <c r="AU747" s="73" t="n"/>
      <c r="AV747" s="33" t="n"/>
      <c r="AW747" s="33" t="n"/>
      <c r="AX747" s="33" t="n"/>
      <c r="AY747" s="98" t="n">
        <v>1</v>
      </c>
      <c r="AZ747" s="33" t="n"/>
      <c r="BA747" s="74" t="n"/>
      <c r="BB747" s="47" t="n"/>
      <c r="BC747" s="42" t="n"/>
      <c r="BD747" s="42" t="n"/>
    </row>
    <row r="748" ht="15" customHeight="1" s="148">
      <c r="A748" t="inlineStr">
        <is>
          <t>c0744</t>
        </is>
      </c>
      <c r="B748" s="47" t="inlineStr">
        <is>
          <t>Anointed Procession</t>
        </is>
      </c>
      <c r="C748" s="38" t="inlineStr">
        <is>
          <t>W</t>
        </is>
      </c>
      <c r="D748" s="47" t="inlineStr">
        <is>
          <t>Enchantment</t>
        </is>
      </c>
      <c r="E748" s="41" t="inlineStr">
        <is>
          <t>B3</t>
        </is>
      </c>
      <c r="F748" s="38" t="n">
        <v>4</v>
      </c>
      <c r="G748" s="67" t="inlineStr">
        <is>
          <t>If an effect would create one or more tokens under your control, it creates twice that many of those tokens instead.</t>
        </is>
      </c>
      <c r="H748" s="53" t="inlineStr">
        <is>
          <t>Token Producer</t>
        </is>
      </c>
      <c r="I748" s="53" t="inlineStr">
        <is>
          <t>If an effect would create one or more tokens under your control, it creates twice that many of those tokens instead.</t>
        </is>
      </c>
      <c r="J748" s="53" t="n"/>
      <c r="K748" s="53" t="n"/>
      <c r="L748" s="42" t="n"/>
      <c r="M748" s="42" t="n"/>
      <c r="N748" s="42" t="n"/>
      <c r="O748" s="42" t="n"/>
      <c r="P748" s="42" t="n">
        <v>61.48</v>
      </c>
      <c r="Q748" s="42" t="n"/>
      <c r="R748" s="42" t="n"/>
      <c r="S748" s="42" t="n"/>
      <c r="T748" s="42" t="n"/>
      <c r="U748" s="42" t="n"/>
      <c r="V748" s="53" t="inlineStr">
        <is>
          <t>Amonkhet</t>
        </is>
      </c>
      <c r="W748" s="41" t="n">
        <v>0</v>
      </c>
      <c r="X748" s="37">
        <f>SUM(Y748:AE748)</f>
        <v/>
      </c>
      <c r="Y748" s="43" t="n"/>
      <c r="Z748" s="43" t="n"/>
      <c r="AA748" s="43" t="n"/>
      <c r="AB748" s="43" t="n"/>
      <c r="AC748" s="43" t="n"/>
      <c r="AD748" s="43" t="n"/>
      <c r="AE748" s="43" t="n"/>
      <c r="AF748" s="38">
        <f>IF((W748-SUM(Y748:AE748))&lt;0,0,W748-SUM(Y748:AE748))</f>
        <v/>
      </c>
      <c r="AG748" s="38">
        <f>MAX(0,$AT748-$W748-$AI748)</f>
        <v/>
      </c>
      <c r="AH748" s="38" t="n"/>
      <c r="AI748" s="38" t="n"/>
      <c r="AJ748" s="54" t="n">
        <v>59.34</v>
      </c>
      <c r="AK748" s="54">
        <f>IF(AND($AG748&gt;0,ISNUMBER($AJ748)),$AG748*$AJ748,0)</f>
        <v/>
      </c>
      <c r="AL748" s="54" t="n"/>
      <c r="AM748" s="54" t="n"/>
      <c r="AN748" s="54" t="n"/>
      <c r="AO748" s="54" t="n"/>
      <c r="AP748" s="54" t="n"/>
      <c r="AQ748" s="54" t="n"/>
      <c r="AR748" s="54" t="n"/>
      <c r="AS748" s="54" t="n"/>
      <c r="AT748" s="37">
        <f>SUM(AU748:BA748)</f>
        <v/>
      </c>
      <c r="AU748" s="92" t="n"/>
      <c r="AV748" s="38" t="n"/>
      <c r="AW748" s="38" t="n"/>
      <c r="AX748" s="38" t="n"/>
      <c r="AY748" s="38" t="n"/>
      <c r="AZ748" s="38" t="n"/>
      <c r="BA748" s="94" t="n"/>
      <c r="BB748" s="47" t="n"/>
      <c r="BC748" s="42" t="n"/>
      <c r="BD748" s="42" t="n"/>
    </row>
    <row r="749" ht="15" customHeight="1" s="148">
      <c r="A749" t="inlineStr">
        <is>
          <t>c0745</t>
        </is>
      </c>
      <c r="B749" s="47" t="inlineStr">
        <is>
          <t>Anointer Priest</t>
        </is>
      </c>
      <c r="C749" s="38" t="inlineStr">
        <is>
          <t>W</t>
        </is>
      </c>
      <c r="D749" s="47" t="inlineStr">
        <is>
          <t>Creature</t>
        </is>
      </c>
      <c r="E749" s="41" t="inlineStr">
        <is>
          <t>B2</t>
        </is>
      </c>
      <c r="F749" s="38" t="n">
        <v>2</v>
      </c>
      <c r="G749" s="67" t="inlineStr">
        <is>
          <t>Whenever a creature token you control enters, you gain 1 life.
Embalm {3}{W} ({3}{W}, Exile this card from your graveyard: Create a token that's a copy of it, except it's a white Zombie Human Cleric with no mana cost. Embalm only as a sorcery.)
(1/3)</t>
        </is>
      </c>
      <c r="H749" s="53" t="inlineStr">
        <is>
          <t>Lifegain</t>
        </is>
      </c>
      <c r="I749" s="53" t="inlineStr">
        <is>
          <t>Gains 1 life whenever a creature token you control enters</t>
        </is>
      </c>
      <c r="J749" s="53" t="inlineStr">
        <is>
          <t>Embalm {3}{W}: exile from graveyard to make a token copy of itself</t>
        </is>
      </c>
      <c r="K749" s="53" t="n"/>
      <c r="L749" s="42" t="n"/>
      <c r="M749" s="42" t="n"/>
      <c r="N749" s="42" t="n"/>
      <c r="O749" s="42" t="n"/>
      <c r="P749" s="42" t="n">
        <v>0.23</v>
      </c>
      <c r="Q749" s="42" t="n"/>
      <c r="R749" s="42" t="n"/>
      <c r="S749" s="42" t="n"/>
      <c r="T749" s="42" t="n"/>
      <c r="U749" s="42" t="n"/>
      <c r="V749" s="53" t="inlineStr">
        <is>
          <t>Amonkhet</t>
        </is>
      </c>
      <c r="W749" s="41" t="n">
        <v>1</v>
      </c>
      <c r="X749" s="37">
        <f>SUM(Y749:AE749)</f>
        <v/>
      </c>
      <c r="Y749" s="43" t="n"/>
      <c r="Z749" s="43" t="n"/>
      <c r="AA749" s="43" t="n"/>
      <c r="AB749" s="43" t="n"/>
      <c r="AC749" s="43" t="n">
        <v>1</v>
      </c>
      <c r="AD749" s="43" t="n"/>
      <c r="AE749" s="43" t="n"/>
      <c r="AF749" s="38">
        <f>IF((W749-SUM(Y749:AE749))&lt;0,0,W749-SUM(Y749:AE749))</f>
        <v/>
      </c>
      <c r="AG749" s="38">
        <f>MAX(0,$AT749-$W749-$AI749)</f>
        <v/>
      </c>
      <c r="AH749" s="38" t="n"/>
      <c r="AI749" s="38" t="n"/>
      <c r="AJ749" s="54" t="n">
        <v>0.17</v>
      </c>
      <c r="AK749" s="54">
        <f>IF(AND($AG749&gt;0,ISNUMBER($AJ749)),$AG749*$AJ749,0)</f>
        <v/>
      </c>
      <c r="AT749" s="37">
        <f>SUM(AU749:BA749)</f>
        <v/>
      </c>
      <c r="AU749" s="73" t="n"/>
      <c r="AV749" s="33" t="n"/>
      <c r="AW749" s="33" t="n"/>
      <c r="AX749" s="33" t="n"/>
      <c r="AY749" s="99" t="n"/>
      <c r="AZ749" s="33" t="n"/>
      <c r="BA749" s="74" t="n"/>
      <c r="BB749" s="47" t="n"/>
      <c r="BC749" s="42" t="n"/>
      <c r="BD749" s="42" t="n"/>
    </row>
    <row r="750" ht="15" customHeight="1" s="148">
      <c r="A750" t="inlineStr">
        <is>
          <t>c0746</t>
        </is>
      </c>
      <c r="B750" s="47" t="inlineStr">
        <is>
          <t>Ao, the Dawn Sky</t>
        </is>
      </c>
      <c r="C750" s="38" t="inlineStr">
        <is>
          <t>W</t>
        </is>
      </c>
      <c r="D750" s="47" t="inlineStr">
        <is>
          <t>Legendary Creature</t>
        </is>
      </c>
      <c r="E750" s="41" t="inlineStr">
        <is>
          <t>B2</t>
        </is>
      </c>
      <c r="F750" s="38" t="n">
        <v>5</v>
      </c>
      <c r="G750" s="67" t="inlineStr">
        <is>
          <t>Flying, vigilance
When Ao dies, choose one —
• Look at the top seven cards of your library. Put any number of nonland permanent cards with total mana value 4 or less from among them onto the battlefield. Put the rest on the bottom of your library in a random order.
• Put two +1/+1 counters on each permanent you control that's a creature or Vehicle.
(5/4)</t>
        </is>
      </c>
      <c r="H750" s="53" t="inlineStr">
        <is>
          <t>Value Engine</t>
        </is>
      </c>
      <c r="I750" s="53" t="inlineStr">
        <is>
          <t>When it dies, puts nonland permanents totaling mana value 4 or less from top 7 onto the battlefield</t>
        </is>
      </c>
      <c r="J750" s="53" t="inlineStr">
        <is>
          <t>Or puts two +1/+1 counters on each creature and Vehicle you control</t>
        </is>
      </c>
      <c r="K750" s="53" t="n"/>
      <c r="L750" s="42" t="n"/>
      <c r="M750" s="42" t="n"/>
      <c r="N750" s="42" t="n"/>
      <c r="O750" s="63" t="n"/>
      <c r="P750" s="63" t="n">
        <v>0.35</v>
      </c>
      <c r="Q750" s="42" t="n"/>
      <c r="R750" s="42" t="n"/>
      <c r="S750" s="42" t="n"/>
      <c r="T750" s="63" t="n"/>
      <c r="U750" s="63" t="n"/>
      <c r="V750" s="53" t="inlineStr">
        <is>
          <t>Kamigawa: Neon Dynasty</t>
        </is>
      </c>
      <c r="W750" s="41" t="n">
        <v>1</v>
      </c>
      <c r="X750" s="37">
        <f>SUM(Y750:AE750)</f>
        <v/>
      </c>
      <c r="Y750" s="43" t="n"/>
      <c r="Z750" s="43" t="n"/>
      <c r="AA750" s="43" t="n"/>
      <c r="AB750" s="43" t="n"/>
      <c r="AC750" s="43" t="n"/>
      <c r="AD750" s="43" t="n"/>
      <c r="AE750" s="43" t="n"/>
      <c r="AF750" s="38">
        <f>IF((W750-SUM(Y750:AE750))&lt;0,0,W750-SUM(Y750:AE750))</f>
        <v/>
      </c>
      <c r="AG750" s="38">
        <f>MAX(0,$AT750-$W750-$AI750)</f>
        <v/>
      </c>
      <c r="AH750" s="38" t="n"/>
      <c r="AI750" s="38" t="n"/>
      <c r="AJ750" s="54" t="n">
        <v>0.31</v>
      </c>
      <c r="AK750" s="54">
        <f>IF(AND($AG750&gt;0,ISNUMBER($AJ750)),$AG750*$AJ750,0)</f>
        <v/>
      </c>
      <c r="AT750" s="37">
        <f>SUM(AU750:BA750)</f>
        <v/>
      </c>
      <c r="AU750" s="73" t="n"/>
      <c r="AV750" s="33" t="n"/>
      <c r="AW750" s="33" t="n"/>
      <c r="AX750" s="33" t="n"/>
      <c r="AY750" s="33" t="n"/>
      <c r="AZ750" s="33" t="n"/>
      <c r="BA750" s="74" t="n"/>
      <c r="BB750" s="47" t="n"/>
      <c r="BC750" s="42" t="n"/>
      <c r="BD750" s="42" t="n"/>
    </row>
    <row r="751" ht="15" customHeight="1" s="148">
      <c r="A751" t="inlineStr">
        <is>
          <t>c0747</t>
        </is>
      </c>
      <c r="B751" s="32" t="inlineStr">
        <is>
          <t>Appeal to Eirdu</t>
        </is>
      </c>
      <c r="C751" s="33" t="inlineStr">
        <is>
          <t>W</t>
        </is>
      </c>
      <c r="D751" s="32" t="inlineStr">
        <is>
          <t>Instant</t>
        </is>
      </c>
      <c r="E751" s="33" t="inlineStr">
        <is>
          <t>B2</t>
        </is>
      </c>
      <c r="F751" s="33" t="n">
        <v>4</v>
      </c>
      <c r="G751" s="67" t="inlineStr">
        <is>
          <t>Convoke (Your creatures can help cast this spell. Each creature you tap while casting this spell pays for {1} or one mana of that creature's color.)
One or two target creatures each get +2/+1 until end of turn.</t>
        </is>
      </c>
      <c r="H751" s="32" t="inlineStr">
        <is>
          <t>Combat Trick</t>
        </is>
      </c>
      <c r="I751" s="32" t="inlineStr">
        <is>
          <t>One or two target creatures each get +2/+1 until end of turn</t>
        </is>
      </c>
      <c r="J751" s="32" t="inlineStr">
        <is>
          <t>Convoke — tap creatures you control to help pay for it</t>
        </is>
      </c>
      <c r="K751" s="32" t="n"/>
      <c r="L751" s="32" t="inlineStr">
        <is>
          <t>5</t>
        </is>
      </c>
      <c r="M751" s="32" t="n">
        <v>1</v>
      </c>
      <c r="N751" s="32" t="n">
        <v>0</v>
      </c>
      <c r="O751" s="63" t="n"/>
      <c r="P751" s="63" t="n">
        <v>0.11</v>
      </c>
      <c r="Q751" s="32" t="inlineStr">
        <is>
          <t>Common</t>
        </is>
      </c>
      <c r="R751" s="32" t="n"/>
      <c r="S751" s="32" t="n"/>
      <c r="T751" s="63" t="n"/>
      <c r="U751" s="63" t="n"/>
      <c r="V751" s="32" t="inlineStr">
        <is>
          <t>Lorwyn Eclipsed</t>
        </is>
      </c>
      <c r="W751" s="41" t="n">
        <v>1</v>
      </c>
      <c r="X751" s="37">
        <f>SUM(Y751:AE751)</f>
        <v/>
      </c>
      <c r="Y751" s="43" t="n"/>
      <c r="Z751" s="43" t="n"/>
      <c r="AA751" s="43" t="n"/>
      <c r="AB751" s="43" t="n"/>
      <c r="AC751" s="43" t="n"/>
      <c r="AD751" s="43" t="n"/>
      <c r="AE751" s="43" t="n"/>
      <c r="AF751" s="38">
        <f>IF((W751-SUM(Y751:AE751))&lt;0,0,W751-SUM(Y751:AE751))</f>
        <v/>
      </c>
      <c r="AG751" s="38">
        <f>MAX(0,$AT751-$W751-$AI751)</f>
        <v/>
      </c>
      <c r="AH751" s="32" t="n"/>
      <c r="AI751" s="32" t="n"/>
      <c r="AJ751" s="61" t="n">
        <v>0.11</v>
      </c>
      <c r="AK751" s="54">
        <f>IF(AND($AG751&gt;0,ISNUMBER($AJ751)),$AG751*$AJ751,0)</f>
        <v/>
      </c>
      <c r="AT751" s="37">
        <f>SUM(AU751:BA751)</f>
        <v/>
      </c>
      <c r="AU751" s="73" t="n"/>
      <c r="AV751" s="33" t="n"/>
      <c r="AW751" s="33" t="n"/>
      <c r="AX751" s="33" t="n"/>
      <c r="AY751" s="33" t="n"/>
      <c r="AZ751" s="33" t="n"/>
      <c r="BA751" s="74" t="n"/>
      <c r="BB751" s="32" t="n"/>
      <c r="BC751" s="32" t="n"/>
      <c r="BD751" s="32" t="n"/>
    </row>
    <row r="752" ht="15" customHeight="1" s="148">
      <c r="A752" t="inlineStr">
        <is>
          <t>c0748</t>
        </is>
      </c>
      <c r="B752" s="47" t="inlineStr">
        <is>
          <t>Approach of the Second Sun</t>
        </is>
      </c>
      <c r="C752" s="38" t="inlineStr">
        <is>
          <t>W</t>
        </is>
      </c>
      <c r="D752" s="47" t="inlineStr">
        <is>
          <t>Sorcery</t>
        </is>
      </c>
      <c r="E752" s="41" t="inlineStr">
        <is>
          <t>B3</t>
        </is>
      </c>
      <c r="F752" s="38" t="n">
        <v>7</v>
      </c>
      <c r="G752" s="67" t="inlineStr">
        <is>
          <t>If this spell was cast from your hand and you've cast another spell named Approach of the Second Sun this game, you win the game. Otherwise, put Approach of the Second Sun into its owner's library seventh from the top and you gain 7 life.</t>
        </is>
      </c>
      <c r="H752" s="53" t="inlineStr">
        <is>
          <t>Finisher</t>
        </is>
      </c>
      <c r="I752" s="53" t="inlineStr">
        <is>
          <t>If this spell was cast from your hand and you've cast another spell named Approach of the Second Sun this game, you win the game. Otherwise, put Approach of the Second Sun into its owner's library seventh from the top and you gain 7 life.</t>
        </is>
      </c>
      <c r="J752" s="53" t="n"/>
      <c r="K752" s="53" t="n"/>
      <c r="L752" s="41" t="n"/>
      <c r="M752" s="41" t="n"/>
      <c r="N752" s="41" t="n"/>
      <c r="O752" s="41" t="n"/>
      <c r="P752" s="41" t="n">
        <v>6.68</v>
      </c>
      <c r="Q752" s="41" t="n"/>
      <c r="R752" s="41" t="n"/>
      <c r="S752" s="41" t="n"/>
      <c r="T752" s="41" t="n"/>
      <c r="U752" s="41" t="n"/>
      <c r="V752" s="53" t="inlineStr">
        <is>
          <t>Amonkhet</t>
        </is>
      </c>
      <c r="W752" s="41" t="n">
        <v>0</v>
      </c>
      <c r="X752" s="37">
        <f>SUM(Y752:AE752)</f>
        <v/>
      </c>
      <c r="Y752" s="43" t="n"/>
      <c r="Z752" s="43" t="n"/>
      <c r="AA752" s="43" t="n"/>
      <c r="AB752" s="43" t="n"/>
      <c r="AC752" s="43" t="n"/>
      <c r="AD752" s="43" t="n"/>
      <c r="AE752" s="43" t="n"/>
      <c r="AF752" s="38">
        <f>IF((W752-SUM(Y752:AE752))&lt;0,0,W752-SUM(Y752:AE752))</f>
        <v/>
      </c>
      <c r="AG752" s="38">
        <f>MAX(0,$AT752-$W752-$AI752)</f>
        <v/>
      </c>
      <c r="AH752" s="38" t="n"/>
      <c r="AI752" s="38" t="n"/>
      <c r="AJ752" s="54" t="n">
        <v>6.66</v>
      </c>
      <c r="AK752" s="54">
        <f>IF(AND($AG752&gt;0,ISNUMBER($AJ752)),$AG752*$AJ752,0)</f>
        <v/>
      </c>
      <c r="AL752" s="54" t="n"/>
      <c r="AM752" s="54" t="n"/>
      <c r="AN752" s="54" t="n"/>
      <c r="AO752" s="54" t="n"/>
      <c r="AP752" s="54" t="n"/>
      <c r="AQ752" s="54" t="n"/>
      <c r="AR752" s="54" t="n"/>
      <c r="AS752" s="54" t="n"/>
      <c r="AT752" s="37">
        <f>SUM(AU752:BA752)</f>
        <v/>
      </c>
      <c r="AU752" s="92" t="n"/>
      <c r="AV752" s="38" t="n"/>
      <c r="AW752" s="38" t="n"/>
      <c r="AX752" s="38" t="n"/>
      <c r="AY752" s="38" t="n"/>
      <c r="AZ752" s="38" t="n"/>
      <c r="BA752" s="94" t="n"/>
      <c r="BB752" s="47" t="n"/>
      <c r="BC752" s="42" t="n"/>
      <c r="BD752" s="48" t="n"/>
    </row>
    <row r="753" ht="15" customHeight="1" s="148">
      <c r="A753" t="inlineStr">
        <is>
          <t>c0749</t>
        </is>
      </c>
      <c r="B753" s="47" t="inlineStr">
        <is>
          <t>Archaeomancer's Map</t>
        </is>
      </c>
      <c r="C753" s="38" t="inlineStr">
        <is>
          <t>W</t>
        </is>
      </c>
      <c r="D753" s="47" t="inlineStr">
        <is>
          <t>Artifact</t>
        </is>
      </c>
      <c r="E753" s="41" t="inlineStr">
        <is>
          <t>B2</t>
        </is>
      </c>
      <c r="F753" s="38" t="n">
        <v>3</v>
      </c>
      <c r="G753" s="67" t="inlineStr">
        <is>
          <t>When this artifact enters, search your library for up to two basic Plains cards, reveal them, put them into your hand, then shuffle.
Whenever a land an opponent controls enters, if that player controls more lands than you, you may put a land card from your hand onto the battlefield.</t>
        </is>
      </c>
      <c r="H753" s="53" t="inlineStr">
        <is>
          <t>Ramp</t>
        </is>
      </c>
      <c r="I753" s="53" t="inlineStr">
        <is>
          <t>Enters: search for up to two basic Plains, put them into hand</t>
        </is>
      </c>
      <c r="J753" s="53" t="inlineStr">
        <is>
          <t>An opponent with more lands playing a land lets you put a land from hand onto the battlefield</t>
        </is>
      </c>
      <c r="K753" s="53" t="n"/>
      <c r="L753" s="41" t="n"/>
      <c r="M753" s="41" t="n"/>
      <c r="N753" s="41" t="n"/>
      <c r="O753" s="41" t="n"/>
      <c r="P753" s="41" t="n">
        <v>1.02</v>
      </c>
      <c r="Q753" s="41" t="n"/>
      <c r="R753" s="41" t="n"/>
      <c r="S753" s="41" t="n"/>
      <c r="T753" s="41" t="n"/>
      <c r="U753" s="41" t="n"/>
      <c r="V753" s="53" t="inlineStr">
        <is>
          <t>Commander 2021</t>
        </is>
      </c>
      <c r="W753" s="41" t="n">
        <v>1</v>
      </c>
      <c r="X753" s="37">
        <f>SUM(Y753:AE753)</f>
        <v/>
      </c>
      <c r="Y753" s="43" t="n">
        <v>1</v>
      </c>
      <c r="Z753" s="43" t="n"/>
      <c r="AA753" s="43" t="n"/>
      <c r="AB753" s="43" t="n"/>
      <c r="AC753" s="43" t="n"/>
      <c r="AD753" s="43" t="n"/>
      <c r="AE753" s="43" t="n"/>
      <c r="AF753" s="38">
        <f>IF((W753-SUM(Y753:AE753))&lt;0,0,W753-SUM(Y753:AE753))</f>
        <v/>
      </c>
      <c r="AG753" s="38">
        <f>MAX(0,$AT753-$W753-$AI753)</f>
        <v/>
      </c>
      <c r="AH753" s="38" t="n"/>
      <c r="AI753" s="38" t="n"/>
      <c r="AJ753" s="54" t="n">
        <v>1.18</v>
      </c>
      <c r="AK753" s="54">
        <f>IF(AND($AG753&gt;0,ISNUMBER($AJ753)),$AG753*$AJ753,0)</f>
        <v/>
      </c>
      <c r="AT753" s="37">
        <f>SUM(AU753:BA753)</f>
        <v/>
      </c>
      <c r="AU753" s="82" t="n">
        <v>1</v>
      </c>
      <c r="AV753" s="33" t="n"/>
      <c r="AW753" s="33" t="n"/>
      <c r="AX753" s="33" t="n"/>
      <c r="AY753" s="33" t="n"/>
      <c r="AZ753" s="33" t="n"/>
      <c r="BA753" s="74" t="n"/>
      <c r="BB753" s="47" t="n"/>
      <c r="BC753" s="42" t="n"/>
      <c r="BD753" s="42" t="n"/>
    </row>
    <row r="754" ht="15" customHeight="1" s="148">
      <c r="A754" t="inlineStr">
        <is>
          <t>c0750</t>
        </is>
      </c>
      <c r="B754" s="32" t="inlineStr">
        <is>
          <t>Ascendant Dustspeaker</t>
        </is>
      </c>
      <c r="C754" s="33" t="inlineStr">
        <is>
          <t>W</t>
        </is>
      </c>
      <c r="D754" s="32" t="inlineStr">
        <is>
          <t>Creature</t>
        </is>
      </c>
      <c r="E754" s="33" t="inlineStr">
        <is>
          <t>B2</t>
        </is>
      </c>
      <c r="F754" s="33" t="n">
        <v>5</v>
      </c>
      <c r="G754" s="67" t="inlineStr">
        <is>
          <t>Flying
When this creature enters, put a +1/+1 counter on another target creature you control.
At the beginning of combat on your turn, exile up to one target card from a graveyard.
(3/4)</t>
        </is>
      </c>
      <c r="H754" s="32" t="inlineStr">
        <is>
          <t>Graveyard Hate</t>
        </is>
      </c>
      <c r="I754" s="32" t="inlineStr">
        <is>
          <t>At the beginning of combat on your turn, exile up to one target card from a graveyard</t>
        </is>
      </c>
      <c r="J754" s="32" t="inlineStr">
        <is>
          <t>Enters: put a +1/+1 counter on another target creature you control</t>
        </is>
      </c>
      <c r="K754" s="32" t="inlineStr">
        <is>
          <t>3/4 flying body</t>
        </is>
      </c>
      <c r="L754" s="32" t="inlineStr">
        <is>
          <t>8</t>
        </is>
      </c>
      <c r="M754" s="32" t="n">
        <v>1</v>
      </c>
      <c r="N754" s="32" t="n">
        <v>0</v>
      </c>
      <c r="O754" s="63" t="n"/>
      <c r="P754" s="63" t="n">
        <v>0.08</v>
      </c>
      <c r="Q754" s="32" t="inlineStr">
        <is>
          <t>Common</t>
        </is>
      </c>
      <c r="R754" s="32" t="n"/>
      <c r="S754" s="32" t="n"/>
      <c r="T754" s="63" t="n"/>
      <c r="U754" s="63" t="n"/>
      <c r="V754" s="32" t="inlineStr">
        <is>
          <t>Secrets of Strixhaven</t>
        </is>
      </c>
      <c r="W754" s="41" t="n">
        <v>1</v>
      </c>
      <c r="X754" s="37">
        <f>SUM(Y754:AE754)</f>
        <v/>
      </c>
      <c r="Y754" s="43" t="n"/>
      <c r="Z754" s="43" t="n"/>
      <c r="AA754" s="43" t="n"/>
      <c r="AB754" s="43" t="n"/>
      <c r="AC754" s="43" t="n"/>
      <c r="AD754" s="43" t="n"/>
      <c r="AE754" s="43" t="n"/>
      <c r="AF754" s="38">
        <f>IF((W754-SUM(Y754:AE754))&lt;0,0,W754-SUM(Y754:AE754))</f>
        <v/>
      </c>
      <c r="AG754" s="38">
        <f>MAX(0,$AT754-$W754-$AI754)</f>
        <v/>
      </c>
      <c r="AH754" s="32" t="n"/>
      <c r="AI754" s="32" t="n"/>
      <c r="AJ754" s="61" t="n">
        <v>0.08</v>
      </c>
      <c r="AK754" s="54">
        <f>IF(AND($AG754&gt;0,ISNUMBER($AJ754)),$AG754*$AJ754,0)</f>
        <v/>
      </c>
      <c r="AT754" s="37">
        <f>SUM(AU754:BA754)</f>
        <v/>
      </c>
      <c r="AU754" s="73" t="n"/>
      <c r="AV754" s="33" t="n"/>
      <c r="AW754" s="33" t="n"/>
      <c r="AX754" s="33" t="n"/>
      <c r="AY754" s="33" t="n"/>
      <c r="AZ754" s="33" t="n"/>
      <c r="BA754" s="74" t="n"/>
      <c r="BB754" s="32" t="n"/>
      <c r="BC754" s="32" t="n"/>
      <c r="BD754" s="32" t="n"/>
    </row>
    <row r="755" ht="15" customHeight="1" s="148">
      <c r="A755" t="inlineStr">
        <is>
          <t>c0751</t>
        </is>
      </c>
      <c r="B755" s="47" t="inlineStr">
        <is>
          <t>Augusta, Order Returned</t>
        </is>
      </c>
      <c r="C755" s="38" t="inlineStr">
        <is>
          <t>W</t>
        </is>
      </c>
      <c r="D755" s="47" t="inlineStr">
        <is>
          <t>Legendary Creature</t>
        </is>
      </c>
      <c r="E755" s="41" t="inlineStr">
        <is>
          <t>B2</t>
        </is>
      </c>
      <c r="F755" s="38" t="n">
        <v>3</v>
      </c>
      <c r="G755" s="67" t="inlineStr">
        <is>
          <t>Flying, vigilance
Whenever Augusta attacks, each player exiles a card from their graveyard. When one or more nonland cards are exiled this way, put that many +1/+1 counters on target attacking creature.
(1/3)</t>
        </is>
      </c>
      <c r="H755" s="53" t="inlineStr">
        <is>
          <t>Graveyard Hate</t>
        </is>
      </c>
      <c r="I755" s="53" t="inlineStr">
        <is>
          <t>Flying body that also stays untapped when attacking</t>
        </is>
      </c>
      <c r="J755" s="53" t="inlineStr">
        <is>
          <t>Attacking makes each player exile a card from their graveyard</t>
        </is>
      </c>
      <c r="K755" s="53" t="inlineStr">
        <is>
          <t>Puts a +1/+1 counter on an attacker for each nonland card exiled this way</t>
        </is>
      </c>
      <c r="L755" s="41" t="n"/>
      <c r="M755" s="41" t="n"/>
      <c r="N755" s="41" t="n"/>
      <c r="O755" s="41" t="n"/>
      <c r="P755" s="41" t="n">
        <v>0.18</v>
      </c>
      <c r="Q755" s="41" t="n"/>
      <c r="R755" s="41" t="n"/>
      <c r="S755" s="41" t="n"/>
      <c r="T755" s="41" t="n"/>
      <c r="U755" s="41" t="n"/>
      <c r="V755" s="53" t="inlineStr">
        <is>
          <t>Secrets of Strixhaven Commander</t>
        </is>
      </c>
      <c r="W755" s="41" t="n">
        <v>1</v>
      </c>
      <c r="X755" s="37">
        <f>SUM(Y755:AE755)</f>
        <v/>
      </c>
      <c r="Y755" s="43" t="n"/>
      <c r="Z755" s="43" t="n"/>
      <c r="AA755" s="43" t="n"/>
      <c r="AB755" s="43" t="n"/>
      <c r="AC755" s="43" t="n"/>
      <c r="AD755" s="43" t="n"/>
      <c r="AE755" s="43" t="n"/>
      <c r="AF755" s="38">
        <f>IF((W755-SUM(Y755:AE755))&lt;0,0,W755-SUM(Y755:AE755))</f>
        <v/>
      </c>
      <c r="AG755" s="38">
        <f>MAX(0,$AT755-$W755-$AI755)</f>
        <v/>
      </c>
      <c r="AH755" s="38" t="n"/>
      <c r="AI755" s="38" t="n"/>
      <c r="AJ755" s="54" t="n">
        <v>0.2</v>
      </c>
      <c r="AK755" s="54">
        <f>IF(AND($AG755&gt;0,ISNUMBER($AJ755)),$AG755*$AJ755,0)</f>
        <v/>
      </c>
      <c r="AT755" s="37">
        <f>SUM(AU755:BA755)</f>
        <v/>
      </c>
      <c r="AU755" s="73" t="n"/>
      <c r="AV755" s="33" t="n"/>
      <c r="AW755" s="33" t="n"/>
      <c r="AX755" s="33" t="n"/>
      <c r="AY755" s="33" t="n"/>
      <c r="AZ755" s="33" t="n"/>
      <c r="BA755" s="74" t="n"/>
      <c r="BB755" s="47" t="n"/>
      <c r="BC755" s="42" t="n"/>
      <c r="BD755" s="42" t="n"/>
    </row>
    <row r="756" ht="15" customHeight="1" s="148">
      <c r="A756" t="inlineStr">
        <is>
          <t>c0752</t>
        </is>
      </c>
      <c r="B756" s="42" t="inlineStr">
        <is>
          <t>Austere Command</t>
        </is>
      </c>
      <c r="C756" s="41" t="inlineStr">
        <is>
          <t>W</t>
        </is>
      </c>
      <c r="D756" s="42" t="inlineStr">
        <is>
          <t>Sorcery</t>
        </is>
      </c>
      <c r="E756" s="41" t="inlineStr">
        <is>
          <t>B3</t>
        </is>
      </c>
      <c r="F756" s="41" t="n">
        <v>6</v>
      </c>
      <c r="G756" s="67" t="inlineStr">
        <is>
          <t>Choose two —
• Destroy all artifacts.
• Destroy all enchantments.
• Destroy all creatures with mana value 3 or less.
• Destroy all creatures with mana value 4 or greater.</t>
        </is>
      </c>
      <c r="H756" s="42" t="inlineStr">
        <is>
          <t>Board Wipe</t>
        </is>
      </c>
      <c r="I756" s="42" t="inlineStr">
        <is>
          <t>Choose two — Destroy all artifacts; or Destroy all enchantments; or Destroy all creatures with mana value 3 or less; or Destroy all creatures with mana value 4 or greater</t>
        </is>
      </c>
      <c r="J756" s="42" t="n"/>
      <c r="K756" s="42" t="n"/>
      <c r="L756" s="88" t="n"/>
      <c r="M756" s="41" t="n"/>
      <c r="N756" s="41" t="n"/>
      <c r="O756" s="63" t="n"/>
      <c r="P756" s="90" t="n">
        <v>0.35</v>
      </c>
      <c r="Q756" s="88" t="n"/>
      <c r="R756" s="41" t="n"/>
      <c r="S756" s="41" t="n"/>
      <c r="T756" s="63" t="n"/>
      <c r="U756" s="91" t="n"/>
      <c r="V756" s="42" t="inlineStr">
        <is>
          <t>Lorwyn</t>
        </is>
      </c>
      <c r="W756" s="41" t="n">
        <v>0</v>
      </c>
      <c r="X756" s="37">
        <f>SUM(Y756:AE756)</f>
        <v/>
      </c>
      <c r="Y756" s="43" t="n"/>
      <c r="Z756" s="43" t="n"/>
      <c r="AA756" s="43" t="n"/>
      <c r="AB756" s="43" t="n"/>
      <c r="AC756" s="43" t="n"/>
      <c r="AD756" s="43" t="n"/>
      <c r="AE756" s="43" t="n"/>
      <c r="AF756" s="38">
        <f>IF((W756-SUM(Y756:AE756))&lt;0,0,W756-SUM(Y756:AE756))</f>
        <v/>
      </c>
      <c r="AG756" s="38">
        <f>MAX(0,$AT756-$W756-$AI756)</f>
        <v/>
      </c>
      <c r="AH756" s="42" t="n"/>
      <c r="AI756" s="42" t="n"/>
      <c r="AJ756" s="42" t="n">
        <v>0.36</v>
      </c>
      <c r="AK756" s="42">
        <f>IF(AND($AG756&gt;0,ISNUMBER($AJ756)),$AG756*$AJ756,0)</f>
        <v/>
      </c>
      <c r="AT756" s="37">
        <f>SUM(AU756:BA756)</f>
        <v/>
      </c>
      <c r="AU756" s="73" t="n"/>
      <c r="AV756" s="33" t="n"/>
      <c r="AW756" s="33" t="n"/>
      <c r="AX756" s="33" t="n">
        <v>1</v>
      </c>
      <c r="AY756" s="33" t="n">
        <v>1</v>
      </c>
      <c r="AZ756" s="33" t="n"/>
      <c r="BA756" s="74" t="n"/>
      <c r="BB756" s="42" t="n"/>
      <c r="BC756" s="42" t="n"/>
      <c r="BD756" s="42" t="n"/>
    </row>
    <row r="757" ht="15" customHeight="1" s="148">
      <c r="A757" t="inlineStr">
        <is>
          <t>c0753</t>
        </is>
      </c>
      <c r="B757" s="42" t="inlineStr">
        <is>
          <t>Bofur, Reliable Guardian</t>
        </is>
      </c>
      <c r="C757" s="41" t="inlineStr">
        <is>
          <t>W</t>
        </is>
      </c>
      <c r="D757" s="42" t="inlineStr">
        <is>
          <t>Legendary Creature</t>
        </is>
      </c>
      <c r="E757" s="41" t="inlineStr">
        <is>
          <t>B2</t>
        </is>
      </c>
      <c r="F757" s="41" t="n">
        <v>1</v>
      </c>
      <c r="G757" s="67" t="inlineStr">
        <is>
          <t>Bofur, Reliable Guardian {W} — Legendary Creature — Dwarf Scout (1/1)
Lifelink
//
Concerted Care {1}{W} — Instant — Adventure
Target artifact or creature you control gains hexproof and indestructible until end of turn. (Then exile this card. You may cast the creature later from exile.)</t>
        </is>
      </c>
      <c r="H757" s="42" t="inlineStr">
        <is>
          <t>Protection</t>
        </is>
      </c>
      <c r="I757" s="42" t="inlineStr">
        <is>
          <t>Lifelink</t>
        </is>
      </c>
      <c r="J757" s="42" t="inlineStr">
        <is>
          <t>Back face Concerted Care {1}{W}: target artifact or creature you control gains hexproof and indestructible until end of turn</t>
        </is>
      </c>
      <c r="K757" s="42" t="n"/>
      <c r="L757" s="42" t="n"/>
      <c r="M757" s="42" t="n"/>
      <c r="N757" s="42" t="n"/>
      <c r="O757" s="42" t="n"/>
      <c r="P757" s="42" t="n"/>
      <c r="Q757" s="42" t="n"/>
      <c r="R757" s="42" t="n"/>
      <c r="S757" s="42" t="n"/>
      <c r="T757" s="42" t="n"/>
      <c r="U757" s="42" t="n"/>
      <c r="V757" s="42" t="inlineStr">
        <is>
          <t>The Hobbit</t>
        </is>
      </c>
      <c r="W757" s="41" t="n">
        <v>1</v>
      </c>
      <c r="X757" s="37">
        <f>SUM(Y757:AE757)</f>
        <v/>
      </c>
      <c r="Y757" s="43" t="n"/>
      <c r="Z757" s="43" t="n">
        <v>1</v>
      </c>
      <c r="AA757" s="43" t="n"/>
      <c r="AB757" s="43" t="n"/>
      <c r="AC757" s="43" t="n"/>
      <c r="AD757" s="43" t="n"/>
      <c r="AE757" s="43" t="n"/>
      <c r="AF757" s="38">
        <f>IF((W757-SUM(Y757:AE757))&lt;0,0,W757-SUM(Y757:AE757))</f>
        <v/>
      </c>
      <c r="AG757" s="38">
        <f>MAX(0,$AT757-$W757-$AI757)</f>
        <v/>
      </c>
      <c r="AH757" s="42" t="n"/>
      <c r="AI757" s="42" t="n"/>
      <c r="AJ757" s="42" t="n">
        <v>0.24</v>
      </c>
      <c r="AK757" s="42">
        <f>IF(AND($AG757&gt;0,ISNUMBER($AJ757)),$AG757*$AJ757,0)</f>
        <v/>
      </c>
      <c r="AT757" s="37">
        <f>SUM(AU757:BA757)</f>
        <v/>
      </c>
      <c r="AU757" s="73" t="n"/>
      <c r="AV757" s="98" t="n">
        <v>1</v>
      </c>
      <c r="AW757" s="33" t="n"/>
      <c r="AX757" s="33" t="n"/>
      <c r="AY757" s="33" t="n"/>
      <c r="AZ757" s="33" t="n"/>
      <c r="BA757" s="74" t="n"/>
      <c r="BB757" s="42" t="n"/>
      <c r="BC757" s="42" t="n"/>
      <c r="BD757" s="42" t="n"/>
    </row>
    <row r="758" ht="15" customHeight="1" s="148">
      <c r="A758" t="inlineStr">
        <is>
          <t>c0754</t>
        </is>
      </c>
      <c r="B758" s="47" t="inlineStr">
        <is>
          <t>Bronze Guardian</t>
        </is>
      </c>
      <c r="C758" s="38" t="inlineStr">
        <is>
          <t>W</t>
        </is>
      </c>
      <c r="D758" s="47" t="inlineStr">
        <is>
          <t>Artifact Creature</t>
        </is>
      </c>
      <c r="E758" s="41" t="inlineStr">
        <is>
          <t>B2</t>
        </is>
      </c>
      <c r="F758" s="38" t="n">
        <v>5</v>
      </c>
      <c r="G758" s="67" t="inlineStr">
        <is>
          <t>Double strike
Ward {2} (Whenever this creature becomes the target of a spell or ability an opponent controls, counter it unless that player pays {2}.)
Other artifacts you control have ward {2}.
Bronze Guardian's power is equal to the number of artifacts you control.
(*/5)</t>
        </is>
      </c>
      <c r="H758" s="53" t="inlineStr">
        <is>
          <t>Protection</t>
        </is>
      </c>
      <c r="I758" s="53" t="inlineStr">
        <is>
          <t>Its power equals the number of artifacts you control</t>
        </is>
      </c>
      <c r="J758" s="53" t="inlineStr">
        <is>
          <t>Other artifacts you control can't be targeted by opponents without them paying {2}</t>
        </is>
      </c>
      <c r="K758" s="53" t="inlineStr">
        <is>
          <t>Deals combat damage twice each combat</t>
        </is>
      </c>
      <c r="L758" s="42" t="n"/>
      <c r="M758" s="42" t="n"/>
      <c r="N758" s="42" t="n"/>
      <c r="O758" s="63" t="n"/>
      <c r="P758" s="63" t="n">
        <v>1.46</v>
      </c>
      <c r="Q758" s="42" t="n"/>
      <c r="R758" s="42" t="n"/>
      <c r="S758" s="42" t="n"/>
      <c r="T758" s="63" t="n"/>
      <c r="U758" s="63" t="n"/>
      <c r="V758" s="53" t="inlineStr">
        <is>
          <t>Commander 2021</t>
        </is>
      </c>
      <c r="W758" s="41" t="n">
        <v>1</v>
      </c>
      <c r="X758" s="37">
        <f>SUM(Y758:AE758)</f>
        <v/>
      </c>
      <c r="Y758" s="43" t="n"/>
      <c r="Z758" s="43" t="n"/>
      <c r="AA758" s="43" t="n"/>
      <c r="AB758" s="43" t="n"/>
      <c r="AC758" s="43" t="n"/>
      <c r="AD758" s="43" t="n"/>
      <c r="AE758" s="43" t="n"/>
      <c r="AF758" s="38">
        <f>IF((W758-SUM(Y758:AE758))&lt;0,0,W758-SUM(Y758:AE758))</f>
        <v/>
      </c>
      <c r="AG758" s="38">
        <f>MAX(0,$AT758-$W758-$AI758)</f>
        <v/>
      </c>
      <c r="AH758" s="38" t="n"/>
      <c r="AI758" s="38" t="n"/>
      <c r="AJ758" s="54" t="n">
        <v>1.36</v>
      </c>
      <c r="AK758" s="54">
        <f>IF(AND($AG758&gt;0,ISNUMBER($AJ758)),$AG758*$AJ758,0)</f>
        <v/>
      </c>
      <c r="AT758" s="37">
        <f>SUM(AU758:BA758)</f>
        <v/>
      </c>
      <c r="AU758" s="73" t="n"/>
      <c r="AV758" s="33" t="n"/>
      <c r="AW758" s="33" t="n"/>
      <c r="AX758" s="33" t="n"/>
      <c r="AY758" s="33" t="n"/>
      <c r="AZ758" s="33" t="n"/>
      <c r="BA758" s="74" t="n"/>
      <c r="BB758" s="47" t="n"/>
      <c r="BC758" s="42" t="n"/>
      <c r="BD758" s="42" t="n"/>
    </row>
    <row r="759" ht="15" customHeight="1" s="148">
      <c r="A759" t="inlineStr">
        <is>
          <t>c0755</t>
        </is>
      </c>
      <c r="B759" s="47" t="inlineStr">
        <is>
          <t>Brought Back</t>
        </is>
      </c>
      <c r="C759" s="38" t="inlineStr">
        <is>
          <t>W</t>
        </is>
      </c>
      <c r="D759" s="47" t="inlineStr">
        <is>
          <t>Instant</t>
        </is>
      </c>
      <c r="E759" s="41" t="inlineStr">
        <is>
          <t>B3</t>
        </is>
      </c>
      <c r="F759" s="38" t="n">
        <v>2</v>
      </c>
      <c r="G759" s="67" t="inlineStr">
        <is>
          <t>Choose up to two target permanent cards in your graveyard that were put there from the battlefield this turn. Return them to the battlefield tapped.</t>
        </is>
      </c>
      <c r="H759" s="53" t="inlineStr">
        <is>
          <t>Recursion</t>
        </is>
      </c>
      <c r="I759" s="53" t="inlineStr">
        <is>
          <t>Choose up to two target permanent cards in your graveyard that were put there from the battlefield this turn. Return the</t>
        </is>
      </c>
      <c r="J759" s="53" t="n"/>
      <c r="K759" s="53" t="n"/>
      <c r="L759" s="42" t="n"/>
      <c r="M759" s="42" t="n"/>
      <c r="N759" s="42" t="n"/>
      <c r="O759" s="42" t="n"/>
      <c r="P759" s="42" t="n">
        <v>2.27</v>
      </c>
      <c r="Q759" s="42" t="n"/>
      <c r="R759" s="42" t="n"/>
      <c r="S759" s="42" t="n"/>
      <c r="T759" s="42" t="n"/>
      <c r="U759" s="42" t="n"/>
      <c r="V759" s="53" t="inlineStr">
        <is>
          <t>Core Set 2020</t>
        </is>
      </c>
      <c r="W759" s="41" t="n">
        <v>0</v>
      </c>
      <c r="X759" s="37">
        <f>SUM(Y759:AE759)</f>
        <v/>
      </c>
      <c r="Y759" s="43" t="n"/>
      <c r="Z759" s="43" t="n"/>
      <c r="AA759" s="43" t="n"/>
      <c r="AB759" s="43" t="n"/>
      <c r="AC759" s="43" t="n"/>
      <c r="AD759" s="43" t="n"/>
      <c r="AE759" s="43" t="n"/>
      <c r="AF759" s="38">
        <f>IF((W759-SUM(Y759:AE759))&lt;0,0,W759-SUM(Y759:AE759))</f>
        <v/>
      </c>
      <c r="AG759" s="38">
        <f>MAX(0,$AT759-$W759-$AI759)</f>
        <v/>
      </c>
      <c r="AH759" s="38" t="n"/>
      <c r="AI759" s="38" t="n"/>
      <c r="AJ759" s="54" t="n">
        <v>1.55</v>
      </c>
      <c r="AK759" s="54">
        <f>IF(AND($AG759&gt;0,ISNUMBER($AJ759)),$AG759*$AJ759,0)</f>
        <v/>
      </c>
      <c r="AL759" s="54" t="n"/>
      <c r="AM759" s="54" t="n"/>
      <c r="AN759" s="54" t="n"/>
      <c r="AO759" s="54" t="n"/>
      <c r="AP759" s="54" t="n"/>
      <c r="AQ759" s="54" t="n"/>
      <c r="AR759" s="54" t="n"/>
      <c r="AS759" s="54" t="n"/>
      <c r="AT759" s="37">
        <f>SUM(AU759:BA759)</f>
        <v/>
      </c>
      <c r="AU759" s="92" t="n"/>
      <c r="AV759" s="38" t="n"/>
      <c r="AW759" s="38" t="n"/>
      <c r="AX759" s="38" t="n"/>
      <c r="AY759" s="38" t="n"/>
      <c r="AZ759" s="38" t="n"/>
      <c r="BA759" s="94" t="n"/>
      <c r="BB759" s="47" t="n"/>
      <c r="BC759" s="42" t="n"/>
      <c r="BD759" s="42" t="n"/>
    </row>
    <row r="760" ht="15" customHeight="1" s="148">
      <c r="A760" t="inlineStr">
        <is>
          <t>c0756</t>
        </is>
      </c>
      <c r="B760" s="47" t="inlineStr">
        <is>
          <t>Burdened Stoneback</t>
        </is>
      </c>
      <c r="C760" s="38" t="inlineStr">
        <is>
          <t>W</t>
        </is>
      </c>
      <c r="D760" s="47" t="inlineStr">
        <is>
          <t>Creature</t>
        </is>
      </c>
      <c r="E760" s="41" t="inlineStr">
        <is>
          <t>B2</t>
        </is>
      </c>
      <c r="F760" s="38" t="n">
        <v>2</v>
      </c>
      <c r="G760" s="67" t="inlineStr">
        <is>
          <t>This creature enters with two -1/-1 counters on it.
{1}{W}, Remove a counter from this creature: Target creature gains indestructible until end of turn. Activate only as a sorcery. (Damage and effects that say "destroy" don't destroy it. If its toughness is 0 or less, it still dies.)
(4/4)</t>
        </is>
      </c>
      <c r="H760" s="53" t="inlineStr">
        <is>
          <t>Protection</t>
        </is>
      </c>
      <c r="I760" s="53" t="inlineStr">
        <is>
          <t>Enters with two -1/-1 counters on itself</t>
        </is>
      </c>
      <c r="J760" s="53" t="inlineStr">
        <is>
          <t>Remove a counter: give target creature indestructible until end of turn</t>
        </is>
      </c>
      <c r="K760" s="53" t="n"/>
      <c r="L760" s="42" t="inlineStr">
        <is>
          <t>8</t>
        </is>
      </c>
      <c r="M760" s="42" t="n">
        <v>1</v>
      </c>
      <c r="N760" s="42" t="n">
        <v>0</v>
      </c>
      <c r="O760" s="63" t="inlineStr">
        <is>
          <t>Carl Critchlow</t>
        </is>
      </c>
      <c r="P760" s="63" t="n">
        <v>0.16</v>
      </c>
      <c r="Q760" s="42" t="inlineStr">
        <is>
          <t>Uncommon</t>
        </is>
      </c>
      <c r="R760" s="42" t="n"/>
      <c r="S760" s="42" t="n"/>
      <c r="T760" s="63" t="n"/>
      <c r="U760" s="63" t="n"/>
      <c r="V760" s="53" t="inlineStr">
        <is>
          <t>Lorwyn Eclipsed</t>
        </is>
      </c>
      <c r="W760" s="41" t="n">
        <v>2</v>
      </c>
      <c r="X760" s="37">
        <f>SUM(Y760:AE760)</f>
        <v/>
      </c>
      <c r="Y760" s="43" t="n"/>
      <c r="Z760" s="43" t="n"/>
      <c r="AA760" s="43" t="n"/>
      <c r="AB760" s="43" t="n"/>
      <c r="AC760" s="43" t="n"/>
      <c r="AD760" s="43" t="n"/>
      <c r="AE760" s="43" t="n"/>
      <c r="AF760" s="38">
        <f>IF((W760-SUM(Y760:AE760))&lt;0,0,W760-SUM(Y760:AE760))</f>
        <v/>
      </c>
      <c r="AG760" s="38">
        <f>MAX(0,$AT760-$W760-$AI760)</f>
        <v/>
      </c>
      <c r="AH760" s="38" t="n"/>
      <c r="AI760" s="38" t="n"/>
      <c r="AJ760" s="54" t="n">
        <v>0.16</v>
      </c>
      <c r="AK760" s="54">
        <f>IF(AND($AG760&gt;0,ISNUMBER($AJ760)),$AG760*$AJ760,0)</f>
        <v/>
      </c>
      <c r="AT760" s="37">
        <f>SUM(AU760:BA760)</f>
        <v/>
      </c>
      <c r="AU760" s="73" t="n"/>
      <c r="AV760" s="33" t="n"/>
      <c r="AW760" s="33" t="n"/>
      <c r="AX760" s="33" t="n"/>
      <c r="AY760" s="33" t="n"/>
      <c r="AZ760" s="33" t="n"/>
      <c r="BA760" s="74" t="n"/>
      <c r="BB760" s="47" t="n"/>
      <c r="BC760" s="42" t="n"/>
      <c r="BD760" s="42" t="n"/>
    </row>
    <row r="761" ht="15" customHeight="1" s="148">
      <c r="A761" t="inlineStr">
        <is>
          <t>c0757</t>
        </is>
      </c>
      <c r="B761" s="47" t="inlineStr">
        <is>
          <t>Cast Out</t>
        </is>
      </c>
      <c r="C761" s="38" t="inlineStr">
        <is>
          <t>W</t>
        </is>
      </c>
      <c r="D761" s="47" t="inlineStr">
        <is>
          <t>Enchantment</t>
        </is>
      </c>
      <c r="E761" s="41" t="inlineStr">
        <is>
          <t>B2</t>
        </is>
      </c>
      <c r="F761" s="38" t="n">
        <v>4</v>
      </c>
      <c r="G761" s="67" t="inlineStr">
        <is>
          <t>Flash
When this enchantment enters, exile target nonland permanent an opponent controls until this enchantment leaves the battlefield.
Cycling {W} ({W}, Discard this card: Draw a card.)</t>
        </is>
      </c>
      <c r="H761" s="53" t="inlineStr">
        <is>
          <t>Removal</t>
        </is>
      </c>
      <c r="I761" s="53" t="inlineStr">
        <is>
          <t>Can be cast at instant speed</t>
        </is>
      </c>
      <c r="J761" s="53" t="inlineStr">
        <is>
          <t>Enters: exiles target nonland permanent an opponent controls until this leaves</t>
        </is>
      </c>
      <c r="K761" s="53" t="inlineStr">
        <is>
          <t>Discard for {W} to draw a card instead of casting</t>
        </is>
      </c>
      <c r="L761" s="41" t="n"/>
      <c r="M761" s="41" t="n"/>
      <c r="N761" s="41" t="n"/>
      <c r="O761" s="41" t="n"/>
      <c r="P761" s="41" t="n">
        <v>0.28</v>
      </c>
      <c r="Q761" s="41" t="n"/>
      <c r="R761" s="41" t="n"/>
      <c r="S761" s="41" t="n"/>
      <c r="T761" s="41" t="n"/>
      <c r="U761" s="41" t="n"/>
      <c r="V761" s="53" t="inlineStr">
        <is>
          <t>Amonkhet</t>
        </is>
      </c>
      <c r="W761" s="41" t="n">
        <v>3</v>
      </c>
      <c r="X761" s="37">
        <f>SUM(Y761:AE761)</f>
        <v/>
      </c>
      <c r="Y761" s="43" t="n"/>
      <c r="Z761" s="43" t="n">
        <v>1</v>
      </c>
      <c r="AA761" s="43" t="n">
        <v>1</v>
      </c>
      <c r="AB761" s="43" t="n"/>
      <c r="AC761" s="43" t="n"/>
      <c r="AD761" s="43" t="n"/>
      <c r="AE761" s="43" t="n"/>
      <c r="AF761" s="38">
        <f>IF((W761-SUM(Y761:AE761))&lt;0,0,W761-SUM(Y761:AE761))</f>
        <v/>
      </c>
      <c r="AG761" s="38">
        <f>MAX(0,$AT761-$W761-$AI761)</f>
        <v/>
      </c>
      <c r="AH761" s="38" t="n"/>
      <c r="AI761" s="38" t="n"/>
      <c r="AJ761" s="54" t="n">
        <v>0.27</v>
      </c>
      <c r="AK761" s="54">
        <f>IF(AND($AG761&gt;0,ISNUMBER($AJ761)),$AG761*$AJ761,0)</f>
        <v/>
      </c>
      <c r="AT761" s="37">
        <f>SUM(AU761:BA761)</f>
        <v/>
      </c>
      <c r="AU761" s="73" t="n"/>
      <c r="AV761" s="98" t="n">
        <v>1</v>
      </c>
      <c r="AW761" s="98" t="n">
        <v>1</v>
      </c>
      <c r="AX761" s="33" t="n"/>
      <c r="AY761" s="33" t="n"/>
      <c r="AZ761" s="33" t="n"/>
      <c r="BA761" s="74" t="n"/>
      <c r="BB761" s="47" t="n"/>
      <c r="BC761" s="42" t="n"/>
      <c r="BD761" s="42" t="n"/>
    </row>
    <row r="762" ht="15" customHeight="1" s="148">
      <c r="A762" t="inlineStr">
        <is>
          <t>c0758</t>
        </is>
      </c>
      <c r="B762" s="47" t="inlineStr">
        <is>
          <t>Cathar Commando</t>
        </is>
      </c>
      <c r="C762" s="38" t="inlineStr">
        <is>
          <t>W</t>
        </is>
      </c>
      <c r="D762" s="47" t="inlineStr">
        <is>
          <t>Creature</t>
        </is>
      </c>
      <c r="E762" s="41" t="inlineStr">
        <is>
          <t>B2</t>
        </is>
      </c>
      <c r="F762" s="38" t="n">
        <v>2</v>
      </c>
      <c r="G762" s="67" t="inlineStr">
        <is>
          <t>Flash
{1}, Sacrifice this creature: Destroy target artifact or enchantment.
(3/1)</t>
        </is>
      </c>
      <c r="H762" s="53" t="inlineStr">
        <is>
          <t>Artifact/Enchantment Removal</t>
        </is>
      </c>
      <c r="I762" s="53" t="inlineStr">
        <is>
          <t>Sacrifice this creature to destroy target artifact or enchantment</t>
        </is>
      </c>
      <c r="J762" s="53" t="n"/>
      <c r="K762" s="53" t="n"/>
      <c r="L762" s="42" t="n"/>
      <c r="M762" s="42" t="n"/>
      <c r="N762" s="42" t="n"/>
      <c r="O762" s="63" t="n"/>
      <c r="P762" s="63" t="n">
        <v>0.24</v>
      </c>
      <c r="Q762" s="42" t="n"/>
      <c r="R762" s="42" t="n"/>
      <c r="S762" s="42" t="n"/>
      <c r="T762" s="63" t="n"/>
      <c r="U762" s="63" t="n"/>
      <c r="V762" s="53" t="inlineStr">
        <is>
          <t>Innistrad: Midnight Hunt</t>
        </is>
      </c>
      <c r="W762" s="41" t="n">
        <v>1</v>
      </c>
      <c r="X762" s="37">
        <f>SUM(Y762:AE762)</f>
        <v/>
      </c>
      <c r="Y762" s="43" t="n"/>
      <c r="Z762" s="43" t="n"/>
      <c r="AA762" s="43" t="n"/>
      <c r="AB762" s="43" t="n"/>
      <c r="AC762" s="43" t="n"/>
      <c r="AD762" s="43" t="n"/>
      <c r="AE762" s="43" t="n"/>
      <c r="AF762" s="38">
        <f>IF((W762-SUM(Y762:AE762))&lt;0,0,W762-SUM(Y762:AE762))</f>
        <v/>
      </c>
      <c r="AG762" s="38">
        <f>MAX(0,$AT762-$W762-$AI762)</f>
        <v/>
      </c>
      <c r="AH762" s="38" t="n"/>
      <c r="AI762" s="38" t="n"/>
      <c r="AJ762" s="54" t="n">
        <v>0.21</v>
      </c>
      <c r="AK762" s="54">
        <f>IF(AND($AG762&gt;0,ISNUMBER($AJ762)),$AG762*$AJ762,0)</f>
        <v/>
      </c>
      <c r="AT762" s="37">
        <f>SUM(AU762:BA762)</f>
        <v/>
      </c>
      <c r="AU762" s="73" t="n"/>
      <c r="AV762" s="33" t="n"/>
      <c r="AW762" s="33" t="n"/>
      <c r="AX762" s="33" t="n"/>
      <c r="AY762" s="33" t="n"/>
      <c r="AZ762" s="33" t="n"/>
      <c r="BA762" s="74" t="n"/>
      <c r="BB762" s="47" t="n"/>
      <c r="BC762" s="42" t="n"/>
      <c r="BD762" s="42" t="n"/>
    </row>
    <row r="763" ht="15" customHeight="1" s="148">
      <c r="A763" t="inlineStr">
        <is>
          <t>c0759</t>
        </is>
      </c>
      <c r="B763" s="47" t="inlineStr">
        <is>
          <t>Ceaseless Conflict</t>
        </is>
      </c>
      <c r="C763" s="38" t="inlineStr">
        <is>
          <t>W</t>
        </is>
      </c>
      <c r="D763" s="47" t="inlineStr">
        <is>
          <t>Sorcery</t>
        </is>
      </c>
      <c r="E763" s="41" t="inlineStr">
        <is>
          <t>B2</t>
        </is>
      </c>
      <c r="F763" s="38" t="n">
        <v>5</v>
      </c>
      <c r="G763" s="67" t="inlineStr">
        <is>
          <t>Destroy all creatures. Then create a 3/2 red and white Spirit creature token for each nontoken creature you controlled that was destroyed this way.</t>
        </is>
      </c>
      <c r="H763" s="53" t="inlineStr">
        <is>
          <t>Board Wipe</t>
        </is>
      </c>
      <c r="I763" s="53" t="inlineStr">
        <is>
          <t>Destroys all creatures</t>
        </is>
      </c>
      <c r="J763" s="53" t="inlineStr">
        <is>
          <t>Creates a 3/2 Spirit token for each of your nontoken creatures destroyed this way</t>
        </is>
      </c>
      <c r="K763" s="53" t="n"/>
      <c r="L763" s="41" t="n"/>
      <c r="M763" s="41" t="n"/>
      <c r="N763" s="41" t="n"/>
      <c r="O763" s="41" t="n"/>
      <c r="P763" s="41" t="n">
        <v>0.23</v>
      </c>
      <c r="Q763" s="41" t="n"/>
      <c r="R763" s="41" t="n"/>
      <c r="S763" s="41" t="n"/>
      <c r="T763" s="41" t="n"/>
      <c r="U763" s="41" t="n"/>
      <c r="V763" s="53" t="inlineStr">
        <is>
          <t>Secrets of Strixhaven Commander</t>
        </is>
      </c>
      <c r="W763" s="41" t="n">
        <v>1</v>
      </c>
      <c r="X763" s="37">
        <f>SUM(Y763:AE763)</f>
        <v/>
      </c>
      <c r="Y763" s="43" t="n">
        <v>1</v>
      </c>
      <c r="Z763" s="43" t="n"/>
      <c r="AA763" s="43" t="n"/>
      <c r="AB763" s="43" t="n"/>
      <c r="AC763" s="43" t="n"/>
      <c r="AD763" s="43" t="n"/>
      <c r="AE763" s="43" t="n"/>
      <c r="AF763" s="38">
        <f>IF((W763-SUM(Y763:AE763))&lt;0,0,W763-SUM(Y763:AE763))</f>
        <v/>
      </c>
      <c r="AG763" s="38">
        <f>MAX(0,$AT763-$W763-$AI763)</f>
        <v/>
      </c>
      <c r="AH763" s="38" t="n"/>
      <c r="AI763" s="38" t="n"/>
      <c r="AJ763" s="54" t="n">
        <v>0.3</v>
      </c>
      <c r="AK763" s="54">
        <f>IF(AND($AG763&gt;0,ISNUMBER($AJ763)),$AG763*$AJ763,0)</f>
        <v/>
      </c>
      <c r="AT763" s="37">
        <f>SUM(AU763:BA763)</f>
        <v/>
      </c>
      <c r="AU763" s="82" t="n">
        <v>1</v>
      </c>
      <c r="AV763" s="33" t="n"/>
      <c r="AW763" s="33" t="n"/>
      <c r="AX763" s="33" t="n"/>
      <c r="AY763" s="33" t="n"/>
      <c r="AZ763" s="33" t="n"/>
      <c r="BA763" s="74" t="n"/>
      <c r="BB763" s="47" t="n"/>
      <c r="BC763" s="42" t="n"/>
      <c r="BD763" s="42" t="n"/>
    </row>
    <row r="764" ht="15" customHeight="1" s="148">
      <c r="A764" t="inlineStr">
        <is>
          <t>c0760</t>
        </is>
      </c>
      <c r="B764" s="47" t="inlineStr">
        <is>
          <t>Charming Prince</t>
        </is>
      </c>
      <c r="C764" s="38" t="inlineStr">
        <is>
          <t>W</t>
        </is>
      </c>
      <c r="D764" s="47" t="inlineStr">
        <is>
          <t>Creature</t>
        </is>
      </c>
      <c r="E764" s="41" t="inlineStr">
        <is>
          <t>B2</t>
        </is>
      </c>
      <c r="F764" s="38" t="n">
        <v>2</v>
      </c>
      <c r="G764" s="67" t="inlineStr">
        <is>
          <t>When this creature enters, choose one —
• Scry 2.
• You gain 3 life.
• Exile another target creature you own. Return it to the battlefield under your control at the beginning of the next end step.
(2/2)</t>
        </is>
      </c>
      <c r="H764" s="53" t="inlineStr">
        <is>
          <t>Blink</t>
        </is>
      </c>
      <c r="I764" s="53" t="inlineStr">
        <is>
          <t>Choose one when it enters: Scry 2, gain 3 life, or blink another target creature you own</t>
        </is>
      </c>
      <c r="J764" s="53" t="n"/>
      <c r="K764" s="53" t="n"/>
      <c r="L764" s="42" t="n"/>
      <c r="M764" s="42" t="n"/>
      <c r="N764" s="42" t="n"/>
      <c r="O764" s="42" t="n"/>
      <c r="P764" s="42" t="n">
        <v>0.31</v>
      </c>
      <c r="Q764" s="42" t="n"/>
      <c r="R764" s="42" t="n"/>
      <c r="S764" s="42" t="n"/>
      <c r="T764" s="42" t="n"/>
      <c r="U764" s="42" t="n"/>
      <c r="V764" s="53" t="inlineStr">
        <is>
          <t>Throne of Eldraine</t>
        </is>
      </c>
      <c r="W764" s="41" t="n">
        <v>1</v>
      </c>
      <c r="X764" s="37">
        <f>SUM(Y764:AE764)</f>
        <v/>
      </c>
      <c r="Y764" s="43" t="n"/>
      <c r="Z764" s="43" t="n">
        <v>1</v>
      </c>
      <c r="AA764" s="43" t="n"/>
      <c r="AB764" s="43" t="n"/>
      <c r="AC764" s="43" t="n"/>
      <c r="AD764" s="43" t="n"/>
      <c r="AE764" s="43" t="n"/>
      <c r="AF764" s="38">
        <f>IF((W764-SUM(Y764:AE764))&lt;0,0,W764-SUM(Y764:AE764))</f>
        <v/>
      </c>
      <c r="AG764" s="38">
        <f>MAX(0,$AT764-$W764-$AI764)</f>
        <v/>
      </c>
      <c r="AH764" s="38" t="n"/>
      <c r="AI764" s="38" t="n"/>
      <c r="AJ764" s="54" t="n">
        <v>0.31</v>
      </c>
      <c r="AK764" s="54">
        <f>IF(AND($AG764&gt;0,ISNUMBER($AJ764)),$AG764*$AJ764,0)</f>
        <v/>
      </c>
      <c r="AT764" s="37">
        <f>SUM(AU764:BA764)</f>
        <v/>
      </c>
      <c r="AU764" s="73" t="n"/>
      <c r="AV764" s="98" t="n">
        <v>1</v>
      </c>
      <c r="AW764" s="33" t="n"/>
      <c r="AX764" s="33" t="n"/>
      <c r="AY764" s="33" t="n"/>
      <c r="AZ764" s="33" t="n"/>
      <c r="BA764" s="74" t="n"/>
      <c r="BB764" s="47" t="n"/>
      <c r="BC764" s="42" t="n"/>
      <c r="BD764" s="42" t="n"/>
    </row>
    <row r="765" ht="15" customHeight="1" s="148">
      <c r="A765" t="inlineStr">
        <is>
          <t>c0761</t>
        </is>
      </c>
      <c r="B765" s="47" t="inlineStr">
        <is>
          <t>Chocobo Knights</t>
        </is>
      </c>
      <c r="C765" s="38" t="inlineStr">
        <is>
          <t>W</t>
        </is>
      </c>
      <c r="D765" s="47" t="inlineStr">
        <is>
          <t>Creature</t>
        </is>
      </c>
      <c r="E765" s="41" t="inlineStr">
        <is>
          <t>B2</t>
        </is>
      </c>
      <c r="F765" s="38" t="n">
        <v>4</v>
      </c>
      <c r="G765" s="67" t="inlineStr">
        <is>
          <t>Whenever you attack, creatures you control with counters on them gain double strike until end of turn.
(3/3)</t>
        </is>
      </c>
      <c r="H765" s="53" t="inlineStr">
        <is>
          <t>Counters Payoff</t>
        </is>
      </c>
      <c r="I765" s="53" t="inlineStr">
        <is>
          <t>Creatures you control with counters gain double strike when you attack</t>
        </is>
      </c>
      <c r="J765" s="53" t="n"/>
      <c r="K765" s="53" t="n"/>
      <c r="L765" s="42" t="n"/>
      <c r="M765" s="42" t="n"/>
      <c r="N765" s="42" t="n"/>
      <c r="O765" s="42" t="n"/>
      <c r="P765" s="42" t="n">
        <v>0.3</v>
      </c>
      <c r="Q765" s="42" t="n"/>
      <c r="R765" s="42" t="n"/>
      <c r="S765" s="42" t="n"/>
      <c r="T765" s="42" t="n"/>
      <c r="U765" s="42" t="n"/>
      <c r="V765" s="53" t="inlineStr">
        <is>
          <t>Final Fantasy Commander</t>
        </is>
      </c>
      <c r="W765" s="41" t="n">
        <v>0</v>
      </c>
      <c r="X765" s="37">
        <f>SUM(Y765:AE765)</f>
        <v/>
      </c>
      <c r="Y765" s="43" t="n"/>
      <c r="Z765" s="43" t="n"/>
      <c r="AA765" s="43" t="n"/>
      <c r="AB765" s="43" t="n"/>
      <c r="AC765" s="43" t="n"/>
      <c r="AD765" s="43" t="n"/>
      <c r="AE765" s="43" t="n"/>
      <c r="AF765" s="38">
        <f>IF((W765-SUM(Y765:AE765))&lt;0,0,W765-SUM(Y765:AE765))</f>
        <v/>
      </c>
      <c r="AG765" s="38">
        <f>MAX(0,$AT765-$W765-$AI765)</f>
        <v/>
      </c>
      <c r="AH765" s="38" t="inlineStr">
        <is>
          <t>TCG</t>
        </is>
      </c>
      <c r="AI765" s="38" t="n">
        <v>1</v>
      </c>
      <c r="AJ765" s="54" t="n">
        <v>0.34</v>
      </c>
      <c r="AK765" s="54">
        <f>IF(AND($AG765&gt;0,ISNUMBER($AJ765)),$AG765*$AJ765,0)</f>
        <v/>
      </c>
      <c r="AL765" s="54" t="n"/>
      <c r="AM765" s="54" t="n"/>
      <c r="AN765" s="54" t="n"/>
      <c r="AO765" s="54" t="n"/>
      <c r="AP765" s="54" t="n"/>
      <c r="AQ765" s="54" t="n"/>
      <c r="AR765" s="54" t="n"/>
      <c r="AS765" s="54" t="n"/>
      <c r="AT765" s="37">
        <f>SUM(AU765:BA765)</f>
        <v/>
      </c>
      <c r="AU765" s="92" t="n"/>
      <c r="AV765" s="38" t="n"/>
      <c r="AW765" s="38" t="n"/>
      <c r="AX765" s="38" t="n"/>
      <c r="AY765" s="38" t="n"/>
      <c r="AZ765" s="38" t="n"/>
      <c r="BA765" s="94" t="n"/>
      <c r="BB765" s="47" t="n"/>
      <c r="BC765" s="42" t="n"/>
      <c r="BD765" s="42" t="n"/>
    </row>
    <row r="766" ht="15" customHeight="1" s="148">
      <c r="A766" t="inlineStr">
        <is>
          <t>c0762</t>
        </is>
      </c>
      <c r="B766" s="47" t="inlineStr">
        <is>
          <t>Civic Stalwart</t>
        </is>
      </c>
      <c r="C766" s="38" t="inlineStr">
        <is>
          <t>W</t>
        </is>
      </c>
      <c r="D766" s="47" t="inlineStr">
        <is>
          <t>Creature</t>
        </is>
      </c>
      <c r="E766" s="41" t="inlineStr">
        <is>
          <t>B2</t>
        </is>
      </c>
      <c r="F766" s="38" t="n">
        <v>4</v>
      </c>
      <c r="G766" s="67" t="inlineStr">
        <is>
          <t>When this creature enters, creatures you control get +1/+1 until end of turn.
(3/3)</t>
        </is>
      </c>
      <c r="H766" s="53" t="inlineStr">
        <is>
          <t>Combat Trick</t>
        </is>
      </c>
      <c r="I766" s="53" t="inlineStr">
        <is>
          <t>Creatures you control get +1/+1 until end of turn when it enters</t>
        </is>
      </c>
      <c r="J766" s="53" t="n"/>
      <c r="K766" s="53" t="n"/>
      <c r="L766" s="42" t="n"/>
      <c r="M766" s="42" t="n"/>
      <c r="N766" s="42" t="n"/>
      <c r="O766" s="63" t="n"/>
      <c r="P766" s="63" t="n">
        <v>0.05</v>
      </c>
      <c r="Q766" s="42" t="n"/>
      <c r="R766" s="42" t="n"/>
      <c r="S766" s="42" t="n"/>
      <c r="T766" s="63" t="n"/>
      <c r="U766" s="63" t="n"/>
      <c r="V766" s="53" t="inlineStr">
        <is>
          <t>Ravnica Allegiance</t>
        </is>
      </c>
      <c r="W766" s="41" t="n">
        <v>1</v>
      </c>
      <c r="X766" s="37">
        <f>SUM(Y766:AE766)</f>
        <v/>
      </c>
      <c r="Y766" s="43" t="n"/>
      <c r="Z766" s="43" t="n"/>
      <c r="AA766" s="43" t="n"/>
      <c r="AB766" s="43" t="n"/>
      <c r="AC766" s="43" t="n"/>
      <c r="AD766" s="43" t="n"/>
      <c r="AE766" s="43" t="n"/>
      <c r="AF766" s="38">
        <f>IF((W766-SUM(Y766:AE766))&lt;0,0,W766-SUM(Y766:AE766))</f>
        <v/>
      </c>
      <c r="AG766" s="38">
        <f>MAX(0,$AT766-$W766-$AI766)</f>
        <v/>
      </c>
      <c r="AH766" s="38" t="n"/>
      <c r="AI766" s="38" t="n"/>
      <c r="AJ766" s="54" t="n">
        <v>0.05</v>
      </c>
      <c r="AK766" s="54">
        <f>IF(AND($AG766&gt;0,ISNUMBER($AJ766)),$AG766*$AJ766,0)</f>
        <v/>
      </c>
      <c r="AT766" s="37">
        <f>SUM(AU766:BA766)</f>
        <v/>
      </c>
      <c r="AU766" s="73" t="n"/>
      <c r="AV766" s="33" t="n"/>
      <c r="AW766" s="33" t="n"/>
      <c r="AX766" s="33" t="n"/>
      <c r="AY766" s="33" t="n"/>
      <c r="AZ766" s="33" t="n"/>
      <c r="BA766" s="74" t="n"/>
      <c r="BB766" s="47" t="n"/>
      <c r="BC766" s="42" t="n"/>
      <c r="BD766" s="42" t="n"/>
    </row>
    <row r="767" ht="15" customHeight="1" s="148">
      <c r="A767" t="inlineStr">
        <is>
          <t>c0763</t>
        </is>
      </c>
      <c r="B767" s="47" t="inlineStr">
        <is>
          <t>Clachan Festival</t>
        </is>
      </c>
      <c r="C767" s="38" t="inlineStr">
        <is>
          <t>W</t>
        </is>
      </c>
      <c r="D767" s="47" t="inlineStr">
        <is>
          <t>Kindred Enchantment</t>
        </is>
      </c>
      <c r="E767" s="41" t="inlineStr">
        <is>
          <t>B2</t>
        </is>
      </c>
      <c r="F767" s="38" t="n">
        <v>3</v>
      </c>
      <c r="G767" s="67" t="inlineStr">
        <is>
          <t>When this enchantment enters, create two 1/1 green and white Kithkin creature tokens.
{4}{W}: Create a 1/1 green and white Kithkin creature token.</t>
        </is>
      </c>
      <c r="H767" s="53" t="inlineStr">
        <is>
          <t>Token Producer</t>
        </is>
      </c>
      <c r="I767" s="53" t="inlineStr">
        <is>
          <t>Creates two 1/1 Kithkin tokens when it enters</t>
        </is>
      </c>
      <c r="J767" s="53" t="inlineStr">
        <is>
          <t>Pay {4}{W} to create another 1/1 Kithkin token</t>
        </is>
      </c>
      <c r="K767" s="53" t="n"/>
      <c r="L767" s="42" t="n"/>
      <c r="M767" s="42" t="n"/>
      <c r="N767" s="42" t="n"/>
      <c r="O767" s="42" t="n"/>
      <c r="P767" s="42" t="n">
        <v>0.2</v>
      </c>
      <c r="Q767" s="42" t="n"/>
      <c r="R767" s="42" t="n"/>
      <c r="S767" s="42" t="n"/>
      <c r="T767" s="42" t="n"/>
      <c r="U767" s="42" t="n"/>
      <c r="V767" s="53" t="inlineStr">
        <is>
          <t>Lorwyn Eclipsed</t>
        </is>
      </c>
      <c r="W767" s="41" t="n">
        <v>1</v>
      </c>
      <c r="X767" s="37">
        <f>SUM(Y767:AE767)</f>
        <v/>
      </c>
      <c r="Y767" s="43" t="n"/>
      <c r="Z767" s="43" t="n"/>
      <c r="AA767" s="43" t="n"/>
      <c r="AB767" s="43" t="n"/>
      <c r="AC767" s="43" t="n">
        <v>1</v>
      </c>
      <c r="AD767" s="43" t="n"/>
      <c r="AE767" s="43" t="n"/>
      <c r="AF767" s="38">
        <f>IF((W767-SUM(Y767:AE767))&lt;0,0,W767-SUM(Y767:AE767))</f>
        <v/>
      </c>
      <c r="AG767" s="38">
        <f>MAX(0,$AT767-$W767-$AI767)</f>
        <v/>
      </c>
      <c r="AH767" s="38" t="n"/>
      <c r="AI767" s="38" t="n"/>
      <c r="AJ767" s="54" t="n">
        <v>0.22</v>
      </c>
      <c r="AK767" s="54">
        <f>IF(AND($AG767&gt;0,ISNUMBER($AJ767)),$AG767*$AJ767,0)</f>
        <v/>
      </c>
      <c r="AP767" s="58" t="n"/>
      <c r="AT767" s="37">
        <f>SUM(AU767:BA767)</f>
        <v/>
      </c>
      <c r="AU767" s="73" t="n"/>
      <c r="AV767" s="33" t="n"/>
      <c r="AW767" s="33" t="n"/>
      <c r="AX767" s="33" t="n"/>
      <c r="AY767" s="98" t="n">
        <v>1</v>
      </c>
      <c r="AZ767" s="33" t="n"/>
      <c r="BA767" s="74" t="n"/>
      <c r="BB767" s="47" t="n"/>
      <c r="BC767" s="42" t="n"/>
      <c r="BD767" s="42" t="n"/>
    </row>
    <row r="768" ht="15" customHeight="1" s="148">
      <c r="A768" t="inlineStr">
        <is>
          <t>c0764</t>
        </is>
      </c>
      <c r="B768" s="47" t="inlineStr">
        <is>
          <t>Claim Jumper</t>
        </is>
      </c>
      <c r="C768" s="38" t="inlineStr">
        <is>
          <t>W</t>
        </is>
      </c>
      <c r="D768" s="47" t="inlineStr">
        <is>
          <t>Creature</t>
        </is>
      </c>
      <c r="E768" s="41" t="inlineStr">
        <is>
          <t>B2</t>
        </is>
      </c>
      <c r="F768" s="38" t="n">
        <v>3</v>
      </c>
      <c r="G768" s="67" t="inlineStr">
        <is>
          <t>Vigilance
When this creature enters, if an opponent controls more lands than you, you may search your library for a Plains card and put it onto the battlefield tapped. Then if an opponent controls more lands than you, repeat this process once. If you search your library this way, shuffle.
(3/3)</t>
        </is>
      </c>
      <c r="H768" s="53" t="inlineStr">
        <is>
          <t>Ramp</t>
        </is>
      </c>
      <c r="I768" s="53" t="inlineStr">
        <is>
          <t>Fetches a Plains onto the battlefield tapped if you're land-light</t>
        </is>
      </c>
      <c r="J768" s="53" t="inlineStr">
        <is>
          <t>Repeats the fetch once more if still behind on lands</t>
        </is>
      </c>
      <c r="K768" s="53" t="n"/>
      <c r="L768" s="42" t="n"/>
      <c r="M768" s="42" t="n"/>
      <c r="N768" s="42" t="n"/>
      <c r="O768" s="63" t="n"/>
      <c r="P768" s="63" t="n">
        <v>0.43</v>
      </c>
      <c r="Q768" s="42" t="n"/>
      <c r="R768" s="42" t="n"/>
      <c r="S768" s="42" t="n"/>
      <c r="T768" s="63" t="n"/>
      <c r="U768" s="63" t="n"/>
      <c r="V768" s="53" t="inlineStr">
        <is>
          <t>Outlaws of Thunder Junction</t>
        </is>
      </c>
      <c r="W768" s="41" t="n">
        <v>1</v>
      </c>
      <c r="X768" s="37">
        <f>SUM(Y768:AE768)</f>
        <v/>
      </c>
      <c r="Y768" s="43" t="n"/>
      <c r="Z768" s="43" t="n">
        <v>1</v>
      </c>
      <c r="AA768" s="43" t="n"/>
      <c r="AB768" s="43" t="n"/>
      <c r="AC768" s="43" t="n"/>
      <c r="AD768" s="43" t="n"/>
      <c r="AE768" s="43" t="n"/>
      <c r="AF768" s="38">
        <f>IF((W768-SUM(Y768:AE768))&lt;0,0,W768-SUM(Y768:AE768))</f>
        <v/>
      </c>
      <c r="AG768" s="38">
        <f>MAX(0,$AT768-$W768-$AI768)</f>
        <v/>
      </c>
      <c r="AH768" s="38" t="n"/>
      <c r="AI768" s="38" t="n"/>
      <c r="AJ768" s="54" t="n">
        <v>0.31</v>
      </c>
      <c r="AK768" s="54">
        <f>IF(AND($AG768&gt;0,ISNUMBER($AJ768)),$AG768*$AJ768,0)</f>
        <v/>
      </c>
      <c r="AT768" s="37">
        <f>SUM(AU768:BA768)</f>
        <v/>
      </c>
      <c r="AU768" s="73" t="n"/>
      <c r="AV768" s="98" t="n">
        <v>1</v>
      </c>
      <c r="AW768" s="33" t="n"/>
      <c r="AX768" s="33" t="n"/>
      <c r="AY768" s="33" t="n"/>
      <c r="AZ768" s="33" t="n"/>
      <c r="BA768" s="74" t="n"/>
      <c r="BB768" s="47" t="n"/>
      <c r="BC768" s="42" t="n"/>
      <c r="BD768" s="42" t="n"/>
    </row>
    <row r="769" ht="15" customHeight="1" s="148">
      <c r="A769" t="inlineStr">
        <is>
          <t>c0765</t>
        </is>
      </c>
      <c r="B769" s="47" t="inlineStr">
        <is>
          <t>Cloud's Limit Break</t>
        </is>
      </c>
      <c r="C769" s="38" t="inlineStr">
        <is>
          <t>W</t>
        </is>
      </c>
      <c r="D769" s="47" t="inlineStr">
        <is>
          <t>Instant</t>
        </is>
      </c>
      <c r="E769" s="41" t="inlineStr">
        <is>
          <t>B2</t>
        </is>
      </c>
      <c r="F769" s="38" t="n">
        <v>2</v>
      </c>
      <c r="G769" s="67" t="inlineStr">
        <is>
          <t>Tiered (Choose one additional cost.)
• Cross-Slash — {0} — Destroy target tapped creature.
• Blade Beam — {1} — Destroy any number of target tapped creatures with different controllers.
• Omnislash — {3}{W} — Destroy all tapped creatures.</t>
        </is>
      </c>
      <c r="H769" s="53" t="inlineStr">
        <is>
          <t>Removal</t>
        </is>
      </c>
      <c r="I769" s="53" t="inlineStr">
        <is>
          <t>Destroy target tapped creature</t>
        </is>
      </c>
      <c r="J769" s="53" t="inlineStr">
        <is>
          <t>Or destroy any number of target tapped creatures with different controllers</t>
        </is>
      </c>
      <c r="K769" s="53" t="inlineStr">
        <is>
          <t>Or destroy all tapped creatures for {3}{W} more</t>
        </is>
      </c>
      <c r="L769" s="42" t="n"/>
      <c r="M769" s="42" t="n"/>
      <c r="N769" s="42" t="n"/>
      <c r="O769" s="63" t="n"/>
      <c r="P769" s="63" t="n">
        <v>0.27</v>
      </c>
      <c r="Q769" s="42" t="n"/>
      <c r="R769" s="42" t="n"/>
      <c r="S769" s="42" t="n"/>
      <c r="T769" s="63" t="n"/>
      <c r="U769" s="63" t="n"/>
      <c r="V769" s="53" t="inlineStr">
        <is>
          <t>Final Fantasy Commander</t>
        </is>
      </c>
      <c r="W769" s="41" t="n">
        <v>1</v>
      </c>
      <c r="X769" s="37">
        <f>SUM(Y769:AE769)</f>
        <v/>
      </c>
      <c r="Y769" s="43" t="n"/>
      <c r="Z769" s="43" t="n"/>
      <c r="AA769" s="43" t="n"/>
      <c r="AB769" s="43" t="n"/>
      <c r="AC769" s="43" t="n"/>
      <c r="AD769" s="43" t="n"/>
      <c r="AE769" s="43" t="n"/>
      <c r="AF769" s="38">
        <f>IF((W769-SUM(Y769:AE769))&lt;0,0,W769-SUM(Y769:AE769))</f>
        <v/>
      </c>
      <c r="AG769" s="38">
        <f>MAX(0,$AT769-$W769-$AI769)</f>
        <v/>
      </c>
      <c r="AH769" s="38" t="n"/>
      <c r="AI769" s="38" t="n"/>
      <c r="AJ769" s="54" t="n">
        <v>0.29</v>
      </c>
      <c r="AK769" s="54">
        <f>IF(AND($AG769&gt;0,ISNUMBER($AJ769)),$AG769*$AJ769,0)</f>
        <v/>
      </c>
      <c r="AT769" s="37">
        <f>SUM(AU769:BA769)</f>
        <v/>
      </c>
      <c r="AU769" s="73" t="n"/>
      <c r="AV769" s="33" t="n"/>
      <c r="AW769" s="33" t="n"/>
      <c r="AX769" s="33" t="n"/>
      <c r="AY769" s="33" t="n"/>
      <c r="AZ769" s="33" t="n"/>
      <c r="BA769" s="74" t="n"/>
      <c r="BB769" s="47" t="n"/>
      <c r="BC769" s="42" t="n"/>
      <c r="BD769" s="42" t="n"/>
    </row>
    <row r="770" ht="15" customHeight="1" s="148">
      <c r="A770" t="inlineStr">
        <is>
          <t>c0766</t>
        </is>
      </c>
      <c r="B770" s="47" t="inlineStr">
        <is>
          <t>Collective Effort</t>
        </is>
      </c>
      <c r="C770" s="38" t="inlineStr">
        <is>
          <t>W</t>
        </is>
      </c>
      <c r="D770" s="47" t="inlineStr">
        <is>
          <t>Sorcery</t>
        </is>
      </c>
      <c r="E770" s="41" t="inlineStr">
        <is>
          <t>B2</t>
        </is>
      </c>
      <c r="F770" s="38" t="n">
        <v>3</v>
      </c>
      <c r="G770" s="67" t="inlineStr">
        <is>
          <t>Escalate—Tap an untapped creature you control. (Pay this cost for each mode chosen beyond the first.)
Choose one or more —
• Destroy target creature with power 4 or greater.
• Destroy target enchantment.
• Put a +1/+1 counter on each creature target player controls.</t>
        </is>
      </c>
      <c r="H770" s="53" t="inlineStr">
        <is>
          <t>Removal</t>
        </is>
      </c>
      <c r="I770" s="53" t="inlineStr">
        <is>
          <t>Escalate: tap creatures to add modes beyond the first</t>
        </is>
      </c>
      <c r="J770" s="53" t="inlineStr">
        <is>
          <t>Modes: destroy power 4+ creature, destroy enchantment, or counter creatures</t>
        </is>
      </c>
      <c r="K770" s="53" t="n"/>
      <c r="L770" s="42" t="n"/>
      <c r="M770" s="42" t="n"/>
      <c r="N770" s="42" t="n"/>
      <c r="O770" s="42" t="n"/>
      <c r="P770" s="42" t="n">
        <v>0.15</v>
      </c>
      <c r="Q770" s="42" t="n"/>
      <c r="R770" s="42" t="n"/>
      <c r="S770" s="42" t="n"/>
      <c r="T770" s="42" t="n"/>
      <c r="U770" s="42" t="n"/>
      <c r="V770" s="53" t="inlineStr">
        <is>
          <t>Eldritch Moon</t>
        </is>
      </c>
      <c r="W770" s="41" t="n">
        <v>1</v>
      </c>
      <c r="X770" s="37">
        <f>SUM(Y770:AE770)</f>
        <v/>
      </c>
      <c r="Y770" s="43" t="n"/>
      <c r="Z770" s="43" t="n"/>
      <c r="AA770" s="43" t="n">
        <v>1</v>
      </c>
      <c r="AB770" s="43" t="n"/>
      <c r="AC770" s="43" t="n"/>
      <c r="AD770" s="43" t="n"/>
      <c r="AE770" s="43" t="n"/>
      <c r="AF770" s="38">
        <f>IF((W770-SUM(Y770:AE770))&lt;0,0,W770-SUM(Y770:AE770))</f>
        <v/>
      </c>
      <c r="AG770" s="38">
        <f>MAX(0,$AT770-$W770-$AI770)</f>
        <v/>
      </c>
      <c r="AH770" s="38" t="n"/>
      <c r="AI770" s="38" t="n"/>
      <c r="AJ770" s="54" t="n">
        <v>0.23</v>
      </c>
      <c r="AK770" s="54">
        <f>IF(AND($AG770&gt;0,ISNUMBER($AJ770)),$AG770*$AJ770,0)</f>
        <v/>
      </c>
      <c r="AT770" s="37">
        <f>SUM(AU770:BA770)</f>
        <v/>
      </c>
      <c r="AU770" s="73" t="n"/>
      <c r="AV770" s="33" t="n"/>
      <c r="AW770" s="98" t="n">
        <v>1</v>
      </c>
      <c r="AX770" s="33" t="n"/>
      <c r="AY770" s="33" t="n"/>
      <c r="AZ770" s="33" t="n"/>
      <c r="BA770" s="74" t="n"/>
      <c r="BB770" s="47" t="n"/>
      <c r="BC770" s="42" t="n"/>
      <c r="BD770" s="42" t="n"/>
    </row>
    <row r="771" ht="15" customHeight="1" s="148">
      <c r="A771" t="inlineStr">
        <is>
          <t>c0767</t>
        </is>
      </c>
      <c r="B771" s="47" t="inlineStr">
        <is>
          <t>Combat Calligrapher</t>
        </is>
      </c>
      <c r="C771" s="38" t="inlineStr">
        <is>
          <t>W</t>
        </is>
      </c>
      <c r="D771" s="47" t="inlineStr">
        <is>
          <t>Creature</t>
        </is>
      </c>
      <c r="E771" s="41" t="inlineStr">
        <is>
          <t>B2</t>
        </is>
      </c>
      <c r="F771" s="38" t="n">
        <v>4</v>
      </c>
      <c r="G771" s="67" t="inlineStr">
        <is>
          <t>Flying
Inklings can't attack you or planeswalkers you control.
Whenever a player attacks one of your opponents, that attacking player creates a tapped 2/1 white and black Inkling creature token with flying that's attacking that opponent.
(3/3)</t>
        </is>
      </c>
      <c r="H771" s="53" t="inlineStr">
        <is>
          <t>Token Producer</t>
        </is>
      </c>
      <c r="I771" s="53" t="inlineStr">
        <is>
          <t>Flying</t>
        </is>
      </c>
      <c r="J771" s="53" t="inlineStr">
        <is>
          <t>Inklings can't attack you or planeswalkers you control</t>
        </is>
      </c>
      <c r="K771" s="53" t="inlineStr">
        <is>
          <t>Whenever a player attacks one of your opponents, that attacking player creates a tapped 2/1 white and black Inkling crea</t>
        </is>
      </c>
      <c r="L771" s="42" t="n"/>
      <c r="M771" s="42" t="n"/>
      <c r="N771" s="42" t="n"/>
      <c r="O771" s="42" t="n"/>
      <c r="P771" s="42" t="n">
        <v>0.23</v>
      </c>
      <c r="Q771" s="42" t="n"/>
      <c r="R771" s="42" t="n"/>
      <c r="S771" s="42" t="n"/>
      <c r="T771" s="42" t="n"/>
      <c r="U771" s="42" t="n"/>
      <c r="V771" s="53" t="inlineStr">
        <is>
          <t>Commander 2021</t>
        </is>
      </c>
      <c r="W771" s="41" t="n">
        <v>1</v>
      </c>
      <c r="X771" s="37">
        <f>SUM(Y771:AE771)</f>
        <v/>
      </c>
      <c r="Y771" s="43" t="n"/>
      <c r="Z771" s="43" t="n"/>
      <c r="AA771" s="43" t="n"/>
      <c r="AB771" s="43" t="n"/>
      <c r="AC771" s="43" t="n">
        <v>1</v>
      </c>
      <c r="AD771" s="43" t="n"/>
      <c r="AE771" s="43" t="n"/>
      <c r="AF771" s="38">
        <f>IF((W771-SUM(Y771:AE771))&lt;0,0,W771-SUM(Y771:AE771))</f>
        <v/>
      </c>
      <c r="AG771" s="38">
        <f>MAX(0,$AT771-$W771-$AI771)</f>
        <v/>
      </c>
      <c r="AH771" s="38" t="n"/>
      <c r="AI771" s="38" t="n"/>
      <c r="AJ771" s="54" t="n">
        <v>0.3</v>
      </c>
      <c r="AK771" s="54">
        <f>IF(AND($AG771&gt;0,ISNUMBER($AJ771)),$AG771*$AJ771,0)</f>
        <v/>
      </c>
      <c r="AT771" s="37">
        <f>SUM(AU771:BA771)</f>
        <v/>
      </c>
      <c r="AU771" s="73" t="n"/>
      <c r="AV771" s="33" t="n"/>
      <c r="AW771" s="33" t="n"/>
      <c r="AX771" s="33" t="n"/>
      <c r="AY771" s="98" t="n">
        <v>1</v>
      </c>
      <c r="AZ771" s="33" t="n"/>
      <c r="BA771" s="74" t="n"/>
      <c r="BB771" s="47" t="n"/>
      <c r="BC771" s="42" t="n"/>
      <c r="BD771" s="42" t="n"/>
    </row>
    <row r="772" ht="15" customHeight="1" s="148">
      <c r="A772" t="inlineStr">
        <is>
          <t>c0768</t>
        </is>
      </c>
      <c r="B772" s="47" t="inlineStr">
        <is>
          <t>Court Street Denizen</t>
        </is>
      </c>
      <c r="C772" s="38" t="inlineStr">
        <is>
          <t>W</t>
        </is>
      </c>
      <c r="D772" s="47" t="inlineStr">
        <is>
          <t>Creature</t>
        </is>
      </c>
      <c r="E772" s="41" t="inlineStr">
        <is>
          <t>B2</t>
        </is>
      </c>
      <c r="F772" s="38" t="n">
        <v>3</v>
      </c>
      <c r="G772" s="67" t="inlineStr">
        <is>
          <t>Whenever another white creature you control enters, tap target creature an opponent controls.
(2/2)</t>
        </is>
      </c>
      <c r="H772" s="53" t="inlineStr">
        <is>
          <t>Utility Creature</t>
        </is>
      </c>
      <c r="I772" s="53" t="inlineStr">
        <is>
          <t>Taps target creature an opponent controls whenever another white creature you control enters</t>
        </is>
      </c>
      <c r="J772" s="53" t="n"/>
      <c r="K772" s="53" t="n"/>
      <c r="L772" s="42" t="n"/>
      <c r="M772" s="42" t="n"/>
      <c r="N772" s="42" t="n"/>
      <c r="O772" s="63" t="n"/>
      <c r="P772" s="63" t="n">
        <v>0.21</v>
      </c>
      <c r="Q772" s="42" t="n"/>
      <c r="R772" s="42" t="n"/>
      <c r="S772" s="42" t="n"/>
      <c r="T772" s="63" t="n"/>
      <c r="U772" s="63" t="n"/>
      <c r="V772" s="53" t="inlineStr">
        <is>
          <t>Gatecrash</t>
        </is>
      </c>
      <c r="W772" s="41" t="n">
        <v>1</v>
      </c>
      <c r="X772" s="37">
        <f>SUM(Y772:AE772)</f>
        <v/>
      </c>
      <c r="Y772" s="43" t="n"/>
      <c r="Z772" s="43" t="n"/>
      <c r="AA772" s="43" t="n"/>
      <c r="AB772" s="43" t="n"/>
      <c r="AC772" s="43" t="n"/>
      <c r="AD772" s="43" t="n"/>
      <c r="AE772" s="43" t="n"/>
      <c r="AF772" s="38">
        <f>IF((W772-SUM(Y772:AE772))&lt;0,0,W772-SUM(Y772:AE772))</f>
        <v/>
      </c>
      <c r="AG772" s="38">
        <f>MAX(0,$AT772-$W772-$AI772)</f>
        <v/>
      </c>
      <c r="AH772" s="38" t="n"/>
      <c r="AI772" s="38" t="n"/>
      <c r="AJ772" s="54" t="n">
        <v>0.21</v>
      </c>
      <c r="AK772" s="54">
        <f>IF(AND($AG772&gt;0,ISNUMBER($AJ772)),$AG772*$AJ772,0)</f>
        <v/>
      </c>
      <c r="AT772" s="37">
        <f>SUM(AU772:BA772)</f>
        <v/>
      </c>
      <c r="AU772" s="73" t="n"/>
      <c r="AV772" s="33" t="n"/>
      <c r="AW772" s="33" t="n"/>
      <c r="AX772" s="33" t="n"/>
      <c r="AY772" s="33" t="n"/>
      <c r="AZ772" s="33" t="n"/>
      <c r="BA772" s="74" t="n"/>
      <c r="BB772" s="47" t="n"/>
      <c r="BC772" s="42" t="n"/>
      <c r="BD772" s="42" t="n"/>
    </row>
    <row r="773" ht="15" customHeight="1" s="148">
      <c r="A773" t="inlineStr">
        <is>
          <t>c0769</t>
        </is>
      </c>
      <c r="B773" s="47" t="inlineStr">
        <is>
          <t>Curious Farm Animals</t>
        </is>
      </c>
      <c r="C773" s="38" t="inlineStr">
        <is>
          <t>W</t>
        </is>
      </c>
      <c r="D773" s="47" t="inlineStr">
        <is>
          <t>Creature</t>
        </is>
      </c>
      <c r="E773" s="41" t="inlineStr">
        <is>
          <t>B2</t>
        </is>
      </c>
      <c r="F773" s="38" t="n">
        <v>1</v>
      </c>
      <c r="G773" s="67" t="inlineStr">
        <is>
          <t>When this creature dies, you gain 3 life.
{2}, Sacrifice this creature: Destroy up to one target artifact or enchantment.
(1/1)</t>
        </is>
      </c>
      <c r="H773" s="53" t="inlineStr">
        <is>
          <t>Artifact/Enchantment Removal</t>
        </is>
      </c>
      <c r="I773" s="53" t="inlineStr">
        <is>
          <t>Gain 3 life when this creature dies</t>
        </is>
      </c>
      <c r="J773" s="53" t="inlineStr">
        <is>
          <t>Sacrifice it to destroy target artifact or enchantment</t>
        </is>
      </c>
      <c r="K773" s="53" t="n"/>
      <c r="L773" s="42" t="n"/>
      <c r="M773" s="42" t="n"/>
      <c r="N773" s="42" t="n"/>
      <c r="O773" s="63" t="n"/>
      <c r="P773" s="63" t="n">
        <v>0.26</v>
      </c>
      <c r="Q773" s="42" t="n"/>
      <c r="R773" s="42" t="n"/>
      <c r="S773" s="42" t="n"/>
      <c r="T773" s="63" t="n"/>
      <c r="U773" s="63" t="n"/>
      <c r="V773" s="53" t="inlineStr">
        <is>
          <t>Avatar: The Last Airbender</t>
        </is>
      </c>
      <c r="W773" s="41" t="n">
        <v>1</v>
      </c>
      <c r="X773" s="37">
        <f>SUM(Y773:AE773)</f>
        <v/>
      </c>
      <c r="Y773" s="43" t="n"/>
      <c r="Z773" s="43" t="n"/>
      <c r="AA773" s="43" t="n"/>
      <c r="AB773" s="43" t="n"/>
      <c r="AC773" s="43" t="n"/>
      <c r="AD773" s="43" t="n"/>
      <c r="AE773" s="43" t="n"/>
      <c r="AF773" s="38">
        <f>IF((W773-SUM(Y773:AE773))&lt;0,0,W773-SUM(Y773:AE773))</f>
        <v/>
      </c>
      <c r="AG773" s="38">
        <f>MAX(0,$AT773-$W773-$AI773)</f>
        <v/>
      </c>
      <c r="AH773" s="38" t="n"/>
      <c r="AI773" s="38" t="n"/>
      <c r="AJ773" s="54" t="n">
        <v>0.25</v>
      </c>
      <c r="AK773" s="54">
        <f>IF(AND($AG773&gt;0,ISNUMBER($AJ773)),$AG773*$AJ773,0)</f>
        <v/>
      </c>
      <c r="AT773" s="37">
        <f>SUM(AU773:BA773)</f>
        <v/>
      </c>
      <c r="AU773" s="73" t="n"/>
      <c r="AV773" s="33" t="n"/>
      <c r="AW773" s="33" t="n"/>
      <c r="AX773" s="33" t="n"/>
      <c r="AY773" s="33" t="n"/>
      <c r="AZ773" s="33" t="n"/>
      <c r="BA773" s="74" t="n"/>
      <c r="BB773" s="47" t="n"/>
      <c r="BC773" s="42" t="n"/>
      <c r="BD773" s="42" t="n"/>
    </row>
    <row r="774" ht="15" customHeight="1" s="148">
      <c r="A774" t="inlineStr">
        <is>
          <t>c0770</t>
        </is>
      </c>
      <c r="B774" s="69" t="inlineStr">
        <is>
          <t>Dáin, Lord of the Iron Hills</t>
        </is>
      </c>
      <c r="C774" s="105" t="inlineStr">
        <is>
          <t>W</t>
        </is>
      </c>
      <c r="D774" s="67" t="inlineStr">
        <is>
          <t>Legendary Creature</t>
        </is>
      </c>
      <c r="E774" s="67" t="inlineStr">
        <is>
          <t>B2</t>
        </is>
      </c>
      <c r="F774" s="105" t="n">
        <v>2</v>
      </c>
      <c r="G774" s="69" t="inlineStr">
        <is>
          <t>Dáin, Lord of the Iron Hills {1}{W} — Legendary Creature — Dwarf Noble (2/2)
Vigilance
Storied (If you control three or more artifacts, legendaries, and/or Sagas, you have an enduring story for the rest of the game.)
As long as you have an enduring story, creatures can't attack you unless their controller pays {1} for each of those creatures.</t>
        </is>
      </c>
      <c r="H774" s="69" t="inlineStr">
        <is>
          <t>Protection</t>
        </is>
      </c>
      <c r="I774" s="69" t="inlineStr">
        <is>
          <t>Vigilance; with an enduring story, creatures can't attack you unless their controller pays</t>
        </is>
      </c>
      <c r="J774" s="69" t="inlineStr">
        <is>
          <t>Storied - three or more artifacts, legendaries and/or Sagas gives an enduring story</t>
        </is>
      </c>
      <c r="K774" s="69" t="n"/>
      <c r="L774" s="69" t="inlineStr">
        <is>
          <t>8</t>
        </is>
      </c>
      <c r="M774" s="69" t="n">
        <v>1</v>
      </c>
      <c r="N774" s="69" t="n">
        <v>0</v>
      </c>
      <c r="O774" s="63" t="inlineStr">
        <is>
          <t>Tomas Duchek</t>
        </is>
      </c>
      <c r="P774" s="85" t="n">
        <v>0.23</v>
      </c>
      <c r="Q774" s="69" t="inlineStr">
        <is>
          <t>Uncommon</t>
        </is>
      </c>
      <c r="R774" s="69" t="n"/>
      <c r="S774" s="69" t="n"/>
      <c r="T774" s="63" t="n"/>
      <c r="U774" s="63" t="n"/>
      <c r="V774" s="67" t="inlineStr">
        <is>
          <t>The Hobbit</t>
        </is>
      </c>
      <c r="W774" s="105" t="n">
        <v>1</v>
      </c>
      <c r="X774" s="37">
        <f>SUM(Y774:AE774)</f>
        <v/>
      </c>
      <c r="Y774" s="43" t="n"/>
      <c r="Z774" s="43" t="n"/>
      <c r="AA774" s="43" t="n"/>
      <c r="AB774" s="43" t="n"/>
      <c r="AC774" s="43" t="n"/>
      <c r="AD774" s="43" t="n"/>
      <c r="AE774" s="43" t="n"/>
      <c r="AF774" s="38">
        <f>IF((W774-SUM(Y774:AE774))&lt;0,0,W774-SUM(Y774:AE774))</f>
        <v/>
      </c>
      <c r="AG774" s="38">
        <f>MAX(0,$AT774-$W774-$AI774)</f>
        <v/>
      </c>
      <c r="AH774" s="69" t="n"/>
      <c r="AI774" s="69" t="n"/>
      <c r="AJ774" s="85" t="n">
        <v>0.23</v>
      </c>
      <c r="AK774" s="54">
        <f>IF(AND($AG774&gt;0,ISNUMBER($AJ774)),$AG774*$AJ774,0)</f>
        <v/>
      </c>
      <c r="AL774" s="69" t="n"/>
      <c r="AM774" s="69" t="n"/>
      <c r="AN774" s="69" t="n"/>
      <c r="AO774" s="69" t="n"/>
      <c r="AP774" s="69" t="n"/>
      <c r="AQ774" s="69" t="n"/>
      <c r="AR774" s="69" t="n"/>
      <c r="AS774" s="69" t="n"/>
      <c r="AT774" s="37">
        <f>SUM(AU774:BA774)</f>
        <v/>
      </c>
      <c r="AU774" s="92" t="n"/>
      <c r="AV774" s="38" t="n"/>
      <c r="AW774" s="38" t="n"/>
      <c r="AX774" s="38" t="n"/>
      <c r="AY774" s="38" t="n"/>
      <c r="AZ774" s="38" t="n"/>
      <c r="BA774" s="94" t="n"/>
      <c r="BB774" s="69" t="n"/>
      <c r="BC774" s="69" t="n"/>
      <c r="BD774" s="69" t="n"/>
    </row>
    <row r="775" ht="15" customHeight="1" s="148">
      <c r="A775" t="inlineStr">
        <is>
          <t>c0771</t>
        </is>
      </c>
      <c r="B775" s="47" t="inlineStr">
        <is>
          <t>Danitha Capashen, Paragon</t>
        </is>
      </c>
      <c r="C775" s="38" t="inlineStr">
        <is>
          <t>W</t>
        </is>
      </c>
      <c r="D775" s="47" t="inlineStr">
        <is>
          <t>Legendary Creature</t>
        </is>
      </c>
      <c r="E775" s="41" t="inlineStr">
        <is>
          <t>B2</t>
        </is>
      </c>
      <c r="F775" s="38" t="n">
        <v>3</v>
      </c>
      <c r="G775" s="67" t="inlineStr">
        <is>
          <t>First strike, vigilance, lifelink
Aura and Equipment spells you cast cost {1} less to cast.
(2/2)</t>
        </is>
      </c>
      <c r="H775" s="53" t="inlineStr">
        <is>
          <t>Cost Reducer</t>
        </is>
      </c>
      <c r="I775" s="53" t="inlineStr">
        <is>
          <t>Reduces your Aura and Equipment spells by {1}</t>
        </is>
      </c>
      <c r="J775" s="53" t="inlineStr">
        <is>
          <t>First strike, vigilance, lifelink body</t>
        </is>
      </c>
      <c r="K775" s="53" t="n"/>
      <c r="L775" s="42" t="n"/>
      <c r="M775" s="42" t="n"/>
      <c r="N775" s="42" t="n"/>
      <c r="O775" s="63" t="n"/>
      <c r="P775" s="63" t="n">
        <v>0.97</v>
      </c>
      <c r="Q775" s="42" t="n"/>
      <c r="R775" s="42" t="n"/>
      <c r="S775" s="42" t="n"/>
      <c r="T775" s="63" t="n"/>
      <c r="U775" s="63" t="n"/>
      <c r="V775" s="53" t="inlineStr">
        <is>
          <t>Dominaria</t>
        </is>
      </c>
      <c r="W775" s="41" t="n">
        <v>1</v>
      </c>
      <c r="X775" s="37">
        <f>SUM(Y775:AE775)</f>
        <v/>
      </c>
      <c r="Y775" s="43" t="n"/>
      <c r="Z775" s="43" t="n"/>
      <c r="AA775" s="43" t="n"/>
      <c r="AB775" s="43" t="n"/>
      <c r="AC775" s="43" t="n"/>
      <c r="AD775" s="43" t="n"/>
      <c r="AE775" s="43" t="n"/>
      <c r="AF775" s="38">
        <f>IF((W775-SUM(Y775:AE775))&lt;0,0,W775-SUM(Y775:AE775))</f>
        <v/>
      </c>
      <c r="AG775" s="38">
        <f>MAX(0,$AT775-$W775-$AI775)</f>
        <v/>
      </c>
      <c r="AH775" s="38" t="n"/>
      <c r="AI775" s="38" t="n"/>
      <c r="AJ775" s="54" t="n">
        <v>0.4</v>
      </c>
      <c r="AK775" s="54">
        <f>IF(AND($AG775&gt;0,ISNUMBER($AJ775)),$AG775*$AJ775,0)</f>
        <v/>
      </c>
      <c r="AT775" s="37">
        <f>SUM(AU775:BA775)</f>
        <v/>
      </c>
      <c r="AU775" s="73" t="n"/>
      <c r="AV775" s="33" t="n"/>
      <c r="AW775" s="33" t="n"/>
      <c r="AX775" s="33" t="n"/>
      <c r="AY775" s="33" t="n"/>
      <c r="AZ775" s="33" t="n"/>
      <c r="BA775" s="74" t="n"/>
      <c r="BB775" s="47" t="n"/>
      <c r="BC775" s="42" t="n"/>
      <c r="BD775" s="42" t="n"/>
    </row>
    <row r="776" ht="15" customHeight="1" s="148">
      <c r="A776" t="inlineStr">
        <is>
          <t>c0772</t>
        </is>
      </c>
      <c r="B776" s="47" t="inlineStr">
        <is>
          <t>Day of Judgment</t>
        </is>
      </c>
      <c r="C776" s="38" t="inlineStr">
        <is>
          <t>W</t>
        </is>
      </c>
      <c r="D776" s="47" t="inlineStr">
        <is>
          <t>Sorcery</t>
        </is>
      </c>
      <c r="E776" s="41" t="inlineStr">
        <is>
          <t>B3</t>
        </is>
      </c>
      <c r="F776" s="38" t="n">
        <v>4</v>
      </c>
      <c r="G776" s="67" t="inlineStr">
        <is>
          <t>Destroy all creatures.</t>
        </is>
      </c>
      <c r="H776" s="53" t="inlineStr">
        <is>
          <t>Board Wipe</t>
        </is>
      </c>
      <c r="I776" s="53" t="inlineStr">
        <is>
          <t>Destroys all creatures</t>
        </is>
      </c>
      <c r="J776" s="53" t="n"/>
      <c r="K776" s="53" t="n"/>
      <c r="L776" s="42" t="n"/>
      <c r="M776" s="42" t="n"/>
      <c r="N776" s="42" t="n"/>
      <c r="O776" s="63" t="n"/>
      <c r="P776" s="63" t="n">
        <v>1.07</v>
      </c>
      <c r="Q776" s="42" t="n"/>
      <c r="R776" s="42" t="n"/>
      <c r="S776" s="42" t="n"/>
      <c r="T776" s="63" t="n"/>
      <c r="U776" s="63" t="n"/>
      <c r="V776" s="53" t="inlineStr">
        <is>
          <t>Zendikar</t>
        </is>
      </c>
      <c r="W776" s="41" t="n">
        <v>1</v>
      </c>
      <c r="X776" s="37">
        <f>SUM(Y776:AE776)</f>
        <v/>
      </c>
      <c r="Y776" s="43" t="n"/>
      <c r="Z776" s="43" t="n"/>
      <c r="AA776" s="43" t="n"/>
      <c r="AB776" s="43" t="n"/>
      <c r="AC776" s="43" t="n"/>
      <c r="AD776" s="43" t="n"/>
      <c r="AE776" s="43" t="n"/>
      <c r="AF776" s="38">
        <f>IF((W776-SUM(Y776:AE776))&lt;0,0,W776-SUM(Y776:AE776))</f>
        <v/>
      </c>
      <c r="AG776" s="38">
        <f>MAX(0,$AT776-$W776-$AI776)</f>
        <v/>
      </c>
      <c r="AH776" s="38" t="n"/>
      <c r="AI776" s="38" t="n"/>
      <c r="AJ776" s="54" t="n">
        <v>1.09</v>
      </c>
      <c r="AK776" s="54">
        <f>IF(AND($AG776&gt;0,ISNUMBER($AJ776)),$AG776*$AJ776,0)</f>
        <v/>
      </c>
      <c r="AT776" s="37">
        <f>SUM(AU776:BA776)</f>
        <v/>
      </c>
      <c r="AU776" s="73" t="n"/>
      <c r="AV776" s="33" t="n"/>
      <c r="AW776" s="33" t="n"/>
      <c r="AX776" s="33" t="n"/>
      <c r="AY776" s="33" t="n"/>
      <c r="AZ776" s="33" t="n"/>
      <c r="BA776" s="74" t="n"/>
      <c r="BB776" s="47" t="n"/>
      <c r="BC776" s="42" t="n"/>
      <c r="BD776" s="42" t="n"/>
    </row>
    <row r="777" ht="15" customHeight="1" s="148">
      <c r="A777" t="inlineStr">
        <is>
          <t>c0773</t>
        </is>
      </c>
      <c r="B777" s="32" t="inlineStr">
        <is>
          <t>Daydream</t>
        </is>
      </c>
      <c r="C777" s="33" t="inlineStr">
        <is>
          <t>W</t>
        </is>
      </c>
      <c r="D777" s="32" t="inlineStr">
        <is>
          <t>Sorcery</t>
        </is>
      </c>
      <c r="E777" s="33" t="inlineStr">
        <is>
          <t>B2</t>
        </is>
      </c>
      <c r="F777" s="33" t="n">
        <v>1</v>
      </c>
      <c r="G777" s="67" t="inlineStr">
        <is>
          <t>Exile target creature you control, then return that card to the battlefield under its owner's control with a +1/+1 counter on it.
Flashback {2}{W} (You may cast this card from your graveyard for its flashback cost. Then exile it.)</t>
        </is>
      </c>
      <c r="H777" s="32" t="inlineStr">
        <is>
          <t>Blink</t>
        </is>
      </c>
      <c r="I777" s="32" t="inlineStr">
        <is>
          <t>Exile target creature you control, then return it to the battlefield with a +1/+1 counter on it</t>
        </is>
      </c>
      <c r="J777" s="32" t="inlineStr">
        <is>
          <t>Flashback {2}{W}</t>
        </is>
      </c>
      <c r="K777" s="32" t="n"/>
      <c r="L777" s="32" t="inlineStr">
        <is>
          <t>9</t>
        </is>
      </c>
      <c r="M777" s="32" t="n">
        <v>1</v>
      </c>
      <c r="N777" s="32" t="n">
        <v>0</v>
      </c>
      <c r="O777" s="63" t="n"/>
      <c r="P777" s="63" t="n">
        <v>0.36</v>
      </c>
      <c r="Q777" s="32" t="inlineStr">
        <is>
          <t>Uncommon</t>
        </is>
      </c>
      <c r="R777" s="32" t="n"/>
      <c r="S777" s="32" t="n"/>
      <c r="T777" s="63" t="n"/>
      <c r="U777" s="63" t="n"/>
      <c r="V777" s="32" t="inlineStr">
        <is>
          <t>Secrets of Strixhaven</t>
        </is>
      </c>
      <c r="W777" s="41" t="n">
        <v>1</v>
      </c>
      <c r="X777" s="37">
        <f>SUM(Y777:AE777)</f>
        <v/>
      </c>
      <c r="Y777" s="43" t="n"/>
      <c r="Z777" s="43" t="n"/>
      <c r="AA777" s="43" t="n"/>
      <c r="AB777" s="43" t="n"/>
      <c r="AC777" s="43" t="n"/>
      <c r="AD777" s="43" t="n"/>
      <c r="AE777" s="43" t="n"/>
      <c r="AF777" s="38">
        <f>IF((W777-SUM(Y777:AE777))&lt;0,0,W777-SUM(Y777:AE777))</f>
        <v/>
      </c>
      <c r="AG777" s="38">
        <f>MAX(0,$AT777-$W777-$AI777)</f>
        <v/>
      </c>
      <c r="AH777" s="32" t="n"/>
      <c r="AI777" s="32" t="n"/>
      <c r="AJ777" s="61" t="n">
        <v>0.36</v>
      </c>
      <c r="AK777" s="54">
        <f>IF(AND($AG777&gt;0,ISNUMBER($AJ777)),$AG777*$AJ777,0)</f>
        <v/>
      </c>
      <c r="AT777" s="37">
        <f>SUM(AU777:BA777)</f>
        <v/>
      </c>
      <c r="AU777" s="73" t="n"/>
      <c r="AV777" s="33" t="n"/>
      <c r="AW777" s="33" t="n"/>
      <c r="AX777" s="33" t="n"/>
      <c r="AY777" s="33" t="n"/>
      <c r="AZ777" s="33" t="n"/>
      <c r="BA777" s="74" t="n"/>
      <c r="BB777" s="32" t="n"/>
      <c r="BC777" s="32" t="n"/>
      <c r="BD777" s="32" t="n"/>
    </row>
    <row r="778" ht="15" customHeight="1" s="148">
      <c r="A778" t="inlineStr">
        <is>
          <t>c0774</t>
        </is>
      </c>
      <c r="B778" s="47" t="inlineStr">
        <is>
          <t>Destroy Evil</t>
        </is>
      </c>
      <c r="C778" s="38" t="inlineStr">
        <is>
          <t>W</t>
        </is>
      </c>
      <c r="D778" s="47" t="inlineStr">
        <is>
          <t>Instant</t>
        </is>
      </c>
      <c r="E778" s="41" t="inlineStr">
        <is>
          <t>B2</t>
        </is>
      </c>
      <c r="F778" s="38" t="n">
        <v>2</v>
      </c>
      <c r="G778" s="67" t="inlineStr">
        <is>
          <t>Choose one —
• Destroy target creature with toughness 4 or greater.
• Destroy target enchantment.</t>
        </is>
      </c>
      <c r="H778" s="53" t="inlineStr">
        <is>
          <t>Removal</t>
        </is>
      </c>
      <c r="I778" s="53" t="inlineStr">
        <is>
          <t>Destroys target creature with toughness 4 or greater</t>
        </is>
      </c>
      <c r="J778" s="53" t="inlineStr">
        <is>
          <t>Or destroys target enchantment instead</t>
        </is>
      </c>
      <c r="K778" s="53" t="n"/>
      <c r="L778" s="42" t="n"/>
      <c r="M778" s="42" t="n"/>
      <c r="N778" s="42" t="n"/>
      <c r="O778" s="42" t="n"/>
      <c r="P778" s="42" t="n">
        <v>0.26</v>
      </c>
      <c r="Q778" s="42" t="n"/>
      <c r="R778" s="42" t="n"/>
      <c r="S778" s="42" t="n"/>
      <c r="T778" s="42" t="n"/>
      <c r="U778" s="42" t="n"/>
      <c r="V778" s="53" t="inlineStr">
        <is>
          <t>Dominaria United</t>
        </is>
      </c>
      <c r="W778" s="41" t="n">
        <v>1</v>
      </c>
      <c r="X778" s="37">
        <f>SUM(Y778:AE778)</f>
        <v/>
      </c>
      <c r="Y778" s="43" t="n"/>
      <c r="Z778" s="43" t="n"/>
      <c r="AA778" s="43" t="n"/>
      <c r="AB778" s="43" t="n">
        <v>1</v>
      </c>
      <c r="AC778" s="43" t="n"/>
      <c r="AD778" s="43" t="n"/>
      <c r="AE778" s="43" t="n"/>
      <c r="AF778" s="38">
        <f>IF((W778-SUM(Y778:AE778))&lt;0,0,W778-SUM(Y778:AE778))</f>
        <v/>
      </c>
      <c r="AG778" s="38">
        <f>MAX(0,$AT778-$W778-$AI778)</f>
        <v/>
      </c>
      <c r="AH778" s="38" t="n"/>
      <c r="AI778" s="38" t="n"/>
      <c r="AJ778" s="54" t="n">
        <v>0.19</v>
      </c>
      <c r="AK778" s="54">
        <f>IF(AND($AG778&gt;0,ISNUMBER($AJ778)),$AG778*$AJ778,0)</f>
        <v/>
      </c>
      <c r="AO778" s="58" t="inlineStr">
        <is>
          <t>BL0078</t>
        </is>
      </c>
      <c r="AT778" s="37">
        <f>SUM(AU778:BA778)</f>
        <v/>
      </c>
      <c r="AU778" s="73" t="n"/>
      <c r="AV778" s="33" t="n"/>
      <c r="AW778" s="33" t="n"/>
      <c r="AX778" s="100" t="n"/>
      <c r="AY778" s="33" t="n"/>
      <c r="AZ778" s="33" t="n"/>
      <c r="BA778" s="74" t="n"/>
      <c r="BB778" s="47" t="n"/>
      <c r="BC778" s="42" t="n"/>
      <c r="BD778" s="42" t="n"/>
    </row>
    <row r="779" ht="15" customHeight="1" s="148">
      <c r="A779" t="inlineStr">
        <is>
          <t>c0775</t>
        </is>
      </c>
      <c r="B779" s="47" t="inlineStr">
        <is>
          <t>Disenchant</t>
        </is>
      </c>
      <c r="C779" s="38" t="inlineStr">
        <is>
          <t>W</t>
        </is>
      </c>
      <c r="D779" s="47" t="inlineStr">
        <is>
          <t>Instant</t>
        </is>
      </c>
      <c r="E779" s="41" t="inlineStr">
        <is>
          <t>B2</t>
        </is>
      </c>
      <c r="F779" s="38" t="n">
        <v>2</v>
      </c>
      <c r="G779" s="67" t="inlineStr">
        <is>
          <t>Destroy target artifact or enchantment.</t>
        </is>
      </c>
      <c r="H779" s="53" t="inlineStr">
        <is>
          <t>Artifact/Enchantment Removal</t>
        </is>
      </c>
      <c r="I779" s="53" t="inlineStr">
        <is>
          <t>Destroys target artifact or enchantment</t>
        </is>
      </c>
      <c r="J779" s="53" t="n"/>
      <c r="K779" s="53" t="n"/>
      <c r="L779" s="42" t="n"/>
      <c r="M779" s="42" t="n"/>
      <c r="N779" s="42" t="n"/>
      <c r="O779" s="63" t="n"/>
      <c r="P779" s="63" t="n">
        <v>0.1</v>
      </c>
      <c r="Q779" s="42" t="n"/>
      <c r="R779" s="42" t="n"/>
      <c r="S779" s="42" t="n"/>
      <c r="T779" s="63" t="n"/>
      <c r="U779" s="63" t="n"/>
      <c r="V779" s="53" t="inlineStr">
        <is>
          <t>Limited Edition Alpha</t>
        </is>
      </c>
      <c r="W779" s="41" t="n">
        <v>1</v>
      </c>
      <c r="X779" s="37">
        <f>SUM(Y779:AE779)</f>
        <v/>
      </c>
      <c r="Y779" s="43" t="n"/>
      <c r="Z779" s="43" t="n"/>
      <c r="AA779" s="43" t="n"/>
      <c r="AB779" s="43" t="n"/>
      <c r="AC779" s="43" t="n"/>
      <c r="AD779" s="43" t="n"/>
      <c r="AE779" s="43" t="n"/>
      <c r="AF779" s="38">
        <f>IF((W779-SUM(Y779:AE779))&lt;0,0,W779-SUM(Y779:AE779))</f>
        <v/>
      </c>
      <c r="AG779" s="38">
        <f>MAX(0,$AT779-$W779-$AI779)</f>
        <v/>
      </c>
      <c r="AH779" s="38" t="n"/>
      <c r="AI779" s="38" t="n"/>
      <c r="AJ779" s="54" t="n">
        <v>0.1</v>
      </c>
      <c r="AK779" s="54">
        <f>IF(AND($AG779&gt;0,ISNUMBER($AJ779)),$AG779*$AJ779,0)</f>
        <v/>
      </c>
      <c r="AT779" s="37">
        <f>SUM(AU779:BA779)</f>
        <v/>
      </c>
      <c r="AU779" s="73" t="n"/>
      <c r="AV779" s="33" t="n"/>
      <c r="AW779" s="33" t="n"/>
      <c r="AX779" s="33" t="n"/>
      <c r="AY779" s="33" t="n"/>
      <c r="AZ779" s="33" t="n"/>
      <c r="BA779" s="74" t="n"/>
      <c r="BB779" s="47" t="n"/>
      <c r="BC779" s="42" t="n"/>
      <c r="BD779" s="42" t="n"/>
    </row>
    <row r="780" ht="15" customHeight="1" s="148">
      <c r="A780" t="inlineStr">
        <is>
          <t>c0776</t>
        </is>
      </c>
      <c r="B780" s="47" t="inlineStr">
        <is>
          <t>Doomed Traveler</t>
        </is>
      </c>
      <c r="C780" s="38" t="inlineStr">
        <is>
          <t>W</t>
        </is>
      </c>
      <c r="D780" s="47" t="inlineStr">
        <is>
          <t>Creature</t>
        </is>
      </c>
      <c r="E780" s="41" t="inlineStr">
        <is>
          <t>B2</t>
        </is>
      </c>
      <c r="F780" s="38" t="n">
        <v>1</v>
      </c>
      <c r="G780" s="67" t="inlineStr">
        <is>
          <t>When this creature dies, create a 1/1 white Spirit creature token with flying.
(1/1)</t>
        </is>
      </c>
      <c r="H780" s="53" t="inlineStr">
        <is>
          <t>Token Producer</t>
        </is>
      </c>
      <c r="I780" s="53" t="inlineStr">
        <is>
          <t>Creates a 1/1 flying Spirit token when it dies</t>
        </is>
      </c>
      <c r="J780" s="53" t="n"/>
      <c r="K780" s="53" t="n"/>
      <c r="L780" s="42" t="n"/>
      <c r="M780" s="42" t="n"/>
      <c r="N780" s="42" t="n"/>
      <c r="O780" s="42" t="n"/>
      <c r="P780" s="42" t="n">
        <v>0.09</v>
      </c>
      <c r="Q780" s="42" t="n"/>
      <c r="R780" s="42" t="n"/>
      <c r="S780" s="42" t="n"/>
      <c r="T780" s="42" t="n"/>
      <c r="U780" s="42" t="n"/>
      <c r="V780" s="53" t="inlineStr">
        <is>
          <t>Innistrad</t>
        </is>
      </c>
      <c r="W780" s="41" t="n">
        <v>0</v>
      </c>
      <c r="X780" s="37">
        <f>SUM(Y780:AE780)</f>
        <v/>
      </c>
      <c r="Y780" s="43" t="n"/>
      <c r="Z780" s="43" t="n"/>
      <c r="AA780" s="43" t="n"/>
      <c r="AB780" s="43" t="n"/>
      <c r="AC780" s="43" t="n"/>
      <c r="AD780" s="43" t="n"/>
      <c r="AE780" s="43" t="n"/>
      <c r="AF780" s="38">
        <f>IF((W780-SUM(Y780:AE780))&lt;0,0,W780-SUM(Y780:AE780))</f>
        <v/>
      </c>
      <c r="AG780" s="38">
        <f>MAX(0,$AT780-$W780-$AI780)</f>
        <v/>
      </c>
      <c r="AH780" s="38" t="n"/>
      <c r="AI780" s="38" t="n"/>
      <c r="AJ780" s="54" t="n">
        <v>0.09</v>
      </c>
      <c r="AK780" s="54">
        <f>IF(AND($AG780&gt;0,ISNUMBER($AJ780)),$AG780*$AJ780,0)</f>
        <v/>
      </c>
      <c r="AL780" s="54" t="n"/>
      <c r="AM780" s="54" t="n"/>
      <c r="AN780" s="54" t="n"/>
      <c r="AO780" s="54" t="n"/>
      <c r="AP780" s="54" t="n"/>
      <c r="AQ780" s="54" t="n"/>
      <c r="AR780" s="54" t="n"/>
      <c r="AS780" s="54" t="n"/>
      <c r="AT780" s="37">
        <f>SUM(AU780:BA780)</f>
        <v/>
      </c>
      <c r="AU780" s="92" t="n"/>
      <c r="AV780" s="38" t="n"/>
      <c r="AW780" s="38" t="n"/>
      <c r="AX780" s="38" t="n"/>
      <c r="AY780" s="38" t="n"/>
      <c r="AZ780" s="38" t="n"/>
      <c r="BA780" s="94" t="n"/>
      <c r="BB780" s="47" t="n"/>
      <c r="BC780" s="42" t="n"/>
      <c r="BD780" s="42" t="n"/>
    </row>
    <row r="781" ht="15" customHeight="1" s="148">
      <c r="A781" t="inlineStr">
        <is>
          <t>c0777</t>
        </is>
      </c>
      <c r="B781" s="47" t="inlineStr">
        <is>
          <t>Drogskol Shieldmate</t>
        </is>
      </c>
      <c r="C781" s="38" t="inlineStr">
        <is>
          <t>W</t>
        </is>
      </c>
      <c r="D781" s="47" t="inlineStr">
        <is>
          <t>Creature</t>
        </is>
      </c>
      <c r="E781" s="41" t="inlineStr">
        <is>
          <t>B2</t>
        </is>
      </c>
      <c r="F781" s="38" t="n">
        <v>3</v>
      </c>
      <c r="G781" s="67" t="inlineStr">
        <is>
          <t>Flash
When this creature enters, other creatures you control get +0/+1 until end of turn.
(2/3)</t>
        </is>
      </c>
      <c r="H781" s="53" t="inlineStr">
        <is>
          <t>Combat Trick</t>
        </is>
      </c>
      <c r="I781" s="53" t="inlineStr">
        <is>
          <t>Gives other creatures you control +0/+1 until end of turn when it enters</t>
        </is>
      </c>
      <c r="J781" s="53" t="inlineStr">
        <is>
          <t>Flash creature</t>
        </is>
      </c>
      <c r="K781" s="53" t="n"/>
      <c r="L781" s="42" t="n"/>
      <c r="M781" s="42" t="n"/>
      <c r="N781" s="42" t="n"/>
      <c r="O781" s="63" t="n"/>
      <c r="P781" s="63" t="n">
        <v>0.1</v>
      </c>
      <c r="Q781" s="42" t="n"/>
      <c r="R781" s="42" t="n"/>
      <c r="S781" s="42" t="n"/>
      <c r="T781" s="63" t="n"/>
      <c r="U781" s="63" t="n"/>
      <c r="V781" s="53" t="inlineStr">
        <is>
          <t>Eldritch Moon</t>
        </is>
      </c>
      <c r="W781" s="41" t="n">
        <v>1</v>
      </c>
      <c r="X781" s="37">
        <f>SUM(Y781:AE781)</f>
        <v/>
      </c>
      <c r="Y781" s="43" t="n"/>
      <c r="Z781" s="43" t="n"/>
      <c r="AA781" s="43" t="n"/>
      <c r="AB781" s="43" t="n"/>
      <c r="AC781" s="43" t="n"/>
      <c r="AD781" s="43" t="n"/>
      <c r="AE781" s="43" t="n"/>
      <c r="AF781" s="38">
        <f>IF((W781-SUM(Y781:AE781))&lt;0,0,W781-SUM(Y781:AE781))</f>
        <v/>
      </c>
      <c r="AG781" s="38">
        <f>MAX(0,$AT781-$W781-$AI781)</f>
        <v/>
      </c>
      <c r="AH781" s="38" t="n"/>
      <c r="AI781" s="38" t="n"/>
      <c r="AJ781" s="54" t="n">
        <v>0.1</v>
      </c>
      <c r="AK781" s="54">
        <f>IF(AND($AG781&gt;0,ISNUMBER($AJ781)),$AG781*$AJ781,0)</f>
        <v/>
      </c>
      <c r="AT781" s="37">
        <f>SUM(AU781:BA781)</f>
        <v/>
      </c>
      <c r="AU781" s="73" t="n"/>
      <c r="AV781" s="33" t="n"/>
      <c r="AW781" s="33" t="n"/>
      <c r="AX781" s="33" t="n"/>
      <c r="AY781" s="33" t="n"/>
      <c r="AZ781" s="33" t="n"/>
      <c r="BA781" s="74" t="n"/>
      <c r="BB781" s="47" t="n"/>
      <c r="BC781" s="42" t="n"/>
      <c r="BD781" s="42" t="n"/>
    </row>
    <row r="782" ht="15" customHeight="1" s="148">
      <c r="A782" t="inlineStr">
        <is>
          <t>c0778</t>
        </is>
      </c>
      <c r="B782" s="47" t="inlineStr">
        <is>
          <t>Drumbellower</t>
        </is>
      </c>
      <c r="C782" s="38" t="inlineStr">
        <is>
          <t>W</t>
        </is>
      </c>
      <c r="D782" s="47" t="inlineStr">
        <is>
          <t>Creature</t>
        </is>
      </c>
      <c r="E782" s="41" t="inlineStr">
        <is>
          <t>B2</t>
        </is>
      </c>
      <c r="F782" s="38" t="n">
        <v>3</v>
      </c>
      <c r="G782" s="67" t="inlineStr">
        <is>
          <t>Flying
Untap all creatures you control during each other player's untap step.
(2/1)</t>
        </is>
      </c>
      <c r="H782" s="53" t="inlineStr">
        <is>
          <t>Utility Creature</t>
        </is>
      </c>
      <c r="I782" s="53" t="inlineStr">
        <is>
          <t>Untaps all your creatures during each opponent's untap step</t>
        </is>
      </c>
      <c r="J782" s="53" t="inlineStr">
        <is>
          <t>Flying body</t>
        </is>
      </c>
      <c r="K782" s="53" t="n"/>
      <c r="L782" s="42" t="n"/>
      <c r="M782" s="42" t="n"/>
      <c r="N782" s="42" t="n"/>
      <c r="O782" s="42" t="n"/>
      <c r="P782" s="42" t="n">
        <v>2.97</v>
      </c>
      <c r="Q782" s="42" t="n"/>
      <c r="R782" s="42" t="n"/>
      <c r="S782" s="42" t="n"/>
      <c r="T782" s="42" t="n"/>
      <c r="U782" s="42" t="n"/>
      <c r="V782" s="53" t="inlineStr">
        <is>
          <t>Neon Dynasty Commander</t>
        </is>
      </c>
      <c r="W782" s="41" t="n">
        <v>1</v>
      </c>
      <c r="X782" s="37">
        <f>SUM(Y782:AE782)</f>
        <v/>
      </c>
      <c r="Y782" s="43" t="n"/>
      <c r="Z782" s="43" t="n"/>
      <c r="AA782" s="43" t="n"/>
      <c r="AB782" s="43" t="n">
        <v>1</v>
      </c>
      <c r="AC782" s="43" t="n"/>
      <c r="AD782" s="43" t="n"/>
      <c r="AE782" s="43" t="n"/>
      <c r="AF782" s="38">
        <f>IF((W782-SUM(Y782:AE782))&lt;0,0,W782-SUM(Y782:AE782))</f>
        <v/>
      </c>
      <c r="AG782" s="38">
        <f>MAX(0,$AT782-$W782-$AI782)</f>
        <v/>
      </c>
      <c r="AH782" s="38" t="n"/>
      <c r="AI782" s="38" t="n"/>
      <c r="AJ782" s="54" t="n">
        <v>2.8</v>
      </c>
      <c r="AK782" s="54">
        <f>IF(AND($AG782&gt;0,ISNUMBER($AJ782)),$AG782*$AJ782,0)</f>
        <v/>
      </c>
      <c r="AO782" t="inlineStr">
        <is>
          <t>BL0057</t>
        </is>
      </c>
      <c r="AT782" s="37">
        <f>SUM(AU782:BA782)</f>
        <v/>
      </c>
      <c r="AU782" s="73" t="n"/>
      <c r="AV782" s="33" t="n"/>
      <c r="AW782" s="33" t="n"/>
      <c r="AX782" s="100" t="n"/>
      <c r="AY782" s="33" t="n"/>
      <c r="AZ782" s="33" t="n"/>
      <c r="BA782" s="74" t="n"/>
      <c r="BB782" s="47" t="n"/>
      <c r="BC782" s="42" t="n"/>
      <c r="BD782" s="42" t="n"/>
    </row>
    <row r="783" ht="15" customHeight="1" s="148">
      <c r="A783" t="inlineStr">
        <is>
          <t>c0779</t>
        </is>
      </c>
      <c r="B783" s="32" t="inlineStr">
        <is>
          <t>Duty Beyond Death</t>
        </is>
      </c>
      <c r="C783" s="33" t="inlineStr">
        <is>
          <t>W</t>
        </is>
      </c>
      <c r="D783" s="32" t="inlineStr">
        <is>
          <t>Instant</t>
        </is>
      </c>
      <c r="E783" s="33" t="inlineStr">
        <is>
          <t>B2</t>
        </is>
      </c>
      <c r="F783" s="32" t="n">
        <v>2</v>
      </c>
      <c r="G783" s="67" t="inlineStr">
        <is>
          <t>As an additional cost to cast this spell, sacrifice a creature.
Creatures you control gain indestructible until end of turn. Put a +1/+1 counter on each creature you control. (Damage and effects that say "destroy" don't destroy those creatures.)</t>
        </is>
      </c>
      <c r="H783" s="32" t="inlineStr">
        <is>
          <t>Protection</t>
        </is>
      </c>
      <c r="I783" s="32" t="inlineStr">
        <is>
          <t>Creatures you control gain indestructible until end of turn and each get a +1/+1 counter</t>
        </is>
      </c>
      <c r="J783" s="32" t="inlineStr">
        <is>
          <t>Additional cost: sacrifice a creature</t>
        </is>
      </c>
      <c r="K783" s="32" t="n"/>
      <c r="L783" s="89" t="inlineStr">
        <is>
          <t>4</t>
        </is>
      </c>
      <c r="M783" s="33" t="n">
        <v>1</v>
      </c>
      <c r="N783" s="33" t="n">
        <v>0</v>
      </c>
      <c r="O783" s="63" t="inlineStr">
        <is>
          <t>Zuzanna Wuzyk</t>
        </is>
      </c>
      <c r="P783" s="90" t="n">
        <v>0.32</v>
      </c>
      <c r="Q783" s="32" t="inlineStr">
        <is>
          <t>Uncommon</t>
        </is>
      </c>
      <c r="R783" s="32" t="n"/>
      <c r="S783" s="32" t="n"/>
      <c r="T783" s="63" t="n"/>
      <c r="U783" s="63" t="n"/>
      <c r="V783" s="32" t="inlineStr">
        <is>
          <t>Secrets of Strixhaven Mystical Archive</t>
        </is>
      </c>
      <c r="W783" s="41" t="n">
        <v>1</v>
      </c>
      <c r="X783" s="37">
        <f>SUM(Y783:AE783)</f>
        <v/>
      </c>
      <c r="Y783" s="43" t="n"/>
      <c r="Z783" s="43" t="n"/>
      <c r="AA783" s="43" t="n">
        <v>1</v>
      </c>
      <c r="AB783" s="43" t="n"/>
      <c r="AC783" s="43" t="n"/>
      <c r="AD783" s="43" t="n"/>
      <c r="AE783" s="43" t="n"/>
      <c r="AF783" s="38">
        <f>IF((W783-SUM(Y783:AE783))&lt;0,0,W783-SUM(Y783:AE783))</f>
        <v/>
      </c>
      <c r="AG783" s="38">
        <f>MAX(0,$AT783-$W783-$AI783)</f>
        <v/>
      </c>
      <c r="AH783" s="32" t="n"/>
      <c r="AI783" s="32" t="n"/>
      <c r="AJ783" s="32" t="n">
        <v>0.33</v>
      </c>
      <c r="AK783" s="54">
        <f>IF(AND($AG783&gt;0,ISNUMBER($AJ783)),$AG783*$AJ783,0)</f>
        <v/>
      </c>
      <c r="AT783" s="37">
        <f>SUM(AU783:BA783)</f>
        <v/>
      </c>
      <c r="AU783" s="73" t="n"/>
      <c r="AV783" s="33" t="n"/>
      <c r="AW783" s="98" t="n">
        <v>1</v>
      </c>
      <c r="AX783" s="33" t="n"/>
      <c r="AY783" s="33" t="n"/>
      <c r="AZ783" s="33" t="n"/>
      <c r="BA783" s="74" t="n"/>
      <c r="BB783" s="32" t="n"/>
      <c r="BC783" s="32" t="n"/>
      <c r="BD783" s="32" t="n"/>
    </row>
    <row r="784" ht="15" customHeight="1" s="148">
      <c r="A784" t="inlineStr">
        <is>
          <t>c0780</t>
        </is>
      </c>
      <c r="B784" s="42" t="inlineStr">
        <is>
          <t>Dwarven Provisioner</t>
        </is>
      </c>
      <c r="C784" s="41" t="inlineStr">
        <is>
          <t>W</t>
        </is>
      </c>
      <c r="D784" s="42" t="inlineStr">
        <is>
          <t>Creature</t>
        </is>
      </c>
      <c r="E784" s="41" t="inlineStr">
        <is>
          <t>B2</t>
        </is>
      </c>
      <c r="F784" s="41" t="n">
        <v>2</v>
      </c>
      <c r="G784" s="67" t="inlineStr">
        <is>
          <t>{3}{W}: Creatures you control get +1/+1 until end of turn.
(2/2)</t>
        </is>
      </c>
      <c r="H784" s="42" t="inlineStr">
        <is>
          <t>Lord/Anthem</t>
        </is>
      </c>
      <c r="I784" s="42" t="inlineStr">
        <is>
          <t>{3}{W}: Creatures you control get +1/+1 until end of turn</t>
        </is>
      </c>
      <c r="J784" s="42" t="n"/>
      <c r="K784" s="42" t="n"/>
      <c r="L784" s="42" t="n"/>
      <c r="M784" s="42" t="n"/>
      <c r="N784" s="42" t="n"/>
      <c r="O784" s="63" t="n"/>
      <c r="P784" s="63" t="n"/>
      <c r="Q784" s="42" t="n"/>
      <c r="R784" s="42" t="n"/>
      <c r="S784" s="42" t="n"/>
      <c r="T784" s="63" t="n"/>
      <c r="U784" s="63" t="n"/>
      <c r="V784" s="42" t="inlineStr">
        <is>
          <t>The Hobbit</t>
        </is>
      </c>
      <c r="W784" s="41" t="n">
        <v>2</v>
      </c>
      <c r="X784" s="37">
        <f>SUM(Y784:AE784)</f>
        <v/>
      </c>
      <c r="Y784" s="43" t="n"/>
      <c r="Z784" s="43" t="n"/>
      <c r="AA784" s="43" t="n"/>
      <c r="AB784" s="43" t="n"/>
      <c r="AC784" s="43" t="n"/>
      <c r="AD784" s="43" t="n"/>
      <c r="AE784" s="43" t="n"/>
      <c r="AF784" s="38">
        <f>IF((W784-SUM(Y784:AE784))&lt;0,0,W784-SUM(Y784:AE784))</f>
        <v/>
      </c>
      <c r="AG784" s="38">
        <f>MAX(0,$AT784-$W784-$AI784)</f>
        <v/>
      </c>
      <c r="AH784" s="42" t="n"/>
      <c r="AI784" s="42" t="n"/>
      <c r="AJ784" s="42" t="n">
        <v>0.12</v>
      </c>
      <c r="AK784" s="42">
        <f>IF(AND($AG784&gt;0,ISNUMBER($AJ784)),$AG784*$AJ784,0)</f>
        <v/>
      </c>
      <c r="AT784" s="37">
        <f>SUM(AU784:BA784)</f>
        <v/>
      </c>
      <c r="AU784" s="73" t="n"/>
      <c r="AV784" s="33" t="n"/>
      <c r="AW784" s="33" t="n"/>
      <c r="AX784" s="33" t="n"/>
      <c r="AY784" s="33" t="n"/>
      <c r="AZ784" s="33" t="n"/>
      <c r="BA784" s="74" t="n"/>
      <c r="BB784" s="42" t="n"/>
      <c r="BC784" s="42" t="n"/>
      <c r="BD784" s="42" t="n"/>
    </row>
    <row r="785" ht="15" customHeight="1" s="148">
      <c r="A785" t="inlineStr">
        <is>
          <t>c0781</t>
        </is>
      </c>
      <c r="B785" s="47" t="inlineStr">
        <is>
          <t>Dwarven Shortsword</t>
        </is>
      </c>
      <c r="C785" s="38" t="inlineStr">
        <is>
          <t>W</t>
        </is>
      </c>
      <c r="D785" s="47" t="inlineStr">
        <is>
          <t>Artifact</t>
        </is>
      </c>
      <c r="E785" s="41" t="inlineStr">
        <is>
          <t>B2</t>
        </is>
      </c>
      <c r="F785" s="38" t="n">
        <v>4</v>
      </c>
      <c r="G785" s="67" t="inlineStr">
        <is>
          <t>When this Equipment enters, create a 2/2 red Dwarf creature token, then attach this Equipment to it.
Equipped creature gets +1/+2.
Equip {2} ({2}: Attach to target creature you control. Equip only as a sorcery.)</t>
        </is>
      </c>
      <c r="H785" s="53" t="inlineStr">
        <is>
          <t>Token Producer</t>
        </is>
      </c>
      <c r="I785" s="53" t="inlineStr">
        <is>
          <t>Creates a 2/2 Dwarf token and attaches itself when it enters</t>
        </is>
      </c>
      <c r="J785" s="53" t="inlineStr">
        <is>
          <t>Equipped creature gets +1/+2</t>
        </is>
      </c>
      <c r="K785" s="53" t="inlineStr">
        <is>
          <t>Equip {2}</t>
        </is>
      </c>
      <c r="L785" s="42" t="inlineStr">
        <is>
          <t>10</t>
        </is>
      </c>
      <c r="M785" s="42" t="n">
        <v>1</v>
      </c>
      <c r="N785" s="42" t="n">
        <v>0</v>
      </c>
      <c r="O785" s="63" t="n"/>
      <c r="P785" s="63" t="n">
        <v>0.18</v>
      </c>
      <c r="Q785" s="42" t="inlineStr">
        <is>
          <t>Common</t>
        </is>
      </c>
      <c r="R785" s="42" t="n"/>
      <c r="S785" s="42" t="n"/>
      <c r="T785" s="63" t="n"/>
      <c r="U785" s="63" t="n"/>
      <c r="V785" s="53" t="inlineStr">
        <is>
          <t>The Hobbit</t>
        </is>
      </c>
      <c r="W785" s="41" t="n">
        <v>3</v>
      </c>
      <c r="X785" s="37">
        <f>SUM(Y785:AE785)</f>
        <v/>
      </c>
      <c r="Y785" s="43" t="n"/>
      <c r="Z785" s="43" t="n"/>
      <c r="AA785" s="43" t="n"/>
      <c r="AB785" s="43" t="n"/>
      <c r="AC785" s="43" t="n"/>
      <c r="AD785" s="43" t="n"/>
      <c r="AE785" s="43" t="n"/>
      <c r="AF785" s="38">
        <f>IF((W785-SUM(Y785:AE785))&lt;0,0,W785-SUM(Y785:AE785))</f>
        <v/>
      </c>
      <c r="AG785" s="38">
        <f>MAX(0,$AT785-$W785-$AI785)</f>
        <v/>
      </c>
      <c r="AH785" s="38" t="n"/>
      <c r="AI785" s="38" t="n"/>
      <c r="AJ785" s="54" t="n">
        <v>0.1</v>
      </c>
      <c r="AK785" s="54">
        <f>IF(AND($AG785&gt;0,ISNUMBER($AJ785)),$AG785*$AJ785,0)</f>
        <v/>
      </c>
      <c r="AT785" s="37">
        <f>SUM(AU785:BA785)</f>
        <v/>
      </c>
      <c r="AU785" s="73" t="n"/>
      <c r="AV785" s="33" t="n"/>
      <c r="AW785" s="33" t="n"/>
      <c r="AX785" s="33" t="n"/>
      <c r="AY785" s="33" t="n"/>
      <c r="AZ785" s="33" t="n"/>
      <c r="BA785" s="74" t="n"/>
      <c r="BB785" s="47" t="n"/>
      <c r="BC785" s="42" t="n"/>
      <c r="BD785" s="42" t="n"/>
    </row>
    <row r="786" ht="15" customHeight="1" s="148">
      <c r="A786" t="inlineStr">
        <is>
          <t>c0782</t>
        </is>
      </c>
      <c r="B786" s="32" t="inlineStr">
        <is>
          <t>Eager Glyphmage</t>
        </is>
      </c>
      <c r="C786" s="33" t="inlineStr">
        <is>
          <t>W</t>
        </is>
      </c>
      <c r="D786" s="32" t="inlineStr">
        <is>
          <t>Creature</t>
        </is>
      </c>
      <c r="E786" s="33" t="inlineStr">
        <is>
          <t>B2</t>
        </is>
      </c>
      <c r="F786" s="32" t="n">
        <v>4</v>
      </c>
      <c r="G786" s="67" t="inlineStr">
        <is>
          <t>When this creature enters, create a 1/1 white and black Inkling creature token with flying.
(3/3)</t>
        </is>
      </c>
      <c r="H786" s="32" t="inlineStr">
        <is>
          <t>Token Producer</t>
        </is>
      </c>
      <c r="I786" s="32" t="inlineStr">
        <is>
          <t>Enters: create a 1/1 Inkling token with flying</t>
        </is>
      </c>
      <c r="J786" s="32" t="inlineStr">
        <is>
          <t>3/3 body</t>
        </is>
      </c>
      <c r="K786" s="32" t="n"/>
      <c r="L786" s="32" t="inlineStr">
        <is>
          <t>11</t>
        </is>
      </c>
      <c r="M786" s="32" t="n">
        <v>2</v>
      </c>
      <c r="N786" s="32" t="n">
        <v>0</v>
      </c>
      <c r="O786" s="63" t="inlineStr">
        <is>
          <t>Cristi Balanescu</t>
        </is>
      </c>
      <c r="P786" s="63" t="n">
        <v>0.09</v>
      </c>
      <c r="Q786" s="32" t="inlineStr">
        <is>
          <t>Common</t>
        </is>
      </c>
      <c r="R786" s="32" t="n"/>
      <c r="S786" s="32" t="n"/>
      <c r="T786" s="63" t="n"/>
      <c r="U786" s="63" t="n"/>
      <c r="V786" s="32" t="inlineStr">
        <is>
          <t>Secrets of Strixhaven</t>
        </is>
      </c>
      <c r="W786" s="41" t="n">
        <v>2</v>
      </c>
      <c r="X786" s="37">
        <f>SUM(Y786:AE786)</f>
        <v/>
      </c>
      <c r="Y786" s="43" t="n"/>
      <c r="Z786" s="43" t="n"/>
      <c r="AA786" s="43" t="n"/>
      <c r="AB786" s="43" t="n"/>
      <c r="AC786" s="43" t="n"/>
      <c r="AD786" s="43" t="n"/>
      <c r="AE786" s="43" t="n"/>
      <c r="AF786" s="38">
        <f>IF((W786-SUM(Y786:AE786))&lt;0,0,W786-SUM(Y786:AE786))</f>
        <v/>
      </c>
      <c r="AG786" s="38">
        <f>MAX(0,$AT786-$W786-$AI786)</f>
        <v/>
      </c>
      <c r="AH786" s="32" t="n"/>
      <c r="AI786" s="32" t="n"/>
      <c r="AJ786" s="32" t="n">
        <v>0.09</v>
      </c>
      <c r="AK786" s="54">
        <f>IF(AND($AG786&gt;0,ISNUMBER($AJ786)),$AG786*$AJ786,0)</f>
        <v/>
      </c>
      <c r="AT786" s="37">
        <f>SUM(AU786:BA786)</f>
        <v/>
      </c>
      <c r="AU786" s="73" t="n"/>
      <c r="AV786" s="33" t="n"/>
      <c r="AW786" s="33" t="n"/>
      <c r="AX786" s="33" t="n"/>
      <c r="AY786" s="33" t="n"/>
      <c r="AZ786" s="33" t="n"/>
      <c r="BA786" s="74" t="n"/>
      <c r="BB786" s="32" t="n"/>
      <c r="BC786" s="32" t="n"/>
      <c r="BD786" s="32" t="n"/>
    </row>
    <row r="787" ht="15" customHeight="1" s="148">
      <c r="A787" t="inlineStr">
        <is>
          <t>c0783</t>
        </is>
      </c>
      <c r="B787" s="42" t="inlineStr">
        <is>
          <t>Eagle of the Great Shelf</t>
        </is>
      </c>
      <c r="C787" s="41" t="inlineStr">
        <is>
          <t>W</t>
        </is>
      </c>
      <c r="D787" s="42" t="inlineStr">
        <is>
          <t>Creature</t>
        </is>
      </c>
      <c r="E787" s="41" t="inlineStr">
        <is>
          <t>B2</t>
        </is>
      </c>
      <c r="F787" s="41" t="n">
        <v>5</v>
      </c>
      <c r="G787" s="67" t="inlineStr">
        <is>
          <t>Flying
Whenever this creature attacks, it gets +1/+1 until end of turn for each other creature you control.
(2/5)</t>
        </is>
      </c>
      <c r="H787" s="42" t="inlineStr">
        <is>
          <t>Utility Creature</t>
        </is>
      </c>
      <c r="I787" s="42" t="inlineStr">
        <is>
          <t>Whenever it attacks, it gets +1/+1 until end of turn for each other creature you control</t>
        </is>
      </c>
      <c r="J787" s="42" t="inlineStr">
        <is>
          <t>Flying</t>
        </is>
      </c>
      <c r="K787" s="42" t="n"/>
      <c r="L787" s="42" t="n"/>
      <c r="M787" s="42" t="n"/>
      <c r="N787" s="42" t="n"/>
      <c r="O787" s="63" t="n"/>
      <c r="P787" s="63" t="n"/>
      <c r="Q787" s="42" t="n"/>
      <c r="R787" s="42" t="n"/>
      <c r="S787" s="42" t="n"/>
      <c r="T787" s="63" t="n"/>
      <c r="U787" s="63" t="n"/>
      <c r="V787" s="42" t="inlineStr">
        <is>
          <t>The Hobbit</t>
        </is>
      </c>
      <c r="W787" s="41" t="n">
        <v>1</v>
      </c>
      <c r="X787" s="37">
        <f>SUM(Y787:AE787)</f>
        <v/>
      </c>
      <c r="Y787" s="43" t="n"/>
      <c r="Z787" s="43" t="n"/>
      <c r="AA787" s="43" t="n"/>
      <c r="AB787" s="43" t="n"/>
      <c r="AC787" s="43" t="n"/>
      <c r="AD787" s="43" t="n"/>
      <c r="AE787" s="43" t="n"/>
      <c r="AF787" s="38">
        <f>IF((W787-SUM(Y787:AE787))&lt;0,0,W787-SUM(Y787:AE787))</f>
        <v/>
      </c>
      <c r="AG787" s="38">
        <f>MAX(0,$AT787-$W787-$AI787)</f>
        <v/>
      </c>
      <c r="AH787" s="42" t="n"/>
      <c r="AI787" s="42" t="n"/>
      <c r="AJ787" s="42" t="n">
        <v>0.14</v>
      </c>
      <c r="AK787" s="42">
        <f>IF(AND($AG787&gt;0,ISNUMBER($AJ787)),$AG787*$AJ787,0)</f>
        <v/>
      </c>
      <c r="AT787" s="37">
        <f>SUM(AU787:BA787)</f>
        <v/>
      </c>
      <c r="AU787" s="73" t="n"/>
      <c r="AV787" s="33" t="n"/>
      <c r="AW787" s="33" t="n"/>
      <c r="AX787" s="33" t="n"/>
      <c r="AY787" s="33" t="n"/>
      <c r="AZ787" s="33" t="n"/>
      <c r="BA787" s="74" t="n"/>
      <c r="BB787" s="42" t="n"/>
      <c r="BC787" s="42" t="n"/>
      <c r="BD787" s="42" t="n"/>
    </row>
    <row r="788" ht="15" customHeight="1" s="148">
      <c r="A788" t="inlineStr">
        <is>
          <t>c0784</t>
        </is>
      </c>
      <c r="B788" s="47" t="inlineStr">
        <is>
          <t>Earth Kingdom Jailer</t>
        </is>
      </c>
      <c r="C788" s="38" t="inlineStr">
        <is>
          <t>W</t>
        </is>
      </c>
      <c r="D788" s="47" t="inlineStr">
        <is>
          <t>Creature</t>
        </is>
      </c>
      <c r="E788" s="41" t="inlineStr">
        <is>
          <t>B2</t>
        </is>
      </c>
      <c r="F788" s="38" t="n">
        <v>3</v>
      </c>
      <c r="G788" s="67" t="inlineStr">
        <is>
          <t>When this creature enters, exile up to one target artifact, creature, or enchantment an opponent controls with mana value 3 or greater until this creature leaves the battlefield.
(3/3)</t>
        </is>
      </c>
      <c r="H788" s="53" t="inlineStr">
        <is>
          <t>Removal</t>
        </is>
      </c>
      <c r="I788" s="53" t="inlineStr">
        <is>
          <t>Exiles an opponent's permanent (MV 3+) when it enters</t>
        </is>
      </c>
      <c r="J788" s="53" t="inlineStr">
        <is>
          <t>Exiled permanent returns if this creature leaves</t>
        </is>
      </c>
      <c r="K788" s="53" t="n"/>
      <c r="L788" s="42" t="n"/>
      <c r="M788" s="42" t="n"/>
      <c r="N788" s="42" t="n"/>
      <c r="O788" s="42" t="n"/>
      <c r="P788" s="42" t="n">
        <v>0.2</v>
      </c>
      <c r="Q788" s="42" t="n"/>
      <c r="R788" s="42" t="n"/>
      <c r="S788" s="42" t="n"/>
      <c r="T788" s="42" t="n"/>
      <c r="U788" s="42" t="n"/>
      <c r="V788" s="53" t="inlineStr">
        <is>
          <t>Avatar: The Last Airbender</t>
        </is>
      </c>
      <c r="W788" s="41" t="n">
        <v>1</v>
      </c>
      <c r="X788" s="37">
        <f>SUM(Y788:AE788)</f>
        <v/>
      </c>
      <c r="Y788" s="43" t="n"/>
      <c r="Z788" s="43" t="n">
        <v>1</v>
      </c>
      <c r="AA788" s="43" t="n"/>
      <c r="AB788" s="43" t="n"/>
      <c r="AC788" s="43" t="n"/>
      <c r="AD788" s="43" t="n"/>
      <c r="AE788" s="43" t="n"/>
      <c r="AF788" s="38">
        <f>IF((W788-SUM(Y788:AE788))&lt;0,0,W788-SUM(Y788:AE788))</f>
        <v/>
      </c>
      <c r="AG788" s="38">
        <f>MAX(0,$AT788-$W788-$AI788)</f>
        <v/>
      </c>
      <c r="AH788" s="38" t="n"/>
      <c r="AI788" s="38" t="n"/>
      <c r="AJ788" s="54" t="n">
        <v>0.18</v>
      </c>
      <c r="AK788" s="54">
        <f>IF(AND($AG788&gt;0,ISNUMBER($AJ788)),$AG788*$AJ788,0)</f>
        <v/>
      </c>
      <c r="AT788" s="37">
        <f>SUM(AU788:BA788)</f>
        <v/>
      </c>
      <c r="AU788" s="73" t="n"/>
      <c r="AV788" s="98" t="n">
        <v>1</v>
      </c>
      <c r="AW788" s="33" t="n"/>
      <c r="AX788" s="33" t="n"/>
      <c r="AY788" s="33" t="n"/>
      <c r="AZ788" s="33" t="n"/>
      <c r="BA788" s="74" t="n"/>
      <c r="BB788" s="47" t="n"/>
      <c r="BC788" s="42" t="n"/>
      <c r="BD788" s="42" t="n"/>
    </row>
    <row r="789" ht="15" customHeight="1" s="148">
      <c r="A789" t="inlineStr">
        <is>
          <t>c0785</t>
        </is>
      </c>
      <c r="B789" s="47" t="inlineStr">
        <is>
          <t>Elspeth, Sun's Nemesis</t>
        </is>
      </c>
      <c r="C789" s="38" t="inlineStr">
        <is>
          <t>W</t>
        </is>
      </c>
      <c r="D789" s="47" t="inlineStr">
        <is>
          <t>Legendary Planeswalker</t>
        </is>
      </c>
      <c r="E789" s="41" t="inlineStr">
        <is>
          <t>B3</t>
        </is>
      </c>
      <c r="F789" s="38" t="n">
        <v>4</v>
      </c>
      <c r="G789" s="67" t="inlineStr">
        <is>
          <t>−1: Up to two target creatures you control each get +2/+1 until end of turn.
−2: Create two 1/1 white Human Soldier creature tokens.
−3: You gain 5 life.
Escape—{4}{W}{W}, Exile four other cards from your graveyard. (You may cast this card from your graveyard for its escape cost.)
(Loyalty 5)</t>
        </is>
      </c>
      <c r="H789" s="53" t="inlineStr">
        <is>
          <t>Token Producer</t>
        </is>
      </c>
      <c r="I789" s="53" t="inlineStr">
        <is>
          <t>-1: Up to two creatures get +2/+1 until end of turn</t>
        </is>
      </c>
      <c r="J789" s="53" t="inlineStr">
        <is>
          <t>-2: Create two 1/1 Human Soldier tokens</t>
        </is>
      </c>
      <c r="K789" s="53" t="inlineStr">
        <is>
          <t>Escape from the graveyard by exiling four cards</t>
        </is>
      </c>
      <c r="L789" s="42" t="n"/>
      <c r="M789" s="42" t="n"/>
      <c r="N789" s="42" t="n"/>
      <c r="O789" s="42" t="n"/>
      <c r="P789" s="42" t="n">
        <v>0.8</v>
      </c>
      <c r="Q789" s="42" t="n"/>
      <c r="R789" s="42" t="n"/>
      <c r="S789" s="42" t="n"/>
      <c r="T789" s="42" t="n"/>
      <c r="U789" s="42" t="n"/>
      <c r="V789" s="53" t="inlineStr">
        <is>
          <t>Theros Beyond Death</t>
        </is>
      </c>
      <c r="W789" s="41" t="n">
        <v>1</v>
      </c>
      <c r="X789" s="37">
        <f>SUM(Y789:AE789)</f>
        <v/>
      </c>
      <c r="Y789" s="43" t="n"/>
      <c r="Z789" s="43" t="n"/>
      <c r="AA789" s="43" t="n"/>
      <c r="AB789" s="43" t="n"/>
      <c r="AC789" s="43" t="n">
        <v>1</v>
      </c>
      <c r="AD789" s="43" t="n"/>
      <c r="AE789" s="43" t="n"/>
      <c r="AF789" s="38">
        <f>IF((W789-SUM(Y789:AE789))&lt;0,0,W789-SUM(Y789:AE789))</f>
        <v/>
      </c>
      <c r="AG789" s="38">
        <f>MAX(0,$AT789-$W789-$AI789)</f>
        <v/>
      </c>
      <c r="AH789" s="38" t="n"/>
      <c r="AI789" s="38" t="n"/>
      <c r="AJ789" s="54" t="n">
        <v>1</v>
      </c>
      <c r="AK789" s="54">
        <f>IF(AND($AG789&gt;0,ISNUMBER($AJ789)),$AG789*$AJ789,0)</f>
        <v/>
      </c>
      <c r="AT789" s="37">
        <f>SUM(AU789:BA789)</f>
        <v/>
      </c>
      <c r="AU789" s="73" t="n"/>
      <c r="AV789" s="33" t="n"/>
      <c r="AW789" s="33" t="n"/>
      <c r="AX789" s="33" t="n"/>
      <c r="AY789" s="98" t="n">
        <v>1</v>
      </c>
      <c r="AZ789" s="33" t="n"/>
      <c r="BA789" s="74" t="n"/>
      <c r="BB789" s="47" t="n"/>
      <c r="BC789" s="42" t="n"/>
      <c r="BD789" s="42" t="n"/>
    </row>
    <row r="790" ht="15" customHeight="1" s="148">
      <c r="A790" t="inlineStr">
        <is>
          <t>c0786</t>
        </is>
      </c>
      <c r="B790" s="47" t="inlineStr">
        <is>
          <t>Ephemerate</t>
        </is>
      </c>
      <c r="C790" s="38" t="inlineStr">
        <is>
          <t>W</t>
        </is>
      </c>
      <c r="D790" s="47" t="inlineStr">
        <is>
          <t>Instant</t>
        </is>
      </c>
      <c r="E790" s="41" t="inlineStr">
        <is>
          <t>B2</t>
        </is>
      </c>
      <c r="F790" s="38" t="n">
        <v>1</v>
      </c>
      <c r="G790" s="67" t="inlineStr">
        <is>
          <t>Exile target creature you control, then return it to the battlefield under its owner's control.
Rebound (If you cast this spell from your hand, exile it as it resolves. At the beginning of your next upkeep, you may cast this card from exile without paying its mana cost.)</t>
        </is>
      </c>
      <c r="H790" s="53" t="inlineStr">
        <is>
          <t>Blink</t>
        </is>
      </c>
      <c r="I790" s="53" t="inlineStr">
        <is>
          <t>Exiles then returns target creature you control</t>
        </is>
      </c>
      <c r="J790" s="53" t="inlineStr">
        <is>
          <t>Rebound: cast again free next upkeep from exile</t>
        </is>
      </c>
      <c r="K790" s="53" t="n"/>
      <c r="L790" s="41" t="n"/>
      <c r="M790" s="41" t="n"/>
      <c r="N790" s="41" t="n"/>
      <c r="O790" s="41" t="n"/>
      <c r="P790" s="41" t="n">
        <v>5.26</v>
      </c>
      <c r="Q790" s="41" t="n"/>
      <c r="R790" s="41" t="n"/>
      <c r="S790" s="41" t="n"/>
      <c r="T790" s="41" t="n"/>
      <c r="U790" s="41" t="n"/>
      <c r="V790" s="53" t="inlineStr">
        <is>
          <t>Modern Horizons</t>
        </is>
      </c>
      <c r="W790" s="41" t="n">
        <v>1</v>
      </c>
      <c r="X790" s="37">
        <f>SUM(Y790:AE790)</f>
        <v/>
      </c>
      <c r="Y790" s="43" t="n"/>
      <c r="Z790" s="43" t="n">
        <v>1</v>
      </c>
      <c r="AA790" s="43" t="n"/>
      <c r="AB790" s="43" t="n"/>
      <c r="AC790" s="43" t="n"/>
      <c r="AD790" s="43" t="n"/>
      <c r="AE790" s="43" t="n"/>
      <c r="AF790" s="38">
        <f>IF((W790-SUM(Y790:AE790))&lt;0,0,W790-SUM(Y790:AE790))</f>
        <v/>
      </c>
      <c r="AG790" s="38">
        <f>MAX(0,$AT790-$W790-$AI790)</f>
        <v/>
      </c>
      <c r="AH790" s="38" t="n"/>
      <c r="AI790" s="38" t="n"/>
      <c r="AJ790" s="54" t="n">
        <v>5.2</v>
      </c>
      <c r="AK790" s="54">
        <f>IF(AND($AG790&gt;0,ISNUMBER($AJ790)),$AG790*$AJ790,0)</f>
        <v/>
      </c>
      <c r="AT790" s="37">
        <f>SUM(AU790:BA790)</f>
        <v/>
      </c>
      <c r="AU790" s="73" t="n"/>
      <c r="AV790" s="98" t="n">
        <v>1</v>
      </c>
      <c r="AW790" s="33" t="n"/>
      <c r="AX790" s="33" t="n"/>
      <c r="AY790" s="33" t="n"/>
      <c r="AZ790" s="33" t="n"/>
      <c r="BA790" s="74" t="n"/>
      <c r="BB790" s="47" t="n"/>
      <c r="BC790" s="42" t="n"/>
      <c r="BD790" s="42" t="n"/>
    </row>
    <row r="791" ht="15" customHeight="1" s="148">
      <c r="A791" t="inlineStr">
        <is>
          <t>c0787</t>
        </is>
      </c>
      <c r="B791" s="42" t="inlineStr">
        <is>
          <t>Esgaroth Garrison</t>
        </is>
      </c>
      <c r="C791" s="41" t="inlineStr">
        <is>
          <t>W</t>
        </is>
      </c>
      <c r="D791" s="42" t="inlineStr">
        <is>
          <t>Creature</t>
        </is>
      </c>
      <c r="E791" s="41" t="inlineStr">
        <is>
          <t>B2</t>
        </is>
      </c>
      <c r="F791" s="41" t="n">
        <v>5</v>
      </c>
      <c r="G791" s="67" t="inlineStr">
        <is>
          <t>Esgaroth Garrison's power is equal to the number of creatures you control.
When this creature enters, recruit. (Draw a card, then discard a card. If you discarded a nonland card, create a 1/1 white Human Soldier creature token.)
(*/5)</t>
        </is>
      </c>
      <c r="H791" s="42" t="inlineStr">
        <is>
          <t>Utility Creature</t>
        </is>
      </c>
      <c r="I791" s="42" t="inlineStr">
        <is>
          <t>Its power equals the number of creatures you control</t>
        </is>
      </c>
      <c r="J791" s="42" t="inlineStr">
        <is>
          <t>Enters: recruit (draw a card, then discard a card; if you discarded a nonland card, create a 1/1 Human Soldier token)</t>
        </is>
      </c>
      <c r="K791" s="42" t="n"/>
      <c r="L791" s="42" t="n"/>
      <c r="M791" s="42" t="n"/>
      <c r="N791" s="42" t="n"/>
      <c r="O791" s="63" t="n"/>
      <c r="P791" s="63" t="n"/>
      <c r="Q791" s="42" t="n"/>
      <c r="R791" s="42" t="n"/>
      <c r="S791" s="42" t="n"/>
      <c r="T791" s="63" t="n"/>
      <c r="U791" s="63" t="n"/>
      <c r="V791" s="42" t="inlineStr">
        <is>
          <t>The Hobbit</t>
        </is>
      </c>
      <c r="W791" s="41" t="n">
        <v>2</v>
      </c>
      <c r="X791" s="37">
        <f>SUM(Y791:AE791)</f>
        <v/>
      </c>
      <c r="Y791" s="43" t="n"/>
      <c r="Z791" s="43" t="n"/>
      <c r="AA791" s="43" t="n"/>
      <c r="AB791" s="43" t="n"/>
      <c r="AC791" s="43" t="n"/>
      <c r="AD791" s="43" t="n"/>
      <c r="AE791" s="43" t="n"/>
      <c r="AF791" s="38">
        <f>IF((W791-SUM(Y791:AE791))&lt;0,0,W791-SUM(Y791:AE791))</f>
        <v/>
      </c>
      <c r="AG791" s="38">
        <f>MAX(0,$AT791-$W791-$AI791)</f>
        <v/>
      </c>
      <c r="AH791" s="42" t="n"/>
      <c r="AI791" s="42" t="n"/>
      <c r="AJ791" s="42" t="n">
        <v>0.15</v>
      </c>
      <c r="AK791" s="42">
        <f>IF(AND($AG791&gt;0,ISNUMBER($AJ791)),$AG791*$AJ791,0)</f>
        <v/>
      </c>
      <c r="AT791" s="37">
        <f>SUM(AU791:BA791)</f>
        <v/>
      </c>
      <c r="AU791" s="73" t="n"/>
      <c r="AV791" s="33" t="n"/>
      <c r="AW791" s="33" t="n"/>
      <c r="AX791" s="33" t="n"/>
      <c r="AY791" s="33" t="n"/>
      <c r="AZ791" s="33" t="n"/>
      <c r="BA791" s="74" t="n"/>
      <c r="BB791" s="42" t="n"/>
      <c r="BC791" s="42" t="n"/>
      <c r="BD791" s="42" t="n"/>
    </row>
    <row r="792" ht="15" customHeight="1" s="148">
      <c r="A792" t="inlineStr">
        <is>
          <t>c0788</t>
        </is>
      </c>
      <c r="B792" s="47" t="inlineStr">
        <is>
          <t>Expel the Interlopers</t>
        </is>
      </c>
      <c r="C792" s="38" t="inlineStr">
        <is>
          <t>W</t>
        </is>
      </c>
      <c r="D792" s="47" t="inlineStr">
        <is>
          <t>Sorcery</t>
        </is>
      </c>
      <c r="E792" s="41" t="inlineStr">
        <is>
          <t>B3</t>
        </is>
      </c>
      <c r="F792" s="38" t="n">
        <v>5</v>
      </c>
      <c r="G792" s="67" t="inlineStr">
        <is>
          <t>Choose a number between 0 and 10. Destroy all creatures with power greater than or equal to the chosen number.</t>
        </is>
      </c>
      <c r="H792" s="53" t="inlineStr">
        <is>
          <t>Board Wipe</t>
        </is>
      </c>
      <c r="I792" s="53" t="inlineStr">
        <is>
          <t>Choose a number between 0 and 10. Destroy all creatures with power greater than or equal to the chosen number.</t>
        </is>
      </c>
      <c r="J792" s="53" t="n"/>
      <c r="K792" s="53" t="n"/>
      <c r="L792" s="41" t="n"/>
      <c r="M792" s="41" t="n"/>
      <c r="N792" s="41" t="n"/>
      <c r="O792" s="41" t="n"/>
      <c r="P792" s="41" t="n">
        <v>0.3</v>
      </c>
      <c r="Q792" s="41" t="n"/>
      <c r="R792" s="41" t="n"/>
      <c r="S792" s="41" t="n"/>
      <c r="T792" s="41" t="n"/>
      <c r="U792" s="41" t="n"/>
      <c r="V792" s="53" t="inlineStr">
        <is>
          <t>Wilds of Eldraine</t>
        </is>
      </c>
      <c r="W792" s="41" t="n">
        <v>0</v>
      </c>
      <c r="X792" s="37">
        <f>SUM(Y792:AE792)</f>
        <v/>
      </c>
      <c r="Y792" s="43" t="n"/>
      <c r="Z792" s="43" t="n"/>
      <c r="AA792" s="43" t="n"/>
      <c r="AB792" s="43" t="n"/>
      <c r="AC792" s="43" t="n"/>
      <c r="AD792" s="43" t="n"/>
      <c r="AE792" s="43" t="n"/>
      <c r="AF792" s="38">
        <f>IF((W792-SUM(Y792:AE792))&lt;0,0,W792-SUM(Y792:AE792))</f>
        <v/>
      </c>
      <c r="AG792" s="38">
        <f>MAX(0,$AT792-$W792-$AI792)</f>
        <v/>
      </c>
      <c r="AH792" s="38" t="n"/>
      <c r="AI792" s="38" t="n"/>
      <c r="AJ792" s="54" t="n">
        <v>0.25</v>
      </c>
      <c r="AK792" s="54">
        <f>IF(AND($AG792&gt;0,ISNUMBER($AJ792)),$AG792*$AJ792,0)</f>
        <v/>
      </c>
      <c r="AL792" s="54" t="n"/>
      <c r="AM792" s="54" t="n"/>
      <c r="AN792" s="54" t="n"/>
      <c r="AO792" s="54" t="n"/>
      <c r="AP792" s="54" t="n"/>
      <c r="AQ792" s="54" t="n"/>
      <c r="AR792" s="54" t="n"/>
      <c r="AS792" s="54" t="n"/>
      <c r="AT792" s="37">
        <f>SUM(AU792:BA792)</f>
        <v/>
      </c>
      <c r="AU792" s="92" t="n"/>
      <c r="AV792" s="38" t="n"/>
      <c r="AW792" s="38" t="n"/>
      <c r="AX792" s="38" t="n"/>
      <c r="AY792" s="38" t="n"/>
      <c r="AZ792" s="38" t="n"/>
      <c r="BA792" s="94" t="n"/>
      <c r="BB792" s="47" t="n"/>
      <c r="BC792" s="42" t="n"/>
      <c r="BD792" s="48" t="n"/>
    </row>
    <row r="793" ht="15" customHeight="1" s="148">
      <c r="A793" t="inlineStr">
        <is>
          <t>c0789</t>
        </is>
      </c>
      <c r="B793" s="47" t="inlineStr">
        <is>
          <t>Fall of the First Civilization</t>
        </is>
      </c>
      <c r="C793" s="38" t="inlineStr">
        <is>
          <t>W</t>
        </is>
      </c>
      <c r="D793" s="47" t="inlineStr">
        <is>
          <t>Enchantment</t>
        </is>
      </c>
      <c r="E793" s="41" t="inlineStr">
        <is>
          <t>B2</t>
        </is>
      </c>
      <c r="F793" s="38" t="n">
        <v>3</v>
      </c>
      <c r="G793" s="67" t="inlineStr">
        <is>
          <t>(As this Saga enters and after your draw step, add a lore counter. Sacrifice after III.)
I — You and target opponent each draw two cards.
II — Exile target artifact an opponent controls.
III — Each player chooses three nonland permanents they control. Destroy all other nonland permanents.</t>
        </is>
      </c>
      <c r="H793" s="53" t="inlineStr">
        <is>
          <t>Board Wipe</t>
        </is>
      </c>
      <c r="I793" s="53" t="inlineStr">
        <is>
          <t>Chapter I: you and an opponent each draw two cards</t>
        </is>
      </c>
      <c r="J793" s="53" t="inlineStr">
        <is>
          <t>Chapter II: exile target opponent artifact</t>
        </is>
      </c>
      <c r="K793" s="53" t="inlineStr">
        <is>
          <t>Chapter III: each player keeps 3 nonland permanents, rest destroyed</t>
        </is>
      </c>
      <c r="L793" s="42" t="n"/>
      <c r="M793" s="42" t="n"/>
      <c r="N793" s="42" t="n"/>
      <c r="O793" s="42" t="n"/>
      <c r="P793" s="42" t="n">
        <v>0.36</v>
      </c>
      <c r="Q793" s="42" t="n"/>
      <c r="R793" s="42" t="n"/>
      <c r="S793" s="42" t="n"/>
      <c r="T793" s="42" t="n"/>
      <c r="U793" s="42" t="n"/>
      <c r="V793" s="53" t="inlineStr">
        <is>
          <t>Assassin's Creed</t>
        </is>
      </c>
      <c r="W793" s="41" t="n">
        <v>1</v>
      </c>
      <c r="X793" s="37">
        <f>SUM(Y793:AE793)</f>
        <v/>
      </c>
      <c r="Y793" s="43" t="n"/>
      <c r="Z793" s="43" t="n"/>
      <c r="AA793" s="43" t="n"/>
      <c r="AB793" s="43" t="n"/>
      <c r="AC793" s="43" t="n"/>
      <c r="AD793" s="43" t="n"/>
      <c r="AE793" s="43" t="n"/>
      <c r="AF793" s="38">
        <f>IF((W793-SUM(Y793:AE793))&lt;0,0,W793-SUM(Y793:AE793))</f>
        <v/>
      </c>
      <c r="AG793" s="38">
        <f>MAX(0,$AT793-$W793-$AI793)</f>
        <v/>
      </c>
      <c r="AH793" s="38" t="n"/>
      <c r="AI793" s="38" t="n"/>
      <c r="AJ793" s="54" t="n">
        <v>0.27</v>
      </c>
      <c r="AK793" s="54">
        <f>IF(AND($AG793&gt;0,ISNUMBER($AJ793)),$AG793*$AJ793,0)</f>
        <v/>
      </c>
      <c r="AT793" s="37">
        <f>SUM(AU793:BA793)</f>
        <v/>
      </c>
      <c r="AU793" s="73" t="n"/>
      <c r="AV793" s="33" t="n"/>
      <c r="AW793" s="33" t="n"/>
      <c r="AX793" s="33" t="n"/>
      <c r="AY793" s="33" t="n"/>
      <c r="AZ793" s="33" t="n"/>
      <c r="BA793" s="74" t="n"/>
      <c r="BB793" s="47" t="n"/>
      <c r="BC793" s="42" t="n"/>
      <c r="BD793" s="42" t="n"/>
    </row>
    <row r="794" ht="15" customHeight="1" s="148">
      <c r="A794" t="inlineStr">
        <is>
          <t>c0790</t>
        </is>
      </c>
      <c r="B794" s="42" t="inlineStr">
        <is>
          <t>Fancy Footwork</t>
        </is>
      </c>
      <c r="C794" s="41" t="inlineStr">
        <is>
          <t>W</t>
        </is>
      </c>
      <c r="D794" s="42" t="inlineStr">
        <is>
          <t>Instant</t>
        </is>
      </c>
      <c r="E794" s="41" t="inlineStr">
        <is>
          <t>B2</t>
        </is>
      </c>
      <c r="F794" s="41" t="n">
        <v>3</v>
      </c>
      <c r="G794" s="67" t="inlineStr">
        <is>
          <t>Untap one or two target creatures. They each get +2/+2 until end of turn.</t>
        </is>
      </c>
      <c r="H794" s="42" t="inlineStr">
        <is>
          <t>Combat Trick</t>
        </is>
      </c>
      <c r="I794" s="42" t="inlineStr">
        <is>
          <t>Untap one or two target creatures; each gets +2/+2 until end of turn</t>
        </is>
      </c>
      <c r="J794" s="42" t="n"/>
      <c r="K794" s="42" t="n"/>
      <c r="L794" s="42" t="n"/>
      <c r="M794" s="42" t="n"/>
      <c r="N794" s="42" t="n"/>
      <c r="O794" s="63" t="n"/>
      <c r="P794" s="63" t="n"/>
      <c r="Q794" s="42" t="n"/>
      <c r="R794" s="42" t="n"/>
      <c r="S794" s="42" t="n"/>
      <c r="T794" s="63" t="n"/>
      <c r="U794" s="63" t="n"/>
      <c r="V794" s="42" t="inlineStr">
        <is>
          <t>Avatar: The Last Airbender</t>
        </is>
      </c>
      <c r="W794" s="41" t="n">
        <v>1</v>
      </c>
      <c r="X794" s="37">
        <f>SUM(Y794:AE794)</f>
        <v/>
      </c>
      <c r="Y794" s="43" t="n"/>
      <c r="Z794" s="43" t="n"/>
      <c r="AA794" s="43" t="n"/>
      <c r="AB794" s="43" t="n"/>
      <c r="AC794" s="43" t="n"/>
      <c r="AD794" s="43" t="n"/>
      <c r="AE794" s="43" t="n"/>
      <c r="AF794" s="38">
        <f>IF((W794-SUM(Y794:AE794))&lt;0,0,W794-SUM(Y794:AE794))</f>
        <v/>
      </c>
      <c r="AG794" s="38">
        <f>MAX(0,$AT794-$W794-$AI794)</f>
        <v/>
      </c>
      <c r="AH794" s="42" t="n"/>
      <c r="AI794" s="42" t="n"/>
      <c r="AJ794" s="42" t="n">
        <v>0.2</v>
      </c>
      <c r="AK794" s="42">
        <f>IF(AND($AG794&gt;0,ISNUMBER($AJ794)),$AG794*$AJ794,0)</f>
        <v/>
      </c>
      <c r="AT794" s="37">
        <f>SUM(AU794:BA794)</f>
        <v/>
      </c>
      <c r="AU794" s="73" t="n"/>
      <c r="AV794" s="33" t="n"/>
      <c r="AW794" s="33" t="n"/>
      <c r="AX794" s="33" t="n"/>
      <c r="AY794" s="33" t="n"/>
      <c r="AZ794" s="33" t="n"/>
      <c r="BA794" s="74" t="n"/>
      <c r="BB794" s="42" t="n"/>
      <c r="BC794" s="42" t="n"/>
      <c r="BD794" s="42" t="n"/>
    </row>
    <row r="795" ht="15" customHeight="1" s="148">
      <c r="A795" t="inlineStr">
        <is>
          <t>c0791</t>
        </is>
      </c>
      <c r="B795" s="47" t="inlineStr">
        <is>
          <t>Farewell</t>
        </is>
      </c>
      <c r="C795" s="38" t="inlineStr">
        <is>
          <t>W</t>
        </is>
      </c>
      <c r="D795" s="47" t="inlineStr">
        <is>
          <t>Sorcery</t>
        </is>
      </c>
      <c r="E795" s="41" t="inlineStr">
        <is>
          <t>B3</t>
        </is>
      </c>
      <c r="F795" s="38" t="n">
        <v>6</v>
      </c>
      <c r="G795" s="67" t="inlineStr">
        <is>
          <t>Choose one or more —
• Exile all artifacts.
• Exile all creatures.
• Exile all enchantments.
• Exile all graveyards.</t>
        </is>
      </c>
      <c r="H795" s="53" t="inlineStr">
        <is>
          <t>Board Wipe</t>
        </is>
      </c>
      <c r="I795" s="53" t="inlineStr">
        <is>
          <t>Choose one or more —
• Exile all artifacts.
• Exile all creatures.
• Exile all enchantments.
• Exile all graveyards.</t>
        </is>
      </c>
      <c r="J795" s="53" t="n"/>
      <c r="K795" s="53" t="n"/>
      <c r="L795" s="42" t="n"/>
      <c r="M795" s="42" t="n"/>
      <c r="N795" s="42" t="n"/>
      <c r="O795" s="42" t="n"/>
      <c r="P795" s="42" t="n">
        <v>6.17</v>
      </c>
      <c r="Q795" s="42" t="n"/>
      <c r="R795" s="42" t="n"/>
      <c r="S795" s="42" t="n"/>
      <c r="T795" s="42" t="n"/>
      <c r="U795" s="42" t="n"/>
      <c r="V795" s="53" t="inlineStr">
        <is>
          <t>Kamigawa: Neon Dynasty</t>
        </is>
      </c>
      <c r="W795" s="41" t="n">
        <v>0</v>
      </c>
      <c r="X795" s="37">
        <f>SUM(Y795:AE795)</f>
        <v/>
      </c>
      <c r="Y795" s="43" t="n"/>
      <c r="Z795" s="43" t="n"/>
      <c r="AA795" s="43" t="n"/>
      <c r="AB795" s="43" t="n"/>
      <c r="AC795" s="43" t="n"/>
      <c r="AD795" s="43" t="n"/>
      <c r="AE795" s="43" t="n"/>
      <c r="AF795" s="38">
        <f>IF((W795-SUM(Y795:AE795))&lt;0,0,W795-SUM(Y795:AE795))</f>
        <v/>
      </c>
      <c r="AG795" s="38">
        <f>MAX(0,$AT795-$W795-$AI795)</f>
        <v/>
      </c>
      <c r="AH795" s="38" t="n"/>
      <c r="AI795" s="38" t="n"/>
      <c r="AJ795" s="54" t="n">
        <v>6</v>
      </c>
      <c r="AK795" s="54">
        <f>IF(AND($AG795&gt;0,ISNUMBER($AJ795)),$AG795*$AJ795,0)</f>
        <v/>
      </c>
      <c r="AL795" s="54" t="n"/>
      <c r="AM795" s="54" t="n"/>
      <c r="AN795" s="54" t="n"/>
      <c r="AO795" s="54" t="n"/>
      <c r="AP795" s="54" t="n"/>
      <c r="AQ795" s="54" t="n"/>
      <c r="AR795" s="54" t="n"/>
      <c r="AS795" s="54" t="n"/>
      <c r="AT795" s="37">
        <f>SUM(AU795:BA795)</f>
        <v/>
      </c>
      <c r="AU795" s="92" t="n"/>
      <c r="AV795" s="38" t="n"/>
      <c r="AW795" s="38" t="n"/>
      <c r="AX795" s="38" t="n"/>
      <c r="AY795" s="38" t="n"/>
      <c r="AZ795" s="38" t="n"/>
      <c r="BA795" s="94" t="n"/>
      <c r="BB795" s="47" t="n"/>
      <c r="BC795" s="42" t="n"/>
      <c r="BD795" s="42" t="n"/>
    </row>
    <row r="796" ht="15" customHeight="1" s="148">
      <c r="A796" t="inlineStr">
        <is>
          <t>c0792</t>
        </is>
      </c>
      <c r="B796" s="47" t="inlineStr">
        <is>
          <t>Fateful Absence</t>
        </is>
      </c>
      <c r="C796" s="38" t="inlineStr">
        <is>
          <t>W</t>
        </is>
      </c>
      <c r="D796" s="47" t="inlineStr">
        <is>
          <t>Instant</t>
        </is>
      </c>
      <c r="E796" s="41" t="inlineStr">
        <is>
          <t>B2</t>
        </is>
      </c>
      <c r="F796" s="38" t="n">
        <v>2</v>
      </c>
      <c r="G796" s="67" t="inlineStr">
        <is>
          <t>Destroy target creature or planeswalker. Its controller investigates. (Create a Clue token. It's an artifact with "{2}, Sacrifice this token: Draw a card.")</t>
        </is>
      </c>
      <c r="H796" s="53" t="inlineStr">
        <is>
          <t>Removal</t>
        </is>
      </c>
      <c r="I796" s="53" t="inlineStr">
        <is>
          <t>Destroys target creature or planeswalker</t>
        </is>
      </c>
      <c r="J796" s="53" t="inlineStr">
        <is>
          <t>Its controller creates a Clue token</t>
        </is>
      </c>
      <c r="K796" s="53" t="n"/>
      <c r="L796" s="42" t="n"/>
      <c r="M796" s="42" t="n"/>
      <c r="N796" s="42" t="n"/>
      <c r="O796" s="42" t="n"/>
      <c r="P796" s="42" t="n">
        <v>0.4</v>
      </c>
      <c r="Q796" s="42" t="n"/>
      <c r="R796" s="42" t="n"/>
      <c r="S796" s="42" t="n"/>
      <c r="T796" s="42" t="n"/>
      <c r="U796" s="42" t="n"/>
      <c r="V796" s="53" t="inlineStr">
        <is>
          <t>Innistrad: Midnight Hunt</t>
        </is>
      </c>
      <c r="W796" s="41" t="n">
        <v>1</v>
      </c>
      <c r="X796" s="37">
        <f>SUM(Y796:AE796)</f>
        <v/>
      </c>
      <c r="Y796" s="43" t="n"/>
      <c r="Z796" s="43" t="n"/>
      <c r="AA796" s="43" t="n"/>
      <c r="AB796" s="43" t="n">
        <v>1</v>
      </c>
      <c r="AC796" s="43" t="n"/>
      <c r="AD796" s="43" t="n"/>
      <c r="AE796" s="43" t="n"/>
      <c r="AF796" s="38">
        <f>IF((W796-SUM(Y796:AE796))&lt;0,0,W796-SUM(Y796:AE796))</f>
        <v/>
      </c>
      <c r="AG796" s="38">
        <f>MAX(0,$AT796-$W796-$AI796)</f>
        <v/>
      </c>
      <c r="AH796" s="38" t="n"/>
      <c r="AI796" s="38" t="n"/>
      <c r="AJ796" s="54" t="n">
        <v>0.41</v>
      </c>
      <c r="AK796" s="54">
        <f>IF(AND($AG796&gt;0,ISNUMBER($AJ796)),$AG796*$AJ796,0)</f>
        <v/>
      </c>
      <c r="AT796" s="37">
        <f>SUM(AU796:BA796)</f>
        <v/>
      </c>
      <c r="AU796" s="73" t="n"/>
      <c r="AV796" s="33" t="n"/>
      <c r="AW796" s="33" t="n"/>
      <c r="AX796" s="98" t="n">
        <v>1</v>
      </c>
      <c r="AY796" s="33" t="n"/>
      <c r="AZ796" s="33" t="n"/>
      <c r="BA796" s="74" t="n"/>
      <c r="BB796" s="47" t="n"/>
      <c r="BC796" s="42" t="n"/>
      <c r="BD796" s="42" t="n"/>
    </row>
    <row r="797" ht="15" customHeight="1" s="148">
      <c r="A797" t="inlineStr">
        <is>
          <t>c0793</t>
        </is>
      </c>
      <c r="B797" s="47" t="inlineStr">
        <is>
          <t>Fell the Mighty</t>
        </is>
      </c>
      <c r="C797" s="38" t="inlineStr">
        <is>
          <t>W</t>
        </is>
      </c>
      <c r="D797" s="47" t="inlineStr">
        <is>
          <t>Sorcery</t>
        </is>
      </c>
      <c r="E797" s="41" t="inlineStr">
        <is>
          <t>B2</t>
        </is>
      </c>
      <c r="F797" s="38" t="n">
        <v>5</v>
      </c>
      <c r="G797" s="67" t="inlineStr">
        <is>
          <t>Destroy all creatures with power greater than target creature's power.</t>
        </is>
      </c>
      <c r="H797" s="53" t="inlineStr">
        <is>
          <t>Board Wipe</t>
        </is>
      </c>
      <c r="I797" s="53" t="inlineStr">
        <is>
          <t>Destroys all creatures with power greater than target creature's power</t>
        </is>
      </c>
      <c r="J797" s="53" t="n"/>
      <c r="K797" s="53" t="n"/>
      <c r="L797" s="42" t="n"/>
      <c r="M797" s="42" t="n"/>
      <c r="N797" s="42" t="n"/>
      <c r="O797" s="42" t="n"/>
      <c r="P797" s="42" t="n">
        <v>0.28</v>
      </c>
      <c r="Q797" s="42" t="n"/>
      <c r="R797" s="42" t="n"/>
      <c r="S797" s="42" t="n"/>
      <c r="T797" s="42" t="n"/>
      <c r="U797" s="42" t="n"/>
      <c r="V797" s="53" t="inlineStr">
        <is>
          <t>Commander 2014</t>
        </is>
      </c>
      <c r="W797" s="41" t="n">
        <v>2</v>
      </c>
      <c r="X797" s="37">
        <f>SUM(Y797:AE797)</f>
        <v/>
      </c>
      <c r="Y797" s="43" t="n"/>
      <c r="Z797" s="43" t="n">
        <v>1</v>
      </c>
      <c r="AA797" s="43" t="n"/>
      <c r="AB797" s="43" t="n">
        <v>1</v>
      </c>
      <c r="AC797" s="43" t="n"/>
      <c r="AD797" s="43" t="n"/>
      <c r="AE797" s="43" t="n"/>
      <c r="AF797" s="38">
        <f>IF((W797-SUM(Y797:AE797))&lt;0,0,W797-SUM(Y797:AE797))</f>
        <v/>
      </c>
      <c r="AG797" s="38">
        <f>MAX(0,$AT797-$W797-$AI797)</f>
        <v/>
      </c>
      <c r="AH797" s="38" t="n"/>
      <c r="AI797" s="38" t="n"/>
      <c r="AJ797" s="54" t="n">
        <v>0.28</v>
      </c>
      <c r="AK797" s="54">
        <f>IF(AND($AG797&gt;0,ISNUMBER($AJ797)),$AG797*$AJ797,0)</f>
        <v/>
      </c>
      <c r="AT797" s="37">
        <f>SUM(AU797:BA797)</f>
        <v/>
      </c>
      <c r="AU797" s="73" t="n"/>
      <c r="AV797" s="98" t="n">
        <v>1</v>
      </c>
      <c r="AW797" s="33" t="n"/>
      <c r="AX797" s="98" t="n">
        <v>1</v>
      </c>
      <c r="AY797" s="33" t="n"/>
      <c r="AZ797" s="33" t="n"/>
      <c r="BA797" s="74" t="n"/>
      <c r="BB797" s="47" t="n"/>
      <c r="BC797" s="42" t="n"/>
      <c r="BD797" s="42" t="n"/>
    </row>
    <row r="798" ht="15" customHeight="1" s="148">
      <c r="A798" t="inlineStr">
        <is>
          <t>c0794</t>
        </is>
      </c>
      <c r="B798" s="47" t="inlineStr">
        <is>
          <t>Frontline Medic</t>
        </is>
      </c>
      <c r="C798" s="38" t="inlineStr">
        <is>
          <t>W</t>
        </is>
      </c>
      <c r="D798" s="47" t="inlineStr">
        <is>
          <t>Creature</t>
        </is>
      </c>
      <c r="E798" s="41" t="inlineStr">
        <is>
          <t>B2</t>
        </is>
      </c>
      <c r="F798" s="38" t="n">
        <v>3</v>
      </c>
      <c r="G798" s="67" t="inlineStr">
        <is>
          <t>Battalion — Whenever this creature and at least two other creatures attack, creatures you control gain indestructible until end of turn.
Sacrifice this creature: Counter target spell with {X} in its mana cost unless its controller pays {3}.
(3/3)</t>
        </is>
      </c>
      <c r="H798" s="53" t="inlineStr">
        <is>
          <t>Protection</t>
        </is>
      </c>
      <c r="I798" s="53" t="inlineStr">
        <is>
          <t>Battalion: your creatures gain indestructible when 3+ attack</t>
        </is>
      </c>
      <c r="J798" s="53" t="inlineStr">
        <is>
          <t>Sacrifice: counter a spell with {X} in its cost unless they pay {3}</t>
        </is>
      </c>
      <c r="K798" s="53" t="n"/>
      <c r="L798" s="42" t="n"/>
      <c r="M798" s="42" t="n"/>
      <c r="N798" s="42" t="n"/>
      <c r="O798" s="63" t="n"/>
      <c r="P798" s="63" t="n">
        <v>0.2</v>
      </c>
      <c r="Q798" s="42" t="n"/>
      <c r="R798" s="42" t="n"/>
      <c r="S798" s="42" t="n"/>
      <c r="T798" s="63" t="n"/>
      <c r="U798" s="63" t="n"/>
      <c r="V798" s="53" t="inlineStr">
        <is>
          <t>Gatecrash</t>
        </is>
      </c>
      <c r="W798" s="41" t="n">
        <v>1</v>
      </c>
      <c r="X798" s="37">
        <f>SUM(Y798:AE798)</f>
        <v/>
      </c>
      <c r="Y798" s="43" t="n"/>
      <c r="Z798" s="43" t="n"/>
      <c r="AA798" s="43" t="n"/>
      <c r="AB798" s="43" t="n"/>
      <c r="AC798" s="43" t="n">
        <v>1</v>
      </c>
      <c r="AD798" s="43" t="n"/>
      <c r="AE798" s="43" t="n"/>
      <c r="AF798" s="38">
        <f>IF((W798-SUM(Y798:AE798))&lt;0,0,W798-SUM(Y798:AE798))</f>
        <v/>
      </c>
      <c r="AG798" s="38">
        <f>MAX(0,$AT798-$W798-$AI798)</f>
        <v/>
      </c>
      <c r="AH798" s="38" t="n"/>
      <c r="AI798" s="38" t="n"/>
      <c r="AJ798" s="54" t="n">
        <v>0.2</v>
      </c>
      <c r="AK798" s="54">
        <f>IF(AND($AG798&gt;0,ISNUMBER($AJ798)),$AG798*$AJ798,0)</f>
        <v/>
      </c>
      <c r="AT798" s="37">
        <f>SUM(AU798:BA798)</f>
        <v/>
      </c>
      <c r="AU798" s="73" t="n"/>
      <c r="AV798" s="33" t="n"/>
      <c r="AW798" s="33" t="n"/>
      <c r="AX798" s="33" t="n"/>
      <c r="AY798" s="99" t="n"/>
      <c r="AZ798" s="33" t="n"/>
      <c r="BA798" s="74" t="n"/>
      <c r="BB798" s="47" t="n"/>
      <c r="BC798" s="42" t="n"/>
      <c r="BD798" s="42" t="n"/>
    </row>
    <row r="799" ht="15" customHeight="1" s="148">
      <c r="A799" t="inlineStr">
        <is>
          <t>c0795</t>
        </is>
      </c>
      <c r="B799" s="47" t="inlineStr">
        <is>
          <t>Gather the Townsfolk</t>
        </is>
      </c>
      <c r="C799" s="38" t="inlineStr">
        <is>
          <t>W</t>
        </is>
      </c>
      <c r="D799" s="47" t="inlineStr">
        <is>
          <t>Sorcery</t>
        </is>
      </c>
      <c r="E799" s="41" t="inlineStr">
        <is>
          <t>B2</t>
        </is>
      </c>
      <c r="F799" s="38" t="n">
        <v>2</v>
      </c>
      <c r="G799" s="67" t="inlineStr">
        <is>
          <t>Create two 1/1 white Human creature tokens.
Fateful hour — If you have 5 or less life, create five of those tokens instead.</t>
        </is>
      </c>
      <c r="H799" s="53" t="inlineStr">
        <is>
          <t>Token Producer</t>
        </is>
      </c>
      <c r="I799" s="53" t="inlineStr">
        <is>
          <t>Creates two 1/1 Human tokens (five instead if you have 5 or less life)</t>
        </is>
      </c>
      <c r="J799" s="53" t="n"/>
      <c r="K799" s="53" t="n"/>
      <c r="L799" s="42" t="n"/>
      <c r="M799" s="42" t="n"/>
      <c r="N799" s="42" t="n"/>
      <c r="O799" s="42" t="n"/>
      <c r="P799" s="42" t="n">
        <v>0.18</v>
      </c>
      <c r="Q799" s="42" t="n"/>
      <c r="R799" s="42" t="n"/>
      <c r="S799" s="42" t="n"/>
      <c r="T799" s="42" t="n"/>
      <c r="U799" s="42" t="n"/>
      <c r="V799" s="53" t="inlineStr">
        <is>
          <t>Dark Ascension</t>
        </is>
      </c>
      <c r="W799" s="41" t="n">
        <v>0</v>
      </c>
      <c r="X799" s="37">
        <f>SUM(Y799:AE799)</f>
        <v/>
      </c>
      <c r="Y799" s="43" t="n"/>
      <c r="Z799" s="43" t="n"/>
      <c r="AA799" s="43" t="n"/>
      <c r="AB799" s="43" t="n"/>
      <c r="AC799" s="43" t="n"/>
      <c r="AD799" s="43" t="n"/>
      <c r="AE799" s="43" t="n"/>
      <c r="AF799" s="38">
        <f>IF((W799-SUM(Y799:AE799))&lt;0,0,W799-SUM(Y799:AE799))</f>
        <v/>
      </c>
      <c r="AG799" s="38">
        <f>MAX(0,$AT799-$W799-$AI799)</f>
        <v/>
      </c>
      <c r="AH799" s="38" t="n"/>
      <c r="AI799" s="38" t="n"/>
      <c r="AJ799" s="54" t="n">
        <v>0.13</v>
      </c>
      <c r="AK799" s="54">
        <f>IF(AND($AG799&gt;0,ISNUMBER($AJ799)),$AG799*$AJ799,0)</f>
        <v/>
      </c>
      <c r="AL799" s="54" t="n"/>
      <c r="AM799" s="54" t="n"/>
      <c r="AN799" s="54" t="n"/>
      <c r="AO799" s="54" t="n"/>
      <c r="AP799" s="54" t="n"/>
      <c r="AQ799" s="54" t="n"/>
      <c r="AR799" s="54" t="n"/>
      <c r="AS799" s="54" t="n"/>
      <c r="AT799" s="37">
        <f>SUM(AU799:BA799)</f>
        <v/>
      </c>
      <c r="AU799" s="92" t="n"/>
      <c r="AV799" s="38" t="n"/>
      <c r="AW799" s="38" t="n"/>
      <c r="AX799" s="38" t="n"/>
      <c r="AY799" s="38" t="n"/>
      <c r="AZ799" s="38" t="n"/>
      <c r="BA799" s="94" t="n"/>
      <c r="BB799" s="47" t="n"/>
      <c r="BC799" s="42" t="n"/>
      <c r="BD799" s="42" t="n"/>
    </row>
    <row r="800" ht="15" customHeight="1" s="148">
      <c r="A800" t="inlineStr">
        <is>
          <t>c0796</t>
        </is>
      </c>
      <c r="B800" s="47" t="inlineStr">
        <is>
          <t>Generous Gift</t>
        </is>
      </c>
      <c r="C800" s="38" t="inlineStr">
        <is>
          <t>W</t>
        </is>
      </c>
      <c r="D800" s="47" t="inlineStr">
        <is>
          <t>Instant</t>
        </is>
      </c>
      <c r="E800" s="41" t="inlineStr">
        <is>
          <t>B3</t>
        </is>
      </c>
      <c r="F800" s="38" t="n">
        <v>3</v>
      </c>
      <c r="G800" s="67" t="inlineStr">
        <is>
          <t>Destroy target permanent. Its controller creates a 3/3 green Elephant creature token.</t>
        </is>
      </c>
      <c r="H800" s="53" t="inlineStr">
        <is>
          <t>Removal</t>
        </is>
      </c>
      <c r="I800" s="53" t="inlineStr">
        <is>
          <t>Destroys target permanent</t>
        </is>
      </c>
      <c r="J800" s="53" t="inlineStr">
        <is>
          <t>Its controller creates a 3/3 Elephant token</t>
        </is>
      </c>
      <c r="K800" s="53" t="n"/>
      <c r="L800" s="42" t="n"/>
      <c r="M800" s="42" t="n"/>
      <c r="N800" s="42" t="n"/>
      <c r="O800" s="42" t="n"/>
      <c r="P800" s="42" t="n">
        <v>0.72</v>
      </c>
      <c r="Q800" s="42" t="n"/>
      <c r="R800" s="42" t="n"/>
      <c r="S800" s="42" t="n"/>
      <c r="T800" s="42" t="n"/>
      <c r="U800" s="42" t="n"/>
      <c r="V800" s="53" t="inlineStr">
        <is>
          <t>Modern Horizons</t>
        </is>
      </c>
      <c r="W800" s="41" t="n">
        <v>1</v>
      </c>
      <c r="X800" s="37">
        <f>SUM(Y800:AE800)</f>
        <v/>
      </c>
      <c r="Y800" s="43" t="n">
        <v>1</v>
      </c>
      <c r="Z800" s="43" t="n"/>
      <c r="AA800" s="43" t="n"/>
      <c r="AB800" s="43" t="n"/>
      <c r="AC800" s="43" t="n"/>
      <c r="AD800" s="43" t="n"/>
      <c r="AE800" s="43" t="n"/>
      <c r="AF800" s="38">
        <f>IF((W800-SUM(Y800:AE800))&lt;0,0,W800-SUM(Y800:AE800))</f>
        <v/>
      </c>
      <c r="AG800" s="38">
        <f>MAX(0,$AT800-$W800-$AI800)</f>
        <v/>
      </c>
      <c r="AH800" s="38" t="n"/>
      <c r="AI800" s="38" t="n"/>
      <c r="AJ800" s="54" t="n">
        <v>0.85</v>
      </c>
      <c r="AK800" s="54">
        <f>IF(AND($AG800&gt;0,ISNUMBER($AJ800)),$AG800*$AJ800,0)</f>
        <v/>
      </c>
      <c r="AT800" s="37">
        <f>SUM(AU800:BA800)</f>
        <v/>
      </c>
      <c r="AU800" s="82" t="n">
        <v>1</v>
      </c>
      <c r="AV800" s="33" t="n"/>
      <c r="AW800" s="33" t="n"/>
      <c r="AX800" s="33" t="n"/>
      <c r="AY800" s="33" t="n"/>
      <c r="AZ800" s="33" t="n"/>
      <c r="BA800" s="74" t="n"/>
      <c r="BB800" s="47" t="n"/>
      <c r="BC800" s="42" t="n"/>
      <c r="BD800" s="42" t="n"/>
    </row>
    <row r="801" ht="15" customHeight="1" s="148">
      <c r="A801" t="inlineStr">
        <is>
          <t>c0797</t>
        </is>
      </c>
      <c r="B801" s="42" t="inlineStr">
        <is>
          <t>Glider Kids</t>
        </is>
      </c>
      <c r="C801" s="41" t="inlineStr">
        <is>
          <t>W</t>
        </is>
      </c>
      <c r="D801" s="42" t="inlineStr">
        <is>
          <t>Creature</t>
        </is>
      </c>
      <c r="E801" s="41" t="inlineStr">
        <is>
          <t>B2</t>
        </is>
      </c>
      <c r="F801" s="41" t="n">
        <v>3</v>
      </c>
      <c r="G801" s="67" t="inlineStr">
        <is>
          <t>Flying
When this creature enters, scry 1. (Look at the top card of your library. You may put it on the bottom.)
(2/3)</t>
        </is>
      </c>
      <c r="H801" s="42" t="inlineStr">
        <is>
          <t>Utility Creature</t>
        </is>
      </c>
      <c r="I801" s="42" t="inlineStr">
        <is>
          <t>Flying</t>
        </is>
      </c>
      <c r="J801" s="42" t="inlineStr">
        <is>
          <t>Enters: look at the top card of your library and you may put it on the bottom</t>
        </is>
      </c>
      <c r="K801" s="42" t="n"/>
      <c r="L801" s="88" t="inlineStr">
        <is>
          <t>C 0021</t>
        </is>
      </c>
      <c r="M801" s="41" t="n">
        <v>1</v>
      </c>
      <c r="N801" s="41" t="n">
        <v>1</v>
      </c>
      <c r="O801" s="63" t="inlineStr">
        <is>
          <t>Ikeda-cpt</t>
        </is>
      </c>
      <c r="P801" s="90" t="n">
        <v>0.14</v>
      </c>
      <c r="Q801" s="42" t="inlineStr">
        <is>
          <t>C</t>
        </is>
      </c>
      <c r="R801" s="42" t="n"/>
      <c r="S801" s="42" t="n"/>
      <c r="T801" s="63" t="n"/>
      <c r="U801" s="63" t="n"/>
      <c r="V801" s="42" t="inlineStr">
        <is>
          <t>Avatar: The Last Airbender</t>
        </is>
      </c>
      <c r="W801" s="41" t="n">
        <v>1</v>
      </c>
      <c r="X801" s="37">
        <f>SUM(Y801:AE801)</f>
        <v/>
      </c>
      <c r="Y801" s="43" t="n"/>
      <c r="Z801" s="43" t="n"/>
      <c r="AA801" s="43" t="n"/>
      <c r="AB801" s="43" t="n"/>
      <c r="AC801" s="43" t="n"/>
      <c r="AD801" s="43" t="n"/>
      <c r="AE801" s="43" t="n"/>
      <c r="AF801" s="38">
        <f>IF((W801-SUM(Y801:AE801))&lt;0,0,W801-SUM(Y801:AE801))</f>
        <v/>
      </c>
      <c r="AG801" s="38">
        <f>MAX(0,$AT801-$W801-$AI801)</f>
        <v/>
      </c>
      <c r="AH801" s="42" t="n"/>
      <c r="AI801" s="42" t="n"/>
      <c r="AJ801" s="42" t="n">
        <v>0.14</v>
      </c>
      <c r="AK801" s="42">
        <f>IF(AND($AG801&gt;0,ISNUMBER($AJ801)),$AG801*$AJ801,0)</f>
        <v/>
      </c>
      <c r="AT801" s="37">
        <f>SUM(AU801:BA801)</f>
        <v/>
      </c>
      <c r="AU801" s="73" t="n"/>
      <c r="AV801" s="33" t="n"/>
      <c r="AW801" s="33" t="n"/>
      <c r="AX801" s="33" t="n"/>
      <c r="AY801" s="33" t="n"/>
      <c r="AZ801" s="33" t="n"/>
      <c r="BA801" s="74" t="n"/>
      <c r="BB801" s="42" t="n"/>
      <c r="BC801" s="42" t="n"/>
      <c r="BD801" s="42" t="n"/>
    </row>
    <row r="802" ht="15" customHeight="1" s="148">
      <c r="A802" t="inlineStr">
        <is>
          <t>c0798</t>
        </is>
      </c>
      <c r="B802" s="32" t="inlineStr">
        <is>
          <t>Goldmeadow Nomad</t>
        </is>
      </c>
      <c r="C802" s="33" t="inlineStr">
        <is>
          <t>W</t>
        </is>
      </c>
      <c r="D802" s="32" t="inlineStr">
        <is>
          <t>Creature</t>
        </is>
      </c>
      <c r="E802" s="33" t="inlineStr">
        <is>
          <t>B2</t>
        </is>
      </c>
      <c r="F802" s="33" t="n">
        <v>1</v>
      </c>
      <c r="G802" s="67" t="inlineStr">
        <is>
          <t>{W}, Exile this card from your graveyard: Create a 1/1 green and white Kithkin creature token. Activate only as a sorcery.
(1/2)</t>
        </is>
      </c>
      <c r="H802" s="32" t="inlineStr">
        <is>
          <t>Token Producer</t>
        </is>
      </c>
      <c r="I802" s="32" t="inlineStr">
        <is>
          <t>{W}, exile this card from your graveyard: create a 1/1 Kithkin token, as a sorcery</t>
        </is>
      </c>
      <c r="J802" s="32" t="n"/>
      <c r="K802" s="32" t="n"/>
      <c r="L802" s="32" t="inlineStr">
        <is>
          <t>18</t>
        </is>
      </c>
      <c r="M802" s="32" t="n">
        <v>2</v>
      </c>
      <c r="N802" s="32" t="n">
        <v>0</v>
      </c>
      <c r="O802" s="63" t="inlineStr">
        <is>
          <t>Paolo Parente</t>
        </is>
      </c>
      <c r="P802" s="63" t="n">
        <v>0.2</v>
      </c>
      <c r="Q802" s="32" t="inlineStr">
        <is>
          <t>Common</t>
        </is>
      </c>
      <c r="R802" s="32" t="n"/>
      <c r="S802" s="32" t="n"/>
      <c r="T802" s="63" t="n"/>
      <c r="U802" s="63" t="n"/>
      <c r="V802" s="32" t="inlineStr">
        <is>
          <t>Lorwyn Eclipsed</t>
        </is>
      </c>
      <c r="W802" s="41" t="n">
        <v>2</v>
      </c>
      <c r="X802" s="37">
        <f>SUM(Y802:AE802)</f>
        <v/>
      </c>
      <c r="Y802" s="43" t="n"/>
      <c r="Z802" s="43" t="n"/>
      <c r="AA802" s="43" t="n"/>
      <c r="AB802" s="43" t="n"/>
      <c r="AC802" s="43" t="n"/>
      <c r="AD802" s="43" t="n"/>
      <c r="AE802" s="43" t="n"/>
      <c r="AF802" s="38">
        <f>IF((W802-SUM(Y802:AE802))&lt;0,0,W802-SUM(Y802:AE802))</f>
        <v/>
      </c>
      <c r="AG802" s="38">
        <f>MAX(0,$AT802-$W802-$AI802)</f>
        <v/>
      </c>
      <c r="AH802" s="32" t="n"/>
      <c r="AI802" s="32" t="n"/>
      <c r="AJ802" s="61" t="n">
        <v>0.2</v>
      </c>
      <c r="AK802" s="54">
        <f>IF(AND($AG802&gt;0,ISNUMBER($AJ802)),$AG802*$AJ802,0)</f>
        <v/>
      </c>
      <c r="AT802" s="37">
        <f>SUM(AU802:BA802)</f>
        <v/>
      </c>
      <c r="AU802" s="73" t="n"/>
      <c r="AV802" s="33" t="n"/>
      <c r="AW802" s="33" t="n"/>
      <c r="AX802" s="33" t="n"/>
      <c r="AY802" s="33" t="n"/>
      <c r="AZ802" s="33" t="n"/>
      <c r="BA802" s="74" t="n"/>
      <c r="BB802" s="32" t="n"/>
      <c r="BC802" s="32" t="n"/>
      <c r="BD802" s="32" t="n"/>
    </row>
    <row r="803" ht="15" customHeight="1" s="148">
      <c r="A803" t="inlineStr">
        <is>
          <t>c0799</t>
        </is>
      </c>
      <c r="B803" s="47" t="inlineStr">
        <is>
          <t>Grateful Apparition</t>
        </is>
      </c>
      <c r="C803" s="38" t="inlineStr">
        <is>
          <t>W</t>
        </is>
      </c>
      <c r="D803" s="47" t="inlineStr">
        <is>
          <t>Creature</t>
        </is>
      </c>
      <c r="E803" s="41" t="inlineStr">
        <is>
          <t>B2</t>
        </is>
      </c>
      <c r="F803" s="38" t="n">
        <v>2</v>
      </c>
      <c r="G803" s="67" t="inlineStr">
        <is>
          <t>Flying
Whenever this creature deals combat damage to a player or planeswalker, proliferate. (Choose any number of permanents and/or players, then give each another counter of each kind already there.)
(1/1)</t>
        </is>
      </c>
      <c r="H803" s="53" t="inlineStr">
        <is>
          <t>Proliferate</t>
        </is>
      </c>
      <c r="I803" s="53" t="inlineStr">
        <is>
          <t>Proliferates whenever it deals combat damage to a player or planeswalker</t>
        </is>
      </c>
      <c r="J803" s="53" t="inlineStr">
        <is>
          <t>Flying body</t>
        </is>
      </c>
      <c r="K803" s="53" t="n"/>
      <c r="L803" s="42" t="n"/>
      <c r="M803" s="42" t="n"/>
      <c r="N803" s="42" t="n"/>
      <c r="O803" s="42" t="n"/>
      <c r="P803" s="42" t="n">
        <v>0.37</v>
      </c>
      <c r="Q803" s="42" t="n"/>
      <c r="R803" s="42" t="n"/>
      <c r="S803" s="42" t="n"/>
      <c r="T803" s="42" t="n"/>
      <c r="U803" s="42" t="n"/>
      <c r="V803" s="53" t="inlineStr">
        <is>
          <t>War of the Spark</t>
        </is>
      </c>
      <c r="W803" s="41" t="n">
        <v>1</v>
      </c>
      <c r="X803" s="37">
        <f>SUM(Y803:AE803)</f>
        <v/>
      </c>
      <c r="Y803" s="43" t="n"/>
      <c r="Z803" s="43" t="n"/>
      <c r="AA803" s="43" t="n">
        <v>1</v>
      </c>
      <c r="AB803" s="43" t="n"/>
      <c r="AC803" s="43" t="n"/>
      <c r="AD803" s="43" t="n"/>
      <c r="AE803" s="43" t="n"/>
      <c r="AF803" s="38">
        <f>IF((W803-SUM(Y803:AE803))&lt;0,0,W803-SUM(Y803:AE803))</f>
        <v/>
      </c>
      <c r="AG803" s="38">
        <f>MAX(0,$AT803-$W803-$AI803)</f>
        <v/>
      </c>
      <c r="AH803" s="38" t="n"/>
      <c r="AI803" s="38" t="n"/>
      <c r="AJ803" s="54" t="n">
        <v>0.19</v>
      </c>
      <c r="AK803" s="54">
        <f>IF(AND($AG803&gt;0,ISNUMBER($AJ803)),$AG803*$AJ803,0)</f>
        <v/>
      </c>
      <c r="AT803" s="37">
        <f>SUM(AU803:BA803)</f>
        <v/>
      </c>
      <c r="AU803" s="73" t="n"/>
      <c r="AV803" s="33" t="n"/>
      <c r="AW803" s="98" t="n">
        <v>1</v>
      </c>
      <c r="AX803" s="33" t="n"/>
      <c r="AY803" s="33" t="n"/>
      <c r="AZ803" s="33" t="n"/>
      <c r="BA803" s="74" t="n"/>
      <c r="BB803" s="47" t="n"/>
      <c r="BC803" s="42" t="n"/>
      <c r="BD803" s="42" t="n"/>
    </row>
    <row r="804" ht="15" customHeight="1" s="148">
      <c r="A804" t="inlineStr">
        <is>
          <t>c0800</t>
        </is>
      </c>
      <c r="B804" s="47" t="inlineStr">
        <is>
          <t>Guardian of Faith</t>
        </is>
      </c>
      <c r="C804" s="38" t="inlineStr">
        <is>
          <t>W</t>
        </is>
      </c>
      <c r="D804" s="47" t="inlineStr">
        <is>
          <t>Creature</t>
        </is>
      </c>
      <c r="E804" s="41" t="inlineStr">
        <is>
          <t>B2</t>
        </is>
      </c>
      <c r="F804" s="38" t="n">
        <v>3</v>
      </c>
      <c r="G804" s="67" t="inlineStr">
        <is>
          <t>Flash
Vigilance
When this creature enters, any number of other target creatures you control phase out. (Treat them and anything attached to them as though they don't exist until their controller's next turn.)
(3/2)</t>
        </is>
      </c>
      <c r="H804" s="53" t="inlineStr">
        <is>
          <t>Protection</t>
        </is>
      </c>
      <c r="I804" s="53" t="inlineStr">
        <is>
          <t>Can be cast at instant speed</t>
        </is>
      </c>
      <c r="J804" s="53" t="inlineStr">
        <is>
          <t>Enters: any number of your other creatures become temporarily untargetable and safe from harm</t>
        </is>
      </c>
      <c r="K804" s="53" t="n"/>
      <c r="L804" s="42" t="n"/>
      <c r="M804" s="42" t="n"/>
      <c r="N804" s="42" t="n"/>
      <c r="O804" s="42" t="n"/>
      <c r="P804" s="42" t="n">
        <v>0.59</v>
      </c>
      <c r="Q804" s="42" t="n"/>
      <c r="R804" s="42" t="n"/>
      <c r="S804" s="42" t="n"/>
      <c r="T804" s="42" t="n"/>
      <c r="U804" s="42" t="n"/>
      <c r="V804" s="53" t="inlineStr">
        <is>
          <t>Adventures in the Forgotten Realms</t>
        </is>
      </c>
      <c r="W804" s="41" t="n">
        <v>1</v>
      </c>
      <c r="X804" s="37">
        <f>SUM(Y804:AE804)</f>
        <v/>
      </c>
      <c r="Y804" s="43" t="n"/>
      <c r="Z804" s="43" t="n"/>
      <c r="AA804" s="43" t="n"/>
      <c r="AB804" s="43" t="n">
        <v>1</v>
      </c>
      <c r="AC804" s="43" t="n"/>
      <c r="AD804" s="43" t="n"/>
      <c r="AE804" s="43" t="n"/>
      <c r="AF804" s="38">
        <f>IF((W804-SUM(Y804:AE804))&lt;0,0,W804-SUM(Y804:AE804))</f>
        <v/>
      </c>
      <c r="AG804" s="38">
        <f>MAX(0,$AT804-$W804-$AI804)</f>
        <v/>
      </c>
      <c r="AH804" s="38" t="n"/>
      <c r="AI804" s="38" t="n"/>
      <c r="AJ804" s="54" t="n">
        <v>0.61</v>
      </c>
      <c r="AK804" s="54">
        <f>IF(AND($AG804&gt;0,ISNUMBER($AJ804)),$AG804*$AJ804,0)</f>
        <v/>
      </c>
      <c r="AT804" s="37">
        <f>SUM(AU804:BA804)</f>
        <v/>
      </c>
      <c r="AU804" s="73" t="n"/>
      <c r="AV804" s="33" t="n"/>
      <c r="AW804" s="33" t="n"/>
      <c r="AX804" s="98" t="n">
        <v>1</v>
      </c>
      <c r="AY804" s="33" t="n"/>
      <c r="AZ804" s="33" t="n"/>
      <c r="BA804" s="74" t="n"/>
      <c r="BB804" s="47" t="n"/>
      <c r="BC804" s="42" t="n"/>
      <c r="BD804" s="42" t="n"/>
    </row>
    <row r="805" ht="15" customHeight="1" s="148">
      <c r="A805" t="inlineStr">
        <is>
          <t>c0801</t>
        </is>
      </c>
      <c r="B805" s="47" t="inlineStr">
        <is>
          <t>Guardian Scalelord</t>
        </is>
      </c>
      <c r="C805" s="38" t="inlineStr">
        <is>
          <t>W</t>
        </is>
      </c>
      <c r="D805" s="47" t="inlineStr">
        <is>
          <t>Creature</t>
        </is>
      </c>
      <c r="E805" s="41" t="inlineStr">
        <is>
          <t>B2</t>
        </is>
      </c>
      <c r="F805" s="38" t="n">
        <v>5</v>
      </c>
      <c r="G805" s="67" t="inlineStr">
        <is>
          <t>Backup 1 (When this creature enters, put a +1/+1 counter on target creature. If that's another creature, it gains the following abilities until end of turn.)
Flying
Whenever this creature attacks, return target nonland permanent card with mana value X or less from your graveyard to the battlefield, where X is this creature's power.
(3/4)</t>
        </is>
      </c>
      <c r="H805" s="53" t="inlineStr">
        <is>
          <t>Recursion</t>
        </is>
      </c>
      <c r="I805" s="53" t="inlineStr">
        <is>
          <t>Backup 1: puts a +1/+1 counter on target creature, may share flying</t>
        </is>
      </c>
      <c r="J805" s="53" t="inlineStr">
        <is>
          <t>Attacking returns a permanent MV ≤ its power from graveyard</t>
        </is>
      </c>
      <c r="K805" s="53" t="n"/>
      <c r="L805" s="42" t="n"/>
      <c r="M805" s="42" t="n"/>
      <c r="N805" s="42" t="n"/>
      <c r="O805" s="42" t="n"/>
      <c r="P805" s="42" t="n">
        <v>0.29</v>
      </c>
      <c r="Q805" s="42" t="n"/>
      <c r="R805" s="42" t="n"/>
      <c r="S805" s="42" t="n"/>
      <c r="T805" s="42" t="n"/>
      <c r="U805" s="42" t="n"/>
      <c r="V805" s="53" t="inlineStr">
        <is>
          <t>March of the Machine Commander</t>
        </is>
      </c>
      <c r="W805" s="41" t="n">
        <v>1</v>
      </c>
      <c r="X805" s="37">
        <f>SUM(Y805:AE805)</f>
        <v/>
      </c>
      <c r="Y805" s="43" t="n"/>
      <c r="Z805" s="43" t="n"/>
      <c r="AA805" s="43" t="n">
        <v>1</v>
      </c>
      <c r="AB805" s="43" t="n"/>
      <c r="AC805" s="43" t="n"/>
      <c r="AD805" s="43" t="n"/>
      <c r="AE805" s="43" t="n"/>
      <c r="AF805" s="38">
        <f>IF((W805-SUM(Y805:AE805))&lt;0,0,W805-SUM(Y805:AE805))</f>
        <v/>
      </c>
      <c r="AG805" s="38">
        <f>MAX(0,$AT805-$W805-$AI805)</f>
        <v/>
      </c>
      <c r="AH805" s="38" t="n"/>
      <c r="AI805" s="38" t="n"/>
      <c r="AJ805" s="54" t="n">
        <v>0.3</v>
      </c>
      <c r="AK805" s="54">
        <f>IF(AND($AG805&gt;0,ISNUMBER($AJ805)),$AG805*$AJ805,0)</f>
        <v/>
      </c>
      <c r="AT805" s="37">
        <f>SUM(AU805:BA805)</f>
        <v/>
      </c>
      <c r="AU805" s="73" t="n"/>
      <c r="AV805" s="33" t="n"/>
      <c r="AW805" s="98" t="n">
        <v>1</v>
      </c>
      <c r="AX805" s="33" t="n"/>
      <c r="AY805" s="33" t="n"/>
      <c r="AZ805" s="33" t="n"/>
      <c r="BA805" s="74" t="n"/>
      <c r="BB805" s="47" t="n"/>
      <c r="BC805" s="42" t="n"/>
      <c r="BD805" s="42" t="n"/>
    </row>
    <row r="806" ht="15" customHeight="1" s="148">
      <c r="A806" t="inlineStr">
        <is>
          <t>c0802</t>
        </is>
      </c>
      <c r="B806" s="47" t="inlineStr">
        <is>
          <t>Haystack</t>
        </is>
      </c>
      <c r="C806" s="38" t="inlineStr">
        <is>
          <t>W</t>
        </is>
      </c>
      <c r="D806" s="47" t="inlineStr">
        <is>
          <t>Artifact</t>
        </is>
      </c>
      <c r="E806" s="41" t="inlineStr">
        <is>
          <t>B2</t>
        </is>
      </c>
      <c r="F806" s="38" t="n">
        <v>2</v>
      </c>
      <c r="G806" s="67" t="inlineStr">
        <is>
          <t>{2}, {T}: Target creature you control phases out. (Treat it and anything attached to it as though they don't exist until your next turn.)</t>
        </is>
      </c>
      <c r="H806" s="53" t="inlineStr">
        <is>
          <t>Protection</t>
        </is>
      </c>
      <c r="I806" s="53" t="inlineStr">
        <is>
          <t>Phases out target creature you control</t>
        </is>
      </c>
      <c r="J806" s="53" t="n"/>
      <c r="K806" s="53" t="n"/>
      <c r="L806" s="42" t="n"/>
      <c r="M806" s="42" t="n"/>
      <c r="N806" s="42" t="n"/>
      <c r="O806" s="63" t="n"/>
      <c r="P806" s="63" t="n">
        <v>0.35</v>
      </c>
      <c r="Q806" s="42" t="n"/>
      <c r="R806" s="42" t="n"/>
      <c r="S806" s="42" t="n"/>
      <c r="T806" s="63" t="n"/>
      <c r="U806" s="63" t="n"/>
      <c r="V806" s="53" t="inlineStr">
        <is>
          <t>Assassin's Creed</t>
        </is>
      </c>
      <c r="W806" s="41" t="n">
        <v>1</v>
      </c>
      <c r="X806" s="37">
        <f>SUM(Y806:AE806)</f>
        <v/>
      </c>
      <c r="Y806" s="43" t="n"/>
      <c r="Z806" s="43" t="n"/>
      <c r="AA806" s="43" t="n"/>
      <c r="AB806" s="43" t="n"/>
      <c r="AC806" s="43" t="n"/>
      <c r="AD806" s="43" t="n"/>
      <c r="AE806" s="43" t="n"/>
      <c r="AF806" s="38">
        <f>IF((W806-SUM(Y806:AE806))&lt;0,0,W806-SUM(Y806:AE806))</f>
        <v/>
      </c>
      <c r="AG806" s="38">
        <f>MAX(0,$AT806-$W806-$AI806)</f>
        <v/>
      </c>
      <c r="AH806" s="38" t="n"/>
      <c r="AI806" s="38" t="n"/>
      <c r="AJ806" s="54" t="n">
        <v>0.33</v>
      </c>
      <c r="AK806" s="54">
        <f>IF(AND($AG806&gt;0,ISNUMBER($AJ806)),$AG806*$AJ806,0)</f>
        <v/>
      </c>
      <c r="AT806" s="37">
        <f>SUM(AU806:BA806)</f>
        <v/>
      </c>
      <c r="AU806" s="73" t="n"/>
      <c r="AV806" s="33" t="n"/>
      <c r="AW806" s="33" t="n"/>
      <c r="AX806" s="33" t="n"/>
      <c r="AY806" s="33" t="n"/>
      <c r="AZ806" s="33" t="n"/>
      <c r="BA806" s="74" t="n"/>
      <c r="BB806" s="47" t="n"/>
      <c r="BC806" s="42" t="n"/>
      <c r="BD806" s="42" t="n"/>
    </row>
    <row r="807" ht="15" customHeight="1" s="148">
      <c r="A807" t="inlineStr">
        <is>
          <t>c0803</t>
        </is>
      </c>
      <c r="B807" s="32" t="inlineStr">
        <is>
          <t>Hop to It</t>
        </is>
      </c>
      <c r="C807" s="33" t="inlineStr">
        <is>
          <t>W</t>
        </is>
      </c>
      <c r="D807" s="32" t="inlineStr">
        <is>
          <t>Sorcery</t>
        </is>
      </c>
      <c r="E807" s="33" t="inlineStr">
        <is>
          <t>B2</t>
        </is>
      </c>
      <c r="F807" s="32" t="n">
        <v>3</v>
      </c>
      <c r="G807" s="67" t="inlineStr">
        <is>
          <t>Create three 1/1 white Rabbit creature tokens.</t>
        </is>
      </c>
      <c r="H807" s="32" t="inlineStr">
        <is>
          <t>Token Producer</t>
        </is>
      </c>
      <c r="I807" s="32" t="inlineStr">
        <is>
          <t>Create three 1/1 Rabbit tokens</t>
        </is>
      </c>
      <c r="J807" s="32" t="n"/>
      <c r="K807" s="32" t="n"/>
      <c r="L807" s="89" t="inlineStr">
        <is>
          <t>6</t>
        </is>
      </c>
      <c r="M807" s="33" t="n">
        <v>1</v>
      </c>
      <c r="N807" s="33" t="n">
        <v>0</v>
      </c>
      <c r="O807" s="63" t="inlineStr">
        <is>
          <t>Alex Stone</t>
        </is>
      </c>
      <c r="P807" s="90" t="n">
        <v>0.28</v>
      </c>
      <c r="Q807" s="32" t="inlineStr">
        <is>
          <t>Uncommon</t>
        </is>
      </c>
      <c r="R807" s="32" t="n"/>
      <c r="S807" s="32" t="n"/>
      <c r="T807" s="63" t="n"/>
      <c r="U807" s="63" t="n"/>
      <c r="V807" s="32" t="inlineStr">
        <is>
          <t>Secrets of Strixhaven Mystical Archive</t>
        </is>
      </c>
      <c r="W807" s="41" t="n">
        <v>1</v>
      </c>
      <c r="X807" s="37">
        <f>SUM(Y807:AE807)</f>
        <v/>
      </c>
      <c r="Y807" s="43" t="n"/>
      <c r="Z807" s="43" t="n"/>
      <c r="AA807" s="43" t="n"/>
      <c r="AB807" s="43" t="n"/>
      <c r="AC807" s="43" t="n"/>
      <c r="AD807" s="43" t="n"/>
      <c r="AE807" s="43" t="n"/>
      <c r="AF807" s="38">
        <f>IF((W807-SUM(Y807:AE807))&lt;0,0,W807-SUM(Y807:AE807))</f>
        <v/>
      </c>
      <c r="AG807" s="38">
        <f>MAX(0,$AT807-$W807-$AI807)</f>
        <v/>
      </c>
      <c r="AH807" s="32" t="n"/>
      <c r="AI807" s="32" t="n"/>
      <c r="AJ807" s="32" t="n">
        <v>0.28</v>
      </c>
      <c r="AK807" s="54">
        <f>IF(AND($AG807&gt;0,ISNUMBER($AJ807)),$AG807*$AJ807,0)</f>
        <v/>
      </c>
      <c r="AT807" s="37">
        <f>SUM(AU807:BA807)</f>
        <v/>
      </c>
      <c r="AU807" s="73" t="n"/>
      <c r="AV807" s="33" t="n"/>
      <c r="AW807" s="33" t="n"/>
      <c r="AX807" s="33" t="n"/>
      <c r="AY807" s="98" t="n"/>
      <c r="AZ807" s="33" t="n"/>
      <c r="BA807" s="74" t="n"/>
      <c r="BB807" s="32" t="n"/>
      <c r="BC807" s="32" t="n"/>
      <c r="BD807" s="32" t="n"/>
    </row>
    <row r="808" ht="15" customHeight="1" s="148">
      <c r="A808" t="inlineStr">
        <is>
          <t>c0804</t>
        </is>
      </c>
      <c r="B808" s="47" t="inlineStr">
        <is>
          <t>Hunted Witness</t>
        </is>
      </c>
      <c r="C808" s="38" t="inlineStr">
        <is>
          <t>W</t>
        </is>
      </c>
      <c r="D808" s="47" t="inlineStr">
        <is>
          <t>Creature</t>
        </is>
      </c>
      <c r="E808" s="41" t="inlineStr">
        <is>
          <t>B2</t>
        </is>
      </c>
      <c r="F808" s="38" t="n">
        <v>1</v>
      </c>
      <c r="G808" s="67" t="inlineStr">
        <is>
          <t>When this creature dies, create a 1/1 white Soldier creature token with lifelink.
(1/1)</t>
        </is>
      </c>
      <c r="H808" s="53" t="inlineStr">
        <is>
          <t>Token Producer</t>
        </is>
      </c>
      <c r="I808" s="53" t="inlineStr">
        <is>
          <t>Creates a 1/1 lifelink Soldier token when it dies</t>
        </is>
      </c>
      <c r="J808" s="53" t="n"/>
      <c r="K808" s="53" t="n"/>
      <c r="L808" s="42" t="n"/>
      <c r="M808" s="42" t="n"/>
      <c r="N808" s="42" t="n"/>
      <c r="O808" s="42" t="n"/>
      <c r="P808" s="42" t="n">
        <v>0.3</v>
      </c>
      <c r="Q808" s="42" t="n"/>
      <c r="R808" s="42" t="n"/>
      <c r="S808" s="42" t="n"/>
      <c r="T808" s="42" t="n"/>
      <c r="U808" s="42" t="n"/>
      <c r="V808" s="53" t="inlineStr">
        <is>
          <t>Guilds of Ravnica</t>
        </is>
      </c>
      <c r="W808" s="41" t="n">
        <v>0</v>
      </c>
      <c r="X808" s="37">
        <f>SUM(Y808:AE808)</f>
        <v/>
      </c>
      <c r="Y808" s="43" t="n"/>
      <c r="Z808" s="43" t="n"/>
      <c r="AA808" s="43" t="n"/>
      <c r="AB808" s="43" t="n"/>
      <c r="AC808" s="43" t="n"/>
      <c r="AD808" s="43" t="n"/>
      <c r="AE808" s="43" t="n"/>
      <c r="AF808" s="38">
        <f>IF((W808-SUM(Y808:AE808))&lt;0,0,W808-SUM(Y808:AE808))</f>
        <v/>
      </c>
      <c r="AG808" s="38">
        <f>MAX(0,$AT808-$W808-$AI808)</f>
        <v/>
      </c>
      <c r="AH808" s="38" t="n"/>
      <c r="AI808" s="38" t="n"/>
      <c r="AJ808" s="54" t="n">
        <v>0.29</v>
      </c>
      <c r="AK808" s="54">
        <f>IF(AND($AG808&gt;0,ISNUMBER($AJ808)),$AG808*$AJ808,0)</f>
        <v/>
      </c>
      <c r="AL808" s="54" t="n"/>
      <c r="AM808" s="54" t="n"/>
      <c r="AN808" s="54" t="n"/>
      <c r="AO808" s="54" t="n"/>
      <c r="AP808" s="54" t="n"/>
      <c r="AQ808" s="54" t="n"/>
      <c r="AR808" s="54" t="n"/>
      <c r="AS808" s="54" t="n"/>
      <c r="AT808" s="37">
        <f>SUM(AU808:BA808)</f>
        <v/>
      </c>
      <c r="AU808" s="92" t="n"/>
      <c r="AV808" s="38" t="n"/>
      <c r="AW808" s="38" t="n"/>
      <c r="AX808" s="38" t="n"/>
      <c r="AY808" s="38" t="n"/>
      <c r="AZ808" s="38" t="n"/>
      <c r="BA808" s="94" t="n"/>
      <c r="BB808" s="47" t="n"/>
      <c r="BC808" s="42" t="n"/>
      <c r="BD808" s="42" t="n"/>
    </row>
    <row r="809" ht="15" customHeight="1" s="148">
      <c r="A809" t="inlineStr">
        <is>
          <t>c0805</t>
        </is>
      </c>
      <c r="B809" s="47" t="inlineStr">
        <is>
          <t>Impassioned Orator</t>
        </is>
      </c>
      <c r="C809" s="38" t="inlineStr">
        <is>
          <t>W</t>
        </is>
      </c>
      <c r="D809" s="47" t="inlineStr">
        <is>
          <t>Creature</t>
        </is>
      </c>
      <c r="E809" s="41" t="inlineStr">
        <is>
          <t>B2</t>
        </is>
      </c>
      <c r="F809" s="38" t="n">
        <v>2</v>
      </c>
      <c r="G809" s="67" t="inlineStr">
        <is>
          <t>Whenever another creature you control enters, you gain 1 life.
(2/2)</t>
        </is>
      </c>
      <c r="H809" s="53" t="inlineStr">
        <is>
          <t>Lifegain</t>
        </is>
      </c>
      <c r="I809" s="53" t="inlineStr">
        <is>
          <t>Gain 1 life whenever another creature you control enters</t>
        </is>
      </c>
      <c r="J809" s="53" t="n"/>
      <c r="K809" s="53" t="n"/>
      <c r="L809" s="42" t="n"/>
      <c r="M809" s="42" t="n"/>
      <c r="N809" s="42" t="n"/>
      <c r="O809" s="42" t="n"/>
      <c r="P809" s="42" t="n">
        <v>0.32</v>
      </c>
      <c r="Q809" s="42" t="n"/>
      <c r="R809" s="42" t="n"/>
      <c r="S809" s="42" t="n"/>
      <c r="T809" s="42" t="n"/>
      <c r="U809" s="42" t="n"/>
      <c r="V809" s="53" t="inlineStr">
        <is>
          <t>Ravnica Allegiance</t>
        </is>
      </c>
      <c r="W809" s="41" t="n">
        <v>1</v>
      </c>
      <c r="X809" s="37">
        <f>SUM(Y809:AE809)</f>
        <v/>
      </c>
      <c r="Y809" s="43" t="n"/>
      <c r="Z809" s="43" t="n"/>
      <c r="AA809" s="43" t="n"/>
      <c r="AB809" s="43" t="n"/>
      <c r="AC809" s="43" t="n">
        <v>1</v>
      </c>
      <c r="AD809" s="43" t="n"/>
      <c r="AE809" s="43" t="n"/>
      <c r="AF809" s="38">
        <f>IF((W809-SUM(Y809:AE809))&lt;0,0,W809-SUM(Y809:AE809))</f>
        <v/>
      </c>
      <c r="AG809" s="38">
        <f>MAX(0,$AT809-$W809-$AI809)</f>
        <v/>
      </c>
      <c r="AH809" s="38" t="n"/>
      <c r="AI809" s="38" t="n"/>
      <c r="AJ809" s="54" t="n">
        <v>0.32</v>
      </c>
      <c r="AK809" s="54">
        <f>IF(AND($AG809&gt;0,ISNUMBER($AJ809)),$AG809*$AJ809,0)</f>
        <v/>
      </c>
      <c r="AP809" s="58" t="n"/>
      <c r="AT809" s="37">
        <f>SUM(AU809:BA809)</f>
        <v/>
      </c>
      <c r="AU809" s="73" t="n"/>
      <c r="AV809" s="33" t="n"/>
      <c r="AW809" s="33" t="n"/>
      <c r="AX809" s="33" t="n"/>
      <c r="AY809" s="99" t="n"/>
      <c r="AZ809" s="33" t="n"/>
      <c r="BA809" s="74" t="n"/>
      <c r="BB809" s="47" t="n"/>
      <c r="BC809" s="42" t="n"/>
      <c r="BD809" s="42" t="n"/>
    </row>
    <row r="810" ht="15" customHeight="1" s="148">
      <c r="A810" t="inlineStr">
        <is>
          <t>c0806</t>
        </is>
      </c>
      <c r="B810" s="47" t="inlineStr">
        <is>
          <t>Indomitable Ancients</t>
        </is>
      </c>
      <c r="C810" s="38" t="inlineStr">
        <is>
          <t>W</t>
        </is>
      </c>
      <c r="D810" s="47" t="inlineStr">
        <is>
          <t>Creature</t>
        </is>
      </c>
      <c r="E810" s="41" t="inlineStr">
        <is>
          <t>B2</t>
        </is>
      </c>
      <c r="F810" s="38" t="n">
        <v>4</v>
      </c>
      <c r="G810" s="67" t="inlineStr">
        <is>
          <t>(2/10)</t>
        </is>
      </c>
      <c r="H810" s="53" t="inlineStr">
        <is>
          <t>Utility Creature</t>
        </is>
      </c>
      <c r="I810" s="53" t="inlineStr">
        <is>
          <t>Vanilla creature with no abilities (body only)</t>
        </is>
      </c>
      <c r="J810" s="53" t="n"/>
      <c r="K810" s="53" t="n"/>
      <c r="L810" s="42" t="n"/>
      <c r="M810" s="42" t="n"/>
      <c r="N810" s="42" t="n"/>
      <c r="O810" s="42" t="n"/>
      <c r="P810" s="42" t="n">
        <v>0.37</v>
      </c>
      <c r="Q810" s="42" t="n"/>
      <c r="R810" s="42" t="n"/>
      <c r="S810" s="42" t="n"/>
      <c r="T810" s="42" t="n"/>
      <c r="U810" s="42" t="n"/>
      <c r="V810" s="53" t="inlineStr">
        <is>
          <t>Morningtide</t>
        </is>
      </c>
      <c r="W810" s="41" t="n">
        <v>1</v>
      </c>
      <c r="X810" s="37">
        <f>SUM(Y810:AE810)</f>
        <v/>
      </c>
      <c r="Y810" s="43" t="n"/>
      <c r="Z810" s="43" t="n"/>
      <c r="AA810" s="43" t="n"/>
      <c r="AB810" s="43" t="n">
        <v>1</v>
      </c>
      <c r="AC810" s="43" t="n"/>
      <c r="AD810" s="43" t="n"/>
      <c r="AE810" s="43" t="n"/>
      <c r="AF810" s="38">
        <f>IF((W810-SUM(Y810:AE810))&lt;0,0,W810-SUM(Y810:AE810))</f>
        <v/>
      </c>
      <c r="AG810" s="38">
        <f>MAX(0,$AT810-$W810-$AI810)</f>
        <v/>
      </c>
      <c r="AH810" s="38" t="inlineStr">
        <is>
          <t>GT</t>
        </is>
      </c>
      <c r="AI810" s="38" t="n"/>
      <c r="AJ810" s="54" t="n">
        <v>0.38</v>
      </c>
      <c r="AK810" s="54">
        <f>IF(AND($AG810&gt;0,ISNUMBER($AJ810)),$AG810*$AJ810,0)</f>
        <v/>
      </c>
      <c r="AO810" s="58" t="n"/>
      <c r="AS810" s="86" t="n">
        <v>1</v>
      </c>
      <c r="AT810" s="37">
        <f>SUM(AU810:BA810)</f>
        <v/>
      </c>
      <c r="AU810" s="73" t="n"/>
      <c r="AV810" s="33" t="n"/>
      <c r="AW810" s="33" t="n"/>
      <c r="AX810" s="98" t="n">
        <v>1</v>
      </c>
      <c r="AY810" s="33" t="n"/>
      <c r="AZ810" s="33" t="n"/>
      <c r="BA810" s="74" t="n"/>
      <c r="BB810" s="47" t="n"/>
      <c r="BC810" s="42" t="n"/>
      <c r="BD810" s="42" t="n"/>
    </row>
    <row r="811" ht="15" customHeight="1" s="148">
      <c r="A811" t="inlineStr">
        <is>
          <t>c0807</t>
        </is>
      </c>
      <c r="B811" s="47" t="inlineStr">
        <is>
          <t>Inspiring Overseer</t>
        </is>
      </c>
      <c r="C811" s="38" t="inlineStr">
        <is>
          <t>W</t>
        </is>
      </c>
      <c r="D811" s="47" t="inlineStr">
        <is>
          <t>Creature</t>
        </is>
      </c>
      <c r="E811" s="41" t="inlineStr">
        <is>
          <t>B2</t>
        </is>
      </c>
      <c r="F811" s="38" t="n">
        <v>3</v>
      </c>
      <c r="G811" s="67" t="inlineStr">
        <is>
          <t>Flying
When this creature enters, you gain 1 life and draw a card.
(2/1)</t>
        </is>
      </c>
      <c r="H811" s="53" t="inlineStr">
        <is>
          <t>Card Draw</t>
        </is>
      </c>
      <c r="I811" s="53" t="inlineStr">
        <is>
          <t>Gains 1 life and draws a card when it enters</t>
        </is>
      </c>
      <c r="J811" s="53" t="inlineStr">
        <is>
          <t>Flying body</t>
        </is>
      </c>
      <c r="K811" s="53" t="n"/>
      <c r="L811" s="42" t="n"/>
      <c r="M811" s="42" t="n"/>
      <c r="N811" s="42" t="n"/>
      <c r="O811" s="42" t="n"/>
      <c r="P811" s="42" t="n">
        <v>0.23</v>
      </c>
      <c r="Q811" s="42" t="n"/>
      <c r="R811" s="42" t="n"/>
      <c r="S811" s="42" t="n"/>
      <c r="T811" s="42" t="n"/>
      <c r="U811" s="42" t="n"/>
      <c r="V811" s="53" t="inlineStr">
        <is>
          <t>Streets of New Capenna</t>
        </is>
      </c>
      <c r="W811" s="41" t="n">
        <v>0</v>
      </c>
      <c r="X811" s="37">
        <f>SUM(Y811:AE811)</f>
        <v/>
      </c>
      <c r="Y811" s="43" t="n"/>
      <c r="Z811" s="43" t="n"/>
      <c r="AA811" s="43" t="n"/>
      <c r="AB811" s="43" t="n"/>
      <c r="AC811" s="43" t="n"/>
      <c r="AD811" s="43" t="n"/>
      <c r="AE811" s="43" t="n"/>
      <c r="AF811" s="38">
        <f>IF((W811-SUM(Y811:AE811))&lt;0,0,W811-SUM(Y811:AE811))</f>
        <v/>
      </c>
      <c r="AG811" s="38">
        <f>MAX(0,$AT811-$W811-$AI811)</f>
        <v/>
      </c>
      <c r="AH811" s="38" t="n"/>
      <c r="AI811" s="38" t="n"/>
      <c r="AJ811" s="54" t="n">
        <v>0.28</v>
      </c>
      <c r="AK811" s="54">
        <f>IF(AND($AG811&gt;0,ISNUMBER($AJ811)),$AG811*$AJ811,0)</f>
        <v/>
      </c>
      <c r="AL811" s="54" t="n"/>
      <c r="AM811" s="54" t="n"/>
      <c r="AN811" s="54" t="n"/>
      <c r="AO811" s="54" t="n"/>
      <c r="AP811" s="54" t="n"/>
      <c r="AQ811" s="54" t="n"/>
      <c r="AR811" s="54" t="n"/>
      <c r="AS811" s="54" t="n"/>
      <c r="AT811" s="37">
        <f>SUM(AU811:BA811)</f>
        <v/>
      </c>
      <c r="AU811" s="92" t="n"/>
      <c r="AV811" s="38" t="n"/>
      <c r="AW811" s="38" t="n"/>
      <c r="AX811" s="38" t="n"/>
      <c r="AY811" s="38" t="n"/>
      <c r="AZ811" s="38" t="n"/>
      <c r="BA811" s="94" t="n"/>
      <c r="BB811" s="47" t="n"/>
      <c r="BC811" s="42" t="n"/>
      <c r="BD811" s="42" t="n"/>
    </row>
    <row r="812" ht="15" customHeight="1" s="148">
      <c r="A812" t="inlineStr">
        <is>
          <t>c0808</t>
        </is>
      </c>
      <c r="B812" s="47" t="inlineStr">
        <is>
          <t>Intangible Virtue</t>
        </is>
      </c>
      <c r="C812" s="38" t="inlineStr">
        <is>
          <t>W</t>
        </is>
      </c>
      <c r="D812" s="47" t="inlineStr">
        <is>
          <t>Enchantment</t>
        </is>
      </c>
      <c r="E812" s="41" t="inlineStr">
        <is>
          <t>B2</t>
        </is>
      </c>
      <c r="F812" s="38" t="n">
        <v>2</v>
      </c>
      <c r="G812" s="67" t="inlineStr">
        <is>
          <t>Creature tokens you control get +1/+1 and have vigilance.</t>
        </is>
      </c>
      <c r="H812" s="53" t="inlineStr">
        <is>
          <t>Lord/Anthem</t>
        </is>
      </c>
      <c r="I812" s="53" t="inlineStr">
        <is>
          <t>Your creature tokens get +1/+1</t>
        </is>
      </c>
      <c r="J812" s="53" t="inlineStr">
        <is>
          <t>Your creature tokens have vigilance</t>
        </is>
      </c>
      <c r="K812" s="53" t="n"/>
      <c r="L812" s="42" t="n"/>
      <c r="M812" s="42" t="n"/>
      <c r="N812" s="42" t="n"/>
      <c r="O812" s="42" t="n"/>
      <c r="P812" s="42" t="n">
        <v>0.32</v>
      </c>
      <c r="Q812" s="42" t="n"/>
      <c r="R812" s="42" t="n"/>
      <c r="S812" s="42" t="n"/>
      <c r="T812" s="42" t="n"/>
      <c r="U812" s="42" t="n"/>
      <c r="V812" s="53" t="inlineStr">
        <is>
          <t>Innistrad</t>
        </is>
      </c>
      <c r="W812" s="41" t="n">
        <v>1</v>
      </c>
      <c r="X812" s="37">
        <f>SUM(Y812:AE812)</f>
        <v/>
      </c>
      <c r="Y812" s="43" t="n"/>
      <c r="Z812" s="43" t="n"/>
      <c r="AA812" s="43" t="n"/>
      <c r="AB812" s="43" t="n"/>
      <c r="AC812" s="43" t="n">
        <v>1</v>
      </c>
      <c r="AD812" s="43" t="n"/>
      <c r="AE812" s="43" t="n"/>
      <c r="AF812" s="38">
        <f>IF((W812-SUM(Y812:AE812))&lt;0,0,W812-SUM(Y812:AE812))</f>
        <v/>
      </c>
      <c r="AG812" s="38">
        <f>MAX(0,$AT812-$W812-$AI812)</f>
        <v/>
      </c>
      <c r="AH812" s="38" t="n"/>
      <c r="AI812" s="38" t="n"/>
      <c r="AJ812" s="54" t="n">
        <v>0.29</v>
      </c>
      <c r="AK812" s="54">
        <f>IF(AND($AG812&gt;0,ISNUMBER($AJ812)),$AG812*$AJ812,0)</f>
        <v/>
      </c>
      <c r="AP812" s="58" t="n"/>
      <c r="AT812" s="37">
        <f>SUM(AU812:BA812)</f>
        <v/>
      </c>
      <c r="AU812" s="73" t="n"/>
      <c r="AV812" s="33" t="n"/>
      <c r="AW812" s="33" t="n"/>
      <c r="AX812" s="33" t="n"/>
      <c r="AY812" s="98" t="n">
        <v>1</v>
      </c>
      <c r="AZ812" s="33" t="n"/>
      <c r="BA812" s="74" t="n"/>
      <c r="BB812" s="47" t="n"/>
      <c r="BC812" s="42" t="n"/>
      <c r="BD812" s="42" t="n"/>
    </row>
    <row r="813" ht="15" customHeight="1" s="148">
      <c r="A813" t="inlineStr">
        <is>
          <t>c0809</t>
        </is>
      </c>
      <c r="B813" s="47" t="inlineStr">
        <is>
          <t>Ironsoul Enforcer</t>
        </is>
      </c>
      <c r="C813" s="38" t="inlineStr">
        <is>
          <t>W</t>
        </is>
      </c>
      <c r="D813" s="47" t="inlineStr">
        <is>
          <t>Artifact Creature</t>
        </is>
      </c>
      <c r="E813" s="41" t="inlineStr">
        <is>
          <t>B2</t>
        </is>
      </c>
      <c r="F813" s="38" t="n">
        <v>5</v>
      </c>
      <c r="G813" s="67" t="inlineStr">
        <is>
          <t>Whenever this creature or a commander you control attacks alone, return target artifact card from your graveyard to the battlefield.
(4/4)</t>
        </is>
      </c>
      <c r="H813" s="53" t="inlineStr">
        <is>
          <t>Recursion</t>
        </is>
      </c>
      <c r="I813" s="53" t="inlineStr">
        <is>
          <t>Returns target artifact card from your graveyard to the battlefield when it or your commander attacks alone</t>
        </is>
      </c>
      <c r="J813" s="53" t="n"/>
      <c r="K813" s="53" t="n"/>
      <c r="L813" s="42" t="n"/>
      <c r="M813" s="42" t="n"/>
      <c r="N813" s="42" t="n"/>
      <c r="O813" s="63" t="n"/>
      <c r="P813" s="63" t="n">
        <v>0.99</v>
      </c>
      <c r="Q813" s="42" t="n"/>
      <c r="R813" s="42" t="n"/>
      <c r="S813" s="42" t="n"/>
      <c r="T813" s="63" t="n"/>
      <c r="U813" s="63" t="n"/>
      <c r="V813" s="53" t="inlineStr">
        <is>
          <t>Neon Dynasty Commander</t>
        </is>
      </c>
      <c r="W813" s="41" t="n">
        <v>1</v>
      </c>
      <c r="X813" s="37">
        <f>SUM(Y813:AE813)</f>
        <v/>
      </c>
      <c r="Y813" s="43" t="n"/>
      <c r="Z813" s="43" t="n"/>
      <c r="AA813" s="43" t="n"/>
      <c r="AB813" s="43" t="n"/>
      <c r="AC813" s="43" t="n"/>
      <c r="AD813" s="43" t="n"/>
      <c r="AE813" s="43" t="n"/>
      <c r="AF813" s="38">
        <f>IF((W813-SUM(Y813:AE813))&lt;0,0,W813-SUM(Y813:AE813))</f>
        <v/>
      </c>
      <c r="AG813" s="38">
        <f>MAX(0,$AT813-$W813-$AI813)</f>
        <v/>
      </c>
      <c r="AH813" s="38" t="n"/>
      <c r="AI813" s="38" t="n"/>
      <c r="AJ813" s="54" t="n">
        <v>0.89</v>
      </c>
      <c r="AK813" s="54">
        <f>IF(AND($AG813&gt;0,ISNUMBER($AJ813)),$AG813*$AJ813,0)</f>
        <v/>
      </c>
      <c r="AT813" s="37">
        <f>SUM(AU813:BA813)</f>
        <v/>
      </c>
      <c r="AU813" s="73" t="n"/>
      <c r="AV813" s="33" t="n"/>
      <c r="AW813" s="33" t="n"/>
      <c r="AX813" s="33" t="n"/>
      <c r="AY813" s="33" t="n"/>
      <c r="AZ813" s="33" t="n"/>
      <c r="BA813" s="74" t="n"/>
      <c r="BB813" s="47" t="n"/>
      <c r="BC813" s="42" t="n"/>
      <c r="BD813" s="42" t="n"/>
    </row>
    <row r="814" ht="15" customHeight="1" s="148">
      <c r="A814" t="inlineStr">
        <is>
          <t>c0810</t>
        </is>
      </c>
      <c r="B814" s="32" t="inlineStr">
        <is>
          <t>Joined Researchers</t>
        </is>
      </c>
      <c r="C814" s="33" t="inlineStr">
        <is>
          <t>W</t>
        </is>
      </c>
      <c r="D814" s="32" t="inlineStr">
        <is>
          <t>Creature</t>
        </is>
      </c>
      <c r="E814" s="33" t="inlineStr">
        <is>
          <t>B2</t>
        </is>
      </c>
      <c r="F814" s="33" t="n">
        <v>2</v>
      </c>
      <c r="G814" s="67" t="inlineStr">
        <is>
          <t>Joined Researchers {1}{W} — Creature — Human Cleric Wizard (2/2)
First strike
At the beginning of each end step, if an opponent has more cards in hand than you, this creature becomes prepared. (While it's prepared, you may cast a copy of its spell. Doing so unprepares it.)
//
Secret Rendezvous {1}{W}{W} — Sorcery
You and target opponent each draw three cards.</t>
        </is>
      </c>
      <c r="H814" s="32" t="inlineStr">
        <is>
          <t>Card Draw</t>
        </is>
      </c>
      <c r="I814" s="32" t="inlineStr">
        <is>
          <t>Becomes prepared at each end step where an opponent has more cards in hand than you</t>
        </is>
      </c>
      <c r="J814" s="32" t="inlineStr">
        <is>
          <t>Secret Rendezvous: you and target opponent each draw three cards</t>
        </is>
      </c>
      <c r="K814" s="32" t="inlineStr">
        <is>
          <t>First strike body</t>
        </is>
      </c>
      <c r="L814" s="32" t="inlineStr">
        <is>
          <t>23</t>
        </is>
      </c>
      <c r="M814" s="32" t="n">
        <v>1</v>
      </c>
      <c r="N814" s="32" t="n">
        <v>0</v>
      </c>
      <c r="O814" s="63" t="n"/>
      <c r="P814" s="63" t="n">
        <v>0.37</v>
      </c>
      <c r="Q814" s="32" t="inlineStr">
        <is>
          <t>Rare</t>
        </is>
      </c>
      <c r="R814" s="32" t="n"/>
      <c r="S814" s="32" t="n"/>
      <c r="T814" s="63" t="n"/>
      <c r="U814" s="63" t="n"/>
      <c r="V814" s="32" t="inlineStr">
        <is>
          <t>Secrets of Strixhaven</t>
        </is>
      </c>
      <c r="W814" s="41" t="n">
        <v>1</v>
      </c>
      <c r="X814" s="37">
        <f>SUM(Y814:AE814)</f>
        <v/>
      </c>
      <c r="Y814" s="43" t="n"/>
      <c r="Z814" s="43" t="n"/>
      <c r="AA814" s="43" t="n"/>
      <c r="AB814" s="43" t="n"/>
      <c r="AC814" s="43" t="n"/>
      <c r="AD814" s="43" t="n"/>
      <c r="AE814" s="43" t="n"/>
      <c r="AF814" s="38">
        <f>IF((W814-SUM(Y814:AE814))&lt;0,0,W814-SUM(Y814:AE814))</f>
        <v/>
      </c>
      <c r="AG814" s="38">
        <f>MAX(0,$AT814-$W814-$AI814)</f>
        <v/>
      </c>
      <c r="AH814" s="32" t="n"/>
      <c r="AI814" s="32" t="n"/>
      <c r="AJ814" s="61" t="n">
        <v>0.37</v>
      </c>
      <c r="AK814" s="54">
        <f>IF(AND($AG814&gt;0,ISNUMBER($AJ814)),$AG814*$AJ814,0)</f>
        <v/>
      </c>
      <c r="AO814" s="58" t="n"/>
      <c r="AP814" s="58" t="n"/>
      <c r="AT814" s="37">
        <f>SUM(AU814:BA814)</f>
        <v/>
      </c>
      <c r="AU814" s="73" t="n"/>
      <c r="AV814" s="33" t="n"/>
      <c r="AW814" s="33" t="n"/>
      <c r="AX814" s="33" t="n"/>
      <c r="AY814" s="33" t="n"/>
      <c r="AZ814" s="33" t="n"/>
      <c r="BA814" s="74" t="n"/>
      <c r="BB814" s="32" t="n"/>
      <c r="BC814" s="32" t="n"/>
      <c r="BD814" s="32" t="n"/>
    </row>
    <row r="815" ht="15" customHeight="1" s="148">
      <c r="A815" t="inlineStr">
        <is>
          <t>c0811</t>
        </is>
      </c>
      <c r="B815" s="47" t="inlineStr">
        <is>
          <t>Kami of Ancient Law</t>
        </is>
      </c>
      <c r="C815" s="38" t="inlineStr">
        <is>
          <t>W</t>
        </is>
      </c>
      <c r="D815" s="47" t="inlineStr">
        <is>
          <t>Creature</t>
        </is>
      </c>
      <c r="E815" s="41" t="inlineStr">
        <is>
          <t>B2</t>
        </is>
      </c>
      <c r="F815" s="38" t="n">
        <v>2</v>
      </c>
      <c r="G815" s="67" t="inlineStr">
        <is>
          <t>Sacrifice this creature: Destroy target enchantment.
(2/2)</t>
        </is>
      </c>
      <c r="H815" s="53" t="inlineStr">
        <is>
          <t>Artifact/Enchantment Removal</t>
        </is>
      </c>
      <c r="I815" s="53" t="inlineStr">
        <is>
          <t>Sacrifice this creature to destroy target enchantment</t>
        </is>
      </c>
      <c r="J815" s="53" t="n"/>
      <c r="K815" s="53" t="n"/>
      <c r="L815" s="41" t="n"/>
      <c r="M815" s="41" t="n"/>
      <c r="N815" s="41" t="n"/>
      <c r="O815" s="41" t="n"/>
      <c r="P815" s="41" t="n">
        <v>0.23</v>
      </c>
      <c r="Q815" s="41" t="n"/>
      <c r="R815" s="41" t="n"/>
      <c r="S815" s="41" t="n"/>
      <c r="T815" s="41" t="n"/>
      <c r="U815" s="41" t="n"/>
      <c r="V815" s="53" t="inlineStr">
        <is>
          <t>Champions of Kamigawa</t>
        </is>
      </c>
      <c r="W815" s="41" t="n">
        <v>1</v>
      </c>
      <c r="X815" s="37">
        <f>SUM(Y815:AE815)</f>
        <v/>
      </c>
      <c r="Y815" s="43" t="n"/>
      <c r="Z815" s="43" t="n">
        <v>1</v>
      </c>
      <c r="AA815" s="43" t="n"/>
      <c r="AB815" s="43" t="n"/>
      <c r="AC815" s="43" t="n"/>
      <c r="AD815" s="43" t="n"/>
      <c r="AE815" s="43" t="n"/>
      <c r="AF815" s="38">
        <f>IF((W815-SUM(Y815:AE815))&lt;0,0,W815-SUM(Y815:AE815))</f>
        <v/>
      </c>
      <c r="AG815" s="38">
        <f>MAX(0,$AT815-$W815-$AI815)</f>
        <v/>
      </c>
      <c r="AH815" s="38" t="n"/>
      <c r="AI815" s="38" t="n"/>
      <c r="AJ815" s="54" t="n">
        <v>0.2</v>
      </c>
      <c r="AK815" s="54">
        <f>IF(AND($AG815&gt;0,ISNUMBER($AJ815)),$AG815*$AJ815,0)</f>
        <v/>
      </c>
      <c r="AT815" s="37">
        <f>SUM(AU815:BA815)</f>
        <v/>
      </c>
      <c r="AU815" s="73" t="n"/>
      <c r="AV815" s="98" t="n">
        <v>1</v>
      </c>
      <c r="AW815" s="33" t="n"/>
      <c r="AX815" s="33" t="n"/>
      <c r="AY815" s="33" t="n"/>
      <c r="AZ815" s="33" t="n"/>
      <c r="BA815" s="74" t="n"/>
      <c r="BB815" s="47" t="n"/>
      <c r="BC815" s="42" t="n"/>
      <c r="BD815" s="42" t="n"/>
    </row>
    <row r="816" ht="15" customHeight="1" s="148">
      <c r="A816" t="inlineStr">
        <is>
          <t>c0812</t>
        </is>
      </c>
      <c r="B816" s="47" t="inlineStr">
        <is>
          <t>Kami of Old Stone</t>
        </is>
      </c>
      <c r="C816" s="38" t="inlineStr">
        <is>
          <t>W</t>
        </is>
      </c>
      <c r="D816" s="47" t="inlineStr">
        <is>
          <t>Creature</t>
        </is>
      </c>
      <c r="E816" s="41" t="inlineStr">
        <is>
          <t>B2</t>
        </is>
      </c>
      <c r="F816" s="38" t="n">
        <v>4</v>
      </c>
      <c r="G816" s="67" t="inlineStr">
        <is>
          <t>(1/7)</t>
        </is>
      </c>
      <c r="H816" s="53" t="inlineStr">
        <is>
          <t>Utility Creature</t>
        </is>
      </c>
      <c r="I816" s="53" t="inlineStr">
        <is>
          <t>Vanilla creature with no abilities (body only)</t>
        </is>
      </c>
      <c r="J816" s="53" t="n"/>
      <c r="K816" s="53" t="n"/>
      <c r="L816" s="42" t="n"/>
      <c r="M816" s="42" t="n"/>
      <c r="N816" s="42" t="n"/>
      <c r="O816" s="42" t="n"/>
      <c r="P816" s="42" t="n">
        <v>0.29</v>
      </c>
      <c r="Q816" s="42" t="n"/>
      <c r="R816" s="42" t="n"/>
      <c r="S816" s="42" t="n"/>
      <c r="T816" s="42" t="n"/>
      <c r="U816" s="42" t="n"/>
      <c r="V816" s="53" t="inlineStr">
        <is>
          <t>Champions of Kamigawa</t>
        </is>
      </c>
      <c r="W816" s="41" t="n">
        <v>0</v>
      </c>
      <c r="X816" s="37">
        <f>SUM(Y816:AE816)</f>
        <v/>
      </c>
      <c r="Y816" s="43" t="n"/>
      <c r="Z816" s="43" t="n"/>
      <c r="AA816" s="43" t="n"/>
      <c r="AB816" s="43" t="n"/>
      <c r="AC816" s="43" t="n"/>
      <c r="AD816" s="43" t="n"/>
      <c r="AE816" s="43" t="n"/>
      <c r="AF816" s="38">
        <f>IF((W816-SUM(Y816:AE816))&lt;0,0,W816-SUM(Y816:AE816))</f>
        <v/>
      </c>
      <c r="AG816" s="38">
        <f>MAX(0,$AT816-$W816-$AI816)</f>
        <v/>
      </c>
      <c r="AH816" s="38" t="n"/>
      <c r="AI816" s="38" t="n"/>
      <c r="AJ816" s="54" t="n">
        <v>0.1</v>
      </c>
      <c r="AK816" s="54">
        <f>IF(AND($AG816&gt;0,ISNUMBER($AJ816)),$AG816*$AJ816,0)</f>
        <v/>
      </c>
      <c r="AL816" s="54" t="n"/>
      <c r="AM816" s="54" t="n"/>
      <c r="AN816" s="54" t="n"/>
      <c r="AO816" s="54" t="n"/>
      <c r="AP816" s="54" t="n"/>
      <c r="AQ816" s="54" t="n"/>
      <c r="AR816" s="54" t="n"/>
      <c r="AS816" s="54" t="n"/>
      <c r="AT816" s="37">
        <f>SUM(AU816:BA816)</f>
        <v/>
      </c>
      <c r="AU816" s="92" t="n"/>
      <c r="AV816" s="38" t="n"/>
      <c r="AW816" s="38" t="n"/>
      <c r="AX816" s="38" t="n"/>
      <c r="AY816" s="38" t="n"/>
      <c r="AZ816" s="38" t="n"/>
      <c r="BA816" s="94" t="n"/>
      <c r="BB816" s="47" t="n"/>
      <c r="BC816" s="42" t="n"/>
      <c r="BD816" s="42" t="n"/>
    </row>
    <row r="817" ht="15" customHeight="1" s="148">
      <c r="A817" t="inlineStr">
        <is>
          <t>c0813</t>
        </is>
      </c>
      <c r="B817" s="47" t="inlineStr">
        <is>
          <t>Karmic Guide</t>
        </is>
      </c>
      <c r="C817" s="38" t="inlineStr">
        <is>
          <t>W</t>
        </is>
      </c>
      <c r="D817" s="47" t="inlineStr">
        <is>
          <t>Creature</t>
        </is>
      </c>
      <c r="E817" s="41" t="inlineStr">
        <is>
          <t>B2</t>
        </is>
      </c>
      <c r="F817" s="38" t="n">
        <v>5</v>
      </c>
      <c r="G817" s="67" t="inlineStr">
        <is>
          <t>Flying, protection from black
Echo {3}{W}{W} (At the beginning of your upkeep, if this came under your control since the beginning of your last upkeep, sacrifice it unless you pay its echo cost.)
When this creature enters, return target creature card from your graveyard to the battlefield.
(2/2)</t>
        </is>
      </c>
      <c r="H817" s="53" t="inlineStr">
        <is>
          <t>Recursion</t>
        </is>
      </c>
      <c r="I817" s="53" t="inlineStr">
        <is>
          <t>Flying body that can't be blocked or targeted by black</t>
        </is>
      </c>
      <c r="J817" s="53" t="inlineStr">
        <is>
          <t>Enters: return target creature card from graveyard to battlefield</t>
        </is>
      </c>
      <c r="K817" s="53" t="inlineStr">
        <is>
          <t>Must pay {3}{W}{W} next upkeep or be sacrificed</t>
        </is>
      </c>
      <c r="L817" s="41" t="n"/>
      <c r="M817" s="41" t="n"/>
      <c r="N817" s="41" t="n"/>
      <c r="O817" s="41" t="n"/>
      <c r="P817" s="41" t="n">
        <v>0.34</v>
      </c>
      <c r="Q817" s="41" t="n"/>
      <c r="R817" s="41" t="n"/>
      <c r="S817" s="41" t="n"/>
      <c r="T817" s="41" t="n"/>
      <c r="U817" s="41" t="n"/>
      <c r="V817" s="53" t="inlineStr">
        <is>
          <t>Urza's Legacy</t>
        </is>
      </c>
      <c r="W817" s="41" t="n">
        <v>1</v>
      </c>
      <c r="X817" s="37">
        <f>SUM(Y817:AE817)</f>
        <v/>
      </c>
      <c r="Y817" s="43" t="n">
        <v>1</v>
      </c>
      <c r="Z817" s="43" t="n"/>
      <c r="AA817" s="43" t="n"/>
      <c r="AB817" s="43" t="n"/>
      <c r="AC817" s="43" t="n"/>
      <c r="AD817" s="43" t="n"/>
      <c r="AE817" s="43" t="n"/>
      <c r="AF817" s="38">
        <f>IF((W817-SUM(Y817:AE817))&lt;0,0,W817-SUM(Y817:AE817))</f>
        <v/>
      </c>
      <c r="AG817" s="38">
        <f>MAX(0,$AT817-$W817-$AI817)</f>
        <v/>
      </c>
      <c r="AH817" s="38" t="n"/>
      <c r="AI817" s="38" t="n"/>
      <c r="AJ817" s="54" t="n">
        <v>0.33</v>
      </c>
      <c r="AK817" s="54">
        <f>IF(AND($AG817&gt;0,ISNUMBER($AJ817)),$AG817*$AJ817,0)</f>
        <v/>
      </c>
      <c r="AT817" s="37">
        <f>SUM(AU817:BA817)</f>
        <v/>
      </c>
      <c r="AU817" s="82" t="n">
        <v>1</v>
      </c>
      <c r="AV817" s="33" t="n"/>
      <c r="AW817" s="33" t="n"/>
      <c r="AX817" s="33" t="n"/>
      <c r="AY817" s="33" t="n"/>
      <c r="AZ817" s="33" t="n"/>
      <c r="BA817" s="74" t="n"/>
      <c r="BB817" s="47" t="n"/>
      <c r="BC817" s="42" t="n"/>
      <c r="BD817" s="42" t="n"/>
    </row>
    <row r="818" ht="15" customHeight="1" s="148">
      <c r="A818" t="inlineStr">
        <is>
          <t>c0814</t>
        </is>
      </c>
      <c r="B818" s="47" t="inlineStr">
        <is>
          <t>Keeper of the Accord</t>
        </is>
      </c>
      <c r="C818" s="38" t="inlineStr">
        <is>
          <t>W</t>
        </is>
      </c>
      <c r="D818" s="47" t="inlineStr">
        <is>
          <t>Creature</t>
        </is>
      </c>
      <c r="E818" s="41" t="inlineStr">
        <is>
          <t>B2</t>
        </is>
      </c>
      <c r="F818" s="38" t="n">
        <v>4</v>
      </c>
      <c r="G818" s="67" t="inlineStr">
        <is>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
(3/4)</t>
        </is>
      </c>
      <c r="H818" s="53" t="inlineStr">
        <is>
          <t>Value Engine</t>
        </is>
      </c>
      <c r="I818" s="53" t="inlineStr">
        <is>
          <t>Each opponent's end step: if they have more creatures, create a 1/1 Soldier token</t>
        </is>
      </c>
      <c r="J818" s="53" t="inlineStr">
        <is>
          <t>Each opponent's end step: if they have more lands, may search for a Plains onto the battlefield tapped</t>
        </is>
      </c>
      <c r="K818" s="53" t="n"/>
      <c r="L818" s="42" t="n"/>
      <c r="M818" s="42" t="n"/>
      <c r="N818" s="42" t="n"/>
      <c r="O818" s="42" t="n"/>
      <c r="P818" s="42" t="n">
        <v>0.67</v>
      </c>
      <c r="Q818" s="42" t="n"/>
      <c r="R818" s="42" t="n"/>
      <c r="S818" s="42" t="n"/>
      <c r="T818" s="42" t="n"/>
      <c r="U818" s="42" t="n"/>
      <c r="V818" s="53" t="inlineStr">
        <is>
          <t>Commander Legends</t>
        </is>
      </c>
      <c r="W818" s="41" t="n">
        <v>1</v>
      </c>
      <c r="X818" s="37">
        <f>SUM(Y818:AE818)</f>
        <v/>
      </c>
      <c r="Y818" s="43" t="n"/>
      <c r="Z818" s="43" t="n"/>
      <c r="AA818" s="43" t="n"/>
      <c r="AB818" s="43" t="n"/>
      <c r="AC818" s="43" t="n"/>
      <c r="AD818" s="43" t="n"/>
      <c r="AE818" s="43" t="n"/>
      <c r="AF818" s="38">
        <f>IF((W818-SUM(Y818:AE818))&lt;0,0,W818-SUM(Y818:AE818))</f>
        <v/>
      </c>
      <c r="AG818" s="38">
        <f>MAX(0,$AT818-$W818-$AI818)</f>
        <v/>
      </c>
      <c r="AH818" s="38" t="n"/>
      <c r="AI818" s="38" t="n"/>
      <c r="AJ818" s="54" t="n">
        <v>0.57</v>
      </c>
      <c r="AK818" s="54">
        <f>IF(AND($AG818&gt;0,ISNUMBER($AJ818)),$AG818*$AJ818,0)</f>
        <v/>
      </c>
      <c r="AT818" s="37">
        <f>SUM(AU818:BA818)</f>
        <v/>
      </c>
      <c r="AU818" s="73" t="n"/>
      <c r="AV818" s="33" t="n"/>
      <c r="AW818" s="33" t="n"/>
      <c r="AX818" s="33" t="n"/>
      <c r="AY818" s="33" t="n"/>
      <c r="AZ818" s="33" t="n"/>
      <c r="BA818" s="74" t="n"/>
      <c r="BB818" s="47" t="n"/>
      <c r="BC818" s="42" t="n"/>
      <c r="BD818" s="42" t="n"/>
    </row>
    <row r="819" ht="15" customHeight="1" s="148">
      <c r="A819" t="inlineStr">
        <is>
          <t>c0815</t>
        </is>
      </c>
      <c r="B819" s="32" t="inlineStr">
        <is>
          <t>Kinbinding</t>
        </is>
      </c>
      <c r="C819" s="33" t="inlineStr">
        <is>
          <t>W</t>
        </is>
      </c>
      <c r="D819" s="32" t="inlineStr">
        <is>
          <t>Enchantment</t>
        </is>
      </c>
      <c r="E819" s="33" t="inlineStr">
        <is>
          <t>B2</t>
        </is>
      </c>
      <c r="F819" s="33" t="n">
        <v>5</v>
      </c>
      <c r="G819" s="67" t="inlineStr">
        <is>
          <t>Creatures you control get +X/+X, where X is the number of creatures that entered the battlefield under your control this turn.
At the beginning of combat on your turn, create a 1/1 green and white Kithkin creature token.</t>
        </is>
      </c>
      <c r="H819" s="32" t="inlineStr">
        <is>
          <t>Lord/Anthem</t>
        </is>
      </c>
      <c r="I819" s="32" t="inlineStr">
        <is>
          <t>Creatures you control get +X/+X, where X is the number of creatures that entered under your control this turn</t>
        </is>
      </c>
      <c r="J819" s="32" t="inlineStr">
        <is>
          <t>At the beginning of combat on your turn, create a 1/1 Kithkin token</t>
        </is>
      </c>
      <c r="K819" s="32" t="n"/>
      <c r="L819" s="32" t="inlineStr">
        <is>
          <t>20</t>
        </is>
      </c>
      <c r="M819" s="32" t="n">
        <v>1</v>
      </c>
      <c r="N819" s="32" t="n">
        <v>0</v>
      </c>
      <c r="O819" s="63" t="n"/>
      <c r="P819" s="63" t="n">
        <v>0.36</v>
      </c>
      <c r="Q819" s="32" t="inlineStr">
        <is>
          <t>Rare</t>
        </is>
      </c>
      <c r="R819" s="32" t="n"/>
      <c r="S819" s="32" t="n"/>
      <c r="T819" s="63" t="n"/>
      <c r="U819" s="63" t="n"/>
      <c r="V819" s="32" t="inlineStr">
        <is>
          <t>Lorwyn Eclipsed</t>
        </is>
      </c>
      <c r="W819" s="41" t="n">
        <v>1</v>
      </c>
      <c r="X819" s="37">
        <f>SUM(Y819:AE819)</f>
        <v/>
      </c>
      <c r="Y819" s="43" t="n"/>
      <c r="Z819" s="43" t="n"/>
      <c r="AA819" s="43" t="n"/>
      <c r="AB819" s="43" t="n"/>
      <c r="AC819" s="43" t="n"/>
      <c r="AD819" s="43" t="n"/>
      <c r="AE819" s="43" t="n"/>
      <c r="AF819" s="38">
        <f>IF((W819-SUM(Y819:AE819))&lt;0,0,W819-SUM(Y819:AE819))</f>
        <v/>
      </c>
      <c r="AG819" s="38">
        <f>MAX(0,$AT819-$W819-$AI819)</f>
        <v/>
      </c>
      <c r="AH819" s="32" t="n"/>
      <c r="AI819" s="32" t="n"/>
      <c r="AJ819" s="61" t="n">
        <v>0.36</v>
      </c>
      <c r="AK819" s="54">
        <f>IF(AND($AG819&gt;0,ISNUMBER($AJ819)),$AG819*$AJ819,0)</f>
        <v/>
      </c>
      <c r="AT819" s="37">
        <f>SUM(AU819:BA819)</f>
        <v/>
      </c>
      <c r="AU819" s="73" t="n"/>
      <c r="AV819" s="33" t="n"/>
      <c r="AW819" s="33" t="n"/>
      <c r="AX819" s="33" t="n"/>
      <c r="AY819" s="33" t="n"/>
      <c r="AZ819" s="33" t="n"/>
      <c r="BA819" s="74" t="n"/>
      <c r="BB819" s="32" t="n"/>
      <c r="BC819" s="32" t="n"/>
      <c r="BD819" s="32" t="n"/>
    </row>
    <row r="820" ht="15" customHeight="1" s="148">
      <c r="A820" t="inlineStr">
        <is>
          <t>c0816</t>
        </is>
      </c>
      <c r="B820" s="47" t="inlineStr">
        <is>
          <t>Kithkeeper</t>
        </is>
      </c>
      <c r="C820" s="38" t="inlineStr">
        <is>
          <t>W</t>
        </is>
      </c>
      <c r="D820" s="47" t="inlineStr">
        <is>
          <t>Creature</t>
        </is>
      </c>
      <c r="E820" s="41" t="inlineStr">
        <is>
          <t>B2</t>
        </is>
      </c>
      <c r="F820" s="38" t="n">
        <v>7</v>
      </c>
      <c r="G820" s="67" t="inlineStr">
        <is>
          <t>Vivid — When this creature enters, create X 1/1 green and white Kithkin creature tokens, where X is the number of colors among permanents you control.
Tap three untapped creatures you control: This creature gets +3/+0 and gains flying until end of turn.
(3/3)</t>
        </is>
      </c>
      <c r="H820" s="53" t="inlineStr">
        <is>
          <t>Token Producer</t>
        </is>
      </c>
      <c r="I820" s="53" t="inlineStr">
        <is>
          <t>Enters: create X 1/1 Kithkin tokens, X = colors among your permanents</t>
        </is>
      </c>
      <c r="J820" s="53" t="inlineStr">
        <is>
          <t>Tap three untapped creatures you control: gets +3/+0 and can fly this turn</t>
        </is>
      </c>
      <c r="K820" s="53" t="n"/>
      <c r="L820" s="88" t="inlineStr">
        <is>
          <t>U 0023</t>
        </is>
      </c>
      <c r="M820" s="41" t="n">
        <v>1</v>
      </c>
      <c r="N820" s="41" t="n">
        <v>1</v>
      </c>
      <c r="O820" s="63" t="inlineStr">
        <is>
          <t>Filip Burburan</t>
        </is>
      </c>
      <c r="P820" s="90" t="n">
        <v>0.22</v>
      </c>
      <c r="Q820" s="42" t="inlineStr">
        <is>
          <t>U</t>
        </is>
      </c>
      <c r="R820" s="42" t="n"/>
      <c r="S820" s="42" t="n"/>
      <c r="T820" s="63" t="n"/>
      <c r="U820" s="63" t="n"/>
      <c r="V820" s="53" t="inlineStr">
        <is>
          <t>Lorwyn Eclipsed</t>
        </is>
      </c>
      <c r="W820" s="41" t="n">
        <v>2</v>
      </c>
      <c r="X820" s="37">
        <f>SUM(Y820:AE820)</f>
        <v/>
      </c>
      <c r="Y820" s="43" t="n"/>
      <c r="Z820" s="43" t="n"/>
      <c r="AA820" s="43" t="n"/>
      <c r="AB820" s="43" t="n"/>
      <c r="AC820" s="43" t="n">
        <v>1</v>
      </c>
      <c r="AD820" s="43" t="n"/>
      <c r="AE820" s="43" t="n"/>
      <c r="AF820" s="38">
        <f>IF((W820-SUM(Y820:AE820))&lt;0,0,W820-SUM(Y820:AE820))</f>
        <v/>
      </c>
      <c r="AG820" s="38">
        <f>MAX(0,$AT820-$W820-$AI820)</f>
        <v/>
      </c>
      <c r="AH820" s="38" t="n"/>
      <c r="AI820" s="38" t="n"/>
      <c r="AJ820" s="54" t="n">
        <v>0.22</v>
      </c>
      <c r="AK820" s="54">
        <f>IF(AND($AG820&gt;0,ISNUMBER($AJ820)),$AG820*$AJ820,0)</f>
        <v/>
      </c>
      <c r="AP820" s="58" t="inlineStr">
        <is>
          <t>BL0050</t>
        </is>
      </c>
      <c r="AT820" s="37">
        <f>SUM(AU820:BA820)</f>
        <v/>
      </c>
      <c r="AU820" s="73" t="n"/>
      <c r="AV820" s="33" t="n"/>
      <c r="AW820" s="33" t="n"/>
      <c r="AX820" s="33" t="n"/>
      <c r="AY820" s="99" t="n"/>
      <c r="AZ820" s="33" t="n"/>
      <c r="BA820" s="74" t="n"/>
      <c r="BB820" s="47" t="n"/>
      <c r="BC820" s="42" t="n"/>
      <c r="BD820" s="42" t="n"/>
    </row>
    <row r="821" ht="15" customHeight="1" s="148">
      <c r="A821" t="inlineStr">
        <is>
          <t>c0817</t>
        </is>
      </c>
      <c r="B821" s="47" t="inlineStr">
        <is>
          <t>Knight of Old Benalia</t>
        </is>
      </c>
      <c r="C821" s="38" t="inlineStr">
        <is>
          <t>W</t>
        </is>
      </c>
      <c r="D821" s="47" t="inlineStr">
        <is>
          <t>Creature</t>
        </is>
      </c>
      <c r="E821" s="41" t="inlineStr">
        <is>
          <t>B2</t>
        </is>
      </c>
      <c r="F821" s="38" t="n">
        <v>5</v>
      </c>
      <c r="G821" s="67" t="inlineStr">
        <is>
          <t>Suspend 5—{W} (Rather than cast this card from your hand, you may pay {W} and exile it with five time counters on it. At the beginning of your upkeep, remove a time counter. When the last is removed, you may cast it without paying its mana cost. It has haste.)
When this creature enters, other creatures you control get +1/+1 until end of turn.
(3/3)</t>
        </is>
      </c>
      <c r="H821" s="53" t="inlineStr">
        <is>
          <t>Combat Trick</t>
        </is>
      </c>
      <c r="I821" s="53" t="inlineStr">
        <is>
          <t>Other creatures you control get +1/+1 until end of turn when it enters</t>
        </is>
      </c>
      <c r="J821" s="53" t="inlineStr">
        <is>
          <t>Suspend 5-{W}: cast later free with haste after counters removed</t>
        </is>
      </c>
      <c r="K821" s="53" t="n"/>
      <c r="L821" s="42" t="n"/>
      <c r="M821" s="42" t="n"/>
      <c r="N821" s="42" t="n"/>
      <c r="O821" s="63" t="n"/>
      <c r="P821" s="63" t="n">
        <v>0.06</v>
      </c>
      <c r="Q821" s="42" t="n"/>
      <c r="R821" s="42" t="n"/>
      <c r="S821" s="42" t="n"/>
      <c r="T821" s="63" t="n"/>
      <c r="U821" s="63" t="n"/>
      <c r="V821" s="53" t="inlineStr">
        <is>
          <t>Modern Horizons</t>
        </is>
      </c>
      <c r="W821" s="41" t="n">
        <v>1</v>
      </c>
      <c r="X821" s="37">
        <f>SUM(Y821:AE821)</f>
        <v/>
      </c>
      <c r="Y821" s="43" t="n"/>
      <c r="Z821" s="43" t="n"/>
      <c r="AA821" s="43" t="n"/>
      <c r="AB821" s="43" t="n"/>
      <c r="AC821" s="43" t="n"/>
      <c r="AD821" s="43" t="n"/>
      <c r="AE821" s="43" t="n"/>
      <c r="AF821" s="38">
        <f>IF((W821-SUM(Y821:AE821))&lt;0,0,W821-SUM(Y821:AE821))</f>
        <v/>
      </c>
      <c r="AG821" s="38">
        <f>MAX(0,$AT821-$W821-$AI821)</f>
        <v/>
      </c>
      <c r="AH821" s="38" t="n"/>
      <c r="AI821" s="38" t="n"/>
      <c r="AJ821" s="54" t="n">
        <v>0.05</v>
      </c>
      <c r="AK821" s="54">
        <f>IF(AND($AG821&gt;0,ISNUMBER($AJ821)),$AG821*$AJ821,0)</f>
        <v/>
      </c>
      <c r="AT821" s="37">
        <f>SUM(AU821:BA821)</f>
        <v/>
      </c>
      <c r="AU821" s="73" t="n"/>
      <c r="AV821" s="33" t="n"/>
      <c r="AW821" s="33" t="n"/>
      <c r="AX821" s="33" t="n"/>
      <c r="AY821" s="33" t="n"/>
      <c r="AZ821" s="33" t="n"/>
      <c r="BA821" s="74" t="n"/>
      <c r="BB821" s="47" t="n"/>
      <c r="BC821" s="42" t="n"/>
      <c r="BD821" s="42" t="n"/>
    </row>
    <row r="822" ht="15" customHeight="1" s="148">
      <c r="A822" t="inlineStr">
        <is>
          <t>c0818</t>
        </is>
      </c>
      <c r="B822" s="47" t="inlineStr">
        <is>
          <t>Knight of the White Orchid</t>
        </is>
      </c>
      <c r="C822" s="38" t="inlineStr">
        <is>
          <t>W</t>
        </is>
      </c>
      <c r="D822" s="47" t="inlineStr">
        <is>
          <t>Creature</t>
        </is>
      </c>
      <c r="E822" s="41" t="inlineStr">
        <is>
          <t>B2</t>
        </is>
      </c>
      <c r="F822" s="38" t="n">
        <v>2</v>
      </c>
      <c r="G822" s="67" t="inlineStr">
        <is>
          <t>First strike
When this creature enters, if an opponent controls more lands than you, you may search your library for a Plains card, put it onto the battlefield, then shuffle.
(2/2)</t>
        </is>
      </c>
      <c r="H822" s="53" t="inlineStr">
        <is>
          <t>Ramp</t>
        </is>
      </c>
      <c r="I822" s="53" t="inlineStr">
        <is>
          <t>Deals combat damage before normal-speed blockers</t>
        </is>
      </c>
      <c r="J822" s="53" t="inlineStr">
        <is>
          <t>Enters: if an opponent has more lands, search for a Plains onto the battlefield</t>
        </is>
      </c>
      <c r="K822" s="53" t="n"/>
      <c r="L822" s="41" t="n"/>
      <c r="M822" s="41" t="n"/>
      <c r="N822" s="41" t="n"/>
      <c r="O822" s="41" t="n"/>
      <c r="P822" s="41" t="n">
        <v>4.21</v>
      </c>
      <c r="Q822" s="41" t="n"/>
      <c r="R822" s="41" t="n"/>
      <c r="S822" s="41" t="n"/>
      <c r="T822" s="41" t="n"/>
      <c r="U822" s="41" t="n"/>
      <c r="V822" s="53" t="inlineStr">
        <is>
          <t>Shards of Alara</t>
        </is>
      </c>
      <c r="W822" s="41" t="n">
        <v>1</v>
      </c>
      <c r="X822" s="37">
        <f>SUM(Y822:AE822)</f>
        <v/>
      </c>
      <c r="Y822" s="43" t="n">
        <v>1</v>
      </c>
      <c r="Z822" s="43" t="n"/>
      <c r="AA822" s="43" t="n"/>
      <c r="AB822" s="43" t="n"/>
      <c r="AC822" s="43" t="n"/>
      <c r="AD822" s="43" t="n"/>
      <c r="AE822" s="43" t="n"/>
      <c r="AF822" s="38">
        <f>IF((W822-SUM(Y822:AE822))&lt;0,0,W822-SUM(Y822:AE822))</f>
        <v/>
      </c>
      <c r="AG822" s="38">
        <f>MAX(0,$AT822-$W822-$AI822)</f>
        <v/>
      </c>
      <c r="AH822" s="38" t="n"/>
      <c r="AI822" s="38" t="n"/>
      <c r="AJ822" s="54" t="n">
        <v>4.3</v>
      </c>
      <c r="AK822" s="54">
        <f>IF(AND($AG822&gt;0,ISNUMBER($AJ822)),$AG822*$AJ822,0)</f>
        <v/>
      </c>
      <c r="AT822" s="37">
        <f>SUM(AU822:BA822)</f>
        <v/>
      </c>
      <c r="AU822" s="82" t="n">
        <v>1</v>
      </c>
      <c r="AV822" s="33" t="n"/>
      <c r="AW822" s="33" t="n"/>
      <c r="AX822" s="33" t="n"/>
      <c r="AY822" s="33" t="n"/>
      <c r="AZ822" s="33" t="n"/>
      <c r="BA822" s="74" t="n"/>
      <c r="BB822" s="47" t="n"/>
      <c r="BC822" s="42" t="n"/>
      <c r="BD822" s="42" t="n"/>
    </row>
    <row r="823" ht="15" customHeight="1" s="148">
      <c r="A823" t="inlineStr">
        <is>
          <t>c0819</t>
        </is>
      </c>
      <c r="B823" s="47" t="inlineStr">
        <is>
          <t>Kor Cartographer</t>
        </is>
      </c>
      <c r="C823" s="38" t="inlineStr">
        <is>
          <t>W</t>
        </is>
      </c>
      <c r="D823" s="47" t="inlineStr">
        <is>
          <t>Creature</t>
        </is>
      </c>
      <c r="E823" s="41" t="inlineStr">
        <is>
          <t>B2</t>
        </is>
      </c>
      <c r="F823" s="38" t="n">
        <v>4</v>
      </c>
      <c r="G823" s="67" t="inlineStr">
        <is>
          <t>When this creature enters, you may search your library for a Plains card, put it onto the battlefield tapped, then shuffle.
(2/2)</t>
        </is>
      </c>
      <c r="H823" s="53" t="inlineStr">
        <is>
          <t>Ramp</t>
        </is>
      </c>
      <c r="I823" s="53" t="inlineStr">
        <is>
          <t>Searches your library for a Plains card and puts it onto the battlefield tapped when it enters</t>
        </is>
      </c>
      <c r="J823" s="53" t="n"/>
      <c r="K823" s="53" t="n"/>
      <c r="L823" s="42" t="n"/>
      <c r="M823" s="42" t="n"/>
      <c r="N823" s="42" t="n"/>
      <c r="O823" s="63" t="n"/>
      <c r="P823" s="63" t="n">
        <v>0.21</v>
      </c>
      <c r="Q823" s="42" t="n"/>
      <c r="R823" s="42" t="n"/>
      <c r="S823" s="42" t="n"/>
      <c r="T823" s="63" t="n"/>
      <c r="U823" s="63" t="n"/>
      <c r="V823" s="53" t="inlineStr">
        <is>
          <t>Zendikar</t>
        </is>
      </c>
      <c r="W823" s="41" t="n">
        <v>1</v>
      </c>
      <c r="X823" s="37">
        <f>SUM(Y823:AE823)</f>
        <v/>
      </c>
      <c r="Y823" s="43" t="n"/>
      <c r="Z823" s="43" t="n">
        <v>1</v>
      </c>
      <c r="AA823" s="43" t="n"/>
      <c r="AB823" s="43" t="n"/>
      <c r="AC823" s="43" t="n"/>
      <c r="AD823" s="43" t="n"/>
      <c r="AE823" s="43" t="n"/>
      <c r="AF823" s="38">
        <f>IF((W823-SUM(Y823:AE823))&lt;0,0,W823-SUM(Y823:AE823))</f>
        <v/>
      </c>
      <c r="AG823" s="38">
        <f>MAX(0,$AT823-$W823-$AI823)</f>
        <v/>
      </c>
      <c r="AH823" s="38" t="n"/>
      <c r="AI823" s="38" t="n"/>
      <c r="AJ823" s="54" t="n">
        <v>0.22</v>
      </c>
      <c r="AK823" s="54">
        <f>IF(AND($AG823&gt;0,ISNUMBER($AJ823)),$AG823*$AJ823,0)</f>
        <v/>
      </c>
      <c r="AM823" s="58" t="n"/>
      <c r="AT823" s="37">
        <f>SUM(AU823:BA823)</f>
        <v/>
      </c>
      <c r="AU823" s="73" t="n"/>
      <c r="AV823" s="99" t="n"/>
      <c r="AW823" s="33" t="n"/>
      <c r="AX823" s="33" t="n"/>
      <c r="AY823" s="33" t="n"/>
      <c r="AZ823" s="33" t="n"/>
      <c r="BA823" s="74" t="n"/>
      <c r="BB823" s="47" t="n"/>
      <c r="BC823" s="42" t="n"/>
      <c r="BD823" s="42" t="n"/>
    </row>
    <row r="824" ht="15" customHeight="1" s="148">
      <c r="A824" t="inlineStr">
        <is>
          <t>c0820</t>
        </is>
      </c>
      <c r="B824" s="47" t="inlineStr">
        <is>
          <t>Lake-town Lookout</t>
        </is>
      </c>
      <c r="C824" s="38" t="inlineStr">
        <is>
          <t>W</t>
        </is>
      </c>
      <c r="D824" s="47" t="inlineStr">
        <is>
          <t>Creature</t>
        </is>
      </c>
      <c r="E824" s="41" t="inlineStr">
        <is>
          <t>B2</t>
        </is>
      </c>
      <c r="F824" s="38" t="n">
        <v>1</v>
      </c>
      <c r="G824" s="67" t="inlineStr">
        <is>
          <t>When this creature dies, recruit. (Draw a card, then discard a card. If you discarded a nonland card, create a 1/1 white Human Soldier creature token.)
(1/1)</t>
        </is>
      </c>
      <c r="H824" s="53" t="inlineStr">
        <is>
          <t>Token Producer</t>
        </is>
      </c>
      <c r="I824" s="53" t="inlineStr">
        <is>
          <t>Draws then discards a card when it dies</t>
        </is>
      </c>
      <c r="J824" s="53" t="inlineStr">
        <is>
          <t>Creates a 1/1 Soldier token if a nonland card was discarded that way</t>
        </is>
      </c>
      <c r="K824" s="53" t="n"/>
      <c r="L824" s="42" t="n"/>
      <c r="M824" s="42" t="n"/>
      <c r="N824" s="42" t="n"/>
      <c r="O824" s="63" t="n"/>
      <c r="P824" s="63" t="n">
        <v>0.16</v>
      </c>
      <c r="Q824" s="42" t="n"/>
      <c r="R824" s="42" t="n"/>
      <c r="S824" s="42" t="n"/>
      <c r="T824" s="63" t="n"/>
      <c r="U824" s="63" t="n"/>
      <c r="V824" s="53" t="inlineStr">
        <is>
          <t>The Hobbit</t>
        </is>
      </c>
      <c r="W824" s="41" t="n">
        <v>1</v>
      </c>
      <c r="X824" s="37">
        <f>SUM(Y824:AE824)</f>
        <v/>
      </c>
      <c r="Y824" s="43" t="n"/>
      <c r="Z824" s="43" t="n"/>
      <c r="AA824" s="43" t="n"/>
      <c r="AB824" s="43" t="n"/>
      <c r="AC824" s="43" t="n"/>
      <c r="AD824" s="43" t="n"/>
      <c r="AE824" s="43" t="n"/>
      <c r="AF824" s="38">
        <f>IF((W824-SUM(Y824:AE824))&lt;0,0,W824-SUM(Y824:AE824))</f>
        <v/>
      </c>
      <c r="AG824" s="38">
        <f>MAX(0,$AT824-$W824-$AI824)</f>
        <v/>
      </c>
      <c r="AH824" s="38" t="n"/>
      <c r="AI824" s="38" t="n"/>
      <c r="AJ824" s="54" t="n">
        <v>0.11</v>
      </c>
      <c r="AK824" s="54">
        <f>IF(AND($AG824&gt;0,ISNUMBER($AJ824)),$AG824*$AJ824,0)</f>
        <v/>
      </c>
      <c r="AT824" s="37">
        <f>SUM(AU824:BA824)</f>
        <v/>
      </c>
      <c r="AU824" s="73" t="n"/>
      <c r="AV824" s="33" t="n"/>
      <c r="AW824" s="33" t="n"/>
      <c r="AX824" s="33" t="n"/>
      <c r="AY824" s="33" t="n"/>
      <c r="AZ824" s="33" t="n"/>
      <c r="BA824" s="74" t="n"/>
      <c r="BB824" s="47" t="n"/>
      <c r="BC824" s="42" t="n"/>
      <c r="BD824" s="42" t="n"/>
    </row>
    <row r="825" ht="15" customHeight="1" s="148">
      <c r="A825" t="inlineStr">
        <is>
          <t>c0821</t>
        </is>
      </c>
      <c r="B825" s="42" t="inlineStr">
        <is>
          <t>Lake-town Toymaker</t>
        </is>
      </c>
      <c r="C825" s="41" t="inlineStr">
        <is>
          <t>W</t>
        </is>
      </c>
      <c r="D825" s="42" t="inlineStr">
        <is>
          <t>Creature</t>
        </is>
      </c>
      <c r="E825" s="41" t="inlineStr">
        <is>
          <t>B2</t>
        </is>
      </c>
      <c r="F825" s="41" t="n">
        <v>4</v>
      </c>
      <c r="G825" s="67" t="inlineStr">
        <is>
          <t>At the beginning of combat on your turn, if you've drawn two or more cards this turn, another target creature you control gets +3/+0 and gains first strike until end of turn.
(3/4)</t>
        </is>
      </c>
      <c r="H825" s="42" t="inlineStr">
        <is>
          <t>Combat Trick</t>
        </is>
      </c>
      <c r="I825" s="42" t="inlineStr">
        <is>
          <t>At the beginning of combat on your turn, if you have drawn two or more cards this turn, another target creature you control gets +3/+0 and gains first strike until end of turn</t>
        </is>
      </c>
      <c r="J825" s="42" t="n"/>
      <c r="K825" s="42" t="n"/>
      <c r="L825" s="42" t="n"/>
      <c r="M825" s="42" t="n"/>
      <c r="N825" s="42" t="n"/>
      <c r="O825" s="63" t="n"/>
      <c r="P825" s="63" t="n"/>
      <c r="Q825" s="42" t="n"/>
      <c r="R825" s="42" t="n"/>
      <c r="S825" s="42" t="n"/>
      <c r="T825" s="63" t="n"/>
      <c r="U825" s="63" t="n"/>
      <c r="V825" s="42" t="inlineStr">
        <is>
          <t>The Hobbit</t>
        </is>
      </c>
      <c r="W825" s="41" t="n">
        <v>1</v>
      </c>
      <c r="X825" s="37">
        <f>SUM(Y825:AE825)</f>
        <v/>
      </c>
      <c r="Y825" s="43" t="n"/>
      <c r="Z825" s="43" t="n"/>
      <c r="AA825" s="43" t="n"/>
      <c r="AB825" s="43" t="n"/>
      <c r="AC825" s="43" t="n"/>
      <c r="AD825" s="43" t="n"/>
      <c r="AE825" s="43" t="n"/>
      <c r="AF825" s="38">
        <f>IF((W825-SUM(Y825:AE825))&lt;0,0,W825-SUM(Y825:AE825))</f>
        <v/>
      </c>
      <c r="AG825" s="38">
        <f>MAX(0,$AT825-$W825-$AI825)</f>
        <v/>
      </c>
      <c r="AH825" s="42" t="n"/>
      <c r="AI825" s="42" t="n"/>
      <c r="AJ825" s="42" t="n">
        <v>0.07000000000000001</v>
      </c>
      <c r="AK825" s="42">
        <f>IF(AND($AG825&gt;0,ISNUMBER($AJ825)),$AG825*$AJ825,0)</f>
        <v/>
      </c>
      <c r="AT825" s="37">
        <f>SUM(AU825:BA825)</f>
        <v/>
      </c>
      <c r="AU825" s="73" t="n"/>
      <c r="AV825" s="33" t="n"/>
      <c r="AW825" s="33" t="n"/>
      <c r="AX825" s="33" t="n"/>
      <c r="AY825" s="33" t="n"/>
      <c r="AZ825" s="33" t="n"/>
      <c r="BA825" s="74" t="n"/>
      <c r="BB825" s="42" t="n"/>
      <c r="BC825" s="42" t="n"/>
      <c r="BD825" s="42" t="n"/>
    </row>
    <row r="826" ht="15" customHeight="1" s="148">
      <c r="A826" t="inlineStr">
        <is>
          <t>c0822</t>
        </is>
      </c>
      <c r="B826" s="47" t="inlineStr">
        <is>
          <t>Lingering Souls</t>
        </is>
      </c>
      <c r="C826" s="38" t="inlineStr">
        <is>
          <t>W</t>
        </is>
      </c>
      <c r="D826" s="47" t="inlineStr">
        <is>
          <t>Sorcery</t>
        </is>
      </c>
      <c r="E826" s="41" t="inlineStr">
        <is>
          <t>B2</t>
        </is>
      </c>
      <c r="F826" s="38" t="n">
        <v>3</v>
      </c>
      <c r="G826" s="67" t="inlineStr">
        <is>
          <t>Create two 1/1 white Spirit creature tokens with flying.
Flashback {1}{B} (You may cast this card from your graveyard for its flashback cost. Then exile it.)</t>
        </is>
      </c>
      <c r="H826" s="53" t="inlineStr">
        <is>
          <t>Token Producer</t>
        </is>
      </c>
      <c r="I826" s="53" t="inlineStr">
        <is>
          <t>Creates two 1/1 flying Spirit tokens</t>
        </is>
      </c>
      <c r="J826" s="53" t="inlineStr">
        <is>
          <t>Flashback {1}{B} to cast again from graveyard</t>
        </is>
      </c>
      <c r="K826" s="53" t="n"/>
      <c r="L826" s="42" t="n"/>
      <c r="M826" s="42" t="n"/>
      <c r="N826" s="42" t="n"/>
      <c r="O826" s="42" t="n"/>
      <c r="P826" s="42" t="n">
        <v>0.32</v>
      </c>
      <c r="Q826" s="42" t="n"/>
      <c r="R826" s="42" t="n"/>
      <c r="S826" s="42" t="n"/>
      <c r="T826" s="42" t="n"/>
      <c r="U826" s="42" t="n"/>
      <c r="V826" s="53" t="inlineStr">
        <is>
          <t>Dark Ascension</t>
        </is>
      </c>
      <c r="W826" s="41" t="n">
        <v>1</v>
      </c>
      <c r="X826" s="37">
        <f>SUM(Y826:AE826)</f>
        <v/>
      </c>
      <c r="Y826" s="43" t="n"/>
      <c r="Z826" s="43" t="n"/>
      <c r="AA826" s="43" t="n"/>
      <c r="AB826" s="43" t="n"/>
      <c r="AC826" s="43" t="n">
        <v>1</v>
      </c>
      <c r="AD826" s="43" t="n"/>
      <c r="AE826" s="43" t="n"/>
      <c r="AF826" s="38">
        <f>IF((W826-SUM(Y826:AE826))&lt;0,0,W826-SUM(Y826:AE826))</f>
        <v/>
      </c>
      <c r="AG826" s="38">
        <f>MAX(0,$AT826-$W826-$AI826)</f>
        <v/>
      </c>
      <c r="AH826" s="38" t="n"/>
      <c r="AI826" s="38" t="n"/>
      <c r="AJ826" s="54" t="n">
        <v>0.32</v>
      </c>
      <c r="AK826" s="54">
        <f>IF(AND($AG826&gt;0,ISNUMBER($AJ826)),$AG826*$AJ826,0)</f>
        <v/>
      </c>
      <c r="AT826" s="37">
        <f>SUM(AU826:BA826)</f>
        <v/>
      </c>
      <c r="AU826" s="73" t="n"/>
      <c r="AV826" s="33" t="n"/>
      <c r="AW826" s="33" t="n"/>
      <c r="AX826" s="33" t="n"/>
      <c r="AY826" s="98" t="n">
        <v>1</v>
      </c>
      <c r="AZ826" s="33" t="n"/>
      <c r="BA826" s="74" t="n"/>
      <c r="BB826" s="47" t="n"/>
      <c r="BC826" s="42" t="n"/>
      <c r="BD826" s="42" t="n"/>
    </row>
    <row r="827" ht="15" customHeight="1" s="148">
      <c r="A827" t="inlineStr">
        <is>
          <t>c0823</t>
        </is>
      </c>
      <c r="B827" s="42" t="inlineStr">
        <is>
          <t>Magnificent End</t>
        </is>
      </c>
      <c r="C827" s="41" t="inlineStr">
        <is>
          <t>W</t>
        </is>
      </c>
      <c r="D827" s="42" t="inlineStr">
        <is>
          <t>Instant</t>
        </is>
      </c>
      <c r="E827" s="41" t="inlineStr">
        <is>
          <t>B2</t>
        </is>
      </c>
      <c r="F827" s="41" t="n">
        <v>5</v>
      </c>
      <c r="G827" s="67" t="inlineStr">
        <is>
          <t>This spell costs {3} less to cast if it targets a tapped creature.
Magnificent End deals 5 damage to target creature.</t>
        </is>
      </c>
      <c r="H827" s="42" t="inlineStr">
        <is>
          <t>Removal</t>
        </is>
      </c>
      <c r="I827" s="42" t="inlineStr">
        <is>
          <t>Deals 5 damage to target creature</t>
        </is>
      </c>
      <c r="J827" s="42" t="inlineStr">
        <is>
          <t>Costs {3} less to cast if it targets a tapped creature</t>
        </is>
      </c>
      <c r="K827" s="42" t="n"/>
      <c r="L827" s="42" t="inlineStr">
        <is>
          <t>20</t>
        </is>
      </c>
      <c r="M827" s="42" t="n">
        <v>1</v>
      </c>
      <c r="N827" s="42" t="n">
        <v>0</v>
      </c>
      <c r="O827" s="63" t="n"/>
      <c r="P827" s="63" t="n">
        <v>0.1</v>
      </c>
      <c r="Q827" s="42" t="inlineStr">
        <is>
          <t>Common</t>
        </is>
      </c>
      <c r="R827" s="42" t="n"/>
      <c r="S827" s="42" t="n"/>
      <c r="T827" s="63" t="n"/>
      <c r="U827" s="63" t="n"/>
      <c r="V827" s="42" t="inlineStr">
        <is>
          <t>The Hobbit</t>
        </is>
      </c>
      <c r="W827" s="41" t="n">
        <v>2</v>
      </c>
      <c r="X827" s="37">
        <f>SUM(Y827:AE827)</f>
        <v/>
      </c>
      <c r="Y827" s="43" t="n"/>
      <c r="Z827" s="43" t="n"/>
      <c r="AA827" s="43" t="n"/>
      <c r="AB827" s="43" t="n"/>
      <c r="AC827" s="43" t="n"/>
      <c r="AD827" s="43" t="n"/>
      <c r="AE827" s="43" t="n"/>
      <c r="AF827" s="38">
        <f>IF((W827-SUM(Y827:AE827))&lt;0,0,W827-SUM(Y827:AE827))</f>
        <v/>
      </c>
      <c r="AG827" s="38">
        <f>MAX(0,$AT827-$W827-$AI827)</f>
        <v/>
      </c>
      <c r="AH827" s="42" t="n"/>
      <c r="AI827" s="42" t="n"/>
      <c r="AJ827" s="42" t="n">
        <v>0.14</v>
      </c>
      <c r="AK827" s="42">
        <f>IF(AND($AG827&gt;0,ISNUMBER($AJ827)),$AG827*$AJ827,0)</f>
        <v/>
      </c>
      <c r="AT827" s="37">
        <f>SUM(AU827:BA827)</f>
        <v/>
      </c>
      <c r="AU827" s="73" t="n"/>
      <c r="AV827" s="33" t="n"/>
      <c r="AW827" s="33" t="n"/>
      <c r="AX827" s="33" t="n"/>
      <c r="AY827" s="33" t="n"/>
      <c r="AZ827" s="33" t="n"/>
      <c r="BA827" s="74" t="n"/>
      <c r="BB827" s="42" t="n"/>
      <c r="BC827" s="42" t="n"/>
      <c r="BD827" s="42" t="n"/>
    </row>
    <row r="828" ht="15" customHeight="1" s="148">
      <c r="A828" t="inlineStr">
        <is>
          <t>c0824</t>
        </is>
      </c>
      <c r="B828" s="47" t="inlineStr">
        <is>
          <t>Make Your Move</t>
        </is>
      </c>
      <c r="C828" s="38" t="inlineStr">
        <is>
          <t>W</t>
        </is>
      </c>
      <c r="D828" s="47" t="inlineStr">
        <is>
          <t>Instant</t>
        </is>
      </c>
      <c r="E828" s="41" t="inlineStr">
        <is>
          <t>B2</t>
        </is>
      </c>
      <c r="F828" s="38" t="n">
        <v>3</v>
      </c>
      <c r="G828" s="67" t="inlineStr">
        <is>
          <t>Destroy target artifact, enchantment, or creature with power 4 or greater.</t>
        </is>
      </c>
      <c r="H828" s="53" t="inlineStr">
        <is>
          <t>Removal</t>
        </is>
      </c>
      <c r="I828" s="53" t="inlineStr">
        <is>
          <t>Destroys target artifact, enchantment, or creature with power 4+</t>
        </is>
      </c>
      <c r="J828" s="53" t="n"/>
      <c r="K828" s="53" t="n"/>
      <c r="L828" s="42" t="n"/>
      <c r="M828" s="42" t="n"/>
      <c r="N828" s="42" t="n"/>
      <c r="O828" s="63" t="n"/>
      <c r="P828" s="63" t="n">
        <v>0.26</v>
      </c>
      <c r="Q828" s="42" t="n"/>
      <c r="R828" s="42" t="n"/>
      <c r="S828" s="42" t="n"/>
      <c r="T828" s="63" t="n"/>
      <c r="U828" s="63" t="n"/>
      <c r="V828" s="53" t="inlineStr">
        <is>
          <t>Murders at Karlov Manor</t>
        </is>
      </c>
      <c r="W828" s="41" t="n">
        <v>1</v>
      </c>
      <c r="X828" s="37">
        <f>SUM(Y828:AE828)</f>
        <v/>
      </c>
      <c r="Y828" s="43" t="n"/>
      <c r="Z828" s="43" t="n"/>
      <c r="AA828" s="43" t="n"/>
      <c r="AB828" s="43" t="n"/>
      <c r="AC828" s="43" t="n"/>
      <c r="AD828" s="43" t="n"/>
      <c r="AE828" s="43" t="n"/>
      <c r="AF828" s="38">
        <f>IF((W828-SUM(Y828:AE828))&lt;0,0,W828-SUM(Y828:AE828))</f>
        <v/>
      </c>
      <c r="AG828" s="38">
        <f>MAX(0,$AT828-$W828-$AI828)</f>
        <v/>
      </c>
      <c r="AH828" s="38" t="n"/>
      <c r="AI828" s="38" t="n"/>
      <c r="AJ828" s="54" t="n">
        <v>0.22</v>
      </c>
      <c r="AK828" s="54">
        <f>IF(AND($AG828&gt;0,ISNUMBER($AJ828)),$AG828*$AJ828,0)</f>
        <v/>
      </c>
      <c r="AT828" s="37">
        <f>SUM(AU828:BA828)</f>
        <v/>
      </c>
      <c r="AU828" s="73" t="n"/>
      <c r="AV828" s="33" t="n"/>
      <c r="AW828" s="33" t="n"/>
      <c r="AX828" s="33" t="n"/>
      <c r="AY828" s="33" t="n"/>
      <c r="AZ828" s="33" t="n"/>
      <c r="BA828" s="74" t="n"/>
      <c r="BB828" s="47" t="n"/>
      <c r="BC828" s="42" t="n"/>
      <c r="BD828" s="42" t="n"/>
    </row>
    <row r="829" ht="15" customHeight="1" s="148">
      <c r="A829" t="inlineStr">
        <is>
          <t>c0825</t>
        </is>
      </c>
      <c r="B829" s="47" t="inlineStr">
        <is>
          <t>Meanders Guide</t>
        </is>
      </c>
      <c r="C829" s="38" t="inlineStr">
        <is>
          <t>W</t>
        </is>
      </c>
      <c r="D829" s="47" t="inlineStr">
        <is>
          <t>Creature</t>
        </is>
      </c>
      <c r="E829" s="41" t="inlineStr">
        <is>
          <t>B2</t>
        </is>
      </c>
      <c r="F829" s="38" t="n">
        <v>3</v>
      </c>
      <c r="G829" s="67" t="inlineStr">
        <is>
          <t>Whenever this creature attacks, you may tap another untapped Merfolk you control. When you do, return target creature card with mana value 3 or less from your graveyard to the battlefield.
(3/2)</t>
        </is>
      </c>
      <c r="H829" s="53" t="inlineStr">
        <is>
          <t>Recursion</t>
        </is>
      </c>
      <c r="I829" s="53" t="inlineStr">
        <is>
          <t>Returns target creature card with mana value 3 or less from graveyard to the battlefield when it attacks</t>
        </is>
      </c>
      <c r="J829" s="53" t="inlineStr">
        <is>
          <t>Requires tapping another untapped Merfolk you control</t>
        </is>
      </c>
      <c r="K829" s="53" t="n"/>
      <c r="L829" s="42" t="n"/>
      <c r="M829" s="42" t="n"/>
      <c r="N829" s="42" t="n"/>
      <c r="O829" s="63" t="n"/>
      <c r="P829" s="63" t="n">
        <v>0.14</v>
      </c>
      <c r="Q829" s="42" t="n"/>
      <c r="R829" s="42" t="n"/>
      <c r="S829" s="42" t="n"/>
      <c r="T829" s="63" t="n"/>
      <c r="U829" s="63" t="n"/>
      <c r="V829" s="53" t="inlineStr">
        <is>
          <t>Lorwyn Eclipsed</t>
        </is>
      </c>
      <c r="W829" s="41" t="n">
        <v>2</v>
      </c>
      <c r="X829" s="37">
        <f>SUM(Y829:AE829)</f>
        <v/>
      </c>
      <c r="Y829" s="43" t="n"/>
      <c r="Z829" s="43" t="n"/>
      <c r="AA829" s="43" t="n"/>
      <c r="AB829" s="43" t="n"/>
      <c r="AC829" s="43" t="n"/>
      <c r="AD829" s="43" t="n"/>
      <c r="AE829" s="43" t="n"/>
      <c r="AF829" s="38">
        <f>IF((W829-SUM(Y829:AE829))&lt;0,0,W829-SUM(Y829:AE829))</f>
        <v/>
      </c>
      <c r="AG829" s="38">
        <f>MAX(0,$AT829-$W829-$AI829)</f>
        <v/>
      </c>
      <c r="AH829" s="38" t="n"/>
      <c r="AI829" s="38" t="n"/>
      <c r="AJ829" s="54" t="n">
        <v>0.19</v>
      </c>
      <c r="AK829" s="54">
        <f>IF(AND($AG829&gt;0,ISNUMBER($AJ829)),$AG829*$AJ829,0)</f>
        <v/>
      </c>
      <c r="AT829" s="37">
        <f>SUM(AU829:BA829)</f>
        <v/>
      </c>
      <c r="AU829" s="73" t="n"/>
      <c r="AV829" s="33" t="n"/>
      <c r="AW829" s="33" t="n"/>
      <c r="AX829" s="33" t="n"/>
      <c r="AY829" s="33" t="n"/>
      <c r="AZ829" s="33" t="n"/>
      <c r="BA829" s="74" t="n"/>
      <c r="BB829" s="47" t="n"/>
      <c r="BC829" s="42" t="n"/>
      <c r="BD829" s="42" t="n"/>
    </row>
    <row r="830" ht="15" customHeight="1" s="148">
      <c r="A830" t="inlineStr">
        <is>
          <t>c0826</t>
        </is>
      </c>
      <c r="B830" s="47" t="inlineStr">
        <is>
          <t>Mentor of the Meek</t>
        </is>
      </c>
      <c r="C830" s="38" t="inlineStr">
        <is>
          <t>W</t>
        </is>
      </c>
      <c r="D830" s="47" t="inlineStr">
        <is>
          <t>Creature</t>
        </is>
      </c>
      <c r="E830" s="41" t="inlineStr">
        <is>
          <t>B3</t>
        </is>
      </c>
      <c r="F830" s="38" t="n">
        <v>3</v>
      </c>
      <c r="G830" s="67" t="inlineStr">
        <is>
          <t>Whenever another creature you control with power 2 or less enters, you may pay {1}. If you do, draw a card.
(2/2)</t>
        </is>
      </c>
      <c r="H830" s="53" t="inlineStr">
        <is>
          <t>Card Draw</t>
        </is>
      </c>
      <c r="I830" s="53" t="inlineStr">
        <is>
          <t>Whenever another creature you control with power 2 or less enters, you may pay {1}. If you do, draw a card.</t>
        </is>
      </c>
      <c r="J830" s="53" t="n"/>
      <c r="K830" s="53" t="n"/>
      <c r="L830" s="41" t="n"/>
      <c r="M830" s="41" t="n"/>
      <c r="N830" s="41" t="n"/>
      <c r="O830" s="41" t="n"/>
      <c r="P830" s="41" t="n">
        <v>4.76</v>
      </c>
      <c r="Q830" s="41" t="n"/>
      <c r="R830" s="41" t="n"/>
      <c r="S830" s="41" t="n"/>
      <c r="T830" s="41" t="n"/>
      <c r="U830" s="41" t="n"/>
      <c r="V830" s="53" t="inlineStr">
        <is>
          <t>Innistrad</t>
        </is>
      </c>
      <c r="W830" s="41" t="n">
        <v>1</v>
      </c>
      <c r="X830" s="37">
        <f>SUM(Y830:AE830)</f>
        <v/>
      </c>
      <c r="Y830" s="43" t="n"/>
      <c r="Z830" s="43" t="n"/>
      <c r="AA830" s="43" t="n"/>
      <c r="AB830" s="43" t="n">
        <v>1</v>
      </c>
      <c r="AC830" s="43" t="n"/>
      <c r="AD830" s="43" t="n"/>
      <c r="AE830" s="43" t="n"/>
      <c r="AF830" s="38">
        <f>IF((W830-SUM(Y830:AE830))&lt;0,0,W830-SUM(Y830:AE830))</f>
        <v/>
      </c>
      <c r="AG830" s="38">
        <f>MAX(0,$AT830-$W830-$AI830)</f>
        <v/>
      </c>
      <c r="AH830" s="38" t="n"/>
      <c r="AI830" s="38" t="n"/>
      <c r="AJ830" s="54" t="n">
        <v>0.14</v>
      </c>
      <c r="AK830" s="54">
        <f>IF(AND($AG830&gt;0,ISNUMBER($AJ830)),$AG830*$AJ830,0)</f>
        <v/>
      </c>
      <c r="AT830" s="37">
        <f>SUM(AU830:BA830)</f>
        <v/>
      </c>
      <c r="AU830" s="73" t="n"/>
      <c r="AV830" s="33" t="n"/>
      <c r="AW830" s="33" t="n"/>
      <c r="AX830" s="98" t="n">
        <v>1</v>
      </c>
      <c r="AY830" s="33" t="n"/>
      <c r="AZ830" s="33" t="n"/>
      <c r="BA830" s="74" t="n"/>
      <c r="BB830" s="47" t="n"/>
      <c r="BC830" s="42" t="n"/>
      <c r="BD830" s="42" t="n"/>
    </row>
    <row r="831" ht="15" customHeight="1" s="148">
      <c r="A831" t="inlineStr">
        <is>
          <t>c0827</t>
        </is>
      </c>
      <c r="B831" s="47" t="inlineStr">
        <is>
          <t>Ministrant of Obligation</t>
        </is>
      </c>
      <c r="C831" s="38" t="inlineStr">
        <is>
          <t>W</t>
        </is>
      </c>
      <c r="D831" s="47" t="inlineStr">
        <is>
          <t>Creature</t>
        </is>
      </c>
      <c r="E831" s="41" t="inlineStr">
        <is>
          <t>B2</t>
        </is>
      </c>
      <c r="F831" s="38" t="n">
        <v>3</v>
      </c>
      <c r="G831" s="67" t="inlineStr">
        <is>
          <t>Afterlife 2 (When this creature dies, create two 1/1 white and black Spirit creature tokens with flying.)
(2/1)</t>
        </is>
      </c>
      <c r="H831" s="53" t="inlineStr">
        <is>
          <t>Token Producer</t>
        </is>
      </c>
      <c r="I831" s="53" t="inlineStr">
        <is>
          <t>Creates two 1/1 flying Spirit tokens when it dies</t>
        </is>
      </c>
      <c r="J831" s="53" t="n"/>
      <c r="K831" s="53" t="n"/>
      <c r="L831" s="42" t="n"/>
      <c r="M831" s="42" t="n"/>
      <c r="N831" s="42" t="n"/>
      <c r="O831" s="42" t="n"/>
      <c r="P831" s="42" t="n">
        <v>0.32</v>
      </c>
      <c r="Q831" s="42" t="n"/>
      <c r="R831" s="42" t="n"/>
      <c r="S831" s="42" t="n"/>
      <c r="T831" s="42" t="n"/>
      <c r="U831" s="42" t="n"/>
      <c r="V831" s="53" t="inlineStr">
        <is>
          <t>Ravnica Allegiance</t>
        </is>
      </c>
      <c r="W831" s="41" t="n">
        <v>1</v>
      </c>
      <c r="X831" s="37">
        <f>SUM(Y831:AE831)</f>
        <v/>
      </c>
      <c r="Y831" s="43" t="n"/>
      <c r="Z831" s="43" t="n"/>
      <c r="AA831" s="43" t="n"/>
      <c r="AB831" s="43" t="n"/>
      <c r="AC831" s="43" t="n">
        <v>1</v>
      </c>
      <c r="AD831" s="43" t="n"/>
      <c r="AE831" s="43" t="n"/>
      <c r="AF831" s="38">
        <f>IF((W831-SUM(Y831:AE831))&lt;0,0,W831-SUM(Y831:AE831))</f>
        <v/>
      </c>
      <c r="AG831" s="38">
        <f>MAX(0,$AT831-$W831-$AI831)</f>
        <v/>
      </c>
      <c r="AH831" s="38" t="n"/>
      <c r="AI831" s="38" t="n"/>
      <c r="AJ831" s="54" t="n">
        <v>0.33</v>
      </c>
      <c r="AK831" s="54">
        <f>IF(AND($AG831&gt;0,ISNUMBER($AJ831)),$AG831*$AJ831,0)</f>
        <v/>
      </c>
      <c r="AT831" s="37">
        <f>SUM(AU831:BA831)</f>
        <v/>
      </c>
      <c r="AU831" s="73" t="n"/>
      <c r="AV831" s="33" t="n"/>
      <c r="AW831" s="33" t="n"/>
      <c r="AX831" s="33" t="n"/>
      <c r="AY831" s="98" t="n">
        <v>1</v>
      </c>
      <c r="AZ831" s="33" t="n"/>
      <c r="BA831" s="74" t="n"/>
      <c r="BB831" s="47" t="n"/>
      <c r="BC831" s="42" t="n"/>
      <c r="BD831" s="42" t="n"/>
    </row>
    <row r="832" ht="15" customHeight="1" s="148">
      <c r="A832" t="inlineStr">
        <is>
          <t>c0828</t>
        </is>
      </c>
      <c r="B832" s="42" t="inlineStr">
        <is>
          <t>Moment of Glory</t>
        </is>
      </c>
      <c r="C832" s="41" t="inlineStr">
        <is>
          <t>W</t>
        </is>
      </c>
      <c r="D832" s="42" t="inlineStr">
        <is>
          <t>Sorcery</t>
        </is>
      </c>
      <c r="E832" s="41" t="inlineStr">
        <is>
          <t>B2</t>
        </is>
      </c>
      <c r="F832" s="41" t="n">
        <v>1</v>
      </c>
      <c r="G832" s="67" t="inlineStr">
        <is>
          <t>Put a +1/+1 counter on target creature you control. If this spell was cast from a graveyard, also put a +1/+1 counter on each other creature you control.
Flashback {4}{W} (You may cast this card from your graveyard for its flashback cost. Then exile it.)</t>
        </is>
      </c>
      <c r="H832" s="42" t="inlineStr">
        <is>
          <t>Counters Payoff</t>
        </is>
      </c>
      <c r="I832" s="42" t="inlineStr">
        <is>
          <t>Put a +1/+1 counter on target creature you control. If this spell was cast from a graveyard, also put a +1/+1 counter on</t>
        </is>
      </c>
      <c r="J832" s="42" t="inlineStr">
        <is>
          <t>Flashback {4}{W}</t>
        </is>
      </c>
      <c r="K832" s="42" t="n"/>
      <c r="L832" s="42" t="n"/>
      <c r="M832" s="42" t="n"/>
      <c r="N832" s="42" t="n"/>
      <c r="O832" s="63" t="n"/>
      <c r="P832" s="63" t="n">
        <v>0.14</v>
      </c>
      <c r="Q832" s="42" t="n"/>
      <c r="R832" s="42" t="n"/>
      <c r="S832" s="42" t="n"/>
      <c r="T832" s="63" t="n"/>
      <c r="U832" s="63" t="n"/>
      <c r="V832" s="42" t="inlineStr">
        <is>
          <t>The Hobbit</t>
        </is>
      </c>
      <c r="W832" s="41" t="n">
        <v>2</v>
      </c>
      <c r="X832" s="37">
        <f>SUM(Y832:AE832)</f>
        <v/>
      </c>
      <c r="Y832" s="43" t="n"/>
      <c r="Z832" s="43" t="n"/>
      <c r="AA832" s="43" t="n"/>
      <c r="AB832" s="43" t="n"/>
      <c r="AC832" s="43" t="n"/>
      <c r="AD832" s="43" t="n"/>
      <c r="AE832" s="43" t="n"/>
      <c r="AF832" s="38">
        <f>IF((W832-SUM(Y832:AE832))&lt;0,0,W832-SUM(Y832:AE832))</f>
        <v/>
      </c>
      <c r="AG832" s="38">
        <f>MAX(0,$AT832-$W832-$AI832)</f>
        <v/>
      </c>
      <c r="AH832" s="42" t="n"/>
      <c r="AI832" s="42" t="n"/>
      <c r="AJ832" s="42" t="n">
        <v>0.11</v>
      </c>
      <c r="AK832" s="42">
        <f>IF(AND($AG832&gt;0,ISNUMBER($AJ832)),$AG832*$AJ832,0)</f>
        <v/>
      </c>
      <c r="AT832" s="37">
        <f>SUM(AU832:BA832)</f>
        <v/>
      </c>
      <c r="AU832" s="73" t="n"/>
      <c r="AV832" s="33" t="n"/>
      <c r="AW832" s="33" t="n"/>
      <c r="AX832" s="33" t="n"/>
      <c r="AY832" s="33" t="n"/>
      <c r="AZ832" s="33" t="n"/>
      <c r="BA832" s="74" t="n"/>
      <c r="BB832" s="42" t="n"/>
      <c r="BC832" s="42" t="n"/>
      <c r="BD832" s="42" t="n"/>
    </row>
    <row r="833" ht="15" customHeight="1" s="148">
      <c r="A833" t="inlineStr">
        <is>
          <t>c0829</t>
        </is>
      </c>
      <c r="B833" s="47" t="inlineStr">
        <is>
          <t>Monologue Tax</t>
        </is>
      </c>
      <c r="C833" s="38" t="inlineStr">
        <is>
          <t>W</t>
        </is>
      </c>
      <c r="D833" s="47" t="inlineStr">
        <is>
          <t>Enchantment</t>
        </is>
      </c>
      <c r="E833" s="41" t="inlineStr">
        <is>
          <t>B2</t>
        </is>
      </c>
      <c r="F833" s="38" t="n">
        <v>3</v>
      </c>
      <c r="G833" s="67" t="inlineStr">
        <is>
          <t>Whenever an opponent casts their second spell each turn, you create a Treasure token.</t>
        </is>
      </c>
      <c r="H833" s="53" t="inlineStr">
        <is>
          <t>Stax/Tax</t>
        </is>
      </c>
      <c r="I833" s="53" t="inlineStr">
        <is>
          <t>Creates a Treasure token when an opponent casts their second spell each turn</t>
        </is>
      </c>
      <c r="J833" s="53" t="n"/>
      <c r="K833" s="53" t="n"/>
      <c r="L833" s="42" t="n"/>
      <c r="M833" s="42" t="n"/>
      <c r="N833" s="42" t="n"/>
      <c r="O833" s="42" t="n"/>
      <c r="P833" s="42" t="n">
        <v>1.11</v>
      </c>
      <c r="Q833" s="42" t="n"/>
      <c r="R833" s="42" t="n"/>
      <c r="S833" s="42" t="n"/>
      <c r="T833" s="42" t="n"/>
      <c r="U833" s="42" t="n"/>
      <c r="V833" s="53" t="inlineStr">
        <is>
          <t>Commander 2021</t>
        </is>
      </c>
      <c r="W833" s="41" t="n">
        <v>1</v>
      </c>
      <c r="X833" s="37">
        <f>SUM(Y833:AE833)</f>
        <v/>
      </c>
      <c r="Y833" s="43" t="n"/>
      <c r="Z833" s="43" t="n"/>
      <c r="AA833" s="43" t="n"/>
      <c r="AB833" s="43" t="n"/>
      <c r="AC833" s="43" t="n">
        <v>1</v>
      </c>
      <c r="AD833" s="43" t="n"/>
      <c r="AE833" s="43" t="n"/>
      <c r="AF833" s="38">
        <f>IF((W833-SUM(Y833:AE833))&lt;0,0,W833-SUM(Y833:AE833))</f>
        <v/>
      </c>
      <c r="AG833" s="38">
        <f>MAX(0,$AT833-$W833-$AI833)</f>
        <v/>
      </c>
      <c r="AH833" s="38" t="n"/>
      <c r="AI833" s="38" t="n"/>
      <c r="AJ833" s="54" t="n">
        <v>0.96</v>
      </c>
      <c r="AK833" s="54">
        <f>IF(AND($AG833&gt;0,ISNUMBER($AJ833)),$AG833*$AJ833,0)</f>
        <v/>
      </c>
      <c r="AT833" s="37">
        <f>SUM(AU833:BA833)</f>
        <v/>
      </c>
      <c r="AU833" s="73" t="n"/>
      <c r="AV833" s="33" t="n"/>
      <c r="AW833" s="33" t="n"/>
      <c r="AX833" s="33" t="n"/>
      <c r="AY833" s="98" t="n">
        <v>1</v>
      </c>
      <c r="AZ833" s="33" t="n"/>
      <c r="BA833" s="74" t="n"/>
      <c r="BB833" s="47" t="n"/>
      <c r="BC833" s="42" t="n"/>
      <c r="BD833" s="42" t="n"/>
    </row>
    <row r="834" ht="15" customHeight="1" s="148">
      <c r="A834" t="inlineStr">
        <is>
          <t>c0830</t>
        </is>
      </c>
      <c r="B834" s="47" t="inlineStr">
        <is>
          <t>Moonlit Lamenter</t>
        </is>
      </c>
      <c r="C834" s="38" t="inlineStr">
        <is>
          <t>W</t>
        </is>
      </c>
      <c r="D834" s="47" t="inlineStr">
        <is>
          <t>Creature</t>
        </is>
      </c>
      <c r="E834" s="41" t="inlineStr">
        <is>
          <t>B2</t>
        </is>
      </c>
      <c r="F834" s="38" t="n">
        <v>3</v>
      </c>
      <c r="G834" s="67" t="inlineStr">
        <is>
          <t>This creature enters with a -1/-1 counter on it.
{1}{W}, Remove a counter from this creature: Draw a card. Activate only as a sorcery.
(2/5)</t>
        </is>
      </c>
      <c r="H834" s="53" t="inlineStr">
        <is>
          <t>Card Draw</t>
        </is>
      </c>
      <c r="I834" s="53" t="inlineStr">
        <is>
          <t>Enters with a -1/-1 counter on itself</t>
        </is>
      </c>
      <c r="J834" s="53" t="inlineStr">
        <is>
          <t>Remove the counter (sorcery speed) to draw a card</t>
        </is>
      </c>
      <c r="K834" s="53" t="n"/>
      <c r="L834" s="42" t="n"/>
      <c r="M834" s="42" t="n"/>
      <c r="N834" s="42" t="n"/>
      <c r="O834" s="63" t="n"/>
      <c r="P834" s="63" t="n">
        <v>0.17</v>
      </c>
      <c r="Q834" s="42" t="n"/>
      <c r="R834" s="42" t="n"/>
      <c r="S834" s="42" t="n"/>
      <c r="T834" s="63" t="n"/>
      <c r="U834" s="63" t="n"/>
      <c r="V834" s="53" t="inlineStr">
        <is>
          <t>Lorwyn Eclipsed</t>
        </is>
      </c>
      <c r="W834" s="41" t="n">
        <v>1</v>
      </c>
      <c r="X834" s="37">
        <f>SUM(Y834:AE834)</f>
        <v/>
      </c>
      <c r="Y834" s="43" t="n"/>
      <c r="Z834" s="43" t="n"/>
      <c r="AA834" s="43" t="n"/>
      <c r="AB834" s="43" t="n">
        <v>1</v>
      </c>
      <c r="AC834" s="43" t="n"/>
      <c r="AD834" s="43" t="n"/>
      <c r="AE834" s="43" t="n"/>
      <c r="AF834" s="38">
        <f>IF((W834-SUM(Y834:AE834))&lt;0,0,W834-SUM(Y834:AE834))</f>
        <v/>
      </c>
      <c r="AG834" s="38">
        <f>MAX(0,$AT834-$W834-$AI834)</f>
        <v/>
      </c>
      <c r="AH834" s="38" t="n"/>
      <c r="AI834" s="38" t="n"/>
      <c r="AJ834" s="54" t="n">
        <v>0.19</v>
      </c>
      <c r="AK834" s="54">
        <f>IF(AND($AG834&gt;0,ISNUMBER($AJ834)),$AG834*$AJ834,0)</f>
        <v/>
      </c>
      <c r="AO834" s="58" t="n"/>
      <c r="AT834" s="37">
        <f>SUM(AU834:BA834)</f>
        <v/>
      </c>
      <c r="AU834" s="73" t="n"/>
      <c r="AV834" s="33" t="n"/>
      <c r="AW834" s="33" t="n"/>
      <c r="AX834" s="98" t="n">
        <v>1</v>
      </c>
      <c r="AY834" s="33" t="n"/>
      <c r="AZ834" s="33" t="n"/>
      <c r="BA834" s="74" t="n"/>
      <c r="BB834" s="47" t="n"/>
      <c r="BC834" s="42" t="n"/>
      <c r="BD834" s="42" t="n"/>
    </row>
    <row r="835" ht="15" customHeight="1" s="148">
      <c r="A835" t="inlineStr">
        <is>
          <t>c0831</t>
        </is>
      </c>
      <c r="B835" s="47" t="inlineStr">
        <is>
          <t>Moonshaker Cavalry</t>
        </is>
      </c>
      <c r="C835" s="38" t="inlineStr">
        <is>
          <t>W</t>
        </is>
      </c>
      <c r="D835" s="47" t="inlineStr">
        <is>
          <t>Creature</t>
        </is>
      </c>
      <c r="E835" s="41" t="inlineStr">
        <is>
          <t>B2</t>
        </is>
      </c>
      <c r="F835" s="38" t="n">
        <v>8</v>
      </c>
      <c r="G835" s="67" t="inlineStr">
        <is>
          <t>Flying
When this creature enters, creatures you control gain flying and get +X/+X until end of turn, where X is the number of creatures you control.
(6/6)</t>
        </is>
      </c>
      <c r="H835" s="53" t="inlineStr">
        <is>
          <t>Finisher</t>
        </is>
      </c>
      <c r="I835" s="53" t="inlineStr">
        <is>
          <t>Flying body</t>
        </is>
      </c>
      <c r="J835" s="53" t="inlineStr">
        <is>
          <t>Enters: creatures you control get +X/+X and can fly until end of turn, X = creatures you control</t>
        </is>
      </c>
      <c r="K835" s="53" t="n"/>
      <c r="L835" s="41" t="n"/>
      <c r="M835" s="41" t="n"/>
      <c r="N835" s="41" t="n"/>
      <c r="O835" s="41" t="n"/>
      <c r="P835" s="41" t="n">
        <v>9.26</v>
      </c>
      <c r="Q835" s="41" t="n"/>
      <c r="R835" s="41" t="n"/>
      <c r="S835" s="41" t="n"/>
      <c r="T835" s="41" t="n"/>
      <c r="U835" s="41" t="n"/>
      <c r="V835" s="53" t="inlineStr">
        <is>
          <t>Wilds of Eldraine</t>
        </is>
      </c>
      <c r="W835" s="41" t="n">
        <v>1</v>
      </c>
      <c r="X835" s="37">
        <f>SUM(Y835:AE835)</f>
        <v/>
      </c>
      <c r="Y835" s="43" t="n"/>
      <c r="Z835" s="43" t="n"/>
      <c r="AA835" s="43" t="n"/>
      <c r="AB835" s="43" t="n"/>
      <c r="AC835" s="43" t="n">
        <v>1</v>
      </c>
      <c r="AD835" s="43" t="n"/>
      <c r="AE835" s="43" t="n"/>
      <c r="AF835" s="38">
        <f>IF((W835-SUM(Y835:AE835))&lt;0,0,W835-SUM(Y835:AE835))</f>
        <v/>
      </c>
      <c r="AG835" s="38">
        <f>MAX(0,$AT835-$W835-$AI835)</f>
        <v/>
      </c>
      <c r="AH835" s="38" t="n"/>
      <c r="AI835" s="38" t="n"/>
      <c r="AJ835" s="54" t="n">
        <v>9.57</v>
      </c>
      <c r="AK835" s="54">
        <f>IF(AND($AG835&gt;0,ISNUMBER($AJ835)),$AG835*$AJ835,0)</f>
        <v/>
      </c>
      <c r="AT835" s="37">
        <f>SUM(AU835:BA835)</f>
        <v/>
      </c>
      <c r="AU835" s="73" t="n"/>
      <c r="AV835" s="33" t="n"/>
      <c r="AW835" s="33" t="n"/>
      <c r="AX835" s="33" t="n"/>
      <c r="AY835" s="98" t="n">
        <v>1</v>
      </c>
      <c r="AZ835" s="33" t="n"/>
      <c r="BA835" s="74" t="n"/>
      <c r="BB835" s="47" t="n"/>
      <c r="BC835" s="42" t="n"/>
      <c r="BD835" s="42" t="n"/>
    </row>
    <row r="836" ht="15" customHeight="1" s="148">
      <c r="A836" t="inlineStr">
        <is>
          <t>c0832</t>
        </is>
      </c>
      <c r="B836" s="47" t="inlineStr">
        <is>
          <t>Nyx-Fleece Ram</t>
        </is>
      </c>
      <c r="C836" s="38" t="inlineStr">
        <is>
          <t>W</t>
        </is>
      </c>
      <c r="D836" s="47" t="inlineStr">
        <is>
          <t>Enchantment Creature</t>
        </is>
      </c>
      <c r="E836" s="41" t="inlineStr">
        <is>
          <t>B2</t>
        </is>
      </c>
      <c r="F836" s="38" t="n">
        <v>2</v>
      </c>
      <c r="G836" s="67" t="inlineStr">
        <is>
          <t>At the beginning of your upkeep, you gain 1 life.
(0/5)</t>
        </is>
      </c>
      <c r="H836" s="53" t="inlineStr">
        <is>
          <t>Lifegain</t>
        </is>
      </c>
      <c r="I836" s="53" t="inlineStr">
        <is>
          <t>Gains 1 life each upkeep</t>
        </is>
      </c>
      <c r="J836" s="53" t="n"/>
      <c r="K836" s="53" t="n"/>
      <c r="L836" s="42" t="n"/>
      <c r="M836" s="42" t="n"/>
      <c r="N836" s="42" t="n"/>
      <c r="O836" s="42" t="n"/>
      <c r="P836" s="42" t="n">
        <v>0.31</v>
      </c>
      <c r="Q836" s="42" t="n"/>
      <c r="R836" s="42" t="n"/>
      <c r="S836" s="42" t="n"/>
      <c r="T836" s="42" t="n"/>
      <c r="U836" s="42" t="n"/>
      <c r="V836" s="53" t="inlineStr">
        <is>
          <t>Journey into Nyx</t>
        </is>
      </c>
      <c r="W836" s="41" t="n">
        <v>1</v>
      </c>
      <c r="X836" s="37">
        <f>SUM(Y836:AE836)</f>
        <v/>
      </c>
      <c r="Y836" s="43" t="n"/>
      <c r="Z836" s="43" t="n"/>
      <c r="AA836" s="43" t="n"/>
      <c r="AB836" s="43" t="n">
        <v>1</v>
      </c>
      <c r="AC836" s="43" t="n"/>
      <c r="AD836" s="43" t="n"/>
      <c r="AE836" s="43" t="n"/>
      <c r="AF836" s="38">
        <f>IF((W836-SUM(Y836:AE836))&lt;0,0,W836-SUM(Y836:AE836))</f>
        <v/>
      </c>
      <c r="AG836" s="38">
        <f>MAX(0,$AT836-$W836-$AI836)</f>
        <v/>
      </c>
      <c r="AH836" s="38" t="n"/>
      <c r="AI836" s="38" t="n"/>
      <c r="AJ836" s="54" t="n">
        <v>0.27</v>
      </c>
      <c r="AK836" s="54">
        <f>IF(AND($AG836&gt;0,ISNUMBER($AJ836)),$AG836*$AJ836,0)</f>
        <v/>
      </c>
      <c r="AT836" s="37">
        <f>SUM(AU836:BA836)</f>
        <v/>
      </c>
      <c r="AU836" s="73" t="n"/>
      <c r="AV836" s="33" t="n"/>
      <c r="AW836" s="33" t="n"/>
      <c r="AX836" s="98" t="n">
        <v>1</v>
      </c>
      <c r="AY836" s="33" t="n"/>
      <c r="AZ836" s="33" t="n"/>
      <c r="BA836" s="74" t="n"/>
      <c r="BB836" s="47" t="n"/>
      <c r="BC836" s="42" t="n"/>
      <c r="BD836" s="42" t="n"/>
    </row>
    <row r="837" ht="15" customHeight="1" s="148">
      <c r="A837" t="inlineStr">
        <is>
          <t>c0833</t>
        </is>
      </c>
      <c r="B837" s="47" t="inlineStr">
        <is>
          <t>Odric, Lunarch Marshal</t>
        </is>
      </c>
      <c r="C837" s="38" t="inlineStr">
        <is>
          <t>W</t>
        </is>
      </c>
      <c r="D837" s="47" t="inlineStr">
        <is>
          <t>Legendary Creature</t>
        </is>
      </c>
      <c r="E837" s="41" t="inlineStr">
        <is>
          <t>B2</t>
        </is>
      </c>
      <c r="F837" s="38" t="n">
        <v>4</v>
      </c>
      <c r="G837" s="67" t="inlineStr">
        <is>
          <t>At the beginning of each combat, creatures you control gain first strike until end of turn if a creature you control has first strike. The same is true for flying, deathtouch, double strike, haste, hexproof, indestructible, lifelink, menace, reach, skulk, trample, and vigilance.
(3/3)</t>
        </is>
      </c>
      <c r="H837" s="53" t="inlineStr">
        <is>
          <t>Utility Creature</t>
        </is>
      </c>
      <c r="I837" s="53" t="inlineStr">
        <is>
          <t>Shares first strike, flying, deathtouch and other keywords among your creatures</t>
        </is>
      </c>
      <c r="J837" s="53" t="n"/>
      <c r="K837" s="53" t="n"/>
      <c r="L837" s="42" t="n"/>
      <c r="M837" s="42" t="n"/>
      <c r="N837" s="42" t="n"/>
      <c r="O837" s="63" t="n"/>
      <c r="P837" s="63" t="n">
        <v>1.2</v>
      </c>
      <c r="Q837" s="42" t="n"/>
      <c r="R837" s="42" t="n"/>
      <c r="S837" s="42" t="n"/>
      <c r="T837" s="63" t="n"/>
      <c r="U837" s="63" t="n"/>
      <c r="V837" s="53" t="inlineStr">
        <is>
          <t>Shadows over Innistrad</t>
        </is>
      </c>
      <c r="W837" s="41" t="n">
        <v>1</v>
      </c>
      <c r="X837" s="37">
        <f>SUM(Y837:AE837)</f>
        <v/>
      </c>
      <c r="Y837" s="43" t="n"/>
      <c r="Z837" s="43" t="n"/>
      <c r="AA837" s="43" t="n"/>
      <c r="AB837" s="43" t="n"/>
      <c r="AC837" s="43" t="n">
        <v>1</v>
      </c>
      <c r="AD837" s="43" t="n"/>
      <c r="AE837" s="43" t="n"/>
      <c r="AF837" s="38">
        <f>IF((W837-SUM(Y837:AE837))&lt;0,0,W837-SUM(Y837:AE837))</f>
        <v/>
      </c>
      <c r="AG837" s="38">
        <f>MAX(0,$AT837-$W837-$AI837)</f>
        <v/>
      </c>
      <c r="AH837" s="38" t="n"/>
      <c r="AI837" s="38" t="n"/>
      <c r="AJ837" s="54" t="n">
        <v>1.03</v>
      </c>
      <c r="AK837" s="54">
        <f>IF(AND($AG837&gt;0,ISNUMBER($AJ837)),$AG837*$AJ837,0)</f>
        <v/>
      </c>
      <c r="AT837" s="37">
        <f>SUM(AU837:BA837)</f>
        <v/>
      </c>
      <c r="AU837" s="73" t="n"/>
      <c r="AV837" s="33" t="n"/>
      <c r="AW837" s="33" t="n"/>
      <c r="AX837" s="33" t="n"/>
      <c r="AY837" s="98" t="n">
        <v>1</v>
      </c>
      <c r="AZ837" s="33" t="n"/>
      <c r="BA837" s="74" t="n"/>
      <c r="BB837" s="47" t="n"/>
      <c r="BC837" s="42" t="n"/>
      <c r="BD837" s="42" t="n"/>
    </row>
    <row r="838" ht="15" customHeight="1" s="148">
      <c r="A838" t="inlineStr">
        <is>
          <t>c0834</t>
        </is>
      </c>
      <c r="B838" s="42" t="inlineStr">
        <is>
          <t>Ori, Keeper of Songs</t>
        </is>
      </c>
      <c r="C838" s="41" t="inlineStr">
        <is>
          <t>W</t>
        </is>
      </c>
      <c r="D838" s="42" t="inlineStr">
        <is>
          <t>Legendary Creature</t>
        </is>
      </c>
      <c r="E838" s="41" t="inlineStr">
        <is>
          <t>B2</t>
        </is>
      </c>
      <c r="F838" s="41" t="n">
        <v>3</v>
      </c>
      <c r="G838" s="67" t="inlineStr">
        <is>
          <t>Storied (If you control three or more artifacts, legendaries, and/or Sagas, you have an enduring story for the rest of the game.)
As long as you have an enduring story, Ori gets +1/+0 and has vigilance.
(3/3)</t>
        </is>
      </c>
      <c r="H838" s="42" t="inlineStr">
        <is>
          <t>Utility Creature</t>
        </is>
      </c>
      <c r="I838" s="42" t="inlineStr">
        <is>
          <t>Gets +1/+0 and has vigilance as long as you have an enduring story</t>
        </is>
      </c>
      <c r="J838" s="42" t="inlineStr">
        <is>
          <t>Storied - you have an enduring story for the rest of the game once you control three or more artifacts, legendaries, and/or Sagas</t>
        </is>
      </c>
      <c r="K838" s="42" t="n"/>
      <c r="L838" s="88" t="inlineStr">
        <is>
          <t>C 0023</t>
        </is>
      </c>
      <c r="M838" s="41" t="n">
        <v>1</v>
      </c>
      <c r="N838" s="41" t="n">
        <v>1</v>
      </c>
      <c r="O838" s="63" t="inlineStr">
        <is>
          <t>Yigit Koroglu</t>
        </is>
      </c>
      <c r="P838" s="90" t="n">
        <v>0.22</v>
      </c>
      <c r="Q838" s="42" t="inlineStr">
        <is>
          <t>C</t>
        </is>
      </c>
      <c r="R838" s="42" t="n"/>
      <c r="S838" s="42" t="n"/>
      <c r="T838" s="63" t="n"/>
      <c r="U838" s="63" t="n"/>
      <c r="V838" s="42" t="inlineStr">
        <is>
          <t>The Hobbit</t>
        </is>
      </c>
      <c r="W838" s="41" t="n">
        <v>2</v>
      </c>
      <c r="X838" s="37">
        <f>SUM(Y838:AE838)</f>
        <v/>
      </c>
      <c r="Y838" s="43" t="n"/>
      <c r="Z838" s="43" t="n"/>
      <c r="AA838" s="43" t="n"/>
      <c r="AB838" s="43" t="n"/>
      <c r="AC838" s="43" t="n"/>
      <c r="AD838" s="43" t="n"/>
      <c r="AE838" s="43" t="n"/>
      <c r="AF838" s="38">
        <f>IF((W838-SUM(Y838:AE838))&lt;0,0,W838-SUM(Y838:AE838))</f>
        <v/>
      </c>
      <c r="AG838" s="38">
        <f>MAX(0,$AT838-$W838-$AI838)</f>
        <v/>
      </c>
      <c r="AH838" s="42" t="n"/>
      <c r="AI838" s="42" t="n"/>
      <c r="AJ838" s="42" t="n">
        <v>0.22</v>
      </c>
      <c r="AK838" s="42">
        <f>IF(AND($AG838&gt;0,ISNUMBER($AJ838)),$AG838*$AJ838,0)</f>
        <v/>
      </c>
      <c r="AT838" s="37">
        <f>SUM(AU838:BA838)</f>
        <v/>
      </c>
      <c r="AU838" s="73" t="n"/>
      <c r="AV838" s="33" t="n"/>
      <c r="AW838" s="33" t="n"/>
      <c r="AX838" s="33" t="n"/>
      <c r="AY838" s="33" t="n"/>
      <c r="AZ838" s="33" t="n"/>
      <c r="BA838" s="74" t="n"/>
      <c r="BB838" s="42" t="n"/>
      <c r="BC838" s="42" t="n"/>
      <c r="BD838" s="42" t="n"/>
    </row>
    <row r="839" ht="15" customHeight="1" s="148">
      <c r="A839" t="inlineStr">
        <is>
          <t>c0835</t>
        </is>
      </c>
      <c r="B839" s="47" t="inlineStr">
        <is>
          <t>Ossification</t>
        </is>
      </c>
      <c r="C839" s="38" t="inlineStr">
        <is>
          <t>W</t>
        </is>
      </c>
      <c r="D839" s="47" t="inlineStr">
        <is>
          <t>Enchantment</t>
        </is>
      </c>
      <c r="E839" s="41" t="inlineStr">
        <is>
          <t>B3</t>
        </is>
      </c>
      <c r="F839" s="38" t="n">
        <v>2</v>
      </c>
      <c r="G839" s="67" t="inlineStr">
        <is>
          <t>Enchant basic land you control
When this Aura enters, exile target creature or planeswalker an opponent controls until this Aura leaves the battlefield.</t>
        </is>
      </c>
      <c r="H839" s="53" t="inlineStr">
        <is>
          <t>Removal</t>
        </is>
      </c>
      <c r="I839" s="53" t="inlineStr">
        <is>
          <t>Exiles target creature or planeswalker (enchants a basic land you control)</t>
        </is>
      </c>
      <c r="J839" s="53" t="n"/>
      <c r="K839" s="53" t="n"/>
      <c r="L839" s="42" t="n"/>
      <c r="M839" s="42" t="n"/>
      <c r="N839" s="42" t="n"/>
      <c r="O839" s="42" t="n"/>
      <c r="P839" s="42" t="n">
        <v>0.32</v>
      </c>
      <c r="Q839" s="42" t="n"/>
      <c r="R839" s="42" t="n"/>
      <c r="S839" s="42" t="n"/>
      <c r="T839" s="42" t="n"/>
      <c r="U839" s="42" t="n"/>
      <c r="V839" s="53" t="inlineStr">
        <is>
          <t>Phyrexia: All Will Be One</t>
        </is>
      </c>
      <c r="W839" s="41" t="n">
        <v>1</v>
      </c>
      <c r="X839" s="37">
        <f>SUM(Y839:AE839)</f>
        <v/>
      </c>
      <c r="Y839" s="43" t="n"/>
      <c r="Z839" s="43" t="n"/>
      <c r="AA839" s="43" t="n"/>
      <c r="AB839" s="43" t="n"/>
      <c r="AC839" s="43" t="n">
        <v>1</v>
      </c>
      <c r="AD839" s="43" t="n"/>
      <c r="AE839" s="43" t="n"/>
      <c r="AF839" s="38">
        <f>IF((W839-SUM(Y839:AE839))&lt;0,0,W839-SUM(Y839:AE839))</f>
        <v/>
      </c>
      <c r="AG839" s="38">
        <f>MAX(0,$AT839-$W839-$AI839)</f>
        <v/>
      </c>
      <c r="AH839" s="38" t="n"/>
      <c r="AI839" s="38" t="n"/>
      <c r="AJ839" s="54" t="n">
        <v>0.34</v>
      </c>
      <c r="AK839" s="54">
        <f>IF(AND($AG839&gt;0,ISNUMBER($AJ839)),$AG839*$AJ839,0)</f>
        <v/>
      </c>
      <c r="AT839" s="37">
        <f>SUM(AU839:BA839)</f>
        <v/>
      </c>
      <c r="AU839" s="73" t="n"/>
      <c r="AV839" s="33" t="n"/>
      <c r="AW839" s="33" t="n"/>
      <c r="AX839" s="33" t="n"/>
      <c r="AY839" s="98" t="n">
        <v>1</v>
      </c>
      <c r="AZ839" s="33" t="n"/>
      <c r="BA839" s="74" t="n"/>
      <c r="BB839" s="47" t="n"/>
      <c r="BC839" s="42" t="n"/>
      <c r="BD839" s="42" t="n"/>
    </row>
    <row r="840" ht="15" customHeight="1" s="148">
      <c r="A840" t="inlineStr">
        <is>
          <t>c0836</t>
        </is>
      </c>
      <c r="B840" s="47" t="inlineStr">
        <is>
          <t>Path to Exile</t>
        </is>
      </c>
      <c r="C840" s="38" t="inlineStr">
        <is>
          <t>W</t>
        </is>
      </c>
      <c r="D840" s="47" t="inlineStr">
        <is>
          <t>Instant</t>
        </is>
      </c>
      <c r="E840" s="41" t="inlineStr">
        <is>
          <t>B3</t>
        </is>
      </c>
      <c r="F840" s="38" t="n">
        <v>1</v>
      </c>
      <c r="G840" s="67" t="inlineStr">
        <is>
          <t>Exile target creature. Its controller may search their library for a basic land card, put that card onto the battlefield tapped, then shuffle.</t>
        </is>
      </c>
      <c r="H840" s="53" t="inlineStr">
        <is>
          <t>Removal</t>
        </is>
      </c>
      <c r="I840" s="53" t="inlineStr">
        <is>
          <t>Exiles target creature</t>
        </is>
      </c>
      <c r="J840" s="53" t="inlineStr">
        <is>
          <t>Its controller may search for a basic land onto the battlefield tapped</t>
        </is>
      </c>
      <c r="K840" s="53" t="n"/>
      <c r="L840" s="41" t="n"/>
      <c r="M840" s="41" t="n"/>
      <c r="N840" s="41" t="n"/>
      <c r="O840" s="41" t="n"/>
      <c r="P840" s="41" t="n">
        <v>1.49</v>
      </c>
      <c r="Q840" s="41" t="n"/>
      <c r="R840" s="41" t="n"/>
      <c r="S840" s="41" t="n"/>
      <c r="T840" s="41" t="n"/>
      <c r="U840" s="41" t="n"/>
      <c r="V840" s="53" t="inlineStr">
        <is>
          <t>Conflux</t>
        </is>
      </c>
      <c r="W840" s="41" t="n">
        <v>1</v>
      </c>
      <c r="X840" s="37">
        <f>SUM(Y840:AE840)</f>
        <v/>
      </c>
      <c r="Y840" s="43" t="n">
        <v>1</v>
      </c>
      <c r="Z840" s="43" t="n"/>
      <c r="AA840" s="43" t="n"/>
      <c r="AB840" s="43" t="n"/>
      <c r="AC840" s="43" t="n"/>
      <c r="AD840" s="43" t="n"/>
      <c r="AE840" s="43" t="n"/>
      <c r="AF840" s="38">
        <f>IF((W840-SUM(Y840:AE840))&lt;0,0,W840-SUM(Y840:AE840))</f>
        <v/>
      </c>
      <c r="AG840" s="38">
        <f>MAX(0,$AT840-$W840-$AI840)</f>
        <v/>
      </c>
      <c r="AH840" s="38" t="n"/>
      <c r="AI840" s="38" t="n"/>
      <c r="AJ840" s="54" t="n">
        <v>1.38</v>
      </c>
      <c r="AK840" s="54">
        <f>IF(AND($AG840&gt;0,ISNUMBER($AJ840)),$AG840*$AJ840,0)</f>
        <v/>
      </c>
      <c r="AT840" s="37">
        <f>SUM(AU840:BA840)</f>
        <v/>
      </c>
      <c r="AU840" s="82" t="n">
        <v>1</v>
      </c>
      <c r="AV840" s="33" t="n"/>
      <c r="AW840" s="33" t="n"/>
      <c r="AX840" s="33" t="n"/>
      <c r="AY840" s="33" t="n"/>
      <c r="AZ840" s="33" t="n"/>
      <c r="BA840" s="74" t="n"/>
      <c r="BB840" s="47" t="n"/>
      <c r="BC840" s="42" t="n"/>
      <c r="BD840" s="42" t="n"/>
    </row>
    <row r="841" ht="15" customHeight="1" s="148">
      <c r="A841" t="inlineStr">
        <is>
          <t>c0837</t>
        </is>
      </c>
      <c r="B841" s="47" t="inlineStr">
        <is>
          <t>Perimeter Captain</t>
        </is>
      </c>
      <c r="C841" s="38" t="inlineStr">
        <is>
          <t>W</t>
        </is>
      </c>
      <c r="D841" s="47" t="inlineStr">
        <is>
          <t>Creature</t>
        </is>
      </c>
      <c r="E841" s="41" t="inlineStr">
        <is>
          <t>B2</t>
        </is>
      </c>
      <c r="F841" s="38" t="n">
        <v>1</v>
      </c>
      <c r="G841" s="67" t="inlineStr">
        <is>
          <t>Defender
Whenever a creature you control with defender blocks, you may gain 2 life.
(0/4)</t>
        </is>
      </c>
      <c r="H841" s="53" t="inlineStr">
        <is>
          <t>Utility Creature</t>
        </is>
      </c>
      <c r="I841" s="53" t="inlineStr">
        <is>
          <t>Defender</t>
        </is>
      </c>
      <c r="J841" s="53" t="inlineStr">
        <is>
          <t>Whenever a creature you control with defender blocks, you may gain 2 life</t>
        </is>
      </c>
      <c r="K841" s="53" t="n"/>
      <c r="L841" s="42" t="n"/>
      <c r="M841" s="42" t="n"/>
      <c r="N841" s="42" t="n"/>
      <c r="O841" s="42" t="n"/>
      <c r="P841" s="42" t="n">
        <v>1.4</v>
      </c>
      <c r="Q841" s="42" t="n"/>
      <c r="R841" s="42" t="n"/>
      <c r="S841" s="42" t="n"/>
      <c r="T841" s="42" t="n"/>
      <c r="U841" s="42" t="n"/>
      <c r="V841" s="53" t="inlineStr">
        <is>
          <t>Worldwake</t>
        </is>
      </c>
      <c r="W841" s="41" t="n">
        <v>0</v>
      </c>
      <c r="X841" s="37">
        <f>SUM(Y841:AE841)</f>
        <v/>
      </c>
      <c r="Y841" s="43" t="n"/>
      <c r="Z841" s="43" t="n"/>
      <c r="AA841" s="43" t="n"/>
      <c r="AB841" s="43" t="n"/>
      <c r="AC841" s="43" t="n"/>
      <c r="AD841" s="43" t="n"/>
      <c r="AE841" s="43" t="n"/>
      <c r="AF841" s="38">
        <f>IF((W841-SUM(Y841:AE841))&lt;0,0,W841-SUM(Y841:AE841))</f>
        <v/>
      </c>
      <c r="AG841" s="38">
        <f>MAX(0,$AT841-$W841-$AI841)</f>
        <v/>
      </c>
      <c r="AH841" s="38" t="n"/>
      <c r="AI841" s="38" t="n"/>
      <c r="AJ841" s="54" t="n">
        <v>0.67</v>
      </c>
      <c r="AK841" s="54">
        <f>IF(AND($AG841&gt;0,ISNUMBER($AJ841)),$AG841*$AJ841,0)</f>
        <v/>
      </c>
      <c r="AL841" s="54" t="n"/>
      <c r="AM841" s="54" t="n"/>
      <c r="AN841" s="54" t="n"/>
      <c r="AO841" s="54" t="n"/>
      <c r="AP841" s="54" t="n"/>
      <c r="AQ841" s="54" t="n"/>
      <c r="AR841" s="54" t="n"/>
      <c r="AS841" s="54" t="n"/>
      <c r="AT841" s="37">
        <f>SUM(AU841:BA841)</f>
        <v/>
      </c>
      <c r="AU841" s="92" t="n"/>
      <c r="AV841" s="38" t="n"/>
      <c r="AW841" s="38" t="n"/>
      <c r="AX841" s="38" t="n"/>
      <c r="AY841" s="38" t="n"/>
      <c r="AZ841" s="38" t="n"/>
      <c r="BA841" s="94" t="n"/>
      <c r="BB841" s="47" t="n"/>
      <c r="BC841" s="42" t="n"/>
      <c r="BD841" s="42" t="n"/>
    </row>
    <row r="842" ht="15" customHeight="1" s="148">
      <c r="A842" t="inlineStr">
        <is>
          <t>c0838</t>
        </is>
      </c>
      <c r="B842" s="47" t="inlineStr">
        <is>
          <t>Primary Research</t>
        </is>
      </c>
      <c r="C842" s="38" t="inlineStr">
        <is>
          <t>W</t>
        </is>
      </c>
      <c r="D842" s="47" t="inlineStr">
        <is>
          <t>Enchantment</t>
        </is>
      </c>
      <c r="E842" s="41" t="inlineStr">
        <is>
          <t>B2</t>
        </is>
      </c>
      <c r="F842" s="38" t="n">
        <v>5</v>
      </c>
      <c r="G842" s="67" t="inlineStr">
        <is>
          <t>When this enchantment enters, return target nonland permanent card with mana value 3 or less from your graveyard to the battlefield.
At the beginning of your end step, if a card left your graveyard this turn, draw a card.</t>
        </is>
      </c>
      <c r="H842" s="53" t="inlineStr">
        <is>
          <t>Recursion</t>
        </is>
      </c>
      <c r="I842" s="53" t="inlineStr">
        <is>
          <t>Enters: return a MV 3 or less nonland permanent card from graveyard to battlefield</t>
        </is>
      </c>
      <c r="J842" s="53" t="inlineStr">
        <is>
          <t>End step: draw a card if a card left your graveyard this turn</t>
        </is>
      </c>
      <c r="K842" s="53" t="n"/>
      <c r="L842" s="41" t="n"/>
      <c r="M842" s="41" t="n"/>
      <c r="N842" s="41" t="n"/>
      <c r="O842" s="41" t="n"/>
      <c r="P842" s="41" t="n">
        <v>0.19</v>
      </c>
      <c r="Q842" s="41" t="n"/>
      <c r="R842" s="41" t="n"/>
      <c r="S842" s="41" t="n"/>
      <c r="T842" s="41" t="n"/>
      <c r="U842" s="41" t="n"/>
      <c r="V842" s="53" t="inlineStr">
        <is>
          <t>Secrets of Strixhaven</t>
        </is>
      </c>
      <c r="W842" s="41" t="n">
        <v>1</v>
      </c>
      <c r="X842" s="37">
        <f>SUM(Y842:AE842)</f>
        <v/>
      </c>
      <c r="Y842" s="43" t="n">
        <v>1</v>
      </c>
      <c r="Z842" s="43" t="n"/>
      <c r="AA842" s="43" t="n"/>
      <c r="AB842" s="43" t="n"/>
      <c r="AC842" s="43" t="n"/>
      <c r="AD842" s="43" t="n"/>
      <c r="AE842" s="43" t="n"/>
      <c r="AF842" s="38">
        <f>IF((W842-SUM(Y842:AE842))&lt;0,0,W842-SUM(Y842:AE842))</f>
        <v/>
      </c>
      <c r="AG842" s="38">
        <f>MAX(0,$AT842-$W842-$AI842)</f>
        <v/>
      </c>
      <c r="AH842" s="38" t="n"/>
      <c r="AI842" s="38" t="n"/>
      <c r="AJ842" s="54" t="n">
        <v>0.22</v>
      </c>
      <c r="AK842" s="54">
        <f>IF(AND($AG842&gt;0,ISNUMBER($AJ842)),$AG842*$AJ842,0)</f>
        <v/>
      </c>
      <c r="AL842" s="58" t="n"/>
      <c r="AT842" s="37">
        <f>SUM(AU842:BA842)</f>
        <v/>
      </c>
      <c r="AU842" s="82" t="n">
        <v>1</v>
      </c>
      <c r="AV842" s="33" t="n"/>
      <c r="AW842" s="33" t="n"/>
      <c r="AX842" s="33" t="n"/>
      <c r="AY842" s="33" t="n"/>
      <c r="AZ842" s="33" t="n"/>
      <c r="BA842" s="74" t="n"/>
      <c r="BB842" s="47" t="n"/>
      <c r="BC842" s="42" t="n"/>
      <c r="BD842" s="42" t="n"/>
    </row>
    <row r="843" ht="15" customHeight="1" s="148">
      <c r="A843" t="inlineStr">
        <is>
          <t>c0839</t>
        </is>
      </c>
      <c r="B843" s="47" t="inlineStr">
        <is>
          <t>Promise of Loyalty</t>
        </is>
      </c>
      <c r="C843" s="38" t="inlineStr">
        <is>
          <t>W</t>
        </is>
      </c>
      <c r="D843" s="47" t="inlineStr">
        <is>
          <t>Sorcery</t>
        </is>
      </c>
      <c r="E843" s="41" t="inlineStr">
        <is>
          <t>B2</t>
        </is>
      </c>
      <c r="F843" s="38" t="n">
        <v>5</v>
      </c>
      <c r="G843" s="67" t="inlineStr">
        <is>
          <t>Each player puts a vow counter on a creature they control and sacrifices the rest. Each of those creatures can't attack you or planeswalkers you control for as long as it has a vow counter on it.</t>
        </is>
      </c>
      <c r="H843" s="53" t="inlineStr">
        <is>
          <t>Board Wipe</t>
        </is>
      </c>
      <c r="I843" s="53" t="inlineStr">
        <is>
          <t>Each player sacrifices all but one of their creatures</t>
        </is>
      </c>
      <c r="J843" s="53" t="inlineStr">
        <is>
          <t>The kept creature can't attack you or your planeswalkers while marked</t>
        </is>
      </c>
      <c r="K843" s="53" t="n"/>
      <c r="L843" s="42" t="n"/>
      <c r="M843" s="42" t="n"/>
      <c r="N843" s="42" t="n"/>
      <c r="O843" s="42" t="n"/>
      <c r="P843" s="42" t="n">
        <v>0.24</v>
      </c>
      <c r="Q843" s="42" t="n"/>
      <c r="R843" s="42" t="n"/>
      <c r="S843" s="42" t="n"/>
      <c r="T843" s="42" t="n"/>
      <c r="U843" s="42" t="n"/>
      <c r="V843" s="53" t="inlineStr">
        <is>
          <t>Commander 2021</t>
        </is>
      </c>
      <c r="W843" s="41" t="n">
        <v>1</v>
      </c>
      <c r="X843" s="37">
        <f>SUM(Y843:AE843)</f>
        <v/>
      </c>
      <c r="Y843" s="43" t="n"/>
      <c r="Z843" s="43" t="n"/>
      <c r="AA843" s="43" t="n"/>
      <c r="AB843" s="43" t="n"/>
      <c r="AC843" s="43" t="n">
        <v>1</v>
      </c>
      <c r="AD843" s="43" t="n"/>
      <c r="AE843" s="43" t="n"/>
      <c r="AF843" s="38">
        <f>IF((W843-SUM(Y843:AE843))&lt;0,0,W843-SUM(Y843:AE843))</f>
        <v/>
      </c>
      <c r="AG843" s="38">
        <f>MAX(0,$AT843-$W843-$AI843)</f>
        <v/>
      </c>
      <c r="AH843" s="38" t="n"/>
      <c r="AI843" s="38" t="n"/>
      <c r="AJ843" s="54" t="n">
        <v>0.22</v>
      </c>
      <c r="AK843" s="54">
        <f>IF(AND($AG843&gt;0,ISNUMBER($AJ843)),$AG843*$AJ843,0)</f>
        <v/>
      </c>
      <c r="AP843" s="58" t="inlineStr">
        <is>
          <t>BL0019</t>
        </is>
      </c>
      <c r="AT843" s="37">
        <f>SUM(AU843:BA843)</f>
        <v/>
      </c>
      <c r="AU843" s="73" t="n"/>
      <c r="AV843" s="33" t="n"/>
      <c r="AW843" s="33" t="n"/>
      <c r="AX843" s="33" t="n"/>
      <c r="AY843" s="100" t="n"/>
      <c r="AZ843" s="33" t="n"/>
      <c r="BA843" s="74" t="n"/>
      <c r="BB843" s="47" t="n"/>
      <c r="BC843" s="42" t="n"/>
      <c r="BD843" s="42" t="n"/>
    </row>
    <row r="844" ht="15" customHeight="1" s="148">
      <c r="A844" t="inlineStr">
        <is>
          <t>c0840</t>
        </is>
      </c>
      <c r="B844" s="47" t="inlineStr">
        <is>
          <t>Protector of the Wastes</t>
        </is>
      </c>
      <c r="C844" s="38" t="inlineStr">
        <is>
          <t>W</t>
        </is>
      </c>
      <c r="D844" s="47" t="inlineStr">
        <is>
          <t>Creature</t>
        </is>
      </c>
      <c r="E844" s="41" t="inlineStr">
        <is>
          <t>B2</t>
        </is>
      </c>
      <c r="F844" s="38" t="n">
        <v>6</v>
      </c>
      <c r="G844" s="67" t="inlineStr">
        <is>
          <t>Flying
When this creature enters or becomes monstrous, exile up to two target artifacts and/or enchantments controlled by different players.
{4}{W}: Monstrosity 3. (If this creature isn't monstrous, put three +1/+1 counters on it and it becomes monstrous.)
(5/5)</t>
        </is>
      </c>
      <c r="H844" s="53" t="inlineStr">
        <is>
          <t>Removal</t>
        </is>
      </c>
      <c r="I844" s="53" t="inlineStr">
        <is>
          <t>Exiles up to two target artifacts/enchantments when it enters or becomes monstrous</t>
        </is>
      </c>
      <c r="J844" s="53" t="inlineStr">
        <is>
          <t>Flying body</t>
        </is>
      </c>
      <c r="K844" s="53" t="inlineStr">
        <is>
          <t>{4}{W}: Monstrosity 3, adds three +1/+1 counters</t>
        </is>
      </c>
      <c r="L844" s="42" t="n"/>
      <c r="M844" s="42" t="n"/>
      <c r="N844" s="42" t="n"/>
      <c r="O844" s="63" t="n"/>
      <c r="P844" s="63" t="n">
        <v>0.28</v>
      </c>
      <c r="Q844" s="42" t="n"/>
      <c r="R844" s="42" t="n"/>
      <c r="S844" s="42" t="n"/>
      <c r="T844" s="63" t="n"/>
      <c r="U844" s="63" t="n"/>
      <c r="V844" s="53" t="inlineStr">
        <is>
          <t>Tarkir: Dragonstorm Commander</t>
        </is>
      </c>
      <c r="W844" s="41" t="n">
        <v>1</v>
      </c>
      <c r="X844" s="37">
        <f>SUM(Y844:AE844)</f>
        <v/>
      </c>
      <c r="Y844" s="43" t="n"/>
      <c r="Z844" s="43" t="n"/>
      <c r="AA844" s="43" t="n">
        <v>1</v>
      </c>
      <c r="AB844" s="43" t="n"/>
      <c r="AC844" s="43" t="n"/>
      <c r="AD844" s="43" t="n"/>
      <c r="AE844" s="43" t="n"/>
      <c r="AF844" s="38">
        <f>IF((W844-SUM(Y844:AE844))&lt;0,0,W844-SUM(Y844:AE844))</f>
        <v/>
      </c>
      <c r="AG844" s="38">
        <f>MAX(0,$AT844-$W844-$AI844)</f>
        <v/>
      </c>
      <c r="AH844" s="38" t="n"/>
      <c r="AI844" s="38" t="n"/>
      <c r="AJ844" s="54" t="n">
        <v>0.26</v>
      </c>
      <c r="AK844" s="54">
        <f>IF(AND($AG844&gt;0,ISNUMBER($AJ844)),$AG844*$AJ844,0)</f>
        <v/>
      </c>
      <c r="AT844" s="37">
        <f>SUM(AU844:BA844)</f>
        <v/>
      </c>
      <c r="AU844" s="73" t="n"/>
      <c r="AV844" s="33" t="n"/>
      <c r="AW844" s="98" t="n">
        <v>1</v>
      </c>
      <c r="AX844" s="33" t="n"/>
      <c r="AY844" s="33" t="n"/>
      <c r="AZ844" s="33" t="n"/>
      <c r="BA844" s="74" t="n"/>
      <c r="BB844" s="47" t="n"/>
      <c r="BC844" s="42" t="n"/>
      <c r="BD844" s="42" t="n"/>
    </row>
    <row r="845" ht="15" customHeight="1" s="148">
      <c r="A845" t="inlineStr">
        <is>
          <t>c0841</t>
        </is>
      </c>
      <c r="B845" s="47" t="inlineStr">
        <is>
          <t>Raise the Alarm</t>
        </is>
      </c>
      <c r="C845" s="38" t="inlineStr">
        <is>
          <t>W</t>
        </is>
      </c>
      <c r="D845" s="47" t="inlineStr">
        <is>
          <t>Instant</t>
        </is>
      </c>
      <c r="E845" s="41" t="inlineStr">
        <is>
          <t>B2</t>
        </is>
      </c>
      <c r="F845" s="38" t="n">
        <v>2</v>
      </c>
      <c r="G845" s="67" t="inlineStr">
        <is>
          <t>Create two 1/1 white Soldier creature tokens.</t>
        </is>
      </c>
      <c r="H845" s="53" t="inlineStr">
        <is>
          <t>Token Producer</t>
        </is>
      </c>
      <c r="I845" s="53" t="inlineStr">
        <is>
          <t>Creates two 1/1 white Soldier tokens</t>
        </is>
      </c>
      <c r="J845" s="53" t="n"/>
      <c r="K845" s="53" t="n"/>
      <c r="L845" s="42" t="n"/>
      <c r="M845" s="42" t="n"/>
      <c r="N845" s="42" t="n"/>
      <c r="O845" s="42" t="n"/>
      <c r="P845" s="42" t="n">
        <v>0.21</v>
      </c>
      <c r="Q845" s="42" t="n"/>
      <c r="R845" s="42" t="n"/>
      <c r="S845" s="42" t="n"/>
      <c r="T845" s="42" t="n"/>
      <c r="U845" s="42" t="n"/>
      <c r="V845" s="53" t="inlineStr">
        <is>
          <t>Mirrodin</t>
        </is>
      </c>
      <c r="W845" s="41" t="n">
        <v>1</v>
      </c>
      <c r="X845" s="37">
        <f>SUM(Y845:AE845)</f>
        <v/>
      </c>
      <c r="Y845" s="43" t="n"/>
      <c r="Z845" s="43" t="n"/>
      <c r="AA845" s="43" t="n"/>
      <c r="AB845" s="43" t="n"/>
      <c r="AC845" s="43" t="n">
        <v>1</v>
      </c>
      <c r="AD845" s="43" t="n"/>
      <c r="AE845" s="43" t="n"/>
      <c r="AF845" s="38">
        <f>IF((W845-SUM(Y845:AE845))&lt;0,0,W845-SUM(Y845:AE845))</f>
        <v/>
      </c>
      <c r="AG845" s="38">
        <f>MAX(0,$AT845-$W845-$AI845)</f>
        <v/>
      </c>
      <c r="AH845" s="38" t="n"/>
      <c r="AI845" s="38" t="n"/>
      <c r="AJ845" s="54" t="n">
        <v>0.28</v>
      </c>
      <c r="AK845" s="54">
        <f>IF(AND($AG845&gt;0,ISNUMBER($AJ845)),$AG845*$AJ845,0)</f>
        <v/>
      </c>
      <c r="AP845" s="58" t="n"/>
      <c r="AT845" s="37">
        <f>SUM(AU845:BA845)</f>
        <v/>
      </c>
      <c r="AU845" s="73" t="n"/>
      <c r="AV845" s="33" t="n"/>
      <c r="AW845" s="33" t="n"/>
      <c r="AX845" s="33" t="n"/>
      <c r="AY845" s="98" t="n">
        <v>1</v>
      </c>
      <c r="AZ845" s="33" t="n"/>
      <c r="BA845" s="74" t="n"/>
      <c r="BB845" s="47" t="n"/>
      <c r="BC845" s="42" t="n"/>
      <c r="BD845" s="42" t="n"/>
    </row>
    <row r="846" ht="15" customHeight="1" s="148">
      <c r="A846" t="inlineStr">
        <is>
          <t>c0842</t>
        </is>
      </c>
      <c r="B846" s="47" t="inlineStr">
        <is>
          <t>Rally the Ancestors</t>
        </is>
      </c>
      <c r="C846" s="38" t="inlineStr">
        <is>
          <t>W</t>
        </is>
      </c>
      <c r="D846" s="47" t="inlineStr">
        <is>
          <t>Instant</t>
        </is>
      </c>
      <c r="E846" s="41" t="inlineStr">
        <is>
          <t>B2</t>
        </is>
      </c>
      <c r="F846" s="38" t="n">
        <v>2</v>
      </c>
      <c r="G846" s="67" t="inlineStr">
        <is>
          <t>Return each creature card with mana value X or less from your graveyard to the battlefield. Exile those creatures at the beginning of your next upkeep. Exile Rally the Ancestors.</t>
        </is>
      </c>
      <c r="H846" s="53" t="inlineStr">
        <is>
          <t>Recursion</t>
        </is>
      </c>
      <c r="I846" s="53" t="inlineStr">
        <is>
          <t>Return each creature card with mana value X or less from your graveyard to the battlefield. Exile those creatures at the</t>
        </is>
      </c>
      <c r="J846" s="53" t="n"/>
      <c r="K846" s="53" t="n"/>
      <c r="L846" s="42" t="n"/>
      <c r="M846" s="42" t="n"/>
      <c r="N846" s="42" t="n"/>
      <c r="O846" s="42" t="n"/>
      <c r="P846" s="42" t="n">
        <v>0.32</v>
      </c>
      <c r="Q846" s="42" t="n"/>
      <c r="R846" s="42" t="n"/>
      <c r="S846" s="42" t="n"/>
      <c r="T846" s="42" t="n"/>
      <c r="U846" s="42" t="n"/>
      <c r="V846" s="53" t="inlineStr">
        <is>
          <t>Fate Reforged</t>
        </is>
      </c>
      <c r="W846" s="41" t="n">
        <v>1</v>
      </c>
      <c r="X846" s="37">
        <f>SUM(Y846:AE846)</f>
        <v/>
      </c>
      <c r="Y846" s="43" t="n"/>
      <c r="Z846" s="43" t="n"/>
      <c r="AA846" s="43" t="n"/>
      <c r="AB846" s="43" t="n"/>
      <c r="AC846" s="43" t="n"/>
      <c r="AD846" s="43" t="n"/>
      <c r="AE846" s="43" t="n"/>
      <c r="AF846" s="38">
        <f>IF((W846-SUM(Y846:AE846))&lt;0,0,W846-SUM(Y846:AE846))</f>
        <v/>
      </c>
      <c r="AG846" s="38">
        <f>MAX(0,$AT846-$W846-$AI846)</f>
        <v/>
      </c>
      <c r="AH846" s="38" t="n"/>
      <c r="AI846" s="38" t="n"/>
      <c r="AJ846" s="54" t="n">
        <v>0.33</v>
      </c>
      <c r="AK846" s="54">
        <f>IF(AND($AG846&gt;0,ISNUMBER($AJ846)),$AG846*$AJ846,0)</f>
        <v/>
      </c>
      <c r="AT846" s="37">
        <f>SUM(AU846:BA846)</f>
        <v/>
      </c>
      <c r="AU846" s="73" t="n"/>
      <c r="AV846" s="33" t="n"/>
      <c r="AW846" s="33" t="n"/>
      <c r="AX846" s="33" t="n"/>
      <c r="AY846" s="33" t="n"/>
      <c r="AZ846" s="33" t="n"/>
      <c r="BA846" s="74" t="n"/>
      <c r="BB846" s="47" t="n"/>
      <c r="BC846" s="42" t="n"/>
      <c r="BD846" s="42" t="n"/>
    </row>
    <row r="847" ht="15" customHeight="1" s="148">
      <c r="A847" t="inlineStr">
        <is>
          <t>c0843</t>
        </is>
      </c>
      <c r="B847" s="32" t="inlineStr">
        <is>
          <t>Rehearsed Debater</t>
        </is>
      </c>
      <c r="C847" s="33" t="inlineStr">
        <is>
          <t>W</t>
        </is>
      </c>
      <c r="D847" s="32" t="inlineStr">
        <is>
          <t>Creature</t>
        </is>
      </c>
      <c r="E847" s="33" t="inlineStr">
        <is>
          <t>B2</t>
        </is>
      </c>
      <c r="F847" s="32" t="n">
        <v>3</v>
      </c>
      <c r="G847" s="67" t="inlineStr">
        <is>
          <t>Vigilance
Repartee — Whenever you cast an instant or sorcery spell that targets a creature, this creature gets +1/+1 until end of turn.
(3/3)</t>
        </is>
      </c>
      <c r="H847" s="32" t="inlineStr">
        <is>
          <t>Utility Creature</t>
        </is>
      </c>
      <c r="I847" s="32" t="inlineStr">
        <is>
          <t>Repartee — whenever you cast an instant or sorcery that targets a creature, this creature gets +1/+1 until end of turn</t>
        </is>
      </c>
      <c r="J847" s="32" t="inlineStr">
        <is>
          <t>Vigilance on a 3/3 body</t>
        </is>
      </c>
      <c r="K847" s="32" t="n"/>
      <c r="L847" s="32" t="inlineStr">
        <is>
          <t>29</t>
        </is>
      </c>
      <c r="M847" s="32" t="n">
        <v>1</v>
      </c>
      <c r="N847" s="32" t="n">
        <v>0</v>
      </c>
      <c r="O847" s="63" t="inlineStr">
        <is>
          <t>Kim Sokol</t>
        </is>
      </c>
      <c r="P847" s="63" t="n">
        <v>0.03</v>
      </c>
      <c r="Q847" s="32" t="inlineStr">
        <is>
          <t>Common</t>
        </is>
      </c>
      <c r="R847" s="32" t="n"/>
      <c r="S847" s="32" t="n"/>
      <c r="T847" s="63" t="n"/>
      <c r="U847" s="63" t="n"/>
      <c r="V847" s="32" t="inlineStr">
        <is>
          <t>Secrets of Strixhaven</t>
        </is>
      </c>
      <c r="W847" s="41" t="n">
        <v>1</v>
      </c>
      <c r="X847" s="37">
        <f>SUM(Y847:AE847)</f>
        <v/>
      </c>
      <c r="Y847" s="43" t="n"/>
      <c r="Z847" s="43" t="n"/>
      <c r="AA847" s="43" t="n"/>
      <c r="AB847" s="43" t="n"/>
      <c r="AC847" s="43" t="n"/>
      <c r="AD847" s="43" t="n"/>
      <c r="AE847" s="43" t="n"/>
      <c r="AF847" s="38">
        <f>IF((W847-SUM(Y847:AE847))&lt;0,0,W847-SUM(Y847:AE847))</f>
        <v/>
      </c>
      <c r="AG847" s="38">
        <f>MAX(0,$AT847-$W847-$AI847)</f>
        <v/>
      </c>
      <c r="AH847" s="32" t="n"/>
      <c r="AI847" s="32" t="n"/>
      <c r="AJ847" s="32" t="n">
        <v>0.03</v>
      </c>
      <c r="AK847" s="54">
        <f>IF(AND($AG847&gt;0,ISNUMBER($AJ847)),$AG847*$AJ847,0)</f>
        <v/>
      </c>
      <c r="AT847" s="37">
        <f>SUM(AU847:BA847)</f>
        <v/>
      </c>
      <c r="AU847" s="73" t="n"/>
      <c r="AV847" s="33" t="n"/>
      <c r="AW847" s="33" t="n"/>
      <c r="AX847" s="33" t="n"/>
      <c r="AY847" s="33" t="n"/>
      <c r="AZ847" s="33" t="n"/>
      <c r="BA847" s="74" t="n"/>
      <c r="BB847" s="32" t="n"/>
      <c r="BC847" s="32" t="n"/>
      <c r="BD847" s="32" t="n"/>
    </row>
    <row r="848" ht="15" customHeight="1" s="148">
      <c r="A848" t="inlineStr">
        <is>
          <t>c0844</t>
        </is>
      </c>
      <c r="B848" s="47" t="inlineStr">
        <is>
          <t>Release to Memory</t>
        </is>
      </c>
      <c r="C848" s="38" t="inlineStr">
        <is>
          <t>W</t>
        </is>
      </c>
      <c r="D848" s="47" t="inlineStr">
        <is>
          <t>Instant</t>
        </is>
      </c>
      <c r="E848" s="41" t="inlineStr">
        <is>
          <t>B3</t>
        </is>
      </c>
      <c r="F848" s="38" t="n">
        <v>4</v>
      </c>
      <c r="G848" s="67" t="inlineStr">
        <is>
          <t>Exile target opponent's graveyard. For each creature card exiled this way, create a 1/1 colorless Spirit creature token.</t>
        </is>
      </c>
      <c r="H848" s="53" t="inlineStr">
        <is>
          <t>Graveyard Hate</t>
        </is>
      </c>
      <c r="I848" s="53" t="inlineStr">
        <is>
          <t>Exile target opponent's graveyard. For each creature card exiled this way, create a 1/1 colorless Spirit creature token.</t>
        </is>
      </c>
      <c r="J848" s="53" t="n"/>
      <c r="K848" s="53" t="n"/>
      <c r="L848" s="41" t="n"/>
      <c r="M848" s="41" t="n"/>
      <c r="N848" s="41" t="n"/>
      <c r="O848" s="41" t="n"/>
      <c r="P848" s="41" t="n"/>
      <c r="Q848" s="41" t="n"/>
      <c r="R848" s="41" t="n"/>
      <c r="S848" s="41" t="n"/>
      <c r="T848" s="41" t="n"/>
      <c r="U848" s="41" t="n"/>
      <c r="V848" s="53" t="inlineStr">
        <is>
          <t>Neon Dynasty Commander</t>
        </is>
      </c>
      <c r="W848" s="41" t="n">
        <v>0</v>
      </c>
      <c r="X848" s="37">
        <f>SUM(Y848:AE848)</f>
        <v/>
      </c>
      <c r="Y848" s="43" t="n"/>
      <c r="Z848" s="43" t="n"/>
      <c r="AA848" s="43" t="n"/>
      <c r="AB848" s="43" t="n"/>
      <c r="AC848" s="43" t="n"/>
      <c r="AD848" s="43" t="n"/>
      <c r="AE848" s="43" t="n"/>
      <c r="AF848" s="38">
        <f>IF((W848-SUM(Y848:AE848))&lt;0,0,W848-SUM(Y848:AE848))</f>
        <v/>
      </c>
      <c r="AG848" s="38">
        <f>MAX(0,$AT848-$W848-$AI848)</f>
        <v/>
      </c>
      <c r="AH848" s="38" t="n"/>
      <c r="AI848" s="38" t="n"/>
      <c r="AJ848" s="54" t="n">
        <v>0.55</v>
      </c>
      <c r="AK848" s="54">
        <f>IF(AND($AG848&gt;0,ISNUMBER($AJ848)),$AG848*$AJ848,0)</f>
        <v/>
      </c>
      <c r="AL848" s="54" t="n"/>
      <c r="AM848" s="54" t="n"/>
      <c r="AN848" s="54" t="n"/>
      <c r="AO848" s="54" t="n"/>
      <c r="AP848" s="54" t="n"/>
      <c r="AQ848" s="54" t="n"/>
      <c r="AR848" s="54" t="n"/>
      <c r="AS848" s="54" t="n"/>
      <c r="AT848" s="37">
        <f>SUM(AU848:BA848)</f>
        <v/>
      </c>
      <c r="AU848" s="92" t="n"/>
      <c r="AV848" s="38" t="n"/>
      <c r="AW848" s="38" t="n"/>
      <c r="AX848" s="38" t="n"/>
      <c r="AY848" s="38" t="n"/>
      <c r="AZ848" s="38" t="n"/>
      <c r="BA848" s="94" t="n"/>
      <c r="BB848" s="47" t="n"/>
      <c r="BC848" s="42" t="n"/>
      <c r="BD848" s="48" t="n"/>
    </row>
    <row r="849" ht="15" customHeight="1" s="148">
      <c r="A849" t="inlineStr">
        <is>
          <t>c0845</t>
        </is>
      </c>
      <c r="B849" s="47" t="inlineStr">
        <is>
          <t>Reluctant Dounguard</t>
        </is>
      </c>
      <c r="C849" s="38" t="inlineStr">
        <is>
          <t>W</t>
        </is>
      </c>
      <c r="D849" s="47" t="inlineStr">
        <is>
          <t>Creature</t>
        </is>
      </c>
      <c r="E849" s="41" t="inlineStr">
        <is>
          <t>B2</t>
        </is>
      </c>
      <c r="F849" s="38" t="n">
        <v>3</v>
      </c>
      <c r="G849" s="67" t="inlineStr">
        <is>
          <t>This creature enters with two -1/-1 counters on it.
Whenever another creature you control enters while this creature has a -1/-1 counter on it, remove a -1/-1 counter from this creature.
(4/4)</t>
        </is>
      </c>
      <c r="H849" s="53" t="inlineStr">
        <is>
          <t>Counters Payoff</t>
        </is>
      </c>
      <c r="I849" s="53" t="inlineStr">
        <is>
          <t>Enters with two -1/-1 counters on itself</t>
        </is>
      </c>
      <c r="J849" s="53" t="inlineStr">
        <is>
          <t>Removes one of its own counters whenever another creature you control enters</t>
        </is>
      </c>
      <c r="K849" s="53" t="n"/>
      <c r="L849" s="42" t="n"/>
      <c r="M849" s="42" t="n"/>
      <c r="N849" s="42" t="n"/>
      <c r="O849" s="63" t="n"/>
      <c r="P849" s="63" t="n">
        <v>0.09</v>
      </c>
      <c r="Q849" s="42" t="n"/>
      <c r="R849" s="42" t="n"/>
      <c r="S849" s="42" t="n"/>
      <c r="T849" s="63" t="n"/>
      <c r="U849" s="63" t="n"/>
      <c r="V849" s="53" t="inlineStr">
        <is>
          <t>Lorwyn Eclipsed</t>
        </is>
      </c>
      <c r="W849" s="41" t="n">
        <v>1</v>
      </c>
      <c r="X849" s="37">
        <f>SUM(Y849:AE849)</f>
        <v/>
      </c>
      <c r="Y849" s="43" t="n"/>
      <c r="Z849" s="43" t="n"/>
      <c r="AA849" s="43" t="n"/>
      <c r="AB849" s="43" t="n"/>
      <c r="AC849" s="43" t="n"/>
      <c r="AD849" s="43" t="n"/>
      <c r="AE849" s="43" t="n"/>
      <c r="AF849" s="38">
        <f>IF((W849-SUM(Y849:AE849))&lt;0,0,W849-SUM(Y849:AE849))</f>
        <v/>
      </c>
      <c r="AG849" s="38">
        <f>MAX(0,$AT849-$W849-$AI849)</f>
        <v/>
      </c>
      <c r="AH849" s="38" t="n"/>
      <c r="AI849" s="38" t="n"/>
      <c r="AJ849" s="54" t="n">
        <v>0.08</v>
      </c>
      <c r="AK849" s="54">
        <f>IF(AND($AG849&gt;0,ISNUMBER($AJ849)),$AG849*$AJ849,0)</f>
        <v/>
      </c>
      <c r="AT849" s="37">
        <f>SUM(AU849:BA849)</f>
        <v/>
      </c>
      <c r="AU849" s="73" t="n"/>
      <c r="AV849" s="33" t="n"/>
      <c r="AW849" s="33" t="n"/>
      <c r="AX849" s="33" t="n"/>
      <c r="AY849" s="33" t="n"/>
      <c r="AZ849" s="33" t="n"/>
      <c r="BA849" s="74" t="n"/>
      <c r="BB849" s="47" t="n"/>
      <c r="BC849" s="42" t="n"/>
      <c r="BD849" s="42" t="n"/>
    </row>
    <row r="850" ht="15" customHeight="1" s="148">
      <c r="A850" t="inlineStr">
        <is>
          <t>c0846</t>
        </is>
      </c>
      <c r="B850" s="47" t="inlineStr">
        <is>
          <t>Remorseful Cleric</t>
        </is>
      </c>
      <c r="C850" s="38" t="inlineStr">
        <is>
          <t>W</t>
        </is>
      </c>
      <c r="D850" s="47" t="inlineStr">
        <is>
          <t>Creature</t>
        </is>
      </c>
      <c r="E850" s="41" t="inlineStr">
        <is>
          <t>B2</t>
        </is>
      </c>
      <c r="F850" s="38" t="n">
        <v>2</v>
      </c>
      <c r="G850" s="67" t="inlineStr">
        <is>
          <t>Flying
Sacrifice this creature: Exile target player's graveyard.
(2/1)</t>
        </is>
      </c>
      <c r="H850" s="53" t="inlineStr">
        <is>
          <t>Graveyard Hate</t>
        </is>
      </c>
      <c r="I850" s="53" t="inlineStr">
        <is>
          <t>Flying body</t>
        </is>
      </c>
      <c r="J850" s="53" t="inlineStr">
        <is>
          <t>Sacrifice: exile target player's entire graveyard</t>
        </is>
      </c>
      <c r="K850" s="53" t="n"/>
      <c r="L850" s="41" t="n"/>
      <c r="M850" s="41" t="n"/>
      <c r="N850" s="41" t="n"/>
      <c r="O850" s="63" t="n"/>
      <c r="P850" s="63" t="n">
        <v>0.28</v>
      </c>
      <c r="Q850" s="41" t="n"/>
      <c r="R850" s="41" t="n"/>
      <c r="S850" s="41" t="n"/>
      <c r="T850" s="63" t="n"/>
      <c r="U850" s="63" t="n"/>
      <c r="V850" s="53" t="inlineStr">
        <is>
          <t>Core Set 2019</t>
        </is>
      </c>
      <c r="W850" s="41" t="n">
        <v>1</v>
      </c>
      <c r="X850" s="37">
        <f>SUM(Y850:AE850)</f>
        <v/>
      </c>
      <c r="Y850" s="43" t="n">
        <v>1</v>
      </c>
      <c r="Z850" s="43" t="n"/>
      <c r="AA850" s="43" t="n"/>
      <c r="AB850" s="43" t="n"/>
      <c r="AC850" s="43" t="n"/>
      <c r="AD850" s="43" t="n"/>
      <c r="AE850" s="43" t="n"/>
      <c r="AF850" s="38">
        <f>IF((W850-SUM(Y850:AE850))&lt;0,0,W850-SUM(Y850:AE850))</f>
        <v/>
      </c>
      <c r="AG850" s="38">
        <f>MAX(0,$AT850-$W850-$AI850)</f>
        <v/>
      </c>
      <c r="AH850" s="38" t="n"/>
      <c r="AI850" s="38" t="n"/>
      <c r="AJ850" s="54" t="n">
        <v>0.29</v>
      </c>
      <c r="AK850" s="54">
        <f>IF(AND($AG850&gt;0,ISNUMBER($AJ850)),$AG850*$AJ850,0)</f>
        <v/>
      </c>
      <c r="AT850" s="37">
        <f>SUM(AU850:BA850)</f>
        <v/>
      </c>
      <c r="AU850" s="82" t="n">
        <v>1</v>
      </c>
      <c r="AV850" s="33" t="n"/>
      <c r="AW850" s="33" t="n"/>
      <c r="AX850" s="33" t="n"/>
      <c r="AY850" s="33" t="n"/>
      <c r="AZ850" s="33" t="n"/>
      <c r="BA850" s="74" t="n"/>
      <c r="BB850" s="47" t="n"/>
      <c r="BC850" s="42" t="n"/>
      <c r="BD850" s="42" t="n"/>
    </row>
    <row r="851" ht="15" customHeight="1" s="148">
      <c r="A851" t="inlineStr">
        <is>
          <t>c0847</t>
        </is>
      </c>
      <c r="B851" s="47" t="inlineStr">
        <is>
          <t>Repel Calamity</t>
        </is>
      </c>
      <c r="C851" s="38" t="inlineStr">
        <is>
          <t>W</t>
        </is>
      </c>
      <c r="D851" s="47" t="inlineStr">
        <is>
          <t>Instant</t>
        </is>
      </c>
      <c r="E851" s="41" t="inlineStr">
        <is>
          <t>B2</t>
        </is>
      </c>
      <c r="F851" s="38" t="n">
        <v>2</v>
      </c>
      <c r="G851" s="67" t="inlineStr">
        <is>
          <t>Destroy target creature with power or toughness 4 or greater.</t>
        </is>
      </c>
      <c r="H851" s="53" t="inlineStr">
        <is>
          <t>Removal</t>
        </is>
      </c>
      <c r="I851" s="53" t="inlineStr">
        <is>
          <t>Destroys target creature with power or toughness 4 or greater</t>
        </is>
      </c>
      <c r="J851" s="53" t="n"/>
      <c r="K851" s="53" t="n"/>
      <c r="L851" s="42" t="n"/>
      <c r="M851" s="42" t="n"/>
      <c r="N851" s="42" t="n"/>
      <c r="O851" s="42" t="n"/>
      <c r="P851" s="42" t="n">
        <v>0.18</v>
      </c>
      <c r="Q851" s="42" t="n"/>
      <c r="R851" s="42" t="n"/>
      <c r="S851" s="42" t="n"/>
      <c r="T851" s="42" t="n"/>
      <c r="U851" s="42" t="n"/>
      <c r="V851" s="53" t="inlineStr">
        <is>
          <t>Bloomburrow</t>
        </is>
      </c>
      <c r="W851" s="41" t="n">
        <v>1</v>
      </c>
      <c r="X851" s="37">
        <f>SUM(Y851:AE851)</f>
        <v/>
      </c>
      <c r="Y851" s="43" t="n"/>
      <c r="Z851" s="43" t="n"/>
      <c r="AA851" s="43" t="n">
        <v>1</v>
      </c>
      <c r="AB851" s="43" t="n"/>
      <c r="AC851" s="43" t="n"/>
      <c r="AD851" s="43" t="n"/>
      <c r="AE851" s="43" t="n"/>
      <c r="AF851" s="38">
        <f>IF((W851-SUM(Y851:AE851))&lt;0,0,W851-SUM(Y851:AE851))</f>
        <v/>
      </c>
      <c r="AG851" s="38">
        <f>MAX(0,$AT851-$W851-$AI851)</f>
        <v/>
      </c>
      <c r="AH851" s="38" t="n"/>
      <c r="AI851" s="38" t="n"/>
      <c r="AJ851" s="54" t="n">
        <v>0.15</v>
      </c>
      <c r="AK851" s="54">
        <f>IF(AND($AG851&gt;0,ISNUMBER($AJ851)),$AG851*$AJ851,0)</f>
        <v/>
      </c>
      <c r="AT851" s="37">
        <f>SUM(AU851:BA851)</f>
        <v/>
      </c>
      <c r="AU851" s="73" t="n"/>
      <c r="AV851" s="33" t="n"/>
      <c r="AW851" s="98" t="n">
        <v>1</v>
      </c>
      <c r="AX851" s="33" t="n"/>
      <c r="AY851" s="33" t="n"/>
      <c r="AZ851" s="33" t="n"/>
      <c r="BA851" s="74" t="n"/>
      <c r="BB851" s="47" t="n"/>
      <c r="BC851" s="42" t="n"/>
      <c r="BD851" s="42" t="n"/>
    </row>
    <row r="852" ht="15" customHeight="1" s="148">
      <c r="A852" t="inlineStr">
        <is>
          <t>c0848</t>
        </is>
      </c>
      <c r="B852" s="47" t="inlineStr">
        <is>
          <t>Requiem Angel</t>
        </is>
      </c>
      <c r="C852" s="38" t="inlineStr">
        <is>
          <t>W</t>
        </is>
      </c>
      <c r="D852" s="47" t="inlineStr">
        <is>
          <t>Creature</t>
        </is>
      </c>
      <c r="E852" s="41" t="inlineStr">
        <is>
          <t>B3</t>
        </is>
      </c>
      <c r="F852" s="38" t="n">
        <v>6</v>
      </c>
      <c r="G852" s="67" t="inlineStr">
        <is>
          <t>Flying
Whenever another non-Spirit creature you control dies, create a 1/1 white Spirit creature token with flying.
(5/5)</t>
        </is>
      </c>
      <c r="H852" s="53" t="inlineStr">
        <is>
          <t>Token Producer</t>
        </is>
      </c>
      <c r="I852" s="53" t="inlineStr">
        <is>
          <t>Whenever another non-Spirit creature you control dies, create a 1/1 flying Spirit</t>
        </is>
      </c>
      <c r="J852" s="53" t="inlineStr">
        <is>
          <t>5/4 flying body</t>
        </is>
      </c>
      <c r="K852" s="53" t="n"/>
      <c r="L852" s="42" t="n"/>
      <c r="M852" s="42" t="n"/>
      <c r="N852" s="42" t="n"/>
      <c r="O852" s="42" t="n"/>
      <c r="P852" s="42" t="n">
        <v>0.83</v>
      </c>
      <c r="Q852" s="42" t="n"/>
      <c r="R852" s="42" t="n"/>
      <c r="S852" s="42" t="n"/>
      <c r="T852" s="42" t="n"/>
      <c r="U852" s="42" t="n"/>
      <c r="V852" s="53" t="inlineStr">
        <is>
          <t>Dark Ascension</t>
        </is>
      </c>
      <c r="W852" s="41" t="n">
        <v>1</v>
      </c>
      <c r="X852" s="37">
        <f>SUM(Y852:AE852)</f>
        <v/>
      </c>
      <c r="Y852" s="43" t="n"/>
      <c r="Z852" s="43" t="n"/>
      <c r="AA852" s="43" t="n"/>
      <c r="AB852" s="43" t="n"/>
      <c r="AC852" s="43" t="n">
        <v>1</v>
      </c>
      <c r="AD852" s="43" t="n"/>
      <c r="AE852" s="43" t="n"/>
      <c r="AF852" s="38">
        <f>IF((W852-SUM(Y852:AE852))&lt;0,0,W852-SUM(Y852:AE852))</f>
        <v/>
      </c>
      <c r="AG852" s="38">
        <f>MAX(0,$AT852-$W852-$AI852)</f>
        <v/>
      </c>
      <c r="AH852" s="38" t="n"/>
      <c r="AI852" s="38" t="n"/>
      <c r="AJ852" s="54" t="n">
        <v>0.84</v>
      </c>
      <c r="AK852" s="54">
        <f>IF(AND($AG852&gt;0,ISNUMBER($AJ852)),$AG852*$AJ852,0)</f>
        <v/>
      </c>
      <c r="AT852" s="37">
        <f>SUM(AU852:BA852)</f>
        <v/>
      </c>
      <c r="AU852" s="73" t="n"/>
      <c r="AV852" s="33" t="n"/>
      <c r="AW852" s="33" t="n"/>
      <c r="AX852" s="33" t="n"/>
      <c r="AY852" s="98" t="n">
        <v>1</v>
      </c>
      <c r="AZ852" s="33" t="n"/>
      <c r="BA852" s="74" t="n"/>
      <c r="BB852" s="47" t="n"/>
      <c r="BC852" s="42" t="n"/>
      <c r="BD852" s="42" t="n"/>
    </row>
    <row r="853" ht="15" customHeight="1" s="148">
      <c r="A853" t="inlineStr">
        <is>
          <t>c0849</t>
        </is>
      </c>
      <c r="B853" s="47" t="inlineStr">
        <is>
          <t>Restoration Angel</t>
        </is>
      </c>
      <c r="C853" s="38" t="inlineStr">
        <is>
          <t>W</t>
        </is>
      </c>
      <c r="D853" s="47" t="inlineStr">
        <is>
          <t>Creature</t>
        </is>
      </c>
      <c r="E853" s="41" t="inlineStr">
        <is>
          <t>B2</t>
        </is>
      </c>
      <c r="F853" s="38" t="n">
        <v>4</v>
      </c>
      <c r="G853" s="67" t="inlineStr">
        <is>
          <t>Flash
Flying
When this creature enters, you may exile target non-Angel creature you control, then return that card to the battlefield under your control.
(3/4)</t>
        </is>
      </c>
      <c r="H853" s="53" t="inlineStr">
        <is>
          <t>Blink</t>
        </is>
      </c>
      <c r="I853" s="53" t="inlineStr">
        <is>
          <t>Flash</t>
        </is>
      </c>
      <c r="J853" s="53" t="inlineStr">
        <is>
          <t>Flying</t>
        </is>
      </c>
      <c r="K853" s="53" t="inlineStr">
        <is>
          <t>When this creature enters, you may exile target non-Angel creature you control, then return that card to the battlefield</t>
        </is>
      </c>
      <c r="L853" s="42" t="n"/>
      <c r="M853" s="42" t="n"/>
      <c r="N853" s="42" t="n"/>
      <c r="O853" s="42" t="n"/>
      <c r="P853" s="42" t="n">
        <v>0.38</v>
      </c>
      <c r="Q853" s="42" t="n"/>
      <c r="R853" s="42" t="n"/>
      <c r="S853" s="42" t="n"/>
      <c r="T853" s="42" t="n"/>
      <c r="U853" s="42" t="n"/>
      <c r="V853" s="53" t="inlineStr">
        <is>
          <t>Avacyn Restored</t>
        </is>
      </c>
      <c r="W853" s="41" t="n">
        <v>0</v>
      </c>
      <c r="X853" s="37">
        <f>SUM(Y853:AE853)</f>
        <v/>
      </c>
      <c r="Y853" s="43" t="n"/>
      <c r="Z853" s="43" t="n"/>
      <c r="AA853" s="43" t="n"/>
      <c r="AB853" s="43" t="n"/>
      <c r="AC853" s="43" t="n"/>
      <c r="AD853" s="43" t="n"/>
      <c r="AE853" s="43" t="n"/>
      <c r="AF853" s="38">
        <f>IF((W853-SUM(Y853:AE853))&lt;0,0,W853-SUM(Y853:AE853))</f>
        <v/>
      </c>
      <c r="AG853" s="38">
        <f>MAX(0,$AT853-$W853-$AI853)</f>
        <v/>
      </c>
      <c r="AH853" s="38" t="n"/>
      <c r="AI853" s="38" t="n"/>
      <c r="AJ853" s="54" t="n">
        <v>0.33</v>
      </c>
      <c r="AK853" s="54">
        <f>IF(AND($AG853&gt;0,ISNUMBER($AJ853)),$AG853*$AJ853,0)</f>
        <v/>
      </c>
      <c r="AL853" s="54" t="n"/>
      <c r="AM853" s="54" t="n"/>
      <c r="AN853" s="54" t="n"/>
      <c r="AO853" s="54" t="n"/>
      <c r="AP853" s="54" t="n"/>
      <c r="AQ853" s="54" t="n"/>
      <c r="AR853" s="54" t="n"/>
      <c r="AS853" s="54" t="n"/>
      <c r="AT853" s="37">
        <f>SUM(AU853:BA853)</f>
        <v/>
      </c>
      <c r="AU853" s="92" t="n"/>
      <c r="AV853" s="38" t="n"/>
      <c r="AW853" s="38" t="n"/>
      <c r="AX853" s="38" t="n"/>
      <c r="AY853" s="38" t="n"/>
      <c r="AZ853" s="38" t="n"/>
      <c r="BA853" s="94" t="n"/>
      <c r="BB853" s="47" t="n"/>
      <c r="BC853" s="42" t="n"/>
      <c r="BD853" s="48" t="n"/>
    </row>
    <row r="854" ht="15" customHeight="1" s="148">
      <c r="A854" t="inlineStr">
        <is>
          <t>c0850</t>
        </is>
      </c>
      <c r="B854" s="47" t="inlineStr">
        <is>
          <t>Return to Dust</t>
        </is>
      </c>
      <c r="C854" s="38" t="inlineStr">
        <is>
          <t>W</t>
        </is>
      </c>
      <c r="D854" s="47" t="inlineStr">
        <is>
          <t>Instant</t>
        </is>
      </c>
      <c r="E854" s="41" t="inlineStr">
        <is>
          <t>B2</t>
        </is>
      </c>
      <c r="F854" s="38" t="n">
        <v>4</v>
      </c>
      <c r="G854" s="67" t="inlineStr">
        <is>
          <t>Exile target artifact or enchantment. If you cast this spell during your main phase, you may exile up to one other target artifact or enchantment.</t>
        </is>
      </c>
      <c r="H854" s="53" t="inlineStr">
        <is>
          <t>Artifact/Enchantment Removal</t>
        </is>
      </c>
      <c r="I854" s="53" t="inlineStr">
        <is>
          <t>Exiles target artifact or enchantment</t>
        </is>
      </c>
      <c r="J854" s="53" t="inlineStr">
        <is>
          <t>During your main phase, may exile a second artifact or enchantment</t>
        </is>
      </c>
      <c r="K854" s="53" t="n"/>
      <c r="L854" s="41" t="n"/>
      <c r="M854" s="41" t="n"/>
      <c r="N854" s="41" t="n"/>
      <c r="O854" s="41" t="n"/>
      <c r="P854" s="41" t="n">
        <v>0.33</v>
      </c>
      <c r="Q854" s="41" t="n"/>
      <c r="R854" s="41" t="n"/>
      <c r="S854" s="41" t="n"/>
      <c r="T854" s="41" t="n"/>
      <c r="U854" s="41" t="n"/>
      <c r="V854" s="53" t="inlineStr">
        <is>
          <t>Time Spiral</t>
        </is>
      </c>
      <c r="W854" s="41" t="n">
        <v>1</v>
      </c>
      <c r="X854" s="37">
        <f>SUM(Y854:AE854)</f>
        <v/>
      </c>
      <c r="Y854" s="43" t="n">
        <v>1</v>
      </c>
      <c r="Z854" s="43" t="n"/>
      <c r="AA854" s="43" t="n"/>
      <c r="AB854" s="43" t="n"/>
      <c r="AC854" s="43" t="n"/>
      <c r="AD854" s="43" t="n"/>
      <c r="AE854" s="43" t="n"/>
      <c r="AF854" s="38">
        <f>IF((W854-SUM(Y854:AE854))&lt;0,0,W854-SUM(Y854:AE854))</f>
        <v/>
      </c>
      <c r="AG854" s="38">
        <f>MAX(0,$AT854-$W854-$AI854)</f>
        <v/>
      </c>
      <c r="AH854" s="38" t="n"/>
      <c r="AI854" s="38" t="n"/>
      <c r="AJ854" s="54" t="n">
        <v>0.3</v>
      </c>
      <c r="AK854" s="54">
        <f>IF(AND($AG854&gt;0,ISNUMBER($AJ854)),$AG854*$AJ854,0)</f>
        <v/>
      </c>
      <c r="AT854" s="37">
        <f>SUM(AU854:BA854)</f>
        <v/>
      </c>
      <c r="AU854" s="82" t="n">
        <v>1</v>
      </c>
      <c r="AV854" s="33" t="n"/>
      <c r="AW854" s="33" t="n"/>
      <c r="AX854" s="33" t="n"/>
      <c r="AY854" s="33" t="n"/>
      <c r="AZ854" s="33" t="n"/>
      <c r="BA854" s="74" t="n"/>
      <c r="BB854" s="47" t="n"/>
      <c r="BC854" s="42" t="n"/>
      <c r="BD854" s="42" t="n"/>
    </row>
    <row r="855" ht="15" customHeight="1" s="148">
      <c r="A855" t="inlineStr">
        <is>
          <t>c0851</t>
        </is>
      </c>
      <c r="B855" s="47" t="inlineStr">
        <is>
          <t>Rhox Faithmender</t>
        </is>
      </c>
      <c r="C855" s="38" t="inlineStr">
        <is>
          <t>W</t>
        </is>
      </c>
      <c r="D855" s="47" t="inlineStr">
        <is>
          <t>Creature</t>
        </is>
      </c>
      <c r="E855" s="41" t="inlineStr">
        <is>
          <t>B2</t>
        </is>
      </c>
      <c r="F855" s="38" t="n">
        <v>4</v>
      </c>
      <c r="G855" s="67" t="inlineStr">
        <is>
          <t>Lifelink (Damage dealt by this creature also causes you to gain that much life.)
If you would gain life, you gain twice that much life instead.
(1/5)</t>
        </is>
      </c>
      <c r="H855" s="53" t="inlineStr">
        <is>
          <t>Lifegain</t>
        </is>
      </c>
      <c r="I855" s="53" t="inlineStr">
        <is>
          <t>Doubles all life you gain</t>
        </is>
      </c>
      <c r="J855" s="53" t="inlineStr">
        <is>
          <t>Lifelink body</t>
        </is>
      </c>
      <c r="K855" s="53" t="n"/>
      <c r="L855" s="42" t="n"/>
      <c r="M855" s="42" t="n"/>
      <c r="N855" s="42" t="n"/>
      <c r="O855" s="63" t="n"/>
      <c r="P855" s="63" t="n">
        <v>2.14</v>
      </c>
      <c r="Q855" s="42" t="n"/>
      <c r="R855" s="42" t="n"/>
      <c r="S855" s="42" t="n"/>
      <c r="T855" s="63" t="n"/>
      <c r="U855" s="63" t="n"/>
      <c r="V855" s="53" t="inlineStr">
        <is>
          <t>Magic 2013</t>
        </is>
      </c>
      <c r="W855" s="41" t="n">
        <v>1</v>
      </c>
      <c r="X855" s="37">
        <f>SUM(Y855:AE855)</f>
        <v/>
      </c>
      <c r="Y855" s="43" t="n"/>
      <c r="Z855" s="43" t="n"/>
      <c r="AA855" s="43" t="n"/>
      <c r="AB855" s="43" t="n"/>
      <c r="AC855" s="43" t="n"/>
      <c r="AD855" s="43" t="n"/>
      <c r="AE855" s="43" t="n"/>
      <c r="AF855" s="38">
        <f>IF((W855-SUM(Y855:AE855))&lt;0,0,W855-SUM(Y855:AE855))</f>
        <v/>
      </c>
      <c r="AG855" s="38">
        <f>MAX(0,$AT855-$W855-$AI855)</f>
        <v/>
      </c>
      <c r="AH855" s="38" t="n"/>
      <c r="AI855" s="38" t="n"/>
      <c r="AJ855" s="54" t="n">
        <v>2.09</v>
      </c>
      <c r="AK855" s="54">
        <f>IF(AND($AG855&gt;0,ISNUMBER($AJ855)),$AG855*$AJ855,0)</f>
        <v/>
      </c>
      <c r="AT855" s="37">
        <f>SUM(AU855:BA855)</f>
        <v/>
      </c>
      <c r="AU855" s="73" t="n"/>
      <c r="AV855" s="33" t="n"/>
      <c r="AW855" s="33" t="n"/>
      <c r="AX855" s="33" t="n"/>
      <c r="AY855" s="33" t="n"/>
      <c r="AZ855" s="33" t="n"/>
      <c r="BA855" s="74" t="n"/>
      <c r="BB855" s="47" t="n"/>
      <c r="BC855" s="42" t="n"/>
      <c r="BD855" s="42" t="n"/>
    </row>
    <row r="856" ht="15" customHeight="1" s="148">
      <c r="A856" t="inlineStr">
        <is>
          <t>c0852</t>
        </is>
      </c>
      <c r="B856" s="47" t="inlineStr">
        <is>
          <t>Riverguard's Reflexes</t>
        </is>
      </c>
      <c r="C856" s="38" t="inlineStr">
        <is>
          <t>W</t>
        </is>
      </c>
      <c r="D856" s="47" t="inlineStr">
        <is>
          <t>Instant</t>
        </is>
      </c>
      <c r="E856" s="41" t="inlineStr">
        <is>
          <t>B2</t>
        </is>
      </c>
      <c r="F856" s="38" t="n">
        <v>2</v>
      </c>
      <c r="G856" s="67" t="inlineStr">
        <is>
          <t>Target creature gets +2/+2 and gains first strike until end of turn. Untap it.</t>
        </is>
      </c>
      <c r="H856" s="53" t="inlineStr">
        <is>
          <t>Combat Trick</t>
        </is>
      </c>
      <c r="I856" s="53" t="inlineStr">
        <is>
          <t>Target creature gets +2/+2 until end of turn and untaps</t>
        </is>
      </c>
      <c r="J856" s="53" t="inlineStr">
        <is>
          <t>Deals its combat damage before creatures without this ability</t>
        </is>
      </c>
      <c r="K856" s="53" t="n"/>
      <c r="L856" s="42" t="n"/>
      <c r="M856" s="42" t="n"/>
      <c r="N856" s="42" t="n"/>
      <c r="O856" s="63" t="n"/>
      <c r="P856" s="63" t="n">
        <v>0.21</v>
      </c>
      <c r="Q856" s="42" t="n"/>
      <c r="R856" s="42" t="n"/>
      <c r="S856" s="42" t="n"/>
      <c r="T856" s="63" t="n"/>
      <c r="U856" s="63" t="n"/>
      <c r="V856" s="53" t="inlineStr">
        <is>
          <t>Lorwyn Eclipsed</t>
        </is>
      </c>
      <c r="W856" s="41" t="n">
        <v>2</v>
      </c>
      <c r="X856" s="37">
        <f>SUM(Y856:AE856)</f>
        <v/>
      </c>
      <c r="Y856" s="43" t="n"/>
      <c r="Z856" s="43" t="n"/>
      <c r="AA856" s="43" t="n"/>
      <c r="AB856" s="43" t="n"/>
      <c r="AC856" s="43" t="n"/>
      <c r="AD856" s="43" t="n"/>
      <c r="AE856" s="43" t="n"/>
      <c r="AF856" s="38">
        <f>IF((W856-SUM(Y856:AE856))&lt;0,0,W856-SUM(Y856:AE856))</f>
        <v/>
      </c>
      <c r="AG856" s="38">
        <f>MAX(0,$AT856-$W856-$AI856)</f>
        <v/>
      </c>
      <c r="AH856" s="38" t="n"/>
      <c r="AI856" s="38" t="n"/>
      <c r="AJ856" s="54" t="n">
        <v>0.22</v>
      </c>
      <c r="AK856" s="54">
        <f>IF(AND($AG856&gt;0,ISNUMBER($AJ856)),$AG856*$AJ856,0)</f>
        <v/>
      </c>
      <c r="AT856" s="37">
        <f>SUM(AU856:BA856)</f>
        <v/>
      </c>
      <c r="AU856" s="73" t="n"/>
      <c r="AV856" s="33" t="n"/>
      <c r="AW856" s="33" t="n"/>
      <c r="AX856" s="33" t="n"/>
      <c r="AY856" s="33" t="n"/>
      <c r="AZ856" s="33" t="n"/>
      <c r="BA856" s="74" t="n"/>
      <c r="BB856" s="47" t="n"/>
      <c r="BC856" s="42" t="n"/>
      <c r="BD856" s="42" t="n"/>
    </row>
    <row r="857" ht="15" customHeight="1" s="148">
      <c r="A857" t="inlineStr">
        <is>
          <t>c0853</t>
        </is>
      </c>
      <c r="B857" s="47" t="inlineStr">
        <is>
          <t>Rolling Stones</t>
        </is>
      </c>
      <c r="C857" s="38" t="inlineStr">
        <is>
          <t>W</t>
        </is>
      </c>
      <c r="D857" s="47" t="inlineStr">
        <is>
          <t>Enchantment</t>
        </is>
      </c>
      <c r="E857" s="41" t="inlineStr">
        <is>
          <t>B3</t>
        </is>
      </c>
      <c r="F857" s="38" t="n">
        <v>2</v>
      </c>
      <c r="G857" s="67" t="inlineStr">
        <is>
          <t>Wall creatures can attack as though they didn't have defender.</t>
        </is>
      </c>
      <c r="H857" s="53" t="inlineStr">
        <is>
          <t>Toughness Payoff</t>
        </is>
      </c>
      <c r="I857" s="53" t="inlineStr">
        <is>
          <t>Wall creatures can attack as though they didn't have defender.</t>
        </is>
      </c>
      <c r="J857" s="53" t="n"/>
      <c r="K857" s="53" t="n"/>
      <c r="L857" s="41" t="n"/>
      <c r="M857" s="41" t="n"/>
      <c r="N857" s="41" t="n"/>
      <c r="O857" s="41" t="n"/>
      <c r="P857" s="41" t="n">
        <v>1.83</v>
      </c>
      <c r="Q857" s="41" t="n"/>
      <c r="R857" s="41" t="n"/>
      <c r="S857" s="41" t="n"/>
      <c r="T857" s="41" t="n"/>
      <c r="U857" s="41" t="n"/>
      <c r="V857" s="53" t="inlineStr">
        <is>
          <t>Stronghold</t>
        </is>
      </c>
      <c r="W857" s="41" t="n">
        <v>0</v>
      </c>
      <c r="X857" s="37">
        <f>SUM(Y857:AE857)</f>
        <v/>
      </c>
      <c r="Y857" s="43" t="n"/>
      <c r="Z857" s="43" t="n"/>
      <c r="AA857" s="43" t="n"/>
      <c r="AB857" s="43" t="n"/>
      <c r="AC857" s="43" t="n"/>
      <c r="AD857" s="43" t="n"/>
      <c r="AE857" s="43" t="n"/>
      <c r="AF857" s="38">
        <f>IF((W857-SUM(Y857:AE857))&lt;0,0,W857-SUM(Y857:AE857))</f>
        <v/>
      </c>
      <c r="AG857" s="38">
        <f>MAX(0,$AT857-$W857-$AI857)</f>
        <v/>
      </c>
      <c r="AH857" s="38" t="n"/>
      <c r="AI857" s="38" t="n"/>
      <c r="AJ857" s="54" t="n">
        <v>1.05</v>
      </c>
      <c r="AK857" s="54">
        <f>IF(AND($AG857&gt;0,ISNUMBER($AJ857)),$AG857*$AJ857,0)</f>
        <v/>
      </c>
      <c r="AL857" s="54" t="n"/>
      <c r="AM857" s="54" t="n"/>
      <c r="AN857" s="54" t="n"/>
      <c r="AO857" s="54" t="n"/>
      <c r="AP857" s="54" t="n"/>
      <c r="AQ857" s="54" t="n"/>
      <c r="AR857" s="54" t="n"/>
      <c r="AS857" s="54" t="n"/>
      <c r="AT857" s="37">
        <f>SUM(AU857:BA857)</f>
        <v/>
      </c>
      <c r="AU857" s="92" t="n"/>
      <c r="AV857" s="38" t="n"/>
      <c r="AW857" s="38" t="n"/>
      <c r="AX857" s="38" t="n"/>
      <c r="AY857" s="38" t="n"/>
      <c r="AZ857" s="38" t="n"/>
      <c r="BA857" s="94" t="n"/>
      <c r="BB857" s="47" t="n"/>
      <c r="BC857" s="42" t="n"/>
      <c r="BD857" s="42" t="n"/>
    </row>
    <row r="858" ht="15" customHeight="1" s="148">
      <c r="A858" t="inlineStr">
        <is>
          <t>c0854</t>
        </is>
      </c>
      <c r="B858" s="47" t="inlineStr">
        <is>
          <t>Rootborn Defenses</t>
        </is>
      </c>
      <c r="C858" s="38" t="inlineStr">
        <is>
          <t>W</t>
        </is>
      </c>
      <c r="D858" s="47" t="inlineStr">
        <is>
          <t>Instant</t>
        </is>
      </c>
      <c r="E858" s="41" t="inlineStr">
        <is>
          <t>B2</t>
        </is>
      </c>
      <c r="F858" s="38" t="n">
        <v>3</v>
      </c>
      <c r="G858" s="67" t="inlineStr">
        <is>
          <t>Populate. Creatures you control gain indestructible until end of turn. (To populate, create a token that's a copy of a creature token you control.)</t>
        </is>
      </c>
      <c r="H858" s="53" t="inlineStr">
        <is>
          <t>Protection</t>
        </is>
      </c>
      <c r="I858" s="53" t="inlineStr">
        <is>
          <t>Creatures you control gain indestructible until end of turn</t>
        </is>
      </c>
      <c r="J858" s="53" t="inlineStr">
        <is>
          <t>Populate: creates a copy of a creature token you control</t>
        </is>
      </c>
      <c r="K858" s="53" t="n"/>
      <c r="L858" s="42" t="n"/>
      <c r="M858" s="42" t="n"/>
      <c r="N858" s="42" t="n"/>
      <c r="O858" s="42" t="n"/>
      <c r="P858" s="42" t="n">
        <v>0.18</v>
      </c>
      <c r="Q858" s="42" t="n"/>
      <c r="R858" s="42" t="n"/>
      <c r="S858" s="42" t="n"/>
      <c r="T858" s="42" t="n"/>
      <c r="U858" s="42" t="n"/>
      <c r="V858" s="53" t="inlineStr">
        <is>
          <t>Return to Ravnica</t>
        </is>
      </c>
      <c r="W858" s="41" t="n">
        <v>2</v>
      </c>
      <c r="X858" s="37">
        <f>SUM(Y858:AE858)</f>
        <v/>
      </c>
      <c r="Y858" s="43" t="n"/>
      <c r="Z858" s="43" t="n"/>
      <c r="AA858" s="43" t="n"/>
      <c r="AB858" s="43" t="n"/>
      <c r="AC858" s="43" t="n">
        <v>1</v>
      </c>
      <c r="AD858" s="43" t="n"/>
      <c r="AE858" s="43" t="n"/>
      <c r="AF858" s="38">
        <f>IF((W858-SUM(Y858:AE858))&lt;0,0,W858-SUM(Y858:AE858))</f>
        <v/>
      </c>
      <c r="AG858" s="38">
        <f>MAX(0,$AT858-$W858-$AI858)</f>
        <v/>
      </c>
      <c r="AH858" s="38" t="n"/>
      <c r="AI858" s="38" t="n"/>
      <c r="AJ858" s="54" t="n">
        <v>0.18</v>
      </c>
      <c r="AK858" s="54">
        <f>IF(AND($AG858&gt;0,ISNUMBER($AJ858)),$AG858*$AJ858,0)</f>
        <v/>
      </c>
      <c r="AP858" t="inlineStr">
        <is>
          <t>BL0079</t>
        </is>
      </c>
      <c r="AT858" s="37">
        <f>SUM(AU858:BA858)</f>
        <v/>
      </c>
      <c r="AU858" s="73" t="n"/>
      <c r="AV858" s="33" t="n"/>
      <c r="AW858" s="33" t="n"/>
      <c r="AX858" s="33" t="n"/>
      <c r="AY858" s="100" t="n"/>
      <c r="AZ858" s="33" t="n"/>
      <c r="BA858" s="74" t="n"/>
      <c r="BB858" s="47" t="n"/>
      <c r="BC858" s="42" t="n"/>
      <c r="BD858" s="42" t="n"/>
    </row>
    <row r="859" ht="15" customHeight="1" s="148">
      <c r="A859" t="inlineStr">
        <is>
          <t>c0855</t>
        </is>
      </c>
      <c r="B859" s="47" t="inlineStr">
        <is>
          <t>Salvation Colossus</t>
        </is>
      </c>
      <c r="C859" s="38" t="inlineStr">
        <is>
          <t>W</t>
        </is>
      </c>
      <c r="D859" s="47" t="inlineStr">
        <is>
          <t>Artifact Creature</t>
        </is>
      </c>
      <c r="E859" s="41" t="inlineStr">
        <is>
          <t>B2</t>
        </is>
      </c>
      <c r="F859" s="38" t="n">
        <v>8</v>
      </c>
      <c r="G859" s="67" t="inlineStr">
        <is>
          <t>Flying, vigilance, trample
Whenever you attack, other creatures you control get +2/+2 and gain indestructible until end of turn.
Unearth—Pay eight {E}. (Pay eight energy counters: Return this card from your graveyard to the battlefield. It gains haste. Exile it at the beginning of the next end step or if it would leave the battlefield. Unearth only as a sorcery.)
(9/9)</t>
        </is>
      </c>
      <c r="H859" s="53" t="inlineStr">
        <is>
          <t>Finisher</t>
        </is>
      </c>
      <c r="I859" s="53" t="inlineStr">
        <is>
          <t>Other creatures you control get +2/+2 and become indestructible when you attack</t>
        </is>
      </c>
      <c r="J859" s="53" t="inlineStr">
        <is>
          <t>Can return from graveyard to the battlefield with haste by paying eight energy, then gets exiled</t>
        </is>
      </c>
      <c r="K859" s="53" t="n"/>
      <c r="L859" s="42" t="n"/>
      <c r="M859" s="42" t="n"/>
      <c r="N859" s="42" t="n"/>
      <c r="O859" s="63" t="n"/>
      <c r="P859" s="63" t="n">
        <v>0.77</v>
      </c>
      <c r="Q859" s="42" t="n"/>
      <c r="R859" s="42" t="n"/>
      <c r="S859" s="42" t="n"/>
      <c r="T859" s="63" t="n"/>
      <c r="U859" s="63" t="n"/>
      <c r="V859" s="53" t="inlineStr">
        <is>
          <t>Modern Horizons 3 Commander</t>
        </is>
      </c>
      <c r="W859" s="41" t="n">
        <v>1</v>
      </c>
      <c r="X859" s="37">
        <f>SUM(Y859:AE859)</f>
        <v/>
      </c>
      <c r="Y859" s="43" t="n">
        <v>1</v>
      </c>
      <c r="Z859" s="43" t="n"/>
      <c r="AA859" s="43" t="n"/>
      <c r="AB859" s="43" t="n"/>
      <c r="AC859" s="43" t="n"/>
      <c r="AD859" s="43" t="n"/>
      <c r="AE859" s="43" t="n"/>
      <c r="AF859" s="38">
        <f>IF((W859-SUM(Y859:AE859))&lt;0,0,W859-SUM(Y859:AE859))</f>
        <v/>
      </c>
      <c r="AG859" s="38">
        <f>MAX(0,$AT859-$W859-$AI859)</f>
        <v/>
      </c>
      <c r="AH859" s="38" t="n"/>
      <c r="AI859" s="38" t="n"/>
      <c r="AJ859" s="54" t="n">
        <v>0.73</v>
      </c>
      <c r="AK859" s="54">
        <f>IF(AND($AG859&gt;0,ISNUMBER($AJ859)),$AG859*$AJ859,0)</f>
        <v/>
      </c>
      <c r="AT859" s="37">
        <f>SUM(AU859:BA859)</f>
        <v/>
      </c>
      <c r="AU859" s="82" t="n">
        <v>1</v>
      </c>
      <c r="AV859" s="33" t="n"/>
      <c r="AW859" s="33" t="n"/>
      <c r="AX859" s="33" t="n"/>
      <c r="AY859" s="33" t="n"/>
      <c r="AZ859" s="33" t="n"/>
      <c r="BA859" s="74" t="n"/>
      <c r="BB859" s="47" t="n"/>
      <c r="BC859" s="42" t="n"/>
      <c r="BD859" s="42" t="n"/>
    </row>
    <row r="860" ht="15" customHeight="1" s="148">
      <c r="A860" t="inlineStr">
        <is>
          <t>c0856</t>
        </is>
      </c>
      <c r="B860" s="47" t="inlineStr">
        <is>
          <t>Secret Rendezvous</t>
        </is>
      </c>
      <c r="C860" s="38" t="inlineStr">
        <is>
          <t>W</t>
        </is>
      </c>
      <c r="D860" s="47" t="inlineStr">
        <is>
          <t>Sorcery</t>
        </is>
      </c>
      <c r="E860" s="41" t="inlineStr">
        <is>
          <t>B2</t>
        </is>
      </c>
      <c r="F860" s="38" t="n">
        <v>3</v>
      </c>
      <c r="G860" s="67" t="inlineStr">
        <is>
          <t>You and target opponent each draw three cards.</t>
        </is>
      </c>
      <c r="H860" s="53" t="inlineStr">
        <is>
          <t>Card Draw</t>
        </is>
      </c>
      <c r="I860" s="53" t="inlineStr">
        <is>
          <t>You and target opponent each draw three cards</t>
        </is>
      </c>
      <c r="J860" s="53" t="n"/>
      <c r="K860" s="53" t="n"/>
      <c r="L860" s="42" t="n"/>
      <c r="M860" s="42" t="n"/>
      <c r="N860" s="42" t="n"/>
      <c r="O860" s="42" t="n"/>
      <c r="P860" s="42" t="n">
        <v>0.33</v>
      </c>
      <c r="Q860" s="42" t="n"/>
      <c r="R860" s="42" t="n"/>
      <c r="S860" s="42" t="n"/>
      <c r="T860" s="42" t="n"/>
      <c r="U860" s="42" t="n"/>
      <c r="V860" s="53" t="inlineStr">
        <is>
          <t>Strixhaven: School of Mages</t>
        </is>
      </c>
      <c r="W860" s="41" t="n">
        <v>1</v>
      </c>
      <c r="X860" s="37">
        <f>SUM(Y860:AE860)</f>
        <v/>
      </c>
      <c r="Y860" s="43" t="n"/>
      <c r="Z860" s="43" t="n"/>
      <c r="AA860" s="43" t="n"/>
      <c r="AB860" s="43" t="n"/>
      <c r="AC860" s="43" t="n">
        <v>1</v>
      </c>
      <c r="AD860" s="43" t="n"/>
      <c r="AE860" s="43" t="n"/>
      <c r="AF860" s="38">
        <f>IF((W860-SUM(Y860:AE860))&lt;0,0,W860-SUM(Y860:AE860))</f>
        <v/>
      </c>
      <c r="AG860" s="38">
        <f>MAX(0,$AT860-$W860-$AI860)</f>
        <v/>
      </c>
      <c r="AH860" s="38" t="n"/>
      <c r="AI860" s="38" t="n"/>
      <c r="AJ860" s="54" t="n">
        <v>0.26</v>
      </c>
      <c r="AK860" s="54">
        <f>IF(AND($AG860&gt;0,ISNUMBER($AJ860)),$AG860*$AJ860,0)</f>
        <v/>
      </c>
      <c r="AP860" s="58" t="inlineStr">
        <is>
          <t>BL0046</t>
        </is>
      </c>
      <c r="AT860" s="37">
        <f>SUM(AU860:BA860)</f>
        <v/>
      </c>
      <c r="AU860" s="73" t="n"/>
      <c r="AV860" s="33" t="n"/>
      <c r="AW860" s="33" t="n"/>
      <c r="AX860" s="33" t="n"/>
      <c r="AY860" s="99" t="n"/>
      <c r="AZ860" s="33" t="n"/>
      <c r="BA860" s="74" t="n"/>
      <c r="BB860" s="47" t="n"/>
      <c r="BC860" s="42" t="n"/>
      <c r="BD860" s="42" t="n"/>
    </row>
    <row r="861" ht="15" customHeight="1" s="148">
      <c r="A861" t="inlineStr">
        <is>
          <t>c0857</t>
        </is>
      </c>
      <c r="B861" s="47" t="inlineStr">
        <is>
          <t>Selfless Spirit</t>
        </is>
      </c>
      <c r="C861" s="38" t="inlineStr">
        <is>
          <t>W</t>
        </is>
      </c>
      <c r="D861" s="47" t="inlineStr">
        <is>
          <t>Creature</t>
        </is>
      </c>
      <c r="E861" s="41" t="inlineStr">
        <is>
          <t>B2</t>
        </is>
      </c>
      <c r="F861" s="38" t="n">
        <v>2</v>
      </c>
      <c r="G861" s="67" t="inlineStr">
        <is>
          <t>Flying
Sacrifice this creature: Creatures you control gain indestructible until end of turn.
(2/1)</t>
        </is>
      </c>
      <c r="H861" s="53" t="inlineStr">
        <is>
          <t>Protection</t>
        </is>
      </c>
      <c r="I861" s="53" t="inlineStr">
        <is>
          <t>Flying body</t>
        </is>
      </c>
      <c r="J861" s="53" t="inlineStr">
        <is>
          <t>Sacrifice: your creatures can't be destroyed until end of turn</t>
        </is>
      </c>
      <c r="K861" s="53" t="n"/>
      <c r="L861" s="41" t="n"/>
      <c r="M861" s="41" t="n"/>
      <c r="N861" s="41" t="n"/>
      <c r="O861" s="41" t="n"/>
      <c r="P861" s="41" t="n">
        <v>0.41</v>
      </c>
      <c r="Q861" s="41" t="n"/>
      <c r="R861" s="41" t="n"/>
      <c r="S861" s="41" t="n"/>
      <c r="T861" s="41" t="n"/>
      <c r="U861" s="41" t="n"/>
      <c r="V861" s="53" t="inlineStr">
        <is>
          <t>Eldritch Moon</t>
        </is>
      </c>
      <c r="W861" s="41" t="n">
        <v>1</v>
      </c>
      <c r="X861" s="37">
        <f>SUM(Y861:AE861)</f>
        <v/>
      </c>
      <c r="Y861" s="43" t="n">
        <v>1</v>
      </c>
      <c r="Z861" s="43" t="n"/>
      <c r="AA861" s="43" t="n"/>
      <c r="AB861" s="43" t="n"/>
      <c r="AC861" s="43" t="n"/>
      <c r="AD861" s="43" t="n"/>
      <c r="AE861" s="43" t="n"/>
      <c r="AF861" s="38">
        <f>IF((W861-SUM(Y861:AE861))&lt;0,0,W861-SUM(Y861:AE861))</f>
        <v/>
      </c>
      <c r="AG861" s="38">
        <f>MAX(0,$AT861-$W861-$AI861)</f>
        <v/>
      </c>
      <c r="AH861" s="38" t="n"/>
      <c r="AI861" s="38" t="n"/>
      <c r="AJ861" s="54" t="n">
        <v>0.4</v>
      </c>
      <c r="AK861" s="54">
        <f>IF(AND($AG861&gt;0,ISNUMBER($AJ861)),$AG861*$AJ861,0)</f>
        <v/>
      </c>
      <c r="AT861" s="37">
        <f>SUM(AU861:BA861)</f>
        <v/>
      </c>
      <c r="AU861" s="82" t="n">
        <v>1</v>
      </c>
      <c r="AV861" s="33" t="n"/>
      <c r="AW861" s="33" t="n"/>
      <c r="AX861" s="33" t="n"/>
      <c r="AY861" s="33" t="n"/>
      <c r="AZ861" s="33" t="n"/>
      <c r="BA861" s="74" t="n"/>
      <c r="BB861" s="47" t="n"/>
      <c r="BC861" s="42" t="n"/>
      <c r="BD861" s="42" t="n"/>
    </row>
    <row r="862" ht="15" customHeight="1" s="148">
      <c r="A862" t="inlineStr">
        <is>
          <t>c0858</t>
        </is>
      </c>
      <c r="B862" s="47" t="inlineStr">
        <is>
          <t>Serra Paragon</t>
        </is>
      </c>
      <c r="C862" s="38" t="inlineStr">
        <is>
          <t>W</t>
        </is>
      </c>
      <c r="D862" s="47" t="inlineStr">
        <is>
          <t>Creature</t>
        </is>
      </c>
      <c r="E862" s="41" t="inlineStr">
        <is>
          <t>B2</t>
        </is>
      </c>
      <c r="F862" s="38" t="n">
        <v>4</v>
      </c>
      <c r="G862" s="67" t="inlineStr">
        <is>
          <t>Flying
Once during each of your turns, you may play a land from your graveyard or cast a permanent spell with mana value 3 or less from your graveyard. If you do, it gains "When this permanent is put into a graveyard from the battlefield, exile it and you gain 2 life."
(3/4)</t>
        </is>
      </c>
      <c r="H862" s="53" t="inlineStr">
        <is>
          <t>Recursion</t>
        </is>
      </c>
      <c r="I862" s="53" t="inlineStr">
        <is>
          <t>Flying body</t>
        </is>
      </c>
      <c r="J862" s="53" t="inlineStr">
        <is>
          <t>Once per turn, play a land or cast a MV 3 or less permanent spell from your graveyard</t>
        </is>
      </c>
      <c r="K862" s="53" t="inlineStr">
        <is>
          <t>That permanent exiles itself and gains you 2 life when it leaves the battlefield</t>
        </is>
      </c>
      <c r="L862" s="41" t="n"/>
      <c r="M862" s="41" t="n"/>
      <c r="N862" s="41" t="n"/>
      <c r="O862" s="41" t="n"/>
      <c r="P862" s="41" t="n">
        <v>0.5</v>
      </c>
      <c r="Q862" s="41" t="n"/>
      <c r="R862" s="41" t="n"/>
      <c r="S862" s="41" t="n"/>
      <c r="T862" s="41" t="n"/>
      <c r="U862" s="41" t="n"/>
      <c r="V862" s="53" t="inlineStr">
        <is>
          <t>Dominaria United</t>
        </is>
      </c>
      <c r="W862" s="41" t="n">
        <v>1</v>
      </c>
      <c r="X862" s="37">
        <f>SUM(Y862:AE862)</f>
        <v/>
      </c>
      <c r="Y862" s="43" t="n">
        <v>1</v>
      </c>
      <c r="Z862" s="43" t="n"/>
      <c r="AA862" s="43" t="n"/>
      <c r="AB862" s="43" t="n"/>
      <c r="AC862" s="43" t="n"/>
      <c r="AD862" s="43" t="n"/>
      <c r="AE862" s="43" t="n"/>
      <c r="AF862" s="38">
        <f>IF((W862-SUM(Y862:AE862))&lt;0,0,W862-SUM(Y862:AE862))</f>
        <v/>
      </c>
      <c r="AG862" s="38">
        <f>MAX(0,$AT862-$W862-$AI862)</f>
        <v/>
      </c>
      <c r="AH862" s="38" t="n"/>
      <c r="AI862" s="38" t="n"/>
      <c r="AJ862" s="54" t="n">
        <v>0.57</v>
      </c>
      <c r="AK862" s="54">
        <f>IF(AND($AG862&gt;0,ISNUMBER($AJ862)),$AG862*$AJ862,0)</f>
        <v/>
      </c>
      <c r="AT862" s="37">
        <f>SUM(AU862:BA862)</f>
        <v/>
      </c>
      <c r="AU862" s="82" t="n">
        <v>1</v>
      </c>
      <c r="AV862" s="33" t="n"/>
      <c r="AW862" s="33" t="n"/>
      <c r="AX862" s="33" t="n"/>
      <c r="AY862" s="33" t="n"/>
      <c r="AZ862" s="33" t="n"/>
      <c r="BA862" s="74" t="n"/>
      <c r="BB862" s="47" t="n"/>
      <c r="BC862" s="42" t="n"/>
      <c r="BD862" s="42" t="n"/>
    </row>
    <row r="863" ht="15" customHeight="1" s="148">
      <c r="A863" t="inlineStr">
        <is>
          <t>c0859</t>
        </is>
      </c>
      <c r="B863" s="47" t="inlineStr">
        <is>
          <t>Settle the Wreckage</t>
        </is>
      </c>
      <c r="C863" s="38" t="inlineStr">
        <is>
          <t>W</t>
        </is>
      </c>
      <c r="D863" s="47" t="inlineStr">
        <is>
          <t>Instant</t>
        </is>
      </c>
      <c r="E863" s="41" t="inlineStr">
        <is>
          <t>B2</t>
        </is>
      </c>
      <c r="F863" s="41" t="n">
        <v>4</v>
      </c>
      <c r="G863" s="67" t="inlineStr">
        <is>
          <t>Exile all attacking creatures target player controls. That player may search their library for that many basic land cards, put those cards onto the battlefield tapped, then shuffle.</t>
        </is>
      </c>
      <c r="H863" s="42" t="inlineStr">
        <is>
          <t>Board Wipe</t>
        </is>
      </c>
      <c r="I863" s="42" t="inlineStr">
        <is>
          <t>Exile all attacking creatures target player controls</t>
        </is>
      </c>
      <c r="J863" s="42" t="inlineStr">
        <is>
          <t>That player may search their library for that many basic lands and put them onto the battlefield tapped</t>
        </is>
      </c>
      <c r="K863" s="42" t="n"/>
      <c r="L863" s="42" t="n"/>
      <c r="M863" s="42" t="n"/>
      <c r="N863" s="42" t="n"/>
      <c r="O863" s="63" t="n"/>
      <c r="P863" s="63" t="n">
        <v>0.43</v>
      </c>
      <c r="Q863" s="42" t="n"/>
      <c r="R863" s="42" t="n"/>
      <c r="S863" s="42" t="n"/>
      <c r="T863" s="63" t="n"/>
      <c r="U863" s="63" t="n"/>
      <c r="V863" s="42" t="inlineStr">
        <is>
          <t>Ixalan</t>
        </is>
      </c>
      <c r="W863" s="41" t="n">
        <v>1</v>
      </c>
      <c r="X863" s="37">
        <f>SUM(Y863:AE863)</f>
        <v/>
      </c>
      <c r="Y863" s="43" t="n">
        <v>1</v>
      </c>
      <c r="Z863" s="43" t="n"/>
      <c r="AA863" s="43" t="n"/>
      <c r="AB863" s="43" t="n"/>
      <c r="AC863" s="43" t="n"/>
      <c r="AD863" s="43" t="n"/>
      <c r="AE863" s="43" t="n"/>
      <c r="AF863" s="38">
        <f>IF((W863-SUM(Y863:AE863))&lt;0,0,W863-SUM(Y863:AE863))</f>
        <v/>
      </c>
      <c r="AG863" s="38">
        <f>MAX(0,$AT863-$W863-$AI863)</f>
        <v/>
      </c>
      <c r="AH863" s="42" t="n"/>
      <c r="AI863" s="42" t="n"/>
      <c r="AJ863" s="42" t="n">
        <v>0.57</v>
      </c>
      <c r="AK863" s="42">
        <f>IF(AND($AG863&gt;0,ISNUMBER($AJ863)),$AG863*$AJ863,0)</f>
        <v/>
      </c>
      <c r="AT863" s="37">
        <f>SUM(AU863:BA863)</f>
        <v/>
      </c>
      <c r="AU863" s="82" t="n">
        <v>1</v>
      </c>
      <c r="AV863" s="33" t="n"/>
      <c r="AW863" s="33" t="n"/>
      <c r="AX863" s="33" t="n"/>
      <c r="AY863" s="33" t="n"/>
      <c r="AZ863" s="33" t="n"/>
      <c r="BA863" s="74" t="n"/>
      <c r="BB863" s="42" t="n"/>
      <c r="BC863" s="42" t="n"/>
      <c r="BD863" s="42" t="n"/>
    </row>
    <row r="864" ht="15" customHeight="1" s="148">
      <c r="A864" t="inlineStr">
        <is>
          <t>c0860</t>
        </is>
      </c>
      <c r="B864" s="47" t="inlineStr">
        <is>
          <t>Sevinne's Reclamation</t>
        </is>
      </c>
      <c r="C864" s="38" t="inlineStr">
        <is>
          <t>W</t>
        </is>
      </c>
      <c r="D864" s="47" t="inlineStr">
        <is>
          <t>Sorcery</t>
        </is>
      </c>
      <c r="E864" s="41" t="inlineStr">
        <is>
          <t>B2</t>
        </is>
      </c>
      <c r="F864" s="38" t="n">
        <v>3</v>
      </c>
      <c r="G864" s="67" t="inlineStr">
        <is>
          <t>Return target permanent card with mana value 3 or less from your graveyard to the battlefield. If this spell was cast from a graveyard, you may copy this spell and may choose a new target for the copy.
Flashback {4}{W} (You may cast this card from your graveyard for its flashback cost. Then exile it.)</t>
        </is>
      </c>
      <c r="H864" s="53" t="inlineStr">
        <is>
          <t>Recursion</t>
        </is>
      </c>
      <c r="I864" s="53" t="inlineStr">
        <is>
          <t>Returns a MV 3 or less permanent from graveyard to battlefield</t>
        </is>
      </c>
      <c r="J864" s="53" t="inlineStr">
        <is>
          <t>If cast from graveyard, copy the spell with a new target</t>
        </is>
      </c>
      <c r="K864" s="53" t="inlineStr">
        <is>
          <t>Flashback lets you cast it from graveyard</t>
        </is>
      </c>
      <c r="L864" s="41" t="n"/>
      <c r="M864" s="41" t="n"/>
      <c r="N864" s="41" t="n"/>
      <c r="O864" s="41" t="n"/>
      <c r="P864" s="41" t="n">
        <v>0.39</v>
      </c>
      <c r="Q864" s="41" t="n"/>
      <c r="R864" s="41" t="n"/>
      <c r="S864" s="41" t="n"/>
      <c r="T864" s="41" t="n"/>
      <c r="U864" s="41" t="n"/>
      <c r="V864" s="53" t="inlineStr">
        <is>
          <t>Commander 2019</t>
        </is>
      </c>
      <c r="W864" s="41" t="n">
        <v>2</v>
      </c>
      <c r="X864" s="37">
        <f>SUM(Y864:AE864)</f>
        <v/>
      </c>
      <c r="Y864" s="43" t="n">
        <v>1</v>
      </c>
      <c r="Z864" s="43" t="n"/>
      <c r="AA864" s="43" t="n"/>
      <c r="AB864" s="43" t="n"/>
      <c r="AC864" s="43" t="n"/>
      <c r="AD864" s="43" t="n"/>
      <c r="AE864" s="43" t="n"/>
      <c r="AF864" s="38">
        <f>IF((W864-SUM(Y864:AE864))&lt;0,0,W864-SUM(Y864:AE864))</f>
        <v/>
      </c>
      <c r="AG864" s="38">
        <f>MAX(0,$AT864-$W864-$AI864)</f>
        <v/>
      </c>
      <c r="AH864" s="38" t="n"/>
      <c r="AI864" s="38" t="n"/>
      <c r="AJ864" s="54" t="n">
        <v>0.39</v>
      </c>
      <c r="AK864" s="54">
        <f>IF(AND($AG864&gt;0,ISNUMBER($AJ864)),$AG864*$AJ864,0)</f>
        <v/>
      </c>
      <c r="AT864" s="37">
        <f>SUM(AU864:BA864)</f>
        <v/>
      </c>
      <c r="AU864" s="82" t="n">
        <v>1</v>
      </c>
      <c r="AV864" s="33" t="n"/>
      <c r="AW864" s="33" t="n"/>
      <c r="AX864" s="33" t="n"/>
      <c r="AY864" s="33" t="n"/>
      <c r="AZ864" s="33" t="n"/>
      <c r="BA864" s="74" t="n"/>
      <c r="BB864" s="47" t="n"/>
      <c r="BC864" s="42" t="n"/>
      <c r="BD864" s="42" t="n"/>
    </row>
    <row r="865" ht="15" customHeight="1" s="148">
      <c r="A865" t="inlineStr">
        <is>
          <t>c0861</t>
        </is>
      </c>
      <c r="B865" s="32" t="inlineStr">
        <is>
          <t>Shattered Acolyte</t>
        </is>
      </c>
      <c r="C865" s="33" t="inlineStr">
        <is>
          <t>W</t>
        </is>
      </c>
      <c r="D865" s="32" t="inlineStr">
        <is>
          <t>Creature</t>
        </is>
      </c>
      <c r="E865" s="33" t="inlineStr">
        <is>
          <t>B2</t>
        </is>
      </c>
      <c r="F865" s="32" t="n">
        <v>2</v>
      </c>
      <c r="G865" s="67" t="inlineStr">
        <is>
          <t>Lifelink
{1}, Sacrifice this creature: Destroy target artifact or enchantment.
(2/2)</t>
        </is>
      </c>
      <c r="H865" s="32" t="inlineStr">
        <is>
          <t>Artifact/Enchantment Removal</t>
        </is>
      </c>
      <c r="I865" s="32" t="inlineStr">
        <is>
          <t>{1}, sacrifice this creature: destroy target artifact or enchantment</t>
        </is>
      </c>
      <c r="J865" s="32" t="inlineStr">
        <is>
          <t>Lifelink body</t>
        </is>
      </c>
      <c r="K865" s="32" t="n"/>
      <c r="L865" s="32" t="inlineStr">
        <is>
          <t>31</t>
        </is>
      </c>
      <c r="M865" s="32" t="n">
        <v>1</v>
      </c>
      <c r="N865" s="32" t="n">
        <v>0</v>
      </c>
      <c r="O865" s="63" t="inlineStr">
        <is>
          <t>Ashley Lovett</t>
        </is>
      </c>
      <c r="P865" s="63" t="n">
        <v>0.22</v>
      </c>
      <c r="Q865" s="32" t="inlineStr">
        <is>
          <t>Common</t>
        </is>
      </c>
      <c r="R865" s="32" t="n"/>
      <c r="S865" s="32" t="n"/>
      <c r="T865" s="63" t="n"/>
      <c r="U865" s="63" t="n"/>
      <c r="V865" s="32" t="inlineStr">
        <is>
          <t>Secrets of Strixhaven</t>
        </is>
      </c>
      <c r="W865" s="41" t="n">
        <v>1</v>
      </c>
      <c r="X865" s="37">
        <f>SUM(Y865:AE865)</f>
        <v/>
      </c>
      <c r="Y865" s="43" t="n"/>
      <c r="Z865" s="43" t="n"/>
      <c r="AA865" s="43" t="n"/>
      <c r="AB865" s="43" t="n"/>
      <c r="AC865" s="43" t="n"/>
      <c r="AD865" s="43" t="n"/>
      <c r="AE865" s="43" t="n"/>
      <c r="AF865" s="38">
        <f>IF((W865-SUM(Y865:AE865))&lt;0,0,W865-SUM(Y865:AE865))</f>
        <v/>
      </c>
      <c r="AG865" s="38">
        <f>MAX(0,$AT865-$W865-$AI865)</f>
        <v/>
      </c>
      <c r="AH865" s="32" t="n"/>
      <c r="AI865" s="32" t="n"/>
      <c r="AJ865" s="32" t="n">
        <v>0.22</v>
      </c>
      <c r="AK865" s="54">
        <f>IF(AND($AG865&gt;0,ISNUMBER($AJ865)),$AG865*$AJ865,0)</f>
        <v/>
      </c>
      <c r="AT865" s="37">
        <f>SUM(AU865:BA865)</f>
        <v/>
      </c>
      <c r="AU865" s="73" t="n"/>
      <c r="AV865" s="33" t="n"/>
      <c r="AW865" s="33" t="n"/>
      <c r="AX865" s="33" t="n"/>
      <c r="AY865" s="33" t="n"/>
      <c r="AZ865" s="33" t="n"/>
      <c r="BA865" s="74" t="n"/>
      <c r="BB865" s="32" t="n"/>
      <c r="BC865" s="32" t="n"/>
      <c r="BD865" s="32" t="n"/>
    </row>
    <row r="866" ht="15" customHeight="1" s="148">
      <c r="A866" t="inlineStr">
        <is>
          <t>c0862</t>
        </is>
      </c>
      <c r="B866" s="47" t="inlineStr">
        <is>
          <t>Shore Lurker</t>
        </is>
      </c>
      <c r="C866" s="38" t="inlineStr">
        <is>
          <t>W</t>
        </is>
      </c>
      <c r="D866" s="47" t="inlineStr">
        <is>
          <t>Creature</t>
        </is>
      </c>
      <c r="E866" s="41" t="inlineStr">
        <is>
          <t>B2</t>
        </is>
      </c>
      <c r="F866" s="38" t="n">
        <v>4</v>
      </c>
      <c r="G866" s="67" t="inlineStr">
        <is>
          <t>Flying
When this creature enters, surveil 1. (Look at the top card of your library. You may put it into your graveyard.)
(3/3)</t>
        </is>
      </c>
      <c r="H866" s="53" t="inlineStr">
        <is>
          <t>Card Selection</t>
        </is>
      </c>
      <c r="I866" s="53" t="inlineStr">
        <is>
          <t>Surveil 1 when it enters</t>
        </is>
      </c>
      <c r="J866" s="53" t="inlineStr">
        <is>
          <t>Flying body</t>
        </is>
      </c>
      <c r="K866" s="53" t="n"/>
      <c r="L866" s="42" t="n"/>
      <c r="M866" s="42" t="n"/>
      <c r="N866" s="42" t="n"/>
      <c r="O866" s="63" t="n"/>
      <c r="P866" s="63" t="n">
        <v>0.08</v>
      </c>
      <c r="Q866" s="42" t="n"/>
      <c r="R866" s="42" t="n"/>
      <c r="S866" s="42" t="n"/>
      <c r="T866" s="63" t="n"/>
      <c r="U866" s="63" t="n"/>
      <c r="V866" s="53" t="inlineStr">
        <is>
          <t>Lorwyn Eclipsed</t>
        </is>
      </c>
      <c r="W866" s="41" t="n">
        <v>1</v>
      </c>
      <c r="X866" s="37">
        <f>SUM(Y866:AE866)</f>
        <v/>
      </c>
      <c r="Y866" s="43" t="n"/>
      <c r="Z866" s="43" t="n"/>
      <c r="AA866" s="43" t="n"/>
      <c r="AB866" s="43" t="n"/>
      <c r="AC866" s="43" t="n"/>
      <c r="AD866" s="43" t="n"/>
      <c r="AE866" s="43" t="n"/>
      <c r="AF866" s="38">
        <f>IF((W866-SUM(Y866:AE866))&lt;0,0,W866-SUM(Y866:AE866))</f>
        <v/>
      </c>
      <c r="AG866" s="38">
        <f>MAX(0,$AT866-$W866-$AI866)</f>
        <v/>
      </c>
      <c r="AH866" s="38" t="n"/>
      <c r="AI866" s="38" t="n"/>
      <c r="AJ866" s="54" t="n">
        <v>0.11</v>
      </c>
      <c r="AK866" s="54">
        <f>IF(AND($AG866&gt;0,ISNUMBER($AJ866)),$AG866*$AJ866,0)</f>
        <v/>
      </c>
      <c r="AP866" s="58" t="n"/>
      <c r="AT866" s="37">
        <f>SUM(AU866:BA866)</f>
        <v/>
      </c>
      <c r="AU866" s="73" t="n"/>
      <c r="AV866" s="33" t="n"/>
      <c r="AW866" s="33" t="n"/>
      <c r="AX866" s="33" t="n"/>
      <c r="AY866" s="33" t="n"/>
      <c r="AZ866" s="33" t="n"/>
      <c r="BA866" s="74" t="n"/>
      <c r="BB866" s="47" t="n"/>
      <c r="BC866" s="42" t="n"/>
      <c r="BD866" s="42" t="n"/>
    </row>
    <row r="867" ht="15" customHeight="1" s="148">
      <c r="A867" t="inlineStr">
        <is>
          <t>c0863</t>
        </is>
      </c>
      <c r="B867" s="47" t="inlineStr">
        <is>
          <t>Skrelv, Defector Mite</t>
        </is>
      </c>
      <c r="C867" s="38" t="inlineStr">
        <is>
          <t>W</t>
        </is>
      </c>
      <c r="D867" s="47" t="inlineStr">
        <is>
          <t>Legendary Artifact Creature</t>
        </is>
      </c>
      <c r="E867" s="41" t="inlineStr">
        <is>
          <t>B3</t>
        </is>
      </c>
      <c r="F867" s="38" t="n">
        <v>1</v>
      </c>
      <c r="G867" s="67" t="inlineStr">
        <is>
          <t>Toxic 1 (Players dealt combat damage by this creature also get a poison counter.)
Skrelv can't block.
{W/P}, {T}: Choose a color. Another target creature you control gains toxic 1 and hexproof from that color until end of turn. It can't be blocked by creatures of that color this turn. ({W/P} can be paid with either {W} or 2 life.)
(1/1)</t>
        </is>
      </c>
      <c r="H867" s="53" t="inlineStr">
        <is>
          <t>Protection</t>
        </is>
      </c>
      <c r="I867" s="53" t="inlineStr">
        <is>
          <t>Toxic 1</t>
        </is>
      </c>
      <c r="J867" s="53" t="inlineStr">
        <is>
          <t>Skrelv can't block</t>
        </is>
      </c>
      <c r="K867" s="53" t="inlineStr">
        <is>
          <t xml:space="preserve">{W/P}, {T}: Choose a color. Another target creature you control gains toxic 1 and hexproof from that color until end of </t>
        </is>
      </c>
      <c r="L867" s="42" t="n"/>
      <c r="M867" s="42" t="n"/>
      <c r="N867" s="42" t="n"/>
      <c r="O867" s="42" t="n"/>
      <c r="P867" s="42" t="n">
        <v>3.27</v>
      </c>
      <c r="Q867" s="42" t="n"/>
      <c r="R867" s="42" t="n"/>
      <c r="S867" s="42" t="n"/>
      <c r="T867" s="42" t="n"/>
      <c r="U867" s="42" t="n"/>
      <c r="V867" s="53" t="inlineStr">
        <is>
          <t>Phyrexia: All Will Be One</t>
        </is>
      </c>
      <c r="W867" s="41" t="n">
        <v>0</v>
      </c>
      <c r="X867" s="37">
        <f>SUM(Y867:AE867)</f>
        <v/>
      </c>
      <c r="Y867" s="43" t="n"/>
      <c r="Z867" s="43" t="n"/>
      <c r="AA867" s="43" t="n"/>
      <c r="AB867" s="43" t="n"/>
      <c r="AC867" s="43" t="n"/>
      <c r="AD867" s="43" t="n"/>
      <c r="AE867" s="43" t="n"/>
      <c r="AF867" s="38">
        <f>IF((W867-SUM(Y867:AE867))&lt;0,0,W867-SUM(Y867:AE867))</f>
        <v/>
      </c>
      <c r="AG867" s="38">
        <f>MAX(0,$AT867-$W867-$AI867)</f>
        <v/>
      </c>
      <c r="AH867" s="38" t="n"/>
      <c r="AI867" s="38" t="n"/>
      <c r="AJ867" s="54" t="n">
        <v>2.91</v>
      </c>
      <c r="AK867" s="54">
        <f>IF(AND($AG867&gt;0,ISNUMBER($AJ867)),$AG867*$AJ867,0)</f>
        <v/>
      </c>
      <c r="AL867" s="54" t="n"/>
      <c r="AM867" s="54" t="n"/>
      <c r="AN867" s="54" t="n"/>
      <c r="AO867" s="54" t="n"/>
      <c r="AP867" s="54" t="n"/>
      <c r="AQ867" s="54" t="n"/>
      <c r="AR867" s="54" t="n"/>
      <c r="AS867" s="54" t="n"/>
      <c r="AT867" s="37">
        <f>SUM(AU867:BA867)</f>
        <v/>
      </c>
      <c r="AU867" s="92" t="n"/>
      <c r="AV867" s="38" t="n"/>
      <c r="AW867" s="38" t="n"/>
      <c r="AX867" s="38" t="n"/>
      <c r="AY867" s="38" t="n"/>
      <c r="AZ867" s="38" t="n"/>
      <c r="BA867" s="94" t="n"/>
      <c r="BB867" s="47" t="n"/>
      <c r="BC867" s="42" t="n"/>
      <c r="BD867" s="42" t="n"/>
    </row>
    <row r="868" ht="15" customHeight="1" s="148">
      <c r="A868" t="inlineStr">
        <is>
          <t>c0864</t>
        </is>
      </c>
      <c r="B868" s="47" t="inlineStr">
        <is>
          <t>Skyclave Apparition</t>
        </is>
      </c>
      <c r="C868" s="38" t="inlineStr">
        <is>
          <t>W</t>
        </is>
      </c>
      <c r="D868" s="47" t="inlineStr">
        <is>
          <t>Creature</t>
        </is>
      </c>
      <c r="E868" s="41" t="inlineStr">
        <is>
          <t>B2</t>
        </is>
      </c>
      <c r="F868" s="38" t="n">
        <v>3</v>
      </c>
      <c r="G868" s="67" t="inlineStr">
        <is>
          <t>When this creature enters, exile up to one target nonland, nontoken permanent you don't control with mana value 4 or less.
When this creature leaves the battlefield, the exiled card's owner creates an X/X blue Illusion creature token, where X is the mana value of the exiled card.
(2/2)</t>
        </is>
      </c>
      <c r="H868" s="53" t="inlineStr">
        <is>
          <t>Removal</t>
        </is>
      </c>
      <c r="I868" s="53" t="inlineStr">
        <is>
          <t>Enters: exile a nonland, nontoken permanent an opponent controls with MV 4 or less</t>
        </is>
      </c>
      <c r="J868" s="53" t="inlineStr">
        <is>
          <t>Leaves the battlefield: that permanent's owner gets an X/X token, X = its mana value</t>
        </is>
      </c>
      <c r="K868" s="53" t="n"/>
      <c r="L868" s="41" t="n"/>
      <c r="M868" s="41" t="n"/>
      <c r="N868" s="41" t="n"/>
      <c r="O868" s="41" t="n"/>
      <c r="P868" s="41" t="n">
        <v>0.32</v>
      </c>
      <c r="Q868" s="41" t="n"/>
      <c r="R868" s="41" t="n"/>
      <c r="S868" s="41" t="n"/>
      <c r="T868" s="41" t="n"/>
      <c r="U868" s="41" t="n"/>
      <c r="V868" s="53" t="inlineStr">
        <is>
          <t>Zendikar Rising</t>
        </is>
      </c>
      <c r="W868" s="41" t="n">
        <v>1</v>
      </c>
      <c r="X868" s="37">
        <f>SUM(Y868:AE868)</f>
        <v/>
      </c>
      <c r="Y868" s="43" t="n">
        <v>1</v>
      </c>
      <c r="Z868" s="43" t="n"/>
      <c r="AA868" s="43" t="n"/>
      <c r="AB868" s="43" t="n"/>
      <c r="AC868" s="43" t="n"/>
      <c r="AD868" s="43" t="n"/>
      <c r="AE868" s="43" t="n"/>
      <c r="AF868" s="38">
        <f>IF((W868-SUM(Y868:AE868))&lt;0,0,W868-SUM(Y868:AE868))</f>
        <v/>
      </c>
      <c r="AG868" s="38">
        <f>MAX(0,$AT868-$W868-$AI868)</f>
        <v/>
      </c>
      <c r="AH868" s="38" t="n"/>
      <c r="AI868" s="38" t="n"/>
      <c r="AJ868" s="54" t="n">
        <v>0.33</v>
      </c>
      <c r="AK868" s="54">
        <f>IF(AND($AG868&gt;0,ISNUMBER($AJ868)),$AG868*$AJ868,0)</f>
        <v/>
      </c>
      <c r="AT868" s="37">
        <f>SUM(AU868:BA868)</f>
        <v/>
      </c>
      <c r="AU868" s="82" t="n">
        <v>1</v>
      </c>
      <c r="AV868" s="33" t="n"/>
      <c r="AW868" s="33" t="n"/>
      <c r="AX868" s="33" t="n"/>
      <c r="AY868" s="33" t="n"/>
      <c r="AZ868" s="33" t="n"/>
      <c r="BA868" s="74" t="n"/>
      <c r="BB868" s="47" t="n"/>
      <c r="BC868" s="42" t="n"/>
      <c r="BD868" s="42" t="n"/>
    </row>
    <row r="869" ht="15" customHeight="1" s="148">
      <c r="A869" t="inlineStr">
        <is>
          <t>c0865</t>
        </is>
      </c>
      <c r="B869" s="47" t="inlineStr">
        <is>
          <t>Slaughter the Strong</t>
        </is>
      </c>
      <c r="C869" s="38" t="inlineStr">
        <is>
          <t>W</t>
        </is>
      </c>
      <c r="D869" s="47" t="inlineStr">
        <is>
          <t>Sorcery</t>
        </is>
      </c>
      <c r="E869" s="41" t="inlineStr">
        <is>
          <t>B2</t>
        </is>
      </c>
      <c r="F869" s="38" t="n">
        <v>3</v>
      </c>
      <c r="G869" s="67" t="inlineStr">
        <is>
          <t>Each player chooses any number of creatures they control with total power 4 or less, then sacrifices all other creatures they control.</t>
        </is>
      </c>
      <c r="H869" s="53" t="inlineStr">
        <is>
          <t>Board Wipe</t>
        </is>
      </c>
      <c r="I869" s="53" t="inlineStr">
        <is>
          <t>Each player chooses any number of creatures they control with total power 4 or less, then sacrifices all other creatures</t>
        </is>
      </c>
      <c r="J869" s="53" t="n"/>
      <c r="K869" s="53" t="n"/>
      <c r="L869" s="42" t="n"/>
      <c r="M869" s="42" t="n"/>
      <c r="N869" s="42" t="n"/>
      <c r="O869" s="42" t="n"/>
      <c r="P869" s="42" t="n">
        <v>0.32</v>
      </c>
      <c r="Q869" s="42" t="n"/>
      <c r="R869" s="42" t="n"/>
      <c r="S869" s="42" t="n"/>
      <c r="T869" s="42" t="n"/>
      <c r="U869" s="42" t="n"/>
      <c r="V869" s="53" t="inlineStr">
        <is>
          <t>Rivals of Ixalan</t>
        </is>
      </c>
      <c r="W869" s="41" t="n">
        <v>1</v>
      </c>
      <c r="X869" s="37">
        <f>SUM(Y869:AE869)</f>
        <v/>
      </c>
      <c r="Y869" s="43" t="n"/>
      <c r="Z869" s="43" t="n"/>
      <c r="AA869" s="43" t="n"/>
      <c r="AB869" s="43" t="n">
        <v>1</v>
      </c>
      <c r="AC869" s="43" t="n"/>
      <c r="AD869" s="43" t="n"/>
      <c r="AE869" s="43" t="n"/>
      <c r="AF869" s="38">
        <f>IF((W869-SUM(Y869:AE869))&lt;0,0,W869-SUM(Y869:AE869))</f>
        <v/>
      </c>
      <c r="AG869" s="38">
        <f>MAX(0,$AT869-$W869-$AI869)</f>
        <v/>
      </c>
      <c r="AH869" s="38" t="n"/>
      <c r="AI869" s="38" t="n"/>
      <c r="AJ869" s="54" t="n">
        <v>0.13</v>
      </c>
      <c r="AK869" s="54">
        <f>IF(AND($AG869&gt;0,ISNUMBER($AJ869)),$AG869*$AJ869,0)</f>
        <v/>
      </c>
      <c r="AT869" s="37">
        <f>SUM(AU869:BA869)</f>
        <v/>
      </c>
      <c r="AU869" s="73" t="n"/>
      <c r="AV869" s="33" t="n"/>
      <c r="AW869" s="33" t="n"/>
      <c r="AX869" s="98" t="n">
        <v>1</v>
      </c>
      <c r="AY869" s="33" t="n"/>
      <c r="AZ869" s="33" t="n"/>
      <c r="BA869" s="74" t="n"/>
      <c r="BB869" s="47" t="n"/>
      <c r="BC869" s="42" t="n"/>
      <c r="BD869" s="42" t="n"/>
    </row>
    <row r="870" ht="15" customHeight="1" s="148">
      <c r="A870" t="inlineStr">
        <is>
          <t>c0866</t>
        </is>
      </c>
      <c r="B870" s="47" t="inlineStr">
        <is>
          <t>Smothering Tithe</t>
        </is>
      </c>
      <c r="C870" s="38" t="inlineStr">
        <is>
          <t>W</t>
        </is>
      </c>
      <c r="D870" s="47" t="inlineStr">
        <is>
          <t>Enchantment</t>
        </is>
      </c>
      <c r="E870" s="41" t="inlineStr">
        <is>
          <t>B3</t>
        </is>
      </c>
      <c r="F870" s="38" t="n">
        <v>4</v>
      </c>
      <c r="G870" s="67" t="inlineStr">
        <is>
          <t>Whenever an opponent draws a card, that player may pay {2}. If the player doesn't, you create a Treasure token. (It's an artifact with "{T}, Sacrifice this token: Add one mana of any color.")</t>
        </is>
      </c>
      <c r="H870" s="53" t="inlineStr">
        <is>
          <t>Ramp</t>
        </is>
      </c>
      <c r="I870" s="53" t="inlineStr">
        <is>
          <t>Whenever an opponent draws a card, that player may pay {2}. If the player doesn't, you create a Treasure token. (It's an</t>
        </is>
      </c>
      <c r="J870" s="53" t="n"/>
      <c r="K870" s="53" t="n"/>
      <c r="L870" s="42" t="n"/>
      <c r="M870" s="42" t="n"/>
      <c r="N870" s="42" t="n"/>
      <c r="O870" s="42" t="n"/>
      <c r="P870" s="42" t="n">
        <v>59.26</v>
      </c>
      <c r="Q870" s="42" t="n"/>
      <c r="R870" s="42" t="n"/>
      <c r="S870" s="42" t="n"/>
      <c r="T870" s="42" t="n"/>
      <c r="U870" s="42" t="n"/>
      <c r="V870" s="53" t="inlineStr">
        <is>
          <t>Ravnica Allegiance</t>
        </is>
      </c>
      <c r="W870" s="41" t="n">
        <v>0</v>
      </c>
      <c r="X870" s="37">
        <f>SUM(Y870:AE870)</f>
        <v/>
      </c>
      <c r="Y870" s="43" t="n"/>
      <c r="Z870" s="43" t="n"/>
      <c r="AA870" s="43" t="n"/>
      <c r="AB870" s="43" t="n"/>
      <c r="AC870" s="43" t="n"/>
      <c r="AD870" s="43" t="n"/>
      <c r="AE870" s="43" t="n"/>
      <c r="AF870" s="38">
        <f>IF((W870-SUM(Y870:AE870))&lt;0,0,W870-SUM(Y870:AE870))</f>
        <v/>
      </c>
      <c r="AG870" s="38">
        <f>MAX(0,$AT870-$W870-$AI870)</f>
        <v/>
      </c>
      <c r="AH870" s="38" t="n"/>
      <c r="AI870" s="38" t="n"/>
      <c r="AJ870" s="54" t="n">
        <v>61.67</v>
      </c>
      <c r="AK870" s="54">
        <f>IF(AND($AG870&gt;0,ISNUMBER($AJ870)),$AG870*$AJ870,0)</f>
        <v/>
      </c>
      <c r="AL870" s="54" t="n"/>
      <c r="AM870" s="54" t="n"/>
      <c r="AN870" s="54" t="n"/>
      <c r="AO870" s="54" t="n"/>
      <c r="AP870" s="54" t="n"/>
      <c r="AQ870" s="54" t="n"/>
      <c r="AR870" s="54" t="n"/>
      <c r="AS870" s="54" t="n"/>
      <c r="AT870" s="37">
        <f>SUM(AU870:BA870)</f>
        <v/>
      </c>
      <c r="AU870" s="92" t="n"/>
      <c r="AV870" s="38" t="n"/>
      <c r="AW870" s="38" t="n"/>
      <c r="AX870" s="38" t="n"/>
      <c r="AY870" s="38" t="n"/>
      <c r="AZ870" s="38" t="n"/>
      <c r="BA870" s="94" t="n"/>
      <c r="BB870" s="47" t="n"/>
      <c r="BC870" s="42" t="n"/>
      <c r="BD870" s="42" t="n"/>
    </row>
    <row r="871" ht="15" customHeight="1" s="148">
      <c r="A871" t="inlineStr">
        <is>
          <t>c0867</t>
        </is>
      </c>
      <c r="B871" s="47" t="inlineStr">
        <is>
          <t>Spectacular Tactics</t>
        </is>
      </c>
      <c r="C871" s="38" t="inlineStr">
        <is>
          <t>W</t>
        </is>
      </c>
      <c r="D871" s="47" t="inlineStr">
        <is>
          <t>Instant</t>
        </is>
      </c>
      <c r="E871" s="41" t="inlineStr">
        <is>
          <t>B2</t>
        </is>
      </c>
      <c r="F871" s="38" t="n">
        <v>2</v>
      </c>
      <c r="G871" s="67" t="inlineStr">
        <is>
          <t>Choose one —
• Put a +1/+1 counter on target creature you control. It gains hexproof until end of turn.
• Destroy target creature with power 4 or greater.</t>
        </is>
      </c>
      <c r="H871" s="53" t="inlineStr">
        <is>
          <t>Combat Trick</t>
        </is>
      </c>
      <c r="I871" s="53" t="inlineStr">
        <is>
          <t>Choose one: put a +1/+1 counter on your creature, it becomes untargetable this turn</t>
        </is>
      </c>
      <c r="J871" s="53" t="inlineStr">
        <is>
          <t>Or destroys target creature with power 4 or greater</t>
        </is>
      </c>
      <c r="K871" s="53" t="n"/>
      <c r="L871" s="88" t="inlineStr">
        <is>
          <t>C 0775</t>
        </is>
      </c>
      <c r="M871" s="41" t="n">
        <v>2</v>
      </c>
      <c r="N871" s="41" t="n">
        <v>2</v>
      </c>
      <c r="O871" s="63" t="inlineStr">
        <is>
          <t>Zoltan Boros</t>
        </is>
      </c>
      <c r="P871" s="90" t="n">
        <v>0.25</v>
      </c>
      <c r="Q871" s="42" t="inlineStr">
        <is>
          <t>C</t>
        </is>
      </c>
      <c r="R871" s="42" t="n"/>
      <c r="S871" s="42" t="n"/>
      <c r="T871" s="63" t="n"/>
      <c r="U871" s="63" t="n"/>
      <c r="V871" s="53" t="inlineStr">
        <is>
          <t>Marvel's Spider-Man</t>
        </is>
      </c>
      <c r="W871" s="41" t="n">
        <v>3</v>
      </c>
      <c r="X871" s="37">
        <f>SUM(Y871:AE871)</f>
        <v/>
      </c>
      <c r="Y871" s="43" t="n"/>
      <c r="Z871" s="43" t="n"/>
      <c r="AA871" s="43" t="n"/>
      <c r="AB871" s="43" t="n"/>
      <c r="AC871" s="43" t="n">
        <v>1</v>
      </c>
      <c r="AD871" s="43" t="n"/>
      <c r="AE871" s="43" t="n"/>
      <c r="AF871" s="38">
        <f>IF((W871-SUM(Y871:AE871))&lt;0,0,W871-SUM(Y871:AE871))</f>
        <v/>
      </c>
      <c r="AG871" s="38">
        <f>MAX(0,$AT871-$W871-$AI871)</f>
        <v/>
      </c>
      <c r="AH871" s="38" t="n"/>
      <c r="AI871" s="38" t="n"/>
      <c r="AJ871" s="54" t="n">
        <v>0.25</v>
      </c>
      <c r="AK871" s="54">
        <f>IF(AND($AG871&gt;0,ISNUMBER($AJ871)),$AG871*$AJ871,0)</f>
        <v/>
      </c>
      <c r="AP871" t="inlineStr">
        <is>
          <t>BL0011</t>
        </is>
      </c>
      <c r="AT871" s="37">
        <f>SUM(AU871:BA871)</f>
        <v/>
      </c>
      <c r="AU871" s="73" t="n"/>
      <c r="AV871" s="33" t="n"/>
      <c r="AW871" s="33" t="n"/>
      <c r="AX871" s="33" t="n"/>
      <c r="AY871" s="100" t="n"/>
      <c r="AZ871" s="33" t="n"/>
      <c r="BA871" s="74" t="n"/>
      <c r="BB871" s="47" t="n"/>
      <c r="BC871" s="42" t="n"/>
      <c r="BD871" s="42" t="n"/>
    </row>
    <row r="872" ht="15" customHeight="1" s="148">
      <c r="A872" t="inlineStr">
        <is>
          <t>c0868</t>
        </is>
      </c>
      <c r="B872" s="47" t="inlineStr">
        <is>
          <t>Spectral Procession</t>
        </is>
      </c>
      <c r="C872" s="38" t="inlineStr">
        <is>
          <t>W</t>
        </is>
      </c>
      <c r="D872" s="47" t="inlineStr">
        <is>
          <t>Sorcery</t>
        </is>
      </c>
      <c r="E872" s="41" t="inlineStr">
        <is>
          <t>B2</t>
        </is>
      </c>
      <c r="F872" s="38" t="n">
        <v>6</v>
      </c>
      <c r="G872" s="67" t="inlineStr">
        <is>
          <t>Create three 1/1 white Spirit creature tokens with flying.</t>
        </is>
      </c>
      <c r="H872" s="53" t="inlineStr">
        <is>
          <t>Token Producer</t>
        </is>
      </c>
      <c r="I872" s="53" t="inlineStr">
        <is>
          <t>Creates three 1/1 flying Spirit tokens</t>
        </is>
      </c>
      <c r="J872" s="53" t="n"/>
      <c r="K872" s="53" t="n"/>
      <c r="L872" s="42" t="n"/>
      <c r="M872" s="42" t="n"/>
      <c r="N872" s="42" t="n"/>
      <c r="O872" s="42" t="n"/>
      <c r="P872" s="42" t="n">
        <v>0.34</v>
      </c>
      <c r="Q872" s="42" t="n"/>
      <c r="R872" s="42" t="n"/>
      <c r="S872" s="42" t="n"/>
      <c r="T872" s="42" t="n"/>
      <c r="U872" s="42" t="n"/>
      <c r="V872" s="53" t="inlineStr">
        <is>
          <t>Shadowmoor</t>
        </is>
      </c>
      <c r="W872" s="41" t="n">
        <v>1</v>
      </c>
      <c r="X872" s="37">
        <f>SUM(Y872:AE872)</f>
        <v/>
      </c>
      <c r="Y872" s="43" t="n"/>
      <c r="Z872" s="43" t="n"/>
      <c r="AA872" s="43" t="n"/>
      <c r="AB872" s="43" t="n"/>
      <c r="AC872" s="43" t="n">
        <v>1</v>
      </c>
      <c r="AD872" s="43" t="n"/>
      <c r="AE872" s="43" t="n"/>
      <c r="AF872" s="38">
        <f>IF((W872-SUM(Y872:AE872))&lt;0,0,W872-SUM(Y872:AE872))</f>
        <v/>
      </c>
      <c r="AG872" s="38">
        <f>MAX(0,$AT872-$W872-$AI872)</f>
        <v/>
      </c>
      <c r="AH872" s="38" t="n"/>
      <c r="AI872" s="38" t="n"/>
      <c r="AJ872" s="54" t="n">
        <v>0.33</v>
      </c>
      <c r="AK872" s="54">
        <f>IF(AND($AG872&gt;0,ISNUMBER($AJ872)),$AG872*$AJ872,0)</f>
        <v/>
      </c>
      <c r="AP872" s="58" t="n"/>
      <c r="AT872" s="37">
        <f>SUM(AU872:BA872)</f>
        <v/>
      </c>
      <c r="AU872" s="73" t="n"/>
      <c r="AV872" s="33" t="n"/>
      <c r="AW872" s="33" t="n"/>
      <c r="AX872" s="33" t="n"/>
      <c r="AY872" s="99" t="n"/>
      <c r="AZ872" s="33" t="n"/>
      <c r="BA872" s="74" t="n"/>
      <c r="BB872" s="47" t="n"/>
      <c r="BC872" s="42" t="n"/>
      <c r="BD872" s="42" t="n"/>
    </row>
    <row r="873" ht="15" customHeight="1" s="148">
      <c r="A873" t="inlineStr">
        <is>
          <t>c0869</t>
        </is>
      </c>
      <c r="B873" s="47" t="inlineStr">
        <is>
          <t>Spiral into Solitude</t>
        </is>
      </c>
      <c r="C873" s="38" t="inlineStr">
        <is>
          <t>W</t>
        </is>
      </c>
      <c r="D873" s="47" t="inlineStr">
        <is>
          <t>Enchantment</t>
        </is>
      </c>
      <c r="E873" s="41" t="inlineStr">
        <is>
          <t>B2</t>
        </is>
      </c>
      <c r="F873" s="38" t="n">
        <v>2</v>
      </c>
      <c r="G873" s="67" t="inlineStr">
        <is>
          <t>Enchant creature
Enchanted creature can't attack or block.
{1}{W}, Blight 1, Sacrifice this Aura: Exile enchanted creature. (To blight 1, put a -1/-1 counter on a creature you control.)</t>
        </is>
      </c>
      <c r="H873" s="53" t="inlineStr">
        <is>
          <t>Removal</t>
        </is>
      </c>
      <c r="I873" s="53" t="inlineStr">
        <is>
          <t>Enchanted creature can't attack or block</t>
        </is>
      </c>
      <c r="J873" s="53" t="inlineStr">
        <is>
          <t>Pay {1}{W}, blight 1, sacrifice: exile enchanted creature</t>
        </is>
      </c>
      <c r="K873" s="53" t="n"/>
      <c r="L873" s="42" t="n"/>
      <c r="M873" s="42" t="n"/>
      <c r="N873" s="42" t="n"/>
      <c r="O873" s="63" t="n"/>
      <c r="P873" s="63" t="n">
        <v>0.14</v>
      </c>
      <c r="Q873" s="42" t="n"/>
      <c r="R873" s="42" t="n"/>
      <c r="S873" s="42" t="n"/>
      <c r="T873" s="63" t="n"/>
      <c r="U873" s="63" t="n"/>
      <c r="V873" s="53" t="inlineStr">
        <is>
          <t>Lorwyn Eclipsed</t>
        </is>
      </c>
      <c r="W873" s="41" t="n">
        <v>1</v>
      </c>
      <c r="X873" s="37">
        <f>SUM(Y873:AE873)</f>
        <v/>
      </c>
      <c r="Y873" s="43" t="n"/>
      <c r="Z873" s="43" t="n"/>
      <c r="AA873" s="43" t="n"/>
      <c r="AB873" s="43" t="n"/>
      <c r="AC873" s="43" t="n"/>
      <c r="AD873" s="43" t="n"/>
      <c r="AE873" s="43" t="n"/>
      <c r="AF873" s="38">
        <f>IF((W873-SUM(Y873:AE873))&lt;0,0,W873-SUM(Y873:AE873))</f>
        <v/>
      </c>
      <c r="AG873" s="38">
        <f>MAX(0,$AT873-$W873-$AI873)</f>
        <v/>
      </c>
      <c r="AH873" s="38" t="n"/>
      <c r="AI873" s="38" t="n"/>
      <c r="AJ873" s="54" t="n">
        <v>0.16</v>
      </c>
      <c r="AK873" s="54">
        <f>IF(AND($AG873&gt;0,ISNUMBER($AJ873)),$AG873*$AJ873,0)</f>
        <v/>
      </c>
      <c r="AT873" s="37">
        <f>SUM(AU873:BA873)</f>
        <v/>
      </c>
      <c r="AU873" s="73" t="n"/>
      <c r="AV873" s="33" t="n"/>
      <c r="AW873" s="33" t="n"/>
      <c r="AX873" s="33" t="n"/>
      <c r="AY873" s="33" t="n"/>
      <c r="AZ873" s="33" t="n"/>
      <c r="BA873" s="74" t="n"/>
      <c r="BB873" s="47" t="n"/>
      <c r="BC873" s="42" t="n"/>
      <c r="BD873" s="42" t="n"/>
    </row>
    <row r="874" ht="15" customHeight="1" s="148">
      <c r="A874" t="inlineStr">
        <is>
          <t>c0870</t>
        </is>
      </c>
      <c r="B874" s="47" t="inlineStr">
        <is>
          <t>Staff of the Storyteller</t>
        </is>
      </c>
      <c r="C874" s="38" t="inlineStr">
        <is>
          <t>W</t>
        </is>
      </c>
      <c r="D874" s="47" t="inlineStr">
        <is>
          <t>Artifact</t>
        </is>
      </c>
      <c r="E874" s="41" t="inlineStr">
        <is>
          <t>B2</t>
        </is>
      </c>
      <c r="F874" s="38" t="n">
        <v>2</v>
      </c>
      <c r="G874" s="67" t="inlineStr">
        <is>
          <t>When this artifact enters, create a 1/1 white Spirit creature token with flying.
Whenever you create one or more creature tokens, put a story counter on this artifact.
{W}, {T}, Remove a story counter from this artifact: Draw a card.</t>
        </is>
      </c>
      <c r="H874" s="53" t="inlineStr">
        <is>
          <t>Token Producer</t>
        </is>
      </c>
      <c r="I874" s="53" t="inlineStr">
        <is>
          <t>Enters: create a 1/1 flying Spirit token</t>
        </is>
      </c>
      <c r="J874" s="53" t="inlineStr">
        <is>
          <t>Creating creature tokens adds a story counter to this</t>
        </is>
      </c>
      <c r="K874" s="53" t="inlineStr">
        <is>
          <t>Pay {W}, tap, remove a story counter: draw a card</t>
        </is>
      </c>
      <c r="L874" s="42" t="n"/>
      <c r="M874" s="42" t="n"/>
      <c r="N874" s="42" t="n"/>
      <c r="O874" s="42" t="n"/>
      <c r="P874" s="42" t="n">
        <v>0.44</v>
      </c>
      <c r="Q874" s="42" t="n"/>
      <c r="R874" s="42" t="n"/>
      <c r="S874" s="42" t="n"/>
      <c r="T874" s="42" t="n"/>
      <c r="U874" s="42" t="n"/>
      <c r="V874" s="53" t="inlineStr">
        <is>
          <t>Phyrexia: All Will Be One Commander</t>
        </is>
      </c>
      <c r="W874" s="41" t="n">
        <v>1</v>
      </c>
      <c r="X874" s="37">
        <f>SUM(Y874:AE874)</f>
        <v/>
      </c>
      <c r="Y874" s="43" t="n"/>
      <c r="Z874" s="43" t="n"/>
      <c r="AA874" s="43" t="n"/>
      <c r="AB874" s="43" t="n"/>
      <c r="AC874" s="43" t="n">
        <v>1</v>
      </c>
      <c r="AD874" s="43" t="n"/>
      <c r="AE874" s="43" t="n"/>
      <c r="AF874" s="38">
        <f>IF((W874-SUM(Y874:AE874))&lt;0,0,W874-SUM(Y874:AE874))</f>
        <v/>
      </c>
      <c r="AG874" s="38">
        <f>MAX(0,$AT874-$W874-$AI874)</f>
        <v/>
      </c>
      <c r="AH874" s="38" t="n"/>
      <c r="AI874" s="38" t="n"/>
      <c r="AJ874" s="54" t="n">
        <v>0.44</v>
      </c>
      <c r="AK874" s="54">
        <f>IF(AND($AG874&gt;0,ISNUMBER($AJ874)),$AG874*$AJ874,0)</f>
        <v/>
      </c>
      <c r="AT874" s="37">
        <f>SUM(AU874:BA874)</f>
        <v/>
      </c>
      <c r="AU874" s="73" t="n"/>
      <c r="AV874" s="33" t="n"/>
      <c r="AW874" s="33" t="n"/>
      <c r="AX874" s="33" t="n"/>
      <c r="AY874" s="98" t="n">
        <v>1</v>
      </c>
      <c r="AZ874" s="33" t="n"/>
      <c r="BA874" s="74" t="n"/>
      <c r="BB874" s="47" t="n"/>
      <c r="BC874" s="42" t="n"/>
      <c r="BD874" s="42" t="n"/>
    </row>
    <row r="875" ht="15" customHeight="1" s="148">
      <c r="A875" t="inlineStr">
        <is>
          <t>c0871</t>
        </is>
      </c>
      <c r="B875" s="47" t="inlineStr">
        <is>
          <t>Stalwart Shield-Bearers</t>
        </is>
      </c>
      <c r="C875" s="38" t="inlineStr">
        <is>
          <t>W</t>
        </is>
      </c>
      <c r="D875" s="47" t="inlineStr">
        <is>
          <t>Creature</t>
        </is>
      </c>
      <c r="E875" s="41" t="inlineStr">
        <is>
          <t>B2</t>
        </is>
      </c>
      <c r="F875" s="38" t="n">
        <v>2</v>
      </c>
      <c r="G875" s="67" t="inlineStr">
        <is>
          <t>Defender
Other creatures you control with defender get +0/+2.
(0/3)</t>
        </is>
      </c>
      <c r="H875" s="53" t="inlineStr">
        <is>
          <t>Utility Creature</t>
        </is>
      </c>
      <c r="I875" s="53" t="inlineStr">
        <is>
          <t>Defender</t>
        </is>
      </c>
      <c r="J875" s="53" t="inlineStr">
        <is>
          <t>Other creatures you control with defender get +0/+2</t>
        </is>
      </c>
      <c r="K875" s="53" t="n"/>
      <c r="L875" s="42" t="n"/>
      <c r="M875" s="42" t="n"/>
      <c r="N875" s="42" t="n"/>
      <c r="O875" s="42" t="n"/>
      <c r="P875" s="42" t="n">
        <v>1.84</v>
      </c>
      <c r="Q875" s="42" t="n"/>
      <c r="R875" s="42" t="n"/>
      <c r="S875" s="42" t="n"/>
      <c r="T875" s="42" t="n"/>
      <c r="U875" s="42" t="n"/>
      <c r="V875" s="53" t="inlineStr">
        <is>
          <t>Rise of the Eldrazi</t>
        </is>
      </c>
      <c r="W875" s="41" t="n">
        <v>0</v>
      </c>
      <c r="X875" s="37">
        <f>SUM(Y875:AE875)</f>
        <v/>
      </c>
      <c r="Y875" s="43" t="n"/>
      <c r="Z875" s="43" t="n"/>
      <c r="AA875" s="43" t="n"/>
      <c r="AB875" s="43" t="n"/>
      <c r="AC875" s="43" t="n"/>
      <c r="AD875" s="43" t="n"/>
      <c r="AE875" s="43" t="n"/>
      <c r="AF875" s="38">
        <f>IF((W875-SUM(Y875:AE875))&lt;0,0,W875-SUM(Y875:AE875))</f>
        <v/>
      </c>
      <c r="AG875" s="38">
        <f>MAX(0,$AT875-$W875-$AI875)</f>
        <v/>
      </c>
      <c r="AH875" s="38" t="n"/>
      <c r="AI875" s="38" t="n"/>
      <c r="AJ875" s="54" t="n">
        <v>1.88</v>
      </c>
      <c r="AK875" s="54">
        <f>IF(AND($AG875&gt;0,ISNUMBER($AJ875)),$AG875*$AJ875,0)</f>
        <v/>
      </c>
      <c r="AL875" s="54" t="n"/>
      <c r="AM875" s="54" t="n"/>
      <c r="AN875" s="54" t="n"/>
      <c r="AO875" s="54" t="n"/>
      <c r="AP875" s="54" t="n"/>
      <c r="AQ875" s="54" t="n"/>
      <c r="AR875" s="54" t="n"/>
      <c r="AS875" s="54" t="n"/>
      <c r="AT875" s="37">
        <f>SUM(AU875:BA875)</f>
        <v/>
      </c>
      <c r="AU875" s="92" t="n"/>
      <c r="AV875" s="38" t="n"/>
      <c r="AW875" s="38" t="n"/>
      <c r="AX875" s="38" t="n"/>
      <c r="AY875" s="38" t="n"/>
      <c r="AZ875" s="38" t="n"/>
      <c r="BA875" s="94" t="n"/>
      <c r="BB875" s="47" t="n"/>
      <c r="BC875" s="42" t="n"/>
      <c r="BD875" s="42" t="n"/>
    </row>
    <row r="876" ht="15" customHeight="1" s="148">
      <c r="A876" t="inlineStr">
        <is>
          <t>c0872</t>
        </is>
      </c>
      <c r="B876" s="32" t="inlineStr">
        <is>
          <t>Stand Up for Yourself</t>
        </is>
      </c>
      <c r="C876" s="33" t="inlineStr">
        <is>
          <t>W</t>
        </is>
      </c>
      <c r="D876" s="32" t="inlineStr">
        <is>
          <t>Instant</t>
        </is>
      </c>
      <c r="E876" s="33" t="inlineStr">
        <is>
          <t>B2</t>
        </is>
      </c>
      <c r="F876" s="33" t="n">
        <v>3</v>
      </c>
      <c r="G876" s="67" t="inlineStr">
        <is>
          <t>Destroy target creature with power 3 or greater.</t>
        </is>
      </c>
      <c r="H876" s="32" t="inlineStr">
        <is>
          <t>Removal</t>
        </is>
      </c>
      <c r="I876" s="32" t="inlineStr">
        <is>
          <t>Destroys target creature with power 3 or greater</t>
        </is>
      </c>
      <c r="J876" s="32" t="n"/>
      <c r="K876" s="32" t="n"/>
      <c r="L876" s="89" t="inlineStr">
        <is>
          <t>34</t>
        </is>
      </c>
      <c r="M876" s="33" t="n">
        <v>2</v>
      </c>
      <c r="N876" s="33" t="n">
        <v>0</v>
      </c>
      <c r="O876" s="63" t="inlineStr">
        <is>
          <t>Nathaniel Himawan</t>
        </is>
      </c>
      <c r="P876" s="90" t="n">
        <v>0.11</v>
      </c>
      <c r="Q876" s="32" t="inlineStr">
        <is>
          <t>Uncommon</t>
        </is>
      </c>
      <c r="R876" s="32" t="n"/>
      <c r="S876" s="32" t="n"/>
      <c r="T876" s="63" t="n"/>
      <c r="U876" s="63" t="n"/>
      <c r="V876" s="32" t="inlineStr">
        <is>
          <t>Secrets of Strixhaven</t>
        </is>
      </c>
      <c r="W876" s="41" t="n">
        <v>2</v>
      </c>
      <c r="X876" s="37">
        <f>SUM(Y876:AE876)</f>
        <v/>
      </c>
      <c r="Y876" s="43" t="n"/>
      <c r="Z876" s="43" t="n"/>
      <c r="AA876" s="43" t="n"/>
      <c r="AB876" s="43" t="n"/>
      <c r="AC876" s="43" t="n"/>
      <c r="AD876" s="43" t="n"/>
      <c r="AE876" s="43" t="n"/>
      <c r="AF876" s="38">
        <f>IF((W876-SUM(Y876:AE876))&lt;0,0,W876-SUM(Y876:AE876))</f>
        <v/>
      </c>
      <c r="AG876" s="38">
        <f>MAX(0,$AT876-$W876-$AI876)</f>
        <v/>
      </c>
      <c r="AH876" s="32" t="n"/>
      <c r="AI876" s="32" t="n"/>
      <c r="AJ876" s="61" t="n">
        <v>0.17</v>
      </c>
      <c r="AK876" s="54">
        <f>IF(AND($AG876&gt;0,ISNUMBER($AJ876)),$AG876*$AJ876,0)</f>
        <v/>
      </c>
      <c r="AT876" s="37">
        <f>SUM(AU876:BA876)</f>
        <v/>
      </c>
      <c r="AU876" s="73" t="n"/>
      <c r="AV876" s="33" t="n"/>
      <c r="AW876" s="33" t="n"/>
      <c r="AX876" s="33" t="n"/>
      <c r="AY876" s="33" t="n"/>
      <c r="AZ876" s="33" t="n"/>
      <c r="BA876" s="74" t="n"/>
      <c r="BB876" s="32" t="n"/>
      <c r="BC876" s="32" t="n"/>
      <c r="BD876" s="32" t="n"/>
    </row>
    <row r="877" ht="15" customHeight="1" s="148">
      <c r="A877" t="inlineStr">
        <is>
          <t>c0873</t>
        </is>
      </c>
      <c r="B877" s="42" t="inlineStr">
        <is>
          <t>Stone by Sunlight</t>
        </is>
      </c>
      <c r="C877" s="41" t="inlineStr">
        <is>
          <t>W</t>
        </is>
      </c>
      <c r="D877" s="42" t="inlineStr">
        <is>
          <t>Instant</t>
        </is>
      </c>
      <c r="E877" s="41" t="inlineStr">
        <is>
          <t>B2</t>
        </is>
      </c>
      <c r="F877" s="41" t="n">
        <v>2</v>
      </c>
      <c r="G877" s="67" t="inlineStr">
        <is>
          <t>Choose one —
• Destroy target creature with power 4 or greater.
• Until end of turn, target creature becomes an artifact in addition to its other types and gains indestructible. (Damage and effects that say "destroy" don't destroy it.)</t>
        </is>
      </c>
      <c r="H877" s="42" t="inlineStr">
        <is>
          <t>Removal</t>
        </is>
      </c>
      <c r="I877" s="42" t="inlineStr">
        <is>
          <t>Destroys a creature with power 4 or greater</t>
        </is>
      </c>
      <c r="J877" s="42" t="inlineStr">
        <is>
          <t>Or makes a creature an artifact and indestructible until end of turn</t>
        </is>
      </c>
      <c r="K877" s="42" t="n"/>
      <c r="L877" s="42" t="n"/>
      <c r="M877" s="42" t="n"/>
      <c r="N877" s="42" t="n"/>
      <c r="O877" s="63" t="n"/>
      <c r="P877" s="63" t="n">
        <v>0.17</v>
      </c>
      <c r="Q877" s="42" t="n"/>
      <c r="R877" s="42" t="n"/>
      <c r="S877" s="42" t="n"/>
      <c r="T877" s="63" t="n"/>
      <c r="U877" s="63" t="n"/>
      <c r="V877" s="42" t="inlineStr">
        <is>
          <t>The Hobbit</t>
        </is>
      </c>
      <c r="W877" s="41" t="n">
        <v>1</v>
      </c>
      <c r="X877" s="37">
        <f>SUM(Y877:AE877)</f>
        <v/>
      </c>
      <c r="Y877" s="43" t="n"/>
      <c r="Z877" s="43" t="n"/>
      <c r="AA877" s="43" t="n"/>
      <c r="AB877" s="43" t="n"/>
      <c r="AC877" s="43" t="n">
        <v>1</v>
      </c>
      <c r="AD877" s="43" t="n"/>
      <c r="AE877" s="43" t="n"/>
      <c r="AF877" s="38">
        <f>IF((W877-SUM(Y877:AE877))&lt;0,0,W877-SUM(Y877:AE877))</f>
        <v/>
      </c>
      <c r="AG877" s="38">
        <f>MAX(0,$AT877-$W877-$AI877)</f>
        <v/>
      </c>
      <c r="AH877" s="42" t="n"/>
      <c r="AI877" s="42" t="n"/>
      <c r="AJ877" s="42" t="n">
        <v>0.18</v>
      </c>
      <c r="AK877" s="42">
        <f>IF(AND($AG877&gt;0,ISNUMBER($AJ877)),$AG877*$AJ877,0)</f>
        <v/>
      </c>
      <c r="AT877" s="37">
        <f>SUM(AU877:BA877)</f>
        <v/>
      </c>
      <c r="AU877" s="73" t="n"/>
      <c r="AV877" s="33" t="n"/>
      <c r="AW877" s="33" t="n"/>
      <c r="AX877" s="33" t="n"/>
      <c r="AY877" s="98" t="n">
        <v>1</v>
      </c>
      <c r="AZ877" s="33" t="n"/>
      <c r="BA877" s="74" t="n"/>
      <c r="BB877" s="42" t="n"/>
      <c r="BC877" s="42" t="n"/>
      <c r="BD877" s="42" t="n"/>
    </row>
    <row r="878" ht="15" customHeight="1" s="148">
      <c r="A878" t="inlineStr">
        <is>
          <t>c0874</t>
        </is>
      </c>
      <c r="B878" s="32" t="inlineStr">
        <is>
          <t>Stone Docent</t>
        </is>
      </c>
      <c r="C878" s="33" t="inlineStr">
        <is>
          <t>W</t>
        </is>
      </c>
      <c r="D878" s="32" t="inlineStr">
        <is>
          <t>Creature</t>
        </is>
      </c>
      <c r="E878" s="33" t="inlineStr">
        <is>
          <t>B2</t>
        </is>
      </c>
      <c r="F878" s="33" t="n">
        <v>2</v>
      </c>
      <c r="G878" s="67" t="inlineStr">
        <is>
          <t>{W}, Exile this card from your graveyard: You gain 2 life. Surveil 1. Activate only as a sorcery. (Look at the top card of your library. You may put it into your graveyard.)
(3/1)</t>
        </is>
      </c>
      <c r="H878" s="32" t="inlineStr">
        <is>
          <t>Lifegain</t>
        </is>
      </c>
      <c r="I878" s="32" t="inlineStr">
        <is>
          <t>{W}, exile this card from your graveyard: gain 2 life and surveil 1, as a sorcery</t>
        </is>
      </c>
      <c r="J878" s="32" t="inlineStr">
        <is>
          <t>3/1 body</t>
        </is>
      </c>
      <c r="K878" s="32" t="n"/>
      <c r="L878" s="32" t="inlineStr">
        <is>
          <t>36</t>
        </is>
      </c>
      <c r="M878" s="32" t="n">
        <v>1</v>
      </c>
      <c r="N878" s="32" t="n">
        <v>0</v>
      </c>
      <c r="O878" s="63" t="n"/>
      <c r="P878" s="63" t="n">
        <v>0.07000000000000001</v>
      </c>
      <c r="Q878" s="32" t="inlineStr">
        <is>
          <t>Common</t>
        </is>
      </c>
      <c r="R878" s="32" t="n"/>
      <c r="S878" s="32" t="n"/>
      <c r="T878" s="63" t="n"/>
      <c r="U878" s="63" t="n"/>
      <c r="V878" s="32" t="inlineStr">
        <is>
          <t>Secrets of Strixhaven</t>
        </is>
      </c>
      <c r="W878" s="41" t="n">
        <v>1</v>
      </c>
      <c r="X878" s="37">
        <f>SUM(Y878:AE878)</f>
        <v/>
      </c>
      <c r="Y878" s="43" t="n"/>
      <c r="Z878" s="43" t="n"/>
      <c r="AA878" s="43" t="n"/>
      <c r="AB878" s="43" t="n"/>
      <c r="AC878" s="43" t="n"/>
      <c r="AD878" s="43" t="n"/>
      <c r="AE878" s="43" t="n"/>
      <c r="AF878" s="38">
        <f>IF((W878-SUM(Y878:AE878))&lt;0,0,W878-SUM(Y878:AE878))</f>
        <v/>
      </c>
      <c r="AG878" s="38">
        <f>MAX(0,$AT878-$W878-$AI878)</f>
        <v/>
      </c>
      <c r="AH878" s="32" t="n"/>
      <c r="AI878" s="32" t="n"/>
      <c r="AJ878" s="61" t="n">
        <v>0.07000000000000001</v>
      </c>
      <c r="AK878" s="54">
        <f>IF(AND($AG878&gt;0,ISNUMBER($AJ878)),$AG878*$AJ878,0)</f>
        <v/>
      </c>
      <c r="AT878" s="37">
        <f>SUM(AU878:BA878)</f>
        <v/>
      </c>
      <c r="AU878" s="73" t="n"/>
      <c r="AV878" s="33" t="n"/>
      <c r="AW878" s="33" t="n"/>
      <c r="AX878" s="33" t="n"/>
      <c r="AY878" s="33" t="n"/>
      <c r="AZ878" s="33" t="n"/>
      <c r="BA878" s="74" t="n"/>
      <c r="BB878" s="32" t="n"/>
      <c r="BC878" s="32" t="n"/>
      <c r="BD878" s="32" t="n"/>
    </row>
    <row r="879" ht="15" customHeight="1" s="148">
      <c r="A879" t="inlineStr">
        <is>
          <t>c0875</t>
        </is>
      </c>
      <c r="B879" s="47" t="inlineStr">
        <is>
          <t>Stonecloaker</t>
        </is>
      </c>
      <c r="C879" s="38" t="inlineStr">
        <is>
          <t>W</t>
        </is>
      </c>
      <c r="D879" s="47" t="inlineStr">
        <is>
          <t>Creature</t>
        </is>
      </c>
      <c r="E879" s="41" t="inlineStr">
        <is>
          <t>B2</t>
        </is>
      </c>
      <c r="F879" s="38" t="n">
        <v>3</v>
      </c>
      <c r="G879" s="67" t="inlineStr">
        <is>
          <t>Flash
Flying
When this creature enters, return a creature you control to its owner's hand.
When this creature enters, exile target card from a graveyard.
(3/2)</t>
        </is>
      </c>
      <c r="H879" s="53" t="inlineStr">
        <is>
          <t>Protection</t>
        </is>
      </c>
      <c r="I879" s="53" t="inlineStr">
        <is>
          <t>Flash</t>
        </is>
      </c>
      <c r="J879" s="53" t="inlineStr">
        <is>
          <t>Flying</t>
        </is>
      </c>
      <c r="K879" s="53" t="inlineStr">
        <is>
          <t>When this creature enters, return a creature you control to its owner's hand</t>
        </is>
      </c>
      <c r="L879" s="42" t="n"/>
      <c r="M879" s="42" t="n"/>
      <c r="N879" s="42" t="n"/>
      <c r="O879" s="42" t="n"/>
      <c r="P879" s="42" t="n">
        <v>0.11</v>
      </c>
      <c r="Q879" s="42" t="n"/>
      <c r="R879" s="42" t="n"/>
      <c r="S879" s="42" t="n"/>
      <c r="T879" s="42" t="n"/>
      <c r="U879" s="42" t="n"/>
      <c r="V879" s="53" t="inlineStr">
        <is>
          <t>Planar Chaos</t>
        </is>
      </c>
      <c r="W879" s="41" t="n">
        <v>1</v>
      </c>
      <c r="X879" s="37">
        <f>SUM(Y879:AE879)</f>
        <v/>
      </c>
      <c r="Y879" s="43" t="n"/>
      <c r="Z879" s="43" t="n">
        <v>1</v>
      </c>
      <c r="AA879" s="43" t="n"/>
      <c r="AB879" s="43" t="n"/>
      <c r="AC879" s="43" t="n"/>
      <c r="AD879" s="43" t="n"/>
      <c r="AE879" s="43" t="n"/>
      <c r="AF879" s="38">
        <f>IF((W879-SUM(Y879:AE879))&lt;0,0,W879-SUM(Y879:AE879))</f>
        <v/>
      </c>
      <c r="AG879" s="38">
        <f>MAX(0,$AT879-$W879-$AI879)</f>
        <v/>
      </c>
      <c r="AH879" s="38" t="n"/>
      <c r="AI879" s="38" t="n"/>
      <c r="AJ879" s="54" t="n">
        <v>0.11</v>
      </c>
      <c r="AK879" s="54">
        <f>IF(AND($AG879&gt;0,ISNUMBER($AJ879)),$AG879*$AJ879,0)</f>
        <v/>
      </c>
      <c r="AT879" s="37">
        <f>SUM(AU879:BA879)</f>
        <v/>
      </c>
      <c r="AU879" s="73" t="n"/>
      <c r="AV879" s="98" t="n">
        <v>1</v>
      </c>
      <c r="AW879" s="33" t="n"/>
      <c r="AX879" s="33" t="n"/>
      <c r="AY879" s="33" t="n"/>
      <c r="AZ879" s="33" t="n"/>
      <c r="BA879" s="74" t="n"/>
      <c r="BB879" s="47" t="n"/>
      <c r="BC879" s="42" t="n"/>
      <c r="BD879" s="42" t="n"/>
    </row>
    <row r="880" ht="15" customHeight="1" s="148">
      <c r="A880" t="inlineStr">
        <is>
          <t>c0876</t>
        </is>
      </c>
      <c r="B880" s="47" t="inlineStr">
        <is>
          <t>Sun Titan</t>
        </is>
      </c>
      <c r="C880" s="38" t="inlineStr">
        <is>
          <t>W</t>
        </is>
      </c>
      <c r="D880" s="47" t="inlineStr">
        <is>
          <t>Creature</t>
        </is>
      </c>
      <c r="E880" s="41" t="inlineStr">
        <is>
          <t>B3</t>
        </is>
      </c>
      <c r="F880" s="38" t="n">
        <v>6</v>
      </c>
      <c r="G880" s="67" t="inlineStr">
        <is>
          <t>Vigilance
Whenever this creature enters or attacks, you may return target permanent card with mana value 3 or less from your graveyard to the battlefield.
(6/6)</t>
        </is>
      </c>
      <c r="H880" s="53" t="inlineStr">
        <is>
          <t>Recursion</t>
        </is>
      </c>
      <c r="I880" s="53" t="inlineStr">
        <is>
          <t>6/6 body that can block after attacking</t>
        </is>
      </c>
      <c r="J880" s="53" t="inlineStr">
        <is>
          <t>Enters or attacks: return a MV 3 or less permanent from graveyard to battlefield</t>
        </is>
      </c>
      <c r="K880" s="53" t="n"/>
      <c r="L880" s="41" t="n"/>
      <c r="M880" s="41" t="n"/>
      <c r="N880" s="41" t="n"/>
      <c r="O880" s="41" t="n"/>
      <c r="P880" s="41" t="n">
        <v>0.32</v>
      </c>
      <c r="Q880" s="41" t="n"/>
      <c r="R880" s="41" t="n"/>
      <c r="S880" s="41" t="n"/>
      <c r="T880" s="41" t="n"/>
      <c r="U880" s="41" t="n"/>
      <c r="V880" s="53" t="inlineStr">
        <is>
          <t>Magic 2011</t>
        </is>
      </c>
      <c r="W880" s="41" t="n">
        <v>2</v>
      </c>
      <c r="X880" s="37">
        <f>SUM(Y880:AE880)</f>
        <v/>
      </c>
      <c r="Y880" s="43" t="n">
        <v>1</v>
      </c>
      <c r="Z880" s="43" t="n"/>
      <c r="AA880" s="43" t="n"/>
      <c r="AB880" s="43" t="n"/>
      <c r="AC880" s="43" t="n"/>
      <c r="AD880" s="43" t="n"/>
      <c r="AE880" s="43" t="n"/>
      <c r="AF880" s="38">
        <f>IF((W880-SUM(Y880:AE880))&lt;0,0,W880-SUM(Y880:AE880))</f>
        <v/>
      </c>
      <c r="AG880" s="38">
        <f>MAX(0,$AT880-$W880-$AI880)</f>
        <v/>
      </c>
      <c r="AH880" s="38" t="n"/>
      <c r="AI880" s="38" t="n"/>
      <c r="AJ880" s="54" t="n">
        <v>0.34</v>
      </c>
      <c r="AK880" s="54">
        <f>IF(AND($AG880&gt;0,ISNUMBER($AJ880)),$AG880*$AJ880,0)</f>
        <v/>
      </c>
      <c r="AT880" s="37">
        <f>SUM(AU880:BA880)</f>
        <v/>
      </c>
      <c r="AU880" s="82" t="n">
        <v>1</v>
      </c>
      <c r="AV880" s="33" t="n"/>
      <c r="AW880" s="33" t="n"/>
      <c r="AX880" s="33" t="n"/>
      <c r="AY880" s="33" t="n"/>
      <c r="AZ880" s="33" t="n"/>
      <c r="BA880" s="74" t="n"/>
      <c r="BB880" s="47" t="n"/>
      <c r="BC880" s="42" t="n"/>
      <c r="BD880" s="42" t="n"/>
    </row>
    <row r="881" ht="15" customHeight="1" s="148">
      <c r="A881" t="inlineStr">
        <is>
          <t>c0877</t>
        </is>
      </c>
      <c r="B881" s="47" t="inlineStr">
        <is>
          <t>Sun-Dappled Celebrant</t>
        </is>
      </c>
      <c r="C881" s="38" t="inlineStr">
        <is>
          <t>W</t>
        </is>
      </c>
      <c r="D881" s="47" t="inlineStr">
        <is>
          <t>Creature</t>
        </is>
      </c>
      <c r="E881" s="41" t="inlineStr">
        <is>
          <t>B2</t>
        </is>
      </c>
      <c r="F881" s="38" t="n">
        <v>6</v>
      </c>
      <c r="G881" s="67" t="inlineStr">
        <is>
          <t>Convoke (Your creatures can help cast this spell. Each creature you tap while casting this spell pays for {1} or one mana of that creature's color.)
Vigilance
(5/6)</t>
        </is>
      </c>
      <c r="H881" s="53" t="inlineStr">
        <is>
          <t>Utility Creature</t>
        </is>
      </c>
      <c r="I881" s="53" t="inlineStr">
        <is>
          <t>Can be cast for less by tapping creatures (convoke)</t>
        </is>
      </c>
      <c r="J881" s="53" t="inlineStr">
        <is>
          <t>Vigilance body</t>
        </is>
      </c>
      <c r="K881" s="53" t="n"/>
      <c r="L881" s="42" t="n"/>
      <c r="M881" s="42" t="n"/>
      <c r="N881" s="42" t="n"/>
      <c r="O881" s="63" t="n"/>
      <c r="P881" s="63" t="n">
        <v>0.14</v>
      </c>
      <c r="Q881" s="42" t="n"/>
      <c r="R881" s="42" t="n"/>
      <c r="S881" s="42" t="n"/>
      <c r="T881" s="63" t="n"/>
      <c r="U881" s="63" t="n"/>
      <c r="V881" s="53" t="inlineStr">
        <is>
          <t>Lorwyn Eclipsed</t>
        </is>
      </c>
      <c r="W881" s="41" t="n">
        <v>2</v>
      </c>
      <c r="X881" s="37">
        <f>SUM(Y881:AE881)</f>
        <v/>
      </c>
      <c r="Y881" s="43" t="n"/>
      <c r="Z881" s="43" t="n"/>
      <c r="AA881" s="43" t="n"/>
      <c r="AB881" s="43" t="n"/>
      <c r="AC881" s="43" t="n"/>
      <c r="AD881" s="43" t="n"/>
      <c r="AE881" s="43" t="n"/>
      <c r="AF881" s="38">
        <f>IF((W881-SUM(Y881:AE881))&lt;0,0,W881-SUM(Y881:AE881))</f>
        <v/>
      </c>
      <c r="AG881" s="38">
        <f>MAX(0,$AT881-$W881-$AI881)</f>
        <v/>
      </c>
      <c r="AH881" s="38" t="n"/>
      <c r="AI881" s="38" t="n"/>
      <c r="AJ881" s="54" t="n">
        <v>0.16</v>
      </c>
      <c r="AK881" s="54">
        <f>IF(AND($AG881&gt;0,ISNUMBER($AJ881)),$AG881*$AJ881,0)</f>
        <v/>
      </c>
      <c r="AT881" s="37">
        <f>SUM(AU881:BA881)</f>
        <v/>
      </c>
      <c r="AU881" s="73" t="n"/>
      <c r="AV881" s="33" t="n"/>
      <c r="AW881" s="33" t="n"/>
      <c r="AX881" s="33" t="n"/>
      <c r="AY881" s="33" t="n"/>
      <c r="AZ881" s="33" t="n"/>
      <c r="BA881" s="74" t="n"/>
      <c r="BB881" s="47" t="n"/>
      <c r="BC881" s="42" t="n"/>
      <c r="BD881" s="42" t="n"/>
    </row>
    <row r="882" ht="15" customHeight="1" s="148">
      <c r="A882" t="inlineStr">
        <is>
          <t>c0878</t>
        </is>
      </c>
      <c r="B882" s="47" t="inlineStr">
        <is>
          <t>Suture Priest</t>
        </is>
      </c>
      <c r="C882" s="38" t="inlineStr">
        <is>
          <t>W</t>
        </is>
      </c>
      <c r="D882" s="47" t="inlineStr">
        <is>
          <t>Creature</t>
        </is>
      </c>
      <c r="E882" s="41" t="inlineStr">
        <is>
          <t>B2</t>
        </is>
      </c>
      <c r="F882" s="38" t="n">
        <v>2</v>
      </c>
      <c r="G882" s="67" t="inlineStr">
        <is>
          <t>Whenever another creature you control enters, you may gain 1 life.
Whenever a creature an opponent controls enters, you may have that player lose 1 life.
(1/1)</t>
        </is>
      </c>
      <c r="H882" s="53" t="inlineStr">
        <is>
          <t>Drain Payoff</t>
        </is>
      </c>
      <c r="I882" s="53" t="inlineStr">
        <is>
          <t>Gains you 1 life whenever another creature you control enters</t>
        </is>
      </c>
      <c r="J882" s="53" t="inlineStr">
        <is>
          <t>May cause an opponent to lose 1 life whenever a creature they control enters</t>
        </is>
      </c>
      <c r="K882" s="53" t="n"/>
      <c r="L882" s="42" t="n"/>
      <c r="M882" s="42" t="n"/>
      <c r="N882" s="42" t="n"/>
      <c r="O882" s="42" t="n"/>
      <c r="P882" s="42" t="n">
        <v>4.4</v>
      </c>
      <c r="Q882" s="42" t="n"/>
      <c r="R882" s="42" t="n"/>
      <c r="S882" s="42" t="n"/>
      <c r="T882" s="42" t="n"/>
      <c r="U882" s="42" t="n"/>
      <c r="V882" s="53" t="inlineStr">
        <is>
          <t>New Phyrexia</t>
        </is>
      </c>
      <c r="W882" s="41" t="n">
        <v>0</v>
      </c>
      <c r="X882" s="37">
        <f>SUM(Y882:AE882)</f>
        <v/>
      </c>
      <c r="Y882" s="43" t="n"/>
      <c r="Z882" s="43" t="n"/>
      <c r="AA882" s="43" t="n"/>
      <c r="AB882" s="43" t="n"/>
      <c r="AC882" s="43" t="n"/>
      <c r="AD882" s="43" t="n"/>
      <c r="AE882" s="43" t="n"/>
      <c r="AF882" s="38">
        <f>IF((W882-SUM(Y882:AE882))&lt;0,0,W882-SUM(Y882:AE882))</f>
        <v/>
      </c>
      <c r="AG882" s="38">
        <f>MAX(0,$AT882-$W882-$AI882)</f>
        <v/>
      </c>
      <c r="AH882" s="38" t="n"/>
      <c r="AI882" s="38" t="n"/>
      <c r="AJ882" s="54" t="n">
        <v>4.67</v>
      </c>
      <c r="AK882" s="54">
        <f>IF(AND($AG882&gt;0,ISNUMBER($AJ882)),$AG882*$AJ882,0)</f>
        <v/>
      </c>
      <c r="AL882" s="54" t="n"/>
      <c r="AM882" s="54" t="n"/>
      <c r="AN882" s="54" t="n"/>
      <c r="AO882" s="54" t="n"/>
      <c r="AP882" s="54" t="n"/>
      <c r="AQ882" s="54" t="n"/>
      <c r="AR882" s="54" t="n"/>
      <c r="AS882" s="54" t="n"/>
      <c r="AT882" s="37">
        <f>SUM(AU882:BA882)</f>
        <v/>
      </c>
      <c r="AU882" s="92" t="n"/>
      <c r="AV882" s="38" t="n"/>
      <c r="AW882" s="38" t="n"/>
      <c r="AX882" s="38" t="n"/>
      <c r="AY882" s="38" t="n">
        <v>1</v>
      </c>
      <c r="AZ882" s="38" t="n"/>
      <c r="BA882" s="94" t="n"/>
      <c r="BB882" s="47" t="n"/>
      <c r="BC882" s="42" t="n"/>
      <c r="BD882" s="42" t="n"/>
    </row>
    <row r="883" ht="15" customHeight="1" s="148">
      <c r="A883" t="inlineStr">
        <is>
          <t>c0879</t>
        </is>
      </c>
      <c r="B883" s="47" t="inlineStr">
        <is>
          <t>Swords to Plowshares</t>
        </is>
      </c>
      <c r="C883" s="38" t="inlineStr">
        <is>
          <t>W</t>
        </is>
      </c>
      <c r="D883" s="47" t="inlineStr">
        <is>
          <t>Instant</t>
        </is>
      </c>
      <c r="E883" s="41" t="inlineStr">
        <is>
          <t>B3</t>
        </is>
      </c>
      <c r="F883" s="38" t="n">
        <v>1</v>
      </c>
      <c r="G883" s="67" t="inlineStr">
        <is>
          <t>Exile target creature. Its controller gains life equal to its power.</t>
        </is>
      </c>
      <c r="H883" s="53" t="inlineStr">
        <is>
          <t>Removal</t>
        </is>
      </c>
      <c r="I883" s="53" t="inlineStr">
        <is>
          <t>Exiles target creature</t>
        </is>
      </c>
      <c r="J883" s="53" t="inlineStr">
        <is>
          <t>Its controller gains life equal to its power</t>
        </is>
      </c>
      <c r="K883" s="53" t="n"/>
      <c r="L883" s="41" t="n"/>
      <c r="M883" s="41" t="n"/>
      <c r="N883" s="41" t="n"/>
      <c r="O883" s="41" t="n"/>
      <c r="P883" s="41" t="n">
        <v>1.56</v>
      </c>
      <c r="Q883" s="41" t="n"/>
      <c r="R883" s="41" t="n"/>
      <c r="S883" s="41" t="n"/>
      <c r="T883" s="41" t="n"/>
      <c r="U883" s="41" t="n"/>
      <c r="V883" s="53" t="inlineStr">
        <is>
          <t>Limited Edition Alpha</t>
        </is>
      </c>
      <c r="W883" s="41" t="n">
        <v>2</v>
      </c>
      <c r="X883" s="37">
        <f>SUM(Y883:AE883)</f>
        <v/>
      </c>
      <c r="Y883" s="43" t="n">
        <v>1</v>
      </c>
      <c r="Z883" s="43" t="n"/>
      <c r="AA883" s="43" t="n"/>
      <c r="AB883" s="43" t="n"/>
      <c r="AC883" s="43" t="n">
        <v>1</v>
      </c>
      <c r="AD883" s="43" t="n"/>
      <c r="AE883" s="43" t="n"/>
      <c r="AF883" s="38">
        <f>IF((W883-SUM(Y883:AE883))&lt;0,0,W883-SUM(Y883:AE883))</f>
        <v/>
      </c>
      <c r="AG883" s="38">
        <f>MAX(0,$AT883-$W883-$AI883)</f>
        <v/>
      </c>
      <c r="AH883" s="38" t="n"/>
      <c r="AI883" s="38" t="n"/>
      <c r="AJ883" s="54" t="n">
        <v>1.47</v>
      </c>
      <c r="AK883" s="54">
        <f>IF(AND($AG883&gt;0,ISNUMBER($AJ883)),$AG883*$AJ883,0)</f>
        <v/>
      </c>
      <c r="AT883" s="37">
        <f>SUM(AU883:BA883)</f>
        <v/>
      </c>
      <c r="AU883" s="82" t="n">
        <v>1</v>
      </c>
      <c r="AV883" s="33" t="n"/>
      <c r="AW883" s="33" t="n"/>
      <c r="AX883" s="33" t="n"/>
      <c r="AY883" s="98" t="n">
        <v>1</v>
      </c>
      <c r="AZ883" s="33" t="n"/>
      <c r="BA883" s="74" t="n"/>
      <c r="BB883" s="47" t="n"/>
      <c r="BC883" s="42" t="n"/>
      <c r="BD883" s="42" t="n"/>
    </row>
    <row r="884" ht="15" customHeight="1" s="148">
      <c r="A884" t="inlineStr">
        <is>
          <t>c0880</t>
        </is>
      </c>
      <c r="B884" s="44" t="inlineStr">
        <is>
          <t>Teleportation Circle</t>
        </is>
      </c>
      <c r="C884" s="34" t="inlineStr">
        <is>
          <t>W</t>
        </is>
      </c>
      <c r="D884" s="44" t="inlineStr">
        <is>
          <t>Enchantment</t>
        </is>
      </c>
      <c r="E884" s="41" t="inlineStr">
        <is>
          <t>B3</t>
        </is>
      </c>
      <c r="F884" s="34" t="n">
        <v>4</v>
      </c>
      <c r="G884" s="67" t="inlineStr">
        <is>
          <t>At the beginning of your end step, exile up to one target artifact or creature you control, then return that card to the battlefield under its owner's control.</t>
        </is>
      </c>
      <c r="H884" s="45" t="inlineStr">
        <is>
          <t>Blink</t>
        </is>
      </c>
      <c r="I884" s="45" t="inlineStr">
        <is>
          <t>At the beginning of your end step, exile up to one target artifact or creature you control, then return that card to the</t>
        </is>
      </c>
      <c r="J884" s="45" t="n"/>
      <c r="K884" s="45" t="n"/>
      <c r="L884" s="42" t="n"/>
      <c r="M884" s="42" t="n"/>
      <c r="N884" s="42" t="n"/>
      <c r="O884" s="42" t="n"/>
      <c r="P884" s="42" t="n">
        <v>10.49</v>
      </c>
      <c r="Q884" s="42" t="n"/>
      <c r="R884" s="42" t="n"/>
      <c r="S884" s="42" t="n"/>
      <c r="T884" s="42" t="n"/>
      <c r="U884" s="42" t="n"/>
      <c r="V884" s="45" t="inlineStr">
        <is>
          <t>Adventures in the Forgotten Realms</t>
        </is>
      </c>
      <c r="W884" s="41" t="n">
        <v>0</v>
      </c>
      <c r="X884" s="37">
        <f>SUM(Y884:AE884)</f>
        <v/>
      </c>
      <c r="Y884" s="43" t="n"/>
      <c r="Z884" s="43" t="n"/>
      <c r="AA884" s="43" t="n"/>
      <c r="AB884" s="43" t="n"/>
      <c r="AC884" s="43" t="n"/>
      <c r="AD884" s="43" t="n"/>
      <c r="AE884" s="43" t="n"/>
      <c r="AF884" s="38">
        <f>IF((W884-SUM(Y884:AE884))&lt;0,0,W884-SUM(Y884:AE884))</f>
        <v/>
      </c>
      <c r="AG884" s="34">
        <f>MAX(0,$AT884-$W884-$AI884)</f>
        <v/>
      </c>
      <c r="AH884" s="34" t="n"/>
      <c r="AI884" s="34" t="n"/>
      <c r="AJ884" s="36" t="n">
        <v>10.93</v>
      </c>
      <c r="AK884" s="36">
        <f>IF(AND($AG884&gt;0,ISNUMBER($AJ884)),$AG884*$AJ884,0)</f>
        <v/>
      </c>
      <c r="AL884" s="54" t="n"/>
      <c r="AM884" s="54" t="n"/>
      <c r="AN884" s="54" t="n"/>
      <c r="AO884" s="54" t="n"/>
      <c r="AP884" s="54" t="n"/>
      <c r="AQ884" s="54" t="n"/>
      <c r="AR884" s="54" t="n"/>
      <c r="AS884" s="54" t="n"/>
      <c r="AT884" s="37">
        <f>SUM(AU884:BA884)</f>
        <v/>
      </c>
      <c r="AU884" s="92" t="n"/>
      <c r="AV884" s="38" t="n"/>
      <c r="AW884" s="38" t="n"/>
      <c r="AX884" s="38" t="n"/>
      <c r="AY884" s="38" t="n"/>
      <c r="AZ884" s="38" t="n"/>
      <c r="BA884" s="94" t="n"/>
      <c r="BB884" s="106" t="n"/>
      <c r="BC884" s="42" t="n"/>
      <c r="BD884" s="42" t="n"/>
    </row>
    <row r="885" ht="15" customHeight="1" s="148">
      <c r="A885" t="inlineStr">
        <is>
          <t>c0881</t>
        </is>
      </c>
      <c r="B885" s="44" t="inlineStr">
        <is>
          <t>Teshar, Ancestor's Apostle</t>
        </is>
      </c>
      <c r="C885" s="34" t="inlineStr">
        <is>
          <t>W</t>
        </is>
      </c>
      <c r="D885" s="44" t="inlineStr">
        <is>
          <t>Legendary Creature</t>
        </is>
      </c>
      <c r="E885" s="41" t="inlineStr">
        <is>
          <t>B2</t>
        </is>
      </c>
      <c r="F885" s="34" t="n">
        <v>4</v>
      </c>
      <c r="G885" s="67" t="inlineStr">
        <is>
          <t>Flying
Whenever you cast a historic spell, return target creature card with mana value 3 or less from your graveyard to the battlefield. (Artifacts, legendaries, and Sagas are historic.)
(2/2)</t>
        </is>
      </c>
      <c r="H885" s="45" t="inlineStr">
        <is>
          <t>Recursion</t>
        </is>
      </c>
      <c r="I885" s="45" t="inlineStr">
        <is>
          <t>Flying body</t>
        </is>
      </c>
      <c r="J885" s="45" t="inlineStr">
        <is>
          <t>Casting a historic spell returns a MV 3 or less creature card from graveyard to battlefield</t>
        </is>
      </c>
      <c r="K885" s="45" t="n"/>
      <c r="L885" s="41" t="n"/>
      <c r="M885" s="41" t="n"/>
      <c r="N885" s="41" t="n"/>
      <c r="O885" s="41" t="n"/>
      <c r="P885" s="41" t="n">
        <v>0.27</v>
      </c>
      <c r="Q885" s="41" t="n"/>
      <c r="R885" s="41" t="n"/>
      <c r="S885" s="41" t="n"/>
      <c r="T885" s="41" t="n"/>
      <c r="U885" s="41" t="n"/>
      <c r="V885" s="45" t="inlineStr">
        <is>
          <t>Dominaria</t>
        </is>
      </c>
      <c r="W885" s="41" t="n">
        <v>1</v>
      </c>
      <c r="X885" s="37">
        <f>SUM(Y885:AE885)</f>
        <v/>
      </c>
      <c r="Y885" s="43" t="n">
        <v>1</v>
      </c>
      <c r="Z885" s="43" t="n"/>
      <c r="AA885" s="43" t="n"/>
      <c r="AB885" s="43" t="n"/>
      <c r="AC885" s="43" t="n"/>
      <c r="AD885" s="43" t="n"/>
      <c r="AE885" s="43" t="n"/>
      <c r="AF885" s="38">
        <f>IF((W885-SUM(Y885:AE885))&lt;0,0,W885-SUM(Y885:AE885))</f>
        <v/>
      </c>
      <c r="AG885" s="34">
        <f>MAX(0,$AT885-$W885-$AI885)</f>
        <v/>
      </c>
      <c r="AH885" s="34" t="n"/>
      <c r="AI885" s="34" t="n"/>
      <c r="AJ885" s="36" t="n">
        <v>0.29</v>
      </c>
      <c r="AK885" s="36">
        <f>IF(AND($AG885&gt;0,ISNUMBER($AJ885)),$AG885*$AJ885,0)</f>
        <v/>
      </c>
      <c r="AL885" s="58" t="n"/>
      <c r="AT885" s="37">
        <f>SUM(AU885:BA885)</f>
        <v/>
      </c>
      <c r="AU885" s="82" t="n">
        <v>1</v>
      </c>
      <c r="AV885" s="33" t="n"/>
      <c r="AW885" s="33" t="n"/>
      <c r="AX885" s="33" t="n"/>
      <c r="AY885" s="33" t="n"/>
      <c r="AZ885" s="33" t="n"/>
      <c r="BA885" s="74" t="n"/>
      <c r="BB885" s="106" t="n"/>
      <c r="BC885" s="42" t="n"/>
      <c r="BD885" s="42" t="n"/>
    </row>
    <row r="886" ht="15" customHeight="1" s="148">
      <c r="A886" t="inlineStr">
        <is>
          <t>c0882</t>
        </is>
      </c>
      <c r="B886" s="44" t="inlineStr">
        <is>
          <t>The Eternal Wanderer</t>
        </is>
      </c>
      <c r="C886" s="34" t="inlineStr">
        <is>
          <t>W</t>
        </is>
      </c>
      <c r="D886" s="44" t="inlineStr">
        <is>
          <t>Legendary Planeswalker</t>
        </is>
      </c>
      <c r="E886" s="41" t="inlineStr">
        <is>
          <t>B2</t>
        </is>
      </c>
      <c r="F886" s="34" t="n">
        <v>6</v>
      </c>
      <c r="G886" s="67" t="inlineStr">
        <is>
          <t>No more than one creature can attack The Eternal Wanderer each combat.
+1: Exile up to one target artifact or creature. Return that card to the battlefield under its owner's control at the beginning of that player's next end step.
0: Create a 2/2 white Samurai creature token with double strike.
−4: For each player, choose a creature that player controls. Each player sacrifices all creatures they control not chosen this way.
(Loyalty 5)</t>
        </is>
      </c>
      <c r="H886" s="45" t="inlineStr">
        <is>
          <t>Blink</t>
        </is>
      </c>
      <c r="I886" s="45" t="inlineStr">
        <is>
          <t>+1: exiles an artifact or creature, returns it at that player's next end step</t>
        </is>
      </c>
      <c r="J886" s="45" t="inlineStr">
        <is>
          <t>0: creates a 2/2 white Samurai token with double strike</t>
        </is>
      </c>
      <c r="K886" s="45" t="inlineStr">
        <is>
          <t>-4: each player keeps one chosen creature, sacrifices the rest</t>
        </is>
      </c>
      <c r="L886" s="41" t="n"/>
      <c r="M886" s="41" t="n"/>
      <c r="N886" s="41" t="n"/>
      <c r="O886" s="41" t="n"/>
      <c r="P886" s="41" t="n">
        <v>1.1</v>
      </c>
      <c r="Q886" s="41" t="n"/>
      <c r="R886" s="41" t="n"/>
      <c r="S886" s="41" t="n"/>
      <c r="T886" s="41" t="n"/>
      <c r="U886" s="41" t="n"/>
      <c r="V886" s="45" t="inlineStr">
        <is>
          <t>Phyrexia: All Will Be One</t>
        </is>
      </c>
      <c r="W886" s="41" t="n">
        <v>1</v>
      </c>
      <c r="X886" s="37">
        <f>SUM(Y886:AE886)</f>
        <v/>
      </c>
      <c r="Y886" s="43" t="n"/>
      <c r="Z886" s="43" t="n">
        <v>1</v>
      </c>
      <c r="AA886" s="43" t="n"/>
      <c r="AB886" s="43" t="n"/>
      <c r="AC886" s="43" t="n"/>
      <c r="AD886" s="43" t="n"/>
      <c r="AE886" s="43" t="n"/>
      <c r="AF886" s="38">
        <f>IF((W886-SUM(Y886:AE886))&lt;0,0,W886-SUM(Y886:AE886))</f>
        <v/>
      </c>
      <c r="AG886" s="34">
        <f>MAX(0,$AT886-$W886-$AI886)</f>
        <v/>
      </c>
      <c r="AH886" s="34" t="n"/>
      <c r="AI886" s="34" t="n"/>
      <c r="AJ886" s="36" t="n">
        <v>1.13</v>
      </c>
      <c r="AK886" s="36">
        <f>IF(AND($AG886&gt;0,ISNUMBER($AJ886)),$AG886*$AJ886,0)</f>
        <v/>
      </c>
      <c r="AT886" s="37">
        <f>SUM(AU886:BA886)</f>
        <v/>
      </c>
      <c r="AU886" s="73" t="n"/>
      <c r="AV886" s="98" t="n">
        <v>1</v>
      </c>
      <c r="AW886" s="33" t="n"/>
      <c r="AX886" s="33" t="n"/>
      <c r="AY886" s="33" t="n"/>
      <c r="AZ886" s="33" t="n"/>
      <c r="BA886" s="74" t="n"/>
      <c r="BB886" s="106" t="n"/>
      <c r="BC886" s="42" t="n"/>
      <c r="BD886" s="42" t="n"/>
    </row>
    <row r="887" ht="15" customHeight="1" s="148">
      <c r="A887" t="inlineStr">
        <is>
          <t>c0883</t>
        </is>
      </c>
      <c r="B887" s="44" t="inlineStr">
        <is>
          <t>The Restoration of Eiganjo</t>
        </is>
      </c>
      <c r="C887" s="34" t="inlineStr">
        <is>
          <t>W</t>
        </is>
      </c>
      <c r="D887" s="44" t="inlineStr">
        <is>
          <t>Enchantment</t>
        </is>
      </c>
      <c r="E887" s="41" t="inlineStr">
        <is>
          <t>B2</t>
        </is>
      </c>
      <c r="F887" s="34" t="n">
        <v>3</v>
      </c>
      <c r="G887" s="67" t="inlineStr">
        <is>
          <t>The Restoration of Eiganjo {2}{W} — Enchantment — Saga
(As this Saga enters and after your draw step, add a lore counter.)
I — Search your library for a basic Plains card, reveal it, put it into your hand, then shuffle.
II — You may discard a card. When you do, return target permanent card with mana value 2 or less from your graveyard to the battlefield tapped.
III — Exile this Saga, then return it to the battlefield transformed under your control.
//
Architect of Restoration — Enchantment Creature — Fox Monk (3/4)
Vigilance
Whenever this creature attacks or blocks, create a 1/1 colorless Spirit creature token.</t>
        </is>
      </c>
      <c r="H887" s="45" t="inlineStr">
        <is>
          <t>Recursion</t>
        </is>
      </c>
      <c r="I887" s="45" t="inlineStr">
        <is>
          <t>Chapter I: search library for a basic Plains to hand</t>
        </is>
      </c>
      <c r="J887" s="45" t="inlineStr">
        <is>
          <t>Chapter II: discard a card to reanimate a permanent MV 2 or less</t>
        </is>
      </c>
      <c r="K887" s="45" t="inlineStr">
        <is>
          <t>Chapter III: transforms into a creature that makes Spirit tokens on attack/block</t>
        </is>
      </c>
      <c r="L887" s="42" t="n"/>
      <c r="M887" s="42" t="n"/>
      <c r="N887" s="42" t="n"/>
      <c r="O887" s="42" t="n"/>
      <c r="P887" s="42" t="n"/>
      <c r="Q887" s="42" t="n"/>
      <c r="R887" s="42" t="n"/>
      <c r="S887" s="42" t="n"/>
      <c r="T887" s="42" t="n"/>
      <c r="U887" s="42" t="n"/>
      <c r="V887" s="45" t="inlineStr">
        <is>
          <t>Kamigawa: Neon Dynasty</t>
        </is>
      </c>
      <c r="W887" s="41" t="n">
        <v>1</v>
      </c>
      <c r="X887" s="37">
        <f>SUM(Y887:AE887)</f>
        <v/>
      </c>
      <c r="Y887" s="43" t="n"/>
      <c r="Z887" s="43" t="n"/>
      <c r="AA887" s="43" t="n"/>
      <c r="AB887" s="43" t="n"/>
      <c r="AC887" s="43" t="n"/>
      <c r="AD887" s="43" t="n"/>
      <c r="AE887" s="43" t="n"/>
      <c r="AF887" s="38">
        <f>IF((W887-SUM(Y887:AE887))&lt;0,0,W887-SUM(Y887:AE887))</f>
        <v/>
      </c>
      <c r="AG887" s="34">
        <f>MAX(0,$AT887-$W887-$AI887)</f>
        <v/>
      </c>
      <c r="AH887" s="34" t="n"/>
      <c r="AI887" s="34" t="n"/>
      <c r="AJ887" s="36" t="n">
        <v>0.57</v>
      </c>
      <c r="AK887" s="36">
        <f>IF(AND($AG887&gt;0,ISNUMBER($AJ887)),$AG887*$AJ887,0)</f>
        <v/>
      </c>
      <c r="AT887" s="37">
        <f>SUM(AU887:BA887)</f>
        <v/>
      </c>
      <c r="AU887" s="73" t="n"/>
      <c r="AV887" s="33" t="n"/>
      <c r="AW887" s="33" t="n"/>
      <c r="AX887" s="33" t="n"/>
      <c r="AY887" s="33" t="n"/>
      <c r="AZ887" s="33" t="n"/>
      <c r="BA887" s="74" t="n"/>
      <c r="BB887" s="106" t="n"/>
      <c r="BC887" s="42" t="n"/>
      <c r="BD887" s="42" t="n"/>
    </row>
    <row r="888" ht="15" customHeight="1" s="148">
      <c r="A888" t="inlineStr">
        <is>
          <t>c0884</t>
        </is>
      </c>
      <c r="B888" s="39" t="inlineStr">
        <is>
          <t>Thorin's Last Stand</t>
        </is>
      </c>
      <c r="C888" s="40" t="inlineStr">
        <is>
          <t>W</t>
        </is>
      </c>
      <c r="D888" s="39" t="inlineStr">
        <is>
          <t>Instant</t>
        </is>
      </c>
      <c r="E888" s="41" t="inlineStr">
        <is>
          <t>B2</t>
        </is>
      </c>
      <c r="F888" s="40" t="n">
        <v>4</v>
      </c>
      <c r="G888" s="67" t="inlineStr">
        <is>
          <t>Choose one —
• Creatures you control get +2/+1 until end of turn.
• Destroy target artifact or enchantment. You gain 2 life.</t>
        </is>
      </c>
      <c r="H888" s="39" t="inlineStr">
        <is>
          <t>Combat Trick</t>
        </is>
      </c>
      <c r="I888" s="39" t="inlineStr">
        <is>
          <t>Creatures you control get +2/+1 until end of turn</t>
        </is>
      </c>
      <c r="J888" s="39" t="inlineStr">
        <is>
          <t>Or destroy target artifact or enchantment and you gain 2 life</t>
        </is>
      </c>
      <c r="K888" s="39" t="n"/>
      <c r="L888" s="88" t="inlineStr">
        <is>
          <t>C 0026</t>
        </is>
      </c>
      <c r="M888" s="41" t="n">
        <v>1</v>
      </c>
      <c r="N888" s="41" t="n">
        <v>1</v>
      </c>
      <c r="O888" s="63" t="inlineStr">
        <is>
          <t>John Di Giovanni</t>
        </is>
      </c>
      <c r="P888" s="90" t="n">
        <v>0.18</v>
      </c>
      <c r="Q888" s="42" t="inlineStr">
        <is>
          <t>C</t>
        </is>
      </c>
      <c r="R888" s="42" t="n"/>
      <c r="S888" s="42" t="n"/>
      <c r="T888" s="63" t="n"/>
      <c r="U888" s="63" t="n"/>
      <c r="V888" s="39" t="inlineStr">
        <is>
          <t>The Hobbit</t>
        </is>
      </c>
      <c r="W888" s="41" t="n">
        <v>1</v>
      </c>
      <c r="X888" s="37">
        <f>SUM(Y888:AE888)</f>
        <v/>
      </c>
      <c r="Y888" s="43" t="n"/>
      <c r="Z888" s="43" t="n"/>
      <c r="AA888" s="43" t="n"/>
      <c r="AB888" s="43" t="n"/>
      <c r="AC888" s="43" t="n"/>
      <c r="AD888" s="43" t="n"/>
      <c r="AE888" s="43" t="n"/>
      <c r="AF888" s="38">
        <f>IF((W888-SUM(Y888:AE888))&lt;0,0,W888-SUM(Y888:AE888))</f>
        <v/>
      </c>
      <c r="AG888" s="34">
        <f>MAX(0,$AT888-$W888-$AI888)</f>
        <v/>
      </c>
      <c r="AH888" s="39" t="n"/>
      <c r="AI888" s="39" t="n"/>
      <c r="AJ888" s="39" t="n">
        <v>0.18</v>
      </c>
      <c r="AK888" s="39">
        <f>IF(AND($AG888&gt;0,ISNUMBER($AJ888)),$AG888*$AJ888,0)</f>
        <v/>
      </c>
      <c r="AT888" s="37">
        <f>SUM(AU888:BA888)</f>
        <v/>
      </c>
      <c r="AU888" s="73" t="n"/>
      <c r="AV888" s="33" t="n"/>
      <c r="AW888" s="33" t="n"/>
      <c r="AX888" s="33" t="n"/>
      <c r="AY888" s="33" t="n"/>
      <c r="AZ888" s="33" t="n"/>
      <c r="BA888" s="74" t="n"/>
      <c r="BB888" s="107" t="n"/>
      <c r="BC888" s="42" t="n"/>
      <c r="BD888" s="42" t="n"/>
    </row>
    <row r="889" ht="15" customHeight="1" s="148">
      <c r="A889" t="inlineStr">
        <is>
          <t>c0885</t>
        </is>
      </c>
      <c r="B889" s="39" t="inlineStr">
        <is>
          <t>Thoughtweft Imbuer</t>
        </is>
      </c>
      <c r="C889" s="40" t="inlineStr">
        <is>
          <t>W</t>
        </is>
      </c>
      <c r="D889" s="39" t="inlineStr">
        <is>
          <t>Creature</t>
        </is>
      </c>
      <c r="E889" s="41" t="inlineStr">
        <is>
          <t>B2</t>
        </is>
      </c>
      <c r="F889" s="40" t="n">
        <v>4</v>
      </c>
      <c r="G889" s="67" t="inlineStr">
        <is>
          <t>Whenever a creature you control attacks alone, it gets +X/+X until end of turn, where X is the number of Kithkin you control.
(0/5)</t>
        </is>
      </c>
      <c r="H889" s="39" t="inlineStr">
        <is>
          <t>Lord/Anthem</t>
        </is>
      </c>
      <c r="I889" s="39" t="inlineStr">
        <is>
          <t>Whenever a creature you control attacks alone, it gets +X/+X until end of turn, where X is the number of Kithkin you control</t>
        </is>
      </c>
      <c r="J889" s="39" t="n"/>
      <c r="K889" s="39" t="n"/>
      <c r="L889" s="42" t="n"/>
      <c r="M889" s="42" t="n"/>
      <c r="N889" s="42" t="n"/>
      <c r="O889" s="63" t="n"/>
      <c r="P889" s="63" t="n"/>
      <c r="Q889" s="42" t="n"/>
      <c r="R889" s="42" t="n"/>
      <c r="S889" s="42" t="n"/>
      <c r="T889" s="63" t="n"/>
      <c r="U889" s="63" t="n"/>
      <c r="V889" s="39" t="inlineStr">
        <is>
          <t>Lorwyn Eclipsed</t>
        </is>
      </c>
      <c r="W889" s="41" t="n">
        <v>1</v>
      </c>
      <c r="X889" s="37">
        <f>SUM(Y889:AE889)</f>
        <v/>
      </c>
      <c r="Y889" s="43" t="n"/>
      <c r="Z889" s="43" t="n"/>
      <c r="AA889" s="43" t="n"/>
      <c r="AB889" s="43" t="n"/>
      <c r="AC889" s="43" t="n"/>
      <c r="AD889" s="43" t="n"/>
      <c r="AE889" s="43" t="n"/>
      <c r="AF889" s="38">
        <f>IF((W889-SUM(Y889:AE889))&lt;0,0,W889-SUM(Y889:AE889))</f>
        <v/>
      </c>
      <c r="AG889" s="34">
        <f>MAX(0,$AT889-$W889-$AI889)</f>
        <v/>
      </c>
      <c r="AH889" s="39" t="n"/>
      <c r="AI889" s="39" t="n"/>
      <c r="AJ889" s="39" t="n">
        <v>0.16</v>
      </c>
      <c r="AK889" s="39">
        <f>IF(AND($AG889&gt;0,ISNUMBER($AJ889)),$AG889*$AJ889,0)</f>
        <v/>
      </c>
      <c r="AT889" s="37">
        <f>SUM(AU889:BA889)</f>
        <v/>
      </c>
      <c r="AU889" s="73" t="n"/>
      <c r="AV889" s="33" t="n"/>
      <c r="AW889" s="33" t="n"/>
      <c r="AX889" s="33" t="n"/>
      <c r="AY889" s="33" t="n"/>
      <c r="AZ889" s="33" t="n"/>
      <c r="BA889" s="74" t="n"/>
      <c r="BB889" s="107" t="n"/>
      <c r="BC889" s="42" t="n"/>
      <c r="BD889" s="42" t="n"/>
    </row>
    <row r="890" ht="15" customHeight="1" s="148">
      <c r="A890" t="inlineStr">
        <is>
          <t>c0886</t>
        </is>
      </c>
      <c r="B890" s="44" t="inlineStr">
        <is>
          <t>Timid Shieldbearer</t>
        </is>
      </c>
      <c r="C890" s="34" t="inlineStr">
        <is>
          <t>W</t>
        </is>
      </c>
      <c r="D890" s="44" t="inlineStr">
        <is>
          <t>Creature</t>
        </is>
      </c>
      <c r="E890" s="41" t="inlineStr">
        <is>
          <t>B2</t>
        </is>
      </c>
      <c r="F890" s="34" t="n">
        <v>2</v>
      </c>
      <c r="G890" s="67" t="inlineStr">
        <is>
          <t>{4}{W}: Creatures you control get +1/+1 until end of turn.
(2/2)</t>
        </is>
      </c>
      <c r="H890" s="45" t="inlineStr">
        <is>
          <t>Combat Trick</t>
        </is>
      </c>
      <c r="I890" s="45" t="inlineStr">
        <is>
          <t>{4}{W}: your creatures get +1/+1 until end of turn</t>
        </is>
      </c>
      <c r="J890" s="45" t="n"/>
      <c r="K890" s="45" t="n"/>
      <c r="L890" s="42" t="n"/>
      <c r="M890" s="42" t="n"/>
      <c r="N890" s="42" t="n"/>
      <c r="O890" s="63" t="n"/>
      <c r="P890" s="63" t="n">
        <v>0.09</v>
      </c>
      <c r="Q890" s="42" t="n"/>
      <c r="R890" s="42" t="n"/>
      <c r="S890" s="42" t="n"/>
      <c r="T890" s="63" t="n"/>
      <c r="U890" s="63" t="n"/>
      <c r="V890" s="45" t="inlineStr">
        <is>
          <t>Lorwyn Eclipsed</t>
        </is>
      </c>
      <c r="W890" s="41" t="n">
        <v>1</v>
      </c>
      <c r="X890" s="37">
        <f>SUM(Y890:AE890)</f>
        <v/>
      </c>
      <c r="Y890" s="43" t="n"/>
      <c r="Z890" s="43" t="n"/>
      <c r="AA890" s="43" t="n"/>
      <c r="AB890" s="43" t="n"/>
      <c r="AC890" s="43" t="n"/>
      <c r="AD890" s="43" t="n"/>
      <c r="AE890" s="43" t="n"/>
      <c r="AF890" s="38">
        <f>IF((W890-SUM(Y890:AE890))&lt;0,0,W890-SUM(Y890:AE890))</f>
        <v/>
      </c>
      <c r="AG890" s="34">
        <f>MAX(0,$AT890-$W890-$AI890)</f>
        <v/>
      </c>
      <c r="AH890" s="34" t="n"/>
      <c r="AI890" s="34" t="n"/>
      <c r="AJ890" s="36" t="n">
        <v>0.1</v>
      </c>
      <c r="AK890" s="36">
        <f>IF(AND($AG890&gt;0,ISNUMBER($AJ890)),$AG890*$AJ890,0)</f>
        <v/>
      </c>
      <c r="AT890" s="37">
        <f>SUM(AU890:BA890)</f>
        <v/>
      </c>
      <c r="AU890" s="73" t="n"/>
      <c r="AV890" s="33" t="n"/>
      <c r="AW890" s="33" t="n"/>
      <c r="AX890" s="33" t="n"/>
      <c r="AY890" s="33" t="n"/>
      <c r="AZ890" s="33" t="n"/>
      <c r="BA890" s="74" t="n"/>
      <c r="BB890" s="106" t="n"/>
      <c r="BC890" s="42" t="n"/>
      <c r="BD890" s="42" t="n"/>
    </row>
    <row r="891" ht="15" customHeight="1" s="148">
      <c r="A891" t="inlineStr">
        <is>
          <t>c0887</t>
        </is>
      </c>
      <c r="B891" s="44" t="inlineStr">
        <is>
          <t>Tithe Taker</t>
        </is>
      </c>
      <c r="C891" s="34" t="inlineStr">
        <is>
          <t>W</t>
        </is>
      </c>
      <c r="D891" s="44" t="inlineStr">
        <is>
          <t>Creature</t>
        </is>
      </c>
      <c r="E891" s="41" t="inlineStr">
        <is>
          <t>B2</t>
        </is>
      </c>
      <c r="F891" s="34" t="n">
        <v>2</v>
      </c>
      <c r="G891" s="67" t="inlineStr">
        <is>
          <t>During your turn, spells your opponents cast cost {1} more to cast and abilities your opponents activate cost {1} more to activate unless they're mana abilities.
Afterlife 1 (When this creature dies, create a 1/1 white and black Spirit creature token with flying.)
(2/1)</t>
        </is>
      </c>
      <c r="H891" s="45" t="inlineStr">
        <is>
          <t>Stax/Tax</t>
        </is>
      </c>
      <c r="I891" s="45" t="inlineStr">
        <is>
          <t>Your opponents' spells and abilities cost {1} more on your turn</t>
        </is>
      </c>
      <c r="J891" s="45" t="inlineStr">
        <is>
          <t>Creates a 1/1 flying Spirit token when it dies</t>
        </is>
      </c>
      <c r="K891" s="45" t="n"/>
      <c r="L891" s="42" t="n"/>
      <c r="M891" s="42" t="n"/>
      <c r="N891" s="42" t="n"/>
      <c r="O891" s="42" t="n"/>
      <c r="P891" s="42" t="n">
        <v>0.35</v>
      </c>
      <c r="Q891" s="42" t="n"/>
      <c r="R891" s="42" t="n"/>
      <c r="S891" s="42" t="n"/>
      <c r="T891" s="42" t="n"/>
      <c r="U891" s="42" t="n"/>
      <c r="V891" s="45" t="inlineStr">
        <is>
          <t>Ravnica Allegiance</t>
        </is>
      </c>
      <c r="W891" s="41" t="n">
        <v>1</v>
      </c>
      <c r="X891" s="37">
        <f>SUM(Y891:AE891)</f>
        <v/>
      </c>
      <c r="Y891" s="43" t="n"/>
      <c r="Z891" s="43" t="n"/>
      <c r="AA891" s="43" t="n"/>
      <c r="AB891" s="43" t="n"/>
      <c r="AC891" s="43" t="n"/>
      <c r="AD891" s="43" t="n"/>
      <c r="AE891" s="43" t="n"/>
      <c r="AF891" s="38">
        <f>IF((W891-SUM(Y891:AE891))&lt;0,0,W891-SUM(Y891:AE891))</f>
        <v/>
      </c>
      <c r="AG891" s="34">
        <f>MAX(0,$AT891-$W891-$AI891)</f>
        <v/>
      </c>
      <c r="AH891" s="34" t="n"/>
      <c r="AI891" s="34" t="n"/>
      <c r="AJ891" s="36" t="n">
        <v>0.35</v>
      </c>
      <c r="AK891" s="36">
        <f>IF(AND($AG891&gt;0,ISNUMBER($AJ891)),$AG891*$AJ891,0)</f>
        <v/>
      </c>
      <c r="AT891" s="37">
        <f>SUM(AU891:BA891)</f>
        <v/>
      </c>
      <c r="AU891" s="73" t="n"/>
      <c r="AV891" s="33" t="n"/>
      <c r="AW891" s="33" t="n"/>
      <c r="AX891" s="33" t="n"/>
      <c r="AY891" s="33" t="n"/>
      <c r="AZ891" s="33" t="n"/>
      <c r="BA891" s="74" t="n"/>
      <c r="BB891" s="106" t="n"/>
      <c r="BC891" s="42" t="n"/>
      <c r="BD891" s="42" t="n"/>
    </row>
    <row r="892" ht="15" customHeight="1" s="148">
      <c r="A892" t="inlineStr">
        <is>
          <t>c0888</t>
        </is>
      </c>
      <c r="B892" s="44" t="inlineStr">
        <is>
          <t>Tocasia's Welcome</t>
        </is>
      </c>
      <c r="C892" s="34" t="inlineStr">
        <is>
          <t>W</t>
        </is>
      </c>
      <c r="D892" s="44" t="inlineStr">
        <is>
          <t>Enchantment</t>
        </is>
      </c>
      <c r="E892" s="41" t="inlineStr">
        <is>
          <t>B2</t>
        </is>
      </c>
      <c r="F892" s="34" t="n">
        <v>3</v>
      </c>
      <c r="G892" s="67" t="inlineStr">
        <is>
          <t>Whenever one or more creatures you control with mana value 3 or less enter, draw a card. This ability triggers only once each turn.</t>
        </is>
      </c>
      <c r="H892" s="45" t="inlineStr">
        <is>
          <t>Card Draw</t>
        </is>
      </c>
      <c r="I892" s="45" t="inlineStr">
        <is>
          <t>Creatures with MV 3 or less entering draws a card, once per turn</t>
        </is>
      </c>
      <c r="J892" s="45" t="n"/>
      <c r="K892" s="45" t="n"/>
      <c r="L892" s="41" t="n"/>
      <c r="M892" s="41" t="n"/>
      <c r="N892" s="41" t="n"/>
      <c r="O892" s="41" t="n"/>
      <c r="P892" s="41" t="n">
        <v>0.8100000000000001</v>
      </c>
      <c r="Q892" s="41" t="n"/>
      <c r="R892" s="41" t="n"/>
      <c r="S892" s="41" t="n"/>
      <c r="T892" s="41" t="n"/>
      <c r="U892" s="41" t="n"/>
      <c r="V892" s="45" t="inlineStr">
        <is>
          <t>The Brothers' War</t>
        </is>
      </c>
      <c r="W892" s="41" t="n">
        <v>1</v>
      </c>
      <c r="X892" s="37">
        <f>SUM(Y892:AE892)</f>
        <v/>
      </c>
      <c r="Y892" s="43" t="n">
        <v>1</v>
      </c>
      <c r="Z892" s="43" t="n"/>
      <c r="AA892" s="43" t="n"/>
      <c r="AB892" s="43" t="n"/>
      <c r="AC892" s="43" t="n"/>
      <c r="AD892" s="43" t="n"/>
      <c r="AE892" s="43" t="n"/>
      <c r="AF892" s="38">
        <f>IF((W892-SUM(Y892:AE892))&lt;0,0,W892-SUM(Y892:AE892))</f>
        <v/>
      </c>
      <c r="AG892" s="34">
        <f>MAX(0,$AT892-$W892-$AI892)</f>
        <v/>
      </c>
      <c r="AH892" s="34" t="n"/>
      <c r="AI892" s="34" t="n"/>
      <c r="AJ892" s="36" t="n">
        <v>1.07</v>
      </c>
      <c r="AK892" s="36">
        <f>IF(AND($AG892&gt;0,ISNUMBER($AJ892)),$AG892*$AJ892,0)</f>
        <v/>
      </c>
      <c r="AT892" s="37">
        <f>SUM(AU892:BA892)</f>
        <v/>
      </c>
      <c r="AU892" s="82" t="n">
        <v>1</v>
      </c>
      <c r="AV892" s="33" t="n"/>
      <c r="AW892" s="33" t="n"/>
      <c r="AX892" s="33" t="n"/>
      <c r="AY892" s="33" t="n"/>
      <c r="AZ892" s="33" t="n"/>
      <c r="BA892" s="74" t="n"/>
      <c r="BB892" s="106" t="n"/>
      <c r="BC892" s="42" t="n"/>
      <c r="BD892" s="42" t="n"/>
    </row>
    <row r="893" ht="15" customHeight="1" s="148">
      <c r="A893" t="inlineStr">
        <is>
          <t>c0889</t>
        </is>
      </c>
      <c r="B893" s="44" t="inlineStr">
        <is>
          <t>Tragic Arrogance</t>
        </is>
      </c>
      <c r="C893" s="34" t="inlineStr">
        <is>
          <t>W</t>
        </is>
      </c>
      <c r="D893" s="44" t="inlineStr">
        <is>
          <t>Sorcery</t>
        </is>
      </c>
      <c r="E893" s="41" t="inlineStr">
        <is>
          <t>B2</t>
        </is>
      </c>
      <c r="F893" s="34" t="n">
        <v>5</v>
      </c>
      <c r="G893" s="67" t="inlineStr">
        <is>
          <t>For each player, you choose from among the permanents that player controls an artifact, a creature, an enchantment, and a planeswalker. Then each player sacrifices all other nonland permanents they control.</t>
        </is>
      </c>
      <c r="H893" s="45" t="inlineStr">
        <is>
          <t>Board Wipe</t>
        </is>
      </c>
      <c r="I893" s="45" t="inlineStr">
        <is>
          <t>Each player keeps one artifact, creature, enchantment, and planeswalker</t>
        </is>
      </c>
      <c r="J893" s="45" t="inlineStr">
        <is>
          <t>Sacrifices all other nonland permanents</t>
        </is>
      </c>
      <c r="K893" s="45" t="n"/>
      <c r="L893" s="42" t="n"/>
      <c r="M893" s="42" t="n"/>
      <c r="N893" s="42" t="n"/>
      <c r="O893" s="42" t="n"/>
      <c r="P893" s="42" t="n">
        <v>0.17</v>
      </c>
      <c r="Q893" s="42" t="n"/>
      <c r="R893" s="42" t="n"/>
      <c r="S893" s="42" t="n"/>
      <c r="T893" s="42" t="n"/>
      <c r="U893" s="42" t="n"/>
      <c r="V893" s="45" t="inlineStr">
        <is>
          <t>Magic Origins</t>
        </is>
      </c>
      <c r="W893" s="41" t="n">
        <v>1</v>
      </c>
      <c r="X893" s="37">
        <f>SUM(Y893:AE893)</f>
        <v/>
      </c>
      <c r="Y893" s="43" t="n"/>
      <c r="Z893" s="43" t="n"/>
      <c r="AA893" s="43" t="n">
        <v>1</v>
      </c>
      <c r="AB893" s="43" t="n"/>
      <c r="AC893" s="43" t="n"/>
      <c r="AD893" s="43" t="n"/>
      <c r="AE893" s="43" t="n"/>
      <c r="AF893" s="38">
        <f>IF((W893-SUM(Y893:AE893))&lt;0,0,W893-SUM(Y893:AE893))</f>
        <v/>
      </c>
      <c r="AG893" s="34">
        <f>MAX(0,$AT893-$W893-$AI893)</f>
        <v/>
      </c>
      <c r="AH893" s="34" t="n"/>
      <c r="AI893" s="34" t="n"/>
      <c r="AJ893" s="36" t="n">
        <v>0.25</v>
      </c>
      <c r="AK893" s="36">
        <f>IF(AND($AG893&gt;0,ISNUMBER($AJ893)),$AG893*$AJ893,0)</f>
        <v/>
      </c>
      <c r="AT893" s="37">
        <f>SUM(AU893:BA893)</f>
        <v/>
      </c>
      <c r="AU893" s="73" t="n"/>
      <c r="AV893" s="33" t="n"/>
      <c r="AW893" s="98" t="n">
        <v>1</v>
      </c>
      <c r="AX893" s="33" t="n"/>
      <c r="AY893" s="33" t="n"/>
      <c r="AZ893" s="33" t="n"/>
      <c r="BA893" s="74" t="n"/>
      <c r="BB893" s="106" t="n"/>
      <c r="BC893" s="42" t="n"/>
      <c r="BD893" s="42" t="n"/>
    </row>
    <row r="894" ht="15" customHeight="1" s="148">
      <c r="A894" t="inlineStr">
        <is>
          <t>c0890</t>
        </is>
      </c>
      <c r="B894" s="44" t="inlineStr">
        <is>
          <t>Unbreakable Formation</t>
        </is>
      </c>
      <c r="C894" s="34" t="inlineStr">
        <is>
          <t>W</t>
        </is>
      </c>
      <c r="D894" s="44" t="inlineStr">
        <is>
          <t>Instant</t>
        </is>
      </c>
      <c r="E894" s="41" t="inlineStr">
        <is>
          <t>B3</t>
        </is>
      </c>
      <c r="F894" s="34" t="n">
        <v>3</v>
      </c>
      <c r="G894" s="67" t="inlineStr">
        <is>
          <t>Creatures you control gain indestructible until end of turn.
Addendum — If you cast this spell during your main phase, put a +1/+1 counter on each of those creatures and they gain vigilance until end of turn.</t>
        </is>
      </c>
      <c r="H894" s="45" t="inlineStr">
        <is>
          <t>Value Engine</t>
        </is>
      </c>
      <c r="I894" s="45" t="inlineStr">
        <is>
          <t>Creatures you control gain indestructible until end of turn</t>
        </is>
      </c>
      <c r="J894" s="45" t="inlineStr">
        <is>
          <t>Addendum — If you cast this spell during your main phase, put a +1/+1 counter on each of those creatures and they gain v</t>
        </is>
      </c>
      <c r="K894" s="45" t="n"/>
      <c r="L894" s="42" t="n"/>
      <c r="M894" s="42" t="n"/>
      <c r="N894" s="42" t="n"/>
      <c r="O894" s="42" t="n"/>
      <c r="P894" s="42" t="n">
        <v>1.4</v>
      </c>
      <c r="Q894" s="42" t="n"/>
      <c r="R894" s="42" t="n"/>
      <c r="S894" s="42" t="n"/>
      <c r="T894" s="42" t="n"/>
      <c r="U894" s="42" t="n"/>
      <c r="V894" s="45" t="inlineStr">
        <is>
          <t>Ravnica Allegiance</t>
        </is>
      </c>
      <c r="W894" s="41" t="n">
        <v>0</v>
      </c>
      <c r="X894" s="37">
        <f>SUM(Y894:AE894)</f>
        <v/>
      </c>
      <c r="Y894" s="43" t="n"/>
      <c r="Z894" s="43" t="n"/>
      <c r="AA894" s="43" t="n"/>
      <c r="AB894" s="43" t="n"/>
      <c r="AC894" s="43" t="n"/>
      <c r="AD894" s="43" t="n"/>
      <c r="AE894" s="43" t="n"/>
      <c r="AF894" s="38">
        <f>IF((W894-SUM(Y894:AE894))&lt;0,0,W894-SUM(Y894:AE894))</f>
        <v/>
      </c>
      <c r="AG894" s="34">
        <f>MAX(0,$AT894-$W894-$AI894)</f>
        <v/>
      </c>
      <c r="AH894" s="34" t="n"/>
      <c r="AI894" s="34" t="n"/>
      <c r="AJ894" s="36" t="n">
        <v>0.74</v>
      </c>
      <c r="AK894" s="36">
        <f>IF(AND($AG894&gt;0,ISNUMBER($AJ894)),$AG894*$AJ894,0)</f>
        <v/>
      </c>
      <c r="AL894" s="54" t="n"/>
      <c r="AM894" s="54" t="n"/>
      <c r="AN894" s="54" t="n"/>
      <c r="AO894" s="54" t="n"/>
      <c r="AP894" s="54" t="n"/>
      <c r="AQ894" s="54" t="n"/>
      <c r="AR894" s="54" t="n"/>
      <c r="AS894" s="54" t="n"/>
      <c r="AT894" s="37">
        <f>SUM(AU894:BA894)</f>
        <v/>
      </c>
      <c r="AU894" s="92" t="n"/>
      <c r="AV894" s="38" t="n"/>
      <c r="AW894" s="38" t="n"/>
      <c r="AX894" s="38" t="n"/>
      <c r="AY894" s="38" t="n">
        <v>1</v>
      </c>
      <c r="AZ894" s="38" t="n"/>
      <c r="BA894" s="94" t="n"/>
      <c r="BB894" s="106" t="n"/>
      <c r="BC894" s="42" t="n"/>
      <c r="BD894" s="48" t="n"/>
    </row>
    <row r="895" ht="15" customHeight="1" s="148">
      <c r="A895" t="inlineStr">
        <is>
          <t>c0891</t>
        </is>
      </c>
      <c r="B895" s="44" t="inlineStr">
        <is>
          <t>Valorous Stance</t>
        </is>
      </c>
      <c r="C895" s="34" t="inlineStr">
        <is>
          <t>W</t>
        </is>
      </c>
      <c r="D895" s="44" t="inlineStr">
        <is>
          <t>Instant</t>
        </is>
      </c>
      <c r="E895" s="41" t="inlineStr">
        <is>
          <t>B2</t>
        </is>
      </c>
      <c r="F895" s="34" t="n">
        <v>2</v>
      </c>
      <c r="G895" s="67" t="inlineStr">
        <is>
          <t>Choose one —
• Target creature gains indestructible until end of turn. (Damage and effects that say "destroy" don't destroy it.)
• Destroy target creature with toughness 4 or greater.</t>
        </is>
      </c>
      <c r="H895" s="45" t="inlineStr">
        <is>
          <t>Protection</t>
        </is>
      </c>
      <c r="I895" s="45" t="inlineStr">
        <is>
          <t>Choose one: target creature can't be destroyed this turn</t>
        </is>
      </c>
      <c r="J895" s="45" t="inlineStr">
        <is>
          <t>Or destroys target creature with toughness 4 or greater</t>
        </is>
      </c>
      <c r="K895" s="45" t="n"/>
      <c r="L895" s="42" t="n"/>
      <c r="M895" s="42" t="n"/>
      <c r="N895" s="42" t="n"/>
      <c r="O895" s="42" t="n"/>
      <c r="P895" s="42" t="n">
        <v>0.21</v>
      </c>
      <c r="Q895" s="42" t="n"/>
      <c r="R895" s="42" t="n"/>
      <c r="S895" s="42" t="n"/>
      <c r="T895" s="42" t="n"/>
      <c r="U895" s="42" t="n"/>
      <c r="V895" s="45" t="inlineStr">
        <is>
          <t>Fate Reforged</t>
        </is>
      </c>
      <c r="W895" s="41" t="n">
        <v>3</v>
      </c>
      <c r="X895" s="37">
        <f>SUM(Y895:AE895)</f>
        <v/>
      </c>
      <c r="Y895" s="43" t="n"/>
      <c r="Z895" s="43" t="n">
        <v>1</v>
      </c>
      <c r="AA895" s="43" t="n"/>
      <c r="AB895" s="43" t="n">
        <v>1</v>
      </c>
      <c r="AC895" s="43" t="n"/>
      <c r="AD895" s="43" t="n"/>
      <c r="AE895" s="43" t="n"/>
      <c r="AF895" s="38">
        <f>IF((W895-SUM(Y895:AE895))&lt;0,0,W895-SUM(Y895:AE895))</f>
        <v/>
      </c>
      <c r="AG895" s="34">
        <f>MAX(0,$AT895-$W895-$AI895)</f>
        <v/>
      </c>
      <c r="AH895" s="34" t="n"/>
      <c r="AI895" s="34" t="n"/>
      <c r="AJ895" s="36" t="n">
        <v>0.18</v>
      </c>
      <c r="AK895" s="36">
        <f>IF(AND($AG895&gt;0,ISNUMBER($AJ895)),$AG895*$AJ895,0)</f>
        <v/>
      </c>
      <c r="AO895" s="58" t="n"/>
      <c r="AT895" s="37">
        <f>SUM(AU895:BA895)</f>
        <v/>
      </c>
      <c r="AU895" s="73" t="n"/>
      <c r="AV895" s="98" t="n">
        <v>1</v>
      </c>
      <c r="AW895" s="33" t="n"/>
      <c r="AX895" s="98" t="n">
        <v>1</v>
      </c>
      <c r="AY895" s="33" t="n"/>
      <c r="AZ895" s="33" t="n"/>
      <c r="BA895" s="74" t="n"/>
      <c r="BB895" s="106" t="n"/>
      <c r="BC895" s="42" t="n"/>
      <c r="BD895" s="42" t="n"/>
    </row>
    <row r="896" ht="15" customHeight="1" s="148">
      <c r="A896" t="inlineStr">
        <is>
          <t>c0892</t>
        </is>
      </c>
      <c r="B896" s="44" t="inlineStr">
        <is>
          <t>Vanguard of the Restless</t>
        </is>
      </c>
      <c r="C896" s="34" t="inlineStr">
        <is>
          <t>W</t>
        </is>
      </c>
      <c r="D896" s="44" t="inlineStr">
        <is>
          <t>Creature</t>
        </is>
      </c>
      <c r="E896" s="41" t="inlineStr">
        <is>
          <t>B2</t>
        </is>
      </c>
      <c r="F896" s="34" t="n">
        <v>3</v>
      </c>
      <c r="G896" s="67" t="inlineStr">
        <is>
          <t>Flying
Spirits you control get +1/+1 for each time you've cast your commander from the command zone this game.
Whenever a Spirit you control enters, you may pay {2}{W}. If you do, return this card from your graveyard to the battlefield.
(2/2)</t>
        </is>
      </c>
      <c r="H896" s="45" t="inlineStr">
        <is>
          <t>Lord/Anthem</t>
        </is>
      </c>
      <c r="I896" s="45" t="inlineStr">
        <is>
          <t>Flying body</t>
        </is>
      </c>
      <c r="J896" s="45" t="inlineStr">
        <is>
          <t>Spirits you control get +1/+1 for each time you've cast your commander from the command zone</t>
        </is>
      </c>
      <c r="K896" s="45" t="inlineStr">
        <is>
          <t>A Spirit entering lets you pay {2}{W} to return this from graveyard to battlefield</t>
        </is>
      </c>
      <c r="L896" s="42" t="n"/>
      <c r="M896" s="42" t="n"/>
      <c r="N896" s="42" t="n"/>
      <c r="O896" s="63" t="n"/>
      <c r="P896" s="63" t="n">
        <v>0.21</v>
      </c>
      <c r="Q896" s="42" t="n"/>
      <c r="R896" s="42" t="n"/>
      <c r="S896" s="42" t="n"/>
      <c r="T896" s="63" t="n"/>
      <c r="U896" s="63" t="n"/>
      <c r="V896" s="45" t="inlineStr">
        <is>
          <t>Secrets of Strixhaven Commander</t>
        </is>
      </c>
      <c r="W896" s="41" t="n">
        <v>1</v>
      </c>
      <c r="X896" s="37">
        <f>SUM(Y896:AE896)</f>
        <v/>
      </c>
      <c r="Y896" s="43" t="n"/>
      <c r="Z896" s="43" t="n"/>
      <c r="AA896" s="43" t="n"/>
      <c r="AB896" s="43" t="n"/>
      <c r="AC896" s="43" t="n"/>
      <c r="AD896" s="43" t="n"/>
      <c r="AE896" s="43" t="n"/>
      <c r="AF896" s="38">
        <f>IF((W896-SUM(Y896:AE896))&lt;0,0,W896-SUM(Y896:AE896))</f>
        <v/>
      </c>
      <c r="AG896" s="34">
        <f>MAX(0,$AT896-$W896-$AI896)</f>
        <v/>
      </c>
      <c r="AH896" s="34" t="n"/>
      <c r="AI896" s="34" t="n"/>
      <c r="AJ896" s="36" t="n">
        <v>0.28</v>
      </c>
      <c r="AK896" s="36">
        <f>IF(AND($AG896&gt;0,ISNUMBER($AJ896)),$AG896*$AJ896,0)</f>
        <v/>
      </c>
      <c r="AT896" s="37">
        <f>SUM(AU896:BA896)</f>
        <v/>
      </c>
      <c r="AU896" s="73" t="n"/>
      <c r="AV896" s="33" t="n"/>
      <c r="AW896" s="33" t="n"/>
      <c r="AX896" s="33" t="n"/>
      <c r="AY896" s="33" t="n"/>
      <c r="AZ896" s="33" t="n"/>
      <c r="BA896" s="74" t="n"/>
      <c r="BB896" s="106" t="n"/>
      <c r="BC896" s="42" t="n"/>
      <c r="BD896" s="42" t="n"/>
    </row>
    <row r="897" ht="15" customHeight="1" s="148">
      <c r="A897" t="inlineStr">
        <is>
          <t>c0893</t>
        </is>
      </c>
      <c r="B897" s="30" t="inlineStr">
        <is>
          <t>Velvetwing Butterflies // Gaze in Wonder</t>
        </is>
      </c>
      <c r="C897" s="31" t="inlineStr">
        <is>
          <t>W</t>
        </is>
      </c>
      <c r="D897" s="30" t="inlineStr">
        <is>
          <t>Creature</t>
        </is>
      </c>
      <c r="E897" s="33" t="inlineStr">
        <is>
          <t>B2</t>
        </is>
      </c>
      <c r="F897" s="30" t="n">
        <v>3</v>
      </c>
      <c r="G897" s="67" t="inlineStr">
        <is>
          <t>Velvetwing Butterflies {2}{W} — Creature — Insect (2/2)
Flying
//
Gaze in Wonder {1}{W} — Instant — Adventure
Tap one or two target creatures. (Then exile this card. You may cast the creature later from exile.)</t>
        </is>
      </c>
      <c r="H897" s="30" t="inlineStr">
        <is>
          <t>Utility Creature</t>
        </is>
      </c>
      <c r="I897" s="30" t="inlineStr">
        <is>
          <t>Gaze in Wonder {1}{W} — Adventure: tap one or two target creatures, then cast the creature later from exile</t>
        </is>
      </c>
      <c r="J897" s="30" t="inlineStr">
        <is>
          <t>2/2 flying body</t>
        </is>
      </c>
      <c r="K897" s="30" t="n"/>
      <c r="L897" s="32" t="inlineStr">
        <is>
          <t>30</t>
        </is>
      </c>
      <c r="M897" s="32" t="n">
        <v>2</v>
      </c>
      <c r="N897" s="32" t="n">
        <v>0</v>
      </c>
      <c r="O897" s="63" t="inlineStr">
        <is>
          <t>Xabi Gaztelua</t>
        </is>
      </c>
      <c r="P897" s="63" t="n">
        <v>0.12</v>
      </c>
      <c r="Q897" s="32" t="inlineStr">
        <is>
          <t>Common</t>
        </is>
      </c>
      <c r="R897" s="32" t="n"/>
      <c r="S897" s="32" t="n"/>
      <c r="T897" s="63" t="n"/>
      <c r="U897" s="63" t="n"/>
      <c r="V897" s="30" t="inlineStr">
        <is>
          <t>The Hobbit</t>
        </is>
      </c>
      <c r="W897" s="41" t="n">
        <v>2</v>
      </c>
      <c r="X897" s="37">
        <f>SUM(Y897:AE897)</f>
        <v/>
      </c>
      <c r="Y897" s="43" t="n"/>
      <c r="Z897" s="43" t="n"/>
      <c r="AA897" s="43" t="n"/>
      <c r="AB897" s="43" t="n"/>
      <c r="AC897" s="43" t="n"/>
      <c r="AD897" s="43" t="n"/>
      <c r="AE897" s="43" t="n"/>
      <c r="AF897" s="38">
        <f>IF((W897-SUM(Y897:AE897))&lt;0,0,W897-SUM(Y897:AE897))</f>
        <v/>
      </c>
      <c r="AG897" s="34">
        <f>MAX(0,$AT897-$W897-$AI897)</f>
        <v/>
      </c>
      <c r="AH897" s="30" t="n"/>
      <c r="AI897" s="30" t="n"/>
      <c r="AJ897" s="30" t="n">
        <v>0.11</v>
      </c>
      <c r="AK897" s="36">
        <f>IF(AND($AG897&gt;0,ISNUMBER($AJ897)),$AG897*$AJ897,0)</f>
        <v/>
      </c>
      <c r="AT897" s="37">
        <f>SUM(AU897:BA897)</f>
        <v/>
      </c>
      <c r="AU897" s="73" t="n"/>
      <c r="AV897" s="33" t="n"/>
      <c r="AW897" s="33" t="n"/>
      <c r="AX897" s="33" t="n"/>
      <c r="AY897" s="33" t="n"/>
      <c r="AZ897" s="33" t="n"/>
      <c r="BA897" s="74" t="n"/>
      <c r="BB897" s="108" t="n"/>
      <c r="BC897" s="32" t="n"/>
      <c r="BD897" s="32" t="n"/>
    </row>
    <row r="898" ht="15" customHeight="1" s="148">
      <c r="A898" t="inlineStr">
        <is>
          <t>c0894</t>
        </is>
      </c>
      <c r="B898" s="44" t="inlineStr">
        <is>
          <t>Venat, Heart of Hydaelyn</t>
        </is>
      </c>
      <c r="C898" s="34" t="inlineStr">
        <is>
          <t>W</t>
        </is>
      </c>
      <c r="D898" s="44" t="inlineStr">
        <is>
          <t>Legendary Creature</t>
        </is>
      </c>
      <c r="E898" s="41" t="inlineStr">
        <is>
          <t>B2</t>
        </is>
      </c>
      <c r="F898" s="34" t="n">
        <v>3</v>
      </c>
      <c r="G898" s="67" t="inlineStr">
        <is>
          <t>Venat, Heart of Hydaelyn {1}{W}{W} — Legendary Creature — Elder Wizard (3/3)
Whenever you cast a legendary spell, draw a card. This ability triggers only once each turn.
Hero's Sundering — {7}, {T}: Exile target nonland permanent. Transform Venat. Activate only as a sorcery.
//
Hydaelyn, the Mothercrystal — Legendary Creature — God (4/4)
Indestructible
Blessing of Light — At the beginning of combat on your turn, put a +1/+1 counter on another target creature you control. Until your next turn, it gains indestructible. If that creature is legendary, draw a card.</t>
        </is>
      </c>
      <c r="H898" s="45" t="inlineStr">
        <is>
          <t>Card Advantage</t>
        </is>
      </c>
      <c r="I898" s="45" t="inlineStr">
        <is>
          <t>Casting a legendary spell draws a card, once per turn</t>
        </is>
      </c>
      <c r="J898" s="45" t="inlineStr">
        <is>
          <t>Pay {7}, tap: exile target nonland permanent, then transform</t>
        </is>
      </c>
      <c r="K898" s="45" t="inlineStr">
        <is>
          <t>Back side is unkillable; combat: give a creature a +1/+1 counter and protection, drawing a card if it's legendary</t>
        </is>
      </c>
      <c r="L898" s="42" t="n"/>
      <c r="M898" s="42" t="n"/>
      <c r="N898" s="42" t="n"/>
      <c r="O898" s="63" t="n"/>
      <c r="P898" s="63" t="n"/>
      <c r="Q898" s="42" t="n"/>
      <c r="R898" s="42" t="n"/>
      <c r="S898" s="42" t="n"/>
      <c r="T898" s="63" t="n"/>
      <c r="U898" s="63" t="n"/>
      <c r="V898" s="45" t="inlineStr">
        <is>
          <t>Final Fantasy</t>
        </is>
      </c>
      <c r="W898" s="41" t="n">
        <v>2</v>
      </c>
      <c r="X898" s="37">
        <f>SUM(Y898:AE898)</f>
        <v/>
      </c>
      <c r="Y898" s="43" t="n"/>
      <c r="Z898" s="43" t="n"/>
      <c r="AA898" s="43" t="n">
        <v>1</v>
      </c>
      <c r="AB898" s="43" t="n">
        <v>1</v>
      </c>
      <c r="AC898" s="43" t="n"/>
      <c r="AD898" s="43" t="n"/>
      <c r="AE898" s="43" t="n"/>
      <c r="AF898" s="38">
        <f>IF((W898-SUM(Y898:AE898))&lt;0,0,W898-SUM(Y898:AE898))</f>
        <v/>
      </c>
      <c r="AG898" s="34">
        <f>MAX(0,$AT898-$W898-$AI898)</f>
        <v/>
      </c>
      <c r="AH898" s="34" t="n"/>
      <c r="AI898" s="34" t="n"/>
      <c r="AJ898" s="36" t="n">
        <v>1.7</v>
      </c>
      <c r="AK898" s="36">
        <f>IF(AND($AG898&gt;0,ISNUMBER($AJ898)),$AG898*$AJ898,0)</f>
        <v/>
      </c>
      <c r="AT898" s="37">
        <f>SUM(AU898:BA898)</f>
        <v/>
      </c>
      <c r="AU898" s="73" t="n"/>
      <c r="AV898" s="33" t="n"/>
      <c r="AW898" s="98" t="n">
        <v>1</v>
      </c>
      <c r="AX898" s="98" t="n">
        <v>1</v>
      </c>
      <c r="AY898" s="33" t="n"/>
      <c r="AZ898" s="33" t="n"/>
      <c r="BA898" s="74" t="n"/>
      <c r="BB898" s="106" t="n"/>
      <c r="BC898" s="42" t="n"/>
      <c r="BD898" s="42" t="n"/>
    </row>
    <row r="899" ht="15" customHeight="1" s="148">
      <c r="A899" t="inlineStr">
        <is>
          <t>c0895</t>
        </is>
      </c>
      <c r="B899" s="30" t="inlineStr">
        <is>
          <t>Vow to Erebor</t>
        </is>
      </c>
      <c r="C899" s="31" t="inlineStr">
        <is>
          <t>W</t>
        </is>
      </c>
      <c r="D899" s="30" t="inlineStr">
        <is>
          <t>Instant</t>
        </is>
      </c>
      <c r="E899" s="33" t="inlineStr">
        <is>
          <t>B2</t>
        </is>
      </c>
      <c r="F899" s="31" t="n">
        <v>2</v>
      </c>
      <c r="G899" s="67" t="inlineStr">
        <is>
          <t>Untap target creature you control. It gets +2/+2 until end of turn. If it's a Dwarf, you may attach an Equipment you control to it.</t>
        </is>
      </c>
      <c r="H899" s="30" t="inlineStr">
        <is>
          <t>Combat Trick</t>
        </is>
      </c>
      <c r="I899" s="30" t="inlineStr">
        <is>
          <t>Untap target creature you control and it gets +2/+2 until end of turn</t>
        </is>
      </c>
      <c r="J899" s="30" t="inlineStr">
        <is>
          <t>If it's a Dwarf, you may attach an Equipment you control to it</t>
        </is>
      </c>
      <c r="K899" s="30" t="n"/>
      <c r="L899" s="32" t="inlineStr">
        <is>
          <t>31</t>
        </is>
      </c>
      <c r="M899" s="32" t="n">
        <v>1</v>
      </c>
      <c r="N899" s="32" t="n">
        <v>0</v>
      </c>
      <c r="O899" s="63" t="n"/>
      <c r="P899" s="63" t="n">
        <v>0.15</v>
      </c>
      <c r="Q899" s="32" t="inlineStr">
        <is>
          <t>Common</t>
        </is>
      </c>
      <c r="R899" s="32" t="n"/>
      <c r="S899" s="32" t="n"/>
      <c r="T899" s="63" t="n"/>
      <c r="U899" s="63" t="n"/>
      <c r="V899" s="30" t="inlineStr">
        <is>
          <t>The Hobbit</t>
        </is>
      </c>
      <c r="W899" s="41" t="n">
        <v>1</v>
      </c>
      <c r="X899" s="37">
        <f>SUM(Y899:AE899)</f>
        <v/>
      </c>
      <c r="Y899" s="43" t="n"/>
      <c r="Z899" s="43" t="n"/>
      <c r="AA899" s="43" t="n"/>
      <c r="AB899" s="43" t="n"/>
      <c r="AC899" s="43" t="n"/>
      <c r="AD899" s="43" t="n"/>
      <c r="AE899" s="43" t="n"/>
      <c r="AF899" s="38">
        <f>IF((W899-SUM(Y899:AE899))&lt;0,0,W899-SUM(Y899:AE899))</f>
        <v/>
      </c>
      <c r="AG899" s="34">
        <f>MAX(0,$AT899-$W899-$AI899)</f>
        <v/>
      </c>
      <c r="AH899" s="30" t="n"/>
      <c r="AI899" s="30" t="n"/>
      <c r="AJ899" s="35" t="n">
        <v>0.15</v>
      </c>
      <c r="AK899" s="36">
        <f>IF(AND($AG899&gt;0,ISNUMBER($AJ899)),$AG899*$AJ899,0)</f>
        <v/>
      </c>
      <c r="AT899" s="37">
        <f>SUM(AU899:BA899)</f>
        <v/>
      </c>
      <c r="AU899" s="73" t="n"/>
      <c r="AV899" s="33" t="n"/>
      <c r="AW899" s="33" t="n"/>
      <c r="AX899" s="33" t="n"/>
      <c r="AY899" s="33" t="n"/>
      <c r="AZ899" s="33" t="n"/>
      <c r="BA899" s="74" t="n"/>
      <c r="BB899" s="108" t="n"/>
      <c r="BC899" s="32" t="n"/>
      <c r="BD899" s="32" t="n"/>
    </row>
    <row r="900" ht="15" customHeight="1" s="148">
      <c r="A900" t="inlineStr">
        <is>
          <t>c0896</t>
        </is>
      </c>
      <c r="B900" s="44" t="inlineStr">
        <is>
          <t>Wakestone Gargoyle</t>
        </is>
      </c>
      <c r="C900" s="34" t="inlineStr">
        <is>
          <t>W</t>
        </is>
      </c>
      <c r="D900" s="44" t="inlineStr">
        <is>
          <t>Creature</t>
        </is>
      </c>
      <c r="E900" s="41" t="inlineStr">
        <is>
          <t>B2</t>
        </is>
      </c>
      <c r="F900" s="34" t="n">
        <v>4</v>
      </c>
      <c r="G900" s="67" t="inlineStr">
        <is>
          <t>Defender, flying
{1}{W}: Creatures you control with defender can attack this turn as though they didn't have defender.
(3/4)</t>
        </is>
      </c>
      <c r="H900" s="45" t="inlineStr">
        <is>
          <t>Defender Ramp</t>
        </is>
      </c>
      <c r="I900" s="45" t="inlineStr">
        <is>
          <t>Lets your defender creatures attack this turn for {1}{W}</t>
        </is>
      </c>
      <c r="J900" s="45" t="inlineStr">
        <is>
          <t>Defender, flying body</t>
        </is>
      </c>
      <c r="K900" s="45" t="n"/>
      <c r="L900" s="42" t="n"/>
      <c r="M900" s="42" t="n"/>
      <c r="N900" s="42" t="n"/>
      <c r="O900" s="42" t="n"/>
      <c r="P900" s="42" t="n">
        <v>0.27</v>
      </c>
      <c r="Q900" s="42" t="n"/>
      <c r="R900" s="42" t="n"/>
      <c r="S900" s="42" t="n"/>
      <c r="T900" s="42" t="n"/>
      <c r="U900" s="42" t="n"/>
      <c r="V900" s="45" t="inlineStr">
        <is>
          <t>Dissension</t>
        </is>
      </c>
      <c r="W900" s="41" t="n">
        <v>1</v>
      </c>
      <c r="X900" s="37">
        <f>SUM(Y900:AE900)</f>
        <v/>
      </c>
      <c r="Y900" s="43" t="n"/>
      <c r="Z900" s="43" t="n"/>
      <c r="AA900" s="43" t="n"/>
      <c r="AB900" s="43" t="n">
        <v>1</v>
      </c>
      <c r="AC900" s="43" t="n"/>
      <c r="AD900" s="43" t="n"/>
      <c r="AE900" s="43" t="n"/>
      <c r="AF900" s="38">
        <f>IF((W900-SUM(Y900:AE900))&lt;0,0,W900-SUM(Y900:AE900))</f>
        <v/>
      </c>
      <c r="AG900" s="34">
        <f>MAX(0,$AT900-$W900-$AI900)</f>
        <v/>
      </c>
      <c r="AH900" s="34" t="n"/>
      <c r="AI900" s="34" t="n"/>
      <c r="AJ900" s="36" t="n">
        <v>0.29</v>
      </c>
      <c r="AK900" s="36">
        <f>IF(AND($AG900&gt;0,ISNUMBER($AJ900)),$AG900*$AJ900,0)</f>
        <v/>
      </c>
      <c r="AT900" s="37">
        <f>SUM(AU900:BA900)</f>
        <v/>
      </c>
      <c r="AU900" s="73" t="n"/>
      <c r="AV900" s="33" t="n"/>
      <c r="AW900" s="33" t="n"/>
      <c r="AX900" s="98" t="n">
        <v>1</v>
      </c>
      <c r="AY900" s="33" t="n"/>
      <c r="AZ900" s="33" t="n"/>
      <c r="BA900" s="74" t="n"/>
      <c r="BB900" s="106" t="n"/>
      <c r="BC900" s="42" t="n"/>
      <c r="BD900" s="42" t="n"/>
    </row>
    <row r="901" ht="15" customHeight="1" s="148">
      <c r="A901" t="inlineStr">
        <is>
          <t>c0897</t>
        </is>
      </c>
      <c r="B901" s="44" t="inlineStr">
        <is>
          <t>Wall of Omens</t>
        </is>
      </c>
      <c r="C901" s="34" t="inlineStr">
        <is>
          <t>W</t>
        </is>
      </c>
      <c r="D901" s="44" t="inlineStr">
        <is>
          <t>Creature</t>
        </is>
      </c>
      <c r="E901" s="41" t="inlineStr">
        <is>
          <t>B2</t>
        </is>
      </c>
      <c r="F901" s="34" t="n">
        <v>2</v>
      </c>
      <c r="G901" s="67" t="inlineStr">
        <is>
          <t>Defender
When this creature enters, draw a card.
(0/4)</t>
        </is>
      </c>
      <c r="H901" s="45" t="inlineStr">
        <is>
          <t>Card Draw</t>
        </is>
      </c>
      <c r="I901" s="45" t="inlineStr">
        <is>
          <t>Draws a card when it enters</t>
        </is>
      </c>
      <c r="J901" s="45" t="inlineStr">
        <is>
          <t>Defender body</t>
        </is>
      </c>
      <c r="K901" s="45" t="n"/>
      <c r="L901" s="42" t="n"/>
      <c r="M901" s="42" t="n"/>
      <c r="N901" s="42" t="n"/>
      <c r="O901" s="42" t="n"/>
      <c r="P901" s="42" t="n">
        <v>0.32</v>
      </c>
      <c r="Q901" s="42" t="n"/>
      <c r="R901" s="42" t="n"/>
      <c r="S901" s="42" t="n"/>
      <c r="T901" s="42" t="n"/>
      <c r="U901" s="42" t="n"/>
      <c r="V901" s="45" t="inlineStr">
        <is>
          <t>Rise of the Eldrazi</t>
        </is>
      </c>
      <c r="W901" s="41" t="n">
        <v>0</v>
      </c>
      <c r="X901" s="37">
        <f>SUM(Y901:AE901)</f>
        <v/>
      </c>
      <c r="Y901" s="43" t="n"/>
      <c r="Z901" s="43" t="n"/>
      <c r="AA901" s="43" t="n"/>
      <c r="AB901" s="43" t="n"/>
      <c r="AC901" s="43" t="n"/>
      <c r="AD901" s="43" t="n"/>
      <c r="AE901" s="43" t="n"/>
      <c r="AF901" s="38">
        <f>IF((W901-SUM(Y901:AE901))&lt;0,0,W901-SUM(Y901:AE901))</f>
        <v/>
      </c>
      <c r="AG901" s="34">
        <f>MAX(0,$AT901-$W901-$AI901)</f>
        <v/>
      </c>
      <c r="AH901" s="34" t="inlineStr">
        <is>
          <t>TCG</t>
        </is>
      </c>
      <c r="AI901" s="34" t="n">
        <v>0</v>
      </c>
      <c r="AJ901" s="36" t="n">
        <v>0.28</v>
      </c>
      <c r="AK901" s="36">
        <f>IF(AND($AG901&gt;0,ISNUMBER($AJ901)),$AG901*$AJ901,0)</f>
        <v/>
      </c>
      <c r="AL901" s="54" t="n"/>
      <c r="AM901" s="54" t="n"/>
      <c r="AN901" s="54" t="n"/>
      <c r="AO901" s="54" t="n"/>
      <c r="AP901" s="54" t="n"/>
      <c r="AQ901" s="54" t="n"/>
      <c r="AR901" s="54" t="n"/>
      <c r="AS901" s="54" t="n"/>
      <c r="AT901" s="37">
        <f>SUM(AU901:BA901)</f>
        <v/>
      </c>
      <c r="AU901" s="92" t="n"/>
      <c r="AV901" s="38" t="n"/>
      <c r="AW901" s="38" t="n"/>
      <c r="AX901" s="38" t="n">
        <v>1</v>
      </c>
      <c r="AY901" s="38" t="n"/>
      <c r="AZ901" s="38" t="n"/>
      <c r="BA901" s="94" t="n"/>
      <c r="BB901" s="106" t="n"/>
      <c r="BC901" s="42" t="n"/>
      <c r="BD901" s="48" t="n"/>
    </row>
    <row r="902" ht="15" customHeight="1" s="148">
      <c r="A902" t="inlineStr">
        <is>
          <t>c0898</t>
        </is>
      </c>
      <c r="B902" s="44" t="inlineStr">
        <is>
          <t>Wall of Resurgence</t>
        </is>
      </c>
      <c r="C902" s="34" t="inlineStr">
        <is>
          <t>W</t>
        </is>
      </c>
      <c r="D902" s="44" t="inlineStr">
        <is>
          <t>Creature</t>
        </is>
      </c>
      <c r="E902" s="41" t="inlineStr">
        <is>
          <t>B2</t>
        </is>
      </c>
      <c r="F902" s="34" t="n">
        <v>3</v>
      </c>
      <c r="G902" s="67" t="inlineStr">
        <is>
          <t>Defender
When this creature enters, you may put three +1/+1 counters on target land you control. If you do, that land becomes a 0/0 Elemental creature with haste that's still a land.
(0/6)</t>
        </is>
      </c>
      <c r="H902" s="45" t="inlineStr">
        <is>
          <t>Counters Payoff</t>
        </is>
      </c>
      <c r="I902" s="45" t="inlineStr">
        <is>
          <t>Puts three +1/+1 counters on target land you control when it enters</t>
        </is>
      </c>
      <c r="J902" s="45" t="inlineStr">
        <is>
          <t>That land becomes a 3/3 creature with haste (still a land)</t>
        </is>
      </c>
      <c r="K902" s="45" t="n"/>
      <c r="L902" s="42" t="n"/>
      <c r="M902" s="42" t="n"/>
      <c r="N902" s="42" t="n"/>
      <c r="O902" s="42" t="n"/>
      <c r="P902" s="42" t="n">
        <v>0.1</v>
      </c>
      <c r="Q902" s="42" t="n"/>
      <c r="R902" s="42" t="n"/>
      <c r="S902" s="42" t="n"/>
      <c r="T902" s="42" t="n"/>
      <c r="U902" s="42" t="n"/>
      <c r="V902" s="45" t="inlineStr">
        <is>
          <t>Oath of the Gatewatch</t>
        </is>
      </c>
      <c r="W902" s="41" t="n">
        <v>1</v>
      </c>
      <c r="X902" s="37">
        <f>SUM(Y902:AE902)</f>
        <v/>
      </c>
      <c r="Y902" s="43" t="n"/>
      <c r="Z902" s="43" t="n"/>
      <c r="AA902" s="43" t="n">
        <v>1</v>
      </c>
      <c r="AB902" s="43" t="n"/>
      <c r="AC902" s="43" t="n"/>
      <c r="AD902" s="43" t="n"/>
      <c r="AE902" s="43" t="n"/>
      <c r="AF902" s="38">
        <f>IF((W902-SUM(Y902:AE902))&lt;0,0,W902-SUM(Y902:AE902))</f>
        <v/>
      </c>
      <c r="AG902" s="34">
        <f>MAX(0,$AT902-$W902-$AI902)</f>
        <v/>
      </c>
      <c r="AH902" s="34" t="n"/>
      <c r="AI902" s="34" t="n"/>
      <c r="AJ902" s="36" t="n">
        <v>0.1</v>
      </c>
      <c r="AK902" s="36">
        <f>IF(AND($AG902&gt;0,ISNUMBER($AJ902)),$AG902*$AJ902,0)</f>
        <v/>
      </c>
      <c r="AN902" s="58" t="n"/>
      <c r="AT902" s="37">
        <f>SUM(AU902:BA902)</f>
        <v/>
      </c>
      <c r="AU902" s="73" t="n"/>
      <c r="AV902" s="33" t="n"/>
      <c r="AW902" s="98" t="n">
        <v>1</v>
      </c>
      <c r="AX902" s="33" t="n"/>
      <c r="AY902" s="33" t="n"/>
      <c r="AZ902" s="33" t="n"/>
      <c r="BA902" s="74" t="n"/>
      <c r="BB902" s="106" t="n"/>
      <c r="BC902" s="42" t="n"/>
      <c r="BD902" s="42" t="n"/>
    </row>
    <row r="903" ht="15" customHeight="1" s="148">
      <c r="A903" t="inlineStr">
        <is>
          <t>c0899</t>
        </is>
      </c>
      <c r="B903" s="44" t="inlineStr">
        <is>
          <t>Wall of Reverence</t>
        </is>
      </c>
      <c r="C903" s="34" t="inlineStr">
        <is>
          <t>W</t>
        </is>
      </c>
      <c r="D903" s="44" t="inlineStr">
        <is>
          <t>Creature</t>
        </is>
      </c>
      <c r="E903" s="41" t="inlineStr">
        <is>
          <t>B2</t>
        </is>
      </c>
      <c r="F903" s="34" t="n">
        <v>4</v>
      </c>
      <c r="G903" s="67" t="inlineStr">
        <is>
          <t>Defender, flying
At the beginning of your end step, you may gain life equal to the power of target creature you control.
(1/6)</t>
        </is>
      </c>
      <c r="H903" s="45" t="inlineStr">
        <is>
          <t>Lifegain</t>
        </is>
      </c>
      <c r="I903" s="45" t="inlineStr">
        <is>
          <t>May gain life equal to a target creature's power each end step</t>
        </is>
      </c>
      <c r="J903" s="45" t="inlineStr">
        <is>
          <t>Defender, flying body</t>
        </is>
      </c>
      <c r="K903" s="45" t="n"/>
      <c r="L903" s="42" t="n"/>
      <c r="M903" s="42" t="n"/>
      <c r="N903" s="42" t="n"/>
      <c r="O903" s="42" t="n"/>
      <c r="P903" s="42" t="n">
        <v>0.35</v>
      </c>
      <c r="Q903" s="42" t="n"/>
      <c r="R903" s="42" t="n"/>
      <c r="S903" s="42" t="n"/>
      <c r="T903" s="42" t="n"/>
      <c r="U903" s="42" t="n"/>
      <c r="V903" s="45" t="inlineStr">
        <is>
          <t>Conflux</t>
        </is>
      </c>
      <c r="W903" s="41" t="n">
        <v>0</v>
      </c>
      <c r="X903" s="37">
        <f>SUM(Y903:AE903)</f>
        <v/>
      </c>
      <c r="Y903" s="43" t="n"/>
      <c r="Z903" s="43" t="n"/>
      <c r="AA903" s="43" t="n"/>
      <c r="AB903" s="43" t="n"/>
      <c r="AC903" s="43" t="n"/>
      <c r="AD903" s="43" t="n"/>
      <c r="AE903" s="43" t="n"/>
      <c r="AF903" s="38">
        <f>IF((W903-SUM(Y903:AE903))&lt;0,0,W903-SUM(Y903:AE903))</f>
        <v/>
      </c>
      <c r="AG903" s="34">
        <f>MAX(0,$AT903-$W903-$AI903)</f>
        <v/>
      </c>
      <c r="AH903" s="34" t="inlineStr">
        <is>
          <t>TCG</t>
        </is>
      </c>
      <c r="AI903" s="34" t="n">
        <v>1</v>
      </c>
      <c r="AJ903" s="36" t="n">
        <v>0.36</v>
      </c>
      <c r="AK903" s="36">
        <f>IF(AND($AG903&gt;0,ISNUMBER($AJ903)),$AG903*$AJ903,0)</f>
        <v/>
      </c>
      <c r="AL903" s="54" t="n"/>
      <c r="AM903" s="54" t="n"/>
      <c r="AN903" s="54" t="n"/>
      <c r="AO903" s="54" t="n"/>
      <c r="AP903" s="54" t="n"/>
      <c r="AQ903" s="54" t="n"/>
      <c r="AR903" s="54" t="n"/>
      <c r="AS903" s="54" t="n"/>
      <c r="AT903" s="37">
        <f>SUM(AU903:BA903)</f>
        <v/>
      </c>
      <c r="AU903" s="92" t="n"/>
      <c r="AV903" s="38" t="n"/>
      <c r="AW903" s="38" t="n"/>
      <c r="AX903" s="38" t="n"/>
      <c r="AY903" s="38" t="n"/>
      <c r="AZ903" s="38" t="n"/>
      <c r="BA903" s="94" t="n"/>
      <c r="BB903" s="106" t="n"/>
      <c r="BC903" s="42" t="n"/>
      <c r="BD903" s="42" t="n"/>
    </row>
    <row r="904" ht="15" customHeight="1" s="148">
      <c r="A904" t="inlineStr">
        <is>
          <t>c0900</t>
        </is>
      </c>
      <c r="B904" s="30" t="inlineStr">
        <is>
          <t>Wanderer's Strike</t>
        </is>
      </c>
      <c r="C904" s="31" t="inlineStr">
        <is>
          <t>W</t>
        </is>
      </c>
      <c r="D904" s="30" t="inlineStr">
        <is>
          <t>Sorcery</t>
        </is>
      </c>
      <c r="E904" s="33" t="inlineStr">
        <is>
          <t>B2</t>
        </is>
      </c>
      <c r="F904" s="30" t="n">
        <v>5</v>
      </c>
      <c r="G904" s="67" t="inlineStr">
        <is>
          <t>Exile target creature, then proliferate. (Choose any number of permanents and/or players, then give each another counter of each kind already there.)</t>
        </is>
      </c>
      <c r="H904" s="30" t="inlineStr">
        <is>
          <t>Removal</t>
        </is>
      </c>
      <c r="I904" s="30" t="inlineStr">
        <is>
          <t>Exile target creature, then proliferate</t>
        </is>
      </c>
      <c r="J904" s="30" t="n"/>
      <c r="K904" s="30" t="n"/>
      <c r="L904" s="32" t="n"/>
      <c r="M904" s="32" t="n"/>
      <c r="N904" s="32" t="n"/>
      <c r="O904" s="63" t="n"/>
      <c r="P904" s="63" t="n"/>
      <c r="Q904" s="32" t="n"/>
      <c r="R904" s="32" t="n"/>
      <c r="S904" s="32" t="n"/>
      <c r="T904" s="63" t="n"/>
      <c r="U904" s="63" t="n"/>
      <c r="V904" s="30" t="inlineStr">
        <is>
          <t>War of the Spark</t>
        </is>
      </c>
      <c r="W904" s="41" t="n">
        <v>1</v>
      </c>
      <c r="X904" s="37">
        <f>SUM(Y904:AE904)</f>
        <v/>
      </c>
      <c r="Y904" s="43" t="n"/>
      <c r="Z904" s="43" t="n"/>
      <c r="AA904" s="43" t="n">
        <v>1</v>
      </c>
      <c r="AB904" s="43" t="n"/>
      <c r="AC904" s="43" t="n"/>
      <c r="AD904" s="43" t="n"/>
      <c r="AE904" s="43" t="n"/>
      <c r="AF904" s="38">
        <f>IF((W904-SUM(Y904:AE904))&lt;0,0,W904-SUM(Y904:AE904))</f>
        <v/>
      </c>
      <c r="AG904" s="34">
        <f>MAX(0,$AT904-$W904-$AI904)</f>
        <v/>
      </c>
      <c r="AH904" s="30" t="n"/>
      <c r="AI904" s="30" t="n"/>
      <c r="AJ904" s="30" t="n">
        <v>0.07000000000000001</v>
      </c>
      <c r="AK904" s="36">
        <f>IF(AND($AG904&gt;0,ISNUMBER($AJ904)),$AG904*$AJ904,0)</f>
        <v/>
      </c>
      <c r="AR904" s="58" t="n"/>
      <c r="AT904" s="37">
        <f>SUM(AU904:BA904)</f>
        <v/>
      </c>
      <c r="AU904" s="73" t="n"/>
      <c r="AV904" s="33" t="n"/>
      <c r="AW904" s="98" t="n">
        <v>1</v>
      </c>
      <c r="AX904" s="33" t="n"/>
      <c r="AY904" s="33" t="n"/>
      <c r="AZ904" s="33" t="n"/>
      <c r="BA904" s="79" t="n"/>
      <c r="BB904" s="108" t="n"/>
      <c r="BC904" s="32" t="n"/>
      <c r="BD904" s="32" t="n"/>
    </row>
    <row r="905" ht="15" customHeight="1" s="148">
      <c r="A905" t="inlineStr">
        <is>
          <t>c0901</t>
        </is>
      </c>
      <c r="B905" s="44" t="inlineStr">
        <is>
          <t>Wave of Reckoning</t>
        </is>
      </c>
      <c r="C905" s="34" t="inlineStr">
        <is>
          <t>W</t>
        </is>
      </c>
      <c r="D905" s="44" t="inlineStr">
        <is>
          <t>Sorcery</t>
        </is>
      </c>
      <c r="E905" s="41" t="inlineStr">
        <is>
          <t>B2</t>
        </is>
      </c>
      <c r="F905" s="34" t="n">
        <v>5</v>
      </c>
      <c r="G905" s="67" t="inlineStr">
        <is>
          <t>Each creature deals damage to itself equal to its power.</t>
        </is>
      </c>
      <c r="H905" s="45" t="inlineStr">
        <is>
          <t>Board Wipe</t>
        </is>
      </c>
      <c r="I905" s="45" t="inlineStr">
        <is>
          <t>Each creature deals damage to itself equal to its power</t>
        </is>
      </c>
      <c r="J905" s="45" t="n"/>
      <c r="K905" s="45" t="n"/>
      <c r="L905" s="42" t="n"/>
      <c r="M905" s="42" t="n"/>
      <c r="N905" s="42" t="n"/>
      <c r="O905" s="63" t="n"/>
      <c r="P905" s="63" t="n">
        <v>0.54</v>
      </c>
      <c r="Q905" s="42" t="n"/>
      <c r="R905" s="42" t="n"/>
      <c r="S905" s="42" t="n"/>
      <c r="T905" s="63" t="n"/>
      <c r="U905" s="63" t="n"/>
      <c r="V905" s="45" t="inlineStr">
        <is>
          <t>Mercadian Masques</t>
        </is>
      </c>
      <c r="W905" s="41" t="n">
        <v>2</v>
      </c>
      <c r="X905" s="37">
        <f>SUM(Y905:AE905)</f>
        <v/>
      </c>
      <c r="Y905" s="43" t="n"/>
      <c r="Z905" s="43" t="n"/>
      <c r="AA905" s="43" t="n"/>
      <c r="AB905" s="43" t="n">
        <v>1</v>
      </c>
      <c r="AC905" s="43" t="n"/>
      <c r="AD905" s="43" t="n"/>
      <c r="AE905" s="43" t="n"/>
      <c r="AF905" s="38">
        <f>IF((W905-SUM(Y905:AE905))&lt;0,0,W905-SUM(Y905:AE905))</f>
        <v/>
      </c>
      <c r="AG905" s="34">
        <f>MAX(0,$AT905-$W905-$AI905)</f>
        <v/>
      </c>
      <c r="AH905" s="34" t="n"/>
      <c r="AI905" s="34" t="n"/>
      <c r="AJ905" s="36" t="n">
        <v>0.4</v>
      </c>
      <c r="AK905" s="36">
        <f>IF(AND($AG905&gt;0,ISNUMBER($AJ905)),$AG905*$AJ905,0)</f>
        <v/>
      </c>
      <c r="AT905" s="37">
        <f>SUM(AU905:BA905)</f>
        <v/>
      </c>
      <c r="AU905" s="73" t="n"/>
      <c r="AV905" s="33" t="n"/>
      <c r="AW905" s="33" t="n"/>
      <c r="AX905" s="98" t="n">
        <v>1</v>
      </c>
      <c r="AY905" s="33" t="n"/>
      <c r="AZ905" s="33" t="n"/>
      <c r="BA905" s="74" t="n"/>
      <c r="BB905" s="106" t="n"/>
      <c r="BC905" s="42" t="n"/>
      <c r="BD905" s="42" t="n"/>
    </row>
    <row r="906" ht="15" customHeight="1" s="148">
      <c r="A906" t="inlineStr">
        <is>
          <t>c0902</t>
        </is>
      </c>
      <c r="B906" s="47" t="inlineStr">
        <is>
          <t>Weathered Wayfarer</t>
        </is>
      </c>
      <c r="C906" s="38" t="inlineStr">
        <is>
          <t>W</t>
        </is>
      </c>
      <c r="D906" s="118" t="inlineStr">
        <is>
          <t>Creature</t>
        </is>
      </c>
      <c r="E906" s="121" t="inlineStr">
        <is>
          <t>B2</t>
        </is>
      </c>
      <c r="F906" s="38" t="n">
        <v>1</v>
      </c>
      <c r="G906" s="67" t="inlineStr">
        <is>
          <t>{W}, {T}: Search your library for a land card, reveal it, put it into your hand, then shuffle. Activate only if an opponent controls more lands than you.
(1/1)</t>
        </is>
      </c>
      <c r="H906" s="53" t="inlineStr">
        <is>
          <t>Ramp</t>
        </is>
      </c>
      <c r="I906" s="53" t="inlineStr">
        <is>
          <t>1/1 body</t>
        </is>
      </c>
      <c r="J906" s="53" t="inlineStr">
        <is>
          <t>Tap: search library for a land card to hand if an opponent has more lands</t>
        </is>
      </c>
      <c r="K906" s="53" t="n"/>
      <c r="L906" s="88" t="inlineStr">
        <is>
          <t>59/350</t>
        </is>
      </c>
      <c r="M906" s="41" t="n">
        <v>1</v>
      </c>
      <c r="N906" s="41" t="n">
        <v>0</v>
      </c>
      <c r="O906" s="63" t="inlineStr">
        <is>
          <t>Greg &amp; Tim Hildebrandt</t>
        </is>
      </c>
      <c r="P906" s="90" t="n">
        <v>17.39</v>
      </c>
      <c r="Q906" s="88" t="inlineStr">
        <is>
          <t>R 0183</t>
        </is>
      </c>
      <c r="R906" s="41" t="n">
        <v>1</v>
      </c>
      <c r="S906" s="41" t="n">
        <v>0</v>
      </c>
      <c r="T906" s="63" t="inlineStr">
        <is>
          <t>Javier Charro</t>
        </is>
      </c>
      <c r="U906" s="91" t="n">
        <v>1.41</v>
      </c>
      <c r="V906" s="122" t="inlineStr">
        <is>
          <t>Onslaught</t>
        </is>
      </c>
      <c r="W906" s="41" t="n">
        <v>2</v>
      </c>
      <c r="X906" s="37">
        <f>SUM(Y906:AE906)</f>
        <v/>
      </c>
      <c r="Y906" s="43" t="n"/>
      <c r="Z906" s="43" t="n"/>
      <c r="AA906" s="43" t="n"/>
      <c r="AB906" s="43" t="n"/>
      <c r="AC906" s="43" t="n">
        <v>1</v>
      </c>
      <c r="AD906" s="43" t="n"/>
      <c r="AE906" s="43" t="n"/>
      <c r="AF906" s="38">
        <f>IF((W906-SUM(Y906:AE906))&lt;0,0,W906-SUM(Y906:AE906))</f>
        <v/>
      </c>
      <c r="AG906" s="34">
        <f>MAX(0,$AT906-$W906-$AI906)</f>
        <v/>
      </c>
      <c r="AH906" s="38" t="n"/>
      <c r="AI906" s="38" t="n"/>
      <c r="AJ906" s="54" t="n">
        <v>17.39</v>
      </c>
      <c r="AK906" s="36">
        <f>IF(AND($AG906&gt;0,ISNUMBER($AJ906)),$AG906*$AJ906,0)</f>
        <v/>
      </c>
      <c r="AT906" s="37">
        <f>SUM(AU906:BA906)</f>
        <v/>
      </c>
      <c r="AU906" s="73" t="n">
        <v>1</v>
      </c>
      <c r="AV906" s="33" t="n"/>
      <c r="AW906" s="33" t="n"/>
      <c r="AX906" s="33" t="n"/>
      <c r="AY906" s="98" t="n">
        <v>1</v>
      </c>
      <c r="AZ906" s="33" t="n"/>
      <c r="BA906" s="74" t="n"/>
      <c r="BB906" s="47" t="n"/>
      <c r="BC906" s="42" t="n"/>
      <c r="BD906" s="42" t="n"/>
    </row>
    <row r="907" ht="15" customHeight="1" s="148">
      <c r="A907" t="inlineStr">
        <is>
          <t>c0903</t>
        </is>
      </c>
      <c r="B907" s="47" t="inlineStr">
        <is>
          <t>Welcoming Vampire</t>
        </is>
      </c>
      <c r="C907" s="38" t="inlineStr">
        <is>
          <t>W</t>
        </is>
      </c>
      <c r="D907" s="118" t="inlineStr">
        <is>
          <t>Creature</t>
        </is>
      </c>
      <c r="E907" s="121" t="inlineStr">
        <is>
          <t>B2</t>
        </is>
      </c>
      <c r="F907" s="38" t="n">
        <v>3</v>
      </c>
      <c r="G907" s="67" t="inlineStr">
        <is>
          <t>Flying
Whenever one or more other creatures you control with power 2 or less enter, draw a card. This ability triggers only once each turn.
(2/3)</t>
        </is>
      </c>
      <c r="H907" s="53" t="inlineStr">
        <is>
          <t>Card Draw</t>
        </is>
      </c>
      <c r="I907" s="53" t="inlineStr">
        <is>
          <t>Draws a card (once per turn) when creatures with power 2 or less you control enter</t>
        </is>
      </c>
      <c r="J907" s="53" t="inlineStr">
        <is>
          <t>Flying body</t>
        </is>
      </c>
      <c r="K907" s="53" t="n"/>
      <c r="L907" s="42" t="n"/>
      <c r="M907" s="42" t="n"/>
      <c r="N907" s="42" t="n"/>
      <c r="O907" s="42" t="n"/>
      <c r="P907" s="42" t="n">
        <v>3.09</v>
      </c>
      <c r="Q907" s="42" t="n"/>
      <c r="R907" s="42" t="n"/>
      <c r="S907" s="42" t="n"/>
      <c r="T907" s="42" t="n"/>
      <c r="U907" s="42" t="n"/>
      <c r="V907" s="122" t="inlineStr">
        <is>
          <t>Innistrad: Crimson Vow</t>
        </is>
      </c>
      <c r="W907" s="41" t="n">
        <v>2</v>
      </c>
      <c r="X907" s="37">
        <f>SUM(Y907:AE907)</f>
        <v/>
      </c>
      <c r="Y907" s="43" t="n"/>
      <c r="Z907" s="43" t="n"/>
      <c r="AA907" s="43" t="n"/>
      <c r="AB907" s="43" t="n">
        <v>1</v>
      </c>
      <c r="AC907" s="43" t="n">
        <v>1</v>
      </c>
      <c r="AD907" s="43" t="n"/>
      <c r="AE907" s="43" t="n"/>
      <c r="AF907" s="38">
        <f>IF((W907-SUM(Y907:AE907))&lt;0,0,W907-SUM(Y907:AE907))</f>
        <v/>
      </c>
      <c r="AG907" s="34">
        <f>MAX(0,$AT907-$W907-$AI907)</f>
        <v/>
      </c>
      <c r="AH907" s="38" t="n"/>
      <c r="AI907" s="38" t="n"/>
      <c r="AJ907" s="54" t="n">
        <v>3.81</v>
      </c>
      <c r="AK907" s="36">
        <f>IF(AND($AG907&gt;0,ISNUMBER($AJ907)),$AG907*$AJ907,0)</f>
        <v/>
      </c>
      <c r="AT907" s="37">
        <f>SUM(AU907:BA907)</f>
        <v/>
      </c>
      <c r="AU907" s="73" t="n"/>
      <c r="AV907" s="33" t="n"/>
      <c r="AW907" s="33" t="n"/>
      <c r="AX907" s="98" t="n">
        <v>1</v>
      </c>
      <c r="AY907" s="98" t="n">
        <v>1</v>
      </c>
      <c r="AZ907" s="33" t="n"/>
      <c r="BA907" s="74" t="n"/>
      <c r="BB907" s="47" t="n"/>
      <c r="BC907" s="42" t="n"/>
      <c r="BD907" s="50" t="inlineStr">
        <is>
          <t>ORDERED 2026-09-11 $5.20 (surplus)</t>
        </is>
      </c>
    </row>
    <row r="908" ht="15" customHeight="1" s="148">
      <c r="A908" t="inlineStr">
        <is>
          <t>c0904</t>
        </is>
      </c>
      <c r="B908" s="47" t="inlineStr">
        <is>
          <t>White Orchid Phantom</t>
        </is>
      </c>
      <c r="C908" s="38" t="inlineStr">
        <is>
          <t>W</t>
        </is>
      </c>
      <c r="D908" s="118" t="inlineStr">
        <is>
          <t>Creature</t>
        </is>
      </c>
      <c r="E908" s="121" t="inlineStr">
        <is>
          <t>B2</t>
        </is>
      </c>
      <c r="F908" s="38" t="n">
        <v>2</v>
      </c>
      <c r="G908" s="67" t="inlineStr">
        <is>
          <t>Flying, first strike
When this creature enters, destroy up to one target nonbasic land. Its controller may search their library for a basic land card, put it onto the battlefield tapped, then shuffle.
(2/2)</t>
        </is>
      </c>
      <c r="H908" s="53" t="inlineStr">
        <is>
          <t>Removal</t>
        </is>
      </c>
      <c r="I908" s="53" t="inlineStr">
        <is>
          <t>Destroys target nonbasic land when it enters</t>
        </is>
      </c>
      <c r="J908" s="53" t="inlineStr">
        <is>
          <t>Its controller may search for a basic land instead</t>
        </is>
      </c>
      <c r="K908" s="53" t="inlineStr">
        <is>
          <t>Flying first strike body</t>
        </is>
      </c>
      <c r="L908" s="41" t="n"/>
      <c r="M908" s="41" t="n"/>
      <c r="N908" s="41" t="n"/>
      <c r="O908" s="63" t="n"/>
      <c r="P908" s="63" t="n">
        <v>0.27</v>
      </c>
      <c r="Q908" s="41" t="n"/>
      <c r="R908" s="41" t="n"/>
      <c r="S908" s="41" t="n"/>
      <c r="T908" s="63" t="n"/>
      <c r="U908" s="63" t="n"/>
      <c r="V908" s="122" t="inlineStr">
        <is>
          <t>Modern Horizons 3</t>
        </is>
      </c>
      <c r="W908" s="41" t="n">
        <v>1</v>
      </c>
      <c r="X908" s="37">
        <f>SUM(Y908:AE908)</f>
        <v/>
      </c>
      <c r="Y908" s="43" t="n"/>
      <c r="Z908" s="43" t="n">
        <v>1</v>
      </c>
      <c r="AA908" s="43" t="n"/>
      <c r="AB908" s="43" t="n"/>
      <c r="AC908" s="43" t="n"/>
      <c r="AD908" s="43" t="n"/>
      <c r="AE908" s="43" t="n"/>
      <c r="AF908" s="38">
        <f>IF((W908-SUM(Y908:AE908))&lt;0,0,W908-SUM(Y908:AE908))</f>
        <v/>
      </c>
      <c r="AG908" s="34">
        <f>MAX(0,$AT908-$W908-$AI908)</f>
        <v/>
      </c>
      <c r="AH908" s="38" t="n"/>
      <c r="AI908" s="38" t="n"/>
      <c r="AJ908" s="54" t="n">
        <v>0.23</v>
      </c>
      <c r="AK908" s="36">
        <f>IF(AND($AG908&gt;0,ISNUMBER($AJ908)),$AG908*$AJ908,0)</f>
        <v/>
      </c>
      <c r="AT908" s="37">
        <f>SUM(AU908:BA908)</f>
        <v/>
      </c>
      <c r="AU908" s="73" t="n"/>
      <c r="AV908" s="98" t="n">
        <v>1</v>
      </c>
      <c r="AW908" s="33" t="n"/>
      <c r="AX908" s="33" t="n"/>
      <c r="AY908" s="33" t="n"/>
      <c r="AZ908" s="33" t="n"/>
      <c r="BA908" s="74" t="n"/>
      <c r="BB908" s="47" t="n"/>
      <c r="BC908" s="42" t="n"/>
      <c r="BD908" s="42" t="n"/>
    </row>
    <row r="909" ht="15" customHeight="1" s="148">
      <c r="A909" t="inlineStr">
        <is>
          <t>c0905</t>
        </is>
      </c>
      <c r="B909" s="47" t="inlineStr">
        <is>
          <t>Whitemane Lion</t>
        </is>
      </c>
      <c r="C909" s="38" t="inlineStr">
        <is>
          <t>W</t>
        </is>
      </c>
      <c r="D909" s="118" t="inlineStr">
        <is>
          <t>Creature</t>
        </is>
      </c>
      <c r="E909" s="121" t="inlineStr">
        <is>
          <t>B2</t>
        </is>
      </c>
      <c r="F909" s="38" t="n">
        <v>2</v>
      </c>
      <c r="G909" s="67" t="inlineStr">
        <is>
          <t>Flash
When this creature enters, return a creature you control to its owner's hand.
(2/2)</t>
        </is>
      </c>
      <c r="H909" s="53" t="inlineStr">
        <is>
          <t>Blink</t>
        </is>
      </c>
      <c r="I909" s="53" t="inlineStr">
        <is>
          <t>Flash</t>
        </is>
      </c>
      <c r="J909" s="53" t="inlineStr">
        <is>
          <t>When this creature enters, return a creature you control to its owner's hand</t>
        </is>
      </c>
      <c r="K909" s="53" t="n"/>
      <c r="L909" s="42" t="n"/>
      <c r="M909" s="42" t="n"/>
      <c r="N909" s="42" t="n"/>
      <c r="O909" s="42" t="n"/>
      <c r="P909" s="42" t="n">
        <v>0.24</v>
      </c>
      <c r="Q909" s="42" t="n"/>
      <c r="R909" s="42" t="n"/>
      <c r="S909" s="42" t="n"/>
      <c r="T909" s="42" t="n"/>
      <c r="U909" s="42" t="n"/>
      <c r="V909" s="122" t="inlineStr">
        <is>
          <t>Salvat 2005</t>
        </is>
      </c>
      <c r="W909" s="41" t="n">
        <v>0</v>
      </c>
      <c r="X909" s="37">
        <f>SUM(Y909:AE909)</f>
        <v/>
      </c>
      <c r="Y909" s="43" t="n"/>
      <c r="Z909" s="43" t="n"/>
      <c r="AA909" s="43" t="n"/>
      <c r="AB909" s="43" t="n"/>
      <c r="AC909" s="43" t="n"/>
      <c r="AD909" s="43" t="n"/>
      <c r="AE909" s="43" t="n"/>
      <c r="AF909" s="38">
        <f>IF((W909-SUM(Y909:AE909))&lt;0,0,W909-SUM(Y909:AE909))</f>
        <v/>
      </c>
      <c r="AG909" s="34">
        <f>MAX(0,$AT909-$W909-$AI909)</f>
        <v/>
      </c>
      <c r="AH909" s="38" t="n"/>
      <c r="AI909" s="38" t="n"/>
      <c r="AJ909" s="54" t="n">
        <v>0.09</v>
      </c>
      <c r="AK909" s="36">
        <f>IF(AND($AG909&gt;0,ISNUMBER($AJ909)),$AG909*$AJ909,0)</f>
        <v/>
      </c>
      <c r="AL909" s="54" t="n"/>
      <c r="AM909" s="54" t="n"/>
      <c r="AN909" s="54" t="n"/>
      <c r="AO909" s="54" t="n"/>
      <c r="AP909" s="54" t="n"/>
      <c r="AQ909" s="54" t="n"/>
      <c r="AR909" s="54" t="n"/>
      <c r="AS909" s="54" t="n"/>
      <c r="AT909" s="37">
        <f>SUM(AU909:BA909)</f>
        <v/>
      </c>
      <c r="AU909" s="92" t="n"/>
      <c r="AV909" s="38" t="n">
        <v>1</v>
      </c>
      <c r="AW909" s="38" t="n"/>
      <c r="AX909" s="38" t="n"/>
      <c r="AY909" s="38" t="n"/>
      <c r="AZ909" s="38" t="n"/>
      <c r="BA909" s="94" t="n"/>
      <c r="BB909" s="47" t="n"/>
      <c r="BC909" s="42" t="n"/>
      <c r="BD909" s="48" t="n"/>
    </row>
    <row r="910" ht="15" customHeight="1" s="148">
      <c r="A910" t="inlineStr">
        <is>
          <t>c0906</t>
        </is>
      </c>
      <c r="B910" s="47" t="inlineStr">
        <is>
          <t>Wild Pack Squad</t>
        </is>
      </c>
      <c r="C910" s="38" t="inlineStr">
        <is>
          <t>W</t>
        </is>
      </c>
      <c r="D910" s="118" t="inlineStr">
        <is>
          <t>Creature</t>
        </is>
      </c>
      <c r="E910" s="121" t="inlineStr">
        <is>
          <t>B2</t>
        </is>
      </c>
      <c r="F910" s="38" t="n">
        <v>3</v>
      </c>
      <c r="G910" s="67" t="inlineStr">
        <is>
          <t>At the beginning of combat on your turn, up to one target creature gains first strike and vigilance until end of turn.
(2/3)</t>
        </is>
      </c>
      <c r="H910" s="53" t="inlineStr">
        <is>
          <t>Combat Trick</t>
        </is>
      </c>
      <c r="I910" s="53" t="inlineStr">
        <is>
          <t>Gives target creature first strike and vigilance at combat start</t>
        </is>
      </c>
      <c r="J910" s="53" t="n"/>
      <c r="K910" s="53" t="n"/>
      <c r="L910" s="42" t="n"/>
      <c r="M910" s="42" t="n"/>
      <c r="N910" s="42" t="n"/>
      <c r="O910" s="63" t="n"/>
      <c r="P910" s="63" t="n">
        <v>0.18</v>
      </c>
      <c r="Q910" s="42" t="n"/>
      <c r="R910" s="42" t="n"/>
      <c r="S910" s="42" t="n"/>
      <c r="T910" s="63" t="n"/>
      <c r="U910" s="63" t="n"/>
      <c r="V910" s="122" t="inlineStr">
        <is>
          <t>Marvel's Spider-Man</t>
        </is>
      </c>
      <c r="W910" s="41" t="n">
        <v>1</v>
      </c>
      <c r="X910" s="37">
        <f>SUM(Y910:AE910)</f>
        <v/>
      </c>
      <c r="Y910" s="43" t="n"/>
      <c r="Z910" s="43" t="n"/>
      <c r="AA910" s="43" t="n"/>
      <c r="AB910" s="43" t="n"/>
      <c r="AC910" s="43" t="n"/>
      <c r="AD910" s="43" t="n"/>
      <c r="AE910" s="43" t="n"/>
      <c r="AF910" s="38">
        <f>IF((W910-SUM(Y910:AE910))&lt;0,0,W910-SUM(Y910:AE910))</f>
        <v/>
      </c>
      <c r="AG910" s="34">
        <f>MAX(0,$AT910-$W910-$AI910)</f>
        <v/>
      </c>
      <c r="AH910" s="38" t="n"/>
      <c r="AI910" s="38" t="n"/>
      <c r="AJ910" s="54" t="n">
        <v>0.09</v>
      </c>
      <c r="AK910" s="36">
        <f>IF(AND($AG910&gt;0,ISNUMBER($AJ910)),$AG910*$AJ910,0)</f>
        <v/>
      </c>
      <c r="AT910" s="37">
        <f>SUM(AU910:BA910)</f>
        <v/>
      </c>
      <c r="AU910" s="73" t="n"/>
      <c r="AV910" s="33" t="n"/>
      <c r="AW910" s="33" t="n"/>
      <c r="AX910" s="33" t="n"/>
      <c r="AY910" s="33" t="n"/>
      <c r="AZ910" s="33" t="n"/>
      <c r="BA910" s="74" t="n"/>
      <c r="BB910" s="47" t="n"/>
      <c r="BC910" s="42" t="n"/>
      <c r="BD910" s="42" t="n"/>
    </row>
    <row r="911" ht="15" customHeight="1" s="148">
      <c r="A911" t="inlineStr">
        <is>
          <t>c0907</t>
        </is>
      </c>
      <c r="B911" s="47" t="inlineStr">
        <is>
          <t>Windborn Muse</t>
        </is>
      </c>
      <c r="C911" s="38" t="inlineStr">
        <is>
          <t>W</t>
        </is>
      </c>
      <c r="D911" s="118" t="inlineStr">
        <is>
          <t>Creature</t>
        </is>
      </c>
      <c r="E911" s="121" t="inlineStr">
        <is>
          <t>B2</t>
        </is>
      </c>
      <c r="F911" s="38" t="n">
        <v>4</v>
      </c>
      <c r="G911" s="67" t="inlineStr">
        <is>
          <t>Flying
Creatures can't attack you unless their controller pays {2} for each creature they control that's attacking you.
(2/3)</t>
        </is>
      </c>
      <c r="H911" s="53" t="inlineStr">
        <is>
          <t>Stax/Tax</t>
        </is>
      </c>
      <c r="I911" s="53" t="inlineStr">
        <is>
          <t>Flying</t>
        </is>
      </c>
      <c r="J911" s="53" t="inlineStr">
        <is>
          <t>Creatures can't attack you unless their controller pays {2} for each creature they control that's attacking you</t>
        </is>
      </c>
      <c r="K911" s="53" t="n"/>
      <c r="L911" s="42" t="n"/>
      <c r="M911" s="42" t="n"/>
      <c r="N911" s="42" t="n"/>
      <c r="O911" s="42" t="n"/>
      <c r="P911" s="42" t="n">
        <v>0.83</v>
      </c>
      <c r="Q911" s="42" t="n"/>
      <c r="R911" s="42" t="n"/>
      <c r="S911" s="42" t="n"/>
      <c r="T911" s="42" t="n"/>
      <c r="U911" s="42" t="n"/>
      <c r="V911" s="122" t="inlineStr">
        <is>
          <t>Legions</t>
        </is>
      </c>
      <c r="W911" s="41" t="n">
        <v>0</v>
      </c>
      <c r="X911" s="37">
        <f>SUM(Y911:AE911)</f>
        <v/>
      </c>
      <c r="Y911" s="43" t="n"/>
      <c r="Z911" s="43" t="n"/>
      <c r="AA911" s="43" t="n"/>
      <c r="AB911" s="43" t="n"/>
      <c r="AC911" s="43" t="n"/>
      <c r="AD911" s="43" t="n"/>
      <c r="AE911" s="43" t="n"/>
      <c r="AF911" s="38">
        <f>IF((W911-SUM(Y911:AE911))&lt;0,0,W911-SUM(Y911:AE911))</f>
        <v/>
      </c>
      <c r="AG911" s="34">
        <f>MAX(0,$AT911-$W911-$AI911)</f>
        <v/>
      </c>
      <c r="AH911" s="38" t="n"/>
      <c r="AI911" s="38" t="n"/>
      <c r="AJ911" s="54" t="n">
        <v>0.54</v>
      </c>
      <c r="AK911" s="36">
        <f>IF(AND($AG911&gt;0,ISNUMBER($AJ911)),$AG911*$AJ911,0)</f>
        <v/>
      </c>
      <c r="AL911" s="54" t="n"/>
      <c r="AM911" s="54" t="n"/>
      <c r="AN911" s="54" t="n"/>
      <c r="AO911" s="54" t="n"/>
      <c r="AP911" s="54" t="n"/>
      <c r="AQ911" s="54" t="n"/>
      <c r="AR911" s="54" t="n"/>
      <c r="AS911" s="54" t="n"/>
      <c r="AT911" s="37">
        <f>SUM(AU911:BA911)</f>
        <v/>
      </c>
      <c r="AU911" s="92" t="n"/>
      <c r="AV911" s="38" t="n"/>
      <c r="AW911" s="38" t="n"/>
      <c r="AX911" s="38" t="n"/>
      <c r="AY911" s="38" t="n"/>
      <c r="AZ911" s="38" t="n"/>
      <c r="BA911" s="94" t="n"/>
      <c r="BB911" s="47" t="n"/>
      <c r="BC911" s="42" t="n"/>
      <c r="BD911" s="48" t="n"/>
    </row>
    <row r="912" ht="15" customHeight="1" s="148">
      <c r="A912" t="inlineStr">
        <is>
          <t>c0908</t>
        </is>
      </c>
      <c r="B912" s="47" t="inlineStr">
        <is>
          <t>Winds of Abandon</t>
        </is>
      </c>
      <c r="C912" s="38" t="inlineStr">
        <is>
          <t>W</t>
        </is>
      </c>
      <c r="D912" s="118" t="inlineStr">
        <is>
          <t>Sorcery</t>
        </is>
      </c>
      <c r="E912" s="121" t="inlineStr">
        <is>
          <t>B2</t>
        </is>
      </c>
      <c r="F912" s="38" t="n">
        <v>2</v>
      </c>
      <c r="G912" s="67" t="inlineStr">
        <is>
          <t>Exile target creature you don't control. For each creature exiled this way, its controller searches their library for a basic land card. Those players put those cards onto the battlefield tapped, then shuffle.
Overload {4}{W}{W} (You may cast this spell for its overload cost. If you do, change "target" in its text to "each.")</t>
        </is>
      </c>
      <c r="H912" s="53" t="inlineStr">
        <is>
          <t>Removal</t>
        </is>
      </c>
      <c r="I912" s="53" t="inlineStr">
        <is>
          <t>Exiles target creature you don't control</t>
        </is>
      </c>
      <c r="J912" s="53" t="inlineStr">
        <is>
          <t>Its controller searches for a basic land put onto the battlefield tapped</t>
        </is>
      </c>
      <c r="K912" s="53" t="inlineStr">
        <is>
          <t>Overload cost hits every creature you don't control</t>
        </is>
      </c>
      <c r="L912" s="41" t="n"/>
      <c r="M912" s="41" t="n"/>
      <c r="N912" s="41" t="n"/>
      <c r="O912" s="41" t="n"/>
      <c r="P912" s="41" t="n">
        <v>4.84</v>
      </c>
      <c r="Q912" s="41" t="n"/>
      <c r="R912" s="41" t="n"/>
      <c r="S912" s="41" t="n"/>
      <c r="T912" s="41" t="n"/>
      <c r="U912" s="41" t="n"/>
      <c r="V912" s="122" t="inlineStr">
        <is>
          <t>Modern Horizons</t>
        </is>
      </c>
      <c r="W912" s="41" t="n">
        <v>1</v>
      </c>
      <c r="X912" s="37">
        <f>SUM(Y912:AE912)</f>
        <v/>
      </c>
      <c r="Y912" s="43" t="n">
        <v>1</v>
      </c>
      <c r="Z912" s="43" t="n"/>
      <c r="AA912" s="43" t="n"/>
      <c r="AB912" s="43" t="n"/>
      <c r="AC912" s="43" t="n"/>
      <c r="AD912" s="43" t="n"/>
      <c r="AE912" s="43" t="n"/>
      <c r="AF912" s="38">
        <f>IF((W912-SUM(Y912:AE912))&lt;0,0,W912-SUM(Y912:AE912))</f>
        <v/>
      </c>
      <c r="AG912" s="34">
        <f>MAX(0,$AT912-$W912-$AI912)</f>
        <v/>
      </c>
      <c r="AH912" s="38" t="n"/>
      <c r="AI912" s="38" t="n"/>
      <c r="AJ912" s="54" t="n">
        <v>4.56</v>
      </c>
      <c r="AK912" s="36">
        <f>IF(AND($AG912&gt;0,ISNUMBER($AJ912)),$AG912*$AJ912,0)</f>
        <v/>
      </c>
      <c r="AT912" s="37">
        <f>SUM(AU912:BA912)</f>
        <v/>
      </c>
      <c r="AU912" s="82" t="n">
        <v>1</v>
      </c>
      <c r="AV912" s="33" t="n"/>
      <c r="AW912" s="33" t="n"/>
      <c r="AX912" s="33" t="n"/>
      <c r="AY912" s="33" t="n"/>
      <c r="AZ912" s="33" t="n"/>
      <c r="BA912" s="74" t="n"/>
      <c r="BB912" s="47" t="n"/>
      <c r="BC912" s="42" t="n"/>
      <c r="BD912" s="42" t="n"/>
    </row>
    <row r="913" ht="15" customHeight="1" s="148">
      <c r="A913" t="inlineStr">
        <is>
          <t>c0909</t>
        </is>
      </c>
      <c r="B913" s="47" t="inlineStr">
        <is>
          <t>Wingmantle Chaplain</t>
        </is>
      </c>
      <c r="C913" s="38" t="inlineStr">
        <is>
          <t>W</t>
        </is>
      </c>
      <c r="D913" s="118" t="inlineStr">
        <is>
          <t>Creature</t>
        </is>
      </c>
      <c r="E913" s="121" t="inlineStr">
        <is>
          <t>B2</t>
        </is>
      </c>
      <c r="F913" s="38" t="n">
        <v>4</v>
      </c>
      <c r="G913" s="67" t="inlineStr">
        <is>
          <t>Defender
When this creature enters, create a 1/1 white Bird creature token with flying for each creature with defender you control.
Whenever another creature you control with defender enters, create a 1/1 white Bird creature token with flying.
(0/3)</t>
        </is>
      </c>
      <c r="H913" s="53" t="inlineStr">
        <is>
          <t>Token Producer</t>
        </is>
      </c>
      <c r="I913" s="53" t="inlineStr">
        <is>
          <t>Creates a 1/1 flying Bird token for each defender you control, on ETB</t>
        </is>
      </c>
      <c r="J913" s="53" t="inlineStr">
        <is>
          <t>Creates another Bird token whenever a defender creature enters</t>
        </is>
      </c>
      <c r="K913" s="53" t="n"/>
      <c r="L913" s="42" t="n"/>
      <c r="M913" s="42" t="n"/>
      <c r="N913" s="42" t="n"/>
      <c r="O913" s="42" t="n"/>
      <c r="P913" s="42" t="n">
        <v>0.32</v>
      </c>
      <c r="Q913" s="42" t="n"/>
      <c r="R913" s="42" t="n"/>
      <c r="S913" s="42" t="n"/>
      <c r="T913" s="42" t="n"/>
      <c r="U913" s="42" t="n"/>
      <c r="V913" s="122" t="inlineStr">
        <is>
          <t>Dominaria United</t>
        </is>
      </c>
      <c r="W913" s="41" t="n">
        <v>1</v>
      </c>
      <c r="X913" s="37">
        <f>SUM(Y913:AE913)</f>
        <v/>
      </c>
      <c r="Y913" s="43" t="n"/>
      <c r="Z913" s="43" t="n"/>
      <c r="AA913" s="43" t="n"/>
      <c r="AB913" s="43" t="n">
        <v>1</v>
      </c>
      <c r="AC913" s="43" t="n"/>
      <c r="AD913" s="43" t="n"/>
      <c r="AE913" s="43" t="n"/>
      <c r="AF913" s="38">
        <f>IF((W913-SUM(Y913:AE913))&lt;0,0,W913-SUM(Y913:AE913))</f>
        <v/>
      </c>
      <c r="AG913" s="34">
        <f>MAX(0,$AT913-$W913-$AI913)</f>
        <v/>
      </c>
      <c r="AH913" s="38" t="n"/>
      <c r="AI913" s="38" t="n"/>
      <c r="AJ913" s="54" t="n">
        <v>0.3</v>
      </c>
      <c r="AK913" s="36">
        <f>IF(AND($AG913&gt;0,ISNUMBER($AJ913)),$AG913*$AJ913,0)</f>
        <v/>
      </c>
      <c r="AO913" s="58" t="n"/>
      <c r="AT913" s="37">
        <f>SUM(AU913:BA913)</f>
        <v/>
      </c>
      <c r="AU913" s="73" t="n"/>
      <c r="AV913" s="33" t="n"/>
      <c r="AW913" s="33" t="n"/>
      <c r="AX913" s="98" t="n">
        <v>1</v>
      </c>
      <c r="AY913" s="33" t="n"/>
      <c r="AZ913" s="33" t="n"/>
      <c r="BA913" s="74" t="n"/>
      <c r="BB913" s="47" t="n"/>
      <c r="BC913" s="42" t="n"/>
      <c r="BD913" s="42" t="n"/>
    </row>
    <row r="914" ht="15" customHeight="1" s="148">
      <c r="A914" t="inlineStr">
        <is>
          <t>c0910</t>
        </is>
      </c>
      <c r="B914" s="47" t="inlineStr">
        <is>
          <t>Winnowing</t>
        </is>
      </c>
      <c r="C914" s="38" t="inlineStr">
        <is>
          <t>W</t>
        </is>
      </c>
      <c r="D914" s="118" t="inlineStr">
        <is>
          <t>Sorcery</t>
        </is>
      </c>
      <c r="E914" s="121" t="inlineStr">
        <is>
          <t>B2</t>
        </is>
      </c>
      <c r="F914" s="38" t="n">
        <v>6</v>
      </c>
      <c r="G914" s="67" t="inlineStr">
        <is>
          <t>Convoke (Your creatures can help cast this spell. Each creature you tap while casting this spell pays for {1} or one mana of that creature's color.)
For each player, you choose a creature that player controls. Then each player sacrifices all other creatures they control that don't share a creature type with the chosen creature they control.</t>
        </is>
      </c>
      <c r="H914" s="53" t="inlineStr">
        <is>
          <t>Board Wipe</t>
        </is>
      </c>
      <c r="I914" s="53" t="inlineStr">
        <is>
          <t>Each player sacrifices creatures not sharing a type with a chosen one</t>
        </is>
      </c>
      <c r="J914" s="53" t="inlineStr">
        <is>
          <t>Can be cast for less by tapping creatures (convoke)</t>
        </is>
      </c>
      <c r="K914" s="53" t="n"/>
      <c r="L914" s="41" t="n"/>
      <c r="M914" s="41" t="n"/>
      <c r="N914" s="41" t="n"/>
      <c r="O914" s="41" t="n"/>
      <c r="P914" s="41" t="n">
        <v>0.32</v>
      </c>
      <c r="Q914" s="41" t="n"/>
      <c r="R914" s="41" t="n"/>
      <c r="S914" s="41" t="n"/>
      <c r="T914" s="41" t="n"/>
      <c r="U914" s="41" t="n"/>
      <c r="V914" s="122" t="inlineStr">
        <is>
          <t>Lorwyn Eclipsed</t>
        </is>
      </c>
      <c r="W914" s="41" t="n">
        <v>1</v>
      </c>
      <c r="X914" s="37">
        <f>SUM(Y914:AE914)</f>
        <v/>
      </c>
      <c r="Y914" s="43" t="n"/>
      <c r="Z914" s="43" t="n"/>
      <c r="AA914" s="43" t="n"/>
      <c r="AB914" s="43" t="n"/>
      <c r="AC914" s="43" t="n"/>
      <c r="AD914" s="43" t="n"/>
      <c r="AE914" s="43" t="n"/>
      <c r="AF914" s="38">
        <f>IF((W914-SUM(Y914:AE914))&lt;0,0,W914-SUM(Y914:AE914))</f>
        <v/>
      </c>
      <c r="AG914" s="34">
        <f>MAX(0,$AT914-$W914-$AI914)</f>
        <v/>
      </c>
      <c r="AH914" s="38" t="n"/>
      <c r="AI914" s="38" t="n"/>
      <c r="AJ914" s="54" t="n">
        <v>0.29</v>
      </c>
      <c r="AK914" s="36">
        <f>IF(AND($AG914&gt;0,ISNUMBER($AJ914)),$AG914*$AJ914,0)</f>
        <v/>
      </c>
      <c r="AT914" s="37">
        <f>SUM(AU914:BA914)</f>
        <v/>
      </c>
      <c r="AU914" s="73" t="n"/>
      <c r="AV914" s="33" t="n"/>
      <c r="AW914" s="33" t="n"/>
      <c r="AX914" s="33" t="n"/>
      <c r="AY914" s="33" t="n"/>
      <c r="AZ914" s="33" t="n"/>
      <c r="BA914" s="74" t="n"/>
      <c r="BB914" s="47" t="n"/>
      <c r="BC914" s="42" t="n"/>
      <c r="BD914" s="42" t="n"/>
    </row>
    <row r="915" ht="15" customHeight="1" s="148">
      <c r="A915" t="inlineStr">
        <is>
          <t>c0911</t>
        </is>
      </c>
      <c r="B915" s="42" t="inlineStr">
        <is>
          <t>Yip Yip!</t>
        </is>
      </c>
      <c r="C915" s="41" t="inlineStr">
        <is>
          <t>W</t>
        </is>
      </c>
      <c r="D915" s="119" t="inlineStr">
        <is>
          <t>Instant</t>
        </is>
      </c>
      <c r="E915" s="121" t="inlineStr">
        <is>
          <t>B2</t>
        </is>
      </c>
      <c r="F915" s="41" t="n">
        <v>1</v>
      </c>
      <c r="G915" s="67" t="inlineStr">
        <is>
          <t>Target creature you control gets +2/+2 until end of turn. If that creature is an Ally, it also gains flying until end of turn.</t>
        </is>
      </c>
      <c r="H915" s="42" t="inlineStr">
        <is>
          <t>Combat Trick</t>
        </is>
      </c>
      <c r="I915" s="42" t="inlineStr">
        <is>
          <t>Target creature you control gets +2/+2 until end of turn; if it is an Ally, it also gains flying</t>
        </is>
      </c>
      <c r="J915" s="42" t="n"/>
      <c r="K915" s="42" t="n"/>
      <c r="L915" s="42" t="n"/>
      <c r="M915" s="42" t="n"/>
      <c r="N915" s="42" t="n"/>
      <c r="O915" s="63" t="n"/>
      <c r="P915" s="63" t="n"/>
      <c r="Q915" s="42" t="n"/>
      <c r="R915" s="42" t="n"/>
      <c r="S915" s="42" t="n"/>
      <c r="T915" s="63" t="n"/>
      <c r="U915" s="63" t="n"/>
      <c r="V915" s="119" t="inlineStr">
        <is>
          <t>Avatar: The Last Airbender</t>
        </is>
      </c>
      <c r="W915" s="41" t="n">
        <v>1</v>
      </c>
      <c r="X915" s="37">
        <f>SUM(Y915:AE915)</f>
        <v/>
      </c>
      <c r="Y915" s="43" t="n"/>
      <c r="Z915" s="43" t="n"/>
      <c r="AA915" s="43" t="n"/>
      <c r="AB915" s="43" t="n"/>
      <c r="AC915" s="43" t="n"/>
      <c r="AD915" s="43" t="n"/>
      <c r="AE915" s="43" t="n"/>
      <c r="AF915" s="38">
        <f>IF((W915-SUM(Y915:AE915))&lt;0,0,W915-SUM(Y915:AE915))</f>
        <v/>
      </c>
      <c r="AG915" s="34">
        <f>MAX(0,$AT915-$W915-$AI915)</f>
        <v/>
      </c>
      <c r="AH915" s="42" t="n"/>
      <c r="AI915" s="42" t="n"/>
      <c r="AJ915" s="42" t="n">
        <v>0.21</v>
      </c>
      <c r="AK915" s="39">
        <f>IF(AND($AG915&gt;0,ISNUMBER($AJ915)),$AG915*$AJ915,0)</f>
        <v/>
      </c>
      <c r="AT915" s="37">
        <f>SUM(AU915:BA915)</f>
        <v/>
      </c>
      <c r="AU915" s="73" t="n"/>
      <c r="AV915" s="33" t="n"/>
      <c r="AW915" s="33" t="n"/>
      <c r="AX915" s="33" t="n"/>
      <c r="AY915" s="33" t="n"/>
      <c r="AZ915" s="33" t="n"/>
      <c r="BA915" s="74" t="n"/>
      <c r="BB915" s="42" t="n"/>
      <c r="BC915" s="42" t="n"/>
      <c r="BD915" s="42" t="n"/>
    </row>
    <row r="916" ht="15" customHeight="1" s="148">
      <c r="A916" t="inlineStr">
        <is>
          <t>c0912</t>
        </is>
      </c>
      <c r="B916" s="47" t="inlineStr">
        <is>
          <t>Zack Fair</t>
        </is>
      </c>
      <c r="C916" s="38" t="inlineStr">
        <is>
          <t>W</t>
        </is>
      </c>
      <c r="D916" s="118" t="inlineStr">
        <is>
          <t>Legendary Creature</t>
        </is>
      </c>
      <c r="E916" s="121" t="inlineStr">
        <is>
          <t>B2</t>
        </is>
      </c>
      <c r="F916" s="38" t="n">
        <v>1</v>
      </c>
      <c r="G916" s="67" t="inlineStr">
        <is>
          <t>Zack Fair enters with a +1/+1 counter on it.
{1}, Sacrifice Zack Fair: Target creature you control gains indestructible until end of turn. Put Zack Fair's counters on that creature and attach an Equipment that was attached to Zack Fair to that creature.
(0/1)</t>
        </is>
      </c>
      <c r="H916" s="53" t="inlineStr">
        <is>
          <t>Sacrifice Outlet</t>
        </is>
      </c>
      <c r="I916" s="53" t="inlineStr">
        <is>
          <t>Enters with a +1/+1 counter on itself</t>
        </is>
      </c>
      <c r="J916" s="53" t="inlineStr">
        <is>
          <t>Sacrifice: target creature gains indestructible and gets its counters/Equipment</t>
        </is>
      </c>
      <c r="K916" s="53" t="n"/>
      <c r="L916" s="42" t="n"/>
      <c r="M916" s="42" t="n"/>
      <c r="N916" s="42" t="n"/>
      <c r="O916" s="42" t="n"/>
      <c r="P916" s="42" t="n">
        <v>0.25</v>
      </c>
      <c r="Q916" s="42" t="n"/>
      <c r="R916" s="42" t="n"/>
      <c r="S916" s="42" t="n"/>
      <c r="T916" s="42" t="n"/>
      <c r="U916" s="42" t="n"/>
      <c r="V916" s="122" t="inlineStr">
        <is>
          <t>Final Fantasy</t>
        </is>
      </c>
      <c r="W916" s="41" t="n">
        <v>1</v>
      </c>
      <c r="X916" s="37">
        <f>SUM(Y916:AE916)</f>
        <v/>
      </c>
      <c r="Y916" s="43" t="n"/>
      <c r="Z916" s="43" t="n"/>
      <c r="AA916" s="43" t="n"/>
      <c r="AB916" s="43" t="n"/>
      <c r="AC916" s="43" t="n">
        <v>1</v>
      </c>
      <c r="AD916" s="43" t="n"/>
      <c r="AE916" s="43" t="n"/>
      <c r="AF916" s="38">
        <f>IF((W916-SUM(Y916:AE916))&lt;0,0,W916-SUM(Y916:AE916))</f>
        <v/>
      </c>
      <c r="AG916" s="34">
        <f>MAX(0,$AT916-$W916-$AI916)</f>
        <v/>
      </c>
      <c r="AH916" s="38" t="n"/>
      <c r="AI916" s="38" t="n"/>
      <c r="AJ916" s="54" t="n">
        <v>0.26</v>
      </c>
      <c r="AK916" s="36">
        <f>IF(AND($AG916&gt;0,ISNUMBER($AJ916)),$AG916*$AJ916,0)</f>
        <v/>
      </c>
      <c r="AP916" s="58" t="inlineStr">
        <is>
          <t>BL0063</t>
        </is>
      </c>
      <c r="AT916" s="37">
        <f>SUM(AU916:BA916)</f>
        <v/>
      </c>
      <c r="AU916" s="73" t="n"/>
      <c r="AV916" s="33" t="n"/>
      <c r="AW916" s="33" t="n"/>
      <c r="AX916" s="33" t="n"/>
      <c r="AY916" s="100" t="n"/>
      <c r="AZ916" s="33" t="n"/>
      <c r="BA916" s="74" t="n"/>
      <c r="BB916" s="47" t="n"/>
      <c r="BC916" s="42" t="n"/>
      <c r="BD916" s="42" t="n"/>
    </row>
    <row r="917" ht="15" customHeight="1" s="148" thickBot="1">
      <c r="A917" t="inlineStr">
        <is>
          <t>c0913</t>
        </is>
      </c>
      <c r="B917" s="47" t="inlineStr">
        <is>
          <t>Zetalpa, Primal Dawn</t>
        </is>
      </c>
      <c r="C917" s="38" t="inlineStr">
        <is>
          <t>W</t>
        </is>
      </c>
      <c r="D917" s="118" t="inlineStr">
        <is>
          <t>Legendary Creature</t>
        </is>
      </c>
      <c r="E917" s="121" t="inlineStr">
        <is>
          <t>B2</t>
        </is>
      </c>
      <c r="F917" s="38" t="n">
        <v>8</v>
      </c>
      <c r="G917" s="67" t="inlineStr">
        <is>
          <t>Flying, double strike, vigilance, trample, indestructible
(4/8)</t>
        </is>
      </c>
      <c r="H917" s="53" t="inlineStr">
        <is>
          <t>Finisher</t>
        </is>
      </c>
      <c r="I917" s="53" t="inlineStr">
        <is>
          <t>Evasive double-strike attacker that dodges most removal</t>
        </is>
      </c>
      <c r="J917" s="53" t="inlineStr">
        <is>
          <t>Very hard to kill in combat or by damage</t>
        </is>
      </c>
      <c r="K917" s="53" t="n"/>
      <c r="L917" s="42" t="n"/>
      <c r="M917" s="42" t="n"/>
      <c r="N917" s="42" t="n"/>
      <c r="O917" s="63" t="n"/>
      <c r="P917" s="63" t="n">
        <v>0.29</v>
      </c>
      <c r="Q917" s="42" t="n"/>
      <c r="R917" s="42" t="n"/>
      <c r="S917" s="42" t="n"/>
      <c r="T917" s="63" t="n"/>
      <c r="U917" s="63" t="n"/>
      <c r="V917" s="122" t="inlineStr">
        <is>
          <t>Rivals of Ixalan</t>
        </is>
      </c>
      <c r="W917" s="41" t="n">
        <v>2</v>
      </c>
      <c r="X917" s="37">
        <f>SUM(Y917:AE917)</f>
        <v/>
      </c>
      <c r="Y917" s="43" t="n"/>
      <c r="Z917" s="43" t="n"/>
      <c r="AA917" s="43" t="n"/>
      <c r="AB917" s="43" t="n">
        <v>1</v>
      </c>
      <c r="AC917" s="43" t="n"/>
      <c r="AD917" s="43" t="n"/>
      <c r="AE917" s="43" t="n"/>
      <c r="AF917" s="38">
        <f>IF((W917-SUM(Y917:AE917))&lt;0,0,W917-SUM(Y917:AE917))</f>
        <v/>
      </c>
      <c r="AG917" s="34">
        <f>MAX(0,$AT917-$W917-$AI917)</f>
        <v/>
      </c>
      <c r="AH917" s="38" t="n"/>
      <c r="AI917" s="38" t="n"/>
      <c r="AJ917" s="54" t="n">
        <v>0.31</v>
      </c>
      <c r="AK917" s="36">
        <f>IF(AND($AG917&gt;0,ISNUMBER($AJ917)),$AG917*$AJ917,0)</f>
        <v/>
      </c>
      <c r="AT917" s="37">
        <f>SUM(AU917:BA917)</f>
        <v/>
      </c>
      <c r="AU917" s="75" t="n"/>
      <c r="AV917" s="76" t="n"/>
      <c r="AW917" s="76" t="n"/>
      <c r="AX917" s="124" t="n">
        <v>1</v>
      </c>
      <c r="AY917" s="76" t="n"/>
      <c r="AZ917" s="76" t="n"/>
      <c r="BA917" s="77" t="n"/>
      <c r="BB917" s="47" t="n"/>
      <c r="BC917" s="42" t="n"/>
      <c r="BD917" s="42" t="n"/>
    </row>
    <row r="918">
      <c r="A918" t="inlineStr">
        <is>
          <t>c0914</t>
        </is>
      </c>
      <c r="B918" t="inlineStr">
        <is>
          <t>Paradise Druid</t>
        </is>
      </c>
      <c r="C918" t="inlineStr">
        <is>
          <t>G</t>
        </is>
      </c>
      <c r="D918" t="inlineStr">
        <is>
          <t>Creature</t>
        </is>
      </c>
      <c r="E918" t="inlineStr">
        <is>
          <t>B2</t>
        </is>
      </c>
      <c r="F918" t="n">
        <v>2</v>
      </c>
      <c r="G918" t="inlineStr">
        <is>
          <t>Paradise Druid {1}{G} — Creature — Elf Druid (2/1)
This creature has hexproof as long as it's untapped. (It can't be the target of spells or abilities your opponents control.)
{T}: Add one mana of any color.</t>
        </is>
      </c>
      <c r="H918" t="inlineStr">
        <is>
          <t>Ramp</t>
        </is>
      </c>
      <c r="I918" t="inlineStr">
        <is>
          <t>This creature has hexproof as long as it's untapped. (It can't be the target of spells or abilities your opponents control.)</t>
        </is>
      </c>
      <c r="P918" t="n">
        <v>0.21</v>
      </c>
      <c r="Q918" t="inlineStr">
        <is>
          <t>U</t>
        </is>
      </c>
      <c r="V918" t="inlineStr">
        <is>
          <t>Forgotten Realms Commander</t>
        </is>
      </c>
      <c r="W918" t="n">
        <v>0</v>
      </c>
      <c r="X918">
        <f>SUM(Y918:AE918)</f>
        <v/>
      </c>
      <c r="AF918">
        <f>IF((W918-SUM(Y918:AE918))&lt;0,0,W918-SUM(Y918:AE918))</f>
        <v/>
      </c>
      <c r="AG918">
        <f>MAX(0,$AT918-$W918-$AI918)</f>
        <v/>
      </c>
      <c r="AI918" t="n">
        <v>0</v>
      </c>
      <c r="AJ918" t="n">
        <v>0.21</v>
      </c>
      <c r="AK918">
        <f>IF(AND($AG918&gt;0,ISNUMBER($AJ918)),$AG918*$AJ918,0)</f>
        <v/>
      </c>
      <c r="AT918">
        <f>SUM(AU918:BA918)</f>
        <v/>
      </c>
      <c r="AV918" t="n">
        <v>1</v>
      </c>
    </row>
    <row r="919">
      <c r="A919" t="inlineStr">
        <is>
          <t>c0915</t>
        </is>
      </c>
      <c r="B919" t="inlineStr">
        <is>
          <t>Peppersmoke</t>
        </is>
      </c>
      <c r="C919" t="inlineStr">
        <is>
          <t>B</t>
        </is>
      </c>
      <c r="D919" t="inlineStr">
        <is>
          <t>Kindred Instant</t>
        </is>
      </c>
      <c r="E919" t="inlineStr">
        <is>
          <t>B2</t>
        </is>
      </c>
      <c r="F919" t="n">
        <v>1</v>
      </c>
      <c r="G919" t="inlineStr">
        <is>
          <t>Peppersmoke {B} — Kindred Instant — Faerie
Target creature gets -1/-1 until end of turn. If you control a Faerie, draw a card.</t>
        </is>
      </c>
      <c r="H919" t="inlineStr">
        <is>
          <t>Removal</t>
        </is>
      </c>
      <c r="I919" t="inlineStr">
        <is>
          <t>Target creature gets -1/-1 until end of turn. If you control a Faerie, draw a card.</t>
        </is>
      </c>
      <c r="P919" t="n">
        <v>0.26</v>
      </c>
      <c r="Q919" t="inlineStr">
        <is>
          <t>C</t>
        </is>
      </c>
      <c r="V919" t="inlineStr">
        <is>
          <t>Modern Masters</t>
        </is>
      </c>
      <c r="W919" t="n">
        <v>0</v>
      </c>
      <c r="X919">
        <f>SUM(Y919:AE919)</f>
        <v/>
      </c>
      <c r="AF919">
        <f>IF((W919-SUM(Y919:AE919))&lt;0,0,W919-SUM(Y919:AE919))</f>
        <v/>
      </c>
      <c r="AG919">
        <f>MAX(0,$AT919-$W919-$AI919)</f>
        <v/>
      </c>
      <c r="AI919" t="n">
        <v>0</v>
      </c>
      <c r="AJ919" t="n">
        <v>0.26</v>
      </c>
      <c r="AK919">
        <f>IF(AND($AG919&gt;0,ISNUMBER($AJ919)),$AG919*$AJ919,0)</f>
        <v/>
      </c>
      <c r="AT919">
        <f>SUM(AU919:BA919)</f>
        <v/>
      </c>
      <c r="BA919" t="n">
        <v>1</v>
      </c>
    </row>
    <row r="920">
      <c r="A920" t="inlineStr">
        <is>
          <t>c0916</t>
        </is>
      </c>
      <c r="B920" t="inlineStr">
        <is>
          <t>Eyeblight's Ending</t>
        </is>
      </c>
      <c r="C920" t="inlineStr">
        <is>
          <t>B</t>
        </is>
      </c>
      <c r="D920" t="inlineStr">
        <is>
          <t>Kindred Instant</t>
        </is>
      </c>
      <c r="E920" t="inlineStr">
        <is>
          <t>B2</t>
        </is>
      </c>
      <c r="F920" t="n">
        <v>3</v>
      </c>
      <c r="G920" t="inlineStr">
        <is>
          <t>Eyeblight's Ending {2}{B} — Kindred Instant — Elf
Destroy target non-Elf creature.</t>
        </is>
      </c>
      <c r="H920" t="inlineStr">
        <is>
          <t>Removal</t>
        </is>
      </c>
      <c r="I920" t="inlineStr">
        <is>
          <t>Destroy target non-Elf creature.</t>
        </is>
      </c>
      <c r="P920" t="n">
        <v>0.23</v>
      </c>
      <c r="Q920" t="inlineStr">
        <is>
          <t>C</t>
        </is>
      </c>
      <c r="V920" t="inlineStr">
        <is>
          <t>Double Masters 2022</t>
        </is>
      </c>
      <c r="W920" t="n">
        <v>0</v>
      </c>
      <c r="X920">
        <f>SUM(Y920:AE920)</f>
        <v/>
      </c>
      <c r="AF920">
        <f>IF((W920-SUM(Y920:AE920))&lt;0,0,W920-SUM(Y920:AE920))</f>
        <v/>
      </c>
      <c r="AG920">
        <f>MAX(0,$AT920-$W920-$AI920)</f>
        <v/>
      </c>
      <c r="AI920" t="n">
        <v>0</v>
      </c>
      <c r="AJ920" t="n">
        <v>0.23</v>
      </c>
      <c r="AK920">
        <f>IF(AND($AG920&gt;0,ISNUMBER($AJ920)),$AG920*$AJ920,0)</f>
        <v/>
      </c>
      <c r="AT920">
        <f>SUM(AU920:BA920)</f>
        <v/>
      </c>
      <c r="BA920" t="n">
        <v>1</v>
      </c>
    </row>
    <row r="921">
      <c r="A921" t="inlineStr">
        <is>
          <t>c0917</t>
        </is>
      </c>
      <c r="B921" t="inlineStr">
        <is>
          <t>Halo Forager</t>
        </is>
      </c>
      <c r="C921" t="inlineStr">
        <is>
          <t>Multi</t>
        </is>
      </c>
      <c r="D921" t="inlineStr">
        <is>
          <t>Creature</t>
        </is>
      </c>
      <c r="E921" t="inlineStr">
        <is>
          <t>B2</t>
        </is>
      </c>
      <c r="F921" t="n">
        <v>3</v>
      </c>
      <c r="G921" t="inlineStr">
        <is>
          <t>Halo Forager {1}{U}{B} — Creature — Faerie Rogue (3/1)
Flying
When this creature enters, you may pay {X}. When you do, you may cast target instant or sorcery card with mana value X from a graveyard without paying its mana cost. If that spell would be put into a graveyard, exile it instead.</t>
        </is>
      </c>
      <c r="H921" t="inlineStr">
        <is>
          <t>Card Advantage</t>
        </is>
      </c>
      <c r="I921" t="inlineStr">
        <is>
          <t>Flying</t>
        </is>
      </c>
      <c r="P921" t="n">
        <v>0.26</v>
      </c>
      <c r="Q921" t="inlineStr">
        <is>
          <t>U</t>
        </is>
      </c>
      <c r="V921" t="inlineStr">
        <is>
          <t>March of the Machine</t>
        </is>
      </c>
      <c r="W921" t="n">
        <v>0</v>
      </c>
      <c r="X921">
        <f>SUM(Y921:AE921)</f>
        <v/>
      </c>
      <c r="AF921">
        <f>IF((W921-SUM(Y921:AE921))&lt;0,0,W921-SUM(Y921:AE921))</f>
        <v/>
      </c>
      <c r="AG921">
        <f>MAX(0,$AT921-$W921-$AI921)</f>
        <v/>
      </c>
      <c r="AI921" t="n">
        <v>0</v>
      </c>
      <c r="AJ921" t="n">
        <v>0.26</v>
      </c>
      <c r="AK921">
        <f>IF(AND($AG921&gt;0,ISNUMBER($AJ921)),$AG921*$AJ921,0)</f>
        <v/>
      </c>
      <c r="AT921">
        <f>SUM(AU921:BA921)</f>
        <v/>
      </c>
      <c r="BA921" t="n">
        <v>1</v>
      </c>
    </row>
    <row r="922">
      <c r="A922" t="inlineStr">
        <is>
          <t>c0918</t>
        </is>
      </c>
      <c r="B922" t="inlineStr">
        <is>
          <t>Llanowar Visionary</t>
        </is>
      </c>
      <c r="C922" t="inlineStr">
        <is>
          <t>G</t>
        </is>
      </c>
      <c r="D922" t="inlineStr">
        <is>
          <t>Creature</t>
        </is>
      </c>
      <c r="E922" t="inlineStr">
        <is>
          <t>B2</t>
        </is>
      </c>
      <c r="F922" t="n">
        <v>3</v>
      </c>
      <c r="G922" t="inlineStr">
        <is>
          <t>Llanowar Visionary {2}{G} — Creature — Elf Druid (2/2)
When this creature enters, draw a card.
{T}: Add {G}.</t>
        </is>
      </c>
      <c r="H922" t="inlineStr">
        <is>
          <t>Card Draw</t>
        </is>
      </c>
      <c r="I922" t="inlineStr">
        <is>
          <t>When this creature enters, draw a card.</t>
        </is>
      </c>
      <c r="P922" t="n">
        <v>0.29</v>
      </c>
      <c r="Q922" t="inlineStr">
        <is>
          <t>C</t>
        </is>
      </c>
      <c r="V922" t="inlineStr">
        <is>
          <t>Core Set 2021</t>
        </is>
      </c>
      <c r="W922" t="n">
        <v>0</v>
      </c>
      <c r="X922">
        <f>SUM(Y922:AE922)</f>
        <v/>
      </c>
      <c r="AF922">
        <f>IF((W922-SUM(Y922:AE922))&lt;0,0,W922-SUM(Y922:AE922))</f>
        <v/>
      </c>
      <c r="AG922">
        <f>MAX(0,$AT922-$W922-$AI922)</f>
        <v/>
      </c>
      <c r="AI922" t="n">
        <v>0</v>
      </c>
      <c r="AJ922" t="n">
        <v>0.29</v>
      </c>
      <c r="AK922">
        <f>IF(AND($AG922&gt;0,ISNUMBER($AJ922)),$AG922*$AJ922,0)</f>
        <v/>
      </c>
      <c r="AT922">
        <f>SUM(AU922:BA922)</f>
        <v/>
      </c>
      <c r="BA922" t="n">
        <v>1</v>
      </c>
    </row>
    <row r="923">
      <c r="A923" t="inlineStr">
        <is>
          <t>c0919</t>
        </is>
      </c>
      <c r="B923" t="inlineStr">
        <is>
          <t>Lys Alana Huntmaster</t>
        </is>
      </c>
      <c r="C923" t="inlineStr">
        <is>
          <t>G</t>
        </is>
      </c>
      <c r="D923" t="inlineStr">
        <is>
          <t>Creature</t>
        </is>
      </c>
      <c r="E923" t="inlineStr">
        <is>
          <t>B2</t>
        </is>
      </c>
      <c r="F923" t="n">
        <v>4</v>
      </c>
      <c r="G923" t="inlineStr">
        <is>
          <t>Lys Alana Huntmaster {2}{G}{G} — Creature — Elf Warrior (3/3)
Whenever you cast an Elf spell, you may create a 1/1 green Elf Warrior creature token.</t>
        </is>
      </c>
      <c r="H923" t="inlineStr">
        <is>
          <t>Token Producer</t>
        </is>
      </c>
      <c r="I923" t="inlineStr">
        <is>
          <t>Whenever you cast an Elf spell, you may create a 1/1 green Elf Warrior creature token.</t>
        </is>
      </c>
      <c r="P923" t="n">
        <v>2.18</v>
      </c>
      <c r="Q923" t="inlineStr">
        <is>
          <t>C</t>
        </is>
      </c>
      <c r="V923" t="inlineStr">
        <is>
          <t>Kaldheim Commander</t>
        </is>
      </c>
      <c r="W923" t="n">
        <v>0</v>
      </c>
      <c r="X923">
        <f>SUM(Y923:AE923)</f>
        <v/>
      </c>
      <c r="AF923">
        <f>IF((W923-SUM(Y923:AE923))&lt;0,0,W923-SUM(Y923:AE923))</f>
        <v/>
      </c>
      <c r="AG923">
        <f>MAX(0,$AT923-$W923-$AI923)</f>
        <v/>
      </c>
      <c r="AI923" t="n">
        <v>0</v>
      </c>
      <c r="AJ923" t="n">
        <v>2.18</v>
      </c>
      <c r="AK923">
        <f>IF(AND($AG923&gt;0,ISNUMBER($AJ923)),$AG923*$AJ923,0)</f>
        <v/>
      </c>
      <c r="AT923">
        <f>SUM(AU923:BA923)</f>
        <v/>
      </c>
      <c r="BA923" t="n">
        <v>1</v>
      </c>
    </row>
    <row r="924">
      <c r="A924" t="inlineStr">
        <is>
          <t>c0920</t>
        </is>
      </c>
      <c r="B924" t="inlineStr">
        <is>
          <t>Preordain</t>
        </is>
      </c>
      <c r="C924" t="inlineStr">
        <is>
          <t>U</t>
        </is>
      </c>
      <c r="D924" t="inlineStr">
        <is>
          <t>Sorcery</t>
        </is>
      </c>
      <c r="E924" t="inlineStr">
        <is>
          <t>B3</t>
        </is>
      </c>
      <c r="F924" t="n">
        <v>1</v>
      </c>
      <c r="G924" t="inlineStr">
        <is>
          <t>Preordain {U} — Sorcery
Scry 2, then draw a card. (To scry 2, look at the top two cards of your library, then put any number of them on the bottom and the rest on top in any order.)</t>
        </is>
      </c>
      <c r="H924" t="inlineStr">
        <is>
          <t>Card Selection</t>
        </is>
      </c>
      <c r="I924" t="inlineStr">
        <is>
          <t>Scry 2, then draw a card. (To scry 2, look at the top two cards of your library, then put any number of them on the bottom and the rest on top in any order.)</t>
        </is>
      </c>
      <c r="P924" t="n">
        <v>0.74</v>
      </c>
      <c r="Q924" t="inlineStr">
        <is>
          <t>C</t>
        </is>
      </c>
      <c r="V924" t="inlineStr">
        <is>
          <t>Tarkir: Dragonstorm Commander</t>
        </is>
      </c>
      <c r="W924" t="n">
        <v>0</v>
      </c>
      <c r="X924">
        <f>SUM(Y924:AE924)</f>
        <v/>
      </c>
      <c r="AF924">
        <f>IF((W924-SUM(Y924:AE924))&lt;0,0,W924-SUM(Y924:AE924))</f>
        <v/>
      </c>
      <c r="AG924">
        <f>MAX(0,$AT924-$W924-$AI924)</f>
        <v/>
      </c>
      <c r="AI924" t="n">
        <v>0</v>
      </c>
      <c r="AJ924" t="n">
        <v>0.74</v>
      </c>
      <c r="AK924">
        <f>IF(AND($AG924&gt;0,ISNUMBER($AJ924)),$AG924*$AJ924,0)</f>
        <v/>
      </c>
      <c r="AT924">
        <f>SUM(AU924:BA924)</f>
        <v/>
      </c>
      <c r="BA924" t="n">
        <v>1</v>
      </c>
    </row>
    <row r="925">
      <c r="A925" t="inlineStr">
        <is>
          <t>c0921</t>
        </is>
      </c>
      <c r="B925" t="inlineStr">
        <is>
          <t>Gilt-Leaf Winnower</t>
        </is>
      </c>
      <c r="C925" t="inlineStr">
        <is>
          <t>B</t>
        </is>
      </c>
      <c r="D925" t="inlineStr">
        <is>
          <t>Creature</t>
        </is>
      </c>
      <c r="E925" t="inlineStr">
        <is>
          <t>B2</t>
        </is>
      </c>
      <c r="F925" t="n">
        <v>5</v>
      </c>
      <c r="G925" t="inlineStr">
        <is>
          <t>Gilt-Leaf Winnower {3}{B}{B} — Creature — Elf Warrior (4/3)
Menace (This creature can't be blocked except by two or more creatures.)
When this creature enters, you may destroy target non-Elf creature whose power and toughness aren't equal.</t>
        </is>
      </c>
      <c r="H925" t="inlineStr">
        <is>
          <t>Removal</t>
        </is>
      </c>
      <c r="I925" t="inlineStr">
        <is>
          <t>Menace (This creature can't be blocked except by two or more creatures.)</t>
        </is>
      </c>
      <c r="P925" t="n">
        <v>0.23</v>
      </c>
      <c r="Q925" t="inlineStr">
        <is>
          <t>U</t>
        </is>
      </c>
      <c r="V925" t="inlineStr">
        <is>
          <t>Commander Legends</t>
        </is>
      </c>
      <c r="W925" t="n">
        <v>0</v>
      </c>
      <c r="X925">
        <f>SUM(Y925:AE925)</f>
        <v/>
      </c>
      <c r="AF925">
        <f>IF((W925-SUM(Y925:AE925))&lt;0,0,W925-SUM(Y925:AE925))</f>
        <v/>
      </c>
      <c r="AG925">
        <f>MAX(0,$AT925-$W925-$AI925)</f>
        <v/>
      </c>
      <c r="AI925" t="n">
        <v>0</v>
      </c>
      <c r="AJ925" t="n">
        <v>0.23</v>
      </c>
      <c r="AK925">
        <f>IF(AND($AG925&gt;0,ISNUMBER($AJ925)),$AG925*$AJ925,0)</f>
        <v/>
      </c>
      <c r="AT925">
        <f>SUM(AU925:BA925)</f>
        <v/>
      </c>
      <c r="BA925" t="n">
        <v>1</v>
      </c>
    </row>
    <row r="926">
      <c r="A926" t="inlineStr">
        <is>
          <t>c0922</t>
        </is>
      </c>
      <c r="B926" t="inlineStr">
        <is>
          <t>Coalition Relic</t>
        </is>
      </c>
      <c r="C926" t="inlineStr">
        <is>
          <t>C</t>
        </is>
      </c>
      <c r="D926" t="inlineStr">
        <is>
          <t>Artifact</t>
        </is>
      </c>
      <c r="E926" t="inlineStr">
        <is>
          <t>B2</t>
        </is>
      </c>
      <c r="F926" t="n">
        <v>3</v>
      </c>
      <c r="G926" t="inlineStr">
        <is>
          <t>Coalition Relic {3} — Artifact
{T}: Add one mana of any color.
{T}: Put a charge counter on this artifact.
At the beginning of your first main phase, remove all charge counters from this artifact. Add one mana of any color for each charge counter removed this way.</t>
        </is>
      </c>
      <c r="H926" t="inlineStr">
        <is>
          <t>Mana Rock</t>
        </is>
      </c>
      <c r="I926" t="inlineStr">
        <is>
          <t>{T}: Add one mana of any color.</t>
        </is>
      </c>
      <c r="P926" t="n">
        <v>0.39</v>
      </c>
      <c r="Q926" t="inlineStr">
        <is>
          <t>R</t>
        </is>
      </c>
      <c r="V926" t="inlineStr">
        <is>
          <t>Dominaria United Commander</t>
        </is>
      </c>
      <c r="W926" t="n">
        <v>0</v>
      </c>
      <c r="X926">
        <f>SUM(Y926:AE926)</f>
        <v/>
      </c>
      <c r="AF926">
        <f>IF((W926-SUM(Y926:AE926))&lt;0,0,W926-SUM(Y926:AE926))</f>
        <v/>
      </c>
      <c r="AG926">
        <f>MAX(0,$AT926-$W926-$AI926)</f>
        <v/>
      </c>
      <c r="AI926" t="n">
        <v>0</v>
      </c>
      <c r="AJ926" t="n">
        <v>0.39</v>
      </c>
      <c r="AK926">
        <f>IF(AND($AG926&gt;0,ISNUMBER($AJ926)),$AG926*$AJ926,0)</f>
        <v/>
      </c>
      <c r="AT926">
        <f>SUM(AU926:BA926)</f>
        <v/>
      </c>
      <c r="AW926" t="n">
        <v>1</v>
      </c>
    </row>
    <row r="927">
      <c r="A927" t="inlineStr">
        <is>
          <t>c0923</t>
        </is>
      </c>
      <c r="B927" t="inlineStr">
        <is>
          <t>Springbloom Druid</t>
        </is>
      </c>
      <c r="C927" t="inlineStr">
        <is>
          <t>G</t>
        </is>
      </c>
      <c r="D927" t="inlineStr">
        <is>
          <t>Creature</t>
        </is>
      </c>
      <c r="E927" t="inlineStr">
        <is>
          <t>B2</t>
        </is>
      </c>
      <c r="F927" t="n">
        <v>3</v>
      </c>
      <c r="G927" t="inlineStr">
        <is>
          <t>Springbloom Druid {2}{G} — Creature — Elf Druid (1/1)
When this creature enters, you may sacrifice a land. If you do, search your library for up to two basic land cards, put them onto the battlefield tapped, then shuffle.</t>
        </is>
      </c>
      <c r="H927" t="inlineStr">
        <is>
          <t>Ramp</t>
        </is>
      </c>
      <c r="I927" t="inlineStr">
        <is>
          <t>When this creature enters, you may sacrifice a land. If you do, search your library for up to two basic land cards, put them onto the battlefield tapped, then shuffle.</t>
        </is>
      </c>
      <c r="P927" t="n">
        <v>0.59</v>
      </c>
      <c r="Q927" t="inlineStr">
        <is>
          <t>C</t>
        </is>
      </c>
      <c r="V927" t="inlineStr">
        <is>
          <t>Foundations</t>
        </is>
      </c>
      <c r="W927" t="n">
        <v>0</v>
      </c>
      <c r="X927">
        <f>SUM(Y927:AE927)</f>
        <v/>
      </c>
      <c r="AF927">
        <f>IF((W927-SUM(Y927:AE927))&lt;0,0,W927-SUM(Y927:AE927))</f>
        <v/>
      </c>
      <c r="AG927">
        <f>MAX(0,$AT927-$W927-$AI927)</f>
        <v/>
      </c>
      <c r="AI927" t="n">
        <v>0</v>
      </c>
      <c r="AJ927" t="n">
        <v>0.59</v>
      </c>
      <c r="AK927">
        <f>IF(AND($AG927&gt;0,ISNUMBER($AJ927)),$AG927*$AJ927,0)</f>
        <v/>
      </c>
      <c r="AT927">
        <f>SUM(AU927:BA927)</f>
        <v/>
      </c>
      <c r="AV927" t="n">
        <v>1</v>
      </c>
    </row>
    <row r="928">
      <c r="A928" t="inlineStr">
        <is>
          <t>c0924</t>
        </is>
      </c>
      <c r="B928" t="inlineStr">
        <is>
          <t>Sower of Temptation</t>
        </is>
      </c>
      <c r="C928" t="inlineStr">
        <is>
          <t>U</t>
        </is>
      </c>
      <c r="D928" t="inlineStr">
        <is>
          <t>Creature</t>
        </is>
      </c>
      <c r="E928" t="inlineStr">
        <is>
          <t>B2</t>
        </is>
      </c>
      <c r="F928" t="n">
        <v>4</v>
      </c>
      <c r="G928" t="inlineStr">
        <is>
          <t>Sower of Temptation {2}{U}{U} — Creature — Faerie Wizard (2/2)
Flying
When this creature enters, gain control of target creature for as long as this creature remains on the battlefield.</t>
        </is>
      </c>
      <c r="H928" t="inlineStr">
        <is>
          <t>Removal</t>
        </is>
      </c>
      <c r="I928" t="inlineStr">
        <is>
          <t>Flying</t>
        </is>
      </c>
      <c r="P928" t="n">
        <v>2.53</v>
      </c>
      <c r="Q928" t="inlineStr">
        <is>
          <t>R</t>
        </is>
      </c>
      <c r="V928" t="inlineStr">
        <is>
          <t>Battlebond</t>
        </is>
      </c>
      <c r="W928" t="n">
        <v>0</v>
      </c>
      <c r="X928">
        <f>SUM(Y928:AE928)</f>
        <v/>
      </c>
      <c r="AF928">
        <f>IF((W928-SUM(Y928:AE928))&lt;0,0,W928-SUM(Y928:AE928))</f>
        <v/>
      </c>
      <c r="AG928">
        <f>MAX(0,$AT928-$W928-$AI928)</f>
        <v/>
      </c>
      <c r="AI928" t="n">
        <v>0</v>
      </c>
      <c r="AJ928" t="n">
        <v>2.53</v>
      </c>
      <c r="AK928">
        <f>IF(AND($AG928&gt;0,ISNUMBER($AJ928)),$AG928*$AJ928,0)</f>
        <v/>
      </c>
      <c r="AT928">
        <f>SUM(AU928:BA928)</f>
        <v/>
      </c>
      <c r="BA928" t="n">
        <v>1</v>
      </c>
    </row>
    <row r="929">
      <c r="A929" t="inlineStr">
        <is>
          <t>c0925</t>
        </is>
      </c>
      <c r="B929" t="inlineStr">
        <is>
          <t>Ilysian Caryatid</t>
        </is>
      </c>
      <c r="C929" t="inlineStr">
        <is>
          <t>G</t>
        </is>
      </c>
      <c r="D929" t="inlineStr">
        <is>
          <t>Creature</t>
        </is>
      </c>
      <c r="E929" t="inlineStr">
        <is>
          <t>B2</t>
        </is>
      </c>
      <c r="F929" t="n">
        <v>2</v>
      </c>
      <c r="G929" t="inlineStr">
        <is>
          <t>Ilysian Caryatid {1}{G} — Creature — Plant (1/1)
{T}: Add one mana of any color. If you control a creature with power 4 or greater, add two mana of any one color instead.</t>
        </is>
      </c>
      <c r="H929" t="inlineStr">
        <is>
          <t>Ramp</t>
        </is>
      </c>
      <c r="I929" t="inlineStr">
        <is>
          <t>{T}: Add one mana of any color. If you control a creature with power 4 or greater, add two mana of any one color instead.</t>
        </is>
      </c>
      <c r="P929" t="n">
        <v>0.5600000000000001</v>
      </c>
      <c r="Q929" t="inlineStr">
        <is>
          <t>C</t>
        </is>
      </c>
      <c r="V929" t="inlineStr">
        <is>
          <t>Commander Masters</t>
        </is>
      </c>
      <c r="W929" t="n">
        <v>0</v>
      </c>
      <c r="X929">
        <f>SUM(Y929:AE929)</f>
        <v/>
      </c>
      <c r="AF929">
        <f>IF((W929-SUM(Y929:AE929))&lt;0,0,W929-SUM(Y929:AE929))</f>
        <v/>
      </c>
      <c r="AG929">
        <f>MAX(0,$AT929-$W929-$AI929)</f>
        <v/>
      </c>
      <c r="AI929" t="n">
        <v>0</v>
      </c>
      <c r="AJ929" t="n">
        <v>0.5600000000000001</v>
      </c>
      <c r="AK929">
        <f>IF(AND($AG929&gt;0,ISNUMBER($AJ929)),$AG929*$AJ929,0)</f>
        <v/>
      </c>
      <c r="AT929">
        <f>SUM(AU929:BA929)</f>
        <v/>
      </c>
      <c r="AV929" t="n">
        <v>1</v>
      </c>
    </row>
    <row r="930">
      <c r="A930" t="inlineStr">
        <is>
          <t>c0926</t>
        </is>
      </c>
      <c r="B930" t="inlineStr">
        <is>
          <t>Watcher for Tomorrow</t>
        </is>
      </c>
      <c r="C930" t="inlineStr">
        <is>
          <t>U</t>
        </is>
      </c>
      <c r="D930" t="inlineStr">
        <is>
          <t>Creature</t>
        </is>
      </c>
      <c r="E930" t="inlineStr">
        <is>
          <t>B2</t>
        </is>
      </c>
      <c r="F930" t="n">
        <v>2</v>
      </c>
      <c r="G930" t="inlineStr">
        <is>
          <t>Watcher for Tomorrow {1}{U} — Creature — Human Wizard (2/1)
Hideaway 4 (When this creature enters, look at the top four cards of your library, exile one face down, then put the rest on the bottom in a random order.)
This creature enters tapped.
When this creature leaves the battlefield, put the exiled card into its owner's hand.</t>
        </is>
      </c>
      <c r="H930" t="inlineStr">
        <is>
          <t>Card Selection</t>
        </is>
      </c>
      <c r="I930" t="inlineStr">
        <is>
          <t>Hideaway 4 (When this creature enters, look at the top four cards of your library, exile one face down, then put the rest on the bottom in a random order.)</t>
        </is>
      </c>
      <c r="P930" t="n">
        <v>0.32</v>
      </c>
      <c r="Q930" t="inlineStr">
        <is>
          <t>U</t>
        </is>
      </c>
      <c r="V930" t="inlineStr">
        <is>
          <t>Modern Horizons</t>
        </is>
      </c>
      <c r="W930" t="n">
        <v>0</v>
      </c>
      <c r="X930">
        <f>SUM(Y930:AE930)</f>
        <v/>
      </c>
      <c r="AF930">
        <f>IF((W930-SUM(Y930:AE930))&lt;0,0,W930-SUM(Y930:AE930))</f>
        <v/>
      </c>
      <c r="AG930">
        <f>MAX(0,$AT930-$W930-$AI930)</f>
        <v/>
      </c>
      <c r="AI930" t="n">
        <v>0</v>
      </c>
      <c r="AJ930" t="n">
        <v>0.32</v>
      </c>
      <c r="AK930">
        <f>IF(AND($AG930&gt;0,ISNUMBER($AJ930)),$AG930*$AJ930,0)</f>
        <v/>
      </c>
      <c r="AT930">
        <f>SUM(AU930:BA930)</f>
        <v/>
      </c>
      <c r="AV930" t="n">
        <v>1</v>
      </c>
    </row>
    <row r="931">
      <c r="A931" t="inlineStr">
        <is>
          <t>c0927</t>
        </is>
      </c>
      <c r="B931" t="inlineStr">
        <is>
          <t>Realmwalker</t>
        </is>
      </c>
      <c r="C931" t="inlineStr">
        <is>
          <t>G</t>
        </is>
      </c>
      <c r="D931" t="inlineStr">
        <is>
          <t>Creature</t>
        </is>
      </c>
      <c r="E931" t="inlineStr">
        <is>
          <t>B2</t>
        </is>
      </c>
      <c r="F931" t="n">
        <v>3</v>
      </c>
      <c r="G931" t="inlineStr">
        <is>
          <t>Realmwalker {2}{G} — Creature — Shapeshifter (2/3)
Changeling (This card is every creature type.)
As this creature enters, choose a creature type.
You may look at the top card of your library any time.
You may cast creature spells of the chosen type from the top of your library.</t>
        </is>
      </c>
      <c r="H931" t="inlineStr">
        <is>
          <t>Card Advantage</t>
        </is>
      </c>
      <c r="I931" t="inlineStr">
        <is>
          <t>Changeling (This card is every creature type.)</t>
        </is>
      </c>
      <c r="P931" t="n">
        <v>2.1</v>
      </c>
      <c r="Q931" t="inlineStr">
        <is>
          <t>R</t>
        </is>
      </c>
      <c r="V931" t="inlineStr">
        <is>
          <t>Lorwyn Eclipsed Commander</t>
        </is>
      </c>
      <c r="W931" t="n">
        <v>0</v>
      </c>
      <c r="X931">
        <f>SUM(Y931:AE931)</f>
        <v/>
      </c>
      <c r="AF931">
        <f>IF((W931-SUM(Y931:AE931))&lt;0,0,W931-SUM(Y931:AE931))</f>
        <v/>
      </c>
      <c r="AG931">
        <f>MAX(0,$AT931-$W931-$AI931)</f>
        <v/>
      </c>
      <c r="AI931" t="n">
        <v>0</v>
      </c>
      <c r="AJ931" t="n">
        <v>2.1</v>
      </c>
      <c r="AK931">
        <f>IF(AND($AG931&gt;0,ISNUMBER($AJ931)),$AG931*$AJ931,0)</f>
        <v/>
      </c>
      <c r="AT931">
        <f>SUM(AU931:BA931)</f>
        <v/>
      </c>
      <c r="BA931" t="n">
        <v>1</v>
      </c>
    </row>
    <row r="932">
      <c r="A932" t="inlineStr">
        <is>
          <t>c0928</t>
        </is>
      </c>
      <c r="B932" t="inlineStr">
        <is>
          <t>Elvish Rejuvenator</t>
        </is>
      </c>
      <c r="C932" t="inlineStr">
        <is>
          <t>G</t>
        </is>
      </c>
      <c r="D932" t="inlineStr">
        <is>
          <t>Creature</t>
        </is>
      </c>
      <c r="E932" t="inlineStr">
        <is>
          <t>B2</t>
        </is>
      </c>
      <c r="F932" t="n">
        <v>3</v>
      </c>
      <c r="G932" t="inlineStr">
        <is>
          <t>Elvish Rejuvenator {2}{G} — Creature — Elf Druid (1/1)
When this creature enters, look at the top five cards of your library. You may put a land card from among them onto the battlefield tapped. Put the rest on the bottom of your library in a random order.</t>
        </is>
      </c>
      <c r="H932" t="inlineStr">
        <is>
          <t>Ramp</t>
        </is>
      </c>
      <c r="I932" t="inlineStr">
        <is>
          <t>When this creature enters, look at the top five cards of your library. You may put a land card from among them onto the battlefield tapped. Put the rest on the bottom of your library in a random order.</t>
        </is>
      </c>
      <c r="P932" t="n">
        <v>0.26</v>
      </c>
      <c r="Q932" t="inlineStr">
        <is>
          <t>C</t>
        </is>
      </c>
      <c r="V932" t="inlineStr">
        <is>
          <t>Outlaws of Thunder Junction Commander</t>
        </is>
      </c>
      <c r="W932" t="n">
        <v>0</v>
      </c>
      <c r="X932">
        <f>SUM(Y932:AE932)</f>
        <v/>
      </c>
      <c r="AF932">
        <f>IF((W932-SUM(Y932:AE932))&lt;0,0,W932-SUM(Y932:AE932))</f>
        <v/>
      </c>
      <c r="AG932">
        <f>MAX(0,$AT932-$W932-$AI932)</f>
        <v/>
      </c>
      <c r="AI932" t="n">
        <v>0</v>
      </c>
      <c r="AJ932" t="n">
        <v>0.26</v>
      </c>
      <c r="AK932">
        <f>IF(AND($AG932&gt;0,ISNUMBER($AJ932)),$AG932*$AJ932,0)</f>
        <v/>
      </c>
      <c r="AT932">
        <f>SUM(AU932:BA932)</f>
        <v/>
      </c>
      <c r="AV932" t="n">
        <v>1</v>
      </c>
    </row>
    <row r="933">
      <c r="A933" t="inlineStr">
        <is>
          <t>c0929</t>
        </is>
      </c>
      <c r="B933" t="inlineStr">
        <is>
          <t>Topiary Stomper</t>
        </is>
      </c>
      <c r="C933" t="inlineStr">
        <is>
          <t>G</t>
        </is>
      </c>
      <c r="D933" t="inlineStr">
        <is>
          <t>Creature</t>
        </is>
      </c>
      <c r="E933" t="inlineStr">
        <is>
          <t>B2</t>
        </is>
      </c>
      <c r="F933" t="n">
        <v>3</v>
      </c>
      <c r="G933" t="inlineStr">
        <is>
          <t>Topiary Stomper {1}{G}{G} — Creature — Plant Dinosaur (4/4)
Vigilance (Attacking doesn't cause this creature to tap.)
When this creature enters, search your library for a basic land card, put it onto the battlefield tapped, then shuffle.
This creature can't attack or block unless you control seven or more lands.</t>
        </is>
      </c>
      <c r="H933" t="inlineStr">
        <is>
          <t>Ramp</t>
        </is>
      </c>
      <c r="I933" t="inlineStr">
        <is>
          <t>Vigilance (Attacking doesn't cause this creature to tap.)</t>
        </is>
      </c>
      <c r="P933" t="n">
        <v>0.99</v>
      </c>
      <c r="Q933" t="inlineStr">
        <is>
          <t>R</t>
        </is>
      </c>
      <c r="V933" t="inlineStr">
        <is>
          <t>The Lost Caverns of Ixalan Commander</t>
        </is>
      </c>
      <c r="W933" t="n">
        <v>0</v>
      </c>
      <c r="X933">
        <f>SUM(Y933:AE933)</f>
        <v/>
      </c>
      <c r="AF933">
        <f>IF((W933-SUM(Y933:AE933))&lt;0,0,W933-SUM(Y933:AE933))</f>
        <v/>
      </c>
      <c r="AG933">
        <f>MAX(0,$AT933-$W933-$AI933)</f>
        <v/>
      </c>
      <c r="AI933" t="n">
        <v>0</v>
      </c>
      <c r="AJ933" t="n">
        <v>0.99</v>
      </c>
      <c r="AK933">
        <f>IF(AND($AG933&gt;0,ISNUMBER($AJ933)),$AG933*$AJ933,0)</f>
        <v/>
      </c>
      <c r="AT933">
        <f>SUM(AU933:BA933)</f>
        <v/>
      </c>
      <c r="AV933" t="n">
        <v>1</v>
      </c>
    </row>
    <row r="934">
      <c r="A934" t="inlineStr">
        <is>
          <t>c0930</t>
        </is>
      </c>
      <c r="B934" t="inlineStr">
        <is>
          <t>Canopy Vista</t>
        </is>
      </c>
      <c r="C934" t="inlineStr">
        <is>
          <t>L</t>
        </is>
      </c>
      <c r="D934" t="inlineStr">
        <is>
          <t>Land</t>
        </is>
      </c>
      <c r="E934" t="inlineStr">
        <is>
          <t>B2</t>
        </is>
      </c>
      <c r="F934" t="n">
        <v>0</v>
      </c>
      <c r="G934" t="inlineStr">
        <is>
          <t>Canopy Vista  — Land — Forest Plains
({T}: Add {G} or {W}.)
This land enters tapped unless you control two or more basic lands.</t>
        </is>
      </c>
      <c r="H934" t="inlineStr">
        <is>
          <t>Land</t>
        </is>
      </c>
      <c r="I934" t="inlineStr">
        <is>
          <t>({T}: Add {G} or {W}.)</t>
        </is>
      </c>
      <c r="P934" t="n">
        <v>0.29</v>
      </c>
      <c r="Q934" t="inlineStr">
        <is>
          <t>R</t>
        </is>
      </c>
      <c r="V934" t="inlineStr">
        <is>
          <t>Marvel Super Heroes Commander</t>
        </is>
      </c>
      <c r="W934" t="n">
        <v>0</v>
      </c>
      <c r="X934">
        <f>SUM(Y934:AE934)</f>
        <v/>
      </c>
      <c r="AF934">
        <f>IF((W934-SUM(Y934:AE934))&lt;0,0,W934-SUM(Y934:AE934))</f>
        <v/>
      </c>
      <c r="AG934">
        <f>MAX(0,$AT934-$W934-$AI934)</f>
        <v/>
      </c>
      <c r="AI934" t="n">
        <v>0</v>
      </c>
      <c r="AJ934" t="n">
        <v>0.29</v>
      </c>
      <c r="AK934">
        <f>IF(AND($AG934&gt;0,ISNUMBER($AJ934)),$AG934*$AJ934,0)</f>
        <v/>
      </c>
      <c r="AT934">
        <f>SUM(AU934:BA934)</f>
        <v/>
      </c>
      <c r="AV934" t="n">
        <v>1</v>
      </c>
    </row>
    <row r="935">
      <c r="A935" t="inlineStr">
        <is>
          <t>c0931</t>
        </is>
      </c>
      <c r="B935" t="inlineStr">
        <is>
          <t>Prairie Stream</t>
        </is>
      </c>
      <c r="C935" t="inlineStr">
        <is>
          <t>L</t>
        </is>
      </c>
      <c r="D935" t="inlineStr">
        <is>
          <t>Land</t>
        </is>
      </c>
      <c r="E935" t="inlineStr">
        <is>
          <t>B2</t>
        </is>
      </c>
      <c r="F935" t="n">
        <v>0</v>
      </c>
      <c r="G935" t="inlineStr">
        <is>
          <t>Prairie Stream  — Land — Plains Island
({T}: Add {W} or {U}.)
This land enters tapped unless you control two or more basic lands.</t>
        </is>
      </c>
      <c r="H935" t="inlineStr">
        <is>
          <t>Land</t>
        </is>
      </c>
      <c r="I935" t="inlineStr">
        <is>
          <t>({T}: Add {W} or {U}.)</t>
        </is>
      </c>
      <c r="Q935" t="inlineStr">
        <is>
          <t>R</t>
        </is>
      </c>
      <c r="V935" t="inlineStr">
        <is>
          <t>Reality Fracture Commander</t>
        </is>
      </c>
      <c r="W935" t="n">
        <v>0</v>
      </c>
      <c r="X935">
        <f>SUM(Y935:AE935)</f>
        <v/>
      </c>
      <c r="AF935">
        <f>IF((W935-SUM(Y935:AE935))&lt;0,0,W935-SUM(Y935:AE935))</f>
        <v/>
      </c>
      <c r="AG935">
        <f>MAX(0,$AT935-$W935-$AI935)</f>
        <v/>
      </c>
      <c r="AI935" t="n">
        <v>0</v>
      </c>
      <c r="AK935">
        <f>IF(AND($AG935&gt;0,ISNUMBER($AJ935)),$AG935*$AJ935,0)</f>
        <v/>
      </c>
      <c r="AT935">
        <f>SUM(AU935:BA935)</f>
        <v/>
      </c>
      <c r="AV935" t="n">
        <v>1</v>
      </c>
    </row>
    <row r="936">
      <c r="A936" t="inlineStr">
        <is>
          <t>c0932</t>
        </is>
      </c>
      <c r="B936" t="inlineStr">
        <is>
          <t>Tireless Tracker</t>
        </is>
      </c>
      <c r="C936" t="inlineStr">
        <is>
          <t>G</t>
        </is>
      </c>
      <c r="D936" t="inlineStr">
        <is>
          <t>Creature</t>
        </is>
      </c>
      <c r="E936" t="inlineStr">
        <is>
          <t>B2</t>
        </is>
      </c>
      <c r="F936" t="n">
        <v>3</v>
      </c>
      <c r="G936" t="inlineStr">
        <is>
          <t>Tireless Tracker {2}{G} — Creature — Human Scout (3/2)
Landfall — Whenever a land you control enters, investigate. (Create a Clue token. It's an artifact with "{2}, Sacrifice this token: Draw a card.")
Whenever you sacrifice a Clue, put a +1/+1 counter on this creature.</t>
        </is>
      </c>
      <c r="H936" t="inlineStr">
        <is>
          <t>Card Draw</t>
        </is>
      </c>
      <c r="I936" t="inlineStr">
        <is>
          <t>Landfall — Whenever a land you control enters, investigate. (Create a Clue token. It's an artifact with "{2}, Sacrifice this token: Draw a card.")</t>
        </is>
      </c>
      <c r="P936" t="n">
        <v>0.32</v>
      </c>
      <c r="Q936" t="inlineStr">
        <is>
          <t>R</t>
        </is>
      </c>
      <c r="V936" t="inlineStr">
        <is>
          <t>Edge of Eternities Commander</t>
        </is>
      </c>
      <c r="W936" t="n">
        <v>0</v>
      </c>
      <c r="X936">
        <f>SUM(Y936:AE936)</f>
        <v/>
      </c>
      <c r="AF936">
        <f>IF((W936-SUM(Y936:AE936))&lt;0,0,W936-SUM(Y936:AE936))</f>
        <v/>
      </c>
      <c r="AG936">
        <f>MAX(0,$AT936-$W936-$AI936)</f>
        <v/>
      </c>
      <c r="AI936" t="n">
        <v>0</v>
      </c>
      <c r="AJ936" t="n">
        <v>0.32</v>
      </c>
      <c r="AK936">
        <f>IF(AND($AG936&gt;0,ISNUMBER($AJ936)),$AG936*$AJ936,0)</f>
        <v/>
      </c>
      <c r="AT936">
        <f>SUM(AU936:BA936)</f>
        <v/>
      </c>
      <c r="AV936" t="n">
        <v>1</v>
      </c>
    </row>
    <row r="937">
      <c r="A937" t="inlineStr">
        <is>
          <t>c0933</t>
        </is>
      </c>
      <c r="B937" t="inlineStr">
        <is>
          <t>Fathom Mage</t>
        </is>
      </c>
      <c r="C937" t="inlineStr">
        <is>
          <t>Multi</t>
        </is>
      </c>
      <c r="D937" t="inlineStr">
        <is>
          <t>Creature</t>
        </is>
      </c>
      <c r="E937" t="inlineStr">
        <is>
          <t>B2</t>
        </is>
      </c>
      <c r="F937" t="n">
        <v>4</v>
      </c>
      <c r="G937" t="inlineStr">
        <is>
          <t>Fathom Mage {2}{G}{U} — Creature — Human Wizard (1/1)
Evolve (Whenever a creature you control enters, if that creature has greater power or toughness than this creature, put a +1/+1 counter on this creature.)
Whenever a +1/+1 counter is put on this creature, you may draw a card.</t>
        </is>
      </c>
      <c r="H937" t="inlineStr">
        <is>
          <t>Card Draw</t>
        </is>
      </c>
      <c r="I937" t="inlineStr">
        <is>
          <t>Evolve (Whenever a creature you control enters, if that creature has greater power or toughness than this creature, put a +1/+1 counter on this creature.)</t>
        </is>
      </c>
      <c r="P937" t="n">
        <v>0.61</v>
      </c>
      <c r="Q937" t="inlineStr">
        <is>
          <t>R</t>
        </is>
      </c>
      <c r="V937" t="inlineStr">
        <is>
          <t>New Capenna Commander</t>
        </is>
      </c>
      <c r="W937" t="n">
        <v>0</v>
      </c>
      <c r="X937">
        <f>SUM(Y937:AE937)</f>
        <v/>
      </c>
      <c r="AF937">
        <f>IF((W937-SUM(Y937:AE937))&lt;0,0,W937-SUM(Y937:AE937))</f>
        <v/>
      </c>
      <c r="AG937">
        <f>MAX(0,$AT937-$W937-$AI937)</f>
        <v/>
      </c>
      <c r="AI937" t="n">
        <v>0</v>
      </c>
      <c r="AJ937" t="n">
        <v>0.61</v>
      </c>
      <c r="AK937">
        <f>IF(AND($AG937&gt;0,ISNUMBER($AJ937)),$AG937*$AJ937,0)</f>
        <v/>
      </c>
      <c r="AT937">
        <f>SUM(AU937:BA937)</f>
        <v/>
      </c>
      <c r="AW937" t="n">
        <v>1</v>
      </c>
    </row>
    <row r="938">
      <c r="A938" t="inlineStr">
        <is>
          <t>c0934</t>
        </is>
      </c>
      <c r="B938" t="inlineStr">
        <is>
          <t>Kor Skyfisher</t>
        </is>
      </c>
      <c r="C938" t="inlineStr">
        <is>
          <t>W</t>
        </is>
      </c>
      <c r="D938" t="inlineStr">
        <is>
          <t>Creature</t>
        </is>
      </c>
      <c r="E938" t="inlineStr">
        <is>
          <t>B2</t>
        </is>
      </c>
      <c r="F938" t="n">
        <v>2</v>
      </c>
      <c r="G938" t="inlineStr">
        <is>
          <t>Kor Skyfisher {1}{W} — Creature — Kor Soldier (2/3)
Flying
When this creature enters, return a permanent you control to its owner's hand.</t>
        </is>
      </c>
      <c r="H938" t="inlineStr">
        <is>
          <t>Blink</t>
        </is>
      </c>
      <c r="I938" t="inlineStr">
        <is>
          <t>Flying</t>
        </is>
      </c>
      <c r="P938" t="n">
        <v>0.61</v>
      </c>
      <c r="Q938" t="inlineStr">
        <is>
          <t>C</t>
        </is>
      </c>
      <c r="V938" t="inlineStr">
        <is>
          <t>Modern Masters 2017</t>
        </is>
      </c>
      <c r="W938" t="n">
        <v>0</v>
      </c>
      <c r="X938">
        <f>SUM(Y938:AE938)</f>
        <v/>
      </c>
      <c r="AF938">
        <f>IF((W938-SUM(Y938:AE938))&lt;0,0,W938-SUM(Y938:AE938))</f>
        <v/>
      </c>
      <c r="AG938">
        <f>MAX(0,$AT938-$W938-$AI938)</f>
        <v/>
      </c>
      <c r="AI938" t="n">
        <v>0</v>
      </c>
      <c r="AJ938" t="n">
        <v>0.61</v>
      </c>
      <c r="AK938">
        <f>IF(AND($AG938&gt;0,ISNUMBER($AJ938)),$AG938*$AJ938,0)</f>
        <v/>
      </c>
      <c r="AT938">
        <f>SUM(AU938:BA938)</f>
        <v/>
      </c>
      <c r="AV938" t="n">
        <v>1</v>
      </c>
    </row>
    <row r="939">
      <c r="A939" t="inlineStr">
        <is>
          <t>c0935</t>
        </is>
      </c>
      <c r="B939" t="inlineStr">
        <is>
          <t>Mogg Raider</t>
        </is>
      </c>
      <c r="C939" t="inlineStr">
        <is>
          <t>R</t>
        </is>
      </c>
      <c r="D939" t="inlineStr">
        <is>
          <t>Creature</t>
        </is>
      </c>
      <c r="E939" t="inlineStr">
        <is>
          <t>B2</t>
        </is>
      </c>
      <c r="F939" t="n">
        <v>1</v>
      </c>
      <c r="G939" t="inlineStr">
        <is>
          <t>Mogg Raider {R} — Creature — Goblin (1/1)
Sacrifice a Goblin: Target creature gets +1/+1 until end of turn.</t>
        </is>
      </c>
      <c r="H939" t="inlineStr">
        <is>
          <t>Sacrifice Outlet</t>
        </is>
      </c>
      <c r="I939" t="inlineStr">
        <is>
          <t>Sacrifice a Goblin: Target creature gets +1/+1 until end of turn.</t>
        </is>
      </c>
      <c r="P939" t="n">
        <v>0.38</v>
      </c>
      <c r="Q939" t="inlineStr">
        <is>
          <t>C</t>
        </is>
      </c>
      <c r="V939" t="inlineStr">
        <is>
          <t>Tempest</t>
        </is>
      </c>
      <c r="W939" t="n">
        <v>0</v>
      </c>
      <c r="X939">
        <f>SUM(Y939:AE939)</f>
        <v/>
      </c>
      <c r="AF939">
        <f>IF((W939-SUM(Y939:AE939))&lt;0,0,W939-SUM(Y939:AE939))</f>
        <v/>
      </c>
      <c r="AG939">
        <f>MAX(0,$AT939-$W939-$AI939)</f>
        <v/>
      </c>
      <c r="AI939" t="n">
        <v>0</v>
      </c>
      <c r="AJ939" t="n">
        <v>0.38</v>
      </c>
      <c r="AK939">
        <f>IF(AND($AG939&gt;0,ISNUMBER($AJ939)),$AG939*$AJ939,0)</f>
        <v/>
      </c>
      <c r="AT939">
        <f>SUM(AU939:BA939)</f>
        <v/>
      </c>
      <c r="AZ939" t="n">
        <v>1</v>
      </c>
    </row>
    <row r="940">
      <c r="A940" t="inlineStr">
        <is>
          <t>c0936</t>
        </is>
      </c>
      <c r="B940" t="inlineStr">
        <is>
          <t>Mizzium Mortars</t>
        </is>
      </c>
      <c r="C940" t="inlineStr">
        <is>
          <t>R</t>
        </is>
      </c>
      <c r="D940" t="inlineStr">
        <is>
          <t>Sorcery</t>
        </is>
      </c>
      <c r="E940" t="inlineStr">
        <is>
          <t>B2</t>
        </is>
      </c>
      <c r="F940" t="n">
        <v>2</v>
      </c>
      <c r="G940" t="inlineStr">
        <is>
          <t>Mizzium Mortars {1}{R} — Sorcery
Mizzium Mortars deals 4 damage to target creature you don't control.
Overload {3}{R}{R}{R} (You may cast this spell for its overload cost. If you do, change "target" in its text to "each.")</t>
        </is>
      </c>
      <c r="H940" t="inlineStr">
        <is>
          <t>Removal</t>
        </is>
      </c>
      <c r="I940" t="inlineStr">
        <is>
          <t>Mizzium Mortars deals 4 damage to target creature you don't control.</t>
        </is>
      </c>
      <c r="P940" t="n">
        <v>0.57</v>
      </c>
      <c r="Q940" t="inlineStr">
        <is>
          <t>R</t>
        </is>
      </c>
      <c r="V940" t="inlineStr">
        <is>
          <t>Commander Legends: Battle for Baldur's Gate</t>
        </is>
      </c>
      <c r="W940" t="n">
        <v>0</v>
      </c>
      <c r="X940">
        <f>SUM(Y940:AE940)</f>
        <v/>
      </c>
      <c r="AF940">
        <f>IF((W940-SUM(Y940:AE940))&lt;0,0,W940-SUM(Y940:AE940))</f>
        <v/>
      </c>
      <c r="AG940">
        <f>MAX(0,$AT940-$W940-$AI940)</f>
        <v/>
      </c>
      <c r="AI940" t="n">
        <v>0</v>
      </c>
      <c r="AJ940" t="n">
        <v>0.57</v>
      </c>
      <c r="AK940">
        <f>IF(AND($AG940&gt;0,ISNUMBER($AJ940)),$AG940*$AJ940,0)</f>
        <v/>
      </c>
      <c r="AT940">
        <f>SUM(AU940:BA940)</f>
        <v/>
      </c>
      <c r="AZ940" t="n">
        <v>1</v>
      </c>
    </row>
    <row r="941">
      <c r="A941" t="inlineStr">
        <is>
          <t>c0937</t>
        </is>
      </c>
      <c r="B941" t="inlineStr">
        <is>
          <t>Reckless Impulse</t>
        </is>
      </c>
      <c r="C941" t="inlineStr">
        <is>
          <t>R</t>
        </is>
      </c>
      <c r="D941" t="inlineStr">
        <is>
          <t>Sorcery</t>
        </is>
      </c>
      <c r="E941" t="inlineStr">
        <is>
          <t>B2</t>
        </is>
      </c>
      <c r="F941" t="n">
        <v>2</v>
      </c>
      <c r="G941" t="inlineStr">
        <is>
          <t>Reckless Impulse {1}{R} — Sorcery
Exile the top two cards of your library. Until the end of your next turn, you may play those cards.</t>
        </is>
      </c>
      <c r="H941" t="inlineStr">
        <is>
          <t>Card Selection</t>
        </is>
      </c>
      <c r="I941" t="inlineStr">
        <is>
          <t>Exile the top two cards of your library. Until the end of your next turn, you may play those cards.</t>
        </is>
      </c>
      <c r="Q941" t="inlineStr">
        <is>
          <t>C</t>
        </is>
      </c>
      <c r="V941" t="inlineStr">
        <is>
          <t>Star Trek</t>
        </is>
      </c>
      <c r="W941" t="n">
        <v>0</v>
      </c>
      <c r="X941">
        <f>SUM(Y941:AE941)</f>
        <v/>
      </c>
      <c r="AF941">
        <f>IF((W941-SUM(Y941:AE941))&lt;0,0,W941-SUM(Y941:AE941))</f>
        <v/>
      </c>
      <c r="AG941">
        <f>MAX(0,$AT941-$W941-$AI941)</f>
        <v/>
      </c>
      <c r="AI941" t="n">
        <v>0</v>
      </c>
      <c r="AK941">
        <f>IF(AND($AG941&gt;0,ISNUMBER($AJ941)),$AG941*$AJ941,0)</f>
        <v/>
      </c>
      <c r="AT941">
        <f>SUM(AU941:BA941)</f>
        <v/>
      </c>
      <c r="AU941" t="n">
        <v>1</v>
      </c>
    </row>
    <row r="942">
      <c r="A942" t="inlineStr">
        <is>
          <t>c0938</t>
        </is>
      </c>
      <c r="B942" t="inlineStr">
        <is>
          <t>Warstorm Surge</t>
        </is>
      </c>
      <c r="C942" t="inlineStr">
        <is>
          <t>R</t>
        </is>
      </c>
      <c r="D942" t="inlineStr">
        <is>
          <t>Enchantment</t>
        </is>
      </c>
      <c r="E942" t="inlineStr">
        <is>
          <t>B2</t>
        </is>
      </c>
      <c r="F942" t="n">
        <v>6</v>
      </c>
      <c r="G942" t="inlineStr">
        <is>
          <t>Warstorm Surge {5}{R} — Enchantment
Whenever a creature you control enters, it deals damage equal to its power to any target.</t>
        </is>
      </c>
      <c r="H942" t="inlineStr">
        <is>
          <t>Burn</t>
        </is>
      </c>
      <c r="I942" t="inlineStr">
        <is>
          <t>Whenever a creature you control enters, it deals damage equal to its power to any target.</t>
        </is>
      </c>
      <c r="P942" t="n">
        <v>1.44</v>
      </c>
      <c r="Q942" t="inlineStr">
        <is>
          <t>R</t>
        </is>
      </c>
      <c r="V942" t="inlineStr">
        <is>
          <t>Commander Legends: Battle for Baldur's Gate</t>
        </is>
      </c>
      <c r="W942" t="n">
        <v>0</v>
      </c>
      <c r="X942">
        <f>SUM(Y942:AE942)</f>
        <v/>
      </c>
      <c r="AF942">
        <f>IF((W942-SUM(Y942:AE942))&lt;0,0,W942-SUM(Y942:AE942))</f>
        <v/>
      </c>
      <c r="AG942">
        <f>MAX(0,$AT942-$W942-$AI942)</f>
        <v/>
      </c>
      <c r="AI942" t="n">
        <v>0</v>
      </c>
      <c r="AJ942" t="n">
        <v>1.44</v>
      </c>
      <c r="AK942">
        <f>IF(AND($AG942&gt;0,ISNUMBER($AJ942)),$AG942*$AJ942,0)</f>
        <v/>
      </c>
      <c r="AT942">
        <f>SUM(AU942:BA942)</f>
        <v/>
      </c>
      <c r="AZ942" t="n">
        <v>1</v>
      </c>
    </row>
    <row r="943">
      <c r="A943" t="inlineStr">
        <is>
          <t>c0939</t>
        </is>
      </c>
      <c r="B943" t="inlineStr">
        <is>
          <t>Burn at the Stake</t>
        </is>
      </c>
      <c r="C943" t="inlineStr">
        <is>
          <t>R</t>
        </is>
      </c>
      <c r="D943" t="inlineStr">
        <is>
          <t>Sorcery</t>
        </is>
      </c>
      <c r="E943" t="inlineStr">
        <is>
          <t>B2</t>
        </is>
      </c>
      <c r="F943" t="n">
        <v>5</v>
      </c>
      <c r="G943" t="inlineStr">
        <is>
          <t>Burn at the Stake {2}{R}{R}{R} — Sorcery
As an additional cost to cast this spell, tap any number of untapped creatures you control.
Burn at the Stake deals damage to any target equal to three times the number of creatures tapped this way.</t>
        </is>
      </c>
      <c r="H943" t="inlineStr">
        <is>
          <t>Finisher</t>
        </is>
      </c>
      <c r="I943" t="inlineStr">
        <is>
          <t>As an additional cost to cast this spell, tap any number of untapped creatures you control.</t>
        </is>
      </c>
      <c r="P943" t="n">
        <v>1.08</v>
      </c>
      <c r="Q943" t="inlineStr">
        <is>
          <t>R</t>
        </is>
      </c>
      <c r="V943" t="inlineStr">
        <is>
          <t>Avacyn Restored</t>
        </is>
      </c>
      <c r="W943" t="n">
        <v>0</v>
      </c>
      <c r="X943">
        <f>SUM(Y943:AE943)</f>
        <v/>
      </c>
      <c r="AF943">
        <f>IF((W943-SUM(Y943:AE943))&lt;0,0,W943-SUM(Y943:AE943))</f>
        <v/>
      </c>
      <c r="AG943">
        <f>MAX(0,$AT943-$W943-$AI943)</f>
        <v/>
      </c>
      <c r="AI943" t="n">
        <v>0</v>
      </c>
      <c r="AJ943" t="n">
        <v>1.08</v>
      </c>
      <c r="AK943">
        <f>IF(AND($AG943&gt;0,ISNUMBER($AJ943)),$AG943*$AJ943,0)</f>
        <v/>
      </c>
      <c r="AT943">
        <f>SUM(AU943:BA943)</f>
        <v/>
      </c>
      <c r="AZ943" t="n">
        <v>1</v>
      </c>
    </row>
    <row r="944">
      <c r="A944" t="inlineStr">
        <is>
          <t>c0940</t>
        </is>
      </c>
      <c r="B944" t="inlineStr">
        <is>
          <t>Hammer of Purphoros</t>
        </is>
      </c>
      <c r="C944" t="inlineStr">
        <is>
          <t>R</t>
        </is>
      </c>
      <c r="D944" t="inlineStr">
        <is>
          <t>Legendary Enchantment Artifact</t>
        </is>
      </c>
      <c r="E944" t="inlineStr">
        <is>
          <t>B2</t>
        </is>
      </c>
      <c r="F944" t="n">
        <v>3</v>
      </c>
      <c r="G944" t="inlineStr">
        <is>
          <t>Hammer of Purphoros {1}{R}{R} — Legendary Enchantment Artifact
Creatures you control have haste.
{2}{R}, {T}, Sacrifice a land: Create a 3/3 colorless Golem enchantment artifact creature token.</t>
        </is>
      </c>
      <c r="H944" t="inlineStr">
        <is>
          <t>Haste Enabler</t>
        </is>
      </c>
      <c r="I944" t="inlineStr">
        <is>
          <t>Creatures you control have haste.</t>
        </is>
      </c>
      <c r="P944" t="n">
        <v>0.35</v>
      </c>
      <c r="Q944" t="inlineStr">
        <is>
          <t>R</t>
        </is>
      </c>
      <c r="V944" t="inlineStr">
        <is>
          <t>Edge of Eternities Commander</t>
        </is>
      </c>
      <c r="W944" t="n">
        <v>0</v>
      </c>
      <c r="X944">
        <f>SUM(Y944:AE944)</f>
        <v/>
      </c>
      <c r="AF944">
        <f>IF((W944-SUM(Y944:AE944))&lt;0,0,W944-SUM(Y944:AE944))</f>
        <v/>
      </c>
      <c r="AG944">
        <f>MAX(0,$AT944-$W944-$AI944)</f>
        <v/>
      </c>
      <c r="AI944" t="n">
        <v>0</v>
      </c>
      <c r="AJ944" t="n">
        <v>0.35</v>
      </c>
      <c r="AK944">
        <f>IF(AND($AG944&gt;0,ISNUMBER($AJ944)),$AG944*$AJ944,0)</f>
        <v/>
      </c>
      <c r="AT944">
        <f>SUM(AU944:BA944)</f>
        <v/>
      </c>
      <c r="AZ944" t="n">
        <v>1</v>
      </c>
    </row>
    <row r="945">
      <c r="A945" t="inlineStr">
        <is>
          <t>c0941</t>
        </is>
      </c>
      <c r="B945" t="inlineStr">
        <is>
          <t>Hypnotic Sprite // Mesmeric Glare</t>
        </is>
      </c>
      <c r="C945" t="inlineStr">
        <is>
          <t>U</t>
        </is>
      </c>
      <c r="D945" t="inlineStr">
        <is>
          <t>Creature</t>
        </is>
      </c>
      <c r="E945" t="inlineStr">
        <is>
          <t>B2</t>
        </is>
      </c>
      <c r="F945" t="n">
        <v>2</v>
      </c>
      <c r="G945" t="inlineStr">
        <is>
          <t>Hypnotic Sprite // Mesmeric Glare {U}{U} // {2}{U} — Creature — Faerie // Instant — Adventure (2/1)
Flying</t>
        </is>
      </c>
      <c r="H945" t="inlineStr">
        <is>
          <t>Interaction</t>
        </is>
      </c>
      <c r="I945" t="inlineStr">
        <is>
          <t>Flying</t>
        </is>
      </c>
      <c r="P945" t="n">
        <v>0.12</v>
      </c>
      <c r="Q945" t="inlineStr">
        <is>
          <t>U</t>
        </is>
      </c>
      <c r="V945" t="inlineStr">
        <is>
          <t>Throne of Eldraine</t>
        </is>
      </c>
      <c r="W945" t="n">
        <v>0</v>
      </c>
      <c r="X945">
        <f>SUM(Y945:AE945)</f>
        <v/>
      </c>
      <c r="AF945">
        <f>IF((W945-SUM(Y945:AE945))&lt;0,0,W945-SUM(Y945:AE945))</f>
        <v/>
      </c>
      <c r="AG945">
        <f>MAX(0,$AT945-$W945-$AI945)</f>
        <v/>
      </c>
      <c r="AI945" t="n">
        <v>0</v>
      </c>
      <c r="AJ945" t="n">
        <v>0.12</v>
      </c>
      <c r="AK945">
        <f>IF(AND($AG945&gt;0,ISNUMBER($AJ945)),$AG945*$AJ945,0)</f>
        <v/>
      </c>
      <c r="AT945">
        <f>SUM(AU945:BA945)</f>
        <v/>
      </c>
      <c r="BA945" t="n">
        <v>1</v>
      </c>
    </row>
    <row r="946">
      <c r="A946" t="inlineStr">
        <is>
          <t>c0942</t>
        </is>
      </c>
      <c r="B946" t="inlineStr">
        <is>
          <t>Blade Splicer</t>
        </is>
      </c>
      <c r="C946" t="inlineStr">
        <is>
          <t>W</t>
        </is>
      </c>
      <c r="D946" t="inlineStr">
        <is>
          <t>Creature</t>
        </is>
      </c>
      <c r="E946" t="inlineStr">
        <is>
          <t>B2</t>
        </is>
      </c>
      <c r="F946" t="n">
        <v>3</v>
      </c>
      <c r="G946" t="inlineStr">
        <is>
          <t>Blade Splicer {2}{W} — Creature — Phyrexian Human Artificer (1/1)
When this creature enters, create a 3/3 colorless Phyrexian Golem artifact creature token.
Golems you control have first strike.</t>
        </is>
      </c>
      <c r="H946" t="inlineStr">
        <is>
          <t>Token Producer</t>
        </is>
      </c>
      <c r="I946" t="inlineStr">
        <is>
          <t>When this creature enters, create a 3/3 colorless Phyrexian Golem artifact creature token.</t>
        </is>
      </c>
      <c r="P946" t="n">
        <v>0.32</v>
      </c>
      <c r="Q946" t="inlineStr">
        <is>
          <t>R</t>
        </is>
      </c>
      <c r="V946" t="inlineStr">
        <is>
          <t>March of the Machine Commander</t>
        </is>
      </c>
      <c r="W946" t="n">
        <v>0</v>
      </c>
      <c r="X946">
        <f>SUM(Y946:AE946)</f>
        <v/>
      </c>
      <c r="AF946">
        <f>IF((W946-SUM(Y946:AE946))&lt;0,0,W946-SUM(Y946:AE946))</f>
        <v/>
      </c>
      <c r="AG946">
        <f>MAX(0,$AT946-$W946-$AI946)</f>
        <v/>
      </c>
      <c r="AI946" t="n">
        <v>0</v>
      </c>
      <c r="AJ946" t="n">
        <v>0.32</v>
      </c>
      <c r="AK946">
        <f>IF(AND($AG946&gt;0,ISNUMBER($AJ946)),$AG946*$AJ946,0)</f>
        <v/>
      </c>
      <c r="AT946">
        <f>SUM(AU946:BA946)</f>
        <v/>
      </c>
      <c r="AV946" t="n">
        <v>1</v>
      </c>
    </row>
    <row r="947">
      <c r="A947" t="inlineStr">
        <is>
          <t>c0943</t>
        </is>
      </c>
      <c r="B947" t="inlineStr">
        <is>
          <t>Sakura-Tribe Elder</t>
        </is>
      </c>
      <c r="C947" t="inlineStr">
        <is>
          <t>G</t>
        </is>
      </c>
      <c r="D947" t="inlineStr">
        <is>
          <t>Creature</t>
        </is>
      </c>
      <c r="E947" t="inlineStr">
        <is>
          <t>B2</t>
        </is>
      </c>
      <c r="F947" t="n">
        <v>2</v>
      </c>
      <c r="G947" t="inlineStr">
        <is>
          <t>Sakura-Tribe Elder {1}{G} — Creature — Snake Shaman (1/1)
Sacrifice this creature: Search your library for a basic land card, put that card onto the battlefield tapped, then shuffle.</t>
        </is>
      </c>
      <c r="H947" t="inlineStr">
        <is>
          <t>Ramp</t>
        </is>
      </c>
      <c r="I947" t="inlineStr">
        <is>
          <t>Sacrifice this creature: Search your library for a basic land card, put that card onto the battlefield tapped, then shuffle.</t>
        </is>
      </c>
      <c r="P947" t="n">
        <v>0.34</v>
      </c>
      <c r="Q947" t="inlineStr">
        <is>
          <t>C</t>
        </is>
      </c>
      <c r="V947" t="inlineStr">
        <is>
          <t>Secrets of Strixhaven Commander</t>
        </is>
      </c>
      <c r="W947" t="n">
        <v>0</v>
      </c>
      <c r="X947">
        <f>SUM(Y947:AE947)</f>
        <v/>
      </c>
      <c r="AF947">
        <f>IF((W947-SUM(Y947:AE947))&lt;0,0,W947-SUM(Y947:AE947))</f>
        <v/>
      </c>
      <c r="AG947">
        <f>MAX(0,$AT947-$W947-$AI947)</f>
        <v/>
      </c>
      <c r="AI947" t="n">
        <v>0</v>
      </c>
      <c r="AJ947" t="n">
        <v>0.34</v>
      </c>
      <c r="AK947">
        <f>IF(AND($AG947&gt;0,ISNUMBER($AJ947)),$AG947*$AJ947,0)</f>
        <v/>
      </c>
      <c r="AT947">
        <f>SUM(AU947:BA947)</f>
        <v/>
      </c>
      <c r="AV947" t="n">
        <v>1</v>
      </c>
    </row>
    <row r="948">
      <c r="A948" t="inlineStr">
        <is>
          <t>c0944</t>
        </is>
      </c>
      <c r="B948" t="inlineStr">
        <is>
          <t>Selfless Savior</t>
        </is>
      </c>
      <c r="C948" t="inlineStr">
        <is>
          <t>W</t>
        </is>
      </c>
      <c r="D948" t="inlineStr">
        <is>
          <t>Creature</t>
        </is>
      </c>
      <c r="E948" t="inlineStr">
        <is>
          <t>B2</t>
        </is>
      </c>
      <c r="F948" t="n">
        <v>1</v>
      </c>
      <c r="G948" t="inlineStr">
        <is>
          <t>Selfless Savior {W} — Creature — Dog (1/1)
Sacrifice this creature: Another target creature you control gains indestructible until end of turn. (Damage and effects that say "destroy" don't destroy it.)</t>
        </is>
      </c>
      <c r="H948" t="inlineStr">
        <is>
          <t>Protection</t>
        </is>
      </c>
      <c r="I948" t="inlineStr">
        <is>
          <t>Sacrifice this creature: Another target creature you control gains indestructible until end of turn. (Damage and effects that say "destroy" don't destroy it.)</t>
        </is>
      </c>
      <c r="P948" t="n">
        <v>0.37</v>
      </c>
      <c r="Q948" t="inlineStr">
        <is>
          <t>U</t>
        </is>
      </c>
      <c r="V948" t="inlineStr">
        <is>
          <t>Core Set 2021</t>
        </is>
      </c>
      <c r="W948" t="n">
        <v>0</v>
      </c>
      <c r="X948">
        <f>SUM(Y948:AE948)</f>
        <v/>
      </c>
      <c r="AF948">
        <f>IF((W948-SUM(Y948:AE948))&lt;0,0,W948-SUM(Y948:AE948))</f>
        <v/>
      </c>
      <c r="AG948">
        <f>MAX(0,$AT948-$W948-$AI948)</f>
        <v/>
      </c>
      <c r="AI948" t="n">
        <v>0</v>
      </c>
      <c r="AJ948" t="n">
        <v>0.37</v>
      </c>
      <c r="AK948">
        <f>IF(AND($AG948&gt;0,ISNUMBER($AJ948)),$AG948*$AJ948,0)</f>
        <v/>
      </c>
      <c r="AT948">
        <f>SUM(AU948:BA948)</f>
        <v/>
      </c>
      <c r="AV948" t="n">
        <v>1</v>
      </c>
    </row>
    <row r="949">
      <c r="A949" t="inlineStr">
        <is>
          <t>c0945</t>
        </is>
      </c>
      <c r="B949" t="inlineStr">
        <is>
          <t>Obyra, Dreaming Duelist</t>
        </is>
      </c>
      <c r="C949" t="inlineStr">
        <is>
          <t>Multi</t>
        </is>
      </c>
      <c r="D949" t="inlineStr">
        <is>
          <t>Legendary Creature</t>
        </is>
      </c>
      <c r="E949" t="inlineStr">
        <is>
          <t>B2</t>
        </is>
      </c>
      <c r="F949" t="n">
        <v>2</v>
      </c>
      <c r="G949" t="inlineStr">
        <is>
          <t>Obyra, Dreaming Duelist {U}{B} — Legendary Creature — Faerie Warrior (2/2)
Flash
Flying
Whenever another Faerie you control enters, each opponent loses 1 life.</t>
        </is>
      </c>
      <c r="H949" t="inlineStr">
        <is>
          <t>Drain Payoff</t>
        </is>
      </c>
      <c r="I949" t="inlineStr">
        <is>
          <t>Flash</t>
        </is>
      </c>
      <c r="P949" t="n">
        <v>0.34</v>
      </c>
      <c r="Q949" t="inlineStr">
        <is>
          <t>U</t>
        </is>
      </c>
      <c r="V949" t="inlineStr">
        <is>
          <t>Wilds of Eldraine</t>
        </is>
      </c>
      <c r="W949" t="n">
        <v>0</v>
      </c>
      <c r="X949">
        <f>SUM(Y949:AE949)</f>
        <v/>
      </c>
      <c r="AF949">
        <f>IF((W949-SUM(Y949:AE949))&lt;0,0,W949-SUM(Y949:AE949))</f>
        <v/>
      </c>
      <c r="AG949">
        <f>MAX(0,$AT949-$W949-$AI949)</f>
        <v/>
      </c>
      <c r="AI949" t="n">
        <v>0</v>
      </c>
      <c r="AJ949" t="n">
        <v>0.34</v>
      </c>
      <c r="AK949">
        <f>IF(AND($AG949&gt;0,ISNUMBER($AJ949)),$AG949*$AJ949,0)</f>
        <v/>
      </c>
      <c r="AT949">
        <f>SUM(AU949:BA949)</f>
        <v/>
      </c>
      <c r="BA949" t="n">
        <v>1</v>
      </c>
    </row>
    <row r="950">
      <c r="A950" t="inlineStr">
        <is>
          <t>c0946</t>
        </is>
      </c>
      <c r="B950" t="inlineStr">
        <is>
          <t>Soul Warden</t>
        </is>
      </c>
      <c r="C950" t="inlineStr">
        <is>
          <t>W</t>
        </is>
      </c>
      <c r="D950" t="inlineStr">
        <is>
          <t>Creature</t>
        </is>
      </c>
      <c r="E950" t="inlineStr">
        <is>
          <t>B2</t>
        </is>
      </c>
      <c r="F950" t="n">
        <v>1</v>
      </c>
      <c r="G950" t="inlineStr">
        <is>
          <t>Soul Warden {W} — Creature — Human Cleric (1/1)
Whenever another creature enters, you gain 1 life.</t>
        </is>
      </c>
      <c r="H950" t="inlineStr">
        <is>
          <t>Lifegain</t>
        </is>
      </c>
      <c r="I950" t="inlineStr">
        <is>
          <t>Whenever another creature enters, you gain 1 life.</t>
        </is>
      </c>
      <c r="P950" t="n">
        <v>3.33</v>
      </c>
      <c r="Q950" t="inlineStr">
        <is>
          <t>C</t>
        </is>
      </c>
      <c r="V950" t="inlineStr">
        <is>
          <t>Modern Masters 2017</t>
        </is>
      </c>
      <c r="W950" t="n">
        <v>0</v>
      </c>
      <c r="X950">
        <f>SUM(Y950:AE950)</f>
        <v/>
      </c>
      <c r="AF950">
        <f>IF((W950-SUM(Y950:AE950))&lt;0,0,W950-SUM(Y950:AE950))</f>
        <v/>
      </c>
      <c r="AG950">
        <f>MAX(0,$AT950-$W950-$AI950)</f>
        <v/>
      </c>
      <c r="AI950" t="n">
        <v>0</v>
      </c>
      <c r="AJ950" t="n">
        <v>3.33</v>
      </c>
      <c r="AK950">
        <f>IF(AND($AG950&gt;0,ISNUMBER($AJ950)),$AG950*$AJ950,0)</f>
        <v/>
      </c>
      <c r="AT950">
        <f>SUM(AU950:BA950)</f>
        <v/>
      </c>
      <c r="AY950" t="n">
        <v>1</v>
      </c>
    </row>
    <row r="951">
      <c r="A951" t="inlineStr">
        <is>
          <t>c0947</t>
        </is>
      </c>
      <c r="B951" t="inlineStr">
        <is>
          <t>Yavimaya Dryad</t>
        </is>
      </c>
      <c r="C951" t="inlineStr">
        <is>
          <t>G</t>
        </is>
      </c>
      <c r="D951" t="inlineStr">
        <is>
          <t>Creature</t>
        </is>
      </c>
      <c r="E951" t="inlineStr">
        <is>
          <t>B2</t>
        </is>
      </c>
      <c r="F951" t="n">
        <v>3</v>
      </c>
      <c r="G951" t="inlineStr">
        <is>
          <t>Yavimaya Dryad {1}{G}{G} — Creature — Dryad (2/1)
Forestwalk (This creature can't be blocked as long as defending player controls a Forest.)
When this creature enters, you may search your library for a Forest card, put it onto the battlefield tapped under target player's control, then shuffle.</t>
        </is>
      </c>
      <c r="H951" t="inlineStr">
        <is>
          <t>Ramp</t>
        </is>
      </c>
      <c r="I951" t="inlineStr">
        <is>
          <t>Forestwalk (This creature can't be blocked as long as defending player controls a Forest.)</t>
        </is>
      </c>
      <c r="P951" t="n">
        <v>0.24</v>
      </c>
      <c r="Q951" t="inlineStr">
        <is>
          <t>U</t>
        </is>
      </c>
      <c r="V951" t="inlineStr">
        <is>
          <t>Time Spiral Remastered</t>
        </is>
      </c>
      <c r="W951" t="n">
        <v>0</v>
      </c>
      <c r="X951">
        <f>SUM(Y951:AE951)</f>
        <v/>
      </c>
      <c r="AF951">
        <f>IF((W951-SUM(Y951:AE951))&lt;0,0,W951-SUM(Y951:AE951))</f>
        <v/>
      </c>
      <c r="AG951">
        <f>MAX(0,$AT951-$W951-$AI951)</f>
        <v/>
      </c>
      <c r="AI951" t="n">
        <v>0</v>
      </c>
      <c r="AJ951" t="n">
        <v>0.24</v>
      </c>
      <c r="AK951">
        <f>IF(AND($AG951&gt;0,ISNUMBER($AJ951)),$AG951*$AJ951,0)</f>
        <v/>
      </c>
      <c r="AT951">
        <f>SUM(AU951:BA951)</f>
        <v/>
      </c>
      <c r="AV951" t="n">
        <v>1</v>
      </c>
    </row>
    <row r="952">
      <c r="A952" t="inlineStr">
        <is>
          <t>c0948</t>
        </is>
      </c>
      <c r="B952" t="inlineStr">
        <is>
          <t>Battle Screech</t>
        </is>
      </c>
      <c r="C952" t="inlineStr">
        <is>
          <t>W</t>
        </is>
      </c>
      <c r="D952" t="inlineStr">
        <is>
          <t>Sorcery</t>
        </is>
      </c>
      <c r="E952" t="inlineStr">
        <is>
          <t>B2</t>
        </is>
      </c>
      <c r="F952" t="n">
        <v>4</v>
      </c>
      <c r="G952" t="inlineStr">
        <is>
          <t>Battle Screech {2}{W}{W} — Sorcery
Create two 1/1 white Bird creature tokens with flying.
Flashback—Tap three untapped white creatures you control. (You may cast this card from your graveyard for its flashback cost. Then exile it.)</t>
        </is>
      </c>
      <c r="H952" t="inlineStr">
        <is>
          <t>Token Producer</t>
        </is>
      </c>
      <c r="I952" t="inlineStr">
        <is>
          <t>Create two 1/1 white Bird creature tokens with flying.</t>
        </is>
      </c>
      <c r="P952" t="n">
        <v>0.25</v>
      </c>
      <c r="Q952" t="inlineStr">
        <is>
          <t>C</t>
        </is>
      </c>
      <c r="V952" t="inlineStr">
        <is>
          <t>Commander Masters</t>
        </is>
      </c>
      <c r="W952" t="n">
        <v>0</v>
      </c>
      <c r="X952">
        <f>SUM(Y952:AE952)</f>
        <v/>
      </c>
      <c r="AF952">
        <f>IF((W952-SUM(Y952:AE952))&lt;0,0,W952-SUM(Y952:AE952))</f>
        <v/>
      </c>
      <c r="AG952">
        <f>MAX(0,$AT952-$W952-$AI952)</f>
        <v/>
      </c>
      <c r="AI952" t="n">
        <v>0</v>
      </c>
      <c r="AJ952" t="n">
        <v>0.25</v>
      </c>
      <c r="AK952">
        <f>IF(AND($AG952&gt;0,ISNUMBER($AJ952)),$AG952*$AJ952,0)</f>
        <v/>
      </c>
      <c r="AT952">
        <f>SUM(AU952:BA952)</f>
        <v/>
      </c>
      <c r="AY952" t="n">
        <v>1</v>
      </c>
    </row>
    <row r="953">
      <c r="A953" t="inlineStr">
        <is>
          <t>c0949</t>
        </is>
      </c>
      <c r="B953" t="inlineStr">
        <is>
          <t>Spirited Companion</t>
        </is>
      </c>
      <c r="C953" t="inlineStr">
        <is>
          <t>W</t>
        </is>
      </c>
      <c r="D953" t="inlineStr">
        <is>
          <t>Enchantment Creature</t>
        </is>
      </c>
      <c r="E953" t="inlineStr">
        <is>
          <t>B2</t>
        </is>
      </c>
      <c r="F953" t="n">
        <v>2</v>
      </c>
      <c r="G953" t="inlineStr">
        <is>
          <t>Spirited Companion {1}{W} — Enchantment Creature — Dog (1/1)
When this creature enters, draw a card.</t>
        </is>
      </c>
      <c r="H953" t="inlineStr">
        <is>
          <t>Card Draw</t>
        </is>
      </c>
      <c r="I953" t="inlineStr">
        <is>
          <t>When this creature enters, draw a card.</t>
        </is>
      </c>
      <c r="P953" t="n">
        <v>0.34</v>
      </c>
      <c r="Q953" t="inlineStr">
        <is>
          <t>C</t>
        </is>
      </c>
      <c r="V953" t="inlineStr">
        <is>
          <t>Commander Masters</t>
        </is>
      </c>
      <c r="W953" t="n">
        <v>0</v>
      </c>
      <c r="X953">
        <f>SUM(Y953:AE953)</f>
        <v/>
      </c>
      <c r="AF953">
        <f>IF((W953-SUM(Y953:AE953))&lt;0,0,W953-SUM(Y953:AE953))</f>
        <v/>
      </c>
      <c r="AG953">
        <f>MAX(0,$AT953-$W953-$AI953)</f>
        <v/>
      </c>
      <c r="AI953" t="n">
        <v>0</v>
      </c>
      <c r="AJ953" t="n">
        <v>0.34</v>
      </c>
      <c r="AK953">
        <f>IF(AND($AG953&gt;0,ISNUMBER($AJ953)),$AG953*$AJ953,0)</f>
        <v/>
      </c>
      <c r="AT953">
        <f>SUM(AU953:BA953)</f>
        <v/>
      </c>
      <c r="AY953" t="n">
        <v>1</v>
      </c>
    </row>
    <row r="954">
      <c r="A954" t="inlineStr">
        <is>
          <t>c0950</t>
        </is>
      </c>
      <c r="B954" t="inlineStr">
        <is>
          <t>Tegwyll, Duke of Splendor</t>
        </is>
      </c>
      <c r="C954" t="inlineStr">
        <is>
          <t>Multi</t>
        </is>
      </c>
      <c r="D954" t="inlineStr">
        <is>
          <t>Legendary Creature</t>
        </is>
      </c>
      <c r="E954" t="inlineStr">
        <is>
          <t>B2</t>
        </is>
      </c>
      <c r="F954" t="n">
        <v>3</v>
      </c>
      <c r="G954" t="inlineStr">
        <is>
          <t>Tegwyll, Duke of Splendor {1}{U}{B} — Legendary Creature — Faerie Noble (2/3)
Flying, deathtouch
Other Faeries you control get +1/+1.
Whenever another Faerie you control dies, you draw a card and you lose 1 life.</t>
        </is>
      </c>
      <c r="H954" t="inlineStr">
        <is>
          <t>Lord/Anthem</t>
        </is>
      </c>
      <c r="I954" t="inlineStr">
        <is>
          <t>Flying, deathtouch</t>
        </is>
      </c>
      <c r="P954" t="n">
        <v>4.55</v>
      </c>
      <c r="Q954" t="inlineStr">
        <is>
          <t>M</t>
        </is>
      </c>
      <c r="V954" t="inlineStr">
        <is>
          <t>Wilds of Eldraine Commander</t>
        </is>
      </c>
      <c r="W954" t="n">
        <v>0</v>
      </c>
      <c r="X954">
        <f>SUM(Y954:AE954)</f>
        <v/>
      </c>
      <c r="AF954">
        <f>IF((W954-SUM(Y954:AE954))&lt;0,0,W954-SUM(Y954:AE954))</f>
        <v/>
      </c>
      <c r="AG954">
        <f>MAX(0,$AT954-$W954-$AI954)</f>
        <v/>
      </c>
      <c r="AI954" t="n">
        <v>0</v>
      </c>
      <c r="AJ954" t="n">
        <v>4.55</v>
      </c>
      <c r="AK954">
        <f>IF(AND($AG954&gt;0,ISNUMBER($AJ954)),$AG954*$AJ954,0)</f>
        <v/>
      </c>
      <c r="AT954">
        <f>SUM(AU954:BA954)</f>
        <v/>
      </c>
      <c r="BA954" t="n">
        <v>1</v>
      </c>
    </row>
    <row r="955">
      <c r="A955" t="inlineStr">
        <is>
          <t>c0951</t>
        </is>
      </c>
      <c r="B955" t="inlineStr">
        <is>
          <t>Vine Trellis</t>
        </is>
      </c>
      <c r="C955" t="inlineStr">
        <is>
          <t>G</t>
        </is>
      </c>
      <c r="D955" t="inlineStr">
        <is>
          <t>Creature</t>
        </is>
      </c>
      <c r="E955" t="inlineStr">
        <is>
          <t>B2</t>
        </is>
      </c>
      <c r="F955" t="n">
        <v>2</v>
      </c>
      <c r="G955" t="inlineStr">
        <is>
          <t>Vine Trellis {1}{G} — Creature — Plant Wall (0/4)
Defender (This creature can't attack.)
{T}: Add {G}.</t>
        </is>
      </c>
      <c r="H955" t="inlineStr">
        <is>
          <t>Defender Ramp</t>
        </is>
      </c>
      <c r="I955" t="inlineStr">
        <is>
          <t>Defender (This creature can't attack.)</t>
        </is>
      </c>
      <c r="P955" t="n">
        <v>1.16</v>
      </c>
      <c r="Q955" t="inlineStr">
        <is>
          <t>C</t>
        </is>
      </c>
      <c r="V955" t="inlineStr">
        <is>
          <t>Duel Decks Anthology: Garruk vs. Liliana</t>
        </is>
      </c>
      <c r="W955" t="n">
        <v>0</v>
      </c>
      <c r="X955">
        <f>SUM(Y955:AE955)</f>
        <v/>
      </c>
      <c r="AF955">
        <f>IF((W955-SUM(Y955:AE955))&lt;0,0,W955-SUM(Y955:AE955))</f>
        <v/>
      </c>
      <c r="AG955">
        <f>MAX(0,$AT955-$W955-$AI955)</f>
        <v/>
      </c>
      <c r="AI955" t="n">
        <v>0</v>
      </c>
      <c r="AJ955" t="n">
        <v>1.16</v>
      </c>
      <c r="AK955">
        <f>IF(AND($AG955&gt;0,ISNUMBER($AJ955)),$AG955*$AJ955,0)</f>
        <v/>
      </c>
      <c r="AT955">
        <f>SUM(AU955:BA955)</f>
        <v/>
      </c>
      <c r="AX955" t="n">
        <v>1</v>
      </c>
    </row>
    <row r="956">
      <c r="A956" t="inlineStr">
        <is>
          <t>c0952</t>
        </is>
      </c>
      <c r="B956" t="inlineStr">
        <is>
          <t>Grave Titan</t>
        </is>
      </c>
      <c r="C956" t="inlineStr">
        <is>
          <t>B</t>
        </is>
      </c>
      <c r="D956" t="inlineStr">
        <is>
          <t>Creature</t>
        </is>
      </c>
      <c r="E956" t="inlineStr">
        <is>
          <t>B3</t>
        </is>
      </c>
      <c r="F956" t="n">
        <v>6</v>
      </c>
      <c r="G956" t="inlineStr">
        <is>
          <t>Grave Titan {4}{B}{B} — Creature — Giant (6/6)
Deathtouch
Whenever this creature enters or attacks, create two 2/2 black Zombie creature tokens.</t>
        </is>
      </c>
      <c r="H956" t="inlineStr">
        <is>
          <t>Token Producer</t>
        </is>
      </c>
      <c r="I956" t="inlineStr">
        <is>
          <t>Deathtouch</t>
        </is>
      </c>
      <c r="P956" t="n">
        <v>0.39</v>
      </c>
      <c r="Q956" t="inlineStr">
        <is>
          <t>M</t>
        </is>
      </c>
      <c r="V956" t="inlineStr">
        <is>
          <t>Lorwyn Eclipsed Commander</t>
        </is>
      </c>
      <c r="W956" t="n">
        <v>0</v>
      </c>
      <c r="X956">
        <f>SUM(Y956:AE956)</f>
        <v/>
      </c>
      <c r="AF956">
        <f>IF((W956-SUM(Y956:AE956))&lt;0,0,W956-SUM(Y956:AE956))</f>
        <v/>
      </c>
      <c r="AG956">
        <f>MAX(0,$AT956-$W956-$AI956)</f>
        <v/>
      </c>
      <c r="AI956" t="n">
        <v>0</v>
      </c>
      <c r="AJ956" t="n">
        <v>0.39</v>
      </c>
      <c r="AK956">
        <f>IF(AND($AG956&gt;0,ISNUMBER($AJ956)),$AG956*$AJ956,0)</f>
        <v/>
      </c>
      <c r="AT956">
        <f>SUM(AU956:BA956)</f>
        <v/>
      </c>
      <c r="AY956" t="n">
        <v>1</v>
      </c>
    </row>
    <row r="957">
      <c r="A957" t="inlineStr">
        <is>
          <t>c0953</t>
        </is>
      </c>
      <c r="B957" t="inlineStr">
        <is>
          <t>Faerie Mastermind</t>
        </is>
      </c>
      <c r="C957" t="inlineStr">
        <is>
          <t>U</t>
        </is>
      </c>
      <c r="D957" t="inlineStr">
        <is>
          <t>Creature</t>
        </is>
      </c>
      <c r="E957" t="inlineStr">
        <is>
          <t>B2</t>
        </is>
      </c>
      <c r="F957" t="n">
        <v>2</v>
      </c>
      <c r="G957" t="inlineStr">
        <is>
          <t>Faerie Mastermind {1}{U} — Creature — Faerie Rogue (2/1)
Flash
Flying
Whenever an opponent draws their second card each turn, you draw a card.
{3}{U}: Each player draws a card.</t>
        </is>
      </c>
      <c r="H957" t="inlineStr">
        <is>
          <t>Card Draw</t>
        </is>
      </c>
      <c r="I957" t="inlineStr">
        <is>
          <t>Flash</t>
        </is>
      </c>
      <c r="P957" t="n">
        <v>12.11</v>
      </c>
      <c r="Q957" t="inlineStr">
        <is>
          <t>R</t>
        </is>
      </c>
      <c r="V957" t="inlineStr">
        <is>
          <t>Secrets of Strixhaven Commander</t>
        </is>
      </c>
      <c r="W957" t="n">
        <v>0</v>
      </c>
      <c r="X957">
        <f>SUM(Y957:AE957)</f>
        <v/>
      </c>
      <c r="AF957">
        <f>IF((W957-SUM(Y957:AE957))&lt;0,0,W957-SUM(Y957:AE957))</f>
        <v/>
      </c>
      <c r="AG957">
        <f>MAX(0,$AT957-$W957-$AI957)</f>
        <v/>
      </c>
      <c r="AI957" t="n">
        <v>0</v>
      </c>
      <c r="AJ957" t="n">
        <v>12.11</v>
      </c>
      <c r="AK957">
        <f>IF(AND($AG957&gt;0,ISNUMBER($AJ957)),$AG957*$AJ957,0)</f>
        <v/>
      </c>
      <c r="AT957">
        <f>SUM(AU957:BA957)</f>
        <v/>
      </c>
      <c r="BA957" t="n">
        <v>1</v>
      </c>
    </row>
    <row r="958">
      <c r="A958" t="inlineStr">
        <is>
          <t>c0954</t>
        </is>
      </c>
      <c r="B958" t="inlineStr">
        <is>
          <t>Spellstutter Sprite</t>
        </is>
      </c>
      <c r="C958" t="inlineStr">
        <is>
          <t>U</t>
        </is>
      </c>
      <c r="D958" t="inlineStr">
        <is>
          <t>Creature</t>
        </is>
      </c>
      <c r="E958" t="inlineStr">
        <is>
          <t>B2</t>
        </is>
      </c>
      <c r="F958" t="n">
        <v>2</v>
      </c>
      <c r="G958" t="inlineStr">
        <is>
          <t>Spellstutter Sprite {1}{U} — Creature — Faerie Wizard (1/1)
Flash
Flying
When this creature enters, counter target spell with mana value X or less, where X is the number of Faeries you control.</t>
        </is>
      </c>
      <c r="H958" t="inlineStr">
        <is>
          <t>Interaction</t>
        </is>
      </c>
      <c r="I958" t="inlineStr">
        <is>
          <t>Flash</t>
        </is>
      </c>
      <c r="P958" t="n">
        <v>5.42</v>
      </c>
      <c r="Q958" t="inlineStr">
        <is>
          <t>C</t>
        </is>
      </c>
      <c r="V958" t="inlineStr">
        <is>
          <t>Modern Masters</t>
        </is>
      </c>
      <c r="W958" t="n">
        <v>0</v>
      </c>
      <c r="X958">
        <f>SUM(Y958:AE958)</f>
        <v/>
      </c>
      <c r="AF958">
        <f>IF((W958-SUM(Y958:AE958))&lt;0,0,W958-SUM(Y958:AE958))</f>
        <v/>
      </c>
      <c r="AG958">
        <f>MAX(0,$AT958-$W958-$AI958)</f>
        <v/>
      </c>
      <c r="AI958" t="n">
        <v>0</v>
      </c>
      <c r="AJ958" t="n">
        <v>5.42</v>
      </c>
      <c r="AK958">
        <f>IF(AND($AG958&gt;0,ISNUMBER($AJ958)),$AG958*$AJ958,0)</f>
        <v/>
      </c>
      <c r="AT958">
        <f>SUM(AU958:BA958)</f>
        <v/>
      </c>
      <c r="BA958" t="n">
        <v>1</v>
      </c>
    </row>
    <row r="959">
      <c r="A959" t="inlineStr">
        <is>
          <t>c0955</t>
        </is>
      </c>
      <c r="B959" t="inlineStr">
        <is>
          <t>Faerie Formation</t>
        </is>
      </c>
      <c r="C959" t="inlineStr">
        <is>
          <t>U</t>
        </is>
      </c>
      <c r="D959" t="inlineStr">
        <is>
          <t>Creature</t>
        </is>
      </c>
      <c r="E959" t="inlineStr">
        <is>
          <t>B2</t>
        </is>
      </c>
      <c r="F959" t="n">
        <v>5</v>
      </c>
      <c r="G959" t="inlineStr">
        <is>
          <t>Faerie Formation {4}{U} — Creature — Faerie (5/4)
Flying
{3}{U}: Create a 1/1 blue Faerie creature token with flying. Draw a card.</t>
        </is>
      </c>
      <c r="H959" t="inlineStr">
        <is>
          <t>Token Producer</t>
        </is>
      </c>
      <c r="I959" t="inlineStr">
        <is>
          <t>Flying</t>
        </is>
      </c>
      <c r="P959" t="n">
        <v>0.45</v>
      </c>
      <c r="Q959" t="inlineStr">
        <is>
          <t>R</t>
        </is>
      </c>
      <c r="V959" t="inlineStr">
        <is>
          <t>Throne of Eldraine</t>
        </is>
      </c>
      <c r="W959" t="n">
        <v>0</v>
      </c>
      <c r="X959">
        <f>SUM(Y959:AE959)</f>
        <v/>
      </c>
      <c r="AF959">
        <f>IF((W959-SUM(Y959:AE959))&lt;0,0,W959-SUM(Y959:AE959))</f>
        <v/>
      </c>
      <c r="AG959">
        <f>MAX(0,$AT959-$W959-$AI959)</f>
        <v/>
      </c>
      <c r="AI959" t="n">
        <v>0</v>
      </c>
      <c r="AJ959" t="n">
        <v>0.45</v>
      </c>
      <c r="AK959">
        <f>IF(AND($AG959&gt;0,ISNUMBER($AJ959)),$AG959*$AJ959,0)</f>
        <v/>
      </c>
      <c r="AT959">
        <f>SUM(AU959:BA959)</f>
        <v/>
      </c>
      <c r="BA959" t="n">
        <v>1</v>
      </c>
    </row>
    <row r="960">
      <c r="A960" t="inlineStr">
        <is>
          <t>c0956</t>
        </is>
      </c>
      <c r="B960" t="inlineStr">
        <is>
          <t>Scion of Oona</t>
        </is>
      </c>
      <c r="C960" t="inlineStr">
        <is>
          <t>U</t>
        </is>
      </c>
      <c r="D960" t="inlineStr">
        <is>
          <t>Creature</t>
        </is>
      </c>
      <c r="E960" t="inlineStr">
        <is>
          <t>B2</t>
        </is>
      </c>
      <c r="F960" t="n">
        <v>3</v>
      </c>
      <c r="G960" t="inlineStr">
        <is>
          <t>Scion of Oona {2}{U} — Creature — Faerie Soldier (1/1)
Flash
Flying
Other Faerie creatures you control get +1/+1.
Other Faeries you control have shroud. (They can't be the targets of spells or abilities.)</t>
        </is>
      </c>
      <c r="H960" t="inlineStr">
        <is>
          <t>Lord/Anthem</t>
        </is>
      </c>
      <c r="I960" t="inlineStr">
        <is>
          <t>Flash</t>
        </is>
      </c>
      <c r="P960" t="n">
        <v>12.95</v>
      </c>
      <c r="Q960" t="inlineStr">
        <is>
          <t>R</t>
        </is>
      </c>
      <c r="V960" t="inlineStr">
        <is>
          <t>Modern Masters</t>
        </is>
      </c>
      <c r="W960" t="n">
        <v>0</v>
      </c>
      <c r="X960">
        <f>SUM(Y960:AE960)</f>
        <v/>
      </c>
      <c r="AF960">
        <f>IF((W960-SUM(Y960:AE960))&lt;0,0,W960-SUM(Y960:AE960))</f>
        <v/>
      </c>
      <c r="AG960">
        <f>MAX(0,$AT960-$W960-$AI960)</f>
        <v/>
      </c>
      <c r="AI960" t="n">
        <v>0</v>
      </c>
      <c r="AJ960" t="n">
        <v>12.95</v>
      </c>
      <c r="AK960">
        <f>IF(AND($AG960&gt;0,ISNUMBER($AJ960)),$AG960*$AJ960,0)</f>
        <v/>
      </c>
      <c r="AT960">
        <f>SUM(AU960:BA960)</f>
        <v/>
      </c>
      <c r="BA960" t="n">
        <v>1</v>
      </c>
    </row>
    <row r="961">
      <c r="A961" t="inlineStr">
        <is>
          <t>c0957</t>
        </is>
      </c>
      <c r="B961" t="inlineStr">
        <is>
          <t>Ravenous Chupacabra</t>
        </is>
      </c>
      <c r="C961" t="inlineStr">
        <is>
          <t>B</t>
        </is>
      </c>
      <c r="D961" t="inlineStr">
        <is>
          <t>Creature</t>
        </is>
      </c>
      <c r="E961" t="inlineStr">
        <is>
          <t>B2</t>
        </is>
      </c>
      <c r="F961" t="n">
        <v>4</v>
      </c>
      <c r="G961" t="inlineStr">
        <is>
          <t>Ravenous Chupacabra {2}{B}{B} — Creature — Beast Horror (2/2)
When this creature enters, destroy target creature an opponent controls.</t>
        </is>
      </c>
      <c r="H961" t="inlineStr">
        <is>
          <t>Removal</t>
        </is>
      </c>
      <c r="I961" t="inlineStr">
        <is>
          <t>When this creature enters, destroy target creature an opponent controls.</t>
        </is>
      </c>
      <c r="P961" t="n">
        <v>0.99</v>
      </c>
      <c r="Q961" t="inlineStr">
        <is>
          <t>U</t>
        </is>
      </c>
      <c r="V961" t="inlineStr">
        <is>
          <t>Murders at Karlov Manor Commander</t>
        </is>
      </c>
      <c r="W961" t="n">
        <v>0</v>
      </c>
      <c r="X961">
        <f>SUM(Y961:AE961)</f>
        <v/>
      </c>
      <c r="AF961">
        <f>IF((W961-SUM(Y961:AE961))&lt;0,0,W961-SUM(Y961:AE961))</f>
        <v/>
      </c>
      <c r="AG961">
        <f>MAX(0,$AT961-$W961-$AI961)</f>
        <v/>
      </c>
      <c r="AI961" t="n">
        <v>0</v>
      </c>
      <c r="AJ961" t="n">
        <v>0.99</v>
      </c>
      <c r="AK961">
        <f>IF(AND($AG961&gt;0,ISNUMBER($AJ961)),$AG961*$AJ961,0)</f>
        <v/>
      </c>
      <c r="AT961">
        <f>SUM(AU961:BA961)</f>
        <v/>
      </c>
      <c r="BA961" t="n">
        <v>1</v>
      </c>
    </row>
    <row r="962">
      <c r="A962" t="inlineStr">
        <is>
          <t>c0958</t>
        </is>
      </c>
      <c r="B962" t="inlineStr">
        <is>
          <t>Elvish Mystic</t>
        </is>
      </c>
      <c r="C962" t="inlineStr">
        <is>
          <t>G</t>
        </is>
      </c>
      <c r="D962" t="inlineStr">
        <is>
          <t>Creature</t>
        </is>
      </c>
      <c r="E962" t="inlineStr">
        <is>
          <t>B2</t>
        </is>
      </c>
      <c r="F962" t="n">
        <v>1</v>
      </c>
      <c r="G962" t="inlineStr">
        <is>
          <t>Elvish Mystic {G} — Creature — Elf Druid (1/1)
{T}: Add {G}.</t>
        </is>
      </c>
      <c r="H962" t="inlineStr">
        <is>
          <t>Ramp</t>
        </is>
      </c>
      <c r="I962" t="inlineStr">
        <is>
          <t>{T}: Add {G}.</t>
        </is>
      </c>
      <c r="P962" t="n">
        <v>5.23</v>
      </c>
      <c r="Q962" t="inlineStr">
        <is>
          <t>C</t>
        </is>
      </c>
      <c r="V962" t="inlineStr">
        <is>
          <t>The Hobbit Eternal</t>
        </is>
      </c>
      <c r="W962" t="n">
        <v>0</v>
      </c>
      <c r="X962">
        <f>SUM(Y962:AE962)</f>
        <v/>
      </c>
      <c r="AF962">
        <f>IF((W962-SUM(Y962:AE962))&lt;0,0,W962-SUM(Y962:AE962))</f>
        <v/>
      </c>
      <c r="AG962">
        <f>MAX(0,$AT962-$W962-$AI962)</f>
        <v/>
      </c>
      <c r="AI962" t="n">
        <v>0</v>
      </c>
      <c r="AJ962" t="n">
        <v>5.23</v>
      </c>
      <c r="AK962">
        <f>IF(AND($AG962&gt;0,ISNUMBER($AJ962)),$AG962*$AJ962,0)</f>
        <v/>
      </c>
      <c r="AT962">
        <f>SUM(AU962:BA962)</f>
        <v/>
      </c>
      <c r="BA962" t="n">
        <v>1</v>
      </c>
    </row>
    <row r="963">
      <c r="A963" t="inlineStr">
        <is>
          <t>c0959</t>
        </is>
      </c>
      <c r="B963" t="inlineStr">
        <is>
          <t>Adeline, Resplendent Cathar</t>
        </is>
      </c>
      <c r="C963" t="inlineStr">
        <is>
          <t>W</t>
        </is>
      </c>
      <c r="D963" t="inlineStr">
        <is>
          <t>Legendary Creature</t>
        </is>
      </c>
      <c r="E963" t="inlineStr">
        <is>
          <t>B2</t>
        </is>
      </c>
      <c r="F963" t="n">
        <v>3</v>
      </c>
      <c r="G963" t="inlineStr">
        <is>
          <t>Adeline, Resplendent Cathar {1}{W}{W} — Legendary Creature — Human Knight (*/4)
Vigilance
Adeline's power is equal to the number of creatures you control.
Whenever you attack, for each opponent, create a 1/1 white Human creature token that's tapped and attacking that player or a planeswalker they control.</t>
        </is>
      </c>
      <c r="H963" t="inlineStr">
        <is>
          <t>Token Producer</t>
        </is>
      </c>
      <c r="I963" t="inlineStr">
        <is>
          <t>Vigilance</t>
        </is>
      </c>
      <c r="P963" t="n">
        <v>2.85</v>
      </c>
      <c r="Q963" t="inlineStr">
        <is>
          <t>R</t>
        </is>
      </c>
      <c r="V963" t="inlineStr">
        <is>
          <t>Tarkir: Dragonstorm Commander</t>
        </is>
      </c>
      <c r="W963" t="n">
        <v>0</v>
      </c>
      <c r="X963">
        <f>SUM(Y963:AE963)</f>
        <v/>
      </c>
      <c r="AF963">
        <f>IF((W963-SUM(Y963:AE963))&lt;0,0,W963-SUM(Y963:AE963))</f>
        <v/>
      </c>
      <c r="AG963">
        <f>MAX(0,$AT963-$W963-$AI963)</f>
        <v/>
      </c>
      <c r="AI963" t="n">
        <v>0</v>
      </c>
      <c r="AJ963" t="n">
        <v>2.85</v>
      </c>
      <c r="AK963">
        <f>IF(AND($AG963&gt;0,ISNUMBER($AJ963)),$AG963*$AJ963,0)</f>
        <v/>
      </c>
      <c r="AT963">
        <f>SUM(AU963:BA963)</f>
        <v/>
      </c>
      <c r="AY963" t="n">
        <v>1</v>
      </c>
    </row>
    <row r="964">
      <c r="A964" t="inlineStr">
        <is>
          <t>c0960</t>
        </is>
      </c>
      <c r="B964" t="inlineStr">
        <is>
          <t>Jaspera Sentinel</t>
        </is>
      </c>
      <c r="C964" t="inlineStr">
        <is>
          <t>G</t>
        </is>
      </c>
      <c r="D964" t="inlineStr">
        <is>
          <t>Creature</t>
        </is>
      </c>
      <c r="E964" t="inlineStr">
        <is>
          <t>B2</t>
        </is>
      </c>
      <c r="F964" t="n">
        <v>1</v>
      </c>
      <c r="G964" t="inlineStr">
        <is>
          <t>Jaspera Sentinel {G} — Creature — Elf Rogue (1/2)
Reach
{T}, Tap an untapped creature you control: Add one mana of any color.</t>
        </is>
      </c>
      <c r="H964" t="inlineStr">
        <is>
          <t>Ramp</t>
        </is>
      </c>
      <c r="I964" t="inlineStr">
        <is>
          <t>Reach</t>
        </is>
      </c>
      <c r="P964" t="n">
        <v>0.3</v>
      </c>
      <c r="Q964" t="inlineStr">
        <is>
          <t>C</t>
        </is>
      </c>
      <c r="V964" t="inlineStr">
        <is>
          <t>Kaldheim</t>
        </is>
      </c>
      <c r="W964" t="n">
        <v>0</v>
      </c>
      <c r="X964">
        <f>SUM(Y964:AE964)</f>
        <v/>
      </c>
      <c r="AF964">
        <f>IF((W964-SUM(Y964:AE964))&lt;0,0,W964-SUM(Y964:AE964))</f>
        <v/>
      </c>
      <c r="AG964">
        <f>MAX(0,$AT964-$W964-$AI964)</f>
        <v/>
      </c>
      <c r="AI964" t="n">
        <v>0</v>
      </c>
      <c r="AJ964" t="n">
        <v>0.3</v>
      </c>
      <c r="AK964">
        <f>IF(AND($AG964&gt;0,ISNUMBER($AJ964)),$AG964*$AJ964,0)</f>
        <v/>
      </c>
      <c r="AT964">
        <f>SUM(AU964:BA964)</f>
        <v/>
      </c>
      <c r="BA964" t="n">
        <v>1</v>
      </c>
    </row>
    <row r="965">
      <c r="A965" t="inlineStr">
        <is>
          <t>c0961</t>
        </is>
      </c>
      <c r="B965" t="inlineStr">
        <is>
          <t>Fyndhorn Elves</t>
        </is>
      </c>
      <c r="C965" t="inlineStr">
        <is>
          <t>G</t>
        </is>
      </c>
      <c r="D965" t="inlineStr">
        <is>
          <t>Creature</t>
        </is>
      </c>
      <c r="E965" t="inlineStr">
        <is>
          <t>B2</t>
        </is>
      </c>
      <c r="F965" t="n">
        <v>1</v>
      </c>
      <c r="G965" t="inlineStr">
        <is>
          <t>Fyndhorn Elves {G} — Creature — Elf Druid (1/1)
{T}: Add {G}.</t>
        </is>
      </c>
      <c r="H965" t="inlineStr">
        <is>
          <t>Ramp</t>
        </is>
      </c>
      <c r="I965" t="inlineStr">
        <is>
          <t>{T}: Add {G}.</t>
        </is>
      </c>
      <c r="P965" t="n">
        <v>2.28</v>
      </c>
      <c r="Q965" t="inlineStr">
        <is>
          <t>C</t>
        </is>
      </c>
      <c r="V965" t="inlineStr">
        <is>
          <t>Commander Legends</t>
        </is>
      </c>
      <c r="W965" t="n">
        <v>0</v>
      </c>
      <c r="X965">
        <f>SUM(Y965:AE965)</f>
        <v/>
      </c>
      <c r="AF965">
        <f>IF((W965-SUM(Y965:AE965))&lt;0,0,W965-SUM(Y965:AE965))</f>
        <v/>
      </c>
      <c r="AG965">
        <f>MAX(0,$AT965-$W965-$AI965)</f>
        <v/>
      </c>
      <c r="AI965" t="n">
        <v>0</v>
      </c>
      <c r="AJ965" t="n">
        <v>2.28</v>
      </c>
      <c r="AK965">
        <f>IF(AND($AG965&gt;0,ISNUMBER($AJ965)),$AG965*$AJ965,0)</f>
        <v/>
      </c>
      <c r="AT965">
        <f>SUM(AU965:BA965)</f>
        <v/>
      </c>
      <c r="BA965" t="n">
        <v>1</v>
      </c>
    </row>
    <row r="966">
      <c r="A966" t="inlineStr">
        <is>
          <t>c0962</t>
        </is>
      </c>
      <c r="B966" t="inlineStr">
        <is>
          <t>Faerie Impostor</t>
        </is>
      </c>
      <c r="C966" t="inlineStr">
        <is>
          <t>U</t>
        </is>
      </c>
      <c r="D966" t="inlineStr">
        <is>
          <t>Creature</t>
        </is>
      </c>
      <c r="E966" t="inlineStr">
        <is>
          <t>B2</t>
        </is>
      </c>
      <c r="F966" t="n">
        <v>1</v>
      </c>
      <c r="G966" t="inlineStr">
        <is>
          <t>Faerie Impostor {U} — Creature — Faerie Rogue (2/1)
Flying
When this creature enters, sacrifice it unless you return another creature you control to its owner's hand.</t>
        </is>
      </c>
      <c r="H966" t="inlineStr">
        <is>
          <t>Blink</t>
        </is>
      </c>
      <c r="I966" t="inlineStr">
        <is>
          <t>Flying</t>
        </is>
      </c>
      <c r="P966" t="n">
        <v>0.32</v>
      </c>
      <c r="Q966" t="inlineStr">
        <is>
          <t>U</t>
        </is>
      </c>
      <c r="V966" t="inlineStr">
        <is>
          <t>Duel Decks: Speed vs. Cunning</t>
        </is>
      </c>
      <c r="W966" t="n">
        <v>0</v>
      </c>
      <c r="X966">
        <f>SUM(Y966:AE966)</f>
        <v/>
      </c>
      <c r="AF966">
        <f>IF((W966-SUM(Y966:AE966))&lt;0,0,W966-SUM(Y966:AE966))</f>
        <v/>
      </c>
      <c r="AG966">
        <f>MAX(0,$AT966-$W966-$AI966)</f>
        <v/>
      </c>
      <c r="AI966" t="n">
        <v>0</v>
      </c>
      <c r="AJ966" t="n">
        <v>0.32</v>
      </c>
      <c r="AK966">
        <f>IF(AND($AG966&gt;0,ISNUMBER($AJ966)),$AG966*$AJ966,0)</f>
        <v/>
      </c>
      <c r="AT966">
        <f>SUM(AU966:BA966)</f>
        <v/>
      </c>
      <c r="BA966" t="n">
        <v>1</v>
      </c>
    </row>
    <row r="967">
      <c r="A967" t="inlineStr">
        <is>
          <t>c0963</t>
        </is>
      </c>
      <c r="B967" t="inlineStr">
        <is>
          <t>Imperious Perfect</t>
        </is>
      </c>
      <c r="C967" t="inlineStr">
        <is>
          <t>G</t>
        </is>
      </c>
      <c r="D967" t="inlineStr">
        <is>
          <t>Creature</t>
        </is>
      </c>
      <c r="E967" t="inlineStr">
        <is>
          <t>B2</t>
        </is>
      </c>
      <c r="F967" t="n">
        <v>3</v>
      </c>
      <c r="G967" t="inlineStr">
        <is>
          <t>Imperious Perfect {2}{G} — Creature — Elf Warrior (2/2)
Other Elves you control get +1/+1.
{G}, {T}: Create a 1/1 green Elf Warrior creature token.</t>
        </is>
      </c>
      <c r="H967" t="inlineStr">
        <is>
          <t>Lord/Anthem</t>
        </is>
      </c>
      <c r="I967" t="inlineStr">
        <is>
          <t>Other Elves you control get +1/+1.</t>
        </is>
      </c>
      <c r="Q967" t="inlineStr">
        <is>
          <t>U</t>
        </is>
      </c>
      <c r="V967" t="inlineStr">
        <is>
          <t>Foundations</t>
        </is>
      </c>
      <c r="W967" t="n">
        <v>0</v>
      </c>
      <c r="X967">
        <f>SUM(Y967:AE967)</f>
        <v/>
      </c>
      <c r="AF967">
        <f>IF((W967-SUM(Y967:AE967))&lt;0,0,W967-SUM(Y967:AE967))</f>
        <v/>
      </c>
      <c r="AG967">
        <f>MAX(0,$AT967-$W967-$AI967)</f>
        <v/>
      </c>
      <c r="AI967" t="n">
        <v>0</v>
      </c>
      <c r="AK967">
        <f>IF(AND($AG967&gt;0,ISNUMBER($AJ967)),$AG967*$AJ967,0)</f>
        <v/>
      </c>
      <c r="AT967">
        <f>SUM(AU967:BA967)</f>
        <v/>
      </c>
      <c r="BA967" t="n">
        <v>1</v>
      </c>
    </row>
    <row r="968">
      <c r="A968" t="inlineStr">
        <is>
          <t>c0964</t>
        </is>
      </c>
      <c r="B968" t="inlineStr">
        <is>
          <t>Lightning Bolt</t>
        </is>
      </c>
      <c r="C968" t="inlineStr">
        <is>
          <t>R</t>
        </is>
      </c>
      <c r="D968" t="inlineStr">
        <is>
          <t>Instant</t>
        </is>
      </c>
      <c r="E968" t="inlineStr">
        <is>
          <t>B2</t>
        </is>
      </c>
      <c r="F968" t="n">
        <v>1</v>
      </c>
      <c r="G968" t="inlineStr">
        <is>
          <t>Lightning Bolt {R} — Instant
Lightning Bolt deals 3 damage to any target.</t>
        </is>
      </c>
      <c r="H968" t="inlineStr">
        <is>
          <t>Removal</t>
        </is>
      </c>
      <c r="I968" t="inlineStr">
        <is>
          <t>Lightning Bolt deals 3 damage to any target.</t>
        </is>
      </c>
      <c r="P968" t="n">
        <v>0.8100000000000001</v>
      </c>
      <c r="Q968" t="inlineStr">
        <is>
          <t>U</t>
        </is>
      </c>
      <c r="V968" t="inlineStr">
        <is>
          <t>Marvel Super Heroes Commander</t>
        </is>
      </c>
      <c r="W968" t="n">
        <v>0</v>
      </c>
      <c r="X968">
        <f>SUM(Y968:AE968)</f>
        <v/>
      </c>
      <c r="AF968">
        <f>IF((W968-SUM(Y968:AE968))&lt;0,0,W968-SUM(Y968:AE968))</f>
        <v/>
      </c>
      <c r="AG968">
        <f>MAX(0,$AT968-$W968-$AI968)</f>
        <v/>
      </c>
      <c r="AI968" t="n">
        <v>0</v>
      </c>
      <c r="AJ968" t="n">
        <v>0.8100000000000001</v>
      </c>
      <c r="AK968">
        <f>IF(AND($AG968&gt;0,ISNUMBER($AJ968)),$AG968*$AJ968,0)</f>
        <v/>
      </c>
      <c r="AT968">
        <f>SUM(AU968:BA968)</f>
        <v/>
      </c>
      <c r="AZ968" t="n">
        <v>1</v>
      </c>
    </row>
    <row r="969">
      <c r="A969" t="inlineStr">
        <is>
          <t>c0965</t>
        </is>
      </c>
      <c r="B969" t="inlineStr">
        <is>
          <t>Goblin Cratermaker</t>
        </is>
      </c>
      <c r="C969" t="inlineStr">
        <is>
          <t>R</t>
        </is>
      </c>
      <c r="D969" t="inlineStr">
        <is>
          <t>Creature</t>
        </is>
      </c>
      <c r="E969" t="inlineStr">
        <is>
          <t>B2</t>
        </is>
      </c>
      <c r="F969" t="n">
        <v>2</v>
      </c>
      <c r="G969" t="inlineStr">
        <is>
          <t>Goblin Cratermaker {1}{R} — Creature — Goblin Warrior (2/2)
{1}, Sacrifice this creature: Choose one —
• This creature deals 2 damage to target creature.
• Destroy target colorless nonland permanent.</t>
        </is>
      </c>
      <c r="H969" t="inlineStr">
        <is>
          <t>Removal</t>
        </is>
      </c>
      <c r="I969" t="inlineStr">
        <is>
          <t>{1}, Sacrifice this creature: Choose one —</t>
        </is>
      </c>
      <c r="P969" t="n">
        <v>0.27</v>
      </c>
      <c r="Q969" t="inlineStr">
        <is>
          <t>U</t>
        </is>
      </c>
      <c r="V969" t="inlineStr">
        <is>
          <t>The Hobbit Eternal</t>
        </is>
      </c>
      <c r="W969" t="n">
        <v>0</v>
      </c>
      <c r="X969">
        <f>SUM(Y969:AE969)</f>
        <v/>
      </c>
      <c r="AF969">
        <f>IF((W969-SUM(Y969:AE969))&lt;0,0,W969-SUM(Y969:AE969))</f>
        <v/>
      </c>
      <c r="AG969">
        <f>MAX(0,$AT969-$W969-$AI969)</f>
        <v/>
      </c>
      <c r="AI969" t="n">
        <v>0</v>
      </c>
      <c r="AJ969" t="n">
        <v>0.27</v>
      </c>
      <c r="AK969">
        <f>IF(AND($AG969&gt;0,ISNUMBER($AJ969)),$AG969*$AJ969,0)</f>
        <v/>
      </c>
      <c r="AT969">
        <f>SUM(AU969:BA969)</f>
        <v/>
      </c>
      <c r="AZ969" t="n">
        <v>1</v>
      </c>
    </row>
    <row r="970">
      <c r="A970" t="inlineStr">
        <is>
          <t>c0966</t>
        </is>
      </c>
      <c r="B970" t="inlineStr">
        <is>
          <t>Pollenbright Druid</t>
        </is>
      </c>
      <c r="C970" t="inlineStr">
        <is>
          <t>G</t>
        </is>
      </c>
      <c r="D970" t="inlineStr">
        <is>
          <t>Creature</t>
        </is>
      </c>
      <c r="E970" t="inlineStr">
        <is>
          <t>B2</t>
        </is>
      </c>
      <c r="F970" t="n">
        <v>2</v>
      </c>
      <c r="G970" t="inlineStr">
        <is>
          <t>Pollenbright Druid {1}{G} — Creature — Elf Druid (1/1)
When this creature enters, choose one —
• Put a +1/+1 counter on target creature.
• Proliferate. (Choose any number of permanents and/or players, then give each another counter of each kind already there.)</t>
        </is>
      </c>
      <c r="H970" t="inlineStr">
        <is>
          <t>Proliferate</t>
        </is>
      </c>
      <c r="I970" t="inlineStr">
        <is>
          <t>When this creature enters, choose one —</t>
        </is>
      </c>
      <c r="P970" t="n">
        <v>0.23</v>
      </c>
      <c r="Q970" t="inlineStr">
        <is>
          <t>C</t>
        </is>
      </c>
      <c r="V970" t="inlineStr">
        <is>
          <t>Commander Masters</t>
        </is>
      </c>
      <c r="W970" t="n">
        <v>0</v>
      </c>
      <c r="X970">
        <f>SUM(Y970:AE970)</f>
        <v/>
      </c>
      <c r="AF970">
        <f>IF((W970-SUM(Y970:AE970))&lt;0,0,W970-SUM(Y970:AE970))</f>
        <v/>
      </c>
      <c r="AG970">
        <f>MAX(0,$AT970-$W970-$AI970)</f>
        <v/>
      </c>
      <c r="AI970" t="n">
        <v>0</v>
      </c>
      <c r="AJ970" t="n">
        <v>0.23</v>
      </c>
      <c r="AK970">
        <f>IF(AND($AG970&gt;0,ISNUMBER($AJ970)),$AG970*$AJ970,0)</f>
        <v/>
      </c>
      <c r="AT970">
        <f>SUM(AU970:BA970)</f>
        <v/>
      </c>
      <c r="AW970" t="n">
        <v>1</v>
      </c>
    </row>
    <row r="971">
      <c r="A971" t="inlineStr">
        <is>
          <t>c0967</t>
        </is>
      </c>
      <c r="B971" t="inlineStr">
        <is>
          <t>Mystic Snake</t>
        </is>
      </c>
      <c r="C971" t="inlineStr">
        <is>
          <t>Multi</t>
        </is>
      </c>
      <c r="D971" t="inlineStr">
        <is>
          <t>Creature</t>
        </is>
      </c>
      <c r="E971" t="inlineStr">
        <is>
          <t>B2</t>
        </is>
      </c>
      <c r="F971" t="n">
        <v>4</v>
      </c>
      <c r="G971" t="inlineStr">
        <is>
          <t>Mystic Snake {1}{G}{U}{U} — Creature — Snake (2/2)
Flash
When this creature enters, counter target spell.</t>
        </is>
      </c>
      <c r="H971" t="inlineStr">
        <is>
          <t>Interaction</t>
        </is>
      </c>
      <c r="I971" t="inlineStr">
        <is>
          <t>Flash</t>
        </is>
      </c>
      <c r="P971" t="n">
        <v>1.47</v>
      </c>
      <c r="Q971" t="inlineStr">
        <is>
          <t>R</t>
        </is>
      </c>
      <c r="V971" t="inlineStr">
        <is>
          <t>Masters 25</t>
        </is>
      </c>
      <c r="W971" t="n">
        <v>0</v>
      </c>
      <c r="X971">
        <f>SUM(Y971:AE971)</f>
        <v/>
      </c>
      <c r="AF971">
        <f>IF((W971-SUM(Y971:AE971))&lt;0,0,W971-SUM(Y971:AE971))</f>
        <v/>
      </c>
      <c r="AG971">
        <f>MAX(0,$AT971-$W971-$AI971)</f>
        <v/>
      </c>
      <c r="AI971" t="n">
        <v>0</v>
      </c>
      <c r="AJ971" t="n">
        <v>1.47</v>
      </c>
      <c r="AK971">
        <f>IF(AND($AG971&gt;0,ISNUMBER($AJ971)),$AG971*$AJ971,0)</f>
        <v/>
      </c>
      <c r="AT971">
        <f>SUM(AU971:BA971)</f>
        <v/>
      </c>
      <c r="AV971" t="n">
        <v>1</v>
      </c>
    </row>
    <row r="972">
      <c r="A972" t="inlineStr">
        <is>
          <t>c0968</t>
        </is>
      </c>
      <c r="B972" t="inlineStr">
        <is>
          <t>Fact or Fiction</t>
        </is>
      </c>
      <c r="C972" t="inlineStr">
        <is>
          <t>U</t>
        </is>
      </c>
      <c r="D972" t="inlineStr">
        <is>
          <t>Instant</t>
        </is>
      </c>
      <c r="E972" t="inlineStr">
        <is>
          <t>B2</t>
        </is>
      </c>
      <c r="F972" t="n">
        <v>4</v>
      </c>
      <c r="G972" t="inlineStr">
        <is>
          <t>Fact or Fiction {3}{U} — Instant
Reveal the top five cards of your library. An opponent separates those cards into two piles. Put one pile into your hand and the other into your graveyard.</t>
        </is>
      </c>
      <c r="H972" t="inlineStr">
        <is>
          <t>Card Draw</t>
        </is>
      </c>
      <c r="I972" t="inlineStr">
        <is>
          <t>Reveal the top five cards of your library. An opponent separates those cards into two piles. Put one pile into your hand and the other into your graveyard.</t>
        </is>
      </c>
      <c r="Q972" t="inlineStr">
        <is>
          <t>U</t>
        </is>
      </c>
      <c r="V972" t="inlineStr">
        <is>
          <t>Reality Fracture Commander</t>
        </is>
      </c>
      <c r="W972" t="n">
        <v>0</v>
      </c>
      <c r="X972">
        <f>SUM(Y972:AE972)</f>
        <v/>
      </c>
      <c r="AF972">
        <f>IF((W972-SUM(Y972:AE972))&lt;0,0,W972-SUM(Y972:AE972))</f>
        <v/>
      </c>
      <c r="AG972">
        <f>MAX(0,$AT972-$W972-$AI972)</f>
        <v/>
      </c>
      <c r="AI972" t="n">
        <v>0</v>
      </c>
      <c r="AK972">
        <f>IF(AND($AG972&gt;0,ISNUMBER($AJ972)),$AG972*$AJ972,0)</f>
        <v/>
      </c>
      <c r="AT972">
        <f>SUM(AU972:BA972)</f>
        <v/>
      </c>
      <c r="BA972" t="n">
        <v>1</v>
      </c>
    </row>
    <row r="973">
      <c r="A973" t="inlineStr">
        <is>
          <t>c0969</t>
        </is>
      </c>
      <c r="B973" t="inlineStr">
        <is>
          <t>Make a Stand</t>
        </is>
      </c>
      <c r="C973" t="inlineStr">
        <is>
          <t>W</t>
        </is>
      </c>
      <c r="D973" t="inlineStr">
        <is>
          <t>Instant</t>
        </is>
      </c>
      <c r="E973" t="inlineStr">
        <is>
          <t>B2</t>
        </is>
      </c>
      <c r="F973" t="n">
        <v>3</v>
      </c>
      <c r="G973" t="inlineStr">
        <is>
          <t>Make a Stand {2}{W} — Instant
Creatures you control get +1/+0 and gain indestructible until end of turn. (Damage and effects that say "destroy" don't destroy them.)</t>
        </is>
      </c>
      <c r="H973" t="inlineStr">
        <is>
          <t>Protection</t>
        </is>
      </c>
      <c r="I973" t="inlineStr">
        <is>
          <t>Creatures you control get +1/+0 and gain indestructible until end of turn. (Damage and effects that say "destroy" don't destroy them.)</t>
        </is>
      </c>
      <c r="Q973" t="inlineStr">
        <is>
          <t>U</t>
        </is>
      </c>
      <c r="V973" t="inlineStr">
        <is>
          <t>Foundations</t>
        </is>
      </c>
      <c r="W973" t="n">
        <v>0</v>
      </c>
      <c r="X973">
        <f>SUM(Y973:AE973)</f>
        <v/>
      </c>
      <c r="AF973">
        <f>IF((W973-SUM(Y973:AE973))&lt;0,0,W973-SUM(Y973:AE973))</f>
        <v/>
      </c>
      <c r="AG973">
        <f>MAX(0,$AT973-$W973-$AI973)</f>
        <v/>
      </c>
      <c r="AI973" t="n">
        <v>0</v>
      </c>
      <c r="AK973">
        <f>IF(AND($AG973&gt;0,ISNUMBER($AJ973)),$AG973*$AJ973,0)</f>
        <v/>
      </c>
      <c r="AT973">
        <f>SUM(AU973:BA973)</f>
        <v/>
      </c>
      <c r="AY973" t="n">
        <v>1</v>
      </c>
    </row>
  </sheetData>
  <autoFilter ref="A4:BD917"/>
  <mergeCells count="2">
    <mergeCell ref="AU3:AY3"/>
    <mergeCell ref="Y3:AC3"/>
  </mergeCells>
  <conditionalFormatting sqref="Y5:AE917">
    <cfRule type="expression" priority="4" dxfId="7">
      <formula>Y5="O"</formula>
    </cfRule>
    <cfRule type="expression" priority="5" dxfId="6">
      <formula>Y5=AU5</formula>
    </cfRule>
    <cfRule type="expression" priority="6" dxfId="5">
      <formula>Y5&lt;&gt;AU5</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Right="0"/>
    <pageSetUpPr/>
  </sheetPr>
  <dimension ref="A1:R970"/>
  <sheetViews>
    <sheetView workbookViewId="0">
      <selection activeCell="B25" sqref="B25"/>
    </sheetView>
  </sheetViews>
  <sheetFormatPr baseColWidth="8" defaultColWidth="8.6640625" defaultRowHeight="14.4"/>
  <cols>
    <col width="29.88671875" customWidth="1" style="148" min="2" max="2"/>
    <col width="8.5546875" customWidth="1" style="1" min="3" max="4"/>
    <col width="6.44140625" customWidth="1" style="148" min="5" max="5"/>
    <col width="7.44140625" customWidth="1" style="148" min="6" max="6"/>
    <col width="7.5546875" customWidth="1" style="148" min="7" max="7"/>
    <col width="7.33203125" customWidth="1" style="148" min="8" max="8"/>
    <col width="21.44140625" customWidth="1" style="148" min="9" max="9"/>
    <col width="8.6640625" customWidth="1" style="148" min="10" max="10"/>
    <col width="7.33203125" customWidth="1" style="148" min="11" max="11"/>
    <col width="80" customWidth="1" style="148" min="12" max="12"/>
    <col width="25" customWidth="1" style="148" min="13" max="16"/>
  </cols>
  <sheetData>
    <row r="1" ht="39.9" customFormat="1" customHeight="1" s="150">
      <c r="A1" s="149" t="inlineStr">
        <is>
          <t>Card ID</t>
        </is>
      </c>
      <c r="B1" s="149" t="inlineStr">
        <is>
          <t>Card</t>
        </is>
      </c>
      <c r="C1" s="149" t="inlineStr">
        <is>
          <t>Own</t>
        </is>
      </c>
      <c r="D1" s="149" t="inlineStr">
        <is>
          <t>Buy Count</t>
        </is>
      </c>
      <c r="E1" s="149" t="inlineStr">
        <is>
          <t>In Deck</t>
        </is>
      </c>
      <c r="F1" s="149" t="inlineStr">
        <is>
          <t>In Bench</t>
        </is>
      </c>
      <c r="G1" s="149" t="inlineStr">
        <is>
          <t>Target Qty</t>
        </is>
      </c>
      <c r="H1" s="149" t="inlineStr">
        <is>
          <t>Color</t>
        </is>
      </c>
      <c r="I1" s="149" t="inlineStr">
        <is>
          <t>Type</t>
        </is>
      </c>
      <c r="J1" s="149" t="inlineStr">
        <is>
          <t>Bracket</t>
        </is>
      </c>
      <c r="K1" s="149" t="inlineStr">
        <is>
          <t>MV</t>
        </is>
      </c>
      <c r="L1" s="149" t="inlineStr">
        <is>
          <t>Description</t>
        </is>
      </c>
      <c r="M1" s="149" t="inlineStr">
        <is>
          <t>Primary Purpose</t>
        </is>
      </c>
      <c r="N1" s="149" t="inlineStr">
        <is>
          <t>Primary Mechanic</t>
        </is>
      </c>
      <c r="O1" s="149" t="inlineStr">
        <is>
          <t>Secondary Mechanic</t>
        </is>
      </c>
      <c r="P1" s="149" t="inlineStr">
        <is>
          <t>Tertiary Mechanic</t>
        </is>
      </c>
      <c r="Q1" t="inlineStr">
        <is>
          <t>Ordered</t>
        </is>
      </c>
      <c r="R1" t="inlineStr">
        <is>
          <t>$ Each</t>
        </is>
      </c>
    </row>
    <row r="2" ht="15" customHeight="1" s="148">
      <c r="A2" t="inlineStr">
        <is>
          <t>c0001</t>
        </is>
      </c>
      <c r="B2" t="inlineStr">
        <is>
          <t>Adventurous Eater // Have a Bite</t>
        </is>
      </c>
      <c r="C2" t="n">
        <v>2</v>
      </c>
      <c r="E2" t="n">
        <v>0</v>
      </c>
      <c r="F2" t="n">
        <v>2</v>
      </c>
      <c r="G2" t="n">
        <v>0</v>
      </c>
      <c r="H2" t="inlineStr">
        <is>
          <t>B</t>
        </is>
      </c>
      <c r="I2" t="inlineStr">
        <is>
          <t>Creature</t>
        </is>
      </c>
      <c r="J2" t="inlineStr">
        <is>
          <t>B2</t>
        </is>
      </c>
      <c r="K2" t="n">
        <v>3</v>
      </c>
      <c r="L2" t="inlineStr">
        <is>
          <t>Adventurous Eater {2}{B} — Creature — Human Warlock (3/2)
This creature enters prepared. (While it's prepared, you may cast a copy of its spell. Doing so unprepares it.)
//
Have a Bite {B} — Sorcery
Put a +1/+1 counter on target creature. You gain 1 life.</t>
        </is>
      </c>
      <c r="M2" t="inlineStr">
        <is>
          <t>Utility Creature</t>
        </is>
      </c>
      <c r="N2" t="inlineStr">
        <is>
          <t>Enters prepared — you may cast a copy of its spell, which then unprepares it</t>
        </is>
      </c>
      <c r="O2" t="inlineStr">
        <is>
          <t>Have a Bite: put a +1/+1 counter on target creature and gain 1 life</t>
        </is>
      </c>
      <c r="R2" t="n">
        <v>0.19</v>
      </c>
    </row>
    <row r="3" ht="15" customHeight="1" s="148">
      <c r="A3" t="inlineStr">
        <is>
          <t>c0002</t>
        </is>
      </c>
      <c r="B3" t="inlineStr">
        <is>
          <t>Auntie's Sentence</t>
        </is>
      </c>
      <c r="C3" t="n">
        <v>1</v>
      </c>
      <c r="E3" t="n">
        <v>0</v>
      </c>
      <c r="F3" t="n">
        <v>1</v>
      </c>
      <c r="G3" t="n">
        <v>0</v>
      </c>
      <c r="H3" t="inlineStr">
        <is>
          <t>B</t>
        </is>
      </c>
      <c r="I3" t="inlineStr">
        <is>
          <t>Sorcery</t>
        </is>
      </c>
      <c r="J3" t="inlineStr">
        <is>
          <t>B2</t>
        </is>
      </c>
      <c r="K3" t="n">
        <v>2</v>
      </c>
      <c r="L3" t="inlineStr">
        <is>
          <t>Choose one —
• Target opponent reveals their hand. You choose a nonland permanent card from it. That player discards that card.
• Target creature gets -2/-2 until end of turn.</t>
        </is>
      </c>
      <c r="M3" t="inlineStr">
        <is>
          <t>Removal</t>
        </is>
      </c>
      <c r="N3" t="inlineStr">
        <is>
          <t>Target creature gets -2/-2 until end of turn</t>
        </is>
      </c>
      <c r="O3" t="inlineStr">
        <is>
          <t>Or opponent reveals hand and discards a nonland permanent card you choose</t>
        </is>
      </c>
      <c r="R3" t="n">
        <v>0.15</v>
      </c>
    </row>
    <row r="4" ht="15" customHeight="1" s="148">
      <c r="A4" t="inlineStr">
        <is>
          <t>c0003</t>
        </is>
      </c>
      <c r="B4" t="inlineStr">
        <is>
          <t>Awaken the Erstwhile</t>
        </is>
      </c>
      <c r="C4" t="n">
        <v>1</v>
      </c>
      <c r="E4" t="n">
        <v>0</v>
      </c>
      <c r="F4" t="n">
        <v>1</v>
      </c>
      <c r="G4" t="n">
        <v>0</v>
      </c>
      <c r="H4" t="inlineStr">
        <is>
          <t>B</t>
        </is>
      </c>
      <c r="I4" t="inlineStr">
        <is>
          <t>Sorcery</t>
        </is>
      </c>
      <c r="J4" t="inlineStr">
        <is>
          <t>B2</t>
        </is>
      </c>
      <c r="K4" t="n">
        <v>5</v>
      </c>
      <c r="L4" t="inlineStr">
        <is>
          <t>Each player discards all the cards in their hand, then creates that many 2/2 black Zombie creature tokens.</t>
        </is>
      </c>
      <c r="M4" t="inlineStr">
        <is>
          <t>Token Producer</t>
        </is>
      </c>
      <c r="N4" t="inlineStr">
        <is>
          <t>Each player discards their hand, then creates that many 2/2 Zombie tokens</t>
        </is>
      </c>
      <c r="R4" t="n">
        <v>0.39</v>
      </c>
    </row>
    <row r="5" ht="15" customHeight="1" s="148">
      <c r="A5" t="inlineStr">
        <is>
          <t>c0004</t>
        </is>
      </c>
      <c r="B5" t="inlineStr">
        <is>
          <t>Bastion of Remembrance</t>
        </is>
      </c>
      <c r="C5" t="n">
        <v>1</v>
      </c>
      <c r="E5" t="n">
        <v>1</v>
      </c>
      <c r="F5" t="n">
        <v>0</v>
      </c>
      <c r="G5" t="n">
        <v>1</v>
      </c>
      <c r="H5" t="inlineStr">
        <is>
          <t>B</t>
        </is>
      </c>
      <c r="I5" t="inlineStr">
        <is>
          <t>Enchantment</t>
        </is>
      </c>
      <c r="J5" t="inlineStr">
        <is>
          <t>B2</t>
        </is>
      </c>
      <c r="K5" t="n">
        <v>3</v>
      </c>
      <c r="L5" t="inlineStr">
        <is>
          <t>When this enchantment enters, create a 1/1 white Human Soldier creature token.
Whenever a creature you control dies, each opponent loses 1 life and you gain 1 life.</t>
        </is>
      </c>
      <c r="M5" t="inlineStr">
        <is>
          <t>Drain Payoff</t>
        </is>
      </c>
      <c r="N5" t="inlineStr">
        <is>
          <t>Whenever a creature you control dies, each opponent loses 1 life and you gain 1 life</t>
        </is>
      </c>
      <c r="O5" t="inlineStr">
        <is>
          <t>Creates a 1/1 Human Soldier token when it enters</t>
        </is>
      </c>
      <c r="R5" t="n">
        <v>0.36</v>
      </c>
    </row>
    <row r="6" ht="15" customHeight="1" s="148">
      <c r="A6" t="inlineStr">
        <is>
          <t>c0005</t>
        </is>
      </c>
      <c r="B6" t="inlineStr">
        <is>
          <t>Bilbo's Deadly Slice</t>
        </is>
      </c>
      <c r="C6" t="n">
        <v>1</v>
      </c>
      <c r="E6" t="n">
        <v>0</v>
      </c>
      <c r="F6" t="n">
        <v>1</v>
      </c>
      <c r="G6" t="n">
        <v>0</v>
      </c>
      <c r="H6" t="inlineStr">
        <is>
          <t>B</t>
        </is>
      </c>
      <c r="I6" t="inlineStr">
        <is>
          <t>Instant</t>
        </is>
      </c>
      <c r="J6" t="inlineStr">
        <is>
          <t>B2</t>
        </is>
      </c>
      <c r="K6" t="n">
        <v>3</v>
      </c>
      <c r="L6" t="inlineStr">
        <is>
          <t>Destroy target creature.</t>
        </is>
      </c>
      <c r="M6" t="inlineStr">
        <is>
          <t>Removal</t>
        </is>
      </c>
      <c r="N6" t="inlineStr">
        <is>
          <t>Destroy target creature</t>
        </is>
      </c>
      <c r="R6" t="n">
        <v>0.11</v>
      </c>
    </row>
    <row r="7" ht="15" customHeight="1" s="148">
      <c r="A7" t="inlineStr">
        <is>
          <t>c0006</t>
        </is>
      </c>
      <c r="B7" t="inlineStr">
        <is>
          <t>Bile-Vial Boggart</t>
        </is>
      </c>
      <c r="C7" t="n">
        <v>1</v>
      </c>
      <c r="E7" t="n">
        <v>1</v>
      </c>
      <c r="F7" t="n">
        <v>0</v>
      </c>
      <c r="G7" t="n">
        <v>0</v>
      </c>
      <c r="H7" t="inlineStr">
        <is>
          <t>B</t>
        </is>
      </c>
      <c r="I7" t="inlineStr">
        <is>
          <t>Creature</t>
        </is>
      </c>
      <c r="J7" t="inlineStr">
        <is>
          <t>B2</t>
        </is>
      </c>
      <c r="K7" t="n">
        <v>1</v>
      </c>
      <c r="L7" t="inlineStr">
        <is>
          <t>When this creature dies, put a -1/-1 counter on up to one target creature.
(1/1)</t>
        </is>
      </c>
      <c r="M7" t="inlineStr">
        <is>
          <t>Removal</t>
        </is>
      </c>
      <c r="N7" t="inlineStr">
        <is>
          <t>When it dies, put a -1/-1 counter on up to one target creature</t>
        </is>
      </c>
      <c r="R7" t="n">
        <v>0.2</v>
      </c>
    </row>
    <row r="8" ht="15" customHeight="1" s="148">
      <c r="A8" t="inlineStr">
        <is>
          <t>c0007</t>
        </is>
      </c>
      <c r="B8" t="inlineStr">
        <is>
          <t>Blight Pile</t>
        </is>
      </c>
      <c r="C8" t="n">
        <v>1</v>
      </c>
      <c r="E8" t="n">
        <v>1</v>
      </c>
      <c r="F8" t="n">
        <v>0</v>
      </c>
      <c r="G8" t="n">
        <v>1</v>
      </c>
      <c r="H8" t="inlineStr">
        <is>
          <t>B</t>
        </is>
      </c>
      <c r="I8" t="inlineStr">
        <is>
          <t>Creature</t>
        </is>
      </c>
      <c r="J8" t="inlineStr">
        <is>
          <t>B2</t>
        </is>
      </c>
      <c r="K8" t="n">
        <v>2</v>
      </c>
      <c r="L8" t="inlineStr">
        <is>
          <t>Defender
{2}{B}, {T}: Each opponent loses X life, where X is the number of creatures with defender you control.
(3/3)</t>
        </is>
      </c>
      <c r="M8" t="inlineStr">
        <is>
          <t>Drain Payoff</t>
        </is>
      </c>
      <c r="N8" t="inlineStr">
        <is>
          <t>Pay {2}{B} and tap: each opponent loses life equal to the number of defenders you control</t>
        </is>
      </c>
      <c r="R8" t="n">
        <v>0.24</v>
      </c>
    </row>
    <row r="9" ht="15" customHeight="1" s="148">
      <c r="A9" t="inlineStr">
        <is>
          <t>c0008</t>
        </is>
      </c>
      <c r="B9" t="inlineStr">
        <is>
          <t>Blight Rot</t>
        </is>
      </c>
      <c r="C9" t="n">
        <v>2</v>
      </c>
      <c r="E9" t="n">
        <v>2</v>
      </c>
      <c r="F9" t="n">
        <v>0</v>
      </c>
      <c r="G9" t="n">
        <v>0</v>
      </c>
      <c r="H9" t="inlineStr">
        <is>
          <t>B</t>
        </is>
      </c>
      <c r="I9" t="inlineStr">
        <is>
          <t>Instant</t>
        </is>
      </c>
      <c r="J9" t="inlineStr">
        <is>
          <t>B2</t>
        </is>
      </c>
      <c r="K9" t="n">
        <v>3</v>
      </c>
      <c r="L9" t="inlineStr">
        <is>
          <t>Put four -1/-1 counters on target creature.</t>
        </is>
      </c>
      <c r="M9" t="inlineStr">
        <is>
          <t>Removal</t>
        </is>
      </c>
      <c r="N9" t="inlineStr">
        <is>
          <t>Puts four -1/-1 counters on target creature</t>
        </is>
      </c>
      <c r="R9" t="n">
        <v>0.25</v>
      </c>
    </row>
    <row r="10" ht="15" customHeight="1" s="148">
      <c r="A10" t="inlineStr">
        <is>
          <t>c0009</t>
        </is>
      </c>
      <c r="B10" t="inlineStr">
        <is>
          <t>Bile-Vial Boggart</t>
        </is>
      </c>
      <c r="C10" t="n">
        <v>0</v>
      </c>
      <c r="E10" t="n">
        <v>0</v>
      </c>
      <c r="F10" t="n">
        <v>0</v>
      </c>
      <c r="G10" t="n">
        <v>0</v>
      </c>
      <c r="H10" t="inlineStr">
        <is>
          <t>B</t>
        </is>
      </c>
      <c r="I10" t="inlineStr">
        <is>
          <t>Creature</t>
        </is>
      </c>
      <c r="J10" t="inlineStr">
        <is>
          <t>B2</t>
        </is>
      </c>
      <c r="K10" t="n">
        <v>1</v>
      </c>
      <c r="L10" t="inlineStr">
        <is>
          <t>Bile-Vial Boggart {B} — Creature — Goblin Assassin (1/1)
When this creature dies, put a -1/-1 counter on up to one target creature.</t>
        </is>
      </c>
      <c r="M10" t="inlineStr">
        <is>
          <t>Removal</t>
        </is>
      </c>
      <c r="N10" t="inlineStr">
        <is>
          <t>When this creature dies, put a -1/-1 counter on up to one target creature</t>
        </is>
      </c>
    </row>
    <row r="11" ht="15" customHeight="1" s="148">
      <c r="A11" t="inlineStr">
        <is>
          <t>c0010</t>
        </is>
      </c>
      <c r="B11" t="inlineStr">
        <is>
          <t>Blood Artist</t>
        </is>
      </c>
      <c r="C11" t="n">
        <v>0</v>
      </c>
      <c r="E11" t="n">
        <v>0</v>
      </c>
      <c r="F11" t="n">
        <v>0</v>
      </c>
      <c r="G11" t="n">
        <v>0</v>
      </c>
      <c r="H11" t="inlineStr">
        <is>
          <t>B</t>
        </is>
      </c>
      <c r="I11" t="inlineStr">
        <is>
          <t>Creature</t>
        </is>
      </c>
      <c r="J11" t="inlineStr">
        <is>
          <t>B3</t>
        </is>
      </c>
      <c r="K11" t="n">
        <v>2</v>
      </c>
      <c r="L11" t="inlineStr">
        <is>
          <t>Whenever this creature or another creature dies, target player loses 1 life and you gain 1 life.
(0/1)</t>
        </is>
      </c>
      <c r="M11" t="inlineStr">
        <is>
          <t>Drain Payoff</t>
        </is>
      </c>
      <c r="N11" t="inlineStr">
        <is>
          <t>Whenever this creature or another creature dies, target player loses 1 life and you gain 1 life.</t>
        </is>
      </c>
      <c r="R11" t="n">
        <v>2.79</v>
      </c>
    </row>
    <row r="12" ht="15" customHeight="1" s="148">
      <c r="A12" t="inlineStr">
        <is>
          <t>c0011</t>
        </is>
      </c>
      <c r="B12" t="inlineStr">
        <is>
          <t>Boggart Mischief</t>
        </is>
      </c>
      <c r="C12" t="n">
        <v>1</v>
      </c>
      <c r="E12" t="n">
        <v>1</v>
      </c>
      <c r="F12" t="n">
        <v>0</v>
      </c>
      <c r="G12" t="n">
        <v>1</v>
      </c>
      <c r="H12" t="inlineStr">
        <is>
          <t>B</t>
        </is>
      </c>
      <c r="I12" t="inlineStr">
        <is>
          <t>Kindred Enchantment</t>
        </is>
      </c>
      <c r="J12" t="inlineStr">
        <is>
          <t>B2</t>
        </is>
      </c>
      <c r="K12" t="n">
        <v>3</v>
      </c>
      <c r="L12" t="inlineStr">
        <is>
          <t>When this enchantment enters, you may blight 1. If you do, create two 1/1 black and red Goblin creature tokens. (To blight 1, put a -1/-1 counter on a creature you control.)
Whenever a Goblin creature you control dies, each opponent loses 1 life and you gain 1 life.</t>
        </is>
      </c>
      <c r="M12" t="inlineStr">
        <is>
          <t>Token Producer</t>
        </is>
      </c>
      <c r="N12" t="inlineStr">
        <is>
          <t>Put a -1/-1 counter on a creature you control to create two 1/1 Goblin tokens when it enters</t>
        </is>
      </c>
      <c r="O12" t="inlineStr">
        <is>
          <t>Each opponent loses 1 life and you gain 1 life whenever a Goblin you control dies</t>
        </is>
      </c>
      <c r="R12" t="n">
        <v>0.31</v>
      </c>
    </row>
    <row r="13" ht="15" customHeight="1" s="148">
      <c r="A13" t="inlineStr">
        <is>
          <t>c0012</t>
        </is>
      </c>
      <c r="B13" t="inlineStr">
        <is>
          <t>Bogslither's Embrace</t>
        </is>
      </c>
      <c r="C13" t="n">
        <v>1</v>
      </c>
      <c r="E13" t="n">
        <v>1</v>
      </c>
      <c r="F13" t="n">
        <v>0</v>
      </c>
      <c r="G13" t="n">
        <v>1</v>
      </c>
      <c r="H13" t="inlineStr">
        <is>
          <t>B</t>
        </is>
      </c>
      <c r="I13" t="inlineStr">
        <is>
          <t>Sorcery</t>
        </is>
      </c>
      <c r="J13" t="inlineStr">
        <is>
          <t>B2</t>
        </is>
      </c>
      <c r="K13" t="n">
        <v>2</v>
      </c>
      <c r="L13" t="inlineStr">
        <is>
          <t>As an additional cost to cast this spell, blight 1 or pay {3}. (To blight 1, put a -1/-1 counter on a creature you control.)
Exile target creature.</t>
        </is>
      </c>
      <c r="M13" t="inlineStr">
        <is>
          <t>Removal</t>
        </is>
      </c>
      <c r="N13" t="inlineStr">
        <is>
          <t>Exiles target creature</t>
        </is>
      </c>
      <c r="O13" t="inlineStr">
        <is>
          <t>Additional cost: blight 1 (put a -1/-1 counter on a creature you control) or pay {3}</t>
        </is>
      </c>
      <c r="R13" t="n">
        <v>0.18</v>
      </c>
    </row>
    <row r="14" ht="15" customHeight="1" s="148">
      <c r="A14" t="inlineStr">
        <is>
          <t>c0013</t>
        </is>
      </c>
      <c r="B14" t="inlineStr">
        <is>
          <t>Boiling Rock Rioter</t>
        </is>
      </c>
      <c r="C14" t="n">
        <v>0</v>
      </c>
      <c r="E14" t="n">
        <v>0</v>
      </c>
      <c r="F14" t="n">
        <v>0</v>
      </c>
      <c r="G14" t="n">
        <v>0</v>
      </c>
      <c r="H14" t="inlineStr">
        <is>
          <t>B</t>
        </is>
      </c>
      <c r="I14" t="inlineStr">
        <is>
          <t>Creature</t>
        </is>
      </c>
      <c r="J14" t="inlineStr">
        <is>
          <t>B2</t>
        </is>
      </c>
      <c r="K14" t="n">
        <v>3</v>
      </c>
      <c r="L14" t="inlineStr">
        <is>
          <t>Firebending 1 (Whenever this creature attacks, add {R}. This mana lasts until end of combat.)
Tap an untapped Ally you control: Exile target card from a graveyard.
Whenever this creature attacks, you may cast an Ally spell from among cards you own exiled with this creature.
(3/3)</t>
        </is>
      </c>
      <c r="M14" t="inlineStr">
        <is>
          <t>Graveyard Hate</t>
        </is>
      </c>
      <c r="N14" t="inlineStr">
        <is>
          <t>Tap an untapped Ally you control: exile target card from a graveyard</t>
        </is>
      </c>
      <c r="O14" t="inlineStr">
        <is>
          <t>Whenever it attacks, you may cast an Ally spell from among the cards it exiled</t>
        </is>
      </c>
      <c r="P14" t="inlineStr">
        <is>
          <t>Firebending 1 - whenever it attacks, add {R} until end of combat</t>
        </is>
      </c>
      <c r="R14" t="n">
        <v>0.22</v>
      </c>
    </row>
    <row r="15" ht="15" customHeight="1" s="148">
      <c r="A15" t="inlineStr">
        <is>
          <t>c0014</t>
        </is>
      </c>
      <c r="B15" t="inlineStr">
        <is>
          <t>Bolas's Citadel</t>
        </is>
      </c>
      <c r="C15" t="n">
        <v>0</v>
      </c>
      <c r="E15" t="n">
        <v>0</v>
      </c>
      <c r="F15" t="n">
        <v>0</v>
      </c>
      <c r="G15" t="n">
        <v>0</v>
      </c>
      <c r="H15" t="inlineStr">
        <is>
          <t>B</t>
        </is>
      </c>
      <c r="I15" t="inlineStr">
        <is>
          <t>Legendary Artifact</t>
        </is>
      </c>
      <c r="J15" t="inlineStr">
        <is>
          <t>B3</t>
        </is>
      </c>
      <c r="K15" t="n">
        <v>6</v>
      </c>
      <c r="L15" t="inlineStr">
        <is>
          <t>You may look at the top card of your library any time.
You may play lands and cast spells from the top of your library. If you cast a spell this way, pay life equal to its mana value rather than pay its mana cost.
{T}, Sacrifice ten nonland permanents: Each opponent loses 10 life.</t>
        </is>
      </c>
      <c r="M15" t="inlineStr">
        <is>
          <t>Value Engine</t>
        </is>
      </c>
      <c r="N15" t="inlineStr">
        <is>
          <t>You may look at the top card of your library any time</t>
        </is>
      </c>
      <c r="O15" t="inlineStr">
        <is>
          <t>You may play lands and cast spells from the top of your library. If you cast a spell this way, pay life equal to its man</t>
        </is>
      </c>
      <c r="P15" t="inlineStr">
        <is>
          <t>{T}, Sacrifice ten nonland permanents: Each opponent loses 10 life</t>
        </is>
      </c>
      <c r="R15" t="n">
        <v>8.44</v>
      </c>
    </row>
    <row r="16" ht="15" customHeight="1" s="148">
      <c r="A16" t="inlineStr">
        <is>
          <t>c0015</t>
        </is>
      </c>
      <c r="B16" t="inlineStr">
        <is>
          <t>Braids, Arisen Nightmare</t>
        </is>
      </c>
      <c r="C16" t="n">
        <v>0</v>
      </c>
      <c r="E16" t="n">
        <v>0</v>
      </c>
      <c r="F16" t="n">
        <v>0</v>
      </c>
      <c r="G16" t="n">
        <v>0</v>
      </c>
      <c r="H16" t="inlineStr">
        <is>
          <t>B</t>
        </is>
      </c>
      <c r="I16" t="inlineStr">
        <is>
          <t>Legendary Creature</t>
        </is>
      </c>
      <c r="J16" t="inlineStr">
        <is>
          <t>B2</t>
        </is>
      </c>
      <c r="K16" t="n">
        <v>3</v>
      </c>
      <c r="L16" t="inlineStr">
        <is>
          <t>At the beginning of your end step, you may sacrifice an artifact, creature, enchantment, land, or planeswalker. If you do, each opponent may sacrifice a permanent of their choice that shares a card type with it. For each opponent who doesn't, that player loses 2 life and you draw a card.
(3/3)</t>
        </is>
      </c>
      <c r="M16" t="inlineStr">
        <is>
          <t>Card Draw</t>
        </is>
      </c>
      <c r="N16" t="inlineStr">
        <is>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is>
      </c>
      <c r="R16" t="n">
        <v>4.8</v>
      </c>
    </row>
    <row r="17" ht="15" customHeight="1" s="148">
      <c r="A17" t="inlineStr">
        <is>
          <t>c0016</t>
        </is>
      </c>
      <c r="B17" t="inlineStr">
        <is>
          <t>Carrion Feeder</t>
        </is>
      </c>
      <c r="C17" t="n">
        <v>0</v>
      </c>
      <c r="E17" t="n">
        <v>0</v>
      </c>
      <c r="F17" t="n">
        <v>0</v>
      </c>
      <c r="G17" t="n">
        <v>0</v>
      </c>
      <c r="H17" t="inlineStr">
        <is>
          <t>B</t>
        </is>
      </c>
      <c r="I17" t="inlineStr">
        <is>
          <t>Creature</t>
        </is>
      </c>
      <c r="J17" t="inlineStr">
        <is>
          <t>B3</t>
        </is>
      </c>
      <c r="K17" t="n">
        <v>1</v>
      </c>
      <c r="L17" t="inlineStr">
        <is>
          <t>This creature can't block.
Sacrifice a creature: Put a +1/+1 counter on this creature.
(1/1)</t>
        </is>
      </c>
      <c r="M17" t="inlineStr">
        <is>
          <t>Sacrifice Outlet</t>
        </is>
      </c>
      <c r="N17" t="inlineStr">
        <is>
          <t>This creature can't block.
Sacrifice a creature: Put a +1/+1 counter on this creature.</t>
        </is>
      </c>
      <c r="R17" t="n">
        <v>3.66</v>
      </c>
    </row>
    <row r="18" ht="15" customHeight="1" s="148">
      <c r="A18" t="inlineStr">
        <is>
          <t>c0017</t>
        </is>
      </c>
      <c r="B18" t="inlineStr">
        <is>
          <t>Chain Assassination</t>
        </is>
      </c>
      <c r="C18" t="n">
        <v>1</v>
      </c>
      <c r="E18" t="n">
        <v>1</v>
      </c>
      <c r="F18" t="n">
        <v>0</v>
      </c>
      <c r="G18" t="n">
        <v>0</v>
      </c>
      <c r="H18" t="inlineStr">
        <is>
          <t>B</t>
        </is>
      </c>
      <c r="I18" t="inlineStr">
        <is>
          <t>Instant</t>
        </is>
      </c>
      <c r="J18" t="inlineStr">
        <is>
          <t>B2</t>
        </is>
      </c>
      <c r="K18" t="n">
        <v>4</v>
      </c>
      <c r="L18" t="inlineStr">
        <is>
          <t>Freerunning {1}{B} (You may cast this spell for its freerunning cost if you dealt combat damage to a player this turn with an Assassin or commander.)
Destroy target creature. If another creature died this turn, draw a card.</t>
        </is>
      </c>
      <c r="M18" t="inlineStr">
        <is>
          <t>Removal</t>
        </is>
      </c>
      <c r="N18" t="inlineStr">
        <is>
          <t>Destroys target creature</t>
        </is>
      </c>
      <c r="O18" t="inlineStr">
        <is>
          <t>Draw a card if another creature died this turn</t>
        </is>
      </c>
      <c r="P18" t="inlineStr">
        <is>
          <t>Can be cast for less if you dealt combat damage with an Assassin or commander</t>
        </is>
      </c>
      <c r="R18" t="n">
        <v>0.31</v>
      </c>
    </row>
    <row r="19" ht="15" customHeight="1" s="148">
      <c r="A19" t="inlineStr">
        <is>
          <t>c0018</t>
        </is>
      </c>
      <c r="B19" t="inlineStr">
        <is>
          <t>Costly Plunder</t>
        </is>
      </c>
      <c r="C19" t="n">
        <v>0</v>
      </c>
      <c r="E19" t="n">
        <v>0</v>
      </c>
      <c r="F19" t="n">
        <v>0</v>
      </c>
      <c r="G19" t="n">
        <v>0</v>
      </c>
      <c r="H19" t="inlineStr">
        <is>
          <t>B</t>
        </is>
      </c>
      <c r="I19" t="inlineStr">
        <is>
          <t>Instant</t>
        </is>
      </c>
      <c r="J19" t="inlineStr">
        <is>
          <t>B2</t>
        </is>
      </c>
      <c r="K19" t="n">
        <v>2</v>
      </c>
      <c r="L19" t="inlineStr">
        <is>
          <t>As an additional cost to cast this spell, sacrifice an artifact or creature.
Draw two cards.</t>
        </is>
      </c>
      <c r="M19" t="inlineStr">
        <is>
          <t>Sacrifice Outlet</t>
        </is>
      </c>
      <c r="N19" t="inlineStr">
        <is>
          <t>Sacrifice an artifact or creature to draw two cards</t>
        </is>
      </c>
      <c r="R19" t="n">
        <v>0.24</v>
      </c>
    </row>
    <row r="20" ht="15" customHeight="1" s="148">
      <c r="A20" t="inlineStr">
        <is>
          <t>c0019</t>
        </is>
      </c>
      <c r="B20" t="inlineStr">
        <is>
          <t>Crude Bent Blade</t>
        </is>
      </c>
      <c r="C20" t="n">
        <v>1</v>
      </c>
      <c r="E20" t="n">
        <v>1</v>
      </c>
      <c r="F20" t="n">
        <v>0</v>
      </c>
      <c r="G20" t="n">
        <v>0</v>
      </c>
      <c r="H20" t="inlineStr">
        <is>
          <t>B</t>
        </is>
      </c>
      <c r="I20" t="inlineStr">
        <is>
          <t>Artifact</t>
        </is>
      </c>
      <c r="J20" t="inlineStr">
        <is>
          <t>B2</t>
        </is>
      </c>
      <c r="K20" t="n">
        <v>3</v>
      </c>
      <c r="L20" t="inlineStr">
        <is>
          <t>When this Equipment enters, target opponent sacrifices a creature of their choice.
Equipped creature gets +2/+1.
Equip {2} ({2}: Attach to target creature you control. Equip only as a sorcery.)</t>
        </is>
      </c>
      <c r="M20" t="inlineStr">
        <is>
          <t>Removal</t>
        </is>
      </c>
      <c r="N20" t="inlineStr">
        <is>
          <t>Enters: target opponent sacrifices a creature of their choice</t>
        </is>
      </c>
      <c r="O20" t="inlineStr">
        <is>
          <t>Equipped creature gets +2/+1</t>
        </is>
      </c>
      <c r="P20" t="inlineStr">
        <is>
          <t>Equip {2}</t>
        </is>
      </c>
      <c r="R20" t="n">
        <v>0.15</v>
      </c>
    </row>
    <row r="21" ht="15" customHeight="1" s="148">
      <c r="A21" t="inlineStr">
        <is>
          <t>c0020</t>
        </is>
      </c>
      <c r="B21" t="inlineStr">
        <is>
          <t>Dai Li Indoctrination</t>
        </is>
      </c>
      <c r="C21" t="n">
        <v>1</v>
      </c>
      <c r="E21" t="n">
        <v>0</v>
      </c>
      <c r="F21" t="n">
        <v>1</v>
      </c>
      <c r="G21" t="n">
        <v>0</v>
      </c>
      <c r="H21" t="inlineStr">
        <is>
          <t>B</t>
        </is>
      </c>
      <c r="I21" t="inlineStr">
        <is>
          <t>Sorcery</t>
        </is>
      </c>
      <c r="J21" t="inlineStr">
        <is>
          <t>B2</t>
        </is>
      </c>
      <c r="K21" t="n">
        <v>2</v>
      </c>
      <c r="L21" t="inlineStr">
        <is>
          <t>Choose one —
• Target opponent reveals their hand. You choose a nonland permanent card from it. That player discards that card.
• Earthbend 2. (Target land you control becomes a 0/0 creature with haste that's still a land. Put two +1/+1 counters on it. When it dies or is exiled, return it to the battlefield tapped.)</t>
        </is>
      </c>
      <c r="M21" t="inlineStr">
        <is>
          <t>Discard/Looting</t>
        </is>
      </c>
      <c r="N21" t="inlineStr">
        <is>
          <t>Opponent reveals hand; you choose a nonland permanent card for them to discard</t>
        </is>
      </c>
      <c r="O21" t="inlineStr">
        <is>
          <t>Or target land becomes a 0/0 hasty creature with two +1/+1 counters</t>
        </is>
      </c>
      <c r="R21" t="n">
        <v>0.12</v>
      </c>
    </row>
    <row r="22" ht="15" customHeight="1" s="148">
      <c r="A22" t="inlineStr">
        <is>
          <t>c0021</t>
        </is>
      </c>
      <c r="B22" t="inlineStr">
        <is>
          <t>Day of Black Sun</t>
        </is>
      </c>
      <c r="C22" t="n">
        <v>1</v>
      </c>
      <c r="E22" t="n">
        <v>1</v>
      </c>
      <c r="F22" t="n">
        <v>0</v>
      </c>
      <c r="G22" t="n">
        <v>1</v>
      </c>
      <c r="H22" t="inlineStr">
        <is>
          <t>B</t>
        </is>
      </c>
      <c r="I22" t="inlineStr">
        <is>
          <t>Sorcery</t>
        </is>
      </c>
      <c r="J22" t="inlineStr">
        <is>
          <t>B2</t>
        </is>
      </c>
      <c r="K22" t="n">
        <v>2</v>
      </c>
      <c r="L22" t="inlineStr">
        <is>
          <t>Each creature with mana value X or less loses all abilities until end of turn. Destroy those creatures.</t>
        </is>
      </c>
      <c r="M22" t="inlineStr">
        <is>
          <t>Board Wipe</t>
        </is>
      </c>
      <c r="N22" t="inlineStr">
        <is>
          <t>Creatures with mana value X or less lose all abilities and are destroyed</t>
        </is>
      </c>
      <c r="R22" t="n">
        <v>1.03</v>
      </c>
    </row>
    <row r="23" ht="15" customHeight="1" s="148">
      <c r="A23" t="inlineStr">
        <is>
          <t>c0022</t>
        </is>
      </c>
      <c r="B23" t="inlineStr">
        <is>
          <t>Deadly Dispute</t>
        </is>
      </c>
      <c r="C23" t="n">
        <v>1</v>
      </c>
      <c r="E23" t="n">
        <v>1</v>
      </c>
      <c r="F23" t="n">
        <v>0</v>
      </c>
      <c r="G23" t="n">
        <v>0</v>
      </c>
      <c r="H23" t="inlineStr">
        <is>
          <t>B</t>
        </is>
      </c>
      <c r="I23" t="inlineStr">
        <is>
          <t>Instant</t>
        </is>
      </c>
      <c r="J23" t="inlineStr">
        <is>
          <t>B2</t>
        </is>
      </c>
      <c r="K23" t="n">
        <v>2</v>
      </c>
      <c r="L23" t="inlineStr">
        <is>
          <t>As an additional cost to cast this spell, sacrifice an artifact or creature.
Draw two cards and create a Treasure token. (It's an artifact with "{T}, Sacrifice this token: Add one mana of any color.")</t>
        </is>
      </c>
      <c r="M23" t="inlineStr">
        <is>
          <t>Sacrifice Outlet</t>
        </is>
      </c>
      <c r="N23" t="inlineStr">
        <is>
          <t>Sacrifice an artifact or creature to draw two cards and make a Treasure token</t>
        </is>
      </c>
      <c r="R23" t="n">
        <v>0.26</v>
      </c>
    </row>
    <row r="24" ht="15" customHeight="1" s="148">
      <c r="A24" t="inlineStr">
        <is>
          <t>c0023</t>
        </is>
      </c>
      <c r="B24" t="inlineStr">
        <is>
          <t>Desmond Miles</t>
        </is>
      </c>
      <c r="C24" t="n">
        <v>1</v>
      </c>
      <c r="E24" t="n">
        <v>0</v>
      </c>
      <c r="F24" t="n">
        <v>1</v>
      </c>
      <c r="G24" t="n">
        <v>0</v>
      </c>
      <c r="H24" t="inlineStr">
        <is>
          <t>B</t>
        </is>
      </c>
      <c r="I24" t="inlineStr">
        <is>
          <t>Legendary Creature</t>
        </is>
      </c>
      <c r="J24" t="inlineStr">
        <is>
          <t>B2</t>
        </is>
      </c>
      <c r="K24" t="n">
        <v>2</v>
      </c>
      <c r="L24" t="inlineStr">
        <is>
          <t>Menace
Desmond Miles gets +1/+0 for each other Assassin you control and each Assassin card in your graveyard.
Whenever Desmond Miles deals combat damage to a player, surveil X, where X is the amount of damage it dealt to that player.
(1/3)</t>
        </is>
      </c>
      <c r="M24" t="inlineStr">
        <is>
          <t>Utility Creature</t>
        </is>
      </c>
      <c r="N24" t="inlineStr">
        <is>
          <t>Gets +1/+0 for each other Assassin you control or in your graveyard</t>
        </is>
      </c>
      <c r="O24" t="inlineStr">
        <is>
          <t>Combat damage to a player lets you look at and rearrange cards off the top of your library</t>
        </is>
      </c>
      <c r="R24" t="n">
        <v>0.42</v>
      </c>
    </row>
    <row r="25" ht="15" customHeight="1" s="148">
      <c r="A25" t="inlineStr">
        <is>
          <t>c0024</t>
        </is>
      </c>
      <c r="B25" t="inlineStr">
        <is>
          <t>Diabolic Tutor</t>
        </is>
      </c>
      <c r="C25" t="n">
        <v>0</v>
      </c>
      <c r="E25" t="n">
        <v>0</v>
      </c>
      <c r="F25" t="n">
        <v>0</v>
      </c>
      <c r="G25" t="n">
        <v>0</v>
      </c>
      <c r="H25" t="inlineStr">
        <is>
          <t>B</t>
        </is>
      </c>
      <c r="I25" t="inlineStr">
        <is>
          <t>Sorcery</t>
        </is>
      </c>
      <c r="J25" t="inlineStr">
        <is>
          <t>B3</t>
        </is>
      </c>
      <c r="K25" t="n">
        <v>4</v>
      </c>
      <c r="L25" t="inlineStr">
        <is>
          <t>Search your library for a card, put that card into your hand, then shuffle.</t>
        </is>
      </c>
      <c r="M25" t="inlineStr">
        <is>
          <t>Value Engine</t>
        </is>
      </c>
      <c r="N25" t="inlineStr">
        <is>
          <t>Search your library for a card, put that card into your hand, then shuffle</t>
        </is>
      </c>
      <c r="R25" t="n">
        <v>1.1</v>
      </c>
    </row>
    <row r="26" ht="15" customHeight="1" s="148">
      <c r="A26" t="inlineStr">
        <is>
          <t>c0025</t>
        </is>
      </c>
      <c r="B26" t="inlineStr">
        <is>
          <t>Dictate of Erebos</t>
        </is>
      </c>
      <c r="C26" t="n">
        <v>0</v>
      </c>
      <c r="E26" t="n">
        <v>0</v>
      </c>
      <c r="F26" t="n">
        <v>0</v>
      </c>
      <c r="G26" t="n">
        <v>0</v>
      </c>
      <c r="H26" t="inlineStr">
        <is>
          <t>B</t>
        </is>
      </c>
      <c r="I26" t="inlineStr">
        <is>
          <t>Enchantment</t>
        </is>
      </c>
      <c r="J26" t="inlineStr">
        <is>
          <t>B3</t>
        </is>
      </c>
      <c r="K26" t="n">
        <v>5</v>
      </c>
      <c r="L26" t="inlineStr">
        <is>
          <t>Flash
Whenever a creature you control dies, each opponent sacrifices a creature of their choice.</t>
        </is>
      </c>
      <c r="M26" t="inlineStr">
        <is>
          <t>Removal</t>
        </is>
      </c>
      <c r="N26" t="inlineStr">
        <is>
          <t>Flash
Whenever a creature you control dies, each opponent sacrifices a creature of their choice.</t>
        </is>
      </c>
      <c r="R26" t="n">
        <v>15.62</v>
      </c>
    </row>
    <row r="27" ht="15" customHeight="1" s="148">
      <c r="A27" t="inlineStr">
        <is>
          <t>c0026</t>
        </is>
      </c>
      <c r="B27" t="inlineStr">
        <is>
          <t>Dreaded Bat-Cloud</t>
        </is>
      </c>
      <c r="C27" t="n">
        <v>2</v>
      </c>
      <c r="E27" t="n">
        <v>0</v>
      </c>
      <c r="F27" t="n">
        <v>2</v>
      </c>
      <c r="G27" t="n">
        <v>0</v>
      </c>
      <c r="H27" t="inlineStr">
        <is>
          <t>B</t>
        </is>
      </c>
      <c r="I27" t="inlineStr">
        <is>
          <t>Creature</t>
        </is>
      </c>
      <c r="J27" t="inlineStr">
        <is>
          <t>B2</t>
        </is>
      </c>
      <c r="K27" t="n">
        <v>5</v>
      </c>
      <c r="L27" t="inlineStr">
        <is>
          <t>This spell costs {3} less to cast if a creature died this turn.
Flying, deathtouch
(4/2)</t>
        </is>
      </c>
      <c r="M27" t="inlineStr">
        <is>
          <t>Utility Creature</t>
        </is>
      </c>
      <c r="N27" t="inlineStr">
        <is>
          <t>Flying, deathtouch</t>
        </is>
      </c>
      <c r="O27" t="inlineStr">
        <is>
          <t>Costs {3} less to cast if a creature died this turn</t>
        </is>
      </c>
      <c r="R27" t="n">
        <v>1.05</v>
      </c>
    </row>
    <row r="28" ht="15" customHeight="1" s="148">
      <c r="A28" t="inlineStr">
        <is>
          <t>c0027</t>
        </is>
      </c>
      <c r="B28" t="inlineStr">
        <is>
          <t>Dreadhorde Invasion</t>
        </is>
      </c>
      <c r="C28" t="n">
        <v>1</v>
      </c>
      <c r="E28" t="n">
        <v>1</v>
      </c>
      <c r="F28" t="n">
        <v>0</v>
      </c>
      <c r="G28" t="n">
        <v>0</v>
      </c>
      <c r="H28" t="inlineStr">
        <is>
          <t>B</t>
        </is>
      </c>
      <c r="I28" t="inlineStr">
        <is>
          <t>Enchantment</t>
        </is>
      </c>
      <c r="J28" t="inlineStr">
        <is>
          <t>B2</t>
        </is>
      </c>
      <c r="K28" t="n">
        <v>2</v>
      </c>
      <c r="L28" t="inlineStr">
        <is>
          <t>At the beginning of your upkeep, you lose 1 life and amass Zombies 1. (Put a +1/+1 counter on an Army you control. It's also a Zombie. If you don't control an Army, create a 0/0 black Zombie Army creature token first.)
Whenever a Zombie token you control with power 6 or greater attacks, it gains lifelink until end of turn.</t>
        </is>
      </c>
      <c r="M28" t="inlineStr">
        <is>
          <t>Token Producer</t>
        </is>
      </c>
      <c r="N28" t="inlineStr">
        <is>
          <t>Each upkeep, lose 1 life and put a counter on (or create) a Zombie Army token</t>
        </is>
      </c>
      <c r="O28" t="inlineStr">
        <is>
          <t>Big Zombie tokens gain lifelink when attacking</t>
        </is>
      </c>
      <c r="R28" t="n">
        <v>1.02</v>
      </c>
    </row>
    <row r="29" ht="15" customHeight="1" s="148">
      <c r="A29" t="inlineStr">
        <is>
          <t>c0028</t>
        </is>
      </c>
      <c r="B29" t="inlineStr">
        <is>
          <t>Exsanguinate</t>
        </is>
      </c>
      <c r="C29" t="n">
        <v>0</v>
      </c>
      <c r="D29" t="n">
        <v>1</v>
      </c>
      <c r="E29" t="n">
        <v>0</v>
      </c>
      <c r="F29" t="n">
        <v>0</v>
      </c>
      <c r="G29" t="n">
        <v>1</v>
      </c>
      <c r="H29" t="inlineStr">
        <is>
          <t>B</t>
        </is>
      </c>
      <c r="I29" t="inlineStr">
        <is>
          <t>Sorcery</t>
        </is>
      </c>
      <c r="J29" t="inlineStr">
        <is>
          <t>B2</t>
        </is>
      </c>
      <c r="K29" t="n">
        <v>2</v>
      </c>
      <c r="L29" t="inlineStr">
        <is>
          <t>Each opponent loses X life. You gain life equal to the life lost this way.</t>
        </is>
      </c>
      <c r="M29" t="inlineStr">
        <is>
          <t>Drain Payoff</t>
        </is>
      </c>
      <c r="N29" t="inlineStr">
        <is>
          <t>Each opponent loses X life. You gain life equal to the life lost this way</t>
        </is>
      </c>
      <c r="R29" t="n">
        <v>0.4</v>
      </c>
    </row>
    <row r="30" ht="15" customHeight="1" s="148">
      <c r="A30" t="inlineStr">
        <is>
          <t>c0029</t>
        </is>
      </c>
      <c r="B30" t="inlineStr">
        <is>
          <t>Feed the Swarm</t>
        </is>
      </c>
      <c r="C30" t="n">
        <v>1</v>
      </c>
      <c r="E30" t="n">
        <v>1</v>
      </c>
      <c r="F30" t="n">
        <v>0</v>
      </c>
      <c r="G30" t="n">
        <v>1</v>
      </c>
      <c r="H30" t="inlineStr">
        <is>
          <t>B</t>
        </is>
      </c>
      <c r="I30" t="inlineStr">
        <is>
          <t>Sorcery</t>
        </is>
      </c>
      <c r="J30" t="inlineStr">
        <is>
          <t>B2</t>
        </is>
      </c>
      <c r="K30" t="n">
        <v>2</v>
      </c>
      <c r="L30" t="inlineStr">
        <is>
          <t>Destroy target creature or enchantment an opponent controls. You lose life equal to that permanent's mana value.</t>
        </is>
      </c>
      <c r="M30" t="inlineStr">
        <is>
          <t>Removal</t>
        </is>
      </c>
      <c r="N30" t="inlineStr">
        <is>
          <t>Destroy target creature or enchantment an opponent controls</t>
        </is>
      </c>
      <c r="O30" t="inlineStr">
        <is>
          <t>You lose life equal to that permanent's mana value</t>
        </is>
      </c>
      <c r="R30" t="n">
        <v>0.17</v>
      </c>
    </row>
    <row r="31" ht="15" customHeight="1" s="148">
      <c r="A31" t="inlineStr">
        <is>
          <t>c0030</t>
        </is>
      </c>
      <c r="B31" t="inlineStr">
        <is>
          <t>Fell the Profane // Fell Mire</t>
        </is>
      </c>
      <c r="C31" t="n">
        <v>0</v>
      </c>
      <c r="D31" t="n">
        <v>1</v>
      </c>
      <c r="E31" t="n">
        <v>0</v>
      </c>
      <c r="F31" t="n">
        <v>0</v>
      </c>
      <c r="G31" t="n">
        <v>1</v>
      </c>
      <c r="H31" t="inlineStr">
        <is>
          <t>B</t>
        </is>
      </c>
      <c r="I31" t="inlineStr">
        <is>
          <t>Instant</t>
        </is>
      </c>
      <c r="J31" t="inlineStr">
        <is>
          <t>B2</t>
        </is>
      </c>
      <c r="K31" t="n">
        <v>4</v>
      </c>
      <c r="L31" t="inlineStr">
        <is>
          <t>Fell the Profane {2}{B}{B} — Instant
Destroy target creature or planeswalker.
//
Fell Mire — Land
As this land enters, you may pay 3 life. If you don't, it enters tapped.
{T}: Add {B}.</t>
        </is>
      </c>
      <c r="M31" t="inlineStr">
        <is>
          <t>Removal</t>
        </is>
      </c>
      <c r="N31" t="inlineStr">
        <is>
          <t>Destroy target creature or planeswalker</t>
        </is>
      </c>
      <c r="O31" t="inlineStr">
        <is>
          <t>As this land enters, you may pay 3 life. If you don't, it enters tapped</t>
        </is>
      </c>
      <c r="P31" t="inlineStr">
        <is>
          <t>{T}: Add {B}</t>
        </is>
      </c>
      <c r="R31" t="n">
        <v>5.01</v>
      </c>
    </row>
    <row r="32" ht="15" customHeight="1" s="148">
      <c r="A32" t="inlineStr">
        <is>
          <t>c0031</t>
        </is>
      </c>
      <c r="B32" t="inlineStr">
        <is>
          <t>Front Porch Sentries</t>
        </is>
      </c>
      <c r="C32" t="n">
        <v>5</v>
      </c>
      <c r="E32" t="n">
        <v>0</v>
      </c>
      <c r="F32" t="n">
        <v>5</v>
      </c>
      <c r="G32" t="n">
        <v>0</v>
      </c>
      <c r="H32" t="inlineStr">
        <is>
          <t>B</t>
        </is>
      </c>
      <c r="I32" t="inlineStr">
        <is>
          <t>Creature</t>
        </is>
      </c>
      <c r="J32" t="inlineStr">
        <is>
          <t>B2</t>
        </is>
      </c>
      <c r="K32" t="n">
        <v>2</v>
      </c>
      <c r="L32" t="inlineStr">
        <is>
          <t>When this creature dies, target creature an opponent controls gets -1/-1 until end of turn.
(2/2)</t>
        </is>
      </c>
      <c r="M32" t="inlineStr">
        <is>
          <t>Utility Creature</t>
        </is>
      </c>
      <c r="N32" t="inlineStr">
        <is>
          <t>When this creature dies, target creature an opponent controls gets -1/-1 until end of turn</t>
        </is>
      </c>
      <c r="R32" t="n">
        <v>0.21</v>
      </c>
    </row>
    <row r="33" ht="15" customHeight="1" s="148">
      <c r="A33" t="inlineStr">
        <is>
          <t>c0032</t>
        </is>
      </c>
      <c r="B33" t="inlineStr">
        <is>
          <t>Gathering of Darkness</t>
        </is>
      </c>
      <c r="C33" t="n">
        <v>1</v>
      </c>
      <c r="E33" t="n">
        <v>0</v>
      </c>
      <c r="F33" t="n">
        <v>1</v>
      </c>
      <c r="G33" t="n">
        <v>0</v>
      </c>
      <c r="H33" t="inlineStr">
        <is>
          <t>B</t>
        </is>
      </c>
      <c r="I33" t="inlineStr">
        <is>
          <t>Sorcery</t>
        </is>
      </c>
      <c r="J33" t="inlineStr">
        <is>
          <t>B2</t>
        </is>
      </c>
      <c r="K33" t="n">
        <v>4</v>
      </c>
      <c r="L33" t="inlineStr">
        <is>
          <t>Return up to one target creature card from your graveyard to your hand.
Amass Goblins 3. (Put three +1/+1 counters on an Army you control. It's also a Goblin. If you don't control an Army, create a 0/0 black Goblin Army creature token first.)</t>
        </is>
      </c>
      <c r="M33" t="inlineStr">
        <is>
          <t>Recursion</t>
        </is>
      </c>
      <c r="N33" t="inlineStr">
        <is>
          <t>Return up to one target creature card from your graveyard to your hand</t>
        </is>
      </c>
      <c r="O33" t="inlineStr">
        <is>
          <t>Amass Goblins 3 - put three +1/+1 counters on a Goblin Army you control, creating a 0/0 one first if you have none</t>
        </is>
      </c>
      <c r="R33" t="n">
        <v>0.19</v>
      </c>
    </row>
    <row r="34" ht="15" customHeight="1" s="148">
      <c r="A34" t="inlineStr">
        <is>
          <t>c0033</t>
        </is>
      </c>
      <c r="B34" t="inlineStr">
        <is>
          <t>Gloom Ripper</t>
        </is>
      </c>
      <c r="C34" t="n">
        <v>1</v>
      </c>
      <c r="E34" t="n">
        <v>1</v>
      </c>
      <c r="F34" t="n">
        <v>0</v>
      </c>
      <c r="G34" t="n">
        <v>0</v>
      </c>
      <c r="H34" t="inlineStr">
        <is>
          <t>B</t>
        </is>
      </c>
      <c r="I34" t="inlineStr">
        <is>
          <t>Creature</t>
        </is>
      </c>
      <c r="J34" t="inlineStr">
        <is>
          <t>B2</t>
        </is>
      </c>
      <c r="K34" t="n">
        <v>5</v>
      </c>
      <c r="L34" t="inlineStr">
        <is>
          <t>When this creature enters, target creature you control gets +X/+0 until end of turn and up to one target creature an opponent controls gets -0/-X until end of turn, where X is the number of Elves you control plus the number of Elf cards in your graveyard.
(4/4)</t>
        </is>
      </c>
      <c r="M34" t="inlineStr">
        <is>
          <t>Removal</t>
        </is>
      </c>
      <c r="N34" t="inlineStr">
        <is>
          <t>Target creature you control gets +X/+0 and an opponent's creature gets -0/-X until end of turn</t>
        </is>
      </c>
      <c r="O34" t="inlineStr">
        <is>
          <t>X equals Elves you control plus Elf cards in your graveyard</t>
        </is>
      </c>
      <c r="R34" t="n">
        <v>0.3</v>
      </c>
    </row>
    <row r="35" ht="15" customHeight="1" s="148">
      <c r="A35" t="inlineStr">
        <is>
          <t>c0034</t>
        </is>
      </c>
      <c r="B35" t="inlineStr">
        <is>
          <t>Go for the Throat</t>
        </is>
      </c>
      <c r="C35" t="n">
        <v>1</v>
      </c>
      <c r="E35" t="n">
        <v>1</v>
      </c>
      <c r="F35" t="n">
        <v>0</v>
      </c>
      <c r="G35" t="n">
        <v>1</v>
      </c>
      <c r="H35" t="inlineStr">
        <is>
          <t>B</t>
        </is>
      </c>
      <c r="I35" t="inlineStr">
        <is>
          <t>Instant</t>
        </is>
      </c>
      <c r="J35" t="inlineStr">
        <is>
          <t>B2</t>
        </is>
      </c>
      <c r="K35" t="n">
        <v>2</v>
      </c>
      <c r="L35" t="inlineStr">
        <is>
          <t>Destroy target nonartifact creature.</t>
        </is>
      </c>
      <c r="M35" t="inlineStr">
        <is>
          <t>Removal</t>
        </is>
      </c>
      <c r="N35" t="inlineStr">
        <is>
          <t>Destroys target nonartifact creature</t>
        </is>
      </c>
      <c r="R35" t="n">
        <v>0.57</v>
      </c>
    </row>
    <row r="36" ht="15" customHeight="1" s="148">
      <c r="A36" t="inlineStr">
        <is>
          <t>c0035</t>
        </is>
      </c>
      <c r="B36" t="inlineStr">
        <is>
          <t>Gollum, Riddle Master</t>
        </is>
      </c>
      <c r="C36" t="n">
        <v>1</v>
      </c>
      <c r="E36" t="n">
        <v>0</v>
      </c>
      <c r="F36" t="n">
        <v>1</v>
      </c>
      <c r="G36" t="n">
        <v>0</v>
      </c>
      <c r="H36" t="inlineStr">
        <is>
          <t>B</t>
        </is>
      </c>
      <c r="I36" t="inlineStr">
        <is>
          <t>Legendary Creature</t>
        </is>
      </c>
      <c r="J36" t="inlineStr">
        <is>
          <t>B2</t>
        </is>
      </c>
      <c r="K36" t="n">
        <v>2</v>
      </c>
      <c r="L36" t="inlineStr">
        <is>
          <t>As Gollum enters, choose odd or even. (Zero is even.)
Whenever an opponent casts a spell with mana value of the chosen quality, choose one that hasn't been chosen —
• Put a +1/+1 counter on Gollum.
• Each opponent loses 2 life and you gain 2 life.
• Draw a card.
(3/1)</t>
        </is>
      </c>
      <c r="M36" t="inlineStr">
        <is>
          <t>Value Engine</t>
        </is>
      </c>
      <c r="N36" t="inlineStr">
        <is>
          <t>Whenever an opponent casts a spell of the chosen parity, choose an unused mode</t>
        </is>
      </c>
      <c r="O36" t="inlineStr">
        <is>
          <t>Modes: add a counter to it, drain 2 life, or draw a card</t>
        </is>
      </c>
      <c r="R36" t="n">
        <v>2.52</v>
      </c>
    </row>
    <row r="37" ht="15" customHeight="1" s="148">
      <c r="A37" t="inlineStr">
        <is>
          <t>c0036</t>
        </is>
      </c>
      <c r="B37" t="inlineStr">
        <is>
          <t>Gollum, Silent Slinker</t>
        </is>
      </c>
      <c r="C37" t="n">
        <v>2</v>
      </c>
      <c r="E37" t="n">
        <v>0</v>
      </c>
      <c r="F37" t="n">
        <v>2</v>
      </c>
      <c r="G37" t="n">
        <v>0</v>
      </c>
      <c r="H37" t="inlineStr">
        <is>
          <t>B</t>
        </is>
      </c>
      <c r="I37" t="inlineStr">
        <is>
          <t>Legendary Creature</t>
        </is>
      </c>
      <c r="J37" t="inlineStr">
        <is>
          <t>B2</t>
        </is>
      </c>
      <c r="K37" t="n">
        <v>4</v>
      </c>
      <c r="L37" t="inlineStr">
        <is>
          <t>Gollum, Silent Slinker {3}{B} — Legendary Creature — Halfling Horror (4/3)
Menace (This creature can't be blocked except by two or more creatures.)
//
Meager Meal {B} — Sorcery — Adventure
Put a +1/+1 counter on up to one target creature. Target player gains 2 life. (Then exile this card. You may cast the creature later from exile.)</t>
        </is>
      </c>
      <c r="M37" t="inlineStr">
        <is>
          <t>Utility Creature</t>
        </is>
      </c>
      <c r="N37" t="inlineStr">
        <is>
          <t>Menace</t>
        </is>
      </c>
      <c r="O37" t="inlineStr">
        <is>
          <t>Back face Meager Meal {B}: put a +1/+1 counter on up to one target creature and target player gains 2 life</t>
        </is>
      </c>
      <c r="R37" t="n">
        <v>0.11</v>
      </c>
    </row>
    <row r="38" ht="15" customHeight="1" s="148">
      <c r="A38" t="inlineStr">
        <is>
          <t>c0037</t>
        </is>
      </c>
      <c r="B38" t="inlineStr">
        <is>
          <t>Great Fierce Bee</t>
        </is>
      </c>
      <c r="C38" t="n">
        <v>2</v>
      </c>
      <c r="E38" t="n">
        <v>1</v>
      </c>
      <c r="F38" t="n">
        <v>1</v>
      </c>
      <c r="G38" t="n">
        <v>0</v>
      </c>
      <c r="H38" t="inlineStr">
        <is>
          <t>B</t>
        </is>
      </c>
      <c r="I38" t="inlineStr">
        <is>
          <t>Creature</t>
        </is>
      </c>
      <c r="J38" t="inlineStr">
        <is>
          <t>B2</t>
        </is>
      </c>
      <c r="K38" t="n">
        <v>3</v>
      </c>
      <c r="L38" t="inlineStr">
        <is>
          <t>Flying
Whenever one or more other creatures die, scry 1. (Look at the top card of your library. You may put that card on the bottom.)
(2/2)</t>
        </is>
      </c>
      <c r="M38" t="inlineStr">
        <is>
          <t>Card Selection</t>
        </is>
      </c>
      <c r="N38" t="inlineStr">
        <is>
          <t>Flying body</t>
        </is>
      </c>
      <c r="O38" t="inlineStr">
        <is>
          <t>Other creatures dying lets you look at and rearrange the top library card</t>
        </is>
      </c>
      <c r="R38" t="n">
        <v>0.24</v>
      </c>
    </row>
    <row r="39" ht="15" customHeight="1" s="148">
      <c r="A39" t="inlineStr">
        <is>
          <t>c0038</t>
        </is>
      </c>
      <c r="B39" t="inlineStr">
        <is>
          <t>Heirloom Auntie</t>
        </is>
      </c>
      <c r="C39" t="n">
        <v>2</v>
      </c>
      <c r="E39" t="n">
        <v>0</v>
      </c>
      <c r="F39" t="n">
        <v>2</v>
      </c>
      <c r="G39" t="n">
        <v>0</v>
      </c>
      <c r="H39" t="inlineStr">
        <is>
          <t>B</t>
        </is>
      </c>
      <c r="I39" t="inlineStr">
        <is>
          <t>Creature</t>
        </is>
      </c>
      <c r="J39" t="inlineStr">
        <is>
          <t>B2</t>
        </is>
      </c>
      <c r="K39" t="n">
        <v>3</v>
      </c>
      <c r="L39" t="inlineStr">
        <is>
          <t>This creature enters with two -1/-1 counters on it.
Whenever another creature you control dies, surveil 1, then remove a -1/-1 counter from this creature. (To surveil 1, look at the top card of your library. You may put it into your graveyard.)
(4/4)</t>
        </is>
      </c>
      <c r="M39" t="inlineStr">
        <is>
          <t>Counters Payoff</t>
        </is>
      </c>
      <c r="N39" t="inlineStr">
        <is>
          <t>Enters with two -1/-1 counters on it</t>
        </is>
      </c>
      <c r="O39" t="inlineStr">
        <is>
          <t>Surveils 1 and removes a -1/-1 counter from itself whenever another creature you control dies</t>
        </is>
      </c>
      <c r="R39" t="n">
        <v>0.14</v>
      </c>
    </row>
    <row r="40" ht="15" customHeight="1" s="148">
      <c r="A40" t="inlineStr">
        <is>
          <t>c0039</t>
        </is>
      </c>
      <c r="B40" t="inlineStr">
        <is>
          <t>Hemlock Vial</t>
        </is>
      </c>
      <c r="C40" t="n">
        <v>1</v>
      </c>
      <c r="E40" t="n">
        <v>1</v>
      </c>
      <c r="F40" t="n">
        <v>0</v>
      </c>
      <c r="G40" t="n">
        <v>1</v>
      </c>
      <c r="H40" t="inlineStr">
        <is>
          <t>B</t>
        </is>
      </c>
      <c r="I40" t="inlineStr">
        <is>
          <t>Artifact</t>
        </is>
      </c>
      <c r="J40" t="inlineStr">
        <is>
          <t>B2</t>
        </is>
      </c>
      <c r="K40" t="n">
        <v>2</v>
      </c>
      <c r="L40" t="inlineStr">
        <is>
          <t>When this artifact enters, you draw a card and you lose 1 life.
{B}, {T}, Sacrifice this artifact: Each equipped creature and Equipment you control gains deathtouch until end of turn.</t>
        </is>
      </c>
      <c r="M40" t="inlineStr">
        <is>
          <t>Card Draw</t>
        </is>
      </c>
      <c r="N40" t="inlineStr">
        <is>
          <t>Enters: draw a card and lose 1 life</t>
        </is>
      </c>
      <c r="O40" t="inlineStr">
        <is>
          <t>Sacrifice: your equipped creatures and Equipment become lethal on any damage this turn</t>
        </is>
      </c>
      <c r="R40" t="n">
        <v>0.18</v>
      </c>
    </row>
    <row r="41" ht="15" customHeight="1" s="148">
      <c r="A41" t="inlineStr">
        <is>
          <t>c0040</t>
        </is>
      </c>
      <c r="B41" t="inlineStr">
        <is>
          <t>Infectious Inquiry</t>
        </is>
      </c>
      <c r="C41" t="n">
        <v>0</v>
      </c>
      <c r="E41" t="n">
        <v>0</v>
      </c>
      <c r="F41" t="n">
        <v>0</v>
      </c>
      <c r="G41" t="n">
        <v>0</v>
      </c>
      <c r="H41" t="inlineStr">
        <is>
          <t>B</t>
        </is>
      </c>
      <c r="I41" t="inlineStr">
        <is>
          <t>Sorcery</t>
        </is>
      </c>
      <c r="J41" t="inlineStr">
        <is>
          <t>B2</t>
        </is>
      </c>
      <c r="K41" t="n">
        <v>3</v>
      </c>
      <c r="L41" t="inlineStr">
        <is>
          <t>You draw two cards and you lose 2 life. Each opponent gets a poison counter.</t>
        </is>
      </c>
      <c r="M41" t="inlineStr">
        <is>
          <t>Card Draw</t>
        </is>
      </c>
      <c r="N41" t="inlineStr">
        <is>
          <t>You draw two cards and you lose 2 life. Each opponent gets a poison counter</t>
        </is>
      </c>
      <c r="R41" t="n">
        <v>0.52</v>
      </c>
    </row>
    <row r="42" ht="15" customHeight="1" s="148">
      <c r="A42" t="inlineStr">
        <is>
          <t>c0041</t>
        </is>
      </c>
      <c r="B42" t="inlineStr">
        <is>
          <t>Infernal Grasp</t>
        </is>
      </c>
      <c r="C42" t="n">
        <v>0</v>
      </c>
      <c r="D42" t="n">
        <v>1</v>
      </c>
      <c r="E42" t="n">
        <v>0</v>
      </c>
      <c r="F42" t="n">
        <v>0</v>
      </c>
      <c r="G42" t="n">
        <v>1</v>
      </c>
      <c r="H42" t="inlineStr">
        <is>
          <t>B</t>
        </is>
      </c>
      <c r="I42" t="inlineStr">
        <is>
          <t>Instant</t>
        </is>
      </c>
      <c r="J42" t="inlineStr">
        <is>
          <t>B2</t>
        </is>
      </c>
      <c r="K42" t="n">
        <v>2</v>
      </c>
      <c r="L42" t="inlineStr">
        <is>
          <t>Destroy target creature. You lose 2 life.</t>
        </is>
      </c>
      <c r="M42" t="inlineStr">
        <is>
          <t>Removal</t>
        </is>
      </c>
      <c r="N42" t="inlineStr">
        <is>
          <t>Destroy target creature. You lose 2 life</t>
        </is>
      </c>
      <c r="R42" t="n">
        <v>0.33</v>
      </c>
    </row>
    <row r="43" ht="15" customHeight="1" s="148">
      <c r="A43" t="inlineStr">
        <is>
          <t>c0042</t>
        </is>
      </c>
      <c r="B43" t="inlineStr">
        <is>
          <t>Lethal Scheme</t>
        </is>
      </c>
      <c r="C43" t="n">
        <v>1</v>
      </c>
      <c r="E43" t="n">
        <v>1</v>
      </c>
      <c r="F43" t="n">
        <v>0</v>
      </c>
      <c r="G43" t="n">
        <v>1</v>
      </c>
      <c r="H43" t="inlineStr">
        <is>
          <t>B</t>
        </is>
      </c>
      <c r="I43" t="inlineStr">
        <is>
          <t>Instant</t>
        </is>
      </c>
      <c r="J43" t="inlineStr">
        <is>
          <t>B2</t>
        </is>
      </c>
      <c r="K43" t="n">
        <v>4</v>
      </c>
      <c r="L43" t="inlineStr">
        <is>
          <t>Convoke (Your creatures can help cast this spell. Each creature you tap while casting this spell pays for {1} or one mana of that creature's color.)
Destroy target creature or planeswalker. Each creature that convoked this spell connives. (Draw a card, then discard a card. If you discarded a nonland card, put a +1/+1 counter on that creature.)</t>
        </is>
      </c>
      <c r="M43" t="inlineStr">
        <is>
          <t>Removal</t>
        </is>
      </c>
      <c r="N43" t="inlineStr">
        <is>
          <t>Destroys target creature or planeswalker</t>
        </is>
      </c>
      <c r="O43" t="inlineStr">
        <is>
          <t>Convoking creatures connive (draw then discard, maybe +1/+1 counter)</t>
        </is>
      </c>
      <c r="R43" t="n">
        <v>0.25</v>
      </c>
    </row>
    <row r="44" ht="15" customHeight="1" s="148">
      <c r="A44" t="inlineStr">
        <is>
          <t>c0043</t>
        </is>
      </c>
      <c r="B44" t="inlineStr">
        <is>
          <t>Long Goodbye</t>
        </is>
      </c>
      <c r="C44" t="n">
        <v>1</v>
      </c>
      <c r="E44" t="n">
        <v>1</v>
      </c>
      <c r="F44" t="n">
        <v>0</v>
      </c>
      <c r="G44" t="n">
        <v>1</v>
      </c>
      <c r="H44" t="inlineStr">
        <is>
          <t>B</t>
        </is>
      </c>
      <c r="I44" t="inlineStr">
        <is>
          <t>Instant</t>
        </is>
      </c>
      <c r="J44" t="inlineStr">
        <is>
          <t>B2</t>
        </is>
      </c>
      <c r="K44" t="n">
        <v>2</v>
      </c>
      <c r="L44" t="inlineStr">
        <is>
          <t>This spell can't be countered. (This includes by the ward ability.)
Destroy target creature or planeswalker with mana value 3 or less.</t>
        </is>
      </c>
      <c r="M44" t="inlineStr">
        <is>
          <t>Removal</t>
        </is>
      </c>
      <c r="N44" t="inlineStr">
        <is>
          <t>Destroys target creature or planeswalker with mana value 3 or less</t>
        </is>
      </c>
      <c r="O44" t="inlineStr">
        <is>
          <t>Can't be countered</t>
        </is>
      </c>
      <c r="R44" t="n">
        <v>0.25</v>
      </c>
    </row>
    <row r="45" ht="15" customHeight="1" s="148">
      <c r="A45" t="inlineStr">
        <is>
          <t>c0044</t>
        </is>
      </c>
      <c r="B45" t="inlineStr">
        <is>
          <t>Marauding Blight-Priest</t>
        </is>
      </c>
      <c r="C45" t="n">
        <v>0</v>
      </c>
      <c r="E45" t="n">
        <v>0</v>
      </c>
      <c r="F45" t="n">
        <v>0</v>
      </c>
      <c r="G45" t="n">
        <v>0</v>
      </c>
      <c r="H45" t="inlineStr">
        <is>
          <t>B</t>
        </is>
      </c>
      <c r="I45" t="inlineStr">
        <is>
          <t>Creature</t>
        </is>
      </c>
      <c r="J45" t="inlineStr">
        <is>
          <t>B3</t>
        </is>
      </c>
      <c r="K45" t="n">
        <v>3</v>
      </c>
      <c r="L45" t="inlineStr">
        <is>
          <t>Whenever you gain life, each opponent loses 1 life.
(3/2)</t>
        </is>
      </c>
      <c r="M45" t="inlineStr">
        <is>
          <t>Utility Creature</t>
        </is>
      </c>
      <c r="N45" t="inlineStr">
        <is>
          <t>Whenever you gain life, each opponent loses 1 life</t>
        </is>
      </c>
      <c r="R45" t="n">
        <v>0.19</v>
      </c>
    </row>
    <row r="46" ht="15" customHeight="1" s="148">
      <c r="A46" t="inlineStr">
        <is>
          <t>c0045</t>
        </is>
      </c>
      <c r="B46" t="inlineStr">
        <is>
          <t>Masterful Flourish</t>
        </is>
      </c>
      <c r="C46" t="n">
        <v>1</v>
      </c>
      <c r="E46" t="n">
        <v>0</v>
      </c>
      <c r="F46" t="n">
        <v>1</v>
      </c>
      <c r="G46" t="n">
        <v>0</v>
      </c>
      <c r="H46" t="inlineStr">
        <is>
          <t>B</t>
        </is>
      </c>
      <c r="I46" t="inlineStr">
        <is>
          <t>Instant</t>
        </is>
      </c>
      <c r="J46" t="inlineStr">
        <is>
          <t>B2</t>
        </is>
      </c>
      <c r="K46" t="n">
        <v>1</v>
      </c>
      <c r="L46" t="inlineStr">
        <is>
          <t>Target creature you control gets +1/+0 and gains indestructible until end of turn. (Damage and effects that say "destroy" don't destroy it.)</t>
        </is>
      </c>
      <c r="M46" t="inlineStr">
        <is>
          <t>Protection</t>
        </is>
      </c>
      <c r="N46" t="inlineStr">
        <is>
          <t>Target creature you control gets +1/+0 and gains indestructible until end of turn</t>
        </is>
      </c>
      <c r="R46" t="n">
        <v>0.2</v>
      </c>
    </row>
    <row r="47" ht="15" customHeight="1" s="148">
      <c r="A47" t="inlineStr">
        <is>
          <t>c0046</t>
        </is>
      </c>
      <c r="B47" t="inlineStr">
        <is>
          <t>Mirkwood Bats</t>
        </is>
      </c>
      <c r="C47" t="n">
        <v>0</v>
      </c>
      <c r="E47" t="n">
        <v>0</v>
      </c>
      <c r="F47" t="n">
        <v>0</v>
      </c>
      <c r="G47" t="n">
        <v>0</v>
      </c>
      <c r="H47" t="inlineStr">
        <is>
          <t>B</t>
        </is>
      </c>
      <c r="I47" t="inlineStr">
        <is>
          <t>Creature</t>
        </is>
      </c>
      <c r="J47" t="inlineStr">
        <is>
          <t>B2</t>
        </is>
      </c>
      <c r="K47" t="n">
        <v>4</v>
      </c>
      <c r="L47" t="inlineStr">
        <is>
          <t>Flying
Whenever you create or sacrifice a token, each opponent loses 1 life.
(2/3)</t>
        </is>
      </c>
      <c r="M47" t="inlineStr">
        <is>
          <t>Drain Payoff</t>
        </is>
      </c>
      <c r="N47" t="inlineStr">
        <is>
          <t>Flying</t>
        </is>
      </c>
      <c r="O47" t="inlineStr">
        <is>
          <t>Whenever you create or sacrifice a token, each opponent loses 1 life</t>
        </is>
      </c>
      <c r="R47" t="n">
        <v>1.43</v>
      </c>
    </row>
    <row r="48" ht="15" customHeight="1" s="148">
      <c r="A48" t="inlineStr">
        <is>
          <t>c0047</t>
        </is>
      </c>
      <c r="B48" t="inlineStr">
        <is>
          <t>Mirrodin Avenged</t>
        </is>
      </c>
      <c r="C48" t="n">
        <v>1</v>
      </c>
      <c r="E48" t="n">
        <v>1</v>
      </c>
      <c r="F48" t="n">
        <v>0</v>
      </c>
      <c r="G48" t="n">
        <v>1</v>
      </c>
      <c r="H48" t="inlineStr">
        <is>
          <t>B</t>
        </is>
      </c>
      <c r="I48" t="inlineStr">
        <is>
          <t>Instant</t>
        </is>
      </c>
      <c r="J48" t="inlineStr">
        <is>
          <t>B2</t>
        </is>
      </c>
      <c r="K48" t="n">
        <v>1</v>
      </c>
      <c r="L48" t="inlineStr">
        <is>
          <t>Destroy target creature that was dealt damage this turn.
Draw a card.</t>
        </is>
      </c>
      <c r="M48" t="inlineStr">
        <is>
          <t>Removal</t>
        </is>
      </c>
      <c r="N48" t="inlineStr">
        <is>
          <t>Destroys target creature that was dealt damage this turn</t>
        </is>
      </c>
      <c r="O48" t="inlineStr">
        <is>
          <t>Draws a card</t>
        </is>
      </c>
      <c r="R48" t="n">
        <v>0.13</v>
      </c>
    </row>
    <row r="49" ht="15" customHeight="1" s="148">
      <c r="A49" t="inlineStr">
        <is>
          <t>c0048</t>
        </is>
      </c>
      <c r="B49" t="inlineStr">
        <is>
          <t>Moonglove Extractor</t>
        </is>
      </c>
      <c r="C49" t="n">
        <v>3</v>
      </c>
      <c r="E49" t="n">
        <v>1</v>
      </c>
      <c r="F49" t="n">
        <v>2</v>
      </c>
      <c r="G49" t="n">
        <v>0</v>
      </c>
      <c r="H49" t="inlineStr">
        <is>
          <t>B</t>
        </is>
      </c>
      <c r="I49" t="inlineStr">
        <is>
          <t>Creature</t>
        </is>
      </c>
      <c r="J49" t="inlineStr">
        <is>
          <t>B2</t>
        </is>
      </c>
      <c r="K49" t="n">
        <v>3</v>
      </c>
      <c r="L49" t="inlineStr">
        <is>
          <t>Whenever this creature attacks, you draw a card and lose 1 life.
(2/1)</t>
        </is>
      </c>
      <c r="M49" t="inlineStr">
        <is>
          <t>Card Draw</t>
        </is>
      </c>
      <c r="N49" t="inlineStr">
        <is>
          <t>Attacking draws you a card and costs you 1 life</t>
        </is>
      </c>
      <c r="R49" t="n">
        <v>0.07000000000000001</v>
      </c>
    </row>
    <row r="50" ht="15" customHeight="1" s="148">
      <c r="A50" t="inlineStr">
        <is>
          <t>c0049</t>
        </is>
      </c>
      <c r="B50" t="inlineStr">
        <is>
          <t>Moonshadow</t>
        </is>
      </c>
      <c r="C50" t="n">
        <v>1</v>
      </c>
      <c r="E50" t="n">
        <v>1</v>
      </c>
      <c r="F50" t="n">
        <v>0</v>
      </c>
      <c r="G50" t="n">
        <v>0</v>
      </c>
      <c r="H50" t="inlineStr">
        <is>
          <t>B</t>
        </is>
      </c>
      <c r="I50" t="inlineStr">
        <is>
          <t>Creature</t>
        </is>
      </c>
      <c r="J50" t="inlineStr">
        <is>
          <t>B2</t>
        </is>
      </c>
      <c r="K50" t="n">
        <v>1</v>
      </c>
      <c r="L50" t="inlineStr">
        <is>
          <t>Menace
This creature enters with six -1/-1 counters on it.
Whenever one or more permanent cards are put into your graveyard from anywhere while this creature has a -1/-1 counter on it, remove a -1/-1 counter from this creature.
(7/7)</t>
        </is>
      </c>
      <c r="M50" t="inlineStr">
        <is>
          <t>Finisher</t>
        </is>
      </c>
      <c r="N50" t="inlineStr">
        <is>
          <t>7/7 menace for one mana that enters with six -1/-1 counters on it</t>
        </is>
      </c>
      <c r="O50" t="inlineStr">
        <is>
          <t>Remove a -1/-1 counter whenever one or more permanent cards are put into your graveyard from anywhere</t>
        </is>
      </c>
      <c r="R50" t="n">
        <v>13.04</v>
      </c>
    </row>
    <row r="51" ht="15" customHeight="1" s="148">
      <c r="A51" t="inlineStr">
        <is>
          <t>c0050</t>
        </is>
      </c>
      <c r="B51" t="inlineStr">
        <is>
          <t>Morbid Opportunist</t>
        </is>
      </c>
      <c r="C51" t="n">
        <v>0</v>
      </c>
      <c r="D51" t="n">
        <v>1</v>
      </c>
      <c r="E51" t="n">
        <v>0</v>
      </c>
      <c r="F51" t="n">
        <v>0</v>
      </c>
      <c r="G51" t="n">
        <v>1</v>
      </c>
      <c r="H51" t="inlineStr">
        <is>
          <t>B</t>
        </is>
      </c>
      <c r="I51" t="inlineStr">
        <is>
          <t>Creature</t>
        </is>
      </c>
      <c r="J51" t="inlineStr">
        <is>
          <t>B2</t>
        </is>
      </c>
      <c r="K51" t="n">
        <v>3</v>
      </c>
      <c r="L51" t="inlineStr">
        <is>
          <t>Whenever one or more other creatures die, draw a card. This ability triggers only once each turn.
(1/3)</t>
        </is>
      </c>
      <c r="M51" t="inlineStr">
        <is>
          <t>Card Draw</t>
        </is>
      </c>
      <c r="N51" t="inlineStr">
        <is>
          <t>Whenever one or more other creatures die, draw a card. This ability triggers only once each turn</t>
        </is>
      </c>
      <c r="R51" t="n">
        <v>0.32</v>
      </c>
    </row>
    <row r="52" ht="15" customHeight="1" s="148">
      <c r="A52" t="inlineStr">
        <is>
          <t>c0051</t>
        </is>
      </c>
      <c r="B52" t="inlineStr">
        <is>
          <t>Nadier's Nightblade</t>
        </is>
      </c>
      <c r="C52" t="n">
        <v>1</v>
      </c>
      <c r="E52" t="n">
        <v>1</v>
      </c>
      <c r="F52" t="n">
        <v>0</v>
      </c>
      <c r="G52" t="n">
        <v>1</v>
      </c>
      <c r="H52" t="inlineStr">
        <is>
          <t>B</t>
        </is>
      </c>
      <c r="I52" t="inlineStr">
        <is>
          <t>Creature</t>
        </is>
      </c>
      <c r="J52" t="inlineStr">
        <is>
          <t>B2</t>
        </is>
      </c>
      <c r="K52" t="n">
        <v>3</v>
      </c>
      <c r="L52" t="inlineStr">
        <is>
          <t>Whenever a token you control leaves the battlefield, each opponent loses 1 life and you gain 1 life.
(1/3)</t>
        </is>
      </c>
      <c r="M52" t="inlineStr">
        <is>
          <t>Drain Payoff</t>
        </is>
      </c>
      <c r="N52" t="inlineStr">
        <is>
          <t>Whenever a token you control leaves the battlefield, each opponent loses 1 life and you gain 1 life</t>
        </is>
      </c>
      <c r="R52" t="n">
        <v>0.31</v>
      </c>
    </row>
    <row r="53" ht="15" customHeight="1" s="148">
      <c r="A53" t="inlineStr">
        <is>
          <t>c0052</t>
        </is>
      </c>
      <c r="B53" t="inlineStr">
        <is>
          <t>Nighthowl Pursuer</t>
        </is>
      </c>
      <c r="C53" t="n">
        <v>1</v>
      </c>
      <c r="E53" t="n">
        <v>0</v>
      </c>
      <c r="F53" t="n">
        <v>1</v>
      </c>
      <c r="G53" t="n">
        <v>0</v>
      </c>
      <c r="H53" t="inlineStr">
        <is>
          <t>B</t>
        </is>
      </c>
      <c r="I53" t="inlineStr">
        <is>
          <t>Creature</t>
        </is>
      </c>
      <c r="J53" t="inlineStr">
        <is>
          <t>B2</t>
        </is>
      </c>
      <c r="K53" t="n">
        <v>1</v>
      </c>
      <c r="L53" t="inlineStr">
        <is>
          <t>Nighthowl Pursuer {B} — Creature — Wolf (1/1)
Menace (This creature can't be blocked except by two or more creatures.)
Ferocious — Whenever this creature attacks while you control a creature with power 4 or greater, this creature gets +2/+2 until end of turn.</t>
        </is>
      </c>
      <c r="M53" t="inlineStr">
        <is>
          <t>Utility Creature</t>
        </is>
      </c>
      <c r="N53" t="inlineStr">
        <is>
          <t>Menace; Ferocious - attacks bigger while you control a creature with power 4 or greater</t>
        </is>
      </c>
      <c r="R53" t="n">
        <v>0.3</v>
      </c>
    </row>
    <row r="54" ht="15" customHeight="1" s="148">
      <c r="A54" t="inlineStr">
        <is>
          <t>c0053</t>
        </is>
      </c>
      <c r="B54" t="inlineStr">
        <is>
          <t>Nightmare Sower</t>
        </is>
      </c>
      <c r="C54" t="n">
        <v>2</v>
      </c>
      <c r="E54" t="n">
        <v>2</v>
      </c>
      <c r="F54" t="n">
        <v>0</v>
      </c>
      <c r="G54" t="n">
        <v>2</v>
      </c>
      <c r="H54" t="inlineStr">
        <is>
          <t>B</t>
        </is>
      </c>
      <c r="I54" t="inlineStr">
        <is>
          <t>Creature</t>
        </is>
      </c>
      <c r="J54" t="inlineStr">
        <is>
          <t>B2</t>
        </is>
      </c>
      <c r="K54" t="n">
        <v>4</v>
      </c>
      <c r="L54" t="inlineStr">
        <is>
          <t>Flying, lifelink
Whenever you cast a spell during an opponent's turn, put a -1/-1 counter on up to one target creature.
(2/3)</t>
        </is>
      </c>
      <c r="M54" t="inlineStr">
        <is>
          <t>Removal</t>
        </is>
      </c>
      <c r="N54" t="inlineStr">
        <is>
          <t>Puts a -1/-1 counter on up to one target creature whenever you cast a spell during an opponent's turn</t>
        </is>
      </c>
      <c r="O54" t="inlineStr">
        <is>
          <t>Gains you life equal to damage it deals</t>
        </is>
      </c>
      <c r="R54" t="n">
        <v>0.22</v>
      </c>
    </row>
    <row r="55" ht="15" customHeight="1" s="148">
      <c r="A55" t="inlineStr">
        <is>
          <t>c0054</t>
        </is>
      </c>
      <c r="B55" t="inlineStr">
        <is>
          <t>Night's Whisper</t>
        </is>
      </c>
      <c r="C55" t="n">
        <v>0</v>
      </c>
      <c r="D55" t="n">
        <v>1</v>
      </c>
      <c r="E55" t="n">
        <v>0</v>
      </c>
      <c r="F55" t="n">
        <v>0</v>
      </c>
      <c r="G55" t="n">
        <v>1</v>
      </c>
      <c r="H55" t="inlineStr">
        <is>
          <t>B</t>
        </is>
      </c>
      <c r="I55" t="inlineStr">
        <is>
          <t>Sorcery</t>
        </is>
      </c>
      <c r="J55" t="inlineStr">
        <is>
          <t>B3</t>
        </is>
      </c>
      <c r="K55" t="n">
        <v>2</v>
      </c>
      <c r="L55" t="inlineStr">
        <is>
          <t>You draw two cards and lose 2 life.</t>
        </is>
      </c>
      <c r="M55" t="inlineStr">
        <is>
          <t>Card Draw</t>
        </is>
      </c>
      <c r="N55" t="inlineStr">
        <is>
          <t>You draw two cards and lose 2 life.</t>
        </is>
      </c>
      <c r="R55" t="n">
        <v>0.29</v>
      </c>
    </row>
    <row r="56" ht="15" customHeight="1" s="148">
      <c r="A56" t="inlineStr">
        <is>
          <t>c0055</t>
        </is>
      </c>
      <c r="B56" t="inlineStr">
        <is>
          <t>Northern Air Temple</t>
        </is>
      </c>
      <c r="C56" t="n">
        <v>1</v>
      </c>
      <c r="E56" t="n">
        <v>0</v>
      </c>
      <c r="F56" t="n">
        <v>1</v>
      </c>
      <c r="G56" t="n">
        <v>0</v>
      </c>
      <c r="H56" t="inlineStr">
        <is>
          <t>B</t>
        </is>
      </c>
      <c r="I56" t="inlineStr">
        <is>
          <t>Legendary Enchantment</t>
        </is>
      </c>
      <c r="J56" t="inlineStr">
        <is>
          <t>B2</t>
        </is>
      </c>
      <c r="K56" t="n">
        <v>1</v>
      </c>
      <c r="L56" t="inlineStr">
        <is>
          <t>When Northern Air Temple enters, each opponent loses X life and you gain X life, where X is the number of Shrines you control.
Whenever another Shrine you control enters, each opponent loses 1 life and you gain 1 life.</t>
        </is>
      </c>
      <c r="M56" t="inlineStr">
        <is>
          <t>Drain Payoff</t>
        </is>
      </c>
      <c r="N56" t="inlineStr">
        <is>
          <t>Whenever another Shrine you control enters, each opponent loses 1 life and you gain 1 life</t>
        </is>
      </c>
      <c r="O56" t="inlineStr">
        <is>
          <t>Enters: each opponent loses X life and you gain X life, where X is the number of Shrines you control</t>
        </is>
      </c>
      <c r="R56" t="n">
        <v>0.31</v>
      </c>
    </row>
    <row r="57" ht="15" customHeight="1" s="148">
      <c r="A57" t="inlineStr">
        <is>
          <t>c0056</t>
        </is>
      </c>
      <c r="B57" t="inlineStr">
        <is>
          <t>Ophiomancer</t>
        </is>
      </c>
      <c r="C57" t="n">
        <v>0</v>
      </c>
      <c r="E57" t="n">
        <v>0</v>
      </c>
      <c r="F57" t="n">
        <v>0</v>
      </c>
      <c r="G57" t="n">
        <v>0</v>
      </c>
      <c r="H57" t="inlineStr">
        <is>
          <t>B</t>
        </is>
      </c>
      <c r="I57" t="inlineStr">
        <is>
          <t>Creature</t>
        </is>
      </c>
      <c r="J57" t="inlineStr">
        <is>
          <t>B2</t>
        </is>
      </c>
      <c r="K57" t="n">
        <v>3</v>
      </c>
      <c r="L57" t="inlineStr">
        <is>
          <t>At the beginning of each upkeep, if you control no Snakes, create a 1/1 black Snake creature token with deathtouch.
(2/2)</t>
        </is>
      </c>
      <c r="M57" t="inlineStr">
        <is>
          <t>Token Producer</t>
        </is>
      </c>
      <c r="N57" t="inlineStr">
        <is>
          <t>Each upkeep, creates a 1/1 deathtouch Snake token if you control none</t>
        </is>
      </c>
      <c r="R57" t="n">
        <v>0.96</v>
      </c>
    </row>
    <row r="58" ht="15" customHeight="1" s="148">
      <c r="A58" t="inlineStr">
        <is>
          <t>c0057</t>
        </is>
      </c>
      <c r="B58" t="inlineStr">
        <is>
          <t>Painful Truths</t>
        </is>
      </c>
      <c r="C58" t="n">
        <v>1</v>
      </c>
      <c r="E58" t="n">
        <v>1</v>
      </c>
      <c r="F58" t="n">
        <v>0</v>
      </c>
      <c r="G58" t="n">
        <v>0</v>
      </c>
      <c r="H58" t="inlineStr">
        <is>
          <t>B</t>
        </is>
      </c>
      <c r="I58" t="inlineStr">
        <is>
          <t>Sorcery</t>
        </is>
      </c>
      <c r="J58" t="inlineStr">
        <is>
          <t>B2</t>
        </is>
      </c>
      <c r="K58" t="n">
        <v>3</v>
      </c>
      <c r="L58" t="inlineStr">
        <is>
          <t>Converge — You draw X cards and lose X life, where X is the number of colors of mana spent to cast this spell.</t>
        </is>
      </c>
      <c r="M58" t="inlineStr">
        <is>
          <t>Card Draw</t>
        </is>
      </c>
      <c r="N58" t="inlineStr">
        <is>
          <t>Draws cards equal to colors of mana spent to cast it, loses that much life</t>
        </is>
      </c>
      <c r="R58" t="n">
        <v>0.27</v>
      </c>
    </row>
    <row r="59" ht="15" customHeight="1" s="148">
      <c r="A59" t="inlineStr">
        <is>
          <t>c0058</t>
        </is>
      </c>
      <c r="B59" t="inlineStr">
        <is>
          <t>Pawn of Ulamog</t>
        </is>
      </c>
      <c r="C59" t="n">
        <v>2</v>
      </c>
      <c r="E59" t="n">
        <v>2</v>
      </c>
      <c r="F59" t="n">
        <v>0</v>
      </c>
      <c r="G59" t="n">
        <v>1</v>
      </c>
      <c r="H59" t="inlineStr">
        <is>
          <t>B</t>
        </is>
      </c>
      <c r="I59" t="inlineStr">
        <is>
          <t>Creature</t>
        </is>
      </c>
      <c r="J59" t="inlineStr">
        <is>
          <t>B2</t>
        </is>
      </c>
      <c r="K59" t="n">
        <v>3</v>
      </c>
      <c r="L59" t="inlineStr">
        <is>
          <t>Whenever this creature or another nontoken creature you control dies, you may create a 0/1 colorless Eldrazi Spawn creature token. It has "Sacrifice this token: Add {C}."
(2/2)</t>
        </is>
      </c>
      <c r="M59" t="inlineStr">
        <is>
          <t>Token Producer</t>
        </is>
      </c>
      <c r="N59" t="inlineStr">
        <is>
          <t>Whenever it or another nontoken creature you control dies, may create a mana-producing Eldrazi Spawn token</t>
        </is>
      </c>
      <c r="R59" t="n">
        <v>0.57</v>
      </c>
    </row>
    <row r="60" ht="15" customHeight="1" s="148">
      <c r="A60" t="inlineStr">
        <is>
          <t>c0059</t>
        </is>
      </c>
      <c r="B60" t="inlineStr">
        <is>
          <t>Perfect Intimidation</t>
        </is>
      </c>
      <c r="C60" t="n">
        <v>1</v>
      </c>
      <c r="E60" t="n">
        <v>0</v>
      </c>
      <c r="F60" t="n">
        <v>1</v>
      </c>
      <c r="G60" t="n">
        <v>0</v>
      </c>
      <c r="H60" t="inlineStr">
        <is>
          <t>B</t>
        </is>
      </c>
      <c r="I60" t="inlineStr">
        <is>
          <t>Sorcery</t>
        </is>
      </c>
      <c r="J60" t="inlineStr">
        <is>
          <t>B2</t>
        </is>
      </c>
      <c r="K60" t="n">
        <v>4</v>
      </c>
      <c r="L60" t="inlineStr">
        <is>
          <t>Perfect Intimidation {3}{B} — Sorcery
Choose one or both —
• Target opponent exiles two cards from their hand.
• Remove all counters from target creature.</t>
        </is>
      </c>
      <c r="M60" t="inlineStr">
        <is>
          <t>Discard/Looting</t>
        </is>
      </c>
      <c r="N60" t="inlineStr">
        <is>
          <t>Target opponent exiles two cards from their hand</t>
        </is>
      </c>
      <c r="R60" t="n">
        <v>0.17</v>
      </c>
    </row>
    <row r="61" ht="15" customHeight="1" s="148">
      <c r="A61" t="inlineStr">
        <is>
          <t>c0060</t>
        </is>
      </c>
      <c r="B61" t="inlineStr">
        <is>
          <t>Phyrexian Arena</t>
        </is>
      </c>
      <c r="C61" t="n">
        <v>1</v>
      </c>
      <c r="E61" t="n">
        <v>1</v>
      </c>
      <c r="F61" t="n">
        <v>0</v>
      </c>
      <c r="G61" t="n">
        <v>1</v>
      </c>
      <c r="H61" t="inlineStr">
        <is>
          <t>B</t>
        </is>
      </c>
      <c r="I61" t="inlineStr">
        <is>
          <t>Enchantment</t>
        </is>
      </c>
      <c r="J61" t="inlineStr">
        <is>
          <t>B3</t>
        </is>
      </c>
      <c r="K61" t="n">
        <v>3</v>
      </c>
      <c r="L61" t="inlineStr">
        <is>
          <t>At the beginning of your upkeep, you draw a card and you lose 1 life.</t>
        </is>
      </c>
      <c r="M61" t="inlineStr">
        <is>
          <t>Card Draw</t>
        </is>
      </c>
      <c r="N61" t="inlineStr">
        <is>
          <t>At the beginning of your upkeep, you draw a card and you lose 1 life.</t>
        </is>
      </c>
      <c r="R61" t="n">
        <v>3.74</v>
      </c>
    </row>
    <row r="62" ht="15" customHeight="1" s="148">
      <c r="A62" t="inlineStr">
        <is>
          <t>c0061</t>
        </is>
      </c>
      <c r="B62" t="inlineStr">
        <is>
          <t>Pitiless Plunderer</t>
        </is>
      </c>
      <c r="C62" t="n">
        <v>1</v>
      </c>
      <c r="E62" t="n">
        <v>1</v>
      </c>
      <c r="F62" t="n">
        <v>0</v>
      </c>
      <c r="G62" t="n">
        <v>1</v>
      </c>
      <c r="H62" t="inlineStr">
        <is>
          <t>B</t>
        </is>
      </c>
      <c r="I62" t="inlineStr">
        <is>
          <t>Creature</t>
        </is>
      </c>
      <c r="J62" t="inlineStr">
        <is>
          <t>B3</t>
        </is>
      </c>
      <c r="K62" t="n">
        <v>4</v>
      </c>
      <c r="L62" t="inlineStr">
        <is>
          <t>Whenever another creature you control dies, create a Treasure token. (It's an artifact with "{T}, Sacrifice this token: Add one mana of any color.")
(1/4)</t>
        </is>
      </c>
      <c r="M62" t="inlineStr">
        <is>
          <t>Token Producer</t>
        </is>
      </c>
      <c r="N62" t="inlineStr">
        <is>
          <t xml:space="preserve">Whenever another creature you control dies, create a Treasure token. (It's an artifact with "{T}, Sacrifice this token: </t>
        </is>
      </c>
      <c r="R62" t="n">
        <v>3.42</v>
      </c>
    </row>
    <row r="63" ht="15" customHeight="1" s="148">
      <c r="A63" t="inlineStr">
        <is>
          <t>c0062</t>
        </is>
      </c>
      <c r="B63" t="inlineStr">
        <is>
          <t>Pox Plague</t>
        </is>
      </c>
      <c r="C63" t="n">
        <v>1</v>
      </c>
      <c r="E63" t="n">
        <v>1</v>
      </c>
      <c r="F63" t="n">
        <v>0</v>
      </c>
      <c r="G63" t="n">
        <v>0</v>
      </c>
      <c r="H63" t="inlineStr">
        <is>
          <t>B</t>
        </is>
      </c>
      <c r="I63" t="inlineStr">
        <is>
          <t>Sorcery</t>
        </is>
      </c>
      <c r="J63" t="inlineStr">
        <is>
          <t>B2</t>
        </is>
      </c>
      <c r="K63" t="n">
        <v>5</v>
      </c>
      <c r="L63" t="inlineStr">
        <is>
          <t>Each player loses half their life, then discards half the cards in their hand, then sacrifices half the permanents they control of their choice. Round down each time.</t>
        </is>
      </c>
      <c r="M63" t="inlineStr">
        <is>
          <t>Board Wipe</t>
        </is>
      </c>
      <c r="N63" t="inlineStr">
        <is>
          <t>Each player loses half their life, discards half their hand, then sacrifices half their permanents, rounded down each time</t>
        </is>
      </c>
      <c r="R63" t="n">
        <v>0.34</v>
      </c>
    </row>
    <row r="64" ht="15" customHeight="1" s="148">
      <c r="A64" t="inlineStr">
        <is>
          <t>c0063</t>
        </is>
      </c>
      <c r="B64" t="inlineStr">
        <is>
          <t>Priest of Forgotten Gods</t>
        </is>
      </c>
      <c r="C64" t="n">
        <v>0</v>
      </c>
      <c r="D64" t="n">
        <v>1</v>
      </c>
      <c r="E64" t="n">
        <v>0</v>
      </c>
      <c r="F64" t="n">
        <v>0</v>
      </c>
      <c r="G64" t="n">
        <v>1</v>
      </c>
      <c r="H64" t="inlineStr">
        <is>
          <t>B</t>
        </is>
      </c>
      <c r="I64" t="inlineStr">
        <is>
          <t>Creature</t>
        </is>
      </c>
      <c r="J64" t="inlineStr">
        <is>
          <t>B2</t>
        </is>
      </c>
      <c r="K64" t="n">
        <v>2</v>
      </c>
      <c r="L64" t="inlineStr">
        <is>
          <t>{T}, Sacrifice two other creatures: Any number of target players each lose 2 life and sacrifice a creature of their choice. You add {B}{B} and draw a card. (Activate only as an instant.)
(1/2)</t>
        </is>
      </c>
      <c r="M64" t="inlineStr">
        <is>
          <t>Sacrifice Outlet</t>
        </is>
      </c>
      <c r="N64" t="inlineStr">
        <is>
          <t>{T}, Sacrifice two other creatures: Any number of target players each lose 2 life and sacrifice a creature of their choi</t>
        </is>
      </c>
      <c r="R64" t="n">
        <v>0.59</v>
      </c>
    </row>
    <row r="65" ht="15" customHeight="1" s="148">
      <c r="A65" t="inlineStr">
        <is>
          <t>c0064</t>
        </is>
      </c>
      <c r="B65" t="inlineStr">
        <is>
          <t>Pull from the Grave</t>
        </is>
      </c>
      <c r="C65" t="n">
        <v>1</v>
      </c>
      <c r="E65" t="n">
        <v>0</v>
      </c>
      <c r="F65" t="n">
        <v>1</v>
      </c>
      <c r="G65" t="n">
        <v>0</v>
      </c>
      <c r="H65" t="inlineStr">
        <is>
          <t>B</t>
        </is>
      </c>
      <c r="I65" t="inlineStr">
        <is>
          <t>Sorcery</t>
        </is>
      </c>
      <c r="J65" t="inlineStr">
        <is>
          <t>B2</t>
        </is>
      </c>
      <c r="K65" t="n">
        <v>3</v>
      </c>
      <c r="L65" t="inlineStr">
        <is>
          <t>Return up to two target creature cards from your graveyard to your hand. You gain 2 life.</t>
        </is>
      </c>
      <c r="M65" t="inlineStr">
        <is>
          <t>Recursion</t>
        </is>
      </c>
      <c r="N65" t="inlineStr">
        <is>
          <t>Return up to two target creature cards from your graveyard to your hand</t>
        </is>
      </c>
      <c r="O65" t="inlineStr">
        <is>
          <t>You gain 2 life</t>
        </is>
      </c>
      <c r="R65" t="n">
        <v>0.16</v>
      </c>
    </row>
    <row r="66" ht="15" customHeight="1" s="148">
      <c r="A66" t="inlineStr">
        <is>
          <t>c0065</t>
        </is>
      </c>
      <c r="B66" t="inlineStr">
        <is>
          <t>Rabid Attack</t>
        </is>
      </c>
      <c r="C66" t="n">
        <v>1</v>
      </c>
      <c r="E66" t="n">
        <v>0</v>
      </c>
      <c r="F66" t="n">
        <v>1</v>
      </c>
      <c r="G66" t="n">
        <v>0</v>
      </c>
      <c r="H66" t="inlineStr">
        <is>
          <t>B</t>
        </is>
      </c>
      <c r="I66" t="inlineStr">
        <is>
          <t>Instant</t>
        </is>
      </c>
      <c r="J66" t="inlineStr">
        <is>
          <t>B2</t>
        </is>
      </c>
      <c r="K66" t="n">
        <v>2</v>
      </c>
      <c r="L66" t="inlineStr">
        <is>
          <t>Until end of turn, any number of target creatures you control each get +1/+0 and gain "When this creature dies, draw a card."</t>
        </is>
      </c>
      <c r="M66" t="inlineStr">
        <is>
          <t>Combat Trick</t>
        </is>
      </c>
      <c r="N66" t="inlineStr">
        <is>
          <t>Any number of target creatures you control each get +1/+0 until end of turn</t>
        </is>
      </c>
      <c r="O66" t="inlineStr">
        <is>
          <t>They also gain "When this creature dies, draw a card"</t>
        </is>
      </c>
      <c r="R66" t="n">
        <v>0.2</v>
      </c>
    </row>
    <row r="67" ht="15" customHeight="1" s="148">
      <c r="A67" t="inlineStr">
        <is>
          <t>c0066</t>
        </is>
      </c>
      <c r="B67" t="inlineStr">
        <is>
          <t>Rage into the Valley</t>
        </is>
      </c>
      <c r="C67" t="n">
        <v>3</v>
      </c>
      <c r="E67" t="n">
        <v>1</v>
      </c>
      <c r="F67" t="n">
        <v>2</v>
      </c>
      <c r="G67" t="n">
        <v>1</v>
      </c>
      <c r="H67" t="inlineStr">
        <is>
          <t>B</t>
        </is>
      </c>
      <c r="I67" t="inlineStr">
        <is>
          <t>Sorcery</t>
        </is>
      </c>
      <c r="J67" t="inlineStr">
        <is>
          <t>B2</t>
        </is>
      </c>
      <c r="K67" t="n">
        <v>3</v>
      </c>
      <c r="L67" t="inlineStr">
        <is>
          <t>You draw a card and lose 1 life.
Amass Goblins 2. (Put two +1/+1 counters on an Army you control. It's also a Goblin. If you don't control an Army, create a 0/0 black Goblin Army creature token first.)</t>
        </is>
      </c>
      <c r="M67" t="inlineStr">
        <is>
          <t>Card Draw</t>
        </is>
      </c>
      <c r="N67" t="inlineStr">
        <is>
          <t>You draw a card and lose 1 life</t>
        </is>
      </c>
      <c r="O67" t="inlineStr">
        <is>
          <t>Amass Goblins 2: two +1/+1 counters on your Army token, making one if needed</t>
        </is>
      </c>
      <c r="R67" t="n">
        <v>0.17</v>
      </c>
    </row>
    <row r="68" ht="15" customHeight="1" s="148">
      <c r="A68" t="inlineStr">
        <is>
          <t>c0067</t>
        </is>
      </c>
      <c r="B68" t="inlineStr">
        <is>
          <t>Ravening Warg</t>
        </is>
      </c>
      <c r="C68" t="n">
        <v>1</v>
      </c>
      <c r="E68" t="n">
        <v>0</v>
      </c>
      <c r="F68" t="n">
        <v>1</v>
      </c>
      <c r="G68" t="n">
        <v>0</v>
      </c>
      <c r="H68" t="inlineStr">
        <is>
          <t>B</t>
        </is>
      </c>
      <c r="I68" t="inlineStr">
        <is>
          <t>Creature</t>
        </is>
      </c>
      <c r="J68" t="inlineStr">
        <is>
          <t>B2</t>
        </is>
      </c>
      <c r="K68" t="n">
        <v>2</v>
      </c>
      <c r="L68" t="inlineStr">
        <is>
          <t>Deathtouch
Ferocious — Whenever this creature attacks while you control a creature with power 4 or greater, you gain 2 life.
(2/2)</t>
        </is>
      </c>
      <c r="M68" t="inlineStr">
        <is>
          <t>Utility Creature</t>
        </is>
      </c>
      <c r="N68" t="inlineStr">
        <is>
          <t>Deathtouch</t>
        </is>
      </c>
      <c r="O68" t="inlineStr">
        <is>
          <t>Ferocious - whenever it attacks while you control a creature with power 4 or greater, you gain 2 life</t>
        </is>
      </c>
      <c r="R68" t="n">
        <v>0.18</v>
      </c>
    </row>
    <row r="69" ht="15" customHeight="1" s="148">
      <c r="A69" t="inlineStr">
        <is>
          <t>c0068</t>
        </is>
      </c>
      <c r="B69" t="inlineStr">
        <is>
          <t>Read the Bones</t>
        </is>
      </c>
      <c r="C69" t="n">
        <v>1</v>
      </c>
      <c r="E69" t="n">
        <v>0</v>
      </c>
      <c r="F69" t="n">
        <v>1</v>
      </c>
      <c r="G69" t="n">
        <v>0</v>
      </c>
      <c r="H69" t="inlineStr">
        <is>
          <t>B</t>
        </is>
      </c>
      <c r="I69" t="inlineStr">
        <is>
          <t>Sorcery</t>
        </is>
      </c>
      <c r="J69" t="inlineStr">
        <is>
          <t>B2</t>
        </is>
      </c>
      <c r="K69" t="n">
        <v>3</v>
      </c>
      <c r="L69" t="inlineStr">
        <is>
          <t>Scry 2, then draw two cards. You lose 2 life. (To scry 2, look at the top two cards of your library, then put any number of them on the bottom and the rest on top in any order.)</t>
        </is>
      </c>
      <c r="M69" t="inlineStr">
        <is>
          <t>Card Draw</t>
        </is>
      </c>
      <c r="N69" t="inlineStr">
        <is>
          <t>Scry 2, then draw two cards</t>
        </is>
      </c>
      <c r="O69" t="inlineStr">
        <is>
          <t>You lose 2 life</t>
        </is>
      </c>
      <c r="R69" t="n">
        <v>0.32</v>
      </c>
    </row>
    <row r="70" ht="15" customHeight="1" s="148">
      <c r="A70" t="inlineStr">
        <is>
          <t>c0069</t>
        </is>
      </c>
      <c r="B70" t="inlineStr">
        <is>
          <t>Retched Wretch</t>
        </is>
      </c>
      <c r="C70" t="n">
        <v>1</v>
      </c>
      <c r="E70" t="n">
        <v>0</v>
      </c>
      <c r="F70" t="n">
        <v>1</v>
      </c>
      <c r="G70" t="n">
        <v>0</v>
      </c>
      <c r="H70" t="inlineStr">
        <is>
          <t>B</t>
        </is>
      </c>
      <c r="I70" t="inlineStr">
        <is>
          <t>Creature</t>
        </is>
      </c>
      <c r="J70" t="inlineStr">
        <is>
          <t>B2</t>
        </is>
      </c>
      <c r="K70" t="n">
        <v>3</v>
      </c>
      <c r="L70" t="inlineStr">
        <is>
          <t>When this creature dies, if it had a -1/-1 counter on it, return it to the battlefield under its owner's control and it loses all abilities.
(4/2)</t>
        </is>
      </c>
      <c r="M70" t="inlineStr">
        <is>
          <t>Recursion</t>
        </is>
      </c>
      <c r="N70" t="inlineStr">
        <is>
          <t>When it dies with a -1/-1 counter on it, return it to the battlefield with all abilities lost</t>
        </is>
      </c>
      <c r="O70" t="inlineStr">
        <is>
          <t>4/2 body for three mana</t>
        </is>
      </c>
      <c r="R70" t="n">
        <v>0.13</v>
      </c>
    </row>
    <row r="71" ht="15" customHeight="1" s="148">
      <c r="A71" t="inlineStr">
        <is>
          <t>c0070</t>
        </is>
      </c>
      <c r="B71" t="inlineStr">
        <is>
          <t>Ritual of Soot</t>
        </is>
      </c>
      <c r="C71" t="n">
        <v>1</v>
      </c>
      <c r="E71" t="n">
        <v>1</v>
      </c>
      <c r="F71" t="n">
        <v>0</v>
      </c>
      <c r="G71" t="n">
        <v>0</v>
      </c>
      <c r="H71" t="inlineStr">
        <is>
          <t>B</t>
        </is>
      </c>
      <c r="I71" t="inlineStr">
        <is>
          <t>Sorcery</t>
        </is>
      </c>
      <c r="J71" t="inlineStr">
        <is>
          <t>B2</t>
        </is>
      </c>
      <c r="K71" t="n">
        <v>4</v>
      </c>
      <c r="L71" t="inlineStr">
        <is>
          <t>Destroy all creatures with mana value 3 or less.</t>
        </is>
      </c>
      <c r="M71" t="inlineStr">
        <is>
          <t>Board Wipe</t>
        </is>
      </c>
      <c r="N71" t="inlineStr">
        <is>
          <t>Destroys all creatures with mana value 3 or less</t>
        </is>
      </c>
      <c r="R71" t="n">
        <v>0.28</v>
      </c>
    </row>
    <row r="72" ht="15" customHeight="1" s="148">
      <c r="A72" t="inlineStr">
        <is>
          <t>c0071</t>
        </is>
      </c>
      <c r="B72" t="inlineStr">
        <is>
          <t>Scathing Shadelock // Venomous Words</t>
        </is>
      </c>
      <c r="C72" t="n">
        <v>1</v>
      </c>
      <c r="E72" t="n">
        <v>0</v>
      </c>
      <c r="F72" t="n">
        <v>1</v>
      </c>
      <c r="G72" t="n">
        <v>0</v>
      </c>
      <c r="H72" t="inlineStr">
        <is>
          <t>B</t>
        </is>
      </c>
      <c r="I72" t="inlineStr">
        <is>
          <t>Creature</t>
        </is>
      </c>
      <c r="J72" t="inlineStr">
        <is>
          <t>B2</t>
        </is>
      </c>
      <c r="K72" t="n">
        <v>5</v>
      </c>
      <c r="L72" t="inlineStr">
        <is>
          <t>Scathing Shadelock {4}{B} — Creature — Snake Warlock (4/6)
At the beginning of your first main phase, this creature becomes prepared. (While it's prepared, you may cast a copy of its spell. Doing so unprepares it.)
//
Venomous Words {B} — Sorcery
Target creature you control gets +2/+0 and gains deathtouch until end of turn.</t>
        </is>
      </c>
      <c r="M72" t="inlineStr">
        <is>
          <t>Utility Creature</t>
        </is>
      </c>
      <c r="N72" t="inlineStr">
        <is>
          <t>Becomes prepared at the beginning of your first main phase — you may cast a copy of its spell</t>
        </is>
      </c>
      <c r="O72" t="inlineStr">
        <is>
          <t>Venomous Words: target creature you control gets +2/+0 and gains deathtouch until end of turn</t>
        </is>
      </c>
      <c r="P72" t="inlineStr">
        <is>
          <t>4/6 body</t>
        </is>
      </c>
      <c r="R72" t="n">
        <v>0.19</v>
      </c>
    </row>
    <row r="73" ht="15" customHeight="1" s="148">
      <c r="A73" t="inlineStr">
        <is>
          <t>c0072</t>
        </is>
      </c>
      <c r="B73" t="inlineStr">
        <is>
          <t>Sign in Blood</t>
        </is>
      </c>
      <c r="C73" t="n">
        <v>0</v>
      </c>
      <c r="E73" t="n">
        <v>0</v>
      </c>
      <c r="F73" t="n">
        <v>0</v>
      </c>
      <c r="G73" t="n">
        <v>0</v>
      </c>
      <c r="H73" t="inlineStr">
        <is>
          <t>B</t>
        </is>
      </c>
      <c r="I73" t="inlineStr">
        <is>
          <t>Sorcery</t>
        </is>
      </c>
      <c r="J73" t="inlineStr">
        <is>
          <t>B2</t>
        </is>
      </c>
      <c r="K73" t="n">
        <v>2</v>
      </c>
      <c r="L73" t="inlineStr">
        <is>
          <t>Target player draws two cards and loses 2 life.</t>
        </is>
      </c>
      <c r="M73" t="inlineStr">
        <is>
          <t>Card Draw</t>
        </is>
      </c>
      <c r="N73" t="inlineStr">
        <is>
          <t>Target player draws two cards and loses 2 life</t>
        </is>
      </c>
      <c r="R73" t="n">
        <v>3.67</v>
      </c>
    </row>
    <row r="74" ht="15" customHeight="1" s="148">
      <c r="A74" t="inlineStr">
        <is>
          <t>c0073</t>
        </is>
      </c>
      <c r="B74" t="inlineStr">
        <is>
          <t>Slaughter Specialist</t>
        </is>
      </c>
      <c r="C74" t="n">
        <v>0</v>
      </c>
      <c r="E74" t="n">
        <v>0</v>
      </c>
      <c r="F74" t="n">
        <v>0</v>
      </c>
      <c r="G74" t="n">
        <v>0</v>
      </c>
      <c r="H74" t="inlineStr">
        <is>
          <t>B</t>
        </is>
      </c>
      <c r="I74" t="inlineStr">
        <is>
          <t>Creature</t>
        </is>
      </c>
      <c r="J74" t="inlineStr">
        <is>
          <t>B2</t>
        </is>
      </c>
      <c r="K74" t="n">
        <v>2</v>
      </c>
      <c r="L74" t="inlineStr">
        <is>
          <t>When this creature enters, each opponent creates a 1/1 white Human creature token.
Whenever a creature an opponent controls dies, put a +1/+1 counter on this creature.
(3/3)</t>
        </is>
      </c>
      <c r="M74" t="inlineStr">
        <is>
          <t>Toughness Payoff</t>
        </is>
      </c>
      <c r="N74" t="inlineStr">
        <is>
          <t>Gives each opponent a 1/1 Human token when it enters</t>
        </is>
      </c>
      <c r="O74" t="inlineStr">
        <is>
          <t>Gets a +1/+1 counter whenever an opponent's creature dies</t>
        </is>
      </c>
      <c r="R74" t="n">
        <v>0.88</v>
      </c>
    </row>
    <row r="75" ht="15" customHeight="1" s="148">
      <c r="A75" t="inlineStr">
        <is>
          <t>c0074</t>
        </is>
      </c>
      <c r="B75" t="inlineStr">
        <is>
          <t>Stir Up Trouble</t>
        </is>
      </c>
      <c r="C75" t="n">
        <v>2</v>
      </c>
      <c r="E75" t="n">
        <v>1</v>
      </c>
      <c r="F75" t="n">
        <v>1</v>
      </c>
      <c r="G75" t="n">
        <v>1</v>
      </c>
      <c r="H75" t="inlineStr">
        <is>
          <t>B</t>
        </is>
      </c>
      <c r="I75" t="inlineStr">
        <is>
          <t>Sorcery</t>
        </is>
      </c>
      <c r="J75" t="inlineStr">
        <is>
          <t>B2</t>
        </is>
      </c>
      <c r="K75" t="n">
        <v>1</v>
      </c>
      <c r="L75" t="inlineStr">
        <is>
          <t>As an additional cost to cast this spell, sacrifice an artifact or creature or pay {4}.
Destroy target creature.</t>
        </is>
      </c>
      <c r="M75" t="inlineStr">
        <is>
          <t>Removal</t>
        </is>
      </c>
      <c r="N75" t="inlineStr">
        <is>
          <t>Destroy target creature</t>
        </is>
      </c>
      <c r="O75" t="inlineStr">
        <is>
          <t>Additional cost: sacrifice an artifact or creature, or pay {4}</t>
        </is>
      </c>
      <c r="R75" t="n">
        <v>0.13</v>
      </c>
    </row>
    <row r="76" ht="15" customHeight="1" s="148">
      <c r="A76" t="inlineStr">
        <is>
          <t>c0075</t>
        </is>
      </c>
      <c r="B76" t="inlineStr">
        <is>
          <t>Stony-Voiced Goblins</t>
        </is>
      </c>
      <c r="C76" t="n">
        <v>2</v>
      </c>
      <c r="E76" t="n">
        <v>0</v>
      </c>
      <c r="F76" t="n">
        <v>2</v>
      </c>
      <c r="G76" t="n">
        <v>0</v>
      </c>
      <c r="H76" t="inlineStr">
        <is>
          <t>B</t>
        </is>
      </c>
      <c r="I76" t="inlineStr">
        <is>
          <t>Creature</t>
        </is>
      </c>
      <c r="J76" t="inlineStr">
        <is>
          <t>B2</t>
        </is>
      </c>
      <c r="K76" t="n">
        <v>2</v>
      </c>
      <c r="L76" t="inlineStr">
        <is>
          <t>When this creature enters, each opponent discards a card.
(1/1)</t>
        </is>
      </c>
      <c r="M76" t="inlineStr">
        <is>
          <t>Discard/Looting</t>
        </is>
      </c>
      <c r="N76" t="inlineStr">
        <is>
          <t>Each opponent discards a card when it enters</t>
        </is>
      </c>
      <c r="R76" t="n">
        <v>0.15</v>
      </c>
    </row>
    <row r="77" ht="15" customHeight="1" s="148">
      <c r="A77" t="inlineStr">
        <is>
          <t>c0076</t>
        </is>
      </c>
      <c r="B77" t="inlineStr">
        <is>
          <t>Swampsnare Trap</t>
        </is>
      </c>
      <c r="C77" t="n">
        <v>1</v>
      </c>
      <c r="E77" t="n">
        <v>1</v>
      </c>
      <c r="F77" t="n">
        <v>0</v>
      </c>
      <c r="G77" t="n">
        <v>0</v>
      </c>
      <c r="H77" t="inlineStr">
        <is>
          <t>B</t>
        </is>
      </c>
      <c r="I77" t="inlineStr">
        <is>
          <t>Enchantment</t>
        </is>
      </c>
      <c r="J77" t="inlineStr">
        <is>
          <t>B2</t>
        </is>
      </c>
      <c r="K77" t="n">
        <v>3</v>
      </c>
      <c r="L77" t="inlineStr">
        <is>
          <t>This spell costs {1} less to cast if it targets a creature with flying.
Enchant creature
Enchanted creature gets -5/-3.</t>
        </is>
      </c>
      <c r="M77" t="inlineStr">
        <is>
          <t>Removal</t>
        </is>
      </c>
      <c r="N77" t="inlineStr">
        <is>
          <t>Enchanted creature gets -5/-3</t>
        </is>
      </c>
      <c r="O77" t="inlineStr">
        <is>
          <t>Costs {1} less to cast if it targets a creature with flying</t>
        </is>
      </c>
      <c r="R77" t="n">
        <v>0.16</v>
      </c>
    </row>
    <row r="78" ht="15" customHeight="1" s="148">
      <c r="A78" t="inlineStr">
        <is>
          <t>c0077</t>
        </is>
      </c>
      <c r="B78" t="inlineStr">
        <is>
          <t>Terror</t>
        </is>
      </c>
      <c r="C78" t="n">
        <v>2</v>
      </c>
      <c r="E78" t="n">
        <v>2</v>
      </c>
      <c r="F78" t="n">
        <v>0</v>
      </c>
      <c r="G78" t="n">
        <v>1</v>
      </c>
      <c r="H78" t="inlineStr">
        <is>
          <t>B</t>
        </is>
      </c>
      <c r="I78" t="inlineStr">
        <is>
          <t>Instant</t>
        </is>
      </c>
      <c r="J78" t="inlineStr">
        <is>
          <t>B2</t>
        </is>
      </c>
      <c r="K78" t="n">
        <v>2</v>
      </c>
      <c r="L78" t="inlineStr">
        <is>
          <t>Destroy target nonartifact, nonblack creature. It can't be regenerated.</t>
        </is>
      </c>
      <c r="M78" t="inlineStr">
        <is>
          <t>Removal</t>
        </is>
      </c>
      <c r="N78" t="inlineStr">
        <is>
          <t>Destroys target nonartifact, nonblack creature</t>
        </is>
      </c>
      <c r="O78" t="inlineStr">
        <is>
          <t>That creature can't be regenerated</t>
        </is>
      </c>
      <c r="R78" t="n">
        <v>0.24</v>
      </c>
    </row>
    <row r="79" ht="15" customHeight="1" s="148">
      <c r="A79" t="inlineStr">
        <is>
          <t>c0078</t>
        </is>
      </c>
      <c r="B79" t="inlineStr">
        <is>
          <t>The Meathook Massacre</t>
        </is>
      </c>
      <c r="C79" t="n">
        <v>0</v>
      </c>
      <c r="E79" t="n">
        <v>0</v>
      </c>
      <c r="F79" t="n">
        <v>0</v>
      </c>
      <c r="G79" t="n">
        <v>0</v>
      </c>
      <c r="H79" t="inlineStr">
        <is>
          <t>B</t>
        </is>
      </c>
      <c r="I79" t="inlineStr">
        <is>
          <t>Legendary Enchantment</t>
        </is>
      </c>
      <c r="J79" t="inlineStr">
        <is>
          <t>B3</t>
        </is>
      </c>
      <c r="K79" t="n">
        <v>2</v>
      </c>
      <c r="L79" t="inlineStr">
        <is>
          <t>When The Meathook Massacre enters, each creature gets -X/-X until end of turn.
Whenever a creature you control dies, each opponent loses 1 life.
Whenever a creature an opponent controls dies, you gain 1 life.</t>
        </is>
      </c>
      <c r="M79" t="inlineStr">
        <is>
          <t>Board Wipe</t>
        </is>
      </c>
      <c r="N79" t="inlineStr">
        <is>
          <t>When The Meathook Massacre enters, each creature gets -X/-X until end of turn.
Whenever a creature you control dies, eac</t>
        </is>
      </c>
      <c r="R79" t="n">
        <v>25.01</v>
      </c>
    </row>
    <row r="80" ht="15" customHeight="1" s="148">
      <c r="A80" t="inlineStr">
        <is>
          <t>c0079</t>
        </is>
      </c>
      <c r="B80" t="inlineStr">
        <is>
          <t>Thirsting Shade</t>
        </is>
      </c>
      <c r="C80" t="n">
        <v>1</v>
      </c>
      <c r="E80" t="n">
        <v>0</v>
      </c>
      <c r="F80" t="n">
        <v>1</v>
      </c>
      <c r="G80" t="n">
        <v>0</v>
      </c>
      <c r="H80" t="inlineStr">
        <is>
          <t>B</t>
        </is>
      </c>
      <c r="I80" t="inlineStr">
        <is>
          <t>Creature</t>
        </is>
      </c>
      <c r="J80" t="inlineStr">
        <is>
          <t>B2</t>
        </is>
      </c>
      <c r="K80" t="n">
        <v>1</v>
      </c>
      <c r="L80" t="inlineStr">
        <is>
          <t>Lifelink
{2}{B}: This creature gets +1/+1 until end of turn.
(1/1)</t>
        </is>
      </c>
      <c r="M80" t="inlineStr">
        <is>
          <t>Mana Sink</t>
        </is>
      </c>
      <c r="N80" t="inlineStr">
        <is>
          <t>Pay {2}{B} to get +1/+1 until end of turn, any number of times</t>
        </is>
      </c>
      <c r="O80" t="inlineStr">
        <is>
          <t>Gains you life equal to damage it deals</t>
        </is>
      </c>
      <c r="R80" t="n">
        <v>0.14</v>
      </c>
    </row>
    <row r="81" ht="15" customHeight="1" s="148">
      <c r="A81" t="inlineStr">
        <is>
          <t>c0080</t>
        </is>
      </c>
      <c r="B81" t="inlineStr">
        <is>
          <t>Tree of Perdition</t>
        </is>
      </c>
      <c r="C81" t="n">
        <v>1</v>
      </c>
      <c r="E81" t="n">
        <v>1</v>
      </c>
      <c r="F81" t="n">
        <v>0</v>
      </c>
      <c r="G81" t="n">
        <v>1</v>
      </c>
      <c r="H81" t="inlineStr">
        <is>
          <t>B</t>
        </is>
      </c>
      <c r="I81" t="inlineStr">
        <is>
          <t>Creature</t>
        </is>
      </c>
      <c r="J81" t="inlineStr">
        <is>
          <t>B2</t>
        </is>
      </c>
      <c r="K81" t="n">
        <v>4</v>
      </c>
      <c r="L81" t="inlineStr">
        <is>
          <t>Defender
{T}: Exchange target opponent's life total with this creature's toughness.
(0/13)</t>
        </is>
      </c>
      <c r="M81" t="inlineStr">
        <is>
          <t>Finisher</t>
        </is>
      </c>
      <c r="N81" t="inlineStr">
        <is>
          <t>Tap: swap target opponent's life total with this creature's toughness</t>
        </is>
      </c>
      <c r="O81" t="inlineStr">
        <is>
          <t>Defender body</t>
        </is>
      </c>
      <c r="R81" t="n">
        <v>2.94</v>
      </c>
    </row>
    <row r="82" ht="15" customHeight="1" s="148">
      <c r="A82" t="inlineStr">
        <is>
          <t>c0081</t>
        </is>
      </c>
      <c r="B82" t="inlineStr">
        <is>
          <t>Triskaidekaphobia</t>
        </is>
      </c>
      <c r="C82" t="n">
        <v>1</v>
      </c>
      <c r="E82" t="n">
        <v>0</v>
      </c>
      <c r="F82" t="n">
        <v>1</v>
      </c>
      <c r="G82" t="n">
        <v>0</v>
      </c>
      <c r="H82" t="inlineStr">
        <is>
          <t>B</t>
        </is>
      </c>
      <c r="I82" t="inlineStr">
        <is>
          <t>Enchantment</t>
        </is>
      </c>
      <c r="J82" t="inlineStr">
        <is>
          <t>B2</t>
        </is>
      </c>
      <c r="K82" t="n">
        <v>4</v>
      </c>
      <c r="L82" t="inlineStr">
        <is>
          <t>At the beginning of your upkeep, choose one —
• Each player with exactly 13 life loses the game, then each player gains 1 life.
• Each player with exactly 13 life loses the game, then each player loses 1 life.</t>
        </is>
      </c>
      <c r="M82" t="inlineStr">
        <is>
          <t>Finisher</t>
        </is>
      </c>
      <c r="N82" t="inlineStr">
        <is>
          <t>At the beginning of your upkeep, choose one —</t>
        </is>
      </c>
      <c r="O82" t="inlineStr">
        <is>
          <t>• Each player with exactly 13 life loses the game, then each player gains 1 life</t>
        </is>
      </c>
      <c r="P82" t="inlineStr">
        <is>
          <t>• Each player with exactly 13 life loses the game, then each player loses 1 life</t>
        </is>
      </c>
      <c r="R82" t="n">
        <v>0.21</v>
      </c>
    </row>
    <row r="83" ht="15" customHeight="1" s="148">
      <c r="A83" t="inlineStr">
        <is>
          <t>c0082</t>
        </is>
      </c>
      <c r="B83" t="inlineStr">
        <is>
          <t>Unbury</t>
        </is>
      </c>
      <c r="C83" t="n">
        <v>1</v>
      </c>
      <c r="E83" t="n">
        <v>0</v>
      </c>
      <c r="F83" t="n">
        <v>1</v>
      </c>
      <c r="G83" t="n">
        <v>0</v>
      </c>
      <c r="H83" t="inlineStr">
        <is>
          <t>B</t>
        </is>
      </c>
      <c r="I83" t="inlineStr">
        <is>
          <t>Instant</t>
        </is>
      </c>
      <c r="J83" t="inlineStr">
        <is>
          <t>B2</t>
        </is>
      </c>
      <c r="K83" t="n">
        <v>2</v>
      </c>
      <c r="L83" t="inlineStr">
        <is>
          <t>Choose one —
• Return target creature card from your graveyard to your hand.
• Return two target creature cards that share a creature type from your graveyard to your hand.</t>
        </is>
      </c>
      <c r="M83" t="inlineStr">
        <is>
          <t>Recursion</t>
        </is>
      </c>
      <c r="N83" t="inlineStr">
        <is>
          <t>Returns target creature card from your graveyard to hand</t>
        </is>
      </c>
      <c r="O83" t="inlineStr">
        <is>
          <t>Or returns two target creature cards sharing a type from your graveyard to hand</t>
        </is>
      </c>
      <c r="R83" t="n">
        <v>0.25</v>
      </c>
    </row>
    <row r="84" ht="15" customHeight="1" s="148">
      <c r="A84" t="inlineStr">
        <is>
          <t>c0083</t>
        </is>
      </c>
      <c r="B84" t="inlineStr">
        <is>
          <t>Undercity's Embrace</t>
        </is>
      </c>
      <c r="C84" t="n">
        <v>1</v>
      </c>
      <c r="E84" t="n">
        <v>0</v>
      </c>
      <c r="F84" t="n">
        <v>1</v>
      </c>
      <c r="G84" t="n">
        <v>0</v>
      </c>
      <c r="H84" t="inlineStr">
        <is>
          <t>B</t>
        </is>
      </c>
      <c r="I84" t="inlineStr">
        <is>
          <t>Instant</t>
        </is>
      </c>
      <c r="J84" t="inlineStr">
        <is>
          <t>B2</t>
        </is>
      </c>
      <c r="K84" t="n">
        <v>3</v>
      </c>
      <c r="L84" t="inlineStr">
        <is>
          <t>Target opponent sacrifices a creature of their choice. If you control a creature with power 4 or greater, you gain 4 life.</t>
        </is>
      </c>
      <c r="M84" t="inlineStr">
        <is>
          <t>Removal</t>
        </is>
      </c>
      <c r="N84" t="inlineStr">
        <is>
          <t>Target opponent sacrifices a creature of their choice</t>
        </is>
      </c>
      <c r="O84" t="inlineStr">
        <is>
          <t>Gain 4 life if you control a creature with power 4 or greater</t>
        </is>
      </c>
      <c r="R84" t="n">
        <v>0.19</v>
      </c>
    </row>
    <row r="85" ht="15" customHeight="1" s="148">
      <c r="A85" t="inlineStr">
        <is>
          <t>c0084</t>
        </is>
      </c>
      <c r="B85" t="inlineStr">
        <is>
          <t>Vampire Hexmage</t>
        </is>
      </c>
      <c r="C85" t="n">
        <v>2</v>
      </c>
      <c r="E85" t="n">
        <v>1</v>
      </c>
      <c r="F85" t="n">
        <v>1</v>
      </c>
      <c r="G85" t="n">
        <v>0</v>
      </c>
      <c r="H85" t="inlineStr">
        <is>
          <t>B</t>
        </is>
      </c>
      <c r="I85" t="inlineStr">
        <is>
          <t>Creature</t>
        </is>
      </c>
      <c r="J85" t="inlineStr">
        <is>
          <t>B2</t>
        </is>
      </c>
      <c r="K85" t="n">
        <v>2</v>
      </c>
      <c r="L85" t="inlineStr">
        <is>
          <t>First strike
Sacrifice this creature: Remove all counters from target permanent.
(2/1)</t>
        </is>
      </c>
      <c r="M85" t="inlineStr">
        <is>
          <t>Removal</t>
        </is>
      </c>
      <c r="N85" t="inlineStr">
        <is>
          <t>Sacrifice: remove all counters from target permanent (can kill planeswalkers)</t>
        </is>
      </c>
      <c r="O85" t="inlineStr">
        <is>
          <t>First strike body</t>
        </is>
      </c>
      <c r="R85" t="n">
        <v>0.27</v>
      </c>
    </row>
    <row r="86" ht="15" customHeight="1" s="148">
      <c r="A86" t="inlineStr">
        <is>
          <t>c0085</t>
        </is>
      </c>
      <c r="B86" t="inlineStr">
        <is>
          <t>Village Rites</t>
        </is>
      </c>
      <c r="C86" t="n">
        <v>1</v>
      </c>
      <c r="E86" t="n">
        <v>1</v>
      </c>
      <c r="F86" t="n">
        <v>0</v>
      </c>
      <c r="G86" t="n">
        <v>1</v>
      </c>
      <c r="H86" t="inlineStr">
        <is>
          <t>B</t>
        </is>
      </c>
      <c r="I86" t="inlineStr">
        <is>
          <t>Instant</t>
        </is>
      </c>
      <c r="J86" t="inlineStr">
        <is>
          <t>B2</t>
        </is>
      </c>
      <c r="K86" t="n">
        <v>1</v>
      </c>
      <c r="L86" t="inlineStr">
        <is>
          <t>As an additional cost to cast this spell, sacrifice a creature.
Draw two cards.</t>
        </is>
      </c>
      <c r="M86" t="inlineStr">
        <is>
          <t>Sacrifice Outlet</t>
        </is>
      </c>
      <c r="N86" t="inlineStr">
        <is>
          <t>Sacrifice a creature to draw two cards</t>
        </is>
      </c>
      <c r="R86" t="n">
        <v>0.39</v>
      </c>
    </row>
    <row r="87" ht="15" customHeight="1" s="148">
      <c r="A87" t="inlineStr">
        <is>
          <t>c0086</t>
        </is>
      </c>
      <c r="B87" t="inlineStr">
        <is>
          <t>Viscera Seer</t>
        </is>
      </c>
      <c r="C87" t="n">
        <v>1</v>
      </c>
      <c r="E87" t="n">
        <v>1</v>
      </c>
      <c r="F87" t="n">
        <v>0</v>
      </c>
      <c r="G87" t="n">
        <v>0</v>
      </c>
      <c r="H87" t="inlineStr">
        <is>
          <t>B</t>
        </is>
      </c>
      <c r="I87" t="inlineStr">
        <is>
          <t>Creature</t>
        </is>
      </c>
      <c r="J87" t="inlineStr">
        <is>
          <t>B2</t>
        </is>
      </c>
      <c r="K87" t="n">
        <v>1</v>
      </c>
      <c r="L87" t="inlineStr">
        <is>
          <t>Sacrifice a creature: Scry 1. (Look at the top card of your library. You may put that card on the bottom.)
(1/1)</t>
        </is>
      </c>
      <c r="M87" t="inlineStr">
        <is>
          <t>Sacrifice Outlet</t>
        </is>
      </c>
      <c r="N87" t="inlineStr">
        <is>
          <t>Sacrifice a creature: Scry 1</t>
        </is>
      </c>
      <c r="R87" t="n">
        <v>0.41</v>
      </c>
    </row>
    <row r="88" ht="15" customHeight="1" s="148">
      <c r="A88" t="inlineStr">
        <is>
          <t>c0087</t>
        </is>
      </c>
      <c r="B88" t="inlineStr">
        <is>
          <t>Vraska, Betrayal's Sting</t>
        </is>
      </c>
      <c r="C88" t="n">
        <v>0</v>
      </c>
      <c r="E88" t="n">
        <v>0</v>
      </c>
      <c r="F88" t="n">
        <v>0</v>
      </c>
      <c r="G88" t="n">
        <v>0</v>
      </c>
      <c r="H88" t="inlineStr">
        <is>
          <t>B</t>
        </is>
      </c>
      <c r="I88" t="inlineStr">
        <is>
          <t>Legendary Planeswalker</t>
        </is>
      </c>
      <c r="J88" t="inlineStr">
        <is>
          <t>B3</t>
        </is>
      </c>
      <c r="K88" t="n">
        <v>6</v>
      </c>
      <c r="L88" t="inlineStr">
        <is>
          <t>Compleated ({B/P} can be paid with {B} or 2 life. If life was paid, this planeswalker enters with two fewer loyalty counters.)
0: You draw a card and lose 1 life. Proliferate.
−2: Target creature becomes a Treasure artifact with "{T}, Sacrifice this artifact: Add one mana of any color" and loses all other card types and abilities.
−9: If target player has fewer than nine poison counters, they get a number of poison counters equal to the difference.
(Loyalty 6)</t>
        </is>
      </c>
      <c r="M88" t="inlineStr">
        <is>
          <t>Proliferate</t>
        </is>
      </c>
      <c r="N88" t="inlineStr">
        <is>
          <t xml:space="preserve">Compleated ({B/P} can be paid with {B} or 2 life. If life was paid, this planeswalker enters with two fewer loyalty counters.)
0: You draw a card and lose 1 life. Proliferate.
−2: Target creature becomes a Treasure artifact with "{T}, Sacrifice this </t>
        </is>
      </c>
      <c r="R88" t="n">
        <v>0.9399999999999999</v>
      </c>
    </row>
    <row r="89" ht="15" customHeight="1" s="148">
      <c r="A89" t="inlineStr">
        <is>
          <t>c0088</t>
        </is>
      </c>
      <c r="B89" t="inlineStr">
        <is>
          <t>Vraska's Fall</t>
        </is>
      </c>
      <c r="C89" t="n">
        <v>0</v>
      </c>
      <c r="E89" t="n">
        <v>0</v>
      </c>
      <c r="F89" t="n">
        <v>0</v>
      </c>
      <c r="G89" t="n">
        <v>0</v>
      </c>
      <c r="H89" t="inlineStr">
        <is>
          <t>B</t>
        </is>
      </c>
      <c r="I89" t="inlineStr">
        <is>
          <t>Instant</t>
        </is>
      </c>
      <c r="J89" t="inlineStr">
        <is>
          <t>B2</t>
        </is>
      </c>
      <c r="K89" t="n">
        <v>3</v>
      </c>
      <c r="L89" t="inlineStr">
        <is>
          <t>Each opponent sacrifices a creature or planeswalker of their choice and gets a poison counter.</t>
        </is>
      </c>
      <c r="M89" t="inlineStr">
        <is>
          <t>Removal</t>
        </is>
      </c>
      <c r="N89" t="inlineStr">
        <is>
          <t>Each opponent sacrifices a creature or planeswalker of their choice and gets a poison counter</t>
        </is>
      </c>
      <c r="R89" t="n">
        <v>0.39</v>
      </c>
    </row>
    <row r="90" ht="15" customHeight="1" s="148">
      <c r="A90" t="inlineStr">
        <is>
          <t>c0089</t>
        </is>
      </c>
      <c r="B90" t="inlineStr">
        <is>
          <t>Wall of Blood</t>
        </is>
      </c>
      <c r="C90" t="n">
        <v>0</v>
      </c>
      <c r="E90" t="n">
        <v>0</v>
      </c>
      <c r="F90" t="n">
        <v>0</v>
      </c>
      <c r="G90" t="n">
        <v>0</v>
      </c>
      <c r="H90" t="inlineStr">
        <is>
          <t>B</t>
        </is>
      </c>
      <c r="I90" t="inlineStr">
        <is>
          <t>Creature</t>
        </is>
      </c>
      <c r="J90" t="inlineStr">
        <is>
          <t>B2</t>
        </is>
      </c>
      <c r="K90" t="n">
        <v>3</v>
      </c>
      <c r="L90" t="inlineStr">
        <is>
          <t>Defender (This creature can't attack.)
Pay 1 life: This creature gets +1/+1 until end of turn.
(0/2)</t>
        </is>
      </c>
      <c r="M90" t="inlineStr">
        <is>
          <t>Utility Creature</t>
        </is>
      </c>
      <c r="N90" t="inlineStr">
        <is>
          <t>Defender</t>
        </is>
      </c>
      <c r="O90" t="inlineStr">
        <is>
          <t>Pay 1 life: This creature gets +1/+1 until end of turn</t>
        </is>
      </c>
      <c r="R90" t="n">
        <v>2.02</v>
      </c>
    </row>
    <row r="91" ht="15" customHeight="1" s="148">
      <c r="A91" t="inlineStr">
        <is>
          <t>c0090</t>
        </is>
      </c>
      <c r="B91" t="inlineStr">
        <is>
          <t>Wall of Limbs</t>
        </is>
      </c>
      <c r="C91" t="n">
        <v>1</v>
      </c>
      <c r="E91" t="n">
        <v>1</v>
      </c>
      <c r="F91" t="n">
        <v>0</v>
      </c>
      <c r="G91" t="n">
        <v>1</v>
      </c>
      <c r="H91" t="inlineStr">
        <is>
          <t>B</t>
        </is>
      </c>
      <c r="I91" t="inlineStr">
        <is>
          <t>Creature</t>
        </is>
      </c>
      <c r="J91" t="inlineStr">
        <is>
          <t>B2</t>
        </is>
      </c>
      <c r="K91" t="n">
        <v>3</v>
      </c>
      <c r="L91" t="inlineStr">
        <is>
          <t>Defender (This creature can't attack.)
Whenever you gain life, put a +1/+1 counter on this creature.
{5}{B}{B}, Sacrifice this creature: Target player loses X life, where X is this creature's power.
(0/3)</t>
        </is>
      </c>
      <c r="M91" t="inlineStr">
        <is>
          <t>Toughness Payoff</t>
        </is>
      </c>
      <c r="N91" t="inlineStr">
        <is>
          <t>Gets a +1/+1 counter whenever you gain life</t>
        </is>
      </c>
      <c r="O91" t="inlineStr">
        <is>
          <t>Sacrifice: target player loses life equal to this creature's power</t>
        </is>
      </c>
      <c r="P91" t="inlineStr">
        <is>
          <t>Defender body</t>
        </is>
      </c>
      <c r="R91" t="n">
        <v>0.24</v>
      </c>
    </row>
    <row r="92" ht="15" customHeight="1" s="148">
      <c r="A92" t="inlineStr">
        <is>
          <t>c0091</t>
        </is>
      </c>
      <c r="B92" t="inlineStr">
        <is>
          <t>Wander Off</t>
        </is>
      </c>
      <c r="C92" t="n">
        <v>1</v>
      </c>
      <c r="E92" t="n">
        <v>0</v>
      </c>
      <c r="F92" t="n">
        <v>1</v>
      </c>
      <c r="G92" t="n">
        <v>0</v>
      </c>
      <c r="H92" t="inlineStr">
        <is>
          <t>B</t>
        </is>
      </c>
      <c r="I92" t="inlineStr">
        <is>
          <t>Instant</t>
        </is>
      </c>
      <c r="J92" t="inlineStr">
        <is>
          <t>B2</t>
        </is>
      </c>
      <c r="K92" t="n">
        <v>4</v>
      </c>
      <c r="L92" t="inlineStr">
        <is>
          <t>Exile target creature.</t>
        </is>
      </c>
      <c r="M92" t="inlineStr">
        <is>
          <t>Removal</t>
        </is>
      </c>
      <c r="N92" t="inlineStr">
        <is>
          <t>Exiles target creature</t>
        </is>
      </c>
      <c r="R92" t="n">
        <v>0.11</v>
      </c>
    </row>
    <row r="93" ht="15" customHeight="1" s="148">
      <c r="A93" t="inlineStr">
        <is>
          <t>c0092</t>
        </is>
      </c>
      <c r="B93" t="inlineStr">
        <is>
          <t>Woe Strider</t>
        </is>
      </c>
      <c r="C93" t="n">
        <v>0</v>
      </c>
      <c r="D93" t="n">
        <v>1</v>
      </c>
      <c r="E93" t="n">
        <v>0</v>
      </c>
      <c r="F93" t="n">
        <v>0</v>
      </c>
      <c r="G93" t="n">
        <v>1</v>
      </c>
      <c r="H93" t="inlineStr">
        <is>
          <t>B</t>
        </is>
      </c>
      <c r="I93" t="inlineStr">
        <is>
          <t>Creature</t>
        </is>
      </c>
      <c r="J93" t="inlineStr">
        <is>
          <t>B3</t>
        </is>
      </c>
      <c r="K93" t="n">
        <v>3</v>
      </c>
      <c r="L93" t="inlineStr">
        <is>
          <t>When this creature enters, create a 0/1 white Goat creature token.
Sacrifice another creature: Scry 1.
Escape—{3}{B}{B}, Exile four other cards from your graveyard. (You may cast this card from your graveyard for its escape cost.)
This creature escapes with two +1/+1 counters on it.
(3/2)</t>
        </is>
      </c>
      <c r="M93" t="inlineStr">
        <is>
          <t>Sacrifice Outlet</t>
        </is>
      </c>
      <c r="N93" t="inlineStr">
        <is>
          <t>When this creature enters, create a 0/1 white Goat creature token.
Sacrifice another creature: Scry 1.
Escape—{3}{B}{B}, Exile four other cards from your graveyard. (You may cast this card from your graveyard for its escape cost.)
This creature escap</t>
        </is>
      </c>
      <c r="R93" t="n">
        <v>0.21</v>
      </c>
    </row>
    <row r="94" ht="15" customHeight="1" s="148">
      <c r="A94" t="inlineStr">
        <is>
          <t>c0093</t>
        </is>
      </c>
      <c r="B94" t="inlineStr">
        <is>
          <t>Yahenni, Undying Partisan</t>
        </is>
      </c>
      <c r="C94" t="n">
        <v>0</v>
      </c>
      <c r="E94" t="n">
        <v>0</v>
      </c>
      <c r="F94" t="n">
        <v>0</v>
      </c>
      <c r="G94" t="n">
        <v>0</v>
      </c>
      <c r="H94" t="inlineStr">
        <is>
          <t>B</t>
        </is>
      </c>
      <c r="I94" t="inlineStr">
        <is>
          <t>Legendary Creature</t>
        </is>
      </c>
      <c r="J94" t="inlineStr">
        <is>
          <t>B3</t>
        </is>
      </c>
      <c r="K94" t="n">
        <v>3</v>
      </c>
      <c r="L94" t="inlineStr">
        <is>
          <t>Haste
Whenever a creature an opponent controls dies, put a +1/+1 counter on Yahenni.
Sacrifice another creature: Yahenni gains indestructible until end of turn.
(2/2)</t>
        </is>
      </c>
      <c r="M94" t="inlineStr">
        <is>
          <t>Sacrifice Outlet</t>
        </is>
      </c>
      <c r="N94" t="inlineStr">
        <is>
          <t>Haste
Whenever a creature an opponent controls dies, put a +1/+1 counter on Yahenni.
Sacrifice another creature: Yahenni gains indestructible until end of turn.</t>
        </is>
      </c>
      <c r="R94" t="n">
        <v>0.3</v>
      </c>
    </row>
    <row r="95" ht="15" customHeight="1" s="148">
      <c r="A95" t="inlineStr">
        <is>
          <t>c0094</t>
        </is>
      </c>
      <c r="B95" t="inlineStr">
        <is>
          <t>Zulaport Cutthroat</t>
        </is>
      </c>
      <c r="C95" t="n">
        <v>1</v>
      </c>
      <c r="E95" t="n">
        <v>1</v>
      </c>
      <c r="F95" t="n">
        <v>0</v>
      </c>
      <c r="G95" t="n">
        <v>1</v>
      </c>
      <c r="H95" t="inlineStr">
        <is>
          <t>B</t>
        </is>
      </c>
      <c r="I95" t="inlineStr">
        <is>
          <t>Creature</t>
        </is>
      </c>
      <c r="J95" t="inlineStr">
        <is>
          <t>B2</t>
        </is>
      </c>
      <c r="K95" t="n">
        <v>2</v>
      </c>
      <c r="L95" t="inlineStr">
        <is>
          <t>Whenever this creature or another creature you control dies, each opponent loses 1 life and you gain 1 life.
(1/1)</t>
        </is>
      </c>
      <c r="M95" t="inlineStr">
        <is>
          <t>Drain Payoff</t>
        </is>
      </c>
      <c r="N95" t="inlineStr">
        <is>
          <t>Whenever it or another creature you control dies, each opponent loses 1 life and you gain 1 life</t>
        </is>
      </c>
      <c r="R95" t="n">
        <v>1.32</v>
      </c>
    </row>
    <row r="96" ht="15" customHeight="1" s="148">
      <c r="A96" t="inlineStr">
        <is>
          <t>c0095</t>
        </is>
      </c>
      <c r="B96" t="inlineStr">
        <is>
          <t>Aetherflux Reservoir</t>
        </is>
      </c>
      <c r="C96" t="n">
        <v>0</v>
      </c>
      <c r="E96" t="n">
        <v>0</v>
      </c>
      <c r="F96" t="n">
        <v>0</v>
      </c>
      <c r="G96" t="n">
        <v>0</v>
      </c>
      <c r="H96" t="inlineStr">
        <is>
          <t>C</t>
        </is>
      </c>
      <c r="I96" t="inlineStr">
        <is>
          <t>Artifact</t>
        </is>
      </c>
      <c r="J96" t="inlineStr">
        <is>
          <t>B3</t>
        </is>
      </c>
      <c r="K96" t="n">
        <v>4</v>
      </c>
      <c r="L96" t="inlineStr">
        <is>
          <t>Whenever you cast a spell, you gain 1 life for each spell you've cast this turn.
Pay 50 life: This artifact deals 50 damage to any target.</t>
        </is>
      </c>
      <c r="M96" t="inlineStr">
        <is>
          <t>Finisher</t>
        </is>
      </c>
      <c r="N96" t="inlineStr">
        <is>
          <t>Whenever you cast a spell, you gain 1 life for each spell you've cast this turn.
Pay 50 life: This artifact deals 50 damage to any target.</t>
        </is>
      </c>
      <c r="R96" t="n">
        <v>20.45</v>
      </c>
    </row>
    <row r="97" ht="15" customHeight="1" s="148">
      <c r="A97" t="inlineStr">
        <is>
          <t>c0096</t>
        </is>
      </c>
      <c r="B97" t="inlineStr">
        <is>
          <t>Aetheric Amplifier</t>
        </is>
      </c>
      <c r="C97" t="n">
        <v>1</v>
      </c>
      <c r="E97" t="n">
        <v>1</v>
      </c>
      <c r="F97" t="n">
        <v>0</v>
      </c>
      <c r="G97" t="n">
        <v>0</v>
      </c>
      <c r="H97" t="inlineStr">
        <is>
          <t>C</t>
        </is>
      </c>
      <c r="I97" t="inlineStr">
        <is>
          <t>Artifact</t>
        </is>
      </c>
      <c r="J97" t="inlineStr">
        <is>
          <t>B2</t>
        </is>
      </c>
      <c r="K97" t="n">
        <v>3</v>
      </c>
      <c r="L97" t="inlineStr">
        <is>
          <t>{T}: Add one mana of any color.
{4}, {T}: Choose one. Activate only as a sorcery.
• Double the number of each kind of counter on target permanent.
• Double the number of each kind of counter you have.</t>
        </is>
      </c>
      <c r="M97" t="inlineStr">
        <is>
          <t>Mana Rock</t>
        </is>
      </c>
      <c r="N97" t="inlineStr">
        <is>
          <t>Taps for one mana of any color</t>
        </is>
      </c>
      <c r="O97" t="inlineStr">
        <is>
          <t>Pay {4} and tap to double the counters of a kind on target permanent</t>
        </is>
      </c>
      <c r="P97" t="inlineStr">
        <is>
          <t>Or double each kind of counter you have</t>
        </is>
      </c>
      <c r="R97" t="n">
        <v>0.51</v>
      </c>
    </row>
    <row r="98" ht="15" customHeight="1" s="148">
      <c r="A98" t="inlineStr">
        <is>
          <t>c0097</t>
        </is>
      </c>
      <c r="B98" t="inlineStr">
        <is>
          <t>Arcane Signet</t>
        </is>
      </c>
      <c r="C98" t="n">
        <v>4</v>
      </c>
      <c r="D98" t="n">
        <v>1</v>
      </c>
      <c r="E98" t="n">
        <v>4</v>
      </c>
      <c r="F98" t="n">
        <v>0</v>
      </c>
      <c r="G98" t="n">
        <v>5</v>
      </c>
      <c r="H98" t="inlineStr">
        <is>
          <t>C</t>
        </is>
      </c>
      <c r="I98" t="inlineStr">
        <is>
          <t>Artifact</t>
        </is>
      </c>
      <c r="J98" t="inlineStr">
        <is>
          <t>B2</t>
        </is>
      </c>
      <c r="K98" t="n">
        <v>2</v>
      </c>
      <c r="L98" t="inlineStr">
        <is>
          <t>{T}: Add one mana of any color in your commander's color identity.</t>
        </is>
      </c>
      <c r="M98" t="inlineStr">
        <is>
          <t>Mana Rock</t>
        </is>
      </c>
      <c r="N98" t="inlineStr">
        <is>
          <t>Taps for any color in your commander's color identity</t>
        </is>
      </c>
      <c r="R98" t="n">
        <v>0.41</v>
      </c>
    </row>
    <row r="99" ht="15" customHeight="1" s="148">
      <c r="A99" t="inlineStr">
        <is>
          <t>c0098</t>
        </is>
      </c>
      <c r="B99" t="inlineStr">
        <is>
          <t>Argentum Masticore</t>
        </is>
      </c>
      <c r="C99" t="n">
        <v>1</v>
      </c>
      <c r="E99" t="n">
        <v>1</v>
      </c>
      <c r="F99" t="n">
        <v>0</v>
      </c>
      <c r="G99" t="n">
        <v>0</v>
      </c>
      <c r="H99" t="inlineStr">
        <is>
          <t>C</t>
        </is>
      </c>
      <c r="I99" t="inlineStr">
        <is>
          <t>Artifact Creature</t>
        </is>
      </c>
      <c r="J99" t="inlineStr">
        <is>
          <t>B2</t>
        </is>
      </c>
      <c r="K99" t="n">
        <v>5</v>
      </c>
      <c r="L99" t="inlineStr">
        <is>
          <t>First strike, protection from multicolored
At the beginning of your upkeep, sacrifice this creature unless you discard a card. When you discard a card this way, destroy target nonland permanent an opponent controls with mana value less than or equal to the mana value of the discarded card.
(5/5)</t>
        </is>
      </c>
      <c r="M99" t="inlineStr">
        <is>
          <t>Removal</t>
        </is>
      </c>
      <c r="N99" t="inlineStr">
        <is>
          <t>Discard a card each upkeep or sacrifice this creature</t>
        </is>
      </c>
      <c r="O99" t="inlineStr">
        <is>
          <t>Discarding destroys an opponent's permanent MV ≤ the discarded card</t>
        </is>
      </c>
      <c r="P99" t="inlineStr">
        <is>
          <t>First strike, protection from multicolored body</t>
        </is>
      </c>
      <c r="R99" t="n">
        <v>0.32</v>
      </c>
    </row>
    <row r="100" ht="15" customHeight="1" s="148">
      <c r="A100" t="inlineStr">
        <is>
          <t>c0099</t>
        </is>
      </c>
      <c r="B100" t="inlineStr">
        <is>
          <t>Artisan of Kozilek</t>
        </is>
      </c>
      <c r="C100" t="n">
        <v>1</v>
      </c>
      <c r="E100" t="n">
        <v>0</v>
      </c>
      <c r="F100" t="n">
        <v>1</v>
      </c>
      <c r="G100" t="n">
        <v>0</v>
      </c>
      <c r="H100" t="inlineStr">
        <is>
          <t>C</t>
        </is>
      </c>
      <c r="I100" t="inlineStr">
        <is>
          <t>Creature</t>
        </is>
      </c>
      <c r="J100" t="inlineStr">
        <is>
          <t>B2</t>
        </is>
      </c>
      <c r="K100" t="n">
        <v>9</v>
      </c>
      <c r="L100" t="inlineStr">
        <is>
          <t>When you cast this spell, you may return target creature card from your graveyard to the battlefield.
Annihilator 2 (Whenever this creature attacks, defending player sacrifices two permanents of their choice.)
(10/9)</t>
        </is>
      </c>
      <c r="M100" t="inlineStr">
        <is>
          <t>Reanimation</t>
        </is>
      </c>
      <c r="N100" t="inlineStr">
        <is>
          <t>Returns a creature card from graveyard to battlefield when cast</t>
        </is>
      </c>
      <c r="O100" t="inlineStr">
        <is>
          <t>Annihilator 2 (opponent sacrifices two permanents when it attacks)</t>
        </is>
      </c>
      <c r="P100" t="inlineStr">
        <is>
          <t>9-mana Eldrazi body</t>
        </is>
      </c>
      <c r="R100" t="n">
        <v>0.46</v>
      </c>
    </row>
    <row r="101" ht="15" customHeight="1" s="148">
      <c r="A101" t="inlineStr">
        <is>
          <t>c0100</t>
        </is>
      </c>
      <c r="B101" t="inlineStr">
        <is>
          <t>Ashnod's Altar</t>
        </is>
      </c>
      <c r="C101" t="n">
        <v>0</v>
      </c>
      <c r="E101" t="n">
        <v>0</v>
      </c>
      <c r="F101" t="n">
        <v>0</v>
      </c>
      <c r="G101" t="n">
        <v>0</v>
      </c>
      <c r="H101" t="inlineStr">
        <is>
          <t>C</t>
        </is>
      </c>
      <c r="I101" t="inlineStr">
        <is>
          <t>Artifact</t>
        </is>
      </c>
      <c r="J101" t="inlineStr">
        <is>
          <t>B3</t>
        </is>
      </c>
      <c r="K101" t="n">
        <v>3</v>
      </c>
      <c r="L101" t="inlineStr">
        <is>
          <t>Sacrifice a creature: Add {C}{C}.</t>
        </is>
      </c>
      <c r="M101" t="inlineStr">
        <is>
          <t>Sacrifice Outlet</t>
        </is>
      </c>
      <c r="N101" t="inlineStr">
        <is>
          <t>Sacrifice a creature: Add {C}{C}.</t>
        </is>
      </c>
      <c r="R101" t="n">
        <v>12.59</v>
      </c>
    </row>
    <row r="102" ht="15" customHeight="1" s="148">
      <c r="A102" t="inlineStr">
        <is>
          <t>c0101</t>
        </is>
      </c>
      <c r="B102" t="inlineStr">
        <is>
          <t>Astral Cornucopia</t>
        </is>
      </c>
      <c r="C102" t="n">
        <v>1</v>
      </c>
      <c r="E102" t="n">
        <v>1</v>
      </c>
      <c r="F102" t="n">
        <v>0</v>
      </c>
      <c r="G102" t="n">
        <v>1</v>
      </c>
      <c r="H102" t="inlineStr">
        <is>
          <t>C</t>
        </is>
      </c>
      <c r="I102" t="inlineStr">
        <is>
          <t>Artifact</t>
        </is>
      </c>
      <c r="J102" t="inlineStr">
        <is>
          <t>B2</t>
        </is>
      </c>
      <c r="K102" t="n">
        <v>0</v>
      </c>
      <c r="L102" t="inlineStr">
        <is>
          <t>This artifact enters with X charge counters on it.
{T}: Choose a color. Add one mana of that color for each charge counter on this artifact.</t>
        </is>
      </c>
      <c r="M102" t="inlineStr">
        <is>
          <t>Mana Rock</t>
        </is>
      </c>
      <c r="N102" t="inlineStr">
        <is>
          <t>This artifact enters with X charge counters on it</t>
        </is>
      </c>
      <c r="O102" t="inlineStr">
        <is>
          <t>{T}: Choose a color. Add one mana of that color for each charge counter on this artifact</t>
        </is>
      </c>
      <c r="R102" t="n">
        <v>0.24</v>
      </c>
    </row>
    <row r="103" ht="15" customHeight="1" s="148">
      <c r="A103" t="inlineStr">
        <is>
          <t>c0102</t>
        </is>
      </c>
      <c r="B103" t="inlineStr">
        <is>
          <t>Azorius Signet</t>
        </is>
      </c>
      <c r="C103" t="n">
        <v>1</v>
      </c>
      <c r="E103" t="n">
        <v>1</v>
      </c>
      <c r="F103" t="n">
        <v>0</v>
      </c>
      <c r="G103" t="n">
        <v>1</v>
      </c>
      <c r="H103" t="inlineStr">
        <is>
          <t>C</t>
        </is>
      </c>
      <c r="I103" t="inlineStr">
        <is>
          <t>Artifact</t>
        </is>
      </c>
      <c r="J103" t="inlineStr">
        <is>
          <t>B2</t>
        </is>
      </c>
      <c r="K103" t="n">
        <v>2</v>
      </c>
      <c r="L103" t="inlineStr">
        <is>
          <t>{1}, {T}: Add {W}{U}.</t>
        </is>
      </c>
      <c r="M103" t="inlineStr">
        <is>
          <t>Mana Rock</t>
        </is>
      </c>
      <c r="N103" t="inlineStr">
        <is>
          <t>{1}, tap: add {W}{U}</t>
        </is>
      </c>
      <c r="R103" t="n">
        <v>0.3</v>
      </c>
    </row>
    <row r="104" ht="15" customHeight="1" s="148">
      <c r="A104" t="inlineStr">
        <is>
          <t>c0103</t>
        </is>
      </c>
      <c r="B104" t="inlineStr">
        <is>
          <t>Bag of Holding</t>
        </is>
      </c>
      <c r="C104" t="n">
        <v>1</v>
      </c>
      <c r="E104" t="n">
        <v>1</v>
      </c>
      <c r="F104" t="n">
        <v>0</v>
      </c>
      <c r="G104" t="n">
        <v>1</v>
      </c>
      <c r="H104" t="inlineStr">
        <is>
          <t>C</t>
        </is>
      </c>
      <c r="I104" t="inlineStr">
        <is>
          <t>Artifact</t>
        </is>
      </c>
      <c r="J104" t="inlineStr">
        <is>
          <t>B2</t>
        </is>
      </c>
      <c r="K104" t="n">
        <v>1</v>
      </c>
      <c r="L104" t="inlineStr">
        <is>
          <t>Whenever you discard a card, exile that card from your graveyard.
{2}, {T}: Draw a card, then discard a card.
{4}, {T}, Sacrifice this artifact: Return all cards exiled with this artifact to their owner's hand.</t>
        </is>
      </c>
      <c r="M104" t="inlineStr">
        <is>
          <t>Discard/Looting</t>
        </is>
      </c>
      <c r="N104" t="inlineStr">
        <is>
          <t>Discarding a card exiles it from your graveyard</t>
        </is>
      </c>
      <c r="O104" t="inlineStr">
        <is>
          <t>Pay {2}, tap: draw a card, then discard a card</t>
        </is>
      </c>
      <c r="P104" t="inlineStr">
        <is>
          <t>Pay {4}, tap, sacrifice: return all cards exiled with it to your hand</t>
        </is>
      </c>
      <c r="R104" t="n">
        <v>0.27</v>
      </c>
    </row>
    <row r="105" ht="15" customHeight="1" s="148">
      <c r="A105" t="inlineStr">
        <is>
          <t>c0104</t>
        </is>
      </c>
      <c r="B105" t="inlineStr">
        <is>
          <t>Bandit's Haul</t>
        </is>
      </c>
      <c r="C105" t="n">
        <v>0</v>
      </c>
      <c r="E105" t="n">
        <v>0</v>
      </c>
      <c r="F105" t="n">
        <v>0</v>
      </c>
      <c r="G105" t="n">
        <v>0</v>
      </c>
      <c r="H105" t="inlineStr">
        <is>
          <t>C</t>
        </is>
      </c>
      <c r="I105" t="inlineStr">
        <is>
          <t>Artifact</t>
        </is>
      </c>
      <c r="J105" t="inlineStr">
        <is>
          <t>B2</t>
        </is>
      </c>
      <c r="K105" t="n">
        <v>3</v>
      </c>
      <c r="L105" t="inlineStr">
        <is>
          <t>Whenever you commit a crime, put a loot counter on this artifact. This ability triggers only once each turn. (Targeting opponents, anything they control, and/or cards in their graveyards is a crime.)
{T}: Add one mana of any color.
{2}, {T}, Remove two loot counters from this artifact: Draw a card.</t>
        </is>
      </c>
      <c r="M105" t="inlineStr">
        <is>
          <t>Mana Rock</t>
        </is>
      </c>
      <c r="N105" t="inlineStr">
        <is>
          <t>Taps for one mana of any color</t>
        </is>
      </c>
      <c r="O105" t="inlineStr">
        <is>
          <t>Gets a loot counter once a turn when you commit a crime (target an opponent or their stuff)</t>
        </is>
      </c>
      <c r="P105" t="inlineStr">
        <is>
          <t>Pay 2, tap, remove two loot counters: draw a card</t>
        </is>
      </c>
      <c r="R105" t="n">
        <v>0.22</v>
      </c>
    </row>
    <row r="106" ht="15" customHeight="1" s="148">
      <c r="A106" t="inlineStr">
        <is>
          <t>c0105</t>
        </is>
      </c>
      <c r="B106" t="inlineStr">
        <is>
          <t>Biblioplex Tomekeeper</t>
        </is>
      </c>
      <c r="C106" t="n">
        <v>3</v>
      </c>
      <c r="E106" t="n">
        <v>0</v>
      </c>
      <c r="F106" t="n">
        <v>3</v>
      </c>
      <c r="G106" t="n">
        <v>0</v>
      </c>
      <c r="H106" t="inlineStr">
        <is>
          <t>C</t>
        </is>
      </c>
      <c r="I106" t="inlineStr">
        <is>
          <t>Artifact Creature</t>
        </is>
      </c>
      <c r="J106" t="inlineStr">
        <is>
          <t>B2</t>
        </is>
      </c>
      <c r="K106" t="n">
        <v>4</v>
      </c>
      <c r="L106" t="inlineStr">
        <is>
          <t>When this creature enters, choose up to one —
• Target creature becomes prepared. (Only creatures with prepare spells can become prepared.)
• Target creature becomes unprepared.
(3/4)</t>
        </is>
      </c>
      <c r="M106" t="inlineStr">
        <is>
          <t>Utility Creature</t>
        </is>
      </c>
      <c r="N106" t="inlineStr">
        <is>
          <t>Enters: choose up to one — target creature becomes prepared, or target creature becomes unprepared</t>
        </is>
      </c>
      <c r="O106" t="inlineStr">
        <is>
          <t>3/4 artifact body castable off any colors</t>
        </is>
      </c>
      <c r="R106" t="n">
        <v>0.07000000000000001</v>
      </c>
    </row>
    <row r="107" ht="15" customHeight="1" s="148">
      <c r="A107" t="inlineStr">
        <is>
          <t>c0106</t>
        </is>
      </c>
      <c r="B107" t="inlineStr">
        <is>
          <t>Bitterthorn, Nissa's Animus</t>
        </is>
      </c>
      <c r="C107" t="n">
        <v>1</v>
      </c>
      <c r="E107" t="n">
        <v>1</v>
      </c>
      <c r="F107" t="n">
        <v>0</v>
      </c>
      <c r="G107" t="n">
        <v>1</v>
      </c>
      <c r="H107" t="inlineStr">
        <is>
          <t>C</t>
        </is>
      </c>
      <c r="I107" t="inlineStr">
        <is>
          <t>Legendary Artifact</t>
        </is>
      </c>
      <c r="J107" t="inlineStr">
        <is>
          <t>B2</t>
        </is>
      </c>
      <c r="K107" t="n">
        <v>3</v>
      </c>
      <c r="L107" t="inlineStr">
        <is>
          <t>Living weapon (When this Equipment enters, create a 0/0 black Phyrexian Germ creature token, then attach this to it.)
Equipped creature gets +1/+1.
Whenever equipped creature attacks, you may search your library for a basic land card, put it onto the battlefield tapped, then shuffle.
Equip {3}</t>
        </is>
      </c>
      <c r="M107" t="inlineStr">
        <is>
          <t>Ramp</t>
        </is>
      </c>
      <c r="N107" t="inlineStr">
        <is>
          <t>Creates a 0/0 Germ token and attaches to it when it enters</t>
        </is>
      </c>
      <c r="O107" t="inlineStr">
        <is>
          <t>Equipped creature gets +1/+1</t>
        </is>
      </c>
      <c r="P107" t="inlineStr">
        <is>
          <t>Searches for a basic land onto the battlefield tapped whenever equipped creature attacks</t>
        </is>
      </c>
      <c r="R107" t="n">
        <v>6.19</v>
      </c>
    </row>
    <row r="108" ht="15" customHeight="1" s="148">
      <c r="A108" t="inlineStr">
        <is>
          <t>c0107</t>
        </is>
      </c>
      <c r="B108" t="inlineStr">
        <is>
          <t>Burnished Hart</t>
        </is>
      </c>
      <c r="C108" t="n">
        <v>1</v>
      </c>
      <c r="E108" t="n">
        <v>1</v>
      </c>
      <c r="F108" t="n">
        <v>0</v>
      </c>
      <c r="G108" t="n">
        <v>1</v>
      </c>
      <c r="H108" t="inlineStr">
        <is>
          <t>C</t>
        </is>
      </c>
      <c r="I108" t="inlineStr">
        <is>
          <t>Artifact Creature</t>
        </is>
      </c>
      <c r="J108" t="inlineStr">
        <is>
          <t>B2</t>
        </is>
      </c>
      <c r="K108" t="n">
        <v>3</v>
      </c>
      <c r="L108" t="inlineStr">
        <is>
          <t>{3}, Sacrifice this creature: Search your library for up to two basic land cards, put them onto the battlefield tapped, then shuffle.
(2/2)</t>
        </is>
      </c>
      <c r="M108" t="inlineStr">
        <is>
          <t>Ramp</t>
        </is>
      </c>
      <c r="N108" t="inlineStr">
        <is>
          <t>3/3 body</t>
        </is>
      </c>
      <c r="O108" t="inlineStr">
        <is>
          <t>Sacrifice: search for two basic lands, put them into play tapped</t>
        </is>
      </c>
      <c r="R108" t="n">
        <v>0.28</v>
      </c>
    </row>
    <row r="109" ht="15" customHeight="1" s="148">
      <c r="A109" t="inlineStr">
        <is>
          <t>c0108</t>
        </is>
      </c>
      <c r="B109" t="inlineStr">
        <is>
          <t>Changeling Wayfinder</t>
        </is>
      </c>
      <c r="C109" t="n">
        <v>1</v>
      </c>
      <c r="E109" t="n">
        <v>1</v>
      </c>
      <c r="F109" t="n">
        <v>0</v>
      </c>
      <c r="G109" t="n">
        <v>1</v>
      </c>
      <c r="H109" t="inlineStr">
        <is>
          <t>C</t>
        </is>
      </c>
      <c r="I109" t="inlineStr">
        <is>
          <t>Creature</t>
        </is>
      </c>
      <c r="J109" t="inlineStr">
        <is>
          <t>B2</t>
        </is>
      </c>
      <c r="K109" t="n">
        <v>3</v>
      </c>
      <c r="L109" t="inlineStr">
        <is>
          <t>Changeling (This card is every creature type.)
When this creature enters, you may search your library for a basic land card, reveal it, put it into your hand, then shuffle.
(1/2)</t>
        </is>
      </c>
      <c r="M109" t="inlineStr">
        <is>
          <t>Flexible Fixing</t>
        </is>
      </c>
      <c r="N109" t="inlineStr">
        <is>
          <t>Enters: search your library for a basic land card and put it into your hand</t>
        </is>
      </c>
      <c r="O109" t="inlineStr">
        <is>
          <t>Changeling (it is every creature type)</t>
        </is>
      </c>
      <c r="R109" t="n">
        <v>0.33</v>
      </c>
    </row>
    <row r="110" ht="15" customHeight="1" s="148">
      <c r="A110" t="inlineStr">
        <is>
          <t>c0109</t>
        </is>
      </c>
      <c r="B110" t="inlineStr">
        <is>
          <t>Chromatic Lantern</t>
        </is>
      </c>
      <c r="C110" t="n">
        <v>1</v>
      </c>
      <c r="E110" t="n">
        <v>1</v>
      </c>
      <c r="F110" t="n">
        <v>0</v>
      </c>
      <c r="G110" t="n">
        <v>1</v>
      </c>
      <c r="H110" t="inlineStr">
        <is>
          <t>C</t>
        </is>
      </c>
      <c r="I110" t="inlineStr">
        <is>
          <t>Artifact</t>
        </is>
      </c>
      <c r="J110" t="inlineStr">
        <is>
          <t>B3</t>
        </is>
      </c>
      <c r="K110" t="n">
        <v>3</v>
      </c>
      <c r="L110" t="inlineStr">
        <is>
          <t>Lands you control have "{T}: Add one mana of any color."
{T}: Add one mana of any color.</t>
        </is>
      </c>
      <c r="M110" t="inlineStr">
        <is>
          <t>Mana Rock</t>
        </is>
      </c>
      <c r="N110" t="inlineStr">
        <is>
          <t>Lands you control have "{T}: Add one mana of any color."</t>
        </is>
      </c>
      <c r="O110" t="inlineStr">
        <is>
          <t>{T}: Add one mana of any color</t>
        </is>
      </c>
      <c r="R110" t="n">
        <v>0.9399999999999999</v>
      </c>
    </row>
    <row r="111" ht="15" customHeight="1" s="148">
      <c r="A111" t="inlineStr">
        <is>
          <t>c0110</t>
        </is>
      </c>
      <c r="B111" t="inlineStr">
        <is>
          <t>Coldsteel Heart</t>
        </is>
      </c>
      <c r="C111" t="n">
        <v>0</v>
      </c>
      <c r="E111" t="n">
        <v>0</v>
      </c>
      <c r="F111" t="n">
        <v>0</v>
      </c>
      <c r="G111" t="n">
        <v>0</v>
      </c>
      <c r="H111" t="inlineStr">
        <is>
          <t>C</t>
        </is>
      </c>
      <c r="I111" t="inlineStr">
        <is>
          <t>Snow Artifact</t>
        </is>
      </c>
      <c r="J111" t="inlineStr">
        <is>
          <t>B2</t>
        </is>
      </c>
      <c r="K111" t="n">
        <v>2</v>
      </c>
      <c r="L111" t="inlineStr">
        <is>
          <t>This artifact enters tapped.
As this artifact enters, choose a color.
{T}: Add one mana of the chosen color.</t>
        </is>
      </c>
      <c r="M111" t="inlineStr">
        <is>
          <t>Mana Rock</t>
        </is>
      </c>
      <c r="N111" t="inlineStr">
        <is>
          <t>Enters tapped; choose a color as it enters</t>
        </is>
      </c>
      <c r="O111" t="inlineStr">
        <is>
          <t>Taps for one mana of the chosen color</t>
        </is>
      </c>
      <c r="R111" t="n">
        <v>1.72</v>
      </c>
    </row>
    <row r="112" ht="15" customHeight="1" s="148">
      <c r="A112" t="inlineStr">
        <is>
          <t>c0111</t>
        </is>
      </c>
      <c r="B112" t="inlineStr">
        <is>
          <t>Contagion Clasp</t>
        </is>
      </c>
      <c r="C112" t="n">
        <v>2</v>
      </c>
      <c r="E112" t="n">
        <v>1</v>
      </c>
      <c r="F112" t="n">
        <v>1</v>
      </c>
      <c r="G112" t="n">
        <v>1</v>
      </c>
      <c r="H112" t="inlineStr">
        <is>
          <t>C</t>
        </is>
      </c>
      <c r="I112" t="inlineStr">
        <is>
          <t>Artifact</t>
        </is>
      </c>
      <c r="J112" t="inlineStr">
        <is>
          <t>B2</t>
        </is>
      </c>
      <c r="K112" t="n">
        <v>2</v>
      </c>
      <c r="L112" t="inlineStr">
        <is>
          <t>When this artifact enters, put a -1/-1 counter on target creature.
{4}, {T}: Proliferate. (Choose any number of permanents and/or players, then give each another counter of each kind already there.)</t>
        </is>
      </c>
      <c r="M112" t="inlineStr">
        <is>
          <t>Proliferate</t>
        </is>
      </c>
      <c r="N112" t="inlineStr">
        <is>
          <t>Puts a -1/-1 counter on target creature when it enters</t>
        </is>
      </c>
      <c r="O112" t="inlineStr">
        <is>
          <t>{4}, tap: Proliferate</t>
        </is>
      </c>
      <c r="R112" t="n">
        <v>0.38</v>
      </c>
    </row>
    <row r="113" ht="15" customHeight="1" s="148">
      <c r="A113" t="inlineStr">
        <is>
          <t>c0112</t>
        </is>
      </c>
      <c r="B113" t="inlineStr">
        <is>
          <t>Contagion Engine</t>
        </is>
      </c>
      <c r="C113" t="n">
        <v>0</v>
      </c>
      <c r="E113" t="n">
        <v>0</v>
      </c>
      <c r="F113" t="n">
        <v>0</v>
      </c>
      <c r="G113" t="n">
        <v>0</v>
      </c>
      <c r="H113" t="inlineStr">
        <is>
          <t>C</t>
        </is>
      </c>
      <c r="I113" t="inlineStr">
        <is>
          <t>Artifact</t>
        </is>
      </c>
      <c r="J113" t="inlineStr">
        <is>
          <t>B3</t>
        </is>
      </c>
      <c r="K113" t="n">
        <v>6</v>
      </c>
      <c r="L113" t="inlineStr">
        <is>
          <t>When this artifact enters, put a -1/-1 counter on each creature target player controls.
{4}, {T}: Proliferate twice. (Choose any number of permanents and/or players, then give each another counter of each kind already there. Then do it again.)</t>
        </is>
      </c>
      <c r="M113" t="inlineStr">
        <is>
          <t>Proliferate</t>
        </is>
      </c>
      <c r="N113" t="inlineStr">
        <is>
          <t>When this artifact enters, put a -1/-1 counter on each creature target player controls.
{4}, {T}: Proliferate twice. (Choose any number of permanents and/or players, then give each another counter of each kind already there. Then do it again.)</t>
        </is>
      </c>
      <c r="R113" t="n">
        <v>12.52</v>
      </c>
    </row>
    <row r="114" ht="15" customHeight="1" s="148">
      <c r="A114" t="inlineStr">
        <is>
          <t>c0113</t>
        </is>
      </c>
      <c r="B114" t="inlineStr">
        <is>
          <t>Containment Construct</t>
        </is>
      </c>
      <c r="C114" t="n">
        <v>1</v>
      </c>
      <c r="E114" t="n">
        <v>1</v>
      </c>
      <c r="F114" t="n">
        <v>0</v>
      </c>
      <c r="G114" t="n">
        <v>1</v>
      </c>
      <c r="H114" t="inlineStr">
        <is>
          <t>C</t>
        </is>
      </c>
      <c r="I114" t="inlineStr">
        <is>
          <t>Artifact Creature</t>
        </is>
      </c>
      <c r="J114" t="inlineStr">
        <is>
          <t>B2</t>
        </is>
      </c>
      <c r="K114" t="n">
        <v>2</v>
      </c>
      <c r="L114" t="inlineStr">
        <is>
          <t>Whenever you discard a card, you may exile that card from your graveyard. If you do, you may play that card this turn.
(2/1)</t>
        </is>
      </c>
      <c r="M114" t="inlineStr">
        <is>
          <t>Recursion</t>
        </is>
      </c>
      <c r="N114" t="inlineStr">
        <is>
          <t>Discarding a card lets you exile it from graveyard and play it this turn</t>
        </is>
      </c>
      <c r="R114" t="n">
        <v>0.31</v>
      </c>
    </row>
    <row r="115" ht="15" customHeight="1" s="148">
      <c r="A115" t="inlineStr">
        <is>
          <t>c0114</t>
        </is>
      </c>
      <c r="B115" t="inlineStr">
        <is>
          <t>Crashing Drawbridge</t>
        </is>
      </c>
      <c r="C115" t="n">
        <v>1</v>
      </c>
      <c r="E115" t="n">
        <v>1</v>
      </c>
      <c r="F115" t="n">
        <v>0</v>
      </c>
      <c r="G115" t="n">
        <v>1</v>
      </c>
      <c r="H115" t="inlineStr">
        <is>
          <t>C</t>
        </is>
      </c>
      <c r="I115" t="inlineStr">
        <is>
          <t>Artifact Creature</t>
        </is>
      </c>
      <c r="J115" t="inlineStr">
        <is>
          <t>B2</t>
        </is>
      </c>
      <c r="K115" t="n">
        <v>2</v>
      </c>
      <c r="L115" t="inlineStr">
        <is>
          <t>Defender
{T}: Creatures you control gain haste until end of turn.
(0/4)</t>
        </is>
      </c>
      <c r="M115" t="inlineStr">
        <is>
          <t>Haste Enabler</t>
        </is>
      </c>
      <c r="N115" t="inlineStr">
        <is>
          <t>Tap to give your creatures haste until end of turn</t>
        </is>
      </c>
      <c r="R115" t="n">
        <v>0.75</v>
      </c>
    </row>
    <row r="116" ht="15" customHeight="1" s="148">
      <c r="A116" t="inlineStr">
        <is>
          <t>c0115</t>
        </is>
      </c>
      <c r="B116" t="inlineStr">
        <is>
          <t>Currency Converter</t>
        </is>
      </c>
      <c r="C116" t="n">
        <v>1</v>
      </c>
      <c r="E116" t="n">
        <v>1</v>
      </c>
      <c r="F116" t="n">
        <v>0</v>
      </c>
      <c r="G116" t="n">
        <v>1</v>
      </c>
      <c r="H116" t="inlineStr">
        <is>
          <t>C</t>
        </is>
      </c>
      <c r="I116" t="inlineStr">
        <is>
          <t>Artifact</t>
        </is>
      </c>
      <c r="J116" t="inlineStr">
        <is>
          <t>B2</t>
        </is>
      </c>
      <c r="K116" t="n">
        <v>1</v>
      </c>
      <c r="L116" t="inlineStr">
        <is>
          <t>Whenever you discard a card, you may exile that card from your graveyard.
{2}, {T}: Draw a card, then discard a card.
{T}: Put a card exiled with this artifact into its owner's graveyard. If it's a land card, create a Treasure token. If it's a nonland card, create a 2/2 black Rogue creature token.</t>
        </is>
      </c>
      <c r="M116" t="inlineStr">
        <is>
          <t>Discard/Looting</t>
        </is>
      </c>
      <c r="N116" t="inlineStr">
        <is>
          <t>Discarding a card lets you exile it from your graveyard</t>
        </is>
      </c>
      <c r="O116" t="inlineStr">
        <is>
          <t>Pay {2}, tap: draw a card, then discard a card</t>
        </is>
      </c>
      <c r="P116" t="inlineStr">
        <is>
          <t>Tap: put an exiled card into graveyard, making a Treasure or a 2/2 Rogue token</t>
        </is>
      </c>
      <c r="R116" t="n">
        <v>0.51</v>
      </c>
    </row>
    <row r="117" ht="15" customHeight="1" s="148">
      <c r="A117" t="inlineStr">
        <is>
          <t>c0116</t>
        </is>
      </c>
      <c r="B117" t="inlineStr">
        <is>
          <t>Darksteel Reactor</t>
        </is>
      </c>
      <c r="C117" t="n">
        <v>0</v>
      </c>
      <c r="E117" t="n">
        <v>0</v>
      </c>
      <c r="F117" t="n">
        <v>0</v>
      </c>
      <c r="G117" t="n">
        <v>0</v>
      </c>
      <c r="H117" t="inlineStr">
        <is>
          <t>C</t>
        </is>
      </c>
      <c r="I117" t="inlineStr">
        <is>
          <t>Artifact</t>
        </is>
      </c>
      <c r="J117" t="inlineStr">
        <is>
          <t>B2</t>
        </is>
      </c>
      <c r="K117" t="n">
        <v>4</v>
      </c>
      <c r="L117" t="inlineStr">
        <is>
          <t>Indestructible (Effects that say "destroy" don't destroy this artifact.)
At the beginning of your upkeep, you may put a charge counter on this artifact.
When this artifact has twenty or more charge counters on it, you win the game.</t>
        </is>
      </c>
      <c r="M117" t="inlineStr">
        <is>
          <t>Finisher</t>
        </is>
      </c>
      <c r="N117" t="inlineStr">
        <is>
          <t>Indestructible</t>
        </is>
      </c>
      <c r="O117" t="inlineStr">
        <is>
          <t>At the beginning of your upkeep, you may put a charge counter on this artifact</t>
        </is>
      </c>
      <c r="P117" t="inlineStr">
        <is>
          <t>When this artifact has twenty or more charge counters on it, you win the game</t>
        </is>
      </c>
      <c r="R117" t="n">
        <v>0.36</v>
      </c>
    </row>
    <row r="118" ht="15" customHeight="1" s="148">
      <c r="A118" t="inlineStr">
        <is>
          <t>c0117</t>
        </is>
      </c>
      <c r="B118" t="inlineStr">
        <is>
          <t>Dawn-Blessed Pennant</t>
        </is>
      </c>
      <c r="C118" t="n">
        <v>2</v>
      </c>
      <c r="E118" t="n">
        <v>0</v>
      </c>
      <c r="F118" t="n">
        <v>2</v>
      </c>
      <c r="G118" t="n">
        <v>0</v>
      </c>
      <c r="H118" t="inlineStr">
        <is>
          <t>C</t>
        </is>
      </c>
      <c r="I118" t="inlineStr">
        <is>
          <t>Artifact</t>
        </is>
      </c>
      <c r="J118" t="inlineStr">
        <is>
          <t>B2</t>
        </is>
      </c>
      <c r="K118" t="n">
        <v>1</v>
      </c>
      <c r="L118" t="inlineStr">
        <is>
          <t>As this artifact enters, choose Elemental, Elf, Faerie, Giant, Goblin, Kithkin, Merfolk, or Treefolk.
Whenever a permanent you control of the chosen type enters, you gain 1 life.
{2}, {T}, Sacrifice this artifact: Return target card of the chosen type from your graveyard to your hand.</t>
        </is>
      </c>
      <c r="M118" t="inlineStr">
        <is>
          <t>Lifegain</t>
        </is>
      </c>
      <c r="N118" t="inlineStr">
        <is>
          <t>Gain 1 life whenever a permanent of the chosen type enters</t>
        </is>
      </c>
      <c r="O118" t="inlineStr">
        <is>
          <t>Sacrifice and pay {2} to return a card of the chosen type from graveyard to hand</t>
        </is>
      </c>
      <c r="R118" t="n">
        <v>0.68</v>
      </c>
    </row>
    <row r="119" ht="15" customHeight="1" s="148">
      <c r="A119" t="inlineStr">
        <is>
          <t>c0118</t>
        </is>
      </c>
      <c r="B119" t="inlineStr">
        <is>
          <t>Dwarven Mattock</t>
        </is>
      </c>
      <c r="C119" t="n">
        <v>2</v>
      </c>
      <c r="E119" t="n">
        <v>1</v>
      </c>
      <c r="F119" t="n">
        <v>1</v>
      </c>
      <c r="G119" t="n">
        <v>0</v>
      </c>
      <c r="H119" t="inlineStr">
        <is>
          <t>C</t>
        </is>
      </c>
      <c r="I119" t="inlineStr">
        <is>
          <t>Artifact</t>
        </is>
      </c>
      <c r="J119" t="inlineStr">
        <is>
          <t>B2</t>
        </is>
      </c>
      <c r="K119" t="n">
        <v>2</v>
      </c>
      <c r="L119" t="inlineStr">
        <is>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is>
      </c>
      <c r="M119" t="inlineStr">
        <is>
          <t>Combat Trick</t>
        </is>
      </c>
      <c r="N119" t="inlineStr">
        <is>
          <t>Enters: attaches to target Dwarf you control</t>
        </is>
      </c>
      <c r="O119" t="inlineStr">
        <is>
          <t>Equipped creature gets +2/+2 and resists opponents' targeted spells and abilities unless they pay {1}</t>
        </is>
      </c>
      <c r="R119" t="n">
        <v>0.26</v>
      </c>
    </row>
    <row r="120" ht="15" customHeight="1" s="148">
      <c r="A120" t="inlineStr">
        <is>
          <t>c0119</t>
        </is>
      </c>
      <c r="B120" t="inlineStr">
        <is>
          <t>Eldrazi Ravager</t>
        </is>
      </c>
      <c r="C120" t="n">
        <v>2</v>
      </c>
      <c r="E120" t="n">
        <v>0</v>
      </c>
      <c r="F120" t="n">
        <v>2</v>
      </c>
      <c r="G120" t="n">
        <v>0</v>
      </c>
      <c r="H120" t="inlineStr">
        <is>
          <t>C</t>
        </is>
      </c>
      <c r="I120" t="inlineStr">
        <is>
          <t>Creature</t>
        </is>
      </c>
      <c r="J120" t="inlineStr">
        <is>
          <t>B2</t>
        </is>
      </c>
      <c r="K120" t="n">
        <v>6</v>
      </c>
      <c r="L120" t="inlineStr">
        <is>
          <t>Annihilator 1 (Whenever this creature attacks, defending player sacrifices a permanent of their choice.)
Sacrifice two Eldrazi: Return this card from your graveyard to your hand.
Cycling {2} ({2}, Discard this card: Draw a card.)
(6/6)</t>
        </is>
      </c>
      <c r="M120" t="inlineStr">
        <is>
          <t>Finisher</t>
        </is>
      </c>
      <c r="N120" t="inlineStr">
        <is>
          <t>Attacking forces the defending player to sacrifice a permanent</t>
        </is>
      </c>
      <c r="O120" t="inlineStr">
        <is>
          <t>Sacrifice two Eldrazi: return this from graveyard to hand</t>
        </is>
      </c>
      <c r="P120" t="inlineStr">
        <is>
          <t>Discard for {2} to draw a card instead of casting</t>
        </is>
      </c>
      <c r="R120" t="n">
        <v>0.31</v>
      </c>
    </row>
    <row r="121" ht="15" customHeight="1" s="148">
      <c r="A121" t="inlineStr">
        <is>
          <t>c0120</t>
        </is>
      </c>
      <c r="B121" t="inlineStr">
        <is>
          <t>Endbringer</t>
        </is>
      </c>
      <c r="C121" t="n">
        <v>1</v>
      </c>
      <c r="E121" t="n">
        <v>0</v>
      </c>
      <c r="F121" t="n">
        <v>1</v>
      </c>
      <c r="G121" t="n">
        <v>0</v>
      </c>
      <c r="H121" t="inlineStr">
        <is>
          <t>C</t>
        </is>
      </c>
      <c r="I121" t="inlineStr">
        <is>
          <t>Creature</t>
        </is>
      </c>
      <c r="J121" t="inlineStr">
        <is>
          <t>B2</t>
        </is>
      </c>
      <c r="K121" t="n">
        <v>6</v>
      </c>
      <c r="L121" t="inlineStr">
        <is>
          <t>Untap this creature during each other player's untap step.
{T}: This creature deals 1 damage to any target.
{C}, {T}: Target creature can't attack or block this turn.
{C}{C}, {T}: Draw a card.
(5/5)</t>
        </is>
      </c>
      <c r="M121" t="inlineStr">
        <is>
          <t>Utility Creature</t>
        </is>
      </c>
      <c r="N121" t="inlineStr">
        <is>
          <t>Untaps during each other player's untap step</t>
        </is>
      </c>
      <c r="O121" t="inlineStr">
        <is>
          <t>Tap: deals 1 damage to any target</t>
        </is>
      </c>
      <c r="P121" t="inlineStr">
        <is>
          <t>Pay {C}{C}, tap: draw a card</t>
        </is>
      </c>
      <c r="R121" t="n">
        <v>0.33</v>
      </c>
    </row>
    <row r="122" ht="15" customHeight="1" s="148">
      <c r="A122" t="inlineStr">
        <is>
          <t>c0121</t>
        </is>
      </c>
      <c r="B122" t="inlineStr">
        <is>
          <t>Everflowing Chalice</t>
        </is>
      </c>
      <c r="C122" t="n">
        <v>1</v>
      </c>
      <c r="E122" t="n">
        <v>1</v>
      </c>
      <c r="F122" t="n">
        <v>0</v>
      </c>
      <c r="G122" t="n">
        <v>1</v>
      </c>
      <c r="H122" t="inlineStr">
        <is>
          <t>C</t>
        </is>
      </c>
      <c r="I122" t="inlineStr">
        <is>
          <t>Artifact</t>
        </is>
      </c>
      <c r="J122" t="inlineStr">
        <is>
          <t>B2</t>
        </is>
      </c>
      <c r="K122" t="n">
        <v>0</v>
      </c>
      <c r="L122" t="inlineStr">
        <is>
          <t>Multikicker {2} (You may pay an additional {2} any number of times as you cast this spell.)
This artifact enters with a charge counter on it for each time it was kicked.
{T}: Add {C} for each charge counter on this artifact.</t>
        </is>
      </c>
      <c r="M122" t="inlineStr">
        <is>
          <t>Mana Rock</t>
        </is>
      </c>
      <c r="N122" t="inlineStr">
        <is>
          <t>Taps for {C} equal to charge counters on it</t>
        </is>
      </c>
      <c r="O122" t="inlineStr">
        <is>
          <t>Enters with more counters if kicked for extra {2} payments</t>
        </is>
      </c>
      <c r="R122" t="n">
        <v>0.29</v>
      </c>
    </row>
    <row r="123" ht="15" customHeight="1" s="148">
      <c r="A123" t="inlineStr">
        <is>
          <t>c0122</t>
        </is>
      </c>
      <c r="B123" t="inlineStr">
        <is>
          <t>Explorer's Scope</t>
        </is>
      </c>
      <c r="C123" t="n">
        <v>3</v>
      </c>
      <c r="E123" t="n">
        <v>1</v>
      </c>
      <c r="F123" t="n">
        <v>2</v>
      </c>
      <c r="G123" t="n">
        <v>0</v>
      </c>
      <c r="H123" t="inlineStr">
        <is>
          <t>C</t>
        </is>
      </c>
      <c r="I123" t="inlineStr">
        <is>
          <t>Artifact</t>
        </is>
      </c>
      <c r="J123" t="inlineStr">
        <is>
          <t>B2</t>
        </is>
      </c>
      <c r="K123" t="n">
        <v>1</v>
      </c>
      <c r="L123" t="inlineStr">
        <is>
          <t>Whenever equipped creature attacks, look at the top card of your library. If it's a land card, you may put it onto the battlefield tapped.
Equip {1} ({1}: Attach to target creature you control. Equip only as a sorcery.)</t>
        </is>
      </c>
      <c r="M123" t="inlineStr">
        <is>
          <t>Ramp</t>
        </is>
      </c>
      <c r="N123" t="inlineStr">
        <is>
          <t>Attacking lets you look at the top library card and play a land there onto the battlefield tapped</t>
        </is>
      </c>
      <c r="R123" t="n">
        <v>0.14</v>
      </c>
    </row>
    <row r="124" ht="15" customHeight="1" s="148">
      <c r="A124" t="inlineStr">
        <is>
          <t>c0123</t>
        </is>
      </c>
      <c r="B124" t="inlineStr">
        <is>
          <t>Fellwar Stone</t>
        </is>
      </c>
      <c r="C124" t="n">
        <v>1</v>
      </c>
      <c r="E124" t="n">
        <v>1</v>
      </c>
      <c r="F124" t="n">
        <v>0</v>
      </c>
      <c r="G124" t="n">
        <v>1</v>
      </c>
      <c r="H124" t="inlineStr">
        <is>
          <t>C</t>
        </is>
      </c>
      <c r="I124" t="inlineStr">
        <is>
          <t>Artifact</t>
        </is>
      </c>
      <c r="J124" t="inlineStr">
        <is>
          <t>B2</t>
        </is>
      </c>
      <c r="K124" t="n">
        <v>2</v>
      </c>
      <c r="L124" t="inlineStr">
        <is>
          <t>{T}: Add one mana of any color that a land an opponent controls could produce.</t>
        </is>
      </c>
      <c r="M124" t="inlineStr">
        <is>
          <t>Mana Rock</t>
        </is>
      </c>
      <c r="N124" t="inlineStr">
        <is>
          <t>Taps for one mana of any color an opponent's land could produce</t>
        </is>
      </c>
      <c r="R124" t="n">
        <v>0.85</v>
      </c>
    </row>
    <row r="125" ht="15" customHeight="1" s="148">
      <c r="A125" t="inlineStr">
        <is>
          <t>c0124</t>
        </is>
      </c>
      <c r="B125" t="inlineStr">
        <is>
          <t>Filigree Familiar</t>
        </is>
      </c>
      <c r="C125" t="n">
        <v>1</v>
      </c>
      <c r="E125" t="n">
        <v>0</v>
      </c>
      <c r="F125" t="n">
        <v>1</v>
      </c>
      <c r="G125" t="n">
        <v>0</v>
      </c>
      <c r="H125" t="inlineStr">
        <is>
          <t>C</t>
        </is>
      </c>
      <c r="I125" t="inlineStr">
        <is>
          <t>Artifact Creature</t>
        </is>
      </c>
      <c r="J125" t="inlineStr">
        <is>
          <t>B2</t>
        </is>
      </c>
      <c r="K125" t="n">
        <v>3</v>
      </c>
      <c r="L125" t="inlineStr">
        <is>
          <t>When this creature enters, you gain 2 life.
When this creature dies, draw a card.
(2/2)</t>
        </is>
      </c>
      <c r="M125" t="inlineStr">
        <is>
          <t>Value Engine</t>
        </is>
      </c>
      <c r="N125" t="inlineStr">
        <is>
          <t>Gain 2 life when it enters</t>
        </is>
      </c>
      <c r="O125" t="inlineStr">
        <is>
          <t>Draws a card when it dies</t>
        </is>
      </c>
      <c r="R125" t="n">
        <v>0.28</v>
      </c>
    </row>
    <row r="126" ht="15" customHeight="1" s="148">
      <c r="A126" t="inlineStr">
        <is>
          <t>c0125</t>
        </is>
      </c>
      <c r="B126" t="inlineStr">
        <is>
          <t>Foraging Wickermaw</t>
        </is>
      </c>
      <c r="C126" t="n">
        <v>1</v>
      </c>
      <c r="E126" t="n">
        <v>1</v>
      </c>
      <c r="F126" t="n">
        <v>0</v>
      </c>
      <c r="G126" t="n">
        <v>0</v>
      </c>
      <c r="H126" t="inlineStr">
        <is>
          <t>C</t>
        </is>
      </c>
      <c r="I126" t="inlineStr">
        <is>
          <t>Artifact Creature</t>
        </is>
      </c>
      <c r="J126" t="inlineStr">
        <is>
          <t>B2</t>
        </is>
      </c>
      <c r="K126" t="n">
        <v>2</v>
      </c>
      <c r="L126" t="inlineStr">
        <is>
          <t>When this creature enters, surveil 1. (Look at the top card of your library. You may put it into your graveyard.)
{1}: Add one mana of any color. This creature becomes that color until end of turn. Activate only once each turn.
(1/3)</t>
        </is>
      </c>
      <c r="M126" t="inlineStr">
        <is>
          <t>Flexible Fixing</t>
        </is>
      </c>
      <c r="N126" t="inlineStr">
        <is>
          <t>{1}: Add one mana of any color and it becomes that color; once each turn</t>
        </is>
      </c>
      <c r="O126" t="inlineStr">
        <is>
          <t>Enters: look at the top card of your library, and you may put it into your graveyard</t>
        </is>
      </c>
      <c r="R126" t="n">
        <v>0.27</v>
      </c>
    </row>
    <row r="127" ht="15" customHeight="1" s="148">
      <c r="A127" t="inlineStr">
        <is>
          <t>c0126</t>
        </is>
      </c>
      <c r="B127" t="inlineStr">
        <is>
          <t>Genesis Chamber</t>
        </is>
      </c>
      <c r="C127" t="n">
        <v>1</v>
      </c>
      <c r="E127" t="n">
        <v>1</v>
      </c>
      <c r="F127" t="n">
        <v>0</v>
      </c>
      <c r="G127" t="n">
        <v>0</v>
      </c>
      <c r="H127" t="inlineStr">
        <is>
          <t>C</t>
        </is>
      </c>
      <c r="I127" t="inlineStr">
        <is>
          <t>Artifact</t>
        </is>
      </c>
      <c r="J127" t="inlineStr">
        <is>
          <t>B2</t>
        </is>
      </c>
      <c r="K127" t="n">
        <v>2</v>
      </c>
      <c r="L127" t="inlineStr">
        <is>
          <t>Whenever a nontoken creature enters, if this artifact is untapped, that creature's controller creates a 1/1 colorless Myr artifact creature token.</t>
        </is>
      </c>
      <c r="M127" t="inlineStr">
        <is>
          <t>Token Producer</t>
        </is>
      </c>
      <c r="N127" t="inlineStr">
        <is>
          <t>Whenever a nontoken creature enters, its controller creates a 1/1 Myr token (while this is untapped)</t>
        </is>
      </c>
      <c r="R127" t="n">
        <v>3.47</v>
      </c>
    </row>
    <row r="128" ht="15" customHeight="1" s="148">
      <c r="A128" t="inlineStr">
        <is>
          <t>c0127</t>
        </is>
      </c>
      <c r="B128" t="inlineStr">
        <is>
          <t>Ghost Vacuum</t>
        </is>
      </c>
      <c r="C128" t="n">
        <v>1</v>
      </c>
      <c r="E128" t="n">
        <v>1</v>
      </c>
      <c r="F128" t="n">
        <v>0</v>
      </c>
      <c r="G128" t="n">
        <v>1</v>
      </c>
      <c r="H128" t="inlineStr">
        <is>
          <t>C</t>
        </is>
      </c>
      <c r="I128" t="inlineStr">
        <is>
          <t>Artifact</t>
        </is>
      </c>
      <c r="J128" t="inlineStr">
        <is>
          <t>B2</t>
        </is>
      </c>
      <c r="K128" t="n">
        <v>1</v>
      </c>
      <c r="L128" t="inlineStr">
        <is>
          <t>{T}: Exile target card from a graveyard.
{6}, {T}, Sacrifice this artifact: Put each creature card exiled with this artifact onto the battlefield under your control with a flying counter on it. Each of them is a 1/1 Spirit in addition to its other types. Activate only as a sorcery.</t>
        </is>
      </c>
      <c r="M128" t="inlineStr">
        <is>
          <t>Graveyard Hate</t>
        </is>
      </c>
      <c r="N128" t="inlineStr">
        <is>
          <t>Tap: exile target card from a graveyard</t>
        </is>
      </c>
      <c r="O128" t="inlineStr">
        <is>
          <t>Pay {6}, tap, sacrifice: put all creatures exiled with it onto the battlefield as 1/1 flying Spirits</t>
        </is>
      </c>
      <c r="R128" t="n">
        <v>4.15</v>
      </c>
    </row>
    <row r="129" ht="15" customHeight="1" s="148">
      <c r="A129" t="inlineStr">
        <is>
          <t>c0128</t>
        </is>
      </c>
      <c r="B129" t="inlineStr">
        <is>
          <t>Giant's Boulder</t>
        </is>
      </c>
      <c r="C129" t="n">
        <v>3</v>
      </c>
      <c r="E129" t="n">
        <v>2</v>
      </c>
      <c r="F129" t="n">
        <v>1</v>
      </c>
      <c r="G129" t="n">
        <v>1</v>
      </c>
      <c r="H129" t="inlineStr">
        <is>
          <t>C</t>
        </is>
      </c>
      <c r="I129" t="inlineStr">
        <is>
          <t>Artifact</t>
        </is>
      </c>
      <c r="J129" t="inlineStr">
        <is>
          <t>B2</t>
        </is>
      </c>
      <c r="K129" t="n">
        <v>1</v>
      </c>
      <c r="L129" t="inlineStr">
        <is>
          <t>When this artifact enters, scry 2. (Look at the top two cards of your library, then put any number of them on the bottom and the rest on top in any order.)
{1}, {T}: Add one mana of any color.
{7}, {T}, Sacrifice this artifact: Destroy target permanent.</t>
        </is>
      </c>
      <c r="M129" t="inlineStr">
        <is>
          <t>Mana Rock</t>
        </is>
      </c>
      <c r="N129" t="inlineStr">
        <is>
          <t>Taps for one mana of any color for {1}</t>
        </is>
      </c>
      <c r="O129" t="inlineStr">
        <is>
          <t>Scry 2 when it enters</t>
        </is>
      </c>
      <c r="P129" t="inlineStr">
        <is>
          <t>Sacrifice and pay {7} to destroy target permanent</t>
        </is>
      </c>
      <c r="R129" t="n">
        <v>0.26</v>
      </c>
    </row>
    <row r="130" ht="15" customHeight="1" s="148">
      <c r="A130" t="inlineStr">
        <is>
          <t>c0129</t>
        </is>
      </c>
      <c r="B130" t="inlineStr">
        <is>
          <t>Goldvein Pick</t>
        </is>
      </c>
      <c r="C130" t="n">
        <v>1</v>
      </c>
      <c r="E130" t="n">
        <v>1</v>
      </c>
      <c r="F130" t="n">
        <v>0</v>
      </c>
      <c r="G130" t="n">
        <v>1</v>
      </c>
      <c r="H130" t="inlineStr">
        <is>
          <t>C</t>
        </is>
      </c>
      <c r="I130" t="inlineStr">
        <is>
          <t>Artifact</t>
        </is>
      </c>
      <c r="J130" t="inlineStr">
        <is>
          <t>B2</t>
        </is>
      </c>
      <c r="K130" t="n">
        <v>2</v>
      </c>
      <c r="L130" t="inlineStr">
        <is>
          <t>Equipped creature gets +1/+1.
Whenever equipped creature deals combat damage to a player, create a Treasure token. (It's an artifact with "{T}, Sacrifice this token: Add one mana of any color.")
Equip {1} ({1}: Attach to target creature you control. Equip only as a sorcery.)</t>
        </is>
      </c>
      <c r="M130" t="inlineStr">
        <is>
          <t>Token Producer</t>
        </is>
      </c>
      <c r="N130" t="inlineStr">
        <is>
          <t>Equipped creature gets +1/+1</t>
        </is>
      </c>
      <c r="O130" t="inlineStr">
        <is>
          <t>Creates a Treasure token when equipped creature deals combat damage to a player</t>
        </is>
      </c>
      <c r="R130" t="n">
        <v>0.42</v>
      </c>
    </row>
    <row r="131" ht="15" customHeight="1" s="148">
      <c r="A131" t="inlineStr">
        <is>
          <t>c0130</t>
        </is>
      </c>
      <c r="B131" t="inlineStr">
        <is>
          <t>Golgari Signet</t>
        </is>
      </c>
      <c r="C131" t="n">
        <v>1</v>
      </c>
      <c r="E131" t="n">
        <v>1</v>
      </c>
      <c r="F131" t="n">
        <v>0</v>
      </c>
      <c r="G131" t="n">
        <v>1</v>
      </c>
      <c r="H131" t="inlineStr">
        <is>
          <t>C</t>
        </is>
      </c>
      <c r="I131" t="inlineStr">
        <is>
          <t>Artifact</t>
        </is>
      </c>
      <c r="J131" t="inlineStr">
        <is>
          <t>B2</t>
        </is>
      </c>
      <c r="K131" t="n">
        <v>2</v>
      </c>
      <c r="L131" t="inlineStr">
        <is>
          <t>{1}, {T}: Add {B}{G}.</t>
        </is>
      </c>
      <c r="M131" t="inlineStr">
        <is>
          <t>Mana Rock</t>
        </is>
      </c>
      <c r="N131" t="inlineStr">
        <is>
          <t>{1}, {T}: Add {B}{G}</t>
        </is>
      </c>
      <c r="R131" t="n">
        <v>0.36</v>
      </c>
    </row>
    <row r="132" ht="15" customHeight="1" s="148">
      <c r="A132" t="inlineStr">
        <is>
          <t>c0131</t>
        </is>
      </c>
      <c r="B132" t="inlineStr">
        <is>
          <t>Ichor Wellspring</t>
        </is>
      </c>
      <c r="C132" t="n">
        <v>1</v>
      </c>
      <c r="E132" t="n">
        <v>1</v>
      </c>
      <c r="F132" t="n">
        <v>0</v>
      </c>
      <c r="G132" t="n">
        <v>1</v>
      </c>
      <c r="H132" t="inlineStr">
        <is>
          <t>C</t>
        </is>
      </c>
      <c r="I132" t="inlineStr">
        <is>
          <t>Artifact</t>
        </is>
      </c>
      <c r="J132" t="inlineStr">
        <is>
          <t>B2</t>
        </is>
      </c>
      <c r="K132" t="n">
        <v>2</v>
      </c>
      <c r="L132" t="inlineStr">
        <is>
          <t>When this artifact enters or is put into a graveyard from the battlefield, draw a card.</t>
        </is>
      </c>
      <c r="M132" t="inlineStr">
        <is>
          <t>Card Draw</t>
        </is>
      </c>
      <c r="N132" t="inlineStr">
        <is>
          <t>Draws a card when it enters or is put into a graveyard from the battlefield</t>
        </is>
      </c>
      <c r="R132" t="n">
        <v>1.45</v>
      </c>
    </row>
    <row r="133" ht="15" customHeight="1" s="148">
      <c r="A133" t="inlineStr">
        <is>
          <t>c0132</t>
        </is>
      </c>
      <c r="B133" t="inlineStr">
        <is>
          <t>Idol of Oblivion</t>
        </is>
      </c>
      <c r="C133" t="n">
        <v>0</v>
      </c>
      <c r="D133" t="n">
        <v>2</v>
      </c>
      <c r="E133" t="n">
        <v>0</v>
      </c>
      <c r="F133" t="n">
        <v>0</v>
      </c>
      <c r="G133" t="n">
        <v>2</v>
      </c>
      <c r="H133" t="inlineStr">
        <is>
          <t>C</t>
        </is>
      </c>
      <c r="I133" t="inlineStr">
        <is>
          <t>Artifact</t>
        </is>
      </c>
      <c r="J133" t="inlineStr">
        <is>
          <t>B3</t>
        </is>
      </c>
      <c r="K133" t="n">
        <v>2</v>
      </c>
      <c r="L133" t="inlineStr">
        <is>
          <t>{T}: Draw a card. Activate only if you created a token this turn.
{8}, {T}, Sacrifice this artifact: Create a 10/10 colorless Eldrazi creature token.</t>
        </is>
      </c>
      <c r="M133" t="inlineStr">
        <is>
          <t>Card Draw</t>
        </is>
      </c>
      <c r="N133" t="inlineStr">
        <is>
          <t>{T}: Draw a card. Activate only if you created a token this turn.
{8}, {T}, Sacrifice this artifact: Create a 10/10 colo</t>
        </is>
      </c>
      <c r="R133" t="n">
        <v>1.85</v>
      </c>
    </row>
    <row r="134" ht="15" customHeight="1" s="148">
      <c r="A134" t="inlineStr">
        <is>
          <t>c0133</t>
        </is>
      </c>
      <c r="B134" t="inlineStr">
        <is>
          <t>Lightning Greaves</t>
        </is>
      </c>
      <c r="C134" t="n">
        <v>0</v>
      </c>
      <c r="D134" t="n">
        <v>1</v>
      </c>
      <c r="E134" t="n">
        <v>0</v>
      </c>
      <c r="F134" t="n">
        <v>0</v>
      </c>
      <c r="G134" t="n">
        <v>1</v>
      </c>
      <c r="H134" t="inlineStr">
        <is>
          <t>C</t>
        </is>
      </c>
      <c r="I134" t="inlineStr">
        <is>
          <t>Artifact</t>
        </is>
      </c>
      <c r="J134" t="inlineStr">
        <is>
          <t>B3</t>
        </is>
      </c>
      <c r="K134" t="n">
        <v>2</v>
      </c>
      <c r="L134" t="inlineStr">
        <is>
          <t>Equipped creature has haste and shroud. (It can't be the target of spells or abilities.)
Equip {0}</t>
        </is>
      </c>
      <c r="M134" t="inlineStr">
        <is>
          <t>Protection</t>
        </is>
      </c>
      <c r="N134" t="inlineStr">
        <is>
          <t>Equipped creature has haste and shroud</t>
        </is>
      </c>
      <c r="O134" t="inlineStr">
        <is>
          <t>Equip {0}</t>
        </is>
      </c>
      <c r="R134" t="n">
        <v>4.59</v>
      </c>
    </row>
    <row r="135" ht="15" customHeight="1" s="148">
      <c r="A135" t="inlineStr">
        <is>
          <t>c0134</t>
        </is>
      </c>
      <c r="B135" t="inlineStr">
        <is>
          <t>Long-Bodied Grey Dog</t>
        </is>
      </c>
      <c r="C135" t="n">
        <v>1</v>
      </c>
      <c r="E135" t="n">
        <v>0</v>
      </c>
      <c r="F135" t="n">
        <v>1</v>
      </c>
      <c r="G135" t="n">
        <v>0</v>
      </c>
      <c r="H135" t="inlineStr">
        <is>
          <t>C</t>
        </is>
      </c>
      <c r="I135" t="inlineStr">
        <is>
          <t>Creature</t>
        </is>
      </c>
      <c r="J135" t="inlineStr">
        <is>
          <t>B2</t>
        </is>
      </c>
      <c r="K135" t="n">
        <v>3</v>
      </c>
      <c r="L135" t="inlineStr">
        <is>
          <t>Flash
Reach
When this creature enters, create a tapped Treasure token. (It's an artifact with "{T}, Sacrifice this token: Add one mana of any color.")
(2/2)</t>
        </is>
      </c>
      <c r="M135" t="inlineStr">
        <is>
          <t>Ramp</t>
        </is>
      </c>
      <c r="N135" t="inlineStr">
        <is>
          <t>Enters: create a tapped Treasure token</t>
        </is>
      </c>
      <c r="O135" t="inlineStr">
        <is>
          <t>Flash and reach on a 2/2 body</t>
        </is>
      </c>
      <c r="R135" t="n">
        <v>0.15</v>
      </c>
    </row>
    <row r="136" ht="15" customHeight="1" s="148">
      <c r="A136" t="inlineStr">
        <is>
          <t>c0135</t>
        </is>
      </c>
      <c r="B136" t="inlineStr">
        <is>
          <t>Mage Tower Referee</t>
        </is>
      </c>
      <c r="C136" t="n">
        <v>1</v>
      </c>
      <c r="E136" t="n">
        <v>0</v>
      </c>
      <c r="F136" t="n">
        <v>1</v>
      </c>
      <c r="G136" t="n">
        <v>0</v>
      </c>
      <c r="H136" t="inlineStr">
        <is>
          <t>C</t>
        </is>
      </c>
      <c r="I136" t="inlineStr">
        <is>
          <t>Artifact Creature</t>
        </is>
      </c>
      <c r="J136" t="inlineStr">
        <is>
          <t>B2</t>
        </is>
      </c>
      <c r="K136" t="n">
        <v>2</v>
      </c>
      <c r="L136" t="inlineStr">
        <is>
          <t>Whenever you cast a multicolored spell, put a +1/+1 counter on this creature.
(2/1)</t>
        </is>
      </c>
      <c r="M136" t="inlineStr">
        <is>
          <t>Counters Payoff</t>
        </is>
      </c>
      <c r="N136" t="inlineStr">
        <is>
          <t>Whenever you cast a multicolored spell, put a +1/+1 counter on this creature</t>
        </is>
      </c>
      <c r="R136" t="n">
        <v>0.05</v>
      </c>
    </row>
    <row r="137" ht="15" customHeight="1" s="148">
      <c r="A137" t="inlineStr">
        <is>
          <t>c0136</t>
        </is>
      </c>
      <c r="B137" t="inlineStr">
        <is>
          <t>Magistrate's Scepter</t>
        </is>
      </c>
      <c r="C137" t="n">
        <v>0</v>
      </c>
      <c r="E137" t="n">
        <v>0</v>
      </c>
      <c r="F137" t="n">
        <v>0</v>
      </c>
      <c r="G137" t="n">
        <v>0</v>
      </c>
      <c r="H137" t="inlineStr">
        <is>
          <t>C</t>
        </is>
      </c>
      <c r="I137" t="inlineStr">
        <is>
          <t>Artifact</t>
        </is>
      </c>
      <c r="J137" t="inlineStr">
        <is>
          <t>B2</t>
        </is>
      </c>
      <c r="K137" t="n">
        <v>3</v>
      </c>
      <c r="L137" t="inlineStr">
        <is>
          <t>{4}, {T}: Put a charge counter on this artifact.
{T}, Remove three charge counters from this artifact: Take an extra turn after this one.</t>
        </is>
      </c>
      <c r="M137" t="inlineStr">
        <is>
          <t>Value Engine</t>
        </is>
      </c>
      <c r="N137" t="inlineStr">
        <is>
          <t>{4}, {T}: Put a charge counter on this artifact</t>
        </is>
      </c>
      <c r="O137" t="inlineStr">
        <is>
          <t>{T}, Remove three charge counters from this artifact: Take an extra turn after this one</t>
        </is>
      </c>
      <c r="R137" t="n">
        <v>3.09</v>
      </c>
    </row>
    <row r="138" ht="15" customHeight="1" s="148">
      <c r="A138" t="inlineStr">
        <is>
          <t>c0137</t>
        </is>
      </c>
      <c r="B138" t="inlineStr">
        <is>
          <t>Mask of Memory</t>
        </is>
      </c>
      <c r="C138" t="n">
        <v>0</v>
      </c>
      <c r="E138" t="n">
        <v>0</v>
      </c>
      <c r="F138" t="n">
        <v>0</v>
      </c>
      <c r="G138" t="n">
        <v>0</v>
      </c>
      <c r="H138" t="inlineStr">
        <is>
          <t>C</t>
        </is>
      </c>
      <c r="I138" t="inlineStr">
        <is>
          <t>Artifact</t>
        </is>
      </c>
      <c r="J138" t="inlineStr">
        <is>
          <t>B2</t>
        </is>
      </c>
      <c r="K138" t="n">
        <v>2</v>
      </c>
      <c r="L138" t="inlineStr">
        <is>
          <t>Whenever equipped creature deals combat damage to a player, you may draw two cards. If you do, discard a card.
Equip {1} ({1}: Attach to target creature you control. Equip only as a sorcery.)</t>
        </is>
      </c>
      <c r="M138" t="inlineStr">
        <is>
          <t>Card Draw</t>
        </is>
      </c>
      <c r="N138" t="inlineStr">
        <is>
          <t>Equipped creature draws two and discards one on combat damage to a player</t>
        </is>
      </c>
      <c r="O138" t="inlineStr">
        <is>
          <t>Equip for 1</t>
        </is>
      </c>
      <c r="R138" t="n">
        <v>0.38</v>
      </c>
    </row>
    <row r="139" ht="15" customHeight="1" s="148">
      <c r="A139" t="inlineStr">
        <is>
          <t>c0138</t>
        </is>
      </c>
      <c r="B139" t="inlineStr">
        <is>
          <t>Millikin</t>
        </is>
      </c>
      <c r="C139" t="n">
        <v>1</v>
      </c>
      <c r="E139" t="n">
        <v>1</v>
      </c>
      <c r="F139" t="n">
        <v>0</v>
      </c>
      <c r="G139" t="n">
        <v>1</v>
      </c>
      <c r="H139" t="inlineStr">
        <is>
          <t>C</t>
        </is>
      </c>
      <c r="I139" t="inlineStr">
        <is>
          <t>Artifact Creature</t>
        </is>
      </c>
      <c r="J139" t="inlineStr">
        <is>
          <t>B2</t>
        </is>
      </c>
      <c r="K139" t="n">
        <v>2</v>
      </c>
      <c r="L139" t="inlineStr">
        <is>
          <t>{T}, Mill a card: Add {C}. (Activate only as an instant. To mill a card, put the top card of your library into your graveyard.)
(0/1)</t>
        </is>
      </c>
      <c r="M139" t="inlineStr">
        <is>
          <t>Mana Rock</t>
        </is>
      </c>
      <c r="N139" t="inlineStr">
        <is>
          <t>Mill a card, tap: add {C}</t>
        </is>
      </c>
      <c r="R139" t="n">
        <v>0.27</v>
      </c>
    </row>
    <row r="140" ht="15" customHeight="1" s="148">
      <c r="A140" t="inlineStr">
        <is>
          <t>c0139</t>
        </is>
      </c>
      <c r="B140" t="inlineStr">
        <is>
          <t>Mind Stone</t>
        </is>
      </c>
      <c r="C140" t="n">
        <v>3</v>
      </c>
      <c r="E140" t="n">
        <v>3</v>
      </c>
      <c r="F140" t="n">
        <v>0</v>
      </c>
      <c r="G140" t="n">
        <v>3</v>
      </c>
      <c r="H140" t="inlineStr">
        <is>
          <t>C</t>
        </is>
      </c>
      <c r="I140" t="inlineStr">
        <is>
          <t>Artifact</t>
        </is>
      </c>
      <c r="J140" t="inlineStr">
        <is>
          <t>B2</t>
        </is>
      </c>
      <c r="K140" t="n">
        <v>2</v>
      </c>
      <c r="L140" t="inlineStr">
        <is>
          <t>{T}: Add {C}.
{1}, {T}, Sacrifice this artifact: Draw a card.</t>
        </is>
      </c>
      <c r="M140" t="inlineStr">
        <is>
          <t>Mana Rock</t>
        </is>
      </c>
      <c r="N140" t="inlineStr">
        <is>
          <t>Taps for {C}</t>
        </is>
      </c>
      <c r="O140" t="inlineStr">
        <is>
          <t>Pay {1}, tap, sacrifice: draw a card</t>
        </is>
      </c>
      <c r="R140" t="n">
        <v>0.29</v>
      </c>
    </row>
    <row r="141" ht="15" customHeight="1" s="148">
      <c r="A141" t="inlineStr">
        <is>
          <t>c0140</t>
        </is>
      </c>
      <c r="B141" t="inlineStr">
        <is>
          <t>Myr Battlesphere</t>
        </is>
      </c>
      <c r="C141" t="n">
        <v>1</v>
      </c>
      <c r="E141" t="n">
        <v>0</v>
      </c>
      <c r="F141" t="n">
        <v>1</v>
      </c>
      <c r="G141" t="n">
        <v>0</v>
      </c>
      <c r="H141" t="inlineStr">
        <is>
          <t>C</t>
        </is>
      </c>
      <c r="I141" t="inlineStr">
        <is>
          <t>Artifact Creature</t>
        </is>
      </c>
      <c r="J141" t="inlineStr">
        <is>
          <t>B2</t>
        </is>
      </c>
      <c r="K141" t="n">
        <v>7</v>
      </c>
      <c r="L141" t="inlineStr">
        <is>
          <t>When this creature enters, create four 1/1 colorless Myr artifact creature tokens.
Whenever this creature attacks, you may tap X untapped Myr you control. If you do, this creature gets +X/+0 until end of turn and deals X damage to the player or planeswalker it's attacking.
(4/7)</t>
        </is>
      </c>
      <c r="M141" t="inlineStr">
        <is>
          <t>Token Producer</t>
        </is>
      </c>
      <c r="N141" t="inlineStr">
        <is>
          <t>Creates four 1/1 Myr tokens when it enters</t>
        </is>
      </c>
      <c r="O141" t="inlineStr">
        <is>
          <t>Attacking: tap Myr for +X/+0 and X damage to defender</t>
        </is>
      </c>
      <c r="R141" t="n">
        <v>0.36</v>
      </c>
    </row>
    <row r="142" ht="15" customHeight="1" s="148">
      <c r="A142" t="inlineStr">
        <is>
          <t>c0141</t>
        </is>
      </c>
      <c r="B142" t="inlineStr">
        <is>
          <t>Old Thrush</t>
        </is>
      </c>
      <c r="C142" t="n">
        <v>2</v>
      </c>
      <c r="E142" t="n">
        <v>2</v>
      </c>
      <c r="F142" t="n">
        <v>0</v>
      </c>
      <c r="G142" t="n">
        <v>0</v>
      </c>
      <c r="H142" t="inlineStr">
        <is>
          <t>C</t>
        </is>
      </c>
      <c r="I142" t="inlineStr">
        <is>
          <t>Creature</t>
        </is>
      </c>
      <c r="J142" t="inlineStr">
        <is>
          <t>B2</t>
        </is>
      </c>
      <c r="K142" t="n">
        <v>2</v>
      </c>
      <c r="L142" t="inlineStr">
        <is>
          <t>Flying
When this creature enters, you gain 2 life. You may search your library for a basic land card, reveal it, then shuffle and put that card on top.
(1/2)</t>
        </is>
      </c>
      <c r="M142" t="inlineStr">
        <is>
          <t>Card Selection</t>
        </is>
      </c>
      <c r="N142" t="inlineStr">
        <is>
          <t>Enters: you gain 2 life and may search your library for a basic land card to put on top</t>
        </is>
      </c>
      <c r="O142" t="inlineStr">
        <is>
          <t>Flying</t>
        </is>
      </c>
      <c r="R142" t="n">
        <v>0.19</v>
      </c>
    </row>
    <row r="143" ht="15" customHeight="1" s="148">
      <c r="A143" t="inlineStr">
        <is>
          <t>c0142</t>
        </is>
      </c>
      <c r="B143" t="inlineStr">
        <is>
          <t>Orzhov Signet</t>
        </is>
      </c>
      <c r="C143" t="n">
        <v>2</v>
      </c>
      <c r="E143" t="n">
        <v>2</v>
      </c>
      <c r="F143" t="n">
        <v>0</v>
      </c>
      <c r="G143" t="n">
        <v>2</v>
      </c>
      <c r="H143" t="inlineStr">
        <is>
          <t>C</t>
        </is>
      </c>
      <c r="I143" t="inlineStr">
        <is>
          <t>Artifact</t>
        </is>
      </c>
      <c r="J143" t="inlineStr">
        <is>
          <t>B2</t>
        </is>
      </c>
      <c r="K143" t="n">
        <v>2</v>
      </c>
      <c r="L143" t="inlineStr">
        <is>
          <t>{1}, {T}: Add {W}{B}.</t>
        </is>
      </c>
      <c r="M143" t="inlineStr">
        <is>
          <t>Mana Rock</t>
        </is>
      </c>
      <c r="N143" t="inlineStr">
        <is>
          <t>{1}, {T}: Add {W}{B}</t>
        </is>
      </c>
      <c r="R143" t="n">
        <v>0.32</v>
      </c>
    </row>
    <row r="144" ht="15" customHeight="1" s="148">
      <c r="A144" t="inlineStr">
        <is>
          <t>c0143</t>
        </is>
      </c>
      <c r="B144" t="inlineStr">
        <is>
          <t>Panharmonicon</t>
        </is>
      </c>
      <c r="C144" t="n">
        <v>0</v>
      </c>
      <c r="E144" t="n">
        <v>0</v>
      </c>
      <c r="F144" t="n">
        <v>0</v>
      </c>
      <c r="G144" t="n">
        <v>0</v>
      </c>
      <c r="H144" t="inlineStr">
        <is>
          <t>C</t>
        </is>
      </c>
      <c r="I144" t="inlineStr">
        <is>
          <t>Artifact</t>
        </is>
      </c>
      <c r="J144" t="inlineStr">
        <is>
          <t>B3</t>
        </is>
      </c>
      <c r="K144" t="n">
        <v>4</v>
      </c>
      <c r="L144" t="inlineStr">
        <is>
          <t>If an artifact or creature entering causes a triggered ability of a permanent you control to trigger, that ability triggers an additional time.</t>
        </is>
      </c>
      <c r="M144" t="inlineStr">
        <is>
          <t>Value Engine</t>
        </is>
      </c>
      <c r="N144" t="inlineStr">
        <is>
          <t>If an artifact or creature entering causes a triggered ability of a permanent you control to trigger, that ability trigg</t>
        </is>
      </c>
      <c r="R144" t="n">
        <v>6.92</v>
      </c>
    </row>
    <row r="145" ht="15" customHeight="1" s="148">
      <c r="A145" t="inlineStr">
        <is>
          <t>c0144</t>
        </is>
      </c>
      <c r="B145" t="inlineStr">
        <is>
          <t>Patchwork Banner</t>
        </is>
      </c>
      <c r="C145" t="n">
        <v>1</v>
      </c>
      <c r="E145" t="n">
        <v>1</v>
      </c>
      <c r="F145" t="n">
        <v>0</v>
      </c>
      <c r="G145" t="n">
        <v>1</v>
      </c>
      <c r="H145" t="inlineStr">
        <is>
          <t>C</t>
        </is>
      </c>
      <c r="I145" t="inlineStr">
        <is>
          <t>Artifact</t>
        </is>
      </c>
      <c r="J145" t="inlineStr">
        <is>
          <t>B2</t>
        </is>
      </c>
      <c r="K145" t="n">
        <v>3</v>
      </c>
      <c r="L145" t="inlineStr">
        <is>
          <t>As this artifact enters, choose a creature type.
Creatures you control of the chosen type get +1/+1.
{T}: Add one mana of any color.</t>
        </is>
      </c>
      <c r="M145" t="inlineStr">
        <is>
          <t>Lord/Anthem</t>
        </is>
      </c>
      <c r="N145" t="inlineStr">
        <is>
          <t>Choose a creature type; those creatures get +1/+1</t>
        </is>
      </c>
      <c r="O145" t="inlineStr">
        <is>
          <t>Taps for one mana of any color</t>
        </is>
      </c>
      <c r="R145" t="n">
        <v>2.52</v>
      </c>
    </row>
    <row r="146" ht="15" customHeight="1" s="148">
      <c r="A146" t="inlineStr">
        <is>
          <t>c0145</t>
        </is>
      </c>
      <c r="B146" t="inlineStr">
        <is>
          <t>Perpetual Timepiece</t>
        </is>
      </c>
      <c r="C146" t="n">
        <v>1</v>
      </c>
      <c r="E146" t="n">
        <v>1</v>
      </c>
      <c r="F146" t="n">
        <v>0</v>
      </c>
      <c r="G146" t="n">
        <v>1</v>
      </c>
      <c r="H146" t="inlineStr">
        <is>
          <t>C</t>
        </is>
      </c>
      <c r="I146" t="inlineStr">
        <is>
          <t>Artifact</t>
        </is>
      </c>
      <c r="J146" t="inlineStr">
        <is>
          <t>B2</t>
        </is>
      </c>
      <c r="K146" t="n">
        <v>2</v>
      </c>
      <c r="L146" t="inlineStr">
        <is>
          <t>{T}: Mill two cards. (Put the top two cards of your library into your graveyard.)
{2}, Exile this artifact: Shuffle any number of target cards from your graveyard into your library.</t>
        </is>
      </c>
      <c r="M146" t="inlineStr">
        <is>
          <t>Graveyard Hate</t>
        </is>
      </c>
      <c r="N146" t="inlineStr">
        <is>
          <t>Tap: mill two cards</t>
        </is>
      </c>
      <c r="O146" t="inlineStr">
        <is>
          <t>Exile this: shuffle any number of target graveyard cards into your library</t>
        </is>
      </c>
      <c r="R146" t="n">
        <v>0.29</v>
      </c>
    </row>
    <row r="147" ht="15" customHeight="1" s="148">
      <c r="A147" t="inlineStr">
        <is>
          <t>c0146</t>
        </is>
      </c>
      <c r="B147" t="inlineStr">
        <is>
          <t>Pilgrim's Eye</t>
        </is>
      </c>
      <c r="C147" t="n">
        <v>3</v>
      </c>
      <c r="E147" t="n">
        <v>2</v>
      </c>
      <c r="F147" t="n">
        <v>1</v>
      </c>
      <c r="G147" t="n">
        <v>0</v>
      </c>
      <c r="H147" t="inlineStr">
        <is>
          <t>C</t>
        </is>
      </c>
      <c r="I147" t="inlineStr">
        <is>
          <t>Artifact Creature</t>
        </is>
      </c>
      <c r="J147" t="inlineStr">
        <is>
          <t>B2</t>
        </is>
      </c>
      <c r="K147" t="n">
        <v>3</v>
      </c>
      <c r="L147" t="inlineStr">
        <is>
          <t>Flying
When this creature enters, you may search your library for a basic land card, reveal it, put it into your hand, then shuffle.
(1/1)</t>
        </is>
      </c>
      <c r="M147" t="inlineStr">
        <is>
          <t>Ramp</t>
        </is>
      </c>
      <c r="N147" t="inlineStr">
        <is>
          <t>2/2 body that can block fliers</t>
        </is>
      </c>
      <c r="O147" t="inlineStr">
        <is>
          <t>Enters: search library for a basic land, put it into hand</t>
        </is>
      </c>
      <c r="R147" t="n">
        <v>0.17</v>
      </c>
    </row>
    <row r="148" ht="15" customHeight="1" s="148">
      <c r="A148" t="inlineStr">
        <is>
          <t>c0147</t>
        </is>
      </c>
      <c r="B148" t="inlineStr">
        <is>
          <t>Prismatic Lens</t>
        </is>
      </c>
      <c r="C148" t="n">
        <v>0</v>
      </c>
      <c r="E148" t="n">
        <v>0</v>
      </c>
      <c r="F148" t="n">
        <v>0</v>
      </c>
      <c r="G148" t="n">
        <v>0</v>
      </c>
      <c r="H148" t="inlineStr">
        <is>
          <t>C</t>
        </is>
      </c>
      <c r="I148" t="inlineStr">
        <is>
          <t>Artifact</t>
        </is>
      </c>
      <c r="J148" t="inlineStr">
        <is>
          <t>B2</t>
        </is>
      </c>
      <c r="K148" t="n">
        <v>2</v>
      </c>
      <c r="L148" t="inlineStr">
        <is>
          <t>{T}: Add {C}.
{1}, {T}: Add one mana of any color.</t>
        </is>
      </c>
      <c r="M148" t="inlineStr">
        <is>
          <t>Mana Rock</t>
        </is>
      </c>
      <c r="N148" t="inlineStr">
        <is>
          <t>Taps for colorless</t>
        </is>
      </c>
      <c r="O148" t="inlineStr">
        <is>
          <t>Pay 1 and tap for one mana of any color</t>
        </is>
      </c>
      <c r="R148" t="n">
        <v>0.4</v>
      </c>
    </row>
    <row r="149" ht="15" customHeight="1" s="148">
      <c r="A149" t="inlineStr">
        <is>
          <t>c0148</t>
        </is>
      </c>
      <c r="B149" t="inlineStr">
        <is>
          <t>Prophetic Prism</t>
        </is>
      </c>
      <c r="C149" t="n">
        <v>2</v>
      </c>
      <c r="E149" t="n">
        <v>2</v>
      </c>
      <c r="F149" t="n">
        <v>0</v>
      </c>
      <c r="G149" t="n">
        <v>1</v>
      </c>
      <c r="H149" t="inlineStr">
        <is>
          <t>C</t>
        </is>
      </c>
      <c r="I149" t="inlineStr">
        <is>
          <t>Artifact</t>
        </is>
      </c>
      <c r="J149" t="inlineStr">
        <is>
          <t>B2</t>
        </is>
      </c>
      <c r="K149" t="n">
        <v>2</v>
      </c>
      <c r="L149" t="inlineStr">
        <is>
          <t>When this artifact enters, draw a card.
{1}, {T}: Add one mana of any color.</t>
        </is>
      </c>
      <c r="M149" t="inlineStr">
        <is>
          <t>Mana Rock</t>
        </is>
      </c>
      <c r="N149" t="inlineStr">
        <is>
          <t>Taps for one mana of any color</t>
        </is>
      </c>
      <c r="O149" t="inlineStr">
        <is>
          <t>Draws a card when it enters</t>
        </is>
      </c>
      <c r="R149" t="n">
        <v>0.2</v>
      </c>
    </row>
    <row r="150" ht="15" customHeight="1" s="148">
      <c r="A150" t="inlineStr">
        <is>
          <t>c0149</t>
        </is>
      </c>
      <c r="B150" t="inlineStr">
        <is>
          <t>Psychosis Crawler</t>
        </is>
      </c>
      <c r="C150" t="n">
        <v>0</v>
      </c>
      <c r="D150" t="n">
        <v>1</v>
      </c>
      <c r="E150" t="n">
        <v>0</v>
      </c>
      <c r="F150" t="n">
        <v>0</v>
      </c>
      <c r="G150" t="n">
        <v>1</v>
      </c>
      <c r="H150" t="inlineStr">
        <is>
          <t>C</t>
        </is>
      </c>
      <c r="I150" t="inlineStr">
        <is>
          <t>Artifact Creature</t>
        </is>
      </c>
      <c r="J150" t="inlineStr">
        <is>
          <t>B2</t>
        </is>
      </c>
      <c r="K150" t="n">
        <v>5</v>
      </c>
      <c r="L150" t="inlineStr">
        <is>
          <t>Psychosis Crawler's power and toughness are each equal to the number of cards in your hand.
Whenever you draw a card, each opponent loses 1 life.
(*/*)</t>
        </is>
      </c>
      <c r="M150" t="inlineStr">
        <is>
          <t>Card Draw</t>
        </is>
      </c>
      <c r="N150" t="inlineStr">
        <is>
          <t>Whenever you draw a card, each opponent loses 1 life</t>
        </is>
      </c>
      <c r="O150" t="inlineStr">
        <is>
          <t>Psychosis Crawler's power and toughness are each equal to the number of cards in your hand</t>
        </is>
      </c>
      <c r="R150" t="n">
        <v>2.69</v>
      </c>
    </row>
    <row r="151" ht="15" customHeight="1" s="148">
      <c r="A151" t="inlineStr">
        <is>
          <t>c0150</t>
        </is>
      </c>
      <c r="B151" t="inlineStr">
        <is>
          <t>Ruby Medallion</t>
        </is>
      </c>
      <c r="C151" t="n">
        <v>0</v>
      </c>
      <c r="E151" t="n">
        <v>0</v>
      </c>
      <c r="F151" t="n">
        <v>0</v>
      </c>
      <c r="G151" t="n">
        <v>0</v>
      </c>
      <c r="H151" t="inlineStr">
        <is>
          <t>C</t>
        </is>
      </c>
      <c r="I151" t="inlineStr">
        <is>
          <t>Artifact</t>
        </is>
      </c>
      <c r="J151" t="inlineStr">
        <is>
          <t>B3</t>
        </is>
      </c>
      <c r="K151" t="n">
        <v>2</v>
      </c>
      <c r="L151" t="inlineStr">
        <is>
          <t>Red spells you cast cost {1} less to cast.</t>
        </is>
      </c>
      <c r="M151" t="inlineStr">
        <is>
          <t>Cost Reducer</t>
        </is>
      </c>
      <c r="N151" t="inlineStr">
        <is>
          <t>Red spells you cast cost {1} less to cast.</t>
        </is>
      </c>
      <c r="R151" t="n">
        <v>14.81</v>
      </c>
    </row>
    <row r="152" ht="15" customHeight="1" s="148">
      <c r="A152" t="inlineStr">
        <is>
          <t>c0151</t>
        </is>
      </c>
      <c r="B152" t="inlineStr">
        <is>
          <t>Selesnya Signet</t>
        </is>
      </c>
      <c r="C152" t="n">
        <v>1</v>
      </c>
      <c r="E152" t="n">
        <v>1</v>
      </c>
      <c r="F152" t="n">
        <v>0</v>
      </c>
      <c r="G152" t="n">
        <v>1</v>
      </c>
      <c r="H152" t="inlineStr">
        <is>
          <t>C</t>
        </is>
      </c>
      <c r="I152" t="inlineStr">
        <is>
          <t>Artifact</t>
        </is>
      </c>
      <c r="J152" t="inlineStr">
        <is>
          <t>B2</t>
        </is>
      </c>
      <c r="K152" t="n">
        <v>2</v>
      </c>
      <c r="L152" t="inlineStr">
        <is>
          <t>{1}, {T}: Add {G}{W}.</t>
        </is>
      </c>
      <c r="M152" t="inlineStr">
        <is>
          <t>Mana Rock</t>
        </is>
      </c>
      <c r="N152" t="inlineStr">
        <is>
          <t>{1}, {T}: Add {G}{W}</t>
        </is>
      </c>
      <c r="R152" t="n">
        <v>0.44</v>
      </c>
    </row>
    <row r="153" ht="15" customHeight="1" s="148">
      <c r="A153" t="inlineStr">
        <is>
          <t>c0152</t>
        </is>
      </c>
      <c r="B153" t="inlineStr">
        <is>
          <t>Shield-Wall Sentinel</t>
        </is>
      </c>
      <c r="C153" t="n">
        <v>1</v>
      </c>
      <c r="E153" t="n">
        <v>1</v>
      </c>
      <c r="F153" t="n">
        <v>0</v>
      </c>
      <c r="G153" t="n">
        <v>1</v>
      </c>
      <c r="H153" t="inlineStr">
        <is>
          <t>C</t>
        </is>
      </c>
      <c r="I153" t="inlineStr">
        <is>
          <t>Artifact Creature</t>
        </is>
      </c>
      <c r="J153" t="inlineStr">
        <is>
          <t>B2</t>
        </is>
      </c>
      <c r="K153" t="n">
        <v>4</v>
      </c>
      <c r="L153" t="inlineStr">
        <is>
          <t>Defender
When this creature enters, you may search your library for a creature card with defender, reveal it, put it into your hand, then shuffle.
(1/3)</t>
        </is>
      </c>
      <c r="M153" t="inlineStr">
        <is>
          <t>Tutor</t>
        </is>
      </c>
      <c r="N153" t="inlineStr">
        <is>
          <t>Defender</t>
        </is>
      </c>
      <c r="O153" t="inlineStr">
        <is>
          <t>When this creature enters, you may search your library for a creature card with defender, reveal it, put it into your ha</t>
        </is>
      </c>
      <c r="R153" t="n">
        <v>0.35</v>
      </c>
    </row>
    <row r="154" ht="15" customHeight="1" s="148">
      <c r="A154" t="inlineStr">
        <is>
          <t>c0153</t>
        </is>
      </c>
      <c r="B154" t="inlineStr">
        <is>
          <t>Simic Signet</t>
        </is>
      </c>
      <c r="C154" t="n">
        <v>2</v>
      </c>
      <c r="E154" t="n">
        <v>1</v>
      </c>
      <c r="F154" t="n">
        <v>1</v>
      </c>
      <c r="G154" t="n">
        <v>1</v>
      </c>
      <c r="H154" t="inlineStr">
        <is>
          <t>C</t>
        </is>
      </c>
      <c r="I154" t="inlineStr">
        <is>
          <t>Artifact</t>
        </is>
      </c>
      <c r="J154" t="inlineStr">
        <is>
          <t>B2</t>
        </is>
      </c>
      <c r="K154" t="n">
        <v>2</v>
      </c>
      <c r="L154" t="inlineStr">
        <is>
          <t>{1}, {T}: Add {G}{U}.</t>
        </is>
      </c>
      <c r="M154" t="inlineStr">
        <is>
          <t>Mana Rock</t>
        </is>
      </c>
      <c r="N154" t="inlineStr">
        <is>
          <t>{1}, tap: add {G}{U}</t>
        </is>
      </c>
      <c r="R154" t="n">
        <v>0.35</v>
      </c>
    </row>
    <row r="155" ht="15" customHeight="1" s="148">
      <c r="A155" t="inlineStr">
        <is>
          <t>c0154</t>
        </is>
      </c>
      <c r="B155" t="inlineStr">
        <is>
          <t>Skullclamp</t>
        </is>
      </c>
      <c r="C155" t="n">
        <v>2</v>
      </c>
      <c r="E155" t="n">
        <v>2</v>
      </c>
      <c r="F155" t="n">
        <v>0</v>
      </c>
      <c r="G155" t="n">
        <v>2</v>
      </c>
      <c r="H155" t="inlineStr">
        <is>
          <t>C</t>
        </is>
      </c>
      <c r="I155" t="inlineStr">
        <is>
          <t>Artifact</t>
        </is>
      </c>
      <c r="J155" t="inlineStr">
        <is>
          <t>B3</t>
        </is>
      </c>
      <c r="K155" t="n">
        <v>1</v>
      </c>
      <c r="L155" t="inlineStr">
        <is>
          <t>Equipped creature gets +1/-1.
Whenever equipped creature dies, draw two cards.
Equip {1}</t>
        </is>
      </c>
      <c r="M155" t="inlineStr">
        <is>
          <t>Card Draw</t>
        </is>
      </c>
      <c r="N155" t="inlineStr">
        <is>
          <t>Equipped creature gets +1/-1</t>
        </is>
      </c>
      <c r="O155" t="inlineStr">
        <is>
          <t>Draw two cards whenever equipped creature dies</t>
        </is>
      </c>
      <c r="R155" t="n">
        <v>5.89</v>
      </c>
    </row>
    <row r="156" ht="15" customHeight="1" s="148">
      <c r="A156" t="inlineStr">
        <is>
          <t>c0155</t>
        </is>
      </c>
      <c r="B156" t="inlineStr">
        <is>
          <t>Smuggler's Copter</t>
        </is>
      </c>
      <c r="C156" t="n">
        <v>1</v>
      </c>
      <c r="E156" t="n">
        <v>0</v>
      </c>
      <c r="F156" t="n">
        <v>1</v>
      </c>
      <c r="G156" t="n">
        <v>1</v>
      </c>
      <c r="H156" t="inlineStr">
        <is>
          <t>C</t>
        </is>
      </c>
      <c r="I156" t="inlineStr">
        <is>
          <t>Artifact</t>
        </is>
      </c>
      <c r="J156" t="inlineStr">
        <is>
          <t>B3</t>
        </is>
      </c>
      <c r="K156" t="n">
        <v>2</v>
      </c>
      <c r="L156" t="inlineStr">
        <is>
          <t>Flying
Whenever this Vehicle attacks or blocks, you may draw a card. If you do, discard a card.
Crew 1 (Tap any number of creatures you control with total power 1 or more: This Vehicle becomes an artifact creature until end of turn.)
(3/3)</t>
        </is>
      </c>
      <c r="M156" t="inlineStr">
        <is>
          <t>Discard/Looting</t>
        </is>
      </c>
      <c r="N156" t="inlineStr">
        <is>
          <t>Draws then discards a card when it attacks or blocks</t>
        </is>
      </c>
      <c r="O156" t="inlineStr">
        <is>
          <t>Crews for 1 power to become a creature until end of turn</t>
        </is>
      </c>
      <c r="R156" t="n">
        <v>1.71</v>
      </c>
    </row>
    <row r="157" ht="15" customHeight="1" s="148">
      <c r="A157" t="inlineStr">
        <is>
          <t>c0156</t>
        </is>
      </c>
      <c r="B157" t="inlineStr">
        <is>
          <t>Sol Ring</t>
        </is>
      </c>
      <c r="C157" t="n">
        <v>1</v>
      </c>
      <c r="D157" t="n">
        <v>1</v>
      </c>
      <c r="E157" t="n">
        <v>1</v>
      </c>
      <c r="F157" t="n">
        <v>0</v>
      </c>
      <c r="G157" t="n">
        <v>2</v>
      </c>
      <c r="H157" t="inlineStr">
        <is>
          <t>C</t>
        </is>
      </c>
      <c r="I157" t="inlineStr">
        <is>
          <t>Artifact</t>
        </is>
      </c>
      <c r="J157" t="inlineStr">
        <is>
          <t>B2</t>
        </is>
      </c>
      <c r="K157" t="n">
        <v>1</v>
      </c>
      <c r="L157" t="inlineStr">
        <is>
          <t>{T}: Add {C}{C}.</t>
        </is>
      </c>
      <c r="M157" t="inlineStr">
        <is>
          <t>Mana Rock</t>
        </is>
      </c>
      <c r="N157" t="inlineStr">
        <is>
          <t>Taps for {C}{C}</t>
        </is>
      </c>
      <c r="R157" t="n">
        <v>1.45</v>
      </c>
    </row>
    <row r="158" ht="15" customHeight="1" s="148">
      <c r="A158" t="inlineStr">
        <is>
          <t>c0157</t>
        </is>
      </c>
      <c r="B158" t="inlineStr">
        <is>
          <t>Solemn Simulacrum</t>
        </is>
      </c>
      <c r="C158" t="n">
        <v>0</v>
      </c>
      <c r="D158" t="n">
        <v>1</v>
      </c>
      <c r="E158" t="n">
        <v>0</v>
      </c>
      <c r="F158" t="n">
        <v>0</v>
      </c>
      <c r="G158" t="n">
        <v>1</v>
      </c>
      <c r="H158" t="inlineStr">
        <is>
          <t>C</t>
        </is>
      </c>
      <c r="I158" t="inlineStr">
        <is>
          <t>Artifact Creature</t>
        </is>
      </c>
      <c r="J158" t="inlineStr">
        <is>
          <t>B2</t>
        </is>
      </c>
      <c r="K158" t="n">
        <v>4</v>
      </c>
      <c r="L158" t="inlineStr">
        <is>
          <t>When this creature enters, you may search your library for a basic land card, put that card onto the battlefield tapped, then shuffle.
When this creature dies, you may draw a card.
(2/2)</t>
        </is>
      </c>
      <c r="M158" t="inlineStr">
        <is>
          <t>Ramp</t>
        </is>
      </c>
      <c r="N158" t="inlineStr">
        <is>
          <t>Searches for a basic land and puts it onto the battlefield tapped when it enters</t>
        </is>
      </c>
      <c r="O158" t="inlineStr">
        <is>
          <t>Draws a card when it dies</t>
        </is>
      </c>
      <c r="R158" t="n">
        <v>0.29</v>
      </c>
    </row>
    <row r="159" ht="15" customHeight="1" s="148">
      <c r="A159" t="inlineStr">
        <is>
          <t>c0158</t>
        </is>
      </c>
      <c r="B159" t="inlineStr">
        <is>
          <t>Soul of New Phyrexia</t>
        </is>
      </c>
      <c r="C159" t="n">
        <v>1</v>
      </c>
      <c r="E159" t="n">
        <v>0</v>
      </c>
      <c r="F159" t="n">
        <v>1</v>
      </c>
      <c r="G159" t="n">
        <v>0</v>
      </c>
      <c r="H159" t="inlineStr">
        <is>
          <t>C</t>
        </is>
      </c>
      <c r="I159" t="inlineStr">
        <is>
          <t>Artifact Creature</t>
        </is>
      </c>
      <c r="J159" t="inlineStr">
        <is>
          <t>B2</t>
        </is>
      </c>
      <c r="K159" t="n">
        <v>6</v>
      </c>
      <c r="L159" t="inlineStr">
        <is>
          <t>Trample
{5}: Permanents you control gain indestructible until end of turn.
{5}, Exile this card from your graveyard: Permanents you control gain indestructible until end of turn.
(6/6)</t>
        </is>
      </c>
      <c r="M159" t="inlineStr">
        <is>
          <t>Protection</t>
        </is>
      </c>
      <c r="N159" t="inlineStr">
        <is>
          <t>Pay {5} to give your permanents indestructible until end of turn</t>
        </is>
      </c>
      <c r="O159" t="inlineStr">
        <is>
          <t>Exile this from graveyard and pay {5} for the same effect</t>
        </is>
      </c>
      <c r="R159" t="n">
        <v>0.89</v>
      </c>
    </row>
    <row r="160" ht="15" customHeight="1" s="148">
      <c r="A160" t="inlineStr">
        <is>
          <t>c0159</t>
        </is>
      </c>
      <c r="B160" t="inlineStr">
        <is>
          <t>Stalactite Dagger</t>
        </is>
      </c>
      <c r="C160" t="n">
        <v>1</v>
      </c>
      <c r="E160" t="n">
        <v>0</v>
      </c>
      <c r="F160" t="n">
        <v>1</v>
      </c>
      <c r="G160" t="n">
        <v>0</v>
      </c>
      <c r="H160" t="inlineStr">
        <is>
          <t>C</t>
        </is>
      </c>
      <c r="I160" t="inlineStr">
        <is>
          <t>Artifact</t>
        </is>
      </c>
      <c r="J160" t="inlineStr">
        <is>
          <t>B2</t>
        </is>
      </c>
      <c r="K160" t="n">
        <v>2</v>
      </c>
      <c r="L160" t="inlineStr">
        <is>
          <t>When this Equipment enters, create a 1/1 colorless Shapeshifter creature token with changeling. (It's every creature type.)
Equipped creature gets +1/+1 and is all creature types.
Equip {2} ({2}: Attach to target creature you control. Equip only as a sorcery.)</t>
        </is>
      </c>
      <c r="M160" t="inlineStr">
        <is>
          <t>Token Producer</t>
        </is>
      </c>
      <c r="N160" t="inlineStr">
        <is>
          <t>Enters: create a 1/1 colorless Shapeshifter token with changeling</t>
        </is>
      </c>
      <c r="O160" t="inlineStr">
        <is>
          <t>Equipped creature gets +1/+1 and is every creature type; equip {2}</t>
        </is>
      </c>
      <c r="R160" t="n">
        <v>0.23</v>
      </c>
    </row>
    <row r="161" ht="15" customHeight="1" s="148">
      <c r="A161" t="inlineStr">
        <is>
          <t>c0160</t>
        </is>
      </c>
      <c r="B161" t="inlineStr">
        <is>
          <t>Strixhaven Skycoach</t>
        </is>
      </c>
      <c r="C161" t="n">
        <v>1</v>
      </c>
      <c r="E161" t="n">
        <v>1</v>
      </c>
      <c r="F161" t="n">
        <v>0</v>
      </c>
      <c r="G161" t="n">
        <v>1</v>
      </c>
      <c r="H161" t="inlineStr">
        <is>
          <t>C</t>
        </is>
      </c>
      <c r="I161" t="inlineStr">
        <is>
          <t>Artifact</t>
        </is>
      </c>
      <c r="J161" t="inlineStr">
        <is>
          <t>B2</t>
        </is>
      </c>
      <c r="K161" t="n">
        <v>3</v>
      </c>
      <c r="L161" t="inlineStr">
        <is>
          <t>Flying
When this Vehicle enters, you may search your library for a basic land card, reveal it, put it into your hand, then shuffle.
Crew 2 (Tap any number of creatures you control with total power 2 or more: This Vehicle becomes an artifact creature until end of turn.)
(3/2)</t>
        </is>
      </c>
      <c r="M161" t="inlineStr">
        <is>
          <t>Flexible Fixing</t>
        </is>
      </c>
      <c r="N161" t="inlineStr">
        <is>
          <t>Enters: search your library for a basic land card and put it into your hand</t>
        </is>
      </c>
      <c r="O161" t="inlineStr">
        <is>
          <t>3/2 flying Vehicle, crew 2</t>
        </is>
      </c>
      <c r="R161" t="n">
        <v>0.19</v>
      </c>
    </row>
    <row r="162" ht="15" customHeight="1" s="148">
      <c r="A162" t="inlineStr">
        <is>
          <t>c0161</t>
        </is>
      </c>
      <c r="B162" t="inlineStr">
        <is>
          <t>Strixhaven Stadium</t>
        </is>
      </c>
      <c r="C162" t="n">
        <v>1</v>
      </c>
      <c r="E162" t="n">
        <v>1</v>
      </c>
      <c r="F162" t="n">
        <v>0</v>
      </c>
      <c r="G162" t="n">
        <v>0</v>
      </c>
      <c r="H162" t="inlineStr">
        <is>
          <t>C</t>
        </is>
      </c>
      <c r="I162" t="inlineStr">
        <is>
          <t>Artifact</t>
        </is>
      </c>
      <c r="J162" t="inlineStr">
        <is>
          <t>B2</t>
        </is>
      </c>
      <c r="K162" t="n">
        <v>3</v>
      </c>
      <c r="L162" t="inlineStr">
        <is>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is>
      </c>
      <c r="M162" t="inlineStr">
        <is>
          <t>Mana Rock</t>
        </is>
      </c>
      <c r="N162" t="inlineStr">
        <is>
          <t>Taps for {C}, gaining a point counter</t>
        </is>
      </c>
      <c r="O162" t="inlineStr">
        <is>
          <t>10+ point counters from combat damage causes an opponent to lose the game</t>
        </is>
      </c>
      <c r="P162" t="inlineStr">
        <is>
          <t>Loses counters when you take combat damage</t>
        </is>
      </c>
      <c r="R162" t="n">
        <v>0.41</v>
      </c>
    </row>
    <row r="163" ht="15" customHeight="1" s="148">
      <c r="A163" t="inlineStr">
        <is>
          <t>c0162</t>
        </is>
      </c>
      <c r="B163" t="inlineStr">
        <is>
          <t>Sundering Archaic</t>
        </is>
      </c>
      <c r="C163" t="n">
        <v>1</v>
      </c>
      <c r="E163" t="n">
        <v>1</v>
      </c>
      <c r="F163" t="n">
        <v>0</v>
      </c>
      <c r="G163" t="n">
        <v>0</v>
      </c>
      <c r="H163" t="inlineStr">
        <is>
          <t>C</t>
        </is>
      </c>
      <c r="I163" t="inlineStr">
        <is>
          <t>Creature</t>
        </is>
      </c>
      <c r="J163" t="inlineStr">
        <is>
          <t>B2</t>
        </is>
      </c>
      <c r="K163" t="n">
        <v>6</v>
      </c>
      <c r="L163" t="inlineStr">
        <is>
          <t>Converge — When this creature enters, exile target nonland permanent an opponent controls with mana value less than or equal to the number of colors of mana spent to cast this creature.
{2}: Put target card from a graveyard on the bottom of its owner's library.
(3/3)</t>
        </is>
      </c>
      <c r="M163" t="inlineStr">
        <is>
          <t>Removal</t>
        </is>
      </c>
      <c r="N163" t="inlineStr">
        <is>
          <t>Converge — enters: exile target nonland permanent an opponent controls with mana value up to the number of colors of mana spent to cast it</t>
        </is>
      </c>
      <c r="O163" t="inlineStr">
        <is>
          <t>{2}: Put target card from a graveyard on the bottom of its owner's library</t>
        </is>
      </c>
      <c r="R163" t="n">
        <v>0.17</v>
      </c>
    </row>
    <row r="164" ht="15" customHeight="1" s="148">
      <c r="A164" t="inlineStr">
        <is>
          <t>c0163</t>
        </is>
      </c>
      <c r="B164" t="inlineStr">
        <is>
          <t>Swiftfoot Boots</t>
        </is>
      </c>
      <c r="C164" t="n">
        <v>1</v>
      </c>
      <c r="E164" t="n">
        <v>1</v>
      </c>
      <c r="F164" t="n">
        <v>0</v>
      </c>
      <c r="G164" t="n">
        <v>1</v>
      </c>
      <c r="H164" t="inlineStr">
        <is>
          <t>C</t>
        </is>
      </c>
      <c r="I164" t="inlineStr">
        <is>
          <t>Artifact</t>
        </is>
      </c>
      <c r="J164" t="inlineStr">
        <is>
          <t>B3</t>
        </is>
      </c>
      <c r="K164" t="n">
        <v>2</v>
      </c>
      <c r="L164" t="inlineStr">
        <is>
          <t>Equipped creature has hexproof and haste. (It can't be the target of spells or abilities your opponents control. It can attack and {T} no matter when it came under your control.)
Equip {1} ({1}: Attach to target creature you control. Equip only as a sorcery.)</t>
        </is>
      </c>
      <c r="M164" t="inlineStr">
        <is>
          <t>Protection</t>
        </is>
      </c>
      <c r="N164" t="inlineStr">
        <is>
          <t>Equipped creature has hexproof and haste</t>
        </is>
      </c>
      <c r="O164" t="inlineStr">
        <is>
          <t>Equip {1}</t>
        </is>
      </c>
      <c r="R164" t="n">
        <v>2.3</v>
      </c>
    </row>
    <row r="165" ht="15" customHeight="1" s="148">
      <c r="A165" t="inlineStr">
        <is>
          <t>c0164</t>
        </is>
      </c>
      <c r="B165" t="inlineStr">
        <is>
          <t>Sword of the Animist</t>
        </is>
      </c>
      <c r="C165" t="n">
        <v>2</v>
      </c>
      <c r="E165" t="n">
        <v>2</v>
      </c>
      <c r="F165" t="n">
        <v>0</v>
      </c>
      <c r="G165" t="n">
        <v>2</v>
      </c>
      <c r="H165" t="inlineStr">
        <is>
          <t>C</t>
        </is>
      </c>
      <c r="I165" t="inlineStr">
        <is>
          <t>Legendary Artifact</t>
        </is>
      </c>
      <c r="J165" t="inlineStr">
        <is>
          <t>B2</t>
        </is>
      </c>
      <c r="K165" t="n">
        <v>2</v>
      </c>
      <c r="L165" t="inlineStr">
        <is>
          <t>Equipped creature gets +1/+1.
Whenever equipped creature attacks, you may search your library for a basic land card, put it onto the battlefield tapped, then shuffle.
Equip {2}</t>
        </is>
      </c>
      <c r="M165" t="inlineStr">
        <is>
          <t>Ramp</t>
        </is>
      </c>
      <c r="N165" t="inlineStr">
        <is>
          <t>Equipped creature gets +1/+1</t>
        </is>
      </c>
      <c r="O165" t="inlineStr">
        <is>
          <t>Attacking fetches a basic land onto the battlefield tapped</t>
        </is>
      </c>
      <c r="R165" t="n">
        <v>6.13</v>
      </c>
    </row>
    <row r="166" ht="15" customHeight="1" s="148">
      <c r="A166" t="inlineStr">
        <is>
          <t>c0165</t>
        </is>
      </c>
      <c r="B166" t="inlineStr">
        <is>
          <t>The Black Arrow</t>
        </is>
      </c>
      <c r="C166" t="n">
        <v>1</v>
      </c>
      <c r="E166" t="n">
        <v>1</v>
      </c>
      <c r="F166" t="n">
        <v>0</v>
      </c>
      <c r="G166" t="n">
        <v>1</v>
      </c>
      <c r="H166" t="inlineStr">
        <is>
          <t>C</t>
        </is>
      </c>
      <c r="I166" t="inlineStr">
        <is>
          <t>Legendary Artifact</t>
        </is>
      </c>
      <c r="J166" t="inlineStr">
        <is>
          <t>B2</t>
        </is>
      </c>
      <c r="K166" t="n">
        <v>3</v>
      </c>
      <c r="L166" t="inlineStr">
        <is>
          <t>Flash
When The Black Arrow enters, it deals 1 damage to any target. If a Dragon is dealt damage this way, destroy it.
Equipped creature gets +1/+1 and has reach.
Equip {1} ({1}: Attach to target creature you control. Equip only as a sorcery.)</t>
        </is>
      </c>
      <c r="M166" t="inlineStr">
        <is>
          <t>Removal</t>
        </is>
      </c>
      <c r="N166" t="inlineStr">
        <is>
          <t>Enters: deals 1 damage to any target; if a Dragon is dealt damage this way, destroy it</t>
        </is>
      </c>
      <c r="O166" t="inlineStr">
        <is>
          <t>Equipped creature gets +1/+1 and has reach; equip {1}</t>
        </is>
      </c>
      <c r="P166" t="inlineStr">
        <is>
          <t>Flash</t>
        </is>
      </c>
      <c r="R166" t="n">
        <v>0.15</v>
      </c>
    </row>
    <row r="167" ht="15" customHeight="1" s="148">
      <c r="A167" t="inlineStr">
        <is>
          <t>c0166</t>
        </is>
      </c>
      <c r="B167" t="inlineStr">
        <is>
          <t>Thornbite Staff</t>
        </is>
      </c>
      <c r="C167" t="n">
        <v>1</v>
      </c>
      <c r="E167" t="n">
        <v>1</v>
      </c>
      <c r="F167" t="n">
        <v>0</v>
      </c>
      <c r="G167" t="n">
        <v>1</v>
      </c>
      <c r="H167" t="inlineStr">
        <is>
          <t>C</t>
        </is>
      </c>
      <c r="I167" t="inlineStr">
        <is>
          <t>Kindred Artifact</t>
        </is>
      </c>
      <c r="J167" t="inlineStr">
        <is>
          <t>B2</t>
        </is>
      </c>
      <c r="K167" t="n">
        <v>2</v>
      </c>
      <c r="L167" t="inlineStr">
        <is>
          <t>Equipped creature has "{2}, {T}: This creature deals 1 damage to any target" and "Whenever a creature dies, untap this creature."
Whenever a Shaman creature enters, you may attach this Equipment to it.
Equip {4}</t>
        </is>
      </c>
      <c r="M167" t="inlineStr">
        <is>
          <t>Value Engine</t>
        </is>
      </c>
      <c r="N167" t="inlineStr">
        <is>
          <t>Equipped creature has "{2}, {T}: This creature deals 1 damage to any target" and "Whenever a creature dies, untap this c</t>
        </is>
      </c>
      <c r="O167" t="inlineStr">
        <is>
          <t>Whenever a Shaman creature enters, you may attach this Equipment to it</t>
        </is>
      </c>
      <c r="P167" t="inlineStr">
        <is>
          <t>Equip {4}</t>
        </is>
      </c>
      <c r="R167" t="n">
        <v>8.73</v>
      </c>
    </row>
    <row r="168" ht="15" customHeight="1" s="148">
      <c r="A168" t="inlineStr">
        <is>
          <t>c0167</t>
        </is>
      </c>
      <c r="B168" t="inlineStr">
        <is>
          <t>Thought Vessel</t>
        </is>
      </c>
      <c r="C168" t="n">
        <v>1</v>
      </c>
      <c r="E168" t="n">
        <v>0</v>
      </c>
      <c r="F168" t="n">
        <v>1</v>
      </c>
      <c r="G168" t="n">
        <v>1</v>
      </c>
      <c r="H168" t="inlineStr">
        <is>
          <t>C</t>
        </is>
      </c>
      <c r="I168" t="inlineStr">
        <is>
          <t>Artifact</t>
        </is>
      </c>
      <c r="J168" t="inlineStr">
        <is>
          <t>B2</t>
        </is>
      </c>
      <c r="K168" t="n">
        <v>2</v>
      </c>
      <c r="L168" t="inlineStr">
        <is>
          <t>You have no maximum hand size.
{T}: Add {C}.</t>
        </is>
      </c>
      <c r="M168" t="inlineStr">
        <is>
          <t>Ramp</t>
        </is>
      </c>
      <c r="N168" t="inlineStr">
        <is>
          <t>{T}: Add {C}</t>
        </is>
      </c>
      <c r="O168" t="inlineStr">
        <is>
          <t>You have no maximum hand size</t>
        </is>
      </c>
      <c r="R168" t="n">
        <v>2.37</v>
      </c>
    </row>
    <row r="169" ht="15" customHeight="1" s="148">
      <c r="A169" t="inlineStr">
        <is>
          <t>c0168</t>
        </is>
      </c>
      <c r="B169" t="inlineStr">
        <is>
          <t>Thousand-Year Elixir</t>
        </is>
      </c>
      <c r="C169" t="n">
        <v>1</v>
      </c>
      <c r="E169" t="n">
        <v>1</v>
      </c>
      <c r="F169" t="n">
        <v>0</v>
      </c>
      <c r="G169" t="n">
        <v>1</v>
      </c>
      <c r="H169" t="inlineStr">
        <is>
          <t>C</t>
        </is>
      </c>
      <c r="I169" t="inlineStr">
        <is>
          <t>Artifact</t>
        </is>
      </c>
      <c r="J169" t="inlineStr">
        <is>
          <t>B2</t>
        </is>
      </c>
      <c r="K169" t="n">
        <v>3</v>
      </c>
      <c r="L169" t="inlineStr">
        <is>
          <t>You may activate abilities of creatures you control as though those creatures had haste.
{1}, {T}: Untap target creature.</t>
        </is>
      </c>
      <c r="M169" t="inlineStr">
        <is>
          <t>Haste Enabler</t>
        </is>
      </c>
      <c r="N169" t="inlineStr">
        <is>
          <t>Your creatures can use tap abilities the turn they enter</t>
        </is>
      </c>
      <c r="O169" t="inlineStr">
        <is>
          <t>Pay {1} and tap to untap target creature</t>
        </is>
      </c>
      <c r="R169" t="n">
        <v>14.61</v>
      </c>
    </row>
    <row r="170" ht="15" customHeight="1" s="148">
      <c r="A170" t="inlineStr">
        <is>
          <t>c0169</t>
        </is>
      </c>
      <c r="B170" t="inlineStr">
        <is>
          <t>Throne of Geth</t>
        </is>
      </c>
      <c r="C170" t="n">
        <v>1</v>
      </c>
      <c r="E170" t="n">
        <v>1</v>
      </c>
      <c r="F170" t="n">
        <v>0</v>
      </c>
      <c r="G170" t="n">
        <v>1</v>
      </c>
      <c r="H170" t="inlineStr">
        <is>
          <t>C</t>
        </is>
      </c>
      <c r="I170" t="inlineStr">
        <is>
          <t>Artifact</t>
        </is>
      </c>
      <c r="J170" t="inlineStr">
        <is>
          <t>B2</t>
        </is>
      </c>
      <c r="K170" t="n">
        <v>2</v>
      </c>
      <c r="L170" t="inlineStr">
        <is>
          <t>{T}, Sacrifice an artifact: Proliferate. (Choose any number of permanents and/or players, then give each another counter of each kind already there.)</t>
        </is>
      </c>
      <c r="M170" t="inlineStr">
        <is>
          <t>Proliferate</t>
        </is>
      </c>
      <c r="N170" t="inlineStr">
        <is>
          <t>Sacrifice an artifact to proliferate</t>
        </is>
      </c>
      <c r="R170" t="n">
        <v>1.2</v>
      </c>
    </row>
    <row r="171" ht="15" customHeight="1" s="148">
      <c r="A171" t="inlineStr">
        <is>
          <t>c0170</t>
        </is>
      </c>
      <c r="B171" t="inlineStr">
        <is>
          <t>Thrór's Map</t>
        </is>
      </c>
      <c r="C171" t="n">
        <v>1</v>
      </c>
      <c r="E171" t="n">
        <v>0</v>
      </c>
      <c r="F171" t="n">
        <v>1</v>
      </c>
      <c r="G171" t="n">
        <v>0</v>
      </c>
      <c r="H171" t="inlineStr">
        <is>
          <t>C</t>
        </is>
      </c>
      <c r="I171" t="inlineStr">
        <is>
          <t>Legendary Artifact</t>
        </is>
      </c>
      <c r="J171" t="inlineStr">
        <is>
          <t>B2</t>
        </is>
      </c>
      <c r="K171" t="n">
        <v>2</v>
      </c>
      <c r="L171" t="inlineStr">
        <is>
          <t>When Thrór's Map enters, search your library for a basic land card, reveal it, put it into your hand, then shuffle.
{2}, {T}: Draw a card, then discard a card.</t>
        </is>
      </c>
      <c r="M171" t="inlineStr">
        <is>
          <t>Flexible Fixing</t>
        </is>
      </c>
      <c r="N171" t="inlineStr">
        <is>
          <t>Enters: search your library for a basic land card and put it into your hand</t>
        </is>
      </c>
      <c r="O171" t="inlineStr">
        <is>
          <t>{2}, {T}: Draw a card, then discard a card</t>
        </is>
      </c>
      <c r="R171" t="n">
        <v>0.21</v>
      </c>
    </row>
    <row r="172" ht="15" customHeight="1" s="148">
      <c r="A172" t="inlineStr">
        <is>
          <t>c0171</t>
        </is>
      </c>
      <c r="B172" t="inlineStr">
        <is>
          <t>Tome of Legends</t>
        </is>
      </c>
      <c r="C172" t="n">
        <v>1</v>
      </c>
      <c r="E172" t="n">
        <v>1</v>
      </c>
      <c r="F172" t="n">
        <v>0</v>
      </c>
      <c r="G172" t="n">
        <v>0</v>
      </c>
      <c r="H172" t="inlineStr">
        <is>
          <t>C</t>
        </is>
      </c>
      <c r="I172" t="inlineStr">
        <is>
          <t>Artifact</t>
        </is>
      </c>
      <c r="J172" t="inlineStr">
        <is>
          <t>B2</t>
        </is>
      </c>
      <c r="K172" t="n">
        <v>2</v>
      </c>
      <c r="L172" t="inlineStr">
        <is>
          <t>This artifact enters with a page counter on it.
Whenever your commander enters or attacks, put a page counter on this artifact.
{1}, {T}, Remove a page counter from this artifact: Draw a card.</t>
        </is>
      </c>
      <c r="M172" t="inlineStr">
        <is>
          <t>Card Draw</t>
        </is>
      </c>
      <c r="N172" t="inlineStr">
        <is>
          <t>Gets a page counter when your commander enters or attacks</t>
        </is>
      </c>
      <c r="O172" t="inlineStr">
        <is>
          <t>Remove a page counter, pay {1}, tap: draw a card</t>
        </is>
      </c>
      <c r="R172" t="n">
        <v>0.28</v>
      </c>
    </row>
    <row r="173" ht="15" customHeight="1" s="148">
      <c r="A173" t="inlineStr">
        <is>
          <t>c0172</t>
        </is>
      </c>
      <c r="B173" t="inlineStr">
        <is>
          <t>Troop of Ponies</t>
        </is>
      </c>
      <c r="C173" t="n">
        <v>1</v>
      </c>
      <c r="E173" t="n">
        <v>1</v>
      </c>
      <c r="F173" t="n">
        <v>0</v>
      </c>
      <c r="G173" t="n">
        <v>1</v>
      </c>
      <c r="H173" t="inlineStr">
        <is>
          <t>C</t>
        </is>
      </c>
      <c r="I173" t="inlineStr">
        <is>
          <t>Creature</t>
        </is>
      </c>
      <c r="J173" t="inlineStr">
        <is>
          <t>B2</t>
        </is>
      </c>
      <c r="K173" t="n">
        <v>2</v>
      </c>
      <c r="L173" t="inlineStr">
        <is>
          <t>{2}, {T}, Sacrifice this creature: Search your library for up to two basic land cards, reveal them, put one onto the battlefield tapped and the other into your hand, then shuffle.
(2/1)</t>
        </is>
      </c>
      <c r="M173" t="inlineStr">
        <is>
          <t>Ramp</t>
        </is>
      </c>
      <c r="N173" t="inlineStr">
        <is>
          <t>{2}, {T}, sacrifice: search for two basic lands, one onto the battlefield tapped and the other into your hand</t>
        </is>
      </c>
      <c r="R173" t="n">
        <v>0.31</v>
      </c>
    </row>
    <row r="174" ht="15" customHeight="1" s="148">
      <c r="A174" t="inlineStr">
        <is>
          <t>c0173</t>
        </is>
      </c>
      <c r="B174" t="inlineStr">
        <is>
          <t>Ultima, Origin of Oblivion</t>
        </is>
      </c>
      <c r="C174" t="n">
        <v>1</v>
      </c>
      <c r="E174" t="n">
        <v>1</v>
      </c>
      <c r="F174" t="n">
        <v>0</v>
      </c>
      <c r="G174" t="n">
        <v>0</v>
      </c>
      <c r="H174" t="inlineStr">
        <is>
          <t>C</t>
        </is>
      </c>
      <c r="I174" t="inlineStr">
        <is>
          <t>Legendary Creature</t>
        </is>
      </c>
      <c r="J174" t="inlineStr">
        <is>
          <t>B2</t>
        </is>
      </c>
      <c r="K174" t="n">
        <v>5</v>
      </c>
      <c r="L174" t="inlineStr">
        <is>
          <t>Flying
Whenever Ultima attacks, put a blight counter on target land. For as long as that land has a blight counter on it, it loses all land types and abilities and has "{T}: Add {C}."
Whenever you tap a land for {C}, add an additional {C}.
(4/4)</t>
        </is>
      </c>
      <c r="M174" t="inlineStr">
        <is>
          <t>Ramp</t>
        </is>
      </c>
      <c r="N174" t="inlineStr">
        <is>
          <t>Flying body</t>
        </is>
      </c>
      <c r="O174" t="inlineStr">
        <is>
          <t>Attacking corrupts target land into a colorless-only land</t>
        </is>
      </c>
      <c r="P174" t="inlineStr">
        <is>
          <t>Tapping a land for {C} produces an additional {C}</t>
        </is>
      </c>
      <c r="R174" t="n">
        <v>1.87</v>
      </c>
    </row>
    <row r="175" ht="15" customHeight="1" s="148">
      <c r="A175" t="inlineStr">
        <is>
          <t>c0174</t>
        </is>
      </c>
      <c r="B175" t="inlineStr">
        <is>
          <t>Unlicensed Hearse</t>
        </is>
      </c>
      <c r="C175" t="n">
        <v>0</v>
      </c>
      <c r="E175" t="n">
        <v>0</v>
      </c>
      <c r="F175" t="n">
        <v>0</v>
      </c>
      <c r="G175" t="n">
        <v>0</v>
      </c>
      <c r="H175" t="inlineStr">
        <is>
          <t>C</t>
        </is>
      </c>
      <c r="I175" t="inlineStr">
        <is>
          <t>Artifact</t>
        </is>
      </c>
      <c r="J175" t="inlineStr">
        <is>
          <t>B2</t>
        </is>
      </c>
      <c r="K175" t="n">
        <v>2</v>
      </c>
      <c r="L175" t="inlineStr">
        <is>
          <t>{T}: Exile up to two target cards from a single graveyard.
Unlicensed Hearse's power and toughness are each equal to the number of cards exiled with it.
Crew 2
(*/*)</t>
        </is>
      </c>
      <c r="M175" t="inlineStr">
        <is>
          <t>Value Engine</t>
        </is>
      </c>
      <c r="N175" t="inlineStr">
        <is>
          <t>{T}: Exile up to two target cards from a single graveyard</t>
        </is>
      </c>
      <c r="O175" t="inlineStr">
        <is>
          <t>Unlicensed Hearse's power and toughness are each equal to the number of cards exiled with it</t>
        </is>
      </c>
      <c r="P175" t="inlineStr">
        <is>
          <t>Crew 2</t>
        </is>
      </c>
      <c r="R175" t="n">
        <v>0.38</v>
      </c>
    </row>
    <row r="176" ht="15" customHeight="1" s="148">
      <c r="A176" t="inlineStr">
        <is>
          <t>c0175</t>
        </is>
      </c>
      <c r="B176" t="inlineStr">
        <is>
          <t>Vanquisher's Banner</t>
        </is>
      </c>
      <c r="C176" t="n">
        <v>0</v>
      </c>
      <c r="D176" t="n">
        <v>1</v>
      </c>
      <c r="E176" t="n">
        <v>0</v>
      </c>
      <c r="F176" t="n">
        <v>0</v>
      </c>
      <c r="G176" t="n">
        <v>1</v>
      </c>
      <c r="H176" t="inlineStr">
        <is>
          <t>C</t>
        </is>
      </c>
      <c r="I176" t="inlineStr">
        <is>
          <t>Artifact</t>
        </is>
      </c>
      <c r="J176" t="inlineStr">
        <is>
          <t>B2</t>
        </is>
      </c>
      <c r="K176" t="n">
        <v>5</v>
      </c>
      <c r="L176" t="inlineStr">
        <is>
          <t>As this artifact enters, choose a creature type.
Creatures you control of the chosen type get +1/+1.
Whenever you cast a creature spell of the chosen type, draw a card.</t>
        </is>
      </c>
      <c r="M176" t="inlineStr">
        <is>
          <t>Card Draw</t>
        </is>
      </c>
      <c r="N176" t="inlineStr">
        <is>
          <t>Whenever you cast a creature spell of the chosen type, draw a card</t>
        </is>
      </c>
      <c r="O176" t="inlineStr">
        <is>
          <t>As this artifact enters, choose a creature type</t>
        </is>
      </c>
      <c r="P176" t="inlineStr">
        <is>
          <t>Creatures you control of the chosen type get +1/+1</t>
        </is>
      </c>
      <c r="R176" t="n">
        <v>5.51</v>
      </c>
    </row>
    <row r="177" ht="15" customHeight="1" s="148">
      <c r="A177" t="inlineStr">
        <is>
          <t>c0176</t>
        </is>
      </c>
      <c r="B177" t="inlineStr">
        <is>
          <t>Voyager Staff</t>
        </is>
      </c>
      <c r="C177" t="n">
        <v>1</v>
      </c>
      <c r="E177" t="n">
        <v>0</v>
      </c>
      <c r="F177" t="n">
        <v>1</v>
      </c>
      <c r="G177" t="n">
        <v>0</v>
      </c>
      <c r="H177" t="inlineStr">
        <is>
          <t>C</t>
        </is>
      </c>
      <c r="I177" t="inlineStr">
        <is>
          <t>Artifact</t>
        </is>
      </c>
      <c r="J177" t="inlineStr">
        <is>
          <t>B2</t>
        </is>
      </c>
      <c r="K177" t="n">
        <v>1</v>
      </c>
      <c r="L177" t="inlineStr">
        <is>
          <t>{2}, Sacrifice this artifact: Exile target creature. Return the exiled card to the battlefield under its owner's control at the beginning of the next end step.</t>
        </is>
      </c>
      <c r="M177" t="inlineStr">
        <is>
          <t>Blink</t>
        </is>
      </c>
      <c r="N177" t="inlineStr">
        <is>
          <t>Sacrifice: exile target creature, return it at next end step</t>
        </is>
      </c>
      <c r="R177" t="n">
        <v>0.28</v>
      </c>
    </row>
    <row r="178" ht="15" customHeight="1" s="148">
      <c r="A178" t="inlineStr">
        <is>
          <t>c0177</t>
        </is>
      </c>
      <c r="B178" t="inlineStr">
        <is>
          <t>Walking Bulwark</t>
        </is>
      </c>
      <c r="C178" t="n">
        <v>1</v>
      </c>
      <c r="E178" t="n">
        <v>1</v>
      </c>
      <c r="F178" t="n">
        <v>0</v>
      </c>
      <c r="G178" t="n">
        <v>1</v>
      </c>
      <c r="H178" t="inlineStr">
        <is>
          <t>C</t>
        </is>
      </c>
      <c r="I178" t="inlineStr">
        <is>
          <t>Artifact Creature</t>
        </is>
      </c>
      <c r="J178" t="inlineStr">
        <is>
          <t>B2</t>
        </is>
      </c>
      <c r="K178" t="n">
        <v>1</v>
      </c>
      <c r="L178" t="inlineStr">
        <is>
          <t>Defender
{2}: Until end of turn, target creature with defender gains haste, can attack as though it didn't have defender, and assigns combat damage equal to its toughness rather than its power. Activate only as a sorcery.
(0/3)</t>
        </is>
      </c>
      <c r="M178" t="inlineStr">
        <is>
          <t>Toughness Payoff</t>
        </is>
      </c>
      <c r="N178" t="inlineStr">
        <is>
          <t>Lets target defender attack, dealing damage equal to toughness</t>
        </is>
      </c>
      <c r="O178" t="inlineStr">
        <is>
          <t>Defender body itself</t>
        </is>
      </c>
      <c r="R178" t="n">
        <v>0.23</v>
      </c>
    </row>
    <row r="179" ht="15" customHeight="1" s="148">
      <c r="A179" t="inlineStr">
        <is>
          <t>c0178</t>
        </is>
      </c>
      <c r="B179" t="inlineStr">
        <is>
          <t>Wall of Junk</t>
        </is>
      </c>
      <c r="C179" t="n">
        <v>0</v>
      </c>
      <c r="E179" t="n">
        <v>0</v>
      </c>
      <c r="F179" t="n">
        <v>0</v>
      </c>
      <c r="G179" t="n">
        <v>0</v>
      </c>
      <c r="H179" t="inlineStr">
        <is>
          <t>C</t>
        </is>
      </c>
      <c r="I179" t="inlineStr">
        <is>
          <t>Artifact Creature</t>
        </is>
      </c>
      <c r="J179" t="inlineStr">
        <is>
          <t>B2</t>
        </is>
      </c>
      <c r="K179" t="n">
        <v>2</v>
      </c>
      <c r="L179" t="inlineStr">
        <is>
          <t>Defender (This creature can't attack.)
When this creature blocks, return it to its owner's hand at end of combat. (Return it only if it's on the battlefield.)
(0/7)</t>
        </is>
      </c>
      <c r="M179" t="inlineStr">
        <is>
          <t>Utility Creature</t>
        </is>
      </c>
      <c r="N179" t="inlineStr">
        <is>
          <t>Defender</t>
        </is>
      </c>
      <c r="O179" t="inlineStr">
        <is>
          <t>When this creature blocks, return it to its owner's hand at end of combat</t>
        </is>
      </c>
      <c r="R179" t="n">
        <v>0.31</v>
      </c>
    </row>
    <row r="180" ht="15" customHeight="1" s="148">
      <c r="A180" t="inlineStr">
        <is>
          <t>c0179</t>
        </is>
      </c>
      <c r="B180" t="inlineStr">
        <is>
          <t>War Room</t>
        </is>
      </c>
      <c r="C180" t="n">
        <v>0</v>
      </c>
      <c r="E180" t="n">
        <v>0</v>
      </c>
      <c r="F180" t="n">
        <v>0</v>
      </c>
      <c r="G180" t="n">
        <v>0</v>
      </c>
      <c r="H180" t="inlineStr">
        <is>
          <t>C</t>
        </is>
      </c>
      <c r="I180" t="inlineStr">
        <is>
          <t>Land</t>
        </is>
      </c>
      <c r="J180" t="inlineStr">
        <is>
          <t>B3</t>
        </is>
      </c>
      <c r="K180" t="n">
        <v>0</v>
      </c>
      <c r="L180" t="inlineStr">
        <is>
          <t>{T}: Add {C}.
{3}, {T}, Pay life equal to the number of colors in your commanders' color identity: Draw a card.</t>
        </is>
      </c>
      <c r="M180" t="inlineStr">
        <is>
          <t>Land</t>
        </is>
      </c>
      <c r="N180" t="inlineStr">
        <is>
          <t>{T}: Add {C}.
{3}, {T}, Pay life equal to the number of colors in your commanders' color identity: Draw a card.</t>
        </is>
      </c>
      <c r="R180" t="n">
        <v>5.57</v>
      </c>
    </row>
    <row r="181" ht="15" customHeight="1" s="148">
      <c r="A181" t="inlineStr">
        <is>
          <t>c0180</t>
        </is>
      </c>
      <c r="B181" t="inlineStr">
        <is>
          <t>Weathered Sentinels</t>
        </is>
      </c>
      <c r="C181" t="n">
        <v>2</v>
      </c>
      <c r="E181" t="n">
        <v>1</v>
      </c>
      <c r="F181" t="n">
        <v>1</v>
      </c>
      <c r="G181" t="n">
        <v>1</v>
      </c>
      <c r="H181" t="inlineStr">
        <is>
          <t>C</t>
        </is>
      </c>
      <c r="I181" t="inlineStr">
        <is>
          <t>Artifact Creature</t>
        </is>
      </c>
      <c r="J181" t="inlineStr">
        <is>
          <t>B2</t>
        </is>
      </c>
      <c r="K181" t="n">
        <v>3</v>
      </c>
      <c r="L181" t="inlineStr">
        <is>
          <t>Defender, reach, vigilance, trample
This creature can attack players who attacked you during their last turn as though it didn't have defender.
Whenever this creature attacks, it gets +3/+3 and gains indestructible until end of turn.
(2/5)</t>
        </is>
      </c>
      <c r="M181" t="inlineStr">
        <is>
          <t>Finisher</t>
        </is>
      </c>
      <c r="N181" t="inlineStr">
        <is>
          <t>Can attack players who attacked you last turn despite normally being unable to attack</t>
        </is>
      </c>
      <c r="O181" t="inlineStr">
        <is>
          <t>Gets +3/+3 and becomes indestructible when it attacks</t>
        </is>
      </c>
      <c r="R181" t="n">
        <v>0.9</v>
      </c>
    </row>
    <row r="182" ht="15" customHeight="1" s="148">
      <c r="A182" t="inlineStr">
        <is>
          <t>c0181</t>
        </is>
      </c>
      <c r="B182" t="inlineStr">
        <is>
          <t>Well-Worn Spatula</t>
        </is>
      </c>
      <c r="C182" t="n">
        <v>3</v>
      </c>
      <c r="E182" t="n">
        <v>0</v>
      </c>
      <c r="F182" t="n">
        <v>3</v>
      </c>
      <c r="G182" t="n">
        <v>0</v>
      </c>
      <c r="H182" t="inlineStr">
        <is>
          <t>C</t>
        </is>
      </c>
      <c r="I182" t="inlineStr">
        <is>
          <t>Artifact</t>
        </is>
      </c>
      <c r="J182" t="inlineStr">
        <is>
          <t>B2</t>
        </is>
      </c>
      <c r="K182" t="n">
        <v>1</v>
      </c>
      <c r="L182" t="inlineStr">
        <is>
          <t>When this Equipment enters, you gain 2 life.
Equipped creature gets +1/+1.
Equip {1} ({1}: Attach to target creature you control. Equip only as a sorcery.)</t>
        </is>
      </c>
      <c r="M182" t="inlineStr">
        <is>
          <t>Lifegain</t>
        </is>
      </c>
      <c r="N182" t="inlineStr">
        <is>
          <t>Equipped creature gets +1/+1; equip {1}</t>
        </is>
      </c>
      <c r="O182" t="inlineStr">
        <is>
          <t>Enters: you gain 2 life</t>
        </is>
      </c>
      <c r="R182" t="n">
        <v>0.12</v>
      </c>
    </row>
    <row r="183" ht="15" customHeight="1" s="148">
      <c r="A183" t="inlineStr">
        <is>
          <t>c0182</t>
        </is>
      </c>
      <c r="B183" t="inlineStr">
        <is>
          <t>Ambitious Augmenter</t>
        </is>
      </c>
      <c r="C183" t="n">
        <v>1</v>
      </c>
      <c r="E183" t="n">
        <v>0</v>
      </c>
      <c r="F183" t="n">
        <v>1</v>
      </c>
      <c r="G183" t="n">
        <v>0</v>
      </c>
      <c r="H183" t="inlineStr">
        <is>
          <t>G</t>
        </is>
      </c>
      <c r="I183" t="inlineStr">
        <is>
          <t>Creature</t>
        </is>
      </c>
      <c r="J183" t="inlineStr">
        <is>
          <t>B2</t>
        </is>
      </c>
      <c r="K183" t="n">
        <v>1</v>
      </c>
      <c r="L183" t="inlineStr">
        <is>
          <t>Increment (Whenever you cast a spell, if the amount of mana you spent is greater than this creature's power or toughness, put a +1/+1 counter on this creature.)
When this creature dies, if it had one or more counters on it, create a 0/0 green and blue Fractal creature token, then put this creature's counters on that token.
(1/1)</t>
        </is>
      </c>
      <c r="M183" t="inlineStr">
        <is>
          <t>Counters Payoff</t>
        </is>
      </c>
      <c r="N183" t="inlineStr">
        <is>
          <t>Increment — whenever you cast a spell for more mana than this creature's power or toughness, put a +1/+1 counter on it</t>
        </is>
      </c>
      <c r="O183" t="inlineStr">
        <is>
          <t>When it dies with counters on it, create a 0/0 Fractal token and move the counters onto it</t>
        </is>
      </c>
      <c r="R183" t="n">
        <v>0.28</v>
      </c>
    </row>
    <row r="184" ht="15" customHeight="1" s="148">
      <c r="A184" t="inlineStr">
        <is>
          <t>c0183</t>
        </is>
      </c>
      <c r="B184" t="inlineStr">
        <is>
          <t>Ancient Greenwarden</t>
        </is>
      </c>
      <c r="C184" t="n">
        <v>1</v>
      </c>
      <c r="E184" t="n">
        <v>1</v>
      </c>
      <c r="F184" t="n">
        <v>0</v>
      </c>
      <c r="G184" t="n">
        <v>1</v>
      </c>
      <c r="H184" t="inlineStr">
        <is>
          <t>G</t>
        </is>
      </c>
      <c r="I184" t="inlineStr">
        <is>
          <t>Creature</t>
        </is>
      </c>
      <c r="J184" t="inlineStr">
        <is>
          <t>B2</t>
        </is>
      </c>
      <c r="K184" t="n">
        <v>6</v>
      </c>
      <c r="L184" t="inlineStr">
        <is>
          <t>Reach (This creature can block creatures with flying.)
You may play lands from your graveyard.
If a land entering causes a triggered ability of a permanent you control to trigger, that ability triggers an additional time.
(5/7)</t>
        </is>
      </c>
      <c r="M184" t="inlineStr">
        <is>
          <t>Value Engine</t>
        </is>
      </c>
      <c r="N184" t="inlineStr">
        <is>
          <t>You may play lands from your graveyard</t>
        </is>
      </c>
      <c r="O184" t="inlineStr">
        <is>
          <t>Triggered abilities from a land entering trigger an additional time</t>
        </is>
      </c>
      <c r="R184" t="n">
        <v>12.31</v>
      </c>
    </row>
    <row r="185" ht="15" customHeight="1" s="148">
      <c r="A185" t="inlineStr">
        <is>
          <t>c0184</t>
        </is>
      </c>
      <c r="B185" t="inlineStr">
        <is>
          <t>Arbor Adherent</t>
        </is>
      </c>
      <c r="C185" t="n">
        <v>0</v>
      </c>
      <c r="E185" t="n">
        <v>0</v>
      </c>
      <c r="F185" t="n">
        <v>0</v>
      </c>
      <c r="G185" t="n">
        <v>0</v>
      </c>
      <c r="H185" t="inlineStr">
        <is>
          <t>G</t>
        </is>
      </c>
      <c r="I185" t="inlineStr">
        <is>
          <t>Creature</t>
        </is>
      </c>
      <c r="J185" t="inlineStr">
        <is>
          <t>B2</t>
        </is>
      </c>
      <c r="K185" t="n">
        <v>4</v>
      </c>
      <c r="L185" t="inlineStr">
        <is>
          <t>{T}: Add one mana of any color.
{T}: Add X mana of any one color, where X is the greatest toughness among other creatures you control.
(2/4)</t>
        </is>
      </c>
      <c r="M185" t="inlineStr">
        <is>
          <t>Toughness Payoff</t>
        </is>
      </c>
      <c r="N185" t="inlineStr">
        <is>
          <t>{T}: Add one mana of any color</t>
        </is>
      </c>
      <c r="O185" t="inlineStr">
        <is>
          <t>{T}: Add X mana of any one color, where X is the greatest toughness among other creatures you control</t>
        </is>
      </c>
      <c r="R185" t="n">
        <v>1.87</v>
      </c>
    </row>
    <row r="186" ht="15" customHeight="1" s="148">
      <c r="A186" t="inlineStr">
        <is>
          <t>c0185</t>
        </is>
      </c>
      <c r="B186" t="inlineStr">
        <is>
          <t>Arboreal Grazer</t>
        </is>
      </c>
      <c r="C186" t="n">
        <v>1</v>
      </c>
      <c r="E186" t="n">
        <v>1</v>
      </c>
      <c r="F186" t="n">
        <v>0</v>
      </c>
      <c r="G186" t="n">
        <v>0</v>
      </c>
      <c r="H186" t="inlineStr">
        <is>
          <t>G</t>
        </is>
      </c>
      <c r="I186" t="inlineStr">
        <is>
          <t>Creature</t>
        </is>
      </c>
      <c r="J186" t="inlineStr">
        <is>
          <t>B2</t>
        </is>
      </c>
      <c r="K186" t="n">
        <v>1</v>
      </c>
      <c r="L186" t="inlineStr">
        <is>
          <t>Reach
When this creature enters, you may put a land card from your hand onto the battlefield tapped.
(0/3)</t>
        </is>
      </c>
      <c r="M186" t="inlineStr">
        <is>
          <t>Ramp</t>
        </is>
      </c>
      <c r="N186" t="inlineStr">
        <is>
          <t>Puts a land from your hand onto the battlefield tapped, on ETB</t>
        </is>
      </c>
      <c r="O186" t="inlineStr">
        <is>
          <t>Reach body</t>
        </is>
      </c>
      <c r="R186" t="n">
        <v>0.23</v>
      </c>
    </row>
    <row r="187" ht="15" customHeight="1" s="148">
      <c r="A187" t="inlineStr">
        <is>
          <t>c0186</t>
        </is>
      </c>
      <c r="B187" t="inlineStr">
        <is>
          <t>Assault Formation</t>
        </is>
      </c>
      <c r="C187" t="n">
        <v>1</v>
      </c>
      <c r="E187" t="n">
        <v>1</v>
      </c>
      <c r="F187" t="n">
        <v>0</v>
      </c>
      <c r="G187" t="n">
        <v>1</v>
      </c>
      <c r="H187" t="inlineStr">
        <is>
          <t>G</t>
        </is>
      </c>
      <c r="I187" t="inlineStr">
        <is>
          <t>Enchantment</t>
        </is>
      </c>
      <c r="J187" t="inlineStr">
        <is>
          <t>B2</t>
        </is>
      </c>
      <c r="K187" t="n">
        <v>2</v>
      </c>
      <c r="L187" t="inlineStr">
        <is>
          <t>Each creature you control assigns combat damage equal to its toughness rather than its power.
{G}: Target creature with defender can attack this turn as though it didn't have defender.
{2}{G}: Creatures you control get +0/+1 until end of turn.</t>
        </is>
      </c>
      <c r="M187" t="inlineStr">
        <is>
          <t>Toughness Payoff</t>
        </is>
      </c>
      <c r="N187" t="inlineStr">
        <is>
          <t>Your creatures assign combat damage equal to toughness rather than power</t>
        </is>
      </c>
      <c r="O187" t="inlineStr">
        <is>
          <t>{G}: Target defender can attack this turn</t>
        </is>
      </c>
      <c r="P187" t="inlineStr">
        <is>
          <t>{2}{G}: Creatures you control get +0/+1</t>
        </is>
      </c>
      <c r="R187" t="n">
        <v>0.72</v>
      </c>
    </row>
    <row r="188" ht="15" customHeight="1" s="148">
      <c r="A188" t="inlineStr">
        <is>
          <t>c0187</t>
        </is>
      </c>
      <c r="B188" t="inlineStr">
        <is>
          <t>Attercop</t>
        </is>
      </c>
      <c r="C188" t="n">
        <v>3</v>
      </c>
      <c r="E188" t="n">
        <v>0</v>
      </c>
      <c r="F188" t="n">
        <v>3</v>
      </c>
      <c r="G188" t="n">
        <v>0</v>
      </c>
      <c r="H188" t="inlineStr">
        <is>
          <t>G</t>
        </is>
      </c>
      <c r="I188" t="inlineStr">
        <is>
          <t>Creature</t>
        </is>
      </c>
      <c r="J188" t="inlineStr">
        <is>
          <t>B2</t>
        </is>
      </c>
      <c r="K188" t="n">
        <v>2</v>
      </c>
      <c r="L188" t="inlineStr">
        <is>
          <t>Reach, deathtouch
Landfall — Whenever a land you control enters, this creature gets +1/+1 until end of turn.
(2/1)</t>
        </is>
      </c>
      <c r="M188" t="inlineStr">
        <is>
          <t>Utility Creature</t>
        </is>
      </c>
      <c r="N188" t="inlineStr">
        <is>
          <t>Reach, deathtouch</t>
        </is>
      </c>
      <c r="O188" t="inlineStr">
        <is>
          <t>Landfall - whenever a land you control enters, it gets +1/+1 until end of turn</t>
        </is>
      </c>
      <c r="R188" t="n">
        <v>0.24</v>
      </c>
    </row>
    <row r="189" ht="15" customHeight="1" s="148">
      <c r="A189" t="inlineStr">
        <is>
          <t>c0188</t>
        </is>
      </c>
      <c r="B189" t="inlineStr">
        <is>
          <t>Axebane Guardian</t>
        </is>
      </c>
      <c r="C189" t="n">
        <v>3</v>
      </c>
      <c r="E189" t="n">
        <v>1</v>
      </c>
      <c r="F189" t="n">
        <v>2</v>
      </c>
      <c r="G189" t="n">
        <v>1</v>
      </c>
      <c r="H189" t="inlineStr">
        <is>
          <t>G</t>
        </is>
      </c>
      <c r="I189" t="inlineStr">
        <is>
          <t>Creature</t>
        </is>
      </c>
      <c r="J189" t="inlineStr">
        <is>
          <t>B2</t>
        </is>
      </c>
      <c r="K189" t="n">
        <v>3</v>
      </c>
      <c r="L189" t="inlineStr">
        <is>
          <t>Defender
{T}: Add X mana in any combination of colors, where X is the number of creatures you control with defender.
(0/3)</t>
        </is>
      </c>
      <c r="M189" t="inlineStr">
        <is>
          <t>Defender Ramp</t>
        </is>
      </c>
      <c r="N189" t="inlineStr">
        <is>
          <t>Taps for X mana of any colors, X = creatures you control with defender</t>
        </is>
      </c>
      <c r="R189" t="n">
        <v>0.34</v>
      </c>
    </row>
    <row r="190" ht="15" customHeight="1" s="148">
      <c r="A190" t="inlineStr">
        <is>
          <t>c0189</t>
        </is>
      </c>
      <c r="B190" t="inlineStr">
        <is>
          <t>Beast Whisperer</t>
        </is>
      </c>
      <c r="C190" t="n">
        <v>0</v>
      </c>
      <c r="D190" t="n">
        <v>1</v>
      </c>
      <c r="E190" t="n">
        <v>0</v>
      </c>
      <c r="F190" t="n">
        <v>0</v>
      </c>
      <c r="G190" t="n">
        <v>1</v>
      </c>
      <c r="H190" t="inlineStr">
        <is>
          <t>G</t>
        </is>
      </c>
      <c r="I190" t="inlineStr">
        <is>
          <t>Creature</t>
        </is>
      </c>
      <c r="J190" t="inlineStr">
        <is>
          <t>B3</t>
        </is>
      </c>
      <c r="K190" t="n">
        <v>4</v>
      </c>
      <c r="L190" t="inlineStr">
        <is>
          <t>Whenever you cast a creature spell, draw a card.
(2/3)</t>
        </is>
      </c>
      <c r="M190" t="inlineStr">
        <is>
          <t>Card Draw</t>
        </is>
      </c>
      <c r="N190" t="inlineStr">
        <is>
          <t>Whenever you cast a creature spell, draw a card.</t>
        </is>
      </c>
      <c r="R190" t="n">
        <v>7.51</v>
      </c>
    </row>
    <row r="191" ht="15" customHeight="1" s="148">
      <c r="A191" t="inlineStr">
        <is>
          <t>c0190</t>
        </is>
      </c>
      <c r="B191" t="inlineStr">
        <is>
          <t>Beast Within</t>
        </is>
      </c>
      <c r="C191" t="n">
        <v>0</v>
      </c>
      <c r="D191" t="n">
        <v>1</v>
      </c>
      <c r="E191" t="n">
        <v>0</v>
      </c>
      <c r="F191" t="n">
        <v>0</v>
      </c>
      <c r="G191" t="n">
        <v>1</v>
      </c>
      <c r="H191" t="inlineStr">
        <is>
          <t>G</t>
        </is>
      </c>
      <c r="I191" t="inlineStr">
        <is>
          <t>Instant</t>
        </is>
      </c>
      <c r="J191" t="inlineStr">
        <is>
          <t>B3</t>
        </is>
      </c>
      <c r="K191" t="n">
        <v>3</v>
      </c>
      <c r="L191" t="inlineStr">
        <is>
          <t>Destroy target permanent. Its controller creates a 3/3 green Beast creature token.</t>
        </is>
      </c>
      <c r="M191" t="inlineStr">
        <is>
          <t>Removal</t>
        </is>
      </c>
      <c r="N191" t="inlineStr">
        <is>
          <t>Destroy target permanent. Its controller creates a 3/3 green Beast creature token</t>
        </is>
      </c>
      <c r="R191" t="n">
        <v>0.6</v>
      </c>
    </row>
    <row r="192" ht="15" customHeight="1" s="148">
      <c r="A192" t="inlineStr">
        <is>
          <t>c0191</t>
        </is>
      </c>
      <c r="B192" t="inlineStr">
        <is>
          <t>Bloom Hulk</t>
        </is>
      </c>
      <c r="C192" t="n">
        <v>1</v>
      </c>
      <c r="E192" t="n">
        <v>1</v>
      </c>
      <c r="F192" t="n">
        <v>0</v>
      </c>
      <c r="G192" t="n">
        <v>1</v>
      </c>
      <c r="H192" t="inlineStr">
        <is>
          <t>G</t>
        </is>
      </c>
      <c r="I192" t="inlineStr">
        <is>
          <t>Creature</t>
        </is>
      </c>
      <c r="J192" t="inlineStr">
        <is>
          <t>B2</t>
        </is>
      </c>
      <c r="K192" t="n">
        <v>4</v>
      </c>
      <c r="L192" t="inlineStr">
        <is>
          <t>When this creature enters, proliferate. (Choose any number of permanents and/or players, then give each another counter of each kind already there.)
(4/4)</t>
        </is>
      </c>
      <c r="M192" t="inlineStr">
        <is>
          <t>Proliferate</t>
        </is>
      </c>
      <c r="N192" t="inlineStr">
        <is>
          <t>Enters: proliferate</t>
        </is>
      </c>
      <c r="O192" t="inlineStr">
        <is>
          <t>4/4 body</t>
        </is>
      </c>
      <c r="R192" t="n">
        <v>0.16</v>
      </c>
    </row>
    <row r="193" ht="15" customHeight="1" s="148">
      <c r="A193" t="inlineStr">
        <is>
          <t>c0192</t>
        </is>
      </c>
      <c r="B193" t="inlineStr">
        <is>
          <t>Boughside Wanderers</t>
        </is>
      </c>
      <c r="C193" t="n">
        <v>1</v>
      </c>
      <c r="E193" t="n">
        <v>1</v>
      </c>
      <c r="F193" t="n">
        <v>0</v>
      </c>
      <c r="G193" t="n">
        <v>0</v>
      </c>
      <c r="H193" t="inlineStr">
        <is>
          <t>G</t>
        </is>
      </c>
      <c r="I193" t="inlineStr">
        <is>
          <t>Creature</t>
        </is>
      </c>
      <c r="J193" t="inlineStr">
        <is>
          <t>B2</t>
        </is>
      </c>
      <c r="K193" t="n">
        <v>6</v>
      </c>
      <c r="L193" t="inlineStr">
        <is>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
(4/4)</t>
        </is>
      </c>
      <c r="M193" t="inlineStr">
        <is>
          <t>Card Advantage</t>
        </is>
      </c>
      <c r="N193" t="inlineStr">
        <is>
          <t>Enters: look at the top four cards of your library and put a permanent card from among them into your hand</t>
        </is>
      </c>
      <c r="O193" t="inlineStr">
        <is>
          <t>Landfall - whenever a land you control enters, it gets +2/+2 until end of turn</t>
        </is>
      </c>
      <c r="R193" t="n">
        <v>0.12</v>
      </c>
    </row>
    <row r="194" ht="15" customHeight="1" s="148">
      <c r="A194" t="inlineStr">
        <is>
          <t>c0193</t>
        </is>
      </c>
      <c r="B194" t="inlineStr">
        <is>
          <t>Branching Evolution</t>
        </is>
      </c>
      <c r="C194" t="n">
        <v>1</v>
      </c>
      <c r="E194" t="n">
        <v>1</v>
      </c>
      <c r="F194" t="n">
        <v>0</v>
      </c>
      <c r="G194" t="n">
        <v>1</v>
      </c>
      <c r="H194" t="inlineStr">
        <is>
          <t>G</t>
        </is>
      </c>
      <c r="I194" t="inlineStr">
        <is>
          <t>Enchantment</t>
        </is>
      </c>
      <c r="J194" t="inlineStr">
        <is>
          <t>B3</t>
        </is>
      </c>
      <c r="K194" t="n">
        <v>3</v>
      </c>
      <c r="L194" t="inlineStr">
        <is>
          <t>If one or more +1/+1 counters would be put on a creature you control, twice that many +1/+1 counters are put on that creature instead.</t>
        </is>
      </c>
      <c r="M194" t="inlineStr">
        <is>
          <t>Counters Payoff</t>
        </is>
      </c>
      <c r="N194" t="inlineStr">
        <is>
          <t>If one or more +1/+1 counters would be put on a creature you control, twice that many +1/+1 counters are put on that cre</t>
        </is>
      </c>
      <c r="R194" t="n">
        <v>7.83</v>
      </c>
    </row>
    <row r="195" ht="15" customHeight="1" s="148">
      <c r="A195" t="inlineStr">
        <is>
          <t>c0194</t>
        </is>
      </c>
      <c r="B195" t="inlineStr">
        <is>
          <t>Bristlebane Battler</t>
        </is>
      </c>
      <c r="C195" t="n">
        <v>1</v>
      </c>
      <c r="E195" t="n">
        <v>0</v>
      </c>
      <c r="F195" t="n">
        <v>1</v>
      </c>
      <c r="G195" t="n">
        <v>0</v>
      </c>
      <c r="H195" t="inlineStr">
        <is>
          <t>G</t>
        </is>
      </c>
      <c r="I195" t="inlineStr">
        <is>
          <t>Creature</t>
        </is>
      </c>
      <c r="J195" t="inlineStr">
        <is>
          <t>B2</t>
        </is>
      </c>
      <c r="K195" t="n">
        <v>2</v>
      </c>
      <c r="L195" t="inlineStr">
        <is>
          <t>Trample, ward {2}
This creature enters with five -1/-1 counters on it.
Whenever another creature you control enters while this creature has a -1/-1 counter on it, remove a -1/-1 counter from this creature.
(6/6)</t>
        </is>
      </c>
      <c r="M195" t="inlineStr">
        <is>
          <t>Counters Payoff</t>
        </is>
      </c>
      <c r="N195" t="inlineStr">
        <is>
          <t>Enters with five -1/-1 counters on it</t>
        </is>
      </c>
      <c r="O195" t="inlineStr">
        <is>
          <t>Removes a -1/-1 counter from itself whenever another creature you control enters</t>
        </is>
      </c>
      <c r="R195" t="n">
        <v>0.3</v>
      </c>
    </row>
    <row r="196" ht="15" customHeight="1" s="148">
      <c r="A196" t="inlineStr">
        <is>
          <t>c0195</t>
        </is>
      </c>
      <c r="B196" t="inlineStr">
        <is>
          <t>Cankerbloom</t>
        </is>
      </c>
      <c r="C196" t="n">
        <v>0</v>
      </c>
      <c r="E196" t="n">
        <v>0</v>
      </c>
      <c r="F196" t="n">
        <v>0</v>
      </c>
      <c r="G196" t="n">
        <v>0</v>
      </c>
      <c r="H196" t="inlineStr">
        <is>
          <t>G</t>
        </is>
      </c>
      <c r="I196" t="inlineStr">
        <is>
          <t>Creature</t>
        </is>
      </c>
      <c r="J196" t="inlineStr">
        <is>
          <t>B2</t>
        </is>
      </c>
      <c r="K196" t="n">
        <v>2</v>
      </c>
      <c r="L196" t="inlineStr">
        <is>
          <t>{1}, Sacrifice this creature: Choose one —
• Destroy target artifact.
• Destroy target enchantment.
• Proliferate. (Choose any number of permanents and/or players, then give each another counter of each kind already there.)
(3/2)</t>
        </is>
      </c>
      <c r="M196" t="inlineStr">
        <is>
          <t>Artifact/Enchantment Removal</t>
        </is>
      </c>
      <c r="N196" t="inlineStr">
        <is>
          <t>{1}, Sacrifice this creature: Choose one —</t>
        </is>
      </c>
      <c r="O196" t="inlineStr">
        <is>
          <t>• Destroy target artifact</t>
        </is>
      </c>
      <c r="P196" t="inlineStr">
        <is>
          <t>• Destroy target enchantment</t>
        </is>
      </c>
      <c r="R196" t="n">
        <v>0.36</v>
      </c>
    </row>
    <row r="197" ht="15" customHeight="1" s="148">
      <c r="A197" t="inlineStr">
        <is>
          <t>c0196</t>
        </is>
      </c>
      <c r="B197" t="inlineStr">
        <is>
          <t>Canopy Gargantuan</t>
        </is>
      </c>
      <c r="C197" t="n">
        <v>1</v>
      </c>
      <c r="E197" t="n">
        <v>1</v>
      </c>
      <c r="F197" t="n">
        <v>0</v>
      </c>
      <c r="G197" t="n">
        <v>0</v>
      </c>
      <c r="H197" t="inlineStr">
        <is>
          <t>G</t>
        </is>
      </c>
      <c r="I197" t="inlineStr">
        <is>
          <t>Creature</t>
        </is>
      </c>
      <c r="J197" t="inlineStr">
        <is>
          <t>B2</t>
        </is>
      </c>
      <c r="K197" t="n">
        <v>7</v>
      </c>
      <c r="L197" t="inlineStr">
        <is>
          <t>Flying, ward {2}
At the beginning of your upkeep, put a number of +1/+1 counters on each other creature you control equal to that creature's toughness.
(7/7)</t>
        </is>
      </c>
      <c r="M197" t="inlineStr">
        <is>
          <t>Counters Payoff</t>
        </is>
      </c>
      <c r="N197" t="inlineStr">
        <is>
          <t>Flying body that resists opposing spells</t>
        </is>
      </c>
      <c r="O197" t="inlineStr">
        <is>
          <t>Upkeep: put +1/+1 counters equal to toughness on each other creature you control</t>
        </is>
      </c>
      <c r="R197" t="n">
        <v>3.96</v>
      </c>
    </row>
    <row r="198" ht="15" customHeight="1" s="148">
      <c r="A198" t="inlineStr">
        <is>
          <t>c0197</t>
        </is>
      </c>
      <c r="B198" t="inlineStr">
        <is>
          <t>Carven Caryatid</t>
        </is>
      </c>
      <c r="C198" t="n">
        <v>1</v>
      </c>
      <c r="E198" t="n">
        <v>1</v>
      </c>
      <c r="F198" t="n">
        <v>0</v>
      </c>
      <c r="G198" t="n">
        <v>1</v>
      </c>
      <c r="H198" t="inlineStr">
        <is>
          <t>G</t>
        </is>
      </c>
      <c r="I198" t="inlineStr">
        <is>
          <t>Creature</t>
        </is>
      </c>
      <c r="J198" t="inlineStr">
        <is>
          <t>B2</t>
        </is>
      </c>
      <c r="K198" t="n">
        <v>3</v>
      </c>
      <c r="L198" t="inlineStr">
        <is>
          <t>Defender (This creature can't attack.)
When this creature enters, draw a card.
(2/5)</t>
        </is>
      </c>
      <c r="M198" t="inlineStr">
        <is>
          <t>Card Draw</t>
        </is>
      </c>
      <c r="N198" t="inlineStr">
        <is>
          <t>Draws a card when it enters</t>
        </is>
      </c>
      <c r="O198" t="inlineStr">
        <is>
          <t>Defender body</t>
        </is>
      </c>
      <c r="R198" t="n">
        <v>0.23</v>
      </c>
    </row>
    <row r="199" ht="15" customHeight="1" s="148">
      <c r="A199" t="inlineStr">
        <is>
          <t>c0198</t>
        </is>
      </c>
      <c r="B199" t="inlineStr">
        <is>
          <t>Chelonian Tackle</t>
        </is>
      </c>
      <c r="C199" t="n">
        <v>1</v>
      </c>
      <c r="E199" t="n">
        <v>0</v>
      </c>
      <c r="F199" t="n">
        <v>1</v>
      </c>
      <c r="G199" t="n">
        <v>0</v>
      </c>
      <c r="H199" t="inlineStr">
        <is>
          <t>G</t>
        </is>
      </c>
      <c r="I199" t="inlineStr">
        <is>
          <t>Sorcery</t>
        </is>
      </c>
      <c r="J199" t="inlineStr">
        <is>
          <t>B2</t>
        </is>
      </c>
      <c r="K199" t="n">
        <v>3</v>
      </c>
      <c r="L199" t="inlineStr">
        <is>
          <t>Target creature you control gets +0/+10 until end of turn. Then it fights up to one target creature an opponent controls. (Each deals damage equal to its power to the other.)</t>
        </is>
      </c>
      <c r="M199" t="inlineStr">
        <is>
          <t>Removal</t>
        </is>
      </c>
      <c r="N199" t="inlineStr">
        <is>
          <t>Target creature you control gets +0/+10 until end of turn, then fights a creature an opponent controls</t>
        </is>
      </c>
      <c r="R199" t="n">
        <v>0.22</v>
      </c>
    </row>
    <row r="200" ht="15" customHeight="1" s="148">
      <c r="A200" t="inlineStr">
        <is>
          <t>c0199</t>
        </is>
      </c>
      <c r="B200" t="inlineStr">
        <is>
          <t>Chomping Changeling</t>
        </is>
      </c>
      <c r="C200" t="n">
        <v>1</v>
      </c>
      <c r="E200" t="n">
        <v>1</v>
      </c>
      <c r="F200" t="n">
        <v>0</v>
      </c>
      <c r="G200" t="n">
        <v>1</v>
      </c>
      <c r="H200" t="inlineStr">
        <is>
          <t>G</t>
        </is>
      </c>
      <c r="I200" t="inlineStr">
        <is>
          <t>Creature</t>
        </is>
      </c>
      <c r="J200" t="inlineStr">
        <is>
          <t>B2</t>
        </is>
      </c>
      <c r="K200" t="n">
        <v>3</v>
      </c>
      <c r="L200" t="inlineStr">
        <is>
          <t>Changeling (This card is every creature type.)
When this creature enters, destroy up to one target artifact or enchantment.
(1/2)</t>
        </is>
      </c>
      <c r="M200" t="inlineStr">
        <is>
          <t>Artifact/Enchantment Removal</t>
        </is>
      </c>
      <c r="N200" t="inlineStr">
        <is>
          <t>Enters: destroy up to one target artifact or enchantment</t>
        </is>
      </c>
      <c r="O200" t="inlineStr">
        <is>
          <t>Changeling — it is every creature type</t>
        </is>
      </c>
      <c r="R200" t="n">
        <v>1.37</v>
      </c>
    </row>
    <row r="201" ht="15" customHeight="1" s="148">
      <c r="A201" t="inlineStr">
        <is>
          <t>c0200</t>
        </is>
      </c>
      <c r="B201" t="inlineStr">
        <is>
          <t>Cultivate</t>
        </is>
      </c>
      <c r="C201" t="n">
        <v>1</v>
      </c>
      <c r="E201" t="n">
        <v>0</v>
      </c>
      <c r="F201" t="n">
        <v>1</v>
      </c>
      <c r="G201" t="n">
        <v>0</v>
      </c>
      <c r="H201" t="inlineStr">
        <is>
          <t>G</t>
        </is>
      </c>
      <c r="I201" t="inlineStr">
        <is>
          <t>Sorcery</t>
        </is>
      </c>
      <c r="J201" t="inlineStr">
        <is>
          <t>B2</t>
        </is>
      </c>
      <c r="K201" t="n">
        <v>3</v>
      </c>
      <c r="L201" t="inlineStr">
        <is>
          <t>Search your library for up to two basic land cards, reveal those cards, put one onto the battlefield tapped and the other into your hand, then shuffle.</t>
        </is>
      </c>
      <c r="M201" t="inlineStr">
        <is>
          <t>Ramp</t>
        </is>
      </c>
      <c r="N201" t="inlineStr">
        <is>
          <t>Searches for two basic lands; puts one onto the battlefield tapped, one to hand</t>
        </is>
      </c>
      <c r="R201" t="n">
        <v>0.36</v>
      </c>
    </row>
    <row r="202" ht="15" customHeight="1" s="148">
      <c r="A202" t="inlineStr">
        <is>
          <t>c0201</t>
        </is>
      </c>
      <c r="B202" t="inlineStr">
        <is>
          <t>Dawn's Light Archer</t>
        </is>
      </c>
      <c r="C202" t="n">
        <v>1</v>
      </c>
      <c r="E202" t="n">
        <v>1</v>
      </c>
      <c r="F202" t="n">
        <v>0</v>
      </c>
      <c r="G202" t="n">
        <v>1</v>
      </c>
      <c r="H202" t="inlineStr">
        <is>
          <t>G</t>
        </is>
      </c>
      <c r="I202" t="inlineStr">
        <is>
          <t>Creature</t>
        </is>
      </c>
      <c r="J202" t="inlineStr">
        <is>
          <t>B2</t>
        </is>
      </c>
      <c r="K202" t="n">
        <v>3</v>
      </c>
      <c r="L202" t="inlineStr">
        <is>
          <t>Flash
Reach
(4/2)</t>
        </is>
      </c>
      <c r="M202" t="inlineStr">
        <is>
          <t>Utility Creature</t>
        </is>
      </c>
      <c r="N202" t="inlineStr">
        <is>
          <t>Can be cast at instant speed</t>
        </is>
      </c>
      <c r="O202" t="inlineStr">
        <is>
          <t>Can block fliers</t>
        </is>
      </c>
      <c r="R202" t="n">
        <v>0.13</v>
      </c>
    </row>
    <row r="203" ht="15" customHeight="1" s="148">
      <c r="A203" t="inlineStr">
        <is>
          <t>c0202</t>
        </is>
      </c>
      <c r="B203" t="inlineStr">
        <is>
          <t>Dundoolin Weaver</t>
        </is>
      </c>
      <c r="C203" t="n">
        <v>3</v>
      </c>
      <c r="E203" t="n">
        <v>1</v>
      </c>
      <c r="F203" t="n">
        <v>2</v>
      </c>
      <c r="G203" t="n">
        <v>1</v>
      </c>
      <c r="H203" t="inlineStr">
        <is>
          <t>G</t>
        </is>
      </c>
      <c r="I203" t="inlineStr">
        <is>
          <t>Creature</t>
        </is>
      </c>
      <c r="J203" t="inlineStr">
        <is>
          <t>B2</t>
        </is>
      </c>
      <c r="K203" t="n">
        <v>2</v>
      </c>
      <c r="L203" t="inlineStr">
        <is>
          <t>When this creature enters, if you control three or more creatures, return target permanent card from your graveyard to your hand.
(2/1)</t>
        </is>
      </c>
      <c r="M203" t="inlineStr">
        <is>
          <t>Recursion</t>
        </is>
      </c>
      <c r="N203" t="inlineStr">
        <is>
          <t>Enters: if you control three or more creatures, return a permanent card from graveyard to hand</t>
        </is>
      </c>
      <c r="R203" t="n">
        <v>0.22</v>
      </c>
    </row>
    <row r="204" ht="15" customHeight="1" s="148">
      <c r="A204" t="inlineStr">
        <is>
          <t>c0203</t>
        </is>
      </c>
      <c r="B204" t="inlineStr">
        <is>
          <t>Elvish Visionary</t>
        </is>
      </c>
      <c r="C204" t="n">
        <v>1</v>
      </c>
      <c r="E204" t="n">
        <v>1</v>
      </c>
      <c r="F204" t="n">
        <v>0</v>
      </c>
      <c r="G204" t="n">
        <v>1</v>
      </c>
      <c r="H204" t="inlineStr">
        <is>
          <t>G</t>
        </is>
      </c>
      <c r="I204" t="inlineStr">
        <is>
          <t>Creature</t>
        </is>
      </c>
      <c r="J204" t="inlineStr">
        <is>
          <t>B2</t>
        </is>
      </c>
      <c r="K204" t="n">
        <v>2</v>
      </c>
      <c r="L204" t="inlineStr">
        <is>
          <t>When this creature enters, draw a card.
(1/1)</t>
        </is>
      </c>
      <c r="M204" t="inlineStr">
        <is>
          <t>Card Draw</t>
        </is>
      </c>
      <c r="N204" t="inlineStr">
        <is>
          <t>When this creature enters, draw a card</t>
        </is>
      </c>
      <c r="R204" t="n">
        <v>0.1</v>
      </c>
    </row>
    <row r="205" ht="15" customHeight="1" s="148">
      <c r="A205" t="inlineStr">
        <is>
          <t>c0204</t>
        </is>
      </c>
      <c r="B205" t="inlineStr">
        <is>
          <t>Eternal Witness</t>
        </is>
      </c>
      <c r="C205" t="n">
        <v>1</v>
      </c>
      <c r="E205" t="n">
        <v>1</v>
      </c>
      <c r="F205" t="n">
        <v>0</v>
      </c>
      <c r="G205" t="n">
        <v>1</v>
      </c>
      <c r="H205" t="inlineStr">
        <is>
          <t>G</t>
        </is>
      </c>
      <c r="I205" t="inlineStr">
        <is>
          <t>Creature</t>
        </is>
      </c>
      <c r="J205" t="inlineStr">
        <is>
          <t>B3</t>
        </is>
      </c>
      <c r="K205" t="n">
        <v>3</v>
      </c>
      <c r="L205" t="inlineStr">
        <is>
          <t>When this creature enters, you may return target card from your graveyard to your hand.
(2/1)</t>
        </is>
      </c>
      <c r="M205" t="inlineStr">
        <is>
          <t>Recursion</t>
        </is>
      </c>
      <c r="N205" t="inlineStr">
        <is>
          <t>Returns target card from your graveyard to hand when it enters</t>
        </is>
      </c>
      <c r="R205" t="n">
        <v>2.52</v>
      </c>
    </row>
    <row r="206" ht="15" customHeight="1" s="148">
      <c r="A206" t="inlineStr">
        <is>
          <t>c0205</t>
        </is>
      </c>
      <c r="B206" t="inlineStr">
        <is>
          <t>Evolution Sage</t>
        </is>
      </c>
      <c r="C206" t="n">
        <v>0</v>
      </c>
      <c r="D206" t="n">
        <v>1</v>
      </c>
      <c r="E206" t="n">
        <v>0</v>
      </c>
      <c r="F206" t="n">
        <v>0</v>
      </c>
      <c r="G206" t="n">
        <v>1</v>
      </c>
      <c r="H206" t="inlineStr">
        <is>
          <t>G</t>
        </is>
      </c>
      <c r="I206" t="inlineStr">
        <is>
          <t>Creature</t>
        </is>
      </c>
      <c r="J206" t="inlineStr">
        <is>
          <t>B2</t>
        </is>
      </c>
      <c r="K206" t="n">
        <v>3</v>
      </c>
      <c r="L206" t="inlineStr">
        <is>
          <t>Landfall — Whenever a land you control enters, proliferate. (Choose any number of permanents and/or players, then give each another counter of each kind already there.)
(3/2)</t>
        </is>
      </c>
      <c r="M206" t="inlineStr">
        <is>
          <t>Proliferate</t>
        </is>
      </c>
      <c r="N206" t="inlineStr">
        <is>
          <t>Proliferate whenever a land you control enters</t>
        </is>
      </c>
      <c r="R206" t="n">
        <v>2.33</v>
      </c>
    </row>
    <row r="207" ht="15" customHeight="1" s="148">
      <c r="A207" t="inlineStr">
        <is>
          <t>c0206</t>
        </is>
      </c>
      <c r="B207" t="inlineStr">
        <is>
          <t>Explore</t>
        </is>
      </c>
      <c r="C207" t="n">
        <v>0</v>
      </c>
      <c r="E207" t="n">
        <v>0</v>
      </c>
      <c r="F207" t="n">
        <v>0</v>
      </c>
      <c r="G207" t="n">
        <v>0</v>
      </c>
      <c r="H207" t="inlineStr">
        <is>
          <t>G</t>
        </is>
      </c>
      <c r="I207" t="inlineStr">
        <is>
          <t>Sorcery</t>
        </is>
      </c>
      <c r="J207" t="inlineStr">
        <is>
          <t>B2</t>
        </is>
      </c>
      <c r="K207" t="n">
        <v>2</v>
      </c>
      <c r="L207" t="inlineStr">
        <is>
          <t>You may play an additional land this turn.
Draw a card.</t>
        </is>
      </c>
      <c r="M207" t="inlineStr">
        <is>
          <t>Card Draw</t>
        </is>
      </c>
      <c r="N207" t="inlineStr">
        <is>
          <t>You may play an additional land this turn</t>
        </is>
      </c>
      <c r="O207" t="inlineStr">
        <is>
          <t>Draw a card</t>
        </is>
      </c>
      <c r="R207" t="n">
        <v>0.23</v>
      </c>
    </row>
    <row r="208" ht="15" customHeight="1" s="148">
      <c r="A208" t="inlineStr">
        <is>
          <t>c0207</t>
        </is>
      </c>
      <c r="B208" t="inlineStr">
        <is>
          <t>Farhaven Elf</t>
        </is>
      </c>
      <c r="C208" t="n">
        <v>1</v>
      </c>
      <c r="E208" t="n">
        <v>1</v>
      </c>
      <c r="F208" t="n">
        <v>0</v>
      </c>
      <c r="G208" t="n">
        <v>1</v>
      </c>
      <c r="H208" t="inlineStr">
        <is>
          <t>G</t>
        </is>
      </c>
      <c r="I208" t="inlineStr">
        <is>
          <t>Creature</t>
        </is>
      </c>
      <c r="J208" t="inlineStr">
        <is>
          <t>B2</t>
        </is>
      </c>
      <c r="K208" t="n">
        <v>3</v>
      </c>
      <c r="L208" t="inlineStr">
        <is>
          <t>When this creature enters, you may search your library for a basic land card, put it onto the battlefield tapped, then shuffle.
(1/1)</t>
        </is>
      </c>
      <c r="M208" t="inlineStr">
        <is>
          <t>Ramp</t>
        </is>
      </c>
      <c r="N208" t="inlineStr">
        <is>
          <t>Searches for a basic land and puts it onto the battlefield tapped when it enters</t>
        </is>
      </c>
      <c r="R208" t="n">
        <v>0.22</v>
      </c>
    </row>
    <row r="209" ht="15" customHeight="1" s="148">
      <c r="A209" t="inlineStr">
        <is>
          <t>c0208</t>
        </is>
      </c>
      <c r="B209" t="inlineStr">
        <is>
          <t>Farseek</t>
        </is>
      </c>
      <c r="C209" t="n">
        <v>1</v>
      </c>
      <c r="E209" t="n">
        <v>1</v>
      </c>
      <c r="F209" t="n">
        <v>0</v>
      </c>
      <c r="G209" t="n">
        <v>0</v>
      </c>
      <c r="H209" t="inlineStr">
        <is>
          <t>G</t>
        </is>
      </c>
      <c r="I209" t="inlineStr">
        <is>
          <t>Sorcery</t>
        </is>
      </c>
      <c r="J209" t="inlineStr">
        <is>
          <t>B2</t>
        </is>
      </c>
      <c r="K209" t="n">
        <v>2</v>
      </c>
      <c r="L209" t="inlineStr">
        <is>
          <t>Search your library for a Plains, Island, Swamp, or Mountain card, put it onto the battlefield tapped, then shuffle.</t>
        </is>
      </c>
      <c r="M209" t="inlineStr">
        <is>
          <t>Ramp</t>
        </is>
      </c>
      <c r="N209" t="inlineStr">
        <is>
          <t>Searches your library for a Plains, Island, Swamp, or Mountain card, puts it onto the battlefield tapped</t>
        </is>
      </c>
      <c r="R209" t="n">
        <v>0.48</v>
      </c>
    </row>
    <row r="210" ht="15" customHeight="1" s="148">
      <c r="A210" t="inlineStr">
        <is>
          <t>c0209</t>
        </is>
      </c>
      <c r="B210" t="inlineStr">
        <is>
          <t>Fertilid</t>
        </is>
      </c>
      <c r="C210" t="n">
        <v>2</v>
      </c>
      <c r="E210" t="n">
        <v>2</v>
      </c>
      <c r="F210" t="n">
        <v>0</v>
      </c>
      <c r="G210" t="n">
        <v>2</v>
      </c>
      <c r="H210" t="inlineStr">
        <is>
          <t>G</t>
        </is>
      </c>
      <c r="I210" t="inlineStr">
        <is>
          <t>Creature</t>
        </is>
      </c>
      <c r="J210" t="inlineStr">
        <is>
          <t>B2</t>
        </is>
      </c>
      <c r="K210" t="n">
        <v>3</v>
      </c>
      <c r="L210" t="inlineStr">
        <is>
          <t>This creature enters with two +1/+1 counters on it.
{1}{G}, Remove a +1/+1 counter from this creature: Target player searches their library for a basic land card, puts it onto the battlefield tapped, then shuffles.
(0/0)</t>
        </is>
      </c>
      <c r="M210" t="inlineStr">
        <is>
          <t>Ramp</t>
        </is>
      </c>
      <c r="N210" t="inlineStr">
        <is>
          <t>Enters with two +1/+1 counters</t>
        </is>
      </c>
      <c r="O210" t="inlineStr">
        <is>
          <t>Remove a counter: target player searches for a basic land onto the battlefield tapped</t>
        </is>
      </c>
      <c r="R210" t="n">
        <v>0.3</v>
      </c>
    </row>
    <row r="211" ht="15" customHeight="1" s="148">
      <c r="A211" t="inlineStr">
        <is>
          <t>c0210</t>
        </is>
      </c>
      <c r="B211" t="inlineStr">
        <is>
          <t>Foggy Swamp Vinebender</t>
        </is>
      </c>
      <c r="C211" t="n">
        <v>1</v>
      </c>
      <c r="E211" t="n">
        <v>0</v>
      </c>
      <c r="F211" t="n">
        <v>1</v>
      </c>
      <c r="G211" t="n">
        <v>0</v>
      </c>
      <c r="H211" t="inlineStr">
        <is>
          <t>G</t>
        </is>
      </c>
      <c r="I211" t="inlineStr">
        <is>
          <t>Creature</t>
        </is>
      </c>
      <c r="J211" t="inlineStr">
        <is>
          <t>B2</t>
        </is>
      </c>
      <c r="K211" t="n">
        <v>4</v>
      </c>
      <c r="L211" t="inlineStr">
        <is>
          <t>This creature can't be blocked by creatures with power 2 or less.
Waterbend {5}: Put a +1/+1 counter on this creature. Activate only during your turn. (While paying a waterbend cost, you can tap your artifacts and creatures to help. Each one pays for {1}.)
(4/3)</t>
        </is>
      </c>
      <c r="M211" t="inlineStr">
        <is>
          <t>Counters Payoff</t>
        </is>
      </c>
      <c r="N211" t="inlineStr">
        <is>
          <t>Waterbend {5}: put a +1/+1 counter on it during your turn (tap artifacts and creatures to help pay)</t>
        </is>
      </c>
      <c r="O211" t="inlineStr">
        <is>
          <t>Cannot be blocked by creatures with power 2 or less</t>
        </is>
      </c>
      <c r="R211" t="n">
        <v>0.11</v>
      </c>
    </row>
    <row r="212" ht="15" customHeight="1" s="148">
      <c r="A212" t="inlineStr">
        <is>
          <t>c0211</t>
        </is>
      </c>
      <c r="B212" t="inlineStr">
        <is>
          <t>Follow the Lumarets</t>
        </is>
      </c>
      <c r="C212" t="n">
        <v>1</v>
      </c>
      <c r="E212" t="n">
        <v>1</v>
      </c>
      <c r="F212" t="n">
        <v>0</v>
      </c>
      <c r="G212" t="n">
        <v>0</v>
      </c>
      <c r="H212" t="inlineStr">
        <is>
          <t>G</t>
        </is>
      </c>
      <c r="I212" t="inlineStr">
        <is>
          <t>Sorcery</t>
        </is>
      </c>
      <c r="J212" t="inlineStr">
        <is>
          <t>B2</t>
        </is>
      </c>
      <c r="K212" t="n">
        <v>2</v>
      </c>
      <c r="L212" t="inlineStr">
        <is>
          <t>Infusion — Look at the top four cards of your library. You may reveal a creature or land card from among them and put it into your hand. If you gained life this turn, you may instead reveal two creature and/or land cards from among them and put them into your hand. Put the rest on the bottom of your library in a random order.</t>
        </is>
      </c>
      <c r="M212" t="inlineStr">
        <is>
          <t>Card Selection</t>
        </is>
      </c>
      <c r="N212" t="inlineStr">
        <is>
          <t>Look at the top four cards and put a creature or land card from among them into your hand</t>
        </is>
      </c>
      <c r="O212" t="inlineStr">
        <is>
          <t>Infusion — take two creature and/or land cards instead if you gained life this turn</t>
        </is>
      </c>
      <c r="R212" t="n">
        <v>0.11</v>
      </c>
    </row>
    <row r="213" ht="15" customHeight="1" s="148">
      <c r="A213" t="inlineStr">
        <is>
          <t>c0212</t>
        </is>
      </c>
      <c r="B213" t="inlineStr">
        <is>
          <t>Forgotten Ancient</t>
        </is>
      </c>
      <c r="C213" t="n">
        <v>0</v>
      </c>
      <c r="E213" t="n">
        <v>0</v>
      </c>
      <c r="F213" t="n">
        <v>0</v>
      </c>
      <c r="G213" t="n">
        <v>0</v>
      </c>
      <c r="H213" t="inlineStr">
        <is>
          <t>G</t>
        </is>
      </c>
      <c r="I213" t="inlineStr">
        <is>
          <t>Creature</t>
        </is>
      </c>
      <c r="J213" t="inlineStr">
        <is>
          <t>B2</t>
        </is>
      </c>
      <c r="K213" t="n">
        <v>4</v>
      </c>
      <c r="L213" t="inlineStr">
        <is>
          <t>Whenever a player casts a spell, you may put a +1/+1 counter on this creature.
At the beginning of your upkeep, you may move any number of +1/+1 counters from this creature onto other creatures.
(0/3)</t>
        </is>
      </c>
      <c r="M213" t="inlineStr">
        <is>
          <t>Counters Payoff</t>
        </is>
      </c>
      <c r="N213" t="inlineStr">
        <is>
          <t>Gets a +1/+1 counter whenever any player casts a spell</t>
        </is>
      </c>
      <c r="O213" t="inlineStr">
        <is>
          <t>Moves any number of +1/+1 counters to other creatures each upkeep</t>
        </is>
      </c>
      <c r="Q213" t="n">
        <v>1</v>
      </c>
      <c r="R213" t="n">
        <v>0.33</v>
      </c>
    </row>
    <row r="214" ht="15" customHeight="1" s="148">
      <c r="A214" t="inlineStr">
        <is>
          <t>c0213</t>
        </is>
      </c>
      <c r="B214" t="inlineStr">
        <is>
          <t>Freyalise, Llanowar's Fury</t>
        </is>
      </c>
      <c r="C214" t="n">
        <v>1</v>
      </c>
      <c r="E214" t="n">
        <v>1</v>
      </c>
      <c r="F214" t="n">
        <v>0</v>
      </c>
      <c r="G214" t="n">
        <v>1</v>
      </c>
      <c r="H214" t="inlineStr">
        <is>
          <t>G</t>
        </is>
      </c>
      <c r="I214" t="inlineStr">
        <is>
          <t>Legendary Planeswalker</t>
        </is>
      </c>
      <c r="J214" t="inlineStr">
        <is>
          <t>B2</t>
        </is>
      </c>
      <c r="K214" t="n">
        <v>5</v>
      </c>
      <c r="L214" t="inlineStr">
        <is>
          <t>+2: Create a 1/1 green Elf Druid creature token with "{T}: Add {G}."
−2: Destroy target artifact or enchantment.
−6: Draw a card for each green creature you control.
Freyalise, Llanowar's Fury can be your commander.
(Loyalty 3)</t>
        </is>
      </c>
      <c r="M214" t="inlineStr">
        <is>
          <t>Ramp</t>
        </is>
      </c>
      <c r="N214" t="inlineStr">
        <is>
          <t>+2: creates a 1/1 Elf token that taps for {G}</t>
        </is>
      </c>
      <c r="O214" t="inlineStr">
        <is>
          <t>-2: destroys target artifact or enchantment</t>
        </is>
      </c>
      <c r="P214" t="inlineStr">
        <is>
          <t>-6: draws a card per green creature you control</t>
        </is>
      </c>
      <c r="R214" t="n">
        <v>4.47</v>
      </c>
    </row>
    <row r="215" ht="15" customHeight="1" s="148">
      <c r="A215" t="inlineStr">
        <is>
          <t>c0214</t>
        </is>
      </c>
      <c r="B215" t="inlineStr">
        <is>
          <t>Fynn, the Fangbearer</t>
        </is>
      </c>
      <c r="C215" t="n">
        <v>1</v>
      </c>
      <c r="E215" t="n">
        <v>0</v>
      </c>
      <c r="F215" t="n">
        <v>1</v>
      </c>
      <c r="G215" t="n">
        <v>0</v>
      </c>
      <c r="H215" t="inlineStr">
        <is>
          <t>G</t>
        </is>
      </c>
      <c r="I215" t="inlineStr">
        <is>
          <t>Legendary Creature</t>
        </is>
      </c>
      <c r="J215" t="inlineStr">
        <is>
          <t>B3</t>
        </is>
      </c>
      <c r="K215" t="n">
        <v>2</v>
      </c>
      <c r="L215" t="inlineStr">
        <is>
          <t>Deathtouch (Any amount of damage this deals to a creature is enough to destroy it.)
Whenever a creature you control with deathtouch deals combat damage to a player, that player gets two poison counters. (A player with ten or more poison counters loses the game.)
(1/3)</t>
        </is>
      </c>
      <c r="M215" t="inlineStr">
        <is>
          <t>Finisher</t>
        </is>
      </c>
      <c r="N215" t="inlineStr">
        <is>
          <t>Deathtouch</t>
        </is>
      </c>
      <c r="O215" t="inlineStr">
        <is>
          <t>Whenever a creature you control with deathtouch deals combat damage to a player, that player gets two poison counters</t>
        </is>
      </c>
      <c r="R215" t="n">
        <v>0.18</v>
      </c>
    </row>
    <row r="216" ht="15" customHeight="1" s="148">
      <c r="A216" t="inlineStr">
        <is>
          <t>c0215</t>
        </is>
      </c>
      <c r="B216" t="inlineStr">
        <is>
          <t>Garruk's Uprising</t>
        </is>
      </c>
      <c r="C216" t="n">
        <v>0</v>
      </c>
      <c r="D216" t="n">
        <v>1</v>
      </c>
      <c r="E216" t="n">
        <v>0</v>
      </c>
      <c r="F216" t="n">
        <v>0</v>
      </c>
      <c r="G216" t="n">
        <v>1</v>
      </c>
      <c r="H216" t="inlineStr">
        <is>
          <t>G</t>
        </is>
      </c>
      <c r="I216" t="inlineStr">
        <is>
          <t>Enchantment</t>
        </is>
      </c>
      <c r="J216" t="inlineStr">
        <is>
          <t>B2</t>
        </is>
      </c>
      <c r="K216" t="n">
        <v>3</v>
      </c>
      <c r="L216" t="inlineStr">
        <is>
          <t>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is>
      </c>
      <c r="M216" t="inlineStr">
        <is>
          <t>Card Draw</t>
        </is>
      </c>
      <c r="N216" t="inlineStr">
        <is>
          <t>When this enchantment enters, if you control a creature with power 4 or greater, draw a card</t>
        </is>
      </c>
      <c r="O216" t="inlineStr">
        <is>
          <t>Whenever a creature you control with power 4 or greater enters, draw a card</t>
        </is>
      </c>
      <c r="P216" t="inlineStr">
        <is>
          <t>Creatures you control have trample</t>
        </is>
      </c>
      <c r="R216" t="n">
        <v>0.54</v>
      </c>
    </row>
    <row r="217" ht="15" customHeight="1" s="148">
      <c r="A217" t="inlineStr">
        <is>
          <t>c0216</t>
        </is>
      </c>
      <c r="B217" t="inlineStr">
        <is>
          <t>Germination Practicum</t>
        </is>
      </c>
      <c r="C217" t="n">
        <v>1</v>
      </c>
      <c r="E217" t="n">
        <v>1</v>
      </c>
      <c r="F217" t="n">
        <v>0</v>
      </c>
      <c r="G217" t="n">
        <v>1</v>
      </c>
      <c r="H217" t="inlineStr">
        <is>
          <t>G</t>
        </is>
      </c>
      <c r="I217" t="inlineStr">
        <is>
          <t>Sorcery</t>
        </is>
      </c>
      <c r="J217" t="inlineStr">
        <is>
          <t>B2</t>
        </is>
      </c>
      <c r="K217" t="n">
        <v>5</v>
      </c>
      <c r="L217" t="inlineStr">
        <is>
          <t>Put two +1/+1 counters on each creature you control.
Paradigm (Then exile this spell. After you first resolve a spell with this name, you may cast a copy of it from exile without paying its mana cost at the beginning of each of your first main phases.)</t>
        </is>
      </c>
      <c r="M217" t="inlineStr">
        <is>
          <t>Counters Payoff</t>
        </is>
      </c>
      <c r="N217" t="inlineStr">
        <is>
          <t>Put two +1/+1 counters on each creature you control</t>
        </is>
      </c>
      <c r="O217" t="inlineStr">
        <is>
          <t>Paradigm — it exiles itself, then you may cast a free copy at the beginning of each of your first main phases</t>
        </is>
      </c>
      <c r="R217" t="n">
        <v>9.48</v>
      </c>
    </row>
    <row r="218" ht="15" customHeight="1" s="148">
      <c r="A218" t="inlineStr">
        <is>
          <t>c0217</t>
        </is>
      </c>
      <c r="B218" t="inlineStr">
        <is>
          <t>Giant Growth</t>
        </is>
      </c>
      <c r="C218" t="n">
        <v>1</v>
      </c>
      <c r="E218" t="n">
        <v>0</v>
      </c>
      <c r="F218" t="n">
        <v>1</v>
      </c>
      <c r="G218" t="n">
        <v>0</v>
      </c>
      <c r="H218" t="inlineStr">
        <is>
          <t>G</t>
        </is>
      </c>
      <c r="I218" t="inlineStr">
        <is>
          <t>Instant</t>
        </is>
      </c>
      <c r="J218" t="inlineStr">
        <is>
          <t>B2</t>
        </is>
      </c>
      <c r="K218" t="n">
        <v>1</v>
      </c>
      <c r="L218" t="inlineStr">
        <is>
          <t>Target creature gets +3/+3 until end of turn.</t>
        </is>
      </c>
      <c r="M218" t="inlineStr">
        <is>
          <t>Combat Trick</t>
        </is>
      </c>
      <c r="N218" t="inlineStr">
        <is>
          <t>Target creature gets +3/+3 until end of turn</t>
        </is>
      </c>
      <c r="R218" t="n">
        <v>0.28</v>
      </c>
    </row>
    <row r="219" ht="15" customHeight="1" s="148">
      <c r="A219" t="inlineStr">
        <is>
          <t>c0218</t>
        </is>
      </c>
      <c r="B219" t="inlineStr">
        <is>
          <t>Gilt-Leaf's Embrace</t>
        </is>
      </c>
      <c r="C219" t="n">
        <v>1</v>
      </c>
      <c r="E219" t="n">
        <v>0</v>
      </c>
      <c r="F219" t="n">
        <v>1</v>
      </c>
      <c r="G219" t="n">
        <v>0</v>
      </c>
      <c r="H219" t="inlineStr">
        <is>
          <t>G</t>
        </is>
      </c>
      <c r="I219" t="inlineStr">
        <is>
          <t>Enchantment</t>
        </is>
      </c>
      <c r="J219" t="inlineStr">
        <is>
          <t>B2</t>
        </is>
      </c>
      <c r="K219" t="n">
        <v>3</v>
      </c>
      <c r="L219" t="inlineStr">
        <is>
          <t>Flash
Enchant creature
When this Aura enters, enchanted creature gains trample and indestructible until end of turn. (Damage and effects that say "destroy" don't destroy it. If its toughness is 0 or less, it still dies.)
Enchanted creature gets +2/+0.</t>
        </is>
      </c>
      <c r="M219" t="inlineStr">
        <is>
          <t>Combat Trick</t>
        </is>
      </c>
      <c r="N219" t="inlineStr">
        <is>
          <t>Enchanted creature gets +2/+0</t>
        </is>
      </c>
      <c r="O219" t="inlineStr">
        <is>
          <t>Enchanted creature can't be destroyed and its damage carries through blockers until end of turn, when it enters</t>
        </is>
      </c>
      <c r="R219" t="n">
        <v>0.13</v>
      </c>
    </row>
    <row r="220" ht="15" customHeight="1" s="148">
      <c r="A220" t="inlineStr">
        <is>
          <t>c0219</t>
        </is>
      </c>
      <c r="B220" t="inlineStr">
        <is>
          <t>Glorious Decay</t>
        </is>
      </c>
      <c r="C220" t="n">
        <v>1</v>
      </c>
      <c r="E220" t="n">
        <v>1</v>
      </c>
      <c r="F220" t="n">
        <v>0</v>
      </c>
      <c r="G220" t="n">
        <v>1</v>
      </c>
      <c r="H220" t="inlineStr">
        <is>
          <t>G</t>
        </is>
      </c>
      <c r="I220" t="inlineStr">
        <is>
          <t>Instant</t>
        </is>
      </c>
      <c r="J220" t="inlineStr">
        <is>
          <t>B2</t>
        </is>
      </c>
      <c r="K220" t="n">
        <v>2</v>
      </c>
      <c r="L220" t="inlineStr">
        <is>
          <t>Choose one —
• Destroy target artifact.
• Glorious Decay deals 4 damage to target creature with flying.
• Exile target card from a graveyard. Draw a card.</t>
        </is>
      </c>
      <c r="M220" t="inlineStr">
        <is>
          <t>Artifact/Enchantment Removal</t>
        </is>
      </c>
      <c r="N220" t="inlineStr">
        <is>
          <t>Choose one — destroy target artifact</t>
        </is>
      </c>
      <c r="O220" t="inlineStr">
        <is>
          <t>Or deal 4 damage to a creature with flying, or exile a card from a graveyard and draw a card</t>
        </is>
      </c>
      <c r="R220" t="n">
        <v>0.14</v>
      </c>
    </row>
    <row r="221" ht="15" customHeight="1" s="148">
      <c r="A221" t="inlineStr">
        <is>
          <t>c0220</t>
        </is>
      </c>
      <c r="B221" t="inlineStr">
        <is>
          <t>Grazing Gladehart</t>
        </is>
      </c>
      <c r="C221" t="n">
        <v>1</v>
      </c>
      <c r="E221" t="n">
        <v>0</v>
      </c>
      <c r="F221" t="n">
        <v>1</v>
      </c>
      <c r="G221" t="n">
        <v>0</v>
      </c>
      <c r="H221" t="inlineStr">
        <is>
          <t>G</t>
        </is>
      </c>
      <c r="I221" t="inlineStr">
        <is>
          <t>Creature</t>
        </is>
      </c>
      <c r="J221" t="inlineStr">
        <is>
          <t>B2</t>
        </is>
      </c>
      <c r="K221" t="n">
        <v>3</v>
      </c>
      <c r="L221" t="inlineStr">
        <is>
          <t>Landfall — Whenever a land you control enters, you may gain 2 life.
(2/2)</t>
        </is>
      </c>
      <c r="M221" t="inlineStr">
        <is>
          <t>Lifegain</t>
        </is>
      </c>
      <c r="N221" t="inlineStr">
        <is>
          <t>Gains 2 life when a land you control enters</t>
        </is>
      </c>
      <c r="R221" t="n">
        <v>0.1</v>
      </c>
    </row>
    <row r="222" ht="15" customHeight="1" s="148">
      <c r="A222" t="inlineStr">
        <is>
          <t>c0221</t>
        </is>
      </c>
      <c r="B222" t="inlineStr">
        <is>
          <t>Great Forest Druid</t>
        </is>
      </c>
      <c r="C222" t="n">
        <v>1</v>
      </c>
      <c r="E222" t="n">
        <v>1</v>
      </c>
      <c r="F222" t="n">
        <v>0</v>
      </c>
      <c r="G222" t="n">
        <v>1</v>
      </c>
      <c r="H222" t="inlineStr">
        <is>
          <t>G</t>
        </is>
      </c>
      <c r="I222" t="inlineStr">
        <is>
          <t>Creature</t>
        </is>
      </c>
      <c r="J222" t="inlineStr">
        <is>
          <t>B2</t>
        </is>
      </c>
      <c r="K222" t="n">
        <v>2</v>
      </c>
      <c r="L222" t="inlineStr">
        <is>
          <t>{T}: Add one mana of any color.
(0/4)</t>
        </is>
      </c>
      <c r="M222" t="inlineStr">
        <is>
          <t>Ramp</t>
        </is>
      </c>
      <c r="N222" t="inlineStr">
        <is>
          <t>{T}: Add one mana of any color</t>
        </is>
      </c>
      <c r="O222" t="inlineStr">
        <is>
          <t>0/4 body that blocks early</t>
        </is>
      </c>
      <c r="R222" t="n">
        <v>0.25</v>
      </c>
    </row>
    <row r="223" ht="15" customHeight="1" s="148">
      <c r="A223" t="inlineStr">
        <is>
          <t>c0222</t>
        </is>
      </c>
      <c r="B223" t="inlineStr">
        <is>
          <t>Guardian of the Halls</t>
        </is>
      </c>
      <c r="C223" t="n">
        <v>6</v>
      </c>
      <c r="E223" t="n">
        <v>1</v>
      </c>
      <c r="F223" t="n">
        <v>5</v>
      </c>
      <c r="G223" t="n">
        <v>0</v>
      </c>
      <c r="H223" t="inlineStr">
        <is>
          <t>G</t>
        </is>
      </c>
      <c r="I223" t="inlineStr">
        <is>
          <t>Creature</t>
        </is>
      </c>
      <c r="J223" t="inlineStr">
        <is>
          <t>B2</t>
        </is>
      </c>
      <c r="K223" t="n">
        <v>2</v>
      </c>
      <c r="L223" t="inlineStr">
        <is>
          <t>Trample
{5}{G}{G}: Put three +1/+1 counters on this creature.
(2/2)</t>
        </is>
      </c>
      <c r="M223" t="inlineStr">
        <is>
          <t>Counters Payoff</t>
        </is>
      </c>
      <c r="N223" t="inlineStr">
        <is>
          <t>Pay {5}{G}{G} to put three +1/+1 counters on it</t>
        </is>
      </c>
      <c r="O223" t="inlineStr">
        <is>
          <t>Excess combat damage carries through to the defending player</t>
        </is>
      </c>
      <c r="R223" t="n">
        <v>0.12</v>
      </c>
    </row>
    <row r="224" ht="15" customHeight="1" s="148">
      <c r="A224" t="inlineStr">
        <is>
          <t>c0223</t>
        </is>
      </c>
      <c r="B224" t="inlineStr">
        <is>
          <t>Guardian Project</t>
        </is>
      </c>
      <c r="C224" t="n">
        <v>0</v>
      </c>
      <c r="D224" t="n">
        <v>2</v>
      </c>
      <c r="E224" t="n">
        <v>0</v>
      </c>
      <c r="F224" t="n">
        <v>0</v>
      </c>
      <c r="G224" t="n">
        <v>2</v>
      </c>
      <c r="H224" t="inlineStr">
        <is>
          <t>G</t>
        </is>
      </c>
      <c r="I224" t="inlineStr">
        <is>
          <t>Enchantment</t>
        </is>
      </c>
      <c r="J224" t="inlineStr">
        <is>
          <t>B3</t>
        </is>
      </c>
      <c r="K224" t="n">
        <v>4</v>
      </c>
      <c r="L224" t="inlineStr">
        <is>
          <t>Whenever a nontoken creature you control enters, if it doesn't have the same name as another creature you control or a creature card in your graveyard, draw a card.</t>
        </is>
      </c>
      <c r="M224" t="inlineStr">
        <is>
          <t>Card Draw</t>
        </is>
      </c>
      <c r="N224" t="inlineStr">
        <is>
          <t>Whenever a nontoken creature you control enters, if it doesn't have the same name as another creature you control or a c</t>
        </is>
      </c>
      <c r="R224" t="n">
        <v>14.88</v>
      </c>
    </row>
    <row r="225" ht="15" customHeight="1" s="148">
      <c r="A225" t="inlineStr">
        <is>
          <t>c0224</t>
        </is>
      </c>
      <c r="B225" t="inlineStr">
        <is>
          <t>Hardened Scales</t>
        </is>
      </c>
      <c r="C225" t="n">
        <v>0</v>
      </c>
      <c r="E225" t="n">
        <v>0</v>
      </c>
      <c r="F225" t="n">
        <v>0</v>
      </c>
      <c r="G225" t="n">
        <v>0</v>
      </c>
      <c r="H225" t="inlineStr">
        <is>
          <t>G</t>
        </is>
      </c>
      <c r="I225" t="inlineStr">
        <is>
          <t>Enchantment</t>
        </is>
      </c>
      <c r="J225" t="inlineStr">
        <is>
          <t>B3</t>
        </is>
      </c>
      <c r="K225" t="n">
        <v>1</v>
      </c>
      <c r="L225" t="inlineStr">
        <is>
          <t>If one or more +1/+1 counters would be put on a creature you control, that many plus one +1/+1 counters are put on it instead.</t>
        </is>
      </c>
      <c r="M225" t="inlineStr">
        <is>
          <t>Value Engine</t>
        </is>
      </c>
      <c r="N225" t="inlineStr">
        <is>
          <t>If one or more +1/+1 counters would be put on a creature you control, that many plus one +1/+1 counters are put on it in</t>
        </is>
      </c>
      <c r="R225" t="n">
        <v>2.31</v>
      </c>
    </row>
    <row r="226" ht="15" customHeight="1" s="148">
      <c r="A226" t="inlineStr">
        <is>
          <t>c0225</t>
        </is>
      </c>
      <c r="B226" t="inlineStr">
        <is>
          <t>Heroic Intervention</t>
        </is>
      </c>
      <c r="C226" t="n">
        <v>0</v>
      </c>
      <c r="E226" t="n">
        <v>0</v>
      </c>
      <c r="F226" t="n">
        <v>0</v>
      </c>
      <c r="G226" t="n">
        <v>0</v>
      </c>
      <c r="H226" t="inlineStr">
        <is>
          <t>G</t>
        </is>
      </c>
      <c r="I226" t="inlineStr">
        <is>
          <t>Instant</t>
        </is>
      </c>
      <c r="J226" t="inlineStr">
        <is>
          <t>B3</t>
        </is>
      </c>
      <c r="K226" t="n">
        <v>2</v>
      </c>
      <c r="L226" t="inlineStr">
        <is>
          <t>Permanents you control gain hexproof and indestructible until end of turn.</t>
        </is>
      </c>
      <c r="M226" t="inlineStr">
        <is>
          <t>Protection</t>
        </is>
      </c>
      <c r="N226" t="inlineStr">
        <is>
          <t>Permanents you control gain hexproof and indestructible until end of turn.</t>
        </is>
      </c>
      <c r="R226" t="n">
        <v>8.93</v>
      </c>
    </row>
    <row r="227" ht="15" customHeight="1" s="148">
      <c r="A227" t="inlineStr">
        <is>
          <t>c0226</t>
        </is>
      </c>
      <c r="B227" t="inlineStr">
        <is>
          <t>Hornet Nest</t>
        </is>
      </c>
      <c r="C227" t="n">
        <v>0</v>
      </c>
      <c r="E227" t="n">
        <v>0</v>
      </c>
      <c r="F227" t="n">
        <v>0</v>
      </c>
      <c r="G227" t="n">
        <v>0</v>
      </c>
      <c r="H227" t="inlineStr">
        <is>
          <t>G</t>
        </is>
      </c>
      <c r="I227" t="inlineStr">
        <is>
          <t>Creature</t>
        </is>
      </c>
      <c r="J227" t="inlineStr">
        <is>
          <t>B2</t>
        </is>
      </c>
      <c r="K227" t="n">
        <v>3</v>
      </c>
      <c r="L227" t="inlineStr">
        <is>
          <t>Defender (This creature can't attack.)
Whenever this creature is dealt damage, create that many 1/1 green Insect creature tokens with flying and deathtouch. (Any amount of damage a creature with deathtouch deals to a creature is enough to destroy it.)
(0/2)</t>
        </is>
      </c>
      <c r="M227" t="inlineStr">
        <is>
          <t>Token Producer</t>
        </is>
      </c>
      <c r="N227" t="inlineStr">
        <is>
          <t>Defender</t>
        </is>
      </c>
      <c r="O227" t="inlineStr">
        <is>
          <t>Whenever this creature is dealt damage, create that many 1/1 green Insect creature tokens with flying and deathtouch</t>
        </is>
      </c>
      <c r="R227" t="n">
        <v>0.35</v>
      </c>
    </row>
    <row r="228" ht="15" customHeight="1" s="148">
      <c r="A228" t="inlineStr">
        <is>
          <t>c0227</t>
        </is>
      </c>
      <c r="B228" t="inlineStr">
        <is>
          <t>Innkeeper's Talent</t>
        </is>
      </c>
      <c r="C228" t="n">
        <v>1</v>
      </c>
      <c r="E228" t="n">
        <v>1</v>
      </c>
      <c r="F228" t="n">
        <v>0</v>
      </c>
      <c r="G228" t="n">
        <v>1</v>
      </c>
      <c r="H228" t="inlineStr">
        <is>
          <t>G</t>
        </is>
      </c>
      <c r="I228" t="inlineStr">
        <is>
          <t>Enchantment</t>
        </is>
      </c>
      <c r="J228" t="inlineStr">
        <is>
          <t>B3</t>
        </is>
      </c>
      <c r="K228" t="n">
        <v>2</v>
      </c>
      <c r="L228" t="inlineStr">
        <is>
          <t>(Gain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is>
      </c>
      <c r="M228" t="inlineStr">
        <is>
          <t>Counters Payoff</t>
        </is>
      </c>
      <c r="N228" t="inlineStr">
        <is>
          <t>At the beginning of combat on your turn, put a +1/+1 counter on target creature you control</t>
        </is>
      </c>
      <c r="O228" t="inlineStr">
        <is>
          <t>{G}: Level 2</t>
        </is>
      </c>
      <c r="P228" t="inlineStr">
        <is>
          <t>Permanents you control with counters on them have ward {1}</t>
        </is>
      </c>
      <c r="R228" t="n">
        <v>9.19</v>
      </c>
    </row>
    <row r="229" ht="15" customHeight="1" s="148">
      <c r="A229" t="inlineStr">
        <is>
          <t>c0228</t>
        </is>
      </c>
      <c r="B229" t="inlineStr">
        <is>
          <t>Inspiring Call</t>
        </is>
      </c>
      <c r="C229" t="n">
        <v>1</v>
      </c>
      <c r="E229" t="n">
        <v>1</v>
      </c>
      <c r="F229" t="n">
        <v>0</v>
      </c>
      <c r="G229" t="n">
        <v>1</v>
      </c>
      <c r="H229" t="inlineStr">
        <is>
          <t>G</t>
        </is>
      </c>
      <c r="I229" t="inlineStr">
        <is>
          <t>Instant</t>
        </is>
      </c>
      <c r="J229" t="inlineStr">
        <is>
          <t>B2</t>
        </is>
      </c>
      <c r="K229" t="n">
        <v>3</v>
      </c>
      <c r="L229" t="inlineStr">
        <is>
          <t>Draw a card for each creature you control with a +1/+1 counter on it. Those creatures gain indestructible until end of turn. (Damage and effects that say "destroy" don't destroy them.)</t>
        </is>
      </c>
      <c r="M229" t="inlineStr">
        <is>
          <t>Protection</t>
        </is>
      </c>
      <c r="N229" t="inlineStr">
        <is>
          <t>Draws a card for each creature you control with a +1/+1 counter</t>
        </is>
      </c>
      <c r="O229" t="inlineStr">
        <is>
          <t>Those creatures gain indestructible until end of turn</t>
        </is>
      </c>
      <c r="R229" t="n">
        <v>0.42</v>
      </c>
    </row>
    <row r="230" ht="15" customHeight="1" s="148">
      <c r="A230" t="inlineStr">
        <is>
          <t>c0229</t>
        </is>
      </c>
      <c r="B230" t="inlineStr">
        <is>
          <t>Jaddi Offshoot</t>
        </is>
      </c>
      <c r="C230" t="n">
        <v>1</v>
      </c>
      <c r="E230" t="n">
        <v>1</v>
      </c>
      <c r="F230" t="n">
        <v>0</v>
      </c>
      <c r="G230" t="n">
        <v>1</v>
      </c>
      <c r="H230" t="inlineStr">
        <is>
          <t>G</t>
        </is>
      </c>
      <c r="I230" t="inlineStr">
        <is>
          <t>Creature</t>
        </is>
      </c>
      <c r="J230" t="inlineStr">
        <is>
          <t>B2</t>
        </is>
      </c>
      <c r="K230" t="n">
        <v>1</v>
      </c>
      <c r="L230" t="inlineStr">
        <is>
          <t>Defender
Landfall — Whenever a land you control enters, you gain 1 life.
(0/3)</t>
        </is>
      </c>
      <c r="M230" t="inlineStr">
        <is>
          <t>Lifegain</t>
        </is>
      </c>
      <c r="N230" t="inlineStr">
        <is>
          <t>Gain 1 life whenever a land you control enters</t>
        </is>
      </c>
      <c r="O230" t="inlineStr">
        <is>
          <t>Defender body</t>
        </is>
      </c>
      <c r="R230" t="n">
        <v>0.24</v>
      </c>
    </row>
    <row r="231" ht="15" customHeight="1" s="148">
      <c r="A231" t="inlineStr">
        <is>
          <t>c0230</t>
        </is>
      </c>
      <c r="B231" t="inlineStr">
        <is>
          <t>Kodama's Reach</t>
        </is>
      </c>
      <c r="C231" t="n">
        <v>0</v>
      </c>
      <c r="E231" t="n">
        <v>0</v>
      </c>
      <c r="F231" t="n">
        <v>0</v>
      </c>
      <c r="G231" t="n">
        <v>0</v>
      </c>
      <c r="H231" t="inlineStr">
        <is>
          <t>G</t>
        </is>
      </c>
      <c r="I231" t="inlineStr">
        <is>
          <t>Sorcery</t>
        </is>
      </c>
      <c r="J231" t="inlineStr">
        <is>
          <t>B3</t>
        </is>
      </c>
      <c r="K231" t="n">
        <v>3</v>
      </c>
      <c r="L231" t="inlineStr">
        <is>
          <t>Search your library for up to two basic land cards, reveal those cards, put one onto the battlefield tapped and the other into your hand, then shuffle.</t>
        </is>
      </c>
      <c r="M231" t="inlineStr">
        <is>
          <t>Ramp</t>
        </is>
      </c>
      <c r="N231" t="inlineStr">
        <is>
          <t>Search your library for up to two basic land cards, reveal those cards, put one onto the battlefield tapped and the othe</t>
        </is>
      </c>
      <c r="R231" t="n">
        <v>1.58</v>
      </c>
    </row>
    <row r="232" ht="15" customHeight="1" s="148">
      <c r="A232" t="inlineStr">
        <is>
          <t>c0231</t>
        </is>
      </c>
      <c r="B232" t="inlineStr">
        <is>
          <t>Kyoshi Island Plaza</t>
        </is>
      </c>
      <c r="C232" t="n">
        <v>1</v>
      </c>
      <c r="E232" t="n">
        <v>1</v>
      </c>
      <c r="F232" t="n">
        <v>0</v>
      </c>
      <c r="G232" t="n">
        <v>0</v>
      </c>
      <c r="H232" t="inlineStr">
        <is>
          <t>G</t>
        </is>
      </c>
      <c r="I232" t="inlineStr">
        <is>
          <t>Legendary Enchantment</t>
        </is>
      </c>
      <c r="J232" t="inlineStr">
        <is>
          <t>B2</t>
        </is>
      </c>
      <c r="K232" t="n">
        <v>4</v>
      </c>
      <c r="L232" t="inlineStr">
        <is>
          <t>When Kyoshi Island Plaza enters, search your library for up to X basic land cards, where X is the number of Shrines you control. Put those cards onto the battlefield tapped, then shuffle.
Whenever another Shrine you control enters, search your library for a basic land card, put it onto the battlefield tapped, then shuffle.</t>
        </is>
      </c>
      <c r="M232" t="inlineStr">
        <is>
          <t>Ramp</t>
        </is>
      </c>
      <c r="N232" t="inlineStr">
        <is>
          <t>Searches for basic lands equal to Shrines you control, puts them onto the battlefield tapped, when it enters</t>
        </is>
      </c>
      <c r="O232" t="inlineStr">
        <is>
          <t>Searches for one basic land tapped whenever another Shrine you control enters</t>
        </is>
      </c>
      <c r="R232" t="n">
        <v>0.34</v>
      </c>
    </row>
    <row r="233" ht="15" customHeight="1" s="148">
      <c r="A233" t="inlineStr">
        <is>
          <t>c0232</t>
        </is>
      </c>
      <c r="B233" t="inlineStr">
        <is>
          <t>Little Bear</t>
        </is>
      </c>
      <c r="C233" t="n">
        <v>1</v>
      </c>
      <c r="E233" t="n">
        <v>0</v>
      </c>
      <c r="F233" t="n">
        <v>1</v>
      </c>
      <c r="G233" t="n">
        <v>0</v>
      </c>
      <c r="H233" t="inlineStr">
        <is>
          <t>G</t>
        </is>
      </c>
      <c r="I233" t="inlineStr">
        <is>
          <t>Creature</t>
        </is>
      </c>
      <c r="J233" t="inlineStr">
        <is>
          <t>B2</t>
        </is>
      </c>
      <c r="K233" t="n">
        <v>3</v>
      </c>
      <c r="L233" t="inlineStr">
        <is>
          <t>Flash
When this creature enters, untap another target creature you control. If that creature is a Bear, put a +1/+1 counter on it.
(3/2)</t>
        </is>
      </c>
      <c r="M233" t="inlineStr">
        <is>
          <t>Utility Creature</t>
        </is>
      </c>
      <c r="N233" t="inlineStr">
        <is>
          <t>Enters: untap another target creature you control; if it is a Bear, put a +1/+1 counter on it</t>
        </is>
      </c>
      <c r="O233" t="inlineStr">
        <is>
          <t>Flash</t>
        </is>
      </c>
      <c r="R233" t="n">
        <v>0.18</v>
      </c>
    </row>
    <row r="234" ht="15" customHeight="1" s="148">
      <c r="A234" t="inlineStr">
        <is>
          <t>c0233</t>
        </is>
      </c>
      <c r="B234" t="inlineStr">
        <is>
          <t>Llanowar Elves</t>
        </is>
      </c>
      <c r="C234" t="n">
        <v>1</v>
      </c>
      <c r="E234" t="n">
        <v>1</v>
      </c>
      <c r="F234" t="n">
        <v>0</v>
      </c>
      <c r="G234" t="n">
        <v>1</v>
      </c>
      <c r="H234" t="inlineStr">
        <is>
          <t>G</t>
        </is>
      </c>
      <c r="I234" t="inlineStr">
        <is>
          <t>Creature</t>
        </is>
      </c>
      <c r="J234" t="inlineStr">
        <is>
          <t>B2</t>
        </is>
      </c>
      <c r="K234" t="n">
        <v>1</v>
      </c>
      <c r="L234" t="inlineStr">
        <is>
          <t>{T}: Add {G}.
(1/1)</t>
        </is>
      </c>
      <c r="M234" t="inlineStr">
        <is>
          <t>Ramp</t>
        </is>
      </c>
      <c r="N234" t="inlineStr">
        <is>
          <t>{T}: Add {G}</t>
        </is>
      </c>
      <c r="R234" t="n">
        <v>0.27</v>
      </c>
    </row>
    <row r="235" ht="15" customHeight="1" s="148">
      <c r="A235" t="inlineStr">
        <is>
          <t>c0234</t>
        </is>
      </c>
      <c r="B235" t="inlineStr">
        <is>
          <t>Luminollusk</t>
        </is>
      </c>
      <c r="C235" t="n">
        <v>1</v>
      </c>
      <c r="E235" t="n">
        <v>0</v>
      </c>
      <c r="F235" t="n">
        <v>1</v>
      </c>
      <c r="G235" t="n">
        <v>0</v>
      </c>
      <c r="H235" t="inlineStr">
        <is>
          <t>G</t>
        </is>
      </c>
      <c r="I235" t="inlineStr">
        <is>
          <t>Creature</t>
        </is>
      </c>
      <c r="J235" t="inlineStr">
        <is>
          <t>B2</t>
        </is>
      </c>
      <c r="K235" t="n">
        <v>4</v>
      </c>
      <c r="L235" t="inlineStr">
        <is>
          <t>Deathtouch
Vivid — When this creature enters, you gain life equal to the number of colors among permanents you control.
(2/4)</t>
        </is>
      </c>
      <c r="M235" t="inlineStr">
        <is>
          <t>Lifegain</t>
        </is>
      </c>
      <c r="N235" t="inlineStr">
        <is>
          <t>Deathtouch</t>
        </is>
      </c>
      <c r="O235" t="inlineStr">
        <is>
          <t>Enters: you gain life equal to the number of colors among your permanents</t>
        </is>
      </c>
      <c r="R235" t="n">
        <v>0.13</v>
      </c>
    </row>
    <row r="236" ht="15" customHeight="1" s="148">
      <c r="A236" t="inlineStr">
        <is>
          <t>c0235</t>
        </is>
      </c>
      <c r="B236" t="inlineStr">
        <is>
          <t>Lys Alana Dignitary</t>
        </is>
      </c>
      <c r="C236" t="n">
        <v>1</v>
      </c>
      <c r="E236" t="n">
        <v>1</v>
      </c>
      <c r="F236" t="n">
        <v>0</v>
      </c>
      <c r="G236" t="n">
        <v>0</v>
      </c>
      <c r="H236" t="inlineStr">
        <is>
          <t>G</t>
        </is>
      </c>
      <c r="I236" t="inlineStr">
        <is>
          <t>Creature</t>
        </is>
      </c>
      <c r="J236" t="inlineStr">
        <is>
          <t>B2</t>
        </is>
      </c>
      <c r="K236" t="n">
        <v>2</v>
      </c>
      <c r="L236" t="inlineStr">
        <is>
          <t>As an additional cost to cast this spell, behold an Elf or pay {2}. (To behold an Elf, choose an Elf you control or reveal an Elf card from your hand.)
{T}: Add {G}{G}. Activate only if there is an Elf card in your graveyard.
(2/3)</t>
        </is>
      </c>
      <c r="M236" t="inlineStr">
        <is>
          <t>Ramp</t>
        </is>
      </c>
      <c r="N236" t="inlineStr">
        <is>
          <t>Taps for {G}{G} if an Elf is in your graveyard</t>
        </is>
      </c>
      <c r="O236" t="inlineStr">
        <is>
          <t>Costs an extra Elf reveal or {2} to cast</t>
        </is>
      </c>
      <c r="R236" t="n">
        <v>0.25</v>
      </c>
    </row>
    <row r="237" ht="15" customHeight="1" s="148">
      <c r="A237" t="inlineStr">
        <is>
          <t>c0236</t>
        </is>
      </c>
      <c r="B237" t="inlineStr">
        <is>
          <t>Lys Alana Informant</t>
        </is>
      </c>
      <c r="C237" t="n">
        <v>2</v>
      </c>
      <c r="E237" t="n">
        <v>2</v>
      </c>
      <c r="F237" t="n">
        <v>0</v>
      </c>
      <c r="G237" t="n">
        <v>1</v>
      </c>
      <c r="H237" t="inlineStr">
        <is>
          <t>G</t>
        </is>
      </c>
      <c r="I237" t="inlineStr">
        <is>
          <t>Creature</t>
        </is>
      </c>
      <c r="J237" t="inlineStr">
        <is>
          <t>B2</t>
        </is>
      </c>
      <c r="K237" t="n">
        <v>2</v>
      </c>
      <c r="L237" t="inlineStr">
        <is>
          <t>When this creature enters or dies, surveil 1. (Look at the top card of your library. You may put it into your graveyard.)
(3/1)</t>
        </is>
      </c>
      <c r="M237" t="inlineStr">
        <is>
          <t>Card Selection</t>
        </is>
      </c>
      <c r="N237" t="inlineStr">
        <is>
          <t>Surveils 1 when it enters or dies</t>
        </is>
      </c>
      <c r="R237" t="n">
        <v>0.16</v>
      </c>
    </row>
    <row r="238" ht="15" customHeight="1" s="148">
      <c r="A238" t="inlineStr">
        <is>
          <t>c0237</t>
        </is>
      </c>
      <c r="B238" t="inlineStr">
        <is>
          <t>Meandering Towershell</t>
        </is>
      </c>
      <c r="C238" t="n">
        <v>1</v>
      </c>
      <c r="E238" t="n">
        <v>0</v>
      </c>
      <c r="F238" t="n">
        <v>1</v>
      </c>
      <c r="G238" t="n">
        <v>0</v>
      </c>
      <c r="H238" t="inlineStr">
        <is>
          <t>G</t>
        </is>
      </c>
      <c r="I238" t="inlineStr">
        <is>
          <t>Creature</t>
        </is>
      </c>
      <c r="J238" t="inlineStr">
        <is>
          <t>B2</t>
        </is>
      </c>
      <c r="K238" t="n">
        <v>5</v>
      </c>
      <c r="L238" t="inlineStr">
        <is>
          <t>Islandwalk (This creature can't be blocked as long as defending player controls an Island.)
Whenever this creature attacks, exile it. Return it to the battlefield under your control tapped and attacking at the beginning of the declare attackers step on your next turn.
(5/9)</t>
        </is>
      </c>
      <c r="M238" t="inlineStr">
        <is>
          <t>Utility Creature</t>
        </is>
      </c>
      <c r="N238" t="inlineStr">
        <is>
          <t>Can't be blocked while defender controls an Island</t>
        </is>
      </c>
      <c r="O238" t="inlineStr">
        <is>
          <t>Exiles itself when attacking, returns tapped and attacking next turn</t>
        </is>
      </c>
      <c r="R238" t="n">
        <v>0.15</v>
      </c>
    </row>
    <row r="239" ht="15" customHeight="1" s="148">
      <c r="A239" t="inlineStr">
        <is>
          <t>c0238</t>
        </is>
      </c>
      <c r="B239" t="inlineStr">
        <is>
          <t>Midnight Tilling</t>
        </is>
      </c>
      <c r="C239" t="n">
        <v>1</v>
      </c>
      <c r="E239" t="n">
        <v>0</v>
      </c>
      <c r="F239" t="n">
        <v>1</v>
      </c>
      <c r="G239" t="n">
        <v>0</v>
      </c>
      <c r="H239" t="inlineStr">
        <is>
          <t>G</t>
        </is>
      </c>
      <c r="I239" t="inlineStr">
        <is>
          <t>Instant</t>
        </is>
      </c>
      <c r="J239" t="inlineStr">
        <is>
          <t>B2</t>
        </is>
      </c>
      <c r="K239" t="n">
        <v>2</v>
      </c>
      <c r="L239" t="inlineStr">
        <is>
          <t>Mill four cards, then you may return a permanent card from among them to your hand. (To mill four cards, put the top four cards of your library into your graveyard.)</t>
        </is>
      </c>
      <c r="M239" t="inlineStr">
        <is>
          <t>Card Selection</t>
        </is>
      </c>
      <c r="N239" t="inlineStr">
        <is>
          <t>Mills four cards, then returns a permanent card from among them to hand</t>
        </is>
      </c>
      <c r="R239" t="n">
        <v>0.29</v>
      </c>
    </row>
    <row r="240" ht="15" customHeight="1" s="148">
      <c r="A240" t="inlineStr">
        <is>
          <t>c0239</t>
        </is>
      </c>
      <c r="B240" t="inlineStr">
        <is>
          <t>Migration Path</t>
        </is>
      </c>
      <c r="C240" t="n">
        <v>1</v>
      </c>
      <c r="E240" t="n">
        <v>0</v>
      </c>
      <c r="F240" t="n">
        <v>1</v>
      </c>
      <c r="G240" t="n">
        <v>0</v>
      </c>
      <c r="H240" t="inlineStr">
        <is>
          <t>G</t>
        </is>
      </c>
      <c r="I240" t="inlineStr">
        <is>
          <t>Sorcery</t>
        </is>
      </c>
      <c r="J240" t="inlineStr">
        <is>
          <t>B2</t>
        </is>
      </c>
      <c r="K240" t="n">
        <v>4</v>
      </c>
      <c r="L240" t="inlineStr">
        <is>
          <t>Search your library for up to two basic land cards, put them onto the battlefield tapped, then shuffle.
Cycling {2} ({2}, Discard this card: Draw a card.)</t>
        </is>
      </c>
      <c r="M240" t="inlineStr">
        <is>
          <t>Ramp</t>
        </is>
      </c>
      <c r="N240" t="inlineStr">
        <is>
          <t>Searches for up to two basic lands, puts them onto battlefield tapped</t>
        </is>
      </c>
      <c r="O240" t="inlineStr">
        <is>
          <t>Cycling {2}: discard to draw a card instead</t>
        </is>
      </c>
      <c r="R240" t="n">
        <v>0.36</v>
      </c>
    </row>
    <row r="241" ht="15" customHeight="1" s="148">
      <c r="A241" t="inlineStr">
        <is>
          <t>c0240</t>
        </is>
      </c>
      <c r="B241" t="inlineStr">
        <is>
          <t>Mirkwood Pathmaker</t>
        </is>
      </c>
      <c r="C241" t="n">
        <v>1</v>
      </c>
      <c r="E241" t="n">
        <v>1</v>
      </c>
      <c r="F241" t="n">
        <v>0</v>
      </c>
      <c r="G241" t="n">
        <v>1</v>
      </c>
      <c r="H241" t="inlineStr">
        <is>
          <t>G</t>
        </is>
      </c>
      <c r="I241" t="inlineStr">
        <is>
          <t>Creature</t>
        </is>
      </c>
      <c r="J241" t="inlineStr">
        <is>
          <t>B2</t>
        </is>
      </c>
      <c r="K241" t="n">
        <v>3</v>
      </c>
      <c r="L241" t="inlineStr">
        <is>
          <t>Mirkwood Pathmaker's power and toughness are each equal to the number of lands you control.
(*/*)</t>
        </is>
      </c>
      <c r="M241" t="inlineStr">
        <is>
          <t>Utility Creature</t>
        </is>
      </c>
      <c r="N241" t="inlineStr">
        <is>
          <t>Mirkwood Pathmaker's power and toughness are each equal to the number of lands you control</t>
        </is>
      </c>
      <c r="R241" t="n">
        <v>0.27</v>
      </c>
    </row>
    <row r="242" ht="15" customHeight="1" s="148">
      <c r="A242" t="inlineStr">
        <is>
          <t>c0241</t>
        </is>
      </c>
      <c r="B242" t="inlineStr">
        <is>
          <t>Mistmeadow Council</t>
        </is>
      </c>
      <c r="C242" t="n">
        <v>1</v>
      </c>
      <c r="E242" t="n">
        <v>1</v>
      </c>
      <c r="F242" t="n">
        <v>0</v>
      </c>
      <c r="G242" t="n">
        <v>0</v>
      </c>
      <c r="H242" t="inlineStr">
        <is>
          <t>G</t>
        </is>
      </c>
      <c r="I242" t="inlineStr">
        <is>
          <t>Creature</t>
        </is>
      </c>
      <c r="J242" t="inlineStr">
        <is>
          <t>B2</t>
        </is>
      </c>
      <c r="K242" t="n">
        <v>5</v>
      </c>
      <c r="L242" t="inlineStr">
        <is>
          <t>This spell costs {1} less to cast if you control a Kithkin.
When this creature enters, draw a card.
(4/3)</t>
        </is>
      </c>
      <c r="M242" t="inlineStr">
        <is>
          <t>Card Draw</t>
        </is>
      </c>
      <c r="N242" t="inlineStr">
        <is>
          <t>Enters: draw a card</t>
        </is>
      </c>
      <c r="O242" t="inlineStr">
        <is>
          <t>Costs {1} less to cast if you control a Kithkin</t>
        </is>
      </c>
      <c r="R242" t="n">
        <v>0.06</v>
      </c>
    </row>
    <row r="243" ht="15" customHeight="1" s="148">
      <c r="A243" t="inlineStr">
        <is>
          <t>c0242</t>
        </is>
      </c>
      <c r="B243" t="inlineStr">
        <is>
          <t>Morcant's Eyes</t>
        </is>
      </c>
      <c r="C243" t="n">
        <v>1</v>
      </c>
      <c r="E243" t="n">
        <v>0</v>
      </c>
      <c r="F243" t="n">
        <v>1</v>
      </c>
      <c r="G243" t="n">
        <v>0</v>
      </c>
      <c r="H243" t="inlineStr">
        <is>
          <t>G</t>
        </is>
      </c>
      <c r="I243" t="inlineStr">
        <is>
          <t>Kindred Enchantment</t>
        </is>
      </c>
      <c r="J243" t="inlineStr">
        <is>
          <t>B2</t>
        </is>
      </c>
      <c r="K243" t="n">
        <v>2</v>
      </c>
      <c r="L243" t="inlineStr">
        <is>
          <t>Morcant's Eyes {1}{G} — Kindred Enchantment — Elf
At the beginning of your upkeep, surveil 1. (Look at the top card of your library. You may put it into your graveyard.)
{4}{G}{G}, Sacrifice this enchantment: Create X 2/2 black and green Elf creature tokens, where X is the number of Elf cards in your graveyard. Activate only as a sorcery.</t>
        </is>
      </c>
      <c r="M243" t="inlineStr">
        <is>
          <t>Card Selection</t>
        </is>
      </c>
      <c r="N243" t="inlineStr">
        <is>
          <t>At the beginning of your upkeep, surveil 1</t>
        </is>
      </c>
      <c r="O243" t="inlineStr">
        <is>
          <t>Sacrifice for {4}{G}{G}: create X 2/2 black and green tokens</t>
        </is>
      </c>
      <c r="R243" t="n">
        <v>0.27</v>
      </c>
    </row>
    <row r="244" ht="15" customHeight="1" s="148">
      <c r="A244" t="inlineStr">
        <is>
          <t>c0243</t>
        </is>
      </c>
      <c r="B244" t="inlineStr">
        <is>
          <t>Mulch</t>
        </is>
      </c>
      <c r="C244" t="n">
        <v>1</v>
      </c>
      <c r="E244" t="n">
        <v>0</v>
      </c>
      <c r="F244" t="n">
        <v>1</v>
      </c>
      <c r="G244" t="n">
        <v>0</v>
      </c>
      <c r="H244" t="inlineStr">
        <is>
          <t>G</t>
        </is>
      </c>
      <c r="I244" t="inlineStr">
        <is>
          <t>Sorcery</t>
        </is>
      </c>
      <c r="J244" t="inlineStr">
        <is>
          <t>B2</t>
        </is>
      </c>
      <c r="K244" t="n">
        <v>2</v>
      </c>
      <c r="L244" t="inlineStr">
        <is>
          <t>Reveal the top four cards of your library. Put all land cards revealed this way into your hand and the rest into your graveyard.</t>
        </is>
      </c>
      <c r="M244" t="inlineStr">
        <is>
          <t>Card Selection</t>
        </is>
      </c>
      <c r="N244" t="inlineStr">
        <is>
          <t>Reveals top four cards; puts land cards into your hand and the rest into your graveyard</t>
        </is>
      </c>
      <c r="R244" t="n">
        <v>0.3</v>
      </c>
    </row>
    <row r="245" ht="15" customHeight="1" s="148">
      <c r="A245" t="inlineStr">
        <is>
          <t>c0244</t>
        </is>
      </c>
      <c r="B245" t="inlineStr">
        <is>
          <t>Nature's Lore</t>
        </is>
      </c>
      <c r="C245" t="n">
        <v>1</v>
      </c>
      <c r="E245" t="n">
        <v>0</v>
      </c>
      <c r="F245" t="n">
        <v>1</v>
      </c>
      <c r="G245" t="n">
        <v>0</v>
      </c>
      <c r="H245" t="inlineStr">
        <is>
          <t>G</t>
        </is>
      </c>
      <c r="I245" t="inlineStr">
        <is>
          <t>Sorcery</t>
        </is>
      </c>
      <c r="J245" t="inlineStr">
        <is>
          <t>B3</t>
        </is>
      </c>
      <c r="K245" t="n">
        <v>2</v>
      </c>
      <c r="L245" t="inlineStr">
        <is>
          <t>Search your library for a Forest card, put that card onto the battlefield, then shuffle.</t>
        </is>
      </c>
      <c r="M245" t="inlineStr">
        <is>
          <t>Ramp</t>
        </is>
      </c>
      <c r="N245" t="inlineStr">
        <is>
          <t>Search your library for a Forest card, put that card onto the battlefield, then shuffle.</t>
        </is>
      </c>
      <c r="R245" t="n">
        <v>2.45</v>
      </c>
    </row>
    <row r="246" ht="15" customHeight="1" s="148">
      <c r="A246" t="inlineStr">
        <is>
          <t>c0245</t>
        </is>
      </c>
      <c r="B246" t="inlineStr">
        <is>
          <t>Noxious Newt</t>
        </is>
      </c>
      <c r="C246" t="n">
        <v>1</v>
      </c>
      <c r="E246" t="n">
        <v>1</v>
      </c>
      <c r="F246" t="n">
        <v>0</v>
      </c>
      <c r="G246" t="n">
        <v>0</v>
      </c>
      <c r="H246" t="inlineStr">
        <is>
          <t>G</t>
        </is>
      </c>
      <c r="I246" t="inlineStr">
        <is>
          <t>Creature</t>
        </is>
      </c>
      <c r="J246" t="inlineStr">
        <is>
          <t>B2</t>
        </is>
      </c>
      <c r="K246" t="n">
        <v>2</v>
      </c>
      <c r="L246" t="inlineStr">
        <is>
          <t>Deathtouch
{T}: Add {G}.
(1/2)</t>
        </is>
      </c>
      <c r="M246" t="inlineStr">
        <is>
          <t>Ramp</t>
        </is>
      </c>
      <c r="N246" t="inlineStr">
        <is>
          <t>{T}: Add {G}</t>
        </is>
      </c>
      <c r="O246" t="inlineStr">
        <is>
          <t>Deathtouch body</t>
        </is>
      </c>
      <c r="R246" t="n">
        <v>0.27</v>
      </c>
    </row>
    <row r="247" ht="15" customHeight="1" s="148">
      <c r="A247" t="inlineStr">
        <is>
          <t>c0246</t>
        </is>
      </c>
      <c r="B247" t="inlineStr">
        <is>
          <t>Old Fat Spider</t>
        </is>
      </c>
      <c r="C247" t="n">
        <v>1</v>
      </c>
      <c r="E247" t="n">
        <v>0</v>
      </c>
      <c r="F247" t="n">
        <v>1</v>
      </c>
      <c r="G247" t="n">
        <v>0</v>
      </c>
      <c r="H247" t="inlineStr">
        <is>
          <t>G</t>
        </is>
      </c>
      <c r="I247" t="inlineStr">
        <is>
          <t>Creature</t>
        </is>
      </c>
      <c r="J247" t="inlineStr">
        <is>
          <t>B2</t>
        </is>
      </c>
      <c r="K247" t="n">
        <v>6</v>
      </c>
      <c r="L247" t="inlineStr">
        <is>
          <t>Reach
This creature can't be blocked by creatures with power 2 or less.
Whenever this creature becomes the target of a spell or ability an opponent controls, draw a card.
(6/7)</t>
        </is>
      </c>
      <c r="M247" t="inlineStr">
        <is>
          <t>Finisher</t>
        </is>
      </c>
      <c r="N247" t="inlineStr">
        <is>
          <t>Reach, and cannot be blocked by creatures with power 2 or less</t>
        </is>
      </c>
      <c r="O247" t="inlineStr">
        <is>
          <t>Whenever it becomes the target of a spell or ability an opponent controls, draw a card</t>
        </is>
      </c>
      <c r="R247" t="n">
        <v>0.13</v>
      </c>
    </row>
    <row r="248" ht="15" customHeight="1" s="148">
      <c r="A248" t="inlineStr">
        <is>
          <t>c0247</t>
        </is>
      </c>
      <c r="B248" t="inlineStr">
        <is>
          <t>Ordeal of Nylea</t>
        </is>
      </c>
      <c r="C248" t="n">
        <v>1</v>
      </c>
      <c r="E248" t="n">
        <v>1</v>
      </c>
      <c r="F248" t="n">
        <v>0</v>
      </c>
      <c r="G248" t="n">
        <v>0</v>
      </c>
      <c r="H248" t="inlineStr">
        <is>
          <t>G</t>
        </is>
      </c>
      <c r="I248" t="inlineStr">
        <is>
          <t>Enchantment</t>
        </is>
      </c>
      <c r="J248" t="inlineStr">
        <is>
          <t>B2</t>
        </is>
      </c>
      <c r="K248" t="n">
        <v>2</v>
      </c>
      <c r="L248" t="inlineStr">
        <is>
          <t>Enchant creature
Whenever enchanted creature attacks, put a +1/+1 counter on it. Then if it has three or more +1/+1 counters on it, sacrifice this Aura.
When you sacrifice this Aura, search your library for up to two basic land cards, put them onto the battlefield tapped, then shuffle.</t>
        </is>
      </c>
      <c r="M248" t="inlineStr">
        <is>
          <t>Counters Payoff</t>
        </is>
      </c>
      <c r="N248" t="inlineStr">
        <is>
          <t>Enchanted creature gets a +1/+1 counter when it attacks; sacrifices itself at three counters</t>
        </is>
      </c>
      <c r="O248" t="inlineStr">
        <is>
          <t>Searches for up to two basic lands onto the battlefield tapped when sacrificed</t>
        </is>
      </c>
      <c r="R248" t="n">
        <v>0.15</v>
      </c>
    </row>
    <row r="249" ht="15" customHeight="1" s="148">
      <c r="A249" t="inlineStr">
        <is>
          <t>c0248</t>
        </is>
      </c>
      <c r="B249" t="inlineStr">
        <is>
          <t>Ordinary Bear</t>
        </is>
      </c>
      <c r="C249" t="n">
        <v>1</v>
      </c>
      <c r="E249" t="n">
        <v>0</v>
      </c>
      <c r="F249" t="n">
        <v>1</v>
      </c>
      <c r="G249" t="n">
        <v>0</v>
      </c>
      <c r="H249" t="inlineStr">
        <is>
          <t>G</t>
        </is>
      </c>
      <c r="I249" t="inlineStr">
        <is>
          <t>Creature</t>
        </is>
      </c>
      <c r="J249" t="inlineStr">
        <is>
          <t>B2</t>
        </is>
      </c>
      <c r="K249" t="n">
        <v>4</v>
      </c>
      <c r="L249" t="inlineStr">
        <is>
          <t>(4/5)</t>
        </is>
      </c>
      <c r="M249" t="inlineStr">
        <is>
          <t>Utility Creature</t>
        </is>
      </c>
      <c r="N249" t="inlineStr">
        <is>
          <t>Vanilla creature with no abilities (body only)</t>
        </is>
      </c>
      <c r="R249" t="n">
        <v>0.15</v>
      </c>
    </row>
    <row r="250" ht="15" customHeight="1" s="148">
      <c r="A250" t="inlineStr">
        <is>
          <t>c0249</t>
        </is>
      </c>
      <c r="B250" t="inlineStr">
        <is>
          <t>Origin of Metalbending</t>
        </is>
      </c>
      <c r="C250" t="n">
        <v>3</v>
      </c>
      <c r="E250" t="n">
        <v>2</v>
      </c>
      <c r="F250" t="n">
        <v>1</v>
      </c>
      <c r="G250" t="n">
        <v>2</v>
      </c>
      <c r="H250" t="inlineStr">
        <is>
          <t>G</t>
        </is>
      </c>
      <c r="I250" t="inlineStr">
        <is>
          <t>Instant</t>
        </is>
      </c>
      <c r="J250" t="inlineStr">
        <is>
          <t>B2</t>
        </is>
      </c>
      <c r="K250" t="n">
        <v>2</v>
      </c>
      <c r="L250" t="inlineStr">
        <is>
          <t>Choose one —
• Destroy target artifact or enchantment.
• Put a +1/+1 counter on target creature you control. It gains indestructible until end of turn. (Damage and effects that say "destroy" don't destroy it.)</t>
        </is>
      </c>
      <c r="M250" t="inlineStr">
        <is>
          <t>Artifact/Enchantment Removal</t>
        </is>
      </c>
      <c r="N250" t="inlineStr">
        <is>
          <t>Choose one: destroys target artifact or enchantment</t>
        </is>
      </c>
      <c r="O250" t="inlineStr">
        <is>
          <t>Or puts a +1/+1 counter on your creature; it can't be destroyed this turn</t>
        </is>
      </c>
      <c r="R250" t="n">
        <v>0.28</v>
      </c>
    </row>
    <row r="251" ht="15" customHeight="1" s="148">
      <c r="A251" t="inlineStr">
        <is>
          <t>c0250</t>
        </is>
      </c>
      <c r="B251" t="inlineStr">
        <is>
          <t>Overgrown Battlement</t>
        </is>
      </c>
      <c r="C251" t="n">
        <v>3</v>
      </c>
      <c r="E251" t="n">
        <v>2</v>
      </c>
      <c r="F251" t="n">
        <v>1</v>
      </c>
      <c r="G251" t="n">
        <v>1</v>
      </c>
      <c r="H251" t="inlineStr">
        <is>
          <t>G</t>
        </is>
      </c>
      <c r="I251" t="inlineStr">
        <is>
          <t>Creature</t>
        </is>
      </c>
      <c r="J251" t="inlineStr">
        <is>
          <t>B2</t>
        </is>
      </c>
      <c r="K251" t="n">
        <v>2</v>
      </c>
      <c r="L251" t="inlineStr">
        <is>
          <t>Defender
{T}: Add {G} for each creature you control with defender.
(0/4)</t>
        </is>
      </c>
      <c r="M251" t="inlineStr">
        <is>
          <t>Defender Ramp</t>
        </is>
      </c>
      <c r="N251" t="inlineStr">
        <is>
          <t>Taps for {G} for each creature you control with defender</t>
        </is>
      </c>
      <c r="R251" t="n">
        <v>0.34</v>
      </c>
    </row>
    <row r="252" ht="15" customHeight="1" s="148">
      <c r="A252" t="inlineStr">
        <is>
          <t>c0251</t>
        </is>
      </c>
      <c r="B252" t="inlineStr">
        <is>
          <t>Pir, Imaginative Rascal</t>
        </is>
      </c>
      <c r="C252" t="n">
        <v>0</v>
      </c>
      <c r="E252" t="n">
        <v>0</v>
      </c>
      <c r="F252" t="n">
        <v>0</v>
      </c>
      <c r="G252" t="n">
        <v>0</v>
      </c>
      <c r="H252" t="inlineStr">
        <is>
          <t>G</t>
        </is>
      </c>
      <c r="I252" t="inlineStr">
        <is>
          <t>Legendary Creature</t>
        </is>
      </c>
      <c r="J252" t="inlineStr">
        <is>
          <t>B3</t>
        </is>
      </c>
      <c r="K252" t="n">
        <v>3</v>
      </c>
      <c r="L252" t="inlineStr">
        <is>
          <t>Partner with Toothy, Imaginary Friend (When this creature enters, target player may put Toothy into their hand from their library, then shuffle.)
If one or more counters would be put on a permanent your team controls, that many plus one of each of those kinds of counters are put on that permanent instead.
(1/1)</t>
        </is>
      </c>
      <c r="M252" t="inlineStr">
        <is>
          <t>Counters Payoff</t>
        </is>
      </c>
      <c r="N252" t="inlineStr">
        <is>
          <t>Partner with Toothy, Imaginary Friend (When this creature enters, target player may put Toothy into their hand from thei</t>
        </is>
      </c>
      <c r="R252" t="n">
        <v>5.32</v>
      </c>
    </row>
    <row r="253" ht="15" customHeight="1" s="148">
      <c r="A253" t="inlineStr">
        <is>
          <t>c0252</t>
        </is>
      </c>
      <c r="B253" t="inlineStr">
        <is>
          <t>Plaguemaw Beast</t>
        </is>
      </c>
      <c r="C253" t="n">
        <v>1</v>
      </c>
      <c r="E253" t="n">
        <v>1</v>
      </c>
      <c r="F253" t="n">
        <v>0</v>
      </c>
      <c r="G253" t="n">
        <v>1</v>
      </c>
      <c r="H253" t="inlineStr">
        <is>
          <t>G</t>
        </is>
      </c>
      <c r="I253" t="inlineStr">
        <is>
          <t>Creature</t>
        </is>
      </c>
      <c r="J253" t="inlineStr">
        <is>
          <t>B2</t>
        </is>
      </c>
      <c r="K253" t="n">
        <v>5</v>
      </c>
      <c r="L253" t="inlineStr">
        <is>
          <t>{T}, Sacrifice a creature: Proliferate. (Choose any number of permanents and/or players, then give each another counter of each kind already there.)
(4/3)</t>
        </is>
      </c>
      <c r="M253" t="inlineStr">
        <is>
          <t>Proliferate</t>
        </is>
      </c>
      <c r="N253" t="inlineStr">
        <is>
          <t>Sacrifice a creature and tap to proliferate</t>
        </is>
      </c>
      <c r="R253" t="n">
        <v>0.22</v>
      </c>
    </row>
    <row r="254" ht="15" customHeight="1" s="148">
      <c r="A254" t="inlineStr">
        <is>
          <t>c0253</t>
        </is>
      </c>
      <c r="B254" t="inlineStr">
        <is>
          <t>Portcullis Vine</t>
        </is>
      </c>
      <c r="C254" t="n">
        <v>2</v>
      </c>
      <c r="E254" t="n">
        <v>1</v>
      </c>
      <c r="F254" t="n">
        <v>1</v>
      </c>
      <c r="G254" t="n">
        <v>1</v>
      </c>
      <c r="H254" t="inlineStr">
        <is>
          <t>G</t>
        </is>
      </c>
      <c r="I254" t="inlineStr">
        <is>
          <t>Creature</t>
        </is>
      </c>
      <c r="J254" t="inlineStr">
        <is>
          <t>B2</t>
        </is>
      </c>
      <c r="K254" t="n">
        <v>1</v>
      </c>
      <c r="L254" t="inlineStr">
        <is>
          <t>Defender (This creature can't attack.)
{2}, {T}, Sacrifice a creature with defender: Draw a card.
(0/3)</t>
        </is>
      </c>
      <c r="M254" t="inlineStr">
        <is>
          <t>Defender Ramp</t>
        </is>
      </c>
      <c r="N254" t="inlineStr">
        <is>
          <t>Can't attack</t>
        </is>
      </c>
      <c r="O254" t="inlineStr">
        <is>
          <t>Pay {2}, tap, sacrifice a creature that can't attack: draw a card</t>
        </is>
      </c>
      <c r="R254" t="n">
        <v>0.22</v>
      </c>
    </row>
    <row r="255" ht="15" customHeight="1" s="148">
      <c r="A255" t="inlineStr">
        <is>
          <t>c0254</t>
        </is>
      </c>
      <c r="B255" t="inlineStr">
        <is>
          <t>Quarrel</t>
        </is>
      </c>
      <c r="C255" t="n">
        <v>2</v>
      </c>
      <c r="E255" t="n">
        <v>0</v>
      </c>
      <c r="F255" t="n">
        <v>2</v>
      </c>
      <c r="G255" t="n">
        <v>0</v>
      </c>
      <c r="H255" t="inlineStr">
        <is>
          <t>G</t>
        </is>
      </c>
      <c r="I255" t="inlineStr">
        <is>
          <t>Instant</t>
        </is>
      </c>
      <c r="J255" t="inlineStr">
        <is>
          <t>B2</t>
        </is>
      </c>
      <c r="K255" t="n">
        <v>2</v>
      </c>
      <c r="L255" t="inlineStr">
        <is>
          <t>Target creature you control deals damage equal to its power to target creature an opponent controls.</t>
        </is>
      </c>
      <c r="M255" t="inlineStr">
        <is>
          <t>Removal</t>
        </is>
      </c>
      <c r="N255" t="inlineStr">
        <is>
          <t>Target creature you control deals damage equal to its power to target creature an opponent controls</t>
        </is>
      </c>
      <c r="R255" t="n">
        <v>0.1</v>
      </c>
    </row>
    <row r="256" ht="15" customHeight="1" s="148">
      <c r="A256" t="inlineStr">
        <is>
          <t>c0255</t>
        </is>
      </c>
      <c r="B256" t="inlineStr">
        <is>
          <t>Rampant Growth</t>
        </is>
      </c>
      <c r="C256" t="n">
        <v>0</v>
      </c>
      <c r="D256" t="n">
        <v>3</v>
      </c>
      <c r="E256" t="n">
        <v>0</v>
      </c>
      <c r="F256" t="n">
        <v>0</v>
      </c>
      <c r="G256" t="n">
        <v>3</v>
      </c>
      <c r="H256" t="inlineStr">
        <is>
          <t>G</t>
        </is>
      </c>
      <c r="I256" t="inlineStr">
        <is>
          <t>Sorcery</t>
        </is>
      </c>
      <c r="J256" t="inlineStr">
        <is>
          <t>B2</t>
        </is>
      </c>
      <c r="K256" t="n">
        <v>2</v>
      </c>
      <c r="L256" t="inlineStr">
        <is>
          <t>Search your library for a basic land card, put that card onto the battlefield tapped, then shuffle.</t>
        </is>
      </c>
      <c r="M256" t="inlineStr">
        <is>
          <t>Ramp</t>
        </is>
      </c>
      <c r="N256" t="inlineStr">
        <is>
          <t>Search your library for a basic land card, put that card onto the battlefield tapped, then shuffle</t>
        </is>
      </c>
      <c r="R256" t="n">
        <v>0.62</v>
      </c>
    </row>
    <row r="257" ht="15" customHeight="1" s="148">
      <c r="A257" t="inlineStr">
        <is>
          <t>c0256</t>
        </is>
      </c>
      <c r="B257" t="inlineStr">
        <is>
          <t>Rampart Architect</t>
        </is>
      </c>
      <c r="C257" t="n">
        <v>0</v>
      </c>
      <c r="E257" t="n">
        <v>0</v>
      </c>
      <c r="F257" t="n">
        <v>0</v>
      </c>
      <c r="G257" t="n">
        <v>0</v>
      </c>
      <c r="H257" t="inlineStr">
        <is>
          <t>G</t>
        </is>
      </c>
      <c r="I257" t="inlineStr">
        <is>
          <t>Creature</t>
        </is>
      </c>
      <c r="J257" t="inlineStr">
        <is>
          <t>B2</t>
        </is>
      </c>
      <c r="K257" t="n">
        <v>4</v>
      </c>
      <c r="L257" t="inlineStr">
        <is>
          <t>Whenever this creature enters or attacks, create a 1/3 white Wall creature token with defender.
Whenever a creature you control with defender dies, you may search your library for a basic land card, put that card onto the battlefield tapped, then shuffle.
(3/4)</t>
        </is>
      </c>
      <c r="M257" t="inlineStr">
        <is>
          <t>Token Producer</t>
        </is>
      </c>
      <c r="N257" t="inlineStr">
        <is>
          <t>Creates a 1/3 Wall token with defender when it enters or attacks</t>
        </is>
      </c>
      <c r="O257" t="inlineStr">
        <is>
          <t>Fetches a basic land to battlefield tapped when a defender you control dies</t>
        </is>
      </c>
      <c r="Q257" t="n">
        <v>1</v>
      </c>
      <c r="R257" t="n">
        <v>0.31</v>
      </c>
    </row>
    <row r="258" ht="15" customHeight="1" s="148">
      <c r="A258" t="inlineStr">
        <is>
          <t>c0257</t>
        </is>
      </c>
      <c r="B258" t="inlineStr">
        <is>
          <t>Rebellious Captives</t>
        </is>
      </c>
      <c r="C258" t="n">
        <v>1</v>
      </c>
      <c r="E258" t="n">
        <v>0</v>
      </c>
      <c r="F258" t="n">
        <v>1</v>
      </c>
      <c r="G258" t="n">
        <v>0</v>
      </c>
      <c r="H258" t="inlineStr">
        <is>
          <t>G</t>
        </is>
      </c>
      <c r="I258" t="inlineStr">
        <is>
          <t>Creature</t>
        </is>
      </c>
      <c r="J258" t="inlineStr">
        <is>
          <t>B2</t>
        </is>
      </c>
      <c r="K258" t="n">
        <v>2</v>
      </c>
      <c r="L258" t="inlineStr">
        <is>
          <t>Exhaust — {6}: Put two +1/+1 counters on this creature, then earthbend 2. (Target land you control becomes a 0/0 creature with haste that's still a land. Put two +1/+1 counters on it. When it dies or is exiled, return it to the battlefield tapped. Activate each exhaust ability only once.)
(2/2)</t>
        </is>
      </c>
      <c r="M258" t="inlineStr">
        <is>
          <t>Counters Payoff</t>
        </is>
      </c>
      <c r="N258" t="inlineStr">
        <is>
          <t>Pay {6} once to put two +1/+1 counters on itself</t>
        </is>
      </c>
      <c r="O258" t="inlineStr">
        <is>
          <t>Then animates target land into a 0/0 hasty creature with two +1/+1 counters</t>
        </is>
      </c>
      <c r="R258" t="n">
        <v>0.08</v>
      </c>
    </row>
    <row r="259" ht="15" customHeight="1" s="148">
      <c r="A259" t="inlineStr">
        <is>
          <t>c0258</t>
        </is>
      </c>
      <c r="B259" t="inlineStr">
        <is>
          <t>Reclamation Sage</t>
        </is>
      </c>
      <c r="C259" t="n">
        <v>1</v>
      </c>
      <c r="E259" t="n">
        <v>1</v>
      </c>
      <c r="F259" t="n">
        <v>0</v>
      </c>
      <c r="G259" t="n">
        <v>1</v>
      </c>
      <c r="H259" t="inlineStr">
        <is>
          <t>G</t>
        </is>
      </c>
      <c r="I259" t="inlineStr">
        <is>
          <t>Creature</t>
        </is>
      </c>
      <c r="J259" t="inlineStr">
        <is>
          <t>B2</t>
        </is>
      </c>
      <c r="K259" t="n">
        <v>3</v>
      </c>
      <c r="L259" t="inlineStr">
        <is>
          <t>When this creature enters, you may destroy target artifact or enchantment.
(2/1)</t>
        </is>
      </c>
      <c r="M259" t="inlineStr">
        <is>
          <t>Artifact/Enchantment Removal</t>
        </is>
      </c>
      <c r="N259" t="inlineStr">
        <is>
          <t>Destroys target artifact or enchantment when it enters</t>
        </is>
      </c>
      <c r="R259" t="n">
        <v>0.35</v>
      </c>
    </row>
    <row r="260" ht="15" customHeight="1" s="148">
      <c r="A260" t="inlineStr">
        <is>
          <t>c0259</t>
        </is>
      </c>
      <c r="B260" t="inlineStr">
        <is>
          <t>Royal Treatment</t>
        </is>
      </c>
      <c r="C260" t="n">
        <v>1</v>
      </c>
      <c r="E260" t="n">
        <v>0</v>
      </c>
      <c r="F260" t="n">
        <v>1</v>
      </c>
      <c r="G260" t="n">
        <v>0</v>
      </c>
      <c r="H260" t="inlineStr">
        <is>
          <t>G</t>
        </is>
      </c>
      <c r="I260" t="inlineStr">
        <is>
          <t>Instant</t>
        </is>
      </c>
      <c r="J260" t="inlineStr">
        <is>
          <t>B2</t>
        </is>
      </c>
      <c r="K260" t="n">
        <v>1</v>
      </c>
      <c r="L260" t="inlineStr">
        <is>
          <t>Target creature you control gains hexproof until end of turn. Create a Royal Role token attached to that creature. (If you control another Role on it, put that one into the graveyard. Enchanted creature gets +1/+1 and has ward {1}.)</t>
        </is>
      </c>
      <c r="M260" t="inlineStr">
        <is>
          <t>Protection</t>
        </is>
      </c>
      <c r="N260" t="inlineStr">
        <is>
          <t>Target creature you control gains hexproof until end of turn</t>
        </is>
      </c>
      <c r="O260" t="inlineStr">
        <is>
          <t>Creates a Royal Role token attached to it, giving +1/+1 and ward {1}</t>
        </is>
      </c>
      <c r="R260" t="n">
        <v>0.29</v>
      </c>
    </row>
    <row r="261" ht="15" customHeight="1" s="148">
      <c r="A261" t="inlineStr">
        <is>
          <t>c0260</t>
        </is>
      </c>
      <c r="B261" t="inlineStr">
        <is>
          <t>Saruli Caretaker</t>
        </is>
      </c>
      <c r="C261" t="n">
        <v>0</v>
      </c>
      <c r="D261" t="n">
        <v>1</v>
      </c>
      <c r="E261" t="n">
        <v>0</v>
      </c>
      <c r="F261" t="n">
        <v>0</v>
      </c>
      <c r="G261" t="n">
        <v>1</v>
      </c>
      <c r="H261" t="inlineStr">
        <is>
          <t>G</t>
        </is>
      </c>
      <c r="I261" t="inlineStr">
        <is>
          <t>Creature</t>
        </is>
      </c>
      <c r="J261" t="inlineStr">
        <is>
          <t>B2</t>
        </is>
      </c>
      <c r="K261" t="n">
        <v>1</v>
      </c>
      <c r="L261" t="inlineStr">
        <is>
          <t>Defender
{T}, Tap an untapped creature you control: Add one mana of any color.
(0/3)</t>
        </is>
      </c>
      <c r="M261" t="inlineStr">
        <is>
          <t>Defender Ramp</t>
        </is>
      </c>
      <c r="N261" t="inlineStr">
        <is>
          <t>Defender</t>
        </is>
      </c>
      <c r="O261" t="inlineStr">
        <is>
          <t>{T}, Tap an untapped creature you control: Add one mana of any color</t>
        </is>
      </c>
      <c r="R261" t="n">
        <v>0.27</v>
      </c>
    </row>
    <row r="262" ht="15" customHeight="1" s="148">
      <c r="A262" t="inlineStr">
        <is>
          <t>c0261</t>
        </is>
      </c>
      <c r="B262" t="inlineStr">
        <is>
          <t>Satyr Wayfinder</t>
        </is>
      </c>
      <c r="C262" t="n">
        <v>1</v>
      </c>
      <c r="E262" t="n">
        <v>1</v>
      </c>
      <c r="F262" t="n">
        <v>0</v>
      </c>
      <c r="G262" t="n">
        <v>0</v>
      </c>
      <c r="H262" t="inlineStr">
        <is>
          <t>G</t>
        </is>
      </c>
      <c r="I262" t="inlineStr">
        <is>
          <t>Creature</t>
        </is>
      </c>
      <c r="J262" t="inlineStr">
        <is>
          <t>B2</t>
        </is>
      </c>
      <c r="K262" t="n">
        <v>2</v>
      </c>
      <c r="L262" t="inlineStr">
        <is>
          <t>When this creature enters, reveal the top four cards of your library. You may put a land card from among them into your hand. Put the rest into your graveyard.
(1/1)</t>
        </is>
      </c>
      <c r="M262" t="inlineStr">
        <is>
          <t>Card Selection</t>
        </is>
      </c>
      <c r="N262" t="inlineStr">
        <is>
          <t>Reveals top four cards; puts a land card into your hand and the rest into your graveyard</t>
        </is>
      </c>
      <c r="R262" t="n">
        <v>0.23</v>
      </c>
    </row>
    <row r="263" ht="15" customHeight="1" s="148">
      <c r="A263" t="inlineStr">
        <is>
          <t>c0262</t>
        </is>
      </c>
      <c r="B263" t="inlineStr">
        <is>
          <t>Shared Roots</t>
        </is>
      </c>
      <c r="C263" t="n">
        <v>1</v>
      </c>
      <c r="E263" t="n">
        <v>1</v>
      </c>
      <c r="F263" t="n">
        <v>0</v>
      </c>
      <c r="G263" t="n">
        <v>1</v>
      </c>
      <c r="H263" t="inlineStr">
        <is>
          <t>G</t>
        </is>
      </c>
      <c r="I263" t="inlineStr">
        <is>
          <t>Sorcery</t>
        </is>
      </c>
      <c r="J263" t="inlineStr">
        <is>
          <t>B2</t>
        </is>
      </c>
      <c r="K263" t="n">
        <v>2</v>
      </c>
      <c r="L263" t="inlineStr">
        <is>
          <t>Search your library for a basic land card, put it onto the battlefield tapped, then shuffle.</t>
        </is>
      </c>
      <c r="M263" t="inlineStr">
        <is>
          <t>Ramp</t>
        </is>
      </c>
      <c r="N263" t="inlineStr">
        <is>
          <t>Search your library for a basic land card and put it onto the battlefield tapped</t>
        </is>
      </c>
      <c r="R263" t="n">
        <v>0.43</v>
      </c>
    </row>
    <row r="264" ht="15" customHeight="1" s="148">
      <c r="A264" t="inlineStr">
        <is>
          <t>c0263</t>
        </is>
      </c>
      <c r="B264" t="inlineStr">
        <is>
          <t>Sheltering Word</t>
        </is>
      </c>
      <c r="C264" t="n">
        <v>1</v>
      </c>
      <c r="E264" t="n">
        <v>0</v>
      </c>
      <c r="F264" t="n">
        <v>1</v>
      </c>
      <c r="G264" t="n">
        <v>0</v>
      </c>
      <c r="H264" t="inlineStr">
        <is>
          <t>G</t>
        </is>
      </c>
      <c r="I264" t="inlineStr">
        <is>
          <t>Instant</t>
        </is>
      </c>
      <c r="J264" t="inlineStr">
        <is>
          <t>B2</t>
        </is>
      </c>
      <c r="K264" t="n">
        <v>2</v>
      </c>
      <c r="L264" t="inlineStr">
        <is>
          <t>Target creature you control gains hexproof until end of turn. You gain life equal to that creature's toughness. (A creature with hexproof can't be the target of spells or abilities your opponents control.)</t>
        </is>
      </c>
      <c r="M264" t="inlineStr">
        <is>
          <t>Protection</t>
        </is>
      </c>
      <c r="N264" t="inlineStr">
        <is>
          <t>Target creature you control can't be targeted by opponents until end of turn</t>
        </is>
      </c>
      <c r="O264" t="inlineStr">
        <is>
          <t>You gain life equal to that creature's toughness</t>
        </is>
      </c>
      <c r="R264" t="n">
        <v>0.19</v>
      </c>
    </row>
    <row r="265" ht="15" customHeight="1" s="148">
      <c r="A265" t="inlineStr">
        <is>
          <t>c0264</t>
        </is>
      </c>
      <c r="B265" t="inlineStr">
        <is>
          <t>Shopkeeper's Bane</t>
        </is>
      </c>
      <c r="C265" t="n">
        <v>2</v>
      </c>
      <c r="E265" t="n">
        <v>0</v>
      </c>
      <c r="F265" t="n">
        <v>2</v>
      </c>
      <c r="G265" t="n">
        <v>0</v>
      </c>
      <c r="H265" t="inlineStr">
        <is>
          <t>G</t>
        </is>
      </c>
      <c r="I265" t="inlineStr">
        <is>
          <t>Creature</t>
        </is>
      </c>
      <c r="J265" t="inlineStr">
        <is>
          <t>B2</t>
        </is>
      </c>
      <c r="K265" t="n">
        <v>3</v>
      </c>
      <c r="L265" t="inlineStr">
        <is>
          <t>Trample
Whenever this creature attacks, you gain 2 life.
(4/2)</t>
        </is>
      </c>
      <c r="M265" t="inlineStr">
        <is>
          <t>Lifegain</t>
        </is>
      </c>
      <c r="N265" t="inlineStr">
        <is>
          <t>Whenever this creature attacks, you gain 2 life</t>
        </is>
      </c>
      <c r="O265" t="inlineStr">
        <is>
          <t>4/2 trample body</t>
        </is>
      </c>
      <c r="R265" t="n">
        <v>0.17</v>
      </c>
    </row>
    <row r="266" ht="15" customHeight="1" s="148">
      <c r="A266" t="inlineStr">
        <is>
          <t>c0265</t>
        </is>
      </c>
      <c r="B266" t="inlineStr">
        <is>
          <t>Skyshroud Claim</t>
        </is>
      </c>
      <c r="C266" t="n">
        <v>1</v>
      </c>
      <c r="E266" t="n">
        <v>0</v>
      </c>
      <c r="F266" t="n">
        <v>1</v>
      </c>
      <c r="G266" t="n">
        <v>0</v>
      </c>
      <c r="H266" t="inlineStr">
        <is>
          <t>G</t>
        </is>
      </c>
      <c r="I266" t="inlineStr">
        <is>
          <t>Sorcery</t>
        </is>
      </c>
      <c r="J266" t="inlineStr">
        <is>
          <t>B2</t>
        </is>
      </c>
      <c r="K266" t="n">
        <v>4</v>
      </c>
      <c r="L266" t="inlineStr">
        <is>
          <t>Search your library for up to two Forest cards, put them onto the battlefield, then shuffle.</t>
        </is>
      </c>
      <c r="M266" t="inlineStr">
        <is>
          <t>Ramp</t>
        </is>
      </c>
      <c r="N266" t="inlineStr">
        <is>
          <t>Searches for up to two Forest cards and puts them onto the battlefield</t>
        </is>
      </c>
      <c r="R266" t="n">
        <v>1.06</v>
      </c>
    </row>
    <row r="267" ht="15" customHeight="1" s="148">
      <c r="A267" t="inlineStr">
        <is>
          <t>c0266</t>
        </is>
      </c>
      <c r="B267" t="inlineStr">
        <is>
          <t>Song of the Dryads</t>
        </is>
      </c>
      <c r="C267" t="n">
        <v>1</v>
      </c>
      <c r="E267" t="n">
        <v>1</v>
      </c>
      <c r="F267" t="n">
        <v>0</v>
      </c>
      <c r="G267" t="n">
        <v>1</v>
      </c>
      <c r="H267" t="inlineStr">
        <is>
          <t>G</t>
        </is>
      </c>
      <c r="I267" t="inlineStr">
        <is>
          <t>Enchantment</t>
        </is>
      </c>
      <c r="J267" t="inlineStr">
        <is>
          <t>B2</t>
        </is>
      </c>
      <c r="K267" t="n">
        <v>3</v>
      </c>
      <c r="L267" t="inlineStr">
        <is>
          <t>Enchant permanent
Enchanted permanent is a colorless Forest land.</t>
        </is>
      </c>
      <c r="M267" t="inlineStr">
        <is>
          <t>Removal</t>
        </is>
      </c>
      <c r="N267" t="inlineStr">
        <is>
          <t>Turns enchanted permanent into a colorless Forest land, removing its abilities</t>
        </is>
      </c>
      <c r="R267" t="n">
        <v>5.79</v>
      </c>
    </row>
    <row r="268" ht="15" customHeight="1" s="148">
      <c r="A268" t="inlineStr">
        <is>
          <t>c0267</t>
        </is>
      </c>
      <c r="B268" t="inlineStr">
        <is>
          <t>Stony Strength</t>
        </is>
      </c>
      <c r="C268" t="n">
        <v>1</v>
      </c>
      <c r="E268" t="n">
        <v>0</v>
      </c>
      <c r="F268" t="n">
        <v>1</v>
      </c>
      <c r="G268" t="n">
        <v>0</v>
      </c>
      <c r="H268" t="inlineStr">
        <is>
          <t>G</t>
        </is>
      </c>
      <c r="I268" t="inlineStr">
        <is>
          <t>Instant</t>
        </is>
      </c>
      <c r="J268" t="inlineStr">
        <is>
          <t>B2</t>
        </is>
      </c>
      <c r="K268" t="n">
        <v>1</v>
      </c>
      <c r="L268" t="inlineStr">
        <is>
          <t>Put a +1/+1 counter on target creature you control. Untap that creature.</t>
        </is>
      </c>
      <c r="M268" t="inlineStr">
        <is>
          <t>Counters Payoff</t>
        </is>
      </c>
      <c r="N268" t="inlineStr">
        <is>
          <t>Puts a +1/+1 counter on target creature you control and untaps it</t>
        </is>
      </c>
      <c r="R268" t="n">
        <v>0.12</v>
      </c>
    </row>
    <row r="269" ht="15" customHeight="1" s="148">
      <c r="A269" t="inlineStr">
        <is>
          <t>c0268</t>
        </is>
      </c>
      <c r="B269" t="inlineStr">
        <is>
          <t>Surly Farrier</t>
        </is>
      </c>
      <c r="C269" t="n">
        <v>1</v>
      </c>
      <c r="E269" t="n">
        <v>0</v>
      </c>
      <c r="F269" t="n">
        <v>1</v>
      </c>
      <c r="G269" t="n">
        <v>0</v>
      </c>
      <c r="H269" t="inlineStr">
        <is>
          <t>G</t>
        </is>
      </c>
      <c r="I269" t="inlineStr">
        <is>
          <t>Creature</t>
        </is>
      </c>
      <c r="J269" t="inlineStr">
        <is>
          <t>B2</t>
        </is>
      </c>
      <c r="K269" t="n">
        <v>2</v>
      </c>
      <c r="L269" t="inlineStr">
        <is>
          <t>{T}: Target creature you control gets +1/+1 and gains vigilance until end of turn. Activate only as a sorcery.
(2/2)</t>
        </is>
      </c>
      <c r="M269" t="inlineStr">
        <is>
          <t>Combat Trick</t>
        </is>
      </c>
      <c r="N269" t="inlineStr">
        <is>
          <t>Target creature you control gets +1/+1 until end of turn (sorcery speed)</t>
        </is>
      </c>
      <c r="R269" t="n">
        <v>0.07000000000000001</v>
      </c>
    </row>
    <row r="270" ht="15" customHeight="1" s="148">
      <c r="A270" t="inlineStr">
        <is>
          <t>c0269</t>
        </is>
      </c>
      <c r="B270" t="inlineStr">
        <is>
          <t>Sylvan Brushstrider</t>
        </is>
      </c>
      <c r="C270" t="n">
        <v>1</v>
      </c>
      <c r="E270" t="n">
        <v>0</v>
      </c>
      <c r="F270" t="n">
        <v>1</v>
      </c>
      <c r="G270" t="n">
        <v>0</v>
      </c>
      <c r="H270" t="inlineStr">
        <is>
          <t>G</t>
        </is>
      </c>
      <c r="I270" t="inlineStr">
        <is>
          <t>Creature</t>
        </is>
      </c>
      <c r="J270" t="inlineStr">
        <is>
          <t>B2</t>
        </is>
      </c>
      <c r="K270" t="n">
        <v>3</v>
      </c>
      <c r="L270" t="inlineStr">
        <is>
          <t>When this creature enters, you gain 2 life.
(3/2)</t>
        </is>
      </c>
      <c r="M270" t="inlineStr">
        <is>
          <t>Lifegain</t>
        </is>
      </c>
      <c r="N270" t="inlineStr">
        <is>
          <t>Gain 2 life when it enters</t>
        </is>
      </c>
      <c r="R270" t="n">
        <v>0.04</v>
      </c>
    </row>
    <row r="271" ht="15" customHeight="1" s="148">
      <c r="A271" t="inlineStr">
        <is>
          <t>c0270</t>
        </is>
      </c>
      <c r="B271" t="inlineStr">
        <is>
          <t>Sylvan Caryatid</t>
        </is>
      </c>
      <c r="C271" t="n">
        <v>1</v>
      </c>
      <c r="E271" t="n">
        <v>1</v>
      </c>
      <c r="F271" t="n">
        <v>0</v>
      </c>
      <c r="G271" t="n">
        <v>1</v>
      </c>
      <c r="H271" t="inlineStr">
        <is>
          <t>G</t>
        </is>
      </c>
      <c r="I271" t="inlineStr">
        <is>
          <t>Creature</t>
        </is>
      </c>
      <c r="J271" t="inlineStr">
        <is>
          <t>B2</t>
        </is>
      </c>
      <c r="K271" t="n">
        <v>2</v>
      </c>
      <c r="L271" t="inlineStr">
        <is>
          <t>Defender, hexproof
{T}: Add one mana of any color.
(0/3)</t>
        </is>
      </c>
      <c r="M271" t="inlineStr">
        <is>
          <t>Defender Ramp</t>
        </is>
      </c>
      <c r="N271" t="inlineStr">
        <is>
          <t>Taps for one mana of any color</t>
        </is>
      </c>
      <c r="O271" t="inlineStr">
        <is>
          <t>Can't attack; can't be targeted by opponents' spells or abilities</t>
        </is>
      </c>
      <c r="R271" t="n">
        <v>0.99</v>
      </c>
    </row>
    <row r="272" ht="15" customHeight="1" s="148">
      <c r="A272" t="inlineStr">
        <is>
          <t>c0271</t>
        </is>
      </c>
      <c r="B272" t="inlineStr">
        <is>
          <t>Sylvan Ranger</t>
        </is>
      </c>
      <c r="C272" t="n">
        <v>1</v>
      </c>
      <c r="E272" t="n">
        <v>1</v>
      </c>
      <c r="F272" t="n">
        <v>0</v>
      </c>
      <c r="G272" t="n">
        <v>1</v>
      </c>
      <c r="H272" t="inlineStr">
        <is>
          <t>G</t>
        </is>
      </c>
      <c r="I272" t="inlineStr">
        <is>
          <t>Creature</t>
        </is>
      </c>
      <c r="J272" t="inlineStr">
        <is>
          <t>B2</t>
        </is>
      </c>
      <c r="K272" t="n">
        <v>2</v>
      </c>
      <c r="L272" t="inlineStr">
        <is>
          <t>When this creature enters, you may search your library for a basic land card, reveal it, put it into your hand, then shuffle.
(1/1)</t>
        </is>
      </c>
      <c r="M272" t="inlineStr">
        <is>
          <t>Ramp</t>
        </is>
      </c>
      <c r="N272" t="inlineStr">
        <is>
          <t>Searches your library for a basic land card and puts it into your hand when it enters</t>
        </is>
      </c>
      <c r="R272" t="n">
        <v>0.31</v>
      </c>
    </row>
    <row r="273" ht="15" customHeight="1" s="148">
      <c r="A273" t="inlineStr">
        <is>
          <t>c0272</t>
        </is>
      </c>
      <c r="B273" t="inlineStr">
        <is>
          <t>Temur Sabertooth</t>
        </is>
      </c>
      <c r="C273" t="n">
        <v>1</v>
      </c>
      <c r="E273" t="n">
        <v>1</v>
      </c>
      <c r="F273" t="n">
        <v>0</v>
      </c>
      <c r="G273" t="n">
        <v>1</v>
      </c>
      <c r="H273" t="inlineStr">
        <is>
          <t>G</t>
        </is>
      </c>
      <c r="I273" t="inlineStr">
        <is>
          <t>Creature</t>
        </is>
      </c>
      <c r="J273" t="inlineStr">
        <is>
          <t>B2</t>
        </is>
      </c>
      <c r="K273" t="n">
        <v>4</v>
      </c>
      <c r="L273" t="inlineStr">
        <is>
          <t>{1}{G}: You may return another creature you control to its owner's hand. If you do, this creature gains indestructible until end of turn.
(4/3)</t>
        </is>
      </c>
      <c r="M273" t="inlineStr">
        <is>
          <t>Protection</t>
        </is>
      </c>
      <c r="N273" t="inlineStr">
        <is>
          <t>{1}{G}: You may return another creature you control to its owner's hand. If you do, this creature gains indestructible u</t>
        </is>
      </c>
      <c r="R273" t="n">
        <v>0.96</v>
      </c>
    </row>
    <row r="274" ht="15" customHeight="1" s="148">
      <c r="A274" t="inlineStr">
        <is>
          <t>c0273</t>
        </is>
      </c>
      <c r="B274" t="inlineStr">
        <is>
          <t>Tend the Sprigs</t>
        </is>
      </c>
      <c r="C274" t="n">
        <v>1</v>
      </c>
      <c r="E274" t="n">
        <v>0</v>
      </c>
      <c r="F274" t="n">
        <v>1</v>
      </c>
      <c r="G274" t="n">
        <v>0</v>
      </c>
      <c r="H274" t="inlineStr">
        <is>
          <t>G</t>
        </is>
      </c>
      <c r="I274" t="inlineStr">
        <is>
          <t>Sorcery</t>
        </is>
      </c>
      <c r="J274" t="inlineStr">
        <is>
          <t>B2</t>
        </is>
      </c>
      <c r="K274" t="n">
        <v>3</v>
      </c>
      <c r="L274" t="inlineStr">
        <is>
          <t>Tend the Sprigs {2}{G} — Sorcery
Search your library for a basic land card, put it onto the battlefield tapped, then shuffle. Then if you control seven or more lands and/or Treefolk, create a 3/4 green Treefolk creature token with reach. (It can block creatures with flying.)</t>
        </is>
      </c>
      <c r="M274" t="inlineStr">
        <is>
          <t>Ramp</t>
        </is>
      </c>
      <c r="N274" t="inlineStr">
        <is>
          <t>Search your library for a basic land, put it onto the battlefield tapped</t>
        </is>
      </c>
      <c r="O274" t="inlineStr">
        <is>
          <t>Creates a 3/4 Treefolk if you control seven or more lands and/or Treefolk</t>
        </is>
      </c>
      <c r="R274" t="n">
        <v>0.16</v>
      </c>
    </row>
    <row r="275" ht="15" customHeight="1" s="148">
      <c r="A275" t="inlineStr">
        <is>
          <t>c0274</t>
        </is>
      </c>
      <c r="B275" t="inlineStr">
        <is>
          <t>Tireless Provisioner</t>
        </is>
      </c>
      <c r="C275" t="n">
        <v>1</v>
      </c>
      <c r="E275" t="n">
        <v>1</v>
      </c>
      <c r="F275" t="n">
        <v>0</v>
      </c>
      <c r="G275" t="n">
        <v>1</v>
      </c>
      <c r="H275" t="inlineStr">
        <is>
          <t>G</t>
        </is>
      </c>
      <c r="I275" t="inlineStr">
        <is>
          <t>Creature</t>
        </is>
      </c>
      <c r="J275" t="inlineStr">
        <is>
          <t>B2</t>
        </is>
      </c>
      <c r="K275" t="n">
        <v>3</v>
      </c>
      <c r="L275" t="inlineStr">
        <is>
          <t>Landfall — Whenever a land you control enters, create a Food token or a Treasure token. (Food is an artifact with "{2}, {T}, Sacrifice this token: You gain 3 life." Treasure is an artifact with "{T}, Sacrifice this token: Add one mana of any color.")
(3/2)</t>
        </is>
      </c>
      <c r="M275" t="inlineStr">
        <is>
          <t>Ramp</t>
        </is>
      </c>
      <c r="N275" t="inlineStr">
        <is>
          <t>Creates a Food or Treasure token whenever a land you control enters</t>
        </is>
      </c>
      <c r="R275" t="n">
        <v>4.33</v>
      </c>
    </row>
    <row r="276" ht="15" customHeight="1" s="148">
      <c r="A276" t="inlineStr">
        <is>
          <t>c0275</t>
        </is>
      </c>
      <c r="B276" t="inlineStr">
        <is>
          <t>Tower Defense</t>
        </is>
      </c>
      <c r="C276" t="n">
        <v>1</v>
      </c>
      <c r="E276" t="n">
        <v>0</v>
      </c>
      <c r="F276" t="n">
        <v>1</v>
      </c>
      <c r="G276" t="n">
        <v>1</v>
      </c>
      <c r="H276" t="inlineStr">
        <is>
          <t>G</t>
        </is>
      </c>
      <c r="I276" t="inlineStr">
        <is>
          <t>Instant</t>
        </is>
      </c>
      <c r="J276" t="inlineStr">
        <is>
          <t>B2</t>
        </is>
      </c>
      <c r="K276" t="n">
        <v>2</v>
      </c>
      <c r="L276" t="inlineStr">
        <is>
          <t>Creatures you control get +0/+5 and gain reach until end of turn.</t>
        </is>
      </c>
      <c r="M276" t="inlineStr">
        <is>
          <t>Combat Trick</t>
        </is>
      </c>
      <c r="N276" t="inlineStr">
        <is>
          <t>Your creatures get +0/+5 and gain reach until end of turn</t>
        </is>
      </c>
      <c r="R276" t="n">
        <v>0.28</v>
      </c>
    </row>
    <row r="277" ht="15" customHeight="1" s="148">
      <c r="A277" t="inlineStr">
        <is>
          <t>c0276</t>
        </is>
      </c>
      <c r="B277" t="inlineStr">
        <is>
          <t>Tree of Redemption</t>
        </is>
      </c>
      <c r="C277" t="n">
        <v>1</v>
      </c>
      <c r="E277" t="n">
        <v>1</v>
      </c>
      <c r="F277" t="n">
        <v>0</v>
      </c>
      <c r="G277" t="n">
        <v>1</v>
      </c>
      <c r="H277" t="inlineStr">
        <is>
          <t>G</t>
        </is>
      </c>
      <c r="I277" t="inlineStr">
        <is>
          <t>Creature</t>
        </is>
      </c>
      <c r="J277" t="inlineStr">
        <is>
          <t>B2</t>
        </is>
      </c>
      <c r="K277" t="n">
        <v>4</v>
      </c>
      <c r="L277" t="inlineStr">
        <is>
          <t>Defender
{T}: Exchange your life total with this creature's toughness.
(0/13)</t>
        </is>
      </c>
      <c r="M277" t="inlineStr">
        <is>
          <t>Lifegain</t>
        </is>
      </c>
      <c r="N277" t="inlineStr">
        <is>
          <t>Tap to swap your life total with this creature's toughness</t>
        </is>
      </c>
      <c r="R277" t="n">
        <v>0.63</v>
      </c>
    </row>
    <row r="278" ht="15" customHeight="1" s="148">
      <c r="A278" t="inlineStr">
        <is>
          <t>c0277</t>
        </is>
      </c>
      <c r="B278" t="inlineStr">
        <is>
          <t>Treefolk Umbra</t>
        </is>
      </c>
      <c r="C278" t="n">
        <v>1</v>
      </c>
      <c r="E278" t="n">
        <v>1</v>
      </c>
      <c r="F278" t="n">
        <v>0</v>
      </c>
      <c r="G278" t="n">
        <v>1</v>
      </c>
      <c r="H278" t="inlineStr">
        <is>
          <t>G</t>
        </is>
      </c>
      <c r="I278" t="inlineStr">
        <is>
          <t>Enchantment</t>
        </is>
      </c>
      <c r="J278" t="inlineStr">
        <is>
          <t>B2</t>
        </is>
      </c>
      <c r="K278" t="n">
        <v>3</v>
      </c>
      <c r="L278" t="inlineStr">
        <is>
          <t>Enchant creature
Enchanted creature gets +0/+2 and assigns combat damage equal to its toughness rather than its power.
Umbra armor (If enchanted creature would be destroyed, instead remove all damage from it and destroy this Aura.)</t>
        </is>
      </c>
      <c r="M278" t="inlineStr">
        <is>
          <t>Toughness Payoff</t>
        </is>
      </c>
      <c r="N278" t="inlineStr">
        <is>
          <t>Enchanted creature gets +0/+2 and deals combat damage equal to its toughness instead of power</t>
        </is>
      </c>
      <c r="O278" t="inlineStr">
        <is>
          <t>If enchanted creature would be destroyed, instead remove all damage and destroy this Aura</t>
        </is>
      </c>
      <c r="R278" t="n">
        <v>0.19</v>
      </c>
    </row>
    <row r="279" ht="15" customHeight="1" s="148">
      <c r="A279" t="inlineStr">
        <is>
          <t>c0278</t>
        </is>
      </c>
      <c r="B279" t="inlineStr">
        <is>
          <t>Troll Negotiations</t>
        </is>
      </c>
      <c r="C279" t="n">
        <v>2</v>
      </c>
      <c r="E279" t="n">
        <v>1</v>
      </c>
      <c r="F279" t="n">
        <v>1</v>
      </c>
      <c r="G279" t="n">
        <v>1</v>
      </c>
      <c r="H279" t="inlineStr">
        <is>
          <t>G</t>
        </is>
      </c>
      <c r="I279" t="inlineStr">
        <is>
          <t>Sorcery</t>
        </is>
      </c>
      <c r="J279" t="inlineStr">
        <is>
          <t>B2</t>
        </is>
      </c>
      <c r="K279" t="n">
        <v>4</v>
      </c>
      <c r="L279" t="inlineStr">
        <is>
          <t>Put two +1/+1 counters on target creature you control. Then it fights target creature an opponent controls. (Each deals damage equal to its power to the other.)</t>
        </is>
      </c>
      <c r="M279" t="inlineStr">
        <is>
          <t>Removal</t>
        </is>
      </c>
      <c r="N279" t="inlineStr">
        <is>
          <t>Puts two +1/+1 counters on target creature you control, then it fights an opponent's creature</t>
        </is>
      </c>
      <c r="R279" t="n">
        <v>0.14</v>
      </c>
    </row>
    <row r="280" ht="15" customHeight="1" s="148">
      <c r="A280" t="inlineStr">
        <is>
          <t>c0279</t>
        </is>
      </c>
      <c r="B280" t="inlineStr">
        <is>
          <t>Unforgiving Aim</t>
        </is>
      </c>
      <c r="C280" t="n">
        <v>1</v>
      </c>
      <c r="E280" t="n">
        <v>1</v>
      </c>
      <c r="F280" t="n">
        <v>0</v>
      </c>
      <c r="G280" t="n">
        <v>1</v>
      </c>
      <c r="H280" t="inlineStr">
        <is>
          <t>G</t>
        </is>
      </c>
      <c r="I280" t="inlineStr">
        <is>
          <t>Instant</t>
        </is>
      </c>
      <c r="J280" t="inlineStr">
        <is>
          <t>B2</t>
        </is>
      </c>
      <c r="K280" t="n">
        <v>3</v>
      </c>
      <c r="L280" t="inlineStr">
        <is>
          <t>Choose one —
• Destroy target creature with flying.
• Destroy target enchantment.
• Create a 2/2 black and green Elf creature token.</t>
        </is>
      </c>
      <c r="M280" t="inlineStr">
        <is>
          <t>Removal</t>
        </is>
      </c>
      <c r="N280" t="inlineStr">
        <is>
          <t>Destroy target creature with flying</t>
        </is>
      </c>
      <c r="O280" t="inlineStr">
        <is>
          <t>Or destroy target enchantment</t>
        </is>
      </c>
      <c r="P280" t="inlineStr">
        <is>
          <t>Or create a 2/2 Elf creature token</t>
        </is>
      </c>
      <c r="R280" t="n">
        <v>0.17</v>
      </c>
    </row>
    <row r="281" ht="15" customHeight="1" s="148">
      <c r="A281" t="inlineStr">
        <is>
          <t>c0280</t>
        </is>
      </c>
      <c r="B281" t="inlineStr">
        <is>
          <t>Fynn, the Fangbearer</t>
        </is>
      </c>
      <c r="C281" t="n">
        <v>1</v>
      </c>
      <c r="E281" t="n">
        <v>0</v>
      </c>
      <c r="F281" t="n">
        <v>1</v>
      </c>
      <c r="G281" t="n">
        <v>0</v>
      </c>
      <c r="H281" t="inlineStr">
        <is>
          <t>G</t>
        </is>
      </c>
      <c r="I281" t="inlineStr">
        <is>
          <t>Legendary Creature</t>
        </is>
      </c>
      <c r="J281" t="inlineStr">
        <is>
          <t>B3</t>
        </is>
      </c>
      <c r="K281" t="n">
        <v>2</v>
      </c>
      <c r="L281" t="inlineStr">
        <is>
          <t>Deathtouch (Any amount of damage this deals to a creature is enough to destroy it.)
Whenever a creature you control with deathtouch deals combat damage to a player, that player gets two poison counters. (A player with ten or more poison counters loses the game.)
(1/3)</t>
        </is>
      </c>
      <c r="M281" t="inlineStr">
        <is>
          <t>Utility Creature</t>
        </is>
      </c>
      <c r="N281" t="inlineStr">
        <is>
          <t>Deathtouch</t>
        </is>
      </c>
      <c r="O281" t="inlineStr">
        <is>
          <t>Whenever a creature you control with deathtouch deals combat damage to a player, that player gets two poison counters</t>
        </is>
      </c>
      <c r="R281" t="n">
        <v>0.3</v>
      </c>
    </row>
    <row r="282" ht="15" customHeight="1" s="148">
      <c r="A282" t="inlineStr">
        <is>
          <t>c0281</t>
        </is>
      </c>
      <c r="B282" t="inlineStr">
        <is>
          <t>Vorinclex, Monstrous Raider</t>
        </is>
      </c>
      <c r="C282" t="n">
        <v>0</v>
      </c>
      <c r="E282" t="n">
        <v>0</v>
      </c>
      <c r="F282" t="n">
        <v>0</v>
      </c>
      <c r="G282" t="n">
        <v>0</v>
      </c>
      <c r="H282" t="inlineStr">
        <is>
          <t>G</t>
        </is>
      </c>
      <c r="I282" t="inlineStr">
        <is>
          <t>Legendary Creature</t>
        </is>
      </c>
      <c r="J282" t="inlineStr">
        <is>
          <t>B3</t>
        </is>
      </c>
      <c r="K282" t="n">
        <v>6</v>
      </c>
      <c r="L282" t="inlineStr">
        <is>
          <t>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
(6/6)</t>
        </is>
      </c>
      <c r="M282" t="inlineStr">
        <is>
          <t>Counters Payoff</t>
        </is>
      </c>
      <c r="N282" t="inlineStr">
        <is>
          <t>Trample, haste
If you would put one or more counters on a permanent or player, put twice that many of each of those kind</t>
        </is>
      </c>
      <c r="R282" t="n">
        <v>55.18</v>
      </c>
    </row>
    <row r="283" ht="15" customHeight="1" s="148">
      <c r="A283" t="inlineStr">
        <is>
          <t>c0282</t>
        </is>
      </c>
      <c r="B283" t="inlineStr">
        <is>
          <t>Wall of Blossoms</t>
        </is>
      </c>
      <c r="C283" t="n">
        <v>0</v>
      </c>
      <c r="D283" t="n">
        <v>2</v>
      </c>
      <c r="E283" t="n">
        <v>0</v>
      </c>
      <c r="F283" t="n">
        <v>0</v>
      </c>
      <c r="G283" t="n">
        <v>2</v>
      </c>
      <c r="H283" t="inlineStr">
        <is>
          <t>G</t>
        </is>
      </c>
      <c r="I283" t="inlineStr">
        <is>
          <t>Creature</t>
        </is>
      </c>
      <c r="J283" t="inlineStr">
        <is>
          <t>B2</t>
        </is>
      </c>
      <c r="K283" t="n">
        <v>2</v>
      </c>
      <c r="L283" t="inlineStr">
        <is>
          <t>Defender
When this creature enters, draw a card.
(0/4)</t>
        </is>
      </c>
      <c r="M283" t="inlineStr">
        <is>
          <t>Card Draw</t>
        </is>
      </c>
      <c r="N283" t="inlineStr">
        <is>
          <t>Draws a card when it enters</t>
        </is>
      </c>
      <c r="O283" t="inlineStr">
        <is>
          <t>Defender body</t>
        </is>
      </c>
      <c r="R283" t="n">
        <v>0.29</v>
      </c>
    </row>
    <row r="284" ht="15" customHeight="1" s="148">
      <c r="A284" t="inlineStr">
        <is>
          <t>c0283</t>
        </is>
      </c>
      <c r="B284" t="inlineStr">
        <is>
          <t>Wall of Mulch</t>
        </is>
      </c>
      <c r="C284" t="n">
        <v>1</v>
      </c>
      <c r="E284" t="n">
        <v>1</v>
      </c>
      <c r="F284" t="n">
        <v>0</v>
      </c>
      <c r="G284" t="n">
        <v>1</v>
      </c>
      <c r="H284" t="inlineStr">
        <is>
          <t>G</t>
        </is>
      </c>
      <c r="I284" t="inlineStr">
        <is>
          <t>Creature</t>
        </is>
      </c>
      <c r="J284" t="inlineStr">
        <is>
          <t>B2</t>
        </is>
      </c>
      <c r="K284" t="n">
        <v>2</v>
      </c>
      <c r="L284" t="inlineStr">
        <is>
          <t>Defender (This creature can't attack.)
{G}, Sacrifice a Wall: Draw a card.
(0/4)</t>
        </is>
      </c>
      <c r="M284" t="inlineStr">
        <is>
          <t>Card Draw</t>
        </is>
      </c>
      <c r="N284" t="inlineStr">
        <is>
          <t>Sacrifice a Wall and pay {G} to draw a card</t>
        </is>
      </c>
      <c r="R284" t="n">
        <v>0.26</v>
      </c>
    </row>
    <row r="285" ht="15" customHeight="1" s="148">
      <c r="A285" t="inlineStr">
        <is>
          <t>c0284</t>
        </is>
      </c>
      <c r="B285" t="inlineStr">
        <is>
          <t>Wall of Roots</t>
        </is>
      </c>
      <c r="C285" t="n">
        <v>0</v>
      </c>
      <c r="D285" t="n">
        <v>1</v>
      </c>
      <c r="E285" t="n">
        <v>0</v>
      </c>
      <c r="F285" t="n">
        <v>0</v>
      </c>
      <c r="G285" t="n">
        <v>1</v>
      </c>
      <c r="H285" t="inlineStr">
        <is>
          <t>G</t>
        </is>
      </c>
      <c r="I285" t="inlineStr">
        <is>
          <t>Creature</t>
        </is>
      </c>
      <c r="J285" t="inlineStr">
        <is>
          <t>B2</t>
        </is>
      </c>
      <c r="K285" t="n">
        <v>2</v>
      </c>
      <c r="L285" t="inlineStr">
        <is>
          <t>Defender
Put a -0/-1 counter on this creature: Add {G}. Activate only once each turn.
(0/5)</t>
        </is>
      </c>
      <c r="M285" t="inlineStr">
        <is>
          <t>Ramp</t>
        </is>
      </c>
      <c r="N285" t="inlineStr">
        <is>
          <t>Put a -0/-1 counter on itself to add {G}, once per turn</t>
        </is>
      </c>
      <c r="O285" t="inlineStr">
        <is>
          <t>Defender body</t>
        </is>
      </c>
      <c r="R285" t="n">
        <v>0.23</v>
      </c>
    </row>
    <row r="286" ht="15" customHeight="1" s="148">
      <c r="A286" t="inlineStr">
        <is>
          <t>c0285</t>
        </is>
      </c>
      <c r="B286" t="inlineStr">
        <is>
          <t>Warg Tactics</t>
        </is>
      </c>
      <c r="C286" t="n">
        <v>1</v>
      </c>
      <c r="E286" t="n">
        <v>1</v>
      </c>
      <c r="F286" t="n">
        <v>0</v>
      </c>
      <c r="G286" t="n">
        <v>1</v>
      </c>
      <c r="H286" t="inlineStr">
        <is>
          <t>G</t>
        </is>
      </c>
      <c r="I286" t="inlineStr">
        <is>
          <t>Instant</t>
        </is>
      </c>
      <c r="J286" t="inlineStr">
        <is>
          <t>B2</t>
        </is>
      </c>
      <c r="K286" t="n">
        <v>2</v>
      </c>
      <c r="L286" t="inlineStr">
        <is>
          <t>Choose one —
• Destroy target creature with flying.
• Put a +1/+1 counter on target creature you control. It gains trample and hexproof until end of turn. (It can't be the target of spells or abilities your opponents control.)</t>
        </is>
      </c>
      <c r="M286" t="inlineStr">
        <is>
          <t>Removal</t>
        </is>
      </c>
      <c r="N286" t="inlineStr">
        <is>
          <t>Choose one — destroy target creature with flying</t>
        </is>
      </c>
      <c r="O286" t="inlineStr">
        <is>
          <t>Or put a +1/+1 counter on a creature you control and give it trample and hexproof until end of turn</t>
        </is>
      </c>
      <c r="R286" t="n">
        <v>0.19</v>
      </c>
    </row>
    <row r="287" ht="15" customHeight="1" s="148">
      <c r="A287" t="inlineStr">
        <is>
          <t>c0286</t>
        </is>
      </c>
      <c r="B287" t="inlineStr">
        <is>
          <t>Wayward Swordtooth</t>
        </is>
      </c>
      <c r="C287" t="n">
        <v>1</v>
      </c>
      <c r="E287" t="n">
        <v>1</v>
      </c>
      <c r="F287" t="n">
        <v>0</v>
      </c>
      <c r="G287" t="n">
        <v>1</v>
      </c>
      <c r="H287" t="inlineStr">
        <is>
          <t>G</t>
        </is>
      </c>
      <c r="I287" t="inlineStr">
        <is>
          <t>Creature</t>
        </is>
      </c>
      <c r="J287" t="inlineStr">
        <is>
          <t>B2</t>
        </is>
      </c>
      <c r="K287" t="n">
        <v>3</v>
      </c>
      <c r="L287" t="inlineStr">
        <is>
          <t>Ascend (If you control ten or more permanents, you get the city's blessing for the rest of the game.)
You may play an additional land on each of your turns.
This creature can't attack or block unless you have the city's blessing.
(5/5)</t>
        </is>
      </c>
      <c r="M287" t="inlineStr">
        <is>
          <t>Ramp</t>
        </is>
      </c>
      <c r="N287" t="inlineStr">
        <is>
          <t>You may play an additional land each turn</t>
        </is>
      </c>
      <c r="O287" t="inlineStr">
        <is>
          <t>Can't attack or block unless you control ten or more permanents</t>
        </is>
      </c>
      <c r="R287" t="n">
        <v>3.98</v>
      </c>
    </row>
    <row r="288" ht="15" customHeight="1" s="148">
      <c r="A288" t="inlineStr">
        <is>
          <t>c0287</t>
        </is>
      </c>
      <c r="B288" t="inlineStr">
        <is>
          <t>Wild Hypothesis</t>
        </is>
      </c>
      <c r="C288" t="n">
        <v>1</v>
      </c>
      <c r="E288" t="n">
        <v>0</v>
      </c>
      <c r="F288" t="n">
        <v>1</v>
      </c>
      <c r="G288" t="n">
        <v>0</v>
      </c>
      <c r="H288" t="inlineStr">
        <is>
          <t>G</t>
        </is>
      </c>
      <c r="I288" t="inlineStr">
        <is>
          <t>Sorcery</t>
        </is>
      </c>
      <c r="J288" t="inlineStr">
        <is>
          <t>B2</t>
        </is>
      </c>
      <c r="K288" t="n">
        <v>1</v>
      </c>
      <c r="L288" t="inlineStr">
        <is>
          <t>Create a 0/0 green and blue Fractal creature token. Put X +1/+1 counters on it.
Surveil 2. (Look at the top two cards of your library, then put any number of them into your graveyard and the rest on top of your library in any order.)</t>
        </is>
      </c>
      <c r="M288" t="inlineStr">
        <is>
          <t>Token Producer</t>
        </is>
      </c>
      <c r="N288" t="inlineStr">
        <is>
          <t>Create a 0/0 Fractal token with X +1/+1 counters on it</t>
        </is>
      </c>
      <c r="O288" t="inlineStr">
        <is>
          <t>Surveil 2 — look at the top two cards and put any number into your graveyard</t>
        </is>
      </c>
      <c r="R288" t="n">
        <v>0.19</v>
      </c>
    </row>
    <row r="289" ht="15" customHeight="1" s="148">
      <c r="A289" t="inlineStr">
        <is>
          <t>c0288</t>
        </is>
      </c>
      <c r="B289" t="inlineStr">
        <is>
          <t>Wilderland Scrounger</t>
        </is>
      </c>
      <c r="C289" t="n">
        <v>1</v>
      </c>
      <c r="E289" t="n">
        <v>0</v>
      </c>
      <c r="F289" t="n">
        <v>1</v>
      </c>
      <c r="G289" t="n">
        <v>0</v>
      </c>
      <c r="H289" t="inlineStr">
        <is>
          <t>G</t>
        </is>
      </c>
      <c r="I289" t="inlineStr">
        <is>
          <t>Creature</t>
        </is>
      </c>
      <c r="J289" t="inlineStr">
        <is>
          <t>B2</t>
        </is>
      </c>
      <c r="K289" t="n">
        <v>5</v>
      </c>
      <c r="L289" t="inlineStr">
        <is>
          <t>Ferocious — Whenever this creature attacks while you control a creature with power 4 or greater, put a +1/+1 counter on each creature you control.
(3/6)</t>
        </is>
      </c>
      <c r="M289" t="inlineStr">
        <is>
          <t>Counters Payoff</t>
        </is>
      </c>
      <c r="N289" t="inlineStr">
        <is>
          <t>Ferocious — whenever it attacks while you control a creature with power 4 or greater, put a +1/+1 counter on each creature you control</t>
        </is>
      </c>
      <c r="R289" t="n">
        <v>0.17</v>
      </c>
    </row>
    <row r="290" ht="15" customHeight="1" s="148">
      <c r="A290" t="inlineStr">
        <is>
          <t>c0289</t>
        </is>
      </c>
      <c r="B290" t="inlineStr">
        <is>
          <t>Wilderness Reclamation</t>
        </is>
      </c>
      <c r="C290" t="n">
        <v>1</v>
      </c>
      <c r="E290" t="n">
        <v>0</v>
      </c>
      <c r="F290" t="n">
        <v>1</v>
      </c>
      <c r="G290" t="n">
        <v>0</v>
      </c>
      <c r="H290" t="inlineStr">
        <is>
          <t>G</t>
        </is>
      </c>
      <c r="I290" t="inlineStr">
        <is>
          <t>Enchantment</t>
        </is>
      </c>
      <c r="J290" t="inlineStr">
        <is>
          <t>B2</t>
        </is>
      </c>
      <c r="K290" t="n">
        <v>4</v>
      </c>
      <c r="L290" t="inlineStr">
        <is>
          <t>At the beginning of your end step, untap all lands you control.</t>
        </is>
      </c>
      <c r="M290" t="inlineStr">
        <is>
          <t>Mana Sink</t>
        </is>
      </c>
      <c r="N290" t="inlineStr">
        <is>
          <t>Untaps all your lands at the beginning of your end step</t>
        </is>
      </c>
      <c r="R290" t="n">
        <v>3.49</v>
      </c>
    </row>
    <row r="291" ht="15" customHeight="1" s="148">
      <c r="A291" t="inlineStr">
        <is>
          <t>c0290</t>
        </is>
      </c>
      <c r="B291" t="inlineStr">
        <is>
          <t>Wildvine Pummeler</t>
        </is>
      </c>
      <c r="C291" t="n">
        <v>4</v>
      </c>
      <c r="E291" t="n">
        <v>0</v>
      </c>
      <c r="F291" t="n">
        <v>4</v>
      </c>
      <c r="G291" t="n">
        <v>0</v>
      </c>
      <c r="H291" t="inlineStr">
        <is>
          <t>G</t>
        </is>
      </c>
      <c r="I291" t="inlineStr">
        <is>
          <t>Creature</t>
        </is>
      </c>
      <c r="J291" t="inlineStr">
        <is>
          <t>B2</t>
        </is>
      </c>
      <c r="K291" t="n">
        <v>7</v>
      </c>
      <c r="L291" t="inlineStr">
        <is>
          <t>Vivid — This spell costs {1} less to cast for each color among permanents you control.
Reach, trample
(6/5)</t>
        </is>
      </c>
      <c r="M291" t="inlineStr">
        <is>
          <t>Cost Reducer</t>
        </is>
      </c>
      <c r="N291" t="inlineStr">
        <is>
          <t>Costs {1} less to cast for each color among your permanents</t>
        </is>
      </c>
      <c r="O291" t="inlineStr">
        <is>
          <t>Can block creatures with flying</t>
        </is>
      </c>
      <c r="P291" t="inlineStr">
        <is>
          <t>Excess combat damage carries through to the defending player</t>
        </is>
      </c>
      <c r="R291" t="n">
        <v>0.08</v>
      </c>
    </row>
    <row r="292" ht="15" customHeight="1" s="148">
      <c r="A292" t="inlineStr">
        <is>
          <t>c0291</t>
        </is>
      </c>
      <c r="B292" t="inlineStr">
        <is>
          <t>Wood Elves</t>
        </is>
      </c>
      <c r="C292" t="n">
        <v>3</v>
      </c>
      <c r="E292" t="n">
        <v>3</v>
      </c>
      <c r="F292" t="n">
        <v>0</v>
      </c>
      <c r="G292" t="n">
        <v>3</v>
      </c>
      <c r="H292" t="inlineStr">
        <is>
          <t>G</t>
        </is>
      </c>
      <c r="I292" t="inlineStr">
        <is>
          <t>Creature</t>
        </is>
      </c>
      <c r="J292" t="inlineStr">
        <is>
          <t>B2</t>
        </is>
      </c>
      <c r="K292" t="n">
        <v>3</v>
      </c>
      <c r="L292" t="inlineStr">
        <is>
          <t>When this creature enters, search your library for a Forest card, put that card onto the battlefield, then shuffle.
(1/1)</t>
        </is>
      </c>
      <c r="M292" t="inlineStr">
        <is>
          <t>Ramp</t>
        </is>
      </c>
      <c r="N292" t="inlineStr">
        <is>
          <t>Searches for a Forest and puts it onto the battlefield when it enters</t>
        </is>
      </c>
      <c r="R292" t="n">
        <v>0.26</v>
      </c>
    </row>
    <row r="293" ht="15" customHeight="1" s="148">
      <c r="A293" t="inlineStr">
        <is>
          <t>c0292</t>
        </is>
      </c>
      <c r="B293" t="inlineStr">
        <is>
          <t>Woodland Weavemaster</t>
        </is>
      </c>
      <c r="C293" t="n">
        <v>1</v>
      </c>
      <c r="E293" t="n">
        <v>1</v>
      </c>
      <c r="F293" t="n">
        <v>0</v>
      </c>
      <c r="G293" t="n">
        <v>0</v>
      </c>
      <c r="H293" t="inlineStr">
        <is>
          <t>G</t>
        </is>
      </c>
      <c r="I293" t="inlineStr">
        <is>
          <t>Creature</t>
        </is>
      </c>
      <c r="J293" t="inlineStr">
        <is>
          <t>B2</t>
        </is>
      </c>
      <c r="K293" t="n">
        <v>2</v>
      </c>
      <c r="L293" t="inlineStr">
        <is>
          <t>Vigilance
Whenever another Elf you control enters, this creature gets +1/+1 until end of turn.
{T}: Add X mana of any one color, where X is this creature's power. Spend this mana only to cast Elf spells and activate abilities of Elf sources.
(1/2)</t>
        </is>
      </c>
      <c r="M293" t="inlineStr">
        <is>
          <t>Ramp</t>
        </is>
      </c>
      <c r="N293" t="inlineStr">
        <is>
          <t>{T}: Add X mana of any one color, where X is its power; spend only on Elf spells and abilities</t>
        </is>
      </c>
      <c r="O293" t="inlineStr">
        <is>
          <t>Whenever another Elf you control enters, it gets +1/+1 until end of turn</t>
        </is>
      </c>
      <c r="P293" t="inlineStr">
        <is>
          <t>Vigilance</t>
        </is>
      </c>
      <c r="R293" t="n">
        <v>0.3</v>
      </c>
    </row>
    <row r="294" ht="15" customHeight="1" s="148">
      <c r="A294" t="inlineStr">
        <is>
          <t>c0293</t>
        </is>
      </c>
      <c r="B294" t="inlineStr">
        <is>
          <t>Yavimaya Elder</t>
        </is>
      </c>
      <c r="C294" t="n">
        <v>1</v>
      </c>
      <c r="E294" t="n">
        <v>1</v>
      </c>
      <c r="F294" t="n">
        <v>0</v>
      </c>
      <c r="G294" t="n">
        <v>0</v>
      </c>
      <c r="H294" t="inlineStr">
        <is>
          <t>G</t>
        </is>
      </c>
      <c r="I294" t="inlineStr">
        <is>
          <t>Creature</t>
        </is>
      </c>
      <c r="J294" t="inlineStr">
        <is>
          <t>B2</t>
        </is>
      </c>
      <c r="K294" t="n">
        <v>3</v>
      </c>
      <c r="L294" t="inlineStr">
        <is>
          <t>When this creature dies, you may search your library for up to two basic land cards, reveal them, put them into your hand, then shuffle.
{2}, Sacrifice this creature: Draw a card.
(2/1)</t>
        </is>
      </c>
      <c r="M294" t="inlineStr">
        <is>
          <t>Card Draw</t>
        </is>
      </c>
      <c r="N294" t="inlineStr">
        <is>
          <t>Searches for up to two basic lands to your hand when it dies</t>
        </is>
      </c>
      <c r="O294" t="inlineStr">
        <is>
          <t>Sacrifice to draw a card</t>
        </is>
      </c>
      <c r="R294" t="n">
        <v>0.21</v>
      </c>
    </row>
    <row r="295" ht="15" customHeight="1" s="148">
      <c r="A295" t="inlineStr">
        <is>
          <t>c0294</t>
        </is>
      </c>
      <c r="B295" t="inlineStr">
        <is>
          <t>Zendikar's Roil</t>
        </is>
      </c>
      <c r="C295" t="n">
        <v>1</v>
      </c>
      <c r="E295" t="n">
        <v>1</v>
      </c>
      <c r="F295" t="n">
        <v>0</v>
      </c>
      <c r="G295" t="n">
        <v>1</v>
      </c>
      <c r="H295" t="inlineStr">
        <is>
          <t>G</t>
        </is>
      </c>
      <c r="I295" t="inlineStr">
        <is>
          <t>Enchantment</t>
        </is>
      </c>
      <c r="J295" t="inlineStr">
        <is>
          <t>B2</t>
        </is>
      </c>
      <c r="K295" t="n">
        <v>5</v>
      </c>
      <c r="L295" t="inlineStr">
        <is>
          <t>Landfall — Whenever a land you control enters, create a 2/2 green Elemental creature token.</t>
        </is>
      </c>
      <c r="M295" t="inlineStr">
        <is>
          <t>Token Producer</t>
        </is>
      </c>
      <c r="N295" t="inlineStr">
        <is>
          <t>Creates a 2/2 Elemental token whenever a land you control enters</t>
        </is>
      </c>
      <c r="R295" t="n">
        <v>0.76</v>
      </c>
    </row>
    <row r="296" ht="15" customHeight="1" s="148">
      <c r="A296" t="inlineStr">
        <is>
          <t>c0295</t>
        </is>
      </c>
      <c r="B296" t="inlineStr">
        <is>
          <t>Zimone's Experiment</t>
        </is>
      </c>
      <c r="C296" t="n">
        <v>1</v>
      </c>
      <c r="E296" t="n">
        <v>1</v>
      </c>
      <c r="F296" t="n">
        <v>0</v>
      </c>
      <c r="G296" t="n">
        <v>0</v>
      </c>
      <c r="H296" t="inlineStr">
        <is>
          <t>G</t>
        </is>
      </c>
      <c r="I296" t="inlineStr">
        <is>
          <t>Sorcery</t>
        </is>
      </c>
      <c r="J296" t="inlineStr">
        <is>
          <t>B2</t>
        </is>
      </c>
      <c r="K296" t="n">
        <v>4</v>
      </c>
      <c r="L296" t="inlineStr">
        <is>
          <t>Look at the top five cards of your library. You may reveal up to two creature and/or land cards from among them, then put the rest on the bottom of your library in a random order. Put all land cards revealed this way onto the battlefield tapped and put all creature cards revealed this way into your hand.</t>
        </is>
      </c>
      <c r="M296" t="inlineStr">
        <is>
          <t>Card Advantage</t>
        </is>
      </c>
      <c r="N296" t="inlineStr">
        <is>
          <t>Look at the top five cards and reveal up to two creature and/or land cards from among them</t>
        </is>
      </c>
      <c r="O296" t="inlineStr">
        <is>
          <t>Revealed lands enter tapped and revealed creatures go to your hand</t>
        </is>
      </c>
      <c r="R296" t="n">
        <v>0.21</v>
      </c>
    </row>
    <row r="297" ht="15" customHeight="1" s="148">
      <c r="A297" t="inlineStr">
        <is>
          <t>c0296</t>
        </is>
      </c>
      <c r="B297" t="inlineStr">
        <is>
          <t>Access Tunnel</t>
        </is>
      </c>
      <c r="C297" t="n">
        <v>1</v>
      </c>
      <c r="E297" t="n">
        <v>0</v>
      </c>
      <c r="F297" t="n">
        <v>1</v>
      </c>
      <c r="G297" t="n">
        <v>0</v>
      </c>
      <c r="H297" t="inlineStr">
        <is>
          <t>L</t>
        </is>
      </c>
      <c r="I297" t="inlineStr">
        <is>
          <t>Land</t>
        </is>
      </c>
      <c r="J297" t="inlineStr">
        <is>
          <t>B2</t>
        </is>
      </c>
      <c r="K297" t="n">
        <v>0</v>
      </c>
      <c r="L297" t="inlineStr">
        <is>
          <t>{T}: Add {C}.
{3}, {T}: Target creature with power 3 or less can't be blocked this turn.</t>
        </is>
      </c>
      <c r="M297" t="inlineStr">
        <is>
          <t>Land</t>
        </is>
      </c>
      <c r="N297" t="inlineStr">
        <is>
          <t>Taps for {C}</t>
        </is>
      </c>
      <c r="O297" t="inlineStr">
        <is>
          <t>Pay {3}, tap: target creature with power 3 or less can't be blocked</t>
        </is>
      </c>
      <c r="R297" t="n">
        <v>0.4</v>
      </c>
    </row>
    <row r="298" ht="15" customHeight="1" s="148">
      <c r="A298" t="inlineStr">
        <is>
          <t>c0297</t>
        </is>
      </c>
      <c r="B298" t="inlineStr">
        <is>
          <t>Airship Engine Room</t>
        </is>
      </c>
      <c r="C298" t="n">
        <v>1</v>
      </c>
      <c r="E298" t="n">
        <v>0</v>
      </c>
      <c r="F298" t="n">
        <v>1</v>
      </c>
      <c r="G298" t="n">
        <v>0</v>
      </c>
      <c r="H298" t="inlineStr">
        <is>
          <t>L</t>
        </is>
      </c>
      <c r="I298" t="inlineStr">
        <is>
          <t>Land</t>
        </is>
      </c>
      <c r="J298" t="inlineStr">
        <is>
          <t>B2</t>
        </is>
      </c>
      <c r="K298" t="n">
        <v>0</v>
      </c>
      <c r="L298" t="inlineStr">
        <is>
          <t>This land enters tapped.
{T}: Add {U} or {R}.
{4}, {T}, Sacrifice this land: Draw a card.</t>
        </is>
      </c>
      <c r="M298" t="inlineStr">
        <is>
          <t>Land</t>
        </is>
      </c>
      <c r="N298" t="inlineStr">
        <is>
          <t>Taps for {U} or {R}</t>
        </is>
      </c>
      <c r="O298" t="inlineStr">
        <is>
          <t>Sacrifice and pay {4} to draw a card</t>
        </is>
      </c>
      <c r="R298" t="n">
        <v>0.29</v>
      </c>
    </row>
    <row r="299" ht="15" customHeight="1" s="148">
      <c r="A299" t="inlineStr">
        <is>
          <t>c0298</t>
        </is>
      </c>
      <c r="B299" t="inlineStr">
        <is>
          <t>Arcane Sanctum</t>
        </is>
      </c>
      <c r="C299" t="n">
        <v>1</v>
      </c>
      <c r="E299" t="n">
        <v>1</v>
      </c>
      <c r="F299" t="n">
        <v>0</v>
      </c>
      <c r="G299" t="n">
        <v>1</v>
      </c>
      <c r="H299" t="inlineStr">
        <is>
          <t>L</t>
        </is>
      </c>
      <c r="I299" t="inlineStr">
        <is>
          <t>Land</t>
        </is>
      </c>
      <c r="J299" t="inlineStr">
        <is>
          <t>B2</t>
        </is>
      </c>
      <c r="K299" t="n">
        <v>0</v>
      </c>
      <c r="L299" t="inlineStr">
        <is>
          <t>This land enters tapped.
{T}: Add {W}, {U}, or {B}.</t>
        </is>
      </c>
      <c r="M299" t="inlineStr">
        <is>
          <t>Land</t>
        </is>
      </c>
      <c r="N299" t="inlineStr">
        <is>
          <t>Taps for {W}, {U}, or {B}</t>
        </is>
      </c>
      <c r="O299" t="inlineStr">
        <is>
          <t>Enters tapped</t>
        </is>
      </c>
      <c r="R299" t="n">
        <v>0.38</v>
      </c>
    </row>
    <row r="300" ht="15" customHeight="1" s="148">
      <c r="A300" t="inlineStr">
        <is>
          <t>c0299</t>
        </is>
      </c>
      <c r="B300" t="inlineStr">
        <is>
          <t>Ash Barrens</t>
        </is>
      </c>
      <c r="C300" t="n">
        <v>1</v>
      </c>
      <c r="E300" t="n">
        <v>1</v>
      </c>
      <c r="F300" t="n">
        <v>0</v>
      </c>
      <c r="G300" t="n">
        <v>0</v>
      </c>
      <c r="H300" t="inlineStr">
        <is>
          <t>L</t>
        </is>
      </c>
      <c r="I300" t="inlineStr">
        <is>
          <t>Land</t>
        </is>
      </c>
      <c r="J300" t="inlineStr">
        <is>
          <t>B2</t>
        </is>
      </c>
      <c r="K300" t="n">
        <v>0</v>
      </c>
      <c r="L300" t="inlineStr">
        <is>
          <t>{T}: Add {C}.
Basic landcycling {1} ({1}, Discard this card: Search your library for a basic land card, reveal it, put it into your hand, then shuffle.)</t>
        </is>
      </c>
      <c r="M300" t="inlineStr">
        <is>
          <t>Land</t>
        </is>
      </c>
      <c r="N300" t="inlineStr">
        <is>
          <t>Taps for {C}</t>
        </is>
      </c>
      <c r="O300" t="inlineStr">
        <is>
          <t>Basic landcycling {1}: discard to fetch a basic land</t>
        </is>
      </c>
      <c r="R300" t="n">
        <v>0.25</v>
      </c>
    </row>
    <row r="301" ht="15" customHeight="1" s="148">
      <c r="A301" t="inlineStr">
        <is>
          <t>c0300</t>
        </is>
      </c>
      <c r="B301" t="inlineStr">
        <is>
          <t>Azorius Chancery</t>
        </is>
      </c>
      <c r="C301" t="n">
        <v>1</v>
      </c>
      <c r="E301" t="n">
        <v>1</v>
      </c>
      <c r="F301" t="n">
        <v>0</v>
      </c>
      <c r="G301" t="n">
        <v>1</v>
      </c>
      <c r="H301" t="inlineStr">
        <is>
          <t>L</t>
        </is>
      </c>
      <c r="I301" t="inlineStr">
        <is>
          <t>Land</t>
        </is>
      </c>
      <c r="J301" t="inlineStr">
        <is>
          <t>B2</t>
        </is>
      </c>
      <c r="K301" t="n">
        <v>0</v>
      </c>
      <c r="L301" t="inlineStr">
        <is>
          <t>This land enters tapped.
When this land enters, return a land you control to its owner's hand.
{T}: Add {W}{U}.</t>
        </is>
      </c>
      <c r="M301" t="inlineStr">
        <is>
          <t>Land</t>
        </is>
      </c>
      <c r="N301" t="inlineStr">
        <is>
          <t>Taps for {W}{U}</t>
        </is>
      </c>
      <c r="O301" t="inlineStr">
        <is>
          <t>Enters tapped; bounces a land you control when it enters</t>
        </is>
      </c>
      <c r="R301" t="n">
        <v>0.32</v>
      </c>
    </row>
    <row r="302" ht="15" customHeight="1" s="148">
      <c r="A302" t="inlineStr">
        <is>
          <t>c0301</t>
        </is>
      </c>
      <c r="B302" t="inlineStr">
        <is>
          <t>Azorius Guildgate</t>
        </is>
      </c>
      <c r="C302" t="n">
        <v>2</v>
      </c>
      <c r="E302" t="n">
        <v>2</v>
      </c>
      <c r="F302" t="n">
        <v>0</v>
      </c>
      <c r="G302" t="n">
        <v>2</v>
      </c>
      <c r="H302" t="inlineStr">
        <is>
          <t>L</t>
        </is>
      </c>
      <c r="I302" t="inlineStr">
        <is>
          <t>Land</t>
        </is>
      </c>
      <c r="J302" t="inlineStr">
        <is>
          <t>B2</t>
        </is>
      </c>
      <c r="K302" t="n">
        <v>0</v>
      </c>
      <c r="L302" t="inlineStr">
        <is>
          <t>This land enters tapped.
{T}: Add {W} or {U}.</t>
        </is>
      </c>
      <c r="M302" t="inlineStr">
        <is>
          <t>Land</t>
        </is>
      </c>
      <c r="N302" t="inlineStr">
        <is>
          <t>This land enters tapped. / {T}: Add {W} or {U}.</t>
        </is>
      </c>
      <c r="R302" t="n">
        <v>0.12</v>
      </c>
    </row>
    <row r="303" ht="15" customHeight="1" s="148">
      <c r="A303" t="inlineStr">
        <is>
          <t>c0302</t>
        </is>
      </c>
      <c r="B303" t="inlineStr">
        <is>
          <t>Bant Panorama</t>
        </is>
      </c>
      <c r="C303" t="n">
        <v>1</v>
      </c>
      <c r="E303" t="n">
        <v>1</v>
      </c>
      <c r="F303" t="n">
        <v>0</v>
      </c>
      <c r="G303" t="n">
        <v>0</v>
      </c>
      <c r="H303" t="inlineStr">
        <is>
          <t>L</t>
        </is>
      </c>
      <c r="I303" t="inlineStr">
        <is>
          <t>Land</t>
        </is>
      </c>
      <c r="J303" t="inlineStr">
        <is>
          <t>B2</t>
        </is>
      </c>
      <c r="K303" t="n">
        <v>0</v>
      </c>
      <c r="L303" t="inlineStr">
        <is>
          <t>{T}: Add {C}.
{1}, {T}, Sacrifice this land: Search your library for a basic Forest, Plains, or Island card, put it onto the battlefield tapped, then shuffle.</t>
        </is>
      </c>
      <c r="M303" t="inlineStr">
        <is>
          <t>Land</t>
        </is>
      </c>
      <c r="N303" t="inlineStr">
        <is>
          <t>Taps for {C}</t>
        </is>
      </c>
      <c r="O303" t="inlineStr">
        <is>
          <t>Sacrifice to search for a basic Forest, Plains, or Island card, put tapped</t>
        </is>
      </c>
      <c r="R303" t="n">
        <v>0.34</v>
      </c>
    </row>
    <row r="304" ht="15" customHeight="1" s="148">
      <c r="A304" t="inlineStr">
        <is>
          <t>c0303</t>
        </is>
      </c>
      <c r="B304" t="inlineStr">
        <is>
          <t>Battlefield Forge</t>
        </is>
      </c>
      <c r="C304" t="n">
        <v>1</v>
      </c>
      <c r="E304" t="n">
        <v>1</v>
      </c>
      <c r="F304" t="n">
        <v>0</v>
      </c>
      <c r="G304" t="n">
        <v>1</v>
      </c>
      <c r="H304" t="inlineStr">
        <is>
          <t>L</t>
        </is>
      </c>
      <c r="I304" t="inlineStr">
        <is>
          <t>Land</t>
        </is>
      </c>
      <c r="J304" t="inlineStr">
        <is>
          <t>B2</t>
        </is>
      </c>
      <c r="K304" t="n">
        <v>0</v>
      </c>
      <c r="L304" t="inlineStr">
        <is>
          <t>{T}: Add {C}.
{T}: Add {R} or {W}. This land deals 1 damage to you.</t>
        </is>
      </c>
      <c r="M304" t="inlineStr">
        <is>
          <t>Land</t>
        </is>
      </c>
      <c r="N304" t="inlineStr">
        <is>
          <t>Taps for {C}</t>
        </is>
      </c>
      <c r="O304" t="inlineStr">
        <is>
          <t>Taps for {R} or {W}, dealing 1 damage to you</t>
        </is>
      </c>
      <c r="R304" t="n">
        <v>0.34</v>
      </c>
    </row>
    <row r="305" ht="15" customHeight="1" s="148">
      <c r="A305" t="inlineStr">
        <is>
          <t>c0304</t>
        </is>
      </c>
      <c r="B305" t="inlineStr">
        <is>
          <t>Blossoming Sands</t>
        </is>
      </c>
      <c r="C305" t="n">
        <v>2</v>
      </c>
      <c r="E305" t="n">
        <v>2</v>
      </c>
      <c r="F305" t="n">
        <v>0</v>
      </c>
      <c r="G305" t="n">
        <v>2</v>
      </c>
      <c r="H305" t="inlineStr">
        <is>
          <t>L</t>
        </is>
      </c>
      <c r="I305" t="inlineStr">
        <is>
          <t>Land</t>
        </is>
      </c>
      <c r="J305" t="inlineStr">
        <is>
          <t>B2</t>
        </is>
      </c>
      <c r="K305" t="n">
        <v>0</v>
      </c>
      <c r="L305" t="inlineStr">
        <is>
          <t>This land enters tapped.
When this land enters, you gain 1 life.
{T}: Add {G} or {W}.</t>
        </is>
      </c>
      <c r="M305" t="inlineStr">
        <is>
          <t>Land</t>
        </is>
      </c>
      <c r="N305" t="inlineStr">
        <is>
          <t>Taps for {G} or {W}</t>
        </is>
      </c>
      <c r="O305" t="inlineStr">
        <is>
          <t>Enters tapped</t>
        </is>
      </c>
      <c r="P305" t="inlineStr">
        <is>
          <t>Gain 1 life when it enters</t>
        </is>
      </c>
      <c r="R305" t="n">
        <v>0.19</v>
      </c>
    </row>
    <row r="306" ht="15" customHeight="1" s="148">
      <c r="A306" t="inlineStr">
        <is>
          <t>c0305</t>
        </is>
      </c>
      <c r="B306" t="inlineStr">
        <is>
          <t>Bonders' Enclave</t>
        </is>
      </c>
      <c r="C306" t="n">
        <v>0</v>
      </c>
      <c r="E306" t="n">
        <v>0</v>
      </c>
      <c r="F306" t="n">
        <v>0</v>
      </c>
      <c r="G306" t="n">
        <v>0</v>
      </c>
      <c r="H306" t="inlineStr">
        <is>
          <t>L</t>
        </is>
      </c>
      <c r="I306" t="inlineStr">
        <is>
          <t>Land</t>
        </is>
      </c>
      <c r="J306" t="inlineStr">
        <is>
          <t>B3</t>
        </is>
      </c>
      <c r="K306" t="n">
        <v>0</v>
      </c>
      <c r="L306" t="inlineStr">
        <is>
          <t>{T}: Add {C}.
{3}, {T}: Draw a card. Activate only if you control a creature with power 4 or greater.</t>
        </is>
      </c>
      <c r="M306" t="inlineStr">
        <is>
          <t>Land</t>
        </is>
      </c>
      <c r="N306" t="inlineStr">
        <is>
          <t>{T}: Add {C}</t>
        </is>
      </c>
      <c r="O306" t="inlineStr">
        <is>
          <t>{3}, {T}: Draw a card. Activate only if you control a creature with power 4 or greater</t>
        </is>
      </c>
      <c r="R306" t="n">
        <v>0.35</v>
      </c>
    </row>
    <row r="307" ht="15" customHeight="1" s="148">
      <c r="A307" t="inlineStr">
        <is>
          <t>c0306</t>
        </is>
      </c>
      <c r="B307" t="inlineStr">
        <is>
          <t>Brushland</t>
        </is>
      </c>
      <c r="C307" t="n">
        <v>0</v>
      </c>
      <c r="E307" t="n">
        <v>0</v>
      </c>
      <c r="F307" t="n">
        <v>0</v>
      </c>
      <c r="G307" t="n">
        <v>0</v>
      </c>
      <c r="H307" t="inlineStr">
        <is>
          <t>L</t>
        </is>
      </c>
      <c r="I307" t="inlineStr">
        <is>
          <t>Land</t>
        </is>
      </c>
      <c r="J307" t="inlineStr">
        <is>
          <t>B2</t>
        </is>
      </c>
      <c r="K307" t="n">
        <v>0</v>
      </c>
      <c r="L307" t="inlineStr">
        <is>
          <t>{T}: Add {C}.
{T}: Add {G} or {W}. This land deals 1 damage to you.</t>
        </is>
      </c>
      <c r="M307" t="inlineStr">
        <is>
          <t>Land</t>
        </is>
      </c>
      <c r="N307" t="inlineStr">
        <is>
          <t>Taps for {C}, or {G}/{W} at the cost of 1 damage to you</t>
        </is>
      </c>
      <c r="R307" t="n">
        <v>1.71</v>
      </c>
    </row>
    <row r="308" ht="15" customHeight="1" s="148">
      <c r="A308" t="inlineStr">
        <is>
          <t>c0307</t>
        </is>
      </c>
      <c r="B308" t="inlineStr">
        <is>
          <t>Buried Ruin</t>
        </is>
      </c>
      <c r="C308" t="n">
        <v>1</v>
      </c>
      <c r="E308" t="n">
        <v>1</v>
      </c>
      <c r="F308" t="n">
        <v>0</v>
      </c>
      <c r="G308" t="n">
        <v>1</v>
      </c>
      <c r="H308" t="inlineStr">
        <is>
          <t>L</t>
        </is>
      </c>
      <c r="I308" t="inlineStr">
        <is>
          <t>Land</t>
        </is>
      </c>
      <c r="J308" t="inlineStr">
        <is>
          <t>B2</t>
        </is>
      </c>
      <c r="K308" t="n">
        <v>0</v>
      </c>
      <c r="L308" t="inlineStr">
        <is>
          <t>{T}: Add {C}.
{2}, {T}, Sacrifice this land: Return target artifact card from your graveyard to your hand.</t>
        </is>
      </c>
      <c r="M308" t="inlineStr">
        <is>
          <t>Land</t>
        </is>
      </c>
      <c r="N308" t="inlineStr">
        <is>
          <t>Taps for {C}</t>
        </is>
      </c>
      <c r="O308" t="inlineStr">
        <is>
          <t>Sacrifice plus {2}: return target artifact card from graveyard to hand</t>
        </is>
      </c>
      <c r="R308" t="n">
        <v>0.39</v>
      </c>
    </row>
    <row r="309" ht="15" customHeight="1" s="148">
      <c r="A309" t="inlineStr">
        <is>
          <t>c0308</t>
        </is>
      </c>
      <c r="B309" t="inlineStr">
        <is>
          <t>Castle Ardenvale</t>
        </is>
      </c>
      <c r="C309" t="n">
        <v>1</v>
      </c>
      <c r="E309" t="n">
        <v>1</v>
      </c>
      <c r="F309" t="n">
        <v>0</v>
      </c>
      <c r="G309" t="n">
        <v>1</v>
      </c>
      <c r="H309" t="inlineStr">
        <is>
          <t>L</t>
        </is>
      </c>
      <c r="I309" t="inlineStr">
        <is>
          <t>Land</t>
        </is>
      </c>
      <c r="J309" t="inlineStr">
        <is>
          <t>B2</t>
        </is>
      </c>
      <c r="K309" t="n">
        <v>0</v>
      </c>
      <c r="L309" t="inlineStr">
        <is>
          <t>This land enters tapped unless you control a Plains.
{T}: Add {W}.
{2}{W}{W}, {T}: Create a 1/1 white Human creature token.</t>
        </is>
      </c>
      <c r="M309" t="inlineStr">
        <is>
          <t>Land</t>
        </is>
      </c>
      <c r="N309" t="inlineStr">
        <is>
          <t>Taps for {W}</t>
        </is>
      </c>
      <c r="O309" t="inlineStr">
        <is>
          <t>{2}{W}{W}, tap: creates a 1/1 Human token</t>
        </is>
      </c>
      <c r="R309" t="n">
        <v>0.25</v>
      </c>
    </row>
    <row r="310" ht="15" customHeight="1" s="148">
      <c r="A310" t="inlineStr">
        <is>
          <t>c0309</t>
        </is>
      </c>
      <c r="B310" t="inlineStr">
        <is>
          <t>Castle Embereth</t>
        </is>
      </c>
      <c r="C310" t="n">
        <v>1</v>
      </c>
      <c r="E310" t="n">
        <v>1</v>
      </c>
      <c r="F310" t="n">
        <v>0</v>
      </c>
      <c r="G310" t="n">
        <v>1</v>
      </c>
      <c r="H310" t="inlineStr">
        <is>
          <t>L</t>
        </is>
      </c>
      <c r="I310" t="inlineStr">
        <is>
          <t>Land</t>
        </is>
      </c>
      <c r="J310" t="inlineStr">
        <is>
          <t>B2</t>
        </is>
      </c>
      <c r="K310" t="n">
        <v>0</v>
      </c>
      <c r="L310" t="inlineStr">
        <is>
          <t>This land enters tapped unless you control a Mountain.
{T}: Add {R}.
{1}{R}{R}, {T}: Creatures you control get +1/+0 until end of turn.</t>
        </is>
      </c>
      <c r="M310" t="inlineStr">
        <is>
          <t>Land</t>
        </is>
      </c>
      <c r="N310" t="inlineStr">
        <is>
          <t>Taps for {R}</t>
        </is>
      </c>
      <c r="O310" t="inlineStr">
        <is>
          <t>{1}{R}{R}, tap: creatures you control get +1/+0</t>
        </is>
      </c>
      <c r="R310" t="n">
        <v>0.3</v>
      </c>
    </row>
    <row r="311" ht="15" customHeight="1" s="148">
      <c r="A311" t="inlineStr">
        <is>
          <t>c0310</t>
        </is>
      </c>
      <c r="B311" t="inlineStr">
        <is>
          <t>Caves of Koilos</t>
        </is>
      </c>
      <c r="C311" t="n">
        <v>1</v>
      </c>
      <c r="E311" t="n">
        <v>1</v>
      </c>
      <c r="F311" t="n">
        <v>0</v>
      </c>
      <c r="G311" t="n">
        <v>1</v>
      </c>
      <c r="H311" t="inlineStr">
        <is>
          <t>L</t>
        </is>
      </c>
      <c r="I311" t="inlineStr">
        <is>
          <t>Land</t>
        </is>
      </c>
      <c r="J311" t="inlineStr">
        <is>
          <t>B2</t>
        </is>
      </c>
      <c r="K311" t="n">
        <v>0</v>
      </c>
      <c r="L311" t="inlineStr">
        <is>
          <t>{T}: Add {C}.
{T}: Add {W} or {B}. This land deals 1 damage to you.</t>
        </is>
      </c>
      <c r="M311" t="inlineStr">
        <is>
          <t>Land</t>
        </is>
      </c>
      <c r="N311" t="inlineStr">
        <is>
          <t>Taps for {C}, or {W}/{B} at the cost of 1 damage to you</t>
        </is>
      </c>
      <c r="R311" t="n">
        <v>0.71</v>
      </c>
    </row>
    <row r="312" ht="15" customHeight="1" s="148">
      <c r="A312" t="inlineStr">
        <is>
          <t>c0311</t>
        </is>
      </c>
      <c r="B312" t="inlineStr">
        <is>
          <t>Clifftop Retreat</t>
        </is>
      </c>
      <c r="C312" t="n">
        <v>1</v>
      </c>
      <c r="E312" t="n">
        <v>1</v>
      </c>
      <c r="F312" t="n">
        <v>0</v>
      </c>
      <c r="G312" t="n">
        <v>1</v>
      </c>
      <c r="H312" t="inlineStr">
        <is>
          <t>L</t>
        </is>
      </c>
      <c r="I312" t="inlineStr">
        <is>
          <t>Land</t>
        </is>
      </c>
      <c r="J312" t="inlineStr">
        <is>
          <t>B2</t>
        </is>
      </c>
      <c r="K312" t="n">
        <v>0</v>
      </c>
      <c r="L312" t="inlineStr">
        <is>
          <t>This land enters tapped unless you control a Mountain or a Plains.
{T}: Add {R} or {W}.</t>
        </is>
      </c>
      <c r="M312" t="inlineStr">
        <is>
          <t>Land</t>
        </is>
      </c>
      <c r="N312" t="inlineStr">
        <is>
          <t>Taps for {R} or {W}</t>
        </is>
      </c>
      <c r="O312" t="inlineStr">
        <is>
          <t>Enters tapped unless you control a Mountain or Plains</t>
        </is>
      </c>
      <c r="R312" t="n">
        <v>0.27</v>
      </c>
    </row>
    <row r="313" ht="15" customHeight="1" s="148">
      <c r="A313" t="inlineStr">
        <is>
          <t>c0312</t>
        </is>
      </c>
      <c r="B313" t="inlineStr">
        <is>
          <t>Command Tower</t>
        </is>
      </c>
      <c r="C313" t="n">
        <v>1</v>
      </c>
      <c r="D313" t="n">
        <v>2</v>
      </c>
      <c r="E313" t="n">
        <v>1</v>
      </c>
      <c r="F313" t="n">
        <v>0</v>
      </c>
      <c r="G313" t="n">
        <v>3</v>
      </c>
      <c r="H313" t="inlineStr">
        <is>
          <t>L</t>
        </is>
      </c>
      <c r="I313" t="inlineStr">
        <is>
          <t>Land</t>
        </is>
      </c>
      <c r="J313" t="inlineStr">
        <is>
          <t>B2</t>
        </is>
      </c>
      <c r="K313" t="n">
        <v>0</v>
      </c>
      <c r="L313" t="inlineStr">
        <is>
          <t>{T}: Add one mana of any color in your commander's color identity.</t>
        </is>
      </c>
      <c r="M313" t="inlineStr">
        <is>
          <t>Land</t>
        </is>
      </c>
      <c r="N313" t="inlineStr">
        <is>
          <t>Taps for any color in your commander's color identity</t>
        </is>
      </c>
      <c r="R313" t="n">
        <v>0.22</v>
      </c>
    </row>
    <row r="314" ht="15" customHeight="1" s="148">
      <c r="A314" t="inlineStr">
        <is>
          <t>c0313</t>
        </is>
      </c>
      <c r="B314" t="inlineStr">
        <is>
          <t>Concealed Courtyard</t>
        </is>
      </c>
      <c r="C314" t="n">
        <v>1</v>
      </c>
      <c r="E314" t="n">
        <v>1</v>
      </c>
      <c r="F314" t="n">
        <v>0</v>
      </c>
      <c r="G314" t="n">
        <v>1</v>
      </c>
      <c r="H314" t="inlineStr">
        <is>
          <t>L</t>
        </is>
      </c>
      <c r="I314" t="inlineStr">
        <is>
          <t>Land</t>
        </is>
      </c>
      <c r="J314" t="inlineStr">
        <is>
          <t>B2</t>
        </is>
      </c>
      <c r="K314" t="n">
        <v>0</v>
      </c>
      <c r="L314" t="inlineStr">
        <is>
          <t>This land enters tapped unless you control two or fewer other lands.
{T}: Add {W} or {B}.</t>
        </is>
      </c>
      <c r="M314" t="inlineStr">
        <is>
          <t>Land</t>
        </is>
      </c>
      <c r="N314" t="inlineStr">
        <is>
          <t>Taps for {W} or {B}</t>
        </is>
      </c>
      <c r="O314" t="inlineStr">
        <is>
          <t>Enters tapped unless you control two or fewer other lands</t>
        </is>
      </c>
      <c r="R314" t="n">
        <v>1.04</v>
      </c>
    </row>
    <row r="315" ht="15" customHeight="1" s="148">
      <c r="A315" t="inlineStr">
        <is>
          <t>c0314</t>
        </is>
      </c>
      <c r="B315" t="inlineStr">
        <is>
          <t>Dismal Backwater</t>
        </is>
      </c>
      <c r="C315" t="n">
        <v>1</v>
      </c>
      <c r="E315" t="n">
        <v>1</v>
      </c>
      <c r="F315" t="n">
        <v>0</v>
      </c>
      <c r="G315" t="n">
        <v>1</v>
      </c>
      <c r="H315" t="inlineStr">
        <is>
          <t>L</t>
        </is>
      </c>
      <c r="I315" t="inlineStr">
        <is>
          <t>Land</t>
        </is>
      </c>
      <c r="J315" t="inlineStr">
        <is>
          <t>B2</t>
        </is>
      </c>
      <c r="K315" t="n">
        <v>0</v>
      </c>
      <c r="L315" t="inlineStr">
        <is>
          <t>This land enters tapped.
When this land enters, you gain 1 life.
{T}: Add {U} or {B}.</t>
        </is>
      </c>
      <c r="M315" t="inlineStr">
        <is>
          <t>Land</t>
        </is>
      </c>
      <c r="N315" t="inlineStr">
        <is>
          <t>Taps for {U} or {B}</t>
        </is>
      </c>
      <c r="O315" t="inlineStr">
        <is>
          <t>Gain 1 life when it enters</t>
        </is>
      </c>
      <c r="R315" t="n">
        <v>0.29</v>
      </c>
    </row>
    <row r="316" ht="15" customHeight="1" s="148">
      <c r="A316" t="inlineStr">
        <is>
          <t>c0315</t>
        </is>
      </c>
      <c r="B316" t="inlineStr">
        <is>
          <t>Drowned Catacomb</t>
        </is>
      </c>
      <c r="C316" t="n">
        <v>1</v>
      </c>
      <c r="E316" t="n">
        <v>1</v>
      </c>
      <c r="F316" t="n">
        <v>0</v>
      </c>
      <c r="G316" t="n">
        <v>1</v>
      </c>
      <c r="H316" t="inlineStr">
        <is>
          <t>L</t>
        </is>
      </c>
      <c r="I316" t="inlineStr">
        <is>
          <t>Land</t>
        </is>
      </c>
      <c r="J316" t="inlineStr">
        <is>
          <t>B2</t>
        </is>
      </c>
      <c r="K316" t="n">
        <v>0</v>
      </c>
      <c r="L316" t="inlineStr">
        <is>
          <t>This land enters tapped unless you control an Island or a Swamp.
{T}: Add {U} or {B}.</t>
        </is>
      </c>
      <c r="M316" t="inlineStr">
        <is>
          <t>Land</t>
        </is>
      </c>
      <c r="N316" t="inlineStr">
        <is>
          <t>Taps for {U} or {B}</t>
        </is>
      </c>
      <c r="O316" t="inlineStr">
        <is>
          <t>Enters tapped unless you control an Island or Swamp</t>
        </is>
      </c>
      <c r="R316" t="n">
        <v>1.2</v>
      </c>
    </row>
    <row r="317" ht="15" customHeight="1" s="148">
      <c r="A317" t="inlineStr">
        <is>
          <t>c0316</t>
        </is>
      </c>
      <c r="B317" t="inlineStr">
        <is>
          <t>Eclipsed Realms</t>
        </is>
      </c>
      <c r="C317" t="n">
        <v>1</v>
      </c>
      <c r="E317" t="n">
        <v>0</v>
      </c>
      <c r="F317" t="n">
        <v>1</v>
      </c>
      <c r="G317" t="n">
        <v>0</v>
      </c>
      <c r="H317" t="inlineStr">
        <is>
          <t>L</t>
        </is>
      </c>
      <c r="I317" t="inlineStr">
        <is>
          <t>Land</t>
        </is>
      </c>
      <c r="J317" t="inlineStr">
        <is>
          <t>B2</t>
        </is>
      </c>
      <c r="K317" t="n">
        <v>0</v>
      </c>
      <c r="L317" t="inlineStr">
        <is>
          <t>As this land enters, choose Elemental, Elf, Faerie, Giant, Goblin, Kithkin, Merfolk, or Treefolk.
{T}: Add {C}.
{T}: Add one mana of any color. Spend this mana only to cast a spell of the chosen type or activate an ability of a source of the chosen type.</t>
        </is>
      </c>
      <c r="M317" t="inlineStr">
        <is>
          <t>Land</t>
        </is>
      </c>
      <c r="N317" t="inlineStr">
        <is>
          <t>Taps for {C}</t>
        </is>
      </c>
      <c r="O317" t="inlineStr">
        <is>
          <t>{T}: Add one mana of any color, spendable only on the creature type chosen as it entered</t>
        </is>
      </c>
      <c r="R317" t="n">
        <v>0.72</v>
      </c>
    </row>
    <row r="318" ht="15" customHeight="1" s="148">
      <c r="A318" t="inlineStr">
        <is>
          <t>c0317</t>
        </is>
      </c>
      <c r="B318" t="inlineStr">
        <is>
          <t>Emeria, the Sky Ruin</t>
        </is>
      </c>
      <c r="C318" t="n">
        <v>1</v>
      </c>
      <c r="E318" t="n">
        <v>1</v>
      </c>
      <c r="F318" t="n">
        <v>0</v>
      </c>
      <c r="G318" t="n">
        <v>1</v>
      </c>
      <c r="H318" t="inlineStr">
        <is>
          <t>L</t>
        </is>
      </c>
      <c r="I318" t="inlineStr">
        <is>
          <t>Land</t>
        </is>
      </c>
      <c r="J318" t="inlineStr">
        <is>
          <t>B2</t>
        </is>
      </c>
      <c r="K318" t="n">
        <v>0</v>
      </c>
      <c r="L318" t="inlineStr">
        <is>
          <t>This land enters tapped.
At the beginning of your upkeep, if you control seven or more Plains, you may return target creature card from your graveyard to the battlefield.
{T}: Add {W}.</t>
        </is>
      </c>
      <c r="M318" t="inlineStr">
        <is>
          <t>Land</t>
        </is>
      </c>
      <c r="N318" t="inlineStr">
        <is>
          <t>Taps for {W}</t>
        </is>
      </c>
      <c r="O318" t="inlineStr">
        <is>
          <t>Enters tapped</t>
        </is>
      </c>
      <c r="P318" t="inlineStr">
        <is>
          <t>Upkeep: if you control 7+ Plains, return a creature card from graveyard to battlefield</t>
        </is>
      </c>
      <c r="R318" t="n">
        <v>6.41</v>
      </c>
    </row>
    <row r="319" ht="15" customHeight="1" s="148">
      <c r="A319" t="inlineStr">
        <is>
          <t>c0318</t>
        </is>
      </c>
      <c r="B319" t="inlineStr">
        <is>
          <t>Evolving Wilds</t>
        </is>
      </c>
      <c r="C319" t="n">
        <v>5</v>
      </c>
      <c r="E319" t="n">
        <v>3</v>
      </c>
      <c r="F319" t="n">
        <v>2</v>
      </c>
      <c r="G319" t="n">
        <v>1</v>
      </c>
      <c r="H319" t="inlineStr">
        <is>
          <t>L</t>
        </is>
      </c>
      <c r="I319" t="inlineStr">
        <is>
          <t>Land</t>
        </is>
      </c>
      <c r="J319" t="inlineStr">
        <is>
          <t>B2</t>
        </is>
      </c>
      <c r="K319" t="n">
        <v>0</v>
      </c>
      <c r="L319" t="inlineStr">
        <is>
          <t>{T}, Sacrifice this land: Search your library for a basic land card, put it onto the battlefield tapped, then shuffle.</t>
        </is>
      </c>
      <c r="M319" t="inlineStr">
        <is>
          <t>Land</t>
        </is>
      </c>
      <c r="N319" t="inlineStr">
        <is>
          <t>Sacrifice, search a basic land, put it into play tapped</t>
        </is>
      </c>
      <c r="R319" t="n">
        <v>0.22</v>
      </c>
    </row>
    <row r="320" ht="15" customHeight="1" s="148">
      <c r="A320" t="inlineStr">
        <is>
          <t>c0319</t>
        </is>
      </c>
      <c r="B320" t="inlineStr">
        <is>
          <t>Exotic Orchard</t>
        </is>
      </c>
      <c r="C320" t="n">
        <v>2</v>
      </c>
      <c r="E320" t="n">
        <v>2</v>
      </c>
      <c r="F320" t="n">
        <v>0</v>
      </c>
      <c r="G320" t="n">
        <v>1</v>
      </c>
      <c r="H320" t="inlineStr">
        <is>
          <t>L</t>
        </is>
      </c>
      <c r="I320" t="inlineStr">
        <is>
          <t>Land</t>
        </is>
      </c>
      <c r="J320" t="inlineStr">
        <is>
          <t>B2</t>
        </is>
      </c>
      <c r="K320" t="n">
        <v>0</v>
      </c>
      <c r="L320" t="inlineStr">
        <is>
          <t>{T}: Add one mana of any color that a land an opponent controls could produce.</t>
        </is>
      </c>
      <c r="M320" t="inlineStr">
        <is>
          <t>Land</t>
        </is>
      </c>
      <c r="N320" t="inlineStr">
        <is>
          <t>Taps for one mana of any color an opponent's land could produce</t>
        </is>
      </c>
      <c r="R320" t="n">
        <v>0.24</v>
      </c>
    </row>
    <row r="321" ht="15" customHeight="1" s="148">
      <c r="A321" t="inlineStr">
        <is>
          <t>c0320</t>
        </is>
      </c>
      <c r="B321" t="inlineStr">
        <is>
          <t>Fabled Passage</t>
        </is>
      </c>
      <c r="C321" t="n">
        <v>1</v>
      </c>
      <c r="D321" t="n">
        <v>1</v>
      </c>
      <c r="E321" t="n">
        <v>1</v>
      </c>
      <c r="F321" t="n">
        <v>0</v>
      </c>
      <c r="G321" t="n">
        <v>2</v>
      </c>
      <c r="H321" t="inlineStr">
        <is>
          <t>L</t>
        </is>
      </c>
      <c r="I321" t="inlineStr">
        <is>
          <t>Land</t>
        </is>
      </c>
      <c r="J321" t="inlineStr">
        <is>
          <t>B2</t>
        </is>
      </c>
      <c r="K321" t="n">
        <v>0</v>
      </c>
      <c r="L321" t="inlineStr">
        <is>
          <t>{T}, Sacrifice this land: Search your library for a basic land card, put it onto the battlefield tapped, then shuffle. Then if you control four or more lands, untap that land.</t>
        </is>
      </c>
      <c r="M321" t="inlineStr">
        <is>
          <t>Land</t>
        </is>
      </c>
      <c r="N321" t="inlineStr">
        <is>
          <t>Sacrifice, search a basic land, put it into play tapped</t>
        </is>
      </c>
      <c r="O321" t="inlineStr">
        <is>
          <t>Untaps that land if you control 4+ lands</t>
        </is>
      </c>
      <c r="R321" t="n">
        <v>1.05</v>
      </c>
    </row>
    <row r="322" ht="15" customHeight="1" s="148">
      <c r="A322" t="inlineStr">
        <is>
          <t>c0321</t>
        </is>
      </c>
      <c r="B322" t="inlineStr">
        <is>
          <t>Fields of Strife</t>
        </is>
      </c>
      <c r="C322" t="n">
        <v>3</v>
      </c>
      <c r="E322" t="n">
        <v>1</v>
      </c>
      <c r="F322" t="n">
        <v>2</v>
      </c>
      <c r="G322" t="n">
        <v>1</v>
      </c>
      <c r="H322" t="inlineStr">
        <is>
          <t>L</t>
        </is>
      </c>
      <c r="I322" t="inlineStr">
        <is>
          <t>Land</t>
        </is>
      </c>
      <c r="J322" t="inlineStr">
        <is>
          <t>B2</t>
        </is>
      </c>
      <c r="K322" t="n">
        <v>0</v>
      </c>
      <c r="L322" t="inlineStr">
        <is>
          <t>This land enters tapped.
{T}: Add {R} or {W}.
{2}{R}{W}, {T}: Surveil 1. (Look at the top card of your library. You may put it into your graveyard.)</t>
        </is>
      </c>
      <c r="M322" t="inlineStr">
        <is>
          <t>Land</t>
        </is>
      </c>
      <c r="N322" t="inlineStr">
        <is>
          <t>Taps for {R} or {W}</t>
        </is>
      </c>
      <c r="O322" t="inlineStr">
        <is>
          <t>Enters tapped</t>
        </is>
      </c>
      <c r="P322" t="inlineStr">
        <is>
          <t>Pay mana, tap: look at top card, may put it in graveyard</t>
        </is>
      </c>
      <c r="R322" t="n">
        <v>0.09</v>
      </c>
    </row>
    <row r="323" ht="15" customHeight="1" s="148">
      <c r="A323" t="inlineStr">
        <is>
          <t>c0322</t>
        </is>
      </c>
      <c r="B323" t="inlineStr">
        <is>
          <t>Forest</t>
        </is>
      </c>
      <c r="C323" t="n">
        <v>80</v>
      </c>
      <c r="E323" t="n">
        <v>34</v>
      </c>
      <c r="F323" t="n">
        <v>46</v>
      </c>
      <c r="G323" t="n">
        <v>34</v>
      </c>
      <c r="H323" t="inlineStr">
        <is>
          <t>L</t>
        </is>
      </c>
      <c r="I323" t="inlineStr">
        <is>
          <t>Basic Land</t>
        </is>
      </c>
      <c r="J323" t="inlineStr">
        <is>
          <t>B2</t>
        </is>
      </c>
      <c r="K323" t="n">
        <v>0</v>
      </c>
      <c r="L323" t="inlineStr">
        <is>
          <t>({T}: Add {G}.)</t>
        </is>
      </c>
      <c r="M323" t="inlineStr">
        <is>
          <t>Land</t>
        </is>
      </c>
      <c r="N323" t="inlineStr">
        <is>
          <t>Taps for {G}</t>
        </is>
      </c>
      <c r="R323" t="n">
        <v>0.1</v>
      </c>
    </row>
    <row r="324" ht="15" customHeight="1" s="148">
      <c r="A324" t="inlineStr">
        <is>
          <t>c0323</t>
        </is>
      </c>
      <c r="B324" t="inlineStr">
        <is>
          <t>Fortified Village</t>
        </is>
      </c>
      <c r="C324" t="n">
        <v>1</v>
      </c>
      <c r="E324" t="n">
        <v>1</v>
      </c>
      <c r="F324" t="n">
        <v>0</v>
      </c>
      <c r="G324" t="n">
        <v>1</v>
      </c>
      <c r="H324" t="inlineStr">
        <is>
          <t>L</t>
        </is>
      </c>
      <c r="I324" t="inlineStr">
        <is>
          <t>Land</t>
        </is>
      </c>
      <c r="J324" t="inlineStr">
        <is>
          <t>B2</t>
        </is>
      </c>
      <c r="K324" t="n">
        <v>0</v>
      </c>
      <c r="L324" t="inlineStr">
        <is>
          <t>As this land enters, you may reveal a Forest or Plains card from your hand. If you don't, this land enters tapped.
{T}: Add {G} or {W}.</t>
        </is>
      </c>
      <c r="M324" t="inlineStr">
        <is>
          <t>Land</t>
        </is>
      </c>
      <c r="N324" t="inlineStr">
        <is>
          <t>Taps for {G} or {W}</t>
        </is>
      </c>
      <c r="O324" t="inlineStr">
        <is>
          <t>Enters untapped if you reveal a Forest or Plains card from hand</t>
        </is>
      </c>
      <c r="R324" t="n">
        <v>0.33</v>
      </c>
    </row>
    <row r="325" ht="15" customHeight="1" s="148">
      <c r="A325" t="inlineStr">
        <is>
          <t>c0324</t>
        </is>
      </c>
      <c r="B325" t="inlineStr">
        <is>
          <t>Furycalm Snarl</t>
        </is>
      </c>
      <c r="C325" t="n">
        <v>1</v>
      </c>
      <c r="E325" t="n">
        <v>1</v>
      </c>
      <c r="F325" t="n">
        <v>0</v>
      </c>
      <c r="G325" t="n">
        <v>1</v>
      </c>
      <c r="H325" t="inlineStr">
        <is>
          <t>L</t>
        </is>
      </c>
      <c r="I325" t="inlineStr">
        <is>
          <t>Land</t>
        </is>
      </c>
      <c r="J325" t="inlineStr">
        <is>
          <t>B2</t>
        </is>
      </c>
      <c r="K325" t="n">
        <v>0</v>
      </c>
      <c r="L325" t="inlineStr">
        <is>
          <t>As this land enters, you may reveal a Mountain or Plains card from your hand. If you don't, this land enters tapped.
{T}: Add {R} or {W}.</t>
        </is>
      </c>
      <c r="M325" t="inlineStr">
        <is>
          <t>Land</t>
        </is>
      </c>
      <c r="N325" t="inlineStr">
        <is>
          <t>Taps for {R} or {W}</t>
        </is>
      </c>
      <c r="O325" t="inlineStr">
        <is>
          <t>Enters tapped unless you reveal a Mountain or Plains from hand</t>
        </is>
      </c>
      <c r="R325" t="n">
        <v>0.22</v>
      </c>
    </row>
    <row r="326" ht="15" customHeight="1" s="148">
      <c r="A326" t="inlineStr">
        <is>
          <t>c0325</t>
        </is>
      </c>
      <c r="B326" t="inlineStr">
        <is>
          <t>Glacial Fortress</t>
        </is>
      </c>
      <c r="C326" t="n">
        <v>1</v>
      </c>
      <c r="E326" t="n">
        <v>1</v>
      </c>
      <c r="F326" t="n">
        <v>0</v>
      </c>
      <c r="G326" t="n">
        <v>1</v>
      </c>
      <c r="H326" t="inlineStr">
        <is>
          <t>L</t>
        </is>
      </c>
      <c r="I326" t="inlineStr">
        <is>
          <t>Land</t>
        </is>
      </c>
      <c r="J326" t="inlineStr">
        <is>
          <t>B2</t>
        </is>
      </c>
      <c r="K326" t="n">
        <v>0</v>
      </c>
      <c r="L326" t="inlineStr">
        <is>
          <t>This land enters tapped unless you control a Plains or an Island.
{T}: Add {W} or {U}.</t>
        </is>
      </c>
      <c r="M326" t="inlineStr">
        <is>
          <t>Land</t>
        </is>
      </c>
      <c r="N326" t="inlineStr">
        <is>
          <t>Taps for {W} or {U}</t>
        </is>
      </c>
      <c r="O326" t="inlineStr">
        <is>
          <t>Enters untapped if you control a Plains or Island</t>
        </is>
      </c>
      <c r="R326" t="n">
        <v>0.32</v>
      </c>
    </row>
    <row r="327" ht="15" customHeight="1" s="148">
      <c r="A327" t="inlineStr">
        <is>
          <t>c0326</t>
        </is>
      </c>
      <c r="B327" t="inlineStr">
        <is>
          <t>Glittering Massif</t>
        </is>
      </c>
      <c r="C327" t="n">
        <v>1</v>
      </c>
      <c r="E327" t="n">
        <v>1</v>
      </c>
      <c r="F327" t="n">
        <v>0</v>
      </c>
      <c r="G327" t="n">
        <v>1</v>
      </c>
      <c r="H327" t="inlineStr">
        <is>
          <t>L</t>
        </is>
      </c>
      <c r="I327" t="inlineStr">
        <is>
          <t>Land</t>
        </is>
      </c>
      <c r="J327" t="inlineStr">
        <is>
          <t>B2</t>
        </is>
      </c>
      <c r="K327" t="n">
        <v>0</v>
      </c>
      <c r="L327" t="inlineStr">
        <is>
          <t>({T}: Add {R} or {W}.)
This land enters tapped.
Cycling {2} ({2}, Discard this card: Draw a card.)</t>
        </is>
      </c>
      <c r="M327" t="inlineStr">
        <is>
          <t>Land</t>
        </is>
      </c>
      <c r="N327" t="inlineStr">
        <is>
          <t>Taps for {R} or {W}</t>
        </is>
      </c>
      <c r="O327" t="inlineStr">
        <is>
          <t>Enters tapped</t>
        </is>
      </c>
      <c r="P327" t="inlineStr">
        <is>
          <t>Discard for {2} to draw a card instead of playing it</t>
        </is>
      </c>
      <c r="R327" t="n">
        <v>0.26</v>
      </c>
    </row>
    <row r="328" ht="15" customHeight="1" s="148">
      <c r="A328" t="inlineStr">
        <is>
          <t>c0327</t>
        </is>
      </c>
      <c r="B328" t="inlineStr">
        <is>
          <t>Goblin Burrows</t>
        </is>
      </c>
      <c r="C328" t="n">
        <v>0</v>
      </c>
      <c r="E328" t="n">
        <v>0</v>
      </c>
      <c r="F328" t="n">
        <v>0</v>
      </c>
      <c r="G328" t="n">
        <v>0</v>
      </c>
      <c r="H328" t="inlineStr">
        <is>
          <t>L</t>
        </is>
      </c>
      <c r="I328" t="inlineStr">
        <is>
          <t>Land</t>
        </is>
      </c>
      <c r="J328" t="inlineStr">
        <is>
          <t>B3</t>
        </is>
      </c>
      <c r="K328" t="n">
        <v>0</v>
      </c>
      <c r="L328" t="inlineStr">
        <is>
          <t>{T}: Add {C}.
{1}{R}, {T}: Target Goblin creature gets +2/+0 until end of turn.</t>
        </is>
      </c>
      <c r="M328" t="inlineStr">
        <is>
          <t>Land</t>
        </is>
      </c>
      <c r="N328" t="inlineStr">
        <is>
          <t>{T}: Add {C}</t>
        </is>
      </c>
      <c r="O328" t="inlineStr">
        <is>
          <t>{1}{R}, {T}: Target Goblin creature gets +2/+0 until end of turn</t>
        </is>
      </c>
      <c r="R328" t="n">
        <v>0.3</v>
      </c>
    </row>
    <row r="329" ht="15" customHeight="1" s="148">
      <c r="A329" t="inlineStr">
        <is>
          <t>c0328</t>
        </is>
      </c>
      <c r="B329" t="inlineStr">
        <is>
          <t>Goblin-town</t>
        </is>
      </c>
      <c r="C329" t="n">
        <v>1</v>
      </c>
      <c r="E329" t="n">
        <v>0</v>
      </c>
      <c r="F329" t="n">
        <v>1</v>
      </c>
      <c r="G329" t="n">
        <v>0</v>
      </c>
      <c r="H329" t="inlineStr">
        <is>
          <t>L</t>
        </is>
      </c>
      <c r="I329" t="inlineStr">
        <is>
          <t>Land</t>
        </is>
      </c>
      <c r="J329" t="inlineStr">
        <is>
          <t>B2</t>
        </is>
      </c>
      <c r="K329" t="n">
        <v>0</v>
      </c>
      <c r="L329" t="inlineStr">
        <is>
          <t>This land enters tapped.
{T}: Add {B} or {R}.
{2}{B}{R}, {T}, Sacrifice this land: Put two +1/+1 counters on target Goblin or Orc you control. Activate only as a sorcery.</t>
        </is>
      </c>
      <c r="M329" t="inlineStr">
        <is>
          <t>Land</t>
        </is>
      </c>
      <c r="N329" t="inlineStr">
        <is>
          <t>Taps for {B} or {R}</t>
        </is>
      </c>
      <c r="O329" t="inlineStr">
        <is>
          <t>Enters tapped</t>
        </is>
      </c>
      <c r="P329" t="inlineStr">
        <is>
          <t>{2}{B}{R}, {T}, Sacrifice: put two +1/+1 counters on target Goblin or Orc you control</t>
        </is>
      </c>
      <c r="R329" t="n">
        <v>0.18</v>
      </c>
    </row>
    <row r="330" ht="15" customHeight="1" s="148">
      <c r="A330" t="inlineStr">
        <is>
          <t>c0329</t>
        </is>
      </c>
      <c r="B330" t="inlineStr">
        <is>
          <t>Golgari Guildgate</t>
        </is>
      </c>
      <c r="C330" t="n">
        <v>2</v>
      </c>
      <c r="E330" t="n">
        <v>2</v>
      </c>
      <c r="F330" t="n">
        <v>0</v>
      </c>
      <c r="G330" t="n">
        <v>2</v>
      </c>
      <c r="H330" t="inlineStr">
        <is>
          <t>L</t>
        </is>
      </c>
      <c r="I330" t="inlineStr">
        <is>
          <t>Land</t>
        </is>
      </c>
      <c r="J330" t="inlineStr">
        <is>
          <t>B2</t>
        </is>
      </c>
      <c r="K330" t="n">
        <v>0</v>
      </c>
      <c r="L330" t="inlineStr">
        <is>
          <t>This land enters tapped.
{T}: Add {B} or {G}.</t>
        </is>
      </c>
      <c r="M330" t="inlineStr">
        <is>
          <t>Land</t>
        </is>
      </c>
      <c r="N330" t="inlineStr">
        <is>
          <t>This land enters tapped. / {T}: Add {B} or {G}.</t>
        </is>
      </c>
      <c r="R330" t="n">
        <v>0.1</v>
      </c>
    </row>
    <row r="331" ht="15" customHeight="1" s="148">
      <c r="A331" t="inlineStr">
        <is>
          <t>c0330</t>
        </is>
      </c>
      <c r="B331" t="inlineStr">
        <is>
          <t>Grand Coliseum</t>
        </is>
      </c>
      <c r="C331" t="n">
        <v>1</v>
      </c>
      <c r="E331" t="n">
        <v>1</v>
      </c>
      <c r="F331" t="n">
        <v>0</v>
      </c>
      <c r="G331" t="n">
        <v>0</v>
      </c>
      <c r="H331" t="inlineStr">
        <is>
          <t>L</t>
        </is>
      </c>
      <c r="I331" t="inlineStr">
        <is>
          <t>Land</t>
        </is>
      </c>
      <c r="J331" t="inlineStr">
        <is>
          <t>B3</t>
        </is>
      </c>
      <c r="K331" t="n">
        <v>0</v>
      </c>
      <c r="L331" t="inlineStr">
        <is>
          <t>This land enters tapped.
{T}: Add {C}.
{T}: Add one mana of any color. This land deals 1 damage to you.</t>
        </is>
      </c>
      <c r="M331" t="inlineStr">
        <is>
          <t>Land</t>
        </is>
      </c>
      <c r="N331" t="inlineStr">
        <is>
          <t>This land enters tapped</t>
        </is>
      </c>
      <c r="O331" t="inlineStr">
        <is>
          <t>{T}: Add {C}</t>
        </is>
      </c>
      <c r="P331" t="inlineStr">
        <is>
          <t>{T}: Add one mana of any color. This land deals 1 damage to you</t>
        </is>
      </c>
      <c r="R331" t="n">
        <v>0.37</v>
      </c>
    </row>
    <row r="332" ht="15" customHeight="1" s="148">
      <c r="A332" t="inlineStr">
        <is>
          <t>c0331</t>
        </is>
      </c>
      <c r="B332" t="inlineStr">
        <is>
          <t>Hinterland Harbor</t>
        </is>
      </c>
      <c r="C332" t="n">
        <v>1</v>
      </c>
      <c r="E332" t="n">
        <v>1</v>
      </c>
      <c r="F332" t="n">
        <v>0</v>
      </c>
      <c r="G332" t="n">
        <v>1</v>
      </c>
      <c r="H332" t="inlineStr">
        <is>
          <t>L</t>
        </is>
      </c>
      <c r="I332" t="inlineStr">
        <is>
          <t>Land</t>
        </is>
      </c>
      <c r="J332" t="inlineStr">
        <is>
          <t>B2</t>
        </is>
      </c>
      <c r="K332" t="n">
        <v>0</v>
      </c>
      <c r="L332" t="inlineStr">
        <is>
          <t>This land enters tapped unless you control a Forest or an Island.
{T}: Add {G} or {U}.</t>
        </is>
      </c>
      <c r="M332" t="inlineStr">
        <is>
          <t>Land</t>
        </is>
      </c>
      <c r="N332" t="inlineStr">
        <is>
          <t>Taps for {G} or {U}</t>
        </is>
      </c>
      <c r="O332" t="inlineStr">
        <is>
          <t>Enters untapped if you control a Forest or Island</t>
        </is>
      </c>
      <c r="R332" t="n">
        <v>0.3</v>
      </c>
    </row>
    <row r="333" ht="15" customHeight="1" s="148">
      <c r="A333" t="inlineStr">
        <is>
          <t>c0332</t>
        </is>
      </c>
      <c r="B333" t="inlineStr">
        <is>
          <t>Inspiring Vantage</t>
        </is>
      </c>
      <c r="C333" t="n">
        <v>1</v>
      </c>
      <c r="E333" t="n">
        <v>1</v>
      </c>
      <c r="F333" t="n">
        <v>0</v>
      </c>
      <c r="G333" t="n">
        <v>1</v>
      </c>
      <c r="H333" t="inlineStr">
        <is>
          <t>L</t>
        </is>
      </c>
      <c r="I333" t="inlineStr">
        <is>
          <t>Land</t>
        </is>
      </c>
      <c r="J333" t="inlineStr">
        <is>
          <t>B3</t>
        </is>
      </c>
      <c r="K333" t="n">
        <v>0</v>
      </c>
      <c r="L333" t="inlineStr">
        <is>
          <t>This land enters tapped unless you control two or fewer other lands.
{T}: Add {R} or {W}.</t>
        </is>
      </c>
      <c r="M333" t="inlineStr">
        <is>
          <t>Land</t>
        </is>
      </c>
      <c r="N333" t="inlineStr">
        <is>
          <t>This land enters tapped unless you control two or fewer other lands.
{T}: Add {R} or {W}.</t>
        </is>
      </c>
      <c r="R333" t="n">
        <v>1.95</v>
      </c>
    </row>
    <row r="334" ht="15" customHeight="1" s="148">
      <c r="A334" t="inlineStr">
        <is>
          <t>c0333</t>
        </is>
      </c>
      <c r="B334" t="inlineStr">
        <is>
          <t>Iron Hills</t>
        </is>
      </c>
      <c r="C334" t="n">
        <v>2</v>
      </c>
      <c r="E334" t="n">
        <v>1</v>
      </c>
      <c r="F334" t="n">
        <v>1</v>
      </c>
      <c r="G334" t="n">
        <v>1</v>
      </c>
      <c r="H334" t="inlineStr">
        <is>
          <t>L</t>
        </is>
      </c>
      <c r="I334" t="inlineStr">
        <is>
          <t>Land</t>
        </is>
      </c>
      <c r="J334" t="inlineStr">
        <is>
          <t>B2</t>
        </is>
      </c>
      <c r="K334" t="n">
        <v>0</v>
      </c>
      <c r="L334" t="inlineStr">
        <is>
          <t>This land enters tapped.
{T}: Add {R} or {W}.
{2}{R}{W}, {T}, Sacrifice this land: Put two +1/+1 counters on target Dwarf you control. Activate only as a sorcery.</t>
        </is>
      </c>
      <c r="M334" t="inlineStr">
        <is>
          <t>Land</t>
        </is>
      </c>
      <c r="N334" t="inlineStr">
        <is>
          <t>Taps for {R} or {W}</t>
        </is>
      </c>
      <c r="O334" t="inlineStr">
        <is>
          <t>Enters tapped</t>
        </is>
      </c>
      <c r="P334" t="inlineStr">
        <is>
          <t>{2}{R}{W}, {T}, sacrifice: put two +1/+1 counters on target Dwarf you control</t>
        </is>
      </c>
      <c r="R334" t="n">
        <v>0.16</v>
      </c>
    </row>
    <row r="335" ht="15" customHeight="1" s="148">
      <c r="A335" t="inlineStr">
        <is>
          <t>c0334</t>
        </is>
      </c>
      <c r="B335" t="inlineStr">
        <is>
          <t>Island</t>
        </is>
      </c>
      <c r="C335" t="n">
        <v>82</v>
      </c>
      <c r="E335" t="n">
        <v>27</v>
      </c>
      <c r="F335" t="n">
        <v>55</v>
      </c>
      <c r="G335" t="n">
        <v>27</v>
      </c>
      <c r="H335" t="inlineStr">
        <is>
          <t>L</t>
        </is>
      </c>
      <c r="I335" t="inlineStr">
        <is>
          <t>Basic Land</t>
        </is>
      </c>
      <c r="J335" t="inlineStr">
        <is>
          <t>B2</t>
        </is>
      </c>
      <c r="K335" t="n">
        <v>0</v>
      </c>
      <c r="L335" t="inlineStr">
        <is>
          <t>({T}: Add {U}.)</t>
        </is>
      </c>
      <c r="M335" t="inlineStr">
        <is>
          <t>Land</t>
        </is>
      </c>
      <c r="N335" t="inlineStr">
        <is>
          <t>Taps for {U}</t>
        </is>
      </c>
      <c r="R335" t="n">
        <v>0.1</v>
      </c>
    </row>
    <row r="336" ht="15" customHeight="1" s="148">
      <c r="A336" t="inlineStr">
        <is>
          <t>c0335</t>
        </is>
      </c>
      <c r="B336" t="inlineStr">
        <is>
          <t>Isolated Chapel</t>
        </is>
      </c>
      <c r="C336" t="n">
        <v>2</v>
      </c>
      <c r="E336" t="n">
        <v>2</v>
      </c>
      <c r="F336" t="n">
        <v>0</v>
      </c>
      <c r="G336" t="n">
        <v>2</v>
      </c>
      <c r="H336" t="inlineStr">
        <is>
          <t>L</t>
        </is>
      </c>
      <c r="I336" t="inlineStr">
        <is>
          <t>Land</t>
        </is>
      </c>
      <c r="J336" t="inlineStr">
        <is>
          <t>B2</t>
        </is>
      </c>
      <c r="K336" t="n">
        <v>0</v>
      </c>
      <c r="L336" t="inlineStr">
        <is>
          <t>This land enters tapped unless you control a Plains or a Swamp.
{T}: Add {W} or {B}.</t>
        </is>
      </c>
      <c r="M336" t="inlineStr">
        <is>
          <t>Land</t>
        </is>
      </c>
      <c r="N336" t="inlineStr">
        <is>
          <t>Taps for {W} or {B}</t>
        </is>
      </c>
      <c r="O336" t="inlineStr">
        <is>
          <t>Enters tapped unless you control a Plains or Swamp</t>
        </is>
      </c>
      <c r="R336" t="n">
        <v>0.39</v>
      </c>
    </row>
    <row r="337" ht="15" customHeight="1" s="148">
      <c r="A337" t="inlineStr">
        <is>
          <t>c0336</t>
        </is>
      </c>
      <c r="B337" t="inlineStr">
        <is>
          <t>Karn's Bastion</t>
        </is>
      </c>
      <c r="C337" t="n">
        <v>1</v>
      </c>
      <c r="E337" t="n">
        <v>1</v>
      </c>
      <c r="F337" t="n">
        <v>0</v>
      </c>
      <c r="G337" t="n">
        <v>1</v>
      </c>
      <c r="H337" t="inlineStr">
        <is>
          <t>L</t>
        </is>
      </c>
      <c r="I337" t="inlineStr">
        <is>
          <t>Land</t>
        </is>
      </c>
      <c r="J337" t="inlineStr">
        <is>
          <t>B2</t>
        </is>
      </c>
      <c r="K337" t="n">
        <v>0</v>
      </c>
      <c r="L337" t="inlineStr">
        <is>
          <t>{T}: Add {C}.
{4}, {T}: Proliferate. (Choose any number of permanents and/or players, then give each another counter of each kind already there.)</t>
        </is>
      </c>
      <c r="M337" t="inlineStr">
        <is>
          <t>Proliferate</t>
        </is>
      </c>
      <c r="N337" t="inlineStr">
        <is>
          <t>Taps for {C}</t>
        </is>
      </c>
      <c r="O337" t="inlineStr">
        <is>
          <t>Pay {4} and tap to proliferate</t>
        </is>
      </c>
      <c r="R337" t="n">
        <v>2.55</v>
      </c>
    </row>
    <row r="338" ht="15" customHeight="1" s="148">
      <c r="A338" t="inlineStr">
        <is>
          <t>c0337</t>
        </is>
      </c>
      <c r="B338" t="inlineStr">
        <is>
          <t>Kher Keep</t>
        </is>
      </c>
      <c r="C338" t="n">
        <v>1</v>
      </c>
      <c r="E338" t="n">
        <v>1</v>
      </c>
      <c r="F338" t="n">
        <v>0</v>
      </c>
      <c r="G338" t="n">
        <v>0</v>
      </c>
      <c r="H338" t="inlineStr">
        <is>
          <t>L</t>
        </is>
      </c>
      <c r="I338" t="inlineStr">
        <is>
          <t>Legendary Land</t>
        </is>
      </c>
      <c r="J338" t="inlineStr">
        <is>
          <t>B2</t>
        </is>
      </c>
      <c r="K338" t="n">
        <v>0</v>
      </c>
      <c r="L338" t="inlineStr">
        <is>
          <t>{T}: Add {C}.
{1}{R}, {T}: Create a 0/1 red Kobold creature token named Kobolds of Kher Keep.</t>
        </is>
      </c>
      <c r="M338" t="inlineStr">
        <is>
          <t>Land</t>
        </is>
      </c>
      <c r="N338" t="inlineStr">
        <is>
          <t>Taps for {C}</t>
        </is>
      </c>
      <c r="O338" t="inlineStr">
        <is>
          <t>{1}{R}, tap: creates a 0/1 Kobold token</t>
        </is>
      </c>
      <c r="R338" t="n">
        <v>0.36</v>
      </c>
    </row>
    <row r="339" ht="15" customHeight="1" s="148">
      <c r="A339" t="inlineStr">
        <is>
          <t>c0338</t>
        </is>
      </c>
      <c r="B339" t="inlineStr">
        <is>
          <t>Krosan Verge</t>
        </is>
      </c>
      <c r="C339" t="n">
        <v>0</v>
      </c>
      <c r="E339" t="n">
        <v>0</v>
      </c>
      <c r="F339" t="n">
        <v>0</v>
      </c>
      <c r="G339" t="n">
        <v>0</v>
      </c>
      <c r="H339" t="inlineStr">
        <is>
          <t>L</t>
        </is>
      </c>
      <c r="I339" t="inlineStr">
        <is>
          <t>Land</t>
        </is>
      </c>
      <c r="J339" t="inlineStr">
        <is>
          <t>B2</t>
        </is>
      </c>
      <c r="K339" t="n">
        <v>0</v>
      </c>
      <c r="L339" t="inlineStr">
        <is>
          <t>This land enters tapped.
{T}: Add {C}.
{2}, {T}, Sacrifice this land: Search your library for a Forest card and a Plains card, put them onto the battlefield tapped, then shuffle.</t>
        </is>
      </c>
      <c r="M339" t="inlineStr">
        <is>
          <t>Flexible Fixing</t>
        </is>
      </c>
      <c r="N339" t="inlineStr">
        <is>
          <t>Taps for {C}</t>
        </is>
      </c>
      <c r="O339" t="inlineStr">
        <is>
          <t>Sacrifice: search for a Forest and a Plains, put onto battlefield tapped</t>
        </is>
      </c>
      <c r="Q339" t="n">
        <v>1</v>
      </c>
      <c r="R339" t="n">
        <v>0.29</v>
      </c>
    </row>
    <row r="340" ht="15" customHeight="1" s="148">
      <c r="A340" t="inlineStr">
        <is>
          <t>c0339</t>
        </is>
      </c>
      <c r="B340" t="inlineStr">
        <is>
          <t>Lake-town</t>
        </is>
      </c>
      <c r="C340" t="n">
        <v>1</v>
      </c>
      <c r="E340" t="n">
        <v>1</v>
      </c>
      <c r="F340" t="n">
        <v>0</v>
      </c>
      <c r="G340" t="n">
        <v>1</v>
      </c>
      <c r="H340" t="inlineStr">
        <is>
          <t>L</t>
        </is>
      </c>
      <c r="I340" t="inlineStr">
        <is>
          <t>Land</t>
        </is>
      </c>
      <c r="J340" t="inlineStr">
        <is>
          <t>B2</t>
        </is>
      </c>
      <c r="K340" t="n">
        <v>0</v>
      </c>
      <c r="L340" t="inlineStr">
        <is>
          <t>This land enters tapped.
{T}: Add {W} or {U}.
{2}{W}{U}, {T}, Sacrifice this land: Put two +1/+1 counters on target Human you control. Activate only as a sorcery.</t>
        </is>
      </c>
      <c r="M340" t="inlineStr">
        <is>
          <t>Land</t>
        </is>
      </c>
      <c r="N340" t="inlineStr">
        <is>
          <t>Taps for {W} or {U}</t>
        </is>
      </c>
      <c r="O340" t="inlineStr">
        <is>
          <t>Enters tapped</t>
        </is>
      </c>
      <c r="P340" t="inlineStr">
        <is>
          <t>{2}{W}{U}, {T}, Sacrifice: put two +1/+1 counters on target Human you control</t>
        </is>
      </c>
      <c r="R340" t="n">
        <v>0.17</v>
      </c>
    </row>
    <row r="341" ht="15" customHeight="1" s="148">
      <c r="A341" t="inlineStr">
        <is>
          <t>c0340</t>
        </is>
      </c>
      <c r="B341" t="inlineStr">
        <is>
          <t>Llanowar Wastes</t>
        </is>
      </c>
      <c r="C341" t="n">
        <v>0</v>
      </c>
      <c r="D341" t="n">
        <v>2</v>
      </c>
      <c r="E341" t="n">
        <v>0</v>
      </c>
      <c r="F341" t="n">
        <v>0</v>
      </c>
      <c r="G341" t="n">
        <v>2</v>
      </c>
      <c r="H341" t="inlineStr">
        <is>
          <t>L</t>
        </is>
      </c>
      <c r="I341" t="inlineStr">
        <is>
          <t>Land</t>
        </is>
      </c>
      <c r="J341" t="inlineStr">
        <is>
          <t>B2</t>
        </is>
      </c>
      <c r="K341" t="n">
        <v>0</v>
      </c>
      <c r="L341" t="inlineStr">
        <is>
          <t>{T}: Add {C}.
{T}: Add {B} or {G}. This land deals 1 damage to you.</t>
        </is>
      </c>
      <c r="M341" t="inlineStr">
        <is>
          <t>Land</t>
        </is>
      </c>
      <c r="N341" t="inlineStr">
        <is>
          <t>Taps for {C}, or {B}/{G} at the cost of 1 damage to you</t>
        </is>
      </c>
      <c r="R341" t="n">
        <v>0.58</v>
      </c>
    </row>
    <row r="342" ht="15" customHeight="1" s="148">
      <c r="A342" t="inlineStr">
        <is>
          <t>c0341</t>
        </is>
      </c>
      <c r="B342" t="inlineStr">
        <is>
          <t>Lorehold Campus</t>
        </is>
      </c>
      <c r="C342" t="n">
        <v>1</v>
      </c>
      <c r="E342" t="n">
        <v>1</v>
      </c>
      <c r="F342" t="n">
        <v>0</v>
      </c>
      <c r="G342" t="n">
        <v>1</v>
      </c>
      <c r="H342" t="inlineStr">
        <is>
          <t>L</t>
        </is>
      </c>
      <c r="I342" t="inlineStr">
        <is>
          <t>Land</t>
        </is>
      </c>
      <c r="J342" t="inlineStr">
        <is>
          <t>B2</t>
        </is>
      </c>
      <c r="K342" t="n">
        <v>0</v>
      </c>
      <c r="L342" t="inlineStr">
        <is>
          <t>This land enters tapped.
{T}: Add {R} or {W}.
{4}, {T}: Scry 1. (Look at the top card of your library. You may put that card on the bottom.)</t>
        </is>
      </c>
      <c r="M342" t="inlineStr">
        <is>
          <t>Land</t>
        </is>
      </c>
      <c r="N342" t="inlineStr">
        <is>
          <t>Taps for {R} or {W}</t>
        </is>
      </c>
      <c r="O342" t="inlineStr">
        <is>
          <t>Enters tapped</t>
        </is>
      </c>
      <c r="P342" t="inlineStr">
        <is>
          <t>Pay {4}, tap: look at top card, may put it on bottom</t>
        </is>
      </c>
      <c r="R342" t="n">
        <v>0.22</v>
      </c>
    </row>
    <row r="343" ht="15" customHeight="1" s="148">
      <c r="A343" t="inlineStr">
        <is>
          <t>c0342</t>
        </is>
      </c>
      <c r="B343" t="inlineStr">
        <is>
          <t>Lotus Field</t>
        </is>
      </c>
      <c r="C343" t="n">
        <v>1</v>
      </c>
      <c r="E343" t="n">
        <v>1</v>
      </c>
      <c r="F343" t="n">
        <v>0</v>
      </c>
      <c r="G343" t="n">
        <v>1</v>
      </c>
      <c r="H343" t="inlineStr">
        <is>
          <t>L</t>
        </is>
      </c>
      <c r="I343" t="inlineStr">
        <is>
          <t>Land</t>
        </is>
      </c>
      <c r="J343" t="inlineStr">
        <is>
          <t>B2</t>
        </is>
      </c>
      <c r="K343" t="n">
        <v>0</v>
      </c>
      <c r="L343" t="inlineStr">
        <is>
          <t>Hexproof
This land enters tapped.
When this land enters, sacrifice two lands.
{T}: Add three mana of any one color.</t>
        </is>
      </c>
      <c r="M343" t="inlineStr">
        <is>
          <t>Ramp</t>
        </is>
      </c>
      <c r="N343" t="inlineStr">
        <is>
          <t>Taps for three mana of one color</t>
        </is>
      </c>
      <c r="O343" t="inlineStr">
        <is>
          <t>Sacrifice two lands when it enters</t>
        </is>
      </c>
      <c r="R343" t="n">
        <v>2.63</v>
      </c>
    </row>
    <row r="344" ht="15" customHeight="1" s="148">
      <c r="A344" t="inlineStr">
        <is>
          <t>c0343</t>
        </is>
      </c>
      <c r="B344" t="inlineStr">
        <is>
          <t>Meandering River</t>
        </is>
      </c>
      <c r="C344" t="n">
        <v>2</v>
      </c>
      <c r="E344" t="n">
        <v>2</v>
      </c>
      <c r="F344" t="n">
        <v>0</v>
      </c>
      <c r="G344" t="n">
        <v>2</v>
      </c>
      <c r="H344" t="inlineStr">
        <is>
          <t>L</t>
        </is>
      </c>
      <c r="I344" t="inlineStr">
        <is>
          <t>Land</t>
        </is>
      </c>
      <c r="J344" t="inlineStr">
        <is>
          <t>B2</t>
        </is>
      </c>
      <c r="K344" t="n">
        <v>0</v>
      </c>
      <c r="L344" t="inlineStr">
        <is>
          <t>This land enters tapped.
{T}: Add {W} or {U}.</t>
        </is>
      </c>
      <c r="M344" t="inlineStr">
        <is>
          <t>Land</t>
        </is>
      </c>
      <c r="N344" t="inlineStr">
        <is>
          <t>This land enters tapped. / {T}: Add {W} or {U}.</t>
        </is>
      </c>
      <c r="R344" t="n">
        <v>0.12</v>
      </c>
    </row>
    <row r="345" ht="15" customHeight="1" s="148">
      <c r="A345" t="inlineStr">
        <is>
          <t>c0344</t>
        </is>
      </c>
      <c r="B345" t="inlineStr">
        <is>
          <t>Mirkwood</t>
        </is>
      </c>
      <c r="C345" t="n">
        <v>4</v>
      </c>
      <c r="E345" t="n">
        <v>2</v>
      </c>
      <c r="F345" t="n">
        <v>2</v>
      </c>
      <c r="G345" t="n">
        <v>2</v>
      </c>
      <c r="H345" t="inlineStr">
        <is>
          <t>L</t>
        </is>
      </c>
      <c r="I345" t="inlineStr">
        <is>
          <t>Land</t>
        </is>
      </c>
      <c r="J345" t="inlineStr">
        <is>
          <t>B2</t>
        </is>
      </c>
      <c r="K345" t="n">
        <v>0</v>
      </c>
      <c r="L345" t="inlineStr">
        <is>
          <t>This land enters tapped.
{T}: Add {B} or {G}.
{2}{B}{G}, {T}, Sacrifice this land: Put two +1/+1 counters on target Bear, Spider, or Wolf you control. Activate only as a sorcery.</t>
        </is>
      </c>
      <c r="M345" t="inlineStr">
        <is>
          <t>Land</t>
        </is>
      </c>
      <c r="N345" t="inlineStr">
        <is>
          <t>Taps for {B} or {G}</t>
        </is>
      </c>
      <c r="O345" t="inlineStr">
        <is>
          <t>Sacrifice to put two +1/+1 counters on target Bear, Spider, or Wolf you control</t>
        </is>
      </c>
      <c r="R345" t="n">
        <v>0.18</v>
      </c>
    </row>
    <row r="346" ht="15" customHeight="1" s="148">
      <c r="A346" t="inlineStr">
        <is>
          <t>c0345</t>
        </is>
      </c>
      <c r="B346" t="inlineStr">
        <is>
          <t>Mistveil Plains</t>
        </is>
      </c>
      <c r="C346" t="n">
        <v>1</v>
      </c>
      <c r="E346" t="n">
        <v>1</v>
      </c>
      <c r="F346" t="n">
        <v>0</v>
      </c>
      <c r="G346" t="n">
        <v>1</v>
      </c>
      <c r="H346" t="inlineStr">
        <is>
          <t>L</t>
        </is>
      </c>
      <c r="I346" t="inlineStr">
        <is>
          <t>Land</t>
        </is>
      </c>
      <c r="J346" t="inlineStr">
        <is>
          <t>B2</t>
        </is>
      </c>
      <c r="K346" t="n">
        <v>0</v>
      </c>
      <c r="L346" t="inlineStr">
        <is>
          <t>({T}: Add {W}.)
This land enters tapped.
{W}, {T}: Put target card from your graveyard on the bottom of your library. Activate only if you control two or more white permanents.</t>
        </is>
      </c>
      <c r="M346" t="inlineStr">
        <is>
          <t>Land</t>
        </is>
      </c>
      <c r="N346" t="inlineStr">
        <is>
          <t>Taps for {W}</t>
        </is>
      </c>
      <c r="O346" t="inlineStr">
        <is>
          <t>Enters tapped</t>
        </is>
      </c>
      <c r="P346" t="inlineStr">
        <is>
          <t>Pay {W}, tap: put a card from graveyard on bottom of library</t>
        </is>
      </c>
      <c r="R346" t="n">
        <v>0.27</v>
      </c>
    </row>
    <row r="347" ht="15" customHeight="1" s="148">
      <c r="A347" t="inlineStr">
        <is>
          <t>c0346</t>
        </is>
      </c>
      <c r="B347" t="inlineStr">
        <is>
          <t>Mountain</t>
        </is>
      </c>
      <c r="C347" t="n">
        <v>88</v>
      </c>
      <c r="E347" t="n">
        <v>41</v>
      </c>
      <c r="F347" t="n">
        <v>47</v>
      </c>
      <c r="G347" t="n">
        <v>41</v>
      </c>
      <c r="H347" t="inlineStr">
        <is>
          <t>L</t>
        </is>
      </c>
      <c r="I347" t="inlineStr">
        <is>
          <t>Basic Land</t>
        </is>
      </c>
      <c r="J347" t="inlineStr">
        <is>
          <t>B2</t>
        </is>
      </c>
      <c r="K347" t="n">
        <v>0</v>
      </c>
      <c r="L347" t="inlineStr">
        <is>
          <t>({T}: Add {R}.)</t>
        </is>
      </c>
      <c r="M347" t="inlineStr">
        <is>
          <t>Land</t>
        </is>
      </c>
      <c r="N347" t="inlineStr">
        <is>
          <t>Taps for {R}</t>
        </is>
      </c>
      <c r="R347" t="n">
        <v>0.1</v>
      </c>
    </row>
    <row r="348" ht="15" customHeight="1" s="148">
      <c r="A348" t="inlineStr">
        <is>
          <t>c0347</t>
        </is>
      </c>
      <c r="B348" t="inlineStr">
        <is>
          <t>Myriad Landscape</t>
        </is>
      </c>
      <c r="C348" t="n">
        <v>1</v>
      </c>
      <c r="E348" t="n">
        <v>1</v>
      </c>
      <c r="F348" t="n">
        <v>0</v>
      </c>
      <c r="G348" t="n">
        <v>0</v>
      </c>
      <c r="H348" t="inlineStr">
        <is>
          <t>L</t>
        </is>
      </c>
      <c r="I348" t="inlineStr">
        <is>
          <t>Land</t>
        </is>
      </c>
      <c r="J348" t="inlineStr">
        <is>
          <t>B2</t>
        </is>
      </c>
      <c r="K348" t="n">
        <v>0</v>
      </c>
      <c r="L348" t="inlineStr">
        <is>
          <t>This land enters tapped.
{T}: Add {C}.
{2}, {T}, Sacrifice this land: Search your library for up to two basic land cards that share a land type, put them onto the battlefield tapped, then shuffle.</t>
        </is>
      </c>
      <c r="M348" t="inlineStr">
        <is>
          <t>Flexible Fixing</t>
        </is>
      </c>
      <c r="N348" t="inlineStr">
        <is>
          <t>Taps for {C}</t>
        </is>
      </c>
      <c r="O348" t="inlineStr">
        <is>
          <t>Sacrifice: search for two basic lands sharing a land type, tapped</t>
        </is>
      </c>
      <c r="R348" t="n">
        <v>0.29</v>
      </c>
    </row>
    <row r="349" ht="15" customHeight="1" s="148">
      <c r="A349" t="inlineStr">
        <is>
          <t>c0348</t>
        </is>
      </c>
      <c r="B349" t="inlineStr">
        <is>
          <t>Naya Panorama</t>
        </is>
      </c>
      <c r="C349" t="n">
        <v>1</v>
      </c>
      <c r="E349" t="n">
        <v>0</v>
      </c>
      <c r="F349" t="n">
        <v>1</v>
      </c>
      <c r="G349" t="n">
        <v>0</v>
      </c>
      <c r="H349" t="inlineStr">
        <is>
          <t>L</t>
        </is>
      </c>
      <c r="I349" t="inlineStr">
        <is>
          <t>Land</t>
        </is>
      </c>
      <c r="J349" t="inlineStr">
        <is>
          <t>B2</t>
        </is>
      </c>
      <c r="K349" t="n">
        <v>0</v>
      </c>
      <c r="L349" t="inlineStr">
        <is>
          <t>{T}: Add {C}.
{1}, {T}, Sacrifice this land: Search your library for a basic Mountain, Forest, or Plains card, put it onto the battlefield tapped, then shuffle.</t>
        </is>
      </c>
      <c r="M349" t="inlineStr">
        <is>
          <t>Land</t>
        </is>
      </c>
      <c r="N349" t="inlineStr">
        <is>
          <t>Taps for {C}</t>
        </is>
      </c>
      <c r="O349" t="inlineStr">
        <is>
          <t>Sacrifice to search for a Mountain, Forest, or Plains card, put tapped</t>
        </is>
      </c>
      <c r="R349" t="n">
        <v>0.36</v>
      </c>
    </row>
    <row r="350" ht="15" customHeight="1" s="148">
      <c r="A350" t="inlineStr">
        <is>
          <t>c0349</t>
        </is>
      </c>
      <c r="B350" t="inlineStr">
        <is>
          <t>Night Market</t>
        </is>
      </c>
      <c r="C350" t="n">
        <v>1</v>
      </c>
      <c r="E350" t="n">
        <v>0</v>
      </c>
      <c r="F350" t="n">
        <v>1</v>
      </c>
      <c r="G350" t="n">
        <v>0</v>
      </c>
      <c r="H350" t="inlineStr">
        <is>
          <t>L</t>
        </is>
      </c>
      <c r="I350" t="inlineStr">
        <is>
          <t>Land</t>
        </is>
      </c>
      <c r="J350" t="inlineStr">
        <is>
          <t>B2</t>
        </is>
      </c>
      <c r="K350" t="n">
        <v>0</v>
      </c>
      <c r="L350" t="inlineStr">
        <is>
          <t>This land enters tapped. As it enters, choose a color.
{T}: Add one mana of the chosen color.
Cycling {3} ({3}, Discard this card: Draw a card.)</t>
        </is>
      </c>
      <c r="M350" t="inlineStr">
        <is>
          <t>Land</t>
        </is>
      </c>
      <c r="N350" t="inlineStr">
        <is>
          <t>Taps for a chosen color</t>
        </is>
      </c>
      <c r="O350" t="inlineStr">
        <is>
          <t>Enters tapped</t>
        </is>
      </c>
      <c r="P350" t="inlineStr">
        <is>
          <t>Discard for {3} to draw a card instead of playing it</t>
        </is>
      </c>
      <c r="R350" t="n">
        <v>0.3</v>
      </c>
    </row>
    <row r="351" ht="15" customHeight="1" s="148">
      <c r="A351" t="inlineStr">
        <is>
          <t>c0350</t>
        </is>
      </c>
      <c r="B351" t="inlineStr">
        <is>
          <t>Orzhov Basilica</t>
        </is>
      </c>
      <c r="C351" t="n">
        <v>1</v>
      </c>
      <c r="E351" t="n">
        <v>1</v>
      </c>
      <c r="F351" t="n">
        <v>0</v>
      </c>
      <c r="G351" t="n">
        <v>1</v>
      </c>
      <c r="H351" t="inlineStr">
        <is>
          <t>L</t>
        </is>
      </c>
      <c r="I351" t="inlineStr">
        <is>
          <t>Land</t>
        </is>
      </c>
      <c r="J351" t="inlineStr">
        <is>
          <t>B2</t>
        </is>
      </c>
      <c r="K351" t="n">
        <v>0</v>
      </c>
      <c r="L351" t="inlineStr">
        <is>
          <t>This land enters tapped.
When this land enters, return a land you control to its owner's hand.
{T}: Add {W}{B}.</t>
        </is>
      </c>
      <c r="M351" t="inlineStr">
        <is>
          <t>Land</t>
        </is>
      </c>
      <c r="N351" t="inlineStr">
        <is>
          <t>Taps for {W}{B}</t>
        </is>
      </c>
      <c r="O351" t="inlineStr">
        <is>
          <t>Enters tapped; bounces a land you control when it enters</t>
        </is>
      </c>
      <c r="R351" t="n">
        <v>0.27</v>
      </c>
    </row>
    <row r="352" ht="15" customHeight="1" s="148">
      <c r="A352" t="inlineStr">
        <is>
          <t>c0351</t>
        </is>
      </c>
      <c r="B352" t="inlineStr">
        <is>
          <t>Orzhov Guildgate</t>
        </is>
      </c>
      <c r="C352" t="n">
        <v>1</v>
      </c>
      <c r="E352" t="n">
        <v>1</v>
      </c>
      <c r="F352" t="n">
        <v>0</v>
      </c>
      <c r="G352" t="n">
        <v>1</v>
      </c>
      <c r="H352" t="inlineStr">
        <is>
          <t>L</t>
        </is>
      </c>
      <c r="I352" t="inlineStr">
        <is>
          <t>Land</t>
        </is>
      </c>
      <c r="J352" t="inlineStr">
        <is>
          <t>B2</t>
        </is>
      </c>
      <c r="K352" t="n">
        <v>0</v>
      </c>
      <c r="L352" t="inlineStr">
        <is>
          <t>This land enters tapped.
{T}: Add {W} or {B}.</t>
        </is>
      </c>
      <c r="M352" t="inlineStr">
        <is>
          <t>Land</t>
        </is>
      </c>
      <c r="N352" t="inlineStr">
        <is>
          <t>This land enters tapped. / {T}: Add {W} or {B}.</t>
        </is>
      </c>
      <c r="R352" t="n">
        <v>0.13</v>
      </c>
    </row>
    <row r="353" ht="15" customHeight="1" s="148">
      <c r="A353" t="inlineStr">
        <is>
          <t>c0352</t>
        </is>
      </c>
      <c r="B353" t="inlineStr">
        <is>
          <t>Paradox Gardens</t>
        </is>
      </c>
      <c r="C353" t="n">
        <v>1</v>
      </c>
      <c r="E353" t="n">
        <v>1</v>
      </c>
      <c r="F353" t="n">
        <v>0</v>
      </c>
      <c r="G353" t="n">
        <v>1</v>
      </c>
      <c r="H353" t="inlineStr">
        <is>
          <t>L</t>
        </is>
      </c>
      <c r="I353" t="inlineStr">
        <is>
          <t>Land</t>
        </is>
      </c>
      <c r="J353" t="inlineStr">
        <is>
          <t>B2</t>
        </is>
      </c>
      <c r="K353" t="n">
        <v>0</v>
      </c>
      <c r="L353" t="inlineStr">
        <is>
          <t>This land enters tapped.
{T}: Add {G} or {U}.
{2}{G}{U}, {T}: Surveil 1. (Look at the top card of your library. You may put it into your graveyard.)</t>
        </is>
      </c>
      <c r="M353" t="inlineStr">
        <is>
          <t>Land</t>
        </is>
      </c>
      <c r="N353" t="inlineStr">
        <is>
          <t>Taps for {G} or {U}</t>
        </is>
      </c>
      <c r="O353" t="inlineStr">
        <is>
          <t>Enters tapped</t>
        </is>
      </c>
      <c r="P353" t="inlineStr">
        <is>
          <t>{2}{G}{U}, {T}: Surveil 1</t>
        </is>
      </c>
      <c r="R353" t="n">
        <v>0.17</v>
      </c>
    </row>
    <row r="354" ht="15" customHeight="1" s="148">
      <c r="A354" t="inlineStr">
        <is>
          <t>c0353</t>
        </is>
      </c>
      <c r="B354" t="inlineStr">
        <is>
          <t>Path of Ancestry</t>
        </is>
      </c>
      <c r="C354" t="n">
        <v>1</v>
      </c>
      <c r="E354" t="n">
        <v>1</v>
      </c>
      <c r="F354" t="n">
        <v>0</v>
      </c>
      <c r="G354" t="n">
        <v>1</v>
      </c>
      <c r="H354" t="inlineStr">
        <is>
          <t>L</t>
        </is>
      </c>
      <c r="I354" t="inlineStr">
        <is>
          <t>Land</t>
        </is>
      </c>
      <c r="J354" t="inlineStr">
        <is>
          <t>B2</t>
        </is>
      </c>
      <c r="K354" t="n">
        <v>0</v>
      </c>
      <c r="L354" t="inlineStr">
        <is>
          <t>This land enters tapped.
{T}: Add one mana of any color in your commander's color identity. When that mana is spent to cast a creature spell that shares a creature type with your commander, scry 1. (Look at the top card of your library. You may put that card on the bottom.)</t>
        </is>
      </c>
      <c r="M354" t="inlineStr">
        <is>
          <t>Land</t>
        </is>
      </c>
      <c r="N354" t="inlineStr">
        <is>
          <t>Taps for one mana in your commander's color identity</t>
        </is>
      </c>
      <c r="O354" t="inlineStr">
        <is>
          <t>Scry 1 when that mana casts a creature sharing a type with your commander</t>
        </is>
      </c>
      <c r="R354" t="n">
        <v>0.22</v>
      </c>
    </row>
    <row r="355" ht="15" customHeight="1" s="148">
      <c r="A355" t="inlineStr">
        <is>
          <t>c0354</t>
        </is>
      </c>
      <c r="B355" t="inlineStr">
        <is>
          <t>Plains</t>
        </is>
      </c>
      <c r="C355" t="n">
        <v>95</v>
      </c>
      <c r="E355" t="n">
        <v>46</v>
      </c>
      <c r="F355" t="n">
        <v>49</v>
      </c>
      <c r="G355" t="n">
        <v>46</v>
      </c>
      <c r="H355" t="inlineStr">
        <is>
          <t>L</t>
        </is>
      </c>
      <c r="I355" t="inlineStr">
        <is>
          <t>Basic Land</t>
        </is>
      </c>
      <c r="J355" t="inlineStr">
        <is>
          <t>B2</t>
        </is>
      </c>
      <c r="K355" t="n">
        <v>0</v>
      </c>
      <c r="L355" t="inlineStr">
        <is>
          <t>({T}: Add {W}.)</t>
        </is>
      </c>
      <c r="M355" t="inlineStr">
        <is>
          <t>Land</t>
        </is>
      </c>
      <c r="N355" t="inlineStr">
        <is>
          <t>Taps for {W}</t>
        </is>
      </c>
      <c r="R355" t="n">
        <v>0.1</v>
      </c>
    </row>
    <row r="356" ht="15" customHeight="1" s="148">
      <c r="A356" t="inlineStr">
        <is>
          <t>c0355</t>
        </is>
      </c>
      <c r="B356" t="inlineStr">
        <is>
          <t>Plaza of Heroes</t>
        </is>
      </c>
      <c r="C356" t="n">
        <v>1</v>
      </c>
      <c r="E356" t="n">
        <v>1</v>
      </c>
      <c r="F356" t="n">
        <v>0</v>
      </c>
      <c r="G356" t="n">
        <v>1</v>
      </c>
      <c r="H356" t="inlineStr">
        <is>
          <t>L</t>
        </is>
      </c>
      <c r="I356" t="inlineStr">
        <is>
          <t>Land</t>
        </is>
      </c>
      <c r="J356" t="inlineStr">
        <is>
          <t>B2</t>
        </is>
      </c>
      <c r="K356" t="n">
        <v>0</v>
      </c>
      <c r="L356" t="inlineStr">
        <is>
          <t>{T}: Add {C}.
{T}: Add one mana of any color. Spend this mana only to cast a legendary spell.
{T}: Add one mana of any color among legendary permanents you control.
{3}, {T}, Exile this land: Target legendary creature gains hexproof and indestructible until end of turn.</t>
        </is>
      </c>
      <c r="M356" t="inlineStr">
        <is>
          <t>Land</t>
        </is>
      </c>
      <c r="N356" t="inlineStr">
        <is>
          <t>Taps for {C}, or any color for a legendary spell, or any color among legendary permanents you control</t>
        </is>
      </c>
      <c r="O356" t="inlineStr">
        <is>
          <t>{3}, {T}, Exile: target legendary creature gains hexproof and indestructible until end of turn</t>
        </is>
      </c>
      <c r="R356" t="n">
        <v>4.82</v>
      </c>
    </row>
    <row r="357" ht="15" customHeight="1" s="148">
      <c r="A357" t="inlineStr">
        <is>
          <t>c0356</t>
        </is>
      </c>
      <c r="B357" t="inlineStr">
        <is>
          <t>Radiant Grove</t>
        </is>
      </c>
      <c r="C357" t="n">
        <v>0</v>
      </c>
      <c r="E357" t="n">
        <v>0</v>
      </c>
      <c r="F357" t="n">
        <v>0</v>
      </c>
      <c r="G357" t="n">
        <v>0</v>
      </c>
      <c r="H357" t="inlineStr">
        <is>
          <t>L</t>
        </is>
      </c>
      <c r="I357" t="inlineStr">
        <is>
          <t>Land</t>
        </is>
      </c>
      <c r="J357" t="inlineStr">
        <is>
          <t>B2</t>
        </is>
      </c>
      <c r="K357" t="n">
        <v>0</v>
      </c>
      <c r="L357" t="inlineStr">
        <is>
          <t>({T}: Add {G} or {W}.)
This land enters tapped.</t>
        </is>
      </c>
      <c r="M357" t="inlineStr">
        <is>
          <t>Land</t>
        </is>
      </c>
      <c r="N357" t="inlineStr">
        <is>
          <t>Taps for {G} or {W}</t>
        </is>
      </c>
      <c r="O357" t="inlineStr">
        <is>
          <t>Enters tapped</t>
        </is>
      </c>
      <c r="Q357" t="n">
        <v>1</v>
      </c>
      <c r="R357" t="n">
        <v>0.22</v>
      </c>
    </row>
    <row r="358" ht="15" customHeight="1" s="148">
      <c r="A358" t="inlineStr">
        <is>
          <t>c0357</t>
        </is>
      </c>
      <c r="B358" t="inlineStr">
        <is>
          <t>Radiant Summit</t>
        </is>
      </c>
      <c r="C358" t="n">
        <v>1</v>
      </c>
      <c r="E358" t="n">
        <v>1</v>
      </c>
      <c r="F358" t="n">
        <v>0</v>
      </c>
      <c r="G358" t="n">
        <v>1</v>
      </c>
      <c r="H358" t="inlineStr">
        <is>
          <t>L</t>
        </is>
      </c>
      <c r="I358" t="inlineStr">
        <is>
          <t>Land</t>
        </is>
      </c>
      <c r="J358" t="inlineStr">
        <is>
          <t>B2</t>
        </is>
      </c>
      <c r="K358" t="n">
        <v>0</v>
      </c>
      <c r="L358" t="inlineStr">
        <is>
          <t>({T}: Add {R} or {W}.)
This land enters tapped unless you control two or more basic lands.</t>
        </is>
      </c>
      <c r="M358" t="inlineStr">
        <is>
          <t>Land</t>
        </is>
      </c>
      <c r="N358" t="inlineStr">
        <is>
          <t>Taps for {R} or {W}</t>
        </is>
      </c>
      <c r="O358" t="inlineStr">
        <is>
          <t>Enters tapped unless you control two or more basic lands</t>
        </is>
      </c>
      <c r="R358" t="n">
        <v>0.4</v>
      </c>
    </row>
    <row r="359" ht="15" customHeight="1" s="148">
      <c r="A359" t="inlineStr">
        <is>
          <t>c0358</t>
        </is>
      </c>
      <c r="B359" t="inlineStr">
        <is>
          <t>Reliquary Tower</t>
        </is>
      </c>
      <c r="C359" t="n">
        <v>2</v>
      </c>
      <c r="E359" t="n">
        <v>2</v>
      </c>
      <c r="F359" t="n">
        <v>0</v>
      </c>
      <c r="G359" t="n">
        <v>2</v>
      </c>
      <c r="H359" t="inlineStr">
        <is>
          <t>L</t>
        </is>
      </c>
      <c r="I359" t="inlineStr">
        <is>
          <t>Land</t>
        </is>
      </c>
      <c r="J359" t="inlineStr">
        <is>
          <t>B2</t>
        </is>
      </c>
      <c r="K359" t="n">
        <v>0</v>
      </c>
      <c r="L359" t="inlineStr">
        <is>
          <t>You have no maximum hand size.
{T}: Add {C}.</t>
        </is>
      </c>
      <c r="M359" t="inlineStr">
        <is>
          <t>Land</t>
        </is>
      </c>
      <c r="N359" t="inlineStr">
        <is>
          <t>You have no maximum hand size</t>
        </is>
      </c>
      <c r="O359" t="inlineStr">
        <is>
          <t>{T}: Add {C}</t>
        </is>
      </c>
      <c r="R359" t="n">
        <v>3.58</v>
      </c>
    </row>
    <row r="360" ht="15" customHeight="1" s="148">
      <c r="A360" t="inlineStr">
        <is>
          <t>c0359</t>
        </is>
      </c>
      <c r="B360" t="inlineStr">
        <is>
          <t>Rugged Highlands</t>
        </is>
      </c>
      <c r="C360" t="n">
        <v>1</v>
      </c>
      <c r="E360" t="n">
        <v>0</v>
      </c>
      <c r="F360" t="n">
        <v>1</v>
      </c>
      <c r="G360" t="n">
        <v>0</v>
      </c>
      <c r="H360" t="inlineStr">
        <is>
          <t>L</t>
        </is>
      </c>
      <c r="I360" t="inlineStr">
        <is>
          <t>Land</t>
        </is>
      </c>
      <c r="J360" t="inlineStr">
        <is>
          <t>B2</t>
        </is>
      </c>
      <c r="K360" t="n">
        <v>0</v>
      </c>
      <c r="L360" t="inlineStr">
        <is>
          <t>This land enters tapped.
When this land enters, you gain 1 life.
{T}: Add {R} or {G}.</t>
        </is>
      </c>
      <c r="M360" t="inlineStr">
        <is>
          <t>Land</t>
        </is>
      </c>
      <c r="N360" t="inlineStr">
        <is>
          <t>Taps for {R} or {G}</t>
        </is>
      </c>
      <c r="O360" t="inlineStr">
        <is>
          <t>Gain 1 life when it enters</t>
        </is>
      </c>
      <c r="R360" t="n">
        <v>0.12</v>
      </c>
    </row>
    <row r="361" ht="15" customHeight="1" s="148">
      <c r="A361" t="inlineStr">
        <is>
          <t>c0360</t>
        </is>
      </c>
      <c r="B361" t="inlineStr">
        <is>
          <t>Rugged Prairie</t>
        </is>
      </c>
      <c r="C361" t="n">
        <v>1</v>
      </c>
      <c r="E361" t="n">
        <v>1</v>
      </c>
      <c r="F361" t="n">
        <v>0</v>
      </c>
      <c r="G361" t="n">
        <v>1</v>
      </c>
      <c r="H361" t="inlineStr">
        <is>
          <t>L</t>
        </is>
      </c>
      <c r="I361" t="inlineStr">
        <is>
          <t>Land</t>
        </is>
      </c>
      <c r="J361" t="inlineStr">
        <is>
          <t>B2</t>
        </is>
      </c>
      <c r="K361" t="n">
        <v>0</v>
      </c>
      <c r="L361" t="inlineStr">
        <is>
          <t>{T}: Add {C}.
{R/W}, {T}: Add {R}{R}, {R}{W}, or {W}{W}.</t>
        </is>
      </c>
      <c r="M361" t="inlineStr">
        <is>
          <t>Land</t>
        </is>
      </c>
      <c r="N361" t="inlineStr">
        <is>
          <t>Taps for {C}</t>
        </is>
      </c>
      <c r="O361" t="inlineStr">
        <is>
          <t>Pay a hybrid mana, tap: add two red and/or white mana</t>
        </is>
      </c>
      <c r="R361" t="n">
        <v>0.3</v>
      </c>
    </row>
    <row r="362" ht="15" customHeight="1" s="148">
      <c r="A362" t="inlineStr">
        <is>
          <t>c0361</t>
        </is>
      </c>
      <c r="B362" t="inlineStr">
        <is>
          <t>Sacred Peaks</t>
        </is>
      </c>
      <c r="C362" t="n">
        <v>1</v>
      </c>
      <c r="E362" t="n">
        <v>1</v>
      </c>
      <c r="F362" t="n">
        <v>0</v>
      </c>
      <c r="G362" t="n">
        <v>1</v>
      </c>
      <c r="H362" t="inlineStr">
        <is>
          <t>L</t>
        </is>
      </c>
      <c r="I362" t="inlineStr">
        <is>
          <t>Land</t>
        </is>
      </c>
      <c r="J362" t="inlineStr">
        <is>
          <t>B2</t>
        </is>
      </c>
      <c r="K362" t="n">
        <v>0</v>
      </c>
      <c r="L362" t="inlineStr">
        <is>
          <t>({T}: Add {R} or {W}.)
This land enters tapped.</t>
        </is>
      </c>
      <c r="M362" t="inlineStr">
        <is>
          <t>Land</t>
        </is>
      </c>
      <c r="N362" t="inlineStr">
        <is>
          <t>Taps for {R} or {W}</t>
        </is>
      </c>
      <c r="O362" t="inlineStr">
        <is>
          <t>Enters tapped</t>
        </is>
      </c>
      <c r="R362" t="n">
        <v>0.28</v>
      </c>
    </row>
    <row r="363" ht="15" customHeight="1" s="148">
      <c r="A363" t="inlineStr">
        <is>
          <t>c0362</t>
        </is>
      </c>
      <c r="B363" t="inlineStr">
        <is>
          <t>Sandsteppe Citadel</t>
        </is>
      </c>
      <c r="C363" t="n">
        <v>1</v>
      </c>
      <c r="E363" t="n">
        <v>1</v>
      </c>
      <c r="F363" t="n">
        <v>0</v>
      </c>
      <c r="G363" t="n">
        <v>1</v>
      </c>
      <c r="H363" t="inlineStr">
        <is>
          <t>L</t>
        </is>
      </c>
      <c r="I363" t="inlineStr">
        <is>
          <t>Land</t>
        </is>
      </c>
      <c r="J363" t="inlineStr">
        <is>
          <t>B2</t>
        </is>
      </c>
      <c r="K363" t="n">
        <v>0</v>
      </c>
      <c r="L363" t="inlineStr">
        <is>
          <t>This land enters tapped.
{T}: Add {W}, {B}, or {G}.</t>
        </is>
      </c>
      <c r="M363" t="inlineStr">
        <is>
          <t>Land</t>
        </is>
      </c>
      <c r="N363" t="inlineStr">
        <is>
          <t>Taps for {W}, {B}, or {G}</t>
        </is>
      </c>
      <c r="O363" t="inlineStr">
        <is>
          <t>Enters tapped</t>
        </is>
      </c>
      <c r="R363" t="n">
        <v>0.39</v>
      </c>
    </row>
    <row r="364" ht="15" customHeight="1" s="148">
      <c r="A364" t="inlineStr">
        <is>
          <t>c0363</t>
        </is>
      </c>
      <c r="B364" t="inlineStr">
        <is>
          <t>Scoured Barrens</t>
        </is>
      </c>
      <c r="C364" t="n">
        <v>1</v>
      </c>
      <c r="E364" t="n">
        <v>1</v>
      </c>
      <c r="F364" t="n">
        <v>0</v>
      </c>
      <c r="G364" t="n">
        <v>1</v>
      </c>
      <c r="H364" t="inlineStr">
        <is>
          <t>L</t>
        </is>
      </c>
      <c r="I364" t="inlineStr">
        <is>
          <t>Land</t>
        </is>
      </c>
      <c r="J364" t="inlineStr">
        <is>
          <t>B2</t>
        </is>
      </c>
      <c r="K364" t="n">
        <v>0</v>
      </c>
      <c r="L364" t="inlineStr">
        <is>
          <t>This land enters tapped.
When this land enters, you gain 1 life.
{T}: Add {W} or {B}.</t>
        </is>
      </c>
      <c r="M364" t="inlineStr">
        <is>
          <t>Land</t>
        </is>
      </c>
      <c r="N364" t="inlineStr">
        <is>
          <t>Taps for {W} or {B}</t>
        </is>
      </c>
      <c r="O364" t="inlineStr">
        <is>
          <t>Gain 1 life when it enters</t>
        </is>
      </c>
      <c r="R364" t="n">
        <v>0.23</v>
      </c>
    </row>
    <row r="365" ht="15" customHeight="1" s="148">
      <c r="A365" t="inlineStr">
        <is>
          <t>c0364</t>
        </is>
      </c>
      <c r="B365" t="inlineStr">
        <is>
          <t>Seaside Citadel</t>
        </is>
      </c>
      <c r="C365" t="n">
        <v>1</v>
      </c>
      <c r="E365" t="n">
        <v>1</v>
      </c>
      <c r="F365" t="n">
        <v>0</v>
      </c>
      <c r="G365" t="n">
        <v>1</v>
      </c>
      <c r="H365" t="inlineStr">
        <is>
          <t>L</t>
        </is>
      </c>
      <c r="I365" t="inlineStr">
        <is>
          <t>Land</t>
        </is>
      </c>
      <c r="J365" t="inlineStr">
        <is>
          <t>B2</t>
        </is>
      </c>
      <c r="K365" t="n">
        <v>0</v>
      </c>
      <c r="L365" t="inlineStr">
        <is>
          <t>This land enters tapped.
{T}: Add {G}, {W}, or {U}.</t>
        </is>
      </c>
      <c r="M365" t="inlineStr">
        <is>
          <t>Land</t>
        </is>
      </c>
      <c r="N365" t="inlineStr">
        <is>
          <t>Taps for {G}, {W}, or {U}</t>
        </is>
      </c>
      <c r="O365" t="inlineStr">
        <is>
          <t>Enters tapped</t>
        </is>
      </c>
      <c r="R365" t="n">
        <v>0.37</v>
      </c>
    </row>
    <row r="366" ht="15" customHeight="1" s="148">
      <c r="A366" t="inlineStr">
        <is>
          <t>c0365</t>
        </is>
      </c>
      <c r="B366" t="inlineStr">
        <is>
          <t>Selesnya Guildgate</t>
        </is>
      </c>
      <c r="C366" t="n">
        <v>2</v>
      </c>
      <c r="E366" t="n">
        <v>2</v>
      </c>
      <c r="F366" t="n">
        <v>0</v>
      </c>
      <c r="G366" t="n">
        <v>2</v>
      </c>
      <c r="H366" t="inlineStr">
        <is>
          <t>L</t>
        </is>
      </c>
      <c r="I366" t="inlineStr">
        <is>
          <t>Land</t>
        </is>
      </c>
      <c r="J366" t="inlineStr">
        <is>
          <t>B2</t>
        </is>
      </c>
      <c r="K366" t="n">
        <v>0</v>
      </c>
      <c r="L366" t="inlineStr">
        <is>
          <t>This land enters tapped.
{T}: Add {G} or {W}.</t>
        </is>
      </c>
      <c r="M366" t="inlineStr">
        <is>
          <t>Land</t>
        </is>
      </c>
      <c r="N366" t="inlineStr">
        <is>
          <t>This land enters tapped. / {T}: Add {G} or {W}.</t>
        </is>
      </c>
      <c r="R366" t="n">
        <v>0.11</v>
      </c>
    </row>
    <row r="367" ht="15" customHeight="1" s="148">
      <c r="A367" t="inlineStr">
        <is>
          <t>c0366</t>
        </is>
      </c>
      <c r="B367" t="inlineStr">
        <is>
          <t>Shineshadow Snarl</t>
        </is>
      </c>
      <c r="C367" t="n">
        <v>0</v>
      </c>
      <c r="E367" t="n">
        <v>0</v>
      </c>
      <c r="F367" t="n">
        <v>0</v>
      </c>
      <c r="G367" t="n">
        <v>0</v>
      </c>
      <c r="H367" t="inlineStr">
        <is>
          <t>L</t>
        </is>
      </c>
      <c r="I367" t="inlineStr">
        <is>
          <t>Land</t>
        </is>
      </c>
      <c r="J367" t="inlineStr">
        <is>
          <t>B2</t>
        </is>
      </c>
      <c r="K367" t="n">
        <v>0</v>
      </c>
      <c r="L367" t="inlineStr">
        <is>
          <t>As this land enters, you may reveal a Plains or Swamp card from your hand. If you don't, this land enters tapped.
{T}: Add {W} or {B}.</t>
        </is>
      </c>
      <c r="M367" t="inlineStr">
        <is>
          <t>Land</t>
        </is>
      </c>
      <c r="N367" t="inlineStr">
        <is>
          <t>Taps for {W} or {B}</t>
        </is>
      </c>
      <c r="O367" t="inlineStr">
        <is>
          <t>Enters untapped if you reveal a Plains or Swamp</t>
        </is>
      </c>
      <c r="R367" t="n">
        <v>0.27</v>
      </c>
    </row>
    <row r="368" ht="15" customHeight="1" s="148">
      <c r="A368" t="inlineStr">
        <is>
          <t>c0367</t>
        </is>
      </c>
      <c r="B368" t="inlineStr">
        <is>
          <t>Silverquill Campus</t>
        </is>
      </c>
      <c r="C368" t="n">
        <v>0</v>
      </c>
      <c r="E368" t="n">
        <v>0</v>
      </c>
      <c r="F368" t="n">
        <v>0</v>
      </c>
      <c r="G368" t="n">
        <v>0</v>
      </c>
      <c r="H368" t="inlineStr">
        <is>
          <t>L</t>
        </is>
      </c>
      <c r="I368" t="inlineStr">
        <is>
          <t>Land</t>
        </is>
      </c>
      <c r="J368" t="inlineStr">
        <is>
          <t>B2</t>
        </is>
      </c>
      <c r="K368" t="n">
        <v>0</v>
      </c>
      <c r="L368" t="inlineStr">
        <is>
          <t>This land enters tapped.
{T}: Add {W} or {B}.
{4}, {T}: Scry 1. (Look at the top card of your library. You may put that card on the bottom.)</t>
        </is>
      </c>
      <c r="M368" t="inlineStr">
        <is>
          <t>Land</t>
        </is>
      </c>
      <c r="N368" t="inlineStr">
        <is>
          <t>Taps for {W} or {B} (enters tapped)</t>
        </is>
      </c>
      <c r="O368" t="inlineStr">
        <is>
          <t>{4}, tap: Scry 1</t>
        </is>
      </c>
      <c r="R368" t="n">
        <v>0.29</v>
      </c>
    </row>
    <row r="369" ht="15" customHeight="1" s="148">
      <c r="A369" t="inlineStr">
        <is>
          <t>c0368</t>
        </is>
      </c>
      <c r="B369" t="inlineStr">
        <is>
          <t>Simic Guildgate</t>
        </is>
      </c>
      <c r="C369" t="n">
        <v>2</v>
      </c>
      <c r="E369" t="n">
        <v>2</v>
      </c>
      <c r="F369" t="n">
        <v>0</v>
      </c>
      <c r="G369" t="n">
        <v>2</v>
      </c>
      <c r="H369" t="inlineStr">
        <is>
          <t>L</t>
        </is>
      </c>
      <c r="I369" t="inlineStr">
        <is>
          <t>Land</t>
        </is>
      </c>
      <c r="J369" t="inlineStr">
        <is>
          <t>B2</t>
        </is>
      </c>
      <c r="K369" t="n">
        <v>0</v>
      </c>
      <c r="L369" t="inlineStr">
        <is>
          <t>This land enters tapped.
{T}: Add {G} or {U}.</t>
        </is>
      </c>
      <c r="M369" t="inlineStr">
        <is>
          <t>Land</t>
        </is>
      </c>
      <c r="N369" t="inlineStr">
        <is>
          <t>Taps for {G} or {U}</t>
        </is>
      </c>
      <c r="R369" t="n">
        <v>0.11</v>
      </c>
    </row>
    <row r="370" ht="15" customHeight="1" s="148">
      <c r="A370" t="inlineStr">
        <is>
          <t>c0369</t>
        </is>
      </c>
      <c r="B370" t="inlineStr">
        <is>
          <t>Stone Quarry</t>
        </is>
      </c>
      <c r="C370" t="n">
        <v>1</v>
      </c>
      <c r="E370" t="n">
        <v>1</v>
      </c>
      <c r="F370" t="n">
        <v>0</v>
      </c>
      <c r="G370" t="n">
        <v>1</v>
      </c>
      <c r="H370" t="inlineStr">
        <is>
          <t>L</t>
        </is>
      </c>
      <c r="I370" t="inlineStr">
        <is>
          <t>Land</t>
        </is>
      </c>
      <c r="J370" t="inlineStr">
        <is>
          <t>B2</t>
        </is>
      </c>
      <c r="K370" t="n">
        <v>0</v>
      </c>
      <c r="L370" t="inlineStr">
        <is>
          <t>This land enters tapped.
{T}: Add {R} or {W}.</t>
        </is>
      </c>
      <c r="M370" t="inlineStr">
        <is>
          <t>Land</t>
        </is>
      </c>
      <c r="N370" t="inlineStr">
        <is>
          <t>Taps for {R} or {W}</t>
        </is>
      </c>
      <c r="O370" t="inlineStr">
        <is>
          <t>Enters tapped</t>
        </is>
      </c>
      <c r="R370" t="n">
        <v>0.17</v>
      </c>
    </row>
    <row r="371" ht="15" customHeight="1" s="148">
      <c r="A371" t="inlineStr">
        <is>
          <t>c0370</t>
        </is>
      </c>
      <c r="B371" t="inlineStr">
        <is>
          <t>Study Hall</t>
        </is>
      </c>
      <c r="C371" t="n">
        <v>1</v>
      </c>
      <c r="E371" t="n">
        <v>1</v>
      </c>
      <c r="F371" t="n">
        <v>0</v>
      </c>
      <c r="G371" t="n">
        <v>1</v>
      </c>
      <c r="H371" t="inlineStr">
        <is>
          <t>L</t>
        </is>
      </c>
      <c r="I371" t="inlineStr">
        <is>
          <t>Land</t>
        </is>
      </c>
      <c r="J371" t="inlineStr">
        <is>
          <t>B2</t>
        </is>
      </c>
      <c r="K371" t="n">
        <v>0</v>
      </c>
      <c r="L371" t="inlineStr">
        <is>
          <t>{T}: Add {C}.
{1}, {T}: Add one mana of any color. When you spend this mana to cast your commander, scry X, where X is the number of times it's been cast from the command zone this game.</t>
        </is>
      </c>
      <c r="M371" t="inlineStr">
        <is>
          <t>Land</t>
        </is>
      </c>
      <c r="N371" t="inlineStr">
        <is>
          <t>Taps for {C}</t>
        </is>
      </c>
      <c r="O371" t="inlineStr">
        <is>
          <t>Pay {1}, tap: add one mana of any color</t>
        </is>
      </c>
      <c r="P371" t="inlineStr">
        <is>
          <t>Scries when that mana casts your commander</t>
        </is>
      </c>
      <c r="R371" t="n">
        <v>0.23</v>
      </c>
    </row>
    <row r="372" ht="15" customHeight="1" s="148">
      <c r="A372" t="inlineStr">
        <is>
          <t>c0371</t>
        </is>
      </c>
      <c r="B372" t="inlineStr">
        <is>
          <t>Sunbaked Canyon</t>
        </is>
      </c>
      <c r="C372" t="n">
        <v>1</v>
      </c>
      <c r="E372" t="n">
        <v>1</v>
      </c>
      <c r="F372" t="n">
        <v>0</v>
      </c>
      <c r="G372" t="n">
        <v>1</v>
      </c>
      <c r="H372" t="inlineStr">
        <is>
          <t>L</t>
        </is>
      </c>
      <c r="I372" t="inlineStr">
        <is>
          <t>Land</t>
        </is>
      </c>
      <c r="J372" t="inlineStr">
        <is>
          <t>B3</t>
        </is>
      </c>
      <c r="K372" t="n">
        <v>0</v>
      </c>
      <c r="L372" t="inlineStr">
        <is>
          <t>{T}, Pay 1 life: Add {R} or {W}.
{1}, {T}, Sacrifice this land: Draw a card.</t>
        </is>
      </c>
      <c r="M372" t="inlineStr">
        <is>
          <t>Land</t>
        </is>
      </c>
      <c r="N372" t="inlineStr">
        <is>
          <t>{T}, Pay 1 life: Add {R} or {W}.
{1}, {T}, Sacrifice this land: Draw a card.</t>
        </is>
      </c>
      <c r="R372" t="n">
        <v>4.05</v>
      </c>
    </row>
    <row r="373" ht="15" customHeight="1" s="148">
      <c r="A373" t="inlineStr">
        <is>
          <t>c0372</t>
        </is>
      </c>
      <c r="B373" t="inlineStr">
        <is>
          <t>Sunpetal Grove</t>
        </is>
      </c>
      <c r="C373" t="n">
        <v>2</v>
      </c>
      <c r="E373" t="n">
        <v>2</v>
      </c>
      <c r="F373" t="n">
        <v>0</v>
      </c>
      <c r="G373" t="n">
        <v>2</v>
      </c>
      <c r="H373" t="inlineStr">
        <is>
          <t>L</t>
        </is>
      </c>
      <c r="I373" t="inlineStr">
        <is>
          <t>Land</t>
        </is>
      </c>
      <c r="J373" t="inlineStr">
        <is>
          <t>B2</t>
        </is>
      </c>
      <c r="K373" t="n">
        <v>0</v>
      </c>
      <c r="L373" t="inlineStr">
        <is>
          <t>This land enters tapped unless you control a Forest or a Plains.
{T}: Add {G} or {W}.</t>
        </is>
      </c>
      <c r="M373" t="inlineStr">
        <is>
          <t>Land</t>
        </is>
      </c>
      <c r="N373" t="inlineStr">
        <is>
          <t>Taps for {G} or {W}</t>
        </is>
      </c>
      <c r="O373" t="inlineStr">
        <is>
          <t>Enters untapped if you control a Forest or Plains</t>
        </is>
      </c>
      <c r="R373" t="n">
        <v>0.36</v>
      </c>
    </row>
    <row r="374" ht="15" customHeight="1" s="148">
      <c r="A374" t="inlineStr">
        <is>
          <t>c0373</t>
        </is>
      </c>
      <c r="B374" t="inlineStr">
        <is>
          <t>Sunscorched Divide</t>
        </is>
      </c>
      <c r="C374" t="n">
        <v>1</v>
      </c>
      <c r="E374" t="n">
        <v>1</v>
      </c>
      <c r="F374" t="n">
        <v>0</v>
      </c>
      <c r="G374" t="n">
        <v>1</v>
      </c>
      <c r="H374" t="inlineStr">
        <is>
          <t>L</t>
        </is>
      </c>
      <c r="I374" t="inlineStr">
        <is>
          <t>Land</t>
        </is>
      </c>
      <c r="J374" t="inlineStr">
        <is>
          <t>B2</t>
        </is>
      </c>
      <c r="K374" t="n">
        <v>0</v>
      </c>
      <c r="L374" t="inlineStr">
        <is>
          <t>{1}, {T}: Add {R}{W}.</t>
        </is>
      </c>
      <c r="M374" t="inlineStr">
        <is>
          <t>Land</t>
        </is>
      </c>
      <c r="N374" t="inlineStr">
        <is>
          <t>Pay {1}, tap: add {R}{W}</t>
        </is>
      </c>
      <c r="R374" t="n">
        <v>0.29</v>
      </c>
    </row>
    <row r="375" ht="15" customHeight="1" s="148">
      <c r="A375" t="inlineStr">
        <is>
          <t>c0374</t>
        </is>
      </c>
      <c r="B375" t="inlineStr">
        <is>
          <t>Swamp</t>
        </is>
      </c>
      <c r="C375" t="n">
        <v>84</v>
      </c>
      <c r="E375" t="n">
        <v>33</v>
      </c>
      <c r="F375" t="n">
        <v>51</v>
      </c>
      <c r="G375" t="n">
        <v>33</v>
      </c>
      <c r="H375" t="inlineStr">
        <is>
          <t>L</t>
        </is>
      </c>
      <c r="I375" t="inlineStr">
        <is>
          <t>Basic Land</t>
        </is>
      </c>
      <c r="J375" t="inlineStr">
        <is>
          <t>B2</t>
        </is>
      </c>
      <c r="K375" t="n">
        <v>0</v>
      </c>
      <c r="L375" t="inlineStr">
        <is>
          <t>({T}: Add {B}.)</t>
        </is>
      </c>
      <c r="M375" t="inlineStr">
        <is>
          <t>Land</t>
        </is>
      </c>
      <c r="N375" t="inlineStr">
        <is>
          <t>Taps for {B}</t>
        </is>
      </c>
      <c r="R375" t="n">
        <v>0.1</v>
      </c>
    </row>
    <row r="376" ht="15" customHeight="1" s="148">
      <c r="A376" t="inlineStr">
        <is>
          <t>c0375</t>
        </is>
      </c>
      <c r="B376" t="inlineStr">
        <is>
          <t>Temple of Enlightenment</t>
        </is>
      </c>
      <c r="C376" t="n">
        <v>1</v>
      </c>
      <c r="E376" t="n">
        <v>1</v>
      </c>
      <c r="F376" t="n">
        <v>0</v>
      </c>
      <c r="G376" t="n">
        <v>1</v>
      </c>
      <c r="H376" t="inlineStr">
        <is>
          <t>L</t>
        </is>
      </c>
      <c r="I376" t="inlineStr">
        <is>
          <t>Land</t>
        </is>
      </c>
      <c r="J376" t="inlineStr">
        <is>
          <t>B2</t>
        </is>
      </c>
      <c r="K376" t="n">
        <v>0</v>
      </c>
      <c r="L376" t="inlineStr">
        <is>
          <t>This land enters tapped.
When this land enters, scry 1. (Look at the top card of your library. You may put that card on the bottom.)
{T}: Add {W} or {U}.</t>
        </is>
      </c>
      <c r="M376" t="inlineStr">
        <is>
          <t>Land</t>
        </is>
      </c>
      <c r="N376" t="inlineStr">
        <is>
          <t>Taps for {W} or {U}</t>
        </is>
      </c>
      <c r="O376" t="inlineStr">
        <is>
          <t>Scry 1 when it enters</t>
        </is>
      </c>
      <c r="R376" t="n">
        <v>0.27</v>
      </c>
    </row>
    <row r="377" ht="15" customHeight="1" s="148">
      <c r="A377" t="inlineStr">
        <is>
          <t>c0376</t>
        </is>
      </c>
      <c r="B377" t="inlineStr">
        <is>
          <t>Temple of Silence</t>
        </is>
      </c>
      <c r="C377" t="n">
        <v>1</v>
      </c>
      <c r="E377" t="n">
        <v>1</v>
      </c>
      <c r="F377" t="n">
        <v>0</v>
      </c>
      <c r="G377" t="n">
        <v>1</v>
      </c>
      <c r="H377" t="inlineStr">
        <is>
          <t>L</t>
        </is>
      </c>
      <c r="I377" t="inlineStr">
        <is>
          <t>Land</t>
        </is>
      </c>
      <c r="J377" t="inlineStr">
        <is>
          <t>B2</t>
        </is>
      </c>
      <c r="K377" t="n">
        <v>0</v>
      </c>
      <c r="L377" t="inlineStr">
        <is>
          <t>This land enters tapped.
When this land enters, scry 1. (Look at the top card of your library. You may put that card on the bottom.)
{T}: Add {W} or {B}.</t>
        </is>
      </c>
      <c r="M377" t="inlineStr">
        <is>
          <t>Land</t>
        </is>
      </c>
      <c r="N377" t="inlineStr">
        <is>
          <t>Taps for {W} or {B}</t>
        </is>
      </c>
      <c r="O377" t="inlineStr">
        <is>
          <t>Enters tapped; scry 1 when it enters</t>
        </is>
      </c>
      <c r="R377" t="n">
        <v>0.35</v>
      </c>
    </row>
    <row r="378" ht="15" customHeight="1" s="148">
      <c r="A378" t="inlineStr">
        <is>
          <t>c0377</t>
        </is>
      </c>
      <c r="B378" t="inlineStr">
        <is>
          <t>Temple of the False God</t>
        </is>
      </c>
      <c r="C378" t="n">
        <v>1</v>
      </c>
      <c r="E378" t="n">
        <v>0</v>
      </c>
      <c r="F378" t="n">
        <v>1</v>
      </c>
      <c r="G378" t="n">
        <v>0</v>
      </c>
      <c r="H378" t="inlineStr">
        <is>
          <t>L</t>
        </is>
      </c>
      <c r="I378" t="inlineStr">
        <is>
          <t>Land</t>
        </is>
      </c>
      <c r="J378" t="inlineStr">
        <is>
          <t>B2</t>
        </is>
      </c>
      <c r="K378" t="n">
        <v>0</v>
      </c>
      <c r="L378" t="inlineStr">
        <is>
          <t>{T}: Add {C}{C}. Activate only if you control five or more lands.</t>
        </is>
      </c>
      <c r="M378" t="inlineStr">
        <is>
          <t>Land</t>
        </is>
      </c>
      <c r="N378" t="inlineStr">
        <is>
          <t>Taps for {C}{C} if you control five or more lands</t>
        </is>
      </c>
      <c r="R378" t="n">
        <v>0.27</v>
      </c>
    </row>
    <row r="379" ht="15" customHeight="1" s="148">
      <c r="A379" t="inlineStr">
        <is>
          <t>c0378</t>
        </is>
      </c>
      <c r="B379" t="inlineStr">
        <is>
          <t>Temple of Triumph</t>
        </is>
      </c>
      <c r="C379" t="n">
        <v>1</v>
      </c>
      <c r="E379" t="n">
        <v>1</v>
      </c>
      <c r="F379" t="n">
        <v>0</v>
      </c>
      <c r="G379" t="n">
        <v>1</v>
      </c>
      <c r="H379" t="inlineStr">
        <is>
          <t>L</t>
        </is>
      </c>
      <c r="I379" t="inlineStr">
        <is>
          <t>Land</t>
        </is>
      </c>
      <c r="J379" t="inlineStr">
        <is>
          <t>B2</t>
        </is>
      </c>
      <c r="K379" t="n">
        <v>0</v>
      </c>
      <c r="L379" t="inlineStr">
        <is>
          <t>This land enters tapped.
When this land enters, scry 1. (Look at the top card of your library. You may put that card on the bottom.)
{T}: Add {R} or {W}.</t>
        </is>
      </c>
      <c r="M379" t="inlineStr">
        <is>
          <t>Land</t>
        </is>
      </c>
      <c r="N379" t="inlineStr">
        <is>
          <t>Taps for {R} or {W}</t>
        </is>
      </c>
      <c r="O379" t="inlineStr">
        <is>
          <t>Enters tapped</t>
        </is>
      </c>
      <c r="P379" t="inlineStr">
        <is>
          <t>Scries 1 when it enters</t>
        </is>
      </c>
      <c r="R379" t="n">
        <v>0.31</v>
      </c>
    </row>
    <row r="380" ht="15" customHeight="1" s="148">
      <c r="A380" t="inlineStr">
        <is>
          <t>c0379</t>
        </is>
      </c>
      <c r="B380" t="inlineStr">
        <is>
          <t>Terramorphic Expanse</t>
        </is>
      </c>
      <c r="C380" t="n">
        <v>2</v>
      </c>
      <c r="E380" t="n">
        <v>1</v>
      </c>
      <c r="F380" t="n">
        <v>1</v>
      </c>
      <c r="G380" t="n">
        <v>0</v>
      </c>
      <c r="H380" t="inlineStr">
        <is>
          <t>L</t>
        </is>
      </c>
      <c r="I380" t="inlineStr">
        <is>
          <t>Land</t>
        </is>
      </c>
      <c r="J380" t="inlineStr">
        <is>
          <t>B2</t>
        </is>
      </c>
      <c r="K380" t="n">
        <v>0</v>
      </c>
      <c r="L380" t="inlineStr">
        <is>
          <t>{T}, Sacrifice this land: Search your library for a basic land card, put it onto the battlefield tapped, then shuffle.</t>
        </is>
      </c>
      <c r="M380" t="inlineStr">
        <is>
          <t>Land</t>
        </is>
      </c>
      <c r="N380" t="inlineStr">
        <is>
          <t>Sacrifice, search a basic land, put it into play tapped</t>
        </is>
      </c>
      <c r="R380" t="n">
        <v>0.25</v>
      </c>
    </row>
    <row r="381" ht="15" customHeight="1" s="148">
      <c r="A381" t="inlineStr">
        <is>
          <t>c0380</t>
        </is>
      </c>
      <c r="B381" t="inlineStr">
        <is>
          <t>Thornwood Falls</t>
        </is>
      </c>
      <c r="C381" t="n">
        <v>2</v>
      </c>
      <c r="E381" t="n">
        <v>2</v>
      </c>
      <c r="F381" t="n">
        <v>0</v>
      </c>
      <c r="G381" t="n">
        <v>2</v>
      </c>
      <c r="H381" t="inlineStr">
        <is>
          <t>L</t>
        </is>
      </c>
      <c r="I381" t="inlineStr">
        <is>
          <t>Land</t>
        </is>
      </c>
      <c r="J381" t="inlineStr">
        <is>
          <t>B2</t>
        </is>
      </c>
      <c r="K381" t="n">
        <v>0</v>
      </c>
      <c r="L381" t="inlineStr">
        <is>
          <t>This land enters tapped.
When this land enters, you gain 1 life.
{T}: Add {G} or {U}.</t>
        </is>
      </c>
      <c r="M381" t="inlineStr">
        <is>
          <t>Land</t>
        </is>
      </c>
      <c r="N381" t="inlineStr">
        <is>
          <t>This land enters tapped. / When this land enters, you gain 1 life. / {</t>
        </is>
      </c>
      <c r="R381" t="n">
        <v>0.1</v>
      </c>
    </row>
    <row r="382" ht="15" customHeight="1" s="148">
      <c r="A382" t="inlineStr">
        <is>
          <t>c0381</t>
        </is>
      </c>
      <c r="B382" t="inlineStr">
        <is>
          <t>Timber Gorge</t>
        </is>
      </c>
      <c r="C382" t="n">
        <v>1</v>
      </c>
      <c r="E382" t="n">
        <v>0</v>
      </c>
      <c r="F382" t="n">
        <v>1</v>
      </c>
      <c r="G382" t="n">
        <v>0</v>
      </c>
      <c r="H382" t="inlineStr">
        <is>
          <t>L</t>
        </is>
      </c>
      <c r="I382" t="inlineStr">
        <is>
          <t>Land</t>
        </is>
      </c>
      <c r="J382" t="inlineStr">
        <is>
          <t>B2</t>
        </is>
      </c>
      <c r="K382" t="n">
        <v>0</v>
      </c>
      <c r="L382" t="inlineStr">
        <is>
          <t>This land enters tapped.
{T}: Add {R} or {G}.</t>
        </is>
      </c>
      <c r="M382" t="inlineStr">
        <is>
          <t>Land</t>
        </is>
      </c>
      <c r="N382" t="inlineStr">
        <is>
          <t>Taps for {R} or {G}</t>
        </is>
      </c>
      <c r="R382" t="n">
        <v>0.08</v>
      </c>
    </row>
    <row r="383" ht="15" customHeight="1" s="148">
      <c r="A383" t="inlineStr">
        <is>
          <t>c0382</t>
        </is>
      </c>
      <c r="B383" t="inlineStr">
        <is>
          <t>Titan's Grave</t>
        </is>
      </c>
      <c r="C383" t="n">
        <v>1</v>
      </c>
      <c r="E383" t="n">
        <v>1</v>
      </c>
      <c r="F383" t="n">
        <v>0</v>
      </c>
      <c r="G383" t="n">
        <v>1</v>
      </c>
      <c r="H383" t="inlineStr">
        <is>
          <t>L</t>
        </is>
      </c>
      <c r="I383" t="inlineStr">
        <is>
          <t>Land</t>
        </is>
      </c>
      <c r="J383" t="inlineStr">
        <is>
          <t>B2</t>
        </is>
      </c>
      <c r="K383" t="n">
        <v>0</v>
      </c>
      <c r="L383" t="inlineStr">
        <is>
          <t>This land enters tapped.
{T}: Add {B} or {G}.
{2}{B}{G}, {T}: Surveil 1. (Look at the top card of your library. You may put it into your graveyard.)</t>
        </is>
      </c>
      <c r="M383" t="inlineStr">
        <is>
          <t>Land</t>
        </is>
      </c>
      <c r="N383" t="inlineStr">
        <is>
          <t>Taps for {B} or {G}</t>
        </is>
      </c>
      <c r="O383" t="inlineStr">
        <is>
          <t>Enters tapped</t>
        </is>
      </c>
      <c r="P383" t="inlineStr">
        <is>
          <t>{2}{B}{G}, {T}: Surveil 1</t>
        </is>
      </c>
      <c r="R383" t="n">
        <v>0.28</v>
      </c>
    </row>
    <row r="384" ht="15" customHeight="1" s="148">
      <c r="A384" t="inlineStr">
        <is>
          <t>c0383</t>
        </is>
      </c>
      <c r="B384" t="inlineStr">
        <is>
          <t>Turbulent Steppe</t>
        </is>
      </c>
      <c r="C384" t="n">
        <v>1</v>
      </c>
      <c r="E384" t="n">
        <v>1</v>
      </c>
      <c r="F384" t="n">
        <v>0</v>
      </c>
      <c r="G384" t="n">
        <v>1</v>
      </c>
      <c r="H384" t="inlineStr">
        <is>
          <t>L</t>
        </is>
      </c>
      <c r="I384" t="inlineStr">
        <is>
          <t>Land</t>
        </is>
      </c>
      <c r="J384" t="inlineStr">
        <is>
          <t>B2</t>
        </is>
      </c>
      <c r="K384" t="n">
        <v>0</v>
      </c>
      <c r="L384" t="inlineStr">
        <is>
          <t>({T}: Add {R} or {W}.)
This land enters tapped unless your opponents control eight or more lands.</t>
        </is>
      </c>
      <c r="M384" t="inlineStr">
        <is>
          <t>Land</t>
        </is>
      </c>
      <c r="N384" t="inlineStr">
        <is>
          <t>Taps for {R} or {W}</t>
        </is>
      </c>
      <c r="O384" t="inlineStr">
        <is>
          <t>Enters tapped unless opponents control 8+ lands</t>
        </is>
      </c>
      <c r="R384" t="n">
        <v>5.38</v>
      </c>
    </row>
    <row r="385" ht="15" customHeight="1" s="148">
      <c r="A385" t="inlineStr">
        <is>
          <t>c0384</t>
        </is>
      </c>
      <c r="B385" t="inlineStr">
        <is>
          <t>Vault of the Archangel</t>
        </is>
      </c>
      <c r="C385" t="n">
        <v>1</v>
      </c>
      <c r="E385" t="n">
        <v>1</v>
      </c>
      <c r="F385" t="n">
        <v>0</v>
      </c>
      <c r="G385" t="n">
        <v>1</v>
      </c>
      <c r="H385" t="inlineStr">
        <is>
          <t>L</t>
        </is>
      </c>
      <c r="I385" t="inlineStr">
        <is>
          <t>Land</t>
        </is>
      </c>
      <c r="J385" t="inlineStr">
        <is>
          <t>B2</t>
        </is>
      </c>
      <c r="K385" t="n">
        <v>0</v>
      </c>
      <c r="L385" t="inlineStr">
        <is>
          <t>{T}: Add {C}.
{2}{W}{B}, {T}: Creatures you control gain deathtouch and lifelink until end of turn.</t>
        </is>
      </c>
      <c r="M385" t="inlineStr">
        <is>
          <t>Land</t>
        </is>
      </c>
      <c r="N385" t="inlineStr">
        <is>
          <t>Taps for {C}</t>
        </is>
      </c>
      <c r="O385" t="inlineStr">
        <is>
          <t>{2}{W}{B}, tap: creatures you control gain deathtouch and lifelink</t>
        </is>
      </c>
      <c r="R385" t="n">
        <v>0.76</v>
      </c>
    </row>
    <row r="386" ht="15" customHeight="1" s="148">
      <c r="A386" t="inlineStr">
        <is>
          <t>c0385</t>
        </is>
      </c>
      <c r="B386" t="inlineStr">
        <is>
          <t>Wind-Scarred Crag</t>
        </is>
      </c>
      <c r="C386" t="n">
        <v>1</v>
      </c>
      <c r="E386" t="n">
        <v>1</v>
      </c>
      <c r="F386" t="n">
        <v>0</v>
      </c>
      <c r="G386" t="n">
        <v>1</v>
      </c>
      <c r="H386" t="inlineStr">
        <is>
          <t>L</t>
        </is>
      </c>
      <c r="I386" t="inlineStr">
        <is>
          <t>Land</t>
        </is>
      </c>
      <c r="J386" t="inlineStr">
        <is>
          <t>B2</t>
        </is>
      </c>
      <c r="K386" t="n">
        <v>0</v>
      </c>
      <c r="L386" t="inlineStr">
        <is>
          <t>This land enters tapped.
When this land enters, you gain 1 life.
{T}: Add {R} or {W}.</t>
        </is>
      </c>
      <c r="M386" t="inlineStr">
        <is>
          <t>Land</t>
        </is>
      </c>
      <c r="N386" t="inlineStr">
        <is>
          <t>Taps for {R} or {W}</t>
        </is>
      </c>
      <c r="O386" t="inlineStr">
        <is>
          <t>Enters tapped</t>
        </is>
      </c>
      <c r="P386" t="inlineStr">
        <is>
          <t>Gain 1 life when it enters</t>
        </is>
      </c>
      <c r="R386" t="n">
        <v>0.15</v>
      </c>
    </row>
    <row r="387" ht="15" customHeight="1" s="148">
      <c r="A387" t="inlineStr">
        <is>
          <t>c0386</t>
        </is>
      </c>
      <c r="B387" t="inlineStr">
        <is>
          <t>Woodland Cemetery</t>
        </is>
      </c>
      <c r="C387" t="n">
        <v>0</v>
      </c>
      <c r="E387" t="n">
        <v>0</v>
      </c>
      <c r="F387" t="n">
        <v>0</v>
      </c>
      <c r="G387" t="n">
        <v>0</v>
      </c>
      <c r="H387" t="inlineStr">
        <is>
          <t>L</t>
        </is>
      </c>
      <c r="I387" t="inlineStr">
        <is>
          <t>Land</t>
        </is>
      </c>
      <c r="J387" t="inlineStr">
        <is>
          <t>B3</t>
        </is>
      </c>
      <c r="K387" t="n">
        <v>0</v>
      </c>
      <c r="L387" t="inlineStr">
        <is>
          <t>This land enters tapped unless you control a Swamp or a Forest.
{T}: Add {B} or {G}.</t>
        </is>
      </c>
      <c r="M387" t="inlineStr">
        <is>
          <t>Land</t>
        </is>
      </c>
      <c r="N387" t="inlineStr">
        <is>
          <t>This land enters tapped unless you control a Swamp or a Forest</t>
        </is>
      </c>
      <c r="O387" t="inlineStr">
        <is>
          <t>{T}: Add {B} or {G}</t>
        </is>
      </c>
      <c r="R387" t="n">
        <v>0.63</v>
      </c>
    </row>
    <row r="388" ht="15" customHeight="1" s="148">
      <c r="A388" t="inlineStr">
        <is>
          <t>c0387</t>
        </is>
      </c>
      <c r="B388" t="inlineStr">
        <is>
          <t>Abigale, Eloquent First-Year</t>
        </is>
      </c>
      <c r="C388" t="n">
        <v>1</v>
      </c>
      <c r="E388" t="n">
        <v>1</v>
      </c>
      <c r="F388" t="n">
        <v>0</v>
      </c>
      <c r="G388" t="n">
        <v>1</v>
      </c>
      <c r="H388" t="inlineStr">
        <is>
          <t>Multi</t>
        </is>
      </c>
      <c r="I388" t="inlineStr">
        <is>
          <t>Legendary Creature</t>
        </is>
      </c>
      <c r="J388" t="inlineStr">
        <is>
          <t>B2</t>
        </is>
      </c>
      <c r="K388" t="n">
        <v>2</v>
      </c>
      <c r="L388" t="inlineStr">
        <is>
          <t>Flying, first strike, lifelink
When Abigale enters, up to one other target creature loses all abilities. Put a flying counter, a first strike counter, and a lifelink counter on that creature.
(1/1)</t>
        </is>
      </c>
      <c r="M388" t="inlineStr">
        <is>
          <t>Removal</t>
        </is>
      </c>
      <c r="N388" t="inlineStr">
        <is>
          <t>Up to one target creature loses all abilities and gains a flying, first strike, and lifelink counter when Abigale enters</t>
        </is>
      </c>
      <c r="O388" t="inlineStr">
        <is>
          <t>Gains you life equal to damage it deals</t>
        </is>
      </c>
      <c r="R388" t="n">
        <v>0.38</v>
      </c>
    </row>
    <row r="389" ht="15" customHeight="1" s="148">
      <c r="A389" t="inlineStr">
        <is>
          <t>c0388</t>
        </is>
      </c>
      <c r="B389" t="inlineStr">
        <is>
          <t>Abstract Paintmage</t>
        </is>
      </c>
      <c r="C389" t="n">
        <v>1</v>
      </c>
      <c r="E389" t="n">
        <v>0</v>
      </c>
      <c r="F389" t="n">
        <v>1</v>
      </c>
      <c r="G389" t="n">
        <v>0</v>
      </c>
      <c r="H389" t="inlineStr">
        <is>
          <t>Multi</t>
        </is>
      </c>
      <c r="I389" t="inlineStr">
        <is>
          <t>Creature</t>
        </is>
      </c>
      <c r="J389" t="inlineStr">
        <is>
          <t>B2</t>
        </is>
      </c>
      <c r="K389" t="n">
        <v>3</v>
      </c>
      <c r="L389" t="inlineStr">
        <is>
          <t>At the beginning of your first main phase, add {U}{R}. Spend this mana only to cast instant and sorcery spells.
(2/2)</t>
        </is>
      </c>
      <c r="M389" t="inlineStr">
        <is>
          <t>Ramp</t>
        </is>
      </c>
      <c r="N389" t="inlineStr">
        <is>
          <t>At the beginning of your first main phase, add {U}{R}, spendable only on instants and sorceries</t>
        </is>
      </c>
      <c r="R389" t="n">
        <v>0.29</v>
      </c>
    </row>
    <row r="390" ht="15" customHeight="1" s="148">
      <c r="A390" t="inlineStr">
        <is>
          <t>c0389</t>
        </is>
      </c>
      <c r="B390" t="inlineStr">
        <is>
          <t>Adarkar Wastes</t>
        </is>
      </c>
      <c r="C390" t="n">
        <v>0</v>
      </c>
      <c r="E390" t="n">
        <v>0</v>
      </c>
      <c r="F390" t="n">
        <v>0</v>
      </c>
      <c r="G390" t="n">
        <v>0</v>
      </c>
      <c r="H390" t="inlineStr">
        <is>
          <t>Multi</t>
        </is>
      </c>
      <c r="I390" t="inlineStr">
        <is>
          <t>Land</t>
        </is>
      </c>
      <c r="J390" t="inlineStr">
        <is>
          <t>B2</t>
        </is>
      </c>
      <c r="K390" t="n">
        <v>0</v>
      </c>
      <c r="L390" t="inlineStr">
        <is>
          <t>{T}: Add {C}.
{T}: Add {W} or {U}. This land deals 1 damage to you.</t>
        </is>
      </c>
      <c r="M390" t="inlineStr">
        <is>
          <t>Land</t>
        </is>
      </c>
      <c r="N390" t="inlineStr">
        <is>
          <t>{T}: Add {C}. / {T}: Add {W} or {U}. This land deals 1 damage to you.</t>
        </is>
      </c>
      <c r="R390" t="n">
        <v>0.4</v>
      </c>
    </row>
    <row r="391" ht="15" customHeight="1" s="148">
      <c r="A391" t="inlineStr">
        <is>
          <t>c0390</t>
        </is>
      </c>
      <c r="B391" t="inlineStr">
        <is>
          <t>Air Nomad Legacy</t>
        </is>
      </c>
      <c r="C391" t="n">
        <v>1</v>
      </c>
      <c r="E391" t="n">
        <v>0</v>
      </c>
      <c r="F391" t="n">
        <v>1</v>
      </c>
      <c r="G391" t="n">
        <v>0</v>
      </c>
      <c r="H391" t="inlineStr">
        <is>
          <t>Multi</t>
        </is>
      </c>
      <c r="I391" t="inlineStr">
        <is>
          <t>Enchantment</t>
        </is>
      </c>
      <c r="J391" t="inlineStr">
        <is>
          <t>B2</t>
        </is>
      </c>
      <c r="K391" t="n">
        <v>2</v>
      </c>
      <c r="L391" t="inlineStr">
        <is>
          <t>When this enchantment enters, create a Clue token. (It's an artifact with "{2}, Sacrifice this token: Draw a card.")
Creatures you control with flying get +1/+1.</t>
        </is>
      </c>
      <c r="M391" t="inlineStr">
        <is>
          <t>Lord/Anthem</t>
        </is>
      </c>
      <c r="N391" t="inlineStr">
        <is>
          <t>Creatures you control with flying get +1/+1</t>
        </is>
      </c>
      <c r="O391" t="inlineStr">
        <is>
          <t>Enters: create a Clue token ({2}, sacrifice it: draw a card)</t>
        </is>
      </c>
      <c r="R391" t="n">
        <v>0.28</v>
      </c>
    </row>
    <row r="392" ht="15" customHeight="1" s="148">
      <c r="A392" t="inlineStr">
        <is>
          <t>c0391</t>
        </is>
      </c>
      <c r="B392" t="inlineStr">
        <is>
          <t>Ancient Lumberknot</t>
        </is>
      </c>
      <c r="C392" t="n">
        <v>0</v>
      </c>
      <c r="E392" t="n">
        <v>0</v>
      </c>
      <c r="F392" t="n">
        <v>0</v>
      </c>
      <c r="G392" t="n">
        <v>0</v>
      </c>
      <c r="H392" t="inlineStr">
        <is>
          <t>Multi</t>
        </is>
      </c>
      <c r="I392" t="inlineStr">
        <is>
          <t>Creature</t>
        </is>
      </c>
      <c r="J392" t="inlineStr">
        <is>
          <t>B3</t>
        </is>
      </c>
      <c r="K392" t="n">
        <v>4</v>
      </c>
      <c r="L392" t="inlineStr">
        <is>
          <t>Each creature you control with toughness greater than its power assigns combat damage equal to its toughness rather than its power.
(1/4)</t>
        </is>
      </c>
      <c r="M392" t="inlineStr">
        <is>
          <t>Toughness Payoff</t>
        </is>
      </c>
      <c r="N392" t="inlineStr">
        <is>
          <t>Each creature you control with toughness greater than its power assigns combat damage equal to its toughness rather than its power.</t>
        </is>
      </c>
      <c r="R392" t="n">
        <v>0.23</v>
      </c>
    </row>
    <row r="393" ht="15" customHeight="1" s="148">
      <c r="A393" t="inlineStr">
        <is>
          <t>c0392</t>
        </is>
      </c>
      <c r="B393" t="inlineStr">
        <is>
          <t>Anguished Unmaking</t>
        </is>
      </c>
      <c r="C393" t="n">
        <v>1</v>
      </c>
      <c r="E393" t="n">
        <v>1</v>
      </c>
      <c r="F393" t="n">
        <v>0</v>
      </c>
      <c r="G393" t="n">
        <v>1</v>
      </c>
      <c r="H393" t="inlineStr">
        <is>
          <t>Multi</t>
        </is>
      </c>
      <c r="I393" t="inlineStr">
        <is>
          <t>Instant</t>
        </is>
      </c>
      <c r="J393" t="inlineStr">
        <is>
          <t>B3</t>
        </is>
      </c>
      <c r="K393" t="n">
        <v>3</v>
      </c>
      <c r="L393" t="inlineStr">
        <is>
          <t>Exile target nonland permanent. You lose 3 life.</t>
        </is>
      </c>
      <c r="M393" t="inlineStr">
        <is>
          <t>Removal</t>
        </is>
      </c>
      <c r="N393" t="inlineStr">
        <is>
          <t>Exiles target nonland permanent</t>
        </is>
      </c>
      <c r="O393" t="inlineStr">
        <is>
          <t>You lose 3 life</t>
        </is>
      </c>
      <c r="R393" t="n">
        <v>1.46</v>
      </c>
    </row>
    <row r="394" ht="15" customHeight="1" s="148">
      <c r="A394" t="inlineStr">
        <is>
          <t>c0393</t>
        </is>
      </c>
      <c r="B394" t="inlineStr">
        <is>
          <t>Anim Pakal, Thousandth Moon</t>
        </is>
      </c>
      <c r="C394" t="n">
        <v>0</v>
      </c>
      <c r="E394" t="n">
        <v>0</v>
      </c>
      <c r="F394" t="n">
        <v>0</v>
      </c>
      <c r="G394" t="n">
        <v>0</v>
      </c>
      <c r="H394" t="inlineStr">
        <is>
          <t>Multi</t>
        </is>
      </c>
      <c r="I394" t="inlineStr">
        <is>
          <t>Legendary Creature</t>
        </is>
      </c>
      <c r="J394" t="inlineStr">
        <is>
          <t>B3</t>
        </is>
      </c>
      <c r="K394" t="n">
        <v>3</v>
      </c>
      <c r="L394" t="inlineStr">
        <is>
          <t>Whenever you attack with one or more non-Gnome creatures, put a +1/+1 counter on Anim Pakal, then create X 1/1 colorless Gnome artifact creature tokens that are tapped and attacking, where X is the number of +1/+1 counters on Anim Pakal.
(1/2)</t>
        </is>
      </c>
      <c r="M394" t="inlineStr">
        <is>
          <t>Token Producer</t>
        </is>
      </c>
      <c r="N394" t="inlineStr">
        <is>
          <t>Whenever you attack with one or more non-Gnome creatures, put a +1/+1 counter on Anim Pakal, then create X 1/1 colorless</t>
        </is>
      </c>
      <c r="R394" t="n">
        <v>3.69</v>
      </c>
    </row>
    <row r="395" ht="15" customHeight="1" s="148">
      <c r="A395" t="inlineStr">
        <is>
          <t>c0394</t>
        </is>
      </c>
      <c r="B395" t="inlineStr">
        <is>
          <t>Arbaaz Mir</t>
        </is>
      </c>
      <c r="C395" t="n">
        <v>1</v>
      </c>
      <c r="E395" t="n">
        <v>0</v>
      </c>
      <c r="F395" t="n">
        <v>1</v>
      </c>
      <c r="G395" t="n">
        <v>0</v>
      </c>
      <c r="H395" t="inlineStr">
        <is>
          <t>Multi</t>
        </is>
      </c>
      <c r="I395" t="inlineStr">
        <is>
          <t>Legendary Creature</t>
        </is>
      </c>
      <c r="J395" t="inlineStr">
        <is>
          <t>B2</t>
        </is>
      </c>
      <c r="K395" t="n">
        <v>2</v>
      </c>
      <c r="L395" t="inlineStr">
        <is>
          <t>Whenever Arbaaz Mir or another nontoken historic permanent you control enters, Arbaaz Mir deals 1 damage to each opponent and you gain 1 life. (Artifacts, legendaries, and Sagas are historic.)
(2/2)</t>
        </is>
      </c>
      <c r="M395" t="inlineStr">
        <is>
          <t>Value Engine</t>
        </is>
      </c>
      <c r="N395" t="inlineStr">
        <is>
          <t>Whenever a historic permanent you control enters, deals 1 damage to each opponent and gains you 1 life</t>
        </is>
      </c>
      <c r="R395" t="n">
        <v>0.3</v>
      </c>
    </row>
    <row r="396" ht="15" customHeight="1" s="148">
      <c r="A396" t="inlineStr">
        <is>
          <t>c0395</t>
        </is>
      </c>
      <c r="B396" t="inlineStr">
        <is>
          <t>Arcades, the Strategist</t>
        </is>
      </c>
      <c r="C396" t="n">
        <v>1</v>
      </c>
      <c r="E396" t="n">
        <v>1</v>
      </c>
      <c r="F396" t="n">
        <v>0</v>
      </c>
      <c r="G396" t="n">
        <v>0</v>
      </c>
      <c r="H396" t="inlineStr">
        <is>
          <t>Multi</t>
        </is>
      </c>
      <c r="I396" t="inlineStr">
        <is>
          <t>Legendary Creature</t>
        </is>
      </c>
      <c r="J396" t="inlineStr">
        <is>
          <t>B2</t>
        </is>
      </c>
      <c r="K396" t="n">
        <v>4</v>
      </c>
      <c r="L396" t="inlineStr">
        <is>
          <t>Flying, vigilance
Whenever a creature you control with defender enters, draw a card.
Each creature you control with defender assigns combat damage equal to its toughness rather than its power and can attack as though it didn't have defender.
(3/5)</t>
        </is>
      </c>
      <c r="M396" t="inlineStr">
        <is>
          <t>Defender Ramp</t>
        </is>
      </c>
      <c r="N396" t="inlineStr">
        <is>
          <t>Draws a card whenever a creature you control with defender enters</t>
        </is>
      </c>
      <c r="O396" t="inlineStr">
        <is>
          <t>Creatures you control with defender deal damage equal to toughness and can attack</t>
        </is>
      </c>
      <c r="R396" t="n">
        <v>4.35</v>
      </c>
    </row>
    <row r="397" ht="15" customHeight="1" s="148">
      <c r="A397" t="inlineStr">
        <is>
          <t>c0396</t>
        </is>
      </c>
      <c r="B397" t="inlineStr">
        <is>
          <t>Arno Dorian</t>
        </is>
      </c>
      <c r="C397" t="n">
        <v>1</v>
      </c>
      <c r="E397" t="n">
        <v>0</v>
      </c>
      <c r="F397" t="n">
        <v>1</v>
      </c>
      <c r="G397" t="n">
        <v>0</v>
      </c>
      <c r="H397" t="inlineStr">
        <is>
          <t>Multi</t>
        </is>
      </c>
      <c r="I397" t="inlineStr">
        <is>
          <t>Legendary Creature</t>
        </is>
      </c>
      <c r="J397" t="inlineStr">
        <is>
          <t>B2</t>
        </is>
      </c>
      <c r="K397" t="n">
        <v>4</v>
      </c>
      <c r="L397" t="inlineStr">
        <is>
          <t>Deathtouch
Other Assassins you control get +2/+0.
Disguise {B}{R} (You may cast this card face down for {3} as a 2/2 creature with ward {2}. Turn it face up any time for its disguise cost.)
(3/3)</t>
        </is>
      </c>
      <c r="M397" t="inlineStr">
        <is>
          <t>Lord/Anthem</t>
        </is>
      </c>
      <c r="N397" t="inlineStr">
        <is>
          <t>Other Assassins you control get +2/+0</t>
        </is>
      </c>
      <c r="O397" t="inlineStr">
        <is>
          <t>Can be cast face-down for {3}, later flipped for its cost</t>
        </is>
      </c>
      <c r="R397" t="n">
        <v>0.25</v>
      </c>
    </row>
    <row r="398" ht="15" customHeight="1" s="148">
      <c r="A398" t="inlineStr">
        <is>
          <t>c0397</t>
        </is>
      </c>
      <c r="B398" t="inlineStr">
        <is>
          <t>Assassin's Trophy</t>
        </is>
      </c>
      <c r="C398" t="n">
        <v>0</v>
      </c>
      <c r="D398" t="n">
        <v>1</v>
      </c>
      <c r="E398" t="n">
        <v>0</v>
      </c>
      <c r="F398" t="n">
        <v>0</v>
      </c>
      <c r="G398" t="n">
        <v>1</v>
      </c>
      <c r="H398" t="inlineStr">
        <is>
          <t>Multi</t>
        </is>
      </c>
      <c r="I398" t="inlineStr">
        <is>
          <t>Instant</t>
        </is>
      </c>
      <c r="J398" t="inlineStr">
        <is>
          <t>B3</t>
        </is>
      </c>
      <c r="K398" t="n">
        <v>2</v>
      </c>
      <c r="L398" t="inlineStr">
        <is>
          <t>Destroy target permanent an opponent controls. Its controller may search their library for a basic land card, put it onto the battlefield, then shuffle.</t>
        </is>
      </c>
      <c r="M398" t="inlineStr">
        <is>
          <t>Removal</t>
        </is>
      </c>
      <c r="N398" t="inlineStr">
        <is>
          <t>Destroy target permanent an opponent controls. Its controller may search their library for a basic land card, put it onto the battlefield, then shuffle</t>
        </is>
      </c>
      <c r="R398" t="n">
        <v>1.2</v>
      </c>
    </row>
    <row r="399" ht="15" customHeight="1" s="148">
      <c r="A399" t="inlineStr">
        <is>
          <t>c0398</t>
        </is>
      </c>
      <c r="B399" t="inlineStr">
        <is>
          <t>Atraxa, Praetors' Voice</t>
        </is>
      </c>
      <c r="C399" t="n">
        <v>1</v>
      </c>
      <c r="E399" t="n">
        <v>1</v>
      </c>
      <c r="F399" t="n">
        <v>0</v>
      </c>
      <c r="G399" t="n">
        <v>1</v>
      </c>
      <c r="H399" t="inlineStr">
        <is>
          <t>Multi</t>
        </is>
      </c>
      <c r="I399" t="inlineStr">
        <is>
          <t>Legendary Creature</t>
        </is>
      </c>
      <c r="J399" t="inlineStr">
        <is>
          <t>B2</t>
        </is>
      </c>
      <c r="K399" t="n">
        <v>4</v>
      </c>
      <c r="L399" t="inlineStr">
        <is>
          <t>Flying, vigilance, deathtouch, lifelink
At the beginning of your end step, proliferate. (Choose any number of permanents and/or players, then give each another counter of each kind already there.)
(4/4)</t>
        </is>
      </c>
      <c r="M399" t="inlineStr">
        <is>
          <t>Commander</t>
        </is>
      </c>
      <c r="N399" t="inlineStr">
        <is>
          <t>Proliferates at the beginning of your end step</t>
        </is>
      </c>
      <c r="O399" t="inlineStr">
        <is>
          <t>Destroys anything it deals damage to</t>
        </is>
      </c>
      <c r="P399" t="inlineStr">
        <is>
          <t>Gains you life equal to damage it deals</t>
        </is>
      </c>
      <c r="R399" t="n">
        <v>29.43</v>
      </c>
    </row>
    <row r="400" ht="15" customHeight="1" s="148">
      <c r="A400" t="inlineStr">
        <is>
          <t>c0399</t>
        </is>
      </c>
      <c r="B400" t="inlineStr">
        <is>
          <t>Balefire Liege</t>
        </is>
      </c>
      <c r="C400" t="n">
        <v>1</v>
      </c>
      <c r="E400" t="n">
        <v>0</v>
      </c>
      <c r="F400" t="n">
        <v>1</v>
      </c>
      <c r="G400" t="n">
        <v>0</v>
      </c>
      <c r="H400" t="inlineStr">
        <is>
          <t>Multi</t>
        </is>
      </c>
      <c r="I400" t="inlineStr">
        <is>
          <t>Creature</t>
        </is>
      </c>
      <c r="J400" t="inlineStr">
        <is>
          <t>B2</t>
        </is>
      </c>
      <c r="K400" t="n">
        <v>5</v>
      </c>
      <c r="L400" t="inlineStr">
        <is>
          <t>Other red creatures you control get +1/+1.
Other white creatures you control get +1/+1.
Whenever you cast a red spell, this creature deals 3 damage to target player or planeswalker.
Whenever you cast a white spell, you gain 3 life.
(2/4)</t>
        </is>
      </c>
      <c r="M400" t="inlineStr">
        <is>
          <t>Lord/Anthem</t>
        </is>
      </c>
      <c r="N400" t="inlineStr">
        <is>
          <t>Other red creatures get +1/+1; other white creatures get +1/+1</t>
        </is>
      </c>
      <c r="O400" t="inlineStr">
        <is>
          <t>Casting a red spell deals 3 damage to a player or planeswalker</t>
        </is>
      </c>
      <c r="P400" t="inlineStr">
        <is>
          <t>Casting a white spell gains you 3 life</t>
        </is>
      </c>
      <c r="R400" t="n">
        <v>0.62</v>
      </c>
    </row>
    <row r="401" ht="15" customHeight="1" s="148">
      <c r="A401" t="inlineStr">
        <is>
          <t>c0400</t>
        </is>
      </c>
      <c r="B401" t="inlineStr">
        <is>
          <t>Bard the Bowman</t>
        </is>
      </c>
      <c r="C401" t="n">
        <v>1</v>
      </c>
      <c r="E401" t="n">
        <v>0</v>
      </c>
      <c r="F401" t="n">
        <v>1</v>
      </c>
      <c r="G401" t="n">
        <v>0</v>
      </c>
      <c r="H401" t="inlineStr">
        <is>
          <t>Multi</t>
        </is>
      </c>
      <c r="I401" t="inlineStr">
        <is>
          <t>Legendary Creature</t>
        </is>
      </c>
      <c r="J401" t="inlineStr">
        <is>
          <t>B2</t>
        </is>
      </c>
      <c r="K401" t="n">
        <v>3</v>
      </c>
      <c r="L401" t="inlineStr">
        <is>
          <t>Reach
Whenever you draw your second card each turn, put a +1/+1 counter on target creature. It gains lifelink until end of turn.
(1/3)</t>
        </is>
      </c>
      <c r="M401" t="inlineStr">
        <is>
          <t>Counters Payoff</t>
        </is>
      </c>
      <c r="N401" t="inlineStr">
        <is>
          <t>Whenever you draw your second card each turn, put a +1/+1 counter on target creature and it gains lifelink until end of turn</t>
        </is>
      </c>
      <c r="O401" t="inlineStr">
        <is>
          <t>Reach</t>
        </is>
      </c>
      <c r="R401" t="n">
        <v>0.2</v>
      </c>
    </row>
    <row r="402" ht="15" customHeight="1" s="148">
      <c r="A402" t="inlineStr">
        <is>
          <t>c0401</t>
        </is>
      </c>
      <c r="B402" t="inlineStr">
        <is>
          <t>Bayek of Siwa</t>
        </is>
      </c>
      <c r="C402" t="n">
        <v>1</v>
      </c>
      <c r="E402" t="n">
        <v>0</v>
      </c>
      <c r="F402" t="n">
        <v>1</v>
      </c>
      <c r="G402" t="n">
        <v>0</v>
      </c>
      <c r="H402" t="inlineStr">
        <is>
          <t>Multi</t>
        </is>
      </c>
      <c r="I402" t="inlineStr">
        <is>
          <t>Legendary Creature</t>
        </is>
      </c>
      <c r="J402" t="inlineStr">
        <is>
          <t>B2</t>
        </is>
      </c>
      <c r="K402" t="n">
        <v>5</v>
      </c>
      <c r="L402" t="inlineStr">
        <is>
          <t>Double strike
During your turn, other historic creatures you control have double strike.
Disguise {1}{R}{W} (You may cast this card face down for {3} as a 2/2 creature with ward {2}. Turn it face up any time for its disguise cost.)
(3/4)</t>
        </is>
      </c>
      <c r="M402" t="inlineStr">
        <is>
          <t>Lord/Anthem</t>
        </is>
      </c>
      <c r="N402" t="inlineStr">
        <is>
          <t>Other historic creatures you control strike twice in combat during your turn</t>
        </is>
      </c>
      <c r="O402" t="inlineStr">
        <is>
          <t>Can be cast face-down for {3}, later flipped for its cost</t>
        </is>
      </c>
      <c r="R402" t="n">
        <v>0.39</v>
      </c>
    </row>
    <row r="403" ht="15" customHeight="1" s="148">
      <c r="A403" t="inlineStr">
        <is>
          <t>c0402</t>
        </is>
      </c>
      <c r="B403" t="inlineStr">
        <is>
          <t>Belligerent Brontodon</t>
        </is>
      </c>
      <c r="C403" t="n">
        <v>1</v>
      </c>
      <c r="E403" t="n">
        <v>1</v>
      </c>
      <c r="F403" t="n">
        <v>0</v>
      </c>
      <c r="G403" t="n">
        <v>0</v>
      </c>
      <c r="H403" t="inlineStr">
        <is>
          <t>Multi</t>
        </is>
      </c>
      <c r="I403" t="inlineStr">
        <is>
          <t>Creature</t>
        </is>
      </c>
      <c r="J403" t="inlineStr">
        <is>
          <t>B2</t>
        </is>
      </c>
      <c r="K403" t="n">
        <v>7</v>
      </c>
      <c r="L403" t="inlineStr">
        <is>
          <t>Each creature you control assigns combat damage equal to its toughness rather than its power.
(4/6)</t>
        </is>
      </c>
      <c r="M403" t="inlineStr">
        <is>
          <t>Utility Creature</t>
        </is>
      </c>
      <c r="N403" t="inlineStr">
        <is>
          <t>Each creature you control assigns combat damage equal to its toughness rather than its power</t>
        </is>
      </c>
      <c r="R403" t="n">
        <v>0.25</v>
      </c>
    </row>
    <row r="404" ht="15" customHeight="1" s="148">
      <c r="A404" t="inlineStr">
        <is>
          <t>c0403</t>
        </is>
      </c>
      <c r="B404" t="inlineStr">
        <is>
          <t>Berta, Wise Extrapolator</t>
        </is>
      </c>
      <c r="C404" t="n">
        <v>1</v>
      </c>
      <c r="E404" t="n">
        <v>1</v>
      </c>
      <c r="F404" t="n">
        <v>0</v>
      </c>
      <c r="G404" t="n">
        <v>1</v>
      </c>
      <c r="H404" t="inlineStr">
        <is>
          <t>Multi</t>
        </is>
      </c>
      <c r="I404" t="inlineStr">
        <is>
          <t>Legendary Creature</t>
        </is>
      </c>
      <c r="J404" t="inlineStr">
        <is>
          <t>B2</t>
        </is>
      </c>
      <c r="K404" t="n">
        <v>4</v>
      </c>
      <c r="L404" t="inlineStr">
        <is>
          <t>Increment (Whenever you cast a spell, if the amount of mana you spent is greater than this creature's power or toughness, put a +1/+1 counter on this creature.)
Whenever one or more +1/+1 counters are put on Berta, add one mana of any color.
{X}, {T}: Create a 0/0 green and blue Fractal creature token and put X +1/+1 counters on it.
(1/4)</t>
        </is>
      </c>
      <c r="M404" t="inlineStr">
        <is>
          <t>Value Engine</t>
        </is>
      </c>
      <c r="N404" t="inlineStr">
        <is>
          <t>Increment — whenever you cast a spell for more mana than Berta's power or toughness, put a +1/+1 counter on her</t>
        </is>
      </c>
      <c r="O404" t="inlineStr">
        <is>
          <t>Whenever one or more +1/+1 counters are put on Berta, add one mana of any color</t>
        </is>
      </c>
      <c r="P404" t="inlineStr">
        <is>
          <t>{X}, {T}: Create a 0/0 Fractal token with X +1/+1 counters on it</t>
        </is>
      </c>
      <c r="R404" t="n">
        <v>0.32</v>
      </c>
    </row>
    <row r="405" ht="15" customHeight="1" s="148">
      <c r="A405" t="inlineStr">
        <is>
          <t>c0404</t>
        </is>
      </c>
      <c r="B405" t="inlineStr">
        <is>
          <t>Betor, Ancestor's Voice</t>
        </is>
      </c>
      <c r="C405" t="n">
        <v>1</v>
      </c>
      <c r="E405" t="n">
        <v>1</v>
      </c>
      <c r="F405" t="n">
        <v>0</v>
      </c>
      <c r="G405" t="n">
        <v>1</v>
      </c>
      <c r="H405" t="inlineStr">
        <is>
          <t>Multi</t>
        </is>
      </c>
      <c r="I405" t="inlineStr">
        <is>
          <t>Legendary Creature</t>
        </is>
      </c>
      <c r="J405" t="inlineStr">
        <is>
          <t>B2</t>
        </is>
      </c>
      <c r="K405" t="n">
        <v>5</v>
      </c>
      <c r="L405" t="inlineStr">
        <is>
          <t>Flying, lifelink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
(3/5)</t>
        </is>
      </c>
      <c r="M405" t="inlineStr">
        <is>
          <t>Counters Payoff</t>
        </is>
      </c>
      <c r="N405" t="inlineStr">
        <is>
          <t>End step: put +1/+1 counters on a creature equal to life gained this turn</t>
        </is>
      </c>
      <c r="O405" t="inlineStr">
        <is>
          <t>End step: reanimate a creature MV ≤ life lost this turn</t>
        </is>
      </c>
      <c r="P405" t="inlineStr">
        <is>
          <t>Flying lifelink body</t>
        </is>
      </c>
      <c r="R405" t="n">
        <v>3.68</v>
      </c>
    </row>
    <row r="406" ht="15" customHeight="1" s="148">
      <c r="A406" t="inlineStr">
        <is>
          <t>c0405</t>
        </is>
      </c>
      <c r="B406" t="inlineStr">
        <is>
          <t>Blot Out the Sky</t>
        </is>
      </c>
      <c r="C406" t="n">
        <v>0</v>
      </c>
      <c r="E406" t="n">
        <v>0</v>
      </c>
      <c r="F406" t="n">
        <v>0</v>
      </c>
      <c r="G406" t="n">
        <v>0</v>
      </c>
      <c r="H406" t="inlineStr">
        <is>
          <t>Multi</t>
        </is>
      </c>
      <c r="I406" t="inlineStr">
        <is>
          <t>Sorcery</t>
        </is>
      </c>
      <c r="J406" t="inlineStr">
        <is>
          <t>B2</t>
        </is>
      </c>
      <c r="K406" t="n">
        <v>2</v>
      </c>
      <c r="L406" t="inlineStr">
        <is>
          <t>Create X tapped 2/1 white and black Inkling creature tokens with flying. If X is 6 or more, destroy all noncreature, nonland permanents.</t>
        </is>
      </c>
      <c r="M406" t="inlineStr">
        <is>
          <t>Token Producer</t>
        </is>
      </c>
      <c r="N406" t="inlineStr">
        <is>
          <t>Create X tapped 2/1 white and black Inkling creature tokens with flying. If X is 6 or more, destroy all noncreature, non</t>
        </is>
      </c>
      <c r="R406" t="n">
        <v>1.47</v>
      </c>
    </row>
    <row r="407" ht="15" customHeight="1" s="148">
      <c r="A407" t="inlineStr">
        <is>
          <t>c0406</t>
        </is>
      </c>
      <c r="B407" t="inlineStr">
        <is>
          <t>Boggart Cursecrafter</t>
        </is>
      </c>
      <c r="C407" t="n">
        <v>1</v>
      </c>
      <c r="E407" t="n">
        <v>0</v>
      </c>
      <c r="F407" t="n">
        <v>1</v>
      </c>
      <c r="G407" t="n">
        <v>0</v>
      </c>
      <c r="H407" t="inlineStr">
        <is>
          <t>Multi</t>
        </is>
      </c>
      <c r="I407" t="inlineStr">
        <is>
          <t>Creature</t>
        </is>
      </c>
      <c r="J407" t="inlineStr">
        <is>
          <t>B2</t>
        </is>
      </c>
      <c r="K407" t="n">
        <v>2</v>
      </c>
      <c r="L407" t="inlineStr">
        <is>
          <t>Deathtouch
Whenever another Goblin you control dies, this creature deals 1 damage to each opponent.
(2/3)</t>
        </is>
      </c>
      <c r="M407" t="inlineStr">
        <is>
          <t>Aristocrats Payoff</t>
        </is>
      </c>
      <c r="N407" t="inlineStr">
        <is>
          <t>Deals 1 damage to each opponent whenever another Goblin you control dies</t>
        </is>
      </c>
      <c r="R407" t="n">
        <v>0.28</v>
      </c>
    </row>
    <row r="408" ht="15" customHeight="1" s="148">
      <c r="A408" t="inlineStr">
        <is>
          <t>c0407</t>
        </is>
      </c>
      <c r="B408" t="inlineStr">
        <is>
          <t>Bolg's Company</t>
        </is>
      </c>
      <c r="C408" t="n">
        <v>1</v>
      </c>
      <c r="E408" t="n">
        <v>0</v>
      </c>
      <c r="F408" t="n">
        <v>1</v>
      </c>
      <c r="G408" t="n">
        <v>0</v>
      </c>
      <c r="H408" t="inlineStr">
        <is>
          <t>Multi</t>
        </is>
      </c>
      <c r="I408" t="inlineStr">
        <is>
          <t>Creature</t>
        </is>
      </c>
      <c r="J408" t="inlineStr">
        <is>
          <t>B2</t>
        </is>
      </c>
      <c r="K408" t="n">
        <v>2</v>
      </c>
      <c r="L408" t="inlineStr">
        <is>
          <t>Bolg's Company {B}{R} — Creature — Goblin Soldier (2/2)
This creature has haste as long as you control another Goblin.
{T}, Sacrifice another Goblin: Add {B}{R}.</t>
        </is>
      </c>
      <c r="M408" t="inlineStr">
        <is>
          <t>Sacrifice Outlet</t>
        </is>
      </c>
      <c r="N408" t="inlineStr">
        <is>
          <t>{T}, Sacrifice another Goblin: Add {B}{R}</t>
        </is>
      </c>
      <c r="R408" t="n">
        <v>0.31</v>
      </c>
    </row>
    <row r="409" ht="15" customHeight="1" s="148">
      <c r="A409" t="inlineStr">
        <is>
          <t>c0408</t>
        </is>
      </c>
      <c r="B409" t="inlineStr">
        <is>
          <t>Bolrac-Clan Crusher</t>
        </is>
      </c>
      <c r="C409" t="n">
        <v>1</v>
      </c>
      <c r="E409" t="n">
        <v>0</v>
      </c>
      <c r="F409" t="n">
        <v>1</v>
      </c>
      <c r="G409" t="n">
        <v>0</v>
      </c>
      <c r="H409" t="inlineStr">
        <is>
          <t>Multi</t>
        </is>
      </c>
      <c r="I409" t="inlineStr">
        <is>
          <t>Creature</t>
        </is>
      </c>
      <c r="J409" t="inlineStr">
        <is>
          <t>B2</t>
        </is>
      </c>
      <c r="K409" t="n">
        <v>5</v>
      </c>
      <c r="L409" t="inlineStr">
        <is>
          <t>{T}, Remove a +1/+1 counter from a creature you control: This creature deals 2 damage to any target.
(4/4)</t>
        </is>
      </c>
      <c r="M409" t="inlineStr">
        <is>
          <t>Removal</t>
        </is>
      </c>
      <c r="N409" t="inlineStr">
        <is>
          <t>Remove a +1/+1 counter from a creature you control to deal 2 damage to any target</t>
        </is>
      </c>
      <c r="R409" t="n">
        <v>0.06</v>
      </c>
    </row>
    <row r="410" ht="15" customHeight="1" s="148">
      <c r="A410" t="inlineStr">
        <is>
          <t>c0409</t>
        </is>
      </c>
      <c r="B410" t="inlineStr">
        <is>
          <t>Boros Charm</t>
        </is>
      </c>
      <c r="C410" t="n">
        <v>0</v>
      </c>
      <c r="D410" t="n">
        <v>1</v>
      </c>
      <c r="E410" t="n">
        <v>0</v>
      </c>
      <c r="F410" t="n">
        <v>0</v>
      </c>
      <c r="G410" t="n">
        <v>1</v>
      </c>
      <c r="H410" t="inlineStr">
        <is>
          <t>Multi</t>
        </is>
      </c>
      <c r="I410" t="inlineStr">
        <is>
          <t>Instant</t>
        </is>
      </c>
      <c r="J410" t="inlineStr">
        <is>
          <t>B3</t>
        </is>
      </c>
      <c r="K410" t="n">
        <v>2</v>
      </c>
      <c r="L410" t="inlineStr">
        <is>
          <t>Choose one —
• Boros Charm deals 4 damage to target player or planeswalker.
• Permanents you control gain indestructible until end of turn.
• Target creature gains double strike until end of turn.</t>
        </is>
      </c>
      <c r="M410" t="inlineStr">
        <is>
          <t>Burn</t>
        </is>
      </c>
      <c r="N410" t="inlineStr">
        <is>
          <t>Choose one —
• Boros Charm deals 4 damage to target player or planeswalker.
• Permanents you control gain indestructible</t>
        </is>
      </c>
      <c r="R410" t="n">
        <v>4.87</v>
      </c>
    </row>
    <row r="411" ht="15" customHeight="1" s="148">
      <c r="A411" t="inlineStr">
        <is>
          <t>c0410</t>
        </is>
      </c>
      <c r="B411" t="inlineStr">
        <is>
          <t>Boros Signet</t>
        </is>
      </c>
      <c r="C411" t="n">
        <v>0</v>
      </c>
      <c r="D411" t="n">
        <v>1</v>
      </c>
      <c r="E411" t="n">
        <v>0</v>
      </c>
      <c r="F411" t="n">
        <v>0</v>
      </c>
      <c r="G411" t="n">
        <v>1</v>
      </c>
      <c r="H411" t="inlineStr">
        <is>
          <t>Multi</t>
        </is>
      </c>
      <c r="I411" t="inlineStr">
        <is>
          <t>Artifact</t>
        </is>
      </c>
      <c r="J411" t="inlineStr">
        <is>
          <t>B2</t>
        </is>
      </c>
      <c r="K411" t="n">
        <v>2</v>
      </c>
      <c r="L411" t="inlineStr">
        <is>
          <t>{1}, {T}: Add {R}{W}.</t>
        </is>
      </c>
      <c r="M411" t="inlineStr">
        <is>
          <t>Mana Rock</t>
        </is>
      </c>
      <c r="N411" t="inlineStr">
        <is>
          <t>{1}, {T}: Add {R}{W}</t>
        </is>
      </c>
      <c r="R411" t="n">
        <v>0.52</v>
      </c>
    </row>
    <row r="412" ht="15" customHeight="1" s="148">
      <c r="A412" t="inlineStr">
        <is>
          <t>c0411</t>
        </is>
      </c>
      <c r="B412" t="inlineStr">
        <is>
          <t>Borrowed Knowledge</t>
        </is>
      </c>
      <c r="C412" t="n">
        <v>3</v>
      </c>
      <c r="E412" t="n">
        <v>1</v>
      </c>
      <c r="F412" t="n">
        <v>2</v>
      </c>
      <c r="G412" t="n">
        <v>0</v>
      </c>
      <c r="H412" t="inlineStr">
        <is>
          <t>Multi</t>
        </is>
      </c>
      <c r="I412" t="inlineStr">
        <is>
          <t>Sorcery</t>
        </is>
      </c>
      <c r="J412" t="inlineStr">
        <is>
          <t>B2</t>
        </is>
      </c>
      <c r="K412" t="n">
        <v>4</v>
      </c>
      <c r="L412" t="inlineStr">
        <is>
          <t>Choose one —
• Discard your hand, then draw cards equal to the number of cards in target opponent's hand.
• Discard your hand, then draw cards equal to the number of cards discarded this way.</t>
        </is>
      </c>
      <c r="M412" t="inlineStr">
        <is>
          <t>Wheel</t>
        </is>
      </c>
      <c r="N412" t="inlineStr">
        <is>
          <t>Discard your hand, then draw cards equal to the number of cards in target opponent's hand</t>
        </is>
      </c>
      <c r="O412" t="inlineStr">
        <is>
          <t>Or discard your hand and draw that many cards instead</t>
        </is>
      </c>
      <c r="R412" t="n">
        <v>0.32</v>
      </c>
    </row>
    <row r="413" ht="15" customHeight="1" s="148">
      <c r="A413" t="inlineStr">
        <is>
          <t>c0412</t>
        </is>
      </c>
      <c r="B413" t="inlineStr">
        <is>
          <t>Breena, the Demagogue</t>
        </is>
      </c>
      <c r="C413" t="n">
        <v>0</v>
      </c>
      <c r="E413" t="n">
        <v>0</v>
      </c>
      <c r="F413" t="n">
        <v>0</v>
      </c>
      <c r="G413" t="n">
        <v>0</v>
      </c>
      <c r="H413" t="inlineStr">
        <is>
          <t>Multi</t>
        </is>
      </c>
      <c r="I413" t="inlineStr">
        <is>
          <t>Legendary Creature</t>
        </is>
      </c>
      <c r="J413" t="inlineStr">
        <is>
          <t>B2</t>
        </is>
      </c>
      <c r="K413" t="n">
        <v>3</v>
      </c>
      <c r="L413" t="inlineStr">
        <is>
          <t>Flying
Whenever a player attacks one of your opponents, if that opponent has more life than another of your opponents, that attacking player draws a card and you put two +1/+1 counters on a creature you control.
(1/3)</t>
        </is>
      </c>
      <c r="M413" t="inlineStr">
        <is>
          <t>Card Draw</t>
        </is>
      </c>
      <c r="N413" t="inlineStr">
        <is>
          <t>Flying</t>
        </is>
      </c>
      <c r="O413" t="inlineStr">
        <is>
          <t>Whenever a player attacks one of your opponents, if that opponent has more life than another of your opponents, that att</t>
        </is>
      </c>
      <c r="R413" t="n">
        <v>1.03</v>
      </c>
    </row>
    <row r="414" ht="15" customHeight="1" s="148">
      <c r="A414" t="inlineStr">
        <is>
          <t>c0413</t>
        </is>
      </c>
      <c r="B414" t="inlineStr">
        <is>
          <t>Brightclimb Pathway</t>
        </is>
      </c>
      <c r="C414" t="n">
        <v>0</v>
      </c>
      <c r="E414" t="n">
        <v>0</v>
      </c>
      <c r="F414" t="n">
        <v>0</v>
      </c>
      <c r="G414" t="n">
        <v>0</v>
      </c>
      <c r="H414" t="inlineStr">
        <is>
          <t>Multi</t>
        </is>
      </c>
      <c r="I414" t="inlineStr">
        <is>
          <t>Land</t>
        </is>
      </c>
      <c r="J414" t="inlineStr">
        <is>
          <t>B3</t>
        </is>
      </c>
      <c r="K414" t="n">
        <v>0</v>
      </c>
      <c r="L414" t="inlineStr">
        <is>
          <t>Brightclimb Pathway — Land
{T}: Add {W}.
//
Grimclimb Pathway — Land
{T}: Add {B}.</t>
        </is>
      </c>
      <c r="M414" t="inlineStr">
        <is>
          <t>Land</t>
        </is>
      </c>
      <c r="N414" t="inlineStr">
        <is>
          <t>{T}: Add {W}.</t>
        </is>
      </c>
      <c r="R414" t="n">
        <v>4.74</v>
      </c>
    </row>
    <row r="415" ht="15" customHeight="1" s="148">
      <c r="A415" t="inlineStr">
        <is>
          <t>c0414</t>
        </is>
      </c>
      <c r="B415" t="inlineStr">
        <is>
          <t>Chaos Spewer</t>
        </is>
      </c>
      <c r="C415" t="n">
        <v>2</v>
      </c>
      <c r="E415" t="n">
        <v>0</v>
      </c>
      <c r="F415" t="n">
        <v>2</v>
      </c>
      <c r="G415" t="n">
        <v>0</v>
      </c>
      <c r="H415" t="inlineStr">
        <is>
          <t>Multi</t>
        </is>
      </c>
      <c r="I415" t="inlineStr">
        <is>
          <t>Creature</t>
        </is>
      </c>
      <c r="J415" t="inlineStr">
        <is>
          <t>B2</t>
        </is>
      </c>
      <c r="K415" t="n">
        <v>3</v>
      </c>
      <c r="L415" t="inlineStr">
        <is>
          <t>When this creature enters, you may pay {2}. If you don't, blight 2. (To blight 2, put two -1/-1 counters on a creature you control.)
(5/4)</t>
        </is>
      </c>
      <c r="M415" t="inlineStr">
        <is>
          <t>Utility Creature</t>
        </is>
      </c>
      <c r="N415" t="inlineStr">
        <is>
          <t>Enters: pay {2} or put two -1/-1 counters on a creature you control</t>
        </is>
      </c>
      <c r="R415" t="n">
        <v>0.15</v>
      </c>
    </row>
    <row r="416" ht="15" customHeight="1" s="148">
      <c r="A416" t="inlineStr">
        <is>
          <t>c0415</t>
        </is>
      </c>
      <c r="B416" t="inlineStr">
        <is>
          <t>Chitinous Graspling</t>
        </is>
      </c>
      <c r="C416" t="n">
        <v>1</v>
      </c>
      <c r="E416" t="n">
        <v>0</v>
      </c>
      <c r="F416" t="n">
        <v>1</v>
      </c>
      <c r="G416" t="n">
        <v>0</v>
      </c>
      <c r="H416" t="inlineStr">
        <is>
          <t>Multi</t>
        </is>
      </c>
      <c r="I416" t="inlineStr">
        <is>
          <t>Creature</t>
        </is>
      </c>
      <c r="J416" t="inlineStr">
        <is>
          <t>B2</t>
        </is>
      </c>
      <c r="K416" t="n">
        <v>4</v>
      </c>
      <c r="L416" t="inlineStr">
        <is>
          <t>Changeling (This card is every creature type.)
Reach
(3/4)</t>
        </is>
      </c>
      <c r="M416" t="inlineStr">
        <is>
          <t>Utility Creature</t>
        </is>
      </c>
      <c r="N416" t="inlineStr">
        <is>
          <t>Changeling (it is every creature type)</t>
        </is>
      </c>
      <c r="O416" t="inlineStr">
        <is>
          <t>Reach</t>
        </is>
      </c>
      <c r="R416" t="n">
        <v>0.13</v>
      </c>
    </row>
    <row r="417" ht="15" customHeight="1" s="148">
      <c r="A417" t="inlineStr">
        <is>
          <t>c0416</t>
        </is>
      </c>
      <c r="B417" t="inlineStr">
        <is>
          <t>Chulane, Teller of Tales</t>
        </is>
      </c>
      <c r="C417" t="n">
        <v>1</v>
      </c>
      <c r="E417" t="n">
        <v>1</v>
      </c>
      <c r="F417" t="n">
        <v>0</v>
      </c>
      <c r="G417" t="n">
        <v>1</v>
      </c>
      <c r="H417" t="inlineStr">
        <is>
          <t>Multi</t>
        </is>
      </c>
      <c r="I417" t="inlineStr">
        <is>
          <t>Legendary Creature</t>
        </is>
      </c>
      <c r="J417" t="inlineStr">
        <is>
          <t>B2</t>
        </is>
      </c>
      <c r="K417" t="n">
        <v>5</v>
      </c>
      <c r="L417" t="inlineStr">
        <is>
          <t>Vigilance
Whenever you cast a creature spell, draw a card, then you may put a land card from your hand onto the battlefield.
{3}, {T}: Return target creature you control to its owner's hand.
(2/4)</t>
        </is>
      </c>
      <c r="M417" t="inlineStr">
        <is>
          <t>Commander</t>
        </is>
      </c>
      <c r="N417" t="inlineStr">
        <is>
          <t>Draw a card and may put a land from hand onto the battlefield whenever you cast a creature spell</t>
        </is>
      </c>
      <c r="O417" t="inlineStr">
        <is>
          <t>{3}, tap: return target creature you control to hand</t>
        </is>
      </c>
      <c r="P417" t="inlineStr">
        <is>
          <t>Vigilance body</t>
        </is>
      </c>
      <c r="R417" t="n">
        <v>6.15</v>
      </c>
    </row>
    <row r="418" ht="15" customHeight="1" s="148">
      <c r="A418" t="inlineStr">
        <is>
          <t>c0417</t>
        </is>
      </c>
      <c r="B418" t="inlineStr">
        <is>
          <t>Clan Guildmage</t>
        </is>
      </c>
      <c r="C418" t="n">
        <v>1</v>
      </c>
      <c r="E418" t="n">
        <v>0</v>
      </c>
      <c r="F418" t="n">
        <v>1</v>
      </c>
      <c r="G418" t="n">
        <v>0</v>
      </c>
      <c r="H418" t="inlineStr">
        <is>
          <t>Multi</t>
        </is>
      </c>
      <c r="I418" t="inlineStr">
        <is>
          <t>Creature</t>
        </is>
      </c>
      <c r="J418" t="inlineStr">
        <is>
          <t>B2</t>
        </is>
      </c>
      <c r="K418" t="n">
        <v>2</v>
      </c>
      <c r="L418" t="inlineStr">
        <is>
          <t>{1}{R}, {T}: Target creature can't block this turn.
{2}{G}, {T}: Target land you control becomes a 4/4 Elemental creature with haste until end of turn. It's still a land.
(2/2)</t>
        </is>
      </c>
      <c r="M418" t="inlineStr">
        <is>
          <t>Utility Creature</t>
        </is>
      </c>
      <c r="N418" t="inlineStr">
        <is>
          <t>Target creature can't block this turn</t>
        </is>
      </c>
      <c r="O418" t="inlineStr">
        <is>
          <t>Target land becomes a 4/4 hasty Elemental until end of turn</t>
        </is>
      </c>
      <c r="R418" t="n">
        <v>0.08</v>
      </c>
    </row>
    <row r="419" ht="15" customHeight="1" s="148">
      <c r="A419" t="inlineStr">
        <is>
          <t>c0418</t>
        </is>
      </c>
      <c r="B419" t="inlineStr">
        <is>
          <t>Cloudblazer</t>
        </is>
      </c>
      <c r="C419" t="n">
        <v>1</v>
      </c>
      <c r="E419" t="n">
        <v>1</v>
      </c>
      <c r="F419" t="n">
        <v>0</v>
      </c>
      <c r="G419" t="n">
        <v>0</v>
      </c>
      <c r="H419" t="inlineStr">
        <is>
          <t>Multi</t>
        </is>
      </c>
      <c r="I419" t="inlineStr">
        <is>
          <t>Creature</t>
        </is>
      </c>
      <c r="J419" t="inlineStr">
        <is>
          <t>B2</t>
        </is>
      </c>
      <c r="K419" t="n">
        <v>5</v>
      </c>
      <c r="L419" t="inlineStr">
        <is>
          <t>Flying
When this creature enters, you gain 2 life and draw two cards.
(2/2)</t>
        </is>
      </c>
      <c r="M419" t="inlineStr">
        <is>
          <t>Card Draw</t>
        </is>
      </c>
      <c r="N419" t="inlineStr">
        <is>
          <t>Gain 2 life and draw two cards when it enters</t>
        </is>
      </c>
      <c r="O419" t="inlineStr">
        <is>
          <t>Flying body</t>
        </is>
      </c>
      <c r="R419" t="n">
        <v>0.14</v>
      </c>
    </row>
    <row r="420" ht="15" customHeight="1" s="148">
      <c r="A420" t="inlineStr">
        <is>
          <t>c0419</t>
        </is>
      </c>
      <c r="B420" t="inlineStr">
        <is>
          <t>Coiling Oracle</t>
        </is>
      </c>
      <c r="C420" t="n">
        <v>1</v>
      </c>
      <c r="E420" t="n">
        <v>1</v>
      </c>
      <c r="F420" t="n">
        <v>0</v>
      </c>
      <c r="G420" t="n">
        <v>1</v>
      </c>
      <c r="H420" t="inlineStr">
        <is>
          <t>Multi</t>
        </is>
      </c>
      <c r="I420" t="inlineStr">
        <is>
          <t>Creature</t>
        </is>
      </c>
      <c r="J420" t="inlineStr">
        <is>
          <t>B2</t>
        </is>
      </c>
      <c r="K420" t="n">
        <v>2</v>
      </c>
      <c r="L420" t="inlineStr">
        <is>
          <t>When this creature enters, reveal the top card of your library. If it's a land card, put it onto the battlefield. Otherwise, put that card into your hand.
(1/1)</t>
        </is>
      </c>
      <c r="M420" t="inlineStr">
        <is>
          <t>Ramp</t>
        </is>
      </c>
      <c r="N420" t="inlineStr">
        <is>
          <t>Reveals top card of library; puts it onto the battlefield if a land, otherwise to hand</t>
        </is>
      </c>
      <c r="R420" t="n">
        <v>0.23</v>
      </c>
    </row>
    <row r="421" ht="15" customHeight="1" s="148">
      <c r="A421" t="inlineStr">
        <is>
          <t>c0420</t>
        </is>
      </c>
      <c r="B421" t="inlineStr">
        <is>
          <t>Colfenor, the Last Yew</t>
        </is>
      </c>
      <c r="C421" t="n">
        <v>0</v>
      </c>
      <c r="E421" t="n">
        <v>0</v>
      </c>
      <c r="F421" t="n">
        <v>0</v>
      </c>
      <c r="G421" t="n">
        <v>0</v>
      </c>
      <c r="H421" t="inlineStr">
        <is>
          <t>Multi</t>
        </is>
      </c>
      <c r="I421" t="inlineStr">
        <is>
          <t>Legendary Creature</t>
        </is>
      </c>
      <c r="J421" t="inlineStr">
        <is>
          <t>B2</t>
        </is>
      </c>
      <c r="K421" t="n">
        <v>6</v>
      </c>
      <c r="L421" t="inlineStr">
        <is>
          <t>Reach, vigilance
Whenever Colfenor or another creature you control dies, return up to one other target creature card with lesser toughness from your graveyard to your hand.
(3/7)</t>
        </is>
      </c>
      <c r="M421" t="inlineStr">
        <is>
          <t>Recursion</t>
        </is>
      </c>
      <c r="N421" t="inlineStr">
        <is>
          <t>Returns a creature card with lesser toughness from graveyard to hand when it or another creature you control dies</t>
        </is>
      </c>
      <c r="O421" t="inlineStr">
        <is>
          <t>Reach, vigilance body</t>
        </is>
      </c>
      <c r="R421" t="n">
        <v>0.54</v>
      </c>
    </row>
    <row r="422" ht="15" customHeight="1" s="148">
      <c r="A422" t="inlineStr">
        <is>
          <t>c0421</t>
        </is>
      </c>
      <c r="B422" t="inlineStr">
        <is>
          <t>Corpse Knight</t>
        </is>
      </c>
      <c r="C422" t="n">
        <v>1</v>
      </c>
      <c r="E422" t="n">
        <v>1</v>
      </c>
      <c r="F422" t="n">
        <v>0</v>
      </c>
      <c r="G422" t="n">
        <v>1</v>
      </c>
      <c r="H422" t="inlineStr">
        <is>
          <t>Multi</t>
        </is>
      </c>
      <c r="I422" t="inlineStr">
        <is>
          <t>Creature</t>
        </is>
      </c>
      <c r="J422" t="inlineStr">
        <is>
          <t>B2</t>
        </is>
      </c>
      <c r="K422" t="n">
        <v>2</v>
      </c>
      <c r="L422" t="inlineStr">
        <is>
          <t>Whenever another creature you control enters, each opponent loses 1 life.
(2/2)</t>
        </is>
      </c>
      <c r="M422" t="inlineStr">
        <is>
          <t>Drain Payoff</t>
        </is>
      </c>
      <c r="N422" t="inlineStr">
        <is>
          <t>Whenever another creature you control enters, each opponent loses 1 life</t>
        </is>
      </c>
      <c r="R422" t="n">
        <v>0.6899999999999999</v>
      </c>
    </row>
    <row r="423" ht="15" customHeight="1" s="148">
      <c r="A423" t="inlineStr">
        <is>
          <t>c0422</t>
        </is>
      </c>
      <c r="B423" t="inlineStr">
        <is>
          <t>Cruel Celebrant</t>
        </is>
      </c>
      <c r="C423" t="n">
        <v>1</v>
      </c>
      <c r="E423" t="n">
        <v>1</v>
      </c>
      <c r="F423" t="n">
        <v>0</v>
      </c>
      <c r="G423" t="n">
        <v>1</v>
      </c>
      <c r="H423" t="inlineStr">
        <is>
          <t>Multi</t>
        </is>
      </c>
      <c r="I423" t="inlineStr">
        <is>
          <t>Creature</t>
        </is>
      </c>
      <c r="J423" t="inlineStr">
        <is>
          <t>B2</t>
        </is>
      </c>
      <c r="K423" t="n">
        <v>2</v>
      </c>
      <c r="L423" t="inlineStr">
        <is>
          <t>Whenever this creature or another creature or planeswalker you control dies, each opponent loses 1 life and you gain 1 life.
(1/2)</t>
        </is>
      </c>
      <c r="M423" t="inlineStr">
        <is>
          <t>Drain Payoff</t>
        </is>
      </c>
      <c r="N423" t="inlineStr">
        <is>
          <t>Whenever it or another creature/planeswalker you control dies, each opponent loses 1 life and you gain 1 life</t>
        </is>
      </c>
      <c r="R423" t="n">
        <v>1.68</v>
      </c>
    </row>
    <row r="424" ht="15" customHeight="1" s="148">
      <c r="A424" t="inlineStr">
        <is>
          <t>c0423</t>
        </is>
      </c>
      <c r="B424" t="inlineStr">
        <is>
          <t>Deathbringer Liege</t>
        </is>
      </c>
      <c r="C424" t="n">
        <v>0</v>
      </c>
      <c r="E424" t="n">
        <v>0</v>
      </c>
      <c r="F424" t="n">
        <v>0</v>
      </c>
      <c r="G424" t="n">
        <v>0</v>
      </c>
      <c r="H424" t="inlineStr">
        <is>
          <t>Multi</t>
        </is>
      </c>
      <c r="I424" t="inlineStr">
        <is>
          <t>Creature</t>
        </is>
      </c>
      <c r="J424" t="inlineStr">
        <is>
          <t>B2</t>
        </is>
      </c>
      <c r="K424" t="n">
        <v>5</v>
      </c>
      <c r="L424" t="inlineStr">
        <is>
          <t>Other white creatures you control get +1/+1.
Other black creatures you control get +1/+1.
Whenever you cast a white spell, you may tap target creature.
Whenever you cast a black spell, you may destroy target creature if it's tapped.
(3/4)</t>
        </is>
      </c>
      <c r="M424" t="inlineStr">
        <is>
          <t>Lord/Anthem</t>
        </is>
      </c>
      <c r="N424" t="inlineStr">
        <is>
          <t>Other white creatures you control get +1/+1</t>
        </is>
      </c>
      <c r="O424" t="inlineStr">
        <is>
          <t>Other black creatures you control get +1/+1</t>
        </is>
      </c>
      <c r="P424" t="inlineStr">
        <is>
          <t>Whenever you cast a white spell, you may tap target creature</t>
        </is>
      </c>
      <c r="R424" t="n">
        <v>1.08</v>
      </c>
    </row>
    <row r="425" ht="15" customHeight="1" s="148">
      <c r="A425" t="inlineStr">
        <is>
          <t>c0424</t>
        </is>
      </c>
      <c r="B425" t="inlineStr">
        <is>
          <t>Deepchannel Duelist</t>
        </is>
      </c>
      <c r="C425" t="n">
        <v>1</v>
      </c>
      <c r="E425" t="n">
        <v>0</v>
      </c>
      <c r="F425" t="n">
        <v>1</v>
      </c>
      <c r="G425" t="n">
        <v>0</v>
      </c>
      <c r="H425" t="inlineStr">
        <is>
          <t>Multi</t>
        </is>
      </c>
      <c r="I425" t="inlineStr">
        <is>
          <t>Creature</t>
        </is>
      </c>
      <c r="J425" t="inlineStr">
        <is>
          <t>B2</t>
        </is>
      </c>
      <c r="K425" t="n">
        <v>2</v>
      </c>
      <c r="L425" t="inlineStr">
        <is>
          <t>At the beginning of your end step, untap target Merfolk you control.
Other Merfolk you control get +1/+1.
(2/2)</t>
        </is>
      </c>
      <c r="M425" t="inlineStr">
        <is>
          <t>Lord/Anthem</t>
        </is>
      </c>
      <c r="N425" t="inlineStr">
        <is>
          <t>Other Merfolk you control get +1/+1</t>
        </is>
      </c>
      <c r="O425" t="inlineStr">
        <is>
          <t>Untaps target Merfolk you control at your end step</t>
        </is>
      </c>
      <c r="R425" t="n">
        <v>0.25</v>
      </c>
    </row>
    <row r="426" ht="15" customHeight="1" s="148">
      <c r="A426" t="inlineStr">
        <is>
          <t>c0425</t>
        </is>
      </c>
      <c r="B426" t="inlineStr">
        <is>
          <t>Deflecting Palm</t>
        </is>
      </c>
      <c r="C426" t="n">
        <v>1</v>
      </c>
      <c r="E426" t="n">
        <v>1</v>
      </c>
      <c r="F426" t="n">
        <v>0</v>
      </c>
      <c r="G426" t="n">
        <v>0</v>
      </c>
      <c r="H426" t="inlineStr">
        <is>
          <t>Multi</t>
        </is>
      </c>
      <c r="I426" t="inlineStr">
        <is>
          <t>Instant</t>
        </is>
      </c>
      <c r="J426" t="inlineStr">
        <is>
          <t>B2</t>
        </is>
      </c>
      <c r="K426" t="n">
        <v>2</v>
      </c>
      <c r="L426" t="inlineStr">
        <is>
          <t>The next time a source of your choice would deal damage to you this turn, prevent that damage. If damage is prevented this way, Deflecting Palm deals that much damage to that source's controller.</t>
        </is>
      </c>
      <c r="M426" t="inlineStr">
        <is>
          <t>Protection</t>
        </is>
      </c>
      <c r="N426" t="inlineStr">
        <is>
          <t>Prevent the next damage a source of your choice would deal to you this turn</t>
        </is>
      </c>
      <c r="O426" t="inlineStr">
        <is>
          <t>Deals that much damage back to that source's controller</t>
        </is>
      </c>
      <c r="R426" t="n">
        <v>4.07</v>
      </c>
    </row>
    <row r="427" ht="15" customHeight="1" s="148">
      <c r="A427" t="inlineStr">
        <is>
          <t>c0426</t>
        </is>
      </c>
      <c r="B427" t="inlineStr">
        <is>
          <t>Deputy of Detention</t>
        </is>
      </c>
      <c r="C427" t="n">
        <v>1</v>
      </c>
      <c r="E427" t="n">
        <v>1</v>
      </c>
      <c r="F427" t="n">
        <v>0</v>
      </c>
      <c r="G427" t="n">
        <v>1</v>
      </c>
      <c r="H427" t="inlineStr">
        <is>
          <t>Multi</t>
        </is>
      </c>
      <c r="I427" t="inlineStr">
        <is>
          <t>Creature</t>
        </is>
      </c>
      <c r="J427" t="inlineStr">
        <is>
          <t>B2</t>
        </is>
      </c>
      <c r="K427" t="n">
        <v>3</v>
      </c>
      <c r="L427" t="inlineStr">
        <is>
          <t>When this creature enters, exile target nonland permanent an opponent controls and all other nonland permanents that player controls with the same name as that permanent until this creature leaves the battlefield.
(1/3)</t>
        </is>
      </c>
      <c r="M427" t="inlineStr">
        <is>
          <t>Removal</t>
        </is>
      </c>
      <c r="N427" t="inlineStr">
        <is>
          <t>Exiles target nonland permanent and same-named copies its controller has until this leaves</t>
        </is>
      </c>
      <c r="R427" t="n">
        <v>0.36</v>
      </c>
    </row>
    <row r="428" ht="15" customHeight="1" s="148">
      <c r="A428" t="inlineStr">
        <is>
          <t>c0427</t>
        </is>
      </c>
      <c r="B428" t="inlineStr">
        <is>
          <t>Despark</t>
        </is>
      </c>
      <c r="C428" t="n">
        <v>2</v>
      </c>
      <c r="E428" t="n">
        <v>2</v>
      </c>
      <c r="F428" t="n">
        <v>0</v>
      </c>
      <c r="G428" t="n">
        <v>2</v>
      </c>
      <c r="H428" t="inlineStr">
        <is>
          <t>Multi</t>
        </is>
      </c>
      <c r="I428" t="inlineStr">
        <is>
          <t>Instant</t>
        </is>
      </c>
      <c r="J428" t="inlineStr">
        <is>
          <t>B2</t>
        </is>
      </c>
      <c r="K428" t="n">
        <v>2</v>
      </c>
      <c r="L428" t="inlineStr">
        <is>
          <t>Exile target permanent with mana value 4 or greater.</t>
        </is>
      </c>
      <c r="M428" t="inlineStr">
        <is>
          <t>Removal</t>
        </is>
      </c>
      <c r="N428" t="inlineStr">
        <is>
          <t>Exiles target permanent with mana value 4 or greater</t>
        </is>
      </c>
      <c r="R428" t="n">
        <v>0.38</v>
      </c>
    </row>
    <row r="429" ht="15" customHeight="1" s="148">
      <c r="A429" t="inlineStr">
        <is>
          <t>c0428</t>
        </is>
      </c>
      <c r="B429" t="inlineStr">
        <is>
          <t>Doran, the Siege Tower</t>
        </is>
      </c>
      <c r="C429" t="n">
        <v>0</v>
      </c>
      <c r="D429" t="n">
        <v>1</v>
      </c>
      <c r="E429" t="n">
        <v>0</v>
      </c>
      <c r="F429" t="n">
        <v>0</v>
      </c>
      <c r="G429" t="n">
        <v>1</v>
      </c>
      <c r="H429" t="inlineStr">
        <is>
          <t>Multi</t>
        </is>
      </c>
      <c r="I429" t="inlineStr">
        <is>
          <t>Legendary Creature</t>
        </is>
      </c>
      <c r="J429" t="inlineStr">
        <is>
          <t>B3</t>
        </is>
      </c>
      <c r="K429" t="n">
        <v>3</v>
      </c>
      <c r="L429" t="inlineStr">
        <is>
          <t>Each creature assigns combat damage equal to its toughness rather than its power.
(0/5)</t>
        </is>
      </c>
      <c r="M429" t="inlineStr">
        <is>
          <t>Toughness Payoff</t>
        </is>
      </c>
      <c r="N429" t="inlineStr">
        <is>
          <t>Each creature assigns combat damage equal to its toughness rather than its power.</t>
        </is>
      </c>
      <c r="R429" t="n">
        <v>8.48</v>
      </c>
    </row>
    <row r="430" ht="15" customHeight="1" s="148">
      <c r="A430" t="inlineStr">
        <is>
          <t>c0429</t>
        </is>
      </c>
      <c r="B430" t="inlineStr">
        <is>
          <t>Dragonlord Dromoka</t>
        </is>
      </c>
      <c r="C430" t="n">
        <v>1</v>
      </c>
      <c r="E430" t="n">
        <v>1</v>
      </c>
      <c r="F430" t="n">
        <v>0</v>
      </c>
      <c r="G430" t="n">
        <v>1</v>
      </c>
      <c r="H430" t="inlineStr">
        <is>
          <t>Multi</t>
        </is>
      </c>
      <c r="I430" t="inlineStr">
        <is>
          <t>Legendary Creature</t>
        </is>
      </c>
      <c r="J430" t="inlineStr">
        <is>
          <t>B2</t>
        </is>
      </c>
      <c r="K430" t="n">
        <v>6</v>
      </c>
      <c r="L430" t="inlineStr">
        <is>
          <t>This spell can't be countered.
Flying, lifelink
Your opponents can't cast spells during your turn.
(5/7)</t>
        </is>
      </c>
      <c r="M430" t="inlineStr">
        <is>
          <t>Finisher</t>
        </is>
      </c>
      <c r="N430" t="inlineStr">
        <is>
          <t>Opponents can't cast spells during your turn</t>
        </is>
      </c>
      <c r="O430" t="inlineStr">
        <is>
          <t>This spell can't be countered</t>
        </is>
      </c>
      <c r="P430" t="inlineStr">
        <is>
          <t>Flying lifelink body</t>
        </is>
      </c>
      <c r="R430" t="n">
        <v>1.79</v>
      </c>
    </row>
    <row r="431" ht="15" customHeight="1" s="148">
      <c r="A431" t="inlineStr">
        <is>
          <t>c0430</t>
        </is>
      </c>
      <c r="B431" t="inlineStr">
        <is>
          <t>Eerie Ultimatum</t>
        </is>
      </c>
      <c r="C431" t="n">
        <v>1</v>
      </c>
      <c r="E431" t="n">
        <v>0</v>
      </c>
      <c r="F431" t="n">
        <v>1</v>
      </c>
      <c r="G431" t="n">
        <v>0</v>
      </c>
      <c r="H431" t="inlineStr">
        <is>
          <t>Multi</t>
        </is>
      </c>
      <c r="I431" t="inlineStr">
        <is>
          <t>Sorcery</t>
        </is>
      </c>
      <c r="J431" t="inlineStr">
        <is>
          <t>B3</t>
        </is>
      </c>
      <c r="K431" t="n">
        <v>7</v>
      </c>
      <c r="L431" t="inlineStr">
        <is>
          <t>Return any number of permanent cards with different names from your graveyard to the battlefield.</t>
        </is>
      </c>
      <c r="M431" t="inlineStr">
        <is>
          <t>Recursion</t>
        </is>
      </c>
      <c r="N431" t="inlineStr">
        <is>
          <t>Return any number of permanent cards with different names from your graveyard to the battlefield</t>
        </is>
      </c>
      <c r="R431" t="n">
        <v>2.46</v>
      </c>
    </row>
    <row r="432" ht="15" customHeight="1" s="148">
      <c r="A432" t="inlineStr">
        <is>
          <t>c0431</t>
        </is>
      </c>
      <c r="B432" t="inlineStr">
        <is>
          <t>Elas il-Kor, Sadistic Pilgrim</t>
        </is>
      </c>
      <c r="C432" t="n">
        <v>1</v>
      </c>
      <c r="E432" t="n">
        <v>1</v>
      </c>
      <c r="F432" t="n">
        <v>0</v>
      </c>
      <c r="G432" t="n">
        <v>1</v>
      </c>
      <c r="H432" t="inlineStr">
        <is>
          <t>Multi</t>
        </is>
      </c>
      <c r="I432" t="inlineStr">
        <is>
          <t>Legendary Creature</t>
        </is>
      </c>
      <c r="J432" t="inlineStr">
        <is>
          <t>B2</t>
        </is>
      </c>
      <c r="K432" t="n">
        <v>2</v>
      </c>
      <c r="L432" t="inlineStr">
        <is>
          <t>Deathtouch
Whenever another creature you control enters, you gain 1 life.
Whenever another creature you control dies, each opponent loses 1 life.
(2/2)</t>
        </is>
      </c>
      <c r="M432" t="inlineStr">
        <is>
          <t>Drain Payoff</t>
        </is>
      </c>
      <c r="N432" t="inlineStr">
        <is>
          <t>Gains you 1 life whenever another creature you control enters</t>
        </is>
      </c>
      <c r="O432" t="inlineStr">
        <is>
          <t>Each opponent loses 1 life whenever another creature you control dies</t>
        </is>
      </c>
      <c r="P432" t="inlineStr">
        <is>
          <t>Deathtouch body</t>
        </is>
      </c>
      <c r="R432" t="n">
        <v>3.11</v>
      </c>
    </row>
    <row r="433" ht="15" customHeight="1" s="148">
      <c r="A433" t="inlineStr">
        <is>
          <t>c0432</t>
        </is>
      </c>
      <c r="B433" t="inlineStr">
        <is>
          <t>Elenda, the Dusk Rose</t>
        </is>
      </c>
      <c r="C433" t="n">
        <v>0</v>
      </c>
      <c r="E433" t="n">
        <v>0</v>
      </c>
      <c r="F433" t="n">
        <v>0</v>
      </c>
      <c r="G433" t="n">
        <v>0</v>
      </c>
      <c r="H433" t="inlineStr">
        <is>
          <t>Multi</t>
        </is>
      </c>
      <c r="I433" t="inlineStr">
        <is>
          <t>Legendary Creature</t>
        </is>
      </c>
      <c r="J433" t="inlineStr">
        <is>
          <t>B3</t>
        </is>
      </c>
      <c r="K433" t="n">
        <v>4</v>
      </c>
      <c r="L433" t="inlineStr">
        <is>
          <t>Lifelink
Whenever another creature dies, put a +1/+1 counter on Elenda.
When Elenda dies, create X 1/1 white Vampire creature tokens with lifelink, where X is Elenda's power.
(1/1)</t>
        </is>
      </c>
      <c r="M433" t="inlineStr">
        <is>
          <t>Token Producer</t>
        </is>
      </c>
      <c r="N433" t="inlineStr">
        <is>
          <t>Lifelink
Whenever another creature dies, put a +1/+1 counter on Elenda.
When Elenda dies, create X 1/1 white Vampire cre</t>
        </is>
      </c>
      <c r="R433" t="n">
        <v>5.36</v>
      </c>
    </row>
    <row r="434" ht="15" customHeight="1" s="148">
      <c r="A434" t="inlineStr">
        <is>
          <t>c0433</t>
        </is>
      </c>
      <c r="B434" t="inlineStr">
        <is>
          <t>Emptiness</t>
        </is>
      </c>
      <c r="C434" t="n">
        <v>1</v>
      </c>
      <c r="E434" t="n">
        <v>0</v>
      </c>
      <c r="F434" t="n">
        <v>1</v>
      </c>
      <c r="G434" t="n">
        <v>0</v>
      </c>
      <c r="H434" t="inlineStr">
        <is>
          <t>Multi</t>
        </is>
      </c>
      <c r="I434" t="inlineStr">
        <is>
          <t>Creature</t>
        </is>
      </c>
      <c r="J434" t="inlineStr">
        <is>
          <t>B2</t>
        </is>
      </c>
      <c r="K434" t="n">
        <v>6</v>
      </c>
      <c r="L434" t="inlineStr">
        <is>
          <t>When this creature enters, if {W}{W} was spent to cast it, return target creature card with mana value 3 or less from your graveyard to the battlefield.
When this creature enters, if {B}{B} was spent to cast it, put three -1/-1 counters on up to one target creature.
Evoke {W/B}{W/B}
(3/5)</t>
        </is>
      </c>
      <c r="M434" t="inlineStr">
        <is>
          <t>Recursion</t>
        </is>
      </c>
      <c r="N434" t="inlineStr">
        <is>
          <t>Enters: if {W}{W} was spent, return a creature card with mana value 3 or less from your graveyard to the battlefield</t>
        </is>
      </c>
      <c r="O434" t="inlineStr">
        <is>
          <t>Enters: if {B}{B} was spent, put three -1/-1 counters on up to one target creature</t>
        </is>
      </c>
      <c r="P434" t="inlineStr">
        <is>
          <t>Evoke {W/B}{W/B}: cast it cheaply by sacrificing it as it enters</t>
        </is>
      </c>
      <c r="R434" t="n">
        <v>0.9</v>
      </c>
    </row>
    <row r="435" ht="15" customHeight="1" s="148">
      <c r="A435" t="inlineStr">
        <is>
          <t>c0434</t>
        </is>
      </c>
      <c r="B435" t="inlineStr">
        <is>
          <t>Essenceknit Scholar</t>
        </is>
      </c>
      <c r="C435" t="n">
        <v>1</v>
      </c>
      <c r="E435" t="n">
        <v>0</v>
      </c>
      <c r="F435" t="n">
        <v>1</v>
      </c>
      <c r="G435" t="n">
        <v>0</v>
      </c>
      <c r="H435" t="inlineStr">
        <is>
          <t>Multi</t>
        </is>
      </c>
      <c r="I435" t="inlineStr">
        <is>
          <t>Creature</t>
        </is>
      </c>
      <c r="J435" t="inlineStr">
        <is>
          <t>B2</t>
        </is>
      </c>
      <c r="K435" t="n">
        <v>3</v>
      </c>
      <c r="L435" t="inlineStr">
        <is>
          <t>When this creature enters, create a 1/1 black and green Pest creature token with "Whenever this token attacks, you gain 1 life."
At the beginning of your end step, if a creature died under your control this turn, draw a card.
(3/1)</t>
        </is>
      </c>
      <c r="M435" t="inlineStr">
        <is>
          <t>Token Producer</t>
        </is>
      </c>
      <c r="N435" t="inlineStr">
        <is>
          <t>Enters: create a 1/1 Pest token that gains you 1 life whenever it attacks</t>
        </is>
      </c>
      <c r="O435" t="inlineStr">
        <is>
          <t>At the beginning of your end step, draw a card if a creature died under your control this turn</t>
        </is>
      </c>
      <c r="R435" t="n">
        <v>0.24</v>
      </c>
    </row>
    <row r="436" ht="15" customHeight="1" s="148">
      <c r="A436" t="inlineStr">
        <is>
          <t>c0435</t>
        </is>
      </c>
      <c r="B436" t="inlineStr">
        <is>
          <t>Excava, the Risen Past</t>
        </is>
      </c>
      <c r="C436" t="n">
        <v>1</v>
      </c>
      <c r="E436" t="n">
        <v>1</v>
      </c>
      <c r="F436" t="n">
        <v>0</v>
      </c>
      <c r="G436" t="n">
        <v>1</v>
      </c>
      <c r="H436" t="inlineStr">
        <is>
          <t>Multi</t>
        </is>
      </c>
      <c r="I436" t="inlineStr">
        <is>
          <t>Legendary Creature</t>
        </is>
      </c>
      <c r="J436" t="inlineStr">
        <is>
          <t>B2</t>
        </is>
      </c>
      <c r="K436" t="n">
        <v>4</v>
      </c>
      <c r="L436" t="inlineStr">
        <is>
          <t>Flying, haste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
(3/3)</t>
        </is>
      </c>
      <c r="M436" t="inlineStr">
        <is>
          <t>Recursion</t>
        </is>
      </c>
      <c r="N436" t="inlineStr">
        <is>
          <t>Can attack the turn it enters</t>
        </is>
      </c>
      <c r="O436" t="inlineStr">
        <is>
          <t>Attacking returns a MV 3 or less artifact/creature/enchantment from graveyard as a 1/1 Spirit that gets exiled if it dies</t>
        </is>
      </c>
      <c r="R436" t="n">
        <v>0.77</v>
      </c>
    </row>
    <row r="437" ht="15" customHeight="1" s="148">
      <c r="A437" t="inlineStr">
        <is>
          <t>c0436</t>
        </is>
      </c>
      <c r="B437" t="inlineStr">
        <is>
          <t>Ezuri, Stalker of Spheres</t>
        </is>
      </c>
      <c r="C437" t="n">
        <v>0</v>
      </c>
      <c r="E437" t="n">
        <v>0</v>
      </c>
      <c r="F437" t="n">
        <v>0</v>
      </c>
      <c r="G437" t="n">
        <v>0</v>
      </c>
      <c r="H437" t="inlineStr">
        <is>
          <t>Multi</t>
        </is>
      </c>
      <c r="I437" t="inlineStr">
        <is>
          <t>Legendary Creature</t>
        </is>
      </c>
      <c r="J437" t="inlineStr">
        <is>
          <t>B2</t>
        </is>
      </c>
      <c r="K437" t="n">
        <v>4</v>
      </c>
      <c r="L437" t="inlineStr">
        <is>
          <t>When Ezuri enters, you may pay {3}. If you do, proliferate twice.
Whenever you proliferate, draw a card.
(3/3)</t>
        </is>
      </c>
      <c r="M437" t="inlineStr">
        <is>
          <t>Proliferate</t>
        </is>
      </c>
      <c r="N437" t="inlineStr">
        <is>
          <t>When Ezuri enters, you may pay {3}. If you do, proliferate twice</t>
        </is>
      </c>
      <c r="O437" t="inlineStr">
        <is>
          <t>Whenever you proliferate, draw a card</t>
        </is>
      </c>
      <c r="R437" t="n">
        <v>0.79</v>
      </c>
    </row>
    <row r="438" ht="15" customHeight="1" s="148">
      <c r="A438" t="inlineStr">
        <is>
          <t>c0437</t>
        </is>
      </c>
      <c r="B438" t="inlineStr">
        <is>
          <t>Faeburrow Elder</t>
        </is>
      </c>
      <c r="C438" t="n">
        <v>1</v>
      </c>
      <c r="E438" t="n">
        <v>1</v>
      </c>
      <c r="F438" t="n">
        <v>0</v>
      </c>
      <c r="G438" t="n">
        <v>1</v>
      </c>
      <c r="H438" t="inlineStr">
        <is>
          <t>Multi</t>
        </is>
      </c>
      <c r="I438" t="inlineStr">
        <is>
          <t>Creature</t>
        </is>
      </c>
      <c r="J438" t="inlineStr">
        <is>
          <t>B2</t>
        </is>
      </c>
      <c r="K438" t="n">
        <v>3</v>
      </c>
      <c r="L438" t="inlineStr">
        <is>
          <t>Vigilance
This creature gets +1/+1 for each color among permanents you control.
{T}: For each color among permanents you control, add one mana of that color.
(0/0)</t>
        </is>
      </c>
      <c r="M438" t="inlineStr">
        <is>
          <t>Ramp</t>
        </is>
      </c>
      <c r="N438" t="inlineStr">
        <is>
          <t>Taps for one mana of each color among your permanents</t>
        </is>
      </c>
      <c r="O438" t="inlineStr">
        <is>
          <t>Gets +1/+1 for each color among your permanents</t>
        </is>
      </c>
      <c r="R438" t="n">
        <v>0.4</v>
      </c>
    </row>
    <row r="439" ht="15" customHeight="1" s="148">
      <c r="A439" t="inlineStr">
        <is>
          <t>c0438</t>
        </is>
      </c>
      <c r="B439" t="inlineStr">
        <is>
          <t>Fearsome Goblin Pair</t>
        </is>
      </c>
      <c r="C439" t="n">
        <v>2</v>
      </c>
      <c r="E439" t="n">
        <v>0</v>
      </c>
      <c r="F439" t="n">
        <v>2</v>
      </c>
      <c r="G439" t="n">
        <v>0</v>
      </c>
      <c r="H439" t="inlineStr">
        <is>
          <t>Multi</t>
        </is>
      </c>
      <c r="I439" t="inlineStr">
        <is>
          <t>Creature</t>
        </is>
      </c>
      <c r="J439" t="inlineStr">
        <is>
          <t>B2</t>
        </is>
      </c>
      <c r="K439" t="n">
        <v>3</v>
      </c>
      <c r="L439" t="inlineStr">
        <is>
          <t>When this creature dies, amass Goblins 4. (Put four +1/+1 counters on an Army you control. It's also a Goblin. If you don't control an Army, create a 0/0 black Goblin Army creature token first.)
(1/1)</t>
        </is>
      </c>
      <c r="M439" t="inlineStr">
        <is>
          <t>Token Producer</t>
        </is>
      </c>
      <c r="N439" t="inlineStr">
        <is>
          <t>When this creature dies, amass Goblins 4</t>
        </is>
      </c>
      <c r="R439" t="n">
        <v>0.26</v>
      </c>
    </row>
    <row r="440" ht="15" customHeight="1" s="148">
      <c r="A440" t="inlineStr">
        <is>
          <t>c0439</t>
        </is>
      </c>
      <c r="B440" t="inlineStr">
        <is>
          <t>Feisty Spikeling</t>
        </is>
      </c>
      <c r="C440" t="n">
        <v>1</v>
      </c>
      <c r="E440" t="n">
        <v>0</v>
      </c>
      <c r="F440" t="n">
        <v>1</v>
      </c>
      <c r="G440" t="n">
        <v>0</v>
      </c>
      <c r="H440" t="inlineStr">
        <is>
          <t>Multi</t>
        </is>
      </c>
      <c r="I440" t="inlineStr">
        <is>
          <t>Creature</t>
        </is>
      </c>
      <c r="J440" t="inlineStr">
        <is>
          <t>B2</t>
        </is>
      </c>
      <c r="K440" t="n">
        <v>2</v>
      </c>
      <c r="L440" t="inlineStr">
        <is>
          <t>Changeling (This card is every creature type.)
During your turn, this creature has first strike.
(2/1)</t>
        </is>
      </c>
      <c r="M440" t="inlineStr">
        <is>
          <t>Utility Creature</t>
        </is>
      </c>
      <c r="N440" t="inlineStr">
        <is>
          <t>Changeling (it is every creature type)</t>
        </is>
      </c>
      <c r="O440" t="inlineStr">
        <is>
          <t>Has first strike during your turn</t>
        </is>
      </c>
      <c r="R440" t="n">
        <v>0.13</v>
      </c>
    </row>
    <row r="441" ht="15" customHeight="1" s="148">
      <c r="A441" t="inlineStr">
        <is>
          <t>c0440</t>
        </is>
      </c>
      <c r="B441" t="inlineStr">
        <is>
          <t>Felisa, Fang of Silverquill</t>
        </is>
      </c>
      <c r="C441" t="n">
        <v>0</v>
      </c>
      <c r="E441" t="n">
        <v>0</v>
      </c>
      <c r="F441" t="n">
        <v>0</v>
      </c>
      <c r="G441" t="n">
        <v>0</v>
      </c>
      <c r="H441" t="inlineStr">
        <is>
          <t>Multi</t>
        </is>
      </c>
      <c r="I441" t="inlineStr">
        <is>
          <t>Legendary Creature</t>
        </is>
      </c>
      <c r="J441" t="inlineStr">
        <is>
          <t>B2</t>
        </is>
      </c>
      <c r="K441" t="n">
        <v>4</v>
      </c>
      <c r="L441" t="inlineStr">
        <is>
          <t>Flying
Mentor (Whenever this creature attacks, put a +1/+1 counter on target attacking creature with lesser power.)
Whenever a nontoken creature you control dies, if it had counters on it, create X tapped 2/1 white and black Inkling creature tokens with flying, where X is the number of counters it had on it.
(3/2)</t>
        </is>
      </c>
      <c r="M441" t="inlineStr">
        <is>
          <t>Token Producer</t>
        </is>
      </c>
      <c r="N441" t="inlineStr">
        <is>
          <t>Flying</t>
        </is>
      </c>
      <c r="O441" t="inlineStr">
        <is>
          <t>Mentor</t>
        </is>
      </c>
      <c r="P441" t="inlineStr">
        <is>
          <t>Whenever a nontoken creature you control dies, if it had counters on it, create X tapped 2/1 white and black Inkling cre</t>
        </is>
      </c>
      <c r="R441" t="n">
        <v>1.97</v>
      </c>
    </row>
    <row r="442" ht="15" customHeight="1" s="148">
      <c r="A442" t="inlineStr">
        <is>
          <t>c0441</t>
        </is>
      </c>
      <c r="B442" t="inlineStr">
        <is>
          <t>Felothar the Steadfast</t>
        </is>
      </c>
      <c r="C442" t="n">
        <v>1</v>
      </c>
      <c r="E442" t="n">
        <v>1</v>
      </c>
      <c r="F442" t="n">
        <v>0</v>
      </c>
      <c r="G442" t="n">
        <v>1</v>
      </c>
      <c r="H442" t="inlineStr">
        <is>
          <t>Multi</t>
        </is>
      </c>
      <c r="I442" t="inlineStr">
        <is>
          <t>Legendary Creature</t>
        </is>
      </c>
      <c r="J442" t="inlineStr">
        <is>
          <t>B2</t>
        </is>
      </c>
      <c r="K442" t="n">
        <v>4</v>
      </c>
      <c r="L442" t="inlineStr">
        <is>
          <t>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(0/5)</t>
        </is>
      </c>
      <c r="M442" t="inlineStr">
        <is>
          <t>Commander</t>
        </is>
      </c>
      <c r="N442" t="inlineStr">
        <is>
          <t>Your creatures assign combat damage equal to toughness</t>
        </is>
      </c>
      <c r="O442" t="inlineStr">
        <is>
          <t>Your defender creatures can attack</t>
        </is>
      </c>
      <c r="P442" t="inlineStr">
        <is>
          <t>Sacrifice a creature: draw cards equal to its toughness, discard equal to power</t>
        </is>
      </c>
      <c r="R442" t="n">
        <v>3.05</v>
      </c>
    </row>
    <row r="443" ht="15" customHeight="1" s="148">
      <c r="A443" t="inlineStr">
        <is>
          <t>c0442</t>
        </is>
      </c>
      <c r="B443" t="inlineStr">
        <is>
          <t>Flaring Cinder</t>
        </is>
      </c>
      <c r="C443" t="n">
        <v>2</v>
      </c>
      <c r="E443" t="n">
        <v>0</v>
      </c>
      <c r="F443" t="n">
        <v>2</v>
      </c>
      <c r="G443" t="n">
        <v>0</v>
      </c>
      <c r="H443" t="inlineStr">
        <is>
          <t>Multi</t>
        </is>
      </c>
      <c r="I443" t="inlineStr">
        <is>
          <t>Creature</t>
        </is>
      </c>
      <c r="J443" t="inlineStr">
        <is>
          <t>B2</t>
        </is>
      </c>
      <c r="K443" t="n">
        <v>3</v>
      </c>
      <c r="L443" t="inlineStr">
        <is>
          <t>When this creature enters and whenever you cast a spell with mana value 4 or greater, you may discard a card. If you do, draw a card.
(3/2)</t>
        </is>
      </c>
      <c r="M443" t="inlineStr">
        <is>
          <t>Discard/Looting</t>
        </is>
      </c>
      <c r="N443" t="inlineStr">
        <is>
          <t>When it enters and whenever you cast a spell with mana value 4 or greater, you may discard a card to draw a card</t>
        </is>
      </c>
      <c r="R443" t="n">
        <v>0.14</v>
      </c>
    </row>
    <row r="444" ht="15" customHeight="1" s="148">
      <c r="A444" t="inlineStr">
        <is>
          <t>c0443</t>
        </is>
      </c>
      <c r="B444" t="inlineStr">
        <is>
          <t>Fracture</t>
        </is>
      </c>
      <c r="C444" t="n">
        <v>1</v>
      </c>
      <c r="E444" t="n">
        <v>1</v>
      </c>
      <c r="F444" t="n">
        <v>0</v>
      </c>
      <c r="G444" t="n">
        <v>1</v>
      </c>
      <c r="H444" t="inlineStr">
        <is>
          <t>Multi</t>
        </is>
      </c>
      <c r="I444" t="inlineStr">
        <is>
          <t>Instant</t>
        </is>
      </c>
      <c r="J444" t="inlineStr">
        <is>
          <t>B2</t>
        </is>
      </c>
      <c r="K444" t="n">
        <v>2</v>
      </c>
      <c r="L444" t="inlineStr">
        <is>
          <t>Destroy target artifact, enchantment, or planeswalker.</t>
        </is>
      </c>
      <c r="M444" t="inlineStr">
        <is>
          <t>Removal</t>
        </is>
      </c>
      <c r="N444" t="inlineStr">
        <is>
          <t>Destroy target artifact, enchantment, or planeswalker</t>
        </is>
      </c>
      <c r="R444" t="n">
        <v>0.33</v>
      </c>
    </row>
    <row r="445" ht="15" customHeight="1" s="148">
      <c r="A445" t="inlineStr">
        <is>
          <t>c0444</t>
        </is>
      </c>
      <c r="B445" t="inlineStr">
        <is>
          <t>Gangly Stompling</t>
        </is>
      </c>
      <c r="C445" t="n">
        <v>2</v>
      </c>
      <c r="E445" t="n">
        <v>0</v>
      </c>
      <c r="F445" t="n">
        <v>2</v>
      </c>
      <c r="G445" t="n">
        <v>0</v>
      </c>
      <c r="H445" t="inlineStr">
        <is>
          <t>Multi</t>
        </is>
      </c>
      <c r="I445" t="inlineStr">
        <is>
          <t>Creature</t>
        </is>
      </c>
      <c r="J445" t="inlineStr">
        <is>
          <t>B2</t>
        </is>
      </c>
      <c r="K445" t="n">
        <v>3</v>
      </c>
      <c r="L445" t="inlineStr">
        <is>
          <t>Changeling (This card is every creature type.)
Trample
(4/2)</t>
        </is>
      </c>
      <c r="M445" t="inlineStr">
        <is>
          <t>Utility Creature</t>
        </is>
      </c>
      <c r="N445" t="inlineStr">
        <is>
          <t>Counts as every creature type</t>
        </is>
      </c>
      <c r="O445" t="inlineStr">
        <is>
          <t>Deals excess combat damage to the defending player</t>
        </is>
      </c>
      <c r="R445" t="n">
        <v>0.24</v>
      </c>
    </row>
    <row r="446" ht="15" customHeight="1" s="148">
      <c r="A446" t="inlineStr">
        <is>
          <t>c0445</t>
        </is>
      </c>
      <c r="B446" t="inlineStr">
        <is>
          <t>Goblin Plate Mail</t>
        </is>
      </c>
      <c r="C446" t="n">
        <v>1</v>
      </c>
      <c r="E446" t="n">
        <v>0</v>
      </c>
      <c r="F446" t="n">
        <v>1</v>
      </c>
      <c r="G446" t="n">
        <v>0</v>
      </c>
      <c r="H446" t="inlineStr">
        <is>
          <t>Multi</t>
        </is>
      </c>
      <c r="I446" t="inlineStr">
        <is>
          <t>Artifact</t>
        </is>
      </c>
      <c r="J446" t="inlineStr">
        <is>
          <t>B2</t>
        </is>
      </c>
      <c r="K446" t="n">
        <v>2</v>
      </c>
      <c r="L446" t="inlineStr">
        <is>
          <t>Goblin Plate Mail {1}{B/R} — Artifact — Equipment
When this Equipment enters, amass Goblins 1, then attach this Equipment to the amassed Army. (To amass Goblins 1, put a +1/+1 counter on an Army you control. It's also a Goblin. If you don't control an Army, create a 0/0 black Goblin Army creature token first.)
Equipped creature gets +1/+0 and has menace.
Equip {4}</t>
        </is>
      </c>
      <c r="M446" t="inlineStr">
        <is>
          <t>Token Producer</t>
        </is>
      </c>
      <c r="N446" t="inlineStr">
        <is>
          <t>When this Equipment enters, amass Goblins 1, then attach it to the amassed Army</t>
        </is>
      </c>
      <c r="R446" t="n">
        <v>0.11</v>
      </c>
    </row>
    <row r="447" ht="15" customHeight="1" s="148">
      <c r="A447" t="inlineStr">
        <is>
          <t>c0446</t>
        </is>
      </c>
      <c r="B447" t="inlineStr">
        <is>
          <t>Hidden Stockpile</t>
        </is>
      </c>
      <c r="C447" t="n">
        <v>1</v>
      </c>
      <c r="E447" t="n">
        <v>1</v>
      </c>
      <c r="F447" t="n">
        <v>0</v>
      </c>
      <c r="G447" t="n">
        <v>1</v>
      </c>
      <c r="H447" t="inlineStr">
        <is>
          <t>Multi</t>
        </is>
      </c>
      <c r="I447" t="inlineStr">
        <is>
          <t>Enchantment</t>
        </is>
      </c>
      <c r="J447" t="inlineStr">
        <is>
          <t>B2</t>
        </is>
      </c>
      <c r="K447" t="n">
        <v>2</v>
      </c>
      <c r="L447" t="inlineStr">
        <is>
          <t>Revolt — At the beginning of your end step, if a permanent left the battlefield under your control this turn, create a 1/1 colorless Servo artifact creature token.
{1}, Sacrifice a creature: Scry 1.</t>
        </is>
      </c>
      <c r="M447" t="inlineStr">
        <is>
          <t>Token Producer</t>
        </is>
      </c>
      <c r="N447" t="inlineStr">
        <is>
          <t>End step: creates a 1/1 Servo token if a permanent left the battlefield under your control this turn</t>
        </is>
      </c>
      <c r="O447" t="inlineStr">
        <is>
          <t>{1}, sacrifice a creature: Scry 1</t>
        </is>
      </c>
      <c r="R447" t="n">
        <v>0.32</v>
      </c>
    </row>
    <row r="448" ht="15" customHeight="1" s="148">
      <c r="A448" t="inlineStr">
        <is>
          <t>c0447</t>
        </is>
      </c>
      <c r="B448" t="inlineStr">
        <is>
          <t>Hofri Ghostforge</t>
        </is>
      </c>
      <c r="C448" t="n">
        <v>1</v>
      </c>
      <c r="E448" t="n">
        <v>1</v>
      </c>
      <c r="F448" t="n">
        <v>0</v>
      </c>
      <c r="G448" t="n">
        <v>1</v>
      </c>
      <c r="H448" t="inlineStr">
        <is>
          <t>Multi</t>
        </is>
      </c>
      <c r="I448" t="inlineStr">
        <is>
          <t>Legendary Creature</t>
        </is>
      </c>
      <c r="J448" t="inlineStr">
        <is>
          <t>B2</t>
        </is>
      </c>
      <c r="K448" t="n">
        <v>5</v>
      </c>
      <c r="L448" t="inlineStr">
        <is>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
(4/5)</t>
        </is>
      </c>
      <c r="M448" t="inlineStr">
        <is>
          <t>Lord/Anthem</t>
        </is>
      </c>
      <c r="N448" t="inlineStr">
        <is>
          <t>Spirits you control get +1/+1 and can attack the turn they enter</t>
        </is>
      </c>
      <c r="O448" t="inlineStr">
        <is>
          <t>Another nontoken creature dying lets you exile it and make a Spirit copy token</t>
        </is>
      </c>
      <c r="R448" t="n">
        <v>0.27</v>
      </c>
    </row>
    <row r="449" ht="15" customHeight="1" s="148">
      <c r="A449" t="inlineStr">
        <is>
          <t>c0448</t>
        </is>
      </c>
      <c r="B449" t="inlineStr">
        <is>
          <t>Huatli, the Sun's Heart</t>
        </is>
      </c>
      <c r="C449" t="n">
        <v>1</v>
      </c>
      <c r="E449" t="n">
        <v>1</v>
      </c>
      <c r="F449" t="n">
        <v>0</v>
      </c>
      <c r="G449" t="n">
        <v>1</v>
      </c>
      <c r="H449" t="inlineStr">
        <is>
          <t>Multi</t>
        </is>
      </c>
      <c r="I449" t="inlineStr">
        <is>
          <t>Legendary Planeswalker</t>
        </is>
      </c>
      <c r="J449" t="inlineStr">
        <is>
          <t>B2</t>
        </is>
      </c>
      <c r="K449" t="n">
        <v>3</v>
      </c>
      <c r="L449" t="inlineStr">
        <is>
          <t>Each creature you control assigns combat damage equal to its toughness rather than its power.
−3: You gain life equal to the greatest toughness among creatures you control.
(Loyalty 7)</t>
        </is>
      </c>
      <c r="M449" t="inlineStr">
        <is>
          <t>Toughness Payoff</t>
        </is>
      </c>
      <c r="N449" t="inlineStr">
        <is>
          <t>Your creatures assign combat damage equal to toughness</t>
        </is>
      </c>
      <c r="O449" t="inlineStr">
        <is>
          <t>-3: gain life equal to the greatest toughness among your creatures</t>
        </is>
      </c>
      <c r="R449" t="n">
        <v>0.46</v>
      </c>
    </row>
    <row r="450" ht="15" customHeight="1" s="148">
      <c r="A450" t="inlineStr">
        <is>
          <t>c0449</t>
        </is>
      </c>
      <c r="B450" t="inlineStr">
        <is>
          <t>Ikra Shidiqi, the Usurper</t>
        </is>
      </c>
      <c r="C450" t="n">
        <v>1</v>
      </c>
      <c r="E450" t="n">
        <v>1</v>
      </c>
      <c r="F450" t="n">
        <v>0</v>
      </c>
      <c r="G450" t="n">
        <v>1</v>
      </c>
      <c r="H450" t="inlineStr">
        <is>
          <t>Multi</t>
        </is>
      </c>
      <c r="I450" t="inlineStr">
        <is>
          <t>Legendary Creature</t>
        </is>
      </c>
      <c r="J450" t="inlineStr">
        <is>
          <t>B2</t>
        </is>
      </c>
      <c r="K450" t="n">
        <v>5</v>
      </c>
      <c r="L450" t="inlineStr">
        <is>
          <t>Menace
Whenever a creature you control deals combat damage to a player, you gain life equal to that creature's toughness.
Partner (You can have two commanders if both have partner.)
(3/7)</t>
        </is>
      </c>
      <c r="M450" t="inlineStr">
        <is>
          <t>Lifegain</t>
        </is>
      </c>
      <c r="N450" t="inlineStr">
        <is>
          <t>Gain life equal to a creature's toughness whenever it deals combat damage to a player</t>
        </is>
      </c>
      <c r="O450" t="inlineStr">
        <is>
          <t>Can have two commanders if paired with another partner commander</t>
        </is>
      </c>
      <c r="R450" t="n">
        <v>0.43</v>
      </c>
    </row>
    <row r="451" ht="15" customHeight="1" s="148">
      <c r="A451" t="inlineStr">
        <is>
          <t>c0450</t>
        </is>
      </c>
      <c r="B451" t="inlineStr">
        <is>
          <t>Imperious Inkmage</t>
        </is>
      </c>
      <c r="C451" t="n">
        <v>2</v>
      </c>
      <c r="E451" t="n">
        <v>0</v>
      </c>
      <c r="F451" t="n">
        <v>2</v>
      </c>
      <c r="G451" t="n">
        <v>0</v>
      </c>
      <c r="H451" t="inlineStr">
        <is>
          <t>Multi</t>
        </is>
      </c>
      <c r="I451" t="inlineStr">
        <is>
          <t>Creature</t>
        </is>
      </c>
      <c r="J451" t="inlineStr">
        <is>
          <t>B2</t>
        </is>
      </c>
      <c r="K451" t="n">
        <v>3</v>
      </c>
      <c r="L451" t="inlineStr">
        <is>
          <t>Vigilance
When this creature enters, surveil 2. (Look at the top two cards of your library, then put any number of them into your graveyard and the rest on top of your library in any order.)
(3/3)</t>
        </is>
      </c>
      <c r="M451" t="inlineStr">
        <is>
          <t>Card Selection</t>
        </is>
      </c>
      <c r="N451" t="inlineStr">
        <is>
          <t>Enters: surveil 2 — look at the top two cards and put any number into your graveyard</t>
        </is>
      </c>
      <c r="O451" t="inlineStr">
        <is>
          <t>3/3 vigilance body</t>
        </is>
      </c>
      <c r="R451" t="n">
        <v>0.07000000000000001</v>
      </c>
    </row>
    <row r="452" ht="15" customHeight="1" s="148">
      <c r="A452" t="inlineStr">
        <is>
          <t>c0451</t>
        </is>
      </c>
      <c r="B452" t="inlineStr">
        <is>
          <t>Indulging Patrician</t>
        </is>
      </c>
      <c r="C452" t="n">
        <v>1</v>
      </c>
      <c r="E452" t="n">
        <v>1</v>
      </c>
      <c r="F452" t="n">
        <v>0</v>
      </c>
      <c r="G452" t="n">
        <v>1</v>
      </c>
      <c r="H452" t="inlineStr">
        <is>
          <t>Multi</t>
        </is>
      </c>
      <c r="I452" t="inlineStr">
        <is>
          <t>Creature</t>
        </is>
      </c>
      <c r="J452" t="inlineStr">
        <is>
          <t>B2</t>
        </is>
      </c>
      <c r="K452" t="n">
        <v>3</v>
      </c>
      <c r="L452" t="inlineStr">
        <is>
          <t>Flying
Lifelink (Damage dealt by this creature also causes you to gain that much life.)
At the beginning of your end step, if you gained 3 or more life this turn, each opponent loses 3 life.
(1/4)</t>
        </is>
      </c>
      <c r="M452" t="inlineStr">
        <is>
          <t>Drain Payoff</t>
        </is>
      </c>
      <c r="N452" t="inlineStr">
        <is>
          <t>Each opponent loses 3 life at your end step if you gained 3 or more life that turn</t>
        </is>
      </c>
      <c r="O452" t="inlineStr">
        <is>
          <t>Gains you life equal to damage it deals</t>
        </is>
      </c>
      <c r="R452" t="n">
        <v>0.33</v>
      </c>
    </row>
    <row r="453" ht="15" customHeight="1" s="148">
      <c r="A453" t="inlineStr">
        <is>
          <t>c0452</t>
        </is>
      </c>
      <c r="B453" t="inlineStr">
        <is>
          <t>Inkshield</t>
        </is>
      </c>
      <c r="C453" t="n">
        <v>0</v>
      </c>
      <c r="E453" t="n">
        <v>0</v>
      </c>
      <c r="F453" t="n">
        <v>0</v>
      </c>
      <c r="G453" t="n">
        <v>0</v>
      </c>
      <c r="H453" t="inlineStr">
        <is>
          <t>Multi</t>
        </is>
      </c>
      <c r="I453" t="inlineStr">
        <is>
          <t>Instant</t>
        </is>
      </c>
      <c r="J453" t="inlineStr">
        <is>
          <t>B3</t>
        </is>
      </c>
      <c r="K453" t="n">
        <v>5</v>
      </c>
      <c r="L453" t="inlineStr">
        <is>
          <t>Prevent all combat damage that would be dealt to you this turn. For each 1 damage prevented this way, create a 2/1 white and black Inkling creature token with flying.</t>
        </is>
      </c>
      <c r="M453" t="inlineStr">
        <is>
          <t>Protection</t>
        </is>
      </c>
      <c r="N453" t="inlineStr">
        <is>
          <t>Prevent all combat damage that would be dealt to you this turn. For each 1 damage prevented this way, create a 2/1 white</t>
        </is>
      </c>
      <c r="R453" t="n">
        <v>5.58</v>
      </c>
    </row>
    <row r="454" ht="15" customHeight="1" s="148">
      <c r="A454" t="inlineStr">
        <is>
          <t>c0453</t>
        </is>
      </c>
      <c r="B454" t="inlineStr">
        <is>
          <t>Jungle Barrier</t>
        </is>
      </c>
      <c r="C454" t="n">
        <v>1</v>
      </c>
      <c r="E454" t="n">
        <v>1</v>
      </c>
      <c r="F454" t="n">
        <v>0</v>
      </c>
      <c r="G454" t="n">
        <v>1</v>
      </c>
      <c r="H454" t="inlineStr">
        <is>
          <t>Multi</t>
        </is>
      </c>
      <c r="I454" t="inlineStr">
        <is>
          <t>Creature</t>
        </is>
      </c>
      <c r="J454" t="inlineStr">
        <is>
          <t>B2</t>
        </is>
      </c>
      <c r="K454" t="n">
        <v>4</v>
      </c>
      <c r="L454" t="inlineStr">
        <is>
          <t>Defender (This creature can't attack.)
When this creature enters, draw a card.
(2/6)</t>
        </is>
      </c>
      <c r="M454" t="inlineStr">
        <is>
          <t>Card Draw</t>
        </is>
      </c>
      <c r="N454" t="inlineStr">
        <is>
          <t>Draws a card when it enters</t>
        </is>
      </c>
      <c r="R454" t="n">
        <v>0.16</v>
      </c>
    </row>
    <row r="455" ht="15" customHeight="1" s="148">
      <c r="A455" t="inlineStr">
        <is>
          <t>c0454</t>
        </is>
      </c>
      <c r="B455" t="inlineStr">
        <is>
          <t>Kambal, Consul of Allocation</t>
        </is>
      </c>
      <c r="C455" t="n">
        <v>0</v>
      </c>
      <c r="E455" t="n">
        <v>0</v>
      </c>
      <c r="F455" t="n">
        <v>0</v>
      </c>
      <c r="G455" t="n">
        <v>0</v>
      </c>
      <c r="H455" t="inlineStr">
        <is>
          <t>Multi</t>
        </is>
      </c>
      <c r="I455" t="inlineStr">
        <is>
          <t>Legendary Creature</t>
        </is>
      </c>
      <c r="J455" t="inlineStr">
        <is>
          <t>B3</t>
        </is>
      </c>
      <c r="K455" t="n">
        <v>3</v>
      </c>
      <c r="L455" t="inlineStr">
        <is>
          <t>Whenever an opponent casts a noncreature spell, that player loses 2 life and you gain 2 life.
(2/3)</t>
        </is>
      </c>
      <c r="M455" t="inlineStr">
        <is>
          <t>Drain Payoff</t>
        </is>
      </c>
      <c r="N455" t="inlineStr">
        <is>
          <t>Whenever an opponent casts a noncreature spell, that player loses 2 life and you gain 2 life.</t>
        </is>
      </c>
      <c r="R455" t="n">
        <v>10.17</v>
      </c>
    </row>
    <row r="456" ht="15" customHeight="1" s="148">
      <c r="A456" t="inlineStr">
        <is>
          <t>c0455</t>
        </is>
      </c>
      <c r="B456" t="inlineStr">
        <is>
          <t>Kambal, Profiteering Mayor</t>
        </is>
      </c>
      <c r="C456" t="n">
        <v>1</v>
      </c>
      <c r="E456" t="n">
        <v>1</v>
      </c>
      <c r="F456" t="n">
        <v>0</v>
      </c>
      <c r="G456" t="n">
        <v>1</v>
      </c>
      <c r="H456" t="inlineStr">
        <is>
          <t>Multi</t>
        </is>
      </c>
      <c r="I456" t="inlineStr">
        <is>
          <t>Legendary Creature</t>
        </is>
      </c>
      <c r="J456" t="inlineStr">
        <is>
          <t>B2</t>
        </is>
      </c>
      <c r="K456" t="n">
        <v>3</v>
      </c>
      <c r="L456" t="inlineStr">
        <is>
          <t>Whenever one or more tokens your opponents control enter, for each of them, create a tapped token that's a copy of it. This ability triggers only once each turn.
Whenever one or more tokens you control enter, each opponent loses 1 life and you gain 1 life.
(2/4)</t>
        </is>
      </c>
      <c r="M456" t="inlineStr">
        <is>
          <t>Utility Creature</t>
        </is>
      </c>
      <c r="N456" t="inlineStr">
        <is>
          <t>Whenever one or more tokens your opponents control enter, for each of them, create a tapped token that's a copy of it. T</t>
        </is>
      </c>
      <c r="O456" t="inlineStr">
        <is>
          <t>Whenever one or more tokens you control enter, each opponent loses 1 life and you gain 1 life</t>
        </is>
      </c>
      <c r="R456" t="n">
        <v>6.03</v>
      </c>
    </row>
    <row r="457" ht="15" customHeight="1" s="148">
      <c r="A457" t="inlineStr">
        <is>
          <t>c0456</t>
        </is>
      </c>
      <c r="B457" t="inlineStr">
        <is>
          <t>Kin-Tree Invocation</t>
        </is>
      </c>
      <c r="C457" t="n">
        <v>1</v>
      </c>
      <c r="E457" t="n">
        <v>0</v>
      </c>
      <c r="F457" t="n">
        <v>1</v>
      </c>
      <c r="G457" t="n">
        <v>0</v>
      </c>
      <c r="H457" t="inlineStr">
        <is>
          <t>Multi</t>
        </is>
      </c>
      <c r="I457" t="inlineStr">
        <is>
          <t>Sorcery</t>
        </is>
      </c>
      <c r="J457" t="inlineStr">
        <is>
          <t>B2</t>
        </is>
      </c>
      <c r="K457" t="n">
        <v>2</v>
      </c>
      <c r="L457" t="inlineStr">
        <is>
          <t>Create an X/X black and green Spirit Warrior creature token, where X is the greatest toughness among creatures you control.</t>
        </is>
      </c>
      <c r="M457" t="inlineStr">
        <is>
          <t>Token Producer</t>
        </is>
      </c>
      <c r="N457" t="inlineStr">
        <is>
          <t>Creates an X/X token, X = greatest toughness among your creatures</t>
        </is>
      </c>
      <c r="R457" t="n">
        <v>0.11</v>
      </c>
    </row>
    <row r="458" ht="15" customHeight="1" s="148">
      <c r="A458" t="inlineStr">
        <is>
          <t>c0457</t>
        </is>
      </c>
      <c r="B458" t="inlineStr">
        <is>
          <t>Kiora's Follower</t>
        </is>
      </c>
      <c r="C458" t="n">
        <v>0</v>
      </c>
      <c r="E458" t="n">
        <v>0</v>
      </c>
      <c r="F458" t="n">
        <v>0</v>
      </c>
      <c r="G458" t="n">
        <v>0</v>
      </c>
      <c r="H458" t="inlineStr">
        <is>
          <t>Multi</t>
        </is>
      </c>
      <c r="I458" t="inlineStr">
        <is>
          <t>Creature</t>
        </is>
      </c>
      <c r="J458" t="inlineStr">
        <is>
          <t>B2</t>
        </is>
      </c>
      <c r="K458" t="n">
        <v>2</v>
      </c>
      <c r="L458" t="inlineStr">
        <is>
          <t>{T}: Untap another target permanent.
(2/2)</t>
        </is>
      </c>
      <c r="M458" t="inlineStr">
        <is>
          <t>Ramp</t>
        </is>
      </c>
      <c r="N458" t="inlineStr">
        <is>
          <t>{T}: Untap another target permanent</t>
        </is>
      </c>
      <c r="R458" t="n">
        <v>0.34</v>
      </c>
    </row>
    <row r="459" ht="15" customHeight="1" s="148">
      <c r="A459" t="inlineStr">
        <is>
          <t>c0458</t>
        </is>
      </c>
      <c r="B459" t="inlineStr">
        <is>
          <t>Kirol, History Buff // Pack a Punch</t>
        </is>
      </c>
      <c r="C459" t="n">
        <v>2</v>
      </c>
      <c r="E459" t="n">
        <v>0</v>
      </c>
      <c r="F459" t="n">
        <v>2</v>
      </c>
      <c r="G459" t="n">
        <v>0</v>
      </c>
      <c r="H459" t="inlineStr">
        <is>
          <t>Multi</t>
        </is>
      </c>
      <c r="I459" t="inlineStr">
        <is>
          <t>Legendary Creature</t>
        </is>
      </c>
      <c r="J459" t="inlineStr">
        <is>
          <t>B2</t>
        </is>
      </c>
      <c r="K459" t="n">
        <v>2</v>
      </c>
      <c r="L459" t="inlineStr">
        <is>
          <t>Kirol, History Buff {R}{W} — Legendary Creature — Vampire Cleric (2/3)
Whenever one or more cards leave your graveyard, Kirol becomes prepared. (While it's prepared, you may cast a copy of its spell. Doing so unprepares it.)
//
Pack a Punch {1}{R}{W} — Sorcery
Mill a card. Put two +1/+1 counters on target creature. It gains trample until end of turn.</t>
        </is>
      </c>
      <c r="M459" t="inlineStr">
        <is>
          <t>Value Engine</t>
        </is>
      </c>
      <c r="N459" t="inlineStr">
        <is>
          <t>Cards leaving your graveyard lets you cast a copy of its other half</t>
        </is>
      </c>
      <c r="O459" t="inlineStr">
        <is>
          <t>Other half: mill a card, put two +1/+1 counters on target creature</t>
        </is>
      </c>
      <c r="P459" t="inlineStr">
        <is>
          <t>Other half also lets that creature push through blockers this turn</t>
        </is>
      </c>
      <c r="R459" t="n">
        <v>0.3</v>
      </c>
    </row>
    <row r="460" ht="15" customHeight="1" s="148">
      <c r="A460" t="inlineStr">
        <is>
          <t>c0459</t>
        </is>
      </c>
      <c r="B460" t="inlineStr">
        <is>
          <t>Knight of Autumn</t>
        </is>
      </c>
      <c r="C460" t="n">
        <v>1</v>
      </c>
      <c r="E460" t="n">
        <v>1</v>
      </c>
      <c r="F460" t="n">
        <v>0</v>
      </c>
      <c r="G460" t="n">
        <v>1</v>
      </c>
      <c r="H460" t="inlineStr">
        <is>
          <t>Multi</t>
        </is>
      </c>
      <c r="I460" t="inlineStr">
        <is>
          <t>Creature</t>
        </is>
      </c>
      <c r="J460" t="inlineStr">
        <is>
          <t>B2</t>
        </is>
      </c>
      <c r="K460" t="n">
        <v>3</v>
      </c>
      <c r="L460" t="inlineStr">
        <is>
          <t>When this creature enters, choose one —
• Put two +1/+1 counters on this creature.
• Destroy target artifact or enchantment.
• You gain 4 life.
(2/1)</t>
        </is>
      </c>
      <c r="M460" t="inlineStr">
        <is>
          <t>Artifact/Enchantment Removal</t>
        </is>
      </c>
      <c r="N460" t="inlineStr">
        <is>
          <t>Choose one when it enters: add two +1/+1 counters to itself, destroy target artifact/enchantment, or gain 4 life</t>
        </is>
      </c>
      <c r="R460" t="n">
        <v>0.42</v>
      </c>
    </row>
    <row r="461" ht="15" customHeight="1" s="148">
      <c r="A461" t="inlineStr">
        <is>
          <t>c0460</t>
        </is>
      </c>
      <c r="B461" t="inlineStr">
        <is>
          <t>Large Bear</t>
        </is>
      </c>
      <c r="C461" t="n">
        <v>1</v>
      </c>
      <c r="E461" t="n">
        <v>0</v>
      </c>
      <c r="F461" t="n">
        <v>1</v>
      </c>
      <c r="G461" t="n">
        <v>0</v>
      </c>
      <c r="H461" t="inlineStr">
        <is>
          <t>Multi</t>
        </is>
      </c>
      <c r="I461" t="inlineStr">
        <is>
          <t>Creature</t>
        </is>
      </c>
      <c r="J461" t="inlineStr">
        <is>
          <t>B2</t>
        </is>
      </c>
      <c r="K461" t="n">
        <v>5</v>
      </c>
      <c r="L461" t="inlineStr">
        <is>
          <t>Reach, trample, haste
(5/5)</t>
        </is>
      </c>
      <c r="M461" t="inlineStr">
        <is>
          <t>Finisher</t>
        </is>
      </c>
      <c r="N461" t="inlineStr">
        <is>
          <t>Reach, trample, haste</t>
        </is>
      </c>
      <c r="R461" t="n">
        <v>1.1</v>
      </c>
    </row>
    <row r="462" ht="15" customHeight="1" s="148">
      <c r="A462" t="inlineStr">
        <is>
          <t>c0461</t>
        </is>
      </c>
      <c r="B462" t="inlineStr">
        <is>
          <t>Lorehold Archivist // Restore Relic</t>
        </is>
      </c>
      <c r="C462" t="n">
        <v>1</v>
      </c>
      <c r="E462" t="n">
        <v>1</v>
      </c>
      <c r="F462" t="n">
        <v>0</v>
      </c>
      <c r="G462" t="n">
        <v>1</v>
      </c>
      <c r="H462" t="inlineStr">
        <is>
          <t>Multi</t>
        </is>
      </c>
      <c r="I462" t="inlineStr">
        <is>
          <t>Creature</t>
        </is>
      </c>
      <c r="J462" t="inlineStr">
        <is>
          <t>B2</t>
        </is>
      </c>
      <c r="K462" t="n">
        <v>3</v>
      </c>
      <c r="L462" t="inlineStr">
        <is>
          <t>Lorehold Archivist {1}{R}{W} — Creature — Dwarf Artificer (3/2)
First strike
At the beginning of your upkeep, if there are three or more artifact and/or creature cards in your graveyard, this creature becomes prepared. (While it's prepared, you may cast a copy of its spell. Doing so unprepares it.)
//
Restore Relic {2}{R}{W} — Sorcery
Exile target artifact or creature card from your graveyard. Create a token that's a copy of it.</t>
        </is>
      </c>
      <c r="M462" t="inlineStr">
        <is>
          <t>Recursion</t>
        </is>
      </c>
      <c r="N462" t="inlineStr">
        <is>
          <t>Deals combat damage before normal-speed blockers</t>
        </is>
      </c>
      <c r="O462" t="inlineStr">
        <is>
          <t>Upkeep: if 3+ artifacts/creatures are in your graveyard, you may cast a copy of its other half</t>
        </is>
      </c>
      <c r="P462" t="inlineStr">
        <is>
          <t>Other half: exile an artifact or creature card from graveyard, create a copy token</t>
        </is>
      </c>
      <c r="R462" t="n">
        <v>0.27</v>
      </c>
    </row>
    <row r="463" ht="15" customHeight="1" s="148">
      <c r="A463" t="inlineStr">
        <is>
          <t>c0462</t>
        </is>
      </c>
      <c r="B463" t="inlineStr">
        <is>
          <t>Lorehold Charm</t>
        </is>
      </c>
      <c r="C463" t="n">
        <v>1</v>
      </c>
      <c r="E463" t="n">
        <v>1</v>
      </c>
      <c r="F463" t="n">
        <v>0</v>
      </c>
      <c r="G463" t="n">
        <v>1</v>
      </c>
      <c r="H463" t="inlineStr">
        <is>
          <t>Multi</t>
        </is>
      </c>
      <c r="I463" t="inlineStr">
        <is>
          <t>Instant</t>
        </is>
      </c>
      <c r="J463" t="inlineStr">
        <is>
          <t>B2</t>
        </is>
      </c>
      <c r="K463" t="n">
        <v>2</v>
      </c>
      <c r="L463" t="inlineStr">
        <is>
          <t>Choose one —
• Each opponent sacrifices a nontoken artifact of their choice.
• Return target artifact or creature card with mana value 2 or less from your graveyard to the battlefield.
• Creatures you control get +1/+1 and gain trample until end of turn.</t>
        </is>
      </c>
      <c r="M463" t="inlineStr">
        <is>
          <t>Interaction</t>
        </is>
      </c>
      <c r="N463" t="inlineStr">
        <is>
          <t>Choose one: each opponent sacrifices a nontoken artifact</t>
        </is>
      </c>
      <c r="O463" t="inlineStr">
        <is>
          <t>Or returns a MV 2 or less artifact/creature from graveyard to battlefield</t>
        </is>
      </c>
      <c r="P463" t="inlineStr">
        <is>
          <t>Or your creatures get +1/+1 and push through blockers this turn</t>
        </is>
      </c>
      <c r="R463" t="n">
        <v>0.25</v>
      </c>
    </row>
    <row r="464" ht="15" customHeight="1" s="148">
      <c r="A464" t="inlineStr">
        <is>
          <t>c0463</t>
        </is>
      </c>
      <c r="B464" t="inlineStr">
        <is>
          <t>Lorehold Command</t>
        </is>
      </c>
      <c r="C464" t="n">
        <v>1</v>
      </c>
      <c r="E464" t="n">
        <v>0</v>
      </c>
      <c r="F464" t="n">
        <v>1</v>
      </c>
      <c r="G464" t="n">
        <v>0</v>
      </c>
      <c r="H464" t="inlineStr">
        <is>
          <t>Multi</t>
        </is>
      </c>
      <c r="I464" t="inlineStr">
        <is>
          <t>Instant</t>
        </is>
      </c>
      <c r="J464" t="inlineStr">
        <is>
          <t>B2</t>
        </is>
      </c>
      <c r="K464" t="n">
        <v>5</v>
      </c>
      <c r="L464" t="inlineStr">
        <is>
          <t>Choose two —
• Create a 3/2 red and white Spirit creature token.
• Creatures you control get +1/+0 and gain indestructible and haste until end of turn.
• Lorehold Command deals 3 damage to any target. Target player gains 3 life.
• Sacrifice a permanent, then draw two cards.</t>
        </is>
      </c>
      <c r="M464" t="inlineStr">
        <is>
          <t>Removal</t>
        </is>
      </c>
      <c r="N464" t="inlineStr">
        <is>
          <t>Choose two —</t>
        </is>
      </c>
      <c r="O464" t="inlineStr">
        <is>
          <t>• Create a 3/2 red and white Spirit creature token</t>
        </is>
      </c>
      <c r="P464" t="inlineStr">
        <is>
          <t>• Creatures you control get +1/+0 and gain indestructible and haste until end of turn</t>
        </is>
      </c>
      <c r="R464" t="n">
        <v>0.41</v>
      </c>
    </row>
    <row r="465" ht="15" customHeight="1" s="148">
      <c r="A465" t="inlineStr">
        <is>
          <t>c0464</t>
        </is>
      </c>
      <c r="B465" t="inlineStr">
        <is>
          <t>Lorehold Excavation</t>
        </is>
      </c>
      <c r="C465" t="n">
        <v>1</v>
      </c>
      <c r="E465" t="n">
        <v>1</v>
      </c>
      <c r="F465" t="n">
        <v>0</v>
      </c>
      <c r="G465" t="n">
        <v>1</v>
      </c>
      <c r="H465" t="inlineStr">
        <is>
          <t>Multi</t>
        </is>
      </c>
      <c r="I465" t="inlineStr">
        <is>
          <t>Enchantment</t>
        </is>
      </c>
      <c r="J465" t="inlineStr">
        <is>
          <t>B2</t>
        </is>
      </c>
      <c r="K465" t="n">
        <v>2</v>
      </c>
      <c r="L465" t="inlineStr">
        <is>
          <t>At the beginning of your end step, mill a card. If a land card was milled this way, you gain 1 life. Otherwise, this enchantment deals 1 damage to each opponent. (To mill a card, put the top card of your library into your graveyard.)
{5}, Exile a creature card from your graveyard: Create a tapped 3/2 red and white Spirit creature token.</t>
        </is>
      </c>
      <c r="M465" t="inlineStr">
        <is>
          <t>Value Engine</t>
        </is>
      </c>
      <c r="N465" t="inlineStr">
        <is>
          <t>At the beginning of your end step, mill a card. If a land card was milled this way, you gain 1 life. Otherwise, this enc</t>
        </is>
      </c>
      <c r="O465" t="inlineStr">
        <is>
          <t>{5}, Exile a creature card from your graveyard: Create a tapped 3/2 red and white Spirit creature token</t>
        </is>
      </c>
      <c r="R465" t="n">
        <v>0.21</v>
      </c>
    </row>
    <row r="466" ht="15" customHeight="1" s="148">
      <c r="A466" t="inlineStr">
        <is>
          <t>c0465</t>
        </is>
      </c>
      <c r="B466" t="inlineStr">
        <is>
          <t>Maralen, Fae Ascendant</t>
        </is>
      </c>
      <c r="C466" t="n">
        <v>1</v>
      </c>
      <c r="E466" t="n">
        <v>1</v>
      </c>
      <c r="F466" t="n">
        <v>0</v>
      </c>
      <c r="G466" t="n">
        <v>1</v>
      </c>
      <c r="H466" t="inlineStr">
        <is>
          <t>Multi</t>
        </is>
      </c>
      <c r="I466" t="inlineStr">
        <is>
          <t>Legendary Creature</t>
        </is>
      </c>
      <c r="J466" t="inlineStr">
        <is>
          <t>B2</t>
        </is>
      </c>
      <c r="K466" t="n">
        <v>5</v>
      </c>
      <c r="L466" t="inlineStr">
        <is>
          <t>Flying
Whenever Maralen or another Elf or Faerie you control enters, exile the top two cards of target opponent's library.
Once each turn, you may cast a spell with mana value less than or equal to the number of Elves and Faeries you control from among cards exiled with Maralen this turn without paying its mana cost.
(4/5)</t>
        </is>
      </c>
      <c r="M466" t="inlineStr">
        <is>
          <t>Commander</t>
        </is>
      </c>
      <c r="N466" t="inlineStr">
        <is>
          <t>Exiles two cards from opponent's library on Elf/Faerie ETB</t>
        </is>
      </c>
      <c r="O466" t="inlineStr">
        <is>
          <t>Free-casts exiled spells with MV ≤ Elves/Faeries you control</t>
        </is>
      </c>
      <c r="R466" t="n">
        <v>0.4</v>
      </c>
    </row>
    <row r="467" ht="15" customHeight="1" s="148">
      <c r="A467" t="inlineStr">
        <is>
          <t>c0466</t>
        </is>
      </c>
      <c r="B467" t="inlineStr">
        <is>
          <t>Merfolk Skydiver</t>
        </is>
      </c>
      <c r="C467" t="n">
        <v>1</v>
      </c>
      <c r="E467" t="n">
        <v>1</v>
      </c>
      <c r="F467" t="n">
        <v>0</v>
      </c>
      <c r="G467" t="n">
        <v>1</v>
      </c>
      <c r="H467" t="inlineStr">
        <is>
          <t>Multi</t>
        </is>
      </c>
      <c r="I467" t="inlineStr">
        <is>
          <t>Creature</t>
        </is>
      </c>
      <c r="J467" t="inlineStr">
        <is>
          <t>B2</t>
        </is>
      </c>
      <c r="K467" t="n">
        <v>2</v>
      </c>
      <c r="L467" t="inlineStr">
        <is>
          <t>Flying
When this creature enters, put a +1/+1 counter on target creature you control.
{3}{G}{U}: Proliferate. (Choose any number of permanents and/or players, then give each another counter of each kind already there.)
(1/1)</t>
        </is>
      </c>
      <c r="M467" t="inlineStr">
        <is>
          <t>Proliferate</t>
        </is>
      </c>
      <c r="N467" t="inlineStr">
        <is>
          <t>Puts a +1/+1 counter on target creature you control when it enters</t>
        </is>
      </c>
      <c r="O467" t="inlineStr">
        <is>
          <t>Pay {3}{G}{U} to proliferate</t>
        </is>
      </c>
      <c r="R467" t="n">
        <v>0.24</v>
      </c>
    </row>
    <row r="468" ht="15" customHeight="1" s="148">
      <c r="A468" t="inlineStr">
        <is>
          <t>c0467</t>
        </is>
      </c>
      <c r="B468" t="inlineStr">
        <is>
          <t>Merrow Skyswimmer</t>
        </is>
      </c>
      <c r="C468" t="n">
        <v>2</v>
      </c>
      <c r="E468" t="n">
        <v>0</v>
      </c>
      <c r="F468" t="n">
        <v>2</v>
      </c>
      <c r="G468" t="n">
        <v>0</v>
      </c>
      <c r="H468" t="inlineStr">
        <is>
          <t>Multi</t>
        </is>
      </c>
      <c r="I468" t="inlineStr">
        <is>
          <t>Creature</t>
        </is>
      </c>
      <c r="J468" t="inlineStr">
        <is>
          <t>B2</t>
        </is>
      </c>
      <c r="K468" t="n">
        <v>5</v>
      </c>
      <c r="L468" t="inlineStr">
        <is>
          <t>Convoke (Your creatures can help cast this spell. Each creature you tap while casting this spell pays for {1} or one mana of that creature's color.)
Flying, vigilance
When this creature enters, create a 1/1 white and blue Merfolk creature token.
(2/2)</t>
        </is>
      </c>
      <c r="M468" t="inlineStr">
        <is>
          <t>Token Producer</t>
        </is>
      </c>
      <c r="N468" t="inlineStr">
        <is>
          <t>Enters: create a 1/1 white and blue Merfolk token</t>
        </is>
      </c>
      <c r="O468" t="inlineStr">
        <is>
          <t>Flying, vigilance</t>
        </is>
      </c>
      <c r="P468" t="inlineStr">
        <is>
          <t>Convoke: tap your creatures to help cast it</t>
        </is>
      </c>
      <c r="R468" t="n">
        <v>0.14</v>
      </c>
    </row>
    <row r="469" ht="15" customHeight="1" s="148">
      <c r="A469" t="inlineStr">
        <is>
          <t>c0468</t>
        </is>
      </c>
      <c r="B469" t="inlineStr">
        <is>
          <t>Mirkwood Nurturer</t>
        </is>
      </c>
      <c r="C469" t="n">
        <v>3</v>
      </c>
      <c r="E469" t="n">
        <v>2</v>
      </c>
      <c r="F469" t="n">
        <v>1</v>
      </c>
      <c r="G469" t="n">
        <v>2</v>
      </c>
      <c r="H469" t="inlineStr">
        <is>
          <t>Multi</t>
        </is>
      </c>
      <c r="I469" t="inlineStr">
        <is>
          <t>Creature</t>
        </is>
      </c>
      <c r="J469" t="inlineStr">
        <is>
          <t>B2</t>
        </is>
      </c>
      <c r="K469" t="n">
        <v>3</v>
      </c>
      <c r="L469" t="inlineStr">
        <is>
          <t>When this creature enters, return up to one other target permanent you control to its owner's hand. If you do, put a +1/+1 counter on this creature.
(3/2)</t>
        </is>
      </c>
      <c r="M469" t="inlineStr">
        <is>
          <t>Blink</t>
        </is>
      </c>
      <c r="N469" t="inlineStr">
        <is>
          <t>When this creature enters, return up to one other target permanent you control to its owner's hand. If you do, put a +1/</t>
        </is>
      </c>
      <c r="R469" t="n">
        <v>0.15</v>
      </c>
    </row>
    <row r="470" ht="15" customHeight="1" s="148">
      <c r="A470" t="inlineStr">
        <is>
          <t>c0469</t>
        </is>
      </c>
      <c r="B470" t="inlineStr">
        <is>
          <t>Mistmeadow Witch</t>
        </is>
      </c>
      <c r="C470" t="n">
        <v>1</v>
      </c>
      <c r="E470" t="n">
        <v>1</v>
      </c>
      <c r="F470" t="n">
        <v>0</v>
      </c>
      <c r="G470" t="n">
        <v>1</v>
      </c>
      <c r="H470" t="inlineStr">
        <is>
          <t>Multi</t>
        </is>
      </c>
      <c r="I470" t="inlineStr">
        <is>
          <t>Creature</t>
        </is>
      </c>
      <c r="J470" t="inlineStr">
        <is>
          <t>B2</t>
        </is>
      </c>
      <c r="K470" t="n">
        <v>2</v>
      </c>
      <c r="L470" t="inlineStr">
        <is>
          <t>{2}{W}{U}: Exile target creature. Return that card to the battlefield under its owner's control at the beginning of the next end step.
(1/1)</t>
        </is>
      </c>
      <c r="M470" t="inlineStr">
        <is>
          <t>Blink</t>
        </is>
      </c>
      <c r="N470" t="inlineStr">
        <is>
          <t>Exiles a creature, returning it at the next end step</t>
        </is>
      </c>
      <c r="R470" t="n">
        <v>0.23</v>
      </c>
    </row>
    <row r="471" ht="15" customHeight="1" s="148">
      <c r="A471" t="inlineStr">
        <is>
          <t>c0470</t>
        </is>
      </c>
      <c r="B471" t="inlineStr">
        <is>
          <t>Momentary Blink</t>
        </is>
      </c>
      <c r="C471" t="n">
        <v>0</v>
      </c>
      <c r="E471" t="n">
        <v>0</v>
      </c>
      <c r="F471" t="n">
        <v>0</v>
      </c>
      <c r="G471" t="n">
        <v>0</v>
      </c>
      <c r="H471" t="inlineStr">
        <is>
          <t>Multi</t>
        </is>
      </c>
      <c r="I471" t="inlineStr">
        <is>
          <t>Instant</t>
        </is>
      </c>
      <c r="J471" t="inlineStr">
        <is>
          <t>B2</t>
        </is>
      </c>
      <c r="K471" t="n">
        <v>2</v>
      </c>
      <c r="L471" t="inlineStr">
        <is>
          <t>Exile target creature you control, then return it to the battlefield under its owner's control.
Flashback {3}{U} (You may cast this card from your graveyard for its flashback cost. Then exile it.)</t>
        </is>
      </c>
      <c r="M471" t="inlineStr">
        <is>
          <t>Blink</t>
        </is>
      </c>
      <c r="N471" t="inlineStr">
        <is>
          <t>Exiles then returns target creature you control</t>
        </is>
      </c>
      <c r="O471" t="inlineStr">
        <is>
          <t>Flashback {3}{U}</t>
        </is>
      </c>
      <c r="R471" t="n">
        <v>0.19</v>
      </c>
    </row>
    <row r="472" ht="15" customHeight="1" s="148">
      <c r="A472" t="inlineStr">
        <is>
          <t>c0471</t>
        </is>
      </c>
      <c r="B472" t="inlineStr">
        <is>
          <t>Mortify</t>
        </is>
      </c>
      <c r="C472" t="n">
        <v>1</v>
      </c>
      <c r="E472" t="n">
        <v>1</v>
      </c>
      <c r="F472" t="n">
        <v>0</v>
      </c>
      <c r="G472" t="n">
        <v>1</v>
      </c>
      <c r="H472" t="inlineStr">
        <is>
          <t>Multi</t>
        </is>
      </c>
      <c r="I472" t="inlineStr">
        <is>
          <t>Instant</t>
        </is>
      </c>
      <c r="J472" t="inlineStr">
        <is>
          <t>B2</t>
        </is>
      </c>
      <c r="K472" t="n">
        <v>3</v>
      </c>
      <c r="L472" t="inlineStr">
        <is>
          <t>Destroy target creature or enchantment.</t>
        </is>
      </c>
      <c r="M472" t="inlineStr">
        <is>
          <t>Removal</t>
        </is>
      </c>
      <c r="N472" t="inlineStr">
        <is>
          <t>Destroys target creature or enchantment</t>
        </is>
      </c>
      <c r="R472" t="n">
        <v>0.18</v>
      </c>
    </row>
    <row r="473" ht="15" customHeight="1" s="148">
      <c r="A473" t="inlineStr">
        <is>
          <t>c0472</t>
        </is>
      </c>
      <c r="B473" t="inlineStr">
        <is>
          <t>Nori, Teller of Tales</t>
        </is>
      </c>
      <c r="C473" t="n">
        <v>1</v>
      </c>
      <c r="E473" t="n">
        <v>0</v>
      </c>
      <c r="F473" t="n">
        <v>1</v>
      </c>
      <c r="G473" t="n">
        <v>0</v>
      </c>
      <c r="H473" t="inlineStr">
        <is>
          <t>Multi</t>
        </is>
      </c>
      <c r="I473" t="inlineStr">
        <is>
          <t>Legendary Creature</t>
        </is>
      </c>
      <c r="J473" t="inlineStr">
        <is>
          <t>B2</t>
        </is>
      </c>
      <c r="K473" t="n">
        <v>2</v>
      </c>
      <c r="L473" t="inlineStr">
        <is>
          <t>Whenever Nori attacks, target attacking creature gains first strike until end of turn.
(2/2)</t>
        </is>
      </c>
      <c r="M473" t="inlineStr">
        <is>
          <t>Combat Trick</t>
        </is>
      </c>
      <c r="N473" t="inlineStr">
        <is>
          <t>Whenever it attacks, target attacking creature gains first strike until end of turn</t>
        </is>
      </c>
      <c r="R473" t="n">
        <v>0.14</v>
      </c>
    </row>
    <row r="474" ht="15" customHeight="1" s="148">
      <c r="A474" t="inlineStr">
        <is>
          <t>c0473</t>
        </is>
      </c>
      <c r="B474" t="inlineStr">
        <is>
          <t>Patient Instructor</t>
        </is>
      </c>
      <c r="C474" t="n">
        <v>2</v>
      </c>
      <c r="E474" t="n">
        <v>0</v>
      </c>
      <c r="F474" t="n">
        <v>2</v>
      </c>
      <c r="G474" t="n">
        <v>0</v>
      </c>
      <c r="H474" t="inlineStr">
        <is>
          <t>Multi</t>
        </is>
      </c>
      <c r="I474" t="inlineStr">
        <is>
          <t>Creature</t>
        </is>
      </c>
      <c r="J474" t="inlineStr">
        <is>
          <t>B2</t>
        </is>
      </c>
      <c r="K474" t="n">
        <v>3</v>
      </c>
      <c r="L474" t="inlineStr">
        <is>
          <t>Vigilance
When this creature enters, recruit. (Draw a card, then discard a card. If you discarded a nonland card, create a 1/1 white Human Soldier creature token.)
(2/2)</t>
        </is>
      </c>
      <c r="M474" t="inlineStr">
        <is>
          <t>Token Producer</t>
        </is>
      </c>
      <c r="N474" t="inlineStr">
        <is>
          <t>Enters: recruit (draw a card, then discard a card; if you discarded a nonland card, create a 1/1 Human Soldier token)</t>
        </is>
      </c>
      <c r="O474" t="inlineStr">
        <is>
          <t>Vigilance</t>
        </is>
      </c>
      <c r="R474" t="n">
        <v>0.14</v>
      </c>
    </row>
    <row r="475" ht="15" customHeight="1" s="148">
      <c r="A475" t="inlineStr">
        <is>
          <t>c0474</t>
        </is>
      </c>
      <c r="B475" t="inlineStr">
        <is>
          <t>Pest Mascot</t>
        </is>
      </c>
      <c r="C475" t="n">
        <v>1</v>
      </c>
      <c r="E475" t="n">
        <v>0</v>
      </c>
      <c r="F475" t="n">
        <v>1</v>
      </c>
      <c r="G475" t="n">
        <v>0</v>
      </c>
      <c r="H475" t="inlineStr">
        <is>
          <t>Multi</t>
        </is>
      </c>
      <c r="I475" t="inlineStr">
        <is>
          <t>Creature</t>
        </is>
      </c>
      <c r="J475" t="inlineStr">
        <is>
          <t>B2</t>
        </is>
      </c>
      <c r="K475" t="n">
        <v>3</v>
      </c>
      <c r="L475" t="inlineStr">
        <is>
          <t>Trample
Whenever you gain life, put a +1/+1 counter on this creature.
(2/3)</t>
        </is>
      </c>
      <c r="M475" t="inlineStr">
        <is>
          <t>Counters Payoff</t>
        </is>
      </c>
      <c r="N475" t="inlineStr">
        <is>
          <t>Whenever you gain life, put a +1/+1 counter on this creature</t>
        </is>
      </c>
      <c r="O475" t="inlineStr">
        <is>
          <t>2/3 trample body</t>
        </is>
      </c>
      <c r="R475" t="n">
        <v>0.25</v>
      </c>
    </row>
    <row r="476" ht="15" customHeight="1" s="148">
      <c r="A476" t="inlineStr">
        <is>
          <t>c0475</t>
        </is>
      </c>
      <c r="B476" t="inlineStr">
        <is>
          <t>Platypus-Bear</t>
        </is>
      </c>
      <c r="C476" t="n">
        <v>2</v>
      </c>
      <c r="E476" t="n">
        <v>0</v>
      </c>
      <c r="F476" t="n">
        <v>2</v>
      </c>
      <c r="G476" t="n">
        <v>0</v>
      </c>
      <c r="H476" t="inlineStr">
        <is>
          <t>Multi</t>
        </is>
      </c>
      <c r="I476" t="inlineStr">
        <is>
          <t>Creature</t>
        </is>
      </c>
      <c r="J476" t="inlineStr">
        <is>
          <t>B2</t>
        </is>
      </c>
      <c r="K476" t="n">
        <v>2</v>
      </c>
      <c r="L476" t="inlineStr">
        <is>
          <t>Defender
When this creature enters, mill two cards. (Put the top two cards of your library into your graveyard.)
As long as there is a Lesson card in your graveyard, this creature can attack as though it didn't have defender.
(2/3)</t>
        </is>
      </c>
      <c r="M476" t="inlineStr">
        <is>
          <t>Utility Creature</t>
        </is>
      </c>
      <c r="N476" t="inlineStr">
        <is>
          <t>Mills two cards when it enters</t>
        </is>
      </c>
      <c r="O476" t="inlineStr">
        <is>
          <t>Can attack if a Lesson is in your graveyard</t>
        </is>
      </c>
      <c r="R476" t="n">
        <v>0.13</v>
      </c>
    </row>
    <row r="477" ht="15" customHeight="1" s="148">
      <c r="A477" t="inlineStr">
        <is>
          <t>c0476</t>
        </is>
      </c>
      <c r="B477" t="inlineStr">
        <is>
          <t>Pretending Poxbearers</t>
        </is>
      </c>
      <c r="C477" t="n">
        <v>2</v>
      </c>
      <c r="E477" t="n">
        <v>0</v>
      </c>
      <c r="F477" t="n">
        <v>2</v>
      </c>
      <c r="G477" t="n">
        <v>0</v>
      </c>
      <c r="H477" t="inlineStr">
        <is>
          <t>Multi</t>
        </is>
      </c>
      <c r="I477" t="inlineStr">
        <is>
          <t>Creature</t>
        </is>
      </c>
      <c r="J477" t="inlineStr">
        <is>
          <t>B2</t>
        </is>
      </c>
      <c r="K477" t="n">
        <v>2</v>
      </c>
      <c r="L477" t="inlineStr">
        <is>
          <t>When this creature dies, create a 1/1 white Ally creature token.
(2/1)</t>
        </is>
      </c>
      <c r="M477" t="inlineStr">
        <is>
          <t>Token Producer</t>
        </is>
      </c>
      <c r="N477" t="inlineStr">
        <is>
          <t>Dies: create a 1/1 white Ally token</t>
        </is>
      </c>
      <c r="R477" t="n">
        <v>0.16</v>
      </c>
    </row>
    <row r="478" ht="15" customHeight="1" s="148">
      <c r="A478" t="inlineStr">
        <is>
          <t>c0477</t>
        </is>
      </c>
      <c r="B478" t="inlineStr">
        <is>
          <t>Prideful Feastling</t>
        </is>
      </c>
      <c r="C478" t="n">
        <v>1</v>
      </c>
      <c r="E478" t="n">
        <v>0</v>
      </c>
      <c r="F478" t="n">
        <v>1</v>
      </c>
      <c r="G478" t="n">
        <v>0</v>
      </c>
      <c r="H478" t="inlineStr">
        <is>
          <t>Multi</t>
        </is>
      </c>
      <c r="I478" t="inlineStr">
        <is>
          <t>Creature</t>
        </is>
      </c>
      <c r="J478" t="inlineStr">
        <is>
          <t>B2</t>
        </is>
      </c>
      <c r="K478" t="n">
        <v>3</v>
      </c>
      <c r="L478" t="inlineStr">
        <is>
          <t>Changeling (This card is every creature type.)
Lifelink
(2/3)</t>
        </is>
      </c>
      <c r="M478" t="inlineStr">
        <is>
          <t>Lifegain</t>
        </is>
      </c>
      <c r="N478" t="inlineStr">
        <is>
          <t>Is every creature type</t>
        </is>
      </c>
      <c r="O478" t="inlineStr">
        <is>
          <t>Gains you life equal to damage it deals</t>
        </is>
      </c>
      <c r="R478" t="n">
        <v>0.13</v>
      </c>
    </row>
    <row r="479" ht="15" customHeight="1" s="148">
      <c r="A479" t="inlineStr">
        <is>
          <t>c0478</t>
        </is>
      </c>
      <c r="B479" t="inlineStr">
        <is>
          <t>Priest of Fell Rites</t>
        </is>
      </c>
      <c r="C479" t="n">
        <v>0</v>
      </c>
      <c r="E479" t="n">
        <v>0</v>
      </c>
      <c r="F479" t="n">
        <v>0</v>
      </c>
      <c r="G479" t="n">
        <v>0</v>
      </c>
      <c r="H479" t="inlineStr">
        <is>
          <t>Multi</t>
        </is>
      </c>
      <c r="I479" t="inlineStr">
        <is>
          <t>Creature</t>
        </is>
      </c>
      <c r="J479" t="inlineStr">
        <is>
          <t>B2</t>
        </is>
      </c>
      <c r="K479" t="n">
        <v>2</v>
      </c>
      <c r="L479" t="inlineStr">
        <is>
          <t>{T}, Pay 3 life, Sacrifice this creature: Return target creature card from your graveyard to the battlefield. Activate only as a sorcery.
Unearth {3}{W}{B} ({3}{W}{B}: Return this card from your graveyard to the battlefield. It gains haste. Exile it at the beginning of the next end step or if it would leave the battlefield. Unearth only as a sorcery.)
(2/2)</t>
        </is>
      </c>
      <c r="M479" t="inlineStr">
        <is>
          <t>Reanimation</t>
        </is>
      </c>
      <c r="N479" t="inlineStr">
        <is>
          <t>Tap, pay 3 life, sacrifice: return target creature card from graveyard to the battlefield</t>
        </is>
      </c>
      <c r="O479" t="inlineStr">
        <is>
          <t>Unearth {3}{W}{B} to return from graveyard with haste temporarily</t>
        </is>
      </c>
      <c r="R479" t="n">
        <v>0.36</v>
      </c>
    </row>
    <row r="480" ht="15" customHeight="1" s="148">
      <c r="A480" t="inlineStr">
        <is>
          <t>c0479</t>
        </is>
      </c>
      <c r="B480" t="inlineStr">
        <is>
          <t>Pterafractyl</t>
        </is>
      </c>
      <c r="C480" t="n">
        <v>1</v>
      </c>
      <c r="E480" t="n">
        <v>1</v>
      </c>
      <c r="F480" t="n">
        <v>0</v>
      </c>
      <c r="G480" t="n">
        <v>0</v>
      </c>
      <c r="H480" t="inlineStr">
        <is>
          <t>Multi</t>
        </is>
      </c>
      <c r="I480" t="inlineStr">
        <is>
          <t>Creature</t>
        </is>
      </c>
      <c r="J480" t="inlineStr">
        <is>
          <t>B2</t>
        </is>
      </c>
      <c r="K480" t="n">
        <v>2</v>
      </c>
      <c r="L480" t="inlineStr">
        <is>
          <t>Flying
This creature enters with X +1/+1 counters on it.
When this creature enters, you gain 2 life.
(1/0)</t>
        </is>
      </c>
      <c r="M480" t="inlineStr">
        <is>
          <t>Mana Sink</t>
        </is>
      </c>
      <c r="N480" t="inlineStr">
        <is>
          <t>Enters with X +1/+1 counters on it and has flying</t>
        </is>
      </c>
      <c r="O480" t="inlineStr">
        <is>
          <t>Enters: you gain 2 life</t>
        </is>
      </c>
      <c r="R480" t="n">
        <v>0.18</v>
      </c>
    </row>
    <row r="481" ht="15" customHeight="1" s="148">
      <c r="A481" t="inlineStr">
        <is>
          <t>c0480</t>
        </is>
      </c>
      <c r="B481" t="inlineStr">
        <is>
          <t>Putrefy</t>
        </is>
      </c>
      <c r="C481" t="n">
        <v>1</v>
      </c>
      <c r="E481" t="n">
        <v>1</v>
      </c>
      <c r="F481" t="n">
        <v>0</v>
      </c>
      <c r="G481" t="n">
        <v>1</v>
      </c>
      <c r="H481" t="inlineStr">
        <is>
          <t>Multi</t>
        </is>
      </c>
      <c r="I481" t="inlineStr">
        <is>
          <t>Instant</t>
        </is>
      </c>
      <c r="J481" t="inlineStr">
        <is>
          <t>B2</t>
        </is>
      </c>
      <c r="K481" t="n">
        <v>3</v>
      </c>
      <c r="L481" t="inlineStr">
        <is>
          <t>Destroy target artifact or creature. It can't be regenerated.</t>
        </is>
      </c>
      <c r="M481" t="inlineStr">
        <is>
          <t>Removal</t>
        </is>
      </c>
      <c r="N481" t="inlineStr">
        <is>
          <t>Destroys target artifact or creature; it can't be regenerated</t>
        </is>
      </c>
      <c r="R481" t="n">
        <v>0.34</v>
      </c>
    </row>
    <row r="482" ht="15" customHeight="1" s="148">
      <c r="A482" t="inlineStr">
        <is>
          <t>c0481</t>
        </is>
      </c>
      <c r="B482" t="inlineStr">
        <is>
          <t>Quintorius Kand</t>
        </is>
      </c>
      <c r="C482" t="n">
        <v>1</v>
      </c>
      <c r="E482" t="n">
        <v>1</v>
      </c>
      <c r="F482" t="n">
        <v>0</v>
      </c>
      <c r="G482" t="n">
        <v>1</v>
      </c>
      <c r="H482" t="inlineStr">
        <is>
          <t>Multi</t>
        </is>
      </c>
      <c r="I482" t="inlineStr">
        <is>
          <t>Legendary Planeswalker</t>
        </is>
      </c>
      <c r="J482" t="inlineStr">
        <is>
          <t>B2</t>
        </is>
      </c>
      <c r="K482" t="n">
        <v>5</v>
      </c>
      <c r="L482" t="inlineStr">
        <is>
          <t>Whenever you cast a spell from exile, Quintorius Kand deals 2 damage to each opponent and you gain 2 life.
+1: Create a 3/2 red and white Spirit creature token.
−3: Discover 4.
−6: Exile any number of target cards from your graveyard. Add {R} for each card exiled this way. You may play those cards this turn.
(Loyalty 4)</t>
        </is>
      </c>
      <c r="M482" t="inlineStr">
        <is>
          <t>Value Engine</t>
        </is>
      </c>
      <c r="N482" t="inlineStr">
        <is>
          <t>Casting spells from exile deals 2 damage to each opponent and gains you 2 life</t>
        </is>
      </c>
      <c r="O482" t="inlineStr">
        <is>
          <t>+1: create a 3/2 Spirit token</t>
        </is>
      </c>
      <c r="P482" t="inlineStr">
        <is>
          <t>-3: Discover 4 (exile cards until a nonland MV 4 or less appears, cast or hand it free)</t>
        </is>
      </c>
      <c r="R482" t="n">
        <v>1.99</v>
      </c>
    </row>
    <row r="483" ht="15" customHeight="1" s="148">
      <c r="A483" t="inlineStr">
        <is>
          <t>c0482</t>
        </is>
      </c>
      <c r="B483" t="inlineStr">
        <is>
          <t>Quintorius, Field Historian</t>
        </is>
      </c>
      <c r="C483" t="n">
        <v>1</v>
      </c>
      <c r="E483" t="n">
        <v>1</v>
      </c>
      <c r="F483" t="n">
        <v>0</v>
      </c>
      <c r="G483" t="n">
        <v>1</v>
      </c>
      <c r="H483" t="inlineStr">
        <is>
          <t>Multi</t>
        </is>
      </c>
      <c r="I483" t="inlineStr">
        <is>
          <t>Legendary Creature</t>
        </is>
      </c>
      <c r="J483" t="inlineStr">
        <is>
          <t>B2</t>
        </is>
      </c>
      <c r="K483" t="n">
        <v>5</v>
      </c>
      <c r="L483" t="inlineStr">
        <is>
          <t>Spirits you control get +1/+0.
Whenever one or more cards leave your graveyard, create a 3/2 red and white Spirit creature token.
(2/4)</t>
        </is>
      </c>
      <c r="M483" t="inlineStr">
        <is>
          <t>Token Producer</t>
        </is>
      </c>
      <c r="N483" t="inlineStr">
        <is>
          <t>Spirits you control get +1/+0</t>
        </is>
      </c>
      <c r="O483" t="inlineStr">
        <is>
          <t>Whenever cards leave your graveyard, create a 3/2 Spirit token</t>
        </is>
      </c>
      <c r="R483" t="n">
        <v>0.23</v>
      </c>
    </row>
    <row r="484" ht="15" customHeight="1" s="148">
      <c r="A484" t="inlineStr">
        <is>
          <t>c0483</t>
        </is>
      </c>
      <c r="B484" t="inlineStr">
        <is>
          <t>Quintorius, History Chaser</t>
        </is>
      </c>
      <c r="C484" t="n">
        <v>1</v>
      </c>
      <c r="E484" t="n">
        <v>1</v>
      </c>
      <c r="F484" t="n">
        <v>0</v>
      </c>
      <c r="G484" t="n">
        <v>1</v>
      </c>
      <c r="H484" t="inlineStr">
        <is>
          <t>Multi</t>
        </is>
      </c>
      <c r="I484" t="inlineStr">
        <is>
          <t>Legendary Planeswalker</t>
        </is>
      </c>
      <c r="J484" t="inlineStr">
        <is>
          <t>B2</t>
        </is>
      </c>
      <c r="K484" t="n">
        <v>4</v>
      </c>
      <c r="L484" t="inlineStr">
        <is>
          <t>Whenever one or more cards leave your graveyard, create a 3/2 red and white Spirit creature token.
+1: You may discard a card. If you do, draw two cards, then mill a card.
−4: Spirits you control gain double strike and vigilance until end of turn.
Quintorius, History Chaser can be your commander.
(Loyalty 5)</t>
        </is>
      </c>
      <c r="M484" t="inlineStr">
        <is>
          <t>Token Producer</t>
        </is>
      </c>
      <c r="N484" t="inlineStr">
        <is>
          <t>Whenever cards leave your graveyard, create a 3/2 Spirit token</t>
        </is>
      </c>
      <c r="O484" t="inlineStr">
        <is>
          <t>+1: discard a card to draw two cards, then mill one</t>
        </is>
      </c>
      <c r="P484" t="inlineStr">
        <is>
          <t>-4: Spirits you control get extra combat abilities this turn</t>
        </is>
      </c>
      <c r="R484" t="n">
        <v>0.64</v>
      </c>
    </row>
    <row r="485" ht="15" customHeight="1" s="148">
      <c r="A485" t="inlineStr">
        <is>
          <t>c0484</t>
        </is>
      </c>
      <c r="B485" t="inlineStr">
        <is>
          <t>Quintorius, Loremaster</t>
        </is>
      </c>
      <c r="C485" t="n">
        <v>1</v>
      </c>
      <c r="E485" t="n">
        <v>1</v>
      </c>
      <c r="F485" t="n">
        <v>0</v>
      </c>
      <c r="G485" t="n">
        <v>1</v>
      </c>
      <c r="H485" t="inlineStr">
        <is>
          <t>Multi</t>
        </is>
      </c>
      <c r="I485" t="inlineStr">
        <is>
          <t>Legendary Creature</t>
        </is>
      </c>
      <c r="J485" t="inlineStr">
        <is>
          <t>B2</t>
        </is>
      </c>
      <c r="K485" t="n">
        <v>5</v>
      </c>
      <c r="L485" t="inlineStr">
        <is>
          <t>Vigilance
At the beginning of your end step, exile target noncreature, nonland card from your graveyard. Create a 3/2 red and white Spirit creature token.
{1}{R}{W}, {T}, Sacrifice a Spirit: Choose target card exiled with Quintorius. You may cast that card this turn without paying its mana cost. If that spell would be put into a graveyard, put it on the bottom of its owner's library instead.
(3/5)</t>
        </is>
      </c>
      <c r="M485" t="inlineStr">
        <is>
          <t>Commander</t>
        </is>
      </c>
      <c r="N485" t="inlineStr">
        <is>
          <t>Vigilant 3/2ish body</t>
        </is>
      </c>
      <c r="O485" t="inlineStr">
        <is>
          <t>End step: exile a noncreature nonland card from graveyard, create a 3/2 Spirit token</t>
        </is>
      </c>
      <c r="P485" t="inlineStr">
        <is>
          <t>Sacrifice a Spirit: cast an exiled card for free this turn</t>
        </is>
      </c>
      <c r="R485" t="n">
        <v>0.18</v>
      </c>
    </row>
    <row r="486" ht="15" customHeight="1" s="148">
      <c r="A486" t="inlineStr">
        <is>
          <t>c0485</t>
        </is>
      </c>
      <c r="B486" t="inlineStr">
        <is>
          <t>Ratonhnhaké꞉ton</t>
        </is>
      </c>
      <c r="C486" t="n">
        <v>1</v>
      </c>
      <c r="E486" t="n">
        <v>0</v>
      </c>
      <c r="F486" t="n">
        <v>1</v>
      </c>
      <c r="G486" t="n">
        <v>0</v>
      </c>
      <c r="H486" t="inlineStr">
        <is>
          <t>Multi</t>
        </is>
      </c>
      <c r="I486" t="inlineStr">
        <is>
          <t>Legendary Creature</t>
        </is>
      </c>
      <c r="J486" t="inlineStr">
        <is>
          <t>B2</t>
        </is>
      </c>
      <c r="K486" t="n">
        <v>3</v>
      </c>
      <c r="L486" t="inlineStr">
        <is>
          <t>As long as Ratonhnhaké꞉ton hasn't dealt damage yet, it has hexproof and can't be blocked.
Whenever Ratonhnhaké꞉ton deals combat damage to a player, create a 1/1 black Assassin creature token with menace. When you do, return target Equipment card from your graveyard to the battlefield, then attach it to that token.
(3/3)</t>
        </is>
      </c>
      <c r="M486" t="inlineStr">
        <is>
          <t>Token Producer</t>
        </is>
      </c>
      <c r="N486" t="inlineStr">
        <is>
          <t>Unblockable and hexproof until it first deals damage</t>
        </is>
      </c>
      <c r="O486" t="inlineStr">
        <is>
          <t>Combat damage makes a 1/1 Assassin token</t>
        </is>
      </c>
      <c r="P486" t="inlineStr">
        <is>
          <t>Also reanimates target Equipment onto that token</t>
        </is>
      </c>
      <c r="R486" t="n">
        <v>1.47</v>
      </c>
    </row>
    <row r="487" ht="15" customHeight="1" s="148">
      <c r="A487" t="inlineStr">
        <is>
          <t>c0486</t>
        </is>
      </c>
      <c r="B487" t="inlineStr">
        <is>
          <t>Reaping Willow</t>
        </is>
      </c>
      <c r="C487" t="n">
        <v>1</v>
      </c>
      <c r="E487" t="n">
        <v>0</v>
      </c>
      <c r="F487" t="n">
        <v>1</v>
      </c>
      <c r="G487" t="n">
        <v>0</v>
      </c>
      <c r="H487" t="inlineStr">
        <is>
          <t>Multi</t>
        </is>
      </c>
      <c r="I487" t="inlineStr">
        <is>
          <t>Creature</t>
        </is>
      </c>
      <c r="J487" t="inlineStr">
        <is>
          <t>B2</t>
        </is>
      </c>
      <c r="K487" t="n">
        <v>4</v>
      </c>
      <c r="L487" t="inlineStr">
        <is>
          <t>Lifelink
This creature enters with two -1/-1 counters on it.
{1}{W/B}, Remove two counters from this creature: Return target creature card with mana value 3 or less from your graveyard to the battlefield. Activate only as a sorcery.
(3/6)</t>
        </is>
      </c>
      <c r="M487" t="inlineStr">
        <is>
          <t>Reanimation</t>
        </is>
      </c>
      <c r="N487" t="inlineStr">
        <is>
          <t>Enters with two -1/-1 counters on itself</t>
        </is>
      </c>
      <c r="O487" t="inlineStr">
        <is>
          <t>Remove counters: reanimate a creature card MV 3 or less</t>
        </is>
      </c>
      <c r="R487" t="n">
        <v>0.24</v>
      </c>
    </row>
    <row r="488" ht="15" customHeight="1" s="148">
      <c r="A488" t="inlineStr">
        <is>
          <t>c0487</t>
        </is>
      </c>
      <c r="B488" t="inlineStr">
        <is>
          <t>Reconstruct History</t>
        </is>
      </c>
      <c r="C488" t="n">
        <v>1</v>
      </c>
      <c r="E488" t="n">
        <v>1</v>
      </c>
      <c r="F488" t="n">
        <v>0</v>
      </c>
      <c r="G488" t="n">
        <v>1</v>
      </c>
      <c r="H488" t="inlineStr">
        <is>
          <t>Multi</t>
        </is>
      </c>
      <c r="I488" t="inlineStr">
        <is>
          <t>Sorcery</t>
        </is>
      </c>
      <c r="J488" t="inlineStr">
        <is>
          <t>B2</t>
        </is>
      </c>
      <c r="K488" t="n">
        <v>4</v>
      </c>
      <c r="L488" t="inlineStr">
        <is>
          <t>Return up to one target artifact card, up to one target enchantment card, up to one target instant card, up to one target sorcery card, and up to one target planeswalker card from your graveyard to your hand.
Exile Reconstruct History.</t>
        </is>
      </c>
      <c r="M488" t="inlineStr">
        <is>
          <t>Recursion</t>
        </is>
      </c>
      <c r="N488" t="inlineStr">
        <is>
          <t>Return up to one target artifact card, up to one target enchantment card, up to one target instant card, up to one targe</t>
        </is>
      </c>
      <c r="O488" t="inlineStr">
        <is>
          <t>Exile Reconstruct History</t>
        </is>
      </c>
      <c r="R488" t="n">
        <v>0.11</v>
      </c>
    </row>
    <row r="489" ht="15" customHeight="1" s="148">
      <c r="A489" t="inlineStr">
        <is>
          <t>c0488</t>
        </is>
      </c>
      <c r="B489" t="inlineStr">
        <is>
          <t>Reflector Mage</t>
        </is>
      </c>
      <c r="C489" t="n">
        <v>1</v>
      </c>
      <c r="E489" t="n">
        <v>1</v>
      </c>
      <c r="F489" t="n">
        <v>0</v>
      </c>
      <c r="G489" t="n">
        <v>1</v>
      </c>
      <c r="H489" t="inlineStr">
        <is>
          <t>Multi</t>
        </is>
      </c>
      <c r="I489" t="inlineStr">
        <is>
          <t>Creature</t>
        </is>
      </c>
      <c r="J489" t="inlineStr">
        <is>
          <t>B2</t>
        </is>
      </c>
      <c r="K489" t="n">
        <v>3</v>
      </c>
      <c r="L489" t="inlineStr">
        <is>
          <t>When this creature enters, return target creature an opponent controls to its owner's hand. That creature's owner can't cast spells with the same name as that creature until your next turn.
(2/3)</t>
        </is>
      </c>
      <c r="M489" t="inlineStr">
        <is>
          <t>Removal</t>
        </is>
      </c>
      <c r="N489" t="inlineStr">
        <is>
          <t>Bounces target opponent creature to hand when it enters</t>
        </is>
      </c>
      <c r="O489" t="inlineStr">
        <is>
          <t>That creature's owner can't recast it until your next turn</t>
        </is>
      </c>
      <c r="R489" t="n">
        <v>0.5</v>
      </c>
    </row>
    <row r="490" ht="15" customHeight="1" s="148">
      <c r="A490" t="inlineStr">
        <is>
          <t>c0489</t>
        </is>
      </c>
      <c r="B490" t="inlineStr">
        <is>
          <t>Render Speechless</t>
        </is>
      </c>
      <c r="C490" t="n">
        <v>1</v>
      </c>
      <c r="E490" t="n">
        <v>0</v>
      </c>
      <c r="F490" t="n">
        <v>1</v>
      </c>
      <c r="G490" t="n">
        <v>0</v>
      </c>
      <c r="H490" t="inlineStr">
        <is>
          <t>Multi</t>
        </is>
      </c>
      <c r="I490" t="inlineStr">
        <is>
          <t>Sorcery</t>
        </is>
      </c>
      <c r="J490" t="inlineStr">
        <is>
          <t>B2</t>
        </is>
      </c>
      <c r="K490" t="n">
        <v>4</v>
      </c>
      <c r="L490" t="inlineStr">
        <is>
          <t>Target opponent reveals their hand. You choose a nonland card from it. That player discards that card.
Put two +1/+1 counters on up to one target creature.</t>
        </is>
      </c>
      <c r="M490" t="inlineStr">
        <is>
          <t>Discard/Looting</t>
        </is>
      </c>
      <c r="N490" t="inlineStr">
        <is>
          <t>Target opponent reveals their hand and discards a nonland card you choose</t>
        </is>
      </c>
      <c r="O490" t="inlineStr">
        <is>
          <t>Put two +1/+1 counters on up to one target creature</t>
        </is>
      </c>
      <c r="R490" t="n">
        <v>0.07000000000000001</v>
      </c>
    </row>
    <row r="491" ht="15" customHeight="1" s="148">
      <c r="A491" t="inlineStr">
        <is>
          <t>c0490</t>
        </is>
      </c>
      <c r="B491" t="inlineStr">
        <is>
          <t>Resonating Lute</t>
        </is>
      </c>
      <c r="C491" t="n">
        <v>1</v>
      </c>
      <c r="E491" t="n">
        <v>0</v>
      </c>
      <c r="F491" t="n">
        <v>1</v>
      </c>
      <c r="G491" t="n">
        <v>0</v>
      </c>
      <c r="H491" t="inlineStr">
        <is>
          <t>Multi</t>
        </is>
      </c>
      <c r="I491" t="inlineStr">
        <is>
          <t>Artifact</t>
        </is>
      </c>
      <c r="J491" t="inlineStr">
        <is>
          <t>B2</t>
        </is>
      </c>
      <c r="K491" t="n">
        <v>4</v>
      </c>
      <c r="L491" t="inlineStr">
        <is>
          <t>Lands you control have "{T}: Add two mana of any one color. Spend this mana only to cast instant and sorcery spells."
{T}: Draw a card. Activate only if you have seven or more cards in your hand.</t>
        </is>
      </c>
      <c r="M491" t="inlineStr">
        <is>
          <t>Ramp</t>
        </is>
      </c>
      <c r="N491" t="inlineStr">
        <is>
          <t>Lands you control gain "{T}: Add two mana of any one color," spendable only on instants and sorceries</t>
        </is>
      </c>
      <c r="O491" t="inlineStr">
        <is>
          <t>{T}: Draw a card, only with seven or more cards in hand</t>
        </is>
      </c>
      <c r="R491" t="n">
        <v>1.18</v>
      </c>
    </row>
    <row r="492" ht="15" customHeight="1" s="148">
      <c r="A492" t="inlineStr">
        <is>
          <t>c0491</t>
        </is>
      </c>
      <c r="B492" t="inlineStr">
        <is>
          <t>Rip Apart</t>
        </is>
      </c>
      <c r="C492" t="n">
        <v>1</v>
      </c>
      <c r="E492" t="n">
        <v>1</v>
      </c>
      <c r="F492" t="n">
        <v>0</v>
      </c>
      <c r="G492" t="n">
        <v>1</v>
      </c>
      <c r="H492" t="inlineStr">
        <is>
          <t>Multi</t>
        </is>
      </c>
      <c r="I492" t="inlineStr">
        <is>
          <t>Sorcery</t>
        </is>
      </c>
      <c r="J492" t="inlineStr">
        <is>
          <t>B2</t>
        </is>
      </c>
      <c r="K492" t="n">
        <v>2</v>
      </c>
      <c r="L492" t="inlineStr">
        <is>
          <t>Choose one —
• Rip Apart deals 3 damage to target creature or planeswalker.
• Destroy target artifact or enchantment.</t>
        </is>
      </c>
      <c r="M492" t="inlineStr">
        <is>
          <t>Removal</t>
        </is>
      </c>
      <c r="N492" t="inlineStr">
        <is>
          <t>Choose one: deals 3 damage to target creature or planeswalker</t>
        </is>
      </c>
      <c r="O492" t="inlineStr">
        <is>
          <t>Or destroys target artifact or enchantment</t>
        </is>
      </c>
      <c r="R492" t="n">
        <v>0.21</v>
      </c>
    </row>
    <row r="493" ht="15" customHeight="1" s="148">
      <c r="A493" t="inlineStr">
        <is>
          <t>c0492</t>
        </is>
      </c>
      <c r="B493" t="inlineStr">
        <is>
          <t>Risen Reef</t>
        </is>
      </c>
      <c r="C493" t="n">
        <v>0</v>
      </c>
      <c r="E493" t="n">
        <v>0</v>
      </c>
      <c r="F493" t="n">
        <v>0</v>
      </c>
      <c r="G493" t="n">
        <v>0</v>
      </c>
      <c r="H493" t="inlineStr">
        <is>
          <t>Multi</t>
        </is>
      </c>
      <c r="I493" t="inlineStr">
        <is>
          <t>Creature</t>
        </is>
      </c>
      <c r="J493" t="inlineStr">
        <is>
          <t>B2</t>
        </is>
      </c>
      <c r="K493" t="n">
        <v>3</v>
      </c>
      <c r="L493" t="inlineStr">
        <is>
          <t>Whenever this creature or another Elemental you control enters, look at the top card of your library. If it's a land card, you may put it onto the battlefield tapped. If you don't put the card onto the battlefield, put it into your hand.
(1/1)</t>
        </is>
      </c>
      <c r="M493" t="inlineStr">
        <is>
          <t>Card Advantage</t>
        </is>
      </c>
      <c r="N493" t="inlineStr">
        <is>
          <t>Whenever this creature or another Elemental you control enters, look at the top card of your library. If it's a land car</t>
        </is>
      </c>
      <c r="R493" t="n">
        <v>0.31</v>
      </c>
    </row>
    <row r="494" ht="15" customHeight="1" s="148">
      <c r="A494" t="inlineStr">
        <is>
          <t>c0493</t>
        </is>
      </c>
      <c r="B494" t="inlineStr">
        <is>
          <t>Rocketeer Boostbuggy</t>
        </is>
      </c>
      <c r="C494" t="n">
        <v>1</v>
      </c>
      <c r="E494" t="n">
        <v>0</v>
      </c>
      <c r="F494" t="n">
        <v>1</v>
      </c>
      <c r="G494" t="n">
        <v>0</v>
      </c>
      <c r="H494" t="inlineStr">
        <is>
          <t>Multi</t>
        </is>
      </c>
      <c r="I494" t="inlineStr">
        <is>
          <t>Artifact</t>
        </is>
      </c>
      <c r="J494" t="inlineStr">
        <is>
          <t>B2</t>
        </is>
      </c>
      <c r="K494" t="n">
        <v>2</v>
      </c>
      <c r="L494" t="inlineStr">
        <is>
          <t>Whenever this Vehicle attacks, create a Treasure token. (It's an artifact with "{T}, Sacrifice this token: Add one mana of any color.")
Exhaust — {3}: This Vehicle becomes an artifact creature. Put a +1/+1 counter on it. (Activate each exhaust ability only once.)
Crew 1
(3/2)</t>
        </is>
      </c>
      <c r="M494" t="inlineStr">
        <is>
          <t>Token Producer</t>
        </is>
      </c>
      <c r="N494" t="inlineStr">
        <is>
          <t>Creates a Treasure token whenever it attacks</t>
        </is>
      </c>
      <c r="O494" t="inlineStr">
        <is>
          <t>Pay {3} once to become a creature and get a +1/+1 counter</t>
        </is>
      </c>
      <c r="R494" t="n">
        <v>0.25</v>
      </c>
    </row>
    <row r="495" ht="15" customHeight="1" s="148">
      <c r="A495" t="inlineStr">
        <is>
          <t>c0494</t>
        </is>
      </c>
      <c r="B495" t="inlineStr">
        <is>
          <t>Roon of the Hidden Realm</t>
        </is>
      </c>
      <c r="C495" t="n">
        <v>2</v>
      </c>
      <c r="E495" t="n">
        <v>1</v>
      </c>
      <c r="F495" t="n">
        <v>1</v>
      </c>
      <c r="G495" t="n">
        <v>1</v>
      </c>
      <c r="H495" t="inlineStr">
        <is>
          <t>Multi</t>
        </is>
      </c>
      <c r="I495" t="inlineStr">
        <is>
          <t>Legendary Creature</t>
        </is>
      </c>
      <c r="J495" t="inlineStr">
        <is>
          <t>B2</t>
        </is>
      </c>
      <c r="K495" t="n">
        <v>5</v>
      </c>
      <c r="L495" t="inlineStr">
        <is>
          <t>Vigilance, trample
{2}, {T}: Exile another target creature. Return that card to the battlefield under its owner's control at the beginning of the next end step.
(4/4)</t>
        </is>
      </c>
      <c r="M495" t="inlineStr">
        <is>
          <t>Blink</t>
        </is>
      </c>
      <c r="N495" t="inlineStr">
        <is>
          <t>Exiles another creature, returns it at next end step</t>
        </is>
      </c>
      <c r="O495" t="inlineStr">
        <is>
          <t>Repeatable via {2}, tap activated ability</t>
        </is>
      </c>
      <c r="R495" t="n">
        <v>0.31</v>
      </c>
    </row>
    <row r="496" ht="15" customHeight="1" s="148">
      <c r="A496" t="inlineStr">
        <is>
          <t>c0495</t>
        </is>
      </c>
      <c r="B496" t="inlineStr">
        <is>
          <t>Sapling of Colfenor</t>
        </is>
      </c>
      <c r="C496" t="n">
        <v>1</v>
      </c>
      <c r="E496" t="n">
        <v>1</v>
      </c>
      <c r="F496" t="n">
        <v>0</v>
      </c>
      <c r="G496" t="n">
        <v>1</v>
      </c>
      <c r="H496" t="inlineStr">
        <is>
          <t>Multi</t>
        </is>
      </c>
      <c r="I496" t="inlineStr">
        <is>
          <t>Legendary Creature</t>
        </is>
      </c>
      <c r="J496" t="inlineStr">
        <is>
          <t>B2</t>
        </is>
      </c>
      <c r="K496" t="n">
        <v>5</v>
      </c>
      <c r="L496" t="inlineStr">
        <is>
          <t>Indestructible
Whenever Sapling of Colfenor attacks, reveal the top card of your library. If it's a creature card, you gain life equal to that card's toughness, lose life equal to its power, then put it into your hand.
(2/5)</t>
        </is>
      </c>
      <c r="M496" t="inlineStr">
        <is>
          <t>Card Advantage</t>
        </is>
      </c>
      <c r="N496" t="inlineStr">
        <is>
          <t>Attacking reveals top card; if creature, gain life equal to its toughness</t>
        </is>
      </c>
      <c r="O496" t="inlineStr">
        <is>
          <t>Lose life equal to that creature's power, then put it into hand</t>
        </is>
      </c>
      <c r="P496" t="inlineStr">
        <is>
          <t>Indestructible body</t>
        </is>
      </c>
      <c r="R496" t="n">
        <v>6.74</v>
      </c>
    </row>
    <row r="497" ht="15" customHeight="1" s="148">
      <c r="A497" t="inlineStr">
        <is>
          <t>c0496</t>
        </is>
      </c>
      <c r="B497" t="inlineStr">
        <is>
          <t>Senate Griffin</t>
        </is>
      </c>
      <c r="C497" t="n">
        <v>1</v>
      </c>
      <c r="E497" t="n">
        <v>0</v>
      </c>
      <c r="F497" t="n">
        <v>1</v>
      </c>
      <c r="G497" t="n">
        <v>0</v>
      </c>
      <c r="H497" t="inlineStr">
        <is>
          <t>Multi</t>
        </is>
      </c>
      <c r="I497" t="inlineStr">
        <is>
          <t>Creature</t>
        </is>
      </c>
      <c r="J497" t="inlineStr">
        <is>
          <t>B2</t>
        </is>
      </c>
      <c r="K497" t="n">
        <v>4</v>
      </c>
      <c r="L497" t="inlineStr">
        <is>
          <t>Flying
When this creature enters, scry 1.
(3/2)</t>
        </is>
      </c>
      <c r="M497" t="inlineStr">
        <is>
          <t>Card Selection</t>
        </is>
      </c>
      <c r="N497" t="inlineStr">
        <is>
          <t>Scry 1 when it enters</t>
        </is>
      </c>
      <c r="R497" t="n">
        <v>0.08</v>
      </c>
    </row>
    <row r="498" ht="15" customHeight="1" s="148">
      <c r="A498" t="inlineStr">
        <is>
          <t>c0497</t>
        </is>
      </c>
      <c r="B498" t="inlineStr">
        <is>
          <t>Shadow Urchin</t>
        </is>
      </c>
      <c r="C498" t="n">
        <v>1</v>
      </c>
      <c r="E498" t="n">
        <v>0</v>
      </c>
      <c r="F498" t="n">
        <v>1</v>
      </c>
      <c r="G498" t="n">
        <v>0</v>
      </c>
      <c r="H498" t="inlineStr">
        <is>
          <t>Multi</t>
        </is>
      </c>
      <c r="I498" t="inlineStr">
        <is>
          <t>Creature</t>
        </is>
      </c>
      <c r="J498" t="inlineStr">
        <is>
          <t>B2</t>
        </is>
      </c>
      <c r="K498" t="n">
        <v>3</v>
      </c>
      <c r="L498" t="inlineStr">
        <is>
          <t>Whenever this creature attacks, blight 1. (Put a -1/-1 counter on a creature you control.)
Whenever a creature you control with one or more counters on it dies, exile that many cards from the top of your library. Until your next end step, you may play those cards.
(3/4)</t>
        </is>
      </c>
      <c r="M498" t="inlineStr">
        <is>
          <t>Card Advantage</t>
        </is>
      </c>
      <c r="N498" t="inlineStr">
        <is>
          <t>Whenever a creature you control with counters on it dies, exile that many cards from the top of your library and play them until your next end step</t>
        </is>
      </c>
      <c r="O498" t="inlineStr">
        <is>
          <t>Whenever this creature attacks, blight 1 (put a -1/-1 counter on a creature you control)</t>
        </is>
      </c>
      <c r="R498" t="n">
        <v>0.26</v>
      </c>
    </row>
    <row r="499" ht="15" customHeight="1" s="148">
      <c r="A499" t="inlineStr">
        <is>
          <t>c0498</t>
        </is>
      </c>
      <c r="B499" t="inlineStr">
        <is>
          <t>Shadrix Silverquill</t>
        </is>
      </c>
      <c r="C499" t="n">
        <v>1</v>
      </c>
      <c r="E499" t="n">
        <v>1</v>
      </c>
      <c r="F499" t="n">
        <v>0</v>
      </c>
      <c r="G499" t="n">
        <v>1</v>
      </c>
      <c r="H499" t="inlineStr">
        <is>
          <t>Multi</t>
        </is>
      </c>
      <c r="I499" t="inlineStr">
        <is>
          <t>Legendary Creature</t>
        </is>
      </c>
      <c r="J499" t="inlineStr">
        <is>
          <t>B2</t>
        </is>
      </c>
      <c r="K499" t="n">
        <v>5</v>
      </c>
      <c r="L499" t="inlineStr">
        <is>
          <t>Flying, double strike
At the beginning of combat on your turn, you may choose two. Each mode must target a different player.
• Target player creates a 2/1 white and black Inkling creature token with flying.
• Target player draws a card and loses 1 life.
• Target player puts a +1/+1 counter on each creature they control.
(2/5)</t>
        </is>
      </c>
      <c r="M499" t="inlineStr">
        <is>
          <t>Commander</t>
        </is>
      </c>
      <c r="N499" t="inlineStr">
        <is>
          <t>Combat: choose two modes, each targeting a different player</t>
        </is>
      </c>
      <c r="O499" t="inlineStr">
        <is>
          <t>Modes make a 2/1 flying token, draw+lose life, or add +1/+1 counters</t>
        </is>
      </c>
      <c r="P499" t="inlineStr">
        <is>
          <t>Flying double strike body</t>
        </is>
      </c>
      <c r="R499" t="n">
        <v>0.34</v>
      </c>
    </row>
    <row r="500" ht="15" customHeight="1" s="148">
      <c r="A500" t="inlineStr">
        <is>
          <t>c0499</t>
        </is>
      </c>
      <c r="B500" t="inlineStr">
        <is>
          <t>Shalai, Voice of Plenty</t>
        </is>
      </c>
      <c r="C500" t="n">
        <v>1</v>
      </c>
      <c r="E500" t="n">
        <v>1</v>
      </c>
      <c r="F500" t="n">
        <v>0</v>
      </c>
      <c r="G500" t="n">
        <v>1</v>
      </c>
      <c r="H500" t="inlineStr">
        <is>
          <t>Multi</t>
        </is>
      </c>
      <c r="I500" t="inlineStr">
        <is>
          <t>Legendary Creature</t>
        </is>
      </c>
      <c r="J500" t="inlineStr">
        <is>
          <t>B2</t>
        </is>
      </c>
      <c r="K500" t="n">
        <v>4</v>
      </c>
      <c r="L500" t="inlineStr">
        <is>
          <t>Flying
You, planeswalkers you control, and other creatures you control have hexproof.
{4}{G}{G}: Put a +1/+1 counter on each creature you control.
(3/4)</t>
        </is>
      </c>
      <c r="M500" t="inlineStr">
        <is>
          <t>Protection</t>
        </is>
      </c>
      <c r="N500" t="inlineStr">
        <is>
          <t>You, your planeswalkers, and your other creatures can't be targeted by opponents</t>
        </is>
      </c>
      <c r="O500" t="inlineStr">
        <is>
          <t>Pay {4}{G}{G} to put a +1/+1 counter on each creature you control</t>
        </is>
      </c>
      <c r="R500" t="n">
        <v>1.16</v>
      </c>
    </row>
    <row r="501" ht="15" customHeight="1" s="148">
      <c r="A501" t="inlineStr">
        <is>
          <t>c0500</t>
        </is>
      </c>
      <c r="B501" t="inlineStr">
        <is>
          <t>Sidar Kondo of Jamuraa</t>
        </is>
      </c>
      <c r="C501" t="n">
        <v>1</v>
      </c>
      <c r="E501" t="n">
        <v>1</v>
      </c>
      <c r="F501" t="n">
        <v>0</v>
      </c>
      <c r="G501" t="n">
        <v>1</v>
      </c>
      <c r="H501" t="inlineStr">
        <is>
          <t>Multi</t>
        </is>
      </c>
      <c r="I501" t="inlineStr">
        <is>
          <t>Legendary Creature</t>
        </is>
      </c>
      <c r="J501" t="inlineStr">
        <is>
          <t>B2</t>
        </is>
      </c>
      <c r="K501" t="n">
        <v>4</v>
      </c>
      <c r="L501" t="inlineStr">
        <is>
          <t>Flanking (Whenever a creature without flanking blocks this creature, the blocking creature gets -1/-1 until end of turn.)
Creatures your opponents control without flying or reach can't block creatures with power 2 or less.
Partner (You can have two commanders if both have partner.)
(2/5)</t>
        </is>
      </c>
      <c r="M501" t="inlineStr">
        <is>
          <t>Evasion</t>
        </is>
      </c>
      <c r="N501" t="inlineStr">
        <is>
          <t>Your creatures with power 2 or less can't be blocked by creatures without flying or reach</t>
        </is>
      </c>
      <c r="O501" t="inlineStr">
        <is>
          <t>Can have two commanders if paired with another partner commander</t>
        </is>
      </c>
      <c r="R501" t="n">
        <v>0.28</v>
      </c>
    </row>
    <row r="502" ht="15" customHeight="1" s="148">
      <c r="A502" t="inlineStr">
        <is>
          <t>c0501</t>
        </is>
      </c>
      <c r="B502" t="inlineStr">
        <is>
          <t>Silverquill Charm</t>
        </is>
      </c>
      <c r="C502" t="n">
        <v>1</v>
      </c>
      <c r="E502" t="n">
        <v>1</v>
      </c>
      <c r="F502" t="n">
        <v>0</v>
      </c>
      <c r="G502" t="n">
        <v>1</v>
      </c>
      <c r="H502" t="inlineStr">
        <is>
          <t>Multi</t>
        </is>
      </c>
      <c r="I502" t="inlineStr">
        <is>
          <t>Instant</t>
        </is>
      </c>
      <c r="J502" t="inlineStr">
        <is>
          <t>B2</t>
        </is>
      </c>
      <c r="K502" t="n">
        <v>2</v>
      </c>
      <c r="L502" t="inlineStr">
        <is>
          <t>Choose one —
• Put two +1/+1 counters on target creature.
• Exile target creature with power 2 or less.
• Each opponent loses 3 life and you gain 3 life.</t>
        </is>
      </c>
      <c r="M502" t="inlineStr">
        <is>
          <t>Removal</t>
        </is>
      </c>
      <c r="N502" t="inlineStr">
        <is>
          <t>Choose one — exile target creature with power 2 or less</t>
        </is>
      </c>
      <c r="O502" t="inlineStr">
        <is>
          <t>Or put two +1/+1 counters on a creature, or drain each opponent for 3</t>
        </is>
      </c>
      <c r="R502" t="n">
        <v>0.23</v>
      </c>
    </row>
    <row r="503" ht="15" customHeight="1" s="148">
      <c r="A503" t="inlineStr">
        <is>
          <t>c0502</t>
        </is>
      </c>
      <c r="B503" t="inlineStr">
        <is>
          <t>Smaug, Wicked Worm</t>
        </is>
      </c>
      <c r="C503" t="n">
        <v>1</v>
      </c>
      <c r="E503" t="n">
        <v>0</v>
      </c>
      <c r="F503" t="n">
        <v>1</v>
      </c>
      <c r="G503" t="n">
        <v>0</v>
      </c>
      <c r="H503" t="inlineStr">
        <is>
          <t>Multi</t>
        </is>
      </c>
      <c r="I503" t="inlineStr">
        <is>
          <t>Legendary Creature</t>
        </is>
      </c>
      <c r="J503" t="inlineStr">
        <is>
          <t>B2</t>
        </is>
      </c>
      <c r="K503" t="n">
        <v>5</v>
      </c>
      <c r="L503" t="inlineStr">
        <is>
          <t>Flying
When Smaug enters, create X tapped Treasure tokens, where X is the number of artifacts your opponents control.
Whenever you cast a spell, if mana from a Treasure was spent to cast it, you draw a card and lose 1 life.
(5/5)</t>
        </is>
      </c>
      <c r="M503" t="inlineStr">
        <is>
          <t>Finisher</t>
        </is>
      </c>
      <c r="N503" t="inlineStr">
        <is>
          <t>Enters: create a tapped Treasure for each artifact your opponents control</t>
        </is>
      </c>
      <c r="O503" t="inlineStr">
        <is>
          <t>Whenever you cast a spell with Treasure mana, draw a card and lose 1 life</t>
        </is>
      </c>
      <c r="P503" t="inlineStr">
        <is>
          <t>5/5 flying body</t>
        </is>
      </c>
      <c r="R503" t="n">
        <v>11.65</v>
      </c>
    </row>
    <row r="504" ht="15" customHeight="1" s="148">
      <c r="A504" t="inlineStr">
        <is>
          <t>c0503</t>
        </is>
      </c>
      <c r="B504" t="inlineStr">
        <is>
          <t>Soulherder</t>
        </is>
      </c>
      <c r="C504" t="n">
        <v>1</v>
      </c>
      <c r="E504" t="n">
        <v>1</v>
      </c>
      <c r="F504" t="n">
        <v>0</v>
      </c>
      <c r="G504" t="n">
        <v>1</v>
      </c>
      <c r="H504" t="inlineStr">
        <is>
          <t>Multi</t>
        </is>
      </c>
      <c r="I504" t="inlineStr">
        <is>
          <t>Creature</t>
        </is>
      </c>
      <c r="J504" t="inlineStr">
        <is>
          <t>B2</t>
        </is>
      </c>
      <c r="K504" t="n">
        <v>3</v>
      </c>
      <c r="L504" t="inlineStr">
        <is>
          <t>Whenever a creature is exiled from the battlefield, put a +1/+1 counter on this creature.
At the beginning of your end step, you may exile another target creature you control, then return that card to the battlefield under its owner's control.
(1/1)</t>
        </is>
      </c>
      <c r="M504" t="inlineStr">
        <is>
          <t>Blink</t>
        </is>
      </c>
      <c r="N504" t="inlineStr">
        <is>
          <t>End step: may exile then return another target creature you control</t>
        </is>
      </c>
      <c r="O504" t="inlineStr">
        <is>
          <t>Gets a +1/+1 counter whenever a creature is exiled from the battlefield</t>
        </is>
      </c>
      <c r="R504" t="n">
        <v>1.93</v>
      </c>
    </row>
    <row r="505" ht="15" customHeight="1" s="148">
      <c r="A505" t="inlineStr">
        <is>
          <t>c0504</t>
        </is>
      </c>
      <c r="B505" t="inlineStr">
        <is>
          <t>Stadium Tidalmage</t>
        </is>
      </c>
      <c r="C505" t="n">
        <v>1</v>
      </c>
      <c r="E505" t="n">
        <v>0</v>
      </c>
      <c r="F505" t="n">
        <v>1</v>
      </c>
      <c r="G505" t="n">
        <v>0</v>
      </c>
      <c r="H505" t="inlineStr">
        <is>
          <t>Multi</t>
        </is>
      </c>
      <c r="I505" t="inlineStr">
        <is>
          <t>Creature</t>
        </is>
      </c>
      <c r="J505" t="inlineStr">
        <is>
          <t>B2</t>
        </is>
      </c>
      <c r="K505" t="n">
        <v>4</v>
      </c>
      <c r="L505" t="inlineStr">
        <is>
          <t>Whenever this creature enters or attacks, you may draw a card. If you do, discard a card.
(4/4)</t>
        </is>
      </c>
      <c r="M505" t="inlineStr">
        <is>
          <t>Discard/Looting</t>
        </is>
      </c>
      <c r="N505" t="inlineStr">
        <is>
          <t>Whenever this creature enters or attacks, you may draw a card, then discard a card</t>
        </is>
      </c>
      <c r="O505" t="inlineStr">
        <is>
          <t>4/4 body</t>
        </is>
      </c>
      <c r="R505" t="n">
        <v>0.06</v>
      </c>
    </row>
    <row r="506" ht="15" customHeight="1" s="148">
      <c r="A506" t="inlineStr">
        <is>
          <t>c0505</t>
        </is>
      </c>
      <c r="B506" t="inlineStr">
        <is>
          <t>Tam, Observant Sequencer // Deep Sight</t>
        </is>
      </c>
      <c r="C506" t="n">
        <v>1</v>
      </c>
      <c r="E506" t="n">
        <v>0</v>
      </c>
      <c r="F506" t="n">
        <v>1</v>
      </c>
      <c r="G506" t="n">
        <v>0</v>
      </c>
      <c r="H506" t="inlineStr">
        <is>
          <t>Multi</t>
        </is>
      </c>
      <c r="I506" t="inlineStr">
        <is>
          <t>Legendary Creature</t>
        </is>
      </c>
      <c r="J506" t="inlineStr">
        <is>
          <t>B2</t>
        </is>
      </c>
      <c r="K506" t="n">
        <v>4</v>
      </c>
      <c r="L506" t="inlineStr">
        <is>
          <t>Tam, Observant Sequencer {2}{G}{U} — Legendary Creature — Gorgon Wizard (4/3)
Landfall — Whenever a land you control enters, Tam becomes prepared. (While it's prepared, you may cast a copy of its spell. Doing so unprepares it.)
//
Deep Sight {G}{U} — Sorcery
You draw a card and gain 1 life.</t>
        </is>
      </c>
      <c r="M506" t="inlineStr">
        <is>
          <t>Card Draw</t>
        </is>
      </c>
      <c r="N506" t="inlineStr">
        <is>
          <t>Landfall — whenever a land you control enters, Tam becomes prepared and you may cast a copy of its spell</t>
        </is>
      </c>
      <c r="O506" t="inlineStr">
        <is>
          <t>Deep Sight: draw a card and gain 1 life</t>
        </is>
      </c>
      <c r="R506" t="n">
        <v>0.29</v>
      </c>
    </row>
    <row r="507" ht="15" customHeight="1" s="148">
      <c r="A507" t="inlineStr">
        <is>
          <t>c0506</t>
        </is>
      </c>
      <c r="B507" t="inlineStr">
        <is>
          <t>Tatyova, Benthic Druid</t>
        </is>
      </c>
      <c r="C507" t="n">
        <v>1</v>
      </c>
      <c r="E507" t="n">
        <v>1</v>
      </c>
      <c r="F507" t="n">
        <v>0</v>
      </c>
      <c r="G507" t="n">
        <v>0</v>
      </c>
      <c r="H507" t="inlineStr">
        <is>
          <t>Multi</t>
        </is>
      </c>
      <c r="I507" t="inlineStr">
        <is>
          <t>Legendary Creature</t>
        </is>
      </c>
      <c r="J507" t="inlineStr">
        <is>
          <t>B2</t>
        </is>
      </c>
      <c r="K507" t="n">
        <v>5</v>
      </c>
      <c r="L507" t="inlineStr">
        <is>
          <t>Landfall — Whenever a land you control enters, you gain 1 life and draw a card.
(3/3)</t>
        </is>
      </c>
      <c r="M507" t="inlineStr">
        <is>
          <t>Card Draw</t>
        </is>
      </c>
      <c r="N507" t="inlineStr">
        <is>
          <t>Landfall — Whenever a land you control enters, you gain 1 life and draw a card</t>
        </is>
      </c>
      <c r="R507" t="n">
        <v>0.15</v>
      </c>
    </row>
    <row r="508" ht="15" customHeight="1" s="148">
      <c r="A508" t="inlineStr">
        <is>
          <t>c0507</t>
        </is>
      </c>
      <c r="B508" t="inlineStr">
        <is>
          <t>Teysa Karlov</t>
        </is>
      </c>
      <c r="C508" t="n">
        <v>1</v>
      </c>
      <c r="E508" t="n">
        <v>1</v>
      </c>
      <c r="F508" t="n">
        <v>0</v>
      </c>
      <c r="G508" t="n">
        <v>1</v>
      </c>
      <c r="H508" t="inlineStr">
        <is>
          <t>Multi</t>
        </is>
      </c>
      <c r="I508" t="inlineStr">
        <is>
          <t>Legendary Creature</t>
        </is>
      </c>
      <c r="J508" t="inlineStr">
        <is>
          <t>B3</t>
        </is>
      </c>
      <c r="K508" t="n">
        <v>4</v>
      </c>
      <c r="L508" t="inlineStr">
        <is>
          <t>If a creature dying causes a triggered ability of a permanent you control to trigger, that ability triggers an additional time.
Creature tokens you control have vigilance and lifelink.
(2/4)</t>
        </is>
      </c>
      <c r="M508" t="inlineStr">
        <is>
          <t>Aristocrats Payoff</t>
        </is>
      </c>
      <c r="N508" t="inlineStr">
        <is>
          <t>If a creature dying causes a triggered ability of a permanent you control to trigger, that ability triggers an additiona</t>
        </is>
      </c>
      <c r="R508" t="n">
        <v>2.67</v>
      </c>
    </row>
    <row r="509" ht="15" customHeight="1" s="148">
      <c r="A509" t="inlineStr">
        <is>
          <t>c0508</t>
        </is>
      </c>
      <c r="B509" t="inlineStr">
        <is>
          <t>Thorin Oakenshield</t>
        </is>
      </c>
      <c r="C509" t="n">
        <v>1</v>
      </c>
      <c r="E509" t="n">
        <v>0</v>
      </c>
      <c r="F509" t="n">
        <v>1</v>
      </c>
      <c r="G509" t="n">
        <v>0</v>
      </c>
      <c r="H509" t="inlineStr">
        <is>
          <t>Multi</t>
        </is>
      </c>
      <c r="I509" t="inlineStr">
        <is>
          <t>Legendary Creature</t>
        </is>
      </c>
      <c r="J509" t="inlineStr">
        <is>
          <t>B2</t>
        </is>
      </c>
      <c r="K509" t="n">
        <v>2</v>
      </c>
      <c r="L509" t="inlineStr">
        <is>
          <t>Trample
Storied (If you control three or more artifacts, legendaries, and/or Sagas, you have an enduring story for the rest of the game.)
As long as you have an enduring story, artifacts and creatures you control have ward {1}.
(3/2)</t>
        </is>
      </c>
      <c r="M509" t="inlineStr">
        <is>
          <t>Protection</t>
        </is>
      </c>
      <c r="N509" t="inlineStr">
        <is>
          <t>Storied — once you control three or more artifacts, legendaries and/or Sagas, you have an enduring story for the rest of the game</t>
        </is>
      </c>
      <c r="O509" t="inlineStr">
        <is>
          <t>While you have an enduring story, artifacts and creatures you control have ward {1}</t>
        </is>
      </c>
      <c r="P509" t="inlineStr">
        <is>
          <t>3/2 trample body</t>
        </is>
      </c>
      <c r="R509" t="n">
        <v>0.24</v>
      </c>
    </row>
    <row r="510" ht="15" customHeight="1" s="148">
      <c r="A510" t="inlineStr">
        <is>
          <t>c0509</t>
        </is>
      </c>
      <c r="B510" t="inlineStr">
        <is>
          <t>Thranduil, the Elvenking</t>
        </is>
      </c>
      <c r="C510" t="n">
        <v>1</v>
      </c>
      <c r="E510" t="n">
        <v>0</v>
      </c>
      <c r="F510" t="n">
        <v>1</v>
      </c>
      <c r="G510" t="n">
        <v>0</v>
      </c>
      <c r="H510" t="inlineStr">
        <is>
          <t>Multi</t>
        </is>
      </c>
      <c r="I510" t="inlineStr">
        <is>
          <t>Legendary Creature</t>
        </is>
      </c>
      <c r="J510" t="inlineStr">
        <is>
          <t>B2</t>
        </is>
      </c>
      <c r="K510" t="n">
        <v>5</v>
      </c>
      <c r="L510" t="inlineStr">
        <is>
          <t>Thranduil, the Elvenking {2}{B}{G}{U} — Legendary Creature — Elf Noble (5/6)
Thranduil has all activated abilities of all Elf cards in your graveyard.
Whenever another legendary Elf you control enters, draw two cards, then discard a card.</t>
        </is>
      </c>
      <c r="M510" t="inlineStr">
        <is>
          <t>Card Draw</t>
        </is>
      </c>
      <c r="N510" t="inlineStr">
        <is>
          <t>Whenever another legendary Elf you control enters, draw two cards, then discard a card</t>
        </is>
      </c>
      <c r="O510" t="inlineStr">
        <is>
          <t>Thranduil has all activated abilities of all Elf cards in your graveyard</t>
        </is>
      </c>
      <c r="R510" t="n">
        <v>0.5600000000000001</v>
      </c>
    </row>
    <row r="511" ht="15" customHeight="1" s="148">
      <c r="A511" t="inlineStr">
        <is>
          <t>c0510</t>
        </is>
      </c>
      <c r="B511" t="inlineStr">
        <is>
          <t>Thrilling Discovery</t>
        </is>
      </c>
      <c r="C511" t="n">
        <v>1</v>
      </c>
      <c r="E511" t="n">
        <v>1</v>
      </c>
      <c r="F511" t="n">
        <v>0</v>
      </c>
      <c r="G511" t="n">
        <v>0</v>
      </c>
      <c r="H511" t="inlineStr">
        <is>
          <t>Multi</t>
        </is>
      </c>
      <c r="I511" t="inlineStr">
        <is>
          <t>Sorcery</t>
        </is>
      </c>
      <c r="J511" t="inlineStr">
        <is>
          <t>B2</t>
        </is>
      </c>
      <c r="K511" t="n">
        <v>2</v>
      </c>
      <c r="L511" t="inlineStr">
        <is>
          <t>You gain 2 life. Then you may discard two cards. If you do, draw three cards.</t>
        </is>
      </c>
      <c r="M511" t="inlineStr">
        <is>
          <t>Card Draw</t>
        </is>
      </c>
      <c r="N511" t="inlineStr">
        <is>
          <t>Gain 2 life</t>
        </is>
      </c>
      <c r="O511" t="inlineStr">
        <is>
          <t>May discard two cards to draw three</t>
        </is>
      </c>
      <c r="R511" t="n">
        <v>0.39</v>
      </c>
    </row>
    <row r="512" ht="15" customHeight="1" s="148">
      <c r="A512" t="inlineStr">
        <is>
          <t>c0511</t>
        </is>
      </c>
      <c r="B512" t="inlineStr">
        <is>
          <t>Tidus, Yuna's Guardian</t>
        </is>
      </c>
      <c r="C512" t="n">
        <v>1</v>
      </c>
      <c r="E512" t="n">
        <v>1</v>
      </c>
      <c r="F512" t="n">
        <v>0</v>
      </c>
      <c r="G512" t="n">
        <v>1</v>
      </c>
      <c r="H512" t="inlineStr">
        <is>
          <t>Multi</t>
        </is>
      </c>
      <c r="I512" t="inlineStr">
        <is>
          <t>Legendary Creature</t>
        </is>
      </c>
      <c r="J512" t="inlineStr">
        <is>
          <t>B2</t>
        </is>
      </c>
      <c r="K512" t="n">
        <v>3</v>
      </c>
      <c r="L512" t="inlineStr">
        <is>
          <t>At the beginning of combat on your turn, you may move a counter from target creature you control onto a second target creature you control.
Cheer — Whenever one or more creatures you control with counters on them deal combat damage to a player, you may draw a card and proliferate. Do this only once each turn.
(3/3)</t>
        </is>
      </c>
      <c r="M512" t="inlineStr">
        <is>
          <t>Proliferate</t>
        </is>
      </c>
      <c r="N512" t="inlineStr">
        <is>
          <t>Moves a counter from one creature you control to another</t>
        </is>
      </c>
      <c r="O512" t="inlineStr">
        <is>
          <t>Draw a card and proliferate when countered creatures deal damage</t>
        </is>
      </c>
      <c r="R512" t="n">
        <v>2.65</v>
      </c>
    </row>
    <row r="513" ht="15" customHeight="1" s="148">
      <c r="A513" t="inlineStr">
        <is>
          <t>c0512</t>
        </is>
      </c>
      <c r="B513" t="inlineStr">
        <is>
          <t>Tom, Bert, and William</t>
        </is>
      </c>
      <c r="C513" t="n">
        <v>1</v>
      </c>
      <c r="E513" t="n">
        <v>1</v>
      </c>
      <c r="F513" t="n">
        <v>0</v>
      </c>
      <c r="G513" t="n">
        <v>0</v>
      </c>
      <c r="H513" t="inlineStr">
        <is>
          <t>Multi</t>
        </is>
      </c>
      <c r="I513" t="inlineStr">
        <is>
          <t>Legendary Creature</t>
        </is>
      </c>
      <c r="J513" t="inlineStr">
        <is>
          <t>B2</t>
        </is>
      </c>
      <c r="K513" t="n">
        <v>5</v>
      </c>
      <c r="L513" t="inlineStr">
        <is>
          <t>{1}, Sacrifice another creature: Draw cards equal to the sacrificed creature's power, then discard a card.
When Tom, Bert, and William die, if they were a creature, return them to the battlefield. They're an artifact. (They're no longer a creature.)
(5/5)</t>
        </is>
      </c>
      <c r="M513" t="inlineStr">
        <is>
          <t>Card Draw</t>
        </is>
      </c>
      <c r="N513" t="inlineStr">
        <is>
          <t>{1}, sacrifice another creature: draw cards equal to its power, then discard a card</t>
        </is>
      </c>
      <c r="O513" t="inlineStr">
        <is>
          <t>When they die as a creature, they return to the battlefield as an artifact</t>
        </is>
      </c>
      <c r="R513" t="n">
        <v>0.3</v>
      </c>
    </row>
    <row r="514" ht="15" customHeight="1" s="148">
      <c r="A514" t="inlineStr">
        <is>
          <t>c0513</t>
        </is>
      </c>
      <c r="B514" t="inlineStr">
        <is>
          <t>Tranquil Cove</t>
        </is>
      </c>
      <c r="C514" t="n">
        <v>0</v>
      </c>
      <c r="E514" t="n">
        <v>0</v>
      </c>
      <c r="F514" t="n">
        <v>0</v>
      </c>
      <c r="G514" t="n">
        <v>0</v>
      </c>
      <c r="H514" t="inlineStr">
        <is>
          <t>Multi</t>
        </is>
      </c>
      <c r="I514" t="inlineStr">
        <is>
          <t>Land</t>
        </is>
      </c>
      <c r="J514" t="inlineStr">
        <is>
          <t>B2</t>
        </is>
      </c>
      <c r="K514" t="n">
        <v>0</v>
      </c>
      <c r="L514" t="inlineStr">
        <is>
          <t>This land enters tapped.
When this land enters, you gain 1 life.
{T}: Add {W} or {U}.</t>
        </is>
      </c>
      <c r="M514" t="inlineStr">
        <is>
          <t>Land</t>
        </is>
      </c>
      <c r="N514" t="inlineStr">
        <is>
          <t>This land enters tapped. / When this land enters, you gain 1 life. / {</t>
        </is>
      </c>
      <c r="R514" t="n">
        <v>0.15</v>
      </c>
    </row>
    <row r="515" ht="15" customHeight="1" s="148">
      <c r="A515" t="inlineStr">
        <is>
          <t>c0514</t>
        </is>
      </c>
      <c r="B515" t="inlineStr">
        <is>
          <t>Tranquil Expanse</t>
        </is>
      </c>
      <c r="C515" t="n">
        <v>2</v>
      </c>
      <c r="E515" t="n">
        <v>1</v>
      </c>
      <c r="F515" t="n">
        <v>1</v>
      </c>
      <c r="G515" t="n">
        <v>1</v>
      </c>
      <c r="H515" t="inlineStr">
        <is>
          <t>Multi</t>
        </is>
      </c>
      <c r="I515" t="inlineStr">
        <is>
          <t>Land</t>
        </is>
      </c>
      <c r="J515" t="inlineStr">
        <is>
          <t>B2</t>
        </is>
      </c>
      <c r="K515" t="n">
        <v>0</v>
      </c>
      <c r="L515" t="inlineStr">
        <is>
          <t>This land enters tapped.
{T}: Add {G} or {W}.</t>
        </is>
      </c>
      <c r="M515" t="inlineStr">
        <is>
          <t>Land</t>
        </is>
      </c>
      <c r="N515" t="inlineStr">
        <is>
          <t>This land enters tapped. / {T}: Add {G} or {W}.</t>
        </is>
      </c>
      <c r="R515" t="n">
        <v>0.1</v>
      </c>
    </row>
    <row r="516" ht="15" customHeight="1" s="148">
      <c r="A516" t="inlineStr">
        <is>
          <t>c0515</t>
        </is>
      </c>
      <c r="B516" t="inlineStr">
        <is>
          <t>Underground River</t>
        </is>
      </c>
      <c r="C516" t="n">
        <v>0</v>
      </c>
      <c r="D516" t="n">
        <v>1</v>
      </c>
      <c r="E516" t="n">
        <v>0</v>
      </c>
      <c r="F516" t="n">
        <v>0</v>
      </c>
      <c r="G516" t="n">
        <v>1</v>
      </c>
      <c r="H516" t="inlineStr">
        <is>
          <t>Multi</t>
        </is>
      </c>
      <c r="I516" t="inlineStr">
        <is>
          <t>Land</t>
        </is>
      </c>
      <c r="J516" t="inlineStr">
        <is>
          <t>B2</t>
        </is>
      </c>
      <c r="K516" t="n">
        <v>0</v>
      </c>
      <c r="L516" t="inlineStr">
        <is>
          <t>{T}: Add {C}.
{T}: Add {U} or {B}. This land deals 1 damage to you.</t>
        </is>
      </c>
      <c r="M516" t="inlineStr">
        <is>
          <t>Land</t>
        </is>
      </c>
      <c r="N516" t="inlineStr">
        <is>
          <t>{T}: Add {C}. / {T}: Add {U} or {B}. This land deals 1 damage to you.</t>
        </is>
      </c>
      <c r="R516" t="n">
        <v>2.39</v>
      </c>
    </row>
    <row r="517" ht="15" customHeight="1" s="148">
      <c r="A517" t="inlineStr">
        <is>
          <t>c0516</t>
        </is>
      </c>
      <c r="B517" t="inlineStr">
        <is>
          <t>Utter End</t>
        </is>
      </c>
      <c r="C517" t="n">
        <v>0</v>
      </c>
      <c r="E517" t="n">
        <v>0</v>
      </c>
      <c r="F517" t="n">
        <v>0</v>
      </c>
      <c r="G517" t="n">
        <v>0</v>
      </c>
      <c r="H517" t="inlineStr">
        <is>
          <t>Multi</t>
        </is>
      </c>
      <c r="I517" t="inlineStr">
        <is>
          <t>Instant</t>
        </is>
      </c>
      <c r="J517" t="inlineStr">
        <is>
          <t>B2</t>
        </is>
      </c>
      <c r="K517" t="n">
        <v>4</v>
      </c>
      <c r="L517" t="inlineStr">
        <is>
          <t>Exile target nonland permanent.</t>
        </is>
      </c>
      <c r="M517" t="inlineStr">
        <is>
          <t>Removal</t>
        </is>
      </c>
      <c r="N517" t="inlineStr">
        <is>
          <t>Exiles target nonland permanent</t>
        </is>
      </c>
      <c r="R517" t="n">
        <v>0.29</v>
      </c>
    </row>
    <row r="518" ht="15" customHeight="1" s="148">
      <c r="A518" t="inlineStr">
        <is>
          <t>c0517</t>
        </is>
      </c>
      <c r="B518" t="inlineStr">
        <is>
          <t>Venerable Warsinger</t>
        </is>
      </c>
      <c r="C518" t="n">
        <v>1</v>
      </c>
      <c r="E518" t="n">
        <v>1</v>
      </c>
      <c r="F518" t="n">
        <v>0</v>
      </c>
      <c r="G518" t="n">
        <v>1</v>
      </c>
      <c r="H518" t="inlineStr">
        <is>
          <t>Multi</t>
        </is>
      </c>
      <c r="I518" t="inlineStr">
        <is>
          <t>Creature</t>
        </is>
      </c>
      <c r="J518" t="inlineStr">
        <is>
          <t>B2</t>
        </is>
      </c>
      <c r="K518" t="n">
        <v>3</v>
      </c>
      <c r="L518" t="inlineStr">
        <is>
          <t>Vigilance, trample
Whenever this creature deals combat damage to a player, you may return target creature card with mana value X or less from your graveyard to the battlefield, where X is the amount of damage this creature dealt to that player.
(3/3)</t>
        </is>
      </c>
      <c r="M518" t="inlineStr">
        <is>
          <t>Recursion</t>
        </is>
      </c>
      <c r="N518" t="inlineStr">
        <is>
          <t>Can attack past blockers while staying untapped</t>
        </is>
      </c>
      <c r="O518" t="inlineStr">
        <is>
          <t>Combat damage to a player returns a creature card from graveyard with MV up to that damage</t>
        </is>
      </c>
      <c r="R518" t="n">
        <v>0.22</v>
      </c>
    </row>
    <row r="519" ht="15" customHeight="1" s="148">
      <c r="A519" t="inlineStr">
        <is>
          <t>c0518</t>
        </is>
      </c>
      <c r="B519" t="inlineStr">
        <is>
          <t>Vindicate</t>
        </is>
      </c>
      <c r="C519" t="n">
        <v>1</v>
      </c>
      <c r="E519" t="n">
        <v>1</v>
      </c>
      <c r="F519" t="n">
        <v>0</v>
      </c>
      <c r="G519" t="n">
        <v>1</v>
      </c>
      <c r="H519" t="inlineStr">
        <is>
          <t>Multi</t>
        </is>
      </c>
      <c r="I519" t="inlineStr">
        <is>
          <t>Sorcery</t>
        </is>
      </c>
      <c r="J519" t="inlineStr">
        <is>
          <t>B2</t>
        </is>
      </c>
      <c r="K519" t="n">
        <v>3</v>
      </c>
      <c r="L519" t="inlineStr">
        <is>
          <t>Destroy target permanent.</t>
        </is>
      </c>
      <c r="M519" t="inlineStr">
        <is>
          <t>Removal</t>
        </is>
      </c>
      <c r="N519" t="inlineStr">
        <is>
          <t>Destroys target permanent of any type</t>
        </is>
      </c>
      <c r="R519" t="n">
        <v>0.76</v>
      </c>
    </row>
    <row r="520" ht="15" customHeight="1" s="148">
      <c r="A520" t="inlineStr">
        <is>
          <t>c0519</t>
        </is>
      </c>
      <c r="B520" t="inlineStr">
        <is>
          <t>Visionary's Dance</t>
        </is>
      </c>
      <c r="C520" t="n">
        <v>1</v>
      </c>
      <c r="E520" t="n">
        <v>0</v>
      </c>
      <c r="F520" t="n">
        <v>1</v>
      </c>
      <c r="G520" t="n">
        <v>0</v>
      </c>
      <c r="H520" t="inlineStr">
        <is>
          <t>Multi</t>
        </is>
      </c>
      <c r="I520" t="inlineStr">
        <is>
          <t>Sorcery</t>
        </is>
      </c>
      <c r="J520" t="inlineStr">
        <is>
          <t>B2</t>
        </is>
      </c>
      <c r="K520" t="n">
        <v>7</v>
      </c>
      <c r="L520" t="inlineStr">
        <is>
          <t>Create two 3/3 blue and red Elemental creature tokens with flying.
{2}, Discard this card: Look at the top two cards of your library. Put one of them into your hand and the other into your graveyard.</t>
        </is>
      </c>
      <c r="M520" t="inlineStr">
        <is>
          <t>Token Producer</t>
        </is>
      </c>
      <c r="N520" t="inlineStr">
        <is>
          <t>Create two 3/3 Elemental tokens with flying</t>
        </is>
      </c>
      <c r="O520" t="inlineStr">
        <is>
          <t>{2}, discard this card: look at the top two cards, put one into your hand and the other into your graveyard</t>
        </is>
      </c>
      <c r="R520" t="n">
        <v>0.12</v>
      </c>
    </row>
    <row r="521" ht="15" customHeight="1" s="148">
      <c r="A521" t="inlineStr">
        <is>
          <t>c0520</t>
        </is>
      </c>
      <c r="B521" t="inlineStr">
        <is>
          <t>Voracious Tome-Skimmer</t>
        </is>
      </c>
      <c r="C521" t="n">
        <v>1</v>
      </c>
      <c r="E521" t="n">
        <v>1</v>
      </c>
      <c r="F521" t="n">
        <v>0</v>
      </c>
      <c r="G521" t="n">
        <v>0</v>
      </c>
      <c r="H521" t="inlineStr">
        <is>
          <t>Multi</t>
        </is>
      </c>
      <c r="I521" t="inlineStr">
        <is>
          <t>Creature</t>
        </is>
      </c>
      <c r="J521" t="inlineStr">
        <is>
          <t>B2</t>
        </is>
      </c>
      <c r="K521" t="n">
        <v>3</v>
      </c>
      <c r="L521" t="inlineStr">
        <is>
          <t>Flying
Whenever you cast a spell during an opponent's turn, you may pay 1 life. If you do, draw a card.
(2/3)</t>
        </is>
      </c>
      <c r="M521" t="inlineStr">
        <is>
          <t>Card Draw</t>
        </is>
      </c>
      <c r="N521" t="inlineStr">
        <is>
          <t>Pay 1 life to draw a card when you cast on opponent's turn</t>
        </is>
      </c>
      <c r="R521" t="n">
        <v>0.31</v>
      </c>
    </row>
    <row r="522" ht="15" customHeight="1" s="148">
      <c r="A522" t="inlineStr">
        <is>
          <t>c0521</t>
        </is>
      </c>
      <c r="B522" t="inlineStr">
        <is>
          <t>Wandering Musicians</t>
        </is>
      </c>
      <c r="C522" t="n">
        <v>0</v>
      </c>
      <c r="E522" t="n">
        <v>0</v>
      </c>
      <c r="F522" t="n">
        <v>0</v>
      </c>
      <c r="G522" t="n">
        <v>0</v>
      </c>
      <c r="H522" t="inlineStr">
        <is>
          <t>Multi</t>
        </is>
      </c>
      <c r="I522" t="inlineStr">
        <is>
          <t>Creature</t>
        </is>
      </c>
      <c r="J522" t="inlineStr">
        <is>
          <t>B2</t>
        </is>
      </c>
      <c r="K522" t="n">
        <v>4</v>
      </c>
      <c r="L522" t="inlineStr">
        <is>
          <t>Whenever this creature attacks, creatures you control get +1/+0 until end of turn.
(2/5)</t>
        </is>
      </c>
      <c r="M522" t="inlineStr">
        <is>
          <t>Lord/Anthem</t>
        </is>
      </c>
      <c r="N522" t="inlineStr">
        <is>
          <t>Whenever it attacks, creatures you control get +1/+0 until end of turn</t>
        </is>
      </c>
      <c r="R522" t="n">
        <v>0.12</v>
      </c>
    </row>
    <row r="523" ht="15" customHeight="1" s="148">
      <c r="A523" t="inlineStr">
        <is>
          <t>c0522</t>
        </is>
      </c>
      <c r="B523" t="inlineStr">
        <is>
          <t>Warleader's Call</t>
        </is>
      </c>
      <c r="C523" t="n">
        <v>0</v>
      </c>
      <c r="E523" t="n">
        <v>0</v>
      </c>
      <c r="F523" t="n">
        <v>0</v>
      </c>
      <c r="G523" t="n">
        <v>0</v>
      </c>
      <c r="H523" t="inlineStr">
        <is>
          <t>Multi</t>
        </is>
      </c>
      <c r="I523" t="inlineStr">
        <is>
          <t>Enchantment</t>
        </is>
      </c>
      <c r="J523" t="inlineStr">
        <is>
          <t>B3</t>
        </is>
      </c>
      <c r="K523" t="n">
        <v>3</v>
      </c>
      <c r="L523" t="inlineStr">
        <is>
          <t>Creatures you control get +1/+1.
Whenever a creature you control enters, this enchantment deals 1 damage to each opponent.</t>
        </is>
      </c>
      <c r="M523" t="inlineStr">
        <is>
          <t>Lord/Anthem</t>
        </is>
      </c>
      <c r="N523" t="inlineStr">
        <is>
          <t>Creatures you control get +1/+1</t>
        </is>
      </c>
      <c r="O523" t="inlineStr">
        <is>
          <t>Whenever a creature you control enters, this enchantment deals 1 damage to each opponent</t>
        </is>
      </c>
      <c r="R523" t="n">
        <v>2.98</v>
      </c>
    </row>
    <row r="524" ht="15" customHeight="1" s="148">
      <c r="A524" t="inlineStr">
        <is>
          <t>c0523</t>
        </is>
      </c>
      <c r="B524" t="inlineStr">
        <is>
          <t>Wary Farmer</t>
        </is>
      </c>
      <c r="C524" t="n">
        <v>1</v>
      </c>
      <c r="E524" t="n">
        <v>0</v>
      </c>
      <c r="F524" t="n">
        <v>1</v>
      </c>
      <c r="G524" t="n">
        <v>0</v>
      </c>
      <c r="H524" t="inlineStr">
        <is>
          <t>Multi</t>
        </is>
      </c>
      <c r="I524" t="inlineStr">
        <is>
          <t>Creature</t>
        </is>
      </c>
      <c r="J524" t="inlineStr">
        <is>
          <t>B2</t>
        </is>
      </c>
      <c r="K524" t="n">
        <v>3</v>
      </c>
      <c r="L524" t="inlineStr">
        <is>
          <t>At the beginning of your end step, if another creature entered the battlefield under your control this turn, surveil 1. (Look at the top card of your library. You may put it into your graveyard.)
(3/3)</t>
        </is>
      </c>
      <c r="M524" t="inlineStr">
        <is>
          <t>Card Selection</t>
        </is>
      </c>
      <c r="N524" t="inlineStr">
        <is>
          <t>At the beginning of your end step, surveil 1 if another creature entered under your control this turn</t>
        </is>
      </c>
      <c r="R524" t="n">
        <v>0.14</v>
      </c>
    </row>
    <row r="525" ht="15" customHeight="1" s="148">
      <c r="A525" t="inlineStr">
        <is>
          <t>c0524</t>
        </is>
      </c>
      <c r="B525" t="inlineStr">
        <is>
          <t>Wavesifter</t>
        </is>
      </c>
      <c r="C525" t="n">
        <v>1</v>
      </c>
      <c r="E525" t="n">
        <v>1</v>
      </c>
      <c r="F525" t="n">
        <v>0</v>
      </c>
      <c r="G525" t="n">
        <v>0</v>
      </c>
      <c r="H525" t="inlineStr">
        <is>
          <t>Multi</t>
        </is>
      </c>
      <c r="I525" t="inlineStr">
        <is>
          <t>Creature</t>
        </is>
      </c>
      <c r="J525" t="inlineStr">
        <is>
          <t>B2</t>
        </is>
      </c>
      <c r="K525" t="n">
        <v>5</v>
      </c>
      <c r="L525" t="inlineStr">
        <is>
          <t>Flying
When this creature enters, investigate twice. (To investigate, create a Clue token. It's an artifact with "{2}, Sacrifice this token: Draw a card.")
Evoke {G}{U} (You may cast this spell for its evoke cost. If you do, it's sacrificed when it enters.)
(3/2)</t>
        </is>
      </c>
      <c r="M525" t="inlineStr">
        <is>
          <t>Card Draw</t>
        </is>
      </c>
      <c r="N525" t="inlineStr">
        <is>
          <t>Creates two Clue tokens (sac, {2}: draw a card)</t>
        </is>
      </c>
      <c r="O525" t="inlineStr">
        <is>
          <t>Can be cast for its evoke cost, then sacrificed</t>
        </is>
      </c>
      <c r="R525" t="n">
        <v>0.29</v>
      </c>
    </row>
    <row r="526" ht="15" customHeight="1" s="148">
      <c r="A526" t="inlineStr">
        <is>
          <t>c0525</t>
        </is>
      </c>
      <c r="B526" t="inlineStr">
        <is>
          <t>Wistfulness</t>
        </is>
      </c>
      <c r="C526" t="n">
        <v>1</v>
      </c>
      <c r="E526" t="n">
        <v>0</v>
      </c>
      <c r="F526" t="n">
        <v>1</v>
      </c>
      <c r="G526" t="n">
        <v>0</v>
      </c>
      <c r="H526" t="inlineStr">
        <is>
          <t>Multi</t>
        </is>
      </c>
      <c r="I526" t="inlineStr">
        <is>
          <t>Creature</t>
        </is>
      </c>
      <c r="J526" t="inlineStr">
        <is>
          <t>B2</t>
        </is>
      </c>
      <c r="K526" t="n">
        <v>5</v>
      </c>
      <c r="L526" t="inlineStr">
        <is>
          <t>Wistfulness {3}{G/U}{G/U} — Creature — Elemental Incarnation (6/5)
When this creature enters, if {G}{G} was spent to cast it, exile target artifact or enchantment an opponent controls.
When this creature enters, if {U}{U} was spent to cast it, draw two cards, then discard a card.
Evoke {G/U}{G/U} (You may cast this spell for its evoke cost. If you do, it's sacrificed when it enters.)</t>
        </is>
      </c>
      <c r="M526" t="inlineStr">
        <is>
          <t>Artifact/Enchantment Removal</t>
        </is>
      </c>
      <c r="N526" t="inlineStr">
        <is>
          <t>Enters with {G}{G} spent: exile target artifact or enchantment an opponent controls</t>
        </is>
      </c>
      <c r="O526" t="inlineStr">
        <is>
          <t>Enters with {U}{U} spent: draw two cards</t>
        </is>
      </c>
      <c r="R526" t="n">
        <v>4.23</v>
      </c>
    </row>
    <row r="527" ht="15" customHeight="1" s="148">
      <c r="A527" t="inlineStr">
        <is>
          <t>c0526</t>
        </is>
      </c>
      <c r="B527" t="inlineStr">
        <is>
          <t>Yavimaya Coast</t>
        </is>
      </c>
      <c r="C527" t="n">
        <v>0</v>
      </c>
      <c r="E527" t="n">
        <v>0</v>
      </c>
      <c r="F527" t="n">
        <v>0</v>
      </c>
      <c r="G527" t="n">
        <v>0</v>
      </c>
      <c r="H527" t="inlineStr">
        <is>
          <t>Multi</t>
        </is>
      </c>
      <c r="I527" t="inlineStr">
        <is>
          <t>Land</t>
        </is>
      </c>
      <c r="J527" t="inlineStr">
        <is>
          <t>B2</t>
        </is>
      </c>
      <c r="K527" t="n">
        <v>0</v>
      </c>
      <c r="L527" t="inlineStr">
        <is>
          <t>{T}: Add {C}.
{T}: Add {G} or {U}. This land deals 1 damage to you.</t>
        </is>
      </c>
      <c r="M527" t="inlineStr">
        <is>
          <t>Land</t>
        </is>
      </c>
      <c r="N527" t="inlineStr">
        <is>
          <t>{T}: Add {C}. / {T}: Add {G} or {U}. This land deals 1 damage to you.</t>
        </is>
      </c>
      <c r="R527" t="n">
        <v>0.36</v>
      </c>
    </row>
    <row r="528" ht="15" customHeight="1" s="148">
      <c r="A528" t="inlineStr">
        <is>
          <t>c0527</t>
        </is>
      </c>
      <c r="B528" t="inlineStr">
        <is>
          <t>Zaffai and the Tempests</t>
        </is>
      </c>
      <c r="C528" t="n">
        <v>1</v>
      </c>
      <c r="E528" t="n">
        <v>0</v>
      </c>
      <c r="F528" t="n">
        <v>1</v>
      </c>
      <c r="G528" t="n">
        <v>0</v>
      </c>
      <c r="H528" t="inlineStr">
        <is>
          <t>Multi</t>
        </is>
      </c>
      <c r="I528" t="inlineStr">
        <is>
          <t>Legendary Creature</t>
        </is>
      </c>
      <c r="J528" t="inlineStr">
        <is>
          <t>B2</t>
        </is>
      </c>
      <c r="K528" t="n">
        <v>7</v>
      </c>
      <c r="L528" t="inlineStr">
        <is>
          <t>Once during each of your turns, you may cast an instant or sorcery spell from your hand without paying its mana cost.
(5/7)</t>
        </is>
      </c>
      <c r="M528" t="inlineStr">
        <is>
          <t>Cost Reducer</t>
        </is>
      </c>
      <c r="N528" t="inlineStr">
        <is>
          <t>Once during each of your turns, cast an instant or sorcery from your hand without paying its mana cost</t>
        </is>
      </c>
      <c r="O528" t="inlineStr">
        <is>
          <t>5/7 body</t>
        </is>
      </c>
      <c r="R528" t="n">
        <v>0.23</v>
      </c>
    </row>
    <row r="529" ht="15" customHeight="1" s="148">
      <c r="A529" t="inlineStr">
        <is>
          <t>c0528</t>
        </is>
      </c>
      <c r="B529" t="inlineStr">
        <is>
          <t>Abrade</t>
        </is>
      </c>
      <c r="C529" t="n">
        <v>1</v>
      </c>
      <c r="E529" t="n">
        <v>1</v>
      </c>
      <c r="F529" t="n">
        <v>0</v>
      </c>
      <c r="G529" t="n">
        <v>1</v>
      </c>
      <c r="H529" t="inlineStr">
        <is>
          <t>R</t>
        </is>
      </c>
      <c r="I529" t="inlineStr">
        <is>
          <t>Instant</t>
        </is>
      </c>
      <c r="J529" t="inlineStr">
        <is>
          <t>B2</t>
        </is>
      </c>
      <c r="K529" t="n">
        <v>2</v>
      </c>
      <c r="L529" t="inlineStr">
        <is>
          <t>Choose one —
• Abrade deals 3 damage to target creature.
• Destroy target artifact.</t>
        </is>
      </c>
      <c r="M529" t="inlineStr">
        <is>
          <t>Removal</t>
        </is>
      </c>
      <c r="N529" t="inlineStr">
        <is>
          <t>Deals 3 damage to target creature, or destroys target artifact</t>
        </is>
      </c>
      <c r="R529" t="n">
        <v>0.34</v>
      </c>
    </row>
    <row r="530" ht="15" customHeight="1" s="148">
      <c r="A530" t="inlineStr">
        <is>
          <t>c0529</t>
        </is>
      </c>
      <c r="B530" t="inlineStr">
        <is>
          <t>Advanced Reconstruction</t>
        </is>
      </c>
      <c r="C530" t="n">
        <v>1</v>
      </c>
      <c r="E530" t="n">
        <v>1</v>
      </c>
      <c r="F530" t="n">
        <v>0</v>
      </c>
      <c r="G530" t="n">
        <v>1</v>
      </c>
      <c r="H530" t="inlineStr">
        <is>
          <t>R</t>
        </is>
      </c>
      <c r="I530" t="inlineStr">
        <is>
          <t>Enchantment</t>
        </is>
      </c>
      <c r="J530" t="inlineStr">
        <is>
          <t>B2</t>
        </is>
      </c>
      <c r="K530" t="n">
        <v>4</v>
      </c>
      <c r="L530" t="inlineStr">
        <is>
          <t>(Gain the next level as a sorcery to add its ability.)
At the beginning of your first main phase, mill a card, then exile a card from your graveyard at random. You may play the exiled card this turn.
{1}{R}: Level 2
Whenever one or more cards leave your graveyard, this Class deals 2 damage to each opponent.
{1}{R}: Level 3
Spells you cast from anywhere other than your hand cost {2} less to cast.</t>
        </is>
      </c>
      <c r="M530" t="inlineStr">
        <is>
          <t>Card Advantage</t>
        </is>
      </c>
      <c r="N530" t="inlineStr">
        <is>
          <t>Main phase: mill a card, then exile a random graveyard card you may play this turn</t>
        </is>
      </c>
      <c r="O530" t="inlineStr">
        <is>
          <t>Level 2: deals 2 damage to each opponent when cards leave your graveyard</t>
        </is>
      </c>
      <c r="P530" t="inlineStr">
        <is>
          <t>Level 3: spells cast from anywhere but hand cost {2} less</t>
        </is>
      </c>
      <c r="R530" t="n">
        <v>0.37</v>
      </c>
    </row>
    <row r="531" ht="15" customHeight="1" s="148">
      <c r="A531" t="inlineStr">
        <is>
          <t>c0530</t>
        </is>
      </c>
      <c r="B531" t="inlineStr">
        <is>
          <t>Akoum Hellhound</t>
        </is>
      </c>
      <c r="C531" t="n">
        <v>1</v>
      </c>
      <c r="E531" t="n">
        <v>0</v>
      </c>
      <c r="F531" t="n">
        <v>1</v>
      </c>
      <c r="G531" t="n">
        <v>0</v>
      </c>
      <c r="H531" t="inlineStr">
        <is>
          <t>R</t>
        </is>
      </c>
      <c r="I531" t="inlineStr">
        <is>
          <t>Creature</t>
        </is>
      </c>
      <c r="J531" t="inlineStr">
        <is>
          <t>B2</t>
        </is>
      </c>
      <c r="K531" t="n">
        <v>1</v>
      </c>
      <c r="L531" t="inlineStr">
        <is>
          <t>Landfall — Whenever a land you control enters, this creature gets +2/+2 until end of turn.
(0/1)</t>
        </is>
      </c>
      <c r="M531" t="inlineStr">
        <is>
          <t>Combat Trick</t>
        </is>
      </c>
      <c r="N531" t="inlineStr">
        <is>
          <t>Gets +2/+2 until end of turn when a land you control enters</t>
        </is>
      </c>
      <c r="R531" t="n">
        <v>0.2</v>
      </c>
    </row>
    <row r="532" ht="15" customHeight="1" s="148">
      <c r="A532" t="inlineStr">
        <is>
          <t>c0531</t>
        </is>
      </c>
      <c r="B532" t="inlineStr">
        <is>
          <t>Alexios, Deimos of Kosmos</t>
        </is>
      </c>
      <c r="C532" t="n">
        <v>1</v>
      </c>
      <c r="E532" t="n">
        <v>0</v>
      </c>
      <c r="F532" t="n">
        <v>1</v>
      </c>
      <c r="G532" t="n">
        <v>0</v>
      </c>
      <c r="H532" t="inlineStr">
        <is>
          <t>R</t>
        </is>
      </c>
      <c r="I532" t="inlineStr">
        <is>
          <t>Legendary Creature</t>
        </is>
      </c>
      <c r="J532" t="inlineStr">
        <is>
          <t>B2</t>
        </is>
      </c>
      <c r="K532" t="n">
        <v>4</v>
      </c>
      <c r="L532" t="inlineStr">
        <is>
          <t>Trample
Alexios attacks each combat if able, can't be sacrificed, and can't attack its owner.
At the beginning of each player's upkeep, that player gains control of Alexios, untaps it, and puts a +1/+1 counter on it. It gains haste until end of turn.
(4/4)</t>
        </is>
      </c>
      <c r="M532" t="inlineStr">
        <is>
          <t>Finisher</t>
        </is>
      </c>
      <c r="N532" t="inlineStr">
        <is>
          <t>Must attack each combat, can't be sacrificed or attack you</t>
        </is>
      </c>
      <c r="O532" t="inlineStr">
        <is>
          <t>Passes to whoever's upkeep it is, untapped with a +1/+1 counter and haste</t>
        </is>
      </c>
      <c r="P532" t="inlineStr">
        <is>
          <t>Trample body that grows every turn cycle</t>
        </is>
      </c>
      <c r="R532" t="n">
        <v>0.39</v>
      </c>
    </row>
    <row r="533" ht="15" customHeight="1" s="148">
      <c r="A533" t="inlineStr">
        <is>
          <t>c0532</t>
        </is>
      </c>
      <c r="B533" t="inlineStr">
        <is>
          <t>Ancestral Anger</t>
        </is>
      </c>
      <c r="C533" t="n">
        <v>1</v>
      </c>
      <c r="E533" t="n">
        <v>0</v>
      </c>
      <c r="F533" t="n">
        <v>1</v>
      </c>
      <c r="G533" t="n">
        <v>0</v>
      </c>
      <c r="H533" t="inlineStr">
        <is>
          <t>R</t>
        </is>
      </c>
      <c r="I533" t="inlineStr">
        <is>
          <t>Sorcery</t>
        </is>
      </c>
      <c r="J533" t="inlineStr">
        <is>
          <t>B2</t>
        </is>
      </c>
      <c r="K533" t="n">
        <v>1</v>
      </c>
      <c r="L533" t="inlineStr">
        <is>
          <t>Target creature gains trample and gets +X/+0 until end of turn, where X is 1 plus the number of cards named Ancestral Anger in your graveyard.
Draw a card.</t>
        </is>
      </c>
      <c r="M533" t="inlineStr">
        <is>
          <t>Combat Trick</t>
        </is>
      </c>
      <c r="N533" t="inlineStr">
        <is>
          <t>Target creature gains trample and gets +X/+0, where X is 1 plus the number of copies of this card in your graveyard</t>
        </is>
      </c>
      <c r="O533" t="inlineStr">
        <is>
          <t>Draw a card</t>
        </is>
      </c>
      <c r="R533" t="n">
        <v>0.13</v>
      </c>
    </row>
    <row r="534" ht="15" customHeight="1" s="148">
      <c r="A534" t="inlineStr">
        <is>
          <t>c0533</t>
        </is>
      </c>
      <c r="B534" t="inlineStr">
        <is>
          <t>Anger</t>
        </is>
      </c>
      <c r="C534" t="n">
        <v>1</v>
      </c>
      <c r="E534" t="n">
        <v>1</v>
      </c>
      <c r="F534" t="n">
        <v>0</v>
      </c>
      <c r="G534" t="n">
        <v>0</v>
      </c>
      <c r="H534" t="inlineStr">
        <is>
          <t>R</t>
        </is>
      </c>
      <c r="I534" t="inlineStr">
        <is>
          <t>Creature</t>
        </is>
      </c>
      <c r="J534" t="inlineStr">
        <is>
          <t>B2</t>
        </is>
      </c>
      <c r="K534" t="n">
        <v>4</v>
      </c>
      <c r="L534" t="inlineStr">
        <is>
          <t>Haste
As long as this card is in your graveyard and you control a Mountain, creatures you control have haste.
(2/2)</t>
        </is>
      </c>
      <c r="M534" t="inlineStr">
        <is>
          <t>Haste Enabler</t>
        </is>
      </c>
      <c r="N534" t="inlineStr">
        <is>
          <t>While in your graveyard with a Mountain, your creatures can attack the turn they enter</t>
        </is>
      </c>
      <c r="R534" t="n">
        <v>0.6</v>
      </c>
    </row>
    <row r="535" ht="15" customHeight="1" s="148">
      <c r="A535" t="inlineStr">
        <is>
          <t>c0534</t>
        </is>
      </c>
      <c r="B535" t="inlineStr">
        <is>
          <t>Ashling, Rekindled</t>
        </is>
      </c>
      <c r="C535" t="n">
        <v>1</v>
      </c>
      <c r="E535" t="n">
        <v>0</v>
      </c>
      <c r="F535" t="n">
        <v>1</v>
      </c>
      <c r="G535" t="n">
        <v>0</v>
      </c>
      <c r="H535" t="inlineStr">
        <is>
          <t>R</t>
        </is>
      </c>
      <c r="I535" t="inlineStr">
        <is>
          <t>Legendary Creature</t>
        </is>
      </c>
      <c r="J535" t="inlineStr">
        <is>
          <t>B2</t>
        </is>
      </c>
      <c r="K535" t="n">
        <v>2</v>
      </c>
      <c r="L535" t="inlineStr">
        <is>
          <t>Ashling, Rekindled {1}{R} — Legendary Creature — Elemental Sorcerer (1/3)
Whenever this creature enters or transforms into Ashling, Rekindled, you may discard a card. If you do, draw a card.
At the beginning of your first main phase, you may pay {U}. If you do, transform Ashling.
//
Ashling, Rimebound — Legendary Creature — Elemental Wizard (1/3)
Whenever this creature transforms into Ashling, Rimebound and at the beginning of your first main phase, add two mana of any one color. Spend this mana only to cast spells with mana value 4 or greater.
At the beginning of your first main phase, you may pay {R}. If you do, transform Ashling.</t>
        </is>
      </c>
      <c r="M535" t="inlineStr">
        <is>
          <t>Discard/Looting</t>
        </is>
      </c>
      <c r="N535" t="inlineStr">
        <is>
          <t>When it enters or transforms into Ashling, Rekindled, you may discard a card to draw a card</t>
        </is>
      </c>
      <c r="O535" t="inlineStr">
        <is>
          <t>At the beginning of your first main phase you may pay {U} to transform it</t>
        </is>
      </c>
      <c r="P535" t="inlineStr">
        <is>
          <t>Back face Ashling, Rimebound: on transforming and each first main phase, add two mana of any one color for spells with mana value 4 or greater</t>
        </is>
      </c>
      <c r="R535" t="n">
        <v>0.8</v>
      </c>
    </row>
    <row r="536" ht="15" customHeight="1" s="148">
      <c r="A536" t="inlineStr">
        <is>
          <t>c0535</t>
        </is>
      </c>
      <c r="B536" t="inlineStr">
        <is>
          <t>Atsushi, the Blazing Sky</t>
        </is>
      </c>
      <c r="C536" t="n">
        <v>1</v>
      </c>
      <c r="E536" t="n">
        <v>0</v>
      </c>
      <c r="F536" t="n">
        <v>1</v>
      </c>
      <c r="G536" t="n">
        <v>0</v>
      </c>
      <c r="H536" t="inlineStr">
        <is>
          <t>R</t>
        </is>
      </c>
      <c r="I536" t="inlineStr">
        <is>
          <t>Legendary Creature</t>
        </is>
      </c>
      <c r="J536" t="inlineStr">
        <is>
          <t>B2</t>
        </is>
      </c>
      <c r="K536" t="n">
        <v>4</v>
      </c>
      <c r="L536" t="inlineStr">
        <is>
          <t>Flying, trample
When Atsushi dies, choose one —
• Exile the top two cards of your library. Until the end of your next turn, you may play those cards.
• Create three Treasure tokens.
(4/4)</t>
        </is>
      </c>
      <c r="M536" t="inlineStr">
        <is>
          <t>Value Engine</t>
        </is>
      </c>
      <c r="N536" t="inlineStr">
        <is>
          <t>Flying body that deals extra combat damage through blockers</t>
        </is>
      </c>
      <c r="O536" t="inlineStr">
        <is>
          <t>Dies: exile top two library cards to play until next turn's end</t>
        </is>
      </c>
      <c r="P536" t="inlineStr">
        <is>
          <t>Or dies: create three Treasure tokens</t>
        </is>
      </c>
      <c r="R536" t="n">
        <v>0.41</v>
      </c>
    </row>
    <row r="537" ht="15" customHeight="1" s="148">
      <c r="A537" t="inlineStr">
        <is>
          <t>c0536</t>
        </is>
      </c>
      <c r="B537" t="inlineStr">
        <is>
          <t>Barrage of Expendables</t>
        </is>
      </c>
      <c r="C537" t="n">
        <v>1</v>
      </c>
      <c r="E537" t="n">
        <v>1</v>
      </c>
      <c r="F537" t="n">
        <v>0</v>
      </c>
      <c r="G537" t="n">
        <v>0</v>
      </c>
      <c r="H537" t="inlineStr">
        <is>
          <t>R</t>
        </is>
      </c>
      <c r="I537" t="inlineStr">
        <is>
          <t>Enchantment</t>
        </is>
      </c>
      <c r="J537" t="inlineStr">
        <is>
          <t>B2</t>
        </is>
      </c>
      <c r="K537" t="n">
        <v>1</v>
      </c>
      <c r="L537" t="inlineStr">
        <is>
          <t>{R}, Sacrifice a creature: This enchantment deals 1 damage to any target.</t>
        </is>
      </c>
      <c r="M537" t="inlineStr">
        <is>
          <t>Sacrifice Outlet</t>
        </is>
      </c>
      <c r="N537" t="inlineStr">
        <is>
          <t>{R}, sacrifice a creature: deals 1 damage to any target</t>
        </is>
      </c>
      <c r="R537" t="n">
        <v>0.31</v>
      </c>
    </row>
    <row r="538" ht="15" customHeight="1" s="148">
      <c r="A538" t="inlineStr">
        <is>
          <t>c0537</t>
        </is>
      </c>
      <c r="B538" t="inlineStr">
        <is>
          <t>Battle Hymn</t>
        </is>
      </c>
      <c r="C538" t="n">
        <v>0</v>
      </c>
      <c r="E538" t="n">
        <v>0</v>
      </c>
      <c r="F538" t="n">
        <v>0</v>
      </c>
      <c r="G538" t="n">
        <v>0</v>
      </c>
      <c r="H538" t="inlineStr">
        <is>
          <t>R</t>
        </is>
      </c>
      <c r="I538" t="inlineStr">
        <is>
          <t>Instant</t>
        </is>
      </c>
      <c r="J538" t="inlineStr">
        <is>
          <t>B2</t>
        </is>
      </c>
      <c r="K538" t="n">
        <v>2</v>
      </c>
      <c r="L538" t="inlineStr">
        <is>
          <t>Add {R} for each creature you control.</t>
        </is>
      </c>
      <c r="M538" t="inlineStr">
        <is>
          <t>Ramp</t>
        </is>
      </c>
      <c r="N538" t="inlineStr">
        <is>
          <t>Add {R} for each creature you control</t>
        </is>
      </c>
      <c r="R538" t="n">
        <v>1.55</v>
      </c>
    </row>
    <row r="539" ht="15" customHeight="1" s="148">
      <c r="A539" t="inlineStr">
        <is>
          <t>c0538</t>
        </is>
      </c>
      <c r="B539" t="inlineStr">
        <is>
          <t>Beetleback Chief</t>
        </is>
      </c>
      <c r="C539" t="n">
        <v>1</v>
      </c>
      <c r="E539" t="n">
        <v>1</v>
      </c>
      <c r="F539" t="n">
        <v>0</v>
      </c>
      <c r="G539" t="n">
        <v>1</v>
      </c>
      <c r="H539" t="inlineStr">
        <is>
          <t>R</t>
        </is>
      </c>
      <c r="I539" t="inlineStr">
        <is>
          <t>Creature</t>
        </is>
      </c>
      <c r="J539" t="inlineStr">
        <is>
          <t>B2</t>
        </is>
      </c>
      <c r="K539" t="n">
        <v>4</v>
      </c>
      <c r="L539" t="inlineStr">
        <is>
          <t>When this creature enters, create two 1/1 red Goblin creature tokens.
(2/2)</t>
        </is>
      </c>
      <c r="M539" t="inlineStr">
        <is>
          <t>Token Producer</t>
        </is>
      </c>
      <c r="N539" t="inlineStr">
        <is>
          <t>Creates two 1/1 Goblin tokens when it enters</t>
        </is>
      </c>
      <c r="R539" t="n">
        <v>0.31</v>
      </c>
    </row>
    <row r="540" ht="15" customHeight="1" s="148">
      <c r="A540" t="inlineStr">
        <is>
          <t>c0539</t>
        </is>
      </c>
      <c r="B540" t="inlineStr">
        <is>
          <t>Big Score</t>
        </is>
      </c>
      <c r="C540" t="n">
        <v>1</v>
      </c>
      <c r="E540" t="n">
        <v>1</v>
      </c>
      <c r="F540" t="n">
        <v>0</v>
      </c>
      <c r="G540" t="n">
        <v>0</v>
      </c>
      <c r="H540" t="inlineStr">
        <is>
          <t>R</t>
        </is>
      </c>
      <c r="I540" t="inlineStr">
        <is>
          <t>Instant</t>
        </is>
      </c>
      <c r="J540" t="inlineStr">
        <is>
          <t>B2</t>
        </is>
      </c>
      <c r="K540" t="n">
        <v>4</v>
      </c>
      <c r="L540" t="inlineStr">
        <is>
          <t>As an additional cost to cast this spell, discard a card.
Draw two cards and create two Treasure tokens. (They're artifacts with "{T}, Sacrifice this token: Add one mana of any color.")</t>
        </is>
      </c>
      <c r="M540" t="inlineStr">
        <is>
          <t>Card Draw</t>
        </is>
      </c>
      <c r="N540" t="inlineStr">
        <is>
          <t>Discard a card to draw two cards and create two Treasure tokens</t>
        </is>
      </c>
      <c r="R540" t="n">
        <v>0.45</v>
      </c>
    </row>
    <row r="541" ht="15" customHeight="1" s="148">
      <c r="A541" t="inlineStr">
        <is>
          <t>c0540</t>
        </is>
      </c>
      <c r="B541" t="inlineStr">
        <is>
          <t>Blasphemous Act</t>
        </is>
      </c>
      <c r="C541" t="n">
        <v>1</v>
      </c>
      <c r="E541" t="n">
        <v>0</v>
      </c>
      <c r="F541" t="n">
        <v>1</v>
      </c>
      <c r="G541" t="n">
        <v>0</v>
      </c>
      <c r="H541" t="inlineStr">
        <is>
          <t>R</t>
        </is>
      </c>
      <c r="I541" t="inlineStr">
        <is>
          <t>Sorcery</t>
        </is>
      </c>
      <c r="J541" t="inlineStr">
        <is>
          <t>B3</t>
        </is>
      </c>
      <c r="K541" t="n">
        <v>9</v>
      </c>
      <c r="L541" t="inlineStr">
        <is>
          <t>This spell costs {1} less to cast for each creature on the battlefield.
Blasphemous Act deals 13 damage to each creature.</t>
        </is>
      </c>
      <c r="M541" t="inlineStr">
        <is>
          <t>Board Wipe</t>
        </is>
      </c>
      <c r="N541" t="inlineStr">
        <is>
          <t>Deals 13 damage to each creature</t>
        </is>
      </c>
      <c r="O541" t="inlineStr">
        <is>
          <t>Costs {1} less for each creature on the battlefield</t>
        </is>
      </c>
      <c r="R541" t="n">
        <v>0.98</v>
      </c>
    </row>
    <row r="542" ht="15" customHeight="1" s="148">
      <c r="A542" t="inlineStr">
        <is>
          <t>c0541</t>
        </is>
      </c>
      <c r="B542" t="inlineStr">
        <is>
          <t>Blazing Firesinger</t>
        </is>
      </c>
      <c r="C542" t="n">
        <v>1</v>
      </c>
      <c r="E542" t="n">
        <v>0</v>
      </c>
      <c r="F542" t="n">
        <v>1</v>
      </c>
      <c r="G542" t="n">
        <v>0</v>
      </c>
      <c r="H542" t="inlineStr">
        <is>
          <t>R</t>
        </is>
      </c>
      <c r="I542" t="inlineStr">
        <is>
          <t>Creature</t>
        </is>
      </c>
      <c r="J542" t="inlineStr">
        <is>
          <t>B2</t>
        </is>
      </c>
      <c r="K542" t="n">
        <v>3</v>
      </c>
      <c r="L542" t="inlineStr">
        <is>
          <t>Blazing Firesinger {2}{R} — Creature — Dwarf Bard (2/3)
This creature enters prepared. (While it's prepared, you may cast a copy of its spell. Doing so unprepares it.)
//
Seething Song {2}{R} — Instant
Add {R}{R}{R}{R}{R}.</t>
        </is>
      </c>
      <c r="M542" t="inlineStr">
        <is>
          <t>Ramp</t>
        </is>
      </c>
      <c r="N542" t="inlineStr">
        <is>
          <t>Enters prepared — you may cast a copy of Seething Song to add {R}{R}{R}{R}{R}</t>
        </is>
      </c>
      <c r="O542" t="inlineStr">
        <is>
          <t>2/3 body</t>
        </is>
      </c>
      <c r="R542" t="n">
        <v>0.35</v>
      </c>
    </row>
    <row r="543" ht="15" customHeight="1" s="148">
      <c r="A543" t="inlineStr">
        <is>
          <t>c0542</t>
        </is>
      </c>
      <c r="B543" t="inlineStr">
        <is>
          <t>Bloodthirsty Adversary</t>
        </is>
      </c>
      <c r="C543" t="n">
        <v>1</v>
      </c>
      <c r="E543" t="n">
        <v>0</v>
      </c>
      <c r="F543" t="n">
        <v>1</v>
      </c>
      <c r="G543" t="n">
        <v>0</v>
      </c>
      <c r="H543" t="inlineStr">
        <is>
          <t>R</t>
        </is>
      </c>
      <c r="I543" t="inlineStr">
        <is>
          <t>Creature</t>
        </is>
      </c>
      <c r="J543" t="inlineStr">
        <is>
          <t>B2</t>
        </is>
      </c>
      <c r="K543" t="n">
        <v>2</v>
      </c>
      <c r="L543" t="inlineStr">
        <is>
          <t>Haste
When this creature enters, you may pay {2}{R} any number of times. When you pay this cost one or more times, put that many +1/+1 counters on this creature, then exile up to that many target instant and/or sorcery cards with mana value 3 or less from your graveyard and copy them. You may cast any number of the copies without paying their mana costs.
(2/2)</t>
        </is>
      </c>
      <c r="M543" t="inlineStr">
        <is>
          <t>Utility Creature</t>
        </is>
      </c>
      <c r="N543" t="inlineStr">
        <is>
          <t>Haste</t>
        </is>
      </c>
      <c r="O543" t="inlineStr">
        <is>
          <t>When this creature enters, you may pay {2}{R} any number of times. When you pay this cost one or more times, put that ma</t>
        </is>
      </c>
      <c r="R543" t="n">
        <v>0.35</v>
      </c>
    </row>
    <row r="544" ht="15" customHeight="1" s="148">
      <c r="A544" t="inlineStr">
        <is>
          <t>c0543</t>
        </is>
      </c>
      <c r="B544" t="inlineStr">
        <is>
          <t>Boar-q-pine</t>
        </is>
      </c>
      <c r="C544" t="n">
        <v>1</v>
      </c>
      <c r="E544" t="n">
        <v>0</v>
      </c>
      <c r="F544" t="n">
        <v>1</v>
      </c>
      <c r="G544" t="n">
        <v>0</v>
      </c>
      <c r="H544" t="inlineStr">
        <is>
          <t>R</t>
        </is>
      </c>
      <c r="I544" t="inlineStr">
        <is>
          <t>Creature</t>
        </is>
      </c>
      <c r="J544" t="inlineStr">
        <is>
          <t>B2</t>
        </is>
      </c>
      <c r="K544" t="n">
        <v>3</v>
      </c>
      <c r="L544" t="inlineStr">
        <is>
          <t>Whenever you cast a noncreature spell, put a +1/+1 counter on this creature.
(2/2)</t>
        </is>
      </c>
      <c r="M544" t="inlineStr">
        <is>
          <t>Utility Creature</t>
        </is>
      </c>
      <c r="N544" t="inlineStr">
        <is>
          <t>Gets a +1/+1 counter whenever you cast a noncreature spell</t>
        </is>
      </c>
      <c r="R544" t="n">
        <v>0.12</v>
      </c>
    </row>
    <row r="545" ht="15" customHeight="1" s="148">
      <c r="A545" t="inlineStr">
        <is>
          <t>c0544</t>
        </is>
      </c>
      <c r="B545" t="inlineStr">
        <is>
          <t>Boldwyr Aggressor</t>
        </is>
      </c>
      <c r="C545" t="n">
        <v>1</v>
      </c>
      <c r="E545" t="n">
        <v>0</v>
      </c>
      <c r="F545" t="n">
        <v>1</v>
      </c>
      <c r="G545" t="n">
        <v>0</v>
      </c>
      <c r="H545" t="inlineStr">
        <is>
          <t>R</t>
        </is>
      </c>
      <c r="I545" t="inlineStr">
        <is>
          <t>Creature</t>
        </is>
      </c>
      <c r="J545" t="inlineStr">
        <is>
          <t>B2</t>
        </is>
      </c>
      <c r="K545" t="n">
        <v>5</v>
      </c>
      <c r="L545" t="inlineStr">
        <is>
          <t>Double strike
Other Giants you control have double strike.
(2/5)</t>
        </is>
      </c>
      <c r="M545" t="inlineStr">
        <is>
          <t>Lord/Anthem</t>
        </is>
      </c>
      <c r="N545" t="inlineStr">
        <is>
          <t>Other Giants you control have double strike</t>
        </is>
      </c>
      <c r="O545" t="inlineStr">
        <is>
          <t>Double strike on a 2/5 body</t>
        </is>
      </c>
      <c r="R545" t="n">
        <v>0.26</v>
      </c>
    </row>
    <row r="546" ht="15" customHeight="1" s="148">
      <c r="A546" t="inlineStr">
        <is>
          <t>c0545</t>
        </is>
      </c>
      <c r="B546" t="inlineStr">
        <is>
          <t>Bolt Bend</t>
        </is>
      </c>
      <c r="C546" t="n">
        <v>0</v>
      </c>
      <c r="E546" t="n">
        <v>0</v>
      </c>
      <c r="F546" t="n">
        <v>0</v>
      </c>
      <c r="G546" t="n">
        <v>0</v>
      </c>
      <c r="H546" t="inlineStr">
        <is>
          <t>R</t>
        </is>
      </c>
      <c r="I546" t="inlineStr">
        <is>
          <t>Instant</t>
        </is>
      </c>
      <c r="J546" t="inlineStr">
        <is>
          <t>B3</t>
        </is>
      </c>
      <c r="K546" t="n">
        <v>4</v>
      </c>
      <c r="L546" t="inlineStr">
        <is>
          <t>This spell costs {3} less to cast if you control a creature with power 4 or greater.
Change the target of target spell or ability with a single target.</t>
        </is>
      </c>
      <c r="M546" t="inlineStr">
        <is>
          <t>Interaction</t>
        </is>
      </c>
      <c r="N546" t="inlineStr">
        <is>
          <t>This spell costs {3} less to cast if you control a creature with power 4 or greater.
Change the target of target spell or ability with a single target.</t>
        </is>
      </c>
      <c r="R546" t="n">
        <v>3.24</v>
      </c>
    </row>
    <row r="547" ht="15" customHeight="1" s="148">
      <c r="A547" t="inlineStr">
        <is>
          <t>c0546</t>
        </is>
      </c>
      <c r="B547" t="inlineStr">
        <is>
          <t>Bombur, Gentle Dreamer</t>
        </is>
      </c>
      <c r="C547" t="n">
        <v>2</v>
      </c>
      <c r="E547" t="n">
        <v>0</v>
      </c>
      <c r="F547" t="n">
        <v>2</v>
      </c>
      <c r="G547" t="n">
        <v>0</v>
      </c>
      <c r="H547" t="inlineStr">
        <is>
          <t>R</t>
        </is>
      </c>
      <c r="I547" t="inlineStr">
        <is>
          <t>Legendary Creature</t>
        </is>
      </c>
      <c r="J547" t="inlineStr">
        <is>
          <t>B2</t>
        </is>
      </c>
      <c r="K547" t="n">
        <v>3</v>
      </c>
      <c r="L547" t="inlineStr">
        <is>
          <t>Storied (If you control three or more artifacts, legendaries, and/or Sagas, you have an enduring story for the rest of the game.)
Bombur doesn't untap during your untap step unless you have an enduring story.
(5/3)</t>
        </is>
      </c>
      <c r="M547" t="inlineStr">
        <is>
          <t>Utility Creature</t>
        </is>
      </c>
      <c r="N547" t="inlineStr">
        <is>
          <t>A 5/3 that does not untap during your untap step unless you have an enduring story</t>
        </is>
      </c>
      <c r="O547" t="inlineStr">
        <is>
          <t>Storied - you have an enduring story for the rest of the game once you control three or more artifacts, legendaries, and/or Sagas</t>
        </is>
      </c>
      <c r="R547" t="n">
        <v>0.2</v>
      </c>
    </row>
    <row r="548" ht="15" customHeight="1" s="148">
      <c r="A548" t="inlineStr">
        <is>
          <t>c0547</t>
        </is>
      </c>
      <c r="B548" t="inlineStr">
        <is>
          <t>Boneclub Berserker</t>
        </is>
      </c>
      <c r="C548" t="n">
        <v>1</v>
      </c>
      <c r="E548" t="n">
        <v>0</v>
      </c>
      <c r="F548" t="n">
        <v>1</v>
      </c>
      <c r="G548" t="n">
        <v>0</v>
      </c>
      <c r="H548" t="inlineStr">
        <is>
          <t>R</t>
        </is>
      </c>
      <c r="I548" t="inlineStr">
        <is>
          <t>Creature</t>
        </is>
      </c>
      <c r="J548" t="inlineStr">
        <is>
          <t>B2</t>
        </is>
      </c>
      <c r="K548" t="n">
        <v>4</v>
      </c>
      <c r="L548" t="inlineStr">
        <is>
          <t>Boneclub Berserker {3}{R} — Creature — Goblin Berserker (2/4)
This creature gets +2/+0 for each other Goblin you control.</t>
        </is>
      </c>
      <c r="M548" t="inlineStr">
        <is>
          <t>Utility Creature</t>
        </is>
      </c>
      <c r="N548" t="inlineStr">
        <is>
          <t>This creature gets +2/+0 for each other Goblin you control</t>
        </is>
      </c>
      <c r="R548" t="n">
        <v>0.16</v>
      </c>
    </row>
    <row r="549" ht="15" customHeight="1" s="148">
      <c r="A549" t="inlineStr">
        <is>
          <t>c0548</t>
        </is>
      </c>
      <c r="B549" t="inlineStr">
        <is>
          <t>Bothersome Noisemaker</t>
        </is>
      </c>
      <c r="C549" t="n">
        <v>1</v>
      </c>
      <c r="E549" t="n">
        <v>0</v>
      </c>
      <c r="F549" t="n">
        <v>1</v>
      </c>
      <c r="G549" t="n">
        <v>0</v>
      </c>
      <c r="H549" t="inlineStr">
        <is>
          <t>R</t>
        </is>
      </c>
      <c r="I549" t="inlineStr">
        <is>
          <t>Creature</t>
        </is>
      </c>
      <c r="J549" t="inlineStr">
        <is>
          <t>B2</t>
        </is>
      </c>
      <c r="K549" t="n">
        <v>2</v>
      </c>
      <c r="L549" t="inlineStr">
        <is>
          <t>Whenever you cast a noncreature spell, amass Goblins 1. (Put a +1/+1 counter on an Army you control. It's also a Goblin. If you don't control an Army, create a 0/0 black Goblin Army creature token first.)
(2/2)</t>
        </is>
      </c>
      <c r="M549" t="inlineStr">
        <is>
          <t>Token Producer</t>
        </is>
      </c>
      <c r="N549" t="inlineStr">
        <is>
          <t>Whenever you cast a noncreature spell, put a +1/+1 counter on a Goblin Army you control, creating a 0/0 one first if you have none</t>
        </is>
      </c>
      <c r="R549" t="n">
        <v>0.24</v>
      </c>
    </row>
    <row r="550" ht="15" customHeight="1" s="148">
      <c r="A550" t="inlineStr">
        <is>
          <t>c0549</t>
        </is>
      </c>
      <c r="B550" t="inlineStr">
        <is>
          <t>Brightstone Ritual</t>
        </is>
      </c>
      <c r="C550" t="n">
        <v>0</v>
      </c>
      <c r="E550" t="n">
        <v>0</v>
      </c>
      <c r="F550" t="n">
        <v>0</v>
      </c>
      <c r="G550" t="n">
        <v>0</v>
      </c>
      <c r="H550" t="inlineStr">
        <is>
          <t>R</t>
        </is>
      </c>
      <c r="I550" t="inlineStr">
        <is>
          <t>Instant</t>
        </is>
      </c>
      <c r="J550" t="inlineStr">
        <is>
          <t>B3</t>
        </is>
      </c>
      <c r="K550" t="n">
        <v>1</v>
      </c>
      <c r="L550" t="inlineStr">
        <is>
          <t>Add {R} for each Goblin on the battlefield.</t>
        </is>
      </c>
      <c r="M550" t="inlineStr">
        <is>
          <t>Ramp</t>
        </is>
      </c>
      <c r="N550" t="inlineStr">
        <is>
          <t>Add {R} for each Goblin on the battlefield</t>
        </is>
      </c>
      <c r="R550" t="n">
        <v>2.29</v>
      </c>
    </row>
    <row r="551" ht="15" customHeight="1" s="148">
      <c r="A551" t="inlineStr">
        <is>
          <t>c0550</t>
        </is>
      </c>
      <c r="B551" t="inlineStr">
        <is>
          <t>Burn, Burn, Tree and Fern</t>
        </is>
      </c>
      <c r="C551" t="n">
        <v>1</v>
      </c>
      <c r="E551" t="n">
        <v>1</v>
      </c>
      <c r="F551" t="n">
        <v>0</v>
      </c>
      <c r="G551" t="n">
        <v>0</v>
      </c>
      <c r="H551" t="inlineStr">
        <is>
          <t>R</t>
        </is>
      </c>
      <c r="I551" t="inlineStr">
        <is>
          <t>Enchantment</t>
        </is>
      </c>
      <c r="J551" t="inlineStr">
        <is>
          <t>B2</t>
        </is>
      </c>
      <c r="K551" t="n">
        <v>4</v>
      </c>
      <c r="L551" t="inlineStr">
        <is>
          <t>(As this Saga enters and after your draw step, add a lore counter. Sacrifice after IV.)
I — This Saga deals 6 damage to target creature an opponent controls.
II — Destroy target artifact an opponent controls.
III, IV — Add {R}.</t>
        </is>
      </c>
      <c r="M551" t="inlineStr">
        <is>
          <t>Removal</t>
        </is>
      </c>
      <c r="N551" t="inlineStr">
        <is>
          <t>Chapter I: deals 6 damage to target creature an opponent controls</t>
        </is>
      </c>
      <c r="O551" t="inlineStr">
        <is>
          <t>Chapter II: destroy target artifact an opponent controls</t>
        </is>
      </c>
      <c r="P551" t="inlineStr">
        <is>
          <t>Chapters III and IV: add {R}</t>
        </is>
      </c>
      <c r="R551" t="n">
        <v>0.18</v>
      </c>
    </row>
    <row r="552" ht="15" customHeight="1" s="148">
      <c r="A552" t="inlineStr">
        <is>
          <t>c0551</t>
        </is>
      </c>
      <c r="B552" t="inlineStr">
        <is>
          <t>Burning Curiosity</t>
        </is>
      </c>
      <c r="C552" t="n">
        <v>1</v>
      </c>
      <c r="E552" t="n">
        <v>1</v>
      </c>
      <c r="F552" t="n">
        <v>0</v>
      </c>
      <c r="G552" t="n">
        <v>0</v>
      </c>
      <c r="H552" t="inlineStr">
        <is>
          <t>R</t>
        </is>
      </c>
      <c r="I552" t="inlineStr">
        <is>
          <t>Sorcery</t>
        </is>
      </c>
      <c r="J552" t="inlineStr">
        <is>
          <t>B2</t>
        </is>
      </c>
      <c r="K552" t="n">
        <v>3</v>
      </c>
      <c r="L552" t="inlineStr">
        <is>
          <t>As an additional cost to cast this spell, you may blight 1. (You may put a -1/-1 counter on a creature you control.)
Exile the top two cards of your library. If this spell's additional cost was paid, exile the top three cards instead. Until the end of your next turn, you may play those cards.</t>
        </is>
      </c>
      <c r="M552" t="inlineStr">
        <is>
          <t>Card Selection</t>
        </is>
      </c>
      <c r="N552" t="inlineStr">
        <is>
          <t>Exiles top two cards of library to play until end of next turn</t>
        </is>
      </c>
      <c r="O552" t="inlineStr">
        <is>
          <t>Optionally put a -1/-1 counter on a creature to exile three instead</t>
        </is>
      </c>
      <c r="R552" t="n">
        <v>0.28</v>
      </c>
    </row>
    <row r="553" ht="15" customHeight="1" s="148">
      <c r="A553" t="inlineStr">
        <is>
          <t>c0552</t>
        </is>
      </c>
      <c r="B553" t="inlineStr">
        <is>
          <t>Cathartic Pyre</t>
        </is>
      </c>
      <c r="C553" t="n">
        <v>0</v>
      </c>
      <c r="E553" t="n">
        <v>0</v>
      </c>
      <c r="F553" t="n">
        <v>0</v>
      </c>
      <c r="G553" t="n">
        <v>0</v>
      </c>
      <c r="H553" t="inlineStr">
        <is>
          <t>R</t>
        </is>
      </c>
      <c r="I553" t="inlineStr">
        <is>
          <t>Instant</t>
        </is>
      </c>
      <c r="J553" t="inlineStr">
        <is>
          <t>B2</t>
        </is>
      </c>
      <c r="K553" t="n">
        <v>2</v>
      </c>
      <c r="L553" t="inlineStr">
        <is>
          <t>Choose one —
• Cathartic Pyre deals 3 damage to target creature or planeswalker.
• Discard up to two cards, then draw that many cards.</t>
        </is>
      </c>
      <c r="M553" t="inlineStr">
        <is>
          <t>Removal</t>
        </is>
      </c>
      <c r="N553" t="inlineStr">
        <is>
          <t>Deals 3 damage to a creature or planeswalker</t>
        </is>
      </c>
      <c r="O553" t="inlineStr">
        <is>
          <t>Or discard up to two cards and draw that many</t>
        </is>
      </c>
      <c r="R553" t="n">
        <v>0.31</v>
      </c>
    </row>
    <row r="554" ht="15" customHeight="1" s="148">
      <c r="A554" t="inlineStr">
        <is>
          <t>c0553</t>
        </is>
      </c>
      <c r="B554" t="inlineStr">
        <is>
          <t>Cathartic Reunion</t>
        </is>
      </c>
      <c r="C554" t="n">
        <v>1</v>
      </c>
      <c r="E554" t="n">
        <v>1</v>
      </c>
      <c r="F554" t="n">
        <v>0</v>
      </c>
      <c r="G554" t="n">
        <v>1</v>
      </c>
      <c r="H554" t="inlineStr">
        <is>
          <t>R</t>
        </is>
      </c>
      <c r="I554" t="inlineStr">
        <is>
          <t>Sorcery</t>
        </is>
      </c>
      <c r="J554" t="inlineStr">
        <is>
          <t>B2</t>
        </is>
      </c>
      <c r="K554" t="n">
        <v>2</v>
      </c>
      <c r="L554" t="inlineStr">
        <is>
          <t>As an additional cost to cast this spell, discard two cards.
Draw three cards.</t>
        </is>
      </c>
      <c r="M554" t="inlineStr">
        <is>
          <t>Discard/Looting</t>
        </is>
      </c>
      <c r="N554" t="inlineStr">
        <is>
          <t>Discard two cards to draw three cards</t>
        </is>
      </c>
      <c r="R554" t="n">
        <v>0.27</v>
      </c>
    </row>
    <row r="555" ht="15" customHeight="1" s="148">
      <c r="A555" t="inlineStr">
        <is>
          <t>c0554</t>
        </is>
      </c>
      <c r="B555" t="inlineStr">
        <is>
          <t>Chancellor of the Forge</t>
        </is>
      </c>
      <c r="C555" t="n">
        <v>0</v>
      </c>
      <c r="E555" t="n">
        <v>0</v>
      </c>
      <c r="F555" t="n">
        <v>0</v>
      </c>
      <c r="G555" t="n">
        <v>0</v>
      </c>
      <c r="H555" t="inlineStr">
        <is>
          <t>R</t>
        </is>
      </c>
      <c r="I555" t="inlineStr">
        <is>
          <t>Creature</t>
        </is>
      </c>
      <c r="J555" t="inlineStr">
        <is>
          <t>B3</t>
        </is>
      </c>
      <c r="K555" t="n">
        <v>7</v>
      </c>
      <c r="L555" t="inlineStr">
        <is>
          <t>You may reveal this card from your opening hand. If you do, at the beginning of the first upkeep, create a 1/1 red Phyrexian Goblin creature token with haste.
When this creature enters, create X 1/1 red Phyrexian Goblin creature tokens with haste, where X is the number of creatures you control.
(5/5)</t>
        </is>
      </c>
      <c r="M555" t="inlineStr">
        <is>
          <t>Token Producer</t>
        </is>
      </c>
      <c r="N555" t="inlineStr">
        <is>
          <t>You may reveal this card from your opening hand. If you do, at the beginning of the first upkeep, create a 1/1 red Phyre</t>
        </is>
      </c>
      <c r="O555" t="inlineStr">
        <is>
          <t>When this creature enters, create X 1/1 red Phyrexian Goblin creature tokens with haste, where X is the number of creatu</t>
        </is>
      </c>
      <c r="R555" t="n">
        <v>1.11</v>
      </c>
    </row>
    <row r="556" ht="15" customHeight="1" s="148">
      <c r="A556" t="inlineStr">
        <is>
          <t>c0555</t>
        </is>
      </c>
      <c r="B556" t="inlineStr">
        <is>
          <t>Chaos Warp</t>
        </is>
      </c>
      <c r="C556" t="n">
        <v>1</v>
      </c>
      <c r="E556" t="n">
        <v>1</v>
      </c>
      <c r="F556" t="n">
        <v>0</v>
      </c>
      <c r="G556" t="n">
        <v>1</v>
      </c>
      <c r="H556" t="inlineStr">
        <is>
          <t>R</t>
        </is>
      </c>
      <c r="I556" t="inlineStr">
        <is>
          <t>Instant</t>
        </is>
      </c>
      <c r="J556" t="inlineStr">
        <is>
          <t>B2</t>
        </is>
      </c>
      <c r="K556" t="n">
        <v>3</v>
      </c>
      <c r="L556" t="inlineStr">
        <is>
          <t>The owner of target permanent shuffles it into their library, then reveals the top card of their library. If it's a permanent card, they put it onto the battlefield.</t>
        </is>
      </c>
      <c r="M556" t="inlineStr">
        <is>
          <t>Removal</t>
        </is>
      </c>
      <c r="N556" t="inlineStr">
        <is>
          <t>Shuffles target permanent into its owner's library, who may hit a new permanent off the top</t>
        </is>
      </c>
      <c r="R556" t="n">
        <v>0.34</v>
      </c>
    </row>
    <row r="557" ht="15" customHeight="1" s="148">
      <c r="A557" t="inlineStr">
        <is>
          <t>c0556</t>
        </is>
      </c>
      <c r="B557" t="inlineStr">
        <is>
          <t>Charging Strifeknight</t>
        </is>
      </c>
      <c r="C557" t="n">
        <v>1</v>
      </c>
      <c r="E557" t="n">
        <v>0</v>
      </c>
      <c r="F557" t="n">
        <v>1</v>
      </c>
      <c r="G557" t="n">
        <v>0</v>
      </c>
      <c r="H557" t="inlineStr">
        <is>
          <t>R</t>
        </is>
      </c>
      <c r="I557" t="inlineStr">
        <is>
          <t>Creature</t>
        </is>
      </c>
      <c r="J557" t="inlineStr">
        <is>
          <t>B2</t>
        </is>
      </c>
      <c r="K557" t="n">
        <v>3</v>
      </c>
      <c r="L557" t="inlineStr">
        <is>
          <t>Haste
{T}, Discard a card: Draw a card.
(3/3)</t>
        </is>
      </c>
      <c r="M557" t="inlineStr">
        <is>
          <t>Discard/Looting</t>
        </is>
      </c>
      <c r="N557" t="inlineStr">
        <is>
          <t>{T}, discard a card: Draw a card</t>
        </is>
      </c>
      <c r="O557" t="inlineStr">
        <is>
          <t>3/3 haste body</t>
        </is>
      </c>
      <c r="R557" t="n">
        <v>0.21</v>
      </c>
    </row>
    <row r="558" ht="15" customHeight="1" s="148">
      <c r="A558" t="inlineStr">
        <is>
          <t>c0557</t>
        </is>
      </c>
      <c r="B558" t="inlineStr">
        <is>
          <t>Cinder Strike</t>
        </is>
      </c>
      <c r="C558" t="n">
        <v>1</v>
      </c>
      <c r="E558" t="n">
        <v>1</v>
      </c>
      <c r="F558" t="n">
        <v>0</v>
      </c>
      <c r="G558" t="n">
        <v>0</v>
      </c>
      <c r="H558" t="inlineStr">
        <is>
          <t>R</t>
        </is>
      </c>
      <c r="I558" t="inlineStr">
        <is>
          <t>Sorcery</t>
        </is>
      </c>
      <c r="J558" t="inlineStr">
        <is>
          <t>B2</t>
        </is>
      </c>
      <c r="K558" t="n">
        <v>1</v>
      </c>
      <c r="L558" t="inlineStr">
        <is>
          <t>As an additional cost to cast this spell, you may blight 1. (You may put a -1/-1 counter on a creature you control.)
Cinder Strike deals 2 damage to target creature. It deals 4 damage to that creature instead if this spell's additional cost was paid.</t>
        </is>
      </c>
      <c r="M558" t="inlineStr">
        <is>
          <t>Removal</t>
        </is>
      </c>
      <c r="N558" t="inlineStr">
        <is>
          <t>Deals 2 damage to target creature</t>
        </is>
      </c>
      <c r="O558" t="inlineStr">
        <is>
          <t>Deals 4 instead if you put a -1/-1 counter on a creature you control</t>
        </is>
      </c>
      <c r="R558" t="n">
        <v>0.2</v>
      </c>
    </row>
    <row r="559" ht="15" customHeight="1" s="148">
      <c r="A559" t="inlineStr">
        <is>
          <t>c0558</t>
        </is>
      </c>
      <c r="B559" t="inlineStr">
        <is>
          <t>Combustion Technique</t>
        </is>
      </c>
      <c r="C559" t="n">
        <v>1</v>
      </c>
      <c r="E559" t="n">
        <v>0</v>
      </c>
      <c r="F559" t="n">
        <v>1</v>
      </c>
      <c r="G559" t="n">
        <v>0</v>
      </c>
      <c r="H559" t="inlineStr">
        <is>
          <t>R</t>
        </is>
      </c>
      <c r="I559" t="inlineStr">
        <is>
          <t>Instant</t>
        </is>
      </c>
      <c r="J559" t="inlineStr">
        <is>
          <t>B2</t>
        </is>
      </c>
      <c r="K559" t="n">
        <v>2</v>
      </c>
      <c r="L559" t="inlineStr">
        <is>
          <t>Combustion Technique deals damage equal to 2 plus the number of Lesson cards in your graveyard to target creature. If that creature would die this turn, exile it instead.</t>
        </is>
      </c>
      <c r="M559" t="inlineStr">
        <is>
          <t>Removal</t>
        </is>
      </c>
      <c r="N559" t="inlineStr">
        <is>
          <t>Deals 2 plus Lesson cards in graveyard damage to target creature</t>
        </is>
      </c>
      <c r="O559" t="inlineStr">
        <is>
          <t>Exiles that creature instead of letting it die this turn</t>
        </is>
      </c>
      <c r="R559" t="n">
        <v>0.3</v>
      </c>
    </row>
    <row r="560" ht="15" customHeight="1" s="148">
      <c r="A560" t="inlineStr">
        <is>
          <t>c0559</t>
        </is>
      </c>
      <c r="B560" t="inlineStr">
        <is>
          <t>Conspicuous Snoop</t>
        </is>
      </c>
      <c r="C560" t="n">
        <v>1</v>
      </c>
      <c r="E560" t="n">
        <v>1</v>
      </c>
      <c r="F560" t="n">
        <v>0</v>
      </c>
      <c r="G560" t="n">
        <v>1</v>
      </c>
      <c r="H560" t="inlineStr">
        <is>
          <t>R</t>
        </is>
      </c>
      <c r="I560" t="inlineStr">
        <is>
          <t>Creature</t>
        </is>
      </c>
      <c r="J560" t="inlineStr">
        <is>
          <t>B3</t>
        </is>
      </c>
      <c r="K560" t="n">
        <v>2</v>
      </c>
      <c r="L560" t="inlineStr">
        <is>
          <t>Play with the top card of your library revealed.
You may cast Goblin spells from the top of your library.
As long as the top card of your library is a Goblin card, this creature has all activated abilities of that card.
(2/2)</t>
        </is>
      </c>
      <c r="M560" t="inlineStr">
        <is>
          <t>Value Engine</t>
        </is>
      </c>
      <c r="N560" t="inlineStr">
        <is>
          <t>Play with the top card of your library revealed.
You may cast Goblin spells from the top of your library.
As long as the</t>
        </is>
      </c>
      <c r="R560" t="n">
        <v>4.85</v>
      </c>
    </row>
    <row r="561" ht="15" customHeight="1" s="148">
      <c r="A561" t="inlineStr">
        <is>
          <t>c0560</t>
        </is>
      </c>
      <c r="B561" t="inlineStr">
        <is>
          <t>Conspiracy Theorist</t>
        </is>
      </c>
      <c r="C561" t="n">
        <v>1</v>
      </c>
      <c r="E561" t="n">
        <v>1</v>
      </c>
      <c r="F561" t="n">
        <v>0</v>
      </c>
      <c r="G561" t="n">
        <v>1</v>
      </c>
      <c r="H561" t="inlineStr">
        <is>
          <t>R</t>
        </is>
      </c>
      <c r="I561" t="inlineStr">
        <is>
          <t>Creature</t>
        </is>
      </c>
      <c r="J561" t="inlineStr">
        <is>
          <t>B2</t>
        </is>
      </c>
      <c r="K561" t="n">
        <v>2</v>
      </c>
      <c r="L561" t="inlineStr">
        <is>
          <t>Whenever this creature attacks, you may pay {1} and discard a card. If you do, draw a card.
Whenever you discard one or more nonland cards, you may exile one of them from your graveyard. If you do, you may cast it this turn.
(2/2)</t>
        </is>
      </c>
      <c r="M561" t="inlineStr">
        <is>
          <t>Card Draw</t>
        </is>
      </c>
      <c r="N561" t="inlineStr">
        <is>
          <t>Attacking lets you pay {1} and discard a card to draw a card</t>
        </is>
      </c>
      <c r="O561" t="inlineStr">
        <is>
          <t>Discarding a nonland card lets you exile it and cast it this turn</t>
        </is>
      </c>
      <c r="R561" t="n">
        <v>0.3</v>
      </c>
    </row>
    <row r="562" ht="15" customHeight="1" s="148">
      <c r="A562" t="inlineStr">
        <is>
          <t>c0561</t>
        </is>
      </c>
      <c r="B562" t="inlineStr">
        <is>
          <t>Demand Answers</t>
        </is>
      </c>
      <c r="C562" t="n">
        <v>0</v>
      </c>
      <c r="D562" t="n">
        <v>2</v>
      </c>
      <c r="E562" t="n">
        <v>0</v>
      </c>
      <c r="F562" t="n">
        <v>0</v>
      </c>
      <c r="G562" t="n">
        <v>2</v>
      </c>
      <c r="H562" t="inlineStr">
        <is>
          <t>R</t>
        </is>
      </c>
      <c r="I562" t="inlineStr">
        <is>
          <t>Instant</t>
        </is>
      </c>
      <c r="J562" t="inlineStr">
        <is>
          <t>B2</t>
        </is>
      </c>
      <c r="K562" t="n">
        <v>2</v>
      </c>
      <c r="L562" t="inlineStr">
        <is>
          <t>As an additional cost to cast this spell, sacrifice an artifact or discard a card.
Draw two cards.</t>
        </is>
      </c>
      <c r="M562" t="inlineStr">
        <is>
          <t>Card Draw</t>
        </is>
      </c>
      <c r="N562" t="inlineStr">
        <is>
          <t>Draw two cards</t>
        </is>
      </c>
      <c r="O562" t="inlineStr">
        <is>
          <t>As an additional cost to cast this spell, sacrifice an artifact or discard a card</t>
        </is>
      </c>
      <c r="R562" t="n">
        <v>0.5</v>
      </c>
    </row>
    <row r="563" ht="15" customHeight="1" s="148">
      <c r="A563" t="inlineStr">
        <is>
          <t>c0562</t>
        </is>
      </c>
      <c r="B563" t="inlineStr">
        <is>
          <t>Den of the Bugbear</t>
        </is>
      </c>
      <c r="C563" t="n">
        <v>0</v>
      </c>
      <c r="D563" t="n">
        <v>1</v>
      </c>
      <c r="E563" t="n">
        <v>0</v>
      </c>
      <c r="F563" t="n">
        <v>0</v>
      </c>
      <c r="G563" t="n">
        <v>1</v>
      </c>
      <c r="H563" t="inlineStr">
        <is>
          <t>R</t>
        </is>
      </c>
      <c r="I563" t="inlineStr">
        <is>
          <t>Land</t>
        </is>
      </c>
      <c r="J563" t="inlineStr">
        <is>
          <t>B3</t>
        </is>
      </c>
      <c r="K563" t="n">
        <v>0</v>
      </c>
      <c r="L563" t="inlineStr">
        <is>
          <t>If you control two or more other lands, this land enters tapped.
{T}: Add {R}.
{3}{R}: Until end of turn, this land becomes a 3/2 red Goblin creature with "Whenever this creature attacks, create a 1/1 red Goblin creature token that's tapped and attacking." It's still a land.</t>
        </is>
      </c>
      <c r="M563" t="inlineStr">
        <is>
          <t>Land</t>
        </is>
      </c>
      <c r="N563" t="inlineStr">
        <is>
          <t>If you control two or more other lands, this land enters tapped.
{T}: Add {R}.
{3}{R}: Until end of turn, this land beco</t>
        </is>
      </c>
      <c r="R563" t="n">
        <v>1.33</v>
      </c>
    </row>
    <row r="564" ht="15" customHeight="1" s="148">
      <c r="A564" t="inlineStr">
        <is>
          <t>c0563</t>
        </is>
      </c>
      <c r="B564" t="inlineStr">
        <is>
          <t>Dori, Bearer of Friends</t>
        </is>
      </c>
      <c r="C564" t="n">
        <v>1</v>
      </c>
      <c r="E564" t="n">
        <v>0</v>
      </c>
      <c r="F564" t="n">
        <v>1</v>
      </c>
      <c r="G564" t="n">
        <v>0</v>
      </c>
      <c r="H564" t="inlineStr">
        <is>
          <t>R</t>
        </is>
      </c>
      <c r="I564" t="inlineStr">
        <is>
          <t>Legendary Creature</t>
        </is>
      </c>
      <c r="J564" t="inlineStr">
        <is>
          <t>B2</t>
        </is>
      </c>
      <c r="K564" t="n">
        <v>3</v>
      </c>
      <c r="L564" t="inlineStr">
        <is>
          <t>Trample
When Dori enters, create a Treasure token. (It's an artifact with "{T}, Sacrifice this token: Add one mana of any color.")
(3/2)</t>
        </is>
      </c>
      <c r="M564" t="inlineStr">
        <is>
          <t>Ramp</t>
        </is>
      </c>
      <c r="N564" t="inlineStr">
        <is>
          <t>Enters: create a Treasure token</t>
        </is>
      </c>
      <c r="O564" t="inlineStr">
        <is>
          <t>Trample</t>
        </is>
      </c>
      <c r="R564" t="n">
        <v>0.17</v>
      </c>
    </row>
    <row r="565" ht="15" customHeight="1" s="148">
      <c r="A565" t="inlineStr">
        <is>
          <t>c0564</t>
        </is>
      </c>
      <c r="B565" t="inlineStr">
        <is>
          <t>Dragon Fodder</t>
        </is>
      </c>
      <c r="C565" t="n">
        <v>1</v>
      </c>
      <c r="E565" t="n">
        <v>1</v>
      </c>
      <c r="F565" t="n">
        <v>0</v>
      </c>
      <c r="G565" t="n">
        <v>1</v>
      </c>
      <c r="H565" t="inlineStr">
        <is>
          <t>R</t>
        </is>
      </c>
      <c r="I565" t="inlineStr">
        <is>
          <t>Sorcery</t>
        </is>
      </c>
      <c r="J565" t="inlineStr">
        <is>
          <t>B2</t>
        </is>
      </c>
      <c r="K565" t="n">
        <v>2</v>
      </c>
      <c r="L565" t="inlineStr">
        <is>
          <t>Create two 1/1 red Goblin creature tokens.</t>
        </is>
      </c>
      <c r="M565" t="inlineStr">
        <is>
          <t>Token Producer</t>
        </is>
      </c>
      <c r="N565" t="inlineStr">
        <is>
          <t>Creates two 1/1 Goblin tokens</t>
        </is>
      </c>
      <c r="R565" t="n">
        <v>0.1</v>
      </c>
    </row>
    <row r="566" ht="15" customHeight="1" s="148">
      <c r="A566" t="inlineStr">
        <is>
          <t>c0565</t>
        </is>
      </c>
      <c r="B566" t="inlineStr">
        <is>
          <t>Dwarven Mauler</t>
        </is>
      </c>
      <c r="C566" t="n">
        <v>1</v>
      </c>
      <c r="E566" t="n">
        <v>0</v>
      </c>
      <c r="F566" t="n">
        <v>1</v>
      </c>
      <c r="G566" t="n">
        <v>0</v>
      </c>
      <c r="H566" t="inlineStr">
        <is>
          <t>R</t>
        </is>
      </c>
      <c r="I566" t="inlineStr">
        <is>
          <t>Creature</t>
        </is>
      </c>
      <c r="J566" t="inlineStr">
        <is>
          <t>B2</t>
        </is>
      </c>
      <c r="K566" t="n">
        <v>1</v>
      </c>
      <c r="L566" t="inlineStr">
        <is>
          <t>Equip abilities you activate that target this creature cost {2} less to activate.
(2/1)</t>
        </is>
      </c>
      <c r="M566" t="inlineStr">
        <is>
          <t>Cost Reducer</t>
        </is>
      </c>
      <c r="N566" t="inlineStr">
        <is>
          <t>Reduces equip costs targeting itself by {2}</t>
        </is>
      </c>
      <c r="O566" t="inlineStr">
        <is>
          <t>Cheap 1-drop body</t>
        </is>
      </c>
      <c r="R566" t="n">
        <v>0.28</v>
      </c>
    </row>
    <row r="567" ht="15" customHeight="1" s="148">
      <c r="A567" t="inlineStr">
        <is>
          <t>c0566</t>
        </is>
      </c>
      <c r="B567" t="inlineStr">
        <is>
          <t>Empty the Warrens</t>
        </is>
      </c>
      <c r="C567" t="n">
        <v>1</v>
      </c>
      <c r="E567" t="n">
        <v>1</v>
      </c>
      <c r="F567" t="n">
        <v>0</v>
      </c>
      <c r="G567" t="n">
        <v>1</v>
      </c>
      <c r="H567" t="inlineStr">
        <is>
          <t>R</t>
        </is>
      </c>
      <c r="I567" t="inlineStr">
        <is>
          <t>Sorcery</t>
        </is>
      </c>
      <c r="J567" t="inlineStr">
        <is>
          <t>B2</t>
        </is>
      </c>
      <c r="K567" t="n">
        <v>4</v>
      </c>
      <c r="L567" t="inlineStr">
        <is>
          <t>Create two 1/1 red Goblin creature tokens.
Storm (When you cast this spell, copy it for each spell cast before it this turn.)</t>
        </is>
      </c>
      <c r="M567" t="inlineStr">
        <is>
          <t>Token Producer</t>
        </is>
      </c>
      <c r="N567" t="inlineStr">
        <is>
          <t>Creates two 1/1 Goblin tokens</t>
        </is>
      </c>
      <c r="O567" t="inlineStr">
        <is>
          <t>Copied for each spell already cast this turn (Storm)</t>
        </is>
      </c>
      <c r="R567" t="n">
        <v>0.15</v>
      </c>
    </row>
    <row r="568" ht="15" customHeight="1" s="148">
      <c r="A568" t="inlineStr">
        <is>
          <t>c0567</t>
        </is>
      </c>
      <c r="B568" t="inlineStr">
        <is>
          <t>Enraged Flamecaster</t>
        </is>
      </c>
      <c r="C568" t="n">
        <v>2</v>
      </c>
      <c r="E568" t="n">
        <v>0</v>
      </c>
      <c r="F568" t="n">
        <v>2</v>
      </c>
      <c r="G568" t="n">
        <v>0</v>
      </c>
      <c r="H568" t="inlineStr">
        <is>
          <t>R</t>
        </is>
      </c>
      <c r="I568" t="inlineStr">
        <is>
          <t>Creature</t>
        </is>
      </c>
      <c r="J568" t="inlineStr">
        <is>
          <t>B2</t>
        </is>
      </c>
      <c r="K568" t="n">
        <v>3</v>
      </c>
      <c r="L568" t="inlineStr">
        <is>
          <t>Reach
Whenever you cast a spell with mana value 4 or greater, this creature deals 2 damage to each opponent.
(3/2)</t>
        </is>
      </c>
      <c r="M568" t="inlineStr">
        <is>
          <t>Burn</t>
        </is>
      </c>
      <c r="N568" t="inlineStr">
        <is>
          <t>Deals 2 damage to each opponent when you cast a spell MV 4 or greater</t>
        </is>
      </c>
      <c r="R568" t="n">
        <v>0.18</v>
      </c>
    </row>
    <row r="569" ht="15" customHeight="1" s="148">
      <c r="A569" t="inlineStr">
        <is>
          <t>c0568</t>
        </is>
      </c>
      <c r="B569" t="inlineStr">
        <is>
          <t>Explosive Prodigy</t>
        </is>
      </c>
      <c r="C569" t="n">
        <v>1</v>
      </c>
      <c r="E569" t="n">
        <v>0</v>
      </c>
      <c r="F569" t="n">
        <v>1</v>
      </c>
      <c r="G569" t="n">
        <v>0</v>
      </c>
      <c r="H569" t="inlineStr">
        <is>
          <t>R</t>
        </is>
      </c>
      <c r="I569" t="inlineStr">
        <is>
          <t>Creature</t>
        </is>
      </c>
      <c r="J569" t="inlineStr">
        <is>
          <t>B2</t>
        </is>
      </c>
      <c r="K569" t="n">
        <v>2</v>
      </c>
      <c r="L569" t="inlineStr">
        <is>
          <t>Vivid — When this creature enters, it deals X damage to target creature an opponent controls, where X is the number of colors among permanents you control.
(1/1)</t>
        </is>
      </c>
      <c r="M569" t="inlineStr">
        <is>
          <t>Removal</t>
        </is>
      </c>
      <c r="N569" t="inlineStr">
        <is>
          <t>Enters: deals X damage to target creature an opponent controls, where X is the number of colors among your permanents</t>
        </is>
      </c>
      <c r="R569" t="n">
        <v>0.17</v>
      </c>
    </row>
    <row r="570" ht="15" customHeight="1" s="148">
      <c r="A570" t="inlineStr">
        <is>
          <t>c0569</t>
        </is>
      </c>
      <c r="B570" t="inlineStr">
        <is>
          <t>Expressive Firedancer</t>
        </is>
      </c>
      <c r="C570" t="n">
        <v>1</v>
      </c>
      <c r="E570" t="n">
        <v>0</v>
      </c>
      <c r="F570" t="n">
        <v>1</v>
      </c>
      <c r="G570" t="n">
        <v>0</v>
      </c>
      <c r="H570" t="inlineStr">
        <is>
          <t>R</t>
        </is>
      </c>
      <c r="I570" t="inlineStr">
        <is>
          <t>Creature</t>
        </is>
      </c>
      <c r="J570" t="inlineStr">
        <is>
          <t>B2</t>
        </is>
      </c>
      <c r="K570" t="n">
        <v>2</v>
      </c>
      <c r="L570" t="inlineStr">
        <is>
          <t>Opus — Whenever you cast an instant or sorcery spell, this creature gets +1/+1 until end of turn. If five or more mana was spent to cast that spell, this creature also gains double strike until end of turn.
(2/2)</t>
        </is>
      </c>
      <c r="M570" t="inlineStr">
        <is>
          <t>Utility Creature</t>
        </is>
      </c>
      <c r="N570" t="inlineStr">
        <is>
          <t>Opus — whenever you cast an instant or sorcery, this creature gets +1/+1 until end of turn</t>
        </is>
      </c>
      <c r="O570" t="inlineStr">
        <is>
          <t>It also gains double strike if five or more mana was spent to cast that spell</t>
        </is>
      </c>
      <c r="R570" t="n">
        <v>0.05</v>
      </c>
    </row>
    <row r="571" ht="15" customHeight="1" s="148">
      <c r="A571" t="inlineStr">
        <is>
          <t>c0570</t>
        </is>
      </c>
      <c r="B571" t="inlineStr">
        <is>
          <t>Fable of the Mirror-Breaker</t>
        </is>
      </c>
      <c r="C571" t="n">
        <v>1</v>
      </c>
      <c r="E571" t="n">
        <v>1</v>
      </c>
      <c r="F571" t="n">
        <v>0</v>
      </c>
      <c r="G571" t="n">
        <v>1</v>
      </c>
      <c r="H571" t="inlineStr">
        <is>
          <t>R</t>
        </is>
      </c>
      <c r="I571" t="inlineStr">
        <is>
          <t>Enchantment</t>
        </is>
      </c>
      <c r="J571" t="inlineStr">
        <is>
          <t>B3</t>
        </is>
      </c>
      <c r="K571" t="n">
        <v>3</v>
      </c>
      <c r="L571" t="inlineStr">
        <is>
          <t>Fable of the Mirror-Breaker {2}{R} — Enchantment — Saga
(As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
//
Reflection of Kiki-Jiki — Enchantment Creature — Goblin Shaman (2/2)
{1}, {T}: Create a token that's a copy of another target nonlegendary creature you control, except it has haste. Sacrifice it at the beginning of the next end step.</t>
        </is>
      </c>
      <c r="M571" t="inlineStr">
        <is>
          <t>Value Engine</t>
        </is>
      </c>
      <c r="N571" t="inlineStr">
        <is>
          <t>(As this Saga enters and after your draw step, add a lore counter.)
I — Create a 2/2 red Goblin Shaman creature token wi</t>
        </is>
      </c>
      <c r="R571" t="n">
        <v>6.72</v>
      </c>
    </row>
    <row r="572" ht="15" customHeight="1" s="148">
      <c r="A572" t="inlineStr">
        <is>
          <t>c0571</t>
        </is>
      </c>
      <c r="B572" t="inlineStr">
        <is>
          <t>Faithless Looting</t>
        </is>
      </c>
      <c r="C572" t="n">
        <v>2</v>
      </c>
      <c r="E572" t="n">
        <v>1</v>
      </c>
      <c r="F572" t="n">
        <v>1</v>
      </c>
      <c r="G572" t="n">
        <v>1</v>
      </c>
      <c r="H572" t="inlineStr">
        <is>
          <t>R</t>
        </is>
      </c>
      <c r="I572" t="inlineStr">
        <is>
          <t>Sorcery</t>
        </is>
      </c>
      <c r="J572" t="inlineStr">
        <is>
          <t>B2</t>
        </is>
      </c>
      <c r="K572" t="n">
        <v>1</v>
      </c>
      <c r="L572" t="inlineStr">
        <is>
          <t>Draw two cards, then discard two cards.
Flashback {2}{R} (You may cast this card from your graveyard for its flashback cost. Then exile it.)</t>
        </is>
      </c>
      <c r="M572" t="inlineStr">
        <is>
          <t>Discard/Looting</t>
        </is>
      </c>
      <c r="N572" t="inlineStr">
        <is>
          <t>Draw two cards, then discard two cards</t>
        </is>
      </c>
      <c r="O572" t="inlineStr">
        <is>
          <t>Flashback lets you cast it again from graveyard</t>
        </is>
      </c>
      <c r="R572" t="n">
        <v>0.39</v>
      </c>
    </row>
    <row r="573" ht="15" customHeight="1" s="148">
      <c r="A573" t="inlineStr">
        <is>
          <t>c0572</t>
        </is>
      </c>
      <c r="B573" t="inlineStr">
        <is>
          <t>Fanatical Firebrand</t>
        </is>
      </c>
      <c r="C573" t="n">
        <v>1</v>
      </c>
      <c r="E573" t="n">
        <v>1</v>
      </c>
      <c r="F573" t="n">
        <v>0</v>
      </c>
      <c r="G573" t="n">
        <v>1</v>
      </c>
      <c r="H573" t="inlineStr">
        <is>
          <t>R</t>
        </is>
      </c>
      <c r="I573" t="inlineStr">
        <is>
          <t>Creature</t>
        </is>
      </c>
      <c r="J573" t="inlineStr">
        <is>
          <t>B2</t>
        </is>
      </c>
      <c r="K573" t="n">
        <v>1</v>
      </c>
      <c r="L573" t="inlineStr">
        <is>
          <t>Haste (This creature can attack and {T} as soon as it comes under your control.)
{T}, Sacrifice this creature: It deals 1 damage to any target.
(1/1)</t>
        </is>
      </c>
      <c r="M573" t="inlineStr">
        <is>
          <t>Burn</t>
        </is>
      </c>
      <c r="N573" t="inlineStr">
        <is>
          <t>Sacrifice: deals 1 damage to any target</t>
        </is>
      </c>
      <c r="O573" t="inlineStr">
        <is>
          <t>Can attack immediately (haste)</t>
        </is>
      </c>
      <c r="R573" t="n">
        <v>0.25</v>
      </c>
    </row>
    <row r="574" ht="15" customHeight="1" s="148">
      <c r="A574" t="inlineStr">
        <is>
          <t>c0573</t>
        </is>
      </c>
      <c r="B574" t="inlineStr">
        <is>
          <t>Fateful Tempest</t>
        </is>
      </c>
      <c r="C574" t="n">
        <v>1</v>
      </c>
      <c r="E574" t="n">
        <v>0</v>
      </c>
      <c r="F574" t="n">
        <v>1</v>
      </c>
      <c r="G574" t="n">
        <v>0</v>
      </c>
      <c r="H574" t="inlineStr">
        <is>
          <t>R</t>
        </is>
      </c>
      <c r="I574" t="inlineStr">
        <is>
          <t>Sorcery</t>
        </is>
      </c>
      <c r="J574" t="inlineStr">
        <is>
          <t>B2</t>
        </is>
      </c>
      <c r="K574" t="n">
        <v>3</v>
      </c>
      <c r="L574" t="inlineStr">
        <is>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is>
      </c>
      <c r="M574" t="inlineStr">
        <is>
          <t>Burn</t>
        </is>
      </c>
      <c r="N574" t="inlineStr">
        <is>
          <t>Deals damage to each opponent equal to mana value milled by votes</t>
        </is>
      </c>
      <c r="O574" t="inlineStr">
        <is>
          <t>Exiles cards you may play until end of next turn for present votes</t>
        </is>
      </c>
      <c r="R574" t="n">
        <v>0.21</v>
      </c>
    </row>
    <row r="575" ht="15" customHeight="1" s="148">
      <c r="A575" t="inlineStr">
        <is>
          <t>c0574</t>
        </is>
      </c>
      <c r="B575" t="inlineStr">
        <is>
          <t>Fervor</t>
        </is>
      </c>
      <c r="C575" t="n">
        <v>0</v>
      </c>
      <c r="E575" t="n">
        <v>0</v>
      </c>
      <c r="F575" t="n">
        <v>0</v>
      </c>
      <c r="G575" t="n">
        <v>0</v>
      </c>
      <c r="H575" t="inlineStr">
        <is>
          <t>R</t>
        </is>
      </c>
      <c r="I575" t="inlineStr">
        <is>
          <t>Enchantment</t>
        </is>
      </c>
      <c r="J575" t="inlineStr">
        <is>
          <t>B3</t>
        </is>
      </c>
      <c r="K575" t="n">
        <v>3</v>
      </c>
      <c r="L575" t="inlineStr">
        <is>
          <t>Creatures you control have haste. (They can attack and {T} as soon as they come under your control.)</t>
        </is>
      </c>
      <c r="M575" t="inlineStr">
        <is>
          <t>Haste Enabler</t>
        </is>
      </c>
      <c r="N575" t="inlineStr">
        <is>
          <t>Creatures you control have haste. (They can attack and {T} as soon as they come under your control.)</t>
        </is>
      </c>
      <c r="R575" t="n">
        <v>2.22</v>
      </c>
    </row>
    <row r="576" ht="15" customHeight="1" s="148">
      <c r="A576" t="inlineStr">
        <is>
          <t>c0575</t>
        </is>
      </c>
      <c r="B576" t="inlineStr">
        <is>
          <t>Fire Diamond</t>
        </is>
      </c>
      <c r="C576" t="n">
        <v>0</v>
      </c>
      <c r="E576" t="n">
        <v>0</v>
      </c>
      <c r="F576" t="n">
        <v>0</v>
      </c>
      <c r="G576" t="n">
        <v>0</v>
      </c>
      <c r="H576" t="inlineStr">
        <is>
          <t>R</t>
        </is>
      </c>
      <c r="I576" t="inlineStr">
        <is>
          <t>Artifact</t>
        </is>
      </c>
      <c r="J576" t="inlineStr">
        <is>
          <t>B2</t>
        </is>
      </c>
      <c r="K576" t="n">
        <v>2</v>
      </c>
      <c r="L576" t="inlineStr">
        <is>
          <t>This artifact enters tapped.
{T}: Add {R}.</t>
        </is>
      </c>
      <c r="M576" t="inlineStr">
        <is>
          <t>Mana Rock</t>
        </is>
      </c>
      <c r="N576" t="inlineStr">
        <is>
          <t>Taps for {R} (enters tapped)</t>
        </is>
      </c>
      <c r="R576" t="n">
        <v>0.36</v>
      </c>
    </row>
    <row r="577" ht="15" customHeight="1" s="148">
      <c r="A577" t="inlineStr">
        <is>
          <t>c0576</t>
        </is>
      </c>
      <c r="B577" t="inlineStr">
        <is>
          <t>Fire Nation Cadets</t>
        </is>
      </c>
      <c r="C577" t="n">
        <v>1</v>
      </c>
      <c r="E577" t="n">
        <v>0</v>
      </c>
      <c r="F577" t="n">
        <v>1</v>
      </c>
      <c r="G577" t="n">
        <v>0</v>
      </c>
      <c r="H577" t="inlineStr">
        <is>
          <t>R</t>
        </is>
      </c>
      <c r="I577" t="inlineStr">
        <is>
          <t>Creature</t>
        </is>
      </c>
      <c r="J577" t="inlineStr">
        <is>
          <t>B2</t>
        </is>
      </c>
      <c r="K577" t="n">
        <v>1</v>
      </c>
      <c r="L577" t="inlineStr">
        <is>
          <t>This creature has firebending 2 as long as there's a Lesson card in your graveyard. (Whenever this creature attacks, add {R}{R}. This mana lasts until end of combat.)
{2}: This creature gets +1/+0 until end of turn.
(1/2)</t>
        </is>
      </c>
      <c r="M577" t="inlineStr">
        <is>
          <t>Utility Creature</t>
        </is>
      </c>
      <c r="N577" t="inlineStr">
        <is>
          <t>{2}: It gets +1/+0 until end of turn</t>
        </is>
      </c>
      <c r="O577" t="inlineStr">
        <is>
          <t>Has firebending 2 while a Lesson card is in your graveyard - whenever it attacks, add {R}{R} until end of combat</t>
        </is>
      </c>
      <c r="R577" t="n">
        <v>0.18</v>
      </c>
    </row>
    <row r="578" ht="15" customHeight="1" s="148">
      <c r="A578" t="inlineStr">
        <is>
          <t>c0577</t>
        </is>
      </c>
      <c r="B578" t="inlineStr">
        <is>
          <t>Flame-Chain Mauler</t>
        </is>
      </c>
      <c r="C578" t="n">
        <v>1</v>
      </c>
      <c r="E578" t="n">
        <v>0</v>
      </c>
      <c r="F578" t="n">
        <v>1</v>
      </c>
      <c r="G578" t="n">
        <v>0</v>
      </c>
      <c r="H578" t="inlineStr">
        <is>
          <t>R</t>
        </is>
      </c>
      <c r="I578" t="inlineStr">
        <is>
          <t>Creature</t>
        </is>
      </c>
      <c r="J578" t="inlineStr">
        <is>
          <t>B2</t>
        </is>
      </c>
      <c r="K578" t="n">
        <v>2</v>
      </c>
      <c r="L578" t="inlineStr">
        <is>
          <t>{1}{R}: This creature gets +1/+0 and gains menace until end of turn. (It can't be blocked except by two or more creatures.)
(2/2)</t>
        </is>
      </c>
      <c r="M578" t="inlineStr">
        <is>
          <t>Mana Sink</t>
        </is>
      </c>
      <c r="N578" t="inlineStr">
        <is>
          <t>{1}{R}: This creature gets +1/+0 and gains menace until end of turn</t>
        </is>
      </c>
      <c r="R578" t="n">
        <v>0.1</v>
      </c>
    </row>
    <row r="579" ht="15" customHeight="1" s="148">
      <c r="A579" t="inlineStr">
        <is>
          <t>c0578</t>
        </is>
      </c>
      <c r="B579" t="inlineStr">
        <is>
          <t>Flamekin Gildweaver</t>
        </is>
      </c>
      <c r="C579" t="n">
        <v>1</v>
      </c>
      <c r="E579" t="n">
        <v>0</v>
      </c>
      <c r="F579" t="n">
        <v>1</v>
      </c>
      <c r="G579" t="n">
        <v>0</v>
      </c>
      <c r="H579" t="inlineStr">
        <is>
          <t>R</t>
        </is>
      </c>
      <c r="I579" t="inlineStr">
        <is>
          <t>Creature</t>
        </is>
      </c>
      <c r="J579" t="inlineStr">
        <is>
          <t>B2</t>
        </is>
      </c>
      <c r="K579" t="n">
        <v>4</v>
      </c>
      <c r="L579" t="inlineStr">
        <is>
          <t>Trample
When this creature enters, create a Treasure token. (It's an artifact with "{T}, Sacrifice this token: Add one mana of any color.")
(4/3)</t>
        </is>
      </c>
      <c r="M579" t="inlineStr">
        <is>
          <t>Ramp</t>
        </is>
      </c>
      <c r="N579" t="inlineStr">
        <is>
          <t>Enters: create a Treasure token</t>
        </is>
      </c>
      <c r="O579" t="inlineStr">
        <is>
          <t>4/3 trample body</t>
        </is>
      </c>
      <c r="R579" t="n">
        <v>0.12</v>
      </c>
    </row>
    <row r="580" ht="15" customHeight="1" s="148">
      <c r="A580" t="inlineStr">
        <is>
          <t>c0579</t>
        </is>
      </c>
      <c r="B580" t="inlineStr">
        <is>
          <t>Flashback</t>
        </is>
      </c>
      <c r="C580" t="n">
        <v>1</v>
      </c>
      <c r="E580" t="n">
        <v>1</v>
      </c>
      <c r="F580" t="n">
        <v>0</v>
      </c>
      <c r="G580" t="n">
        <v>1</v>
      </c>
      <c r="H580" t="inlineStr">
        <is>
          <t>R</t>
        </is>
      </c>
      <c r="I580" t="inlineStr">
        <is>
          <t>Instant</t>
        </is>
      </c>
      <c r="J580" t="inlineStr">
        <is>
          <t>B2</t>
        </is>
      </c>
      <c r="K580" t="n">
        <v>1</v>
      </c>
      <c r="L580" t="inlineStr">
        <is>
          <t>Target instant or sorcery card in your graveyard gains flashback until end of turn. The flashback cost is equal to its mana cost. (You may cast that card from your graveyard for its flashback cost. Then exile it.)</t>
        </is>
      </c>
      <c r="M580" t="inlineStr">
        <is>
          <t>Recursion</t>
        </is>
      </c>
      <c r="N580" t="inlineStr">
        <is>
          <t>Target instant or sorcery card in your graveyard gains flashback until end of turn for its mana cost</t>
        </is>
      </c>
      <c r="R580" t="n">
        <v>3.08</v>
      </c>
    </row>
    <row r="581" ht="15" customHeight="1" s="148">
      <c r="A581" t="inlineStr">
        <is>
          <t>c0580</t>
        </is>
      </c>
      <c r="B581" t="inlineStr">
        <is>
          <t>Foundry Street Denizen</t>
        </is>
      </c>
      <c r="C581" t="n">
        <v>1</v>
      </c>
      <c r="E581" t="n">
        <v>1</v>
      </c>
      <c r="F581" t="n">
        <v>0</v>
      </c>
      <c r="G581" t="n">
        <v>1</v>
      </c>
      <c r="H581" t="inlineStr">
        <is>
          <t>R</t>
        </is>
      </c>
      <c r="I581" t="inlineStr">
        <is>
          <t>Creature</t>
        </is>
      </c>
      <c r="J581" t="inlineStr">
        <is>
          <t>B2</t>
        </is>
      </c>
      <c r="K581" t="n">
        <v>1</v>
      </c>
      <c r="L581" t="inlineStr">
        <is>
          <t>Whenever another red creature you control enters, this creature gets +1/+0 until end of turn.
(1/1)</t>
        </is>
      </c>
      <c r="M581" t="inlineStr">
        <is>
          <t>Lord/Anthem</t>
        </is>
      </c>
      <c r="N581" t="inlineStr">
        <is>
          <t>Gets +1/+0 until end of turn whenever another red creature you control enters</t>
        </is>
      </c>
      <c r="R581" t="n">
        <v>0.17</v>
      </c>
    </row>
    <row r="582" ht="15" customHeight="1" s="148">
      <c r="A582" t="inlineStr">
        <is>
          <t>c0581</t>
        </is>
      </c>
      <c r="B582" t="inlineStr">
        <is>
          <t>Gandalf, Goblins' Bane</t>
        </is>
      </c>
      <c r="C582" t="n">
        <v>1</v>
      </c>
      <c r="E582" t="n">
        <v>0</v>
      </c>
      <c r="F582" t="n">
        <v>1</v>
      </c>
      <c r="G582" t="n">
        <v>0</v>
      </c>
      <c r="H582" t="inlineStr">
        <is>
          <t>R</t>
        </is>
      </c>
      <c r="I582" t="inlineStr">
        <is>
          <t>Legendary Creature</t>
        </is>
      </c>
      <c r="J582" t="inlineStr">
        <is>
          <t>B2</t>
        </is>
      </c>
      <c r="K582" t="n">
        <v>3</v>
      </c>
      <c r="L582" t="inlineStr">
        <is>
          <t>Gandalf, Goblins' Bane {2}{R} — Legendary Creature — Avatar Wizard (2/3)
Whenever you cast a noncreature spell, Gandalf gets +1/+1 until end of turn and deals 1 damage to each opponent.
//
Flameshape {1}{R} — Sorcery — Adventure
Look at the top two cards of your library and exile them face down. For as long as they remain exiled, you may play them if you control a Wizard.</t>
        </is>
      </c>
      <c r="M582" t="inlineStr">
        <is>
          <t>Burn</t>
        </is>
      </c>
      <c r="N582" t="inlineStr">
        <is>
          <t>Whenever you cast a noncreature spell, Gandalf gets +1/+1 until end of turn and deals 1 damage to each opponent</t>
        </is>
      </c>
      <c r="O582" t="inlineStr">
        <is>
          <t>Flameshape {1}{R}: exile the top two cards face down and play them for as long as you control a Wizard</t>
        </is>
      </c>
      <c r="R582" t="n">
        <v>4.65</v>
      </c>
    </row>
    <row r="583" ht="15" customHeight="1" s="148">
      <c r="A583" t="inlineStr">
        <is>
          <t>c0582</t>
        </is>
      </c>
      <c r="B583" t="inlineStr">
        <is>
          <t>Garrison Excavator</t>
        </is>
      </c>
      <c r="C583" t="n">
        <v>1</v>
      </c>
      <c r="E583" t="n">
        <v>1</v>
      </c>
      <c r="F583" t="n">
        <v>0</v>
      </c>
      <c r="G583" t="n">
        <v>1</v>
      </c>
      <c r="H583" t="inlineStr">
        <is>
          <t>R</t>
        </is>
      </c>
      <c r="I583" t="inlineStr">
        <is>
          <t>Creature</t>
        </is>
      </c>
      <c r="J583" t="inlineStr">
        <is>
          <t>B2</t>
        </is>
      </c>
      <c r="K583" t="n">
        <v>4</v>
      </c>
      <c r="L583" t="inlineStr">
        <is>
          <t>Menace (This creature can't be blocked except by two or more creatures.)
Whenever one or more cards leave your graveyard, create a 2/2 red and white Spirit creature token.
(3/4)</t>
        </is>
      </c>
      <c r="M583" t="inlineStr">
        <is>
          <t>Token Producer</t>
        </is>
      </c>
      <c r="N583" t="inlineStr">
        <is>
          <t>Whenever one or more cards leave your graveyard, create a 2/2 Spirit token</t>
        </is>
      </c>
      <c r="O583" t="inlineStr">
        <is>
          <t>Menace on a 3/4 body</t>
        </is>
      </c>
      <c r="R583" t="n">
        <v>0.22</v>
      </c>
    </row>
    <row r="584" ht="15" customHeight="1" s="148">
      <c r="A584" t="inlineStr">
        <is>
          <t>c0583</t>
        </is>
      </c>
      <c r="B584" t="inlineStr">
        <is>
          <t>Getaway Barrel</t>
        </is>
      </c>
      <c r="C584" t="n">
        <v>1</v>
      </c>
      <c r="E584" t="n">
        <v>1</v>
      </c>
      <c r="F584" t="n">
        <v>0</v>
      </c>
      <c r="G584" t="n">
        <v>1</v>
      </c>
      <c r="H584" t="inlineStr">
        <is>
          <t>R</t>
        </is>
      </c>
      <c r="I584" t="inlineStr">
        <is>
          <t>Artifact</t>
        </is>
      </c>
      <c r="J584" t="inlineStr">
        <is>
          <t>B2</t>
        </is>
      </c>
      <c r="K584" t="n">
        <v>4</v>
      </c>
      <c r="L584" t="inlineStr">
        <is>
          <t>When this artifact is put into a graveyard from the battlefield, reveal the top thirteen cards of your library. Put a random creature card from among them onto the battlefield. Put the rest on the bottom of your library in a random order.</t>
        </is>
      </c>
      <c r="M584" t="inlineStr">
        <is>
          <t>Card Advantage</t>
        </is>
      </c>
      <c r="N584" t="inlineStr">
        <is>
          <t>When this artifact is put into a graveyard from the battlefield, reveal the top thirteen cards of your library. Put a ra</t>
        </is>
      </c>
      <c r="R584" t="n">
        <v>0.29</v>
      </c>
    </row>
    <row r="585" ht="15" customHeight="1" s="148">
      <c r="A585" t="inlineStr">
        <is>
          <t>c0584</t>
        </is>
      </c>
      <c r="B585" t="inlineStr">
        <is>
          <t>Ghor-Clan Wrecker</t>
        </is>
      </c>
      <c r="C585" t="n">
        <v>1</v>
      </c>
      <c r="E585" t="n">
        <v>0</v>
      </c>
      <c r="F585" t="n">
        <v>1</v>
      </c>
      <c r="G585" t="n">
        <v>0</v>
      </c>
      <c r="H585" t="inlineStr">
        <is>
          <t>R</t>
        </is>
      </c>
      <c r="I585" t="inlineStr">
        <is>
          <t>Creature</t>
        </is>
      </c>
      <c r="J585" t="inlineStr">
        <is>
          <t>B2</t>
        </is>
      </c>
      <c r="K585" t="n">
        <v>4</v>
      </c>
      <c r="L585" t="inlineStr">
        <is>
          <t>Riot (This creature enters with your choice of a +1/+1 counter or haste.)
Menace (This creature can't be blocked except by two or more creatures.)
(2/2)</t>
        </is>
      </c>
      <c r="M585" t="inlineStr">
        <is>
          <t>Finisher</t>
        </is>
      </c>
      <c r="N585" t="inlineStr">
        <is>
          <t>Enters with a +1/+1 counter or haste, your choice</t>
        </is>
      </c>
      <c r="O585" t="inlineStr">
        <is>
          <t>Can't be blocked except by two or more creatures</t>
        </is>
      </c>
      <c r="R585" t="n">
        <v>0.15</v>
      </c>
    </row>
    <row r="586" ht="15" customHeight="1" s="148">
      <c r="A586" t="inlineStr">
        <is>
          <t>c0585</t>
        </is>
      </c>
      <c r="B586" t="inlineStr">
        <is>
          <t>Glóin the Mighty</t>
        </is>
      </c>
      <c r="C586" t="n">
        <v>1</v>
      </c>
      <c r="E586" t="n">
        <v>0</v>
      </c>
      <c r="F586" t="n">
        <v>1</v>
      </c>
      <c r="G586" t="n">
        <v>0</v>
      </c>
      <c r="H586" t="inlineStr">
        <is>
          <t>R</t>
        </is>
      </c>
      <c r="I586" t="inlineStr">
        <is>
          <t>Legendary Creature</t>
        </is>
      </c>
      <c r="J586" t="inlineStr">
        <is>
          <t>B2</t>
        </is>
      </c>
      <c r="K586" t="n">
        <v>4</v>
      </c>
      <c r="L586" t="inlineStr">
        <is>
          <t>Glóin the Mighty {3}{R} — Legendary Creature — Dwarf Warrior (4/3)
At the beginning of your first main phase, add {R}{R}.
//
Easy Pickings {2}{R} — Sorcery — Adventure
Easy Pickings deals 1 damage to each creature your opponents control. (Then exile this card. You may cast the creature later from exile.)</t>
        </is>
      </c>
      <c r="M586" t="inlineStr">
        <is>
          <t>Ramp</t>
        </is>
      </c>
      <c r="N586" t="inlineStr">
        <is>
          <t>At the beginning of your first main phase, add {R}{R}</t>
        </is>
      </c>
      <c r="O586" t="inlineStr">
        <is>
          <t>Back face Easy Pickings {2}{R}: deals 1 damage to each creature your opponents control</t>
        </is>
      </c>
      <c r="R586" t="n">
        <v>0.25</v>
      </c>
    </row>
    <row r="587" ht="15" customHeight="1" s="148">
      <c r="A587" t="inlineStr">
        <is>
          <t>c0586</t>
        </is>
      </c>
      <c r="B587" t="inlineStr">
        <is>
          <t>Goblin Bombardment</t>
        </is>
      </c>
      <c r="C587" t="n">
        <v>1</v>
      </c>
      <c r="E587" t="n">
        <v>1</v>
      </c>
      <c r="F587" t="n">
        <v>0</v>
      </c>
      <c r="G587" t="n">
        <v>1</v>
      </c>
      <c r="H587" t="inlineStr">
        <is>
          <t>R</t>
        </is>
      </c>
      <c r="I587" t="inlineStr">
        <is>
          <t>Enchantment</t>
        </is>
      </c>
      <c r="J587" t="inlineStr">
        <is>
          <t>B3</t>
        </is>
      </c>
      <c r="K587" t="n">
        <v>2</v>
      </c>
      <c r="L587" t="inlineStr">
        <is>
          <t>Sacrifice a creature: This enchantment deals 1 damage to any target.</t>
        </is>
      </c>
      <c r="M587" t="inlineStr">
        <is>
          <t>Sacrifice Outlet</t>
        </is>
      </c>
      <c r="N587" t="inlineStr">
        <is>
          <t>Sacrifice a creature: deals 1 damage to any target</t>
        </is>
      </c>
      <c r="R587" t="n">
        <v>2.85</v>
      </c>
    </row>
    <row r="588" ht="15" customHeight="1" s="148">
      <c r="A588" t="inlineStr">
        <is>
          <t>c0587</t>
        </is>
      </c>
      <c r="B588" t="inlineStr">
        <is>
          <t>Goblin Chieftain</t>
        </is>
      </c>
      <c r="C588" t="n">
        <v>1</v>
      </c>
      <c r="E588" t="n">
        <v>1</v>
      </c>
      <c r="F588" t="n">
        <v>0</v>
      </c>
      <c r="G588" t="n">
        <v>1</v>
      </c>
      <c r="H588" t="inlineStr">
        <is>
          <t>R</t>
        </is>
      </c>
      <c r="I588" t="inlineStr">
        <is>
          <t>Creature</t>
        </is>
      </c>
      <c r="J588" t="inlineStr">
        <is>
          <t>B3</t>
        </is>
      </c>
      <c r="K588" t="n">
        <v>3</v>
      </c>
      <c r="L588" t="inlineStr">
        <is>
          <t>Haste (This creature can attack and {T} as soon as it comes under your control.)
Other Goblin creatures you control get +1/+1 and have haste.
(2/2)</t>
        </is>
      </c>
      <c r="M588" t="inlineStr">
        <is>
          <t>Lord/Anthem</t>
        </is>
      </c>
      <c r="N588" t="inlineStr">
        <is>
          <t xml:space="preserve">Haste (This creature can attack and {T} as soon as it comes under your control.)
Other Goblin creatures you control get </t>
        </is>
      </c>
      <c r="R588" t="n">
        <v>5.94</v>
      </c>
    </row>
    <row r="589" ht="15" customHeight="1" s="148">
      <c r="A589" t="inlineStr">
        <is>
          <t>c0588</t>
        </is>
      </c>
      <c r="B589" t="inlineStr">
        <is>
          <t>Goblin Gathering</t>
        </is>
      </c>
      <c r="C589" t="n">
        <v>1</v>
      </c>
      <c r="E589" t="n">
        <v>1</v>
      </c>
      <c r="F589" t="n">
        <v>0</v>
      </c>
      <c r="G589" t="n">
        <v>1</v>
      </c>
      <c r="H589" t="inlineStr">
        <is>
          <t>R</t>
        </is>
      </c>
      <c r="I589" t="inlineStr">
        <is>
          <t>Sorcery</t>
        </is>
      </c>
      <c r="J589" t="inlineStr">
        <is>
          <t>B2</t>
        </is>
      </c>
      <c r="K589" t="n">
        <v>3</v>
      </c>
      <c r="L589" t="inlineStr">
        <is>
          <t>Create a number of 1/1 red Goblin creature tokens equal to two plus the number of cards named Goblin Gathering in your graveyard.</t>
        </is>
      </c>
      <c r="M589" t="inlineStr">
        <is>
          <t>Token Producer</t>
        </is>
      </c>
      <c r="N589" t="inlineStr">
        <is>
          <t>Creates two 1/1 Goblin tokens, plus one more per copy in your graveyard</t>
        </is>
      </c>
      <c r="R589" t="n">
        <v>0.11</v>
      </c>
    </row>
    <row r="590" ht="15" customHeight="1" s="148">
      <c r="A590" t="inlineStr">
        <is>
          <t>c0589</t>
        </is>
      </c>
      <c r="B590" t="inlineStr">
        <is>
          <t>Goblin Glasswright // Craft with Pride</t>
        </is>
      </c>
      <c r="C590" t="n">
        <v>1</v>
      </c>
      <c r="E590" t="n">
        <v>1</v>
      </c>
      <c r="F590" t="n">
        <v>0</v>
      </c>
      <c r="G590" t="n">
        <v>1</v>
      </c>
      <c r="H590" t="inlineStr">
        <is>
          <t>R</t>
        </is>
      </c>
      <c r="I590" t="inlineStr">
        <is>
          <t>Creature</t>
        </is>
      </c>
      <c r="J590" t="inlineStr">
        <is>
          <t>B2</t>
        </is>
      </c>
      <c r="K590" t="n">
        <v>2</v>
      </c>
      <c r="L590" t="inlineStr">
        <is>
          <t>Goblin Glasswright {1}{R} — Creature — Goblin Sorcerer (2/2)
This creature enters prepared. (While it's prepared, you may cast a copy of its spell. Doing so unprepares it.)
//
Craft with Pride {R} — Sorcery
Create a Treasure token. (It's an artifact with "{T}, Sacrifice this token: Add one mana of any color.")</t>
        </is>
      </c>
      <c r="M590" t="inlineStr">
        <is>
          <t>Ramp</t>
        </is>
      </c>
      <c r="N590" t="inlineStr">
        <is>
          <t>Enters prepared — you may cast a copy of Craft with Pride to create a Treasure token</t>
        </is>
      </c>
      <c r="O590" t="inlineStr">
        <is>
          <t>2/2 body</t>
        </is>
      </c>
      <c r="R590" t="n">
        <v>0.16</v>
      </c>
    </row>
    <row r="591" ht="15" customHeight="1" s="148">
      <c r="A591" t="inlineStr">
        <is>
          <t>c0590</t>
        </is>
      </c>
      <c r="B591" t="inlineStr">
        <is>
          <t>Goblin Instigator</t>
        </is>
      </c>
      <c r="C591" t="n">
        <v>1</v>
      </c>
      <c r="E591" t="n">
        <v>1</v>
      </c>
      <c r="F591" t="n">
        <v>0</v>
      </c>
      <c r="G591" t="n">
        <v>1</v>
      </c>
      <c r="H591" t="inlineStr">
        <is>
          <t>R</t>
        </is>
      </c>
      <c r="I591" t="inlineStr">
        <is>
          <t>Creature</t>
        </is>
      </c>
      <c r="J591" t="inlineStr">
        <is>
          <t>B2</t>
        </is>
      </c>
      <c r="K591" t="n">
        <v>2</v>
      </c>
      <c r="L591" t="inlineStr">
        <is>
          <t>When this creature enters, create a 1/1 red Goblin creature token.
(1/1)</t>
        </is>
      </c>
      <c r="M591" t="inlineStr">
        <is>
          <t>Token Producer</t>
        </is>
      </c>
      <c r="N591" t="inlineStr">
        <is>
          <t>Creates a 1/1 Goblin token when it enters</t>
        </is>
      </c>
      <c r="R591" t="n">
        <v>0.39</v>
      </c>
    </row>
    <row r="592" ht="15" customHeight="1" s="148">
      <c r="A592" t="inlineStr">
        <is>
          <t>c0591</t>
        </is>
      </c>
      <c r="B592" t="inlineStr">
        <is>
          <t>Goblin Lackey</t>
        </is>
      </c>
      <c r="C592" t="n">
        <v>0</v>
      </c>
      <c r="E592" t="n">
        <v>0</v>
      </c>
      <c r="F592" t="n">
        <v>0</v>
      </c>
      <c r="G592" t="n">
        <v>0</v>
      </c>
      <c r="H592" t="inlineStr">
        <is>
          <t>R</t>
        </is>
      </c>
      <c r="I592" t="inlineStr">
        <is>
          <t>Creature</t>
        </is>
      </c>
      <c r="J592" t="inlineStr">
        <is>
          <t>B3</t>
        </is>
      </c>
      <c r="K592" t="n">
        <v>1</v>
      </c>
      <c r="L592" t="inlineStr">
        <is>
          <t>Whenever this creature deals damage to a player, you may put a Goblin permanent card from your hand onto the battlefield.
(1/1)</t>
        </is>
      </c>
      <c r="M592" t="inlineStr">
        <is>
          <t>Token Producer</t>
        </is>
      </c>
      <c r="N592" t="inlineStr">
        <is>
          <t>Whenever this creature deals damage to a player, you may put a Goblin permanent card from your hand onto the battlefield</t>
        </is>
      </c>
      <c r="R592" t="n">
        <v>9.34</v>
      </c>
    </row>
    <row r="593" ht="15" customHeight="1" s="148">
      <c r="A593" t="inlineStr">
        <is>
          <t>c0592</t>
        </is>
      </c>
      <c r="B593" t="inlineStr">
        <is>
          <t>Goblin Matron</t>
        </is>
      </c>
      <c r="C593" t="n">
        <v>1</v>
      </c>
      <c r="E593" t="n">
        <v>1</v>
      </c>
      <c r="F593" t="n">
        <v>0</v>
      </c>
      <c r="G593" t="n">
        <v>1</v>
      </c>
      <c r="H593" t="inlineStr">
        <is>
          <t>R</t>
        </is>
      </c>
      <c r="I593" t="inlineStr">
        <is>
          <t>Creature</t>
        </is>
      </c>
      <c r="J593" t="inlineStr">
        <is>
          <t>B2</t>
        </is>
      </c>
      <c r="K593" t="n">
        <v>3</v>
      </c>
      <c r="L593" t="inlineStr">
        <is>
          <t>When this creature enters, you may search your library for a Goblin card, reveal that card, put it into your hand, then shuffle.
(1/1)</t>
        </is>
      </c>
      <c r="M593" t="inlineStr">
        <is>
          <t>Tutor</t>
        </is>
      </c>
      <c r="N593" t="inlineStr">
        <is>
          <t>Searches library for a Goblin card to hand when it enters</t>
        </is>
      </c>
      <c r="R593" t="n">
        <v>0.32</v>
      </c>
    </row>
    <row r="594" ht="15" customHeight="1" s="148">
      <c r="A594" t="inlineStr">
        <is>
          <t>c0593</t>
        </is>
      </c>
      <c r="B594" t="inlineStr">
        <is>
          <t>Goblin Motivator</t>
        </is>
      </c>
      <c r="C594" t="n">
        <v>0</v>
      </c>
      <c r="D594" t="n">
        <v>1</v>
      </c>
      <c r="E594" t="n">
        <v>0</v>
      </c>
      <c r="F594" t="n">
        <v>0</v>
      </c>
      <c r="G594" t="n">
        <v>1</v>
      </c>
      <c r="H594" t="inlineStr">
        <is>
          <t>R</t>
        </is>
      </c>
      <c r="I594" t="inlineStr">
        <is>
          <t>Creature</t>
        </is>
      </c>
      <c r="J594" t="inlineStr">
        <is>
          <t>B2</t>
        </is>
      </c>
      <c r="K594" t="n">
        <v>1</v>
      </c>
      <c r="L594" t="inlineStr">
        <is>
          <t>{T}: Target creature gains haste until end of turn. (It can attack and {T} this turn.)
(1/1)</t>
        </is>
      </c>
      <c r="M594" t="inlineStr">
        <is>
          <t>Haste Enabler</t>
        </is>
      </c>
      <c r="N594" t="inlineStr">
        <is>
          <t>Tap: target creature gains haste until end of turn</t>
        </is>
      </c>
      <c r="R594" t="n">
        <v>0.26</v>
      </c>
    </row>
    <row r="595" ht="15" customHeight="1" s="148">
      <c r="A595" t="inlineStr">
        <is>
          <t>c0594</t>
        </is>
      </c>
      <c r="B595" t="inlineStr">
        <is>
          <t>Goblin Oriflamme</t>
        </is>
      </c>
      <c r="C595" t="n">
        <v>0</v>
      </c>
      <c r="E595" t="n">
        <v>0</v>
      </c>
      <c r="F595" t="n">
        <v>0</v>
      </c>
      <c r="G595" t="n">
        <v>0</v>
      </c>
      <c r="H595" t="inlineStr">
        <is>
          <t>R</t>
        </is>
      </c>
      <c r="I595" t="inlineStr">
        <is>
          <t>Enchantment</t>
        </is>
      </c>
      <c r="J595" t="inlineStr">
        <is>
          <t>B2</t>
        </is>
      </c>
      <c r="K595" t="n">
        <v>2</v>
      </c>
      <c r="L595" t="inlineStr">
        <is>
          <t>Attacking creatures you control get +1/+0.</t>
        </is>
      </c>
      <c r="M595" t="inlineStr">
        <is>
          <t>Lord/Anthem</t>
        </is>
      </c>
      <c r="N595" t="inlineStr">
        <is>
          <t>Attacking creatures you control get +1/+0</t>
        </is>
      </c>
      <c r="R595" t="n">
        <v>0.53</v>
      </c>
    </row>
    <row r="596" ht="15" customHeight="1" s="148">
      <c r="A596" t="inlineStr">
        <is>
          <t>c0595</t>
        </is>
      </c>
      <c r="B596" t="inlineStr">
        <is>
          <t>Goblin Piledriver</t>
        </is>
      </c>
      <c r="C596" t="n">
        <v>0</v>
      </c>
      <c r="E596" t="n">
        <v>0</v>
      </c>
      <c r="F596" t="n">
        <v>0</v>
      </c>
      <c r="G596" t="n">
        <v>0</v>
      </c>
      <c r="H596" t="inlineStr">
        <is>
          <t>R</t>
        </is>
      </c>
      <c r="I596" t="inlineStr">
        <is>
          <t>Creature</t>
        </is>
      </c>
      <c r="J596" t="inlineStr">
        <is>
          <t>B3</t>
        </is>
      </c>
      <c r="K596" t="n">
        <v>2</v>
      </c>
      <c r="L596" t="inlineStr">
        <is>
          <t>Protection from blue (This creature can't be blocked, targeted, dealt damage, or enchanted by anything blue.)
Whenever this creature attacks, it gets +2/+0 until end of turn for each other attacking Goblin.
(1/2)</t>
        </is>
      </c>
      <c r="M596" t="inlineStr">
        <is>
          <t>Lord/Anthem</t>
        </is>
      </c>
      <c r="N596" t="inlineStr">
        <is>
          <t>Protection from blue (This creature can't be blocked, targeted, dealt damage, or enchanted by anything blue.)
Whenever t</t>
        </is>
      </c>
      <c r="R596" t="n">
        <v>2.58</v>
      </c>
    </row>
    <row r="597" ht="15" customHeight="1" s="148">
      <c r="A597" t="inlineStr">
        <is>
          <t>c0596</t>
        </is>
      </c>
      <c r="B597" t="inlineStr">
        <is>
          <t>Goblin Rabblemaster</t>
        </is>
      </c>
      <c r="C597" t="n">
        <v>1</v>
      </c>
      <c r="E597" t="n">
        <v>1</v>
      </c>
      <c r="F597" t="n">
        <v>0</v>
      </c>
      <c r="G597" t="n">
        <v>1</v>
      </c>
      <c r="H597" t="inlineStr">
        <is>
          <t>R</t>
        </is>
      </c>
      <c r="I597" t="inlineStr">
        <is>
          <t>Creature</t>
        </is>
      </c>
      <c r="J597" t="inlineStr">
        <is>
          <t>B3</t>
        </is>
      </c>
      <c r="K597" t="n">
        <v>3</v>
      </c>
      <c r="L597" t="inlineStr">
        <is>
          <t>Other Goblin creatures you control attack each combat if able.
At the beginning of combat on your turn, create a 1/1 red Goblin creature token with haste.
Whenever this creature attacks, it gets +1/+0 until end of turn for each other attacking Goblin.
(2/2)</t>
        </is>
      </c>
      <c r="M597" t="inlineStr">
        <is>
          <t>Token Producer</t>
        </is>
      </c>
      <c r="N597" t="inlineStr">
        <is>
          <t>Creates a 1/1 Goblin that must attack at each of your combats</t>
        </is>
      </c>
      <c r="O597" t="inlineStr">
        <is>
          <t>Gets +1/+0 per other attacking Goblin; other Goblins must attack</t>
        </is>
      </c>
      <c r="R597" t="n">
        <v>0.66</v>
      </c>
    </row>
    <row r="598" ht="15" customHeight="1" s="148">
      <c r="A598" t="inlineStr">
        <is>
          <t>c0597</t>
        </is>
      </c>
      <c r="B598" t="inlineStr">
        <is>
          <t>Goblin Rally</t>
        </is>
      </c>
      <c r="C598" t="n">
        <v>1</v>
      </c>
      <c r="E598" t="n">
        <v>1</v>
      </c>
      <c r="F598" t="n">
        <v>0</v>
      </c>
      <c r="G598" t="n">
        <v>1</v>
      </c>
      <c r="H598" t="inlineStr">
        <is>
          <t>R</t>
        </is>
      </c>
      <c r="I598" t="inlineStr">
        <is>
          <t>Sorcery</t>
        </is>
      </c>
      <c r="J598" t="inlineStr">
        <is>
          <t>B2</t>
        </is>
      </c>
      <c r="K598" t="n">
        <v>5</v>
      </c>
      <c r="L598" t="inlineStr">
        <is>
          <t>Create four 1/1 red Goblin creature tokens.</t>
        </is>
      </c>
      <c r="M598" t="inlineStr">
        <is>
          <t>Token Producer</t>
        </is>
      </c>
      <c r="N598" t="inlineStr">
        <is>
          <t>Creates four 1/1 Goblin tokens</t>
        </is>
      </c>
      <c r="R598" t="n">
        <v>0.36</v>
      </c>
    </row>
    <row r="599" ht="15" customHeight="1" s="148">
      <c r="A599" t="inlineStr">
        <is>
          <t>c0598</t>
        </is>
      </c>
      <c r="B599" t="inlineStr">
        <is>
          <t>Goblin Recruiter</t>
        </is>
      </c>
      <c r="C599" t="n">
        <v>0</v>
      </c>
      <c r="E599" t="n">
        <v>0</v>
      </c>
      <c r="F599" t="n">
        <v>0</v>
      </c>
      <c r="G599" t="n">
        <v>0</v>
      </c>
      <c r="H599" t="inlineStr">
        <is>
          <t>R</t>
        </is>
      </c>
      <c r="I599" t="inlineStr">
        <is>
          <t>Creature</t>
        </is>
      </c>
      <c r="J599" t="inlineStr">
        <is>
          <t>B3</t>
        </is>
      </c>
      <c r="K599" t="n">
        <v>2</v>
      </c>
      <c r="L599" t="inlineStr">
        <is>
          <t>When this creature enters, search your library for any number of Goblin cards, reveal them, then shuffle and put those cards on top in any order.
(1/1)</t>
        </is>
      </c>
      <c r="M599" t="inlineStr">
        <is>
          <t>Tutor</t>
        </is>
      </c>
      <c r="N599" t="inlineStr">
        <is>
          <t>When this creature enters, search your library for any number of Goblin cards, reveal them, then shuffle and put those c</t>
        </is>
      </c>
      <c r="R599" t="n">
        <v>5.54</v>
      </c>
    </row>
    <row r="600" ht="15" customHeight="1" s="148">
      <c r="A600" t="inlineStr">
        <is>
          <t>c0599</t>
        </is>
      </c>
      <c r="B600" t="inlineStr">
        <is>
          <t>Goblin Ringleader</t>
        </is>
      </c>
      <c r="C600" t="n">
        <v>1</v>
      </c>
      <c r="E600" t="n">
        <v>1</v>
      </c>
      <c r="F600" t="n">
        <v>0</v>
      </c>
      <c r="G600" t="n">
        <v>1</v>
      </c>
      <c r="H600" t="inlineStr">
        <is>
          <t>R</t>
        </is>
      </c>
      <c r="I600" t="inlineStr">
        <is>
          <t>Creature</t>
        </is>
      </c>
      <c r="J600" t="inlineStr">
        <is>
          <t>B2</t>
        </is>
      </c>
      <c r="K600" t="n">
        <v>4</v>
      </c>
      <c r="L600" t="inlineStr">
        <is>
          <t>Haste (This creature can attack and {T} as soon as it comes under your control.)
When this creature enters, reveal the top four cards of your library. Put all Goblin cards revealed this way into your hand and the rest on the bottom of your library in any order.
(2/2)</t>
        </is>
      </c>
      <c r="M600" t="inlineStr">
        <is>
          <t>Tutor</t>
        </is>
      </c>
      <c r="N600" t="inlineStr">
        <is>
          <t>Reveals top four cards, puts all Goblin cards found into hand</t>
        </is>
      </c>
      <c r="O600" t="inlineStr">
        <is>
          <t>Can attack immediately when it enters (haste)</t>
        </is>
      </c>
      <c r="R600" t="n">
        <v>0.99</v>
      </c>
    </row>
    <row r="601" ht="15" customHeight="1" s="148">
      <c r="A601" t="inlineStr">
        <is>
          <t>c0600</t>
        </is>
      </c>
      <c r="B601" t="inlineStr">
        <is>
          <t>Goblin Trashmaster</t>
        </is>
      </c>
      <c r="C601" t="n">
        <v>1</v>
      </c>
      <c r="E601" t="n">
        <v>1</v>
      </c>
      <c r="F601" t="n">
        <v>0</v>
      </c>
      <c r="G601" t="n">
        <v>1</v>
      </c>
      <c r="H601" t="inlineStr">
        <is>
          <t>R</t>
        </is>
      </c>
      <c r="I601" t="inlineStr">
        <is>
          <t>Creature</t>
        </is>
      </c>
      <c r="J601" t="inlineStr">
        <is>
          <t>B3</t>
        </is>
      </c>
      <c r="K601" t="n">
        <v>4</v>
      </c>
      <c r="L601" t="inlineStr">
        <is>
          <t>Other Goblins you control get +1/+1.
Sacrifice a Goblin: Destroy target artifact.
(3/3)</t>
        </is>
      </c>
      <c r="M601" t="inlineStr">
        <is>
          <t>Lord/Anthem</t>
        </is>
      </c>
      <c r="N601" t="inlineStr">
        <is>
          <t>Other Goblins you control get +1/+1.
Sacrifice a Goblin: Destroy target artifact.</t>
        </is>
      </c>
      <c r="R601" t="n">
        <v>7.78</v>
      </c>
    </row>
    <row r="602" ht="15" customHeight="1" s="148">
      <c r="A602" t="inlineStr">
        <is>
          <t>c0601</t>
        </is>
      </c>
      <c r="B602" t="inlineStr">
        <is>
          <t>Goblin Warchief</t>
        </is>
      </c>
      <c r="C602" t="n">
        <v>1</v>
      </c>
      <c r="E602" t="n">
        <v>1</v>
      </c>
      <c r="F602" t="n">
        <v>0</v>
      </c>
      <c r="G602" t="n">
        <v>1</v>
      </c>
      <c r="H602" t="inlineStr">
        <is>
          <t>R</t>
        </is>
      </c>
      <c r="I602" t="inlineStr">
        <is>
          <t>Creature</t>
        </is>
      </c>
      <c r="J602" t="inlineStr">
        <is>
          <t>B2</t>
        </is>
      </c>
      <c r="K602" t="n">
        <v>3</v>
      </c>
      <c r="L602" t="inlineStr">
        <is>
          <t>Goblin spells you cast cost {1} less to cast.
Goblins you control have haste.
(2/2)</t>
        </is>
      </c>
      <c r="M602" t="inlineStr">
        <is>
          <t>Cost Reducer</t>
        </is>
      </c>
      <c r="N602" t="inlineStr">
        <is>
          <t>Goblin spells you cast cost {1} less</t>
        </is>
      </c>
      <c r="O602" t="inlineStr">
        <is>
          <t>Goblins you control have haste</t>
        </is>
      </c>
      <c r="R602" t="n">
        <v>1.14</v>
      </c>
    </row>
    <row r="603" ht="15" customHeight="1" s="148">
      <c r="A603" t="inlineStr">
        <is>
          <t>c0602</t>
        </is>
      </c>
      <c r="B603" t="inlineStr">
        <is>
          <t>Goblin-town Flunkies</t>
        </is>
      </c>
      <c r="C603" t="n">
        <v>1</v>
      </c>
      <c r="E603" t="n">
        <v>0</v>
      </c>
      <c r="F603" t="n">
        <v>1</v>
      </c>
      <c r="G603" t="n">
        <v>0</v>
      </c>
      <c r="H603" t="inlineStr">
        <is>
          <t>R</t>
        </is>
      </c>
      <c r="I603" t="inlineStr">
        <is>
          <t>Creature</t>
        </is>
      </c>
      <c r="J603" t="inlineStr">
        <is>
          <t>B2</t>
        </is>
      </c>
      <c r="K603" t="n">
        <v>2</v>
      </c>
      <c r="L603" t="inlineStr">
        <is>
          <t>Goblin-town Flunkies {1}{R} — Creature — Goblin Soldier (1/1)
Haste
When this creature enters, amass Goblins 1. (Put a +1/+1 counter on an Army you control. It's also a Goblin. If you don't control an Army, create a 0/0 black Goblin Army creature token first.)</t>
        </is>
      </c>
      <c r="M603" t="inlineStr">
        <is>
          <t>Token Producer</t>
        </is>
      </c>
      <c r="N603" t="inlineStr">
        <is>
          <t>Haste; when this creature enters, amass Goblins 1</t>
        </is>
      </c>
      <c r="R603" t="n">
        <v>0.15</v>
      </c>
    </row>
    <row r="604" ht="15" customHeight="1" s="148">
      <c r="A604" t="inlineStr">
        <is>
          <t>c0603</t>
        </is>
      </c>
      <c r="B604" t="inlineStr">
        <is>
          <t>Great Furnace</t>
        </is>
      </c>
      <c r="C604" t="n">
        <v>0</v>
      </c>
      <c r="E604" t="n">
        <v>0</v>
      </c>
      <c r="F604" t="n">
        <v>0</v>
      </c>
      <c r="G604" t="n">
        <v>0</v>
      </c>
      <c r="H604" t="inlineStr">
        <is>
          <t>R</t>
        </is>
      </c>
      <c r="I604" t="inlineStr">
        <is>
          <t>Artifact Land</t>
        </is>
      </c>
      <c r="J604" t="inlineStr">
        <is>
          <t>B2</t>
        </is>
      </c>
      <c r="K604" t="n">
        <v>0</v>
      </c>
      <c r="L604" t="inlineStr">
        <is>
          <t>{T}: Add {R}.</t>
        </is>
      </c>
      <c r="M604" t="inlineStr">
        <is>
          <t>Land</t>
        </is>
      </c>
      <c r="N604" t="inlineStr">
        <is>
          <t>Taps for {R}</t>
        </is>
      </c>
      <c r="R604" t="n">
        <v>2.43</v>
      </c>
    </row>
    <row r="605" ht="15" customHeight="1" s="148">
      <c r="A605" t="inlineStr">
        <is>
          <t>c0604</t>
        </is>
      </c>
      <c r="B605" t="inlineStr">
        <is>
          <t>Gristle Glutton</t>
        </is>
      </c>
      <c r="C605" t="n">
        <v>1</v>
      </c>
      <c r="E605" t="n">
        <v>0</v>
      </c>
      <c r="F605" t="n">
        <v>1</v>
      </c>
      <c r="G605" t="n">
        <v>0</v>
      </c>
      <c r="H605" t="inlineStr">
        <is>
          <t>R</t>
        </is>
      </c>
      <c r="I605" t="inlineStr">
        <is>
          <t>Creature</t>
        </is>
      </c>
      <c r="J605" t="inlineStr">
        <is>
          <t>B2</t>
        </is>
      </c>
      <c r="K605" t="n">
        <v>2</v>
      </c>
      <c r="L605" t="inlineStr">
        <is>
          <t>{T}, Blight 1: Discard a card. If you do, draw a card. (To blight 1, put a -1/-1 counter on a creature you control.)
(1/3)</t>
        </is>
      </c>
      <c r="M605" t="inlineStr">
        <is>
          <t>Discard/Looting</t>
        </is>
      </c>
      <c r="N605" t="inlineStr">
        <is>
          <t>Put a -1/-1 counter on a creature to loot (discard then draw)</t>
        </is>
      </c>
      <c r="R605" t="n">
        <v>0.3</v>
      </c>
    </row>
    <row r="606" ht="15" customHeight="1" s="148">
      <c r="A606" t="inlineStr">
        <is>
          <t>c0605</t>
        </is>
      </c>
      <c r="B606" t="inlineStr">
        <is>
          <t>Gundabad Opportunist</t>
        </is>
      </c>
      <c r="C606" t="n">
        <v>3</v>
      </c>
      <c r="E606" t="n">
        <v>1</v>
      </c>
      <c r="F606" t="n">
        <v>2</v>
      </c>
      <c r="G606" t="n">
        <v>1</v>
      </c>
      <c r="H606" t="inlineStr">
        <is>
          <t>R</t>
        </is>
      </c>
      <c r="I606" t="inlineStr">
        <is>
          <t>Creature</t>
        </is>
      </c>
      <c r="J606" t="inlineStr">
        <is>
          <t>B2</t>
        </is>
      </c>
      <c r="K606" t="n">
        <v>4</v>
      </c>
      <c r="L606" t="inlineStr">
        <is>
          <t>When this creature enters, exile the top card of your library. Until the end of your next turn, you may play that card.
(4/2)</t>
        </is>
      </c>
      <c r="M606" t="inlineStr">
        <is>
          <t>Card Advantage</t>
        </is>
      </c>
      <c r="N606" t="inlineStr">
        <is>
          <t>Exiles the top card of your library when it enters; you may play it until your next turn ends</t>
        </is>
      </c>
      <c r="R606" t="n">
        <v>0.25</v>
      </c>
    </row>
    <row r="607" ht="15" customHeight="1" s="148">
      <c r="A607" t="inlineStr">
        <is>
          <t>c0606</t>
        </is>
      </c>
      <c r="B607" t="inlineStr">
        <is>
          <t>Hanweir Garrison</t>
        </is>
      </c>
      <c r="C607" t="n">
        <v>2</v>
      </c>
      <c r="E607" t="n">
        <v>1</v>
      </c>
      <c r="F607" t="n">
        <v>1</v>
      </c>
      <c r="G607" t="n">
        <v>1</v>
      </c>
      <c r="H607" t="inlineStr">
        <is>
          <t>R</t>
        </is>
      </c>
      <c r="I607" t="inlineStr">
        <is>
          <t>Creature</t>
        </is>
      </c>
      <c r="J607" t="inlineStr">
        <is>
          <t>B2</t>
        </is>
      </c>
      <c r="K607" t="n">
        <v>3</v>
      </c>
      <c r="L607" t="inlineStr">
        <is>
          <t>Whenever this creature attacks, create two 1/1 red Human creature tokens that are tapped and attacking.
(Melds with Hanweir Battlements.)
(2/3)</t>
        </is>
      </c>
      <c r="M607" t="inlineStr">
        <is>
          <t>Token Producer</t>
        </is>
      </c>
      <c r="N607" t="inlineStr">
        <is>
          <t>Creates two 1/1 Human tokens, tapped and attacking, whenever it attacks</t>
        </is>
      </c>
      <c r="R607" t="n">
        <v>2.03</v>
      </c>
    </row>
    <row r="608" ht="15" customHeight="1" s="148">
      <c r="A608" t="inlineStr">
        <is>
          <t>c0607</t>
        </is>
      </c>
      <c r="B608" t="inlineStr">
        <is>
          <t>Hobgoblin Bandit Lord</t>
        </is>
      </c>
      <c r="C608" t="n">
        <v>0</v>
      </c>
      <c r="E608" t="n">
        <v>0</v>
      </c>
      <c r="F608" t="n">
        <v>0</v>
      </c>
      <c r="G608" t="n">
        <v>0</v>
      </c>
      <c r="H608" t="inlineStr">
        <is>
          <t>R</t>
        </is>
      </c>
      <c r="I608" t="inlineStr">
        <is>
          <t>Creature</t>
        </is>
      </c>
      <c r="J608" t="inlineStr">
        <is>
          <t>B3</t>
        </is>
      </c>
      <c r="K608" t="n">
        <v>3</v>
      </c>
      <c r="L608" t="inlineStr">
        <is>
          <t>Other Goblins you control get +1/+1.
{R}, {T}: This creature deals damage equal to the number of Goblins that entered the battlefield under your control this turn to any target.
(2/3)</t>
        </is>
      </c>
      <c r="M608" t="inlineStr">
        <is>
          <t>Lord/Anthem</t>
        </is>
      </c>
      <c r="N608" t="inlineStr">
        <is>
          <t>Other Goblins you control get +1/+1.
{R}, {T}: This creature deals damage equal to the number of Goblins that entered the battlefield under your control this turn to any target.</t>
        </is>
      </c>
      <c r="R608" t="n">
        <v>4.77</v>
      </c>
    </row>
    <row r="609" ht="15" customHeight="1" s="148">
      <c r="A609" t="inlineStr">
        <is>
          <t>c0608</t>
        </is>
      </c>
      <c r="B609" t="inlineStr">
        <is>
          <t>Hordeling Outburst</t>
        </is>
      </c>
      <c r="C609" t="n">
        <v>1</v>
      </c>
      <c r="E609" t="n">
        <v>1</v>
      </c>
      <c r="F609" t="n">
        <v>0</v>
      </c>
      <c r="G609" t="n">
        <v>1</v>
      </c>
      <c r="H609" t="inlineStr">
        <is>
          <t>R</t>
        </is>
      </c>
      <c r="I609" t="inlineStr">
        <is>
          <t>Sorcery</t>
        </is>
      </c>
      <c r="J609" t="inlineStr">
        <is>
          <t>B2</t>
        </is>
      </c>
      <c r="K609" t="n">
        <v>3</v>
      </c>
      <c r="L609" t="inlineStr">
        <is>
          <t>Create three 1/1 red Goblin creature tokens.</t>
        </is>
      </c>
      <c r="M609" t="inlineStr">
        <is>
          <t>Token Producer</t>
        </is>
      </c>
      <c r="N609" t="inlineStr">
        <is>
          <t>Creates three 1/1 Goblin tokens</t>
        </is>
      </c>
      <c r="R609" t="n">
        <v>0.45</v>
      </c>
    </row>
    <row r="610" ht="15" customHeight="1" s="148">
      <c r="A610" t="inlineStr">
        <is>
          <t>c0609</t>
        </is>
      </c>
      <c r="B610" t="inlineStr">
        <is>
          <t>Impact Tremors</t>
        </is>
      </c>
      <c r="C610" t="n">
        <v>1</v>
      </c>
      <c r="E610" t="n">
        <v>1</v>
      </c>
      <c r="F610" t="n">
        <v>0</v>
      </c>
      <c r="G610" t="n">
        <v>0</v>
      </c>
      <c r="H610" t="inlineStr">
        <is>
          <t>R</t>
        </is>
      </c>
      <c r="I610" t="inlineStr">
        <is>
          <t>Enchantment</t>
        </is>
      </c>
      <c r="J610" t="inlineStr">
        <is>
          <t>B2</t>
        </is>
      </c>
      <c r="K610" t="n">
        <v>2</v>
      </c>
      <c r="L610" t="inlineStr">
        <is>
          <t>Whenever a creature you control enters, this enchantment deals 1 damage to each opponent.</t>
        </is>
      </c>
      <c r="M610" t="inlineStr">
        <is>
          <t>Burn</t>
        </is>
      </c>
      <c r="N610" t="inlineStr">
        <is>
          <t>Whenever a creature you control enters, deals 1 damage to each opponent</t>
        </is>
      </c>
      <c r="R610" t="n">
        <v>2.1</v>
      </c>
    </row>
    <row r="611" ht="15" customHeight="1" s="148">
      <c r="A611" t="inlineStr">
        <is>
          <t>c0610</t>
        </is>
      </c>
      <c r="B611" t="inlineStr">
        <is>
          <t>Impolite Entrance</t>
        </is>
      </c>
      <c r="C611" t="n">
        <v>1</v>
      </c>
      <c r="E611" t="n">
        <v>0</v>
      </c>
      <c r="F611" t="n">
        <v>1</v>
      </c>
      <c r="G611" t="n">
        <v>0</v>
      </c>
      <c r="H611" t="inlineStr">
        <is>
          <t>R</t>
        </is>
      </c>
      <c r="I611" t="inlineStr">
        <is>
          <t>Sorcery</t>
        </is>
      </c>
      <c r="J611" t="inlineStr">
        <is>
          <t>B2</t>
        </is>
      </c>
      <c r="K611" t="n">
        <v>1</v>
      </c>
      <c r="L611" t="inlineStr">
        <is>
          <t>Target creature gains trample and haste until end of turn.
Draw a card.</t>
        </is>
      </c>
      <c r="M611" t="inlineStr">
        <is>
          <t>Combat Trick</t>
        </is>
      </c>
      <c r="N611" t="inlineStr">
        <is>
          <t>Target creature gains trample and haste until end of turn</t>
        </is>
      </c>
      <c r="O611" t="inlineStr">
        <is>
          <t>Draw a card</t>
        </is>
      </c>
      <c r="R611" t="n">
        <v>0.33</v>
      </c>
    </row>
    <row r="612" ht="15" customHeight="1" s="148">
      <c r="A612" t="inlineStr">
        <is>
          <t>c0611</t>
        </is>
      </c>
      <c r="B612" t="inlineStr">
        <is>
          <t>Iron Hills Stalwart</t>
        </is>
      </c>
      <c r="C612" t="n">
        <v>2</v>
      </c>
      <c r="E612" t="n">
        <v>0</v>
      </c>
      <c r="F612" t="n">
        <v>2</v>
      </c>
      <c r="G612" t="n">
        <v>0</v>
      </c>
      <c r="H612" t="inlineStr">
        <is>
          <t>R</t>
        </is>
      </c>
      <c r="I612" t="inlineStr">
        <is>
          <t>Creature</t>
        </is>
      </c>
      <c r="J612" t="inlineStr">
        <is>
          <t>B2</t>
        </is>
      </c>
      <c r="K612" t="n">
        <v>5</v>
      </c>
      <c r="L612" t="inlineStr">
        <is>
          <t>Reach, trample
When this creature enters, attach target Equipment you control to up to one target creature you control.
(4/5)</t>
        </is>
      </c>
      <c r="M612" t="inlineStr">
        <is>
          <t>Utility Creature</t>
        </is>
      </c>
      <c r="N612" t="inlineStr">
        <is>
          <t>Reach, trample</t>
        </is>
      </c>
      <c r="O612" t="inlineStr">
        <is>
          <t>Enters: attach target Equipment you control to up to one target creature you control</t>
        </is>
      </c>
      <c r="R612" t="n">
        <v>0.12</v>
      </c>
    </row>
    <row r="613" ht="15" customHeight="1" s="148">
      <c r="A613" t="inlineStr">
        <is>
          <t>c0612</t>
        </is>
      </c>
      <c r="B613" t="inlineStr">
        <is>
          <t>Jeska's Will</t>
        </is>
      </c>
      <c r="C613" t="n">
        <v>0</v>
      </c>
      <c r="E613" t="n">
        <v>0</v>
      </c>
      <c r="F613" t="n">
        <v>0</v>
      </c>
      <c r="G613" t="n">
        <v>0</v>
      </c>
      <c r="H613" t="inlineStr">
        <is>
          <t>R</t>
        </is>
      </c>
      <c r="I613" t="inlineStr">
        <is>
          <t>Sorcery</t>
        </is>
      </c>
      <c r="J613" t="inlineStr">
        <is>
          <t>B3</t>
        </is>
      </c>
      <c r="K613" t="n">
        <v>3</v>
      </c>
      <c r="L613" t="inlineStr">
        <is>
          <t>Choose one. If you control a commander as you cast this spell, you may choose both instead.
• Add {R} for each card in target opponent's hand.
• Exile the top three cards of your library. You may play them this turn.</t>
        </is>
      </c>
      <c r="M613" t="inlineStr">
        <is>
          <t>Ramp</t>
        </is>
      </c>
      <c r="N613" t="inlineStr">
        <is>
          <t>Choose one. If you control a commander as you cast this spell, you may choose both instead</t>
        </is>
      </c>
      <c r="O613" t="inlineStr">
        <is>
          <t>• Add {R} for each card in target opponent's hand</t>
        </is>
      </c>
      <c r="P613" t="inlineStr">
        <is>
          <t>• Exile the top three cards of your library. You may play them this turn</t>
        </is>
      </c>
      <c r="R613" t="n">
        <v>40.09</v>
      </c>
    </row>
    <row r="614" ht="15" customHeight="1" s="148">
      <c r="A614" t="inlineStr">
        <is>
          <t>c0613</t>
        </is>
      </c>
      <c r="B614" t="inlineStr">
        <is>
          <t>Kiki-Jiki, Mirror Breaker</t>
        </is>
      </c>
      <c r="C614" t="n">
        <v>0</v>
      </c>
      <c r="E614" t="n">
        <v>0</v>
      </c>
      <c r="F614" t="n">
        <v>0</v>
      </c>
      <c r="G614" t="n">
        <v>0</v>
      </c>
      <c r="H614" t="inlineStr">
        <is>
          <t>R</t>
        </is>
      </c>
      <c r="I614" t="inlineStr">
        <is>
          <t>Legendary Creature</t>
        </is>
      </c>
      <c r="J614" t="inlineStr">
        <is>
          <t>B3</t>
        </is>
      </c>
      <c r="K614" t="n">
        <v>5</v>
      </c>
      <c r="L614" t="inlineStr">
        <is>
          <t>Haste
{T}: Create a token that's a copy of target nonlegendary creature you control, except it has haste. Sacrifice it at the beginning of the next end step.
(2/2)</t>
        </is>
      </c>
      <c r="M614" t="inlineStr">
        <is>
          <t>Value Engine</t>
        </is>
      </c>
      <c r="N614" t="inlineStr">
        <is>
          <t>Haste</t>
        </is>
      </c>
      <c r="O614" t="inlineStr">
        <is>
          <t xml:space="preserve">{T}: Create a token that's a copy of target nonlegendary creature you control, except it has haste. Sacrifice it at the </t>
        </is>
      </c>
      <c r="R614" t="n">
        <v>14.23</v>
      </c>
    </row>
    <row r="615" ht="15" customHeight="1" s="148">
      <c r="A615" t="inlineStr">
        <is>
          <t>c0614</t>
        </is>
      </c>
      <c r="B615" t="inlineStr">
        <is>
          <t>Kindle the Inner Flame</t>
        </is>
      </c>
      <c r="C615" t="n">
        <v>1</v>
      </c>
      <c r="E615" t="n">
        <v>0</v>
      </c>
      <c r="F615" t="n">
        <v>1</v>
      </c>
      <c r="G615" t="n">
        <v>0</v>
      </c>
      <c r="H615" t="inlineStr">
        <is>
          <t>R</t>
        </is>
      </c>
      <c r="I615" t="inlineStr">
        <is>
          <t>Kindred Sorcery</t>
        </is>
      </c>
      <c r="J615" t="inlineStr">
        <is>
          <t>B2</t>
        </is>
      </c>
      <c r="K615" t="n">
        <v>4</v>
      </c>
      <c r="L615" t="inlineStr">
        <is>
          <t>Create a token that's a copy of target creature you control, except it has haste and "At the beginning of the end step, sacrifice this token."
Flashback—{1}{R}, Behold three Elementals. (You may cast this card from your graveyard for its flashback cost. Then exile it. To behold an Elemental, choose an Elemental you control or reveal an Elemental card from your hand.)</t>
        </is>
      </c>
      <c r="M615" t="inlineStr">
        <is>
          <t>Copy/Clone</t>
        </is>
      </c>
      <c r="N615" t="inlineStr">
        <is>
          <t>Create a token copy of target creature you control with haste, sacrificed at the beginning of the end step</t>
        </is>
      </c>
      <c r="O615" t="inlineStr">
        <is>
          <t>Flashback {1}{R} and behold three Elementals: cast it from your graveyard, then exile it</t>
        </is>
      </c>
      <c r="R615" t="n">
        <v>0.26</v>
      </c>
    </row>
    <row r="616" ht="15" customHeight="1" s="148">
      <c r="A616" t="inlineStr">
        <is>
          <t>c0615</t>
        </is>
      </c>
      <c r="B616" t="inlineStr">
        <is>
          <t>Krenko, Mob Boss</t>
        </is>
      </c>
      <c r="C616" t="n">
        <v>2</v>
      </c>
      <c r="E616" t="n">
        <v>1</v>
      </c>
      <c r="F616" t="n">
        <v>1</v>
      </c>
      <c r="G616" t="n">
        <v>1</v>
      </c>
      <c r="H616" t="inlineStr">
        <is>
          <t>R</t>
        </is>
      </c>
      <c r="I616" t="inlineStr">
        <is>
          <t>Legendary Creature</t>
        </is>
      </c>
      <c r="J616" t="inlineStr">
        <is>
          <t>B2</t>
        </is>
      </c>
      <c r="K616" t="n">
        <v>4</v>
      </c>
      <c r="L616" t="inlineStr">
        <is>
          <t>{T}: Create X 1/1 red Goblin creature tokens, where X is the number of Goblins you control.
(3/3)</t>
        </is>
      </c>
      <c r="M616" t="inlineStr">
        <is>
          <t>Commander</t>
        </is>
      </c>
      <c r="N616" t="inlineStr">
        <is>
          <t>Tap: creates X 1/1 Goblin tokens, X = Goblins you control</t>
        </is>
      </c>
      <c r="R616" t="n">
        <v>3.22</v>
      </c>
    </row>
    <row r="617" ht="15" customHeight="1" s="148">
      <c r="A617" t="inlineStr">
        <is>
          <t>c0616</t>
        </is>
      </c>
      <c r="B617" t="inlineStr">
        <is>
          <t>Krenko, Tin Street Kingpin</t>
        </is>
      </c>
      <c r="C617" t="n">
        <v>1</v>
      </c>
      <c r="E617" t="n">
        <v>1</v>
      </c>
      <c r="F617" t="n">
        <v>0</v>
      </c>
      <c r="G617" t="n">
        <v>1</v>
      </c>
      <c r="H617" t="inlineStr">
        <is>
          <t>R</t>
        </is>
      </c>
      <c r="I617" t="inlineStr">
        <is>
          <t>Legendary Creature</t>
        </is>
      </c>
      <c r="J617" t="inlineStr">
        <is>
          <t>B2</t>
        </is>
      </c>
      <c r="K617" t="n">
        <v>3</v>
      </c>
      <c r="L617" t="inlineStr">
        <is>
          <t>Whenever Krenko attacks, put a +1/+1 counter on it, then create a number of 1/1 red Goblin creature tokens equal to Krenko's power.
(1/2)</t>
        </is>
      </c>
      <c r="M617" t="inlineStr">
        <is>
          <t>Token Producer</t>
        </is>
      </c>
      <c r="N617" t="inlineStr">
        <is>
          <t>Whenever Krenko attacks, put a +1/+1 counter on it, then create a number of 1/1 red Goblin creature tokens equal to Kren</t>
        </is>
      </c>
      <c r="R617" t="n">
        <v>2.63</v>
      </c>
    </row>
    <row r="618" ht="15" customHeight="1" s="148">
      <c r="A618" t="inlineStr">
        <is>
          <t>c0617</t>
        </is>
      </c>
      <c r="B618" t="inlineStr">
        <is>
          <t>Krenko's Command</t>
        </is>
      </c>
      <c r="C618" t="n">
        <v>2</v>
      </c>
      <c r="E618" t="n">
        <v>1</v>
      </c>
      <c r="F618" t="n">
        <v>1</v>
      </c>
      <c r="G618" t="n">
        <v>1</v>
      </c>
      <c r="H618" t="inlineStr">
        <is>
          <t>R</t>
        </is>
      </c>
      <c r="I618" t="inlineStr">
        <is>
          <t>Sorcery</t>
        </is>
      </c>
      <c r="J618" t="inlineStr">
        <is>
          <t>B2</t>
        </is>
      </c>
      <c r="K618" t="n">
        <v>2</v>
      </c>
      <c r="L618" t="inlineStr">
        <is>
          <t>Create two 1/1 red Goblin creature tokens.</t>
        </is>
      </c>
      <c r="M618" t="inlineStr">
        <is>
          <t>Token Producer</t>
        </is>
      </c>
      <c r="N618" t="inlineStr">
        <is>
          <t>Creates two 1/1 Goblin tokens</t>
        </is>
      </c>
      <c r="R618" t="n">
        <v>0.24</v>
      </c>
    </row>
    <row r="619" ht="15" customHeight="1" s="148">
      <c r="A619" t="inlineStr">
        <is>
          <t>c0618</t>
        </is>
      </c>
      <c r="B619" t="inlineStr">
        <is>
          <t>Kulrath Zealot</t>
        </is>
      </c>
      <c r="C619" t="n">
        <v>2</v>
      </c>
      <c r="E619" t="n">
        <v>0</v>
      </c>
      <c r="F619" t="n">
        <v>2</v>
      </c>
      <c r="G619" t="n">
        <v>0</v>
      </c>
      <c r="H619" t="inlineStr">
        <is>
          <t>R</t>
        </is>
      </c>
      <c r="I619" t="inlineStr">
        <is>
          <t>Creature</t>
        </is>
      </c>
      <c r="J619" t="inlineStr">
        <is>
          <t>B2</t>
        </is>
      </c>
      <c r="K619" t="n">
        <v>6</v>
      </c>
      <c r="L619" t="inlineStr">
        <is>
          <t>When this creature enters, exile the top card of your library. Until the end of your next turn, you may play that card.
Basic landcycling {1}{R} ({1}{R}, Discard this card: Search your library for a basic land card, reveal it, put it into your hand, then shuffle.)
(6/5)</t>
        </is>
      </c>
      <c r="M619" t="inlineStr">
        <is>
          <t>Card Selection</t>
        </is>
      </c>
      <c r="N619" t="inlineStr">
        <is>
          <t>Exiles top card of library to play until end of next turn</t>
        </is>
      </c>
      <c r="O619" t="inlineStr">
        <is>
          <t>Can discard for {1}{R} to tutor a basic land to hand</t>
        </is>
      </c>
      <c r="R619" t="n">
        <v>0.14</v>
      </c>
    </row>
    <row r="620" ht="15" customHeight="1" s="148">
      <c r="A620" t="inlineStr">
        <is>
          <t>c0619</t>
        </is>
      </c>
      <c r="B620" t="inlineStr">
        <is>
          <t>Laelia, the Blade Reforged</t>
        </is>
      </c>
      <c r="C620" t="n">
        <v>1</v>
      </c>
      <c r="E620" t="n">
        <v>1</v>
      </c>
      <c r="F620" t="n">
        <v>0</v>
      </c>
      <c r="G620" t="n">
        <v>1</v>
      </c>
      <c r="H620" t="inlineStr">
        <is>
          <t>R</t>
        </is>
      </c>
      <c r="I620" t="inlineStr">
        <is>
          <t>Legendary Creature</t>
        </is>
      </c>
      <c r="J620" t="inlineStr">
        <is>
          <t>B2</t>
        </is>
      </c>
      <c r="K620" t="n">
        <v>3</v>
      </c>
      <c r="L620" t="inlineStr">
        <is>
          <t>Haste
Whenever Laelia attacks, exile the top card of your library. You may play that card this turn.
Whenever one or more cards are put into exile from your library and/or your graveyard, put a +1/+1 counter on Laelia.
(2/2)</t>
        </is>
      </c>
      <c r="M620" t="inlineStr">
        <is>
          <t>Card Advantage</t>
        </is>
      </c>
      <c r="N620" t="inlineStr">
        <is>
          <t>Can attack the turn it enters</t>
        </is>
      </c>
      <c r="O620" t="inlineStr">
        <is>
          <t>Attacking exiles the top library card to play this turn</t>
        </is>
      </c>
      <c r="P620" t="inlineStr">
        <is>
          <t>Gets a +1/+1 counter whenever cards are exiled from library or graveyard</t>
        </is>
      </c>
      <c r="R620" t="n">
        <v>0.3</v>
      </c>
    </row>
    <row r="621" ht="15" customHeight="1" s="148">
      <c r="A621" t="inlineStr">
        <is>
          <t>c0620</t>
        </is>
      </c>
      <c r="B621" t="inlineStr">
        <is>
          <t>Lavaleaper</t>
        </is>
      </c>
      <c r="C621" t="n">
        <v>1</v>
      </c>
      <c r="E621" t="n">
        <v>0</v>
      </c>
      <c r="F621" t="n">
        <v>1</v>
      </c>
      <c r="G621" t="n">
        <v>0</v>
      </c>
      <c r="H621" t="inlineStr">
        <is>
          <t>R</t>
        </is>
      </c>
      <c r="I621" t="inlineStr">
        <is>
          <t>Creature</t>
        </is>
      </c>
      <c r="J621" t="inlineStr">
        <is>
          <t>B2</t>
        </is>
      </c>
      <c r="K621" t="n">
        <v>4</v>
      </c>
      <c r="L621" t="inlineStr">
        <is>
          <t>Lavaleaper {3}{R} — Creature — Elemental (4/4)
All creatures have haste.
Whenever a player taps a basic land for mana, that player adds one mana of any type that land produced.</t>
        </is>
      </c>
      <c r="M621" t="inlineStr">
        <is>
          <t>Haste Enabler</t>
        </is>
      </c>
      <c r="N621" t="inlineStr">
        <is>
          <t>All creatures have haste</t>
        </is>
      </c>
      <c r="R621" t="n">
        <v>0.35</v>
      </c>
    </row>
    <row r="622" ht="15" customHeight="1" s="148">
      <c r="A622" t="inlineStr">
        <is>
          <t>c0621</t>
        </is>
      </c>
      <c r="B622" t="inlineStr">
        <is>
          <t>Legion Warboss</t>
        </is>
      </c>
      <c r="C622" t="n">
        <v>1</v>
      </c>
      <c r="E622" t="n">
        <v>1</v>
      </c>
      <c r="F622" t="n">
        <v>0</v>
      </c>
      <c r="G622" t="n">
        <v>1</v>
      </c>
      <c r="H622" t="inlineStr">
        <is>
          <t>R</t>
        </is>
      </c>
      <c r="I622" t="inlineStr">
        <is>
          <t>Creature</t>
        </is>
      </c>
      <c r="J622" t="inlineStr">
        <is>
          <t>B2</t>
        </is>
      </c>
      <c r="K622" t="n">
        <v>3</v>
      </c>
      <c r="L622" t="inlineStr">
        <is>
          <t>Mentor (Whenever this creature attacks, put a +1/+1 counter on target attacking creature with lesser power.)
At the beginning of combat on your turn, create a 1/1 red Goblin creature token. That token gains haste until end of turn and attacks this combat if able.
(2/2)</t>
        </is>
      </c>
      <c r="M622" t="inlineStr">
        <is>
          <t>Token Producer</t>
        </is>
      </c>
      <c r="N622" t="inlineStr">
        <is>
          <t>Combat: creates a hasty 1/1 Goblin token that attacks</t>
        </is>
      </c>
      <c r="O622" t="inlineStr">
        <is>
          <t>Puts a +1/+1 counter on an attacker with lesser power</t>
        </is>
      </c>
      <c r="R622" t="n">
        <v>0.35</v>
      </c>
    </row>
    <row r="623" ht="15" customHeight="1" s="148">
      <c r="A623" t="inlineStr">
        <is>
          <t>c0622</t>
        </is>
      </c>
      <c r="B623" t="inlineStr">
        <is>
          <t>Light Up the Stage</t>
        </is>
      </c>
      <c r="C623" t="n">
        <v>1</v>
      </c>
      <c r="E623" t="n">
        <v>1</v>
      </c>
      <c r="F623" t="n">
        <v>0</v>
      </c>
      <c r="G623" t="n">
        <v>0</v>
      </c>
      <c r="H623" t="inlineStr">
        <is>
          <t>R</t>
        </is>
      </c>
      <c r="I623" t="inlineStr">
        <is>
          <t>Sorcery</t>
        </is>
      </c>
      <c r="J623" t="inlineStr">
        <is>
          <t>B2</t>
        </is>
      </c>
      <c r="K623" t="n">
        <v>3</v>
      </c>
      <c r="L623" t="inlineStr">
        <is>
          <t>Spectacle {R} (You may cast this spell for its spectacle cost rather than its mana cost if an opponent lost life this turn.)
Exile the top two cards of your library. Until the end of your next turn, you may play those cards.</t>
        </is>
      </c>
      <c r="M623" t="inlineStr">
        <is>
          <t>Card Draw</t>
        </is>
      </c>
      <c r="N623" t="inlineStr">
        <is>
          <t>Exiles top two cards of library; may play them until end of next turn</t>
        </is>
      </c>
      <c r="O623" t="inlineStr">
        <is>
          <t>Castable for {R} if an opponent lost life this turn</t>
        </is>
      </c>
      <c r="R623" t="n">
        <v>0.38</v>
      </c>
    </row>
    <row r="624" ht="15" customHeight="1" s="148">
      <c r="A624" t="inlineStr">
        <is>
          <t>c0623</t>
        </is>
      </c>
      <c r="B624" t="inlineStr">
        <is>
          <t>Massive Raid</t>
        </is>
      </c>
      <c r="C624" t="n">
        <v>1</v>
      </c>
      <c r="E624" t="n">
        <v>1</v>
      </c>
      <c r="F624" t="n">
        <v>0</v>
      </c>
      <c r="G624" t="n">
        <v>0</v>
      </c>
      <c r="H624" t="inlineStr">
        <is>
          <t>R</t>
        </is>
      </c>
      <c r="I624" t="inlineStr">
        <is>
          <t>Instant</t>
        </is>
      </c>
      <c r="J624" t="inlineStr">
        <is>
          <t>B2</t>
        </is>
      </c>
      <c r="K624" t="n">
        <v>3</v>
      </c>
      <c r="L624" t="inlineStr">
        <is>
          <t>Massive Raid deals damage to any target equal to the number of creatures you control.</t>
        </is>
      </c>
      <c r="M624" t="inlineStr">
        <is>
          <t>Burn</t>
        </is>
      </c>
      <c r="N624" t="inlineStr">
        <is>
          <t>Massive Raid deals damage to any target equal to the number of creatures you control</t>
        </is>
      </c>
      <c r="R624" t="n">
        <v>0.22</v>
      </c>
    </row>
    <row r="625" ht="15" customHeight="1" s="148">
      <c r="A625" t="inlineStr">
        <is>
          <t>c0624</t>
        </is>
      </c>
      <c r="B625" t="inlineStr">
        <is>
          <t>Mica, Reader of Ruins</t>
        </is>
      </c>
      <c r="C625" t="n">
        <v>2</v>
      </c>
      <c r="E625" t="n">
        <v>0</v>
      </c>
      <c r="F625" t="n">
        <v>2</v>
      </c>
      <c r="G625" t="n">
        <v>0</v>
      </c>
      <c r="H625" t="inlineStr">
        <is>
          <t>R</t>
        </is>
      </c>
      <c r="I625" t="inlineStr">
        <is>
          <t>Legendary Creature</t>
        </is>
      </c>
      <c r="J625" t="inlineStr">
        <is>
          <t>B2</t>
        </is>
      </c>
      <c r="K625" t="n">
        <v>4</v>
      </c>
      <c r="L625" t="inlineStr">
        <is>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
(4/4)</t>
        </is>
      </c>
      <c r="M625" t="inlineStr">
        <is>
          <t>Copy/Clone</t>
        </is>
      </c>
      <c r="N625" t="inlineStr">
        <is>
          <t>Whenever you cast an instant or sorcery, you may sacrifice an artifact to copy it and choose new targets</t>
        </is>
      </c>
      <c r="O625" t="inlineStr">
        <is>
          <t>Ward — pay 3 life</t>
        </is>
      </c>
      <c r="R625" t="n">
        <v>0.21</v>
      </c>
    </row>
    <row r="626" ht="15" customHeight="1" s="148">
      <c r="A626" t="inlineStr">
        <is>
          <t>c0625</t>
        </is>
      </c>
      <c r="B626" t="inlineStr">
        <is>
          <t>Misty Mountains Raider</t>
        </is>
      </c>
      <c r="C626" t="n">
        <v>1</v>
      </c>
      <c r="E626" t="n">
        <v>0</v>
      </c>
      <c r="F626" t="n">
        <v>1</v>
      </c>
      <c r="G626" t="n">
        <v>0</v>
      </c>
      <c r="H626" t="inlineStr">
        <is>
          <t>R</t>
        </is>
      </c>
      <c r="I626" t="inlineStr">
        <is>
          <t>Creature</t>
        </is>
      </c>
      <c r="J626" t="inlineStr">
        <is>
          <t>B2</t>
        </is>
      </c>
      <c r="K626" t="n">
        <v>5</v>
      </c>
      <c r="L626" t="inlineStr">
        <is>
          <t>Whenever you attack, amass Goblins 2. (Put two +1/+1 counters on an Army you control. It's also a Goblin. If you don't control an Army, create a 0/0 black Goblin Army creature token first.)
(4/4)</t>
        </is>
      </c>
      <c r="M626" t="inlineStr">
        <is>
          <t>Token Producer</t>
        </is>
      </c>
      <c r="N626" t="inlineStr">
        <is>
          <t>Whenever you attack, amass Goblins 2 — put two +1/+1 counters on an Army you control, creating a 0/0 Goblin Army token first if you have none</t>
        </is>
      </c>
      <c r="R626" t="n">
        <v>0.21</v>
      </c>
    </row>
    <row r="627" ht="15" customHeight="1" s="148">
      <c r="A627" t="inlineStr">
        <is>
          <t>c0626</t>
        </is>
      </c>
      <c r="B627" t="inlineStr">
        <is>
          <t>Mizzix's Mastery</t>
        </is>
      </c>
      <c r="C627" t="n">
        <v>0</v>
      </c>
      <c r="D627" t="n">
        <v>1</v>
      </c>
      <c r="E627" t="n">
        <v>0</v>
      </c>
      <c r="F627" t="n">
        <v>0</v>
      </c>
      <c r="G627" t="n">
        <v>1</v>
      </c>
      <c r="H627" t="inlineStr">
        <is>
          <t>R</t>
        </is>
      </c>
      <c r="I627" t="inlineStr">
        <is>
          <t>Sorcery</t>
        </is>
      </c>
      <c r="J627" t="inlineStr">
        <is>
          <t>B3</t>
        </is>
      </c>
      <c r="K627" t="n">
        <v>4</v>
      </c>
      <c r="L627" t="inlineStr">
        <is>
          <t>Exile target card that's an instant or sorcery from your graveyard. For each card exiled this way, copy it, and you may cast the copy without paying its mana cost. Exile Mizzix's Mastery.
Overload {5}{R}{R}{R} (You may cast this spell for its overload cost. If you do, change "target" in its text to "each.")</t>
        </is>
      </c>
      <c r="M627" t="inlineStr">
        <is>
          <t>Recursion</t>
        </is>
      </c>
      <c r="N627" t="inlineStr">
        <is>
          <t xml:space="preserve">Exile target card that's an instant or sorcery from your graveyard. For each card exiled this way, copy it, and you may </t>
        </is>
      </c>
      <c r="O627" t="inlineStr">
        <is>
          <t>Overload {5}{R}{R}{R}</t>
        </is>
      </c>
      <c r="R627" t="n">
        <v>4.52</v>
      </c>
    </row>
    <row r="628" ht="15" customHeight="1" s="148">
      <c r="A628" t="inlineStr">
        <is>
          <t>c0627</t>
        </is>
      </c>
      <c r="B628" t="inlineStr">
        <is>
          <t>Mogg War Marshal</t>
        </is>
      </c>
      <c r="C628" t="n">
        <v>1</v>
      </c>
      <c r="E628" t="n">
        <v>1</v>
      </c>
      <c r="F628" t="n">
        <v>0</v>
      </c>
      <c r="G628" t="n">
        <v>1</v>
      </c>
      <c r="H628" t="inlineStr">
        <is>
          <t>R</t>
        </is>
      </c>
      <c r="I628" t="inlineStr">
        <is>
          <t>Creature</t>
        </is>
      </c>
      <c r="J628" t="inlineStr">
        <is>
          <t>B2</t>
        </is>
      </c>
      <c r="K628" t="n">
        <v>2</v>
      </c>
      <c r="L628" t="inlineStr">
        <is>
          <t>Echo {1}{R} (At the beginning of your upkeep, if this came under your control since the beginning of your last upkeep, sacrifice it unless you pay its echo cost.)
When this creature enters or dies, create a 1/1 red Goblin creature token.
(1/1)</t>
        </is>
      </c>
      <c r="M628" t="inlineStr">
        <is>
          <t>Token Producer</t>
        </is>
      </c>
      <c r="N628" t="inlineStr">
        <is>
          <t>Creates a 1/1 Goblin token when it enters or dies</t>
        </is>
      </c>
      <c r="O628" t="inlineStr">
        <is>
          <t>Sacrifice it next upkeep unless you pay {1}{R} (Echo)</t>
        </is>
      </c>
      <c r="R628" t="n">
        <v>0.34</v>
      </c>
    </row>
    <row r="629" ht="15" customHeight="1" s="148">
      <c r="A629" t="inlineStr">
        <is>
          <t>c0628</t>
        </is>
      </c>
      <c r="B629" t="inlineStr">
        <is>
          <t>Molten Echoes</t>
        </is>
      </c>
      <c r="C629" t="n">
        <v>0</v>
      </c>
      <c r="E629" t="n">
        <v>0</v>
      </c>
      <c r="F629" t="n">
        <v>0</v>
      </c>
      <c r="G629" t="n">
        <v>0</v>
      </c>
      <c r="H629" t="inlineStr">
        <is>
          <t>R</t>
        </is>
      </c>
      <c r="I629" t="inlineStr">
        <is>
          <t>Enchantment</t>
        </is>
      </c>
      <c r="J629" t="inlineStr">
        <is>
          <t>B3</t>
        </is>
      </c>
      <c r="K629" t="n">
        <v>4</v>
      </c>
      <c r="L629" t="inlineStr">
        <is>
          <t>As this enchantment enters, choose a creature type.
Whenever a nontoken creature you control of the chosen type enters, create a token that's a copy of that creature. That token gains haste. Exile it at the beginning of the next end step.</t>
        </is>
      </c>
      <c r="M629" t="inlineStr">
        <is>
          <t>Copy/Clone</t>
        </is>
      </c>
      <c r="N629" t="inlineStr">
        <is>
          <t xml:space="preserve">As this enchantment enters, choose a creature type.
Whenever a nontoken creature you control of the chosen type enters, </t>
        </is>
      </c>
      <c r="R629" t="n">
        <v>9.51</v>
      </c>
    </row>
    <row r="630" ht="15" customHeight="1" s="148">
      <c r="A630" t="inlineStr">
        <is>
          <t>c0629</t>
        </is>
      </c>
      <c r="B630" t="inlineStr">
        <is>
          <t>Monastery Raid</t>
        </is>
      </c>
      <c r="C630" t="n">
        <v>1</v>
      </c>
      <c r="E630" t="n">
        <v>1</v>
      </c>
      <c r="F630" t="n">
        <v>0</v>
      </c>
      <c r="G630" t="n">
        <v>0</v>
      </c>
      <c r="H630" t="inlineStr">
        <is>
          <t>R</t>
        </is>
      </c>
      <c r="I630" t="inlineStr">
        <is>
          <t>Sorcery</t>
        </is>
      </c>
      <c r="J630" t="inlineStr">
        <is>
          <t>B2</t>
        </is>
      </c>
      <c r="K630" t="n">
        <v>3</v>
      </c>
      <c r="L630" t="inlineStr">
        <is>
          <t>Freerunning {X}{R} (You may cast this spell for its freerunning cost if you dealt combat damage to a player this turn with an Assassin or commander.)
Exile the top two cards of your library. If this spell's freerunning cost was paid, exile the top X cards of your library instead. You may play the exiled cards until the end of your next turn.</t>
        </is>
      </c>
      <c r="M630" t="inlineStr">
        <is>
          <t>Card Selection</t>
        </is>
      </c>
      <c r="N630" t="inlineStr">
        <is>
          <t>Exiles top two cards to play until end of next turn</t>
        </is>
      </c>
      <c r="O630" t="inlineStr">
        <is>
          <t>Freerunning lets you pay {X}{R} to exile X cards instead</t>
        </is>
      </c>
      <c r="R630" t="n">
        <v>0.29</v>
      </c>
    </row>
    <row r="631" ht="15" customHeight="1" s="148">
      <c r="A631" t="inlineStr">
        <is>
          <t>c0630</t>
        </is>
      </c>
      <c r="B631" t="inlineStr">
        <is>
          <t>Muxus, Goblin Grandee</t>
        </is>
      </c>
      <c r="C631" t="n">
        <v>0</v>
      </c>
      <c r="E631" t="n">
        <v>0</v>
      </c>
      <c r="F631" t="n">
        <v>0</v>
      </c>
      <c r="G631" t="n">
        <v>0</v>
      </c>
      <c r="H631" t="inlineStr">
        <is>
          <t>R</t>
        </is>
      </c>
      <c r="I631" t="inlineStr">
        <is>
          <t>Legendary Creature</t>
        </is>
      </c>
      <c r="J631" t="inlineStr">
        <is>
          <t>B3</t>
        </is>
      </c>
      <c r="K631" t="n">
        <v>6</v>
      </c>
      <c r="L631" t="inlineStr">
        <is>
          <t>When Muxus enters, reveal the top six cards of your library. Put all Goblin creature cards with mana value 5 or less from among them onto the battlefield and the rest on the bottom of your library in a random order.
Whenever Muxus attacks, it gets +1/+1 until end of turn for each other Goblin you control.
(4/4)</t>
        </is>
      </c>
      <c r="M631" t="inlineStr">
        <is>
          <t>Finisher</t>
        </is>
      </c>
      <c r="N631" t="inlineStr">
        <is>
          <t>When Muxus enters, reveal the top six cards of your library. Put all Goblin creature cards with mana value 5 or less fro</t>
        </is>
      </c>
      <c r="R631" t="n">
        <v>11.19</v>
      </c>
    </row>
    <row r="632" ht="15" customHeight="1" s="148">
      <c r="A632" t="inlineStr">
        <is>
          <t>c0631</t>
        </is>
      </c>
      <c r="B632" t="inlineStr">
        <is>
          <t>Naktamun Lorespinner // Wheel of Fortune</t>
        </is>
      </c>
      <c r="C632" t="n">
        <v>1</v>
      </c>
      <c r="E632" t="n">
        <v>1</v>
      </c>
      <c r="F632" t="n">
        <v>0</v>
      </c>
      <c r="G632" t="n">
        <v>0</v>
      </c>
      <c r="H632" t="inlineStr">
        <is>
          <t>R</t>
        </is>
      </c>
      <c r="I632" t="inlineStr">
        <is>
          <t>Creature</t>
        </is>
      </c>
      <c r="J632" t="inlineStr">
        <is>
          <t>B2</t>
        </is>
      </c>
      <c r="K632" t="n">
        <v>3</v>
      </c>
      <c r="L632" t="inlineStr">
        <is>
          <t>Naktamun Lorespinner {2}{R} — Creature — Jackal Wizard (3/3)
At the beginning of your upkeep, if a player has one or fewer cards in hand, this creature becomes prepared. (While it's prepared, you may cast a copy of its spell. Doing so unprepares it.)
//
Wheel of Fortune {2}{R} — Sorcery
Each player discards their hand, then draws seven cards.</t>
        </is>
      </c>
      <c r="M632" t="inlineStr">
        <is>
          <t>Wheel</t>
        </is>
      </c>
      <c r="N632" t="inlineStr">
        <is>
          <t>Front: becomes prepared to recast its spell when a player is low on cards</t>
        </is>
      </c>
      <c r="O632" t="inlineStr">
        <is>
          <t>Back (Wheel of Fortune): each player discards hand, draws seven</t>
        </is>
      </c>
      <c r="R632" t="n">
        <v>1.69</v>
      </c>
    </row>
    <row r="633" ht="15" customHeight="1" s="148">
      <c r="A633" t="inlineStr">
        <is>
          <t>c0632</t>
        </is>
      </c>
      <c r="B633" t="inlineStr">
        <is>
          <t>Ogre Battledriver</t>
        </is>
      </c>
      <c r="C633" t="n">
        <v>1</v>
      </c>
      <c r="E633" t="n">
        <v>1</v>
      </c>
      <c r="F633" t="n">
        <v>0</v>
      </c>
      <c r="G633" t="n">
        <v>0</v>
      </c>
      <c r="H633" t="inlineStr">
        <is>
          <t>R</t>
        </is>
      </c>
      <c r="I633" t="inlineStr">
        <is>
          <t>Creature</t>
        </is>
      </c>
      <c r="J633" t="inlineStr">
        <is>
          <t>B2</t>
        </is>
      </c>
      <c r="K633" t="n">
        <v>4</v>
      </c>
      <c r="L633" t="inlineStr">
        <is>
          <t>Whenever another creature you control enters, that creature gets +2/+0 and gains haste until end of turn. (It can attack and {T} this turn.)
(3/3)</t>
        </is>
      </c>
      <c r="M633" t="inlineStr">
        <is>
          <t>Haste Enabler</t>
        </is>
      </c>
      <c r="N633" t="inlineStr">
        <is>
          <t>Other creatures get +2/+0 and haste when they enter</t>
        </is>
      </c>
      <c r="R633" t="n">
        <v>0.35</v>
      </c>
    </row>
    <row r="634" ht="15" customHeight="1" s="148">
      <c r="A634" t="inlineStr">
        <is>
          <t>c0633</t>
        </is>
      </c>
      <c r="B634" t="inlineStr">
        <is>
          <t>Óin the Brave</t>
        </is>
      </c>
      <c r="C634" t="n">
        <v>2</v>
      </c>
      <c r="E634" t="n">
        <v>0</v>
      </c>
      <c r="F634" t="n">
        <v>2</v>
      </c>
      <c r="G634" t="n">
        <v>0</v>
      </c>
      <c r="H634" t="inlineStr">
        <is>
          <t>R</t>
        </is>
      </c>
      <c r="I634" t="inlineStr">
        <is>
          <t>Legendary Creature</t>
        </is>
      </c>
      <c r="J634" t="inlineStr">
        <is>
          <t>B2</t>
        </is>
      </c>
      <c r="K634" t="n">
        <v>2</v>
      </c>
      <c r="L634" t="inlineStr">
        <is>
          <t>Storied (If you control three or more artifacts, legendaries, and/or Sagas, you have an enduring story for the rest of the game.)
As long as you have an enduring story, Óin gets +1/+0 and has haste.
{1}, {T}, Discard a card: Draw a card.
(1/3)</t>
        </is>
      </c>
      <c r="M634" t="inlineStr">
        <is>
          <t>Discard/Looting</t>
        </is>
      </c>
      <c r="N634" t="inlineStr">
        <is>
          <t>{1}, {T}, Discard a card: Draw a card</t>
        </is>
      </c>
      <c r="O634" t="inlineStr">
        <is>
          <t>Gets +1/+0 and has haste as long as you have an enduring story</t>
        </is>
      </c>
      <c r="P634" t="inlineStr">
        <is>
          <t>Storied - you have an enduring story for the rest of the game once you control three or more artifacts, legendaries, and/or Sagas</t>
        </is>
      </c>
      <c r="R634" t="n">
        <v>0.17</v>
      </c>
    </row>
    <row r="635" ht="15" customHeight="1" s="148">
      <c r="A635" t="inlineStr">
        <is>
          <t>c0634</t>
        </is>
      </c>
      <c r="B635" t="inlineStr">
        <is>
          <t>Outpost Siege</t>
        </is>
      </c>
      <c r="C635" t="n">
        <v>1</v>
      </c>
      <c r="E635" t="n">
        <v>1</v>
      </c>
      <c r="F635" t="n">
        <v>0</v>
      </c>
      <c r="G635" t="n">
        <v>0</v>
      </c>
      <c r="H635" t="inlineStr">
        <is>
          <t>R</t>
        </is>
      </c>
      <c r="I635" t="inlineStr">
        <is>
          <t>Enchantment</t>
        </is>
      </c>
      <c r="J635" t="inlineStr">
        <is>
          <t>B2</t>
        </is>
      </c>
      <c r="K635" t="n">
        <v>4</v>
      </c>
      <c r="L635" t="inlineStr">
        <is>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is>
      </c>
      <c r="M635" t="inlineStr">
        <is>
          <t>Card Advantage</t>
        </is>
      </c>
      <c r="N635" t="inlineStr">
        <is>
          <t>Choose a mode as it enters</t>
        </is>
      </c>
      <c r="O635" t="inlineStr">
        <is>
          <t>Khans: each upkeep, exile top card and may play it this turn</t>
        </is>
      </c>
      <c r="P635" t="inlineStr">
        <is>
          <t>Dragons: whenever a creature you control leaves the battlefield, deals 1 damage to any target</t>
        </is>
      </c>
      <c r="R635" t="n">
        <v>0.28</v>
      </c>
    </row>
    <row r="636" ht="15" customHeight="1" s="148">
      <c r="A636" t="inlineStr">
        <is>
          <t>c0635</t>
        </is>
      </c>
      <c r="B636" t="inlineStr">
        <is>
          <t>Pashalik Mons</t>
        </is>
      </c>
      <c r="C636" t="n">
        <v>0</v>
      </c>
      <c r="E636" t="n">
        <v>0</v>
      </c>
      <c r="F636" t="n">
        <v>0</v>
      </c>
      <c r="G636" t="n">
        <v>0</v>
      </c>
      <c r="H636" t="inlineStr">
        <is>
          <t>R</t>
        </is>
      </c>
      <c r="I636" t="inlineStr">
        <is>
          <t>Legendary Creature</t>
        </is>
      </c>
      <c r="J636" t="inlineStr">
        <is>
          <t>B3</t>
        </is>
      </c>
      <c r="K636" t="n">
        <v>3</v>
      </c>
      <c r="L636" t="inlineStr">
        <is>
          <t>Whenever Pashalik Mons or another Goblin you control dies, Pashalik Mons deals 1 damage to any target.
{3}{R}, Sacrifice a Goblin: Create two 1/1 red Goblin creature tokens.
(2/2)</t>
        </is>
      </c>
      <c r="M636" t="inlineStr">
        <is>
          <t>Aristocrats Payoff</t>
        </is>
      </c>
      <c r="N636" t="inlineStr">
        <is>
          <t>Whenever Pashalik Mons or another Goblin you control dies, Pashalik Mons deals 1 damage to any target.
{3}{R}, Sacrifice</t>
        </is>
      </c>
      <c r="R636" t="n">
        <v>3.9</v>
      </c>
    </row>
    <row r="637" ht="15" customHeight="1" s="148">
      <c r="A637" t="inlineStr">
        <is>
          <t>c0636</t>
        </is>
      </c>
      <c r="B637" t="inlineStr">
        <is>
          <t>Professional Face-Breaker</t>
        </is>
      </c>
      <c r="C637" t="n">
        <v>0</v>
      </c>
      <c r="E637" t="n">
        <v>0</v>
      </c>
      <c r="F637" t="n">
        <v>0</v>
      </c>
      <c r="G637" t="n">
        <v>0</v>
      </c>
      <c r="H637" t="inlineStr">
        <is>
          <t>R</t>
        </is>
      </c>
      <c r="I637" t="inlineStr">
        <is>
          <t>Creature</t>
        </is>
      </c>
      <c r="J637" t="inlineStr">
        <is>
          <t>B3</t>
        </is>
      </c>
      <c r="K637" t="n">
        <v>3</v>
      </c>
      <c r="L637" t="inlineStr">
        <is>
          <t>Menace
Whenever one or more creatures you control deal combat damage to a player, create a Treasure token.
Sacrifice a Treasure: Exile the top card of your library. You may play that card this turn.
(2/3)</t>
        </is>
      </c>
      <c r="M637" t="inlineStr">
        <is>
          <t>Token Producer</t>
        </is>
      </c>
      <c r="N637" t="inlineStr">
        <is>
          <t>Menace
Whenever one or more creatures you control deal combat damage to a player, create a Treasure token.
Sacrifice a T</t>
        </is>
      </c>
      <c r="R637" t="n">
        <v>7.22</v>
      </c>
    </row>
    <row r="638" ht="15" customHeight="1" s="148">
      <c r="A638" t="inlineStr">
        <is>
          <t>c0637</t>
        </is>
      </c>
      <c r="B638" t="inlineStr">
        <is>
          <t>Purphoros, God of the Forge</t>
        </is>
      </c>
      <c r="C638" t="n">
        <v>1</v>
      </c>
      <c r="E638" t="n">
        <v>1</v>
      </c>
      <c r="F638" t="n">
        <v>0</v>
      </c>
      <c r="G638" t="n">
        <v>1</v>
      </c>
      <c r="H638" t="inlineStr">
        <is>
          <t>R</t>
        </is>
      </c>
      <c r="I638" t="inlineStr">
        <is>
          <t>Legendary Enchantment Creature</t>
        </is>
      </c>
      <c r="J638" t="inlineStr">
        <is>
          <t>B3</t>
        </is>
      </c>
      <c r="K638" t="n">
        <v>4</v>
      </c>
      <c r="L638" t="inlineStr">
        <is>
          <t>Indestructible
As long as your devotion to red is less than five, Purphoros isn't a creature.
Whenever another creature you control enters, Purphoros deals 2 damage to each opponent.
{2}{R}: Creatures you control get +1/+0 until end of turn.
(6/5)</t>
        </is>
      </c>
      <c r="M638" t="inlineStr">
        <is>
          <t>Burn</t>
        </is>
      </c>
      <c r="N638" t="inlineStr">
        <is>
          <t>Deals 2 damage to each opponent when another creature you control enters</t>
        </is>
      </c>
      <c r="O638" t="inlineStr">
        <is>
          <t>{2}{R}: your creatures get +1/+0 until end of turn</t>
        </is>
      </c>
      <c r="P638" t="inlineStr">
        <is>
          <t>Indestructible; only a creature at devotion to red 5+</t>
        </is>
      </c>
      <c r="R638" t="n">
        <v>31.48</v>
      </c>
    </row>
    <row r="639" ht="15" customHeight="1" s="148">
      <c r="A639" t="inlineStr">
        <is>
          <t>c0638</t>
        </is>
      </c>
      <c r="B639" t="inlineStr">
        <is>
          <t>Purphoros's Intervention</t>
        </is>
      </c>
      <c r="C639" t="n">
        <v>1</v>
      </c>
      <c r="E639" t="n">
        <v>1</v>
      </c>
      <c r="F639" t="n">
        <v>0</v>
      </c>
      <c r="G639" t="n">
        <v>1</v>
      </c>
      <c r="H639" t="inlineStr">
        <is>
          <t>R</t>
        </is>
      </c>
      <c r="I639" t="inlineStr">
        <is>
          <t>Sorcery</t>
        </is>
      </c>
      <c r="J639" t="inlineStr">
        <is>
          <t>B3</t>
        </is>
      </c>
      <c r="K639" t="n">
        <v>1</v>
      </c>
      <c r="L639" t="inlineStr">
        <is>
          <t>Choose one —
• Create an X/1 red Elemental creature token with trample and haste. Sacrifice it at the beginning of the next end step.
• Purphoros's Intervention deals twice X damage to target creature or planeswalker.</t>
        </is>
      </c>
      <c r="M639" t="inlineStr">
        <is>
          <t>Removal</t>
        </is>
      </c>
      <c r="N639" t="inlineStr">
        <is>
          <t>X damage to target creature/planeswalker, or make an X/1 hasty trampler</t>
        </is>
      </c>
      <c r="R639" t="n">
        <v>0.28</v>
      </c>
    </row>
    <row r="640" ht="15" customHeight="1" s="148">
      <c r="A640" t="inlineStr">
        <is>
          <t>c0639</t>
        </is>
      </c>
      <c r="B640" t="inlineStr">
        <is>
          <t>Quest for the Goblin Lord</t>
        </is>
      </c>
      <c r="C640" t="n">
        <v>1</v>
      </c>
      <c r="E640" t="n">
        <v>1</v>
      </c>
      <c r="F640" t="n">
        <v>0</v>
      </c>
      <c r="G640" t="n">
        <v>1</v>
      </c>
      <c r="H640" t="inlineStr">
        <is>
          <t>R</t>
        </is>
      </c>
      <c r="I640" t="inlineStr">
        <is>
          <t>Enchantment</t>
        </is>
      </c>
      <c r="J640" t="inlineStr">
        <is>
          <t>B2</t>
        </is>
      </c>
      <c r="K640" t="n">
        <v>1</v>
      </c>
      <c r="L640" t="inlineStr">
        <is>
          <t>Whenever a Goblin you control enters, you may put a quest counter on this enchantment.
As long as this enchantment has five or more quest counters on it, creatures you control get +2/+0.</t>
        </is>
      </c>
      <c r="M640" t="inlineStr">
        <is>
          <t>Lord/Anthem</t>
        </is>
      </c>
      <c r="N640" t="inlineStr">
        <is>
          <t>Gains a quest counter whenever a Goblin you control enters</t>
        </is>
      </c>
      <c r="O640" t="inlineStr">
        <is>
          <t>At five or more counters, your creatures get +2/+0</t>
        </is>
      </c>
      <c r="R640" t="n">
        <v>1.84</v>
      </c>
    </row>
    <row r="641" ht="15" customHeight="1" s="148">
      <c r="A641" t="inlineStr">
        <is>
          <t>c0640</t>
        </is>
      </c>
      <c r="B641" t="inlineStr">
        <is>
          <t>Ragged Short Spear</t>
        </is>
      </c>
      <c r="C641" t="n">
        <v>3</v>
      </c>
      <c r="E641" t="n">
        <v>1</v>
      </c>
      <c r="F641" t="n">
        <v>2</v>
      </c>
      <c r="G641" t="n">
        <v>0</v>
      </c>
      <c r="H641" t="inlineStr">
        <is>
          <t>R</t>
        </is>
      </c>
      <c r="I641" t="inlineStr">
        <is>
          <t>Artifact</t>
        </is>
      </c>
      <c r="J641" t="inlineStr">
        <is>
          <t>B2</t>
        </is>
      </c>
      <c r="K641" t="n">
        <v>2</v>
      </c>
      <c r="L641" t="inlineStr">
        <is>
          <t>When this Equipment enters, you may discard a card. If you do, draw two cards.
Equipped creature gets +2/+0.
Equip {3} ({3}: Attach to target creature you control. Equip only as a sorcery.)</t>
        </is>
      </c>
      <c r="M641" t="inlineStr">
        <is>
          <t>Card Draw</t>
        </is>
      </c>
      <c r="N641" t="inlineStr">
        <is>
          <t>Enters: discard a card to draw two</t>
        </is>
      </c>
      <c r="O641" t="inlineStr">
        <is>
          <t>Equipped creature gets +2/+0</t>
        </is>
      </c>
      <c r="R641" t="n">
        <v>0.14</v>
      </c>
    </row>
    <row r="642" ht="15" customHeight="1" s="148">
      <c r="A642" t="inlineStr">
        <is>
          <t>c0641</t>
        </is>
      </c>
      <c r="B642" t="inlineStr">
        <is>
          <t>Raid Bombardment</t>
        </is>
      </c>
      <c r="C642" t="n">
        <v>1</v>
      </c>
      <c r="E642" t="n">
        <v>0</v>
      </c>
      <c r="F642" t="n">
        <v>1</v>
      </c>
      <c r="G642" t="n">
        <v>0</v>
      </c>
      <c r="H642" t="inlineStr">
        <is>
          <t>R</t>
        </is>
      </c>
      <c r="I642" t="inlineStr">
        <is>
          <t>Enchantment</t>
        </is>
      </c>
      <c r="J642" t="inlineStr">
        <is>
          <t>B2</t>
        </is>
      </c>
      <c r="K642" t="n">
        <v>3</v>
      </c>
      <c r="L642" t="inlineStr">
        <is>
          <t>Whenever a creature you control with power 2 or less attacks, this enchantment deals 1 damage to the player or planeswalker that creature is attacking.</t>
        </is>
      </c>
      <c r="M642" t="inlineStr">
        <is>
          <t>Burn</t>
        </is>
      </c>
      <c r="N642" t="inlineStr">
        <is>
          <t>Whenever a creature you control with power 2 or less attacks, deals 1 damage to what it's attacking</t>
        </is>
      </c>
      <c r="R642" t="n">
        <v>0.3</v>
      </c>
    </row>
    <row r="643" ht="15" customHeight="1" s="148">
      <c r="A643" t="inlineStr">
        <is>
          <t>c0642</t>
        </is>
      </c>
      <c r="B643" t="inlineStr">
        <is>
          <t>Reckless Bushwhacker</t>
        </is>
      </c>
      <c r="C643" t="n">
        <v>0</v>
      </c>
      <c r="E643" t="n">
        <v>0</v>
      </c>
      <c r="F643" t="n">
        <v>0</v>
      </c>
      <c r="G643" t="n">
        <v>0</v>
      </c>
      <c r="H643" t="inlineStr">
        <is>
          <t>R</t>
        </is>
      </c>
      <c r="I643" t="inlineStr">
        <is>
          <t>Creature</t>
        </is>
      </c>
      <c r="J643" t="inlineStr">
        <is>
          <t>B2</t>
        </is>
      </c>
      <c r="K643" t="n">
        <v>3</v>
      </c>
      <c r="L643" t="inlineStr">
        <is>
          <t>Surge {1}{R} (You may cast this spell for its surge cost if you or a teammate has cast another spell this turn.)
Haste
When this creature enters, if its surge cost was paid, other creatures you control get +1/+0 and gain haste until end of turn.
(2/1)</t>
        </is>
      </c>
      <c r="M643" t="inlineStr">
        <is>
          <t>Haste Enabler</t>
        </is>
      </c>
      <c r="N643" t="inlineStr">
        <is>
          <t>Surge {1}{R}</t>
        </is>
      </c>
      <c r="O643" t="inlineStr">
        <is>
          <t>Haste</t>
        </is>
      </c>
      <c r="P643" t="inlineStr">
        <is>
          <t>When this creature enters, if its surge cost was paid, other creatures you control get +1/+0 and gain haste until end of</t>
        </is>
      </c>
      <c r="R643" t="n">
        <v>0.19</v>
      </c>
    </row>
    <row r="644" ht="15" customHeight="1" s="148">
      <c r="A644" t="inlineStr">
        <is>
          <t>c0643</t>
        </is>
      </c>
      <c r="B644" t="inlineStr">
        <is>
          <t>Reckless Ransacking</t>
        </is>
      </c>
      <c r="C644" t="n">
        <v>1</v>
      </c>
      <c r="E644" t="n">
        <v>0</v>
      </c>
      <c r="F644" t="n">
        <v>1</v>
      </c>
      <c r="G644" t="n">
        <v>0</v>
      </c>
      <c r="H644" t="inlineStr">
        <is>
          <t>R</t>
        </is>
      </c>
      <c r="I644" t="inlineStr">
        <is>
          <t>Instant</t>
        </is>
      </c>
      <c r="J644" t="inlineStr">
        <is>
          <t>B2</t>
        </is>
      </c>
      <c r="K644" t="n">
        <v>2</v>
      </c>
      <c r="L644" t="inlineStr">
        <is>
          <t>Target creature gets +3/+2 until end of turn. Create a Treasure token. (It's an artifact with "{T}, Sacrifice this token: Add one mana of any color.")</t>
        </is>
      </c>
      <c r="M644" t="inlineStr">
        <is>
          <t>Combat Trick</t>
        </is>
      </c>
      <c r="N644" t="inlineStr">
        <is>
          <t>Target creature gets +3/+2 until end of turn</t>
        </is>
      </c>
      <c r="O644" t="inlineStr">
        <is>
          <t>Creates a Treasure token</t>
        </is>
      </c>
      <c r="R644" t="n">
        <v>0.27</v>
      </c>
    </row>
    <row r="645" ht="15" customHeight="1" s="148">
      <c r="A645" t="inlineStr">
        <is>
          <t>c0644</t>
        </is>
      </c>
      <c r="B645" t="inlineStr">
        <is>
          <t>Relic Retriever</t>
        </is>
      </c>
      <c r="C645" t="n">
        <v>1</v>
      </c>
      <c r="E645" t="n">
        <v>1</v>
      </c>
      <c r="F645" t="n">
        <v>0</v>
      </c>
      <c r="G645" t="n">
        <v>1</v>
      </c>
      <c r="H645" t="inlineStr">
        <is>
          <t>R</t>
        </is>
      </c>
      <c r="I645" t="inlineStr">
        <is>
          <t>Creature</t>
        </is>
      </c>
      <c r="J645" t="inlineStr">
        <is>
          <t>B2</t>
        </is>
      </c>
      <c r="K645" t="n">
        <v>2</v>
      </c>
      <c r="L645" t="inlineStr">
        <is>
          <t>First strike
At the beginning of each end step, if a card left your graveyard this turn, create a Treasure token. (It's an artifact with "{T}, Sacrifice this token: Add one mana of any color.")
(2/1)</t>
        </is>
      </c>
      <c r="M645" t="inlineStr">
        <is>
          <t>Value Engine</t>
        </is>
      </c>
      <c r="N645" t="inlineStr">
        <is>
          <t>Deals combat damage before normal-speed blockers</t>
        </is>
      </c>
      <c r="O645" t="inlineStr">
        <is>
          <t>End step: create a Treasure token if a card left your graveyard this turn</t>
        </is>
      </c>
      <c r="R645" t="n">
        <v>0.24</v>
      </c>
    </row>
    <row r="646" ht="15" customHeight="1" s="148">
      <c r="A646" t="inlineStr">
        <is>
          <t>c0645</t>
        </is>
      </c>
      <c r="B646" t="inlineStr">
        <is>
          <t>Rubble Rouser</t>
        </is>
      </c>
      <c r="C646" t="n">
        <v>1</v>
      </c>
      <c r="E646" t="n">
        <v>1</v>
      </c>
      <c r="F646" t="n">
        <v>0</v>
      </c>
      <c r="G646" t="n">
        <v>1</v>
      </c>
      <c r="H646" t="inlineStr">
        <is>
          <t>R</t>
        </is>
      </c>
      <c r="I646" t="inlineStr">
        <is>
          <t>Creature</t>
        </is>
      </c>
      <c r="J646" t="inlineStr">
        <is>
          <t>B2</t>
        </is>
      </c>
      <c r="K646" t="n">
        <v>3</v>
      </c>
      <c r="L646" t="inlineStr">
        <is>
          <t>When this creature enters, you may discard a card. If you do, draw a card.
{T}, Exile a card from your graveyard: Add {R}. When you do, this creature deals 1 damage to each opponent.
(1/4)</t>
        </is>
      </c>
      <c r="M646" t="inlineStr">
        <is>
          <t>Burn</t>
        </is>
      </c>
      <c r="N646" t="inlineStr">
        <is>
          <t>{T}, exile a card from your graveyard: Add {R}, and this creature deals 1 damage to each opponent</t>
        </is>
      </c>
      <c r="O646" t="inlineStr">
        <is>
          <t>Enters: you may discard a card, and if you do, draw a card</t>
        </is>
      </c>
      <c r="R646" t="n">
        <v>0.16</v>
      </c>
    </row>
    <row r="647" ht="15" customHeight="1" s="148">
      <c r="A647" t="inlineStr">
        <is>
          <t>c0646</t>
        </is>
      </c>
      <c r="B647" t="inlineStr">
        <is>
          <t>Rummaging Goblin</t>
        </is>
      </c>
      <c r="C647" t="n">
        <v>0</v>
      </c>
      <c r="E647" t="n">
        <v>0</v>
      </c>
      <c r="F647" t="n">
        <v>0</v>
      </c>
      <c r="G647" t="n">
        <v>0</v>
      </c>
      <c r="H647" t="inlineStr">
        <is>
          <t>R</t>
        </is>
      </c>
      <c r="I647" t="inlineStr">
        <is>
          <t>Creature</t>
        </is>
      </c>
      <c r="J647" t="inlineStr">
        <is>
          <t>B2</t>
        </is>
      </c>
      <c r="K647" t="n">
        <v>3</v>
      </c>
      <c r="L647" t="inlineStr">
        <is>
          <t>{T}, Discard a card: Draw a card.
(1/1)</t>
        </is>
      </c>
      <c r="M647" t="inlineStr">
        <is>
          <t>Discard/Looting</t>
        </is>
      </c>
      <c r="N647" t="inlineStr">
        <is>
          <t>Tap, discard a card: draw a card</t>
        </is>
      </c>
      <c r="R647" t="n">
        <v>0.2</v>
      </c>
    </row>
    <row r="648" ht="15" customHeight="1" s="148">
      <c r="A648" t="inlineStr">
        <is>
          <t>c0647</t>
        </is>
      </c>
      <c r="B648" t="inlineStr">
        <is>
          <t>Rundvelt Hordemaster</t>
        </is>
      </c>
      <c r="C648" t="n">
        <v>0</v>
      </c>
      <c r="D648" t="n">
        <v>1</v>
      </c>
      <c r="E648" t="n">
        <v>0</v>
      </c>
      <c r="F648" t="n">
        <v>0</v>
      </c>
      <c r="G648" t="n">
        <v>1</v>
      </c>
      <c r="H648" t="inlineStr">
        <is>
          <t>R</t>
        </is>
      </c>
      <c r="I648" t="inlineStr">
        <is>
          <t>Creature</t>
        </is>
      </c>
      <c r="J648" t="inlineStr">
        <is>
          <t>B3</t>
        </is>
      </c>
      <c r="K648" t="n">
        <v>2</v>
      </c>
      <c r="L648" t="inlineStr">
        <is>
          <t>Other Goblins you control get +1/+1.
Whenever this creature or another Goblin you control dies, exile the top card of your library. If it's a Goblin creature card, you may cast that card until the end of your next turn.
(1/1)</t>
        </is>
      </c>
      <c r="M648" t="inlineStr">
        <is>
          <t>Lord/Anthem</t>
        </is>
      </c>
      <c r="N648" t="inlineStr">
        <is>
          <t>Other Goblins you control get +1/+1.
Whenever this creature or another Goblin you control dies, exile the top card of yo</t>
        </is>
      </c>
      <c r="R648" t="n">
        <v>4.87</v>
      </c>
    </row>
    <row r="649" ht="15" customHeight="1" s="148">
      <c r="A649" t="inlineStr">
        <is>
          <t>c0648</t>
        </is>
      </c>
      <c r="B649" t="inlineStr">
        <is>
          <t>Seize the Spoils</t>
        </is>
      </c>
      <c r="C649" t="n">
        <v>1</v>
      </c>
      <c r="E649" t="n">
        <v>1</v>
      </c>
      <c r="F649" t="n">
        <v>0</v>
      </c>
      <c r="G649" t="n">
        <v>0</v>
      </c>
      <c r="H649" t="inlineStr">
        <is>
          <t>R</t>
        </is>
      </c>
      <c r="I649" t="inlineStr">
        <is>
          <t>Sorcery</t>
        </is>
      </c>
      <c r="J649" t="inlineStr">
        <is>
          <t>B2</t>
        </is>
      </c>
      <c r="K649" t="n">
        <v>3</v>
      </c>
      <c r="L649" t="inlineStr">
        <is>
          <t>As an additional cost to cast this spell, discard a card.
Draw two cards and create a Treasure token. (It's an artifact with "{T}, Sacrifice this token: Add one mana of any color.")</t>
        </is>
      </c>
      <c r="M649" t="inlineStr">
        <is>
          <t>Card Draw</t>
        </is>
      </c>
      <c r="N649" t="inlineStr">
        <is>
          <t>Discard a card as an additional cost</t>
        </is>
      </c>
      <c r="O649" t="inlineStr">
        <is>
          <t>Draw two cards and create a Treasure token</t>
        </is>
      </c>
      <c r="R649" t="n">
        <v>0.22</v>
      </c>
    </row>
    <row r="650" ht="15" customHeight="1" s="148">
      <c r="A650" t="inlineStr">
        <is>
          <t>c0649</t>
        </is>
      </c>
      <c r="B650" t="inlineStr">
        <is>
          <t>Shared Animosity</t>
        </is>
      </c>
      <c r="C650" t="n">
        <v>1</v>
      </c>
      <c r="E650" t="n">
        <v>1</v>
      </c>
      <c r="F650" t="n">
        <v>0</v>
      </c>
      <c r="G650" t="n">
        <v>1</v>
      </c>
      <c r="H650" t="inlineStr">
        <is>
          <t>R</t>
        </is>
      </c>
      <c r="I650" t="inlineStr">
        <is>
          <t>Enchantment</t>
        </is>
      </c>
      <c r="J650" t="inlineStr">
        <is>
          <t>B3</t>
        </is>
      </c>
      <c r="K650" t="n">
        <v>3</v>
      </c>
      <c r="L650" t="inlineStr">
        <is>
          <t>Whenever a creature you control attacks, it gets +1/+0 until end of turn for each other attacking creature that shares a creature type with it.</t>
        </is>
      </c>
      <c r="M650" t="inlineStr">
        <is>
          <t>Lord/Anthem</t>
        </is>
      </c>
      <c r="N650" t="inlineStr">
        <is>
          <t>Whenever a creature you control attacks, it gets +1/+0 until end of turn for each other attacking creature that shares a</t>
        </is>
      </c>
      <c r="R650" t="n">
        <v>4.47</v>
      </c>
    </row>
    <row r="651" ht="15" customHeight="1" s="148">
      <c r="A651" t="inlineStr">
        <is>
          <t>c0650</t>
        </is>
      </c>
      <c r="B651" t="inlineStr">
        <is>
          <t>Siege Smash</t>
        </is>
      </c>
      <c r="C651" t="n">
        <v>1</v>
      </c>
      <c r="E651" t="n">
        <v>1</v>
      </c>
      <c r="F651" t="n">
        <v>0</v>
      </c>
      <c r="G651" t="n">
        <v>0</v>
      </c>
      <c r="H651" t="inlineStr">
        <is>
          <t>R</t>
        </is>
      </c>
      <c r="I651" t="inlineStr">
        <is>
          <t>Instant</t>
        </is>
      </c>
      <c r="J651" t="inlineStr">
        <is>
          <t>B2</t>
        </is>
      </c>
      <c r="K651" t="n">
        <v>2</v>
      </c>
      <c r="L651" t="inlineStr">
        <is>
          <t>Split second (As long as this spell is on the stack, players can't cast spells or activate abilities that aren't mana abilities.)
Choose one —
• Destroy target artifact.
• Target creature gets +3/+2 and gains trample until end of turn.</t>
        </is>
      </c>
      <c r="M651" t="inlineStr">
        <is>
          <t>Artifact/Enchantment Removal</t>
        </is>
      </c>
      <c r="N651" t="inlineStr">
        <is>
          <t>Split second: nobody can respond while it is on the stack</t>
        </is>
      </c>
      <c r="O651" t="inlineStr">
        <is>
          <t>Destroys an artifact</t>
        </is>
      </c>
      <c r="P651" t="inlineStr">
        <is>
          <t>Or gives a creature +3/+2 and trample</t>
        </is>
      </c>
      <c r="R651" t="n">
        <v>0.3</v>
      </c>
    </row>
    <row r="652" ht="15" customHeight="1" s="148">
      <c r="A652" t="inlineStr">
        <is>
          <t>c0651</t>
        </is>
      </c>
      <c r="B652" t="inlineStr">
        <is>
          <t>Siege-Gang Commander</t>
        </is>
      </c>
      <c r="C652" t="n">
        <v>1</v>
      </c>
      <c r="E652" t="n">
        <v>1</v>
      </c>
      <c r="F652" t="n">
        <v>0</v>
      </c>
      <c r="G652" t="n">
        <v>1</v>
      </c>
      <c r="H652" t="inlineStr">
        <is>
          <t>R</t>
        </is>
      </c>
      <c r="I652" t="inlineStr">
        <is>
          <t>Creature</t>
        </is>
      </c>
      <c r="J652" t="inlineStr">
        <is>
          <t>B2</t>
        </is>
      </c>
      <c r="K652" t="n">
        <v>5</v>
      </c>
      <c r="L652" t="inlineStr">
        <is>
          <t>When this creature enters, create three 1/1 red Goblin creature tokens.
{1}{R}, Sacrifice a Goblin: This creature deals 2 damage to any target.
(2/2)</t>
        </is>
      </c>
      <c r="M652" t="inlineStr">
        <is>
          <t>Token Producer</t>
        </is>
      </c>
      <c r="N652" t="inlineStr">
        <is>
          <t>Creates three 1/1 Goblin tokens when it enters</t>
        </is>
      </c>
      <c r="O652" t="inlineStr">
        <is>
          <t>{1}{R}, sacrifice a Goblin: deals 2 damage to any target</t>
        </is>
      </c>
      <c r="R652" t="n">
        <v>0.27</v>
      </c>
    </row>
    <row r="653" ht="15" customHeight="1" s="148">
      <c r="A653" t="inlineStr">
        <is>
          <t>c0652</t>
        </is>
      </c>
      <c r="B653" t="inlineStr">
        <is>
          <t>Skirk Fire Marshal</t>
        </is>
      </c>
      <c r="C653" t="n">
        <v>0</v>
      </c>
      <c r="E653" t="n">
        <v>0</v>
      </c>
      <c r="F653" t="n">
        <v>0</v>
      </c>
      <c r="G653" t="n">
        <v>0</v>
      </c>
      <c r="H653" t="inlineStr">
        <is>
          <t>R</t>
        </is>
      </c>
      <c r="I653" t="inlineStr">
        <is>
          <t>Creature</t>
        </is>
      </c>
      <c r="J653" t="inlineStr">
        <is>
          <t>B3</t>
        </is>
      </c>
      <c r="K653" t="n">
        <v>5</v>
      </c>
      <c r="L653" t="inlineStr">
        <is>
          <t>Protection from red
Tap five untapped Goblins you control: This creature deals 10 damage to each creature and each player.
(2/2)</t>
        </is>
      </c>
      <c r="M653" t="inlineStr">
        <is>
          <t>Finisher</t>
        </is>
      </c>
      <c r="N653" t="inlineStr">
        <is>
          <t>Protection from red</t>
        </is>
      </c>
      <c r="O653" t="inlineStr">
        <is>
          <t>Tap five untapped Goblins you control: This creature deals 10 damage to each creature and each player</t>
        </is>
      </c>
      <c r="R653" t="n">
        <v>0.93</v>
      </c>
    </row>
    <row r="654" ht="15" customHeight="1" s="148">
      <c r="A654" t="inlineStr">
        <is>
          <t>c0653</t>
        </is>
      </c>
      <c r="B654" t="inlineStr">
        <is>
          <t>Skirk Prospector</t>
        </is>
      </c>
      <c r="C654" t="n">
        <v>1</v>
      </c>
      <c r="E654" t="n">
        <v>1</v>
      </c>
      <c r="F654" t="n">
        <v>0</v>
      </c>
      <c r="G654" t="n">
        <v>1</v>
      </c>
      <c r="H654" t="inlineStr">
        <is>
          <t>R</t>
        </is>
      </c>
      <c r="I654" t="inlineStr">
        <is>
          <t>Creature</t>
        </is>
      </c>
      <c r="J654" t="inlineStr">
        <is>
          <t>B2</t>
        </is>
      </c>
      <c r="K654" t="n">
        <v>1</v>
      </c>
      <c r="L654" t="inlineStr">
        <is>
          <t>Sacrifice a Goblin: Add {R}.
(1/1)</t>
        </is>
      </c>
      <c r="M654" t="inlineStr">
        <is>
          <t>Sacrifice Outlet</t>
        </is>
      </c>
      <c r="N654" t="inlineStr">
        <is>
          <t>Sacrifice a Goblin: add {R}</t>
        </is>
      </c>
      <c r="R654" t="n">
        <v>0.37</v>
      </c>
    </row>
    <row r="655" ht="15" customHeight="1" s="148">
      <c r="A655" t="inlineStr">
        <is>
          <t>c0654</t>
        </is>
      </c>
      <c r="B655" t="inlineStr">
        <is>
          <t>Smaug, the Great Calamity</t>
        </is>
      </c>
      <c r="C655" t="n">
        <v>3</v>
      </c>
      <c r="E655" t="n">
        <v>0</v>
      </c>
      <c r="F655" t="n">
        <v>3</v>
      </c>
      <c r="G655" t="n">
        <v>0</v>
      </c>
      <c r="H655" t="inlineStr">
        <is>
          <t>R</t>
        </is>
      </c>
      <c r="I655" t="inlineStr">
        <is>
          <t>Legendary Creature</t>
        </is>
      </c>
      <c r="J655" t="inlineStr">
        <is>
          <t>B2</t>
        </is>
      </c>
      <c r="K655" t="n">
        <v>7</v>
      </c>
      <c r="L655" t="inlineStr">
        <is>
          <t>Smaug, the Great Calamity {5}{R}{R} — Legendary Creature — Dragon (5/5)
Flying
//
Spew Flame {4}{R} — Sorcery — Adventure
Spew Flame deals 5 damage to target creature. (Then exile this card. You may cast the creature later from exile.)</t>
        </is>
      </c>
      <c r="M655" t="inlineStr">
        <is>
          <t>Finisher</t>
        </is>
      </c>
      <c r="N655" t="inlineStr">
        <is>
          <t>Flying</t>
        </is>
      </c>
      <c r="O655" t="inlineStr">
        <is>
          <t>Back face Spew Flame {4}{R}: deals 5 damage to target creature</t>
        </is>
      </c>
      <c r="R655" t="n">
        <v>0.26</v>
      </c>
    </row>
    <row r="656" ht="15" customHeight="1" s="148">
      <c r="A656" t="inlineStr">
        <is>
          <t>c0655</t>
        </is>
      </c>
      <c r="B656" t="inlineStr">
        <is>
          <t>Sourbread Auntie</t>
        </is>
      </c>
      <c r="C656" t="n">
        <v>1</v>
      </c>
      <c r="E656" t="n">
        <v>1</v>
      </c>
      <c r="F656" t="n">
        <v>0</v>
      </c>
      <c r="G656" t="n">
        <v>1</v>
      </c>
      <c r="H656" t="inlineStr">
        <is>
          <t>R</t>
        </is>
      </c>
      <c r="I656" t="inlineStr">
        <is>
          <t>Creature</t>
        </is>
      </c>
      <c r="J656" t="inlineStr">
        <is>
          <t>B2</t>
        </is>
      </c>
      <c r="K656" t="n">
        <v>4</v>
      </c>
      <c r="L656" t="inlineStr">
        <is>
          <t>When this creature enters, you may blight 2. If you do, create two 1/1 black and red Goblin creature tokens. (To blight 2, put two -1/-1 counters on a creature you control.)
(4/3)</t>
        </is>
      </c>
      <c r="M656" t="inlineStr">
        <is>
          <t>Token Producer</t>
        </is>
      </c>
      <c r="N656" t="inlineStr">
        <is>
          <t>May put two -1/-1 counters on a creature to make two Goblin tokens</t>
        </is>
      </c>
      <c r="R656" t="n">
        <v>0.28</v>
      </c>
    </row>
    <row r="657" ht="15" customHeight="1" s="148">
      <c r="A657" t="inlineStr">
        <is>
          <t>c0656</t>
        </is>
      </c>
      <c r="B657" t="inlineStr">
        <is>
          <t>Spirit of Resilience</t>
        </is>
      </c>
      <c r="C657" t="n">
        <v>1</v>
      </c>
      <c r="E657" t="n">
        <v>0</v>
      </c>
      <c r="F657" t="n">
        <v>1</v>
      </c>
      <c r="G657" t="n">
        <v>0</v>
      </c>
      <c r="H657" t="inlineStr">
        <is>
          <t>R</t>
        </is>
      </c>
      <c r="I657" t="inlineStr">
        <is>
          <t>Creature</t>
        </is>
      </c>
      <c r="J657" t="inlineStr">
        <is>
          <t>B2</t>
        </is>
      </c>
      <c r="K657" t="n">
        <v>3</v>
      </c>
      <c r="L657" t="inlineStr">
        <is>
          <t>Whenever one or more cards leave your graveyard, put a +1/+1 counter on this creature, then you may have this creature become a copy of an artifact or creature card from among those cards until end of turn.
(2/2)</t>
        </is>
      </c>
      <c r="M657" t="inlineStr">
        <is>
          <t>Value Engine</t>
        </is>
      </c>
      <c r="N657" t="inlineStr">
        <is>
          <t>Gets a +1/+1 counter whenever cards leave your graveyard</t>
        </is>
      </c>
      <c r="O657" t="inlineStr">
        <is>
          <t>May become a copy of an artifact/creature card that just left your graveyard until end of turn</t>
        </is>
      </c>
      <c r="R657" t="n">
        <v>0.17</v>
      </c>
    </row>
    <row r="658" ht="15" customHeight="1" s="148">
      <c r="A658" t="inlineStr">
        <is>
          <t>c0657</t>
        </is>
      </c>
      <c r="B658" t="inlineStr">
        <is>
          <t>Squee, Dubious Monarch</t>
        </is>
      </c>
      <c r="C658" t="n">
        <v>1</v>
      </c>
      <c r="E658" t="n">
        <v>1</v>
      </c>
      <c r="F658" t="n">
        <v>0</v>
      </c>
      <c r="G658" t="n">
        <v>1</v>
      </c>
      <c r="H658" t="inlineStr">
        <is>
          <t>R</t>
        </is>
      </c>
      <c r="I658" t="inlineStr">
        <is>
          <t>Legendary Creature</t>
        </is>
      </c>
      <c r="J658" t="inlineStr">
        <is>
          <t>B2</t>
        </is>
      </c>
      <c r="K658" t="n">
        <v>3</v>
      </c>
      <c r="L658" t="inlineStr">
        <is>
          <t>Haste
Whenever Squee attacks, create a 1/1 red Goblin creature token that's tapped and attacking.
You may cast this card from your graveyard by paying {3}{R} and exiling four other cards from your graveyard rather than paying its mana cost.
(2/2)</t>
        </is>
      </c>
      <c r="M658" t="inlineStr">
        <is>
          <t>Token Producer</t>
        </is>
      </c>
      <c r="N658" t="inlineStr">
        <is>
          <t>Can attack the turn it enters</t>
        </is>
      </c>
      <c r="O658" t="inlineStr">
        <is>
          <t>Attacking creates a tapped and attacking 1/1 Goblin token</t>
        </is>
      </c>
      <c r="P658" t="inlineStr">
        <is>
          <t>Can be cast from graveyard by exiling four other graveyard cards instead of paying its cost</t>
        </is>
      </c>
      <c r="R658" t="n">
        <v>0.67</v>
      </c>
    </row>
    <row r="659" ht="15" customHeight="1" s="148">
      <c r="A659" t="inlineStr">
        <is>
          <t>c0658</t>
        </is>
      </c>
      <c r="B659" t="inlineStr">
        <is>
          <t>Squee, Goblin Nabob</t>
        </is>
      </c>
      <c r="C659" t="n">
        <v>1</v>
      </c>
      <c r="E659" t="n">
        <v>0</v>
      </c>
      <c r="F659" t="n">
        <v>1</v>
      </c>
      <c r="G659" t="n">
        <v>0</v>
      </c>
      <c r="H659" t="inlineStr">
        <is>
          <t>R</t>
        </is>
      </c>
      <c r="I659" t="inlineStr">
        <is>
          <t>Legendary Creature</t>
        </is>
      </c>
      <c r="J659" t="inlineStr">
        <is>
          <t>B2</t>
        </is>
      </c>
      <c r="K659" t="n">
        <v>3</v>
      </c>
      <c r="L659" t="inlineStr">
        <is>
          <t>At the beginning of your upkeep, you may return this card from your graveyard to your hand.
(1/1)</t>
        </is>
      </c>
      <c r="M659" t="inlineStr">
        <is>
          <t>Recursion</t>
        </is>
      </c>
      <c r="N659" t="inlineStr">
        <is>
          <t>Upkeep: you may return this card from graveyard to your hand</t>
        </is>
      </c>
      <c r="R659" t="n">
        <v>0.3</v>
      </c>
    </row>
    <row r="660" ht="15" customHeight="1" s="148">
      <c r="A660" t="inlineStr">
        <is>
          <t>c0659</t>
        </is>
      </c>
      <c r="B660" t="inlineStr">
        <is>
          <t>Squee, the Immortal</t>
        </is>
      </c>
      <c r="C660" t="n">
        <v>1</v>
      </c>
      <c r="E660" t="n">
        <v>1</v>
      </c>
      <c r="F660" t="n">
        <v>0</v>
      </c>
      <c r="G660" t="n">
        <v>1</v>
      </c>
      <c r="H660" t="inlineStr">
        <is>
          <t>R</t>
        </is>
      </c>
      <c r="I660" t="inlineStr">
        <is>
          <t>Legendary Creature</t>
        </is>
      </c>
      <c r="J660" t="inlineStr">
        <is>
          <t>B2</t>
        </is>
      </c>
      <c r="K660" t="n">
        <v>3</v>
      </c>
      <c r="L660" t="inlineStr">
        <is>
          <t>You may cast this card from your graveyard or from exile.
(2/1)</t>
        </is>
      </c>
      <c r="M660" t="inlineStr">
        <is>
          <t>Recursion</t>
        </is>
      </c>
      <c r="N660" t="inlineStr">
        <is>
          <t>You may cast this card from your graveyard or from exile</t>
        </is>
      </c>
      <c r="R660" t="n">
        <v>1.37</v>
      </c>
    </row>
    <row r="661" ht="15" customHeight="1" s="148">
      <c r="A661" t="inlineStr">
        <is>
          <t>c0660</t>
        </is>
      </c>
      <c r="B661" t="inlineStr">
        <is>
          <t>Steal the Show</t>
        </is>
      </c>
      <c r="C661" t="n">
        <v>1</v>
      </c>
      <c r="E661" t="n">
        <v>0</v>
      </c>
      <c r="F661" t="n">
        <v>1</v>
      </c>
      <c r="G661" t="n">
        <v>0</v>
      </c>
      <c r="H661" t="inlineStr">
        <is>
          <t>R</t>
        </is>
      </c>
      <c r="I661" t="inlineStr">
        <is>
          <t>Sorcery</t>
        </is>
      </c>
      <c r="J661" t="inlineStr">
        <is>
          <t>B2</t>
        </is>
      </c>
      <c r="K661" t="n">
        <v>3</v>
      </c>
      <c r="L661" t="inlineStr">
        <is>
          <t>Choose one or both —
• Target player discards any number of cards, then draws that many cards.
• Steal the Show deals damage equal to the number of instant and sorcery cards in your graveyard to target creature or planeswalker.</t>
        </is>
      </c>
      <c r="M661" t="inlineStr">
        <is>
          <t>Discard/Looting</t>
        </is>
      </c>
      <c r="N661" t="inlineStr">
        <is>
          <t>Choose one or both — target player discards any number of cards, then draws that many</t>
        </is>
      </c>
      <c r="O661" t="inlineStr">
        <is>
          <t>And/or deal damage equal to the instants and sorceries in your graveyard to a creature or planeswalker</t>
        </is>
      </c>
      <c r="R661" t="n">
        <v>0.28</v>
      </c>
    </row>
    <row r="662" ht="15" customHeight="1" s="148">
      <c r="A662" t="inlineStr">
        <is>
          <t>c0661</t>
        </is>
      </c>
      <c r="B662" t="inlineStr">
        <is>
          <t>Tempt with Vengeance</t>
        </is>
      </c>
      <c r="C662" t="n">
        <v>1</v>
      </c>
      <c r="E662" t="n">
        <v>0</v>
      </c>
      <c r="F662" t="n">
        <v>1</v>
      </c>
      <c r="G662" t="n">
        <v>0</v>
      </c>
      <c r="H662" t="inlineStr">
        <is>
          <t>R</t>
        </is>
      </c>
      <c r="I662" t="inlineStr">
        <is>
          <t>Sorcery</t>
        </is>
      </c>
      <c r="J662" t="inlineStr">
        <is>
          <t>B2</t>
        </is>
      </c>
      <c r="K662" t="n">
        <v>1</v>
      </c>
      <c r="L662" t="inlineStr">
        <is>
          <t>Tempting offer — Create X 1/1 red Elemental creature tokens with haste. Each opponent may create X 1/1 red Elemental creature tokens with haste. For each opponent who does, create X 1/1 red Elemental creature tokens with haste.</t>
        </is>
      </c>
      <c r="M662" t="inlineStr">
        <is>
          <t>Token Producer</t>
        </is>
      </c>
      <c r="N662" t="inlineStr">
        <is>
          <t>Creates X 1/1 hasty Elemental tokens</t>
        </is>
      </c>
      <c r="O662" t="inlineStr">
        <is>
          <t>Opponents may match it, then you get that many more tokens</t>
        </is>
      </c>
      <c r="R662" t="n">
        <v>0.32</v>
      </c>
    </row>
    <row r="663" ht="15" customHeight="1" s="148">
      <c r="A663" t="inlineStr">
        <is>
          <t>c0662</t>
        </is>
      </c>
      <c r="B663" t="inlineStr">
        <is>
          <t>The Misty Mountains Cold</t>
        </is>
      </c>
      <c r="C663" t="n">
        <v>1</v>
      </c>
      <c r="E663" t="n">
        <v>0</v>
      </c>
      <c r="F663" t="n">
        <v>1</v>
      </c>
      <c r="G663" t="n">
        <v>0</v>
      </c>
      <c r="H663" t="inlineStr">
        <is>
          <t>R</t>
        </is>
      </c>
      <c r="I663" t="inlineStr">
        <is>
          <t>Enchantment</t>
        </is>
      </c>
      <c r="J663" t="inlineStr">
        <is>
          <t>B2</t>
        </is>
      </c>
      <c r="K663" t="n">
        <v>3</v>
      </c>
      <c r="L663" t="inlineStr">
        <is>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is>
      </c>
      <c r="M663" t="inlineStr">
        <is>
          <t>Ramp</t>
        </is>
      </c>
      <c r="N663" t="inlineStr">
        <is>
          <t>Chapters I through IV: create a Treasure token</t>
        </is>
      </c>
      <c r="O663" t="inlineStr">
        <is>
          <t>Sacrifice it once you control four or more Treasures to create a 6/6 red Dragon token with flying</t>
        </is>
      </c>
      <c r="R663" t="n">
        <v>0.3</v>
      </c>
    </row>
    <row r="664" ht="15" customHeight="1" s="148">
      <c r="A664" t="inlineStr">
        <is>
          <t>c0663</t>
        </is>
      </c>
      <c r="B664" t="inlineStr">
        <is>
          <t>Thrill of Possibility</t>
        </is>
      </c>
      <c r="C664" t="n">
        <v>1</v>
      </c>
      <c r="E664" t="n">
        <v>1</v>
      </c>
      <c r="F664" t="n">
        <v>0</v>
      </c>
      <c r="G664" t="n">
        <v>1</v>
      </c>
      <c r="H664" t="inlineStr">
        <is>
          <t>R</t>
        </is>
      </c>
      <c r="I664" t="inlineStr">
        <is>
          <t>Instant</t>
        </is>
      </c>
      <c r="J664" t="inlineStr">
        <is>
          <t>B2</t>
        </is>
      </c>
      <c r="K664" t="n">
        <v>2</v>
      </c>
      <c r="L664" t="inlineStr">
        <is>
          <t>As an additional cost to cast this spell, discard a card.
Draw two cards.</t>
        </is>
      </c>
      <c r="M664" t="inlineStr">
        <is>
          <t>Card Draw</t>
        </is>
      </c>
      <c r="N664" t="inlineStr">
        <is>
          <t>Discard a card as an additional cost</t>
        </is>
      </c>
      <c r="O664" t="inlineStr">
        <is>
          <t>Draw two cards</t>
        </is>
      </c>
      <c r="R664" t="n">
        <v>0.3</v>
      </c>
    </row>
    <row r="665" ht="15" customHeight="1" s="148">
      <c r="A665" t="inlineStr">
        <is>
          <t>c0664</t>
        </is>
      </c>
      <c r="B665" t="inlineStr">
        <is>
          <t>Tidings of War</t>
        </is>
      </c>
      <c r="C665" t="n">
        <v>2</v>
      </c>
      <c r="E665" t="n">
        <v>1</v>
      </c>
      <c r="F665" t="n">
        <v>1</v>
      </c>
      <c r="G665" t="n">
        <v>1</v>
      </c>
      <c r="H665" t="inlineStr">
        <is>
          <t>R</t>
        </is>
      </c>
      <c r="I665" t="inlineStr">
        <is>
          <t>Sorcery</t>
        </is>
      </c>
      <c r="J665" t="inlineStr">
        <is>
          <t>B2</t>
        </is>
      </c>
      <c r="K665" t="n">
        <v>1</v>
      </c>
      <c r="L665" t="inlineStr">
        <is>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is>
      </c>
      <c r="M665" t="inlineStr">
        <is>
          <t>Token Producer</t>
        </is>
      </c>
      <c r="N665" t="inlineStr">
        <is>
          <t>Amass Goblins 1. If this spell was cast from a graveyard, amass Goblins 3 instead</t>
        </is>
      </c>
      <c r="O665" t="inlineStr">
        <is>
          <t>Flashback {3}{R}</t>
        </is>
      </c>
      <c r="R665" t="n">
        <v>0.2</v>
      </c>
    </row>
    <row r="666" ht="15" customHeight="1" s="148">
      <c r="A666" t="inlineStr">
        <is>
          <t>c0665</t>
        </is>
      </c>
      <c r="B666" t="inlineStr">
        <is>
          <t>Tome Blast</t>
        </is>
      </c>
      <c r="C666" t="n">
        <v>2</v>
      </c>
      <c r="E666" t="n">
        <v>0</v>
      </c>
      <c r="F666" t="n">
        <v>2</v>
      </c>
      <c r="G666" t="n">
        <v>0</v>
      </c>
      <c r="H666" t="inlineStr">
        <is>
          <t>R</t>
        </is>
      </c>
      <c r="I666" t="inlineStr">
        <is>
          <t>Sorcery</t>
        </is>
      </c>
      <c r="J666" t="inlineStr">
        <is>
          <t>B2</t>
        </is>
      </c>
      <c r="K666" t="n">
        <v>2</v>
      </c>
      <c r="L666" t="inlineStr">
        <is>
          <t>Tome Blast deals 2 damage to any target.
Flashback {4}{R} (You may cast this card from your graveyard for its flashback cost. Then exile it.)</t>
        </is>
      </c>
      <c r="M666" t="inlineStr">
        <is>
          <t>Burn</t>
        </is>
      </c>
      <c r="N666" t="inlineStr">
        <is>
          <t>Deals 2 damage to any target</t>
        </is>
      </c>
      <c r="O666" t="inlineStr">
        <is>
          <t>Flashback {4}{R}</t>
        </is>
      </c>
      <c r="R666" t="n">
        <v>0.11</v>
      </c>
    </row>
    <row r="667" ht="15" customHeight="1" s="148">
      <c r="A667" t="inlineStr">
        <is>
          <t>c0666</t>
        </is>
      </c>
      <c r="B667" t="inlineStr">
        <is>
          <t>Tormenting Voice</t>
        </is>
      </c>
      <c r="C667" t="n">
        <v>1</v>
      </c>
      <c r="E667" t="n">
        <v>1</v>
      </c>
      <c r="F667" t="n">
        <v>0</v>
      </c>
      <c r="G667" t="n">
        <v>1</v>
      </c>
      <c r="H667" t="inlineStr">
        <is>
          <t>R</t>
        </is>
      </c>
      <c r="I667" t="inlineStr">
        <is>
          <t>Sorcery</t>
        </is>
      </c>
      <c r="J667" t="inlineStr">
        <is>
          <t>B2</t>
        </is>
      </c>
      <c r="K667" t="n">
        <v>2</v>
      </c>
      <c r="L667" t="inlineStr">
        <is>
          <t>As an additional cost to cast this spell, discard a card.
Draw two cards.</t>
        </is>
      </c>
      <c r="M667" t="inlineStr">
        <is>
          <t>Card Draw</t>
        </is>
      </c>
      <c r="N667" t="inlineStr">
        <is>
          <t>Discard a card as an additional cost, then draw two cards</t>
        </is>
      </c>
      <c r="R667" t="n">
        <v>0.05</v>
      </c>
    </row>
    <row r="668" ht="15" customHeight="1" s="148">
      <c r="A668" t="inlineStr">
        <is>
          <t>c0667</t>
        </is>
      </c>
      <c r="B668" t="inlineStr">
        <is>
          <t>Tweeze</t>
        </is>
      </c>
      <c r="C668" t="n">
        <v>2</v>
      </c>
      <c r="E668" t="n">
        <v>0</v>
      </c>
      <c r="F668" t="n">
        <v>2</v>
      </c>
      <c r="G668" t="n">
        <v>0</v>
      </c>
      <c r="H668" t="inlineStr">
        <is>
          <t>R</t>
        </is>
      </c>
      <c r="I668" t="inlineStr">
        <is>
          <t>Instant</t>
        </is>
      </c>
      <c r="J668" t="inlineStr">
        <is>
          <t>B2</t>
        </is>
      </c>
      <c r="K668" t="n">
        <v>3</v>
      </c>
      <c r="L668" t="inlineStr">
        <is>
          <t>Tweeze deals 3 damage to any target. You may discard a card. If you do, draw a card.</t>
        </is>
      </c>
      <c r="M668" t="inlineStr">
        <is>
          <t>Burn</t>
        </is>
      </c>
      <c r="N668" t="inlineStr">
        <is>
          <t>Deals 3 damage to any target</t>
        </is>
      </c>
      <c r="O668" t="inlineStr">
        <is>
          <t>May discard a card to draw a card</t>
        </is>
      </c>
      <c r="R668" t="n">
        <v>0.15</v>
      </c>
    </row>
    <row r="669" ht="15" customHeight="1" s="148">
      <c r="A669" t="inlineStr">
        <is>
          <t>c0668</t>
        </is>
      </c>
      <c r="B669" t="inlineStr">
        <is>
          <t>Underworld Breach</t>
        </is>
      </c>
      <c r="C669" t="n">
        <v>1</v>
      </c>
      <c r="E669" t="n">
        <v>0</v>
      </c>
      <c r="F669" t="n">
        <v>1</v>
      </c>
      <c r="G669" t="n">
        <v>0</v>
      </c>
      <c r="H669" t="inlineStr">
        <is>
          <t>R</t>
        </is>
      </c>
      <c r="I669" t="inlineStr">
        <is>
          <t>Enchantment</t>
        </is>
      </c>
      <c r="J669" t="inlineStr">
        <is>
          <t>B3</t>
        </is>
      </c>
      <c r="K669" t="n">
        <v>2</v>
      </c>
      <c r="L669" t="inlineStr">
        <is>
          <t>Each nonland card in your graveyard has escape. The escape cost is equal to the card's mana cost plus exile three other cards from your graveyard. (You may cast cards from your graveyard for their escape cost.)
At the beginning of the end step, sacrifice this enchantment.</t>
        </is>
      </c>
      <c r="M669" t="inlineStr">
        <is>
          <t>Recursion</t>
        </is>
      </c>
      <c r="N669" t="inlineStr">
        <is>
          <t xml:space="preserve">Each nonland card in your graveyard has escape. The escape cost is equal to the card's mana cost plus exile three other </t>
        </is>
      </c>
      <c r="R669" t="n">
        <v>7.35</v>
      </c>
    </row>
    <row r="670" ht="15" customHeight="1" s="148">
      <c r="A670" t="inlineStr">
        <is>
          <t>c0669</t>
        </is>
      </c>
      <c r="B670" t="inlineStr">
        <is>
          <t>Unexpected Windfall</t>
        </is>
      </c>
      <c r="C670" t="n">
        <v>0</v>
      </c>
      <c r="E670" t="n">
        <v>0</v>
      </c>
      <c r="F670" t="n">
        <v>0</v>
      </c>
      <c r="G670" t="n">
        <v>0</v>
      </c>
      <c r="H670" t="inlineStr">
        <is>
          <t>R</t>
        </is>
      </c>
      <c r="I670" t="inlineStr">
        <is>
          <t>Instant</t>
        </is>
      </c>
      <c r="J670" t="inlineStr">
        <is>
          <t>B2</t>
        </is>
      </c>
      <c r="K670" t="n">
        <v>4</v>
      </c>
      <c r="L670" t="inlineStr">
        <is>
          <t>As an additional cost to cast this spell, discard a card.
Draw two cards and create two Treasure tokens. (They're artifacts with "{T}, Sacrifice this token: Add one mana of any color.")</t>
        </is>
      </c>
      <c r="M670" t="inlineStr">
        <is>
          <t>Value Engine</t>
        </is>
      </c>
      <c r="N670" t="inlineStr">
        <is>
          <t>As an additional cost to cast this spell, discard a card</t>
        </is>
      </c>
      <c r="O670" t="inlineStr">
        <is>
          <t>Draw two cards and create two Treasure tokens</t>
        </is>
      </c>
      <c r="R670" t="n">
        <v>3.34</v>
      </c>
    </row>
    <row r="671" ht="15" customHeight="1" s="148">
      <c r="A671" t="inlineStr">
        <is>
          <t>c0670</t>
        </is>
      </c>
      <c r="B671" t="inlineStr">
        <is>
          <t>Valakut Exploration</t>
        </is>
      </c>
      <c r="C671" t="n">
        <v>1</v>
      </c>
      <c r="E671" t="n">
        <v>1</v>
      </c>
      <c r="F671" t="n">
        <v>0</v>
      </c>
      <c r="G671" t="n">
        <v>1</v>
      </c>
      <c r="H671" t="inlineStr">
        <is>
          <t>R</t>
        </is>
      </c>
      <c r="I671" t="inlineStr">
        <is>
          <t>Enchantment</t>
        </is>
      </c>
      <c r="J671" t="inlineStr">
        <is>
          <t>B2</t>
        </is>
      </c>
      <c r="K671" t="n">
        <v>3</v>
      </c>
      <c r="L671" t="inlineStr">
        <is>
          <t>Landfall — Whenever a land you control enters, exile the top card of your library. You may play that card for as long as it remains exiled.
At the beginning of your end step, if there are cards exiled with this enchantment, put them into their owner's graveyard, then this enchantment deals that much damage to each opponent.</t>
        </is>
      </c>
      <c r="M671" t="inlineStr">
        <is>
          <t>Card Advantage</t>
        </is>
      </c>
      <c r="N671" t="inlineStr">
        <is>
          <t>A land you control entering exiles the top library card, playable while exiled</t>
        </is>
      </c>
      <c r="O671" t="inlineStr">
        <is>
          <t>End step: cards exiled this way go to graveyard and deal that much damage to each opponent</t>
        </is>
      </c>
      <c r="R671" t="n">
        <v>4.11</v>
      </c>
    </row>
    <row r="672" ht="15" customHeight="1" s="148">
      <c r="A672" t="inlineStr">
        <is>
          <t>c0671</t>
        </is>
      </c>
      <c r="B672" t="inlineStr">
        <is>
          <t>Vandalblast</t>
        </is>
      </c>
      <c r="C672" t="n">
        <v>1</v>
      </c>
      <c r="E672" t="n">
        <v>1</v>
      </c>
      <c r="F672" t="n">
        <v>0</v>
      </c>
      <c r="G672" t="n">
        <v>1</v>
      </c>
      <c r="H672" t="inlineStr">
        <is>
          <t>R</t>
        </is>
      </c>
      <c r="I672" t="inlineStr">
        <is>
          <t>Sorcery</t>
        </is>
      </c>
      <c r="J672" t="inlineStr">
        <is>
          <t>B3</t>
        </is>
      </c>
      <c r="K672" t="n">
        <v>1</v>
      </c>
      <c r="L672" t="inlineStr">
        <is>
          <t>Destroy target artifact you don't control.
Overload {4}{R} (You may cast this spell for its overload cost. If you do, change "target" in its text to "each.")</t>
        </is>
      </c>
      <c r="M672" t="inlineStr">
        <is>
          <t>Artifact/Enchantment Removal</t>
        </is>
      </c>
      <c r="N672" t="inlineStr">
        <is>
          <t>Destroys target artifact you don't control</t>
        </is>
      </c>
      <c r="O672" t="inlineStr">
        <is>
          <t>Overload {4}{R}: destroys every artifact you don't control</t>
        </is>
      </c>
      <c r="R672" t="n">
        <v>1.51</v>
      </c>
    </row>
    <row r="673" ht="15" customHeight="1" s="148">
      <c r="A673" t="inlineStr">
        <is>
          <t>c0672</t>
        </is>
      </c>
      <c r="B673" t="inlineStr">
        <is>
          <t>Voldaren Epicure</t>
        </is>
      </c>
      <c r="C673" t="n">
        <v>1</v>
      </c>
      <c r="E673" t="n">
        <v>0</v>
      </c>
      <c r="F673" t="n">
        <v>1</v>
      </c>
      <c r="G673" t="n">
        <v>0</v>
      </c>
      <c r="H673" t="inlineStr">
        <is>
          <t>R</t>
        </is>
      </c>
      <c r="I673" t="inlineStr">
        <is>
          <t>Creature</t>
        </is>
      </c>
      <c r="J673" t="inlineStr">
        <is>
          <t>B2</t>
        </is>
      </c>
      <c r="K673" t="n">
        <v>1</v>
      </c>
      <c r="L673" t="inlineStr">
        <is>
          <t>When this creature enters, it deals 1 damage to each opponent. Create a Blood token. (It's an artifact with "{1}, {T}, Discard a card, Sacrifice this token: Draw a card.")
(1/1)</t>
        </is>
      </c>
      <c r="M673" t="inlineStr">
        <is>
          <t>Burn</t>
        </is>
      </c>
      <c r="N673" t="inlineStr">
        <is>
          <t>Deals 1 damage to each opponent when it enters</t>
        </is>
      </c>
      <c r="O673" t="inlineStr">
        <is>
          <t>Creates a Blood token (sacrifice + discard: draw a card)</t>
        </is>
      </c>
      <c r="R673" t="n">
        <v>0.33</v>
      </c>
    </row>
    <row r="674" ht="15" customHeight="1" s="148">
      <c r="A674" t="inlineStr">
        <is>
          <t>c0673</t>
        </is>
      </c>
      <c r="B674" t="inlineStr">
        <is>
          <t>Wartime Protestors</t>
        </is>
      </c>
      <c r="C674" t="n">
        <v>1</v>
      </c>
      <c r="E674" t="n">
        <v>0</v>
      </c>
      <c r="F674" t="n">
        <v>1</v>
      </c>
      <c r="G674" t="n">
        <v>0</v>
      </c>
      <c r="H674" t="inlineStr">
        <is>
          <t>R</t>
        </is>
      </c>
      <c r="I674" t="inlineStr">
        <is>
          <t>Creature</t>
        </is>
      </c>
      <c r="J674" t="inlineStr">
        <is>
          <t>B2</t>
        </is>
      </c>
      <c r="K674" t="n">
        <v>4</v>
      </c>
      <c r="L674" t="inlineStr">
        <is>
          <t>Haste
Whenever another Ally you control enters, put a +1/+1 counter on that creature and it gains haste until end of turn.
(4/4)</t>
        </is>
      </c>
      <c r="M674" t="inlineStr">
        <is>
          <t>Haste Enabler</t>
        </is>
      </c>
      <c r="N674" t="inlineStr">
        <is>
          <t>Whenever another Ally you control enters, put a +1/+1 counter on that creature and it gains haste until end of turn</t>
        </is>
      </c>
      <c r="O674" t="inlineStr">
        <is>
          <t>Haste</t>
        </is>
      </c>
      <c r="R674" t="n">
        <v>0.27</v>
      </c>
    </row>
    <row r="675" ht="15" customHeight="1" s="148">
      <c r="A675" t="inlineStr">
        <is>
          <t>c0674</t>
        </is>
      </c>
      <c r="B675" t="inlineStr">
        <is>
          <t>Witty Roastmaster</t>
        </is>
      </c>
      <c r="C675" t="n">
        <v>1</v>
      </c>
      <c r="E675" t="n">
        <v>1</v>
      </c>
      <c r="F675" t="n">
        <v>0</v>
      </c>
      <c r="G675" t="n">
        <v>1</v>
      </c>
      <c r="H675" t="inlineStr">
        <is>
          <t>R</t>
        </is>
      </c>
      <c r="I675" t="inlineStr">
        <is>
          <t>Creature</t>
        </is>
      </c>
      <c r="J675" t="inlineStr">
        <is>
          <t>B2</t>
        </is>
      </c>
      <c r="K675" t="n">
        <v>3</v>
      </c>
      <c r="L675" t="inlineStr">
        <is>
          <t>Alliance — Whenever another creature you control enters, this creature deals 1 damage to each opponent.
(3/2)</t>
        </is>
      </c>
      <c r="M675" t="inlineStr">
        <is>
          <t>Burn</t>
        </is>
      </c>
      <c r="N675" t="inlineStr">
        <is>
          <t>Whenever another creature you control enters, deals 1 damage to each opponent</t>
        </is>
      </c>
      <c r="R675" t="n">
        <v>1.45</v>
      </c>
    </row>
    <row r="676" ht="15" customHeight="1" s="148">
      <c r="A676" t="inlineStr">
        <is>
          <t>c0675</t>
        </is>
      </c>
      <c r="B676" t="inlineStr">
        <is>
          <t>Aetherize</t>
        </is>
      </c>
      <c r="C676" t="n">
        <v>1</v>
      </c>
      <c r="E676" t="n">
        <v>1</v>
      </c>
      <c r="F676" t="n">
        <v>0</v>
      </c>
      <c r="G676" t="n">
        <v>0</v>
      </c>
      <c r="H676" t="inlineStr">
        <is>
          <t>U</t>
        </is>
      </c>
      <c r="I676" t="inlineStr">
        <is>
          <t>Instant</t>
        </is>
      </c>
      <c r="J676" t="inlineStr">
        <is>
          <t>B2</t>
        </is>
      </c>
      <c r="K676" t="n">
        <v>4</v>
      </c>
      <c r="L676" t="inlineStr">
        <is>
          <t>Return all attacking creatures to their owner's hand.</t>
        </is>
      </c>
      <c r="M676" t="inlineStr">
        <is>
          <t>Interaction</t>
        </is>
      </c>
      <c r="N676" t="inlineStr">
        <is>
          <t>Returns all attacking creatures to their owners' hands</t>
        </is>
      </c>
      <c r="R676" t="n">
        <v>0.62</v>
      </c>
    </row>
    <row r="677" ht="15" customHeight="1" s="148">
      <c r="A677" t="inlineStr">
        <is>
          <t>c0676</t>
        </is>
      </c>
      <c r="B677" t="inlineStr">
        <is>
          <t>Bilbo Baggins, Burglar // Take a Glance</t>
        </is>
      </c>
      <c r="C677" t="n">
        <v>3</v>
      </c>
      <c r="E677" t="n">
        <v>1</v>
      </c>
      <c r="F677" t="n">
        <v>2</v>
      </c>
      <c r="G677" t="n">
        <v>0</v>
      </c>
      <c r="H677" t="inlineStr">
        <is>
          <t>U</t>
        </is>
      </c>
      <c r="I677" t="inlineStr">
        <is>
          <t>Legendary Creature</t>
        </is>
      </c>
      <c r="J677" t="inlineStr">
        <is>
          <t>B2</t>
        </is>
      </c>
      <c r="K677" t="n">
        <v>3</v>
      </c>
      <c r="L677" t="inlineStr">
        <is>
          <t>Bilbo Baggins, Burglar {2}{U} — Legendary Creature — Halfling Rogue (2/1)
When Bilbo Baggins enters, draw a card.
//
Take a Glance {U} — Sorcery — Adventure
Scry 2. (Then exile this card. You may cast the creature later from exile.)</t>
        </is>
      </c>
      <c r="M677" t="inlineStr">
        <is>
          <t>Card Draw</t>
        </is>
      </c>
      <c r="N677" t="inlineStr">
        <is>
          <t>Enters: draw a card</t>
        </is>
      </c>
      <c r="O677" t="inlineStr">
        <is>
          <t>Take a Glance {U} — Adventure: scry 2, then cast Bilbo later from exile</t>
        </is>
      </c>
      <c r="R677" t="n">
        <v>0.14</v>
      </c>
    </row>
    <row r="678" ht="15" customHeight="1" s="148">
      <c r="A678" t="inlineStr">
        <is>
          <t>c0677</t>
        </is>
      </c>
      <c r="B678" t="inlineStr">
        <is>
          <t>Blizzard Strix</t>
        </is>
      </c>
      <c r="C678" t="n">
        <v>1</v>
      </c>
      <c r="E678" t="n">
        <v>1</v>
      </c>
      <c r="F678" t="n">
        <v>0</v>
      </c>
      <c r="G678" t="n">
        <v>1</v>
      </c>
      <c r="H678" t="inlineStr">
        <is>
          <t>U</t>
        </is>
      </c>
      <c r="I678" t="inlineStr">
        <is>
          <t>Snow Creature</t>
        </is>
      </c>
      <c r="J678" t="inlineStr">
        <is>
          <t>B2</t>
        </is>
      </c>
      <c r="K678" t="n">
        <v>5</v>
      </c>
      <c r="L678" t="inlineStr">
        <is>
          <t>Flash
Flying
When this creature enters, if you control another snow permanent, exile target permanent other than this creature. Return that card to the battlefield under its owner's control at the beginning of the next end step.
(3/2)</t>
        </is>
      </c>
      <c r="M678" t="inlineStr">
        <is>
          <t>Blink</t>
        </is>
      </c>
      <c r="N678" t="inlineStr">
        <is>
          <t>Exiles target permanent when it enters if you control a snow permanent</t>
        </is>
      </c>
      <c r="O678" t="inlineStr">
        <is>
          <t>Returns that permanent at the next end step</t>
        </is>
      </c>
      <c r="R678" t="n">
        <v>0.18</v>
      </c>
    </row>
    <row r="679" ht="15" customHeight="1" s="148">
      <c r="A679" t="inlineStr">
        <is>
          <t>c0678</t>
        </is>
      </c>
      <c r="B679" t="inlineStr">
        <is>
          <t>Brainstorm</t>
        </is>
      </c>
      <c r="C679" t="n">
        <v>0</v>
      </c>
      <c r="D679" t="n">
        <v>2</v>
      </c>
      <c r="E679" t="n">
        <v>0</v>
      </c>
      <c r="F679" t="n">
        <v>0</v>
      </c>
      <c r="G679" t="n">
        <v>2</v>
      </c>
      <c r="H679" t="inlineStr">
        <is>
          <t>U</t>
        </is>
      </c>
      <c r="I679" t="inlineStr">
        <is>
          <t>Instant</t>
        </is>
      </c>
      <c r="J679" t="inlineStr">
        <is>
          <t>B3</t>
        </is>
      </c>
      <c r="K679" t="n">
        <v>1</v>
      </c>
      <c r="L679" t="inlineStr">
        <is>
          <t>Draw three cards, then put two cards from your hand on top of your library in any order.</t>
        </is>
      </c>
      <c r="M679" t="inlineStr">
        <is>
          <t>Card Draw</t>
        </is>
      </c>
      <c r="N679" t="inlineStr">
        <is>
          <t>Draw three cards, then put two cards from your hand on top of your library in any order</t>
        </is>
      </c>
      <c r="R679" t="n">
        <v>1.38</v>
      </c>
    </row>
    <row r="680" ht="15" customHeight="1" s="148">
      <c r="A680" t="inlineStr">
        <is>
          <t>c0679</t>
        </is>
      </c>
      <c r="B680" t="inlineStr">
        <is>
          <t>Contentious Plan</t>
        </is>
      </c>
      <c r="C680" t="n">
        <v>0</v>
      </c>
      <c r="D680" t="n">
        <v>1</v>
      </c>
      <c r="E680" t="n">
        <v>0</v>
      </c>
      <c r="F680" t="n">
        <v>0</v>
      </c>
      <c r="G680" t="n">
        <v>1</v>
      </c>
      <c r="H680" t="inlineStr">
        <is>
          <t>U</t>
        </is>
      </c>
      <c r="I680" t="inlineStr">
        <is>
          <t>Sorcery</t>
        </is>
      </c>
      <c r="J680" t="inlineStr">
        <is>
          <t>B2</t>
        </is>
      </c>
      <c r="K680" t="n">
        <v>2</v>
      </c>
      <c r="L680" t="inlineStr">
        <is>
          <t>Proliferate. (Choose any number of permanents and/or players, then give each another counter of each kind already there.)
Draw a card.</t>
        </is>
      </c>
      <c r="M680" t="inlineStr">
        <is>
          <t>Proliferate</t>
        </is>
      </c>
      <c r="N680" t="inlineStr">
        <is>
          <t>Proliferate</t>
        </is>
      </c>
      <c r="O680" t="inlineStr">
        <is>
          <t>Draw a card</t>
        </is>
      </c>
      <c r="R680" t="n">
        <v>0.39</v>
      </c>
    </row>
    <row r="681" ht="15" customHeight="1" s="148">
      <c r="A681" t="inlineStr">
        <is>
          <t>c0680</t>
        </is>
      </c>
      <c r="B681" t="inlineStr">
        <is>
          <t>Counterspell</t>
        </is>
      </c>
      <c r="C681" t="n">
        <v>1</v>
      </c>
      <c r="E681" t="n">
        <v>1</v>
      </c>
      <c r="F681" t="n">
        <v>0</v>
      </c>
      <c r="G681" t="n">
        <v>1</v>
      </c>
      <c r="H681" t="inlineStr">
        <is>
          <t>U</t>
        </is>
      </c>
      <c r="I681" t="inlineStr">
        <is>
          <t>Instant</t>
        </is>
      </c>
      <c r="J681" t="inlineStr">
        <is>
          <t>B3</t>
        </is>
      </c>
      <c r="K681" t="n">
        <v>2</v>
      </c>
      <c r="L681" t="inlineStr">
        <is>
          <t>Counter target spell.</t>
        </is>
      </c>
      <c r="M681" t="inlineStr">
        <is>
          <t>Interaction</t>
        </is>
      </c>
      <c r="N681" t="inlineStr">
        <is>
          <t>Counters target spell</t>
        </is>
      </c>
      <c r="R681" t="n">
        <v>4</v>
      </c>
    </row>
    <row r="682" ht="15" customHeight="1" s="148">
      <c r="A682" t="inlineStr">
        <is>
          <t>c0681</t>
        </is>
      </c>
      <c r="B682" t="inlineStr">
        <is>
          <t>Deepglow Skate</t>
        </is>
      </c>
      <c r="C682" t="n">
        <v>1</v>
      </c>
      <c r="E682" t="n">
        <v>1</v>
      </c>
      <c r="F682" t="n">
        <v>0</v>
      </c>
      <c r="G682" t="n">
        <v>1</v>
      </c>
      <c r="H682" t="inlineStr">
        <is>
          <t>U</t>
        </is>
      </c>
      <c r="I682" t="inlineStr">
        <is>
          <t>Creature</t>
        </is>
      </c>
      <c r="J682" t="inlineStr">
        <is>
          <t>B2</t>
        </is>
      </c>
      <c r="K682" t="n">
        <v>5</v>
      </c>
      <c r="L682" t="inlineStr">
        <is>
          <t>When this creature enters, double the number of each kind of counter on any number of target permanents.
(3/3)</t>
        </is>
      </c>
      <c r="M682" t="inlineStr">
        <is>
          <t>Proliferate</t>
        </is>
      </c>
      <c r="N682" t="inlineStr">
        <is>
          <t>Doubles each kind of counter on any number of target permanents when it enters</t>
        </is>
      </c>
      <c r="R682" t="n">
        <v>0.28</v>
      </c>
    </row>
    <row r="683" ht="15" customHeight="1" s="148">
      <c r="A683" t="inlineStr">
        <is>
          <t>c0682</t>
        </is>
      </c>
      <c r="B683" t="inlineStr">
        <is>
          <t>Divert Disaster</t>
        </is>
      </c>
      <c r="C683" t="n">
        <v>1</v>
      </c>
      <c r="E683" t="n">
        <v>1</v>
      </c>
      <c r="F683" t="n">
        <v>0</v>
      </c>
      <c r="G683" t="n">
        <v>1</v>
      </c>
      <c r="H683" t="inlineStr">
        <is>
          <t>U</t>
        </is>
      </c>
      <c r="I683" t="inlineStr">
        <is>
          <t>Instant</t>
        </is>
      </c>
      <c r="J683" t="inlineStr">
        <is>
          <t>B2</t>
        </is>
      </c>
      <c r="K683" t="n">
        <v>2</v>
      </c>
      <c r="L683" t="inlineStr">
        <is>
          <t>Counter target spell unless its controller pays {2}. If they do, you create a Lander token. (It's an artifact with "{2}, {T}, Sacrifice this token: Search your library for a basic land card, put it onto the battlefield tapped, then shuffle.")</t>
        </is>
      </c>
      <c r="M683" t="inlineStr">
        <is>
          <t>Interaction</t>
        </is>
      </c>
      <c r="N683" t="inlineStr">
        <is>
          <t>Counters a spell unless its controller pays 2</t>
        </is>
      </c>
      <c r="O683" t="inlineStr">
        <is>
          <t>If they pay, you get a Lander token that fetches a tapped basic</t>
        </is>
      </c>
      <c r="R683" t="n">
        <v>0.26</v>
      </c>
    </row>
    <row r="684" ht="15" customHeight="1" s="148">
      <c r="A684" t="inlineStr">
        <is>
          <t>c0683</t>
        </is>
      </c>
      <c r="B684" t="inlineStr">
        <is>
          <t>Dream Stalker</t>
        </is>
      </c>
      <c r="C684" t="n">
        <v>0</v>
      </c>
      <c r="E684" t="n">
        <v>0</v>
      </c>
      <c r="F684" t="n">
        <v>0</v>
      </c>
      <c r="G684" t="n">
        <v>0</v>
      </c>
      <c r="H684" t="inlineStr">
        <is>
          <t>U</t>
        </is>
      </c>
      <c r="I684" t="inlineStr">
        <is>
          <t>Creature</t>
        </is>
      </c>
      <c r="J684" t="inlineStr">
        <is>
          <t>B2</t>
        </is>
      </c>
      <c r="K684" t="n">
        <v>2</v>
      </c>
      <c r="L684" t="inlineStr">
        <is>
          <t>When this creature enters, return a permanent you control to its owner's hand.
(1/5)</t>
        </is>
      </c>
      <c r="M684" t="inlineStr">
        <is>
          <t>Blink</t>
        </is>
      </c>
      <c r="N684" t="inlineStr">
        <is>
          <t>When this creature enters, return a permanent you control to its owner's hand</t>
        </is>
      </c>
      <c r="R684" t="n">
        <v>0.17</v>
      </c>
    </row>
    <row r="685" ht="15" customHeight="1" s="148">
      <c r="A685" t="inlineStr">
        <is>
          <t>c0684</t>
        </is>
      </c>
      <c r="B685" t="inlineStr">
        <is>
          <t>Elvenking's Harper</t>
        </is>
      </c>
      <c r="C685" t="n">
        <v>1</v>
      </c>
      <c r="E685" t="n">
        <v>1</v>
      </c>
      <c r="F685" t="n">
        <v>0</v>
      </c>
      <c r="G685" t="n">
        <v>1</v>
      </c>
      <c r="H685" t="inlineStr">
        <is>
          <t>U</t>
        </is>
      </c>
      <c r="I685" t="inlineStr">
        <is>
          <t>Creature</t>
        </is>
      </c>
      <c r="J685" t="inlineStr">
        <is>
          <t>B2</t>
        </is>
      </c>
      <c r="K685" t="n">
        <v>2</v>
      </c>
      <c r="L685" t="inlineStr">
        <is>
          <t>{4}{U}: Target creature can't be blocked this turn.
(2/2)</t>
        </is>
      </c>
      <c r="M685" t="inlineStr">
        <is>
          <t>Evasion</t>
        </is>
      </c>
      <c r="N685" t="inlineStr">
        <is>
          <t>{4}{U}: Target creature can't be blocked this turn</t>
        </is>
      </c>
      <c r="R685" t="n">
        <v>0.1</v>
      </c>
    </row>
    <row r="686" ht="15" customHeight="1" s="148">
      <c r="A686" t="inlineStr">
        <is>
          <t>c0685</t>
        </is>
      </c>
      <c r="B686" t="inlineStr">
        <is>
          <t>Enchanted River's Grasp</t>
        </is>
      </c>
      <c r="C686" t="n">
        <v>2</v>
      </c>
      <c r="E686" t="n">
        <v>1</v>
      </c>
      <c r="F686" t="n">
        <v>1</v>
      </c>
      <c r="G686" t="n">
        <v>0</v>
      </c>
      <c r="H686" t="inlineStr">
        <is>
          <t>U</t>
        </is>
      </c>
      <c r="I686" t="inlineStr">
        <is>
          <t>Enchantment</t>
        </is>
      </c>
      <c r="J686" t="inlineStr">
        <is>
          <t>B2</t>
        </is>
      </c>
      <c r="K686" t="n">
        <v>3</v>
      </c>
      <c r="L686" t="inlineStr">
        <is>
          <t>Enchant creature
When this Aura enters, tap enchanted creature and remove all counters from it.
Enchanted creature loses all abilities and doesn't untap during its controller's untap step.</t>
        </is>
      </c>
      <c r="M686" t="inlineStr">
        <is>
          <t>Removal</t>
        </is>
      </c>
      <c r="N686" t="inlineStr">
        <is>
          <t>Enchant creature</t>
        </is>
      </c>
      <c r="O686" t="inlineStr">
        <is>
          <t>When this Aura enters, tap enchanted creature and remove all counters from it</t>
        </is>
      </c>
      <c r="P686" t="inlineStr">
        <is>
          <t>Enchanted creature loses all abilities and doesn't untap during its controller's untap step</t>
        </is>
      </c>
      <c r="R686" t="n">
        <v>0.15</v>
      </c>
    </row>
    <row r="687" ht="15" customHeight="1" s="148">
      <c r="A687" t="inlineStr">
        <is>
          <t>c0686</t>
        </is>
      </c>
      <c r="B687" t="inlineStr">
        <is>
          <t>Essence Scatter</t>
        </is>
      </c>
      <c r="C687" t="n">
        <v>1</v>
      </c>
      <c r="E687" t="n">
        <v>1</v>
      </c>
      <c r="F687" t="n">
        <v>0</v>
      </c>
      <c r="G687" t="n">
        <v>1</v>
      </c>
      <c r="H687" t="inlineStr">
        <is>
          <t>U</t>
        </is>
      </c>
      <c r="I687" t="inlineStr">
        <is>
          <t>Instant</t>
        </is>
      </c>
      <c r="J687" t="inlineStr">
        <is>
          <t>B2</t>
        </is>
      </c>
      <c r="K687" t="n">
        <v>2</v>
      </c>
      <c r="L687" t="inlineStr">
        <is>
          <t>Counter target creature spell.</t>
        </is>
      </c>
      <c r="M687" t="inlineStr">
        <is>
          <t>Interaction</t>
        </is>
      </c>
      <c r="N687" t="inlineStr">
        <is>
          <t>Counter target creature spell</t>
        </is>
      </c>
      <c r="R687" t="n">
        <v>0.07000000000000001</v>
      </c>
    </row>
    <row r="688" ht="15" customHeight="1" s="148">
      <c r="A688" t="inlineStr">
        <is>
          <t>c0687</t>
        </is>
      </c>
      <c r="B688" t="inlineStr">
        <is>
          <t>Faerie Duelist</t>
        </is>
      </c>
      <c r="C688" t="n">
        <v>1</v>
      </c>
      <c r="E688" t="n">
        <v>1</v>
      </c>
      <c r="F688" t="n">
        <v>0</v>
      </c>
      <c r="G688" t="n">
        <v>1</v>
      </c>
      <c r="H688" t="inlineStr">
        <is>
          <t>U</t>
        </is>
      </c>
      <c r="I688" t="inlineStr">
        <is>
          <t>Creature</t>
        </is>
      </c>
      <c r="J688" t="inlineStr">
        <is>
          <t>B2</t>
        </is>
      </c>
      <c r="K688" t="n">
        <v>2</v>
      </c>
      <c r="L688" t="inlineStr">
        <is>
          <t>Flash
Flying
When this creature enters, target creature an opponent controls gets -2/-0 until end of turn.
(1/2)</t>
        </is>
      </c>
      <c r="M688" t="inlineStr">
        <is>
          <t>Removal</t>
        </is>
      </c>
      <c r="N688" t="inlineStr">
        <is>
          <t>Target opponent creature gets -2/-0 until end of turn when it enters</t>
        </is>
      </c>
      <c r="R688" t="n">
        <v>0.09</v>
      </c>
    </row>
    <row r="689" ht="15" customHeight="1" s="148">
      <c r="A689" t="inlineStr">
        <is>
          <t>c0688</t>
        </is>
      </c>
      <c r="B689" t="inlineStr">
        <is>
          <t>Fblthp, the Lost</t>
        </is>
      </c>
      <c r="C689" t="n">
        <v>1</v>
      </c>
      <c r="E689" t="n">
        <v>1</v>
      </c>
      <c r="F689" t="n">
        <v>0</v>
      </c>
      <c r="G689" t="n">
        <v>1</v>
      </c>
      <c r="H689" t="inlineStr">
        <is>
          <t>U</t>
        </is>
      </c>
      <c r="I689" t="inlineStr">
        <is>
          <t>Legendary Creature</t>
        </is>
      </c>
      <c r="J689" t="inlineStr">
        <is>
          <t>B2</t>
        </is>
      </c>
      <c r="K689" t="n">
        <v>2</v>
      </c>
      <c r="L689" t="inlineStr">
        <is>
          <t>When Fblthp enters, draw a card. If it entered from your library or was cast from your library, draw two cards instead.
When Fblthp becomes the target of a spell, shuffle Fblthp into its owner's library.
(1/1)</t>
        </is>
      </c>
      <c r="M689" t="inlineStr">
        <is>
          <t>Card Draw</t>
        </is>
      </c>
      <c r="N689" t="inlineStr">
        <is>
          <t>When Fblthp enters, draw a card. If it entered from your library or was cast from your library, draw two cards instead</t>
        </is>
      </c>
      <c r="O689" t="inlineStr">
        <is>
          <t>When Fblthp becomes the target of a spell, shuffle Fblthp into its owner's library</t>
        </is>
      </c>
      <c r="R689" t="n">
        <v>0.27</v>
      </c>
    </row>
    <row r="690" ht="15" customHeight="1" s="148">
      <c r="A690" t="inlineStr">
        <is>
          <t>c0689</t>
        </is>
      </c>
      <c r="B690" t="inlineStr">
        <is>
          <t>Flow State</t>
        </is>
      </c>
      <c r="C690" t="n">
        <v>1</v>
      </c>
      <c r="E690" t="n">
        <v>1</v>
      </c>
      <c r="F690" t="n">
        <v>0</v>
      </c>
      <c r="G690" t="n">
        <v>1</v>
      </c>
      <c r="H690" t="inlineStr">
        <is>
          <t>U</t>
        </is>
      </c>
      <c r="I690" t="inlineStr">
        <is>
          <t>Sorcery</t>
        </is>
      </c>
      <c r="J690" t="inlineStr">
        <is>
          <t>B2</t>
        </is>
      </c>
      <c r="K690" t="n">
        <v>2</v>
      </c>
      <c r="L690" t="inlineStr">
        <is>
          <t>Look at the top three cards of your library. Put one of them into your hand and the rest on the bottom of your library in any order. If there is an instant card and a sorcery card in your graveyard, instead put two of them into your hand and the rest on the bottom of your library in any order.</t>
        </is>
      </c>
      <c r="M690" t="inlineStr">
        <is>
          <t>Card Selection</t>
        </is>
      </c>
      <c r="N690" t="inlineStr">
        <is>
          <t>Look at the top three cards and put one into your hand</t>
        </is>
      </c>
      <c r="O690" t="inlineStr">
        <is>
          <t>Take two of them instead if there is both an instant and a sorcery in your graveyard</t>
        </is>
      </c>
      <c r="R690" t="n">
        <v>1.89</v>
      </c>
    </row>
    <row r="691" ht="15" customHeight="1" s="148">
      <c r="A691" t="inlineStr">
        <is>
          <t>c0690</t>
        </is>
      </c>
      <c r="B691" t="inlineStr">
        <is>
          <t>Flux Channeler</t>
        </is>
      </c>
      <c r="C691" t="n">
        <v>1</v>
      </c>
      <c r="E691" t="n">
        <v>1</v>
      </c>
      <c r="F691" t="n">
        <v>0</v>
      </c>
      <c r="G691" t="n">
        <v>1</v>
      </c>
      <c r="H691" t="inlineStr">
        <is>
          <t>U</t>
        </is>
      </c>
      <c r="I691" t="inlineStr">
        <is>
          <t>Creature</t>
        </is>
      </c>
      <c r="J691" t="inlineStr">
        <is>
          <t>B2</t>
        </is>
      </c>
      <c r="K691" t="n">
        <v>3</v>
      </c>
      <c r="L691" t="inlineStr">
        <is>
          <t>Whenever you cast a noncreature spell, proliferate. (Choose any number of permanents and/or players, then give each another counter of each kind already there.)
(2/2)</t>
        </is>
      </c>
      <c r="M691" t="inlineStr">
        <is>
          <t>Proliferate</t>
        </is>
      </c>
      <c r="N691" t="inlineStr">
        <is>
          <t>Proliferate whenever you cast a noncreature spell</t>
        </is>
      </c>
      <c r="R691" t="n">
        <v>3.49</v>
      </c>
    </row>
    <row r="692" ht="15" customHeight="1" s="148">
      <c r="A692" t="inlineStr">
        <is>
          <t>c0691</t>
        </is>
      </c>
      <c r="B692" t="inlineStr">
        <is>
          <t>Fractal Anomaly</t>
        </is>
      </c>
      <c r="C692" t="n">
        <v>1</v>
      </c>
      <c r="E692" t="n">
        <v>0</v>
      </c>
      <c r="F692" t="n">
        <v>1</v>
      </c>
      <c r="G692" t="n">
        <v>0</v>
      </c>
      <c r="H692" t="inlineStr">
        <is>
          <t>U</t>
        </is>
      </c>
      <c r="I692" t="inlineStr">
        <is>
          <t>Instant</t>
        </is>
      </c>
      <c r="J692" t="inlineStr">
        <is>
          <t>B2</t>
        </is>
      </c>
      <c r="K692" t="n">
        <v>1</v>
      </c>
      <c r="L692" t="inlineStr">
        <is>
          <t>Create a 0/0 green and blue Fractal creature token and put X +1/+1 counters on it, where X is the number of cards you've drawn this turn.</t>
        </is>
      </c>
      <c r="M692" t="inlineStr">
        <is>
          <t>Token Producer</t>
        </is>
      </c>
      <c r="N692" t="inlineStr">
        <is>
          <t>Create a 0/0 Fractal token with a +1/+1 counter for each card you have drawn this turn</t>
        </is>
      </c>
      <c r="R692" t="n">
        <v>0.23</v>
      </c>
    </row>
    <row r="693" ht="15" customHeight="1" s="148">
      <c r="A693" t="inlineStr">
        <is>
          <t>c0692</t>
        </is>
      </c>
      <c r="B693" t="inlineStr">
        <is>
          <t>Frantic Search</t>
        </is>
      </c>
      <c r="C693" t="n">
        <v>0</v>
      </c>
      <c r="D693" t="n">
        <v>1</v>
      </c>
      <c r="E693" t="n">
        <v>0</v>
      </c>
      <c r="F693" t="n">
        <v>0</v>
      </c>
      <c r="G693" t="n">
        <v>1</v>
      </c>
      <c r="H693" t="inlineStr">
        <is>
          <t>U</t>
        </is>
      </c>
      <c r="I693" t="inlineStr">
        <is>
          <t>Instant</t>
        </is>
      </c>
      <c r="J693" t="inlineStr">
        <is>
          <t>B2</t>
        </is>
      </c>
      <c r="K693" t="n">
        <v>3</v>
      </c>
      <c r="L693" t="inlineStr">
        <is>
          <t>Draw two cards, then discard two cards. Untap up to three lands.</t>
        </is>
      </c>
      <c r="M693" t="inlineStr">
        <is>
          <t>Card Draw</t>
        </is>
      </c>
      <c r="N693" t="inlineStr">
        <is>
          <t>Draw two cards, then discard two cards. Untap up to three lands</t>
        </is>
      </c>
      <c r="R693" t="n">
        <v>2.17</v>
      </c>
    </row>
    <row r="694" ht="15" customHeight="1" s="148">
      <c r="A694" t="inlineStr">
        <is>
          <t>c0693</t>
        </is>
      </c>
      <c r="B694" t="inlineStr">
        <is>
          <t>Freed from the Real</t>
        </is>
      </c>
      <c r="C694" t="n">
        <v>1</v>
      </c>
      <c r="E694" t="n">
        <v>1</v>
      </c>
      <c r="F694" t="n">
        <v>0</v>
      </c>
      <c r="G694" t="n">
        <v>1</v>
      </c>
      <c r="H694" t="inlineStr">
        <is>
          <t>U</t>
        </is>
      </c>
      <c r="I694" t="inlineStr">
        <is>
          <t>Enchantment</t>
        </is>
      </c>
      <c r="J694" t="inlineStr">
        <is>
          <t>B3</t>
        </is>
      </c>
      <c r="K694" t="n">
        <v>3</v>
      </c>
      <c r="L694" t="inlineStr">
        <is>
          <t>Enchant creature
{U}: Tap enchanted creature.
{U}: Untap enchanted creature.</t>
        </is>
      </c>
      <c r="M694" t="inlineStr">
        <is>
          <t>Value Engine</t>
        </is>
      </c>
      <c r="N694" t="inlineStr">
        <is>
          <t>Enchant creature</t>
        </is>
      </c>
      <c r="O694" t="inlineStr">
        <is>
          <t>{U}: Tap enchanted creature</t>
        </is>
      </c>
      <c r="P694" t="inlineStr">
        <is>
          <t>{U}: Untap enchanted creature</t>
        </is>
      </c>
      <c r="R694" t="n">
        <v>7.02</v>
      </c>
    </row>
    <row r="695" ht="15" customHeight="1" s="148">
      <c r="A695" t="inlineStr">
        <is>
          <t>c0694</t>
        </is>
      </c>
      <c r="B695" t="inlineStr">
        <is>
          <t>Fuel for the Cause</t>
        </is>
      </c>
      <c r="C695" t="n">
        <v>1</v>
      </c>
      <c r="E695" t="n">
        <v>1</v>
      </c>
      <c r="F695" t="n">
        <v>0</v>
      </c>
      <c r="G695" t="n">
        <v>1</v>
      </c>
      <c r="H695" t="inlineStr">
        <is>
          <t>U</t>
        </is>
      </c>
      <c r="I695" t="inlineStr">
        <is>
          <t>Instant</t>
        </is>
      </c>
      <c r="J695" t="inlineStr">
        <is>
          <t>B2</t>
        </is>
      </c>
      <c r="K695" t="n">
        <v>4</v>
      </c>
      <c r="L695" t="inlineStr">
        <is>
          <t>Counter target spell, then proliferate. (Choose any number of permanents and/or players, then give each another counter of each kind already there.)</t>
        </is>
      </c>
      <c r="M695" t="inlineStr">
        <is>
          <t>Interaction</t>
        </is>
      </c>
      <c r="N695" t="inlineStr">
        <is>
          <t>Counter target spell, then proliferate</t>
        </is>
      </c>
      <c r="R695" t="n">
        <v>0.34</v>
      </c>
    </row>
    <row r="696" ht="15" customHeight="1" s="148">
      <c r="A696" t="inlineStr">
        <is>
          <t>c0695</t>
        </is>
      </c>
      <c r="B696" t="inlineStr">
        <is>
          <t>Gandalf, Wandering Wizard</t>
        </is>
      </c>
      <c r="C696" t="n">
        <v>1</v>
      </c>
      <c r="E696" t="n">
        <v>1</v>
      </c>
      <c r="F696" t="n">
        <v>0</v>
      </c>
      <c r="G696" t="n">
        <v>0</v>
      </c>
      <c r="H696" t="inlineStr">
        <is>
          <t>U</t>
        </is>
      </c>
      <c r="I696" t="inlineStr">
        <is>
          <t>Legendary Creature</t>
        </is>
      </c>
      <c r="J696" t="inlineStr">
        <is>
          <t>B2</t>
        </is>
      </c>
      <c r="K696" t="n">
        <v>5</v>
      </c>
      <c r="L696" t="inlineStr">
        <is>
          <t>Ward {3} (Whenever this creature becomes the target of a spell or ability an opponent controls, counter it unless that player pays {3}.)
{6}: Gandalf's owner shuffles him into their library and draws three cards.
(4/5)</t>
        </is>
      </c>
      <c r="M696" t="inlineStr">
        <is>
          <t>Card Draw</t>
        </is>
      </c>
      <c r="N696" t="inlineStr">
        <is>
          <t>{6}: Shuffle him into your library and draw three cards</t>
        </is>
      </c>
      <c r="O696" t="inlineStr">
        <is>
          <t>Ward {3}</t>
        </is>
      </c>
      <c r="R696" t="n">
        <v>0.11</v>
      </c>
    </row>
    <row r="697" ht="15" customHeight="1" s="148">
      <c r="A697" t="inlineStr">
        <is>
          <t>c0696</t>
        </is>
      </c>
      <c r="B697" t="inlineStr">
        <is>
          <t>Giant Koi</t>
        </is>
      </c>
      <c r="C697" t="n">
        <v>1</v>
      </c>
      <c r="E697" t="n">
        <v>0</v>
      </c>
      <c r="F697" t="n">
        <v>1</v>
      </c>
      <c r="G697" t="n">
        <v>0</v>
      </c>
      <c r="H697" t="inlineStr">
        <is>
          <t>U</t>
        </is>
      </c>
      <c r="I697" t="inlineStr">
        <is>
          <t>Creature</t>
        </is>
      </c>
      <c r="J697" t="inlineStr">
        <is>
          <t>B2</t>
        </is>
      </c>
      <c r="K697" t="n">
        <v>6</v>
      </c>
      <c r="L697" t="inlineStr">
        <is>
          <t>Waterbend {3}: This creature can't be blocked this turn. (While paying a waterbend cost, you can tap your artifacts and creatures to help. Each one pays for {1}.)
Islandcycling {2} ({2}, Discard this card: Search your library for an Island card, reveal it, put it into your hand, then shuffle.)
(5/7)</t>
        </is>
      </c>
      <c r="M697" t="inlineStr">
        <is>
          <t>Finisher</t>
        </is>
      </c>
      <c r="N697" t="inlineStr">
        <is>
          <t>Waterbend {3}: it cannot be blocked this turn (tap artifacts and creatures to help pay)</t>
        </is>
      </c>
      <c r="O697" t="inlineStr">
        <is>
          <t>Islandcycling {2}: discard it to search your library for an Island</t>
        </is>
      </c>
      <c r="R697" t="n">
        <v>0.11</v>
      </c>
    </row>
    <row r="698" ht="15" customHeight="1" s="148">
      <c r="A698" t="inlineStr">
        <is>
          <t>c0697</t>
        </is>
      </c>
      <c r="B698" t="inlineStr">
        <is>
          <t>Glamer Gifter</t>
        </is>
      </c>
      <c r="C698" t="n">
        <v>2</v>
      </c>
      <c r="E698" t="n">
        <v>1</v>
      </c>
      <c r="F698" t="n">
        <v>1</v>
      </c>
      <c r="G698" t="n">
        <v>1</v>
      </c>
      <c r="H698" t="inlineStr">
        <is>
          <t>U</t>
        </is>
      </c>
      <c r="I698" t="inlineStr">
        <is>
          <t>Creature</t>
        </is>
      </c>
      <c r="J698" t="inlineStr">
        <is>
          <t>B2</t>
        </is>
      </c>
      <c r="K698" t="n">
        <v>2</v>
      </c>
      <c r="L698" t="inlineStr">
        <is>
          <t>Flash
Flying
When this creature enters, choose up to one other target creature. Until end of turn, that creature has base power and toughness 4/4 and gains all creature types.
(1/2)</t>
        </is>
      </c>
      <c r="M698" t="inlineStr">
        <is>
          <t>Combat Trick</t>
        </is>
      </c>
      <c r="N698" t="inlineStr">
        <is>
          <t>Target creature becomes a 4/4 with every creature type until end of turn</t>
        </is>
      </c>
      <c r="R698" t="n">
        <v>0.23</v>
      </c>
    </row>
    <row r="699" ht="15" customHeight="1" s="148">
      <c r="A699" t="inlineStr">
        <is>
          <t>c0698</t>
        </is>
      </c>
      <c r="B699" t="inlineStr">
        <is>
          <t>Glamermite</t>
        </is>
      </c>
      <c r="C699" t="n">
        <v>1</v>
      </c>
      <c r="E699" t="n">
        <v>1</v>
      </c>
      <c r="F699" t="n">
        <v>0</v>
      </c>
      <c r="G699" t="n">
        <v>1</v>
      </c>
      <c r="H699" t="inlineStr">
        <is>
          <t>U</t>
        </is>
      </c>
      <c r="I699" t="inlineStr">
        <is>
          <t>Creature</t>
        </is>
      </c>
      <c r="J699" t="inlineStr">
        <is>
          <t>B2</t>
        </is>
      </c>
      <c r="K699" t="n">
        <v>3</v>
      </c>
      <c r="L699" t="inlineStr">
        <is>
          <t>Flash
Flying
When this creature enters, choose one —
• Tap target creature.
• Untap target creature.
(2/2)</t>
        </is>
      </c>
      <c r="M699" t="inlineStr">
        <is>
          <t>Utility Creature</t>
        </is>
      </c>
      <c r="N699" t="inlineStr">
        <is>
          <t>Taps or untaps target creature when it enters</t>
        </is>
      </c>
      <c r="O699" t="inlineStr">
        <is>
          <t>Flash flying body</t>
        </is>
      </c>
      <c r="R699" t="n">
        <v>0.24</v>
      </c>
    </row>
    <row r="700" ht="15" customHeight="1" s="148">
      <c r="A700" t="inlineStr">
        <is>
          <t>c0699</t>
        </is>
      </c>
      <c r="B700" t="inlineStr">
        <is>
          <t>Gran-Gran</t>
        </is>
      </c>
      <c r="C700" t="n">
        <v>1</v>
      </c>
      <c r="E700" t="n">
        <v>0</v>
      </c>
      <c r="F700" t="n">
        <v>1</v>
      </c>
      <c r="G700" t="n">
        <v>0</v>
      </c>
      <c r="H700" t="inlineStr">
        <is>
          <t>U</t>
        </is>
      </c>
      <c r="I700" t="inlineStr">
        <is>
          <t>Legendary Creature</t>
        </is>
      </c>
      <c r="J700" t="inlineStr">
        <is>
          <t>B2</t>
        </is>
      </c>
      <c r="K700" t="n">
        <v>1</v>
      </c>
      <c r="L700" t="inlineStr">
        <is>
          <t>Whenever Gran-Gran becomes tapped, draw a card, then discard a card.
Noncreature spells you cast cost {1} less to cast as long as there are three or more Lesson cards in your graveyard.
(1/2)</t>
        </is>
      </c>
      <c r="M700" t="inlineStr">
        <is>
          <t>Discard/Looting</t>
        </is>
      </c>
      <c r="N700" t="inlineStr">
        <is>
          <t>Draws then discards a card whenever it becomes tapped</t>
        </is>
      </c>
      <c r="O700" t="inlineStr">
        <is>
          <t>Noncreature spells cost {1} less with three or more Lessons in your graveyard</t>
        </is>
      </c>
      <c r="R700" t="n">
        <v>0.3</v>
      </c>
    </row>
    <row r="701" ht="15" customHeight="1" s="148">
      <c r="A701" t="inlineStr">
        <is>
          <t>c0700</t>
        </is>
      </c>
      <c r="B701" t="inlineStr">
        <is>
          <t>Ichormoon Gauntlet</t>
        </is>
      </c>
      <c r="C701" t="n">
        <v>1</v>
      </c>
      <c r="E701" t="n">
        <v>1</v>
      </c>
      <c r="F701" t="n">
        <v>0</v>
      </c>
      <c r="G701" t="n">
        <v>1</v>
      </c>
      <c r="H701" t="inlineStr">
        <is>
          <t>U</t>
        </is>
      </c>
      <c r="I701" t="inlineStr">
        <is>
          <t>Artifact</t>
        </is>
      </c>
      <c r="J701" t="inlineStr">
        <is>
          <t>B3</t>
        </is>
      </c>
      <c r="K701" t="n">
        <v>3</v>
      </c>
      <c r="L701" t="inlineStr">
        <is>
          <t>Planeswalkers you control have "[0]: Proliferate" and "[−12]: Take an extra turn after this one."
Whenever you cast a noncreature spell, choose a counter on target permanent. Put an additional counter of that kind on that permanent.</t>
        </is>
      </c>
      <c r="M701" t="inlineStr">
        <is>
          <t>Proliferate</t>
        </is>
      </c>
      <c r="N701" t="inlineStr">
        <is>
          <t>Planeswalkers you control have "[0]: Proliferate" and "[−12]: Take an extra turn after this one."
Whenever you cast a no</t>
        </is>
      </c>
      <c r="R701" t="n">
        <v>4.8</v>
      </c>
    </row>
    <row r="702" ht="15" customHeight="1" s="148">
      <c r="A702" t="inlineStr">
        <is>
          <t>c0701</t>
        </is>
      </c>
      <c r="B702" t="inlineStr">
        <is>
          <t>Inexorable Tide</t>
        </is>
      </c>
      <c r="C702" t="n">
        <v>1</v>
      </c>
      <c r="E702" t="n">
        <v>1</v>
      </c>
      <c r="F702" t="n">
        <v>0</v>
      </c>
      <c r="G702" t="n">
        <v>1</v>
      </c>
      <c r="H702" t="inlineStr">
        <is>
          <t>U</t>
        </is>
      </c>
      <c r="I702" t="inlineStr">
        <is>
          <t>Enchantment</t>
        </is>
      </c>
      <c r="J702" t="inlineStr">
        <is>
          <t>B2</t>
        </is>
      </c>
      <c r="K702" t="n">
        <v>5</v>
      </c>
      <c r="L702" t="inlineStr">
        <is>
          <t>Whenever you cast a spell, proliferate. (Choose any number of permanents and/or players, then give each another counter of each kind already there.)</t>
        </is>
      </c>
      <c r="M702" t="inlineStr">
        <is>
          <t>Proliferate</t>
        </is>
      </c>
      <c r="N702" t="inlineStr">
        <is>
          <t>Whenever you cast a spell, proliferate</t>
        </is>
      </c>
      <c r="R702" t="n">
        <v>3.66</v>
      </c>
    </row>
    <row r="703" ht="15" customHeight="1" s="148">
      <c r="A703" t="inlineStr">
        <is>
          <t>c0702</t>
        </is>
      </c>
      <c r="B703" t="inlineStr">
        <is>
          <t>Intruder Alarm</t>
        </is>
      </c>
      <c r="C703" t="n">
        <v>1</v>
      </c>
      <c r="E703" t="n">
        <v>0</v>
      </c>
      <c r="F703" t="n">
        <v>1</v>
      </c>
      <c r="G703" t="n">
        <v>1</v>
      </c>
      <c r="H703" t="inlineStr">
        <is>
          <t>U</t>
        </is>
      </c>
      <c r="I703" t="inlineStr">
        <is>
          <t>Enchantment</t>
        </is>
      </c>
      <c r="J703" t="inlineStr">
        <is>
          <t>B2</t>
        </is>
      </c>
      <c r="K703" t="n">
        <v>3</v>
      </c>
      <c r="L703" t="inlineStr">
        <is>
          <t>Creatures don't untap during their controllers' untap steps.
Whenever a creature enters, untap all creatures.</t>
        </is>
      </c>
      <c r="M703" t="inlineStr">
        <is>
          <t>Value Engine</t>
        </is>
      </c>
      <c r="N703" t="inlineStr">
        <is>
          <t>Creatures don't untap during their controllers' untap steps</t>
        </is>
      </c>
      <c r="O703" t="inlineStr">
        <is>
          <t>Whenever a creature enters, untap all creatures</t>
        </is>
      </c>
      <c r="R703" t="n">
        <v>3.68</v>
      </c>
    </row>
    <row r="704" ht="15" customHeight="1" s="148">
      <c r="A704" t="inlineStr">
        <is>
          <t>c0703</t>
        </is>
      </c>
      <c r="B704" t="inlineStr">
        <is>
          <t>Lake-town Mariners // Gone Fishing</t>
        </is>
      </c>
      <c r="C704" t="n">
        <v>2</v>
      </c>
      <c r="E704" t="n">
        <v>1</v>
      </c>
      <c r="F704" t="n">
        <v>1</v>
      </c>
      <c r="G704" t="n">
        <v>0</v>
      </c>
      <c r="H704" t="inlineStr">
        <is>
          <t>U</t>
        </is>
      </c>
      <c r="I704" t="inlineStr">
        <is>
          <t>Creature</t>
        </is>
      </c>
      <c r="J704" t="inlineStr">
        <is>
          <t>B2</t>
        </is>
      </c>
      <c r="K704" t="n">
        <v>6</v>
      </c>
      <c r="L704" t="inlineStr">
        <is>
          <t>Lake-town Mariners {4}{U}{U} — Creature — Human Citizen (6/5)
Vigilance
Ward {2} (Whenever this creature becomes the target of a spell or ability an opponent controls, counter it unless that player pays {2}.)
//
Gone Fishing {3}{U} — Instant — Adventure
Exile two target creatures and/or lands you control, then return them to the battlefield under their owner's control.</t>
        </is>
      </c>
      <c r="M704" t="inlineStr">
        <is>
          <t>Blink</t>
        </is>
      </c>
      <c r="N704" t="inlineStr">
        <is>
          <t>Gone Fishing {3}{U} — Adventure: exile two target creatures and/or lands you control, then return them to the battlefield</t>
        </is>
      </c>
      <c r="O704" t="inlineStr">
        <is>
          <t>6/5 vigilance body with ward {2}</t>
        </is>
      </c>
      <c r="R704" t="n">
        <v>0.09</v>
      </c>
    </row>
    <row r="705" ht="15" customHeight="1" s="148">
      <c r="A705" t="inlineStr">
        <is>
          <t>c0704</t>
        </is>
      </c>
      <c r="B705" t="inlineStr">
        <is>
          <t>Latchkey Faerie</t>
        </is>
      </c>
      <c r="C705" t="n">
        <v>1</v>
      </c>
      <c r="E705" t="n">
        <v>1</v>
      </c>
      <c r="F705" t="n">
        <v>0</v>
      </c>
      <c r="G705" t="n">
        <v>1</v>
      </c>
      <c r="H705" t="inlineStr">
        <is>
          <t>U</t>
        </is>
      </c>
      <c r="I705" t="inlineStr">
        <is>
          <t>Creature</t>
        </is>
      </c>
      <c r="J705" t="inlineStr">
        <is>
          <t>B2</t>
        </is>
      </c>
      <c r="K705" t="n">
        <v>4</v>
      </c>
      <c r="L705" t="inlineStr">
        <is>
          <t>Flying
Prowl {2}{U} (You may cast this for its prowl cost if you dealt combat damage to a player this turn with a Faerie or Rogue.)
When this creature enters, if its prowl cost was paid, draw a card.
(3/1)</t>
        </is>
      </c>
      <c r="M705" t="inlineStr">
        <is>
          <t>Card Draw</t>
        </is>
      </c>
      <c r="N705" t="inlineStr">
        <is>
          <t>Enters: draw a card if its prowl cost was paid</t>
        </is>
      </c>
      <c r="O705" t="inlineStr">
        <is>
          <t>Prowl {2}{U}</t>
        </is>
      </c>
      <c r="P705" t="inlineStr">
        <is>
          <t>Flying</t>
        </is>
      </c>
      <c r="R705" t="n">
        <v>0.13</v>
      </c>
    </row>
    <row r="706" ht="15" customHeight="1" s="148">
      <c r="A706" t="inlineStr">
        <is>
          <t>c0705</t>
        </is>
      </c>
      <c r="B706" t="inlineStr">
        <is>
          <t>Long Lake Nuisance</t>
        </is>
      </c>
      <c r="C706" t="n">
        <v>3</v>
      </c>
      <c r="E706" t="n">
        <v>1</v>
      </c>
      <c r="F706" t="n">
        <v>2</v>
      </c>
      <c r="G706" t="n">
        <v>0</v>
      </c>
      <c r="H706" t="inlineStr">
        <is>
          <t>U</t>
        </is>
      </c>
      <c r="I706" t="inlineStr">
        <is>
          <t>Creature</t>
        </is>
      </c>
      <c r="J706" t="inlineStr">
        <is>
          <t>B2</t>
        </is>
      </c>
      <c r="K706" t="n">
        <v>4</v>
      </c>
      <c r="L706" t="inlineStr">
        <is>
          <t>Flying
When this creature enters, recruit. (Draw a card, then discard a card. If you discarded a nonland card, create a 1/1 white Human Soldier creature token.)
(3/1)</t>
        </is>
      </c>
      <c r="M706" t="inlineStr">
        <is>
          <t>Token Producer</t>
        </is>
      </c>
      <c r="N706" t="inlineStr">
        <is>
          <t>Enters: recruit — draw a card, then discard a card, creating a 1/1 Human Soldier token if you discarded a nonland card</t>
        </is>
      </c>
      <c r="O706" t="inlineStr">
        <is>
          <t>3/1 flying body</t>
        </is>
      </c>
    </row>
    <row r="707" ht="15" customHeight="1" s="148">
      <c r="A707" t="inlineStr">
        <is>
          <t>c0706</t>
        </is>
      </c>
      <c r="B707" t="inlineStr">
        <is>
          <t>Loyal Inventor</t>
        </is>
      </c>
      <c r="C707" t="n">
        <v>1</v>
      </c>
      <c r="E707" t="n">
        <v>0</v>
      </c>
      <c r="F707" t="n">
        <v>1</v>
      </c>
      <c r="G707" t="n">
        <v>0</v>
      </c>
      <c r="H707" t="inlineStr">
        <is>
          <t>U</t>
        </is>
      </c>
      <c r="I707" t="inlineStr">
        <is>
          <t>Creature</t>
        </is>
      </c>
      <c r="J707" t="inlineStr">
        <is>
          <t>B2</t>
        </is>
      </c>
      <c r="K707" t="n">
        <v>3</v>
      </c>
      <c r="L707" t="inlineStr">
        <is>
          <t>Vigilance
When this creature enters, you may search your library for an artifact card, reveal it, then shuffle. Put that card into your hand if you control an Assassin. Otherwise, put that card on top of your library.
(2/3)</t>
        </is>
      </c>
      <c r="M707" t="inlineStr">
        <is>
          <t>Tutor</t>
        </is>
      </c>
      <c r="N707" t="inlineStr">
        <is>
          <t>Searches library for an artifact card when it enters</t>
        </is>
      </c>
      <c r="O707" t="inlineStr">
        <is>
          <t>Puts it in hand if you control an Assassin, else on top of library</t>
        </is>
      </c>
      <c r="R707" t="n">
        <v>0.25</v>
      </c>
    </row>
    <row r="708" ht="15" customHeight="1" s="148">
      <c r="A708" t="inlineStr">
        <is>
          <t>c0707</t>
        </is>
      </c>
      <c r="B708" t="inlineStr">
        <is>
          <t>Man-o'-War</t>
        </is>
      </c>
      <c r="C708" t="n">
        <v>1</v>
      </c>
      <c r="E708" t="n">
        <v>1</v>
      </c>
      <c r="F708" t="n">
        <v>0</v>
      </c>
      <c r="G708" t="n">
        <v>1</v>
      </c>
      <c r="H708" t="inlineStr">
        <is>
          <t>U</t>
        </is>
      </c>
      <c r="I708" t="inlineStr">
        <is>
          <t>Creature</t>
        </is>
      </c>
      <c r="J708" t="inlineStr">
        <is>
          <t>B2</t>
        </is>
      </c>
      <c r="K708" t="n">
        <v>3</v>
      </c>
      <c r="L708" t="inlineStr">
        <is>
          <t>When this creature enters, return target creature to its owner's hand.
(2/2)</t>
        </is>
      </c>
      <c r="M708" t="inlineStr">
        <is>
          <t>Removal</t>
        </is>
      </c>
      <c r="N708" t="inlineStr">
        <is>
          <t>When this creature enters, return target creature to its owner's hand</t>
        </is>
      </c>
      <c r="R708" t="n">
        <v>0.08</v>
      </c>
    </row>
    <row r="709" ht="15" customHeight="1" s="148">
      <c r="A709" t="inlineStr">
        <is>
          <t>c0708</t>
        </is>
      </c>
      <c r="B709" t="inlineStr">
        <is>
          <t>Master's Councillors</t>
        </is>
      </c>
      <c r="C709" t="n">
        <v>1</v>
      </c>
      <c r="E709" t="n">
        <v>0</v>
      </c>
      <c r="F709" t="n">
        <v>1</v>
      </c>
      <c r="G709" t="n">
        <v>0</v>
      </c>
      <c r="H709" t="inlineStr">
        <is>
          <t>U</t>
        </is>
      </c>
      <c r="I709" t="inlineStr">
        <is>
          <t>Creature</t>
        </is>
      </c>
      <c r="J709" t="inlineStr">
        <is>
          <t>B2</t>
        </is>
      </c>
      <c r="K709" t="n">
        <v>2</v>
      </c>
      <c r="L709" t="inlineStr">
        <is>
          <t>Vigilance
This creature gets +2/+0 for each graveyard with seven or more cards in it.
Whenever you draw your second card each turn, target player mills three cards. (They put the top three cards of their library into their graveyard.)
(1/3)</t>
        </is>
      </c>
      <c r="M709" t="inlineStr">
        <is>
          <t>Utility Creature</t>
        </is>
      </c>
      <c r="N709" t="inlineStr">
        <is>
          <t>Gets +2/+0 for each graveyard with seven or more cards in it</t>
        </is>
      </c>
      <c r="O709" t="inlineStr">
        <is>
          <t>Whenever you draw your second card each turn, target player mills three cards</t>
        </is>
      </c>
      <c r="P709" t="inlineStr">
        <is>
          <t>Vigilance</t>
        </is>
      </c>
      <c r="R709" t="n">
        <v>0.16</v>
      </c>
    </row>
    <row r="710" ht="15" customHeight="1" s="148">
      <c r="A710" t="inlineStr">
        <is>
          <t>c0709</t>
        </is>
      </c>
      <c r="B710" t="inlineStr">
        <is>
          <t>Mirrorform</t>
        </is>
      </c>
      <c r="C710" t="n">
        <v>1</v>
      </c>
      <c r="E710" t="n">
        <v>0</v>
      </c>
      <c r="F710" t="n">
        <v>1</v>
      </c>
      <c r="G710" t="n">
        <v>0</v>
      </c>
      <c r="H710" t="inlineStr">
        <is>
          <t>U</t>
        </is>
      </c>
      <c r="I710" t="inlineStr">
        <is>
          <t>Instant</t>
        </is>
      </c>
      <c r="J710" t="inlineStr">
        <is>
          <t>B2</t>
        </is>
      </c>
      <c r="K710" t="n">
        <v>6</v>
      </c>
      <c r="L710" t="inlineStr">
        <is>
          <t>Each nonland permanent you control becomes a copy of target non-Aura permanent.</t>
        </is>
      </c>
      <c r="M710" t="inlineStr">
        <is>
          <t>Copy/Clone</t>
        </is>
      </c>
      <c r="N710" t="inlineStr">
        <is>
          <t>Each nonland permanent you control becomes a copy of target non-Aura permanent</t>
        </is>
      </c>
      <c r="R710" t="n">
        <v>1.75</v>
      </c>
    </row>
    <row r="711" ht="15" customHeight="1" s="148">
      <c r="A711" t="inlineStr">
        <is>
          <t>c0710</t>
        </is>
      </c>
      <c r="B711" t="inlineStr">
        <is>
          <t>Mulldrifter</t>
        </is>
      </c>
      <c r="C711" t="n">
        <v>1</v>
      </c>
      <c r="E711" t="n">
        <v>1</v>
      </c>
      <c r="F711" t="n">
        <v>0</v>
      </c>
      <c r="G711" t="n">
        <v>1</v>
      </c>
      <c r="H711" t="inlineStr">
        <is>
          <t>U</t>
        </is>
      </c>
      <c r="I711" t="inlineStr">
        <is>
          <t>Creature</t>
        </is>
      </c>
      <c r="J711" t="inlineStr">
        <is>
          <t>B2</t>
        </is>
      </c>
      <c r="K711" t="n">
        <v>5</v>
      </c>
      <c r="L711" t="inlineStr">
        <is>
          <t>Flying
When this creature enters, draw two cards.
Evoke {2}{U} (You may cast this spell for its evoke cost. If you do, it's sacrificed when it enters.)
(2/2)</t>
        </is>
      </c>
      <c r="M711" t="inlineStr">
        <is>
          <t>Card Draw</t>
        </is>
      </c>
      <c r="N711" t="inlineStr">
        <is>
          <t>Draws two cards when it enters</t>
        </is>
      </c>
      <c r="O711" t="inlineStr">
        <is>
          <t>Can be cast for {2}{U}, sacrificing itself immediately (Evoke)</t>
        </is>
      </c>
      <c r="P711" t="inlineStr">
        <is>
          <t>Flying body</t>
        </is>
      </c>
      <c r="R711" t="n">
        <v>0.32</v>
      </c>
    </row>
    <row r="712" ht="15" customHeight="1" s="148">
      <c r="A712" t="inlineStr">
        <is>
          <t>c0711</t>
        </is>
      </c>
      <c r="B712" t="inlineStr">
        <is>
          <t>Muse's Encouragement</t>
        </is>
      </c>
      <c r="C712" t="n">
        <v>1</v>
      </c>
      <c r="E712" t="n">
        <v>0</v>
      </c>
      <c r="F712" t="n">
        <v>1</v>
      </c>
      <c r="G712" t="n">
        <v>0</v>
      </c>
      <c r="H712" t="inlineStr">
        <is>
          <t>U</t>
        </is>
      </c>
      <c r="I712" t="inlineStr">
        <is>
          <t>Instant</t>
        </is>
      </c>
      <c r="J712" t="inlineStr">
        <is>
          <t>B2</t>
        </is>
      </c>
      <c r="K712" t="n">
        <v>5</v>
      </c>
      <c r="L712" t="inlineStr">
        <is>
          <t>Create a 3/3 blue and red Elemental creature token with flying.
Surveil 2. (Look at the top two cards of your library, then put any number of them into your graveyard and the rest on top of your library in any order.)</t>
        </is>
      </c>
      <c r="M712" t="inlineStr">
        <is>
          <t>Token Producer</t>
        </is>
      </c>
      <c r="N712" t="inlineStr">
        <is>
          <t>Create a 3/3 Elemental token with flying</t>
        </is>
      </c>
      <c r="O712" t="inlineStr">
        <is>
          <t>Surveil 2</t>
        </is>
      </c>
      <c r="R712" t="n">
        <v>0.07000000000000001</v>
      </c>
    </row>
    <row r="713" ht="15" customHeight="1" s="148">
      <c r="A713" t="inlineStr">
        <is>
          <t>c0712</t>
        </is>
      </c>
      <c r="B713" t="inlineStr">
        <is>
          <t>Mystic Remora</t>
        </is>
      </c>
      <c r="C713" t="n">
        <v>0</v>
      </c>
      <c r="D713" t="n">
        <v>1</v>
      </c>
      <c r="E713" t="n">
        <v>0</v>
      </c>
      <c r="F713" t="n">
        <v>0</v>
      </c>
      <c r="G713" t="n">
        <v>1</v>
      </c>
      <c r="H713" t="inlineStr">
        <is>
          <t>U</t>
        </is>
      </c>
      <c r="I713" t="inlineStr">
        <is>
          <t>Enchantment</t>
        </is>
      </c>
      <c r="J713" t="inlineStr">
        <is>
          <t>B3</t>
        </is>
      </c>
      <c r="K713" t="n">
        <v>1</v>
      </c>
      <c r="L713" t="inlineStr">
        <is>
          <t>Cumulative upkeep {1} (At the beginning of your upkeep, put an age counter on this permanent, then sacrifice it unless you pay its upkeep cost for each age counter on it.)
Whenever an opponent casts a noncreature spell, you may draw a card unless that player pays {4}.</t>
        </is>
      </c>
      <c r="M713" t="inlineStr">
        <is>
          <t>Card Draw</t>
        </is>
      </c>
      <c r="N713" t="inlineStr">
        <is>
          <t>Whenever an opponent casts a noncreature spell, you may draw a card unless that player pays {4}</t>
        </is>
      </c>
      <c r="O713" t="inlineStr">
        <is>
          <t>Cumulative upkeep {1}</t>
        </is>
      </c>
      <c r="R713" t="n">
        <v>12.86</v>
      </c>
    </row>
    <row r="714" ht="15" customHeight="1" s="148">
      <c r="A714" t="inlineStr">
        <is>
          <t>c0713</t>
        </is>
      </c>
      <c r="B714" t="inlineStr">
        <is>
          <t>Negate</t>
        </is>
      </c>
      <c r="C714" t="n">
        <v>1</v>
      </c>
      <c r="E714" t="n">
        <v>1</v>
      </c>
      <c r="F714" t="n">
        <v>0</v>
      </c>
      <c r="G714" t="n">
        <v>0</v>
      </c>
      <c r="H714" t="inlineStr">
        <is>
          <t>U</t>
        </is>
      </c>
      <c r="I714" t="inlineStr">
        <is>
          <t>Instant</t>
        </is>
      </c>
      <c r="J714" t="inlineStr">
        <is>
          <t>B2</t>
        </is>
      </c>
      <c r="K714" t="n">
        <v>2</v>
      </c>
      <c r="L714" t="inlineStr">
        <is>
          <t>Counter target noncreature spell.</t>
        </is>
      </c>
      <c r="M714" t="inlineStr">
        <is>
          <t>Interaction</t>
        </is>
      </c>
      <c r="N714" t="inlineStr">
        <is>
          <t>Counters target noncreature spell</t>
        </is>
      </c>
      <c r="R714" t="n">
        <v>0.23</v>
      </c>
    </row>
    <row r="715" ht="15" customHeight="1" s="148">
      <c r="A715" t="inlineStr">
        <is>
          <t>c0714</t>
        </is>
      </c>
      <c r="B715" t="inlineStr">
        <is>
          <t>Octopus Form</t>
        </is>
      </c>
      <c r="C715" t="n">
        <v>1</v>
      </c>
      <c r="E715" t="n">
        <v>0</v>
      </c>
      <c r="F715" t="n">
        <v>1</v>
      </c>
      <c r="G715" t="n">
        <v>0</v>
      </c>
      <c r="H715" t="inlineStr">
        <is>
          <t>U</t>
        </is>
      </c>
      <c r="I715" t="inlineStr">
        <is>
          <t>Instant</t>
        </is>
      </c>
      <c r="J715" t="inlineStr">
        <is>
          <t>B2</t>
        </is>
      </c>
      <c r="K715" t="n">
        <v>1</v>
      </c>
      <c r="L715" t="inlineStr">
        <is>
          <t>Target creature you control gets +1/+1 and gains hexproof until end of turn. Untap it. (It can't be the target of spells or abilities your opponents control.)</t>
        </is>
      </c>
      <c r="M715" t="inlineStr">
        <is>
          <t>Protection</t>
        </is>
      </c>
      <c r="N715" t="inlineStr">
        <is>
          <t>Target creature you control gets +1/+1 and can't be targeted by opponents until end of turn</t>
        </is>
      </c>
      <c r="O715" t="inlineStr">
        <is>
          <t>Untaps that creature</t>
        </is>
      </c>
      <c r="R715" t="n">
        <v>0.26</v>
      </c>
    </row>
    <row r="716" ht="15" customHeight="1" s="148">
      <c r="A716" t="inlineStr">
        <is>
          <t>c0715</t>
        </is>
      </c>
      <c r="B716" t="inlineStr">
        <is>
          <t>Old Fat Spider Can't See Me</t>
        </is>
      </c>
      <c r="C716" t="n">
        <v>1</v>
      </c>
      <c r="E716" t="n">
        <v>0</v>
      </c>
      <c r="F716" t="n">
        <v>1</v>
      </c>
      <c r="G716" t="n">
        <v>0</v>
      </c>
      <c r="H716" t="inlineStr">
        <is>
          <t>U</t>
        </is>
      </c>
      <c r="I716" t="inlineStr">
        <is>
          <t>Enchantment</t>
        </is>
      </c>
      <c r="J716" t="inlineStr">
        <is>
          <t>B2</t>
        </is>
      </c>
      <c r="K716" t="n">
        <v>3</v>
      </c>
      <c r="L716" t="inlineStr">
        <is>
          <t>(As this Saga enters and after your draw step, add a lore counter. Sacrifice after IV.)
I — Target creature you control gains hexproof for as long as this Saga remains on the battlefield.
II — Prevent all damage that would be dealt by up to one target creature for as long as this Saga remains on the battlefield.
III, IV — Draw a card.</t>
        </is>
      </c>
      <c r="M716" t="inlineStr">
        <is>
          <t>Protection</t>
        </is>
      </c>
      <c r="N716" t="inlineStr">
        <is>
          <t>Chapter I: a creature you control gains hexproof while the Saga lasts</t>
        </is>
      </c>
      <c r="O716" t="inlineStr">
        <is>
          <t>Chapter II: prevents all damage from one creature while the Saga lasts</t>
        </is>
      </c>
      <c r="P716" t="inlineStr">
        <is>
          <t>Chapters III and IV: draw a card each</t>
        </is>
      </c>
      <c r="R716" t="n">
        <v>0.2</v>
      </c>
    </row>
    <row r="717" ht="15" customHeight="1" s="148">
      <c r="A717" t="inlineStr">
        <is>
          <t>c0716</t>
        </is>
      </c>
      <c r="B717" t="inlineStr">
        <is>
          <t>Peregrine Drake</t>
        </is>
      </c>
      <c r="C717" t="n">
        <v>1</v>
      </c>
      <c r="E717" t="n">
        <v>1</v>
      </c>
      <c r="F717" t="n">
        <v>0</v>
      </c>
      <c r="G717" t="n">
        <v>0</v>
      </c>
      <c r="H717" t="inlineStr">
        <is>
          <t>U</t>
        </is>
      </c>
      <c r="I717" t="inlineStr">
        <is>
          <t>Creature</t>
        </is>
      </c>
      <c r="J717" t="inlineStr">
        <is>
          <t>B2</t>
        </is>
      </c>
      <c r="K717" t="n">
        <v>5</v>
      </c>
      <c r="L717" t="inlineStr">
        <is>
          <t>Flying
When this creature enters, untap up to five lands.
(2/3)</t>
        </is>
      </c>
      <c r="M717" t="inlineStr">
        <is>
          <t>Ramp</t>
        </is>
      </c>
      <c r="N717" t="inlineStr">
        <is>
          <t>Untaps up to five lands when it enters</t>
        </is>
      </c>
      <c r="O717" t="inlineStr">
        <is>
          <t>Flying body</t>
        </is>
      </c>
      <c r="R717" t="n">
        <v>0.27</v>
      </c>
    </row>
    <row r="718" ht="15" customHeight="1" s="148">
      <c r="A718" t="inlineStr">
        <is>
          <t>c0717</t>
        </is>
      </c>
      <c r="B718" t="inlineStr">
        <is>
          <t>Plunder the Trollshaws</t>
        </is>
      </c>
      <c r="C718" t="n">
        <v>2</v>
      </c>
      <c r="E718" t="n">
        <v>2</v>
      </c>
      <c r="F718" t="n">
        <v>0</v>
      </c>
      <c r="G718" t="n">
        <v>0</v>
      </c>
      <c r="H718" t="inlineStr">
        <is>
          <t>U</t>
        </is>
      </c>
      <c r="I718" t="inlineStr">
        <is>
          <t>Instant</t>
        </is>
      </c>
      <c r="J718" t="inlineStr">
        <is>
          <t>B2</t>
        </is>
      </c>
      <c r="K718" t="n">
        <v>2</v>
      </c>
      <c r="L718" t="inlineStr">
        <is>
          <t>Draw a card. If this spell was cast from a graveyard, draw two cards instead.
Flashback {3}{U} (You may cast this card from your graveyard for its flashback cost. Then exile it.)</t>
        </is>
      </c>
      <c r="M718" t="inlineStr">
        <is>
          <t>Card Draw</t>
        </is>
      </c>
      <c r="N718" t="inlineStr">
        <is>
          <t>Draw a card, or two cards if it was cast from a graveyard</t>
        </is>
      </c>
      <c r="O718" t="inlineStr">
        <is>
          <t>Flashback {3}{U}: cast it from your graveyard, then exile it</t>
        </is>
      </c>
      <c r="R718" t="n">
        <v>0.18</v>
      </c>
    </row>
    <row r="719" ht="15" customHeight="1" s="148">
      <c r="A719" t="inlineStr">
        <is>
          <t>c0718</t>
        </is>
      </c>
      <c r="B719" t="inlineStr">
        <is>
          <t>Prologue to Phyresis</t>
        </is>
      </c>
      <c r="C719" t="n">
        <v>0</v>
      </c>
      <c r="E719" t="n">
        <v>0</v>
      </c>
      <c r="F719" t="n">
        <v>0</v>
      </c>
      <c r="G719" t="n">
        <v>0</v>
      </c>
      <c r="H719" t="inlineStr">
        <is>
          <t>U</t>
        </is>
      </c>
      <c r="I719" t="inlineStr">
        <is>
          <t>Instant</t>
        </is>
      </c>
      <c r="J719" t="inlineStr">
        <is>
          <t>B3</t>
        </is>
      </c>
      <c r="K719" t="n">
        <v>2</v>
      </c>
      <c r="L719" t="inlineStr">
        <is>
          <t>Each opponent gets a poison counter.
Draw a card.</t>
        </is>
      </c>
      <c r="M719" t="inlineStr">
        <is>
          <t>Counters Payoff</t>
        </is>
      </c>
      <c r="N719" t="inlineStr">
        <is>
          <t>Each opponent gets a poison counter.
Draw a card.</t>
        </is>
      </c>
      <c r="R719" t="n">
        <v>0.53</v>
      </c>
    </row>
    <row r="720" ht="15" customHeight="1" s="148">
      <c r="A720" t="inlineStr">
        <is>
          <t>c0719</t>
        </is>
      </c>
      <c r="B720" t="inlineStr">
        <is>
          <t>Rhystic Study</t>
        </is>
      </c>
      <c r="C720" t="n">
        <v>0</v>
      </c>
      <c r="E720" t="n">
        <v>0</v>
      </c>
      <c r="F720" t="n">
        <v>0</v>
      </c>
      <c r="G720" t="n">
        <v>0</v>
      </c>
      <c r="H720" t="inlineStr">
        <is>
          <t>U</t>
        </is>
      </c>
      <c r="I720" t="inlineStr">
        <is>
          <t>Enchantment</t>
        </is>
      </c>
      <c r="J720" t="inlineStr">
        <is>
          <t>B3</t>
        </is>
      </c>
      <c r="K720" t="n">
        <v>3</v>
      </c>
      <c r="L720" t="inlineStr">
        <is>
          <t>Whenever an opponent casts a spell, you may draw a card unless that player pays {1}.</t>
        </is>
      </c>
      <c r="M720" t="inlineStr">
        <is>
          <t>Card Draw</t>
        </is>
      </c>
      <c r="N720" t="inlineStr">
        <is>
          <t>Whenever an opponent casts a spell, you may draw a card unless that player pays {1}.</t>
        </is>
      </c>
      <c r="R720" t="n">
        <v>70.58</v>
      </c>
    </row>
    <row r="721" ht="15" customHeight="1" s="148">
      <c r="A721" t="inlineStr">
        <is>
          <t>c0720</t>
        </is>
      </c>
      <c r="B721" t="inlineStr">
        <is>
          <t>Rime Chill</t>
        </is>
      </c>
      <c r="C721" t="n">
        <v>1</v>
      </c>
      <c r="E721" t="n">
        <v>0</v>
      </c>
      <c r="F721" t="n">
        <v>1</v>
      </c>
      <c r="G721" t="n">
        <v>0</v>
      </c>
      <c r="H721" t="inlineStr">
        <is>
          <t>U</t>
        </is>
      </c>
      <c r="I721" t="inlineStr">
        <is>
          <t>Instant</t>
        </is>
      </c>
      <c r="J721" t="inlineStr">
        <is>
          <t>B2</t>
        </is>
      </c>
      <c r="K721" t="n">
        <v>7</v>
      </c>
      <c r="L721" t="inlineStr">
        <is>
          <t>Vivid — This spell costs {1} less to cast for each color among permanents you control.
Tap up to two target creatures. Put a stun counter on each of them. (If a permanent with a stun counter would become untapped, remove one from it instead.)
Draw a card.</t>
        </is>
      </c>
      <c r="M721" t="inlineStr">
        <is>
          <t>Interaction</t>
        </is>
      </c>
      <c r="N721" t="inlineStr">
        <is>
          <t>Tap up to two target creatures and put a stun counter on each of them</t>
        </is>
      </c>
      <c r="O721" t="inlineStr">
        <is>
          <t>Vivid — costs {1} less to cast for each color among permanents you control</t>
        </is>
      </c>
      <c r="P721" t="inlineStr">
        <is>
          <t>Draw a card</t>
        </is>
      </c>
      <c r="R721" t="n">
        <v>0.1</v>
      </c>
    </row>
    <row r="722" ht="15" customHeight="1" s="148">
      <c r="A722" t="inlineStr">
        <is>
          <t>c0721</t>
        </is>
      </c>
      <c r="B722" t="inlineStr">
        <is>
          <t>Rimekin Recluse</t>
        </is>
      </c>
      <c r="C722" t="n">
        <v>1</v>
      </c>
      <c r="E722" t="n">
        <v>1</v>
      </c>
      <c r="F722" t="n">
        <v>0</v>
      </c>
      <c r="G722" t="n">
        <v>1</v>
      </c>
      <c r="H722" t="inlineStr">
        <is>
          <t>U</t>
        </is>
      </c>
      <c r="I722" t="inlineStr">
        <is>
          <t>Creature</t>
        </is>
      </c>
      <c r="J722" t="inlineStr">
        <is>
          <t>B2</t>
        </is>
      </c>
      <c r="K722" t="n">
        <v>3</v>
      </c>
      <c r="L722" t="inlineStr">
        <is>
          <t>When this creature enters, return up to one other target creature to its owner's hand.
(3/2)</t>
        </is>
      </c>
      <c r="M722" t="inlineStr">
        <is>
          <t>Interaction</t>
        </is>
      </c>
      <c r="N722" t="inlineStr">
        <is>
          <t>Enters: return up to one other target creature to its owner's hand</t>
        </is>
      </c>
      <c r="R722" t="n">
        <v>0.23</v>
      </c>
    </row>
    <row r="723" ht="15" customHeight="1" s="148">
      <c r="A723" t="inlineStr">
        <is>
          <t>c0722</t>
        </is>
      </c>
      <c r="B723" t="inlineStr">
        <is>
          <t>Run Behind</t>
        </is>
      </c>
      <c r="C723" t="n">
        <v>1</v>
      </c>
      <c r="E723" t="n">
        <v>0</v>
      </c>
      <c r="F723" t="n">
        <v>1</v>
      </c>
      <c r="G723" t="n">
        <v>0</v>
      </c>
      <c r="H723" t="inlineStr">
        <is>
          <t>U</t>
        </is>
      </c>
      <c r="I723" t="inlineStr">
        <is>
          <t>Instant</t>
        </is>
      </c>
      <c r="J723" t="inlineStr">
        <is>
          <t>B2</t>
        </is>
      </c>
      <c r="K723" t="n">
        <v>4</v>
      </c>
      <c r="L723" t="inlineStr">
        <is>
          <t>This spell costs {1} less to cast if it targets an attacking creature.
Target creature's owner puts it on their choice of the top or bottom of their library.</t>
        </is>
      </c>
      <c r="M723" t="inlineStr">
        <is>
          <t>Removal</t>
        </is>
      </c>
      <c r="N723" t="inlineStr">
        <is>
          <t>Target creature's owner puts it on their choice of the top or bottom of their library</t>
        </is>
      </c>
      <c r="O723" t="inlineStr">
        <is>
          <t>Costs {1} less to cast if it targets an attacking creature</t>
        </is>
      </c>
      <c r="R723" t="n">
        <v>0.05</v>
      </c>
    </row>
    <row r="724" ht="15" customHeight="1" s="148">
      <c r="A724" t="inlineStr">
        <is>
          <t>c0723</t>
        </is>
      </c>
      <c r="B724" t="inlineStr">
        <is>
          <t>Serum Snare</t>
        </is>
      </c>
      <c r="C724" t="n">
        <v>0</v>
      </c>
      <c r="E724" t="n">
        <v>0</v>
      </c>
      <c r="F724" t="n">
        <v>0</v>
      </c>
      <c r="G724" t="n">
        <v>0</v>
      </c>
      <c r="H724" t="inlineStr">
        <is>
          <t>U</t>
        </is>
      </c>
      <c r="I724" t="inlineStr">
        <is>
          <t>Instant</t>
        </is>
      </c>
      <c r="J724" t="inlineStr">
        <is>
          <t>B2</t>
        </is>
      </c>
      <c r="K724" t="n">
        <v>2</v>
      </c>
      <c r="L724" t="inlineStr">
        <is>
          <t>Return target nonland permanent to its owner's hand. If that permanent had mana value 3 or less, proliferate. (Choose any number of permanents and/or players, then give each another counter of each kind already there.)</t>
        </is>
      </c>
      <c r="M724" t="inlineStr">
        <is>
          <t>Removal</t>
        </is>
      </c>
      <c r="N724" t="inlineStr">
        <is>
          <t>Return target nonland permanent to its owner's hand. If that permanent had mana value 3 or less, proliferate</t>
        </is>
      </c>
      <c r="R724" t="n">
        <v>0.35</v>
      </c>
    </row>
    <row r="725" ht="15" customHeight="1" s="148">
      <c r="A725" t="inlineStr">
        <is>
          <t>c0724</t>
        </is>
      </c>
      <c r="B725" t="inlineStr">
        <is>
          <t>Shinestriker</t>
        </is>
      </c>
      <c r="C725" t="n">
        <v>1</v>
      </c>
      <c r="E725" t="n">
        <v>1</v>
      </c>
      <c r="F725" t="n">
        <v>0</v>
      </c>
      <c r="G725" t="n">
        <v>0</v>
      </c>
      <c r="H725" t="inlineStr">
        <is>
          <t>U</t>
        </is>
      </c>
      <c r="I725" t="inlineStr">
        <is>
          <t>Creature</t>
        </is>
      </c>
      <c r="J725" t="inlineStr">
        <is>
          <t>B2</t>
        </is>
      </c>
      <c r="K725" t="n">
        <v>6</v>
      </c>
      <c r="L725" t="inlineStr">
        <is>
          <t>Flying
Vivid — When this creature enters, draw cards equal to the number of colors among permanents you control.
(3/3)</t>
        </is>
      </c>
      <c r="M725" t="inlineStr">
        <is>
          <t>Card Draw</t>
        </is>
      </c>
      <c r="N725" t="inlineStr">
        <is>
          <t>Draws a card for each color among permanents you control</t>
        </is>
      </c>
      <c r="R725" t="n">
        <v>0.26</v>
      </c>
    </row>
    <row r="726" ht="15" customHeight="1" s="148">
      <c r="A726" t="inlineStr">
        <is>
          <t>c0725</t>
        </is>
      </c>
      <c r="B726" t="inlineStr">
        <is>
          <t>Shrieking Drake</t>
        </is>
      </c>
      <c r="C726" t="n">
        <v>1</v>
      </c>
      <c r="E726" t="n">
        <v>1</v>
      </c>
      <c r="F726" t="n">
        <v>0</v>
      </c>
      <c r="G726" t="n">
        <v>1</v>
      </c>
      <c r="H726" t="inlineStr">
        <is>
          <t>U</t>
        </is>
      </c>
      <c r="I726" t="inlineStr">
        <is>
          <t>Creature</t>
        </is>
      </c>
      <c r="J726" t="inlineStr">
        <is>
          <t>B2</t>
        </is>
      </c>
      <c r="K726" t="n">
        <v>1</v>
      </c>
      <c r="L726" t="inlineStr">
        <is>
          <t>Flying
When this creature enters, return a creature you control to its owner's hand.
(1/1)</t>
        </is>
      </c>
      <c r="M726" t="inlineStr">
        <is>
          <t>Blink</t>
        </is>
      </c>
      <c r="N726" t="inlineStr">
        <is>
          <t>Flying</t>
        </is>
      </c>
      <c r="O726" t="inlineStr">
        <is>
          <t>When this creature enters, return a creature you control to its owner's hand</t>
        </is>
      </c>
      <c r="R726" t="n">
        <v>0.23</v>
      </c>
    </row>
    <row r="727" ht="15" customHeight="1" s="148">
      <c r="A727" t="inlineStr">
        <is>
          <t>c0726</t>
        </is>
      </c>
      <c r="B727" t="inlineStr">
        <is>
          <t>Silvergill Peddler</t>
        </is>
      </c>
      <c r="C727" t="n">
        <v>1</v>
      </c>
      <c r="E727" t="n">
        <v>0</v>
      </c>
      <c r="F727" t="n">
        <v>1</v>
      </c>
      <c r="G727" t="n">
        <v>0</v>
      </c>
      <c r="H727" t="inlineStr">
        <is>
          <t>U</t>
        </is>
      </c>
      <c r="I727" t="inlineStr">
        <is>
          <t>Creature</t>
        </is>
      </c>
      <c r="J727" t="inlineStr">
        <is>
          <t>B2</t>
        </is>
      </c>
      <c r="K727" t="n">
        <v>3</v>
      </c>
      <c r="L727" t="inlineStr">
        <is>
          <t>Whenever this creature becomes tapped, draw a card, then discard a card.
(2/3)</t>
        </is>
      </c>
      <c r="M727" t="inlineStr">
        <is>
          <t>Discard/Looting</t>
        </is>
      </c>
      <c r="N727" t="inlineStr">
        <is>
          <t>Whenever this creature becomes tapped, draw a card, then discard a card</t>
        </is>
      </c>
      <c r="R727" t="n">
        <v>0.15</v>
      </c>
    </row>
    <row r="728" ht="15" customHeight="1" s="148">
      <c r="A728" t="inlineStr">
        <is>
          <t>c0727</t>
        </is>
      </c>
      <c r="B728" t="inlineStr">
        <is>
          <t>Siren's Ruse</t>
        </is>
      </c>
      <c r="C728" t="n">
        <v>1</v>
      </c>
      <c r="E728" t="n">
        <v>1</v>
      </c>
      <c r="F728" t="n">
        <v>0</v>
      </c>
      <c r="G728" t="n">
        <v>1</v>
      </c>
      <c r="H728" t="inlineStr">
        <is>
          <t>U</t>
        </is>
      </c>
      <c r="I728" t="inlineStr">
        <is>
          <t>Instant</t>
        </is>
      </c>
      <c r="J728" t="inlineStr">
        <is>
          <t>B2</t>
        </is>
      </c>
      <c r="K728" t="n">
        <v>2</v>
      </c>
      <c r="L728" t="inlineStr">
        <is>
          <t>Exile target creature you control, then return that card to the battlefield under its owner's control. If a Pirate was exiled this way, draw a card.</t>
        </is>
      </c>
      <c r="M728" t="inlineStr">
        <is>
          <t>Blink</t>
        </is>
      </c>
      <c r="N728" t="inlineStr">
        <is>
          <t>Exiles then returns target creature you control</t>
        </is>
      </c>
      <c r="O728" t="inlineStr">
        <is>
          <t>Draw a card if the exiled creature was a Pirate</t>
        </is>
      </c>
      <c r="R728" t="n">
        <v>0.23</v>
      </c>
    </row>
    <row r="729" ht="15" customHeight="1" s="148">
      <c r="A729" t="inlineStr">
        <is>
          <t>c0728</t>
        </is>
      </c>
      <c r="B729" t="inlineStr">
        <is>
          <t>Spellbook Seeker // Careful Study</t>
        </is>
      </c>
      <c r="C729" t="n">
        <v>1</v>
      </c>
      <c r="E729" t="n">
        <v>0</v>
      </c>
      <c r="F729" t="n">
        <v>1</v>
      </c>
      <c r="G729" t="n">
        <v>0</v>
      </c>
      <c r="H729" t="inlineStr">
        <is>
          <t>U</t>
        </is>
      </c>
      <c r="I729" t="inlineStr">
        <is>
          <t>Creature</t>
        </is>
      </c>
      <c r="J729" t="inlineStr">
        <is>
          <t>B2</t>
        </is>
      </c>
      <c r="K729" t="n">
        <v>4</v>
      </c>
      <c r="L729" t="inlineStr">
        <is>
          <t>Spellbook Seeker {3}{U} — Creature — Bird Wizard (3/3)
Flying
This creature enters prepared. (While it's prepared, you may cast a copy of its spell. Doing so unprepares it.)
//
Careful Study {U} — Sorcery
Draw two cards, then discard two cards.</t>
        </is>
      </c>
      <c r="M729" t="inlineStr">
        <is>
          <t>Discard/Looting</t>
        </is>
      </c>
      <c r="N729" t="inlineStr">
        <is>
          <t>Enters prepared — you may cast a copy of Careful Study to draw two cards, then discard two</t>
        </is>
      </c>
      <c r="O729" t="inlineStr">
        <is>
          <t>3/3 flying body</t>
        </is>
      </c>
      <c r="R729" t="n">
        <v>0.11</v>
      </c>
    </row>
    <row r="730" ht="15" customHeight="1" s="148">
      <c r="A730" t="inlineStr">
        <is>
          <t>c0729</t>
        </is>
      </c>
      <c r="B730" t="inlineStr">
        <is>
          <t>Steady Progress</t>
        </is>
      </c>
      <c r="C730" t="n">
        <v>2</v>
      </c>
      <c r="E730" t="n">
        <v>1</v>
      </c>
      <c r="F730" t="n">
        <v>1</v>
      </c>
      <c r="G730" t="n">
        <v>1</v>
      </c>
      <c r="H730" t="inlineStr">
        <is>
          <t>U</t>
        </is>
      </c>
      <c r="I730" t="inlineStr">
        <is>
          <t>Instant</t>
        </is>
      </c>
      <c r="J730" t="inlineStr">
        <is>
          <t>B2</t>
        </is>
      </c>
      <c r="K730" t="n">
        <v>3</v>
      </c>
      <c r="L730" t="inlineStr">
        <is>
          <t>Proliferate. (Choose any number of permanents and/or players, then give each another counter of each kind already there.)
Draw a card.</t>
        </is>
      </c>
      <c r="M730" t="inlineStr">
        <is>
          <t>Proliferate</t>
        </is>
      </c>
      <c r="N730" t="inlineStr">
        <is>
          <t>Proliferate, then draw a card</t>
        </is>
      </c>
      <c r="R730" t="n">
        <v>0.29</v>
      </c>
    </row>
    <row r="731" ht="15" customHeight="1" s="148">
      <c r="A731" t="inlineStr">
        <is>
          <t>c0730</t>
        </is>
      </c>
      <c r="B731" t="inlineStr">
        <is>
          <t>Stratosoarer</t>
        </is>
      </c>
      <c r="C731" t="n">
        <v>2</v>
      </c>
      <c r="E731" t="n">
        <v>1</v>
      </c>
      <c r="F731" t="n">
        <v>1</v>
      </c>
      <c r="G731" t="n">
        <v>0</v>
      </c>
      <c r="H731" t="inlineStr">
        <is>
          <t>U</t>
        </is>
      </c>
      <c r="I731" t="inlineStr">
        <is>
          <t>Creature</t>
        </is>
      </c>
      <c r="J731" t="inlineStr">
        <is>
          <t>B2</t>
        </is>
      </c>
      <c r="K731" t="n">
        <v>5</v>
      </c>
      <c r="L731" t="inlineStr">
        <is>
          <t>Flying
When this creature enters, target creature gains flying until end of turn.
Basic landcycling {1}{U} ({1}{U}, Discard this card: Search your library for a basic land card, reveal it, put it into your hand, then shuffle.)
(3/5)</t>
        </is>
      </c>
      <c r="M731" t="inlineStr">
        <is>
          <t>Flexible Fixing</t>
        </is>
      </c>
      <c r="N731" t="inlineStr">
        <is>
          <t>Gives target creature flying until end of turn when it enters</t>
        </is>
      </c>
      <c r="O731" t="inlineStr">
        <is>
          <t>Basic landcycling: discard for {1}{U} to fetch a basic land</t>
        </is>
      </c>
      <c r="R731" t="n">
        <v>0.09</v>
      </c>
    </row>
    <row r="732" ht="15" customHeight="1" s="148">
      <c r="A732" t="inlineStr">
        <is>
          <t>c0731</t>
        </is>
      </c>
      <c r="B732" t="inlineStr">
        <is>
          <t>Summit Sentinel</t>
        </is>
      </c>
      <c r="C732" t="n">
        <v>1</v>
      </c>
      <c r="E732" t="n">
        <v>1</v>
      </c>
      <c r="F732" t="n">
        <v>0</v>
      </c>
      <c r="G732" t="n">
        <v>0</v>
      </c>
      <c r="H732" t="inlineStr">
        <is>
          <t>U</t>
        </is>
      </c>
      <c r="I732" t="inlineStr">
        <is>
          <t>Creature</t>
        </is>
      </c>
      <c r="J732" t="inlineStr">
        <is>
          <t>B2</t>
        </is>
      </c>
      <c r="K732" t="n">
        <v>2</v>
      </c>
      <c r="L732" t="inlineStr">
        <is>
          <t>When this creature dies, draw a card.
(1/3)</t>
        </is>
      </c>
      <c r="M732" t="inlineStr">
        <is>
          <t>Card Draw</t>
        </is>
      </c>
      <c r="N732" t="inlineStr">
        <is>
          <t>When it dies, draw a card</t>
        </is>
      </c>
      <c r="R732" t="n">
        <v>0.07000000000000001</v>
      </c>
    </row>
    <row r="733" ht="15" customHeight="1" s="148">
      <c r="A733" t="inlineStr">
        <is>
          <t>c0732</t>
        </is>
      </c>
      <c r="B733" t="inlineStr">
        <is>
          <t>Tekuthal, Inquiry Dominus</t>
        </is>
      </c>
      <c r="C733" t="n">
        <v>1</v>
      </c>
      <c r="E733" t="n">
        <v>1</v>
      </c>
      <c r="F733" t="n">
        <v>0</v>
      </c>
      <c r="G733" t="n">
        <v>1</v>
      </c>
      <c r="H733" t="inlineStr">
        <is>
          <t>U</t>
        </is>
      </c>
      <c r="I733" t="inlineStr">
        <is>
          <t>Legendary Creature</t>
        </is>
      </c>
      <c r="J733" t="inlineStr">
        <is>
          <t>B2</t>
        </is>
      </c>
      <c r="K733" t="n">
        <v>4</v>
      </c>
      <c r="L733" t="inlineStr">
        <is>
          <t>Flying
If you would proliferate, proliferate twice instead.
{1}{U/P}{U/P}, Remove three counters from among other artifacts, creatures, and planeswalkers you control: Put an indestructible counter on Tekuthal. ({U/P} can be paid with either {U} or 2 life.)
(3/5)</t>
        </is>
      </c>
      <c r="M733" t="inlineStr">
        <is>
          <t>Proliferate</t>
        </is>
      </c>
      <c r="N733" t="inlineStr">
        <is>
          <t>Doubles your proliferate triggers into two proliferates</t>
        </is>
      </c>
      <c r="O733" t="inlineStr">
        <is>
          <t>Remove three counters from your permanents to add an indestructible counter to itself</t>
        </is>
      </c>
      <c r="P733" t="inlineStr">
        <is>
          <t>Flying body</t>
        </is>
      </c>
      <c r="R733" t="n">
        <v>1.47</v>
      </c>
    </row>
    <row r="734" ht="15" customHeight="1" s="148">
      <c r="A734" t="inlineStr">
        <is>
          <t>c0733</t>
        </is>
      </c>
      <c r="B734" t="inlineStr">
        <is>
          <t>Temporal Cleansing</t>
        </is>
      </c>
      <c r="C734" t="n">
        <v>2</v>
      </c>
      <c r="E734" t="n">
        <v>0</v>
      </c>
      <c r="F734" t="n">
        <v>2</v>
      </c>
      <c r="G734" t="n">
        <v>0</v>
      </c>
      <c r="H734" t="inlineStr">
        <is>
          <t>U</t>
        </is>
      </c>
      <c r="I734" t="inlineStr">
        <is>
          <t>Sorcery</t>
        </is>
      </c>
      <c r="J734" t="inlineStr">
        <is>
          <t>B2</t>
        </is>
      </c>
      <c r="K734" t="n">
        <v>4</v>
      </c>
      <c r="L734" t="inlineStr">
        <is>
          <t>Convoke (Your creatures can help cast this spell. Each creature you tap while casting this spell pays for {1} or one mana of that creature's color.)
The owner of target nonland permanent puts it into their library second from the top or on the bottom.</t>
        </is>
      </c>
      <c r="M734" t="inlineStr">
        <is>
          <t>Removal</t>
        </is>
      </c>
      <c r="N734" t="inlineStr">
        <is>
          <t>Puts target nonland permanent into its owner's library second from top or on bottom</t>
        </is>
      </c>
      <c r="O734" t="inlineStr">
        <is>
          <t>Your creatures can tap to help pay its cost</t>
        </is>
      </c>
      <c r="R734" t="n">
        <v>0.15</v>
      </c>
    </row>
    <row r="735" ht="15" customHeight="1" s="148">
      <c r="A735" t="inlineStr">
        <is>
          <t>c0734</t>
        </is>
      </c>
      <c r="B735" t="inlineStr">
        <is>
          <t>Tezzeret's Gambit</t>
        </is>
      </c>
      <c r="C735" t="n">
        <v>1</v>
      </c>
      <c r="E735" t="n">
        <v>1</v>
      </c>
      <c r="F735" t="n">
        <v>0</v>
      </c>
      <c r="G735" t="n">
        <v>1</v>
      </c>
      <c r="H735" t="inlineStr">
        <is>
          <t>U</t>
        </is>
      </c>
      <c r="I735" t="inlineStr">
        <is>
          <t>Sorcery</t>
        </is>
      </c>
      <c r="J735" t="inlineStr">
        <is>
          <t>B2</t>
        </is>
      </c>
      <c r="K735" t="n">
        <v>4</v>
      </c>
      <c r="L735" t="inlineStr">
        <is>
          <t>({U/P} can be paid with either {U} or 2 life.)
Draw two cards, then proliferate. (Choose any number of permanents and/or players, then give each another counter of each kind already there.)</t>
        </is>
      </c>
      <c r="M735" t="inlineStr">
        <is>
          <t>Proliferate</t>
        </is>
      </c>
      <c r="N735" t="inlineStr">
        <is>
          <t>Draw two cards, then proliferate</t>
        </is>
      </c>
      <c r="O735" t="inlineStr">
        <is>
          <t>Can pay 2 life instead of {U}</t>
        </is>
      </c>
      <c r="R735" t="n">
        <v>0.27</v>
      </c>
    </row>
    <row r="736" ht="15" customHeight="1" s="148">
      <c r="A736" t="inlineStr">
        <is>
          <t>c0735</t>
        </is>
      </c>
      <c r="B736" t="inlineStr">
        <is>
          <t>Thranduil's Decree</t>
        </is>
      </c>
      <c r="C736" t="n">
        <v>1</v>
      </c>
      <c r="E736" t="n">
        <v>0</v>
      </c>
      <c r="F736" t="n">
        <v>1</v>
      </c>
      <c r="G736" t="n">
        <v>0</v>
      </c>
      <c r="H736" t="inlineStr">
        <is>
          <t>U</t>
        </is>
      </c>
      <c r="I736" t="inlineStr">
        <is>
          <t>Instant</t>
        </is>
      </c>
      <c r="J736" t="inlineStr">
        <is>
          <t>B2</t>
        </is>
      </c>
      <c r="K736" t="n">
        <v>6</v>
      </c>
      <c r="L736" t="inlineStr">
        <is>
          <t>Counter target spell. If a permanent spell is countered this way, exile it instead of putting it into its owner's graveyard. You may cast that card without paying its mana cost for as long as it remains exiled.</t>
        </is>
      </c>
      <c r="M736" t="inlineStr">
        <is>
          <t>Interaction</t>
        </is>
      </c>
      <c r="N736" t="inlineStr">
        <is>
          <t>Counter target spell</t>
        </is>
      </c>
      <c r="O736" t="inlineStr">
        <is>
          <t>If a permanent spell is countered this way, exile it instead and you may cast it without paying its mana cost while it remains exiled</t>
        </is>
      </c>
      <c r="R736" t="n">
        <v>0.22</v>
      </c>
    </row>
    <row r="737" ht="15" customHeight="1" s="148">
      <c r="A737" t="inlineStr">
        <is>
          <t>c0736</t>
        </is>
      </c>
      <c r="B737" t="inlineStr">
        <is>
          <t>Thrummingbird</t>
        </is>
      </c>
      <c r="C737" t="n">
        <v>1</v>
      </c>
      <c r="E737" t="n">
        <v>1</v>
      </c>
      <c r="F737" t="n">
        <v>0</v>
      </c>
      <c r="G737" t="n">
        <v>1</v>
      </c>
      <c r="H737" t="inlineStr">
        <is>
          <t>U</t>
        </is>
      </c>
      <c r="I737" t="inlineStr">
        <is>
          <t>Creature</t>
        </is>
      </c>
      <c r="J737" t="inlineStr">
        <is>
          <t>B2</t>
        </is>
      </c>
      <c r="K737" t="n">
        <v>2</v>
      </c>
      <c r="L737" t="inlineStr">
        <is>
          <t>Flying
Whenever this creature deals combat damage to a player, proliferate. (Choose any number of permanents and/or players, then give each another counter of each kind already there.)
(1/1)</t>
        </is>
      </c>
      <c r="M737" t="inlineStr">
        <is>
          <t>Proliferate</t>
        </is>
      </c>
      <c r="N737" t="inlineStr">
        <is>
          <t>Proliferate when it deals combat damage to a player</t>
        </is>
      </c>
      <c r="O737" t="inlineStr">
        <is>
          <t>Flying body</t>
        </is>
      </c>
      <c r="R737" t="n">
        <v>0.21</v>
      </c>
    </row>
    <row r="738" ht="15" customHeight="1" s="148">
      <c r="A738" t="inlineStr">
        <is>
          <t>c0737</t>
        </is>
      </c>
      <c r="B738" t="inlineStr">
        <is>
          <t>Uneasy Partings</t>
        </is>
      </c>
      <c r="C738" t="n">
        <v>2</v>
      </c>
      <c r="E738" t="n">
        <v>0</v>
      </c>
      <c r="F738" t="n">
        <v>2</v>
      </c>
      <c r="G738" t="n">
        <v>0</v>
      </c>
      <c r="H738" t="inlineStr">
        <is>
          <t>U</t>
        </is>
      </c>
      <c r="I738" t="inlineStr">
        <is>
          <t>Instant</t>
        </is>
      </c>
      <c r="J738" t="inlineStr">
        <is>
          <t>B2</t>
        </is>
      </c>
      <c r="K738" t="n">
        <v>4</v>
      </c>
      <c r="L738" t="inlineStr">
        <is>
          <t>This spell costs {1} less to cast if it targets an attacking nontoken creature.
Target creature's owner puts it on their choice of the top or bottom of their library.</t>
        </is>
      </c>
      <c r="M738" t="inlineStr">
        <is>
          <t>Removal</t>
        </is>
      </c>
      <c r="N738" t="inlineStr">
        <is>
          <t>Target creature's owner puts it on the top or bottom of their library</t>
        </is>
      </c>
      <c r="O738" t="inlineStr">
        <is>
          <t>Costs {1} less to cast if it targets an attacking nontoken creature</t>
        </is>
      </c>
      <c r="R738" t="n">
        <v>0.14</v>
      </c>
    </row>
    <row r="739" ht="15" customHeight="1" s="148">
      <c r="A739" t="inlineStr">
        <is>
          <t>c0738</t>
        </is>
      </c>
      <c r="B739" t="inlineStr">
        <is>
          <t>Unexpected Assistance</t>
        </is>
      </c>
      <c r="C739" t="n">
        <v>2</v>
      </c>
      <c r="E739" t="n">
        <v>1</v>
      </c>
      <c r="F739" t="n">
        <v>1</v>
      </c>
      <c r="G739" t="n">
        <v>0</v>
      </c>
      <c r="H739" t="inlineStr">
        <is>
          <t>U</t>
        </is>
      </c>
      <c r="I739" t="inlineStr">
        <is>
          <t>Instant</t>
        </is>
      </c>
      <c r="J739" t="inlineStr">
        <is>
          <t>B2</t>
        </is>
      </c>
      <c r="K739" t="n">
        <v>5</v>
      </c>
      <c r="L739" t="inlineStr">
        <is>
          <t>Convoke (Your creatures can help cast this spell. Each creature you tap while casting this spell pays for {1} or one mana of that creature's color.)
Draw three cards, then discard a card.</t>
        </is>
      </c>
      <c r="M739" t="inlineStr">
        <is>
          <t>Card Draw</t>
        </is>
      </c>
      <c r="N739" t="inlineStr">
        <is>
          <t>Tapping your creatures can help pay its cost</t>
        </is>
      </c>
      <c r="O739" t="inlineStr">
        <is>
          <t>Draw three cards, then discard a card</t>
        </is>
      </c>
      <c r="R739" t="n">
        <v>0.22</v>
      </c>
    </row>
    <row r="740" ht="15" customHeight="1" s="148">
      <c r="A740" t="inlineStr">
        <is>
          <t>c0739</t>
        </is>
      </c>
      <c r="B740" t="inlineStr">
        <is>
          <t>Unwelcome Sprite</t>
        </is>
      </c>
      <c r="C740" t="n">
        <v>1</v>
      </c>
      <c r="E740" t="n">
        <v>1</v>
      </c>
      <c r="F740" t="n">
        <v>0</v>
      </c>
      <c r="G740" t="n">
        <v>0</v>
      </c>
      <c r="H740" t="inlineStr">
        <is>
          <t>U</t>
        </is>
      </c>
      <c r="I740" t="inlineStr">
        <is>
          <t>Creature</t>
        </is>
      </c>
      <c r="J740" t="inlineStr">
        <is>
          <t>B2</t>
        </is>
      </c>
      <c r="K740" t="n">
        <v>2</v>
      </c>
      <c r="L740" t="inlineStr">
        <is>
          <t>Flying
Whenever you cast a spell during an opponent's turn, surveil 2. (Look at the top two cards of your library. You may put any number of them into your graveyard and the rest on top of your library in any order.)
(2/1)</t>
        </is>
      </c>
      <c r="M740" t="inlineStr">
        <is>
          <t>Card Selection</t>
        </is>
      </c>
      <c r="N740" t="inlineStr">
        <is>
          <t>Surveils 2 whenever you cast a spell during an opponent's turn</t>
        </is>
      </c>
      <c r="R740" t="n">
        <v>0.24</v>
      </c>
    </row>
    <row r="741" ht="15" customHeight="1" s="148">
      <c r="A741" t="inlineStr">
        <is>
          <t>c0740</t>
        </is>
      </c>
      <c r="B741" t="inlineStr">
        <is>
          <t>Viral Drake</t>
        </is>
      </c>
      <c r="C741" t="n">
        <v>2</v>
      </c>
      <c r="E741" t="n">
        <v>1</v>
      </c>
      <c r="F741" t="n">
        <v>1</v>
      </c>
      <c r="G741" t="n">
        <v>1</v>
      </c>
      <c r="H741" t="inlineStr">
        <is>
          <t>U</t>
        </is>
      </c>
      <c r="I741" t="inlineStr">
        <is>
          <t>Creature</t>
        </is>
      </c>
      <c r="J741" t="inlineStr">
        <is>
          <t>B2</t>
        </is>
      </c>
      <c r="K741" t="n">
        <v>4</v>
      </c>
      <c r="L741" t="inlineStr">
        <is>
          <t>Flying
Infect (This creature deals damage to creatures in the form of -1/-1 counters and to players in the form of poison counters.)
{3}{U}: Proliferate. (Choose any number of permanents and/or players, then give each another counter of each kind already there.)
(1/4)</t>
        </is>
      </c>
      <c r="M741" t="inlineStr">
        <is>
          <t>Proliferate</t>
        </is>
      </c>
      <c r="N741" t="inlineStr">
        <is>
          <t>Deals damage as -1/-1 counters to creatures, poison counters to players</t>
        </is>
      </c>
      <c r="O741" t="inlineStr">
        <is>
          <t>{3}{U}: Proliferate</t>
        </is>
      </c>
      <c r="P741" t="inlineStr">
        <is>
          <t>Flying body</t>
        </is>
      </c>
      <c r="R741" t="n">
        <v>1.94</v>
      </c>
    </row>
    <row r="742" ht="15" customHeight="1" s="148">
      <c r="A742" t="inlineStr">
        <is>
          <t>c0741</t>
        </is>
      </c>
      <c r="B742" t="inlineStr">
        <is>
          <t>Wanderwine Distracter</t>
        </is>
      </c>
      <c r="C742" t="n">
        <v>1</v>
      </c>
      <c r="E742" t="n">
        <v>0</v>
      </c>
      <c r="F742" t="n">
        <v>1</v>
      </c>
      <c r="G742" t="n">
        <v>0</v>
      </c>
      <c r="H742" t="inlineStr">
        <is>
          <t>U</t>
        </is>
      </c>
      <c r="I742" t="inlineStr">
        <is>
          <t>Creature</t>
        </is>
      </c>
      <c r="J742" t="inlineStr">
        <is>
          <t>B2</t>
        </is>
      </c>
      <c r="K742" t="n">
        <v>4</v>
      </c>
      <c r="L742" t="inlineStr">
        <is>
          <t>Whenever this creature becomes tapped, target creature an opponent controls gets -3/-0 until end of turn.
(4/3)</t>
        </is>
      </c>
      <c r="M742" t="inlineStr">
        <is>
          <t>Removal</t>
        </is>
      </c>
      <c r="N742" t="inlineStr">
        <is>
          <t>Target opponent creature gets -3/-0 until end of turn whenever this becomes tapped</t>
        </is>
      </c>
      <c r="R742" t="n">
        <v>0.08</v>
      </c>
    </row>
    <row r="743" ht="15" customHeight="1" s="148">
      <c r="A743" t="inlineStr">
        <is>
          <t>c0742</t>
        </is>
      </c>
      <c r="B743" t="inlineStr">
        <is>
          <t>An Unexpected Party // At the Door</t>
        </is>
      </c>
      <c r="C743" t="n">
        <v>1</v>
      </c>
      <c r="E743" t="n">
        <v>0</v>
      </c>
      <c r="F743" t="n">
        <v>1</v>
      </c>
      <c r="G743" t="n">
        <v>0</v>
      </c>
      <c r="H743" t="inlineStr">
        <is>
          <t>W</t>
        </is>
      </c>
      <c r="I743" t="inlineStr">
        <is>
          <t>Enchantment</t>
        </is>
      </c>
      <c r="J743" t="inlineStr">
        <is>
          <t>B2</t>
        </is>
      </c>
      <c r="K743" t="n">
        <v>4</v>
      </c>
      <c r="L743" t="inlineStr">
        <is>
          <t>An Unexpected Party {2}{W}{W} — Enchantment
As this enchantment enters, choose a creature type.
Creatures you control of the chosen type get +2/+2.
//
At the Door {X}{2}{W} — Sorcery — Adventure
Create X 2/2 red Dwarf creature tokens. (Then exile this card. You may cast the enchantment later from exile.)</t>
        </is>
      </c>
      <c r="M743" t="inlineStr">
        <is>
          <t>Lord/Anthem</t>
        </is>
      </c>
      <c r="N743" t="inlineStr">
        <is>
          <t>Creatures you control of the creature type chosen as it entered get +2/+2</t>
        </is>
      </c>
      <c r="O743" t="inlineStr">
        <is>
          <t>At the Door {X}{2}{W} — Adventure: create X 2/2 Dwarf tokens, then cast the enchantment later from exile</t>
        </is>
      </c>
      <c r="R743" t="n">
        <v>0.31</v>
      </c>
    </row>
    <row r="744" ht="15" customHeight="1" s="148">
      <c r="A744" t="inlineStr">
        <is>
          <t>c0743</t>
        </is>
      </c>
      <c r="B744" t="inlineStr">
        <is>
          <t>Angel of Indemnity</t>
        </is>
      </c>
      <c r="C744" t="n">
        <v>1</v>
      </c>
      <c r="E744" t="n">
        <v>1</v>
      </c>
      <c r="F744" t="n">
        <v>0</v>
      </c>
      <c r="G744" t="n">
        <v>1</v>
      </c>
      <c r="H744" t="inlineStr">
        <is>
          <t>W</t>
        </is>
      </c>
      <c r="I744" t="inlineStr">
        <is>
          <t>Creature</t>
        </is>
      </c>
      <c r="J744" t="inlineStr">
        <is>
          <t>B2</t>
        </is>
      </c>
      <c r="K744" t="n">
        <v>6</v>
      </c>
      <c r="L744" t="inlineStr">
        <is>
          <t>Flying, lifelink
When this creature enters, return target permanent card with mana value 4 or less from your graveyard to the battlefield.
Encore {6}{W}{W} ({6}{W}{W}, Exile this card from your graveyard: For each opponent, create a token copy that attacks that opponent this turn if able. They gain haste. Sacrifice them at the beginning of the next end step. Activate only as a sorcery.)
(5/5)</t>
        </is>
      </c>
      <c r="M744" t="inlineStr">
        <is>
          <t>Recursion</t>
        </is>
      </c>
      <c r="N744" t="inlineStr">
        <is>
          <t>Returns a permanent card MV 4 or less from graveyard when it enters</t>
        </is>
      </c>
      <c r="O744" t="inlineStr">
        <is>
          <t>Encore: exile from graveyard to make attacking token copies for each opponent</t>
        </is>
      </c>
      <c r="P744" t="inlineStr">
        <is>
          <t>Flying lifelink body</t>
        </is>
      </c>
      <c r="R744" t="n">
        <v>0.38</v>
      </c>
    </row>
    <row r="745" ht="15" customHeight="1" s="148">
      <c r="A745" t="inlineStr">
        <is>
          <t>c0744</t>
        </is>
      </c>
      <c r="B745" t="inlineStr">
        <is>
          <t>Anointed Procession</t>
        </is>
      </c>
      <c r="C745" t="n">
        <v>0</v>
      </c>
      <c r="E745" t="n">
        <v>0</v>
      </c>
      <c r="F745" t="n">
        <v>0</v>
      </c>
      <c r="G745" t="n">
        <v>0</v>
      </c>
      <c r="H745" t="inlineStr">
        <is>
          <t>W</t>
        </is>
      </c>
      <c r="I745" t="inlineStr">
        <is>
          <t>Enchantment</t>
        </is>
      </c>
      <c r="J745" t="inlineStr">
        <is>
          <t>B3</t>
        </is>
      </c>
      <c r="K745" t="n">
        <v>4</v>
      </c>
      <c r="L745" t="inlineStr">
        <is>
          <t>If an effect would create one or more tokens under your control, it creates twice that many of those tokens instead.</t>
        </is>
      </c>
      <c r="M745" t="inlineStr">
        <is>
          <t>Token Producer</t>
        </is>
      </c>
      <c r="N745" t="inlineStr">
        <is>
          <t>If an effect would create one or more tokens under your control, it creates twice that many of those tokens instead.</t>
        </is>
      </c>
      <c r="R745" t="n">
        <v>59.34</v>
      </c>
    </row>
    <row r="746" ht="15" customHeight="1" s="148">
      <c r="A746" t="inlineStr">
        <is>
          <t>c0745</t>
        </is>
      </c>
      <c r="B746" t="inlineStr">
        <is>
          <t>Anointer Priest</t>
        </is>
      </c>
      <c r="C746" t="n">
        <v>1</v>
      </c>
      <c r="E746" t="n">
        <v>1</v>
      </c>
      <c r="F746" t="n">
        <v>0</v>
      </c>
      <c r="G746" t="n">
        <v>0</v>
      </c>
      <c r="H746" t="inlineStr">
        <is>
          <t>W</t>
        </is>
      </c>
      <c r="I746" t="inlineStr">
        <is>
          <t>Creature</t>
        </is>
      </c>
      <c r="J746" t="inlineStr">
        <is>
          <t>B2</t>
        </is>
      </c>
      <c r="K746" t="n">
        <v>2</v>
      </c>
      <c r="L746" t="inlineStr">
        <is>
          <t>Whenever a creature token you control enters, you gain 1 life.
Embalm {3}{W} ({3}{W}, Exile this card from your graveyard: Create a token that's a copy of it, except it's a white Zombie Human Cleric with no mana cost. Embalm only as a sorcery.)
(1/3)</t>
        </is>
      </c>
      <c r="M746" t="inlineStr">
        <is>
          <t>Lifegain</t>
        </is>
      </c>
      <c r="N746" t="inlineStr">
        <is>
          <t>Gains 1 life whenever a creature token you control enters</t>
        </is>
      </c>
      <c r="O746" t="inlineStr">
        <is>
          <t>Embalm {3}{W}: exile from graveyard to make a token copy of itself</t>
        </is>
      </c>
      <c r="R746" t="n">
        <v>0.17</v>
      </c>
    </row>
    <row r="747" ht="15" customHeight="1" s="148">
      <c r="A747" t="inlineStr">
        <is>
          <t>c0746</t>
        </is>
      </c>
      <c r="B747" t="inlineStr">
        <is>
          <t>Ao, the Dawn Sky</t>
        </is>
      </c>
      <c r="C747" t="n">
        <v>1</v>
      </c>
      <c r="E747" t="n">
        <v>0</v>
      </c>
      <c r="F747" t="n">
        <v>1</v>
      </c>
      <c r="G747" t="n">
        <v>0</v>
      </c>
      <c r="H747" t="inlineStr">
        <is>
          <t>W</t>
        </is>
      </c>
      <c r="I747" t="inlineStr">
        <is>
          <t>Legendary Creature</t>
        </is>
      </c>
      <c r="J747" t="inlineStr">
        <is>
          <t>B2</t>
        </is>
      </c>
      <c r="K747" t="n">
        <v>5</v>
      </c>
      <c r="L747" t="inlineStr">
        <is>
          <t>Flying, vigilance
When Ao dies, choose one —
• Look at the top seven cards of your library. Put any number of nonland permanent cards with total mana value 4 or less from among them onto the battlefield. Put the rest on the bottom of your library in a random order.
• Put two +1/+1 counters on each permanent you control that's a creature or Vehicle.
(5/4)</t>
        </is>
      </c>
      <c r="M747" t="inlineStr">
        <is>
          <t>Value Engine</t>
        </is>
      </c>
      <c r="N747" t="inlineStr">
        <is>
          <t>When it dies, puts nonland permanents totaling mana value 4 or less from top 7 onto the battlefield</t>
        </is>
      </c>
      <c r="O747" t="inlineStr">
        <is>
          <t>Or puts two +1/+1 counters on each creature and Vehicle you control</t>
        </is>
      </c>
      <c r="R747" t="n">
        <v>0.31</v>
      </c>
    </row>
    <row r="748" ht="15" customHeight="1" s="148">
      <c r="A748" t="inlineStr">
        <is>
          <t>c0747</t>
        </is>
      </c>
      <c r="B748" t="inlineStr">
        <is>
          <t>Appeal to Eirdu</t>
        </is>
      </c>
      <c r="C748" t="n">
        <v>1</v>
      </c>
      <c r="E748" t="n">
        <v>0</v>
      </c>
      <c r="F748" t="n">
        <v>1</v>
      </c>
      <c r="G748" t="n">
        <v>0</v>
      </c>
      <c r="H748" t="inlineStr">
        <is>
          <t>W</t>
        </is>
      </c>
      <c r="I748" t="inlineStr">
        <is>
          <t>Instant</t>
        </is>
      </c>
      <c r="J748" t="inlineStr">
        <is>
          <t>B2</t>
        </is>
      </c>
      <c r="K748" t="n">
        <v>4</v>
      </c>
      <c r="L748" t="inlineStr">
        <is>
          <t>Convoke (Your creatures can help cast this spell. Each creature you tap while casting this spell pays for {1} or one mana of that creature's color.)
One or two target creatures each get +2/+1 until end of turn.</t>
        </is>
      </c>
      <c r="M748" t="inlineStr">
        <is>
          <t>Combat Trick</t>
        </is>
      </c>
      <c r="N748" t="inlineStr">
        <is>
          <t>One or two target creatures each get +2/+1 until end of turn</t>
        </is>
      </c>
      <c r="O748" t="inlineStr">
        <is>
          <t>Convoke — tap creatures you control to help pay for it</t>
        </is>
      </c>
      <c r="R748" t="n">
        <v>0.11</v>
      </c>
    </row>
    <row r="749" ht="15" customHeight="1" s="148">
      <c r="A749" t="inlineStr">
        <is>
          <t>c0748</t>
        </is>
      </c>
      <c r="B749" t="inlineStr">
        <is>
          <t>Approach of the Second Sun</t>
        </is>
      </c>
      <c r="C749" t="n">
        <v>0</v>
      </c>
      <c r="E749" t="n">
        <v>0</v>
      </c>
      <c r="F749" t="n">
        <v>0</v>
      </c>
      <c r="G749" t="n">
        <v>0</v>
      </c>
      <c r="H749" t="inlineStr">
        <is>
          <t>W</t>
        </is>
      </c>
      <c r="I749" t="inlineStr">
        <is>
          <t>Sorcery</t>
        </is>
      </c>
      <c r="J749" t="inlineStr">
        <is>
          <t>B3</t>
        </is>
      </c>
      <c r="K749" t="n">
        <v>7</v>
      </c>
      <c r="L749" t="inlineStr">
        <is>
          <t>If this spell was cast from your hand and you've cast another spell named Approach of the Second Sun this game, you win the game. Otherwise, put Approach of the Second Sun into its owner's library seventh from the top and you gain 7 life.</t>
        </is>
      </c>
      <c r="M749" t="inlineStr">
        <is>
          <t>Finisher</t>
        </is>
      </c>
      <c r="N749" t="inlineStr">
        <is>
          <t>If this spell was cast from your hand and you've cast another spell named Approach of the Second Sun this game, you win the game. Otherwise, put Approach of the Second Sun into its owner's library seventh from the top and you gain 7 life.</t>
        </is>
      </c>
      <c r="R749" t="n">
        <v>6.66</v>
      </c>
    </row>
    <row r="750" ht="15" customHeight="1" s="148">
      <c r="A750" t="inlineStr">
        <is>
          <t>c0749</t>
        </is>
      </c>
      <c r="B750" t="inlineStr">
        <is>
          <t>Archaeomancer's Map</t>
        </is>
      </c>
      <c r="C750" t="n">
        <v>1</v>
      </c>
      <c r="E750" t="n">
        <v>1</v>
      </c>
      <c r="F750" t="n">
        <v>0</v>
      </c>
      <c r="G750" t="n">
        <v>1</v>
      </c>
      <c r="H750" t="inlineStr">
        <is>
          <t>W</t>
        </is>
      </c>
      <c r="I750" t="inlineStr">
        <is>
          <t>Artifact</t>
        </is>
      </c>
      <c r="J750" t="inlineStr">
        <is>
          <t>B2</t>
        </is>
      </c>
      <c r="K750" t="n">
        <v>3</v>
      </c>
      <c r="L750" t="inlineStr">
        <is>
          <t>When this artifact enters, search your library for up to two basic Plains cards, reveal them, put them into your hand, then shuffle.
Whenever a land an opponent controls enters, if that player controls more lands than you, you may put a land card from your hand onto the battlefield.</t>
        </is>
      </c>
      <c r="M750" t="inlineStr">
        <is>
          <t>Ramp</t>
        </is>
      </c>
      <c r="N750" t="inlineStr">
        <is>
          <t>Enters: search for up to two basic Plains, put them into hand</t>
        </is>
      </c>
      <c r="O750" t="inlineStr">
        <is>
          <t>An opponent with more lands playing a land lets you put a land from hand onto the battlefield</t>
        </is>
      </c>
      <c r="R750" t="n">
        <v>1.18</v>
      </c>
    </row>
    <row r="751" ht="15" customHeight="1" s="148">
      <c r="A751" t="inlineStr">
        <is>
          <t>c0750</t>
        </is>
      </c>
      <c r="B751" t="inlineStr">
        <is>
          <t>Ascendant Dustspeaker</t>
        </is>
      </c>
      <c r="C751" t="n">
        <v>1</v>
      </c>
      <c r="E751" t="n">
        <v>0</v>
      </c>
      <c r="F751" t="n">
        <v>1</v>
      </c>
      <c r="G751" t="n">
        <v>0</v>
      </c>
      <c r="H751" t="inlineStr">
        <is>
          <t>W</t>
        </is>
      </c>
      <c r="I751" t="inlineStr">
        <is>
          <t>Creature</t>
        </is>
      </c>
      <c r="J751" t="inlineStr">
        <is>
          <t>B2</t>
        </is>
      </c>
      <c r="K751" t="n">
        <v>5</v>
      </c>
      <c r="L751" t="inlineStr">
        <is>
          <t>Flying
When this creature enters, put a +1/+1 counter on another target creature you control.
At the beginning of combat on your turn, exile up to one target card from a graveyard.
(3/4)</t>
        </is>
      </c>
      <c r="M751" t="inlineStr">
        <is>
          <t>Graveyard Hate</t>
        </is>
      </c>
      <c r="N751" t="inlineStr">
        <is>
          <t>At the beginning of combat on your turn, exile up to one target card from a graveyard</t>
        </is>
      </c>
      <c r="O751" t="inlineStr">
        <is>
          <t>Enters: put a +1/+1 counter on another target creature you control</t>
        </is>
      </c>
      <c r="P751" t="inlineStr">
        <is>
          <t>3/4 flying body</t>
        </is>
      </c>
      <c r="R751" t="n">
        <v>0.08</v>
      </c>
    </row>
    <row r="752" ht="15" customHeight="1" s="148">
      <c r="A752" t="inlineStr">
        <is>
          <t>c0751</t>
        </is>
      </c>
      <c r="B752" t="inlineStr">
        <is>
          <t>Augusta, Order Returned</t>
        </is>
      </c>
      <c r="C752" t="n">
        <v>1</v>
      </c>
      <c r="E752" t="n">
        <v>0</v>
      </c>
      <c r="F752" t="n">
        <v>1</v>
      </c>
      <c r="G752" t="n">
        <v>0</v>
      </c>
      <c r="H752" t="inlineStr">
        <is>
          <t>W</t>
        </is>
      </c>
      <c r="I752" t="inlineStr">
        <is>
          <t>Legendary Creature</t>
        </is>
      </c>
      <c r="J752" t="inlineStr">
        <is>
          <t>B2</t>
        </is>
      </c>
      <c r="K752" t="n">
        <v>3</v>
      </c>
      <c r="L752" t="inlineStr">
        <is>
          <t>Flying, vigilance
Whenever Augusta attacks, each player exiles a card from their graveyard. When one or more nonland cards are exiled this way, put that many +1/+1 counters on target attacking creature.
(1/3)</t>
        </is>
      </c>
      <c r="M752" t="inlineStr">
        <is>
          <t>Graveyard Hate</t>
        </is>
      </c>
      <c r="N752" t="inlineStr">
        <is>
          <t>Flying body that also stays untapped when attacking</t>
        </is>
      </c>
      <c r="O752" t="inlineStr">
        <is>
          <t>Attacking makes each player exile a card from their graveyard</t>
        </is>
      </c>
      <c r="P752" t="inlineStr">
        <is>
          <t>Puts a +1/+1 counter on an attacker for each nonland card exiled this way</t>
        </is>
      </c>
      <c r="R752" t="n">
        <v>0.2</v>
      </c>
    </row>
    <row r="753" ht="15" customHeight="1" s="148">
      <c r="A753" t="inlineStr">
        <is>
          <t>c0752</t>
        </is>
      </c>
      <c r="B753" t="inlineStr">
        <is>
          <t>Austere Command</t>
        </is>
      </c>
      <c r="C753" t="n">
        <v>0</v>
      </c>
      <c r="D753" t="n">
        <v>2</v>
      </c>
      <c r="E753" t="n">
        <v>0</v>
      </c>
      <c r="F753" t="n">
        <v>0</v>
      </c>
      <c r="G753" t="n">
        <v>2</v>
      </c>
      <c r="H753" t="inlineStr">
        <is>
          <t>W</t>
        </is>
      </c>
      <c r="I753" t="inlineStr">
        <is>
          <t>Sorcery</t>
        </is>
      </c>
      <c r="J753" t="inlineStr">
        <is>
          <t>B3</t>
        </is>
      </c>
      <c r="K753" t="n">
        <v>6</v>
      </c>
      <c r="L753" t="inlineStr">
        <is>
          <t>Choose two —
• Destroy all artifacts.
• Destroy all enchantments.
• Destroy all creatures with mana value 3 or less.
• Destroy all creatures with mana value 4 or greater.</t>
        </is>
      </c>
      <c r="M753" t="inlineStr">
        <is>
          <t>Board Wipe</t>
        </is>
      </c>
      <c r="N753" t="inlineStr">
        <is>
          <t>Choose two — Destroy all artifacts; or Destroy all enchantments; or Destroy all creatures with mana value 3 or less; or Destroy all creatures with mana value 4 or greater</t>
        </is>
      </c>
      <c r="R753" t="n">
        <v>0.36</v>
      </c>
    </row>
    <row r="754" ht="15" customHeight="1" s="148">
      <c r="A754" t="inlineStr">
        <is>
          <t>c0753</t>
        </is>
      </c>
      <c r="B754" t="inlineStr">
        <is>
          <t>Bofur, Reliable Guardian</t>
        </is>
      </c>
      <c r="C754" t="n">
        <v>1</v>
      </c>
      <c r="E754" t="n">
        <v>1</v>
      </c>
      <c r="F754" t="n">
        <v>0</v>
      </c>
      <c r="G754" t="n">
        <v>1</v>
      </c>
      <c r="H754" t="inlineStr">
        <is>
          <t>W</t>
        </is>
      </c>
      <c r="I754" t="inlineStr">
        <is>
          <t>Legendary Creature</t>
        </is>
      </c>
      <c r="J754" t="inlineStr">
        <is>
          <t>B2</t>
        </is>
      </c>
      <c r="K754" t="n">
        <v>1</v>
      </c>
      <c r="L754" t="inlineStr">
        <is>
          <t>Bofur, Reliable Guardian {W} — Legendary Creature — Dwarf Scout (1/1)
Lifelink
//
Concerted Care {1}{W} — Instant — Adventure
Target artifact or creature you control gains hexproof and indestructible until end of turn. (Then exile this card. You may cast the creature later from exile.)</t>
        </is>
      </c>
      <c r="M754" t="inlineStr">
        <is>
          <t>Protection</t>
        </is>
      </c>
      <c r="N754" t="inlineStr">
        <is>
          <t>Lifelink</t>
        </is>
      </c>
      <c r="O754" t="inlineStr">
        <is>
          <t>Back face Concerted Care {1}{W}: target artifact or creature you control gains hexproof and indestructible until end of turn</t>
        </is>
      </c>
      <c r="R754" t="n">
        <v>0.24</v>
      </c>
    </row>
    <row r="755" ht="15" customHeight="1" s="148">
      <c r="A755" t="inlineStr">
        <is>
          <t>c0754</t>
        </is>
      </c>
      <c r="B755" t="inlineStr">
        <is>
          <t>Bronze Guardian</t>
        </is>
      </c>
      <c r="C755" t="n">
        <v>1</v>
      </c>
      <c r="E755" t="n">
        <v>0</v>
      </c>
      <c r="F755" t="n">
        <v>1</v>
      </c>
      <c r="G755" t="n">
        <v>0</v>
      </c>
      <c r="H755" t="inlineStr">
        <is>
          <t>W</t>
        </is>
      </c>
      <c r="I755" t="inlineStr">
        <is>
          <t>Artifact Creature</t>
        </is>
      </c>
      <c r="J755" t="inlineStr">
        <is>
          <t>B2</t>
        </is>
      </c>
      <c r="K755" t="n">
        <v>5</v>
      </c>
      <c r="L755" t="inlineStr">
        <is>
          <t>Double strike
Ward {2} (Whenever this creature becomes the target of a spell or ability an opponent controls, counter it unless that player pays {2}.)
Other artifacts you control have ward {2}.
Bronze Guardian's power is equal to the number of artifacts you control.
(*/5)</t>
        </is>
      </c>
      <c r="M755" t="inlineStr">
        <is>
          <t>Protection</t>
        </is>
      </c>
      <c r="N755" t="inlineStr">
        <is>
          <t>Its power equals the number of artifacts you control</t>
        </is>
      </c>
      <c r="O755" t="inlineStr">
        <is>
          <t>Other artifacts you control can't be targeted by opponents without them paying {2}</t>
        </is>
      </c>
      <c r="P755" t="inlineStr">
        <is>
          <t>Deals combat damage twice each combat</t>
        </is>
      </c>
      <c r="R755" t="n">
        <v>1.36</v>
      </c>
    </row>
    <row r="756" ht="15" customHeight="1" s="148">
      <c r="A756" t="inlineStr">
        <is>
          <t>c0755</t>
        </is>
      </c>
      <c r="B756" t="inlineStr">
        <is>
          <t>Brought Back</t>
        </is>
      </c>
      <c r="C756" t="n">
        <v>0</v>
      </c>
      <c r="E756" t="n">
        <v>0</v>
      </c>
      <c r="F756" t="n">
        <v>0</v>
      </c>
      <c r="G756" t="n">
        <v>0</v>
      </c>
      <c r="H756" t="inlineStr">
        <is>
          <t>W</t>
        </is>
      </c>
      <c r="I756" t="inlineStr">
        <is>
          <t>Instant</t>
        </is>
      </c>
      <c r="J756" t="inlineStr">
        <is>
          <t>B3</t>
        </is>
      </c>
      <c r="K756" t="n">
        <v>2</v>
      </c>
      <c r="L756" t="inlineStr">
        <is>
          <t>Choose up to two target permanent cards in your graveyard that were put there from the battlefield this turn. Return them to the battlefield tapped.</t>
        </is>
      </c>
      <c r="M756" t="inlineStr">
        <is>
          <t>Recursion</t>
        </is>
      </c>
      <c r="N756" t="inlineStr">
        <is>
          <t>Choose up to two target permanent cards in your graveyard that were put there from the battlefield this turn. Return the</t>
        </is>
      </c>
      <c r="R756" t="n">
        <v>1.55</v>
      </c>
    </row>
    <row r="757" ht="15" customHeight="1" s="148">
      <c r="A757" t="inlineStr">
        <is>
          <t>c0756</t>
        </is>
      </c>
      <c r="B757" t="inlineStr">
        <is>
          <t>Burdened Stoneback</t>
        </is>
      </c>
      <c r="C757" t="n">
        <v>2</v>
      </c>
      <c r="E757" t="n">
        <v>0</v>
      </c>
      <c r="F757" t="n">
        <v>2</v>
      </c>
      <c r="G757" t="n">
        <v>0</v>
      </c>
      <c r="H757" t="inlineStr">
        <is>
          <t>W</t>
        </is>
      </c>
      <c r="I757" t="inlineStr">
        <is>
          <t>Creature</t>
        </is>
      </c>
      <c r="J757" t="inlineStr">
        <is>
          <t>B2</t>
        </is>
      </c>
      <c r="K757" t="n">
        <v>2</v>
      </c>
      <c r="L757" t="inlineStr">
        <is>
          <t>This creature enters with two -1/-1 counters on it.
{1}{W}, Remove a counter from this creature: Target creature gains indestructible until end of turn. Activate only as a sorcery. (Damage and effects that say "destroy" don't destroy it. If its toughness is 0 or less, it still dies.)
(4/4)</t>
        </is>
      </c>
      <c r="M757" t="inlineStr">
        <is>
          <t>Protection</t>
        </is>
      </c>
      <c r="N757" t="inlineStr">
        <is>
          <t>Enters with two -1/-1 counters on itself</t>
        </is>
      </c>
      <c r="O757" t="inlineStr">
        <is>
          <t>Remove a counter: give target creature indestructible until end of turn</t>
        </is>
      </c>
      <c r="R757" t="n">
        <v>0.16</v>
      </c>
    </row>
    <row r="758" ht="15" customHeight="1" s="148">
      <c r="A758" t="inlineStr">
        <is>
          <t>c0757</t>
        </is>
      </c>
      <c r="B758" t="inlineStr">
        <is>
          <t>Cast Out</t>
        </is>
      </c>
      <c r="C758" t="n">
        <v>3</v>
      </c>
      <c r="E758" t="n">
        <v>2</v>
      </c>
      <c r="F758" t="n">
        <v>1</v>
      </c>
      <c r="G758" t="n">
        <v>2</v>
      </c>
      <c r="H758" t="inlineStr">
        <is>
          <t>W</t>
        </is>
      </c>
      <c r="I758" t="inlineStr">
        <is>
          <t>Enchantment</t>
        </is>
      </c>
      <c r="J758" t="inlineStr">
        <is>
          <t>B2</t>
        </is>
      </c>
      <c r="K758" t="n">
        <v>4</v>
      </c>
      <c r="L758" t="inlineStr">
        <is>
          <t>Flash
When this enchantment enters, exile target nonland permanent an opponent controls until this enchantment leaves the battlefield.
Cycling {W} ({W}, Discard this card: Draw a card.)</t>
        </is>
      </c>
      <c r="M758" t="inlineStr">
        <is>
          <t>Removal</t>
        </is>
      </c>
      <c r="N758" t="inlineStr">
        <is>
          <t>Can be cast at instant speed</t>
        </is>
      </c>
      <c r="O758" t="inlineStr">
        <is>
          <t>Enters: exiles target nonland permanent an opponent controls until this leaves</t>
        </is>
      </c>
      <c r="P758" t="inlineStr">
        <is>
          <t>Discard for {W} to draw a card instead of casting</t>
        </is>
      </c>
      <c r="R758" t="n">
        <v>0.27</v>
      </c>
    </row>
    <row r="759" ht="15" customHeight="1" s="148">
      <c r="A759" t="inlineStr">
        <is>
          <t>c0758</t>
        </is>
      </c>
      <c r="B759" t="inlineStr">
        <is>
          <t>Cathar Commando</t>
        </is>
      </c>
      <c r="C759" t="n">
        <v>1</v>
      </c>
      <c r="E759" t="n">
        <v>0</v>
      </c>
      <c r="F759" t="n">
        <v>1</v>
      </c>
      <c r="G759" t="n">
        <v>0</v>
      </c>
      <c r="H759" t="inlineStr">
        <is>
          <t>W</t>
        </is>
      </c>
      <c r="I759" t="inlineStr">
        <is>
          <t>Creature</t>
        </is>
      </c>
      <c r="J759" t="inlineStr">
        <is>
          <t>B2</t>
        </is>
      </c>
      <c r="K759" t="n">
        <v>2</v>
      </c>
      <c r="L759" t="inlineStr">
        <is>
          <t>Flash
{1}, Sacrifice this creature: Destroy target artifact or enchantment.
(3/1)</t>
        </is>
      </c>
      <c r="M759" t="inlineStr">
        <is>
          <t>Artifact/Enchantment Removal</t>
        </is>
      </c>
      <c r="N759" t="inlineStr">
        <is>
          <t>Sacrifice this creature to destroy target artifact or enchantment</t>
        </is>
      </c>
      <c r="R759" t="n">
        <v>0.21</v>
      </c>
    </row>
    <row r="760" ht="15" customHeight="1" s="148">
      <c r="A760" t="inlineStr">
        <is>
          <t>c0759</t>
        </is>
      </c>
      <c r="B760" t="inlineStr">
        <is>
          <t>Ceaseless Conflict</t>
        </is>
      </c>
      <c r="C760" t="n">
        <v>1</v>
      </c>
      <c r="E760" t="n">
        <v>1</v>
      </c>
      <c r="F760" t="n">
        <v>0</v>
      </c>
      <c r="G760" t="n">
        <v>1</v>
      </c>
      <c r="H760" t="inlineStr">
        <is>
          <t>W</t>
        </is>
      </c>
      <c r="I760" t="inlineStr">
        <is>
          <t>Sorcery</t>
        </is>
      </c>
      <c r="J760" t="inlineStr">
        <is>
          <t>B2</t>
        </is>
      </c>
      <c r="K760" t="n">
        <v>5</v>
      </c>
      <c r="L760" t="inlineStr">
        <is>
          <t>Destroy all creatures. Then create a 3/2 red and white Spirit creature token for each nontoken creature you controlled that was destroyed this way.</t>
        </is>
      </c>
      <c r="M760" t="inlineStr">
        <is>
          <t>Board Wipe</t>
        </is>
      </c>
      <c r="N760" t="inlineStr">
        <is>
          <t>Destroys all creatures</t>
        </is>
      </c>
      <c r="O760" t="inlineStr">
        <is>
          <t>Creates a 3/2 Spirit token for each of your nontoken creatures destroyed this way</t>
        </is>
      </c>
      <c r="R760" t="n">
        <v>0.3</v>
      </c>
    </row>
    <row r="761" ht="15" customHeight="1" s="148">
      <c r="A761" t="inlineStr">
        <is>
          <t>c0760</t>
        </is>
      </c>
      <c r="B761" t="inlineStr">
        <is>
          <t>Charming Prince</t>
        </is>
      </c>
      <c r="C761" t="n">
        <v>1</v>
      </c>
      <c r="E761" t="n">
        <v>1</v>
      </c>
      <c r="F761" t="n">
        <v>0</v>
      </c>
      <c r="G761" t="n">
        <v>1</v>
      </c>
      <c r="H761" t="inlineStr">
        <is>
          <t>W</t>
        </is>
      </c>
      <c r="I761" t="inlineStr">
        <is>
          <t>Creature</t>
        </is>
      </c>
      <c r="J761" t="inlineStr">
        <is>
          <t>B2</t>
        </is>
      </c>
      <c r="K761" t="n">
        <v>2</v>
      </c>
      <c r="L761" t="inlineStr">
        <is>
          <t>When this creature enters, choose one —
• Scry 2.
• You gain 3 life.
• Exile another target creature you own. Return it to the battlefield under your control at the beginning of the next end step.
(2/2)</t>
        </is>
      </c>
      <c r="M761" t="inlineStr">
        <is>
          <t>Blink</t>
        </is>
      </c>
      <c r="N761" t="inlineStr">
        <is>
          <t>Choose one when it enters: Scry 2, gain 3 life, or blink another target creature you own</t>
        </is>
      </c>
      <c r="R761" t="n">
        <v>0.31</v>
      </c>
    </row>
    <row r="762" ht="15" customHeight="1" s="148">
      <c r="A762" t="inlineStr">
        <is>
          <t>c0761</t>
        </is>
      </c>
      <c r="B762" t="inlineStr">
        <is>
          <t>Chocobo Knights</t>
        </is>
      </c>
      <c r="C762" t="n">
        <v>0</v>
      </c>
      <c r="E762" t="n">
        <v>0</v>
      </c>
      <c r="F762" t="n">
        <v>0</v>
      </c>
      <c r="G762" t="n">
        <v>0</v>
      </c>
      <c r="H762" t="inlineStr">
        <is>
          <t>W</t>
        </is>
      </c>
      <c r="I762" t="inlineStr">
        <is>
          <t>Creature</t>
        </is>
      </c>
      <c r="J762" t="inlineStr">
        <is>
          <t>B2</t>
        </is>
      </c>
      <c r="K762" t="n">
        <v>4</v>
      </c>
      <c r="L762" t="inlineStr">
        <is>
          <t>Whenever you attack, creatures you control with counters on them gain double strike until end of turn.
(3/3)</t>
        </is>
      </c>
      <c r="M762" t="inlineStr">
        <is>
          <t>Counters Payoff</t>
        </is>
      </c>
      <c r="N762" t="inlineStr">
        <is>
          <t>Creatures you control with counters gain double strike when you attack</t>
        </is>
      </c>
      <c r="Q762" t="n">
        <v>1</v>
      </c>
      <c r="R762" t="n">
        <v>0.34</v>
      </c>
    </row>
    <row r="763" ht="15" customHeight="1" s="148">
      <c r="A763" t="inlineStr">
        <is>
          <t>c0762</t>
        </is>
      </c>
      <c r="B763" t="inlineStr">
        <is>
          <t>Civic Stalwart</t>
        </is>
      </c>
      <c r="C763" t="n">
        <v>1</v>
      </c>
      <c r="E763" t="n">
        <v>0</v>
      </c>
      <c r="F763" t="n">
        <v>1</v>
      </c>
      <c r="G763" t="n">
        <v>0</v>
      </c>
      <c r="H763" t="inlineStr">
        <is>
          <t>W</t>
        </is>
      </c>
      <c r="I763" t="inlineStr">
        <is>
          <t>Creature</t>
        </is>
      </c>
      <c r="J763" t="inlineStr">
        <is>
          <t>B2</t>
        </is>
      </c>
      <c r="K763" t="n">
        <v>4</v>
      </c>
      <c r="L763" t="inlineStr">
        <is>
          <t>When this creature enters, creatures you control get +1/+1 until end of turn.
(3/3)</t>
        </is>
      </c>
      <c r="M763" t="inlineStr">
        <is>
          <t>Combat Trick</t>
        </is>
      </c>
      <c r="N763" t="inlineStr">
        <is>
          <t>Creatures you control get +1/+1 until end of turn when it enters</t>
        </is>
      </c>
      <c r="R763" t="n">
        <v>0.05</v>
      </c>
    </row>
    <row r="764" ht="15" customHeight="1" s="148">
      <c r="A764" t="inlineStr">
        <is>
          <t>c0763</t>
        </is>
      </c>
      <c r="B764" t="inlineStr">
        <is>
          <t>Clachan Festival</t>
        </is>
      </c>
      <c r="C764" t="n">
        <v>1</v>
      </c>
      <c r="E764" t="n">
        <v>1</v>
      </c>
      <c r="F764" t="n">
        <v>0</v>
      </c>
      <c r="G764" t="n">
        <v>1</v>
      </c>
      <c r="H764" t="inlineStr">
        <is>
          <t>W</t>
        </is>
      </c>
      <c r="I764" t="inlineStr">
        <is>
          <t>Kindred Enchantment</t>
        </is>
      </c>
      <c r="J764" t="inlineStr">
        <is>
          <t>B2</t>
        </is>
      </c>
      <c r="K764" t="n">
        <v>3</v>
      </c>
      <c r="L764" t="inlineStr">
        <is>
          <t>When this enchantment enters, create two 1/1 green and white Kithkin creature tokens.
{4}{W}: Create a 1/1 green and white Kithkin creature token.</t>
        </is>
      </c>
      <c r="M764" t="inlineStr">
        <is>
          <t>Token Producer</t>
        </is>
      </c>
      <c r="N764" t="inlineStr">
        <is>
          <t>Creates two 1/1 Kithkin tokens when it enters</t>
        </is>
      </c>
      <c r="O764" t="inlineStr">
        <is>
          <t>Pay {4}{W} to create another 1/1 Kithkin token</t>
        </is>
      </c>
      <c r="R764" t="n">
        <v>0.22</v>
      </c>
    </row>
    <row r="765" ht="15" customHeight="1" s="148">
      <c r="A765" t="inlineStr">
        <is>
          <t>c0764</t>
        </is>
      </c>
      <c r="B765" t="inlineStr">
        <is>
          <t>Claim Jumper</t>
        </is>
      </c>
      <c r="C765" t="n">
        <v>1</v>
      </c>
      <c r="E765" t="n">
        <v>1</v>
      </c>
      <c r="F765" t="n">
        <v>0</v>
      </c>
      <c r="G765" t="n">
        <v>1</v>
      </c>
      <c r="H765" t="inlineStr">
        <is>
          <t>W</t>
        </is>
      </c>
      <c r="I765" t="inlineStr">
        <is>
          <t>Creature</t>
        </is>
      </c>
      <c r="J765" t="inlineStr">
        <is>
          <t>B2</t>
        </is>
      </c>
      <c r="K765" t="n">
        <v>3</v>
      </c>
      <c r="L765" t="inlineStr">
        <is>
          <t>Vigilance
When this creature enters, if an opponent controls more lands than you, you may search your library for a Plains card and put it onto the battlefield tapped. Then if an opponent controls more lands than you, repeat this process once. If you search your library this way, shuffle.
(3/3)</t>
        </is>
      </c>
      <c r="M765" t="inlineStr">
        <is>
          <t>Ramp</t>
        </is>
      </c>
      <c r="N765" t="inlineStr">
        <is>
          <t>Fetches a Plains onto the battlefield tapped if you're land-light</t>
        </is>
      </c>
      <c r="O765" t="inlineStr">
        <is>
          <t>Repeats the fetch once more if still behind on lands</t>
        </is>
      </c>
      <c r="R765" t="n">
        <v>0.31</v>
      </c>
    </row>
    <row r="766" ht="15" customHeight="1" s="148">
      <c r="A766" t="inlineStr">
        <is>
          <t>c0765</t>
        </is>
      </c>
      <c r="B766" t="inlineStr">
        <is>
          <t>Cloud's Limit Break</t>
        </is>
      </c>
      <c r="C766" t="n">
        <v>1</v>
      </c>
      <c r="E766" t="n">
        <v>0</v>
      </c>
      <c r="F766" t="n">
        <v>1</v>
      </c>
      <c r="G766" t="n">
        <v>0</v>
      </c>
      <c r="H766" t="inlineStr">
        <is>
          <t>W</t>
        </is>
      </c>
      <c r="I766" t="inlineStr">
        <is>
          <t>Instant</t>
        </is>
      </c>
      <c r="J766" t="inlineStr">
        <is>
          <t>B2</t>
        </is>
      </c>
      <c r="K766" t="n">
        <v>2</v>
      </c>
      <c r="L766" t="inlineStr">
        <is>
          <t>Tiered (Choose one additional cost.)
• Cross-Slash — {0} — Destroy target tapped creature.
• Blade Beam — {1} — Destroy any number of target tapped creatures with different controllers.
• Omnislash — {3}{W} — Destroy all tapped creatures.</t>
        </is>
      </c>
      <c r="M766" t="inlineStr">
        <is>
          <t>Removal</t>
        </is>
      </c>
      <c r="N766" t="inlineStr">
        <is>
          <t>Destroy target tapped creature</t>
        </is>
      </c>
      <c r="O766" t="inlineStr">
        <is>
          <t>Or destroy any number of target tapped creatures with different controllers</t>
        </is>
      </c>
      <c r="P766" t="inlineStr">
        <is>
          <t>Or destroy all tapped creatures for {3}{W} more</t>
        </is>
      </c>
      <c r="R766" t="n">
        <v>0.29</v>
      </c>
    </row>
    <row r="767" ht="15" customHeight="1" s="148">
      <c r="A767" t="inlineStr">
        <is>
          <t>c0766</t>
        </is>
      </c>
      <c r="B767" t="inlineStr">
        <is>
          <t>Collective Effort</t>
        </is>
      </c>
      <c r="C767" t="n">
        <v>1</v>
      </c>
      <c r="E767" t="n">
        <v>1</v>
      </c>
      <c r="F767" t="n">
        <v>0</v>
      </c>
      <c r="G767" t="n">
        <v>1</v>
      </c>
      <c r="H767" t="inlineStr">
        <is>
          <t>W</t>
        </is>
      </c>
      <c r="I767" t="inlineStr">
        <is>
          <t>Sorcery</t>
        </is>
      </c>
      <c r="J767" t="inlineStr">
        <is>
          <t>B2</t>
        </is>
      </c>
      <c r="K767" t="n">
        <v>3</v>
      </c>
      <c r="L767" t="inlineStr">
        <is>
          <t>Escalate—Tap an untapped creature you control. (Pay this cost for each mode chosen beyond the first.)
Choose one or more —
• Destroy target creature with power 4 or greater.
• Destroy target enchantment.
• Put a +1/+1 counter on each creature target player controls.</t>
        </is>
      </c>
      <c r="M767" t="inlineStr">
        <is>
          <t>Removal</t>
        </is>
      </c>
      <c r="N767" t="inlineStr">
        <is>
          <t>Escalate: tap creatures to add modes beyond the first</t>
        </is>
      </c>
      <c r="O767" t="inlineStr">
        <is>
          <t>Modes: destroy power 4+ creature, destroy enchantment, or counter creatures</t>
        </is>
      </c>
      <c r="R767" t="n">
        <v>0.23</v>
      </c>
    </row>
    <row r="768" ht="15" customHeight="1" s="148">
      <c r="A768" t="inlineStr">
        <is>
          <t>c0767</t>
        </is>
      </c>
      <c r="B768" t="inlineStr">
        <is>
          <t>Combat Calligrapher</t>
        </is>
      </c>
      <c r="C768" t="n">
        <v>1</v>
      </c>
      <c r="E768" t="n">
        <v>1</v>
      </c>
      <c r="F768" t="n">
        <v>0</v>
      </c>
      <c r="G768" t="n">
        <v>1</v>
      </c>
      <c r="H768" t="inlineStr">
        <is>
          <t>W</t>
        </is>
      </c>
      <c r="I768" t="inlineStr">
        <is>
          <t>Creature</t>
        </is>
      </c>
      <c r="J768" t="inlineStr">
        <is>
          <t>B2</t>
        </is>
      </c>
      <c r="K768" t="n">
        <v>4</v>
      </c>
      <c r="L768" t="inlineStr">
        <is>
          <t>Flying
Inklings can't attack you or planeswalkers you control.
Whenever a player attacks one of your opponents, that attacking player creates a tapped 2/1 white and black Inkling creature token with flying that's attacking that opponent.
(3/3)</t>
        </is>
      </c>
      <c r="M768" t="inlineStr">
        <is>
          <t>Token Producer</t>
        </is>
      </c>
      <c r="N768" t="inlineStr">
        <is>
          <t>Flying</t>
        </is>
      </c>
      <c r="O768" t="inlineStr">
        <is>
          <t>Inklings can't attack you or planeswalkers you control</t>
        </is>
      </c>
      <c r="P768" t="inlineStr">
        <is>
          <t>Whenever a player attacks one of your opponents, that attacking player creates a tapped 2/1 white and black Inkling crea</t>
        </is>
      </c>
      <c r="R768" t="n">
        <v>0.3</v>
      </c>
    </row>
    <row r="769" ht="15" customHeight="1" s="148">
      <c r="A769" t="inlineStr">
        <is>
          <t>c0768</t>
        </is>
      </c>
      <c r="B769" t="inlineStr">
        <is>
          <t>Court Street Denizen</t>
        </is>
      </c>
      <c r="C769" t="n">
        <v>1</v>
      </c>
      <c r="E769" t="n">
        <v>0</v>
      </c>
      <c r="F769" t="n">
        <v>1</v>
      </c>
      <c r="G769" t="n">
        <v>0</v>
      </c>
      <c r="H769" t="inlineStr">
        <is>
          <t>W</t>
        </is>
      </c>
      <c r="I769" t="inlineStr">
        <is>
          <t>Creature</t>
        </is>
      </c>
      <c r="J769" t="inlineStr">
        <is>
          <t>B2</t>
        </is>
      </c>
      <c r="K769" t="n">
        <v>3</v>
      </c>
      <c r="L769" t="inlineStr">
        <is>
          <t>Whenever another white creature you control enters, tap target creature an opponent controls.
(2/2)</t>
        </is>
      </c>
      <c r="M769" t="inlineStr">
        <is>
          <t>Utility Creature</t>
        </is>
      </c>
      <c r="N769" t="inlineStr">
        <is>
          <t>Taps target creature an opponent controls whenever another white creature you control enters</t>
        </is>
      </c>
      <c r="R769" t="n">
        <v>0.21</v>
      </c>
    </row>
    <row r="770" ht="15" customHeight="1" s="148">
      <c r="A770" t="inlineStr">
        <is>
          <t>c0769</t>
        </is>
      </c>
      <c r="B770" t="inlineStr">
        <is>
          <t>Curious Farm Animals</t>
        </is>
      </c>
      <c r="C770" t="n">
        <v>1</v>
      </c>
      <c r="E770" t="n">
        <v>0</v>
      </c>
      <c r="F770" t="n">
        <v>1</v>
      </c>
      <c r="G770" t="n">
        <v>0</v>
      </c>
      <c r="H770" t="inlineStr">
        <is>
          <t>W</t>
        </is>
      </c>
      <c r="I770" t="inlineStr">
        <is>
          <t>Creature</t>
        </is>
      </c>
      <c r="J770" t="inlineStr">
        <is>
          <t>B2</t>
        </is>
      </c>
      <c r="K770" t="n">
        <v>1</v>
      </c>
      <c r="L770" t="inlineStr">
        <is>
          <t>When this creature dies, you gain 3 life.
{2}, Sacrifice this creature: Destroy up to one target artifact or enchantment.
(1/1)</t>
        </is>
      </c>
      <c r="M770" t="inlineStr">
        <is>
          <t>Artifact/Enchantment Removal</t>
        </is>
      </c>
      <c r="N770" t="inlineStr">
        <is>
          <t>Gain 3 life when this creature dies</t>
        </is>
      </c>
      <c r="O770" t="inlineStr">
        <is>
          <t>Sacrifice it to destroy target artifact or enchantment</t>
        </is>
      </c>
      <c r="R770" t="n">
        <v>0.25</v>
      </c>
    </row>
    <row r="771" ht="15" customHeight="1" s="148">
      <c r="A771" t="inlineStr">
        <is>
          <t>c0770</t>
        </is>
      </c>
      <c r="B771" t="inlineStr">
        <is>
          <t>Dáin, Lord of the Iron Hills</t>
        </is>
      </c>
      <c r="C771" t="n">
        <v>1</v>
      </c>
      <c r="E771" t="n">
        <v>0</v>
      </c>
      <c r="F771" t="n">
        <v>1</v>
      </c>
      <c r="G771" t="n">
        <v>0</v>
      </c>
      <c r="H771" t="inlineStr">
        <is>
          <t>W</t>
        </is>
      </c>
      <c r="I771" t="inlineStr">
        <is>
          <t>Legendary Creature</t>
        </is>
      </c>
      <c r="J771" t="inlineStr">
        <is>
          <t>B2</t>
        </is>
      </c>
      <c r="K771" t="n">
        <v>2</v>
      </c>
      <c r="L771" t="inlineStr">
        <is>
          <t>Dáin, Lord of the Iron Hills {1}{W} — Legendary Creature — Dwarf Noble (2/2)
Vigilance
Storied (If you control three or more artifacts, legendaries, and/or Sagas, you have an enduring story for the rest of the game.)
As long as you have an enduring story, creatures can't attack you unless their controller pays {1} for each of those creatures.</t>
        </is>
      </c>
      <c r="M771" t="inlineStr">
        <is>
          <t>Protection</t>
        </is>
      </c>
      <c r="N771" t="inlineStr">
        <is>
          <t>Vigilance; with an enduring story, creatures can't attack you unless their controller pays</t>
        </is>
      </c>
      <c r="O771" t="inlineStr">
        <is>
          <t>Storied - three or more artifacts, legendaries and/or Sagas gives an enduring story</t>
        </is>
      </c>
      <c r="R771" t="n">
        <v>0.23</v>
      </c>
    </row>
    <row r="772" ht="15" customHeight="1" s="148">
      <c r="A772" t="inlineStr">
        <is>
          <t>c0771</t>
        </is>
      </c>
      <c r="B772" t="inlineStr">
        <is>
          <t>Danitha Capashen, Paragon</t>
        </is>
      </c>
      <c r="C772" t="n">
        <v>1</v>
      </c>
      <c r="E772" t="n">
        <v>0</v>
      </c>
      <c r="F772" t="n">
        <v>1</v>
      </c>
      <c r="G772" t="n">
        <v>0</v>
      </c>
      <c r="H772" t="inlineStr">
        <is>
          <t>W</t>
        </is>
      </c>
      <c r="I772" t="inlineStr">
        <is>
          <t>Legendary Creature</t>
        </is>
      </c>
      <c r="J772" t="inlineStr">
        <is>
          <t>B2</t>
        </is>
      </c>
      <c r="K772" t="n">
        <v>3</v>
      </c>
      <c r="L772" t="inlineStr">
        <is>
          <t>First strike, vigilance, lifelink
Aura and Equipment spells you cast cost {1} less to cast.
(2/2)</t>
        </is>
      </c>
      <c r="M772" t="inlineStr">
        <is>
          <t>Cost Reducer</t>
        </is>
      </c>
      <c r="N772" t="inlineStr">
        <is>
          <t>Reduces your Aura and Equipment spells by {1}</t>
        </is>
      </c>
      <c r="O772" t="inlineStr">
        <is>
          <t>First strike, vigilance, lifelink body</t>
        </is>
      </c>
      <c r="R772" t="n">
        <v>0.4</v>
      </c>
    </row>
    <row r="773" ht="15" customHeight="1" s="148">
      <c r="A773" t="inlineStr">
        <is>
          <t>c0772</t>
        </is>
      </c>
      <c r="B773" t="inlineStr">
        <is>
          <t>Day of Judgment</t>
        </is>
      </c>
      <c r="C773" t="n">
        <v>1</v>
      </c>
      <c r="E773" t="n">
        <v>0</v>
      </c>
      <c r="F773" t="n">
        <v>1</v>
      </c>
      <c r="G773" t="n">
        <v>0</v>
      </c>
      <c r="H773" t="inlineStr">
        <is>
          <t>W</t>
        </is>
      </c>
      <c r="I773" t="inlineStr">
        <is>
          <t>Sorcery</t>
        </is>
      </c>
      <c r="J773" t="inlineStr">
        <is>
          <t>B3</t>
        </is>
      </c>
      <c r="K773" t="n">
        <v>4</v>
      </c>
      <c r="L773" t="inlineStr">
        <is>
          <t>Destroy all creatures.</t>
        </is>
      </c>
      <c r="M773" t="inlineStr">
        <is>
          <t>Board Wipe</t>
        </is>
      </c>
      <c r="N773" t="inlineStr">
        <is>
          <t>Destroys all creatures</t>
        </is>
      </c>
      <c r="R773" t="n">
        <v>1.09</v>
      </c>
    </row>
    <row r="774" ht="15" customHeight="1" s="148">
      <c r="A774" t="inlineStr">
        <is>
          <t>c0773</t>
        </is>
      </c>
      <c r="B774" t="inlineStr">
        <is>
          <t>Daydream</t>
        </is>
      </c>
      <c r="C774" t="n">
        <v>1</v>
      </c>
      <c r="E774" t="n">
        <v>0</v>
      </c>
      <c r="F774" t="n">
        <v>1</v>
      </c>
      <c r="G774" t="n">
        <v>0</v>
      </c>
      <c r="H774" t="inlineStr">
        <is>
          <t>W</t>
        </is>
      </c>
      <c r="I774" t="inlineStr">
        <is>
          <t>Sorcery</t>
        </is>
      </c>
      <c r="J774" t="inlineStr">
        <is>
          <t>B2</t>
        </is>
      </c>
      <c r="K774" t="n">
        <v>1</v>
      </c>
      <c r="L774" t="inlineStr">
        <is>
          <t>Exile target creature you control, then return that card to the battlefield under its owner's control with a +1/+1 counter on it.
Flashback {2}{W} (You may cast this card from your graveyard for its flashback cost. Then exile it.)</t>
        </is>
      </c>
      <c r="M774" t="inlineStr">
        <is>
          <t>Blink</t>
        </is>
      </c>
      <c r="N774" t="inlineStr">
        <is>
          <t>Exile target creature you control, then return it to the battlefield with a +1/+1 counter on it</t>
        </is>
      </c>
      <c r="O774" t="inlineStr">
        <is>
          <t>Flashback {2}{W}</t>
        </is>
      </c>
      <c r="R774" t="n">
        <v>0.36</v>
      </c>
    </row>
    <row r="775" ht="15" customHeight="1" s="148">
      <c r="A775" t="inlineStr">
        <is>
          <t>c0774</t>
        </is>
      </c>
      <c r="B775" t="inlineStr">
        <is>
          <t>Destroy Evil</t>
        </is>
      </c>
      <c r="C775" t="n">
        <v>1</v>
      </c>
      <c r="E775" t="n">
        <v>1</v>
      </c>
      <c r="F775" t="n">
        <v>0</v>
      </c>
      <c r="G775" t="n">
        <v>0</v>
      </c>
      <c r="H775" t="inlineStr">
        <is>
          <t>W</t>
        </is>
      </c>
      <c r="I775" t="inlineStr">
        <is>
          <t>Instant</t>
        </is>
      </c>
      <c r="J775" t="inlineStr">
        <is>
          <t>B2</t>
        </is>
      </c>
      <c r="K775" t="n">
        <v>2</v>
      </c>
      <c r="L775" t="inlineStr">
        <is>
          <t>Choose one —
• Destroy target creature with toughness 4 or greater.
• Destroy target enchantment.</t>
        </is>
      </c>
      <c r="M775" t="inlineStr">
        <is>
          <t>Removal</t>
        </is>
      </c>
      <c r="N775" t="inlineStr">
        <is>
          <t>Destroys target creature with toughness 4 or greater</t>
        </is>
      </c>
      <c r="O775" t="inlineStr">
        <is>
          <t>Or destroys target enchantment instead</t>
        </is>
      </c>
      <c r="R775" t="n">
        <v>0.19</v>
      </c>
    </row>
    <row r="776" ht="15" customHeight="1" s="148">
      <c r="A776" t="inlineStr">
        <is>
          <t>c0775</t>
        </is>
      </c>
      <c r="B776" t="inlineStr">
        <is>
          <t>Disenchant</t>
        </is>
      </c>
      <c r="C776" t="n">
        <v>1</v>
      </c>
      <c r="E776" t="n">
        <v>0</v>
      </c>
      <c r="F776" t="n">
        <v>1</v>
      </c>
      <c r="G776" t="n">
        <v>0</v>
      </c>
      <c r="H776" t="inlineStr">
        <is>
          <t>W</t>
        </is>
      </c>
      <c r="I776" t="inlineStr">
        <is>
          <t>Instant</t>
        </is>
      </c>
      <c r="J776" t="inlineStr">
        <is>
          <t>B2</t>
        </is>
      </c>
      <c r="K776" t="n">
        <v>2</v>
      </c>
      <c r="L776" t="inlineStr">
        <is>
          <t>Destroy target artifact or enchantment.</t>
        </is>
      </c>
      <c r="M776" t="inlineStr">
        <is>
          <t>Artifact/Enchantment Removal</t>
        </is>
      </c>
      <c r="N776" t="inlineStr">
        <is>
          <t>Destroys target artifact or enchantment</t>
        </is>
      </c>
      <c r="R776" t="n">
        <v>0.1</v>
      </c>
    </row>
    <row r="777" ht="15" customHeight="1" s="148">
      <c r="A777" t="inlineStr">
        <is>
          <t>c0776</t>
        </is>
      </c>
      <c r="B777" t="inlineStr">
        <is>
          <t>Doomed Traveler</t>
        </is>
      </c>
      <c r="C777" t="n">
        <v>0</v>
      </c>
      <c r="E777" t="n">
        <v>0</v>
      </c>
      <c r="F777" t="n">
        <v>0</v>
      </c>
      <c r="G777" t="n">
        <v>0</v>
      </c>
      <c r="H777" t="inlineStr">
        <is>
          <t>W</t>
        </is>
      </c>
      <c r="I777" t="inlineStr">
        <is>
          <t>Creature</t>
        </is>
      </c>
      <c r="J777" t="inlineStr">
        <is>
          <t>B2</t>
        </is>
      </c>
      <c r="K777" t="n">
        <v>1</v>
      </c>
      <c r="L777" t="inlineStr">
        <is>
          <t>When this creature dies, create a 1/1 white Spirit creature token with flying.
(1/1)</t>
        </is>
      </c>
      <c r="M777" t="inlineStr">
        <is>
          <t>Token Producer</t>
        </is>
      </c>
      <c r="N777" t="inlineStr">
        <is>
          <t>Creates a 1/1 flying Spirit token when it dies</t>
        </is>
      </c>
      <c r="R777" t="n">
        <v>0.09</v>
      </c>
    </row>
    <row r="778" ht="15" customHeight="1" s="148">
      <c r="A778" t="inlineStr">
        <is>
          <t>c0777</t>
        </is>
      </c>
      <c r="B778" t="inlineStr">
        <is>
          <t>Drogskol Shieldmate</t>
        </is>
      </c>
      <c r="C778" t="n">
        <v>1</v>
      </c>
      <c r="E778" t="n">
        <v>0</v>
      </c>
      <c r="F778" t="n">
        <v>1</v>
      </c>
      <c r="G778" t="n">
        <v>0</v>
      </c>
      <c r="H778" t="inlineStr">
        <is>
          <t>W</t>
        </is>
      </c>
      <c r="I778" t="inlineStr">
        <is>
          <t>Creature</t>
        </is>
      </c>
      <c r="J778" t="inlineStr">
        <is>
          <t>B2</t>
        </is>
      </c>
      <c r="K778" t="n">
        <v>3</v>
      </c>
      <c r="L778" t="inlineStr">
        <is>
          <t>Flash
When this creature enters, other creatures you control get +0/+1 until end of turn.
(2/3)</t>
        </is>
      </c>
      <c r="M778" t="inlineStr">
        <is>
          <t>Combat Trick</t>
        </is>
      </c>
      <c r="N778" t="inlineStr">
        <is>
          <t>Gives other creatures you control +0/+1 until end of turn when it enters</t>
        </is>
      </c>
      <c r="O778" t="inlineStr">
        <is>
          <t>Flash creature</t>
        </is>
      </c>
      <c r="R778" t="n">
        <v>0.1</v>
      </c>
    </row>
    <row r="779" ht="15" customHeight="1" s="148">
      <c r="A779" t="inlineStr">
        <is>
          <t>c0778</t>
        </is>
      </c>
      <c r="B779" t="inlineStr">
        <is>
          <t>Drumbellower</t>
        </is>
      </c>
      <c r="C779" t="n">
        <v>1</v>
      </c>
      <c r="E779" t="n">
        <v>1</v>
      </c>
      <c r="F779" t="n">
        <v>0</v>
      </c>
      <c r="G779" t="n">
        <v>0</v>
      </c>
      <c r="H779" t="inlineStr">
        <is>
          <t>W</t>
        </is>
      </c>
      <c r="I779" t="inlineStr">
        <is>
          <t>Creature</t>
        </is>
      </c>
      <c r="J779" t="inlineStr">
        <is>
          <t>B2</t>
        </is>
      </c>
      <c r="K779" t="n">
        <v>3</v>
      </c>
      <c r="L779" t="inlineStr">
        <is>
          <t>Flying
Untap all creatures you control during each other player's untap step.
(2/1)</t>
        </is>
      </c>
      <c r="M779" t="inlineStr">
        <is>
          <t>Utility Creature</t>
        </is>
      </c>
      <c r="N779" t="inlineStr">
        <is>
          <t>Untaps all your creatures during each opponent's untap step</t>
        </is>
      </c>
      <c r="O779" t="inlineStr">
        <is>
          <t>Flying body</t>
        </is>
      </c>
      <c r="R779" t="n">
        <v>2.8</v>
      </c>
    </row>
    <row r="780" ht="15" customHeight="1" s="148">
      <c r="A780" t="inlineStr">
        <is>
          <t>c0779</t>
        </is>
      </c>
      <c r="B780" t="inlineStr">
        <is>
          <t>Duty Beyond Death</t>
        </is>
      </c>
      <c r="C780" t="n">
        <v>1</v>
      </c>
      <c r="E780" t="n">
        <v>1</v>
      </c>
      <c r="F780" t="n">
        <v>0</v>
      </c>
      <c r="G780" t="n">
        <v>1</v>
      </c>
      <c r="H780" t="inlineStr">
        <is>
          <t>W</t>
        </is>
      </c>
      <c r="I780" t="inlineStr">
        <is>
          <t>Instant</t>
        </is>
      </c>
      <c r="J780" t="inlineStr">
        <is>
          <t>B2</t>
        </is>
      </c>
      <c r="K780" t="n">
        <v>2</v>
      </c>
      <c r="L780" t="inlineStr">
        <is>
          <t>As an additional cost to cast this spell, sacrifice a creature.
Creatures you control gain indestructible until end of turn. Put a +1/+1 counter on each creature you control. (Damage and effects that say "destroy" don't destroy those creatures.)</t>
        </is>
      </c>
      <c r="M780" t="inlineStr">
        <is>
          <t>Protection</t>
        </is>
      </c>
      <c r="N780" t="inlineStr">
        <is>
          <t>Creatures you control gain indestructible until end of turn and each get a +1/+1 counter</t>
        </is>
      </c>
      <c r="O780" t="inlineStr">
        <is>
          <t>Additional cost: sacrifice a creature</t>
        </is>
      </c>
      <c r="R780" t="n">
        <v>0.33</v>
      </c>
    </row>
    <row r="781" ht="15" customHeight="1" s="148">
      <c r="A781" t="inlineStr">
        <is>
          <t>c0780</t>
        </is>
      </c>
      <c r="B781" t="inlineStr">
        <is>
          <t>Dwarven Provisioner</t>
        </is>
      </c>
      <c r="C781" t="n">
        <v>2</v>
      </c>
      <c r="E781" t="n">
        <v>0</v>
      </c>
      <c r="F781" t="n">
        <v>2</v>
      </c>
      <c r="G781" t="n">
        <v>0</v>
      </c>
      <c r="H781" t="inlineStr">
        <is>
          <t>W</t>
        </is>
      </c>
      <c r="I781" t="inlineStr">
        <is>
          <t>Creature</t>
        </is>
      </c>
      <c r="J781" t="inlineStr">
        <is>
          <t>B2</t>
        </is>
      </c>
      <c r="K781" t="n">
        <v>2</v>
      </c>
      <c r="L781" t="inlineStr">
        <is>
          <t>{3}{W}: Creatures you control get +1/+1 until end of turn.
(2/2)</t>
        </is>
      </c>
      <c r="M781" t="inlineStr">
        <is>
          <t>Lord/Anthem</t>
        </is>
      </c>
      <c r="N781" t="inlineStr">
        <is>
          <t>{3}{W}: Creatures you control get +1/+1 until end of turn</t>
        </is>
      </c>
      <c r="R781" t="n">
        <v>0.12</v>
      </c>
    </row>
    <row r="782" ht="15" customHeight="1" s="148">
      <c r="A782" t="inlineStr">
        <is>
          <t>c0781</t>
        </is>
      </c>
      <c r="B782" t="inlineStr">
        <is>
          <t>Dwarven Shortsword</t>
        </is>
      </c>
      <c r="C782" t="n">
        <v>3</v>
      </c>
      <c r="E782" t="n">
        <v>0</v>
      </c>
      <c r="F782" t="n">
        <v>3</v>
      </c>
      <c r="G782" t="n">
        <v>0</v>
      </c>
      <c r="H782" t="inlineStr">
        <is>
          <t>W</t>
        </is>
      </c>
      <c r="I782" t="inlineStr">
        <is>
          <t>Artifact</t>
        </is>
      </c>
      <c r="J782" t="inlineStr">
        <is>
          <t>B2</t>
        </is>
      </c>
      <c r="K782" t="n">
        <v>4</v>
      </c>
      <c r="L782" t="inlineStr">
        <is>
          <t>When this Equipment enters, create a 2/2 red Dwarf creature token, then attach this Equipment to it.
Equipped creature gets +1/+2.
Equip {2} ({2}: Attach to target creature you control. Equip only as a sorcery.)</t>
        </is>
      </c>
      <c r="M782" t="inlineStr">
        <is>
          <t>Token Producer</t>
        </is>
      </c>
      <c r="N782" t="inlineStr">
        <is>
          <t>Creates a 2/2 Dwarf token and attaches itself when it enters</t>
        </is>
      </c>
      <c r="O782" t="inlineStr">
        <is>
          <t>Equipped creature gets +1/+2</t>
        </is>
      </c>
      <c r="P782" t="inlineStr">
        <is>
          <t>Equip {2}</t>
        </is>
      </c>
      <c r="R782" t="n">
        <v>0.1</v>
      </c>
    </row>
    <row r="783" ht="15" customHeight="1" s="148">
      <c r="A783" t="inlineStr">
        <is>
          <t>c0782</t>
        </is>
      </c>
      <c r="B783" t="inlineStr">
        <is>
          <t>Eager Glyphmage</t>
        </is>
      </c>
      <c r="C783" t="n">
        <v>2</v>
      </c>
      <c r="E783" t="n">
        <v>0</v>
      </c>
      <c r="F783" t="n">
        <v>2</v>
      </c>
      <c r="G783" t="n">
        <v>0</v>
      </c>
      <c r="H783" t="inlineStr">
        <is>
          <t>W</t>
        </is>
      </c>
      <c r="I783" t="inlineStr">
        <is>
          <t>Creature</t>
        </is>
      </c>
      <c r="J783" t="inlineStr">
        <is>
          <t>B2</t>
        </is>
      </c>
      <c r="K783" t="n">
        <v>4</v>
      </c>
      <c r="L783" t="inlineStr">
        <is>
          <t>When this creature enters, create a 1/1 white and black Inkling creature token with flying.
(3/3)</t>
        </is>
      </c>
      <c r="M783" t="inlineStr">
        <is>
          <t>Token Producer</t>
        </is>
      </c>
      <c r="N783" t="inlineStr">
        <is>
          <t>Enters: create a 1/1 Inkling token with flying</t>
        </is>
      </c>
      <c r="O783" t="inlineStr">
        <is>
          <t>3/3 body</t>
        </is>
      </c>
      <c r="R783" t="n">
        <v>0.09</v>
      </c>
    </row>
    <row r="784" ht="15" customHeight="1" s="148">
      <c r="A784" t="inlineStr">
        <is>
          <t>c0783</t>
        </is>
      </c>
      <c r="B784" t="inlineStr">
        <is>
          <t>Eagle of the Great Shelf</t>
        </is>
      </c>
      <c r="C784" t="n">
        <v>1</v>
      </c>
      <c r="E784" t="n">
        <v>0</v>
      </c>
      <c r="F784" t="n">
        <v>1</v>
      </c>
      <c r="G784" t="n">
        <v>0</v>
      </c>
      <c r="H784" t="inlineStr">
        <is>
          <t>W</t>
        </is>
      </c>
      <c r="I784" t="inlineStr">
        <is>
          <t>Creature</t>
        </is>
      </c>
      <c r="J784" t="inlineStr">
        <is>
          <t>B2</t>
        </is>
      </c>
      <c r="K784" t="n">
        <v>5</v>
      </c>
      <c r="L784" t="inlineStr">
        <is>
          <t>Flying
Whenever this creature attacks, it gets +1/+1 until end of turn for each other creature you control.
(2/5)</t>
        </is>
      </c>
      <c r="M784" t="inlineStr">
        <is>
          <t>Utility Creature</t>
        </is>
      </c>
      <c r="N784" t="inlineStr">
        <is>
          <t>Whenever it attacks, it gets +1/+1 until end of turn for each other creature you control</t>
        </is>
      </c>
      <c r="O784" t="inlineStr">
        <is>
          <t>Flying</t>
        </is>
      </c>
      <c r="R784" t="n">
        <v>0.14</v>
      </c>
    </row>
    <row r="785" ht="15" customHeight="1" s="148">
      <c r="A785" t="inlineStr">
        <is>
          <t>c0784</t>
        </is>
      </c>
      <c r="B785" t="inlineStr">
        <is>
          <t>Earth Kingdom Jailer</t>
        </is>
      </c>
      <c r="C785" t="n">
        <v>1</v>
      </c>
      <c r="E785" t="n">
        <v>1</v>
      </c>
      <c r="F785" t="n">
        <v>0</v>
      </c>
      <c r="G785" t="n">
        <v>1</v>
      </c>
      <c r="H785" t="inlineStr">
        <is>
          <t>W</t>
        </is>
      </c>
      <c r="I785" t="inlineStr">
        <is>
          <t>Creature</t>
        </is>
      </c>
      <c r="J785" t="inlineStr">
        <is>
          <t>B2</t>
        </is>
      </c>
      <c r="K785" t="n">
        <v>3</v>
      </c>
      <c r="L785" t="inlineStr">
        <is>
          <t>When this creature enters, exile up to one target artifact, creature, or enchantment an opponent controls with mana value 3 or greater until this creature leaves the battlefield.
(3/3)</t>
        </is>
      </c>
      <c r="M785" t="inlineStr">
        <is>
          <t>Removal</t>
        </is>
      </c>
      <c r="N785" t="inlineStr">
        <is>
          <t>Exiles an opponent's permanent (MV 3+) when it enters</t>
        </is>
      </c>
      <c r="O785" t="inlineStr">
        <is>
          <t>Exiled permanent returns if this creature leaves</t>
        </is>
      </c>
      <c r="R785" t="n">
        <v>0.18</v>
      </c>
    </row>
    <row r="786" ht="15" customHeight="1" s="148">
      <c r="A786" t="inlineStr">
        <is>
          <t>c0785</t>
        </is>
      </c>
      <c r="B786" t="inlineStr">
        <is>
          <t>Elspeth, Sun's Nemesis</t>
        </is>
      </c>
      <c r="C786" t="n">
        <v>1</v>
      </c>
      <c r="E786" t="n">
        <v>1</v>
      </c>
      <c r="F786" t="n">
        <v>0</v>
      </c>
      <c r="G786" t="n">
        <v>1</v>
      </c>
      <c r="H786" t="inlineStr">
        <is>
          <t>W</t>
        </is>
      </c>
      <c r="I786" t="inlineStr">
        <is>
          <t>Legendary Planeswalker</t>
        </is>
      </c>
      <c r="J786" t="inlineStr">
        <is>
          <t>B3</t>
        </is>
      </c>
      <c r="K786" t="n">
        <v>4</v>
      </c>
      <c r="L786" t="inlineStr">
        <is>
          <t>−1: Up to two target creatures you control each get +2/+1 until end of turn.
−2: Create two 1/1 white Human Soldier creature tokens.
−3: You gain 5 life.
Escape—{4}{W}{W}, Exile four other cards from your graveyard. (You may cast this card from your graveyard for its escape cost.)
(Loyalty 5)</t>
        </is>
      </c>
      <c r="M786" t="inlineStr">
        <is>
          <t>Token Producer</t>
        </is>
      </c>
      <c r="N786" t="inlineStr">
        <is>
          <t>-1: Up to two creatures get +2/+1 until end of turn</t>
        </is>
      </c>
      <c r="O786" t="inlineStr">
        <is>
          <t>-2: Create two 1/1 Human Soldier tokens</t>
        </is>
      </c>
      <c r="P786" t="inlineStr">
        <is>
          <t>Escape from the graveyard by exiling four cards</t>
        </is>
      </c>
      <c r="R786" t="n">
        <v>1</v>
      </c>
    </row>
    <row r="787" ht="15" customHeight="1" s="148">
      <c r="A787" t="inlineStr">
        <is>
          <t>c0786</t>
        </is>
      </c>
      <c r="B787" t="inlineStr">
        <is>
          <t>Ephemerate</t>
        </is>
      </c>
      <c r="C787" t="n">
        <v>1</v>
      </c>
      <c r="E787" t="n">
        <v>1</v>
      </c>
      <c r="F787" t="n">
        <v>0</v>
      </c>
      <c r="G787" t="n">
        <v>1</v>
      </c>
      <c r="H787" t="inlineStr">
        <is>
          <t>W</t>
        </is>
      </c>
      <c r="I787" t="inlineStr">
        <is>
          <t>Instant</t>
        </is>
      </c>
      <c r="J787" t="inlineStr">
        <is>
          <t>B2</t>
        </is>
      </c>
      <c r="K787" t="n">
        <v>1</v>
      </c>
      <c r="L787" t="inlineStr">
        <is>
          <t>Exile target creature you control, then return it to the battlefield under its owner's control.
Rebound (If you cast this spell from your hand, exile it as it resolves. At the beginning of your next upkeep, you may cast this card from exile without paying its mana cost.)</t>
        </is>
      </c>
      <c r="M787" t="inlineStr">
        <is>
          <t>Blink</t>
        </is>
      </c>
      <c r="N787" t="inlineStr">
        <is>
          <t>Exiles then returns target creature you control</t>
        </is>
      </c>
      <c r="O787" t="inlineStr">
        <is>
          <t>Rebound: cast again free next upkeep from exile</t>
        </is>
      </c>
      <c r="R787" t="n">
        <v>5.2</v>
      </c>
    </row>
    <row r="788" ht="15" customHeight="1" s="148">
      <c r="A788" t="inlineStr">
        <is>
          <t>c0787</t>
        </is>
      </c>
      <c r="B788" t="inlineStr">
        <is>
          <t>Esgaroth Garrison</t>
        </is>
      </c>
      <c r="C788" t="n">
        <v>2</v>
      </c>
      <c r="E788" t="n">
        <v>0</v>
      </c>
      <c r="F788" t="n">
        <v>2</v>
      </c>
      <c r="G788" t="n">
        <v>0</v>
      </c>
      <c r="H788" t="inlineStr">
        <is>
          <t>W</t>
        </is>
      </c>
      <c r="I788" t="inlineStr">
        <is>
          <t>Creature</t>
        </is>
      </c>
      <c r="J788" t="inlineStr">
        <is>
          <t>B2</t>
        </is>
      </c>
      <c r="K788" t="n">
        <v>5</v>
      </c>
      <c r="L788" t="inlineStr">
        <is>
          <t>Esgaroth Garrison's power is equal to the number of creatures you control.
When this creature enters, recruit. (Draw a card, then discard a card. If you discarded a nonland card, create a 1/1 white Human Soldier creature token.)
(*/5)</t>
        </is>
      </c>
      <c r="M788" t="inlineStr">
        <is>
          <t>Utility Creature</t>
        </is>
      </c>
      <c r="N788" t="inlineStr">
        <is>
          <t>Its power equals the number of creatures you control</t>
        </is>
      </c>
      <c r="O788" t="inlineStr">
        <is>
          <t>Enters: recruit (draw a card, then discard a card; if you discarded a nonland card, create a 1/1 Human Soldier token)</t>
        </is>
      </c>
      <c r="R788" t="n">
        <v>0.15</v>
      </c>
    </row>
    <row r="789" ht="15" customHeight="1" s="148">
      <c r="A789" t="inlineStr">
        <is>
          <t>c0788</t>
        </is>
      </c>
      <c r="B789" t="inlineStr">
        <is>
          <t>Expel the Interlopers</t>
        </is>
      </c>
      <c r="C789" t="n">
        <v>0</v>
      </c>
      <c r="E789" t="n">
        <v>0</v>
      </c>
      <c r="F789" t="n">
        <v>0</v>
      </c>
      <c r="G789" t="n">
        <v>0</v>
      </c>
      <c r="H789" t="inlineStr">
        <is>
          <t>W</t>
        </is>
      </c>
      <c r="I789" t="inlineStr">
        <is>
          <t>Sorcery</t>
        </is>
      </c>
      <c r="J789" t="inlineStr">
        <is>
          <t>B3</t>
        </is>
      </c>
      <c r="K789" t="n">
        <v>5</v>
      </c>
      <c r="L789" t="inlineStr">
        <is>
          <t>Choose a number between 0 and 10. Destroy all creatures with power greater than or equal to the chosen number.</t>
        </is>
      </c>
      <c r="M789" t="inlineStr">
        <is>
          <t>Board Wipe</t>
        </is>
      </c>
      <c r="N789" t="inlineStr">
        <is>
          <t>Choose a number between 0 and 10. Destroy all creatures with power greater than or equal to the chosen number.</t>
        </is>
      </c>
      <c r="R789" t="n">
        <v>0.25</v>
      </c>
    </row>
    <row r="790" ht="15" customHeight="1" s="148">
      <c r="A790" t="inlineStr">
        <is>
          <t>c0789</t>
        </is>
      </c>
      <c r="B790" t="inlineStr">
        <is>
          <t>Fall of the First Civilization</t>
        </is>
      </c>
      <c r="C790" t="n">
        <v>1</v>
      </c>
      <c r="E790" t="n">
        <v>0</v>
      </c>
      <c r="F790" t="n">
        <v>1</v>
      </c>
      <c r="G790" t="n">
        <v>0</v>
      </c>
      <c r="H790" t="inlineStr">
        <is>
          <t>W</t>
        </is>
      </c>
      <c r="I790" t="inlineStr">
        <is>
          <t>Enchantment</t>
        </is>
      </c>
      <c r="J790" t="inlineStr">
        <is>
          <t>B2</t>
        </is>
      </c>
      <c r="K790" t="n">
        <v>3</v>
      </c>
      <c r="L790" t="inlineStr">
        <is>
          <t>(As this Saga enters and after your draw step, add a lore counter. Sacrifice after III.)
I — You and target opponent each draw two cards.
II — Exile target artifact an opponent controls.
III — Each player chooses three nonland permanents they control. Destroy all other nonland permanents.</t>
        </is>
      </c>
      <c r="M790" t="inlineStr">
        <is>
          <t>Board Wipe</t>
        </is>
      </c>
      <c r="N790" t="inlineStr">
        <is>
          <t>Chapter I: you and an opponent each draw two cards</t>
        </is>
      </c>
      <c r="O790" t="inlineStr">
        <is>
          <t>Chapter II: exile target opponent artifact</t>
        </is>
      </c>
      <c r="P790" t="inlineStr">
        <is>
          <t>Chapter III: each player keeps 3 nonland permanents, rest destroyed</t>
        </is>
      </c>
      <c r="R790" t="n">
        <v>0.27</v>
      </c>
    </row>
    <row r="791" ht="15" customHeight="1" s="148">
      <c r="A791" t="inlineStr">
        <is>
          <t>c0790</t>
        </is>
      </c>
      <c r="B791" t="inlineStr">
        <is>
          <t>Fancy Footwork</t>
        </is>
      </c>
      <c r="C791" t="n">
        <v>1</v>
      </c>
      <c r="E791" t="n">
        <v>0</v>
      </c>
      <c r="F791" t="n">
        <v>1</v>
      </c>
      <c r="G791" t="n">
        <v>0</v>
      </c>
      <c r="H791" t="inlineStr">
        <is>
          <t>W</t>
        </is>
      </c>
      <c r="I791" t="inlineStr">
        <is>
          <t>Instant</t>
        </is>
      </c>
      <c r="J791" t="inlineStr">
        <is>
          <t>B2</t>
        </is>
      </c>
      <c r="K791" t="n">
        <v>3</v>
      </c>
      <c r="L791" t="inlineStr">
        <is>
          <t>Untap one or two target creatures. They each get +2/+2 until end of turn.</t>
        </is>
      </c>
      <c r="M791" t="inlineStr">
        <is>
          <t>Combat Trick</t>
        </is>
      </c>
      <c r="N791" t="inlineStr">
        <is>
          <t>Untap one or two target creatures; each gets +2/+2 until end of turn</t>
        </is>
      </c>
      <c r="R791" t="n">
        <v>0.2</v>
      </c>
    </row>
    <row r="792" ht="15" customHeight="1" s="148">
      <c r="A792" t="inlineStr">
        <is>
          <t>c0791</t>
        </is>
      </c>
      <c r="B792" t="inlineStr">
        <is>
          <t>Farewell</t>
        </is>
      </c>
      <c r="C792" t="n">
        <v>0</v>
      </c>
      <c r="E792" t="n">
        <v>0</v>
      </c>
      <c r="F792" t="n">
        <v>0</v>
      </c>
      <c r="G792" t="n">
        <v>0</v>
      </c>
      <c r="H792" t="inlineStr">
        <is>
          <t>W</t>
        </is>
      </c>
      <c r="I792" t="inlineStr">
        <is>
          <t>Sorcery</t>
        </is>
      </c>
      <c r="J792" t="inlineStr">
        <is>
          <t>B3</t>
        </is>
      </c>
      <c r="K792" t="n">
        <v>6</v>
      </c>
      <c r="L792" t="inlineStr">
        <is>
          <t>Choose one or more —
• Exile all artifacts.
• Exile all creatures.
• Exile all enchantments.
• Exile all graveyards.</t>
        </is>
      </c>
      <c r="M792" t="inlineStr">
        <is>
          <t>Board Wipe</t>
        </is>
      </c>
      <c r="N792" t="inlineStr">
        <is>
          <t>Choose one or more —
• Exile all artifacts.
• Exile all creatures.
• Exile all enchantments.
• Exile all graveyards.</t>
        </is>
      </c>
      <c r="R792" t="n">
        <v>6</v>
      </c>
    </row>
    <row r="793" ht="15" customHeight="1" s="148">
      <c r="A793" t="inlineStr">
        <is>
          <t>c0792</t>
        </is>
      </c>
      <c r="B793" t="inlineStr">
        <is>
          <t>Fateful Absence</t>
        </is>
      </c>
      <c r="C793" t="n">
        <v>1</v>
      </c>
      <c r="E793" t="n">
        <v>1</v>
      </c>
      <c r="F793" t="n">
        <v>0</v>
      </c>
      <c r="G793" t="n">
        <v>1</v>
      </c>
      <c r="H793" t="inlineStr">
        <is>
          <t>W</t>
        </is>
      </c>
      <c r="I793" t="inlineStr">
        <is>
          <t>Instant</t>
        </is>
      </c>
      <c r="J793" t="inlineStr">
        <is>
          <t>B2</t>
        </is>
      </c>
      <c r="K793" t="n">
        <v>2</v>
      </c>
      <c r="L793" t="inlineStr">
        <is>
          <t>Destroy target creature or planeswalker. Its controller investigates. (Create a Clue token. It's an artifact with "{2}, Sacrifice this token: Draw a card.")</t>
        </is>
      </c>
      <c r="M793" t="inlineStr">
        <is>
          <t>Removal</t>
        </is>
      </c>
      <c r="N793" t="inlineStr">
        <is>
          <t>Destroys target creature or planeswalker</t>
        </is>
      </c>
      <c r="O793" t="inlineStr">
        <is>
          <t>Its controller creates a Clue token</t>
        </is>
      </c>
      <c r="R793" t="n">
        <v>0.41</v>
      </c>
    </row>
    <row r="794" ht="15" customHeight="1" s="148">
      <c r="A794" t="inlineStr">
        <is>
          <t>c0793</t>
        </is>
      </c>
      <c r="B794" t="inlineStr">
        <is>
          <t>Fell the Mighty</t>
        </is>
      </c>
      <c r="C794" t="n">
        <v>2</v>
      </c>
      <c r="E794" t="n">
        <v>2</v>
      </c>
      <c r="F794" t="n">
        <v>0</v>
      </c>
      <c r="G794" t="n">
        <v>2</v>
      </c>
      <c r="H794" t="inlineStr">
        <is>
          <t>W</t>
        </is>
      </c>
      <c r="I794" t="inlineStr">
        <is>
          <t>Sorcery</t>
        </is>
      </c>
      <c r="J794" t="inlineStr">
        <is>
          <t>B2</t>
        </is>
      </c>
      <c r="K794" t="n">
        <v>5</v>
      </c>
      <c r="L794" t="inlineStr">
        <is>
          <t>Destroy all creatures with power greater than target creature's power.</t>
        </is>
      </c>
      <c r="M794" t="inlineStr">
        <is>
          <t>Board Wipe</t>
        </is>
      </c>
      <c r="N794" t="inlineStr">
        <is>
          <t>Destroys all creatures with power greater than target creature's power</t>
        </is>
      </c>
      <c r="R794" t="n">
        <v>0.28</v>
      </c>
    </row>
    <row r="795" ht="15" customHeight="1" s="148">
      <c r="A795" t="inlineStr">
        <is>
          <t>c0794</t>
        </is>
      </c>
      <c r="B795" t="inlineStr">
        <is>
          <t>Frontline Medic</t>
        </is>
      </c>
      <c r="C795" t="n">
        <v>1</v>
      </c>
      <c r="E795" t="n">
        <v>1</v>
      </c>
      <c r="F795" t="n">
        <v>0</v>
      </c>
      <c r="G795" t="n">
        <v>0</v>
      </c>
      <c r="H795" t="inlineStr">
        <is>
          <t>W</t>
        </is>
      </c>
      <c r="I795" t="inlineStr">
        <is>
          <t>Creature</t>
        </is>
      </c>
      <c r="J795" t="inlineStr">
        <is>
          <t>B2</t>
        </is>
      </c>
      <c r="K795" t="n">
        <v>3</v>
      </c>
      <c r="L795" t="inlineStr">
        <is>
          <t>Battalion — Whenever this creature and at least two other creatures attack, creatures you control gain indestructible until end of turn.
Sacrifice this creature: Counter target spell with {X} in its mana cost unless its controller pays {3}.
(3/3)</t>
        </is>
      </c>
      <c r="M795" t="inlineStr">
        <is>
          <t>Protection</t>
        </is>
      </c>
      <c r="N795" t="inlineStr">
        <is>
          <t>Battalion: your creatures gain indestructible when 3+ attack</t>
        </is>
      </c>
      <c r="O795" t="inlineStr">
        <is>
          <t>Sacrifice: counter a spell with {X} in its cost unless they pay {3}</t>
        </is>
      </c>
      <c r="R795" t="n">
        <v>0.2</v>
      </c>
    </row>
    <row r="796" ht="15" customHeight="1" s="148">
      <c r="A796" t="inlineStr">
        <is>
          <t>c0795</t>
        </is>
      </c>
      <c r="B796" t="inlineStr">
        <is>
          <t>Gather the Townsfolk</t>
        </is>
      </c>
      <c r="C796" t="n">
        <v>0</v>
      </c>
      <c r="E796" t="n">
        <v>0</v>
      </c>
      <c r="F796" t="n">
        <v>0</v>
      </c>
      <c r="G796" t="n">
        <v>0</v>
      </c>
      <c r="H796" t="inlineStr">
        <is>
          <t>W</t>
        </is>
      </c>
      <c r="I796" t="inlineStr">
        <is>
          <t>Sorcery</t>
        </is>
      </c>
      <c r="J796" t="inlineStr">
        <is>
          <t>B2</t>
        </is>
      </c>
      <c r="K796" t="n">
        <v>2</v>
      </c>
      <c r="L796" t="inlineStr">
        <is>
          <t>Create two 1/1 white Human creature tokens.
Fateful hour — If you have 5 or less life, create five of those tokens instead.</t>
        </is>
      </c>
      <c r="M796" t="inlineStr">
        <is>
          <t>Token Producer</t>
        </is>
      </c>
      <c r="N796" t="inlineStr">
        <is>
          <t>Creates two 1/1 Human tokens (five instead if you have 5 or less life)</t>
        </is>
      </c>
      <c r="R796" t="n">
        <v>0.13</v>
      </c>
    </row>
    <row r="797" ht="15" customHeight="1" s="148">
      <c r="A797" t="inlineStr">
        <is>
          <t>c0796</t>
        </is>
      </c>
      <c r="B797" t="inlineStr">
        <is>
          <t>Generous Gift</t>
        </is>
      </c>
      <c r="C797" t="n">
        <v>1</v>
      </c>
      <c r="E797" t="n">
        <v>1</v>
      </c>
      <c r="F797" t="n">
        <v>0</v>
      </c>
      <c r="G797" t="n">
        <v>1</v>
      </c>
      <c r="H797" t="inlineStr">
        <is>
          <t>W</t>
        </is>
      </c>
      <c r="I797" t="inlineStr">
        <is>
          <t>Instant</t>
        </is>
      </c>
      <c r="J797" t="inlineStr">
        <is>
          <t>B3</t>
        </is>
      </c>
      <c r="K797" t="n">
        <v>3</v>
      </c>
      <c r="L797" t="inlineStr">
        <is>
          <t>Destroy target permanent. Its controller creates a 3/3 green Elephant creature token.</t>
        </is>
      </c>
      <c r="M797" t="inlineStr">
        <is>
          <t>Removal</t>
        </is>
      </c>
      <c r="N797" t="inlineStr">
        <is>
          <t>Destroys target permanent</t>
        </is>
      </c>
      <c r="O797" t="inlineStr">
        <is>
          <t>Its controller creates a 3/3 Elephant token</t>
        </is>
      </c>
      <c r="R797" t="n">
        <v>0.85</v>
      </c>
    </row>
    <row r="798" ht="15" customHeight="1" s="148">
      <c r="A798" t="inlineStr">
        <is>
          <t>c0797</t>
        </is>
      </c>
      <c r="B798" t="inlineStr">
        <is>
          <t>Glider Kids</t>
        </is>
      </c>
      <c r="C798" t="n">
        <v>1</v>
      </c>
      <c r="E798" t="n">
        <v>0</v>
      </c>
      <c r="F798" t="n">
        <v>1</v>
      </c>
      <c r="G798" t="n">
        <v>0</v>
      </c>
      <c r="H798" t="inlineStr">
        <is>
          <t>W</t>
        </is>
      </c>
      <c r="I798" t="inlineStr">
        <is>
          <t>Creature</t>
        </is>
      </c>
      <c r="J798" t="inlineStr">
        <is>
          <t>B2</t>
        </is>
      </c>
      <c r="K798" t="n">
        <v>3</v>
      </c>
      <c r="L798" t="inlineStr">
        <is>
          <t>Flying
When this creature enters, scry 1. (Look at the top card of your library. You may put it on the bottom.)
(2/3)</t>
        </is>
      </c>
      <c r="M798" t="inlineStr">
        <is>
          <t>Utility Creature</t>
        </is>
      </c>
      <c r="N798" t="inlineStr">
        <is>
          <t>Flying</t>
        </is>
      </c>
      <c r="O798" t="inlineStr">
        <is>
          <t>Enters: look at the top card of your library and you may put it on the bottom</t>
        </is>
      </c>
      <c r="R798" t="n">
        <v>0.14</v>
      </c>
    </row>
    <row r="799" ht="15" customHeight="1" s="148">
      <c r="A799" t="inlineStr">
        <is>
          <t>c0798</t>
        </is>
      </c>
      <c r="B799" t="inlineStr">
        <is>
          <t>Goldmeadow Nomad</t>
        </is>
      </c>
      <c r="C799" t="n">
        <v>2</v>
      </c>
      <c r="E799" t="n">
        <v>0</v>
      </c>
      <c r="F799" t="n">
        <v>2</v>
      </c>
      <c r="G799" t="n">
        <v>0</v>
      </c>
      <c r="H799" t="inlineStr">
        <is>
          <t>W</t>
        </is>
      </c>
      <c r="I799" t="inlineStr">
        <is>
          <t>Creature</t>
        </is>
      </c>
      <c r="J799" t="inlineStr">
        <is>
          <t>B2</t>
        </is>
      </c>
      <c r="K799" t="n">
        <v>1</v>
      </c>
      <c r="L799" t="inlineStr">
        <is>
          <t>{W}, Exile this card from your graveyard: Create a 1/1 green and white Kithkin creature token. Activate only as a sorcery.
(1/2)</t>
        </is>
      </c>
      <c r="M799" t="inlineStr">
        <is>
          <t>Token Producer</t>
        </is>
      </c>
      <c r="N799" t="inlineStr">
        <is>
          <t>{W}, exile this card from your graveyard: create a 1/1 Kithkin token, as a sorcery</t>
        </is>
      </c>
      <c r="R799" t="n">
        <v>0.2</v>
      </c>
    </row>
    <row r="800" ht="15" customHeight="1" s="148">
      <c r="A800" t="inlineStr">
        <is>
          <t>c0799</t>
        </is>
      </c>
      <c r="B800" t="inlineStr">
        <is>
          <t>Grateful Apparition</t>
        </is>
      </c>
      <c r="C800" t="n">
        <v>1</v>
      </c>
      <c r="E800" t="n">
        <v>1</v>
      </c>
      <c r="F800" t="n">
        <v>0</v>
      </c>
      <c r="G800" t="n">
        <v>1</v>
      </c>
      <c r="H800" t="inlineStr">
        <is>
          <t>W</t>
        </is>
      </c>
      <c r="I800" t="inlineStr">
        <is>
          <t>Creature</t>
        </is>
      </c>
      <c r="J800" t="inlineStr">
        <is>
          <t>B2</t>
        </is>
      </c>
      <c r="K800" t="n">
        <v>2</v>
      </c>
      <c r="L800" t="inlineStr">
        <is>
          <t>Flying
Whenever this creature deals combat damage to a player or planeswalker, proliferate. (Choose any number of permanents and/or players, then give each another counter of each kind already there.)
(1/1)</t>
        </is>
      </c>
      <c r="M800" t="inlineStr">
        <is>
          <t>Proliferate</t>
        </is>
      </c>
      <c r="N800" t="inlineStr">
        <is>
          <t>Proliferates whenever it deals combat damage to a player or planeswalker</t>
        </is>
      </c>
      <c r="O800" t="inlineStr">
        <is>
          <t>Flying body</t>
        </is>
      </c>
      <c r="R800" t="n">
        <v>0.19</v>
      </c>
    </row>
    <row r="801" ht="15" customHeight="1" s="148">
      <c r="A801" t="inlineStr">
        <is>
          <t>c0800</t>
        </is>
      </c>
      <c r="B801" t="inlineStr">
        <is>
          <t>Guardian of Faith</t>
        </is>
      </c>
      <c r="C801" t="n">
        <v>1</v>
      </c>
      <c r="E801" t="n">
        <v>1</v>
      </c>
      <c r="F801" t="n">
        <v>0</v>
      </c>
      <c r="G801" t="n">
        <v>1</v>
      </c>
      <c r="H801" t="inlineStr">
        <is>
          <t>W</t>
        </is>
      </c>
      <c r="I801" t="inlineStr">
        <is>
          <t>Creature</t>
        </is>
      </c>
      <c r="J801" t="inlineStr">
        <is>
          <t>B2</t>
        </is>
      </c>
      <c r="K801" t="n">
        <v>3</v>
      </c>
      <c r="L801" t="inlineStr">
        <is>
          <t>Flash
Vigilance
When this creature enters, any number of other target creatures you control phase out. (Treat them and anything attached to them as though they don't exist until their controller's next turn.)
(3/2)</t>
        </is>
      </c>
      <c r="M801" t="inlineStr">
        <is>
          <t>Protection</t>
        </is>
      </c>
      <c r="N801" t="inlineStr">
        <is>
          <t>Can be cast at instant speed</t>
        </is>
      </c>
      <c r="O801" t="inlineStr">
        <is>
          <t>Enters: any number of your other creatures become temporarily untargetable and safe from harm</t>
        </is>
      </c>
      <c r="R801" t="n">
        <v>0.61</v>
      </c>
    </row>
    <row r="802" ht="15" customHeight="1" s="148">
      <c r="A802" t="inlineStr">
        <is>
          <t>c0801</t>
        </is>
      </c>
      <c r="B802" t="inlineStr">
        <is>
          <t>Guardian Scalelord</t>
        </is>
      </c>
      <c r="C802" t="n">
        <v>1</v>
      </c>
      <c r="E802" t="n">
        <v>1</v>
      </c>
      <c r="F802" t="n">
        <v>0</v>
      </c>
      <c r="G802" t="n">
        <v>1</v>
      </c>
      <c r="H802" t="inlineStr">
        <is>
          <t>W</t>
        </is>
      </c>
      <c r="I802" t="inlineStr">
        <is>
          <t>Creature</t>
        </is>
      </c>
      <c r="J802" t="inlineStr">
        <is>
          <t>B2</t>
        </is>
      </c>
      <c r="K802" t="n">
        <v>5</v>
      </c>
      <c r="L802" t="inlineStr">
        <is>
          <t>Backup 1 (When this creature enters, put a +1/+1 counter on target creature. If that's another creature, it gains the following abilities until end of turn.)
Flying
Whenever this creature attacks, return target nonland permanent card with mana value X or less from your graveyard to the battlefield, where X is this creature's power.
(3/4)</t>
        </is>
      </c>
      <c r="M802" t="inlineStr">
        <is>
          <t>Recursion</t>
        </is>
      </c>
      <c r="N802" t="inlineStr">
        <is>
          <t>Backup 1: puts a +1/+1 counter on target creature, may share flying</t>
        </is>
      </c>
      <c r="O802" t="inlineStr">
        <is>
          <t>Attacking returns a permanent MV ≤ its power from graveyard</t>
        </is>
      </c>
      <c r="R802" t="n">
        <v>0.3</v>
      </c>
    </row>
    <row r="803" ht="15" customHeight="1" s="148">
      <c r="A803" t="inlineStr">
        <is>
          <t>c0802</t>
        </is>
      </c>
      <c r="B803" t="inlineStr">
        <is>
          <t>Haystack</t>
        </is>
      </c>
      <c r="C803" t="n">
        <v>1</v>
      </c>
      <c r="E803" t="n">
        <v>0</v>
      </c>
      <c r="F803" t="n">
        <v>1</v>
      </c>
      <c r="G803" t="n">
        <v>0</v>
      </c>
      <c r="H803" t="inlineStr">
        <is>
          <t>W</t>
        </is>
      </c>
      <c r="I803" t="inlineStr">
        <is>
          <t>Artifact</t>
        </is>
      </c>
      <c r="J803" t="inlineStr">
        <is>
          <t>B2</t>
        </is>
      </c>
      <c r="K803" t="n">
        <v>2</v>
      </c>
      <c r="L803" t="inlineStr">
        <is>
          <t>{2}, {T}: Target creature you control phases out. (Treat it and anything attached to it as though they don't exist until your next turn.)</t>
        </is>
      </c>
      <c r="M803" t="inlineStr">
        <is>
          <t>Protection</t>
        </is>
      </c>
      <c r="N803" t="inlineStr">
        <is>
          <t>Phases out target creature you control</t>
        </is>
      </c>
      <c r="R803" t="n">
        <v>0.33</v>
      </c>
    </row>
    <row r="804" ht="15" customHeight="1" s="148">
      <c r="A804" t="inlineStr">
        <is>
          <t>c0803</t>
        </is>
      </c>
      <c r="B804" t="inlineStr">
        <is>
          <t>Hop to It</t>
        </is>
      </c>
      <c r="C804" t="n">
        <v>1</v>
      </c>
      <c r="E804" t="n">
        <v>0</v>
      </c>
      <c r="F804" t="n">
        <v>1</v>
      </c>
      <c r="G804" t="n">
        <v>0</v>
      </c>
      <c r="H804" t="inlineStr">
        <is>
          <t>W</t>
        </is>
      </c>
      <c r="I804" t="inlineStr">
        <is>
          <t>Sorcery</t>
        </is>
      </c>
      <c r="J804" t="inlineStr">
        <is>
          <t>B2</t>
        </is>
      </c>
      <c r="K804" t="n">
        <v>3</v>
      </c>
      <c r="L804" t="inlineStr">
        <is>
          <t>Create three 1/1 white Rabbit creature tokens.</t>
        </is>
      </c>
      <c r="M804" t="inlineStr">
        <is>
          <t>Token Producer</t>
        </is>
      </c>
      <c r="N804" t="inlineStr">
        <is>
          <t>Create three 1/1 Rabbit tokens</t>
        </is>
      </c>
      <c r="R804" t="n">
        <v>0.28</v>
      </c>
    </row>
    <row r="805" ht="15" customHeight="1" s="148">
      <c r="A805" t="inlineStr">
        <is>
          <t>c0804</t>
        </is>
      </c>
      <c r="B805" t="inlineStr">
        <is>
          <t>Hunted Witness</t>
        </is>
      </c>
      <c r="C805" t="n">
        <v>0</v>
      </c>
      <c r="E805" t="n">
        <v>0</v>
      </c>
      <c r="F805" t="n">
        <v>0</v>
      </c>
      <c r="G805" t="n">
        <v>0</v>
      </c>
      <c r="H805" t="inlineStr">
        <is>
          <t>W</t>
        </is>
      </c>
      <c r="I805" t="inlineStr">
        <is>
          <t>Creature</t>
        </is>
      </c>
      <c r="J805" t="inlineStr">
        <is>
          <t>B2</t>
        </is>
      </c>
      <c r="K805" t="n">
        <v>1</v>
      </c>
      <c r="L805" t="inlineStr">
        <is>
          <t>When this creature dies, create a 1/1 white Soldier creature token with lifelink.
(1/1)</t>
        </is>
      </c>
      <c r="M805" t="inlineStr">
        <is>
          <t>Token Producer</t>
        </is>
      </c>
      <c r="N805" t="inlineStr">
        <is>
          <t>Creates a 1/1 lifelink Soldier token when it dies</t>
        </is>
      </c>
      <c r="R805" t="n">
        <v>0.29</v>
      </c>
    </row>
    <row r="806" ht="15" customHeight="1" s="148">
      <c r="A806" t="inlineStr">
        <is>
          <t>c0805</t>
        </is>
      </c>
      <c r="B806" t="inlineStr">
        <is>
          <t>Impassioned Orator</t>
        </is>
      </c>
      <c r="C806" t="n">
        <v>1</v>
      </c>
      <c r="E806" t="n">
        <v>1</v>
      </c>
      <c r="F806" t="n">
        <v>0</v>
      </c>
      <c r="G806" t="n">
        <v>0</v>
      </c>
      <c r="H806" t="inlineStr">
        <is>
          <t>W</t>
        </is>
      </c>
      <c r="I806" t="inlineStr">
        <is>
          <t>Creature</t>
        </is>
      </c>
      <c r="J806" t="inlineStr">
        <is>
          <t>B2</t>
        </is>
      </c>
      <c r="K806" t="n">
        <v>2</v>
      </c>
      <c r="L806" t="inlineStr">
        <is>
          <t>Whenever another creature you control enters, you gain 1 life.
(2/2)</t>
        </is>
      </c>
      <c r="M806" t="inlineStr">
        <is>
          <t>Lifegain</t>
        </is>
      </c>
      <c r="N806" t="inlineStr">
        <is>
          <t>Gain 1 life whenever another creature you control enters</t>
        </is>
      </c>
      <c r="R806" t="n">
        <v>0.32</v>
      </c>
    </row>
    <row r="807" ht="15" customHeight="1" s="148">
      <c r="A807" t="inlineStr">
        <is>
          <t>c0806</t>
        </is>
      </c>
      <c r="B807" t="inlineStr">
        <is>
          <t>Indomitable Ancients</t>
        </is>
      </c>
      <c r="C807" t="n">
        <v>1</v>
      </c>
      <c r="E807" t="n">
        <v>1</v>
      </c>
      <c r="F807" t="n">
        <v>0</v>
      </c>
      <c r="G807" t="n">
        <v>1</v>
      </c>
      <c r="H807" t="inlineStr">
        <is>
          <t>W</t>
        </is>
      </c>
      <c r="I807" t="inlineStr">
        <is>
          <t>Creature</t>
        </is>
      </c>
      <c r="J807" t="inlineStr">
        <is>
          <t>B2</t>
        </is>
      </c>
      <c r="K807" t="n">
        <v>4</v>
      </c>
      <c r="L807" t="inlineStr">
        <is>
          <t>(2/10)</t>
        </is>
      </c>
      <c r="M807" t="inlineStr">
        <is>
          <t>Utility Creature</t>
        </is>
      </c>
      <c r="N807" t="inlineStr">
        <is>
          <t>Vanilla creature with no abilities (body only)</t>
        </is>
      </c>
      <c r="R807" t="n">
        <v>0.38</v>
      </c>
    </row>
    <row r="808" ht="15" customHeight="1" s="148">
      <c r="A808" t="inlineStr">
        <is>
          <t>c0807</t>
        </is>
      </c>
      <c r="B808" t="inlineStr">
        <is>
          <t>Inspiring Overseer</t>
        </is>
      </c>
      <c r="C808" t="n">
        <v>0</v>
      </c>
      <c r="E808" t="n">
        <v>0</v>
      </c>
      <c r="F808" t="n">
        <v>0</v>
      </c>
      <c r="G808" t="n">
        <v>0</v>
      </c>
      <c r="H808" t="inlineStr">
        <is>
          <t>W</t>
        </is>
      </c>
      <c r="I808" t="inlineStr">
        <is>
          <t>Creature</t>
        </is>
      </c>
      <c r="J808" t="inlineStr">
        <is>
          <t>B2</t>
        </is>
      </c>
      <c r="K808" t="n">
        <v>3</v>
      </c>
      <c r="L808" t="inlineStr">
        <is>
          <t>Flying
When this creature enters, you gain 1 life and draw a card.
(2/1)</t>
        </is>
      </c>
      <c r="M808" t="inlineStr">
        <is>
          <t>Card Draw</t>
        </is>
      </c>
      <c r="N808" t="inlineStr">
        <is>
          <t>Gains 1 life and draws a card when it enters</t>
        </is>
      </c>
      <c r="O808" t="inlineStr">
        <is>
          <t>Flying body</t>
        </is>
      </c>
      <c r="R808" t="n">
        <v>0.28</v>
      </c>
    </row>
    <row r="809" ht="15" customHeight="1" s="148">
      <c r="A809" t="inlineStr">
        <is>
          <t>c0808</t>
        </is>
      </c>
      <c r="B809" t="inlineStr">
        <is>
          <t>Intangible Virtue</t>
        </is>
      </c>
      <c r="C809" t="n">
        <v>1</v>
      </c>
      <c r="E809" t="n">
        <v>1</v>
      </c>
      <c r="F809" t="n">
        <v>0</v>
      </c>
      <c r="G809" t="n">
        <v>1</v>
      </c>
      <c r="H809" t="inlineStr">
        <is>
          <t>W</t>
        </is>
      </c>
      <c r="I809" t="inlineStr">
        <is>
          <t>Enchantment</t>
        </is>
      </c>
      <c r="J809" t="inlineStr">
        <is>
          <t>B2</t>
        </is>
      </c>
      <c r="K809" t="n">
        <v>2</v>
      </c>
      <c r="L809" t="inlineStr">
        <is>
          <t>Creature tokens you control get +1/+1 and have vigilance.</t>
        </is>
      </c>
      <c r="M809" t="inlineStr">
        <is>
          <t>Lord/Anthem</t>
        </is>
      </c>
      <c r="N809" t="inlineStr">
        <is>
          <t>Your creature tokens get +1/+1</t>
        </is>
      </c>
      <c r="O809" t="inlineStr">
        <is>
          <t>Your creature tokens have vigilance</t>
        </is>
      </c>
      <c r="R809" t="n">
        <v>0.29</v>
      </c>
    </row>
    <row r="810" ht="15" customHeight="1" s="148">
      <c r="A810" t="inlineStr">
        <is>
          <t>c0809</t>
        </is>
      </c>
      <c r="B810" t="inlineStr">
        <is>
          <t>Ironsoul Enforcer</t>
        </is>
      </c>
      <c r="C810" t="n">
        <v>1</v>
      </c>
      <c r="E810" t="n">
        <v>0</v>
      </c>
      <c r="F810" t="n">
        <v>1</v>
      </c>
      <c r="G810" t="n">
        <v>0</v>
      </c>
      <c r="H810" t="inlineStr">
        <is>
          <t>W</t>
        </is>
      </c>
      <c r="I810" t="inlineStr">
        <is>
          <t>Artifact Creature</t>
        </is>
      </c>
      <c r="J810" t="inlineStr">
        <is>
          <t>B2</t>
        </is>
      </c>
      <c r="K810" t="n">
        <v>5</v>
      </c>
      <c r="L810" t="inlineStr">
        <is>
          <t>Whenever this creature or a commander you control attacks alone, return target artifact card from your graveyard to the battlefield.
(4/4)</t>
        </is>
      </c>
      <c r="M810" t="inlineStr">
        <is>
          <t>Recursion</t>
        </is>
      </c>
      <c r="N810" t="inlineStr">
        <is>
          <t>Returns target artifact card from your graveyard to the battlefield when it or your commander attacks alone</t>
        </is>
      </c>
      <c r="R810" t="n">
        <v>0.89</v>
      </c>
    </row>
    <row r="811" ht="15" customHeight="1" s="148">
      <c r="A811" t="inlineStr">
        <is>
          <t>c0810</t>
        </is>
      </c>
      <c r="B811" t="inlineStr">
        <is>
          <t>Joined Researchers</t>
        </is>
      </c>
      <c r="C811" t="n">
        <v>1</v>
      </c>
      <c r="E811" t="n">
        <v>0</v>
      </c>
      <c r="F811" t="n">
        <v>1</v>
      </c>
      <c r="G811" t="n">
        <v>0</v>
      </c>
      <c r="H811" t="inlineStr">
        <is>
          <t>W</t>
        </is>
      </c>
      <c r="I811" t="inlineStr">
        <is>
          <t>Creature</t>
        </is>
      </c>
      <c r="J811" t="inlineStr">
        <is>
          <t>B2</t>
        </is>
      </c>
      <c r="K811" t="n">
        <v>2</v>
      </c>
      <c r="L811" t="inlineStr">
        <is>
          <t>Joined Researchers {1}{W} — Creature — Human Cleric Wizard (2/2)
First strike
At the beginning of each end step, if an opponent has more cards in hand than you, this creature becomes prepared. (While it's prepared, you may cast a copy of its spell. Doing so unprepares it.)
//
Secret Rendezvous {1}{W}{W} — Sorcery
You and target opponent each draw three cards.</t>
        </is>
      </c>
      <c r="M811" t="inlineStr">
        <is>
          <t>Card Draw</t>
        </is>
      </c>
      <c r="N811" t="inlineStr">
        <is>
          <t>Becomes prepared at each end step where an opponent has more cards in hand than you</t>
        </is>
      </c>
      <c r="O811" t="inlineStr">
        <is>
          <t>Secret Rendezvous: you and target opponent each draw three cards</t>
        </is>
      </c>
      <c r="P811" t="inlineStr">
        <is>
          <t>First strike body</t>
        </is>
      </c>
      <c r="R811" t="n">
        <v>0.37</v>
      </c>
    </row>
    <row r="812" ht="15" customHeight="1" s="148">
      <c r="A812" t="inlineStr">
        <is>
          <t>c0811</t>
        </is>
      </c>
      <c r="B812" t="inlineStr">
        <is>
          <t>Kami of Ancient Law</t>
        </is>
      </c>
      <c r="C812" t="n">
        <v>1</v>
      </c>
      <c r="E812" t="n">
        <v>1</v>
      </c>
      <c r="F812" t="n">
        <v>0</v>
      </c>
      <c r="G812" t="n">
        <v>1</v>
      </c>
      <c r="H812" t="inlineStr">
        <is>
          <t>W</t>
        </is>
      </c>
      <c r="I812" t="inlineStr">
        <is>
          <t>Creature</t>
        </is>
      </c>
      <c r="J812" t="inlineStr">
        <is>
          <t>B2</t>
        </is>
      </c>
      <c r="K812" t="n">
        <v>2</v>
      </c>
      <c r="L812" t="inlineStr">
        <is>
          <t>Sacrifice this creature: Destroy target enchantment.
(2/2)</t>
        </is>
      </c>
      <c r="M812" t="inlineStr">
        <is>
          <t>Artifact/Enchantment Removal</t>
        </is>
      </c>
      <c r="N812" t="inlineStr">
        <is>
          <t>Sacrifice this creature to destroy target enchantment</t>
        </is>
      </c>
      <c r="R812" t="n">
        <v>0.2</v>
      </c>
    </row>
    <row r="813" ht="15" customHeight="1" s="148">
      <c r="A813" t="inlineStr">
        <is>
          <t>c0812</t>
        </is>
      </c>
      <c r="B813" t="inlineStr">
        <is>
          <t>Kami of Old Stone</t>
        </is>
      </c>
      <c r="C813" t="n">
        <v>0</v>
      </c>
      <c r="E813" t="n">
        <v>0</v>
      </c>
      <c r="F813" t="n">
        <v>0</v>
      </c>
      <c r="G813" t="n">
        <v>0</v>
      </c>
      <c r="H813" t="inlineStr">
        <is>
          <t>W</t>
        </is>
      </c>
      <c r="I813" t="inlineStr">
        <is>
          <t>Creature</t>
        </is>
      </c>
      <c r="J813" t="inlineStr">
        <is>
          <t>B2</t>
        </is>
      </c>
      <c r="K813" t="n">
        <v>4</v>
      </c>
      <c r="L813" t="inlineStr">
        <is>
          <t>(1/7)</t>
        </is>
      </c>
      <c r="M813" t="inlineStr">
        <is>
          <t>Utility Creature</t>
        </is>
      </c>
      <c r="N813" t="inlineStr">
        <is>
          <t>Vanilla creature with no abilities (body only)</t>
        </is>
      </c>
      <c r="R813" t="n">
        <v>0.1</v>
      </c>
    </row>
    <row r="814" ht="15" customHeight="1" s="148">
      <c r="A814" t="inlineStr">
        <is>
          <t>c0813</t>
        </is>
      </c>
      <c r="B814" t="inlineStr">
        <is>
          <t>Karmic Guide</t>
        </is>
      </c>
      <c r="C814" t="n">
        <v>1</v>
      </c>
      <c r="E814" t="n">
        <v>1</v>
      </c>
      <c r="F814" t="n">
        <v>0</v>
      </c>
      <c r="G814" t="n">
        <v>1</v>
      </c>
      <c r="H814" t="inlineStr">
        <is>
          <t>W</t>
        </is>
      </c>
      <c r="I814" t="inlineStr">
        <is>
          <t>Creature</t>
        </is>
      </c>
      <c r="J814" t="inlineStr">
        <is>
          <t>B2</t>
        </is>
      </c>
      <c r="K814" t="n">
        <v>5</v>
      </c>
      <c r="L814" t="inlineStr">
        <is>
          <t>Flying, protection from black
Echo {3}{W}{W} (At the beginning of your upkeep, if this came under your control since the beginning of your last upkeep, sacrifice it unless you pay its echo cost.)
When this creature enters, return target creature card from your graveyard to the battlefield.
(2/2)</t>
        </is>
      </c>
      <c r="M814" t="inlineStr">
        <is>
          <t>Recursion</t>
        </is>
      </c>
      <c r="N814" t="inlineStr">
        <is>
          <t>Flying body that can't be blocked or targeted by black</t>
        </is>
      </c>
      <c r="O814" t="inlineStr">
        <is>
          <t>Enters: return target creature card from graveyard to battlefield</t>
        </is>
      </c>
      <c r="P814" t="inlineStr">
        <is>
          <t>Must pay {3}{W}{W} next upkeep or be sacrificed</t>
        </is>
      </c>
      <c r="R814" t="n">
        <v>0.33</v>
      </c>
    </row>
    <row r="815" ht="15" customHeight="1" s="148">
      <c r="A815" t="inlineStr">
        <is>
          <t>c0814</t>
        </is>
      </c>
      <c r="B815" t="inlineStr">
        <is>
          <t>Keeper of the Accord</t>
        </is>
      </c>
      <c r="C815" t="n">
        <v>1</v>
      </c>
      <c r="E815" t="n">
        <v>0</v>
      </c>
      <c r="F815" t="n">
        <v>1</v>
      </c>
      <c r="G815" t="n">
        <v>0</v>
      </c>
      <c r="H815" t="inlineStr">
        <is>
          <t>W</t>
        </is>
      </c>
      <c r="I815" t="inlineStr">
        <is>
          <t>Creature</t>
        </is>
      </c>
      <c r="J815" t="inlineStr">
        <is>
          <t>B2</t>
        </is>
      </c>
      <c r="K815" t="n">
        <v>4</v>
      </c>
      <c r="L815" t="inlineStr">
        <is>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
(3/4)</t>
        </is>
      </c>
      <c r="M815" t="inlineStr">
        <is>
          <t>Value Engine</t>
        </is>
      </c>
      <c r="N815" t="inlineStr">
        <is>
          <t>Each opponent's end step: if they have more creatures, create a 1/1 Soldier token</t>
        </is>
      </c>
      <c r="O815" t="inlineStr">
        <is>
          <t>Each opponent's end step: if they have more lands, may search for a Plains onto the battlefield tapped</t>
        </is>
      </c>
      <c r="R815" t="n">
        <v>0.57</v>
      </c>
    </row>
    <row r="816" ht="15" customHeight="1" s="148">
      <c r="A816" t="inlineStr">
        <is>
          <t>c0815</t>
        </is>
      </c>
      <c r="B816" t="inlineStr">
        <is>
          <t>Kinbinding</t>
        </is>
      </c>
      <c r="C816" t="n">
        <v>1</v>
      </c>
      <c r="E816" t="n">
        <v>0</v>
      </c>
      <c r="F816" t="n">
        <v>1</v>
      </c>
      <c r="G816" t="n">
        <v>0</v>
      </c>
      <c r="H816" t="inlineStr">
        <is>
          <t>W</t>
        </is>
      </c>
      <c r="I816" t="inlineStr">
        <is>
          <t>Enchantment</t>
        </is>
      </c>
      <c r="J816" t="inlineStr">
        <is>
          <t>B2</t>
        </is>
      </c>
      <c r="K816" t="n">
        <v>5</v>
      </c>
      <c r="L816" t="inlineStr">
        <is>
          <t>Creatures you control get +X/+X, where X is the number of creatures that entered the battlefield under your control this turn.
At the beginning of combat on your turn, create a 1/1 green and white Kithkin creature token.</t>
        </is>
      </c>
      <c r="M816" t="inlineStr">
        <is>
          <t>Lord/Anthem</t>
        </is>
      </c>
      <c r="N816" t="inlineStr">
        <is>
          <t>Creatures you control get +X/+X, where X is the number of creatures that entered under your control this turn</t>
        </is>
      </c>
      <c r="O816" t="inlineStr">
        <is>
          <t>At the beginning of combat on your turn, create a 1/1 Kithkin token</t>
        </is>
      </c>
      <c r="R816" t="n">
        <v>0.36</v>
      </c>
    </row>
    <row r="817" ht="15" customHeight="1" s="148">
      <c r="A817" t="inlineStr">
        <is>
          <t>c0816</t>
        </is>
      </c>
      <c r="B817" t="inlineStr">
        <is>
          <t>Kithkeeper</t>
        </is>
      </c>
      <c r="C817" t="n">
        <v>2</v>
      </c>
      <c r="E817" t="n">
        <v>1</v>
      </c>
      <c r="F817" t="n">
        <v>1</v>
      </c>
      <c r="G817" t="n">
        <v>0</v>
      </c>
      <c r="H817" t="inlineStr">
        <is>
          <t>W</t>
        </is>
      </c>
      <c r="I817" t="inlineStr">
        <is>
          <t>Creature</t>
        </is>
      </c>
      <c r="J817" t="inlineStr">
        <is>
          <t>B2</t>
        </is>
      </c>
      <c r="K817" t="n">
        <v>7</v>
      </c>
      <c r="L817" t="inlineStr">
        <is>
          <t>Vivid — When this creature enters, create X 1/1 green and white Kithkin creature tokens, where X is the number of colors among permanents you control.
Tap three untapped creatures you control: This creature gets +3/+0 and gains flying until end of turn.
(3/3)</t>
        </is>
      </c>
      <c r="M817" t="inlineStr">
        <is>
          <t>Token Producer</t>
        </is>
      </c>
      <c r="N817" t="inlineStr">
        <is>
          <t>Enters: create X 1/1 Kithkin tokens, X = colors among your permanents</t>
        </is>
      </c>
      <c r="O817" t="inlineStr">
        <is>
          <t>Tap three untapped creatures you control: gets +3/+0 and can fly this turn</t>
        </is>
      </c>
      <c r="R817" t="n">
        <v>0.22</v>
      </c>
    </row>
    <row r="818" ht="15" customHeight="1" s="148">
      <c r="A818" t="inlineStr">
        <is>
          <t>c0817</t>
        </is>
      </c>
      <c r="B818" t="inlineStr">
        <is>
          <t>Knight of Old Benalia</t>
        </is>
      </c>
      <c r="C818" t="n">
        <v>1</v>
      </c>
      <c r="E818" t="n">
        <v>0</v>
      </c>
      <c r="F818" t="n">
        <v>1</v>
      </c>
      <c r="G818" t="n">
        <v>0</v>
      </c>
      <c r="H818" t="inlineStr">
        <is>
          <t>W</t>
        </is>
      </c>
      <c r="I818" t="inlineStr">
        <is>
          <t>Creature</t>
        </is>
      </c>
      <c r="J818" t="inlineStr">
        <is>
          <t>B2</t>
        </is>
      </c>
      <c r="K818" t="n">
        <v>5</v>
      </c>
      <c r="L818" t="inlineStr">
        <is>
          <t>Suspend 5—{W} (Rather than cast this card from your hand, you may pay {W} and exile it with five time counters on it. At the beginning of your upkeep, remove a time counter. When the last is removed, you may cast it without paying its mana cost. It has haste.)
When this creature enters, other creatures you control get +1/+1 until end of turn.
(3/3)</t>
        </is>
      </c>
      <c r="M818" t="inlineStr">
        <is>
          <t>Combat Trick</t>
        </is>
      </c>
      <c r="N818" t="inlineStr">
        <is>
          <t>Other creatures you control get +1/+1 until end of turn when it enters</t>
        </is>
      </c>
      <c r="O818" t="inlineStr">
        <is>
          <t>Suspend 5-{W}: cast later free with haste after counters removed</t>
        </is>
      </c>
      <c r="R818" t="n">
        <v>0.05</v>
      </c>
    </row>
    <row r="819" ht="15" customHeight="1" s="148">
      <c r="A819" t="inlineStr">
        <is>
          <t>c0818</t>
        </is>
      </c>
      <c r="B819" t="inlineStr">
        <is>
          <t>Knight of the White Orchid</t>
        </is>
      </c>
      <c r="C819" t="n">
        <v>1</v>
      </c>
      <c r="E819" t="n">
        <v>1</v>
      </c>
      <c r="F819" t="n">
        <v>0</v>
      </c>
      <c r="G819" t="n">
        <v>1</v>
      </c>
      <c r="H819" t="inlineStr">
        <is>
          <t>W</t>
        </is>
      </c>
      <c r="I819" t="inlineStr">
        <is>
          <t>Creature</t>
        </is>
      </c>
      <c r="J819" t="inlineStr">
        <is>
          <t>B2</t>
        </is>
      </c>
      <c r="K819" t="n">
        <v>2</v>
      </c>
      <c r="L819" t="inlineStr">
        <is>
          <t>First strike
When this creature enters, if an opponent controls more lands than you, you may search your library for a Plains card, put it onto the battlefield, then shuffle.
(2/2)</t>
        </is>
      </c>
      <c r="M819" t="inlineStr">
        <is>
          <t>Ramp</t>
        </is>
      </c>
      <c r="N819" t="inlineStr">
        <is>
          <t>Deals combat damage before normal-speed blockers</t>
        </is>
      </c>
      <c r="O819" t="inlineStr">
        <is>
          <t>Enters: if an opponent has more lands, search for a Plains onto the battlefield</t>
        </is>
      </c>
      <c r="R819" t="n">
        <v>4.3</v>
      </c>
    </row>
    <row r="820" ht="15" customHeight="1" s="148">
      <c r="A820" t="inlineStr">
        <is>
          <t>c0819</t>
        </is>
      </c>
      <c r="B820" t="inlineStr">
        <is>
          <t>Kor Cartographer</t>
        </is>
      </c>
      <c r="C820" t="n">
        <v>1</v>
      </c>
      <c r="E820" t="n">
        <v>1</v>
      </c>
      <c r="F820" t="n">
        <v>0</v>
      </c>
      <c r="G820" t="n">
        <v>0</v>
      </c>
      <c r="H820" t="inlineStr">
        <is>
          <t>W</t>
        </is>
      </c>
      <c r="I820" t="inlineStr">
        <is>
          <t>Creature</t>
        </is>
      </c>
      <c r="J820" t="inlineStr">
        <is>
          <t>B2</t>
        </is>
      </c>
      <c r="K820" t="n">
        <v>4</v>
      </c>
      <c r="L820" t="inlineStr">
        <is>
          <t>When this creature enters, you may search your library for a Plains card, put it onto the battlefield tapped, then shuffle.
(2/2)</t>
        </is>
      </c>
      <c r="M820" t="inlineStr">
        <is>
          <t>Ramp</t>
        </is>
      </c>
      <c r="N820" t="inlineStr">
        <is>
          <t>Searches your library for a Plains card and puts it onto the battlefield tapped when it enters</t>
        </is>
      </c>
      <c r="R820" t="n">
        <v>0.22</v>
      </c>
    </row>
    <row r="821" ht="15" customHeight="1" s="148">
      <c r="A821" t="inlineStr">
        <is>
          <t>c0820</t>
        </is>
      </c>
      <c r="B821" t="inlineStr">
        <is>
          <t>Lake-town Lookout</t>
        </is>
      </c>
      <c r="C821" t="n">
        <v>1</v>
      </c>
      <c r="E821" t="n">
        <v>0</v>
      </c>
      <c r="F821" t="n">
        <v>1</v>
      </c>
      <c r="G821" t="n">
        <v>0</v>
      </c>
      <c r="H821" t="inlineStr">
        <is>
          <t>W</t>
        </is>
      </c>
      <c r="I821" t="inlineStr">
        <is>
          <t>Creature</t>
        </is>
      </c>
      <c r="J821" t="inlineStr">
        <is>
          <t>B2</t>
        </is>
      </c>
      <c r="K821" t="n">
        <v>1</v>
      </c>
      <c r="L821" t="inlineStr">
        <is>
          <t>When this creature dies, recruit. (Draw a card, then discard a card. If you discarded a nonland card, create a 1/1 white Human Soldier creature token.)
(1/1)</t>
        </is>
      </c>
      <c r="M821" t="inlineStr">
        <is>
          <t>Token Producer</t>
        </is>
      </c>
      <c r="N821" t="inlineStr">
        <is>
          <t>Draws then discards a card when it dies</t>
        </is>
      </c>
      <c r="O821" t="inlineStr">
        <is>
          <t>Creates a 1/1 Soldier token if a nonland card was discarded that way</t>
        </is>
      </c>
      <c r="R821" t="n">
        <v>0.11</v>
      </c>
    </row>
    <row r="822" ht="15" customHeight="1" s="148">
      <c r="A822" t="inlineStr">
        <is>
          <t>c0821</t>
        </is>
      </c>
      <c r="B822" t="inlineStr">
        <is>
          <t>Lake-town Toymaker</t>
        </is>
      </c>
      <c r="C822" t="n">
        <v>1</v>
      </c>
      <c r="E822" t="n">
        <v>0</v>
      </c>
      <c r="F822" t="n">
        <v>1</v>
      </c>
      <c r="G822" t="n">
        <v>0</v>
      </c>
      <c r="H822" t="inlineStr">
        <is>
          <t>W</t>
        </is>
      </c>
      <c r="I822" t="inlineStr">
        <is>
          <t>Creature</t>
        </is>
      </c>
      <c r="J822" t="inlineStr">
        <is>
          <t>B2</t>
        </is>
      </c>
      <c r="K822" t="n">
        <v>4</v>
      </c>
      <c r="L822" t="inlineStr">
        <is>
          <t>At the beginning of combat on your turn, if you've drawn two or more cards this turn, another target creature you control gets +3/+0 and gains first strike until end of turn.
(3/4)</t>
        </is>
      </c>
      <c r="M822" t="inlineStr">
        <is>
          <t>Combat Trick</t>
        </is>
      </c>
      <c r="N822" t="inlineStr">
        <is>
          <t>At the beginning of combat on your turn, if you have drawn two or more cards this turn, another target creature you control gets +3/+0 and gains first strike until end of turn</t>
        </is>
      </c>
      <c r="R822" t="n">
        <v>0.07000000000000001</v>
      </c>
    </row>
    <row r="823" ht="15" customHeight="1" s="148">
      <c r="A823" t="inlineStr">
        <is>
          <t>c0822</t>
        </is>
      </c>
      <c r="B823" t="inlineStr">
        <is>
          <t>Lingering Souls</t>
        </is>
      </c>
      <c r="C823" t="n">
        <v>1</v>
      </c>
      <c r="E823" t="n">
        <v>1</v>
      </c>
      <c r="F823" t="n">
        <v>0</v>
      </c>
      <c r="G823" t="n">
        <v>1</v>
      </c>
      <c r="H823" t="inlineStr">
        <is>
          <t>W</t>
        </is>
      </c>
      <c r="I823" t="inlineStr">
        <is>
          <t>Sorcery</t>
        </is>
      </c>
      <c r="J823" t="inlineStr">
        <is>
          <t>B2</t>
        </is>
      </c>
      <c r="K823" t="n">
        <v>3</v>
      </c>
      <c r="L823" t="inlineStr">
        <is>
          <t>Create two 1/1 white Spirit creature tokens with flying.
Flashback {1}{B} (You may cast this card from your graveyard for its flashback cost. Then exile it.)</t>
        </is>
      </c>
      <c r="M823" t="inlineStr">
        <is>
          <t>Token Producer</t>
        </is>
      </c>
      <c r="N823" t="inlineStr">
        <is>
          <t>Creates two 1/1 flying Spirit tokens</t>
        </is>
      </c>
      <c r="O823" t="inlineStr">
        <is>
          <t>Flashback {1}{B} to cast again from graveyard</t>
        </is>
      </c>
      <c r="R823" t="n">
        <v>0.32</v>
      </c>
    </row>
    <row r="824" ht="15" customHeight="1" s="148">
      <c r="A824" t="inlineStr">
        <is>
          <t>c0823</t>
        </is>
      </c>
      <c r="B824" t="inlineStr">
        <is>
          <t>Magnificent End</t>
        </is>
      </c>
      <c r="C824" t="n">
        <v>2</v>
      </c>
      <c r="E824" t="n">
        <v>0</v>
      </c>
      <c r="F824" t="n">
        <v>2</v>
      </c>
      <c r="G824" t="n">
        <v>0</v>
      </c>
      <c r="H824" t="inlineStr">
        <is>
          <t>W</t>
        </is>
      </c>
      <c r="I824" t="inlineStr">
        <is>
          <t>Instant</t>
        </is>
      </c>
      <c r="J824" t="inlineStr">
        <is>
          <t>B2</t>
        </is>
      </c>
      <c r="K824" t="n">
        <v>5</v>
      </c>
      <c r="L824" t="inlineStr">
        <is>
          <t>This spell costs {3} less to cast if it targets a tapped creature.
Magnificent End deals 5 damage to target creature.</t>
        </is>
      </c>
      <c r="M824" t="inlineStr">
        <is>
          <t>Removal</t>
        </is>
      </c>
      <c r="N824" t="inlineStr">
        <is>
          <t>Deals 5 damage to target creature</t>
        </is>
      </c>
      <c r="O824" t="inlineStr">
        <is>
          <t>Costs {3} less to cast if it targets a tapped creature</t>
        </is>
      </c>
      <c r="R824" t="n">
        <v>0.14</v>
      </c>
    </row>
    <row r="825" ht="15" customHeight="1" s="148">
      <c r="A825" t="inlineStr">
        <is>
          <t>c0824</t>
        </is>
      </c>
      <c r="B825" t="inlineStr">
        <is>
          <t>Make Your Move</t>
        </is>
      </c>
      <c r="C825" t="n">
        <v>1</v>
      </c>
      <c r="E825" t="n">
        <v>0</v>
      </c>
      <c r="F825" t="n">
        <v>1</v>
      </c>
      <c r="G825" t="n">
        <v>0</v>
      </c>
      <c r="H825" t="inlineStr">
        <is>
          <t>W</t>
        </is>
      </c>
      <c r="I825" t="inlineStr">
        <is>
          <t>Instant</t>
        </is>
      </c>
      <c r="J825" t="inlineStr">
        <is>
          <t>B2</t>
        </is>
      </c>
      <c r="K825" t="n">
        <v>3</v>
      </c>
      <c r="L825" t="inlineStr">
        <is>
          <t>Destroy target artifact, enchantment, or creature with power 4 or greater.</t>
        </is>
      </c>
      <c r="M825" t="inlineStr">
        <is>
          <t>Removal</t>
        </is>
      </c>
      <c r="N825" t="inlineStr">
        <is>
          <t>Destroys target artifact, enchantment, or creature with power 4+</t>
        </is>
      </c>
      <c r="R825" t="n">
        <v>0.22</v>
      </c>
    </row>
    <row r="826" ht="15" customHeight="1" s="148">
      <c r="A826" t="inlineStr">
        <is>
          <t>c0825</t>
        </is>
      </c>
      <c r="B826" t="inlineStr">
        <is>
          <t>Meanders Guide</t>
        </is>
      </c>
      <c r="C826" t="n">
        <v>2</v>
      </c>
      <c r="E826" t="n">
        <v>0</v>
      </c>
      <c r="F826" t="n">
        <v>2</v>
      </c>
      <c r="G826" t="n">
        <v>0</v>
      </c>
      <c r="H826" t="inlineStr">
        <is>
          <t>W</t>
        </is>
      </c>
      <c r="I826" t="inlineStr">
        <is>
          <t>Creature</t>
        </is>
      </c>
      <c r="J826" t="inlineStr">
        <is>
          <t>B2</t>
        </is>
      </c>
      <c r="K826" t="n">
        <v>3</v>
      </c>
      <c r="L826" t="inlineStr">
        <is>
          <t>Whenever this creature attacks, you may tap another untapped Merfolk you control. When you do, return target creature card with mana value 3 or less from your graveyard to the battlefield.
(3/2)</t>
        </is>
      </c>
      <c r="M826" t="inlineStr">
        <is>
          <t>Recursion</t>
        </is>
      </c>
      <c r="N826" t="inlineStr">
        <is>
          <t>Returns target creature card with mana value 3 or less from graveyard to the battlefield when it attacks</t>
        </is>
      </c>
      <c r="O826" t="inlineStr">
        <is>
          <t>Requires tapping another untapped Merfolk you control</t>
        </is>
      </c>
      <c r="R826" t="n">
        <v>0.19</v>
      </c>
    </row>
    <row r="827" ht="15" customHeight="1" s="148">
      <c r="A827" t="inlineStr">
        <is>
          <t>c0826</t>
        </is>
      </c>
      <c r="B827" t="inlineStr">
        <is>
          <t>Mentor of the Meek</t>
        </is>
      </c>
      <c r="C827" t="n">
        <v>1</v>
      </c>
      <c r="E827" t="n">
        <v>1</v>
      </c>
      <c r="F827" t="n">
        <v>0</v>
      </c>
      <c r="G827" t="n">
        <v>1</v>
      </c>
      <c r="H827" t="inlineStr">
        <is>
          <t>W</t>
        </is>
      </c>
      <c r="I827" t="inlineStr">
        <is>
          <t>Creature</t>
        </is>
      </c>
      <c r="J827" t="inlineStr">
        <is>
          <t>B3</t>
        </is>
      </c>
      <c r="K827" t="n">
        <v>3</v>
      </c>
      <c r="L827" t="inlineStr">
        <is>
          <t>Whenever another creature you control with power 2 or less enters, you may pay {1}. If you do, draw a card.
(2/2)</t>
        </is>
      </c>
      <c r="M827" t="inlineStr">
        <is>
          <t>Card Draw</t>
        </is>
      </c>
      <c r="N827" t="inlineStr">
        <is>
          <t>Whenever another creature you control with power 2 or less enters, you may pay {1}. If you do, draw a card.</t>
        </is>
      </c>
      <c r="R827" t="n">
        <v>0.14</v>
      </c>
    </row>
    <row r="828" ht="15" customHeight="1" s="148">
      <c r="A828" t="inlineStr">
        <is>
          <t>c0827</t>
        </is>
      </c>
      <c r="B828" t="inlineStr">
        <is>
          <t>Ministrant of Obligation</t>
        </is>
      </c>
      <c r="C828" t="n">
        <v>1</v>
      </c>
      <c r="E828" t="n">
        <v>1</v>
      </c>
      <c r="F828" t="n">
        <v>0</v>
      </c>
      <c r="G828" t="n">
        <v>1</v>
      </c>
      <c r="H828" t="inlineStr">
        <is>
          <t>W</t>
        </is>
      </c>
      <c r="I828" t="inlineStr">
        <is>
          <t>Creature</t>
        </is>
      </c>
      <c r="J828" t="inlineStr">
        <is>
          <t>B2</t>
        </is>
      </c>
      <c r="K828" t="n">
        <v>3</v>
      </c>
      <c r="L828" t="inlineStr">
        <is>
          <t>Afterlife 2 (When this creature dies, create two 1/1 white and black Spirit creature tokens with flying.)
(2/1)</t>
        </is>
      </c>
      <c r="M828" t="inlineStr">
        <is>
          <t>Token Producer</t>
        </is>
      </c>
      <c r="N828" t="inlineStr">
        <is>
          <t>Creates two 1/1 flying Spirit tokens when it dies</t>
        </is>
      </c>
      <c r="R828" t="n">
        <v>0.33</v>
      </c>
    </row>
    <row r="829" ht="15" customHeight="1" s="148">
      <c r="A829" t="inlineStr">
        <is>
          <t>c0828</t>
        </is>
      </c>
      <c r="B829" t="inlineStr">
        <is>
          <t>Moment of Glory</t>
        </is>
      </c>
      <c r="C829" t="n">
        <v>2</v>
      </c>
      <c r="E829" t="n">
        <v>0</v>
      </c>
      <c r="F829" t="n">
        <v>2</v>
      </c>
      <c r="G829" t="n">
        <v>0</v>
      </c>
      <c r="H829" t="inlineStr">
        <is>
          <t>W</t>
        </is>
      </c>
      <c r="I829" t="inlineStr">
        <is>
          <t>Sorcery</t>
        </is>
      </c>
      <c r="J829" t="inlineStr">
        <is>
          <t>B2</t>
        </is>
      </c>
      <c r="K829" t="n">
        <v>1</v>
      </c>
      <c r="L829" t="inlineStr">
        <is>
          <t>Put a +1/+1 counter on target creature you control. If this spell was cast from a graveyard, also put a +1/+1 counter on each other creature you control.
Flashback {4}{W} (You may cast this card from your graveyard for its flashback cost. Then exile it.)</t>
        </is>
      </c>
      <c r="M829" t="inlineStr">
        <is>
          <t>Counters Payoff</t>
        </is>
      </c>
      <c r="N829" t="inlineStr">
        <is>
          <t>Put a +1/+1 counter on target creature you control. If this spell was cast from a graveyard, also put a +1/+1 counter on</t>
        </is>
      </c>
      <c r="O829" t="inlineStr">
        <is>
          <t>Flashback {4}{W}</t>
        </is>
      </c>
      <c r="R829" t="n">
        <v>0.11</v>
      </c>
    </row>
    <row r="830" ht="15" customHeight="1" s="148">
      <c r="A830" t="inlineStr">
        <is>
          <t>c0829</t>
        </is>
      </c>
      <c r="B830" t="inlineStr">
        <is>
          <t>Monologue Tax</t>
        </is>
      </c>
      <c r="C830" t="n">
        <v>1</v>
      </c>
      <c r="E830" t="n">
        <v>1</v>
      </c>
      <c r="F830" t="n">
        <v>0</v>
      </c>
      <c r="G830" t="n">
        <v>1</v>
      </c>
      <c r="H830" t="inlineStr">
        <is>
          <t>W</t>
        </is>
      </c>
      <c r="I830" t="inlineStr">
        <is>
          <t>Enchantment</t>
        </is>
      </c>
      <c r="J830" t="inlineStr">
        <is>
          <t>B2</t>
        </is>
      </c>
      <c r="K830" t="n">
        <v>3</v>
      </c>
      <c r="L830" t="inlineStr">
        <is>
          <t>Whenever an opponent casts their second spell each turn, you create a Treasure token.</t>
        </is>
      </c>
      <c r="M830" t="inlineStr">
        <is>
          <t>Stax/Tax</t>
        </is>
      </c>
      <c r="N830" t="inlineStr">
        <is>
          <t>Creates a Treasure token when an opponent casts their second spell each turn</t>
        </is>
      </c>
      <c r="R830" t="n">
        <v>0.96</v>
      </c>
    </row>
    <row r="831" ht="15" customHeight="1" s="148">
      <c r="A831" t="inlineStr">
        <is>
          <t>c0830</t>
        </is>
      </c>
      <c r="B831" t="inlineStr">
        <is>
          <t>Moonlit Lamenter</t>
        </is>
      </c>
      <c r="C831" t="n">
        <v>1</v>
      </c>
      <c r="E831" t="n">
        <v>1</v>
      </c>
      <c r="F831" t="n">
        <v>0</v>
      </c>
      <c r="G831" t="n">
        <v>1</v>
      </c>
      <c r="H831" t="inlineStr">
        <is>
          <t>W</t>
        </is>
      </c>
      <c r="I831" t="inlineStr">
        <is>
          <t>Creature</t>
        </is>
      </c>
      <c r="J831" t="inlineStr">
        <is>
          <t>B2</t>
        </is>
      </c>
      <c r="K831" t="n">
        <v>3</v>
      </c>
      <c r="L831" t="inlineStr">
        <is>
          <t>This creature enters with a -1/-1 counter on it.
{1}{W}, Remove a counter from this creature: Draw a card. Activate only as a sorcery.
(2/5)</t>
        </is>
      </c>
      <c r="M831" t="inlineStr">
        <is>
          <t>Card Draw</t>
        </is>
      </c>
      <c r="N831" t="inlineStr">
        <is>
          <t>Enters with a -1/-1 counter on itself</t>
        </is>
      </c>
      <c r="O831" t="inlineStr">
        <is>
          <t>Remove the counter (sorcery speed) to draw a card</t>
        </is>
      </c>
      <c r="R831" t="n">
        <v>0.19</v>
      </c>
    </row>
    <row r="832" ht="15" customHeight="1" s="148">
      <c r="A832" t="inlineStr">
        <is>
          <t>c0831</t>
        </is>
      </c>
      <c r="B832" t="inlineStr">
        <is>
          <t>Moonshaker Cavalry</t>
        </is>
      </c>
      <c r="C832" t="n">
        <v>1</v>
      </c>
      <c r="E832" t="n">
        <v>1</v>
      </c>
      <c r="F832" t="n">
        <v>0</v>
      </c>
      <c r="G832" t="n">
        <v>1</v>
      </c>
      <c r="H832" t="inlineStr">
        <is>
          <t>W</t>
        </is>
      </c>
      <c r="I832" t="inlineStr">
        <is>
          <t>Creature</t>
        </is>
      </c>
      <c r="J832" t="inlineStr">
        <is>
          <t>B2</t>
        </is>
      </c>
      <c r="K832" t="n">
        <v>8</v>
      </c>
      <c r="L832" t="inlineStr">
        <is>
          <t>Flying
When this creature enters, creatures you control gain flying and get +X/+X until end of turn, where X is the number of creatures you control.
(6/6)</t>
        </is>
      </c>
      <c r="M832" t="inlineStr">
        <is>
          <t>Finisher</t>
        </is>
      </c>
      <c r="N832" t="inlineStr">
        <is>
          <t>Flying body</t>
        </is>
      </c>
      <c r="O832" t="inlineStr">
        <is>
          <t>Enters: creatures you control get +X/+X and can fly until end of turn, X = creatures you control</t>
        </is>
      </c>
      <c r="R832" t="n">
        <v>9.57</v>
      </c>
    </row>
    <row r="833" ht="15" customHeight="1" s="148">
      <c r="A833" t="inlineStr">
        <is>
          <t>c0832</t>
        </is>
      </c>
      <c r="B833" t="inlineStr">
        <is>
          <t>Nyx-Fleece Ram</t>
        </is>
      </c>
      <c r="C833" t="n">
        <v>1</v>
      </c>
      <c r="E833" t="n">
        <v>1</v>
      </c>
      <c r="F833" t="n">
        <v>0</v>
      </c>
      <c r="G833" t="n">
        <v>1</v>
      </c>
      <c r="H833" t="inlineStr">
        <is>
          <t>W</t>
        </is>
      </c>
      <c r="I833" t="inlineStr">
        <is>
          <t>Enchantment Creature</t>
        </is>
      </c>
      <c r="J833" t="inlineStr">
        <is>
          <t>B2</t>
        </is>
      </c>
      <c r="K833" t="n">
        <v>2</v>
      </c>
      <c r="L833" t="inlineStr">
        <is>
          <t>At the beginning of your upkeep, you gain 1 life.
(0/5)</t>
        </is>
      </c>
      <c r="M833" t="inlineStr">
        <is>
          <t>Lifegain</t>
        </is>
      </c>
      <c r="N833" t="inlineStr">
        <is>
          <t>Gains 1 life each upkeep</t>
        </is>
      </c>
      <c r="R833" t="n">
        <v>0.27</v>
      </c>
    </row>
    <row r="834" ht="15" customHeight="1" s="148">
      <c r="A834" t="inlineStr">
        <is>
          <t>c0833</t>
        </is>
      </c>
      <c r="B834" t="inlineStr">
        <is>
          <t>Odric, Lunarch Marshal</t>
        </is>
      </c>
      <c r="C834" t="n">
        <v>1</v>
      </c>
      <c r="E834" t="n">
        <v>1</v>
      </c>
      <c r="F834" t="n">
        <v>0</v>
      </c>
      <c r="G834" t="n">
        <v>1</v>
      </c>
      <c r="H834" t="inlineStr">
        <is>
          <t>W</t>
        </is>
      </c>
      <c r="I834" t="inlineStr">
        <is>
          <t>Legendary Creature</t>
        </is>
      </c>
      <c r="J834" t="inlineStr">
        <is>
          <t>B2</t>
        </is>
      </c>
      <c r="K834" t="n">
        <v>4</v>
      </c>
      <c r="L834" t="inlineStr">
        <is>
          <t>At the beginning of each combat, creatures you control gain first strike until end of turn if a creature you control has first strike. The same is true for flying, deathtouch, double strike, haste, hexproof, indestructible, lifelink, menace, reach, skulk, trample, and vigilance.
(3/3)</t>
        </is>
      </c>
      <c r="M834" t="inlineStr">
        <is>
          <t>Utility Creature</t>
        </is>
      </c>
      <c r="N834" t="inlineStr">
        <is>
          <t>Shares first strike, flying, deathtouch and other keywords among your creatures</t>
        </is>
      </c>
      <c r="R834" t="n">
        <v>1.03</v>
      </c>
    </row>
    <row r="835" ht="15" customHeight="1" s="148">
      <c r="A835" t="inlineStr">
        <is>
          <t>c0834</t>
        </is>
      </c>
      <c r="B835" t="inlineStr">
        <is>
          <t>Ori, Keeper of Songs</t>
        </is>
      </c>
      <c r="C835" t="n">
        <v>2</v>
      </c>
      <c r="E835" t="n">
        <v>0</v>
      </c>
      <c r="F835" t="n">
        <v>2</v>
      </c>
      <c r="G835" t="n">
        <v>0</v>
      </c>
      <c r="H835" t="inlineStr">
        <is>
          <t>W</t>
        </is>
      </c>
      <c r="I835" t="inlineStr">
        <is>
          <t>Legendary Creature</t>
        </is>
      </c>
      <c r="J835" t="inlineStr">
        <is>
          <t>B2</t>
        </is>
      </c>
      <c r="K835" t="n">
        <v>3</v>
      </c>
      <c r="L835" t="inlineStr">
        <is>
          <t>Storied (If you control three or more artifacts, legendaries, and/or Sagas, you have an enduring story for the rest of the game.)
As long as you have an enduring story, Ori gets +1/+0 and has vigilance.
(3/3)</t>
        </is>
      </c>
      <c r="M835" t="inlineStr">
        <is>
          <t>Utility Creature</t>
        </is>
      </c>
      <c r="N835" t="inlineStr">
        <is>
          <t>Gets +1/+0 and has vigilance as long as you have an enduring story</t>
        </is>
      </c>
      <c r="O835" t="inlineStr">
        <is>
          <t>Storied - you have an enduring story for the rest of the game once you control three or more artifacts, legendaries, and/or Sagas</t>
        </is>
      </c>
      <c r="R835" t="n">
        <v>0.22</v>
      </c>
    </row>
    <row r="836" ht="15" customHeight="1" s="148">
      <c r="A836" t="inlineStr">
        <is>
          <t>c0835</t>
        </is>
      </c>
      <c r="B836" t="inlineStr">
        <is>
          <t>Ossification</t>
        </is>
      </c>
      <c r="C836" t="n">
        <v>1</v>
      </c>
      <c r="E836" t="n">
        <v>1</v>
      </c>
      <c r="F836" t="n">
        <v>0</v>
      </c>
      <c r="G836" t="n">
        <v>1</v>
      </c>
      <c r="H836" t="inlineStr">
        <is>
          <t>W</t>
        </is>
      </c>
      <c r="I836" t="inlineStr">
        <is>
          <t>Enchantment</t>
        </is>
      </c>
      <c r="J836" t="inlineStr">
        <is>
          <t>B3</t>
        </is>
      </c>
      <c r="K836" t="n">
        <v>2</v>
      </c>
      <c r="L836" t="inlineStr">
        <is>
          <t>Enchant basic land you control
When this Aura enters, exile target creature or planeswalker an opponent controls until this Aura leaves the battlefield.</t>
        </is>
      </c>
      <c r="M836" t="inlineStr">
        <is>
          <t>Removal</t>
        </is>
      </c>
      <c r="N836" t="inlineStr">
        <is>
          <t>Exiles target creature or planeswalker (enchants a basic land you control)</t>
        </is>
      </c>
      <c r="R836" t="n">
        <v>0.34</v>
      </c>
    </row>
    <row r="837" ht="15" customHeight="1" s="148">
      <c r="A837" t="inlineStr">
        <is>
          <t>c0836</t>
        </is>
      </c>
      <c r="B837" t="inlineStr">
        <is>
          <t>Path to Exile</t>
        </is>
      </c>
      <c r="C837" t="n">
        <v>1</v>
      </c>
      <c r="E837" t="n">
        <v>1</v>
      </c>
      <c r="F837" t="n">
        <v>0</v>
      </c>
      <c r="G837" t="n">
        <v>1</v>
      </c>
      <c r="H837" t="inlineStr">
        <is>
          <t>W</t>
        </is>
      </c>
      <c r="I837" t="inlineStr">
        <is>
          <t>Instant</t>
        </is>
      </c>
      <c r="J837" t="inlineStr">
        <is>
          <t>B3</t>
        </is>
      </c>
      <c r="K837" t="n">
        <v>1</v>
      </c>
      <c r="L837" t="inlineStr">
        <is>
          <t>Exile target creature. Its controller may search their library for a basic land card, put that card onto the battlefield tapped, then shuffle.</t>
        </is>
      </c>
      <c r="M837" t="inlineStr">
        <is>
          <t>Removal</t>
        </is>
      </c>
      <c r="N837" t="inlineStr">
        <is>
          <t>Exiles target creature</t>
        </is>
      </c>
      <c r="O837" t="inlineStr">
        <is>
          <t>Its controller may search for a basic land onto the battlefield tapped</t>
        </is>
      </c>
      <c r="R837" t="n">
        <v>1.38</v>
      </c>
    </row>
    <row r="838" ht="15" customHeight="1" s="148">
      <c r="A838" t="inlineStr">
        <is>
          <t>c0837</t>
        </is>
      </c>
      <c r="B838" t="inlineStr">
        <is>
          <t>Perimeter Captain</t>
        </is>
      </c>
      <c r="C838" t="n">
        <v>0</v>
      </c>
      <c r="E838" t="n">
        <v>0</v>
      </c>
      <c r="F838" t="n">
        <v>0</v>
      </c>
      <c r="G838" t="n">
        <v>0</v>
      </c>
      <c r="H838" t="inlineStr">
        <is>
          <t>W</t>
        </is>
      </c>
      <c r="I838" t="inlineStr">
        <is>
          <t>Creature</t>
        </is>
      </c>
      <c r="J838" t="inlineStr">
        <is>
          <t>B2</t>
        </is>
      </c>
      <c r="K838" t="n">
        <v>1</v>
      </c>
      <c r="L838" t="inlineStr">
        <is>
          <t>Defender
Whenever a creature you control with defender blocks, you may gain 2 life.
(0/4)</t>
        </is>
      </c>
      <c r="M838" t="inlineStr">
        <is>
          <t>Utility Creature</t>
        </is>
      </c>
      <c r="N838" t="inlineStr">
        <is>
          <t>Defender</t>
        </is>
      </c>
      <c r="O838" t="inlineStr">
        <is>
          <t>Whenever a creature you control with defender blocks, you may gain 2 life</t>
        </is>
      </c>
      <c r="R838" t="n">
        <v>0.67</v>
      </c>
    </row>
    <row r="839" ht="15" customHeight="1" s="148">
      <c r="A839" t="inlineStr">
        <is>
          <t>c0838</t>
        </is>
      </c>
      <c r="B839" t="inlineStr">
        <is>
          <t>Primary Research</t>
        </is>
      </c>
      <c r="C839" t="n">
        <v>1</v>
      </c>
      <c r="E839" t="n">
        <v>1</v>
      </c>
      <c r="F839" t="n">
        <v>0</v>
      </c>
      <c r="G839" t="n">
        <v>1</v>
      </c>
      <c r="H839" t="inlineStr">
        <is>
          <t>W</t>
        </is>
      </c>
      <c r="I839" t="inlineStr">
        <is>
          <t>Enchantment</t>
        </is>
      </c>
      <c r="J839" t="inlineStr">
        <is>
          <t>B2</t>
        </is>
      </c>
      <c r="K839" t="n">
        <v>5</v>
      </c>
      <c r="L839" t="inlineStr">
        <is>
          <t>When this enchantment enters, return target nonland permanent card with mana value 3 or less from your graveyard to the battlefield.
At the beginning of your end step, if a card left your graveyard this turn, draw a card.</t>
        </is>
      </c>
      <c r="M839" t="inlineStr">
        <is>
          <t>Recursion</t>
        </is>
      </c>
      <c r="N839" t="inlineStr">
        <is>
          <t>Enters: return a MV 3 or less nonland permanent card from graveyard to battlefield</t>
        </is>
      </c>
      <c r="O839" t="inlineStr">
        <is>
          <t>End step: draw a card if a card left your graveyard this turn</t>
        </is>
      </c>
      <c r="R839" t="n">
        <v>0.22</v>
      </c>
    </row>
    <row r="840" ht="15" customHeight="1" s="148">
      <c r="A840" t="inlineStr">
        <is>
          <t>c0839</t>
        </is>
      </c>
      <c r="B840" t="inlineStr">
        <is>
          <t>Promise of Loyalty</t>
        </is>
      </c>
      <c r="C840" t="n">
        <v>1</v>
      </c>
      <c r="E840" t="n">
        <v>1</v>
      </c>
      <c r="F840" t="n">
        <v>0</v>
      </c>
      <c r="G840" t="n">
        <v>0</v>
      </c>
      <c r="H840" t="inlineStr">
        <is>
          <t>W</t>
        </is>
      </c>
      <c r="I840" t="inlineStr">
        <is>
          <t>Sorcery</t>
        </is>
      </c>
      <c r="J840" t="inlineStr">
        <is>
          <t>B2</t>
        </is>
      </c>
      <c r="K840" t="n">
        <v>5</v>
      </c>
      <c r="L840" t="inlineStr">
        <is>
          <t>Each player puts a vow counter on a creature they control and sacrifices the rest. Each of those creatures can't attack you or planeswalkers you control for as long as it has a vow counter on it.</t>
        </is>
      </c>
      <c r="M840" t="inlineStr">
        <is>
          <t>Board Wipe</t>
        </is>
      </c>
      <c r="N840" t="inlineStr">
        <is>
          <t>Each player sacrifices all but one of their creatures</t>
        </is>
      </c>
      <c r="O840" t="inlineStr">
        <is>
          <t>The kept creature can't attack you or your planeswalkers while marked</t>
        </is>
      </c>
      <c r="R840" t="n">
        <v>0.22</v>
      </c>
    </row>
    <row r="841" ht="15" customHeight="1" s="148">
      <c r="A841" t="inlineStr">
        <is>
          <t>c0840</t>
        </is>
      </c>
      <c r="B841" t="inlineStr">
        <is>
          <t>Protector of the Wastes</t>
        </is>
      </c>
      <c r="C841" t="n">
        <v>1</v>
      </c>
      <c r="E841" t="n">
        <v>1</v>
      </c>
      <c r="F841" t="n">
        <v>0</v>
      </c>
      <c r="G841" t="n">
        <v>1</v>
      </c>
      <c r="H841" t="inlineStr">
        <is>
          <t>W</t>
        </is>
      </c>
      <c r="I841" t="inlineStr">
        <is>
          <t>Creature</t>
        </is>
      </c>
      <c r="J841" t="inlineStr">
        <is>
          <t>B2</t>
        </is>
      </c>
      <c r="K841" t="n">
        <v>6</v>
      </c>
      <c r="L841" t="inlineStr">
        <is>
          <t>Flying
When this creature enters or becomes monstrous, exile up to two target artifacts and/or enchantments controlled by different players.
{4}{W}: Monstrosity 3. (If this creature isn't monstrous, put three +1/+1 counters on it and it becomes monstrous.)
(5/5)</t>
        </is>
      </c>
      <c r="M841" t="inlineStr">
        <is>
          <t>Removal</t>
        </is>
      </c>
      <c r="N841" t="inlineStr">
        <is>
          <t>Exiles up to two target artifacts/enchantments when it enters or becomes monstrous</t>
        </is>
      </c>
      <c r="O841" t="inlineStr">
        <is>
          <t>Flying body</t>
        </is>
      </c>
      <c r="P841" t="inlineStr">
        <is>
          <t>{4}{W}: Monstrosity 3, adds three +1/+1 counters</t>
        </is>
      </c>
      <c r="R841" t="n">
        <v>0.26</v>
      </c>
    </row>
    <row r="842" ht="15" customHeight="1" s="148">
      <c r="A842" t="inlineStr">
        <is>
          <t>c0841</t>
        </is>
      </c>
      <c r="B842" t="inlineStr">
        <is>
          <t>Raise the Alarm</t>
        </is>
      </c>
      <c r="C842" t="n">
        <v>1</v>
      </c>
      <c r="E842" t="n">
        <v>1</v>
      </c>
      <c r="F842" t="n">
        <v>0</v>
      </c>
      <c r="G842" t="n">
        <v>1</v>
      </c>
      <c r="H842" t="inlineStr">
        <is>
          <t>W</t>
        </is>
      </c>
      <c r="I842" t="inlineStr">
        <is>
          <t>Instant</t>
        </is>
      </c>
      <c r="J842" t="inlineStr">
        <is>
          <t>B2</t>
        </is>
      </c>
      <c r="K842" t="n">
        <v>2</v>
      </c>
      <c r="L842" t="inlineStr">
        <is>
          <t>Create two 1/1 white Soldier creature tokens.</t>
        </is>
      </c>
      <c r="M842" t="inlineStr">
        <is>
          <t>Token Producer</t>
        </is>
      </c>
      <c r="N842" t="inlineStr">
        <is>
          <t>Creates two 1/1 white Soldier tokens</t>
        </is>
      </c>
      <c r="R842" t="n">
        <v>0.28</v>
      </c>
    </row>
    <row r="843" ht="15" customHeight="1" s="148">
      <c r="A843" t="inlineStr">
        <is>
          <t>c0842</t>
        </is>
      </c>
      <c r="B843" t="inlineStr">
        <is>
          <t>Rally the Ancestors</t>
        </is>
      </c>
      <c r="C843" t="n">
        <v>1</v>
      </c>
      <c r="E843" t="n">
        <v>0</v>
      </c>
      <c r="F843" t="n">
        <v>1</v>
      </c>
      <c r="G843" t="n">
        <v>0</v>
      </c>
      <c r="H843" t="inlineStr">
        <is>
          <t>W</t>
        </is>
      </c>
      <c r="I843" t="inlineStr">
        <is>
          <t>Instant</t>
        </is>
      </c>
      <c r="J843" t="inlineStr">
        <is>
          <t>B2</t>
        </is>
      </c>
      <c r="K843" t="n">
        <v>2</v>
      </c>
      <c r="L843" t="inlineStr">
        <is>
          <t>Return each creature card with mana value X or less from your graveyard to the battlefield. Exile those creatures at the beginning of your next upkeep. Exile Rally the Ancestors.</t>
        </is>
      </c>
      <c r="M843" t="inlineStr">
        <is>
          <t>Recursion</t>
        </is>
      </c>
      <c r="N843" t="inlineStr">
        <is>
          <t>Return each creature card with mana value X or less from your graveyard to the battlefield. Exile those creatures at the</t>
        </is>
      </c>
      <c r="R843" t="n">
        <v>0.33</v>
      </c>
    </row>
    <row r="844" ht="15" customHeight="1" s="148">
      <c r="A844" t="inlineStr">
        <is>
          <t>c0843</t>
        </is>
      </c>
      <c r="B844" t="inlineStr">
        <is>
          <t>Rehearsed Debater</t>
        </is>
      </c>
      <c r="C844" t="n">
        <v>1</v>
      </c>
      <c r="E844" t="n">
        <v>0</v>
      </c>
      <c r="F844" t="n">
        <v>1</v>
      </c>
      <c r="G844" t="n">
        <v>0</v>
      </c>
      <c r="H844" t="inlineStr">
        <is>
          <t>W</t>
        </is>
      </c>
      <c r="I844" t="inlineStr">
        <is>
          <t>Creature</t>
        </is>
      </c>
      <c r="J844" t="inlineStr">
        <is>
          <t>B2</t>
        </is>
      </c>
      <c r="K844" t="n">
        <v>3</v>
      </c>
      <c r="L844" t="inlineStr">
        <is>
          <t>Vigilance
Repartee — Whenever you cast an instant or sorcery spell that targets a creature, this creature gets +1/+1 until end of turn.
(3/3)</t>
        </is>
      </c>
      <c r="M844" t="inlineStr">
        <is>
          <t>Utility Creature</t>
        </is>
      </c>
      <c r="N844" t="inlineStr">
        <is>
          <t>Repartee — whenever you cast an instant or sorcery that targets a creature, this creature gets +1/+1 until end of turn</t>
        </is>
      </c>
      <c r="O844" t="inlineStr">
        <is>
          <t>Vigilance on a 3/3 body</t>
        </is>
      </c>
      <c r="R844" t="n">
        <v>0.03</v>
      </c>
    </row>
    <row r="845" ht="15" customHeight="1" s="148">
      <c r="A845" t="inlineStr">
        <is>
          <t>c0844</t>
        </is>
      </c>
      <c r="B845" t="inlineStr">
        <is>
          <t>Release to Memory</t>
        </is>
      </c>
      <c r="C845" t="n">
        <v>0</v>
      </c>
      <c r="E845" t="n">
        <v>0</v>
      </c>
      <c r="F845" t="n">
        <v>0</v>
      </c>
      <c r="G845" t="n">
        <v>0</v>
      </c>
      <c r="H845" t="inlineStr">
        <is>
          <t>W</t>
        </is>
      </c>
      <c r="I845" t="inlineStr">
        <is>
          <t>Instant</t>
        </is>
      </c>
      <c r="J845" t="inlineStr">
        <is>
          <t>B3</t>
        </is>
      </c>
      <c r="K845" t="n">
        <v>4</v>
      </c>
      <c r="L845" t="inlineStr">
        <is>
          <t>Exile target opponent's graveyard. For each creature card exiled this way, create a 1/1 colorless Spirit creature token.</t>
        </is>
      </c>
      <c r="M845" t="inlineStr">
        <is>
          <t>Graveyard Hate</t>
        </is>
      </c>
      <c r="N845" t="inlineStr">
        <is>
          <t>Exile target opponent's graveyard. For each creature card exiled this way, create a 1/1 colorless Spirit creature token.</t>
        </is>
      </c>
      <c r="R845" t="n">
        <v>0.55</v>
      </c>
    </row>
    <row r="846" ht="15" customHeight="1" s="148">
      <c r="A846" t="inlineStr">
        <is>
          <t>c0845</t>
        </is>
      </c>
      <c r="B846" t="inlineStr">
        <is>
          <t>Reluctant Dounguard</t>
        </is>
      </c>
      <c r="C846" t="n">
        <v>1</v>
      </c>
      <c r="E846" t="n">
        <v>0</v>
      </c>
      <c r="F846" t="n">
        <v>1</v>
      </c>
      <c r="G846" t="n">
        <v>0</v>
      </c>
      <c r="H846" t="inlineStr">
        <is>
          <t>W</t>
        </is>
      </c>
      <c r="I846" t="inlineStr">
        <is>
          <t>Creature</t>
        </is>
      </c>
      <c r="J846" t="inlineStr">
        <is>
          <t>B2</t>
        </is>
      </c>
      <c r="K846" t="n">
        <v>3</v>
      </c>
      <c r="L846" t="inlineStr">
        <is>
          <t>This creature enters with two -1/-1 counters on it.
Whenever another creature you control enters while this creature has a -1/-1 counter on it, remove a -1/-1 counter from this creature.
(4/4)</t>
        </is>
      </c>
      <c r="M846" t="inlineStr">
        <is>
          <t>Counters Payoff</t>
        </is>
      </c>
      <c r="N846" t="inlineStr">
        <is>
          <t>Enters with two -1/-1 counters on itself</t>
        </is>
      </c>
      <c r="O846" t="inlineStr">
        <is>
          <t>Removes one of its own counters whenever another creature you control enters</t>
        </is>
      </c>
      <c r="R846" t="n">
        <v>0.08</v>
      </c>
    </row>
    <row r="847" ht="15" customHeight="1" s="148">
      <c r="A847" t="inlineStr">
        <is>
          <t>c0846</t>
        </is>
      </c>
      <c r="B847" t="inlineStr">
        <is>
          <t>Remorseful Cleric</t>
        </is>
      </c>
      <c r="C847" t="n">
        <v>1</v>
      </c>
      <c r="E847" t="n">
        <v>1</v>
      </c>
      <c r="F847" t="n">
        <v>0</v>
      </c>
      <c r="G847" t="n">
        <v>1</v>
      </c>
      <c r="H847" t="inlineStr">
        <is>
          <t>W</t>
        </is>
      </c>
      <c r="I847" t="inlineStr">
        <is>
          <t>Creature</t>
        </is>
      </c>
      <c r="J847" t="inlineStr">
        <is>
          <t>B2</t>
        </is>
      </c>
      <c r="K847" t="n">
        <v>2</v>
      </c>
      <c r="L847" t="inlineStr">
        <is>
          <t>Flying
Sacrifice this creature: Exile target player's graveyard.
(2/1)</t>
        </is>
      </c>
      <c r="M847" t="inlineStr">
        <is>
          <t>Graveyard Hate</t>
        </is>
      </c>
      <c r="N847" t="inlineStr">
        <is>
          <t>Flying body</t>
        </is>
      </c>
      <c r="O847" t="inlineStr">
        <is>
          <t>Sacrifice: exile target player's entire graveyard</t>
        </is>
      </c>
      <c r="R847" t="n">
        <v>0.29</v>
      </c>
    </row>
    <row r="848" ht="15" customHeight="1" s="148">
      <c r="A848" t="inlineStr">
        <is>
          <t>c0847</t>
        </is>
      </c>
      <c r="B848" t="inlineStr">
        <is>
          <t>Repel Calamity</t>
        </is>
      </c>
      <c r="C848" t="n">
        <v>1</v>
      </c>
      <c r="E848" t="n">
        <v>1</v>
      </c>
      <c r="F848" t="n">
        <v>0</v>
      </c>
      <c r="G848" t="n">
        <v>1</v>
      </c>
      <c r="H848" t="inlineStr">
        <is>
          <t>W</t>
        </is>
      </c>
      <c r="I848" t="inlineStr">
        <is>
          <t>Instant</t>
        </is>
      </c>
      <c r="J848" t="inlineStr">
        <is>
          <t>B2</t>
        </is>
      </c>
      <c r="K848" t="n">
        <v>2</v>
      </c>
      <c r="L848" t="inlineStr">
        <is>
          <t>Destroy target creature with power or toughness 4 or greater.</t>
        </is>
      </c>
      <c r="M848" t="inlineStr">
        <is>
          <t>Removal</t>
        </is>
      </c>
      <c r="N848" t="inlineStr">
        <is>
          <t>Destroys target creature with power or toughness 4 or greater</t>
        </is>
      </c>
      <c r="R848" t="n">
        <v>0.15</v>
      </c>
    </row>
    <row r="849" ht="15" customHeight="1" s="148">
      <c r="A849" t="inlineStr">
        <is>
          <t>c0848</t>
        </is>
      </c>
      <c r="B849" t="inlineStr">
        <is>
          <t>Requiem Angel</t>
        </is>
      </c>
      <c r="C849" t="n">
        <v>1</v>
      </c>
      <c r="E849" t="n">
        <v>1</v>
      </c>
      <c r="F849" t="n">
        <v>0</v>
      </c>
      <c r="G849" t="n">
        <v>1</v>
      </c>
      <c r="H849" t="inlineStr">
        <is>
          <t>W</t>
        </is>
      </c>
      <c r="I849" t="inlineStr">
        <is>
          <t>Creature</t>
        </is>
      </c>
      <c r="J849" t="inlineStr">
        <is>
          <t>B3</t>
        </is>
      </c>
      <c r="K849" t="n">
        <v>6</v>
      </c>
      <c r="L849" t="inlineStr">
        <is>
          <t>Flying
Whenever another non-Spirit creature you control dies, create a 1/1 white Spirit creature token with flying.
(5/5)</t>
        </is>
      </c>
      <c r="M849" t="inlineStr">
        <is>
          <t>Token Producer</t>
        </is>
      </c>
      <c r="N849" t="inlineStr">
        <is>
          <t>Whenever another non-Spirit creature you control dies, create a 1/1 flying Spirit</t>
        </is>
      </c>
      <c r="O849" t="inlineStr">
        <is>
          <t>5/4 flying body</t>
        </is>
      </c>
      <c r="R849" t="n">
        <v>0.84</v>
      </c>
    </row>
    <row r="850" ht="15" customHeight="1" s="148">
      <c r="A850" t="inlineStr">
        <is>
          <t>c0849</t>
        </is>
      </c>
      <c r="B850" t="inlineStr">
        <is>
          <t>Restoration Angel</t>
        </is>
      </c>
      <c r="C850" t="n">
        <v>0</v>
      </c>
      <c r="E850" t="n">
        <v>0</v>
      </c>
      <c r="F850" t="n">
        <v>0</v>
      </c>
      <c r="G850" t="n">
        <v>0</v>
      </c>
      <c r="H850" t="inlineStr">
        <is>
          <t>W</t>
        </is>
      </c>
      <c r="I850" t="inlineStr">
        <is>
          <t>Creature</t>
        </is>
      </c>
      <c r="J850" t="inlineStr">
        <is>
          <t>B2</t>
        </is>
      </c>
      <c r="K850" t="n">
        <v>4</v>
      </c>
      <c r="L850" t="inlineStr">
        <is>
          <t>Flash
Flying
When this creature enters, you may exile target non-Angel creature you control, then return that card to the battlefield under your control.
(3/4)</t>
        </is>
      </c>
      <c r="M850" t="inlineStr">
        <is>
          <t>Blink</t>
        </is>
      </c>
      <c r="N850" t="inlineStr">
        <is>
          <t>Flash</t>
        </is>
      </c>
      <c r="O850" t="inlineStr">
        <is>
          <t>Flying</t>
        </is>
      </c>
      <c r="P850" t="inlineStr">
        <is>
          <t>When this creature enters, you may exile target non-Angel creature you control, then return that card to the battlefield</t>
        </is>
      </c>
      <c r="R850" t="n">
        <v>0.33</v>
      </c>
    </row>
    <row r="851" ht="15" customHeight="1" s="148">
      <c r="A851" t="inlineStr">
        <is>
          <t>c0850</t>
        </is>
      </c>
      <c r="B851" t="inlineStr">
        <is>
          <t>Return to Dust</t>
        </is>
      </c>
      <c r="C851" t="n">
        <v>1</v>
      </c>
      <c r="E851" t="n">
        <v>1</v>
      </c>
      <c r="F851" t="n">
        <v>0</v>
      </c>
      <c r="G851" t="n">
        <v>1</v>
      </c>
      <c r="H851" t="inlineStr">
        <is>
          <t>W</t>
        </is>
      </c>
      <c r="I851" t="inlineStr">
        <is>
          <t>Instant</t>
        </is>
      </c>
      <c r="J851" t="inlineStr">
        <is>
          <t>B2</t>
        </is>
      </c>
      <c r="K851" t="n">
        <v>4</v>
      </c>
      <c r="L851" t="inlineStr">
        <is>
          <t>Exile target artifact or enchantment. If you cast this spell during your main phase, you may exile up to one other target artifact or enchantment.</t>
        </is>
      </c>
      <c r="M851" t="inlineStr">
        <is>
          <t>Artifact/Enchantment Removal</t>
        </is>
      </c>
      <c r="N851" t="inlineStr">
        <is>
          <t>Exiles target artifact or enchantment</t>
        </is>
      </c>
      <c r="O851" t="inlineStr">
        <is>
          <t>During your main phase, may exile a second artifact or enchantment</t>
        </is>
      </c>
      <c r="R851" t="n">
        <v>0.3</v>
      </c>
    </row>
    <row r="852" ht="15" customHeight="1" s="148">
      <c r="A852" t="inlineStr">
        <is>
          <t>c0851</t>
        </is>
      </c>
      <c r="B852" t="inlineStr">
        <is>
          <t>Rhox Faithmender</t>
        </is>
      </c>
      <c r="C852" t="n">
        <v>1</v>
      </c>
      <c r="E852" t="n">
        <v>0</v>
      </c>
      <c r="F852" t="n">
        <v>1</v>
      </c>
      <c r="G852" t="n">
        <v>0</v>
      </c>
      <c r="H852" t="inlineStr">
        <is>
          <t>W</t>
        </is>
      </c>
      <c r="I852" t="inlineStr">
        <is>
          <t>Creature</t>
        </is>
      </c>
      <c r="J852" t="inlineStr">
        <is>
          <t>B2</t>
        </is>
      </c>
      <c r="K852" t="n">
        <v>4</v>
      </c>
      <c r="L852" t="inlineStr">
        <is>
          <t>Lifelink (Damage dealt by this creature also causes you to gain that much life.)
If you would gain life, you gain twice that much life instead.
(1/5)</t>
        </is>
      </c>
      <c r="M852" t="inlineStr">
        <is>
          <t>Lifegain</t>
        </is>
      </c>
      <c r="N852" t="inlineStr">
        <is>
          <t>Doubles all life you gain</t>
        </is>
      </c>
      <c r="O852" t="inlineStr">
        <is>
          <t>Lifelink body</t>
        </is>
      </c>
      <c r="R852" t="n">
        <v>2.09</v>
      </c>
    </row>
    <row r="853" ht="15" customHeight="1" s="148">
      <c r="A853" t="inlineStr">
        <is>
          <t>c0852</t>
        </is>
      </c>
      <c r="B853" t="inlineStr">
        <is>
          <t>Riverguard's Reflexes</t>
        </is>
      </c>
      <c r="C853" t="n">
        <v>2</v>
      </c>
      <c r="E853" t="n">
        <v>0</v>
      </c>
      <c r="F853" t="n">
        <v>2</v>
      </c>
      <c r="G853" t="n">
        <v>0</v>
      </c>
      <c r="H853" t="inlineStr">
        <is>
          <t>W</t>
        </is>
      </c>
      <c r="I853" t="inlineStr">
        <is>
          <t>Instant</t>
        </is>
      </c>
      <c r="J853" t="inlineStr">
        <is>
          <t>B2</t>
        </is>
      </c>
      <c r="K853" t="n">
        <v>2</v>
      </c>
      <c r="L853" t="inlineStr">
        <is>
          <t>Target creature gets +2/+2 and gains first strike until end of turn. Untap it.</t>
        </is>
      </c>
      <c r="M853" t="inlineStr">
        <is>
          <t>Combat Trick</t>
        </is>
      </c>
      <c r="N853" t="inlineStr">
        <is>
          <t>Target creature gets +2/+2 until end of turn and untaps</t>
        </is>
      </c>
      <c r="O853" t="inlineStr">
        <is>
          <t>Deals its combat damage before creatures without this ability</t>
        </is>
      </c>
      <c r="R853" t="n">
        <v>0.22</v>
      </c>
    </row>
    <row r="854" ht="15" customHeight="1" s="148">
      <c r="A854" t="inlineStr">
        <is>
          <t>c0853</t>
        </is>
      </c>
      <c r="B854" t="inlineStr">
        <is>
          <t>Rolling Stones</t>
        </is>
      </c>
      <c r="C854" t="n">
        <v>0</v>
      </c>
      <c r="E854" t="n">
        <v>0</v>
      </c>
      <c r="F854" t="n">
        <v>0</v>
      </c>
      <c r="G854" t="n">
        <v>0</v>
      </c>
      <c r="H854" t="inlineStr">
        <is>
          <t>W</t>
        </is>
      </c>
      <c r="I854" t="inlineStr">
        <is>
          <t>Enchantment</t>
        </is>
      </c>
      <c r="J854" t="inlineStr">
        <is>
          <t>B3</t>
        </is>
      </c>
      <c r="K854" t="n">
        <v>2</v>
      </c>
      <c r="L854" t="inlineStr">
        <is>
          <t>Wall creatures can attack as though they didn't have defender.</t>
        </is>
      </c>
      <c r="M854" t="inlineStr">
        <is>
          <t>Toughness Payoff</t>
        </is>
      </c>
      <c r="N854" t="inlineStr">
        <is>
          <t>Wall creatures can attack as though they didn't have defender.</t>
        </is>
      </c>
      <c r="R854" t="n">
        <v>1.05</v>
      </c>
    </row>
    <row r="855" ht="15" customHeight="1" s="148">
      <c r="A855" t="inlineStr">
        <is>
          <t>c0854</t>
        </is>
      </c>
      <c r="B855" t="inlineStr">
        <is>
          <t>Rootborn Defenses</t>
        </is>
      </c>
      <c r="C855" t="n">
        <v>2</v>
      </c>
      <c r="E855" t="n">
        <v>1</v>
      </c>
      <c r="F855" t="n">
        <v>1</v>
      </c>
      <c r="G855" t="n">
        <v>0</v>
      </c>
      <c r="H855" t="inlineStr">
        <is>
          <t>W</t>
        </is>
      </c>
      <c r="I855" t="inlineStr">
        <is>
          <t>Instant</t>
        </is>
      </c>
      <c r="J855" t="inlineStr">
        <is>
          <t>B2</t>
        </is>
      </c>
      <c r="K855" t="n">
        <v>3</v>
      </c>
      <c r="L855" t="inlineStr">
        <is>
          <t>Populate. Creatures you control gain indestructible until end of turn. (To populate, create a token that's a copy of a creature token you control.)</t>
        </is>
      </c>
      <c r="M855" t="inlineStr">
        <is>
          <t>Protection</t>
        </is>
      </c>
      <c r="N855" t="inlineStr">
        <is>
          <t>Creatures you control gain indestructible until end of turn</t>
        </is>
      </c>
      <c r="O855" t="inlineStr">
        <is>
          <t>Populate: creates a copy of a creature token you control</t>
        </is>
      </c>
      <c r="R855" t="n">
        <v>0.18</v>
      </c>
    </row>
    <row r="856" ht="15" customHeight="1" s="148">
      <c r="A856" t="inlineStr">
        <is>
          <t>c0855</t>
        </is>
      </c>
      <c r="B856" t="inlineStr">
        <is>
          <t>Salvation Colossus</t>
        </is>
      </c>
      <c r="C856" t="n">
        <v>1</v>
      </c>
      <c r="E856" t="n">
        <v>1</v>
      </c>
      <c r="F856" t="n">
        <v>0</v>
      </c>
      <c r="G856" t="n">
        <v>1</v>
      </c>
      <c r="H856" t="inlineStr">
        <is>
          <t>W</t>
        </is>
      </c>
      <c r="I856" t="inlineStr">
        <is>
          <t>Artifact Creature</t>
        </is>
      </c>
      <c r="J856" t="inlineStr">
        <is>
          <t>B2</t>
        </is>
      </c>
      <c r="K856" t="n">
        <v>8</v>
      </c>
      <c r="L856" t="inlineStr">
        <is>
          <t>Flying, vigilance, trample
Whenever you attack, other creatures you control get +2/+2 and gain indestructible until end of turn.
Unearth—Pay eight {E}. (Pay eight energy counters: Return this card from your graveyard to the battlefield. It gains haste. Exile it at the beginning of the next end step or if it would leave the battlefield. Unearth only as a sorcery.)
(9/9)</t>
        </is>
      </c>
      <c r="M856" t="inlineStr">
        <is>
          <t>Finisher</t>
        </is>
      </c>
      <c r="N856" t="inlineStr">
        <is>
          <t>Other creatures you control get +2/+2 and become indestructible when you attack</t>
        </is>
      </c>
      <c r="O856" t="inlineStr">
        <is>
          <t>Can return from graveyard to the battlefield with haste by paying eight energy, then gets exiled</t>
        </is>
      </c>
      <c r="R856" t="n">
        <v>0.73</v>
      </c>
    </row>
    <row r="857" ht="15" customHeight="1" s="148">
      <c r="A857" t="inlineStr">
        <is>
          <t>c0856</t>
        </is>
      </c>
      <c r="B857" t="inlineStr">
        <is>
          <t>Secret Rendezvous</t>
        </is>
      </c>
      <c r="C857" t="n">
        <v>1</v>
      </c>
      <c r="E857" t="n">
        <v>1</v>
      </c>
      <c r="F857" t="n">
        <v>0</v>
      </c>
      <c r="G857" t="n">
        <v>0</v>
      </c>
      <c r="H857" t="inlineStr">
        <is>
          <t>W</t>
        </is>
      </c>
      <c r="I857" t="inlineStr">
        <is>
          <t>Sorcery</t>
        </is>
      </c>
      <c r="J857" t="inlineStr">
        <is>
          <t>B2</t>
        </is>
      </c>
      <c r="K857" t="n">
        <v>3</v>
      </c>
      <c r="L857" t="inlineStr">
        <is>
          <t>You and target opponent each draw three cards.</t>
        </is>
      </c>
      <c r="M857" t="inlineStr">
        <is>
          <t>Card Draw</t>
        </is>
      </c>
      <c r="N857" t="inlineStr">
        <is>
          <t>You and target opponent each draw three cards</t>
        </is>
      </c>
      <c r="R857" t="n">
        <v>0.26</v>
      </c>
    </row>
    <row r="858" ht="15" customHeight="1" s="148">
      <c r="A858" t="inlineStr">
        <is>
          <t>c0857</t>
        </is>
      </c>
      <c r="B858" t="inlineStr">
        <is>
          <t>Selfless Spirit</t>
        </is>
      </c>
      <c r="C858" t="n">
        <v>1</v>
      </c>
      <c r="E858" t="n">
        <v>1</v>
      </c>
      <c r="F858" t="n">
        <v>0</v>
      </c>
      <c r="G858" t="n">
        <v>1</v>
      </c>
      <c r="H858" t="inlineStr">
        <is>
          <t>W</t>
        </is>
      </c>
      <c r="I858" t="inlineStr">
        <is>
          <t>Creature</t>
        </is>
      </c>
      <c r="J858" t="inlineStr">
        <is>
          <t>B2</t>
        </is>
      </c>
      <c r="K858" t="n">
        <v>2</v>
      </c>
      <c r="L858" t="inlineStr">
        <is>
          <t>Flying
Sacrifice this creature: Creatures you control gain indestructible until end of turn.
(2/1)</t>
        </is>
      </c>
      <c r="M858" t="inlineStr">
        <is>
          <t>Protection</t>
        </is>
      </c>
      <c r="N858" t="inlineStr">
        <is>
          <t>Flying body</t>
        </is>
      </c>
      <c r="O858" t="inlineStr">
        <is>
          <t>Sacrifice: your creatures can't be destroyed until end of turn</t>
        </is>
      </c>
      <c r="R858" t="n">
        <v>0.4</v>
      </c>
    </row>
    <row r="859" ht="15" customHeight="1" s="148">
      <c r="A859" t="inlineStr">
        <is>
          <t>c0858</t>
        </is>
      </c>
      <c r="B859" t="inlineStr">
        <is>
          <t>Serra Paragon</t>
        </is>
      </c>
      <c r="C859" t="n">
        <v>1</v>
      </c>
      <c r="E859" t="n">
        <v>1</v>
      </c>
      <c r="F859" t="n">
        <v>0</v>
      </c>
      <c r="G859" t="n">
        <v>1</v>
      </c>
      <c r="H859" t="inlineStr">
        <is>
          <t>W</t>
        </is>
      </c>
      <c r="I859" t="inlineStr">
        <is>
          <t>Creature</t>
        </is>
      </c>
      <c r="J859" t="inlineStr">
        <is>
          <t>B2</t>
        </is>
      </c>
      <c r="K859" t="n">
        <v>4</v>
      </c>
      <c r="L859" t="inlineStr">
        <is>
          <t>Flying
Once during each of your turns, you may play a land from your graveyard or cast a permanent spell with mana value 3 or less from your graveyard. If you do, it gains "When this permanent is put into a graveyard from the battlefield, exile it and you gain 2 life."
(3/4)</t>
        </is>
      </c>
      <c r="M859" t="inlineStr">
        <is>
          <t>Recursion</t>
        </is>
      </c>
      <c r="N859" t="inlineStr">
        <is>
          <t>Flying body</t>
        </is>
      </c>
      <c r="O859" t="inlineStr">
        <is>
          <t>Once per turn, play a land or cast a MV 3 or less permanent spell from your graveyard</t>
        </is>
      </c>
      <c r="P859" t="inlineStr">
        <is>
          <t>That permanent exiles itself and gains you 2 life when it leaves the battlefield</t>
        </is>
      </c>
      <c r="R859" t="n">
        <v>0.57</v>
      </c>
    </row>
    <row r="860" ht="15" customHeight="1" s="148">
      <c r="A860" t="inlineStr">
        <is>
          <t>c0859</t>
        </is>
      </c>
      <c r="B860" t="inlineStr">
        <is>
          <t>Settle the Wreckage</t>
        </is>
      </c>
      <c r="C860" t="n">
        <v>1</v>
      </c>
      <c r="E860" t="n">
        <v>1</v>
      </c>
      <c r="F860" t="n">
        <v>0</v>
      </c>
      <c r="G860" t="n">
        <v>1</v>
      </c>
      <c r="H860" t="inlineStr">
        <is>
          <t>W</t>
        </is>
      </c>
      <c r="I860" t="inlineStr">
        <is>
          <t>Instant</t>
        </is>
      </c>
      <c r="J860" t="inlineStr">
        <is>
          <t>B2</t>
        </is>
      </c>
      <c r="K860" t="n">
        <v>4</v>
      </c>
      <c r="L860" t="inlineStr">
        <is>
          <t>Exile all attacking creatures target player controls. That player may search their library for that many basic land cards, put those cards onto the battlefield tapped, then shuffle.</t>
        </is>
      </c>
      <c r="M860" t="inlineStr">
        <is>
          <t>Board Wipe</t>
        </is>
      </c>
      <c r="N860" t="inlineStr">
        <is>
          <t>Exile all attacking creatures target player controls</t>
        </is>
      </c>
      <c r="O860" t="inlineStr">
        <is>
          <t>That player may search their library for that many basic lands and put them onto the battlefield tapped</t>
        </is>
      </c>
      <c r="R860" t="n">
        <v>0.57</v>
      </c>
    </row>
    <row r="861" ht="15" customHeight="1" s="148">
      <c r="A861" t="inlineStr">
        <is>
          <t>c0860</t>
        </is>
      </c>
      <c r="B861" t="inlineStr">
        <is>
          <t>Sevinne's Reclamation</t>
        </is>
      </c>
      <c r="C861" t="n">
        <v>2</v>
      </c>
      <c r="E861" t="n">
        <v>1</v>
      </c>
      <c r="F861" t="n">
        <v>1</v>
      </c>
      <c r="G861" t="n">
        <v>1</v>
      </c>
      <c r="H861" t="inlineStr">
        <is>
          <t>W</t>
        </is>
      </c>
      <c r="I861" t="inlineStr">
        <is>
          <t>Sorcery</t>
        </is>
      </c>
      <c r="J861" t="inlineStr">
        <is>
          <t>B2</t>
        </is>
      </c>
      <c r="K861" t="n">
        <v>3</v>
      </c>
      <c r="L861" t="inlineStr">
        <is>
          <t>Return target permanent card with mana value 3 or less from your graveyard to the battlefield. If this spell was cast from a graveyard, you may copy this spell and may choose a new target for the copy.
Flashback {4}{W} (You may cast this card from your graveyard for its flashback cost. Then exile it.)</t>
        </is>
      </c>
      <c r="M861" t="inlineStr">
        <is>
          <t>Recursion</t>
        </is>
      </c>
      <c r="N861" t="inlineStr">
        <is>
          <t>Returns a MV 3 or less permanent from graveyard to battlefield</t>
        </is>
      </c>
      <c r="O861" t="inlineStr">
        <is>
          <t>If cast from graveyard, copy the spell with a new target</t>
        </is>
      </c>
      <c r="P861" t="inlineStr">
        <is>
          <t>Flashback lets you cast it from graveyard</t>
        </is>
      </c>
      <c r="R861" t="n">
        <v>0.39</v>
      </c>
    </row>
    <row r="862" ht="15" customHeight="1" s="148">
      <c r="A862" t="inlineStr">
        <is>
          <t>c0861</t>
        </is>
      </c>
      <c r="B862" t="inlineStr">
        <is>
          <t>Shattered Acolyte</t>
        </is>
      </c>
      <c r="C862" t="n">
        <v>1</v>
      </c>
      <c r="E862" t="n">
        <v>0</v>
      </c>
      <c r="F862" t="n">
        <v>1</v>
      </c>
      <c r="G862" t="n">
        <v>0</v>
      </c>
      <c r="H862" t="inlineStr">
        <is>
          <t>W</t>
        </is>
      </c>
      <c r="I862" t="inlineStr">
        <is>
          <t>Creature</t>
        </is>
      </c>
      <c r="J862" t="inlineStr">
        <is>
          <t>B2</t>
        </is>
      </c>
      <c r="K862" t="n">
        <v>2</v>
      </c>
      <c r="L862" t="inlineStr">
        <is>
          <t>Lifelink
{1}, Sacrifice this creature: Destroy target artifact or enchantment.
(2/2)</t>
        </is>
      </c>
      <c r="M862" t="inlineStr">
        <is>
          <t>Artifact/Enchantment Removal</t>
        </is>
      </c>
      <c r="N862" t="inlineStr">
        <is>
          <t>{1}, sacrifice this creature: destroy target artifact or enchantment</t>
        </is>
      </c>
      <c r="O862" t="inlineStr">
        <is>
          <t>Lifelink body</t>
        </is>
      </c>
      <c r="R862" t="n">
        <v>0.22</v>
      </c>
    </row>
    <row r="863" ht="15" customHeight="1" s="148">
      <c r="A863" t="inlineStr">
        <is>
          <t>c0862</t>
        </is>
      </c>
      <c r="B863" t="inlineStr">
        <is>
          <t>Shore Lurker</t>
        </is>
      </c>
      <c r="C863" t="n">
        <v>1</v>
      </c>
      <c r="E863" t="n">
        <v>0</v>
      </c>
      <c r="F863" t="n">
        <v>1</v>
      </c>
      <c r="G863" t="n">
        <v>0</v>
      </c>
      <c r="H863" t="inlineStr">
        <is>
          <t>W</t>
        </is>
      </c>
      <c r="I863" t="inlineStr">
        <is>
          <t>Creature</t>
        </is>
      </c>
      <c r="J863" t="inlineStr">
        <is>
          <t>B2</t>
        </is>
      </c>
      <c r="K863" t="n">
        <v>4</v>
      </c>
      <c r="L863" t="inlineStr">
        <is>
          <t>Flying
When this creature enters, surveil 1. (Look at the top card of your library. You may put it into your graveyard.)
(3/3)</t>
        </is>
      </c>
      <c r="M863" t="inlineStr">
        <is>
          <t>Card Selection</t>
        </is>
      </c>
      <c r="N863" t="inlineStr">
        <is>
          <t>Surveil 1 when it enters</t>
        </is>
      </c>
      <c r="O863" t="inlineStr">
        <is>
          <t>Flying body</t>
        </is>
      </c>
      <c r="R863" t="n">
        <v>0.11</v>
      </c>
    </row>
    <row r="864" ht="15" customHeight="1" s="148">
      <c r="A864" t="inlineStr">
        <is>
          <t>c0863</t>
        </is>
      </c>
      <c r="B864" t="inlineStr">
        <is>
          <t>Skrelv, Defector Mite</t>
        </is>
      </c>
      <c r="C864" t="n">
        <v>0</v>
      </c>
      <c r="E864" t="n">
        <v>0</v>
      </c>
      <c r="F864" t="n">
        <v>0</v>
      </c>
      <c r="G864" t="n">
        <v>0</v>
      </c>
      <c r="H864" t="inlineStr">
        <is>
          <t>W</t>
        </is>
      </c>
      <c r="I864" t="inlineStr">
        <is>
          <t>Legendary Artifact Creature</t>
        </is>
      </c>
      <c r="J864" t="inlineStr">
        <is>
          <t>B3</t>
        </is>
      </c>
      <c r="K864" t="n">
        <v>1</v>
      </c>
      <c r="L864" t="inlineStr">
        <is>
          <t>Toxic 1 (Players dealt combat damage by this creature also get a poison counter.)
Skrelv can't block.
{W/P}, {T}: Choose a color. Another target creature you control gains toxic 1 and hexproof from that color until end of turn. It can't be blocked by creatures of that color this turn. ({W/P} can be paid with either {W} or 2 life.)
(1/1)</t>
        </is>
      </c>
      <c r="M864" t="inlineStr">
        <is>
          <t>Protection</t>
        </is>
      </c>
      <c r="N864" t="inlineStr">
        <is>
          <t>Toxic 1</t>
        </is>
      </c>
      <c r="O864" t="inlineStr">
        <is>
          <t>Skrelv can't block</t>
        </is>
      </c>
      <c r="P864" t="inlineStr">
        <is>
          <t xml:space="preserve">{W/P}, {T}: Choose a color. Another target creature you control gains toxic 1 and hexproof from that color until end of </t>
        </is>
      </c>
      <c r="R864" t="n">
        <v>2.91</v>
      </c>
    </row>
    <row r="865" ht="15" customHeight="1" s="148">
      <c r="A865" t="inlineStr">
        <is>
          <t>c0864</t>
        </is>
      </c>
      <c r="B865" t="inlineStr">
        <is>
          <t>Skyclave Apparition</t>
        </is>
      </c>
      <c r="C865" t="n">
        <v>1</v>
      </c>
      <c r="E865" t="n">
        <v>1</v>
      </c>
      <c r="F865" t="n">
        <v>0</v>
      </c>
      <c r="G865" t="n">
        <v>1</v>
      </c>
      <c r="H865" t="inlineStr">
        <is>
          <t>W</t>
        </is>
      </c>
      <c r="I865" t="inlineStr">
        <is>
          <t>Creature</t>
        </is>
      </c>
      <c r="J865" t="inlineStr">
        <is>
          <t>B2</t>
        </is>
      </c>
      <c r="K865" t="n">
        <v>3</v>
      </c>
      <c r="L865" t="inlineStr">
        <is>
          <t>When this creature enters, exile up to one target nonland, nontoken permanent you don't control with mana value 4 or less.
When this creature leaves the battlefield, the exiled card's owner creates an X/X blue Illusion creature token, where X is the mana value of the exiled card.
(2/2)</t>
        </is>
      </c>
      <c r="M865" t="inlineStr">
        <is>
          <t>Removal</t>
        </is>
      </c>
      <c r="N865" t="inlineStr">
        <is>
          <t>Enters: exile a nonland, nontoken permanent an opponent controls with MV 4 or less</t>
        </is>
      </c>
      <c r="O865" t="inlineStr">
        <is>
          <t>Leaves the battlefield: that permanent's owner gets an X/X token, X = its mana value</t>
        </is>
      </c>
      <c r="R865" t="n">
        <v>0.33</v>
      </c>
    </row>
    <row r="866" ht="15" customHeight="1" s="148">
      <c r="A866" t="inlineStr">
        <is>
          <t>c0865</t>
        </is>
      </c>
      <c r="B866" t="inlineStr">
        <is>
          <t>Slaughter the Strong</t>
        </is>
      </c>
      <c r="C866" t="n">
        <v>1</v>
      </c>
      <c r="E866" t="n">
        <v>1</v>
      </c>
      <c r="F866" t="n">
        <v>0</v>
      </c>
      <c r="G866" t="n">
        <v>1</v>
      </c>
      <c r="H866" t="inlineStr">
        <is>
          <t>W</t>
        </is>
      </c>
      <c r="I866" t="inlineStr">
        <is>
          <t>Sorcery</t>
        </is>
      </c>
      <c r="J866" t="inlineStr">
        <is>
          <t>B2</t>
        </is>
      </c>
      <c r="K866" t="n">
        <v>3</v>
      </c>
      <c r="L866" t="inlineStr">
        <is>
          <t>Each player chooses any number of creatures they control with total power 4 or less, then sacrifices all other creatures they control.</t>
        </is>
      </c>
      <c r="M866" t="inlineStr">
        <is>
          <t>Board Wipe</t>
        </is>
      </c>
      <c r="N866" t="inlineStr">
        <is>
          <t>Each player chooses any number of creatures they control with total power 4 or less, then sacrifices all other creatures</t>
        </is>
      </c>
      <c r="R866" t="n">
        <v>0.13</v>
      </c>
    </row>
    <row r="867" ht="15" customHeight="1" s="148">
      <c r="A867" t="inlineStr">
        <is>
          <t>c0866</t>
        </is>
      </c>
      <c r="B867" t="inlineStr">
        <is>
          <t>Smothering Tithe</t>
        </is>
      </c>
      <c r="C867" t="n">
        <v>0</v>
      </c>
      <c r="E867" t="n">
        <v>0</v>
      </c>
      <c r="F867" t="n">
        <v>0</v>
      </c>
      <c r="G867" t="n">
        <v>0</v>
      </c>
      <c r="H867" t="inlineStr">
        <is>
          <t>W</t>
        </is>
      </c>
      <c r="I867" t="inlineStr">
        <is>
          <t>Enchantment</t>
        </is>
      </c>
      <c r="J867" t="inlineStr">
        <is>
          <t>B3</t>
        </is>
      </c>
      <c r="K867" t="n">
        <v>4</v>
      </c>
      <c r="L867" t="inlineStr">
        <is>
          <t>Whenever an opponent draws a card, that player may pay {2}. If the player doesn't, you create a Treasure token. (It's an artifact with "{T}, Sacrifice this token: Add one mana of any color.")</t>
        </is>
      </c>
      <c r="M867" t="inlineStr">
        <is>
          <t>Ramp</t>
        </is>
      </c>
      <c r="N867" t="inlineStr">
        <is>
          <t>Whenever an opponent draws a card, that player may pay {2}. If the player doesn't, you create a Treasure token. (It's an</t>
        </is>
      </c>
      <c r="R867" t="n">
        <v>61.67</v>
      </c>
    </row>
    <row r="868" ht="15" customHeight="1" s="148">
      <c r="A868" t="inlineStr">
        <is>
          <t>c0867</t>
        </is>
      </c>
      <c r="B868" t="inlineStr">
        <is>
          <t>Spectacular Tactics</t>
        </is>
      </c>
      <c r="C868" t="n">
        <v>3</v>
      </c>
      <c r="E868" t="n">
        <v>1</v>
      </c>
      <c r="F868" t="n">
        <v>2</v>
      </c>
      <c r="G868" t="n">
        <v>0</v>
      </c>
      <c r="H868" t="inlineStr">
        <is>
          <t>W</t>
        </is>
      </c>
      <c r="I868" t="inlineStr">
        <is>
          <t>Instant</t>
        </is>
      </c>
      <c r="J868" t="inlineStr">
        <is>
          <t>B2</t>
        </is>
      </c>
      <c r="K868" t="n">
        <v>2</v>
      </c>
      <c r="L868" t="inlineStr">
        <is>
          <t>Choose one —
• Put a +1/+1 counter on target creature you control. It gains hexproof until end of turn.
• Destroy target creature with power 4 or greater.</t>
        </is>
      </c>
      <c r="M868" t="inlineStr">
        <is>
          <t>Combat Trick</t>
        </is>
      </c>
      <c r="N868" t="inlineStr">
        <is>
          <t>Choose one: put a +1/+1 counter on your creature, it becomes untargetable this turn</t>
        </is>
      </c>
      <c r="O868" t="inlineStr">
        <is>
          <t>Or destroys target creature with power 4 or greater</t>
        </is>
      </c>
      <c r="R868" t="n">
        <v>0.25</v>
      </c>
    </row>
    <row r="869" ht="15" customHeight="1" s="148">
      <c r="A869" t="inlineStr">
        <is>
          <t>c0868</t>
        </is>
      </c>
      <c r="B869" t="inlineStr">
        <is>
          <t>Spectral Procession</t>
        </is>
      </c>
      <c r="C869" t="n">
        <v>1</v>
      </c>
      <c r="E869" t="n">
        <v>1</v>
      </c>
      <c r="F869" t="n">
        <v>0</v>
      </c>
      <c r="G869" t="n">
        <v>0</v>
      </c>
      <c r="H869" t="inlineStr">
        <is>
          <t>W</t>
        </is>
      </c>
      <c r="I869" t="inlineStr">
        <is>
          <t>Sorcery</t>
        </is>
      </c>
      <c r="J869" t="inlineStr">
        <is>
          <t>B2</t>
        </is>
      </c>
      <c r="K869" t="n">
        <v>6</v>
      </c>
      <c r="L869" t="inlineStr">
        <is>
          <t>Create three 1/1 white Spirit creature tokens with flying.</t>
        </is>
      </c>
      <c r="M869" t="inlineStr">
        <is>
          <t>Token Producer</t>
        </is>
      </c>
      <c r="N869" t="inlineStr">
        <is>
          <t>Creates three 1/1 flying Spirit tokens</t>
        </is>
      </c>
      <c r="R869" t="n">
        <v>0.33</v>
      </c>
    </row>
    <row r="870" ht="15" customHeight="1" s="148">
      <c r="A870" t="inlineStr">
        <is>
          <t>c0869</t>
        </is>
      </c>
      <c r="B870" t="inlineStr">
        <is>
          <t>Spiral into Solitude</t>
        </is>
      </c>
      <c r="C870" t="n">
        <v>1</v>
      </c>
      <c r="E870" t="n">
        <v>0</v>
      </c>
      <c r="F870" t="n">
        <v>1</v>
      </c>
      <c r="G870" t="n">
        <v>0</v>
      </c>
      <c r="H870" t="inlineStr">
        <is>
          <t>W</t>
        </is>
      </c>
      <c r="I870" t="inlineStr">
        <is>
          <t>Enchantment</t>
        </is>
      </c>
      <c r="J870" t="inlineStr">
        <is>
          <t>B2</t>
        </is>
      </c>
      <c r="K870" t="n">
        <v>2</v>
      </c>
      <c r="L870" t="inlineStr">
        <is>
          <t>Enchant creature
Enchanted creature can't attack or block.
{1}{W}, Blight 1, Sacrifice this Aura: Exile enchanted creature. (To blight 1, put a -1/-1 counter on a creature you control.)</t>
        </is>
      </c>
      <c r="M870" t="inlineStr">
        <is>
          <t>Removal</t>
        </is>
      </c>
      <c r="N870" t="inlineStr">
        <is>
          <t>Enchanted creature can't attack or block</t>
        </is>
      </c>
      <c r="O870" t="inlineStr">
        <is>
          <t>Pay {1}{W}, blight 1, sacrifice: exile enchanted creature</t>
        </is>
      </c>
      <c r="R870" t="n">
        <v>0.16</v>
      </c>
    </row>
    <row r="871" ht="15" customHeight="1" s="148">
      <c r="A871" t="inlineStr">
        <is>
          <t>c0870</t>
        </is>
      </c>
      <c r="B871" t="inlineStr">
        <is>
          <t>Staff of the Storyteller</t>
        </is>
      </c>
      <c r="C871" t="n">
        <v>1</v>
      </c>
      <c r="E871" t="n">
        <v>1</v>
      </c>
      <c r="F871" t="n">
        <v>0</v>
      </c>
      <c r="G871" t="n">
        <v>1</v>
      </c>
      <c r="H871" t="inlineStr">
        <is>
          <t>W</t>
        </is>
      </c>
      <c r="I871" t="inlineStr">
        <is>
          <t>Artifact</t>
        </is>
      </c>
      <c r="J871" t="inlineStr">
        <is>
          <t>B2</t>
        </is>
      </c>
      <c r="K871" t="n">
        <v>2</v>
      </c>
      <c r="L871" t="inlineStr">
        <is>
          <t>When this artifact enters, create a 1/1 white Spirit creature token with flying.
Whenever you create one or more creature tokens, put a story counter on this artifact.
{W}, {T}, Remove a story counter from this artifact: Draw a card.</t>
        </is>
      </c>
      <c r="M871" t="inlineStr">
        <is>
          <t>Token Producer</t>
        </is>
      </c>
      <c r="N871" t="inlineStr">
        <is>
          <t>Enters: create a 1/1 flying Spirit token</t>
        </is>
      </c>
      <c r="O871" t="inlineStr">
        <is>
          <t>Creating creature tokens adds a story counter to this</t>
        </is>
      </c>
      <c r="P871" t="inlineStr">
        <is>
          <t>Pay {W}, tap, remove a story counter: draw a card</t>
        </is>
      </c>
      <c r="R871" t="n">
        <v>0.44</v>
      </c>
    </row>
    <row r="872" ht="15" customHeight="1" s="148">
      <c r="A872" t="inlineStr">
        <is>
          <t>c0871</t>
        </is>
      </c>
      <c r="B872" t="inlineStr">
        <is>
          <t>Stalwart Shield-Bearers</t>
        </is>
      </c>
      <c r="C872" t="n">
        <v>0</v>
      </c>
      <c r="E872" t="n">
        <v>0</v>
      </c>
      <c r="F872" t="n">
        <v>0</v>
      </c>
      <c r="G872" t="n">
        <v>0</v>
      </c>
      <c r="H872" t="inlineStr">
        <is>
          <t>W</t>
        </is>
      </c>
      <c r="I872" t="inlineStr">
        <is>
          <t>Creature</t>
        </is>
      </c>
      <c r="J872" t="inlineStr">
        <is>
          <t>B2</t>
        </is>
      </c>
      <c r="K872" t="n">
        <v>2</v>
      </c>
      <c r="L872" t="inlineStr">
        <is>
          <t>Defender
Other creatures you control with defender get +0/+2.
(0/3)</t>
        </is>
      </c>
      <c r="M872" t="inlineStr">
        <is>
          <t>Utility Creature</t>
        </is>
      </c>
      <c r="N872" t="inlineStr">
        <is>
          <t>Defender</t>
        </is>
      </c>
      <c r="O872" t="inlineStr">
        <is>
          <t>Other creatures you control with defender get +0/+2</t>
        </is>
      </c>
      <c r="R872" t="n">
        <v>1.88</v>
      </c>
    </row>
    <row r="873" ht="15" customHeight="1" s="148">
      <c r="A873" t="inlineStr">
        <is>
          <t>c0872</t>
        </is>
      </c>
      <c r="B873" t="inlineStr">
        <is>
          <t>Stand Up for Yourself</t>
        </is>
      </c>
      <c r="C873" t="n">
        <v>2</v>
      </c>
      <c r="E873" t="n">
        <v>0</v>
      </c>
      <c r="F873" t="n">
        <v>2</v>
      </c>
      <c r="G873" t="n">
        <v>0</v>
      </c>
      <c r="H873" t="inlineStr">
        <is>
          <t>W</t>
        </is>
      </c>
      <c r="I873" t="inlineStr">
        <is>
          <t>Instant</t>
        </is>
      </c>
      <c r="J873" t="inlineStr">
        <is>
          <t>B2</t>
        </is>
      </c>
      <c r="K873" t="n">
        <v>3</v>
      </c>
      <c r="L873" t="inlineStr">
        <is>
          <t>Destroy target creature with power 3 or greater.</t>
        </is>
      </c>
      <c r="M873" t="inlineStr">
        <is>
          <t>Removal</t>
        </is>
      </c>
      <c r="N873" t="inlineStr">
        <is>
          <t>Destroys target creature with power 3 or greater</t>
        </is>
      </c>
      <c r="R873" t="n">
        <v>0.17</v>
      </c>
    </row>
    <row r="874" ht="15" customHeight="1" s="148">
      <c r="A874" t="inlineStr">
        <is>
          <t>c0873</t>
        </is>
      </c>
      <c r="B874" t="inlineStr">
        <is>
          <t>Stone by Sunlight</t>
        </is>
      </c>
      <c r="C874" t="n">
        <v>1</v>
      </c>
      <c r="E874" t="n">
        <v>1</v>
      </c>
      <c r="F874" t="n">
        <v>0</v>
      </c>
      <c r="G874" t="n">
        <v>1</v>
      </c>
      <c r="H874" t="inlineStr">
        <is>
          <t>W</t>
        </is>
      </c>
      <c r="I874" t="inlineStr">
        <is>
          <t>Instant</t>
        </is>
      </c>
      <c r="J874" t="inlineStr">
        <is>
          <t>B2</t>
        </is>
      </c>
      <c r="K874" t="n">
        <v>2</v>
      </c>
      <c r="L874" t="inlineStr">
        <is>
          <t>Choose one —
• Destroy target creature with power 4 or greater.
• Until end of turn, target creature becomes an artifact in addition to its other types and gains indestructible. (Damage and effects that say "destroy" don't destroy it.)</t>
        </is>
      </c>
      <c r="M874" t="inlineStr">
        <is>
          <t>Removal</t>
        </is>
      </c>
      <c r="N874" t="inlineStr">
        <is>
          <t>Destroys a creature with power 4 or greater</t>
        </is>
      </c>
      <c r="O874" t="inlineStr">
        <is>
          <t>Or makes a creature an artifact and indestructible until end of turn</t>
        </is>
      </c>
      <c r="R874" t="n">
        <v>0.18</v>
      </c>
    </row>
    <row r="875" ht="15" customHeight="1" s="148">
      <c r="A875" t="inlineStr">
        <is>
          <t>c0874</t>
        </is>
      </c>
      <c r="B875" t="inlineStr">
        <is>
          <t>Stone Docent</t>
        </is>
      </c>
      <c r="C875" t="n">
        <v>1</v>
      </c>
      <c r="E875" t="n">
        <v>0</v>
      </c>
      <c r="F875" t="n">
        <v>1</v>
      </c>
      <c r="G875" t="n">
        <v>0</v>
      </c>
      <c r="H875" t="inlineStr">
        <is>
          <t>W</t>
        </is>
      </c>
      <c r="I875" t="inlineStr">
        <is>
          <t>Creature</t>
        </is>
      </c>
      <c r="J875" t="inlineStr">
        <is>
          <t>B2</t>
        </is>
      </c>
      <c r="K875" t="n">
        <v>2</v>
      </c>
      <c r="L875" t="inlineStr">
        <is>
          <t>{W}, Exile this card from your graveyard: You gain 2 life. Surveil 1. Activate only as a sorcery. (Look at the top card of your library. You may put it into your graveyard.)
(3/1)</t>
        </is>
      </c>
      <c r="M875" t="inlineStr">
        <is>
          <t>Lifegain</t>
        </is>
      </c>
      <c r="N875" t="inlineStr">
        <is>
          <t>{W}, exile this card from your graveyard: gain 2 life and surveil 1, as a sorcery</t>
        </is>
      </c>
      <c r="O875" t="inlineStr">
        <is>
          <t>3/1 body</t>
        </is>
      </c>
      <c r="R875" t="n">
        <v>0.07000000000000001</v>
      </c>
    </row>
    <row r="876" ht="15" customHeight="1" s="148">
      <c r="A876" t="inlineStr">
        <is>
          <t>c0875</t>
        </is>
      </c>
      <c r="B876" t="inlineStr">
        <is>
          <t>Stonecloaker</t>
        </is>
      </c>
      <c r="C876" t="n">
        <v>1</v>
      </c>
      <c r="E876" t="n">
        <v>1</v>
      </c>
      <c r="F876" t="n">
        <v>0</v>
      </c>
      <c r="G876" t="n">
        <v>1</v>
      </c>
      <c r="H876" t="inlineStr">
        <is>
          <t>W</t>
        </is>
      </c>
      <c r="I876" t="inlineStr">
        <is>
          <t>Creature</t>
        </is>
      </c>
      <c r="J876" t="inlineStr">
        <is>
          <t>B2</t>
        </is>
      </c>
      <c r="K876" t="n">
        <v>3</v>
      </c>
      <c r="L876" t="inlineStr">
        <is>
          <t>Flash
Flying
When this creature enters, return a creature you control to its owner's hand.
When this creature enters, exile target card from a graveyard.
(3/2)</t>
        </is>
      </c>
      <c r="M876" t="inlineStr">
        <is>
          <t>Protection</t>
        </is>
      </c>
      <c r="N876" t="inlineStr">
        <is>
          <t>Flash</t>
        </is>
      </c>
      <c r="O876" t="inlineStr">
        <is>
          <t>Flying</t>
        </is>
      </c>
      <c r="P876" t="inlineStr">
        <is>
          <t>When this creature enters, return a creature you control to its owner's hand</t>
        </is>
      </c>
      <c r="R876" t="n">
        <v>0.11</v>
      </c>
    </row>
    <row r="877" ht="15" customHeight="1" s="148">
      <c r="A877" t="inlineStr">
        <is>
          <t>c0876</t>
        </is>
      </c>
      <c r="B877" t="inlineStr">
        <is>
          <t>Sun Titan</t>
        </is>
      </c>
      <c r="C877" t="n">
        <v>2</v>
      </c>
      <c r="E877" t="n">
        <v>1</v>
      </c>
      <c r="F877" t="n">
        <v>1</v>
      </c>
      <c r="G877" t="n">
        <v>1</v>
      </c>
      <c r="H877" t="inlineStr">
        <is>
          <t>W</t>
        </is>
      </c>
      <c r="I877" t="inlineStr">
        <is>
          <t>Creature</t>
        </is>
      </c>
      <c r="J877" t="inlineStr">
        <is>
          <t>B3</t>
        </is>
      </c>
      <c r="K877" t="n">
        <v>6</v>
      </c>
      <c r="L877" t="inlineStr">
        <is>
          <t>Vigilance
Whenever this creature enters or attacks, you may return target permanent card with mana value 3 or less from your graveyard to the battlefield.
(6/6)</t>
        </is>
      </c>
      <c r="M877" t="inlineStr">
        <is>
          <t>Recursion</t>
        </is>
      </c>
      <c r="N877" t="inlineStr">
        <is>
          <t>6/6 body that can block after attacking</t>
        </is>
      </c>
      <c r="O877" t="inlineStr">
        <is>
          <t>Enters or attacks: return a MV 3 or less permanent from graveyard to battlefield</t>
        </is>
      </c>
      <c r="R877" t="n">
        <v>0.34</v>
      </c>
    </row>
    <row r="878" ht="15" customHeight="1" s="148">
      <c r="A878" t="inlineStr">
        <is>
          <t>c0877</t>
        </is>
      </c>
      <c r="B878" t="inlineStr">
        <is>
          <t>Sun-Dappled Celebrant</t>
        </is>
      </c>
      <c r="C878" t="n">
        <v>2</v>
      </c>
      <c r="E878" t="n">
        <v>0</v>
      </c>
      <c r="F878" t="n">
        <v>2</v>
      </c>
      <c r="G878" t="n">
        <v>0</v>
      </c>
      <c r="H878" t="inlineStr">
        <is>
          <t>W</t>
        </is>
      </c>
      <c r="I878" t="inlineStr">
        <is>
          <t>Creature</t>
        </is>
      </c>
      <c r="J878" t="inlineStr">
        <is>
          <t>B2</t>
        </is>
      </c>
      <c r="K878" t="n">
        <v>6</v>
      </c>
      <c r="L878" t="inlineStr">
        <is>
          <t>Convoke (Your creatures can help cast this spell. Each creature you tap while casting this spell pays for {1} or one mana of that creature's color.)
Vigilance
(5/6)</t>
        </is>
      </c>
      <c r="M878" t="inlineStr">
        <is>
          <t>Utility Creature</t>
        </is>
      </c>
      <c r="N878" t="inlineStr">
        <is>
          <t>Can be cast for less by tapping creatures (convoke)</t>
        </is>
      </c>
      <c r="O878" t="inlineStr">
        <is>
          <t>Vigilance body</t>
        </is>
      </c>
      <c r="R878" t="n">
        <v>0.16</v>
      </c>
    </row>
    <row r="879" ht="15" customHeight="1" s="148">
      <c r="A879" t="inlineStr">
        <is>
          <t>c0878</t>
        </is>
      </c>
      <c r="B879" t="inlineStr">
        <is>
          <t>Suture Priest</t>
        </is>
      </c>
      <c r="C879" t="n">
        <v>0</v>
      </c>
      <c r="D879" t="n">
        <v>1</v>
      </c>
      <c r="E879" t="n">
        <v>0</v>
      </c>
      <c r="F879" t="n">
        <v>0</v>
      </c>
      <c r="G879" t="n">
        <v>1</v>
      </c>
      <c r="H879" t="inlineStr">
        <is>
          <t>W</t>
        </is>
      </c>
      <c r="I879" t="inlineStr">
        <is>
          <t>Creature</t>
        </is>
      </c>
      <c r="J879" t="inlineStr">
        <is>
          <t>B2</t>
        </is>
      </c>
      <c r="K879" t="n">
        <v>2</v>
      </c>
      <c r="L879" t="inlineStr">
        <is>
          <t>Whenever another creature you control enters, you may gain 1 life.
Whenever a creature an opponent controls enters, you may have that player lose 1 life.
(1/1)</t>
        </is>
      </c>
      <c r="M879" t="inlineStr">
        <is>
          <t>Drain Payoff</t>
        </is>
      </c>
      <c r="N879" t="inlineStr">
        <is>
          <t>Gains you 1 life whenever another creature you control enters</t>
        </is>
      </c>
      <c r="O879" t="inlineStr">
        <is>
          <t>May cause an opponent to lose 1 life whenever a creature they control enters</t>
        </is>
      </c>
      <c r="R879" t="n">
        <v>4.67</v>
      </c>
    </row>
    <row r="880" ht="15" customHeight="1" s="148">
      <c r="A880" t="inlineStr">
        <is>
          <t>c0879</t>
        </is>
      </c>
      <c r="B880" t="inlineStr">
        <is>
          <t>Swords to Plowshares</t>
        </is>
      </c>
      <c r="C880" t="n">
        <v>2</v>
      </c>
      <c r="E880" t="n">
        <v>2</v>
      </c>
      <c r="F880" t="n">
        <v>0</v>
      </c>
      <c r="G880" t="n">
        <v>2</v>
      </c>
      <c r="H880" t="inlineStr">
        <is>
          <t>W</t>
        </is>
      </c>
      <c r="I880" t="inlineStr">
        <is>
          <t>Instant</t>
        </is>
      </c>
      <c r="J880" t="inlineStr">
        <is>
          <t>B3</t>
        </is>
      </c>
      <c r="K880" t="n">
        <v>1</v>
      </c>
      <c r="L880" t="inlineStr">
        <is>
          <t>Exile target creature. Its controller gains life equal to its power.</t>
        </is>
      </c>
      <c r="M880" t="inlineStr">
        <is>
          <t>Removal</t>
        </is>
      </c>
      <c r="N880" t="inlineStr">
        <is>
          <t>Exiles target creature</t>
        </is>
      </c>
      <c r="O880" t="inlineStr">
        <is>
          <t>Its controller gains life equal to its power</t>
        </is>
      </c>
      <c r="R880" t="n">
        <v>1.47</v>
      </c>
    </row>
    <row r="881" ht="15" customHeight="1" s="148">
      <c r="A881" t="inlineStr">
        <is>
          <t>c0880</t>
        </is>
      </c>
      <c r="B881" t="inlineStr">
        <is>
          <t>Teleportation Circle</t>
        </is>
      </c>
      <c r="C881" t="n">
        <v>0</v>
      </c>
      <c r="E881" t="n">
        <v>0</v>
      </c>
      <c r="F881" t="n">
        <v>0</v>
      </c>
      <c r="G881" t="n">
        <v>0</v>
      </c>
      <c r="H881" t="inlineStr">
        <is>
          <t>W</t>
        </is>
      </c>
      <c r="I881" t="inlineStr">
        <is>
          <t>Enchantment</t>
        </is>
      </c>
      <c r="J881" t="inlineStr">
        <is>
          <t>B3</t>
        </is>
      </c>
      <c r="K881" t="n">
        <v>4</v>
      </c>
      <c r="L881" t="inlineStr">
        <is>
          <t>At the beginning of your end step, exile up to one target artifact or creature you control, then return that card to the battlefield under its owner's control.</t>
        </is>
      </c>
      <c r="M881" t="inlineStr">
        <is>
          <t>Blink</t>
        </is>
      </c>
      <c r="N881" t="inlineStr">
        <is>
          <t>At the beginning of your end step, exile up to one target artifact or creature you control, then return that card to the</t>
        </is>
      </c>
      <c r="R881" t="n">
        <v>10.93</v>
      </c>
    </row>
    <row r="882" ht="15" customHeight="1" s="148">
      <c r="A882" t="inlineStr">
        <is>
          <t>c0881</t>
        </is>
      </c>
      <c r="B882" t="inlineStr">
        <is>
          <t>Teshar, Ancestor's Apostle</t>
        </is>
      </c>
      <c r="C882" t="n">
        <v>1</v>
      </c>
      <c r="E882" t="n">
        <v>1</v>
      </c>
      <c r="F882" t="n">
        <v>0</v>
      </c>
      <c r="G882" t="n">
        <v>1</v>
      </c>
      <c r="H882" t="inlineStr">
        <is>
          <t>W</t>
        </is>
      </c>
      <c r="I882" t="inlineStr">
        <is>
          <t>Legendary Creature</t>
        </is>
      </c>
      <c r="J882" t="inlineStr">
        <is>
          <t>B2</t>
        </is>
      </c>
      <c r="K882" t="n">
        <v>4</v>
      </c>
      <c r="L882" t="inlineStr">
        <is>
          <t>Flying
Whenever you cast a historic spell, return target creature card with mana value 3 or less from your graveyard to the battlefield. (Artifacts, legendaries, and Sagas are historic.)
(2/2)</t>
        </is>
      </c>
      <c r="M882" t="inlineStr">
        <is>
          <t>Recursion</t>
        </is>
      </c>
      <c r="N882" t="inlineStr">
        <is>
          <t>Flying body</t>
        </is>
      </c>
      <c r="O882" t="inlineStr">
        <is>
          <t>Casting a historic spell returns a MV 3 or less creature card from graveyard to battlefield</t>
        </is>
      </c>
      <c r="R882" t="n">
        <v>0.29</v>
      </c>
    </row>
    <row r="883" ht="15" customHeight="1" s="148">
      <c r="A883" t="inlineStr">
        <is>
          <t>c0882</t>
        </is>
      </c>
      <c r="B883" t="inlineStr">
        <is>
          <t>The Eternal Wanderer</t>
        </is>
      </c>
      <c r="C883" t="n">
        <v>1</v>
      </c>
      <c r="E883" t="n">
        <v>1</v>
      </c>
      <c r="F883" t="n">
        <v>0</v>
      </c>
      <c r="G883" t="n">
        <v>1</v>
      </c>
      <c r="H883" t="inlineStr">
        <is>
          <t>W</t>
        </is>
      </c>
      <c r="I883" t="inlineStr">
        <is>
          <t>Legendary Planeswalker</t>
        </is>
      </c>
      <c r="J883" t="inlineStr">
        <is>
          <t>B2</t>
        </is>
      </c>
      <c r="K883" t="n">
        <v>6</v>
      </c>
      <c r="L883" t="inlineStr">
        <is>
          <t>No more than one creature can attack The Eternal Wanderer each combat.
+1: Exile up to one target artifact or creature. Return that card to the battlefield under its owner's control at the beginning of that player's next end step.
0: Create a 2/2 white Samurai creature token with double strike.
−4: For each player, choose a creature that player controls. Each player sacrifices all creatures they control not chosen this way.
(Loyalty 5)</t>
        </is>
      </c>
      <c r="M883" t="inlineStr">
        <is>
          <t>Blink</t>
        </is>
      </c>
      <c r="N883" t="inlineStr">
        <is>
          <t>+1: exiles an artifact or creature, returns it at that player's next end step</t>
        </is>
      </c>
      <c r="O883" t="inlineStr">
        <is>
          <t>0: creates a 2/2 white Samurai token with double strike</t>
        </is>
      </c>
      <c r="P883" t="inlineStr">
        <is>
          <t>-4: each player keeps one chosen creature, sacrifices the rest</t>
        </is>
      </c>
      <c r="R883" t="n">
        <v>1.13</v>
      </c>
    </row>
    <row r="884" ht="15" customHeight="1" s="148">
      <c r="A884" t="inlineStr">
        <is>
          <t>c0883</t>
        </is>
      </c>
      <c r="B884" t="inlineStr">
        <is>
          <t>The Restoration of Eiganjo</t>
        </is>
      </c>
      <c r="C884" t="n">
        <v>1</v>
      </c>
      <c r="E884" t="n">
        <v>0</v>
      </c>
      <c r="F884" t="n">
        <v>1</v>
      </c>
      <c r="G884" t="n">
        <v>0</v>
      </c>
      <c r="H884" t="inlineStr">
        <is>
          <t>W</t>
        </is>
      </c>
      <c r="I884" t="inlineStr">
        <is>
          <t>Enchantment</t>
        </is>
      </c>
      <c r="J884" t="inlineStr">
        <is>
          <t>B2</t>
        </is>
      </c>
      <c r="K884" t="n">
        <v>3</v>
      </c>
      <c r="L884" t="inlineStr">
        <is>
          <t>The Restoration of Eiganjo {2}{W} — Enchantment — Saga
(As this Saga enters and after your draw step, add a lore counter.)
I — Search your library for a basic Plains card, reveal it, put it into your hand, then shuffle.
II — You may discard a card. When you do, return target permanent card with mana value 2 or less from your graveyard to the battlefield tapped.
III — Exile this Saga, then return it to the battlefield transformed under your control.
//
Architect of Restoration — Enchantment Creature — Fox Monk (3/4)
Vigilance
Whenever this creature attacks or blocks, create a 1/1 colorless Spirit creature token.</t>
        </is>
      </c>
      <c r="M884" t="inlineStr">
        <is>
          <t>Recursion</t>
        </is>
      </c>
      <c r="N884" t="inlineStr">
        <is>
          <t>Chapter I: search library for a basic Plains to hand</t>
        </is>
      </c>
      <c r="O884" t="inlineStr">
        <is>
          <t>Chapter II: discard a card to reanimate a permanent MV 2 or less</t>
        </is>
      </c>
      <c r="P884" t="inlineStr">
        <is>
          <t>Chapter III: transforms into a creature that makes Spirit tokens on attack/block</t>
        </is>
      </c>
      <c r="R884" t="n">
        <v>0.57</v>
      </c>
    </row>
    <row r="885" ht="15" customHeight="1" s="148">
      <c r="A885" t="inlineStr">
        <is>
          <t>c0884</t>
        </is>
      </c>
      <c r="B885" t="inlineStr">
        <is>
          <t>Thorin's Last Stand</t>
        </is>
      </c>
      <c r="C885" t="n">
        <v>1</v>
      </c>
      <c r="E885" t="n">
        <v>0</v>
      </c>
      <c r="F885" t="n">
        <v>1</v>
      </c>
      <c r="G885" t="n">
        <v>0</v>
      </c>
      <c r="H885" t="inlineStr">
        <is>
          <t>W</t>
        </is>
      </c>
      <c r="I885" t="inlineStr">
        <is>
          <t>Instant</t>
        </is>
      </c>
      <c r="J885" t="inlineStr">
        <is>
          <t>B2</t>
        </is>
      </c>
      <c r="K885" t="n">
        <v>4</v>
      </c>
      <c r="L885" t="inlineStr">
        <is>
          <t>Choose one —
• Creatures you control get +2/+1 until end of turn.
• Destroy target artifact or enchantment. You gain 2 life.</t>
        </is>
      </c>
      <c r="M885" t="inlineStr">
        <is>
          <t>Combat Trick</t>
        </is>
      </c>
      <c r="N885" t="inlineStr">
        <is>
          <t>Creatures you control get +2/+1 until end of turn</t>
        </is>
      </c>
      <c r="O885" t="inlineStr">
        <is>
          <t>Or destroy target artifact or enchantment and you gain 2 life</t>
        </is>
      </c>
      <c r="R885" t="n">
        <v>0.18</v>
      </c>
    </row>
    <row r="886" ht="15" customHeight="1" s="148">
      <c r="A886" t="inlineStr">
        <is>
          <t>c0885</t>
        </is>
      </c>
      <c r="B886" t="inlineStr">
        <is>
          <t>Thoughtweft Imbuer</t>
        </is>
      </c>
      <c r="C886" t="n">
        <v>1</v>
      </c>
      <c r="E886" t="n">
        <v>0</v>
      </c>
      <c r="F886" t="n">
        <v>1</v>
      </c>
      <c r="G886" t="n">
        <v>0</v>
      </c>
      <c r="H886" t="inlineStr">
        <is>
          <t>W</t>
        </is>
      </c>
      <c r="I886" t="inlineStr">
        <is>
          <t>Creature</t>
        </is>
      </c>
      <c r="J886" t="inlineStr">
        <is>
          <t>B2</t>
        </is>
      </c>
      <c r="K886" t="n">
        <v>4</v>
      </c>
      <c r="L886" t="inlineStr">
        <is>
          <t>Whenever a creature you control attacks alone, it gets +X/+X until end of turn, where X is the number of Kithkin you control.
(0/5)</t>
        </is>
      </c>
      <c r="M886" t="inlineStr">
        <is>
          <t>Lord/Anthem</t>
        </is>
      </c>
      <c r="N886" t="inlineStr">
        <is>
          <t>Whenever a creature you control attacks alone, it gets +X/+X until end of turn, where X is the number of Kithkin you control</t>
        </is>
      </c>
      <c r="R886" t="n">
        <v>0.16</v>
      </c>
    </row>
    <row r="887" ht="15" customHeight="1" s="148">
      <c r="A887" t="inlineStr">
        <is>
          <t>c0886</t>
        </is>
      </c>
      <c r="B887" t="inlineStr">
        <is>
          <t>Timid Shieldbearer</t>
        </is>
      </c>
      <c r="C887" t="n">
        <v>1</v>
      </c>
      <c r="E887" t="n">
        <v>0</v>
      </c>
      <c r="F887" t="n">
        <v>1</v>
      </c>
      <c r="G887" t="n">
        <v>0</v>
      </c>
      <c r="H887" t="inlineStr">
        <is>
          <t>W</t>
        </is>
      </c>
      <c r="I887" t="inlineStr">
        <is>
          <t>Creature</t>
        </is>
      </c>
      <c r="J887" t="inlineStr">
        <is>
          <t>B2</t>
        </is>
      </c>
      <c r="K887" t="n">
        <v>2</v>
      </c>
      <c r="L887" t="inlineStr">
        <is>
          <t>{4}{W}: Creatures you control get +1/+1 until end of turn.
(2/2)</t>
        </is>
      </c>
      <c r="M887" t="inlineStr">
        <is>
          <t>Combat Trick</t>
        </is>
      </c>
      <c r="N887" t="inlineStr">
        <is>
          <t>{4}{W}: your creatures get +1/+1 until end of turn</t>
        </is>
      </c>
      <c r="R887" t="n">
        <v>0.1</v>
      </c>
    </row>
    <row r="888" ht="15" customHeight="1" s="148">
      <c r="A888" t="inlineStr">
        <is>
          <t>c0887</t>
        </is>
      </c>
      <c r="B888" t="inlineStr">
        <is>
          <t>Tithe Taker</t>
        </is>
      </c>
      <c r="C888" t="n">
        <v>1</v>
      </c>
      <c r="E888" t="n">
        <v>0</v>
      </c>
      <c r="F888" t="n">
        <v>1</v>
      </c>
      <c r="G888" t="n">
        <v>0</v>
      </c>
      <c r="H888" t="inlineStr">
        <is>
          <t>W</t>
        </is>
      </c>
      <c r="I888" t="inlineStr">
        <is>
          <t>Creature</t>
        </is>
      </c>
      <c r="J888" t="inlineStr">
        <is>
          <t>B2</t>
        </is>
      </c>
      <c r="K888" t="n">
        <v>2</v>
      </c>
      <c r="L888" t="inlineStr">
        <is>
          <t>During your turn, spells your opponents cast cost {1} more to cast and abilities your opponents activate cost {1} more to activate unless they're mana abilities.
Afterlife 1 (When this creature dies, create a 1/1 white and black Spirit creature token with flying.)
(2/1)</t>
        </is>
      </c>
      <c r="M888" t="inlineStr">
        <is>
          <t>Stax/Tax</t>
        </is>
      </c>
      <c r="N888" t="inlineStr">
        <is>
          <t>Your opponents' spells and abilities cost {1} more on your turn</t>
        </is>
      </c>
      <c r="O888" t="inlineStr">
        <is>
          <t>Creates a 1/1 flying Spirit token when it dies</t>
        </is>
      </c>
      <c r="R888" t="n">
        <v>0.35</v>
      </c>
    </row>
    <row r="889" ht="15" customHeight="1" s="148">
      <c r="A889" t="inlineStr">
        <is>
          <t>c0888</t>
        </is>
      </c>
      <c r="B889" t="inlineStr">
        <is>
          <t>Tocasia's Welcome</t>
        </is>
      </c>
      <c r="C889" t="n">
        <v>1</v>
      </c>
      <c r="E889" t="n">
        <v>1</v>
      </c>
      <c r="F889" t="n">
        <v>0</v>
      </c>
      <c r="G889" t="n">
        <v>1</v>
      </c>
      <c r="H889" t="inlineStr">
        <is>
          <t>W</t>
        </is>
      </c>
      <c r="I889" t="inlineStr">
        <is>
          <t>Enchantment</t>
        </is>
      </c>
      <c r="J889" t="inlineStr">
        <is>
          <t>B2</t>
        </is>
      </c>
      <c r="K889" t="n">
        <v>3</v>
      </c>
      <c r="L889" t="inlineStr">
        <is>
          <t>Whenever one or more creatures you control with mana value 3 or less enter, draw a card. This ability triggers only once each turn.</t>
        </is>
      </c>
      <c r="M889" t="inlineStr">
        <is>
          <t>Card Draw</t>
        </is>
      </c>
      <c r="N889" t="inlineStr">
        <is>
          <t>Creatures with MV 3 or less entering draws a card, once per turn</t>
        </is>
      </c>
      <c r="R889" t="n">
        <v>1.07</v>
      </c>
    </row>
    <row r="890" ht="15" customHeight="1" s="148">
      <c r="A890" t="inlineStr">
        <is>
          <t>c0889</t>
        </is>
      </c>
      <c r="B890" t="inlineStr">
        <is>
          <t>Tragic Arrogance</t>
        </is>
      </c>
      <c r="C890" t="n">
        <v>1</v>
      </c>
      <c r="E890" t="n">
        <v>1</v>
      </c>
      <c r="F890" t="n">
        <v>0</v>
      </c>
      <c r="G890" t="n">
        <v>1</v>
      </c>
      <c r="H890" t="inlineStr">
        <is>
          <t>W</t>
        </is>
      </c>
      <c r="I890" t="inlineStr">
        <is>
          <t>Sorcery</t>
        </is>
      </c>
      <c r="J890" t="inlineStr">
        <is>
          <t>B2</t>
        </is>
      </c>
      <c r="K890" t="n">
        <v>5</v>
      </c>
      <c r="L890" t="inlineStr">
        <is>
          <t>For each player, you choose from among the permanents that player controls an artifact, a creature, an enchantment, and a planeswalker. Then each player sacrifices all other nonland permanents they control.</t>
        </is>
      </c>
      <c r="M890" t="inlineStr">
        <is>
          <t>Board Wipe</t>
        </is>
      </c>
      <c r="N890" t="inlineStr">
        <is>
          <t>Each player keeps one artifact, creature, enchantment, and planeswalker</t>
        </is>
      </c>
      <c r="O890" t="inlineStr">
        <is>
          <t>Sacrifices all other nonland permanents</t>
        </is>
      </c>
      <c r="R890" t="n">
        <v>0.25</v>
      </c>
    </row>
    <row r="891" ht="15" customHeight="1" s="148">
      <c r="A891" t="inlineStr">
        <is>
          <t>c0890</t>
        </is>
      </c>
      <c r="B891" t="inlineStr">
        <is>
          <t>Unbreakable Formation</t>
        </is>
      </c>
      <c r="C891" t="n">
        <v>0</v>
      </c>
      <c r="D891" t="n">
        <v>1</v>
      </c>
      <c r="E891" t="n">
        <v>0</v>
      </c>
      <c r="F891" t="n">
        <v>0</v>
      </c>
      <c r="G891" t="n">
        <v>1</v>
      </c>
      <c r="H891" t="inlineStr">
        <is>
          <t>W</t>
        </is>
      </c>
      <c r="I891" t="inlineStr">
        <is>
          <t>Instant</t>
        </is>
      </c>
      <c r="J891" t="inlineStr">
        <is>
          <t>B3</t>
        </is>
      </c>
      <c r="K891" t="n">
        <v>3</v>
      </c>
      <c r="L891" t="inlineStr">
        <is>
          <t>Creatures you control gain indestructible until end of turn.
Addendum — If you cast this spell during your main phase, put a +1/+1 counter on each of those creatures and they gain vigilance until end of turn.</t>
        </is>
      </c>
      <c r="M891" t="inlineStr">
        <is>
          <t>Value Engine</t>
        </is>
      </c>
      <c r="N891" t="inlineStr">
        <is>
          <t>Creatures you control gain indestructible until end of turn</t>
        </is>
      </c>
      <c r="O891" t="inlineStr">
        <is>
          <t>Addendum — If you cast this spell during your main phase, put a +1/+1 counter on each of those creatures and they gain v</t>
        </is>
      </c>
      <c r="R891" t="n">
        <v>0.74</v>
      </c>
    </row>
    <row r="892" ht="15" customHeight="1" s="148">
      <c r="A892" t="inlineStr">
        <is>
          <t>c0891</t>
        </is>
      </c>
      <c r="B892" t="inlineStr">
        <is>
          <t>Valorous Stance</t>
        </is>
      </c>
      <c r="C892" t="n">
        <v>3</v>
      </c>
      <c r="E892" t="n">
        <v>2</v>
      </c>
      <c r="F892" t="n">
        <v>1</v>
      </c>
      <c r="G892" t="n">
        <v>2</v>
      </c>
      <c r="H892" t="inlineStr">
        <is>
          <t>W</t>
        </is>
      </c>
      <c r="I892" t="inlineStr">
        <is>
          <t>Instant</t>
        </is>
      </c>
      <c r="J892" t="inlineStr">
        <is>
          <t>B2</t>
        </is>
      </c>
      <c r="K892" t="n">
        <v>2</v>
      </c>
      <c r="L892" t="inlineStr">
        <is>
          <t>Choose one —
• Target creature gains indestructible until end of turn. (Damage and effects that say "destroy" don't destroy it.)
• Destroy target creature with toughness 4 or greater.</t>
        </is>
      </c>
      <c r="M892" t="inlineStr">
        <is>
          <t>Protection</t>
        </is>
      </c>
      <c r="N892" t="inlineStr">
        <is>
          <t>Choose one: target creature can't be destroyed this turn</t>
        </is>
      </c>
      <c r="O892" t="inlineStr">
        <is>
          <t>Or destroys target creature with toughness 4 or greater</t>
        </is>
      </c>
      <c r="R892" t="n">
        <v>0.18</v>
      </c>
    </row>
    <row r="893" ht="15" customHeight="1" s="148">
      <c r="A893" t="inlineStr">
        <is>
          <t>c0892</t>
        </is>
      </c>
      <c r="B893" t="inlineStr">
        <is>
          <t>Vanguard of the Restless</t>
        </is>
      </c>
      <c r="C893" t="n">
        <v>1</v>
      </c>
      <c r="E893" t="n">
        <v>0</v>
      </c>
      <c r="F893" t="n">
        <v>1</v>
      </c>
      <c r="G893" t="n">
        <v>0</v>
      </c>
      <c r="H893" t="inlineStr">
        <is>
          <t>W</t>
        </is>
      </c>
      <c r="I893" t="inlineStr">
        <is>
          <t>Creature</t>
        </is>
      </c>
      <c r="J893" t="inlineStr">
        <is>
          <t>B2</t>
        </is>
      </c>
      <c r="K893" t="n">
        <v>3</v>
      </c>
      <c r="L893" t="inlineStr">
        <is>
          <t>Flying
Spirits you control get +1/+1 for each time you've cast your commander from the command zone this game.
Whenever a Spirit you control enters, you may pay {2}{W}. If you do, return this card from your graveyard to the battlefield.
(2/2)</t>
        </is>
      </c>
      <c r="M893" t="inlineStr">
        <is>
          <t>Lord/Anthem</t>
        </is>
      </c>
      <c r="N893" t="inlineStr">
        <is>
          <t>Flying body</t>
        </is>
      </c>
      <c r="O893" t="inlineStr">
        <is>
          <t>Spirits you control get +1/+1 for each time you've cast your commander from the command zone</t>
        </is>
      </c>
      <c r="P893" t="inlineStr">
        <is>
          <t>A Spirit entering lets you pay {2}{W} to return this from graveyard to battlefield</t>
        </is>
      </c>
      <c r="R893" t="n">
        <v>0.28</v>
      </c>
    </row>
    <row r="894" ht="15" customHeight="1" s="148">
      <c r="A894" t="inlineStr">
        <is>
          <t>c0893</t>
        </is>
      </c>
      <c r="B894" t="inlineStr">
        <is>
          <t>Velvetwing Butterflies // Gaze in Wonder</t>
        </is>
      </c>
      <c r="C894" t="n">
        <v>2</v>
      </c>
      <c r="E894" t="n">
        <v>0</v>
      </c>
      <c r="F894" t="n">
        <v>2</v>
      </c>
      <c r="G894" t="n">
        <v>0</v>
      </c>
      <c r="H894" t="inlineStr">
        <is>
          <t>W</t>
        </is>
      </c>
      <c r="I894" t="inlineStr">
        <is>
          <t>Creature</t>
        </is>
      </c>
      <c r="J894" t="inlineStr">
        <is>
          <t>B2</t>
        </is>
      </c>
      <c r="K894" t="n">
        <v>3</v>
      </c>
      <c r="L894" t="inlineStr">
        <is>
          <t>Velvetwing Butterflies {2}{W} — Creature — Insect (2/2)
Flying
//
Gaze in Wonder {1}{W} — Instant — Adventure
Tap one or two target creatures. (Then exile this card. You may cast the creature later from exile.)</t>
        </is>
      </c>
      <c r="M894" t="inlineStr">
        <is>
          <t>Utility Creature</t>
        </is>
      </c>
      <c r="N894" t="inlineStr">
        <is>
          <t>Gaze in Wonder {1}{W} — Adventure: tap one or two target creatures, then cast the creature later from exile</t>
        </is>
      </c>
      <c r="O894" t="inlineStr">
        <is>
          <t>2/2 flying body</t>
        </is>
      </c>
      <c r="R894" t="n">
        <v>0.11</v>
      </c>
    </row>
    <row r="895" ht="15" customHeight="1" s="148">
      <c r="A895" t="inlineStr">
        <is>
          <t>c0894</t>
        </is>
      </c>
      <c r="B895" t="inlineStr">
        <is>
          <t>Venat, Heart of Hydaelyn</t>
        </is>
      </c>
      <c r="C895" t="n">
        <v>2</v>
      </c>
      <c r="E895" t="n">
        <v>2</v>
      </c>
      <c r="F895" t="n">
        <v>0</v>
      </c>
      <c r="G895" t="n">
        <v>2</v>
      </c>
      <c r="H895" t="inlineStr">
        <is>
          <t>W</t>
        </is>
      </c>
      <c r="I895" t="inlineStr">
        <is>
          <t>Legendary Creature</t>
        </is>
      </c>
      <c r="J895" t="inlineStr">
        <is>
          <t>B2</t>
        </is>
      </c>
      <c r="K895" t="n">
        <v>3</v>
      </c>
      <c r="L895" t="inlineStr">
        <is>
          <t>Venat, Heart of Hydaelyn {1}{W}{W} — Legendary Creature — Elder Wizard (3/3)
Whenever you cast a legendary spell, draw a card. This ability triggers only once each turn.
Hero's Sundering — {7}, {T}: Exile target nonland permanent. Transform Venat. Activate only as a sorcery.
//
Hydaelyn, the Mothercrystal — Legendary Creature — God (4/4)
Indestructible
Blessing of Light — At the beginning of combat on your turn, put a +1/+1 counter on another target creature you control. Until your next turn, it gains indestructible. If that creature is legendary, draw a card.</t>
        </is>
      </c>
      <c r="M895" t="inlineStr">
        <is>
          <t>Card Advantage</t>
        </is>
      </c>
      <c r="N895" t="inlineStr">
        <is>
          <t>Casting a legendary spell draws a card, once per turn</t>
        </is>
      </c>
      <c r="O895" t="inlineStr">
        <is>
          <t>Pay {7}, tap: exile target nonland permanent, then transform</t>
        </is>
      </c>
      <c r="P895" t="inlineStr">
        <is>
          <t>Back side is unkillable; combat: give a creature a +1/+1 counter and protection, drawing a card if it's legendary</t>
        </is>
      </c>
      <c r="R895" t="n">
        <v>1.7</v>
      </c>
    </row>
    <row r="896" ht="15" customHeight="1" s="148">
      <c r="A896" t="inlineStr">
        <is>
          <t>c0895</t>
        </is>
      </c>
      <c r="B896" t="inlineStr">
        <is>
          <t>Vow to Erebor</t>
        </is>
      </c>
      <c r="C896" t="n">
        <v>1</v>
      </c>
      <c r="E896" t="n">
        <v>0</v>
      </c>
      <c r="F896" t="n">
        <v>1</v>
      </c>
      <c r="G896" t="n">
        <v>0</v>
      </c>
      <c r="H896" t="inlineStr">
        <is>
          <t>W</t>
        </is>
      </c>
      <c r="I896" t="inlineStr">
        <is>
          <t>Instant</t>
        </is>
      </c>
      <c r="J896" t="inlineStr">
        <is>
          <t>B2</t>
        </is>
      </c>
      <c r="K896" t="n">
        <v>2</v>
      </c>
      <c r="L896" t="inlineStr">
        <is>
          <t>Untap target creature you control. It gets +2/+2 until end of turn. If it's a Dwarf, you may attach an Equipment you control to it.</t>
        </is>
      </c>
      <c r="M896" t="inlineStr">
        <is>
          <t>Combat Trick</t>
        </is>
      </c>
      <c r="N896" t="inlineStr">
        <is>
          <t>Untap target creature you control and it gets +2/+2 until end of turn</t>
        </is>
      </c>
      <c r="O896" t="inlineStr">
        <is>
          <t>If it's a Dwarf, you may attach an Equipment you control to it</t>
        </is>
      </c>
      <c r="R896" t="n">
        <v>0.15</v>
      </c>
    </row>
    <row r="897" ht="15" customHeight="1" s="148">
      <c r="A897" t="inlineStr">
        <is>
          <t>c0896</t>
        </is>
      </c>
      <c r="B897" t="inlineStr">
        <is>
          <t>Wakestone Gargoyle</t>
        </is>
      </c>
      <c r="C897" t="n">
        <v>1</v>
      </c>
      <c r="E897" t="n">
        <v>1</v>
      </c>
      <c r="F897" t="n">
        <v>0</v>
      </c>
      <c r="G897" t="n">
        <v>1</v>
      </c>
      <c r="H897" t="inlineStr">
        <is>
          <t>W</t>
        </is>
      </c>
      <c r="I897" t="inlineStr">
        <is>
          <t>Creature</t>
        </is>
      </c>
      <c r="J897" t="inlineStr">
        <is>
          <t>B2</t>
        </is>
      </c>
      <c r="K897" t="n">
        <v>4</v>
      </c>
      <c r="L897" t="inlineStr">
        <is>
          <t>Defender, flying
{1}{W}: Creatures you control with defender can attack this turn as though they didn't have defender.
(3/4)</t>
        </is>
      </c>
      <c r="M897" t="inlineStr">
        <is>
          <t>Defender Ramp</t>
        </is>
      </c>
      <c r="N897" t="inlineStr">
        <is>
          <t>Lets your defender creatures attack this turn for {1}{W}</t>
        </is>
      </c>
      <c r="O897" t="inlineStr">
        <is>
          <t>Defender, flying body</t>
        </is>
      </c>
      <c r="R897" t="n">
        <v>0.29</v>
      </c>
    </row>
    <row r="898" ht="15" customHeight="1" s="148">
      <c r="A898" t="inlineStr">
        <is>
          <t>c0897</t>
        </is>
      </c>
      <c r="B898" t="inlineStr">
        <is>
          <t>Wall of Omens</t>
        </is>
      </c>
      <c r="C898" t="n">
        <v>0</v>
      </c>
      <c r="D898" t="n">
        <v>1</v>
      </c>
      <c r="E898" t="n">
        <v>0</v>
      </c>
      <c r="F898" t="n">
        <v>0</v>
      </c>
      <c r="G898" t="n">
        <v>1</v>
      </c>
      <c r="H898" t="inlineStr">
        <is>
          <t>W</t>
        </is>
      </c>
      <c r="I898" t="inlineStr">
        <is>
          <t>Creature</t>
        </is>
      </c>
      <c r="J898" t="inlineStr">
        <is>
          <t>B2</t>
        </is>
      </c>
      <c r="K898" t="n">
        <v>2</v>
      </c>
      <c r="L898" t="inlineStr">
        <is>
          <t>Defender
When this creature enters, draw a card.
(0/4)</t>
        </is>
      </c>
      <c r="M898" t="inlineStr">
        <is>
          <t>Card Draw</t>
        </is>
      </c>
      <c r="N898" t="inlineStr">
        <is>
          <t>Draws a card when it enters</t>
        </is>
      </c>
      <c r="O898" t="inlineStr">
        <is>
          <t>Defender body</t>
        </is>
      </c>
      <c r="R898" t="n">
        <v>0.28</v>
      </c>
    </row>
    <row r="899" ht="15" customHeight="1" s="148">
      <c r="A899" t="inlineStr">
        <is>
          <t>c0898</t>
        </is>
      </c>
      <c r="B899" t="inlineStr">
        <is>
          <t>Wall of Resurgence</t>
        </is>
      </c>
      <c r="C899" t="n">
        <v>1</v>
      </c>
      <c r="E899" t="n">
        <v>1</v>
      </c>
      <c r="F899" t="n">
        <v>0</v>
      </c>
      <c r="G899" t="n">
        <v>1</v>
      </c>
      <c r="H899" t="inlineStr">
        <is>
          <t>W</t>
        </is>
      </c>
      <c r="I899" t="inlineStr">
        <is>
          <t>Creature</t>
        </is>
      </c>
      <c r="J899" t="inlineStr">
        <is>
          <t>B2</t>
        </is>
      </c>
      <c r="K899" t="n">
        <v>3</v>
      </c>
      <c r="L899" t="inlineStr">
        <is>
          <t>Defender
When this creature enters, you may put three +1/+1 counters on target land you control. If you do, that land becomes a 0/0 Elemental creature with haste that's still a land.
(0/6)</t>
        </is>
      </c>
      <c r="M899" t="inlineStr">
        <is>
          <t>Counters Payoff</t>
        </is>
      </c>
      <c r="N899" t="inlineStr">
        <is>
          <t>Puts three +1/+1 counters on target land you control when it enters</t>
        </is>
      </c>
      <c r="O899" t="inlineStr">
        <is>
          <t>That land becomes a 3/3 creature with haste (still a land)</t>
        </is>
      </c>
      <c r="R899" t="n">
        <v>0.1</v>
      </c>
    </row>
    <row r="900" ht="15" customHeight="1" s="148">
      <c r="A900" t="inlineStr">
        <is>
          <t>c0899</t>
        </is>
      </c>
      <c r="B900" t="inlineStr">
        <is>
          <t>Wall of Reverence</t>
        </is>
      </c>
      <c r="C900" t="n">
        <v>0</v>
      </c>
      <c r="E900" t="n">
        <v>0</v>
      </c>
      <c r="F900" t="n">
        <v>0</v>
      </c>
      <c r="G900" t="n">
        <v>0</v>
      </c>
      <c r="H900" t="inlineStr">
        <is>
          <t>W</t>
        </is>
      </c>
      <c r="I900" t="inlineStr">
        <is>
          <t>Creature</t>
        </is>
      </c>
      <c r="J900" t="inlineStr">
        <is>
          <t>B2</t>
        </is>
      </c>
      <c r="K900" t="n">
        <v>4</v>
      </c>
      <c r="L900" t="inlineStr">
        <is>
          <t>Defender, flying
At the beginning of your end step, you may gain life equal to the power of target creature you control.
(1/6)</t>
        </is>
      </c>
      <c r="M900" t="inlineStr">
        <is>
          <t>Lifegain</t>
        </is>
      </c>
      <c r="N900" t="inlineStr">
        <is>
          <t>May gain life equal to a target creature's power each end step</t>
        </is>
      </c>
      <c r="O900" t="inlineStr">
        <is>
          <t>Defender, flying body</t>
        </is>
      </c>
      <c r="Q900" t="n">
        <v>1</v>
      </c>
      <c r="R900" t="n">
        <v>0.36</v>
      </c>
    </row>
    <row r="901" ht="15" customHeight="1" s="148">
      <c r="A901" t="inlineStr">
        <is>
          <t>c0900</t>
        </is>
      </c>
      <c r="B901" t="inlineStr">
        <is>
          <t>Wanderer's Strike</t>
        </is>
      </c>
      <c r="C901" t="n">
        <v>1</v>
      </c>
      <c r="E901" t="n">
        <v>1</v>
      </c>
      <c r="F901" t="n">
        <v>0</v>
      </c>
      <c r="G901" t="n">
        <v>1</v>
      </c>
      <c r="H901" t="inlineStr">
        <is>
          <t>W</t>
        </is>
      </c>
      <c r="I901" t="inlineStr">
        <is>
          <t>Sorcery</t>
        </is>
      </c>
      <c r="J901" t="inlineStr">
        <is>
          <t>B2</t>
        </is>
      </c>
      <c r="K901" t="n">
        <v>5</v>
      </c>
      <c r="L901" t="inlineStr">
        <is>
          <t>Exile target creature, then proliferate. (Choose any number of permanents and/or players, then give each another counter of each kind already there.)</t>
        </is>
      </c>
      <c r="M901" t="inlineStr">
        <is>
          <t>Removal</t>
        </is>
      </c>
      <c r="N901" t="inlineStr">
        <is>
          <t>Exile target creature, then proliferate</t>
        </is>
      </c>
      <c r="R901" t="n">
        <v>0.07000000000000001</v>
      </c>
    </row>
    <row r="902" ht="15" customHeight="1" s="148">
      <c r="A902" t="inlineStr">
        <is>
          <t>c0901</t>
        </is>
      </c>
      <c r="B902" t="inlineStr">
        <is>
          <t>Wave of Reckoning</t>
        </is>
      </c>
      <c r="C902" t="n">
        <v>2</v>
      </c>
      <c r="E902" t="n">
        <v>1</v>
      </c>
      <c r="F902" t="n">
        <v>1</v>
      </c>
      <c r="G902" t="n">
        <v>1</v>
      </c>
      <c r="H902" t="inlineStr">
        <is>
          <t>W</t>
        </is>
      </c>
      <c r="I902" t="inlineStr">
        <is>
          <t>Sorcery</t>
        </is>
      </c>
      <c r="J902" t="inlineStr">
        <is>
          <t>B2</t>
        </is>
      </c>
      <c r="K902" t="n">
        <v>5</v>
      </c>
      <c r="L902" t="inlineStr">
        <is>
          <t>Each creature deals damage to itself equal to its power.</t>
        </is>
      </c>
      <c r="M902" t="inlineStr">
        <is>
          <t>Board Wipe</t>
        </is>
      </c>
      <c r="N902" t="inlineStr">
        <is>
          <t>Each creature deals damage to itself equal to its power</t>
        </is>
      </c>
      <c r="R902" t="n">
        <v>0.4</v>
      </c>
    </row>
    <row r="903" ht="15" customHeight="1" s="148">
      <c r="A903" t="inlineStr">
        <is>
          <t>c0902</t>
        </is>
      </c>
      <c r="B903" t="inlineStr">
        <is>
          <t>Weathered Wayfarer</t>
        </is>
      </c>
      <c r="C903" t="n">
        <v>2</v>
      </c>
      <c r="E903" t="n">
        <v>1</v>
      </c>
      <c r="F903" t="n">
        <v>1</v>
      </c>
      <c r="G903" t="n">
        <v>2</v>
      </c>
      <c r="H903" t="inlineStr">
        <is>
          <t>W</t>
        </is>
      </c>
      <c r="I903" t="inlineStr">
        <is>
          <t>Creature</t>
        </is>
      </c>
      <c r="J903" t="inlineStr">
        <is>
          <t>B2</t>
        </is>
      </c>
      <c r="K903" t="n">
        <v>1</v>
      </c>
      <c r="L903" t="inlineStr">
        <is>
          <t>{W}, {T}: Search your library for a land card, reveal it, put it into your hand, then shuffle. Activate only if an opponent controls more lands than you.
(1/1)</t>
        </is>
      </c>
      <c r="M903" t="inlineStr">
        <is>
          <t>Ramp</t>
        </is>
      </c>
      <c r="N903" t="inlineStr">
        <is>
          <t>1/1 body</t>
        </is>
      </c>
      <c r="O903" t="inlineStr">
        <is>
          <t>Tap: search library for a land card to hand if an opponent has more lands</t>
        </is>
      </c>
      <c r="R903" t="n">
        <v>17.39</v>
      </c>
    </row>
    <row r="904" ht="15" customHeight="1" s="148">
      <c r="A904" t="inlineStr">
        <is>
          <t>c0903</t>
        </is>
      </c>
      <c r="B904" t="inlineStr">
        <is>
          <t>Welcoming Vampire</t>
        </is>
      </c>
      <c r="C904" t="n">
        <v>2</v>
      </c>
      <c r="E904" t="n">
        <v>2</v>
      </c>
      <c r="F904" t="n">
        <v>0</v>
      </c>
      <c r="G904" t="n">
        <v>2</v>
      </c>
      <c r="H904" t="inlineStr">
        <is>
          <t>W</t>
        </is>
      </c>
      <c r="I904" t="inlineStr">
        <is>
          <t>Creature</t>
        </is>
      </c>
      <c r="J904" t="inlineStr">
        <is>
          <t>B2</t>
        </is>
      </c>
      <c r="K904" t="n">
        <v>3</v>
      </c>
      <c r="L904" t="inlineStr">
        <is>
          <t>Flying
Whenever one or more other creatures you control with power 2 or less enter, draw a card. This ability triggers only once each turn.
(2/3)</t>
        </is>
      </c>
      <c r="M904" t="inlineStr">
        <is>
          <t>Card Draw</t>
        </is>
      </c>
      <c r="N904" t="inlineStr">
        <is>
          <t>Draws a card (once per turn) when creatures with power 2 or less you control enter</t>
        </is>
      </c>
      <c r="O904" t="inlineStr">
        <is>
          <t>Flying body</t>
        </is>
      </c>
      <c r="R904" t="n">
        <v>3.81</v>
      </c>
    </row>
    <row r="905" ht="15" customHeight="1" s="148">
      <c r="A905" t="inlineStr">
        <is>
          <t>c0904</t>
        </is>
      </c>
      <c r="B905" t="inlineStr">
        <is>
          <t>White Orchid Phantom</t>
        </is>
      </c>
      <c r="C905" t="n">
        <v>1</v>
      </c>
      <c r="E905" t="n">
        <v>1</v>
      </c>
      <c r="F905" t="n">
        <v>0</v>
      </c>
      <c r="G905" t="n">
        <v>1</v>
      </c>
      <c r="H905" t="inlineStr">
        <is>
          <t>W</t>
        </is>
      </c>
      <c r="I905" t="inlineStr">
        <is>
          <t>Creature</t>
        </is>
      </c>
      <c r="J905" t="inlineStr">
        <is>
          <t>B2</t>
        </is>
      </c>
      <c r="K905" t="n">
        <v>2</v>
      </c>
      <c r="L905" t="inlineStr">
        <is>
          <t>Flying, first strike
When this creature enters, destroy up to one target nonbasic land. Its controller may search their library for a basic land card, put it onto the battlefield tapped, then shuffle.
(2/2)</t>
        </is>
      </c>
      <c r="M905" t="inlineStr">
        <is>
          <t>Removal</t>
        </is>
      </c>
      <c r="N905" t="inlineStr">
        <is>
          <t>Destroys target nonbasic land when it enters</t>
        </is>
      </c>
      <c r="O905" t="inlineStr">
        <is>
          <t>Its controller may search for a basic land instead</t>
        </is>
      </c>
      <c r="P905" t="inlineStr">
        <is>
          <t>Flying first strike body</t>
        </is>
      </c>
      <c r="R905" t="n">
        <v>0.23</v>
      </c>
    </row>
    <row r="906" ht="15" customHeight="1" s="148">
      <c r="A906" t="inlineStr">
        <is>
          <t>c0905</t>
        </is>
      </c>
      <c r="B906" t="inlineStr">
        <is>
          <t>Whitemane Lion</t>
        </is>
      </c>
      <c r="C906" t="n">
        <v>0</v>
      </c>
      <c r="D906" t="n">
        <v>1</v>
      </c>
      <c r="E906" t="n">
        <v>0</v>
      </c>
      <c r="F906" t="n">
        <v>0</v>
      </c>
      <c r="G906" t="n">
        <v>1</v>
      </c>
      <c r="H906" t="inlineStr">
        <is>
          <t>W</t>
        </is>
      </c>
      <c r="I906" t="inlineStr">
        <is>
          <t>Creature</t>
        </is>
      </c>
      <c r="J906" t="inlineStr">
        <is>
          <t>B2</t>
        </is>
      </c>
      <c r="K906" t="n">
        <v>2</v>
      </c>
      <c r="L906" t="inlineStr">
        <is>
          <t>Flash
When this creature enters, return a creature you control to its owner's hand.
(2/2)</t>
        </is>
      </c>
      <c r="M906" t="inlineStr">
        <is>
          <t>Blink</t>
        </is>
      </c>
      <c r="N906" t="inlineStr">
        <is>
          <t>Flash</t>
        </is>
      </c>
      <c r="O906" t="inlineStr">
        <is>
          <t>When this creature enters, return a creature you control to its owner's hand</t>
        </is>
      </c>
      <c r="R906" t="n">
        <v>0.09</v>
      </c>
    </row>
    <row r="907" ht="15" customHeight="1" s="148">
      <c r="A907" t="inlineStr">
        <is>
          <t>c0906</t>
        </is>
      </c>
      <c r="B907" t="inlineStr">
        <is>
          <t>Wild Pack Squad</t>
        </is>
      </c>
      <c r="C907" t="n">
        <v>1</v>
      </c>
      <c r="E907" t="n">
        <v>0</v>
      </c>
      <c r="F907" t="n">
        <v>1</v>
      </c>
      <c r="G907" t="n">
        <v>0</v>
      </c>
      <c r="H907" t="inlineStr">
        <is>
          <t>W</t>
        </is>
      </c>
      <c r="I907" t="inlineStr">
        <is>
          <t>Creature</t>
        </is>
      </c>
      <c r="J907" t="inlineStr">
        <is>
          <t>B2</t>
        </is>
      </c>
      <c r="K907" t="n">
        <v>3</v>
      </c>
      <c r="L907" t="inlineStr">
        <is>
          <t>At the beginning of combat on your turn, up to one target creature gains first strike and vigilance until end of turn.
(2/3)</t>
        </is>
      </c>
      <c r="M907" t="inlineStr">
        <is>
          <t>Combat Trick</t>
        </is>
      </c>
      <c r="N907" t="inlineStr">
        <is>
          <t>Gives target creature first strike and vigilance at combat start</t>
        </is>
      </c>
      <c r="R907" t="n">
        <v>0.09</v>
      </c>
    </row>
    <row r="908" ht="15" customHeight="1" s="148">
      <c r="A908" t="inlineStr">
        <is>
          <t>c0907</t>
        </is>
      </c>
      <c r="B908" t="inlineStr">
        <is>
          <t>Windborn Muse</t>
        </is>
      </c>
      <c r="C908" t="n">
        <v>0</v>
      </c>
      <c r="E908" t="n">
        <v>0</v>
      </c>
      <c r="F908" t="n">
        <v>0</v>
      </c>
      <c r="G908" t="n">
        <v>0</v>
      </c>
      <c r="H908" t="inlineStr">
        <is>
          <t>W</t>
        </is>
      </c>
      <c r="I908" t="inlineStr">
        <is>
          <t>Creature</t>
        </is>
      </c>
      <c r="J908" t="inlineStr">
        <is>
          <t>B2</t>
        </is>
      </c>
      <c r="K908" t="n">
        <v>4</v>
      </c>
      <c r="L908" t="inlineStr">
        <is>
          <t>Flying
Creatures can't attack you unless their controller pays {2} for each creature they control that's attacking you.
(2/3)</t>
        </is>
      </c>
      <c r="M908" t="inlineStr">
        <is>
          <t>Stax/Tax</t>
        </is>
      </c>
      <c r="N908" t="inlineStr">
        <is>
          <t>Flying</t>
        </is>
      </c>
      <c r="O908" t="inlineStr">
        <is>
          <t>Creatures can't attack you unless their controller pays {2} for each creature they control that's attacking you</t>
        </is>
      </c>
      <c r="R908" t="n">
        <v>0.54</v>
      </c>
    </row>
    <row r="909" ht="15" customHeight="1" s="148">
      <c r="A909" t="inlineStr">
        <is>
          <t>c0908</t>
        </is>
      </c>
      <c r="B909" t="inlineStr">
        <is>
          <t>Winds of Abandon</t>
        </is>
      </c>
      <c r="C909" t="n">
        <v>1</v>
      </c>
      <c r="E909" t="n">
        <v>1</v>
      </c>
      <c r="F909" t="n">
        <v>0</v>
      </c>
      <c r="G909" t="n">
        <v>1</v>
      </c>
      <c r="H909" t="inlineStr">
        <is>
          <t>W</t>
        </is>
      </c>
      <c r="I909" t="inlineStr">
        <is>
          <t>Sorcery</t>
        </is>
      </c>
      <c r="J909" t="inlineStr">
        <is>
          <t>B2</t>
        </is>
      </c>
      <c r="K909" t="n">
        <v>2</v>
      </c>
      <c r="L909" t="inlineStr">
        <is>
          <t>Exile target creature you don't control. For each creature exiled this way, its controller searches their library for a basic land card. Those players put those cards onto the battlefield tapped, then shuffle.
Overload {4}{W}{W} (You may cast this spell for its overload cost. If you do, change "target" in its text to "each.")</t>
        </is>
      </c>
      <c r="M909" t="inlineStr">
        <is>
          <t>Removal</t>
        </is>
      </c>
      <c r="N909" t="inlineStr">
        <is>
          <t>Exiles target creature you don't control</t>
        </is>
      </c>
      <c r="O909" t="inlineStr">
        <is>
          <t>Its controller searches for a basic land put onto the battlefield tapped</t>
        </is>
      </c>
      <c r="P909" t="inlineStr">
        <is>
          <t>Overload cost hits every creature you don't control</t>
        </is>
      </c>
      <c r="R909" t="n">
        <v>4.56</v>
      </c>
    </row>
    <row r="910" ht="15" customHeight="1" s="148">
      <c r="A910" t="inlineStr">
        <is>
          <t>c0909</t>
        </is>
      </c>
      <c r="B910" t="inlineStr">
        <is>
          <t>Wingmantle Chaplain</t>
        </is>
      </c>
      <c r="C910" t="n">
        <v>1</v>
      </c>
      <c r="E910" t="n">
        <v>1</v>
      </c>
      <c r="F910" t="n">
        <v>0</v>
      </c>
      <c r="G910" t="n">
        <v>1</v>
      </c>
      <c r="H910" t="inlineStr">
        <is>
          <t>W</t>
        </is>
      </c>
      <c r="I910" t="inlineStr">
        <is>
          <t>Creature</t>
        </is>
      </c>
      <c r="J910" t="inlineStr">
        <is>
          <t>B2</t>
        </is>
      </c>
      <c r="K910" t="n">
        <v>4</v>
      </c>
      <c r="L910" t="inlineStr">
        <is>
          <t>Defender
When this creature enters, create a 1/1 white Bird creature token with flying for each creature with defender you control.
Whenever another creature you control with defender enters, create a 1/1 white Bird creature token with flying.
(0/3)</t>
        </is>
      </c>
      <c r="M910" t="inlineStr">
        <is>
          <t>Token Producer</t>
        </is>
      </c>
      <c r="N910" t="inlineStr">
        <is>
          <t>Creates a 1/1 flying Bird token for each defender you control, on ETB</t>
        </is>
      </c>
      <c r="O910" t="inlineStr">
        <is>
          <t>Creates another Bird token whenever a defender creature enters</t>
        </is>
      </c>
      <c r="R910" t="n">
        <v>0.3</v>
      </c>
    </row>
    <row r="911" ht="15" customHeight="1" s="148">
      <c r="A911" t="inlineStr">
        <is>
          <t>c0910</t>
        </is>
      </c>
      <c r="B911" t="inlineStr">
        <is>
          <t>Winnowing</t>
        </is>
      </c>
      <c r="C911" t="n">
        <v>1</v>
      </c>
      <c r="E911" t="n">
        <v>0</v>
      </c>
      <c r="F911" t="n">
        <v>1</v>
      </c>
      <c r="G911" t="n">
        <v>0</v>
      </c>
      <c r="H911" t="inlineStr">
        <is>
          <t>W</t>
        </is>
      </c>
      <c r="I911" t="inlineStr">
        <is>
          <t>Sorcery</t>
        </is>
      </c>
      <c r="J911" t="inlineStr">
        <is>
          <t>B2</t>
        </is>
      </c>
      <c r="K911" t="n">
        <v>6</v>
      </c>
      <c r="L911" t="inlineStr">
        <is>
          <t>Convoke (Your creatures can help cast this spell. Each creature you tap while casting this spell pays for {1} or one mana of that creature's color.)
For each player, you choose a creature that player controls. Then each player sacrifices all other creatures they control that don't share a creature type with the chosen creature they control.</t>
        </is>
      </c>
      <c r="M911" t="inlineStr">
        <is>
          <t>Board Wipe</t>
        </is>
      </c>
      <c r="N911" t="inlineStr">
        <is>
          <t>Each player sacrifices creatures not sharing a type with a chosen one</t>
        </is>
      </c>
      <c r="O911" t="inlineStr">
        <is>
          <t>Can be cast for less by tapping creatures (convoke)</t>
        </is>
      </c>
      <c r="R911" t="n">
        <v>0.29</v>
      </c>
    </row>
    <row r="912" ht="15" customHeight="1" s="148">
      <c r="A912" t="inlineStr">
        <is>
          <t>c0911</t>
        </is>
      </c>
      <c r="B912" t="inlineStr">
        <is>
          <t>Yip Yip!</t>
        </is>
      </c>
      <c r="C912" t="n">
        <v>1</v>
      </c>
      <c r="E912" t="n">
        <v>0</v>
      </c>
      <c r="F912" t="n">
        <v>1</v>
      </c>
      <c r="G912" t="n">
        <v>0</v>
      </c>
      <c r="H912" t="inlineStr">
        <is>
          <t>W</t>
        </is>
      </c>
      <c r="I912" t="inlineStr">
        <is>
          <t>Instant</t>
        </is>
      </c>
      <c r="J912" t="inlineStr">
        <is>
          <t>B2</t>
        </is>
      </c>
      <c r="K912" t="n">
        <v>1</v>
      </c>
      <c r="L912" t="inlineStr">
        <is>
          <t>Target creature you control gets +2/+2 until end of turn. If that creature is an Ally, it also gains flying until end of turn.</t>
        </is>
      </c>
      <c r="M912" t="inlineStr">
        <is>
          <t>Combat Trick</t>
        </is>
      </c>
      <c r="N912" t="inlineStr">
        <is>
          <t>Target creature you control gets +2/+2 until end of turn; if it is an Ally, it also gains flying</t>
        </is>
      </c>
      <c r="R912" t="n">
        <v>0.21</v>
      </c>
    </row>
    <row r="913" ht="15" customHeight="1" s="148">
      <c r="A913" t="inlineStr">
        <is>
          <t>c0912</t>
        </is>
      </c>
      <c r="B913" t="inlineStr">
        <is>
          <t>Zack Fair</t>
        </is>
      </c>
      <c r="C913" t="n">
        <v>1</v>
      </c>
      <c r="E913" t="n">
        <v>1</v>
      </c>
      <c r="F913" t="n">
        <v>0</v>
      </c>
      <c r="G913" t="n">
        <v>0</v>
      </c>
      <c r="H913" t="inlineStr">
        <is>
          <t>W</t>
        </is>
      </c>
      <c r="I913" t="inlineStr">
        <is>
          <t>Legendary Creature</t>
        </is>
      </c>
      <c r="J913" t="inlineStr">
        <is>
          <t>B2</t>
        </is>
      </c>
      <c r="K913" t="n">
        <v>1</v>
      </c>
      <c r="L913" t="inlineStr">
        <is>
          <t>Zack Fair enters with a +1/+1 counter on it.
{1}, Sacrifice Zack Fair: Target creature you control gains indestructible until end of turn. Put Zack Fair's counters on that creature and attach an Equipment that was attached to Zack Fair to that creature.
(0/1)</t>
        </is>
      </c>
      <c r="M913" t="inlineStr">
        <is>
          <t>Sacrifice Outlet</t>
        </is>
      </c>
      <c r="N913" t="inlineStr">
        <is>
          <t>Enters with a +1/+1 counter on itself</t>
        </is>
      </c>
      <c r="O913" t="inlineStr">
        <is>
          <t>Sacrifice: target creature gains indestructible and gets its counters/Equipment</t>
        </is>
      </c>
      <c r="R913" t="n">
        <v>0.26</v>
      </c>
    </row>
    <row r="914" ht="15" customHeight="1" s="148">
      <c r="A914" t="inlineStr">
        <is>
          <t>c0913</t>
        </is>
      </c>
      <c r="B914" t="inlineStr">
        <is>
          <t>Zetalpa, Primal Dawn</t>
        </is>
      </c>
      <c r="C914" t="n">
        <v>2</v>
      </c>
      <c r="E914" t="n">
        <v>1</v>
      </c>
      <c r="F914" t="n">
        <v>1</v>
      </c>
      <c r="G914" t="n">
        <v>1</v>
      </c>
      <c r="H914" t="inlineStr">
        <is>
          <t>W</t>
        </is>
      </c>
      <c r="I914" t="inlineStr">
        <is>
          <t>Legendary Creature</t>
        </is>
      </c>
      <c r="J914" t="inlineStr">
        <is>
          <t>B2</t>
        </is>
      </c>
      <c r="K914" t="n">
        <v>8</v>
      </c>
      <c r="L914" t="inlineStr">
        <is>
          <t>Flying, double strike, vigilance, trample, indestructible
(4/8)</t>
        </is>
      </c>
      <c r="M914" t="inlineStr">
        <is>
          <t>Finisher</t>
        </is>
      </c>
      <c r="N914" t="inlineStr">
        <is>
          <t>Evasive double-strike attacker that dodges most removal</t>
        </is>
      </c>
      <c r="O914" t="inlineStr">
        <is>
          <t>Very hard to kill in combat or by damage</t>
        </is>
      </c>
      <c r="R914" t="n">
        <v>0.31</v>
      </c>
    </row>
    <row r="915">
      <c r="A915" t="inlineStr">
        <is>
          <t>c0914</t>
        </is>
      </c>
      <c r="B915" t="inlineStr">
        <is>
          <t>Paradise Druid</t>
        </is>
      </c>
      <c r="C915" t="n">
        <v>0</v>
      </c>
      <c r="D915" t="n">
        <v>1</v>
      </c>
      <c r="E915" t="n">
        <v>0</v>
      </c>
      <c r="F915" t="n">
        <v>0</v>
      </c>
      <c r="G915" t="n">
        <v>1</v>
      </c>
      <c r="H915" t="inlineStr">
        <is>
          <t>G</t>
        </is>
      </c>
      <c r="I915" t="inlineStr">
        <is>
          <t>Creature</t>
        </is>
      </c>
      <c r="J915" t="inlineStr">
        <is>
          <t>B2</t>
        </is>
      </c>
      <c r="K915" t="n">
        <v>2</v>
      </c>
      <c r="L915" t="inlineStr">
        <is>
          <t>Paradise Druid {1}{G} — Creature — Elf Druid (2/1)
This creature has hexproof as long as it's untapped. (It can't be the target of spells or abilities your opponents control.)
{T}: Add one mana of any color.</t>
        </is>
      </c>
      <c r="M915" t="inlineStr">
        <is>
          <t>Ramp</t>
        </is>
      </c>
      <c r="N915" t="inlineStr">
        <is>
          <t>This creature has hexproof as long as it's untapped. (It can't be the target of spells or abilities your opponents control.)</t>
        </is>
      </c>
      <c r="R915" t="n">
        <v>0.21</v>
      </c>
    </row>
    <row r="916">
      <c r="A916" t="inlineStr">
        <is>
          <t>c0915</t>
        </is>
      </c>
      <c r="B916" t="inlineStr">
        <is>
          <t>Peppersmoke</t>
        </is>
      </c>
      <c r="C916" t="n">
        <v>0</v>
      </c>
      <c r="D916" t="n">
        <v>1</v>
      </c>
      <c r="E916" t="n">
        <v>0</v>
      </c>
      <c r="F916" t="n">
        <v>0</v>
      </c>
      <c r="G916" t="n">
        <v>1</v>
      </c>
      <c r="H916" t="inlineStr">
        <is>
          <t>B</t>
        </is>
      </c>
      <c r="I916" t="inlineStr">
        <is>
          <t>Kindred Instant</t>
        </is>
      </c>
      <c r="J916" t="inlineStr">
        <is>
          <t>B2</t>
        </is>
      </c>
      <c r="K916" t="n">
        <v>1</v>
      </c>
      <c r="L916" t="inlineStr">
        <is>
          <t>Peppersmoke {B} — Kindred Instant — Faerie
Target creature gets -1/-1 until end of turn. If you control a Faerie, draw a card.</t>
        </is>
      </c>
      <c r="M916" t="inlineStr">
        <is>
          <t>Removal</t>
        </is>
      </c>
      <c r="N916" t="inlineStr">
        <is>
          <t>Target creature gets -1/-1 until end of turn. If you control a Faerie, draw a card.</t>
        </is>
      </c>
      <c r="R916" t="n">
        <v>0.26</v>
      </c>
    </row>
    <row r="917">
      <c r="A917" t="inlineStr">
        <is>
          <t>c0916</t>
        </is>
      </c>
      <c r="B917" t="inlineStr">
        <is>
          <t>Eyeblight's Ending</t>
        </is>
      </c>
      <c r="C917" t="n">
        <v>0</v>
      </c>
      <c r="D917" t="n">
        <v>1</v>
      </c>
      <c r="E917" t="n">
        <v>0</v>
      </c>
      <c r="F917" t="n">
        <v>0</v>
      </c>
      <c r="G917" t="n">
        <v>1</v>
      </c>
      <c r="H917" t="inlineStr">
        <is>
          <t>B</t>
        </is>
      </c>
      <c r="I917" t="inlineStr">
        <is>
          <t>Kindred Instant</t>
        </is>
      </c>
      <c r="J917" t="inlineStr">
        <is>
          <t>B2</t>
        </is>
      </c>
      <c r="K917" t="n">
        <v>3</v>
      </c>
      <c r="L917" t="inlineStr">
        <is>
          <t>Eyeblight's Ending {2}{B} — Kindred Instant — Elf
Destroy target non-Elf creature.</t>
        </is>
      </c>
      <c r="M917" t="inlineStr">
        <is>
          <t>Removal</t>
        </is>
      </c>
      <c r="N917" t="inlineStr">
        <is>
          <t>Destroy target non-Elf creature.</t>
        </is>
      </c>
      <c r="R917" t="n">
        <v>0.23</v>
      </c>
    </row>
    <row r="918">
      <c r="A918" t="inlineStr">
        <is>
          <t>c0917</t>
        </is>
      </c>
      <c r="B918" t="inlineStr">
        <is>
          <t>Halo Forager</t>
        </is>
      </c>
      <c r="C918" t="n">
        <v>0</v>
      </c>
      <c r="D918" t="n">
        <v>1</v>
      </c>
      <c r="E918" t="n">
        <v>0</v>
      </c>
      <c r="F918" t="n">
        <v>0</v>
      </c>
      <c r="G918" t="n">
        <v>1</v>
      </c>
      <c r="H918" t="inlineStr">
        <is>
          <t>Multi</t>
        </is>
      </c>
      <c r="I918" t="inlineStr">
        <is>
          <t>Creature</t>
        </is>
      </c>
      <c r="J918" t="inlineStr">
        <is>
          <t>B2</t>
        </is>
      </c>
      <c r="K918" t="n">
        <v>3</v>
      </c>
      <c r="L918" t="inlineStr">
        <is>
          <t>Halo Forager {1}{U}{B} — Creature — Faerie Rogue (3/1)
Flying
When this creature enters, you may pay {X}. When you do, you may cast target instant or sorcery card with mana value X from a graveyard without paying its mana cost. If that spell would be put into a graveyard, exile it instead.</t>
        </is>
      </c>
      <c r="M918" t="inlineStr">
        <is>
          <t>Card Advantage</t>
        </is>
      </c>
      <c r="N918" t="inlineStr">
        <is>
          <t>Flying</t>
        </is>
      </c>
      <c r="R918" t="n">
        <v>0.26</v>
      </c>
    </row>
    <row r="919">
      <c r="A919" t="inlineStr">
        <is>
          <t>c0918</t>
        </is>
      </c>
      <c r="B919" t="inlineStr">
        <is>
          <t>Llanowar Visionary</t>
        </is>
      </c>
      <c r="C919" t="n">
        <v>0</v>
      </c>
      <c r="D919" t="n">
        <v>1</v>
      </c>
      <c r="E919" t="n">
        <v>0</v>
      </c>
      <c r="F919" t="n">
        <v>0</v>
      </c>
      <c r="G919" t="n">
        <v>1</v>
      </c>
      <c r="H919" t="inlineStr">
        <is>
          <t>G</t>
        </is>
      </c>
      <c r="I919" t="inlineStr">
        <is>
          <t>Creature</t>
        </is>
      </c>
      <c r="J919" t="inlineStr">
        <is>
          <t>B2</t>
        </is>
      </c>
      <c r="K919" t="n">
        <v>3</v>
      </c>
      <c r="L919" t="inlineStr">
        <is>
          <t>Llanowar Visionary {2}{G} — Creature — Elf Druid (2/2)
When this creature enters, draw a card.
{T}: Add {G}.</t>
        </is>
      </c>
      <c r="M919" t="inlineStr">
        <is>
          <t>Card Draw</t>
        </is>
      </c>
      <c r="N919" t="inlineStr">
        <is>
          <t>When this creature enters, draw a card.</t>
        </is>
      </c>
      <c r="R919" t="n">
        <v>0.29</v>
      </c>
    </row>
    <row r="920">
      <c r="A920" t="inlineStr">
        <is>
          <t>c0919</t>
        </is>
      </c>
      <c r="B920" t="inlineStr">
        <is>
          <t>Lys Alana Huntmaster</t>
        </is>
      </c>
      <c r="C920" t="n">
        <v>0</v>
      </c>
      <c r="D920" t="n">
        <v>1</v>
      </c>
      <c r="E920" t="n">
        <v>0</v>
      </c>
      <c r="F920" t="n">
        <v>0</v>
      </c>
      <c r="G920" t="n">
        <v>1</v>
      </c>
      <c r="H920" t="inlineStr">
        <is>
          <t>G</t>
        </is>
      </c>
      <c r="I920" t="inlineStr">
        <is>
          <t>Creature</t>
        </is>
      </c>
      <c r="J920" t="inlineStr">
        <is>
          <t>B2</t>
        </is>
      </c>
      <c r="K920" t="n">
        <v>4</v>
      </c>
      <c r="L920" t="inlineStr">
        <is>
          <t>Lys Alana Huntmaster {2}{G}{G} — Creature — Elf Warrior (3/3)
Whenever you cast an Elf spell, you may create a 1/1 green Elf Warrior creature token.</t>
        </is>
      </c>
      <c r="M920" t="inlineStr">
        <is>
          <t>Token Producer</t>
        </is>
      </c>
      <c r="N920" t="inlineStr">
        <is>
          <t>Whenever you cast an Elf spell, you may create a 1/1 green Elf Warrior creature token.</t>
        </is>
      </c>
      <c r="R920" t="n">
        <v>2.18</v>
      </c>
    </row>
    <row r="921">
      <c r="A921" t="inlineStr">
        <is>
          <t>c0920</t>
        </is>
      </c>
      <c r="B921" t="inlineStr">
        <is>
          <t>Preordain</t>
        </is>
      </c>
      <c r="C921" t="n">
        <v>0</v>
      </c>
      <c r="D921" t="n">
        <v>1</v>
      </c>
      <c r="E921" t="n">
        <v>0</v>
      </c>
      <c r="F921" t="n">
        <v>0</v>
      </c>
      <c r="G921" t="n">
        <v>1</v>
      </c>
      <c r="H921" t="inlineStr">
        <is>
          <t>U</t>
        </is>
      </c>
      <c r="I921" t="inlineStr">
        <is>
          <t>Sorcery</t>
        </is>
      </c>
      <c r="J921" t="inlineStr">
        <is>
          <t>B3</t>
        </is>
      </c>
      <c r="K921" t="n">
        <v>1</v>
      </c>
      <c r="L921" t="inlineStr">
        <is>
          <t>Preordain {U} — Sorcery
Scry 2, then draw a card. (To scry 2, look at the top two cards of your library, then put any number of them on the bottom and the rest on top in any order.)</t>
        </is>
      </c>
      <c r="M921" t="inlineStr">
        <is>
          <t>Card Selection</t>
        </is>
      </c>
      <c r="N921" t="inlineStr">
        <is>
          <t>Scry 2, then draw a card. (To scry 2, look at the top two cards of your library, then put any number of them on the bottom and the rest on top in any order.)</t>
        </is>
      </c>
      <c r="R921" t="n">
        <v>0.74</v>
      </c>
    </row>
    <row r="922">
      <c r="A922" t="inlineStr">
        <is>
          <t>c0921</t>
        </is>
      </c>
      <c r="B922" t="inlineStr">
        <is>
          <t>Gilt-Leaf Winnower</t>
        </is>
      </c>
      <c r="C922" t="n">
        <v>0</v>
      </c>
      <c r="D922" t="n">
        <v>1</v>
      </c>
      <c r="E922" t="n">
        <v>0</v>
      </c>
      <c r="F922" t="n">
        <v>0</v>
      </c>
      <c r="G922" t="n">
        <v>1</v>
      </c>
      <c r="H922" t="inlineStr">
        <is>
          <t>B</t>
        </is>
      </c>
      <c r="I922" t="inlineStr">
        <is>
          <t>Creature</t>
        </is>
      </c>
      <c r="J922" t="inlineStr">
        <is>
          <t>B2</t>
        </is>
      </c>
      <c r="K922" t="n">
        <v>5</v>
      </c>
      <c r="L922" t="inlineStr">
        <is>
          <t>Gilt-Leaf Winnower {3}{B}{B} — Creature — Elf Warrior (4/3)
Menace (This creature can't be blocked except by two or more creatures.)
When this creature enters, you may destroy target non-Elf creature whose power and toughness aren't equal.</t>
        </is>
      </c>
      <c r="M922" t="inlineStr">
        <is>
          <t>Removal</t>
        </is>
      </c>
      <c r="N922" t="inlineStr">
        <is>
          <t>Menace (This creature can't be blocked except by two or more creatures.)</t>
        </is>
      </c>
      <c r="R922" t="n">
        <v>0.23</v>
      </c>
    </row>
    <row r="923">
      <c r="A923" t="inlineStr">
        <is>
          <t>c0922</t>
        </is>
      </c>
      <c r="B923" t="inlineStr">
        <is>
          <t>Coalition Relic</t>
        </is>
      </c>
      <c r="C923" t="n">
        <v>0</v>
      </c>
      <c r="D923" t="n">
        <v>1</v>
      </c>
      <c r="E923" t="n">
        <v>0</v>
      </c>
      <c r="F923" t="n">
        <v>0</v>
      </c>
      <c r="G923" t="n">
        <v>1</v>
      </c>
      <c r="H923" t="inlineStr">
        <is>
          <t>C</t>
        </is>
      </c>
      <c r="I923" t="inlineStr">
        <is>
          <t>Artifact</t>
        </is>
      </c>
      <c r="J923" t="inlineStr">
        <is>
          <t>B2</t>
        </is>
      </c>
      <c r="K923" t="n">
        <v>3</v>
      </c>
      <c r="L923" t="inlineStr">
        <is>
          <t>Coalition Relic {3} — Artifact
{T}: Add one mana of any color.
{T}: Put a charge counter on this artifact.
At the beginning of your first main phase, remove all charge counters from this artifact. Add one mana of any color for each charge counter removed this way.</t>
        </is>
      </c>
      <c r="M923" t="inlineStr">
        <is>
          <t>Mana Rock</t>
        </is>
      </c>
      <c r="N923" t="inlineStr">
        <is>
          <t>{T}: Add one mana of any color.</t>
        </is>
      </c>
      <c r="R923" t="n">
        <v>0.39</v>
      </c>
    </row>
    <row r="924">
      <c r="A924" t="inlineStr">
        <is>
          <t>c0923</t>
        </is>
      </c>
      <c r="B924" t="inlineStr">
        <is>
          <t>Springbloom Druid</t>
        </is>
      </c>
      <c r="C924" t="n">
        <v>0</v>
      </c>
      <c r="D924" t="n">
        <v>1</v>
      </c>
      <c r="E924" t="n">
        <v>0</v>
      </c>
      <c r="F924" t="n">
        <v>0</v>
      </c>
      <c r="G924" t="n">
        <v>1</v>
      </c>
      <c r="H924" t="inlineStr">
        <is>
          <t>G</t>
        </is>
      </c>
      <c r="I924" t="inlineStr">
        <is>
          <t>Creature</t>
        </is>
      </c>
      <c r="J924" t="inlineStr">
        <is>
          <t>B2</t>
        </is>
      </c>
      <c r="K924" t="n">
        <v>3</v>
      </c>
      <c r="L924" t="inlineStr">
        <is>
          <t>Springbloom Druid {2}{G} — Creature — Elf Druid (1/1)
When this creature enters, you may sacrifice a land. If you do, search your library for up to two basic land cards, put them onto the battlefield tapped, then shuffle.</t>
        </is>
      </c>
      <c r="M924" t="inlineStr">
        <is>
          <t>Ramp</t>
        </is>
      </c>
      <c r="N924" t="inlineStr">
        <is>
          <t>When this creature enters, you may sacrifice a land. If you do, search your library for up to two basic land cards, put them onto the battlefield tapped, then shuffle.</t>
        </is>
      </c>
      <c r="R924" t="n">
        <v>0.59</v>
      </c>
    </row>
    <row r="925">
      <c r="A925" t="inlineStr">
        <is>
          <t>c0924</t>
        </is>
      </c>
      <c r="B925" t="inlineStr">
        <is>
          <t>Sower of Temptation</t>
        </is>
      </c>
      <c r="C925" t="n">
        <v>0</v>
      </c>
      <c r="D925" t="n">
        <v>1</v>
      </c>
      <c r="E925" t="n">
        <v>0</v>
      </c>
      <c r="F925" t="n">
        <v>0</v>
      </c>
      <c r="G925" t="n">
        <v>1</v>
      </c>
      <c r="H925" t="inlineStr">
        <is>
          <t>U</t>
        </is>
      </c>
      <c r="I925" t="inlineStr">
        <is>
          <t>Creature</t>
        </is>
      </c>
      <c r="J925" t="inlineStr">
        <is>
          <t>B2</t>
        </is>
      </c>
      <c r="K925" t="n">
        <v>4</v>
      </c>
      <c r="L925" t="inlineStr">
        <is>
          <t>Sower of Temptation {2}{U}{U} — Creature — Faerie Wizard (2/2)
Flying
When this creature enters, gain control of target creature for as long as this creature remains on the battlefield.</t>
        </is>
      </c>
      <c r="M925" t="inlineStr">
        <is>
          <t>Removal</t>
        </is>
      </c>
      <c r="N925" t="inlineStr">
        <is>
          <t>Flying</t>
        </is>
      </c>
      <c r="R925" t="n">
        <v>2.53</v>
      </c>
    </row>
    <row r="926">
      <c r="A926" t="inlineStr">
        <is>
          <t>c0925</t>
        </is>
      </c>
      <c r="B926" t="inlineStr">
        <is>
          <t>Ilysian Caryatid</t>
        </is>
      </c>
      <c r="C926" t="n">
        <v>0</v>
      </c>
      <c r="D926" t="n">
        <v>1</v>
      </c>
      <c r="E926" t="n">
        <v>0</v>
      </c>
      <c r="F926" t="n">
        <v>0</v>
      </c>
      <c r="G926" t="n">
        <v>1</v>
      </c>
      <c r="H926" t="inlineStr">
        <is>
          <t>G</t>
        </is>
      </c>
      <c r="I926" t="inlineStr">
        <is>
          <t>Creature</t>
        </is>
      </c>
      <c r="J926" t="inlineStr">
        <is>
          <t>B2</t>
        </is>
      </c>
      <c r="K926" t="n">
        <v>2</v>
      </c>
      <c r="L926" t="inlineStr">
        <is>
          <t>Ilysian Caryatid {1}{G} — Creature — Plant (1/1)
{T}: Add one mana of any color. If you control a creature with power 4 or greater, add two mana of any one color instead.</t>
        </is>
      </c>
      <c r="M926" t="inlineStr">
        <is>
          <t>Ramp</t>
        </is>
      </c>
      <c r="N926" t="inlineStr">
        <is>
          <t>{T}: Add one mana of any color. If you control a creature with power 4 or greater, add two mana of any one color instead.</t>
        </is>
      </c>
      <c r="R926" t="n">
        <v>0.5600000000000001</v>
      </c>
    </row>
    <row r="927">
      <c r="A927" t="inlineStr">
        <is>
          <t>c0926</t>
        </is>
      </c>
      <c r="B927" t="inlineStr">
        <is>
          <t>Watcher for Tomorrow</t>
        </is>
      </c>
      <c r="C927" t="n">
        <v>0</v>
      </c>
      <c r="D927" t="n">
        <v>1</v>
      </c>
      <c r="E927" t="n">
        <v>0</v>
      </c>
      <c r="F927" t="n">
        <v>0</v>
      </c>
      <c r="G927" t="n">
        <v>1</v>
      </c>
      <c r="H927" t="inlineStr">
        <is>
          <t>U</t>
        </is>
      </c>
      <c r="I927" t="inlineStr">
        <is>
          <t>Creature</t>
        </is>
      </c>
      <c r="J927" t="inlineStr">
        <is>
          <t>B2</t>
        </is>
      </c>
      <c r="K927" t="n">
        <v>2</v>
      </c>
      <c r="L927" t="inlineStr">
        <is>
          <t>Watcher for Tomorrow {1}{U} — Creature — Human Wizard (2/1)
Hideaway 4 (When this creature enters, look at the top four cards of your library, exile one face down, then put the rest on the bottom in a random order.)
This creature enters tapped.
When this creature leaves the battlefield, put the exiled card into its owner's hand.</t>
        </is>
      </c>
      <c r="M927" t="inlineStr">
        <is>
          <t>Card Selection</t>
        </is>
      </c>
      <c r="N927" t="inlineStr">
        <is>
          <t>Hideaway 4 (When this creature enters, look at the top four cards of your library, exile one face down, then put the rest on the bottom in a random order.)</t>
        </is>
      </c>
      <c r="R927" t="n">
        <v>0.32</v>
      </c>
    </row>
    <row r="928">
      <c r="A928" t="inlineStr">
        <is>
          <t>c0927</t>
        </is>
      </c>
      <c r="B928" t="inlineStr">
        <is>
          <t>Realmwalker</t>
        </is>
      </c>
      <c r="C928" t="n">
        <v>0</v>
      </c>
      <c r="D928" t="n">
        <v>1</v>
      </c>
      <c r="E928" t="n">
        <v>0</v>
      </c>
      <c r="F928" t="n">
        <v>0</v>
      </c>
      <c r="G928" t="n">
        <v>1</v>
      </c>
      <c r="H928" t="inlineStr">
        <is>
          <t>G</t>
        </is>
      </c>
      <c r="I928" t="inlineStr">
        <is>
          <t>Creature</t>
        </is>
      </c>
      <c r="J928" t="inlineStr">
        <is>
          <t>B2</t>
        </is>
      </c>
      <c r="K928" t="n">
        <v>3</v>
      </c>
      <c r="L928" t="inlineStr">
        <is>
          <t>Realmwalker {2}{G} — Creature — Shapeshifter (2/3)
Changeling (This card is every creature type.)
As this creature enters, choose a creature type.
You may look at the top card of your library any time.
You may cast creature spells of the chosen type from the top of your library.</t>
        </is>
      </c>
      <c r="M928" t="inlineStr">
        <is>
          <t>Card Advantage</t>
        </is>
      </c>
      <c r="N928" t="inlineStr">
        <is>
          <t>Changeling (This card is every creature type.)</t>
        </is>
      </c>
      <c r="R928" t="n">
        <v>2.1</v>
      </c>
    </row>
    <row r="929">
      <c r="A929" t="inlineStr">
        <is>
          <t>c0928</t>
        </is>
      </c>
      <c r="B929" t="inlineStr">
        <is>
          <t>Elvish Rejuvenator</t>
        </is>
      </c>
      <c r="C929" t="n">
        <v>0</v>
      </c>
      <c r="D929" t="n">
        <v>1</v>
      </c>
      <c r="E929" t="n">
        <v>0</v>
      </c>
      <c r="F929" t="n">
        <v>0</v>
      </c>
      <c r="G929" t="n">
        <v>1</v>
      </c>
      <c r="H929" t="inlineStr">
        <is>
          <t>G</t>
        </is>
      </c>
      <c r="I929" t="inlineStr">
        <is>
          <t>Creature</t>
        </is>
      </c>
      <c r="J929" t="inlineStr">
        <is>
          <t>B2</t>
        </is>
      </c>
      <c r="K929" t="n">
        <v>3</v>
      </c>
      <c r="L929" t="inlineStr">
        <is>
          <t>Elvish Rejuvenator {2}{G} — Creature — Elf Druid (1/1)
When this creature enters, look at the top five cards of your library. You may put a land card from among them onto the battlefield tapped. Put the rest on the bottom of your library in a random order.</t>
        </is>
      </c>
      <c r="M929" t="inlineStr">
        <is>
          <t>Ramp</t>
        </is>
      </c>
      <c r="N929" t="inlineStr">
        <is>
          <t>When this creature enters, look at the top five cards of your library. You may put a land card from among them onto the battlefield tapped. Put the rest on the bottom of your library in a random order.</t>
        </is>
      </c>
      <c r="R929" t="n">
        <v>0.26</v>
      </c>
    </row>
    <row r="930">
      <c r="A930" t="inlineStr">
        <is>
          <t>c0929</t>
        </is>
      </c>
      <c r="B930" t="inlineStr">
        <is>
          <t>Topiary Stomper</t>
        </is>
      </c>
      <c r="C930" t="n">
        <v>0</v>
      </c>
      <c r="D930" t="n">
        <v>1</v>
      </c>
      <c r="E930" t="n">
        <v>0</v>
      </c>
      <c r="F930" t="n">
        <v>0</v>
      </c>
      <c r="G930" t="n">
        <v>1</v>
      </c>
      <c r="H930" t="inlineStr">
        <is>
          <t>G</t>
        </is>
      </c>
      <c r="I930" t="inlineStr">
        <is>
          <t>Creature</t>
        </is>
      </c>
      <c r="J930" t="inlineStr">
        <is>
          <t>B2</t>
        </is>
      </c>
      <c r="K930" t="n">
        <v>3</v>
      </c>
      <c r="L930" t="inlineStr">
        <is>
          <t>Topiary Stomper {1}{G}{G} — Creature — Plant Dinosaur (4/4)
Vigilance (Attacking doesn't cause this creature to tap.)
When this creature enters, search your library for a basic land card, put it onto the battlefield tapped, then shuffle.
This creature can't attack or block unless you control seven or more lands.</t>
        </is>
      </c>
      <c r="M930" t="inlineStr">
        <is>
          <t>Ramp</t>
        </is>
      </c>
      <c r="N930" t="inlineStr">
        <is>
          <t>Vigilance (Attacking doesn't cause this creature to tap.)</t>
        </is>
      </c>
      <c r="R930" t="n">
        <v>0.99</v>
      </c>
    </row>
    <row r="931">
      <c r="A931" t="inlineStr">
        <is>
          <t>c0930</t>
        </is>
      </c>
      <c r="B931" t="inlineStr">
        <is>
          <t>Canopy Vista</t>
        </is>
      </c>
      <c r="C931" t="n">
        <v>0</v>
      </c>
      <c r="D931" t="n">
        <v>1</v>
      </c>
      <c r="E931" t="n">
        <v>0</v>
      </c>
      <c r="F931" t="n">
        <v>0</v>
      </c>
      <c r="G931" t="n">
        <v>1</v>
      </c>
      <c r="H931" t="inlineStr">
        <is>
          <t>L</t>
        </is>
      </c>
      <c r="I931" t="inlineStr">
        <is>
          <t>Land</t>
        </is>
      </c>
      <c r="J931" t="inlineStr">
        <is>
          <t>B2</t>
        </is>
      </c>
      <c r="K931" t="n">
        <v>0</v>
      </c>
      <c r="L931" t="inlineStr">
        <is>
          <t>Canopy Vista  — Land — Forest Plains
({T}: Add {G} or {W}.)
This land enters tapped unless you control two or more basic lands.</t>
        </is>
      </c>
      <c r="M931" t="inlineStr">
        <is>
          <t>Land</t>
        </is>
      </c>
      <c r="N931" t="inlineStr">
        <is>
          <t>({T}: Add {G} or {W}.)</t>
        </is>
      </c>
      <c r="R931" t="n">
        <v>0.29</v>
      </c>
    </row>
    <row r="932">
      <c r="A932" t="inlineStr">
        <is>
          <t>c0931</t>
        </is>
      </c>
      <c r="B932" t="inlineStr">
        <is>
          <t>Prairie Stream</t>
        </is>
      </c>
      <c r="C932" t="n">
        <v>0</v>
      </c>
      <c r="D932" t="n">
        <v>1</v>
      </c>
      <c r="E932" t="n">
        <v>0</v>
      </c>
      <c r="F932" t="n">
        <v>0</v>
      </c>
      <c r="G932" t="n">
        <v>1</v>
      </c>
      <c r="H932" t="inlineStr">
        <is>
          <t>L</t>
        </is>
      </c>
      <c r="I932" t="inlineStr">
        <is>
          <t>Land</t>
        </is>
      </c>
      <c r="J932" t="inlineStr">
        <is>
          <t>B2</t>
        </is>
      </c>
      <c r="K932" t="n">
        <v>0</v>
      </c>
      <c r="L932" t="inlineStr">
        <is>
          <t>Prairie Stream  — Land — Plains Island
({T}: Add {W} or {U}.)
This land enters tapped unless you control two or more basic lands.</t>
        </is>
      </c>
      <c r="M932" t="inlineStr">
        <is>
          <t>Land</t>
        </is>
      </c>
      <c r="N932" t="inlineStr">
        <is>
          <t>({T}: Add {W} or {U}.)</t>
        </is>
      </c>
    </row>
    <row r="933">
      <c r="A933" t="inlineStr">
        <is>
          <t>c0932</t>
        </is>
      </c>
      <c r="B933" t="inlineStr">
        <is>
          <t>Tireless Tracker</t>
        </is>
      </c>
      <c r="C933" t="n">
        <v>0</v>
      </c>
      <c r="D933" t="n">
        <v>1</v>
      </c>
      <c r="E933" t="n">
        <v>0</v>
      </c>
      <c r="F933" t="n">
        <v>0</v>
      </c>
      <c r="G933" t="n">
        <v>1</v>
      </c>
      <c r="H933" t="inlineStr">
        <is>
          <t>G</t>
        </is>
      </c>
      <c r="I933" t="inlineStr">
        <is>
          <t>Creature</t>
        </is>
      </c>
      <c r="J933" t="inlineStr">
        <is>
          <t>B2</t>
        </is>
      </c>
      <c r="K933" t="n">
        <v>3</v>
      </c>
      <c r="L933" t="inlineStr">
        <is>
          <t>Tireless Tracker {2}{G} — Creature — Human Scout (3/2)
Landfall — Whenever a land you control enters, investigate. (Create a Clue token. It's an artifact with "{2}, Sacrifice this token: Draw a card.")
Whenever you sacrifice a Clue, put a +1/+1 counter on this creature.</t>
        </is>
      </c>
      <c r="M933" t="inlineStr">
        <is>
          <t>Card Draw</t>
        </is>
      </c>
      <c r="N933" t="inlineStr">
        <is>
          <t>Landfall — Whenever a land you control enters, investigate. (Create a Clue token. It's an artifact with "{2}, Sacrifice this token: Draw a card.")</t>
        </is>
      </c>
      <c r="R933" t="n">
        <v>0.32</v>
      </c>
    </row>
    <row r="934">
      <c r="A934" t="inlineStr">
        <is>
          <t>c0933</t>
        </is>
      </c>
      <c r="B934" t="inlineStr">
        <is>
          <t>Fathom Mage</t>
        </is>
      </c>
      <c r="C934" t="n">
        <v>0</v>
      </c>
      <c r="D934" t="n">
        <v>1</v>
      </c>
      <c r="E934" t="n">
        <v>0</v>
      </c>
      <c r="F934" t="n">
        <v>0</v>
      </c>
      <c r="G934" t="n">
        <v>1</v>
      </c>
      <c r="H934" t="inlineStr">
        <is>
          <t>Multi</t>
        </is>
      </c>
      <c r="I934" t="inlineStr">
        <is>
          <t>Creature</t>
        </is>
      </c>
      <c r="J934" t="inlineStr">
        <is>
          <t>B2</t>
        </is>
      </c>
      <c r="K934" t="n">
        <v>4</v>
      </c>
      <c r="L934" t="inlineStr">
        <is>
          <t>Fathom Mage {2}{G}{U} — Creature — Human Wizard (1/1)
Evolve (Whenever a creature you control enters, if that creature has greater power or toughness than this creature, put a +1/+1 counter on this creature.)
Whenever a +1/+1 counter is put on this creature, you may draw a card.</t>
        </is>
      </c>
      <c r="M934" t="inlineStr">
        <is>
          <t>Card Draw</t>
        </is>
      </c>
      <c r="N934" t="inlineStr">
        <is>
          <t>Evolve (Whenever a creature you control enters, if that creature has greater power or toughness than this creature, put a +1/+1 counter on this creature.)</t>
        </is>
      </c>
      <c r="R934" t="n">
        <v>0.61</v>
      </c>
    </row>
    <row r="935">
      <c r="A935" t="inlineStr">
        <is>
          <t>c0934</t>
        </is>
      </c>
      <c r="B935" t="inlineStr">
        <is>
          <t>Kor Skyfisher</t>
        </is>
      </c>
      <c r="C935" t="n">
        <v>0</v>
      </c>
      <c r="D935" t="n">
        <v>1</v>
      </c>
      <c r="E935" t="n">
        <v>0</v>
      </c>
      <c r="F935" t="n">
        <v>0</v>
      </c>
      <c r="G935" t="n">
        <v>1</v>
      </c>
      <c r="H935" t="inlineStr">
        <is>
          <t>W</t>
        </is>
      </c>
      <c r="I935" t="inlineStr">
        <is>
          <t>Creature</t>
        </is>
      </c>
      <c r="J935" t="inlineStr">
        <is>
          <t>B2</t>
        </is>
      </c>
      <c r="K935" t="n">
        <v>2</v>
      </c>
      <c r="L935" t="inlineStr">
        <is>
          <t>Kor Skyfisher {1}{W} — Creature — Kor Soldier (2/3)
Flying
When this creature enters, return a permanent you control to its owner's hand.</t>
        </is>
      </c>
      <c r="M935" t="inlineStr">
        <is>
          <t>Blink</t>
        </is>
      </c>
      <c r="N935" t="inlineStr">
        <is>
          <t>Flying</t>
        </is>
      </c>
      <c r="R935" t="n">
        <v>0.61</v>
      </c>
    </row>
    <row r="936">
      <c r="A936" t="inlineStr">
        <is>
          <t>c0935</t>
        </is>
      </c>
      <c r="B936" t="inlineStr">
        <is>
          <t>Mogg Raider</t>
        </is>
      </c>
      <c r="C936" t="n">
        <v>0</v>
      </c>
      <c r="D936" t="n">
        <v>1</v>
      </c>
      <c r="E936" t="n">
        <v>0</v>
      </c>
      <c r="F936" t="n">
        <v>0</v>
      </c>
      <c r="G936" t="n">
        <v>1</v>
      </c>
      <c r="H936" t="inlineStr">
        <is>
          <t>R</t>
        </is>
      </c>
      <c r="I936" t="inlineStr">
        <is>
          <t>Creature</t>
        </is>
      </c>
      <c r="J936" t="inlineStr">
        <is>
          <t>B2</t>
        </is>
      </c>
      <c r="K936" t="n">
        <v>1</v>
      </c>
      <c r="L936" t="inlineStr">
        <is>
          <t>Mogg Raider {R} — Creature — Goblin (1/1)
Sacrifice a Goblin: Target creature gets +1/+1 until end of turn.</t>
        </is>
      </c>
      <c r="M936" t="inlineStr">
        <is>
          <t>Sacrifice Outlet</t>
        </is>
      </c>
      <c r="N936" t="inlineStr">
        <is>
          <t>Sacrifice a Goblin: Target creature gets +1/+1 until end of turn.</t>
        </is>
      </c>
      <c r="R936" t="n">
        <v>0.38</v>
      </c>
    </row>
    <row r="937">
      <c r="A937" t="inlineStr">
        <is>
          <t>c0936</t>
        </is>
      </c>
      <c r="B937" t="inlineStr">
        <is>
          <t>Mizzium Mortars</t>
        </is>
      </c>
      <c r="C937" t="n">
        <v>0</v>
      </c>
      <c r="D937" t="n">
        <v>1</v>
      </c>
      <c r="E937" t="n">
        <v>0</v>
      </c>
      <c r="F937" t="n">
        <v>0</v>
      </c>
      <c r="G937" t="n">
        <v>1</v>
      </c>
      <c r="H937" t="inlineStr">
        <is>
          <t>R</t>
        </is>
      </c>
      <c r="I937" t="inlineStr">
        <is>
          <t>Sorcery</t>
        </is>
      </c>
      <c r="J937" t="inlineStr">
        <is>
          <t>B2</t>
        </is>
      </c>
      <c r="K937" t="n">
        <v>2</v>
      </c>
      <c r="L937" t="inlineStr">
        <is>
          <t>Mizzium Mortars {1}{R} — Sorcery
Mizzium Mortars deals 4 damage to target creature you don't control.
Overload {3}{R}{R}{R} (You may cast this spell for its overload cost. If you do, change "target" in its text to "each.")</t>
        </is>
      </c>
      <c r="M937" t="inlineStr">
        <is>
          <t>Removal</t>
        </is>
      </c>
      <c r="N937" t="inlineStr">
        <is>
          <t>Mizzium Mortars deals 4 damage to target creature you don't control.</t>
        </is>
      </c>
      <c r="R937" t="n">
        <v>0.57</v>
      </c>
    </row>
    <row r="938">
      <c r="A938" t="inlineStr">
        <is>
          <t>c0937</t>
        </is>
      </c>
      <c r="B938" t="inlineStr">
        <is>
          <t>Reckless Impulse</t>
        </is>
      </c>
      <c r="C938" t="n">
        <v>0</v>
      </c>
      <c r="D938" t="n">
        <v>1</v>
      </c>
      <c r="E938" t="n">
        <v>0</v>
      </c>
      <c r="F938" t="n">
        <v>0</v>
      </c>
      <c r="G938" t="n">
        <v>1</v>
      </c>
      <c r="H938" t="inlineStr">
        <is>
          <t>R</t>
        </is>
      </c>
      <c r="I938" t="inlineStr">
        <is>
          <t>Sorcery</t>
        </is>
      </c>
      <c r="J938" t="inlineStr">
        <is>
          <t>B2</t>
        </is>
      </c>
      <c r="K938" t="n">
        <v>2</v>
      </c>
      <c r="L938" t="inlineStr">
        <is>
          <t>Reckless Impulse {1}{R} — Sorcery
Exile the top two cards of your library. Until the end of your next turn, you may play those cards.</t>
        </is>
      </c>
      <c r="M938" t="inlineStr">
        <is>
          <t>Card Selection</t>
        </is>
      </c>
      <c r="N938" t="inlineStr">
        <is>
          <t>Exile the top two cards of your library. Until the end of your next turn, you may play those cards.</t>
        </is>
      </c>
    </row>
    <row r="939">
      <c r="A939" t="inlineStr">
        <is>
          <t>c0938</t>
        </is>
      </c>
      <c r="B939" t="inlineStr">
        <is>
          <t>Warstorm Surge</t>
        </is>
      </c>
      <c r="C939" t="n">
        <v>0</v>
      </c>
      <c r="D939" t="n">
        <v>1</v>
      </c>
      <c r="E939" t="n">
        <v>0</v>
      </c>
      <c r="F939" t="n">
        <v>0</v>
      </c>
      <c r="G939" t="n">
        <v>1</v>
      </c>
      <c r="H939" t="inlineStr">
        <is>
          <t>R</t>
        </is>
      </c>
      <c r="I939" t="inlineStr">
        <is>
          <t>Enchantment</t>
        </is>
      </c>
      <c r="J939" t="inlineStr">
        <is>
          <t>B2</t>
        </is>
      </c>
      <c r="K939" t="n">
        <v>6</v>
      </c>
      <c r="L939" t="inlineStr">
        <is>
          <t>Warstorm Surge {5}{R} — Enchantment
Whenever a creature you control enters, it deals damage equal to its power to any target.</t>
        </is>
      </c>
      <c r="M939" t="inlineStr">
        <is>
          <t>Burn</t>
        </is>
      </c>
      <c r="N939" t="inlineStr">
        <is>
          <t>Whenever a creature you control enters, it deals damage equal to its power to any target.</t>
        </is>
      </c>
      <c r="R939" t="n">
        <v>1.44</v>
      </c>
    </row>
    <row r="940">
      <c r="A940" t="inlineStr">
        <is>
          <t>c0939</t>
        </is>
      </c>
      <c r="B940" t="inlineStr">
        <is>
          <t>Burn at the Stake</t>
        </is>
      </c>
      <c r="C940" t="n">
        <v>0</v>
      </c>
      <c r="D940" t="n">
        <v>1</v>
      </c>
      <c r="E940" t="n">
        <v>0</v>
      </c>
      <c r="F940" t="n">
        <v>0</v>
      </c>
      <c r="G940" t="n">
        <v>1</v>
      </c>
      <c r="H940" t="inlineStr">
        <is>
          <t>R</t>
        </is>
      </c>
      <c r="I940" t="inlineStr">
        <is>
          <t>Sorcery</t>
        </is>
      </c>
      <c r="J940" t="inlineStr">
        <is>
          <t>B2</t>
        </is>
      </c>
      <c r="K940" t="n">
        <v>5</v>
      </c>
      <c r="L940" t="inlineStr">
        <is>
          <t>Burn at the Stake {2}{R}{R}{R} — Sorcery
As an additional cost to cast this spell, tap any number of untapped creatures you control.
Burn at the Stake deals damage to any target equal to three times the number of creatures tapped this way.</t>
        </is>
      </c>
      <c r="M940" t="inlineStr">
        <is>
          <t>Finisher</t>
        </is>
      </c>
      <c r="N940" t="inlineStr">
        <is>
          <t>As an additional cost to cast this spell, tap any number of untapped creatures you control.</t>
        </is>
      </c>
      <c r="R940" t="n">
        <v>1.08</v>
      </c>
    </row>
    <row r="941">
      <c r="A941" t="inlineStr">
        <is>
          <t>c0940</t>
        </is>
      </c>
      <c r="B941" t="inlineStr">
        <is>
          <t>Hammer of Purphoros</t>
        </is>
      </c>
      <c r="C941" t="n">
        <v>0</v>
      </c>
      <c r="D941" t="n">
        <v>1</v>
      </c>
      <c r="E941" t="n">
        <v>0</v>
      </c>
      <c r="F941" t="n">
        <v>0</v>
      </c>
      <c r="G941" t="n">
        <v>1</v>
      </c>
      <c r="H941" t="inlineStr">
        <is>
          <t>R</t>
        </is>
      </c>
      <c r="I941" t="inlineStr">
        <is>
          <t>Legendary Enchantment Artifact</t>
        </is>
      </c>
      <c r="J941" t="inlineStr">
        <is>
          <t>B2</t>
        </is>
      </c>
      <c r="K941" t="n">
        <v>3</v>
      </c>
      <c r="L941" t="inlineStr">
        <is>
          <t>Hammer of Purphoros {1}{R}{R} — Legendary Enchantment Artifact
Creatures you control have haste.
{2}{R}, {T}, Sacrifice a land: Create a 3/3 colorless Golem enchantment artifact creature token.</t>
        </is>
      </c>
      <c r="M941" t="inlineStr">
        <is>
          <t>Haste Enabler</t>
        </is>
      </c>
      <c r="N941" t="inlineStr">
        <is>
          <t>Creatures you control have haste.</t>
        </is>
      </c>
      <c r="R941" t="n">
        <v>0.35</v>
      </c>
    </row>
    <row r="942">
      <c r="A942" t="inlineStr">
        <is>
          <t>c0941</t>
        </is>
      </c>
      <c r="B942" t="inlineStr">
        <is>
          <t>Hypnotic Sprite // Mesmeric Glare</t>
        </is>
      </c>
      <c r="C942" t="n">
        <v>0</v>
      </c>
      <c r="D942" t="n">
        <v>1</v>
      </c>
      <c r="E942" t="n">
        <v>0</v>
      </c>
      <c r="F942" t="n">
        <v>0</v>
      </c>
      <c r="G942" t="n">
        <v>1</v>
      </c>
      <c r="H942" t="inlineStr">
        <is>
          <t>U</t>
        </is>
      </c>
      <c r="I942" t="inlineStr">
        <is>
          <t>Creature</t>
        </is>
      </c>
      <c r="J942" t="inlineStr">
        <is>
          <t>B2</t>
        </is>
      </c>
      <c r="K942" t="n">
        <v>2</v>
      </c>
      <c r="L942" t="inlineStr">
        <is>
          <t>Hypnotic Sprite // Mesmeric Glare {U}{U} // {2}{U} — Creature — Faerie // Instant — Adventure (2/1)
Flying</t>
        </is>
      </c>
      <c r="M942" t="inlineStr">
        <is>
          <t>Interaction</t>
        </is>
      </c>
      <c r="N942" t="inlineStr">
        <is>
          <t>Flying</t>
        </is>
      </c>
      <c r="R942" t="n">
        <v>0.12</v>
      </c>
    </row>
    <row r="943">
      <c r="A943" t="inlineStr">
        <is>
          <t>c0942</t>
        </is>
      </c>
      <c r="B943" t="inlineStr">
        <is>
          <t>Blade Splicer</t>
        </is>
      </c>
      <c r="C943" t="n">
        <v>0</v>
      </c>
      <c r="D943" t="n">
        <v>1</v>
      </c>
      <c r="E943" t="n">
        <v>0</v>
      </c>
      <c r="F943" t="n">
        <v>0</v>
      </c>
      <c r="G943" t="n">
        <v>1</v>
      </c>
      <c r="H943" t="inlineStr">
        <is>
          <t>W</t>
        </is>
      </c>
      <c r="I943" t="inlineStr">
        <is>
          <t>Creature</t>
        </is>
      </c>
      <c r="J943" t="inlineStr">
        <is>
          <t>B2</t>
        </is>
      </c>
      <c r="K943" t="n">
        <v>3</v>
      </c>
      <c r="L943" t="inlineStr">
        <is>
          <t>Blade Splicer {2}{W} — Creature — Phyrexian Human Artificer (1/1)
When this creature enters, create a 3/3 colorless Phyrexian Golem artifact creature token.
Golems you control have first strike.</t>
        </is>
      </c>
      <c r="M943" t="inlineStr">
        <is>
          <t>Token Producer</t>
        </is>
      </c>
      <c r="N943" t="inlineStr">
        <is>
          <t>When this creature enters, create a 3/3 colorless Phyrexian Golem artifact creature token.</t>
        </is>
      </c>
      <c r="R943" t="n">
        <v>0.32</v>
      </c>
    </row>
    <row r="944">
      <c r="A944" t="inlineStr">
        <is>
          <t>c0943</t>
        </is>
      </c>
      <c r="B944" t="inlineStr">
        <is>
          <t>Sakura-Tribe Elder</t>
        </is>
      </c>
      <c r="C944" t="n">
        <v>0</v>
      </c>
      <c r="D944" t="n">
        <v>1</v>
      </c>
      <c r="E944" t="n">
        <v>0</v>
      </c>
      <c r="F944" t="n">
        <v>0</v>
      </c>
      <c r="G944" t="n">
        <v>1</v>
      </c>
      <c r="H944" t="inlineStr">
        <is>
          <t>G</t>
        </is>
      </c>
      <c r="I944" t="inlineStr">
        <is>
          <t>Creature</t>
        </is>
      </c>
      <c r="J944" t="inlineStr">
        <is>
          <t>B2</t>
        </is>
      </c>
      <c r="K944" t="n">
        <v>2</v>
      </c>
      <c r="L944" t="inlineStr">
        <is>
          <t>Sakura-Tribe Elder {1}{G} — Creature — Snake Shaman (1/1)
Sacrifice this creature: Search your library for a basic land card, put that card onto the battlefield tapped, then shuffle.</t>
        </is>
      </c>
      <c r="M944" t="inlineStr">
        <is>
          <t>Ramp</t>
        </is>
      </c>
      <c r="N944" t="inlineStr">
        <is>
          <t>Sacrifice this creature: Search your library for a basic land card, put that card onto the battlefield tapped, then shuffle.</t>
        </is>
      </c>
      <c r="R944" t="n">
        <v>0.34</v>
      </c>
    </row>
    <row r="945">
      <c r="A945" t="inlineStr">
        <is>
          <t>c0944</t>
        </is>
      </c>
      <c r="B945" t="inlineStr">
        <is>
          <t>Selfless Savior</t>
        </is>
      </c>
      <c r="C945" t="n">
        <v>0</v>
      </c>
      <c r="D945" t="n">
        <v>1</v>
      </c>
      <c r="E945" t="n">
        <v>0</v>
      </c>
      <c r="F945" t="n">
        <v>0</v>
      </c>
      <c r="G945" t="n">
        <v>1</v>
      </c>
      <c r="H945" t="inlineStr">
        <is>
          <t>W</t>
        </is>
      </c>
      <c r="I945" t="inlineStr">
        <is>
          <t>Creature</t>
        </is>
      </c>
      <c r="J945" t="inlineStr">
        <is>
          <t>B2</t>
        </is>
      </c>
      <c r="K945" t="n">
        <v>1</v>
      </c>
      <c r="L945" t="inlineStr">
        <is>
          <t>Selfless Savior {W} — Creature — Dog (1/1)
Sacrifice this creature: Another target creature you control gains indestructible until end of turn. (Damage and effects that say "destroy" don't destroy it.)</t>
        </is>
      </c>
      <c r="M945" t="inlineStr">
        <is>
          <t>Protection</t>
        </is>
      </c>
      <c r="N945" t="inlineStr">
        <is>
          <t>Sacrifice this creature: Another target creature you control gains indestructible until end of turn. (Damage and effects that say "destroy" don't destroy it.)</t>
        </is>
      </c>
      <c r="R945" t="n">
        <v>0.37</v>
      </c>
    </row>
    <row r="946">
      <c r="A946" t="inlineStr">
        <is>
          <t>c0945</t>
        </is>
      </c>
      <c r="B946" t="inlineStr">
        <is>
          <t>Obyra, Dreaming Duelist</t>
        </is>
      </c>
      <c r="C946" t="n">
        <v>0</v>
      </c>
      <c r="D946" t="n">
        <v>1</v>
      </c>
      <c r="E946" t="n">
        <v>0</v>
      </c>
      <c r="F946" t="n">
        <v>0</v>
      </c>
      <c r="G946" t="n">
        <v>1</v>
      </c>
      <c r="H946" t="inlineStr">
        <is>
          <t>Multi</t>
        </is>
      </c>
      <c r="I946" t="inlineStr">
        <is>
          <t>Legendary Creature</t>
        </is>
      </c>
      <c r="J946" t="inlineStr">
        <is>
          <t>B2</t>
        </is>
      </c>
      <c r="K946" t="n">
        <v>2</v>
      </c>
      <c r="L946" t="inlineStr">
        <is>
          <t>Obyra, Dreaming Duelist {U}{B} — Legendary Creature — Faerie Warrior (2/2)
Flash
Flying
Whenever another Faerie you control enters, each opponent loses 1 life.</t>
        </is>
      </c>
      <c r="M946" t="inlineStr">
        <is>
          <t>Drain Payoff</t>
        </is>
      </c>
      <c r="N946" t="inlineStr">
        <is>
          <t>Flash</t>
        </is>
      </c>
      <c r="R946" t="n">
        <v>0.34</v>
      </c>
    </row>
    <row r="947">
      <c r="A947" t="inlineStr">
        <is>
          <t>c0946</t>
        </is>
      </c>
      <c r="B947" t="inlineStr">
        <is>
          <t>Soul Warden</t>
        </is>
      </c>
      <c r="C947" t="n">
        <v>0</v>
      </c>
      <c r="D947" t="n">
        <v>1</v>
      </c>
      <c r="E947" t="n">
        <v>0</v>
      </c>
      <c r="F947" t="n">
        <v>0</v>
      </c>
      <c r="G947" t="n">
        <v>1</v>
      </c>
      <c r="H947" t="inlineStr">
        <is>
          <t>W</t>
        </is>
      </c>
      <c r="I947" t="inlineStr">
        <is>
          <t>Creature</t>
        </is>
      </c>
      <c r="J947" t="inlineStr">
        <is>
          <t>B2</t>
        </is>
      </c>
      <c r="K947" t="n">
        <v>1</v>
      </c>
      <c r="L947" t="inlineStr">
        <is>
          <t>Soul Warden {W} — Creature — Human Cleric (1/1)
Whenever another creature enters, you gain 1 life.</t>
        </is>
      </c>
      <c r="M947" t="inlineStr">
        <is>
          <t>Lifegain</t>
        </is>
      </c>
      <c r="N947" t="inlineStr">
        <is>
          <t>Whenever another creature enters, you gain 1 life.</t>
        </is>
      </c>
      <c r="R947" t="n">
        <v>3.33</v>
      </c>
    </row>
    <row r="948">
      <c r="A948" t="inlineStr">
        <is>
          <t>c0947</t>
        </is>
      </c>
      <c r="B948" t="inlineStr">
        <is>
          <t>Yavimaya Dryad</t>
        </is>
      </c>
      <c r="C948" t="n">
        <v>0</v>
      </c>
      <c r="D948" t="n">
        <v>1</v>
      </c>
      <c r="E948" t="n">
        <v>0</v>
      </c>
      <c r="F948" t="n">
        <v>0</v>
      </c>
      <c r="G948" t="n">
        <v>1</v>
      </c>
      <c r="H948" t="inlineStr">
        <is>
          <t>G</t>
        </is>
      </c>
      <c r="I948" t="inlineStr">
        <is>
          <t>Creature</t>
        </is>
      </c>
      <c r="J948" t="inlineStr">
        <is>
          <t>B2</t>
        </is>
      </c>
      <c r="K948" t="n">
        <v>3</v>
      </c>
      <c r="L948" t="inlineStr">
        <is>
          <t>Yavimaya Dryad {1}{G}{G} — Creature — Dryad (2/1)
Forestwalk (This creature can't be blocked as long as defending player controls a Forest.)
When this creature enters, you may search your library for a Forest card, put it onto the battlefield tapped under target player's control, then shuffle.</t>
        </is>
      </c>
      <c r="M948" t="inlineStr">
        <is>
          <t>Ramp</t>
        </is>
      </c>
      <c r="N948" t="inlineStr">
        <is>
          <t>Forestwalk (This creature can't be blocked as long as defending player controls a Forest.)</t>
        </is>
      </c>
      <c r="R948" t="n">
        <v>0.24</v>
      </c>
    </row>
    <row r="949">
      <c r="A949" t="inlineStr">
        <is>
          <t>c0948</t>
        </is>
      </c>
      <c r="B949" t="inlineStr">
        <is>
          <t>Battle Screech</t>
        </is>
      </c>
      <c r="C949" t="n">
        <v>0</v>
      </c>
      <c r="D949" t="n">
        <v>1</v>
      </c>
      <c r="E949" t="n">
        <v>0</v>
      </c>
      <c r="F949" t="n">
        <v>0</v>
      </c>
      <c r="G949" t="n">
        <v>1</v>
      </c>
      <c r="H949" t="inlineStr">
        <is>
          <t>W</t>
        </is>
      </c>
      <c r="I949" t="inlineStr">
        <is>
          <t>Sorcery</t>
        </is>
      </c>
      <c r="J949" t="inlineStr">
        <is>
          <t>B2</t>
        </is>
      </c>
      <c r="K949" t="n">
        <v>4</v>
      </c>
      <c r="L949" t="inlineStr">
        <is>
          <t>Battle Screech {2}{W}{W} — Sorcery
Create two 1/1 white Bird creature tokens with flying.
Flashback—Tap three untapped white creatures you control. (You may cast this card from your graveyard for its flashback cost. Then exile it.)</t>
        </is>
      </c>
      <c r="M949" t="inlineStr">
        <is>
          <t>Token Producer</t>
        </is>
      </c>
      <c r="N949" t="inlineStr">
        <is>
          <t>Create two 1/1 white Bird creature tokens with flying.</t>
        </is>
      </c>
      <c r="R949" t="n">
        <v>0.25</v>
      </c>
    </row>
    <row r="950">
      <c r="A950" t="inlineStr">
        <is>
          <t>c0949</t>
        </is>
      </c>
      <c r="B950" t="inlineStr">
        <is>
          <t>Spirited Companion</t>
        </is>
      </c>
      <c r="C950" t="n">
        <v>0</v>
      </c>
      <c r="D950" t="n">
        <v>1</v>
      </c>
      <c r="E950" t="n">
        <v>0</v>
      </c>
      <c r="F950" t="n">
        <v>0</v>
      </c>
      <c r="G950" t="n">
        <v>1</v>
      </c>
      <c r="H950" t="inlineStr">
        <is>
          <t>W</t>
        </is>
      </c>
      <c r="I950" t="inlineStr">
        <is>
          <t>Enchantment Creature</t>
        </is>
      </c>
      <c r="J950" t="inlineStr">
        <is>
          <t>B2</t>
        </is>
      </c>
      <c r="K950" t="n">
        <v>2</v>
      </c>
      <c r="L950" t="inlineStr">
        <is>
          <t>Spirited Companion {1}{W} — Enchantment Creature — Dog (1/1)
When this creature enters, draw a card.</t>
        </is>
      </c>
      <c r="M950" t="inlineStr">
        <is>
          <t>Card Draw</t>
        </is>
      </c>
      <c r="N950" t="inlineStr">
        <is>
          <t>When this creature enters, draw a card.</t>
        </is>
      </c>
      <c r="R950" t="n">
        <v>0.34</v>
      </c>
    </row>
    <row r="951">
      <c r="A951" t="inlineStr">
        <is>
          <t>c0950</t>
        </is>
      </c>
      <c r="B951" t="inlineStr">
        <is>
          <t>Tegwyll, Duke of Splendor</t>
        </is>
      </c>
      <c r="C951" t="n">
        <v>0</v>
      </c>
      <c r="D951" t="n">
        <v>1</v>
      </c>
      <c r="E951" t="n">
        <v>0</v>
      </c>
      <c r="F951" t="n">
        <v>0</v>
      </c>
      <c r="G951" t="n">
        <v>1</v>
      </c>
      <c r="H951" t="inlineStr">
        <is>
          <t>Multi</t>
        </is>
      </c>
      <c r="I951" t="inlineStr">
        <is>
          <t>Legendary Creature</t>
        </is>
      </c>
      <c r="J951" t="inlineStr">
        <is>
          <t>B2</t>
        </is>
      </c>
      <c r="K951" t="n">
        <v>3</v>
      </c>
      <c r="L951" t="inlineStr">
        <is>
          <t>Tegwyll, Duke of Splendor {1}{U}{B} — Legendary Creature — Faerie Noble (2/3)
Flying, deathtouch
Other Faeries you control get +1/+1.
Whenever another Faerie you control dies, you draw a card and you lose 1 life.</t>
        </is>
      </c>
      <c r="M951" t="inlineStr">
        <is>
          <t>Lord/Anthem</t>
        </is>
      </c>
      <c r="N951" t="inlineStr">
        <is>
          <t>Flying, deathtouch</t>
        </is>
      </c>
      <c r="R951" t="n">
        <v>4.55</v>
      </c>
    </row>
    <row r="952">
      <c r="A952" t="inlineStr">
        <is>
          <t>c0951</t>
        </is>
      </c>
      <c r="B952" t="inlineStr">
        <is>
          <t>Vine Trellis</t>
        </is>
      </c>
      <c r="C952" t="n">
        <v>0</v>
      </c>
      <c r="D952" t="n">
        <v>1</v>
      </c>
      <c r="E952" t="n">
        <v>0</v>
      </c>
      <c r="F952" t="n">
        <v>0</v>
      </c>
      <c r="G952" t="n">
        <v>1</v>
      </c>
      <c r="H952" t="inlineStr">
        <is>
          <t>G</t>
        </is>
      </c>
      <c r="I952" t="inlineStr">
        <is>
          <t>Creature</t>
        </is>
      </c>
      <c r="J952" t="inlineStr">
        <is>
          <t>B2</t>
        </is>
      </c>
      <c r="K952" t="n">
        <v>2</v>
      </c>
      <c r="L952" t="inlineStr">
        <is>
          <t>Vine Trellis {1}{G} — Creature — Plant Wall (0/4)
Defender (This creature can't attack.)
{T}: Add {G}.</t>
        </is>
      </c>
      <c r="M952" t="inlineStr">
        <is>
          <t>Defender Ramp</t>
        </is>
      </c>
      <c r="N952" t="inlineStr">
        <is>
          <t>Defender (This creature can't attack.)</t>
        </is>
      </c>
      <c r="R952" t="n">
        <v>1.16</v>
      </c>
    </row>
    <row r="953">
      <c r="A953" t="inlineStr">
        <is>
          <t>c0952</t>
        </is>
      </c>
      <c r="B953" t="inlineStr">
        <is>
          <t>Grave Titan</t>
        </is>
      </c>
      <c r="C953" t="n">
        <v>0</v>
      </c>
      <c r="D953" t="n">
        <v>1</v>
      </c>
      <c r="E953" t="n">
        <v>0</v>
      </c>
      <c r="F953" t="n">
        <v>0</v>
      </c>
      <c r="G953" t="n">
        <v>1</v>
      </c>
      <c r="H953" t="inlineStr">
        <is>
          <t>B</t>
        </is>
      </c>
      <c r="I953" t="inlineStr">
        <is>
          <t>Creature</t>
        </is>
      </c>
      <c r="J953" t="inlineStr">
        <is>
          <t>B3</t>
        </is>
      </c>
      <c r="K953" t="n">
        <v>6</v>
      </c>
      <c r="L953" t="inlineStr">
        <is>
          <t>Grave Titan {4}{B}{B} — Creature — Giant (6/6)
Deathtouch
Whenever this creature enters or attacks, create two 2/2 black Zombie creature tokens.</t>
        </is>
      </c>
      <c r="M953" t="inlineStr">
        <is>
          <t>Token Producer</t>
        </is>
      </c>
      <c r="N953" t="inlineStr">
        <is>
          <t>Deathtouch</t>
        </is>
      </c>
      <c r="R953" t="n">
        <v>0.39</v>
      </c>
    </row>
    <row r="954">
      <c r="A954" t="inlineStr">
        <is>
          <t>c0953</t>
        </is>
      </c>
      <c r="B954" t="inlineStr">
        <is>
          <t>Faerie Mastermind</t>
        </is>
      </c>
      <c r="C954" t="n">
        <v>0</v>
      </c>
      <c r="D954" t="n">
        <v>1</v>
      </c>
      <c r="E954" t="n">
        <v>0</v>
      </c>
      <c r="F954" t="n">
        <v>0</v>
      </c>
      <c r="G954" t="n">
        <v>1</v>
      </c>
      <c r="H954" t="inlineStr">
        <is>
          <t>U</t>
        </is>
      </c>
      <c r="I954" t="inlineStr">
        <is>
          <t>Creature</t>
        </is>
      </c>
      <c r="J954" t="inlineStr">
        <is>
          <t>B2</t>
        </is>
      </c>
      <c r="K954" t="n">
        <v>2</v>
      </c>
      <c r="L954" t="inlineStr">
        <is>
          <t>Faerie Mastermind {1}{U} — Creature — Faerie Rogue (2/1)
Flash
Flying
Whenever an opponent draws their second card each turn, you draw a card.
{3}{U}: Each player draws a card.</t>
        </is>
      </c>
      <c r="M954" t="inlineStr">
        <is>
          <t>Card Draw</t>
        </is>
      </c>
      <c r="N954" t="inlineStr">
        <is>
          <t>Flash</t>
        </is>
      </c>
      <c r="R954" t="n">
        <v>12.11</v>
      </c>
    </row>
    <row r="955">
      <c r="A955" t="inlineStr">
        <is>
          <t>c0954</t>
        </is>
      </c>
      <c r="B955" t="inlineStr">
        <is>
          <t>Spellstutter Sprite</t>
        </is>
      </c>
      <c r="C955" t="n">
        <v>0</v>
      </c>
      <c r="D955" t="n">
        <v>1</v>
      </c>
      <c r="E955" t="n">
        <v>0</v>
      </c>
      <c r="F955" t="n">
        <v>0</v>
      </c>
      <c r="G955" t="n">
        <v>1</v>
      </c>
      <c r="H955" t="inlineStr">
        <is>
          <t>U</t>
        </is>
      </c>
      <c r="I955" t="inlineStr">
        <is>
          <t>Creature</t>
        </is>
      </c>
      <c r="J955" t="inlineStr">
        <is>
          <t>B2</t>
        </is>
      </c>
      <c r="K955" t="n">
        <v>2</v>
      </c>
      <c r="L955" t="inlineStr">
        <is>
          <t>Spellstutter Sprite {1}{U} — Creature — Faerie Wizard (1/1)
Flash
Flying
When this creature enters, counter target spell with mana value X or less, where X is the number of Faeries you control.</t>
        </is>
      </c>
      <c r="M955" t="inlineStr">
        <is>
          <t>Interaction</t>
        </is>
      </c>
      <c r="N955" t="inlineStr">
        <is>
          <t>Flash</t>
        </is>
      </c>
      <c r="R955" t="n">
        <v>5.42</v>
      </c>
    </row>
    <row r="956">
      <c r="A956" t="inlineStr">
        <is>
          <t>c0955</t>
        </is>
      </c>
      <c r="B956" t="inlineStr">
        <is>
          <t>Faerie Formation</t>
        </is>
      </c>
      <c r="C956" t="n">
        <v>0</v>
      </c>
      <c r="D956" t="n">
        <v>1</v>
      </c>
      <c r="E956" t="n">
        <v>0</v>
      </c>
      <c r="F956" t="n">
        <v>0</v>
      </c>
      <c r="G956" t="n">
        <v>1</v>
      </c>
      <c r="H956" t="inlineStr">
        <is>
          <t>U</t>
        </is>
      </c>
      <c r="I956" t="inlineStr">
        <is>
          <t>Creature</t>
        </is>
      </c>
      <c r="J956" t="inlineStr">
        <is>
          <t>B2</t>
        </is>
      </c>
      <c r="K956" t="n">
        <v>5</v>
      </c>
      <c r="L956" t="inlineStr">
        <is>
          <t>Faerie Formation {4}{U} — Creature — Faerie (5/4)
Flying
{3}{U}: Create a 1/1 blue Faerie creature token with flying. Draw a card.</t>
        </is>
      </c>
      <c r="M956" t="inlineStr">
        <is>
          <t>Token Producer</t>
        </is>
      </c>
      <c r="N956" t="inlineStr">
        <is>
          <t>Flying</t>
        </is>
      </c>
      <c r="R956" t="n">
        <v>0.45</v>
      </c>
    </row>
    <row r="957">
      <c r="A957" t="inlineStr">
        <is>
          <t>c0956</t>
        </is>
      </c>
      <c r="B957" t="inlineStr">
        <is>
          <t>Scion of Oona</t>
        </is>
      </c>
      <c r="C957" t="n">
        <v>0</v>
      </c>
      <c r="D957" t="n">
        <v>1</v>
      </c>
      <c r="E957" t="n">
        <v>0</v>
      </c>
      <c r="F957" t="n">
        <v>0</v>
      </c>
      <c r="G957" t="n">
        <v>1</v>
      </c>
      <c r="H957" t="inlineStr">
        <is>
          <t>U</t>
        </is>
      </c>
      <c r="I957" t="inlineStr">
        <is>
          <t>Creature</t>
        </is>
      </c>
      <c r="J957" t="inlineStr">
        <is>
          <t>B2</t>
        </is>
      </c>
      <c r="K957" t="n">
        <v>3</v>
      </c>
      <c r="L957" t="inlineStr">
        <is>
          <t>Scion of Oona {2}{U} — Creature — Faerie Soldier (1/1)
Flash
Flying
Other Faerie creatures you control get +1/+1.
Other Faeries you control have shroud. (They can't be the targets of spells or abilities.)</t>
        </is>
      </c>
      <c r="M957" t="inlineStr">
        <is>
          <t>Lord/Anthem</t>
        </is>
      </c>
      <c r="N957" t="inlineStr">
        <is>
          <t>Flash</t>
        </is>
      </c>
      <c r="R957" t="n">
        <v>12.95</v>
      </c>
    </row>
    <row r="958">
      <c r="A958" t="inlineStr">
        <is>
          <t>c0957</t>
        </is>
      </c>
      <c r="B958" t="inlineStr">
        <is>
          <t>Ravenous Chupacabra</t>
        </is>
      </c>
      <c r="C958" t="n">
        <v>0</v>
      </c>
      <c r="D958" t="n">
        <v>1</v>
      </c>
      <c r="E958" t="n">
        <v>0</v>
      </c>
      <c r="F958" t="n">
        <v>0</v>
      </c>
      <c r="G958" t="n">
        <v>1</v>
      </c>
      <c r="H958" t="inlineStr">
        <is>
          <t>B</t>
        </is>
      </c>
      <c r="I958" t="inlineStr">
        <is>
          <t>Creature</t>
        </is>
      </c>
      <c r="J958" t="inlineStr">
        <is>
          <t>B2</t>
        </is>
      </c>
      <c r="K958" t="n">
        <v>4</v>
      </c>
      <c r="L958" t="inlineStr">
        <is>
          <t>Ravenous Chupacabra {2}{B}{B} — Creature — Beast Horror (2/2)
When this creature enters, destroy target creature an opponent controls.</t>
        </is>
      </c>
      <c r="M958" t="inlineStr">
        <is>
          <t>Removal</t>
        </is>
      </c>
      <c r="N958" t="inlineStr">
        <is>
          <t>When this creature enters, destroy target creature an opponent controls.</t>
        </is>
      </c>
      <c r="R958" t="n">
        <v>0.99</v>
      </c>
    </row>
    <row r="959">
      <c r="A959" t="inlineStr">
        <is>
          <t>c0958</t>
        </is>
      </c>
      <c r="B959" t="inlineStr">
        <is>
          <t>Elvish Mystic</t>
        </is>
      </c>
      <c r="C959" t="n">
        <v>0</v>
      </c>
      <c r="D959" t="n">
        <v>1</v>
      </c>
      <c r="E959" t="n">
        <v>0</v>
      </c>
      <c r="F959" t="n">
        <v>0</v>
      </c>
      <c r="G959" t="n">
        <v>1</v>
      </c>
      <c r="H959" t="inlineStr">
        <is>
          <t>G</t>
        </is>
      </c>
      <c r="I959" t="inlineStr">
        <is>
          <t>Creature</t>
        </is>
      </c>
      <c r="J959" t="inlineStr">
        <is>
          <t>B2</t>
        </is>
      </c>
      <c r="K959" t="n">
        <v>1</v>
      </c>
      <c r="L959" t="inlineStr">
        <is>
          <t>Elvish Mystic {G} — Creature — Elf Druid (1/1)
{T}: Add {G}.</t>
        </is>
      </c>
      <c r="M959" t="inlineStr">
        <is>
          <t>Ramp</t>
        </is>
      </c>
      <c r="N959" t="inlineStr">
        <is>
          <t>{T}: Add {G}.</t>
        </is>
      </c>
      <c r="R959" t="n">
        <v>5.23</v>
      </c>
    </row>
    <row r="960">
      <c r="A960" t="inlineStr">
        <is>
          <t>c0959</t>
        </is>
      </c>
      <c r="B960" t="inlineStr">
        <is>
          <t>Adeline, Resplendent Cathar</t>
        </is>
      </c>
      <c r="C960" t="n">
        <v>0</v>
      </c>
      <c r="D960" t="n">
        <v>1</v>
      </c>
      <c r="E960" t="n">
        <v>0</v>
      </c>
      <c r="F960" t="n">
        <v>0</v>
      </c>
      <c r="G960" t="n">
        <v>1</v>
      </c>
      <c r="H960" t="inlineStr">
        <is>
          <t>W</t>
        </is>
      </c>
      <c r="I960" t="inlineStr">
        <is>
          <t>Legendary Creature</t>
        </is>
      </c>
      <c r="J960" t="inlineStr">
        <is>
          <t>B2</t>
        </is>
      </c>
      <c r="K960" t="n">
        <v>3</v>
      </c>
      <c r="L960" t="inlineStr">
        <is>
          <t>Adeline, Resplendent Cathar {1}{W}{W} — Legendary Creature — Human Knight (*/4)
Vigilance
Adeline's power is equal to the number of creatures you control.
Whenever you attack, for each opponent, create a 1/1 white Human creature token that's tapped and attacking that player or a planeswalker they control.</t>
        </is>
      </c>
      <c r="M960" t="inlineStr">
        <is>
          <t>Token Producer</t>
        </is>
      </c>
      <c r="N960" t="inlineStr">
        <is>
          <t>Vigilance</t>
        </is>
      </c>
      <c r="R960" t="n">
        <v>2.85</v>
      </c>
    </row>
    <row r="961">
      <c r="A961" t="inlineStr">
        <is>
          <t>c0960</t>
        </is>
      </c>
      <c r="B961" t="inlineStr">
        <is>
          <t>Jaspera Sentinel</t>
        </is>
      </c>
      <c r="C961" t="n">
        <v>0</v>
      </c>
      <c r="D961" t="n">
        <v>1</v>
      </c>
      <c r="E961" t="n">
        <v>0</v>
      </c>
      <c r="F961" t="n">
        <v>0</v>
      </c>
      <c r="G961" t="n">
        <v>1</v>
      </c>
      <c r="H961" t="inlineStr">
        <is>
          <t>G</t>
        </is>
      </c>
      <c r="I961" t="inlineStr">
        <is>
          <t>Creature</t>
        </is>
      </c>
      <c r="J961" t="inlineStr">
        <is>
          <t>B2</t>
        </is>
      </c>
      <c r="K961" t="n">
        <v>1</v>
      </c>
      <c r="L961" t="inlineStr">
        <is>
          <t>Jaspera Sentinel {G} — Creature — Elf Rogue (1/2)
Reach
{T}, Tap an untapped creature you control: Add one mana of any color.</t>
        </is>
      </c>
      <c r="M961" t="inlineStr">
        <is>
          <t>Ramp</t>
        </is>
      </c>
      <c r="N961" t="inlineStr">
        <is>
          <t>Reach</t>
        </is>
      </c>
      <c r="R961" t="n">
        <v>0.3</v>
      </c>
    </row>
    <row r="962">
      <c r="A962" t="inlineStr">
        <is>
          <t>c0961</t>
        </is>
      </c>
      <c r="B962" t="inlineStr">
        <is>
          <t>Fyndhorn Elves</t>
        </is>
      </c>
      <c r="C962" t="n">
        <v>0</v>
      </c>
      <c r="D962" t="n">
        <v>1</v>
      </c>
      <c r="E962" t="n">
        <v>0</v>
      </c>
      <c r="F962" t="n">
        <v>0</v>
      </c>
      <c r="G962" t="n">
        <v>1</v>
      </c>
      <c r="H962" t="inlineStr">
        <is>
          <t>G</t>
        </is>
      </c>
      <c r="I962" t="inlineStr">
        <is>
          <t>Creature</t>
        </is>
      </c>
      <c r="J962" t="inlineStr">
        <is>
          <t>B2</t>
        </is>
      </c>
      <c r="K962" t="n">
        <v>1</v>
      </c>
      <c r="L962" t="inlineStr">
        <is>
          <t>Fyndhorn Elves {G} — Creature — Elf Druid (1/1)
{T}: Add {G}.</t>
        </is>
      </c>
      <c r="M962" t="inlineStr">
        <is>
          <t>Ramp</t>
        </is>
      </c>
      <c r="N962" t="inlineStr">
        <is>
          <t>{T}: Add {G}.</t>
        </is>
      </c>
      <c r="R962" t="n">
        <v>2.28</v>
      </c>
    </row>
    <row r="963">
      <c r="A963" t="inlineStr">
        <is>
          <t>c0962</t>
        </is>
      </c>
      <c r="B963" t="inlineStr">
        <is>
          <t>Faerie Impostor</t>
        </is>
      </c>
      <c r="C963" t="n">
        <v>0</v>
      </c>
      <c r="D963" t="n">
        <v>1</v>
      </c>
      <c r="E963" t="n">
        <v>0</v>
      </c>
      <c r="F963" t="n">
        <v>0</v>
      </c>
      <c r="G963" t="n">
        <v>1</v>
      </c>
      <c r="H963" t="inlineStr">
        <is>
          <t>U</t>
        </is>
      </c>
      <c r="I963" t="inlineStr">
        <is>
          <t>Creature</t>
        </is>
      </c>
      <c r="J963" t="inlineStr">
        <is>
          <t>B2</t>
        </is>
      </c>
      <c r="K963" t="n">
        <v>1</v>
      </c>
      <c r="L963" t="inlineStr">
        <is>
          <t>Faerie Impostor {U} — Creature — Faerie Rogue (2/1)
Flying
When this creature enters, sacrifice it unless you return another creature you control to its owner's hand.</t>
        </is>
      </c>
      <c r="M963" t="inlineStr">
        <is>
          <t>Blink</t>
        </is>
      </c>
      <c r="N963" t="inlineStr">
        <is>
          <t>Flying</t>
        </is>
      </c>
      <c r="R963" t="n">
        <v>0.32</v>
      </c>
    </row>
    <row r="964">
      <c r="A964" t="inlineStr">
        <is>
          <t>c0963</t>
        </is>
      </c>
      <c r="B964" t="inlineStr">
        <is>
          <t>Imperious Perfect</t>
        </is>
      </c>
      <c r="C964" t="n">
        <v>0</v>
      </c>
      <c r="D964" t="n">
        <v>1</v>
      </c>
      <c r="E964" t="n">
        <v>0</v>
      </c>
      <c r="F964" t="n">
        <v>0</v>
      </c>
      <c r="G964" t="n">
        <v>1</v>
      </c>
      <c r="H964" t="inlineStr">
        <is>
          <t>G</t>
        </is>
      </c>
      <c r="I964" t="inlineStr">
        <is>
          <t>Creature</t>
        </is>
      </c>
      <c r="J964" t="inlineStr">
        <is>
          <t>B2</t>
        </is>
      </c>
      <c r="K964" t="n">
        <v>3</v>
      </c>
      <c r="L964" t="inlineStr">
        <is>
          <t>Imperious Perfect {2}{G} — Creature — Elf Warrior (2/2)
Other Elves you control get +1/+1.
{G}, {T}: Create a 1/1 green Elf Warrior creature token.</t>
        </is>
      </c>
      <c r="M964" t="inlineStr">
        <is>
          <t>Lord/Anthem</t>
        </is>
      </c>
      <c r="N964" t="inlineStr">
        <is>
          <t>Other Elves you control get +1/+1.</t>
        </is>
      </c>
    </row>
    <row r="965">
      <c r="A965" t="inlineStr">
        <is>
          <t>c0964</t>
        </is>
      </c>
      <c r="B965" t="inlineStr">
        <is>
          <t>Lightning Bolt</t>
        </is>
      </c>
      <c r="C965" t="n">
        <v>0</v>
      </c>
      <c r="D965" t="n">
        <v>1</v>
      </c>
      <c r="E965" t="n">
        <v>0</v>
      </c>
      <c r="F965" t="n">
        <v>0</v>
      </c>
      <c r="G965" t="n">
        <v>1</v>
      </c>
      <c r="H965" t="inlineStr">
        <is>
          <t>R</t>
        </is>
      </c>
      <c r="I965" t="inlineStr">
        <is>
          <t>Instant</t>
        </is>
      </c>
      <c r="J965" t="inlineStr">
        <is>
          <t>B2</t>
        </is>
      </c>
      <c r="K965" t="n">
        <v>1</v>
      </c>
      <c r="L965" t="inlineStr">
        <is>
          <t>Lightning Bolt {R} — Instant
Lightning Bolt deals 3 damage to any target.</t>
        </is>
      </c>
      <c r="M965" t="inlineStr">
        <is>
          <t>Removal</t>
        </is>
      </c>
      <c r="N965" t="inlineStr">
        <is>
          <t>Lightning Bolt deals 3 damage to any target.</t>
        </is>
      </c>
      <c r="R965" t="n">
        <v>0.8100000000000001</v>
      </c>
    </row>
    <row r="966">
      <c r="A966" t="inlineStr">
        <is>
          <t>c0965</t>
        </is>
      </c>
      <c r="B966" t="inlineStr">
        <is>
          <t>Goblin Cratermaker</t>
        </is>
      </c>
      <c r="C966" t="n">
        <v>0</v>
      </c>
      <c r="D966" t="n">
        <v>1</v>
      </c>
      <c r="E966" t="n">
        <v>0</v>
      </c>
      <c r="F966" t="n">
        <v>0</v>
      </c>
      <c r="G966" t="n">
        <v>1</v>
      </c>
      <c r="H966" t="inlineStr">
        <is>
          <t>R</t>
        </is>
      </c>
      <c r="I966" t="inlineStr">
        <is>
          <t>Creature</t>
        </is>
      </c>
      <c r="J966" t="inlineStr">
        <is>
          <t>B2</t>
        </is>
      </c>
      <c r="K966" t="n">
        <v>2</v>
      </c>
      <c r="L966" t="inlineStr">
        <is>
          <t>Goblin Cratermaker {1}{R} — Creature — Goblin Warrior (2/2)
{1}, Sacrifice this creature: Choose one —
• This creature deals 2 damage to target creature.
• Destroy target colorless nonland permanent.</t>
        </is>
      </c>
      <c r="M966" t="inlineStr">
        <is>
          <t>Removal</t>
        </is>
      </c>
      <c r="N966" t="inlineStr">
        <is>
          <t>{1}, Sacrifice this creature: Choose one —</t>
        </is>
      </c>
      <c r="R966" t="n">
        <v>0.27</v>
      </c>
    </row>
    <row r="967">
      <c r="A967" t="inlineStr">
        <is>
          <t>c0966</t>
        </is>
      </c>
      <c r="B967" t="inlineStr">
        <is>
          <t>Pollenbright Druid</t>
        </is>
      </c>
      <c r="C967" t="n">
        <v>0</v>
      </c>
      <c r="D967" t="n">
        <v>1</v>
      </c>
      <c r="E967" t="n">
        <v>0</v>
      </c>
      <c r="F967" t="n">
        <v>0</v>
      </c>
      <c r="G967" t="n">
        <v>1</v>
      </c>
      <c r="H967" t="inlineStr">
        <is>
          <t>G</t>
        </is>
      </c>
      <c r="I967" t="inlineStr">
        <is>
          <t>Creature</t>
        </is>
      </c>
      <c r="J967" t="inlineStr">
        <is>
          <t>B2</t>
        </is>
      </c>
      <c r="K967" t="n">
        <v>2</v>
      </c>
      <c r="L967" t="inlineStr">
        <is>
          <t>Pollenbright Druid {1}{G} — Creature — Elf Druid (1/1)
When this creature enters, choose one —
• Put a +1/+1 counter on target creature.
• Proliferate. (Choose any number of permanents and/or players, then give each another counter of each kind already there.)</t>
        </is>
      </c>
      <c r="M967" t="inlineStr">
        <is>
          <t>Proliferate</t>
        </is>
      </c>
      <c r="N967" t="inlineStr">
        <is>
          <t>When this creature enters, choose one —</t>
        </is>
      </c>
      <c r="R967" t="n">
        <v>0.23</v>
      </c>
    </row>
    <row r="968">
      <c r="A968" t="inlineStr">
        <is>
          <t>c0967</t>
        </is>
      </c>
      <c r="B968" t="inlineStr">
        <is>
          <t>Mystic Snake</t>
        </is>
      </c>
      <c r="C968" t="n">
        <v>0</v>
      </c>
      <c r="D968" t="n">
        <v>1</v>
      </c>
      <c r="E968" t="n">
        <v>0</v>
      </c>
      <c r="F968" t="n">
        <v>0</v>
      </c>
      <c r="G968" t="n">
        <v>1</v>
      </c>
      <c r="H968" t="inlineStr">
        <is>
          <t>Multi</t>
        </is>
      </c>
      <c r="I968" t="inlineStr">
        <is>
          <t>Creature</t>
        </is>
      </c>
      <c r="J968" t="inlineStr">
        <is>
          <t>B2</t>
        </is>
      </c>
      <c r="K968" t="n">
        <v>4</v>
      </c>
      <c r="L968" t="inlineStr">
        <is>
          <t>Mystic Snake {1}{G}{U}{U} — Creature — Snake (2/2)
Flash
When this creature enters, counter target spell.</t>
        </is>
      </c>
      <c r="M968" t="inlineStr">
        <is>
          <t>Interaction</t>
        </is>
      </c>
      <c r="N968" t="inlineStr">
        <is>
          <t>Flash</t>
        </is>
      </c>
      <c r="R968" t="n">
        <v>1.47</v>
      </c>
    </row>
    <row r="969">
      <c r="A969" t="inlineStr">
        <is>
          <t>c0968</t>
        </is>
      </c>
      <c r="B969" t="inlineStr">
        <is>
          <t>Fact or Fiction</t>
        </is>
      </c>
      <c r="C969" t="n">
        <v>0</v>
      </c>
      <c r="D969" t="n">
        <v>1</v>
      </c>
      <c r="E969" t="n">
        <v>0</v>
      </c>
      <c r="F969" t="n">
        <v>0</v>
      </c>
      <c r="G969" t="n">
        <v>1</v>
      </c>
      <c r="H969" t="inlineStr">
        <is>
          <t>U</t>
        </is>
      </c>
      <c r="I969" t="inlineStr">
        <is>
          <t>Instant</t>
        </is>
      </c>
      <c r="J969" t="inlineStr">
        <is>
          <t>B2</t>
        </is>
      </c>
      <c r="K969" t="n">
        <v>4</v>
      </c>
      <c r="L969" t="inlineStr">
        <is>
          <t>Fact or Fiction {3}{U} — Instant
Reveal the top five cards of your library. An opponent separates those cards into two piles. Put one pile into your hand and the other into your graveyard.</t>
        </is>
      </c>
      <c r="M969" t="inlineStr">
        <is>
          <t>Card Draw</t>
        </is>
      </c>
      <c r="N969" t="inlineStr">
        <is>
          <t>Reveal the top five cards of your library. An opponent separates those cards into two piles. Put one pile into your hand and the other into your graveyard.</t>
        </is>
      </c>
    </row>
    <row r="970">
      <c r="A970" t="inlineStr">
        <is>
          <t>c0969</t>
        </is>
      </c>
      <c r="B970" t="inlineStr">
        <is>
          <t>Make a Stand</t>
        </is>
      </c>
      <c r="C970" t="n">
        <v>0</v>
      </c>
      <c r="D970" t="n">
        <v>1</v>
      </c>
      <c r="E970" t="n">
        <v>0</v>
      </c>
      <c r="F970" t="n">
        <v>0</v>
      </c>
      <c r="G970" t="n">
        <v>1</v>
      </c>
      <c r="H970" t="inlineStr">
        <is>
          <t>W</t>
        </is>
      </c>
      <c r="I970" t="inlineStr">
        <is>
          <t>Instant</t>
        </is>
      </c>
      <c r="J970" t="inlineStr">
        <is>
          <t>B2</t>
        </is>
      </c>
      <c r="K970" t="n">
        <v>3</v>
      </c>
      <c r="L970" t="inlineStr">
        <is>
          <t>Make a Stand {2}{W} — Instant
Creatures you control get +1/+0 and gain indestructible until end of turn. (Damage and effects that say "destroy" don't destroy them.)</t>
        </is>
      </c>
      <c r="M970" t="inlineStr">
        <is>
          <t>Protection</t>
        </is>
      </c>
      <c r="N970" t="inlineStr">
        <is>
          <t>Creatures you control get +1/+0 and gain indestructible until end of turn. (Damage and effects that say "destroy" don't destroy them.)</t>
        </is>
      </c>
    </row>
  </sheetData>
  <autoFilter ref="A1:P914"/>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581"/>
  <sheetViews>
    <sheetView workbookViewId="0">
      <selection activeCell="D468" sqref="D468"/>
    </sheetView>
  </sheetViews>
  <sheetFormatPr baseColWidth="8" defaultRowHeight="14.4"/>
  <cols>
    <col width="5" customWidth="1" style="148" min="2" max="7"/>
    <col width="5.33203125" customWidth="1" style="148" min="8" max="8"/>
    <col width="8.88671875" customWidth="1" style="127" min="10" max="16384"/>
  </cols>
  <sheetData>
    <row r="1">
      <c r="A1" t="inlineStr">
        <is>
          <t>Card ID</t>
        </is>
      </c>
      <c r="B1" t="inlineStr">
        <is>
          <t>D1-T</t>
        </is>
      </c>
      <c r="C1" t="inlineStr">
        <is>
          <t>D2-T</t>
        </is>
      </c>
      <c r="D1" t="inlineStr">
        <is>
          <t>D3-T</t>
        </is>
      </c>
      <c r="E1" t="inlineStr">
        <is>
          <t>D4-T</t>
        </is>
      </c>
      <c r="F1" t="inlineStr">
        <is>
          <t>D5-T</t>
        </is>
      </c>
      <c r="G1" t="inlineStr">
        <is>
          <t>D6-T</t>
        </is>
      </c>
      <c r="H1" t="inlineStr">
        <is>
          <t>D7-T</t>
        </is>
      </c>
    </row>
    <row r="2">
      <c r="A2" t="inlineStr">
        <is>
          <t>c0004</t>
        </is>
      </c>
      <c r="F2" t="n">
        <v>1</v>
      </c>
    </row>
    <row r="3">
      <c r="A3" t="inlineStr">
        <is>
          <t>c0006</t>
        </is>
      </c>
    </row>
    <row r="4">
      <c r="A4" t="inlineStr">
        <is>
          <t>c0007</t>
        </is>
      </c>
      <c r="E4" t="n">
        <v>1</v>
      </c>
    </row>
    <row r="5">
      <c r="A5" t="inlineStr">
        <is>
          <t>c0008</t>
        </is>
      </c>
    </row>
    <row r="6">
      <c r="A6" t="inlineStr">
        <is>
          <t>c0011</t>
        </is>
      </c>
      <c r="F6" t="n">
        <v>1</v>
      </c>
    </row>
    <row r="7">
      <c r="A7" t="inlineStr">
        <is>
          <t>c0012</t>
        </is>
      </c>
      <c r="H7" t="n">
        <v>1</v>
      </c>
    </row>
    <row r="8">
      <c r="A8" t="inlineStr">
        <is>
          <t>c0017</t>
        </is>
      </c>
    </row>
    <row r="9">
      <c r="A9" t="inlineStr">
        <is>
          <t>c0019</t>
        </is>
      </c>
    </row>
    <row r="10">
      <c r="A10" t="inlineStr">
        <is>
          <t>c0021</t>
        </is>
      </c>
      <c r="H10" t="n">
        <v>1</v>
      </c>
    </row>
    <row r="11">
      <c r="A11" t="inlineStr">
        <is>
          <t>c0022</t>
        </is>
      </c>
    </row>
    <row r="12">
      <c r="A12" t="inlineStr">
        <is>
          <t>c0027</t>
        </is>
      </c>
    </row>
    <row r="13">
      <c r="A13" t="inlineStr">
        <is>
          <t>c0029</t>
        </is>
      </c>
      <c r="H13" t="n">
        <v>1</v>
      </c>
    </row>
    <row r="14">
      <c r="A14" t="inlineStr">
        <is>
          <t>c0033</t>
        </is>
      </c>
    </row>
    <row r="15">
      <c r="A15" t="inlineStr">
        <is>
          <t>c0034</t>
        </is>
      </c>
      <c r="D15" t="n">
        <v>1</v>
      </c>
    </row>
    <row r="16">
      <c r="A16" t="inlineStr">
        <is>
          <t>c0037</t>
        </is>
      </c>
    </row>
    <row r="17">
      <c r="A17" t="inlineStr">
        <is>
          <t>c0039</t>
        </is>
      </c>
      <c r="H17" t="n">
        <v>1</v>
      </c>
    </row>
    <row r="18">
      <c r="A18" t="inlineStr">
        <is>
          <t>c0042</t>
        </is>
      </c>
      <c r="D18" t="n">
        <v>1</v>
      </c>
    </row>
    <row r="19">
      <c r="A19" t="inlineStr">
        <is>
          <t>c0043</t>
        </is>
      </c>
      <c r="D19" t="n">
        <v>1</v>
      </c>
    </row>
    <row r="20">
      <c r="A20" t="inlineStr">
        <is>
          <t>c0047</t>
        </is>
      </c>
      <c r="H20" t="n">
        <v>1</v>
      </c>
    </row>
    <row r="21">
      <c r="A21" t="inlineStr">
        <is>
          <t>c0048</t>
        </is>
      </c>
    </row>
    <row r="22">
      <c r="A22" t="inlineStr">
        <is>
          <t>c0049</t>
        </is>
      </c>
    </row>
    <row r="23">
      <c r="A23" t="inlineStr">
        <is>
          <t>c0051</t>
        </is>
      </c>
      <c r="F23" t="n">
        <v>1</v>
      </c>
    </row>
    <row r="24">
      <c r="A24" t="inlineStr">
        <is>
          <t>c0053</t>
        </is>
      </c>
      <c r="F24" t="n">
        <v>1</v>
      </c>
      <c r="H24" t="n">
        <v>1</v>
      </c>
    </row>
    <row r="25">
      <c r="A25" t="inlineStr">
        <is>
          <t>c0057</t>
        </is>
      </c>
    </row>
    <row r="26">
      <c r="A26" t="inlineStr">
        <is>
          <t>c0058</t>
        </is>
      </c>
      <c r="F26" t="n">
        <v>1</v>
      </c>
    </row>
    <row r="27">
      <c r="A27" t="inlineStr">
        <is>
          <t>c0060</t>
        </is>
      </c>
      <c r="H27" t="n">
        <v>1</v>
      </c>
    </row>
    <row r="28">
      <c r="A28" t="inlineStr">
        <is>
          <t>c0061</t>
        </is>
      </c>
      <c r="F28" t="n">
        <v>1</v>
      </c>
    </row>
    <row r="29">
      <c r="A29" t="inlineStr">
        <is>
          <t>c0062</t>
        </is>
      </c>
    </row>
    <row r="30">
      <c r="A30" t="inlineStr">
        <is>
          <t>c0066</t>
        </is>
      </c>
      <c r="D30" t="n">
        <v>1</v>
      </c>
    </row>
    <row r="31">
      <c r="A31" t="inlineStr">
        <is>
          <t>c0070</t>
        </is>
      </c>
    </row>
    <row r="32">
      <c r="A32" t="inlineStr">
        <is>
          <t>c0074</t>
        </is>
      </c>
      <c r="H32" t="n">
        <v>1</v>
      </c>
    </row>
    <row r="33">
      <c r="A33" t="inlineStr">
        <is>
          <t>c0076</t>
        </is>
      </c>
    </row>
    <row r="34">
      <c r="A34" t="inlineStr">
        <is>
          <t>c0077</t>
        </is>
      </c>
      <c r="H34" t="n">
        <v>1</v>
      </c>
    </row>
    <row r="35">
      <c r="A35" t="inlineStr">
        <is>
          <t>c0080</t>
        </is>
      </c>
      <c r="E35" t="n">
        <v>1</v>
      </c>
    </row>
    <row r="36">
      <c r="A36" t="inlineStr">
        <is>
          <t>c0084</t>
        </is>
      </c>
    </row>
    <row r="37">
      <c r="A37" t="inlineStr">
        <is>
          <t>c0085</t>
        </is>
      </c>
      <c r="F37" t="n">
        <v>1</v>
      </c>
    </row>
    <row r="38">
      <c r="A38" t="inlineStr">
        <is>
          <t>c0086</t>
        </is>
      </c>
    </row>
    <row r="39">
      <c r="A39" t="inlineStr">
        <is>
          <t>c0090</t>
        </is>
      </c>
      <c r="E39" t="n">
        <v>1</v>
      </c>
    </row>
    <row r="40">
      <c r="A40" t="inlineStr">
        <is>
          <t>c0094</t>
        </is>
      </c>
      <c r="F40" t="n">
        <v>1</v>
      </c>
    </row>
    <row r="41">
      <c r="A41" t="inlineStr">
        <is>
          <t>c0096</t>
        </is>
      </c>
    </row>
    <row r="42">
      <c r="A42" t="inlineStr">
        <is>
          <t>c0097</t>
        </is>
      </c>
      <c r="B42" t="n">
        <v>1</v>
      </c>
      <c r="C42" t="n">
        <v>1</v>
      </c>
      <c r="D42" t="n">
        <v>1</v>
      </c>
      <c r="F42" t="n">
        <v>1</v>
      </c>
      <c r="G42" t="n">
        <v>1</v>
      </c>
    </row>
    <row r="43">
      <c r="A43" t="inlineStr">
        <is>
          <t>c0098</t>
        </is>
      </c>
    </row>
    <row r="44">
      <c r="A44" t="inlineStr">
        <is>
          <t>c0101</t>
        </is>
      </c>
      <c r="D44" t="n">
        <v>1</v>
      </c>
    </row>
    <row r="45">
      <c r="A45" t="inlineStr">
        <is>
          <t>c0102</t>
        </is>
      </c>
      <c r="D45" t="n">
        <v>1</v>
      </c>
    </row>
    <row r="46">
      <c r="A46" t="inlineStr">
        <is>
          <t>c0103</t>
        </is>
      </c>
      <c r="B46" t="n">
        <v>1</v>
      </c>
    </row>
    <row r="47">
      <c r="A47" t="inlineStr">
        <is>
          <t>c0106</t>
        </is>
      </c>
      <c r="D47" t="n">
        <v>1</v>
      </c>
    </row>
    <row r="48">
      <c r="A48" t="inlineStr">
        <is>
          <t>c0107</t>
        </is>
      </c>
      <c r="E48" t="n">
        <v>1</v>
      </c>
    </row>
    <row r="49">
      <c r="A49" t="inlineStr">
        <is>
          <t>c0108</t>
        </is>
      </c>
      <c r="H49" t="n">
        <v>1</v>
      </c>
    </row>
    <row r="50">
      <c r="A50" t="inlineStr">
        <is>
          <t>c0109</t>
        </is>
      </c>
      <c r="D50" t="n">
        <v>1</v>
      </c>
    </row>
    <row r="51">
      <c r="A51" t="inlineStr">
        <is>
          <t>c0111</t>
        </is>
      </c>
      <c r="D51" t="n">
        <v>1</v>
      </c>
    </row>
    <row r="52">
      <c r="A52" t="inlineStr">
        <is>
          <t>c0113</t>
        </is>
      </c>
      <c r="B52" t="n">
        <v>1</v>
      </c>
    </row>
    <row r="53">
      <c r="A53" t="inlineStr">
        <is>
          <t>c0114</t>
        </is>
      </c>
      <c r="E53" t="n">
        <v>1</v>
      </c>
    </row>
    <row r="54">
      <c r="A54" t="inlineStr">
        <is>
          <t>c0115</t>
        </is>
      </c>
      <c r="B54" t="n">
        <v>1</v>
      </c>
    </row>
    <row r="55">
      <c r="A55" t="inlineStr">
        <is>
          <t>c0118</t>
        </is>
      </c>
    </row>
    <row r="56">
      <c r="A56" t="inlineStr">
        <is>
          <t>c0121</t>
        </is>
      </c>
      <c r="D56" t="n">
        <v>1</v>
      </c>
    </row>
    <row r="57">
      <c r="A57" t="inlineStr">
        <is>
          <t>c0122</t>
        </is>
      </c>
    </row>
    <row r="58">
      <c r="A58" t="inlineStr">
        <is>
          <t>c0123</t>
        </is>
      </c>
      <c r="B58" t="n">
        <v>1</v>
      </c>
    </row>
    <row r="59">
      <c r="A59" t="inlineStr">
        <is>
          <t>c0125</t>
        </is>
      </c>
    </row>
    <row r="60">
      <c r="A60" t="inlineStr">
        <is>
          <t>c0126</t>
        </is>
      </c>
    </row>
    <row r="61">
      <c r="A61" t="inlineStr">
        <is>
          <t>c0127</t>
        </is>
      </c>
      <c r="B61" t="n">
        <v>1</v>
      </c>
    </row>
    <row r="62">
      <c r="A62" t="inlineStr">
        <is>
          <t>c0128</t>
        </is>
      </c>
      <c r="H62" t="n">
        <v>1</v>
      </c>
    </row>
    <row r="63">
      <c r="A63" t="inlineStr">
        <is>
          <t>c0129</t>
        </is>
      </c>
      <c r="F63" t="n">
        <v>1</v>
      </c>
    </row>
    <row r="64">
      <c r="A64" t="inlineStr">
        <is>
          <t>c0130</t>
        </is>
      </c>
      <c r="E64" t="n">
        <v>1</v>
      </c>
    </row>
    <row r="65">
      <c r="A65" t="inlineStr">
        <is>
          <t>c0131</t>
        </is>
      </c>
      <c r="G65" t="n">
        <v>1</v>
      </c>
    </row>
    <row r="66">
      <c r="A66" t="inlineStr">
        <is>
          <t>c0138</t>
        </is>
      </c>
      <c r="B66" t="n">
        <v>1</v>
      </c>
    </row>
    <row r="67">
      <c r="A67" t="inlineStr">
        <is>
          <t>c0139</t>
        </is>
      </c>
      <c r="B67" t="n">
        <v>1</v>
      </c>
      <c r="F67" t="n">
        <v>1</v>
      </c>
      <c r="G67" t="n">
        <v>1</v>
      </c>
    </row>
    <row r="68">
      <c r="A68" t="inlineStr">
        <is>
          <t>c0141</t>
        </is>
      </c>
    </row>
    <row r="69">
      <c r="A69" t="inlineStr">
        <is>
          <t>c0142</t>
        </is>
      </c>
      <c r="E69" t="n">
        <v>1</v>
      </c>
      <c r="F69" t="n">
        <v>1</v>
      </c>
    </row>
    <row r="70">
      <c r="A70" t="inlineStr">
        <is>
          <t>c0144</t>
        </is>
      </c>
      <c r="G70" t="n">
        <v>1</v>
      </c>
    </row>
    <row r="71">
      <c r="A71" t="inlineStr">
        <is>
          <t>c0145</t>
        </is>
      </c>
      <c r="B71" t="n">
        <v>1</v>
      </c>
    </row>
    <row r="72">
      <c r="A72" t="inlineStr">
        <is>
          <t>c0146</t>
        </is>
      </c>
    </row>
    <row r="73">
      <c r="A73" t="inlineStr">
        <is>
          <t>c0148</t>
        </is>
      </c>
      <c r="H73" t="n">
        <v>1</v>
      </c>
    </row>
    <row r="74">
      <c r="A74" t="inlineStr">
        <is>
          <t>c0151</t>
        </is>
      </c>
      <c r="E74" t="n">
        <v>1</v>
      </c>
    </row>
    <row r="75">
      <c r="A75" t="inlineStr">
        <is>
          <t>c0152</t>
        </is>
      </c>
      <c r="E75" t="n">
        <v>1</v>
      </c>
    </row>
    <row r="76">
      <c r="A76" t="inlineStr">
        <is>
          <t>c0153</t>
        </is>
      </c>
      <c r="D76" t="n">
        <v>1</v>
      </c>
    </row>
    <row r="77">
      <c r="A77" t="inlineStr">
        <is>
          <t>c0154</t>
        </is>
      </c>
      <c r="F77" t="n">
        <v>1</v>
      </c>
      <c r="G77" t="n">
        <v>1</v>
      </c>
    </row>
    <row r="78">
      <c r="A78" t="inlineStr">
        <is>
          <t>c0156</t>
        </is>
      </c>
      <c r="C78" t="n">
        <v>1</v>
      </c>
      <c r="G78" t="n">
        <v>1</v>
      </c>
    </row>
    <row r="79">
      <c r="A79" t="inlineStr">
        <is>
          <t>c0160</t>
        </is>
      </c>
      <c r="H79" t="n">
        <v>1</v>
      </c>
    </row>
    <row r="80">
      <c r="A80" t="inlineStr">
        <is>
          <t>c0161</t>
        </is>
      </c>
    </row>
    <row r="81">
      <c r="A81" t="inlineStr">
        <is>
          <t>c0162</t>
        </is>
      </c>
    </row>
    <row r="82">
      <c r="A82" t="inlineStr">
        <is>
          <t>c0163</t>
        </is>
      </c>
      <c r="G82" t="n">
        <v>1</v>
      </c>
    </row>
    <row r="83">
      <c r="A83" t="inlineStr">
        <is>
          <t>c0164</t>
        </is>
      </c>
      <c r="D83" t="n">
        <v>1</v>
      </c>
      <c r="F83" t="n">
        <v>1</v>
      </c>
    </row>
    <row r="84">
      <c r="A84" t="inlineStr">
        <is>
          <t>c0165</t>
        </is>
      </c>
      <c r="H84" t="n">
        <v>1</v>
      </c>
    </row>
    <row r="85">
      <c r="A85" t="inlineStr">
        <is>
          <t>c0166</t>
        </is>
      </c>
      <c r="G85" t="n">
        <v>1</v>
      </c>
    </row>
    <row r="86">
      <c r="A86" t="inlineStr">
        <is>
          <t>c0168</t>
        </is>
      </c>
      <c r="G86" t="n">
        <v>1</v>
      </c>
    </row>
    <row r="87">
      <c r="A87" t="inlineStr">
        <is>
          <t>c0169</t>
        </is>
      </c>
      <c r="D87" t="n">
        <v>1</v>
      </c>
    </row>
    <row r="88">
      <c r="A88" t="inlineStr">
        <is>
          <t>c0171</t>
        </is>
      </c>
    </row>
    <row r="89">
      <c r="A89" t="inlineStr">
        <is>
          <t>c0172</t>
        </is>
      </c>
      <c r="B89" t="n">
        <v>1</v>
      </c>
    </row>
    <row r="90">
      <c r="A90" t="inlineStr">
        <is>
          <t>c0173</t>
        </is>
      </c>
    </row>
    <row r="91">
      <c r="A91" t="inlineStr">
        <is>
          <t>c0177</t>
        </is>
      </c>
      <c r="E91" t="n">
        <v>1</v>
      </c>
    </row>
    <row r="92">
      <c r="A92" t="inlineStr">
        <is>
          <t>c0180</t>
        </is>
      </c>
      <c r="E92" t="n">
        <v>1</v>
      </c>
    </row>
    <row r="93">
      <c r="A93" t="inlineStr">
        <is>
          <t>c0183</t>
        </is>
      </c>
      <c r="C93" t="n">
        <v>1</v>
      </c>
    </row>
    <row r="94">
      <c r="A94" t="inlineStr">
        <is>
          <t>c0185</t>
        </is>
      </c>
    </row>
    <row r="95">
      <c r="A95" t="inlineStr">
        <is>
          <t>c0186</t>
        </is>
      </c>
      <c r="E95" t="n">
        <v>1</v>
      </c>
    </row>
    <row r="96">
      <c r="A96" t="inlineStr">
        <is>
          <t>c0188</t>
        </is>
      </c>
      <c r="E96" t="n">
        <v>1</v>
      </c>
    </row>
    <row r="97">
      <c r="A97" t="inlineStr">
        <is>
          <t>c0191</t>
        </is>
      </c>
      <c r="D97" t="n">
        <v>1</v>
      </c>
    </row>
    <row r="98">
      <c r="A98" t="inlineStr">
        <is>
          <t>c0192</t>
        </is>
      </c>
    </row>
    <row r="99">
      <c r="A99" t="inlineStr">
        <is>
          <t>c0193</t>
        </is>
      </c>
      <c r="D99" t="n">
        <v>1</v>
      </c>
    </row>
    <row r="100">
      <c r="A100" t="inlineStr">
        <is>
          <t>c0196</t>
        </is>
      </c>
    </row>
    <row r="101">
      <c r="A101" t="inlineStr">
        <is>
          <t>c0197</t>
        </is>
      </c>
      <c r="E101" t="n">
        <v>1</v>
      </c>
    </row>
    <row r="102">
      <c r="A102" t="inlineStr">
        <is>
          <t>c0199</t>
        </is>
      </c>
      <c r="C102" t="n">
        <v>1</v>
      </c>
    </row>
    <row r="103">
      <c r="A103" t="inlineStr">
        <is>
          <t>c0201</t>
        </is>
      </c>
      <c r="H103" t="n">
        <v>1</v>
      </c>
    </row>
    <row r="104">
      <c r="A104" t="inlineStr">
        <is>
          <t>c0202</t>
        </is>
      </c>
      <c r="C104" t="n">
        <v>1</v>
      </c>
    </row>
    <row r="105">
      <c r="A105" t="inlineStr">
        <is>
          <t>c0203</t>
        </is>
      </c>
      <c r="H105" t="n">
        <v>1</v>
      </c>
    </row>
    <row r="106">
      <c r="A106" t="inlineStr">
        <is>
          <t>c0204</t>
        </is>
      </c>
      <c r="C106" t="n">
        <v>1</v>
      </c>
    </row>
    <row r="107">
      <c r="A107" t="inlineStr">
        <is>
          <t>c0207</t>
        </is>
      </c>
      <c r="C107" t="n">
        <v>1</v>
      </c>
    </row>
    <row r="108">
      <c r="A108" t="inlineStr">
        <is>
          <t>c0208</t>
        </is>
      </c>
    </row>
    <row r="109">
      <c r="A109" t="inlineStr">
        <is>
          <t>c0209</t>
        </is>
      </c>
      <c r="C109" t="n">
        <v>1</v>
      </c>
      <c r="D109" t="n">
        <v>1</v>
      </c>
    </row>
    <row r="110">
      <c r="A110" t="inlineStr">
        <is>
          <t>c0211</t>
        </is>
      </c>
    </row>
    <row r="111">
      <c r="A111" t="inlineStr">
        <is>
          <t>c0213</t>
        </is>
      </c>
      <c r="E111" t="n">
        <v>1</v>
      </c>
    </row>
    <row r="112">
      <c r="A112" t="inlineStr">
        <is>
          <t>c0216</t>
        </is>
      </c>
      <c r="D112" t="n">
        <v>1</v>
      </c>
    </row>
    <row r="113">
      <c r="A113" t="inlineStr">
        <is>
          <t>c0219</t>
        </is>
      </c>
      <c r="H113" t="n">
        <v>1</v>
      </c>
    </row>
    <row r="114">
      <c r="A114" t="inlineStr">
        <is>
          <t>c0221</t>
        </is>
      </c>
      <c r="E114" t="n">
        <v>1</v>
      </c>
    </row>
    <row r="115">
      <c r="A115" t="inlineStr">
        <is>
          <t>c0222</t>
        </is>
      </c>
    </row>
    <row r="116">
      <c r="A116" t="inlineStr">
        <is>
          <t>c0227</t>
        </is>
      </c>
      <c r="D116" t="n">
        <v>1</v>
      </c>
    </row>
    <row r="117">
      <c r="A117" t="inlineStr">
        <is>
          <t>c0228</t>
        </is>
      </c>
      <c r="D117" t="n">
        <v>1</v>
      </c>
    </row>
    <row r="118">
      <c r="A118" t="inlineStr">
        <is>
          <t>c0229</t>
        </is>
      </c>
      <c r="E118" t="n">
        <v>1</v>
      </c>
    </row>
    <row r="119">
      <c r="A119" t="inlineStr">
        <is>
          <t>c0231</t>
        </is>
      </c>
    </row>
    <row r="120">
      <c r="A120" t="inlineStr">
        <is>
          <t>c0233</t>
        </is>
      </c>
      <c r="H120" t="n">
        <v>1</v>
      </c>
    </row>
    <row r="121">
      <c r="A121" t="inlineStr">
        <is>
          <t>c0235</t>
        </is>
      </c>
    </row>
    <row r="122">
      <c r="A122" t="inlineStr">
        <is>
          <t>c0236</t>
        </is>
      </c>
      <c r="H122" t="n">
        <v>1</v>
      </c>
    </row>
    <row r="123">
      <c r="A123" t="inlineStr">
        <is>
          <t>c0240</t>
        </is>
      </c>
      <c r="H123" t="n">
        <v>1</v>
      </c>
    </row>
    <row r="124">
      <c r="A124" t="inlineStr">
        <is>
          <t>c0241</t>
        </is>
      </c>
    </row>
    <row r="125">
      <c r="A125" t="inlineStr">
        <is>
          <t>c0245</t>
        </is>
      </c>
    </row>
    <row r="126">
      <c r="A126" t="inlineStr">
        <is>
          <t>c0247</t>
        </is>
      </c>
    </row>
    <row r="127">
      <c r="A127" t="inlineStr">
        <is>
          <t>c0249</t>
        </is>
      </c>
      <c r="D127" t="n">
        <v>1</v>
      </c>
      <c r="E127" t="n">
        <v>1</v>
      </c>
    </row>
    <row r="128">
      <c r="A128" t="inlineStr">
        <is>
          <t>c0250</t>
        </is>
      </c>
      <c r="E128" t="n">
        <v>1</v>
      </c>
    </row>
    <row r="129">
      <c r="A129" t="inlineStr">
        <is>
          <t>c0252</t>
        </is>
      </c>
      <c r="D129" t="n">
        <v>1</v>
      </c>
    </row>
    <row r="130">
      <c r="A130" t="inlineStr">
        <is>
          <t>c0253</t>
        </is>
      </c>
      <c r="E130" t="n">
        <v>1</v>
      </c>
    </row>
    <row r="131">
      <c r="A131" t="inlineStr">
        <is>
          <t>c0258</t>
        </is>
      </c>
      <c r="C131" t="n">
        <v>1</v>
      </c>
    </row>
    <row r="132">
      <c r="A132" t="inlineStr">
        <is>
          <t>c0261</t>
        </is>
      </c>
    </row>
    <row r="133">
      <c r="A133" t="inlineStr">
        <is>
          <t>c0262</t>
        </is>
      </c>
      <c r="H133" t="n">
        <v>1</v>
      </c>
    </row>
    <row r="134">
      <c r="A134" t="inlineStr">
        <is>
          <t>c0266</t>
        </is>
      </c>
      <c r="C134" t="n">
        <v>1</v>
      </c>
    </row>
    <row r="135">
      <c r="A135" t="inlineStr">
        <is>
          <t>c0270</t>
        </is>
      </c>
      <c r="E135" t="n">
        <v>1</v>
      </c>
    </row>
    <row r="136">
      <c r="A136" t="inlineStr">
        <is>
          <t>c0271</t>
        </is>
      </c>
      <c r="H136" t="n">
        <v>1</v>
      </c>
    </row>
    <row r="137">
      <c r="A137" t="inlineStr">
        <is>
          <t>c0272</t>
        </is>
      </c>
      <c r="C137" t="n">
        <v>1</v>
      </c>
    </row>
    <row r="138">
      <c r="A138" t="inlineStr">
        <is>
          <t>c0274</t>
        </is>
      </c>
      <c r="C138" t="n">
        <v>1</v>
      </c>
    </row>
    <row r="139">
      <c r="A139" t="inlineStr">
        <is>
          <t>c0276</t>
        </is>
      </c>
      <c r="E139" t="n">
        <v>1</v>
      </c>
    </row>
    <row r="140">
      <c r="A140" t="inlineStr">
        <is>
          <t>c0277</t>
        </is>
      </c>
      <c r="E140" t="n">
        <v>1</v>
      </c>
    </row>
    <row r="141">
      <c r="A141" t="inlineStr">
        <is>
          <t>c0278</t>
        </is>
      </c>
      <c r="D141" t="n">
        <v>1</v>
      </c>
    </row>
    <row r="142">
      <c r="A142" t="inlineStr">
        <is>
          <t>c0279</t>
        </is>
      </c>
      <c r="H142" t="n">
        <v>1</v>
      </c>
    </row>
    <row r="143">
      <c r="A143" t="inlineStr">
        <is>
          <t>c0283</t>
        </is>
      </c>
      <c r="E143" t="n">
        <v>1</v>
      </c>
    </row>
    <row r="144">
      <c r="A144" t="inlineStr">
        <is>
          <t>c0285</t>
        </is>
      </c>
      <c r="D144" t="n">
        <v>1</v>
      </c>
    </row>
    <row r="145">
      <c r="A145" t="inlineStr">
        <is>
          <t>c0286</t>
        </is>
      </c>
      <c r="H145" t="n">
        <v>1</v>
      </c>
    </row>
    <row r="146">
      <c r="A146" t="inlineStr">
        <is>
          <t>c0291</t>
        </is>
      </c>
      <c r="C146" t="n">
        <v>1</v>
      </c>
      <c r="E146" t="n">
        <v>1</v>
      </c>
      <c r="H146" t="n">
        <v>1</v>
      </c>
    </row>
    <row r="147">
      <c r="A147" t="inlineStr">
        <is>
          <t>c0292</t>
        </is>
      </c>
    </row>
    <row r="148">
      <c r="A148" t="inlineStr">
        <is>
          <t>c0293</t>
        </is>
      </c>
    </row>
    <row r="149">
      <c r="A149" t="inlineStr">
        <is>
          <t>c0294</t>
        </is>
      </c>
      <c r="C149" t="n">
        <v>1</v>
      </c>
    </row>
    <row r="150">
      <c r="A150" t="inlineStr">
        <is>
          <t>c0295</t>
        </is>
      </c>
    </row>
    <row r="151">
      <c r="A151" t="inlineStr">
        <is>
          <t>c0298</t>
        </is>
      </c>
      <c r="D151" t="n">
        <v>1</v>
      </c>
    </row>
    <row r="152">
      <c r="A152" t="inlineStr">
        <is>
          <t>c0299</t>
        </is>
      </c>
    </row>
    <row r="153">
      <c r="A153" t="inlineStr">
        <is>
          <t>c0300</t>
        </is>
      </c>
      <c r="C153" t="n">
        <v>1</v>
      </c>
    </row>
    <row r="154">
      <c r="A154" t="inlineStr">
        <is>
          <t>c0301</t>
        </is>
      </c>
      <c r="C154" t="n">
        <v>1</v>
      </c>
      <c r="D154" t="n">
        <v>1</v>
      </c>
    </row>
    <row r="155">
      <c r="A155" t="inlineStr">
        <is>
          <t>c0302</t>
        </is>
      </c>
    </row>
    <row r="156">
      <c r="A156" t="inlineStr">
        <is>
          <t>c0303</t>
        </is>
      </c>
      <c r="B156" t="n">
        <v>1</v>
      </c>
    </row>
    <row r="157">
      <c r="A157" t="inlineStr">
        <is>
          <t>c0304</t>
        </is>
      </c>
      <c r="C157" t="n">
        <v>1</v>
      </c>
      <c r="E157" t="n">
        <v>1</v>
      </c>
    </row>
    <row r="158">
      <c r="A158" t="inlineStr">
        <is>
          <t>c0307</t>
        </is>
      </c>
      <c r="B158" t="n">
        <v>1</v>
      </c>
    </row>
    <row r="159">
      <c r="A159" t="inlineStr">
        <is>
          <t>c0308</t>
        </is>
      </c>
      <c r="F159" t="n">
        <v>1</v>
      </c>
    </row>
    <row r="160">
      <c r="A160" t="inlineStr">
        <is>
          <t>c0309</t>
        </is>
      </c>
      <c r="G160" t="n">
        <v>1</v>
      </c>
    </row>
    <row r="161">
      <c r="A161" t="inlineStr">
        <is>
          <t>c0310</t>
        </is>
      </c>
      <c r="E161" t="n">
        <v>1</v>
      </c>
    </row>
    <row r="162">
      <c r="A162" t="inlineStr">
        <is>
          <t>c0311</t>
        </is>
      </c>
      <c r="B162" t="n">
        <v>1</v>
      </c>
    </row>
    <row r="163">
      <c r="A163" t="inlineStr">
        <is>
          <t>c0312</t>
        </is>
      </c>
      <c r="B163" t="n">
        <v>1</v>
      </c>
      <c r="D163" t="n">
        <v>1</v>
      </c>
      <c r="E163" t="n">
        <v>1</v>
      </c>
    </row>
    <row r="164">
      <c r="A164" t="inlineStr">
        <is>
          <t>c0313</t>
        </is>
      </c>
      <c r="E164" t="n">
        <v>1</v>
      </c>
    </row>
    <row r="165">
      <c r="A165" t="inlineStr">
        <is>
          <t>c0314</t>
        </is>
      </c>
      <c r="D165" t="n">
        <v>1</v>
      </c>
    </row>
    <row r="166">
      <c r="A166" t="inlineStr">
        <is>
          <t>c0315</t>
        </is>
      </c>
      <c r="D166" t="n">
        <v>1</v>
      </c>
    </row>
    <row r="167">
      <c r="A167" t="inlineStr">
        <is>
          <t>c0317</t>
        </is>
      </c>
      <c r="B167" t="n">
        <v>1</v>
      </c>
    </row>
    <row r="168">
      <c r="A168" t="inlineStr">
        <is>
          <t>c0318</t>
        </is>
      </c>
      <c r="F168" t="n">
        <v>1</v>
      </c>
    </row>
    <row r="169">
      <c r="A169" t="inlineStr">
        <is>
          <t>c0319</t>
        </is>
      </c>
      <c r="F169" t="n">
        <v>1</v>
      </c>
    </row>
    <row r="170">
      <c r="A170" t="inlineStr">
        <is>
          <t>c0320</t>
        </is>
      </c>
      <c r="C170" t="n">
        <v>1</v>
      </c>
      <c r="F170" t="n">
        <v>1</v>
      </c>
    </row>
    <row r="171">
      <c r="A171" t="inlineStr">
        <is>
          <t>c0321</t>
        </is>
      </c>
      <c r="B171" t="n">
        <v>1</v>
      </c>
    </row>
    <row r="172">
      <c r="A172" t="inlineStr">
        <is>
          <t>c0322</t>
        </is>
      </c>
      <c r="C172" t="n">
        <v>8</v>
      </c>
      <c r="D172" t="n">
        <v>6</v>
      </c>
      <c r="E172" t="n">
        <v>10</v>
      </c>
      <c r="H172" t="n">
        <v>10</v>
      </c>
    </row>
    <row r="173">
      <c r="A173" t="inlineStr">
        <is>
          <t>c0323</t>
        </is>
      </c>
      <c r="E173" t="n">
        <v>1</v>
      </c>
    </row>
    <row r="174">
      <c r="A174" t="inlineStr">
        <is>
          <t>c0324</t>
        </is>
      </c>
      <c r="B174" t="n">
        <v>1</v>
      </c>
    </row>
    <row r="175">
      <c r="A175" t="inlineStr">
        <is>
          <t>c0325</t>
        </is>
      </c>
      <c r="C175" t="n">
        <v>1</v>
      </c>
    </row>
    <row r="176">
      <c r="A176" t="inlineStr">
        <is>
          <t>c0326</t>
        </is>
      </c>
      <c r="B176" t="n">
        <v>1</v>
      </c>
    </row>
    <row r="177">
      <c r="A177" t="inlineStr">
        <is>
          <t>c0329</t>
        </is>
      </c>
      <c r="D177" t="n">
        <v>1</v>
      </c>
      <c r="E177" t="n">
        <v>1</v>
      </c>
    </row>
    <row r="178">
      <c r="A178" t="inlineStr">
        <is>
          <t>c0330</t>
        </is>
      </c>
    </row>
    <row r="179">
      <c r="A179" t="inlineStr">
        <is>
          <t>c0331</t>
        </is>
      </c>
      <c r="C179" t="n">
        <v>1</v>
      </c>
    </row>
    <row r="180">
      <c r="A180" t="inlineStr">
        <is>
          <t>c0332</t>
        </is>
      </c>
      <c r="B180" t="n">
        <v>1</v>
      </c>
    </row>
    <row r="181">
      <c r="A181" t="inlineStr">
        <is>
          <t>c0333</t>
        </is>
      </c>
      <c r="B181" t="n">
        <v>1</v>
      </c>
    </row>
    <row r="182">
      <c r="A182" t="inlineStr">
        <is>
          <t>c0334</t>
        </is>
      </c>
      <c r="C182" t="n">
        <v>7</v>
      </c>
      <c r="D182" t="n">
        <v>7</v>
      </c>
      <c r="H182" t="n">
        <v>13</v>
      </c>
    </row>
    <row r="183">
      <c r="A183" t="inlineStr">
        <is>
          <t>c0335</t>
        </is>
      </c>
      <c r="E183" t="n">
        <v>1</v>
      </c>
      <c r="F183" t="n">
        <v>1</v>
      </c>
    </row>
    <row r="184">
      <c r="A184" t="inlineStr">
        <is>
          <t>c0336</t>
        </is>
      </c>
      <c r="D184" t="n">
        <v>1</v>
      </c>
    </row>
    <row r="185">
      <c r="A185" t="inlineStr">
        <is>
          <t>c0337</t>
        </is>
      </c>
    </row>
    <row r="186">
      <c r="A186" t="inlineStr">
        <is>
          <t>c0339</t>
        </is>
      </c>
      <c r="D186" t="n">
        <v>1</v>
      </c>
    </row>
    <row r="187">
      <c r="A187" t="inlineStr">
        <is>
          <t>c0341</t>
        </is>
      </c>
      <c r="B187" t="n">
        <v>1</v>
      </c>
    </row>
    <row r="188">
      <c r="A188" t="inlineStr">
        <is>
          <t>c0342</t>
        </is>
      </c>
      <c r="C188" t="n">
        <v>1</v>
      </c>
    </row>
    <row r="189">
      <c r="A189" t="inlineStr">
        <is>
          <t>c0343</t>
        </is>
      </c>
      <c r="C189" t="n">
        <v>1</v>
      </c>
      <c r="D189" t="n">
        <v>1</v>
      </c>
    </row>
    <row r="190">
      <c r="A190" t="inlineStr">
        <is>
          <t>c0344</t>
        </is>
      </c>
      <c r="D190" t="n">
        <v>1</v>
      </c>
      <c r="H190" t="n">
        <v>1</v>
      </c>
    </row>
    <row r="191">
      <c r="A191" t="inlineStr">
        <is>
          <t>c0345</t>
        </is>
      </c>
      <c r="B191" t="n">
        <v>1</v>
      </c>
    </row>
    <row r="192">
      <c r="A192" t="inlineStr">
        <is>
          <t>c0346</t>
        </is>
      </c>
      <c r="B192" t="n">
        <v>8</v>
      </c>
      <c r="G192" t="n">
        <v>33</v>
      </c>
    </row>
    <row r="193">
      <c r="A193" t="inlineStr">
        <is>
          <t>c0347</t>
        </is>
      </c>
    </row>
    <row r="194">
      <c r="A194" t="inlineStr">
        <is>
          <t>c0350</t>
        </is>
      </c>
      <c r="F194" t="n">
        <v>1</v>
      </c>
    </row>
    <row r="195">
      <c r="A195" t="inlineStr">
        <is>
          <t>c0351</t>
        </is>
      </c>
      <c r="F195" t="n">
        <v>1</v>
      </c>
    </row>
    <row r="196">
      <c r="A196" t="inlineStr">
        <is>
          <t>c0352</t>
        </is>
      </c>
      <c r="C196" t="n">
        <v>1</v>
      </c>
    </row>
    <row r="197">
      <c r="A197" t="inlineStr">
        <is>
          <t>c0353</t>
        </is>
      </c>
      <c r="G197" t="n">
        <v>1</v>
      </c>
    </row>
    <row r="198">
      <c r="A198" t="inlineStr">
        <is>
          <t>c0354</t>
        </is>
      </c>
      <c r="B198" t="n">
        <v>9</v>
      </c>
      <c r="C198" t="n">
        <v>6</v>
      </c>
      <c r="D198" t="n">
        <v>5</v>
      </c>
      <c r="E198" t="n">
        <v>9</v>
      </c>
      <c r="F198" t="n">
        <v>17</v>
      </c>
    </row>
    <row r="199">
      <c r="A199" t="inlineStr">
        <is>
          <t>c0355</t>
        </is>
      </c>
      <c r="E199" t="n">
        <v>1</v>
      </c>
    </row>
    <row r="200">
      <c r="A200" t="inlineStr">
        <is>
          <t>c0357</t>
        </is>
      </c>
      <c r="B200" t="n">
        <v>1</v>
      </c>
    </row>
    <row r="201">
      <c r="A201" t="inlineStr">
        <is>
          <t>c0358</t>
        </is>
      </c>
      <c r="C201" t="n">
        <v>1</v>
      </c>
      <c r="G201" t="n">
        <v>1</v>
      </c>
    </row>
    <row r="202">
      <c r="A202" t="inlineStr">
        <is>
          <t>c0360</t>
        </is>
      </c>
      <c r="B202" t="n">
        <v>1</v>
      </c>
    </row>
    <row r="203">
      <c r="A203" t="inlineStr">
        <is>
          <t>c0361</t>
        </is>
      </c>
      <c r="B203" t="n">
        <v>1</v>
      </c>
    </row>
    <row r="204">
      <c r="A204" t="inlineStr">
        <is>
          <t>c0362</t>
        </is>
      </c>
      <c r="E204" t="n">
        <v>1</v>
      </c>
    </row>
    <row r="205">
      <c r="A205" t="inlineStr">
        <is>
          <t>c0363</t>
        </is>
      </c>
      <c r="F205" t="n">
        <v>1</v>
      </c>
    </row>
    <row r="206">
      <c r="A206" t="inlineStr">
        <is>
          <t>c0364</t>
        </is>
      </c>
      <c r="C206" t="n">
        <v>1</v>
      </c>
    </row>
    <row r="207">
      <c r="A207" t="inlineStr">
        <is>
          <t>c0365</t>
        </is>
      </c>
      <c r="C207" t="n">
        <v>1</v>
      </c>
      <c r="E207" t="n">
        <v>1</v>
      </c>
    </row>
    <row r="208">
      <c r="A208" t="inlineStr">
        <is>
          <t>c0368</t>
        </is>
      </c>
      <c r="C208" t="n">
        <v>1</v>
      </c>
      <c r="D208" t="n">
        <v>1</v>
      </c>
    </row>
    <row r="209">
      <c r="A209" t="inlineStr">
        <is>
          <t>c0369</t>
        </is>
      </c>
      <c r="B209" t="n">
        <v>1</v>
      </c>
    </row>
    <row r="210">
      <c r="A210" t="inlineStr">
        <is>
          <t>c0370</t>
        </is>
      </c>
      <c r="G210" t="n">
        <v>1</v>
      </c>
    </row>
    <row r="211">
      <c r="A211" t="inlineStr">
        <is>
          <t>c0371</t>
        </is>
      </c>
      <c r="B211" t="n">
        <v>1</v>
      </c>
    </row>
    <row r="212">
      <c r="A212" t="inlineStr">
        <is>
          <t>c0372</t>
        </is>
      </c>
      <c r="D212" t="n">
        <v>1</v>
      </c>
      <c r="E212" t="n">
        <v>1</v>
      </c>
    </row>
    <row r="213">
      <c r="A213" t="inlineStr">
        <is>
          <t>c0373</t>
        </is>
      </c>
      <c r="B213" t="n">
        <v>1</v>
      </c>
    </row>
    <row r="214">
      <c r="A214" t="inlineStr">
        <is>
          <t>c0374</t>
        </is>
      </c>
      <c r="D214" t="n">
        <v>3</v>
      </c>
      <c r="E214" t="n">
        <v>5</v>
      </c>
      <c r="F214" t="n">
        <v>11</v>
      </c>
      <c r="H214" t="n">
        <v>14</v>
      </c>
    </row>
    <row r="215">
      <c r="A215" t="inlineStr">
        <is>
          <t>c0375</t>
        </is>
      </c>
      <c r="D215" t="n">
        <v>1</v>
      </c>
    </row>
    <row r="216">
      <c r="A216" t="inlineStr">
        <is>
          <t>c0376</t>
        </is>
      </c>
      <c r="F216" t="n">
        <v>1</v>
      </c>
    </row>
    <row r="217">
      <c r="A217" t="inlineStr">
        <is>
          <t>c0378</t>
        </is>
      </c>
      <c r="B217" t="n">
        <v>1</v>
      </c>
    </row>
    <row r="218">
      <c r="A218" t="inlineStr">
        <is>
          <t>c0379</t>
        </is>
      </c>
    </row>
    <row r="219">
      <c r="A219" t="inlineStr">
        <is>
          <t>c0380</t>
        </is>
      </c>
      <c r="C219" t="n">
        <v>1</v>
      </c>
      <c r="D219" t="n">
        <v>1</v>
      </c>
    </row>
    <row r="220">
      <c r="A220" t="inlineStr">
        <is>
          <t>c0382</t>
        </is>
      </c>
      <c r="E220" t="n">
        <v>1</v>
      </c>
    </row>
    <row r="221">
      <c r="A221" t="inlineStr">
        <is>
          <t>c0383</t>
        </is>
      </c>
      <c r="B221" t="n">
        <v>1</v>
      </c>
    </row>
    <row r="222">
      <c r="A222" t="inlineStr">
        <is>
          <t>c0384</t>
        </is>
      </c>
      <c r="F222" t="n">
        <v>1</v>
      </c>
    </row>
    <row r="223">
      <c r="A223" t="inlineStr">
        <is>
          <t>c0385</t>
        </is>
      </c>
      <c r="B223" t="n">
        <v>1</v>
      </c>
    </row>
    <row r="224">
      <c r="A224" t="inlineStr">
        <is>
          <t>c0387</t>
        </is>
      </c>
      <c r="F224" t="n">
        <v>1</v>
      </c>
    </row>
    <row r="225">
      <c r="A225" t="inlineStr">
        <is>
          <t>c0392</t>
        </is>
      </c>
      <c r="D225" t="n">
        <v>1</v>
      </c>
    </row>
    <row r="226">
      <c r="A226" t="inlineStr">
        <is>
          <t>c0395</t>
        </is>
      </c>
    </row>
    <row r="227">
      <c r="A227" t="inlineStr">
        <is>
          <t>c0398</t>
        </is>
      </c>
      <c r="D227" t="n">
        <v>1</v>
      </c>
    </row>
    <row r="228">
      <c r="A228" t="inlineStr">
        <is>
          <t>c0402</t>
        </is>
      </c>
    </row>
    <row r="229">
      <c r="A229" t="inlineStr">
        <is>
          <t>c0403</t>
        </is>
      </c>
      <c r="D229" t="n">
        <v>1</v>
      </c>
    </row>
    <row r="230">
      <c r="A230" t="inlineStr">
        <is>
          <t>c0404</t>
        </is>
      </c>
      <c r="E230" t="n">
        <v>1</v>
      </c>
    </row>
    <row r="231">
      <c r="A231" t="inlineStr">
        <is>
          <t>c0411</t>
        </is>
      </c>
    </row>
    <row r="232">
      <c r="A232" t="inlineStr">
        <is>
          <t>c0416</t>
        </is>
      </c>
      <c r="C232" t="n">
        <v>1</v>
      </c>
    </row>
    <row r="233">
      <c r="A233" t="inlineStr">
        <is>
          <t>c0418</t>
        </is>
      </c>
    </row>
    <row r="234">
      <c r="A234" t="inlineStr">
        <is>
          <t>c0419</t>
        </is>
      </c>
      <c r="C234" t="n">
        <v>1</v>
      </c>
    </row>
    <row r="235">
      <c r="A235" t="inlineStr">
        <is>
          <t>c0421</t>
        </is>
      </c>
      <c r="F235" t="n">
        <v>1</v>
      </c>
    </row>
    <row r="236">
      <c r="A236" t="inlineStr">
        <is>
          <t>c0422</t>
        </is>
      </c>
      <c r="F236" t="n">
        <v>1</v>
      </c>
    </row>
    <row r="237">
      <c r="A237" t="inlineStr">
        <is>
          <t>c0425</t>
        </is>
      </c>
    </row>
    <row r="238">
      <c r="A238" t="inlineStr">
        <is>
          <t>c0426</t>
        </is>
      </c>
      <c r="C238" t="n">
        <v>1</v>
      </c>
    </row>
    <row r="239">
      <c r="A239" t="inlineStr">
        <is>
          <t>c0427</t>
        </is>
      </c>
      <c r="D239" t="n">
        <v>1</v>
      </c>
      <c r="E239" t="n">
        <v>1</v>
      </c>
    </row>
    <row r="240">
      <c r="A240" t="inlineStr">
        <is>
          <t>c0429</t>
        </is>
      </c>
      <c r="E240" t="n">
        <v>1</v>
      </c>
    </row>
    <row r="241">
      <c r="A241" t="inlineStr">
        <is>
          <t>c0431</t>
        </is>
      </c>
      <c r="F241" t="n">
        <v>1</v>
      </c>
    </row>
    <row r="242">
      <c r="A242" t="inlineStr">
        <is>
          <t>c0435</t>
        </is>
      </c>
      <c r="B242" t="n">
        <v>1</v>
      </c>
    </row>
    <row r="243">
      <c r="A243" t="inlineStr">
        <is>
          <t>c0437</t>
        </is>
      </c>
      <c r="C243" t="n">
        <v>1</v>
      </c>
    </row>
    <row r="244">
      <c r="A244" t="inlineStr">
        <is>
          <t>c0441</t>
        </is>
      </c>
      <c r="E244" t="n">
        <v>1</v>
      </c>
    </row>
    <row r="245">
      <c r="A245" t="inlineStr">
        <is>
          <t>c0443</t>
        </is>
      </c>
      <c r="F245" t="n">
        <v>1</v>
      </c>
    </row>
    <row r="246">
      <c r="A246" t="inlineStr">
        <is>
          <t>c0446</t>
        </is>
      </c>
      <c r="F246" t="n">
        <v>1</v>
      </c>
    </row>
    <row r="247">
      <c r="A247" t="inlineStr">
        <is>
          <t>c0447</t>
        </is>
      </c>
      <c r="B247" t="n">
        <v>1</v>
      </c>
    </row>
    <row r="248">
      <c r="A248" t="inlineStr">
        <is>
          <t>c0448</t>
        </is>
      </c>
      <c r="E248" t="n">
        <v>1</v>
      </c>
    </row>
    <row r="249">
      <c r="A249" t="inlineStr">
        <is>
          <t>c0449</t>
        </is>
      </c>
      <c r="E249" t="n">
        <v>1</v>
      </c>
    </row>
    <row r="250">
      <c r="A250" t="inlineStr">
        <is>
          <t>c0451</t>
        </is>
      </c>
      <c r="F250" t="n">
        <v>1</v>
      </c>
    </row>
    <row r="251">
      <c r="A251" t="inlineStr">
        <is>
          <t>c0453</t>
        </is>
      </c>
      <c r="C251" t="n">
        <v>1</v>
      </c>
    </row>
    <row r="252">
      <c r="A252" t="inlineStr">
        <is>
          <t>c0455</t>
        </is>
      </c>
      <c r="F252" t="n">
        <v>1</v>
      </c>
    </row>
    <row r="253">
      <c r="A253" t="inlineStr">
        <is>
          <t>c0459</t>
        </is>
      </c>
      <c r="D253" t="n">
        <v>1</v>
      </c>
    </row>
    <row r="254">
      <c r="A254" t="inlineStr">
        <is>
          <t>c0461</t>
        </is>
      </c>
      <c r="B254" t="n">
        <v>1</v>
      </c>
    </row>
    <row r="255">
      <c r="A255" t="inlineStr">
        <is>
          <t>c0462</t>
        </is>
      </c>
      <c r="B255" t="n">
        <v>1</v>
      </c>
    </row>
    <row r="256">
      <c r="A256" t="inlineStr">
        <is>
          <t>c0464</t>
        </is>
      </c>
      <c r="B256" t="n">
        <v>1</v>
      </c>
    </row>
    <row r="257">
      <c r="A257" t="inlineStr">
        <is>
          <t>c0465</t>
        </is>
      </c>
      <c r="H257" t="n">
        <v>1</v>
      </c>
    </row>
    <row r="258">
      <c r="A258" t="inlineStr">
        <is>
          <t>c0466</t>
        </is>
      </c>
      <c r="D258" t="n">
        <v>1</v>
      </c>
    </row>
    <row r="259">
      <c r="A259" t="inlineStr">
        <is>
          <t>c0468</t>
        </is>
      </c>
      <c r="C259" t="n">
        <v>1</v>
      </c>
      <c r="H259" t="n">
        <v>1</v>
      </c>
    </row>
    <row r="260">
      <c r="A260" t="inlineStr">
        <is>
          <t>c0469</t>
        </is>
      </c>
      <c r="C260" t="n">
        <v>1</v>
      </c>
    </row>
    <row r="261">
      <c r="A261" t="inlineStr">
        <is>
          <t>c0471</t>
        </is>
      </c>
      <c r="D261" t="n">
        <v>1</v>
      </c>
    </row>
    <row r="262">
      <c r="A262" t="inlineStr">
        <is>
          <t>c0479</t>
        </is>
      </c>
    </row>
    <row r="263">
      <c r="A263" t="inlineStr">
        <is>
          <t>c0480</t>
        </is>
      </c>
      <c r="E263" t="n">
        <v>1</v>
      </c>
    </row>
    <row r="264">
      <c r="A264" t="inlineStr">
        <is>
          <t>c0481</t>
        </is>
      </c>
      <c r="B264" t="n">
        <v>1</v>
      </c>
    </row>
    <row r="265">
      <c r="A265" t="inlineStr">
        <is>
          <t>c0482</t>
        </is>
      </c>
      <c r="B265" t="n">
        <v>1</v>
      </c>
    </row>
    <row r="266">
      <c r="A266" t="inlineStr">
        <is>
          <t>c0483</t>
        </is>
      </c>
      <c r="B266" t="n">
        <v>1</v>
      </c>
    </row>
    <row r="267">
      <c r="A267" t="inlineStr">
        <is>
          <t>c0484</t>
        </is>
      </c>
      <c r="B267" t="n">
        <v>1</v>
      </c>
    </row>
    <row r="268">
      <c r="A268" t="inlineStr">
        <is>
          <t>c0487</t>
        </is>
      </c>
      <c r="B268" t="n">
        <v>1</v>
      </c>
    </row>
    <row r="269">
      <c r="A269" t="inlineStr">
        <is>
          <t>c0488</t>
        </is>
      </c>
      <c r="C269" t="n">
        <v>1</v>
      </c>
    </row>
    <row r="270">
      <c r="A270" t="inlineStr">
        <is>
          <t>c0491</t>
        </is>
      </c>
      <c r="B270" t="n">
        <v>1</v>
      </c>
    </row>
    <row r="271">
      <c r="A271" t="inlineStr">
        <is>
          <t>c0494</t>
        </is>
      </c>
      <c r="C271" t="n">
        <v>1</v>
      </c>
    </row>
    <row r="272">
      <c r="A272" t="inlineStr">
        <is>
          <t>c0495</t>
        </is>
      </c>
      <c r="E272" t="n">
        <v>1</v>
      </c>
    </row>
    <row r="273">
      <c r="A273" t="inlineStr">
        <is>
          <t>c0498</t>
        </is>
      </c>
      <c r="F273" t="n">
        <v>1</v>
      </c>
    </row>
    <row r="274">
      <c r="A274" t="inlineStr">
        <is>
          <t>c0499</t>
        </is>
      </c>
      <c r="E274" t="n">
        <v>1</v>
      </c>
    </row>
    <row r="275">
      <c r="A275" t="inlineStr">
        <is>
          <t>c0500</t>
        </is>
      </c>
      <c r="E275" t="n">
        <v>1</v>
      </c>
    </row>
    <row r="276">
      <c r="A276" t="inlineStr">
        <is>
          <t>c0501</t>
        </is>
      </c>
      <c r="F276" t="n">
        <v>1</v>
      </c>
    </row>
    <row r="277">
      <c r="A277" t="inlineStr">
        <is>
          <t>c0503</t>
        </is>
      </c>
      <c r="C277" t="n">
        <v>1</v>
      </c>
    </row>
    <row r="278">
      <c r="A278" t="inlineStr">
        <is>
          <t>c0506</t>
        </is>
      </c>
    </row>
    <row r="279">
      <c r="A279" t="inlineStr">
        <is>
          <t>c0507</t>
        </is>
      </c>
      <c r="F279" t="n">
        <v>1</v>
      </c>
    </row>
    <row r="280">
      <c r="A280" t="inlineStr">
        <is>
          <t>c0510</t>
        </is>
      </c>
    </row>
    <row r="281">
      <c r="A281" t="inlineStr">
        <is>
          <t>c0511</t>
        </is>
      </c>
      <c r="D281" t="n">
        <v>1</v>
      </c>
    </row>
    <row r="282">
      <c r="A282" t="inlineStr">
        <is>
          <t>c0512</t>
        </is>
      </c>
    </row>
    <row r="283">
      <c r="A283" t="inlineStr">
        <is>
          <t>c0514</t>
        </is>
      </c>
      <c r="E283" t="n">
        <v>1</v>
      </c>
    </row>
    <row r="284">
      <c r="A284" t="inlineStr">
        <is>
          <t>c0517</t>
        </is>
      </c>
      <c r="B284" t="n">
        <v>1</v>
      </c>
    </row>
    <row r="285">
      <c r="A285" t="inlineStr">
        <is>
          <t>c0518</t>
        </is>
      </c>
      <c r="E285" t="n">
        <v>1</v>
      </c>
    </row>
    <row r="286">
      <c r="A286" t="inlineStr">
        <is>
          <t>c0520</t>
        </is>
      </c>
    </row>
    <row r="287">
      <c r="A287" t="inlineStr">
        <is>
          <t>c0524</t>
        </is>
      </c>
    </row>
    <row r="288">
      <c r="A288" t="inlineStr">
        <is>
          <t>c0528</t>
        </is>
      </c>
      <c r="G288" t="n">
        <v>1</v>
      </c>
    </row>
    <row r="289">
      <c r="A289" t="inlineStr">
        <is>
          <t>c0529</t>
        </is>
      </c>
      <c r="B289" t="n">
        <v>1</v>
      </c>
    </row>
    <row r="290">
      <c r="A290" t="inlineStr">
        <is>
          <t>c0533</t>
        </is>
      </c>
    </row>
    <row r="291">
      <c r="A291" t="inlineStr">
        <is>
          <t>c0536</t>
        </is>
      </c>
    </row>
    <row r="292">
      <c r="A292" t="inlineStr">
        <is>
          <t>c0538</t>
        </is>
      </c>
      <c r="G292" t="n">
        <v>1</v>
      </c>
    </row>
    <row r="293">
      <c r="A293" t="inlineStr">
        <is>
          <t>c0539</t>
        </is>
      </c>
    </row>
    <row r="294">
      <c r="A294" t="inlineStr">
        <is>
          <t>c0550</t>
        </is>
      </c>
    </row>
    <row r="295">
      <c r="A295" t="inlineStr">
        <is>
          <t>c0551</t>
        </is>
      </c>
    </row>
    <row r="296">
      <c r="A296" t="inlineStr">
        <is>
          <t>c0553</t>
        </is>
      </c>
      <c r="B296" t="n">
        <v>1</v>
      </c>
    </row>
    <row r="297">
      <c r="A297" t="inlineStr">
        <is>
          <t>c0555</t>
        </is>
      </c>
      <c r="G297" t="n">
        <v>1</v>
      </c>
    </row>
    <row r="298">
      <c r="A298" t="inlineStr">
        <is>
          <t>c0557</t>
        </is>
      </c>
    </row>
    <row r="299">
      <c r="A299" t="inlineStr">
        <is>
          <t>c0559</t>
        </is>
      </c>
      <c r="G299" t="n">
        <v>1</v>
      </c>
    </row>
    <row r="300">
      <c r="A300" t="inlineStr">
        <is>
          <t>c0560</t>
        </is>
      </c>
      <c r="B300" t="n">
        <v>1</v>
      </c>
    </row>
    <row r="301">
      <c r="A301" t="inlineStr">
        <is>
          <t>c0564</t>
        </is>
      </c>
      <c r="G301" t="n">
        <v>1</v>
      </c>
    </row>
    <row r="302">
      <c r="A302" t="inlineStr">
        <is>
          <t>c0566</t>
        </is>
      </c>
      <c r="G302" t="n">
        <v>1</v>
      </c>
    </row>
    <row r="303">
      <c r="A303" t="inlineStr">
        <is>
          <t>c0570</t>
        </is>
      </c>
      <c r="G303" t="n">
        <v>1</v>
      </c>
    </row>
    <row r="304">
      <c r="A304" t="inlineStr">
        <is>
          <t>c0571</t>
        </is>
      </c>
      <c r="B304" t="n">
        <v>1</v>
      </c>
    </row>
    <row r="305">
      <c r="A305" t="inlineStr">
        <is>
          <t>c0572</t>
        </is>
      </c>
      <c r="G305" t="n">
        <v>1</v>
      </c>
    </row>
    <row r="306">
      <c r="A306" t="inlineStr">
        <is>
          <t>c0579</t>
        </is>
      </c>
      <c r="B306" t="n">
        <v>1</v>
      </c>
    </row>
    <row r="307">
      <c r="A307" t="inlineStr">
        <is>
          <t>c0580</t>
        </is>
      </c>
      <c r="G307" t="n">
        <v>1</v>
      </c>
    </row>
    <row r="308">
      <c r="A308" t="inlineStr">
        <is>
          <t>c0582</t>
        </is>
      </c>
      <c r="B308" t="n">
        <v>1</v>
      </c>
    </row>
    <row r="309">
      <c r="A309" t="inlineStr">
        <is>
          <t>c0583</t>
        </is>
      </c>
      <c r="B309" t="n">
        <v>1</v>
      </c>
    </row>
    <row r="310">
      <c r="A310" t="inlineStr">
        <is>
          <t>c0586</t>
        </is>
      </c>
      <c r="G310" t="n">
        <v>1</v>
      </c>
    </row>
    <row r="311">
      <c r="A311" t="inlineStr">
        <is>
          <t>c0587</t>
        </is>
      </c>
      <c r="G311" t="n">
        <v>1</v>
      </c>
    </row>
    <row r="312">
      <c r="A312" t="inlineStr">
        <is>
          <t>c0588</t>
        </is>
      </c>
      <c r="G312" t="n">
        <v>1</v>
      </c>
    </row>
    <row r="313">
      <c r="A313" t="inlineStr">
        <is>
          <t>c0589</t>
        </is>
      </c>
      <c r="G313" t="n">
        <v>1</v>
      </c>
    </row>
    <row r="314">
      <c r="A314" t="inlineStr">
        <is>
          <t>c0590</t>
        </is>
      </c>
      <c r="G314" t="n">
        <v>1</v>
      </c>
    </row>
    <row r="315">
      <c r="A315" t="inlineStr">
        <is>
          <t>c0592</t>
        </is>
      </c>
      <c r="G315" t="n">
        <v>1</v>
      </c>
    </row>
    <row r="316">
      <c r="A316" t="inlineStr">
        <is>
          <t>c0596</t>
        </is>
      </c>
      <c r="G316" t="n">
        <v>1</v>
      </c>
    </row>
    <row r="317">
      <c r="A317" t="inlineStr">
        <is>
          <t>c0597</t>
        </is>
      </c>
      <c r="G317" t="n">
        <v>1</v>
      </c>
    </row>
    <row r="318">
      <c r="A318" t="inlineStr">
        <is>
          <t>c0599</t>
        </is>
      </c>
      <c r="G318" t="n">
        <v>1</v>
      </c>
    </row>
    <row r="319">
      <c r="A319" t="inlineStr">
        <is>
          <t>c0600</t>
        </is>
      </c>
      <c r="G319" t="n">
        <v>1</v>
      </c>
    </row>
    <row r="320">
      <c r="A320" t="inlineStr">
        <is>
          <t>c0601</t>
        </is>
      </c>
      <c r="G320" t="n">
        <v>1</v>
      </c>
    </row>
    <row r="321">
      <c r="A321" t="inlineStr">
        <is>
          <t>c0605</t>
        </is>
      </c>
      <c r="G321" t="n">
        <v>1</v>
      </c>
    </row>
    <row r="322">
      <c r="A322" t="inlineStr">
        <is>
          <t>c0606</t>
        </is>
      </c>
      <c r="G322" t="n">
        <v>1</v>
      </c>
    </row>
    <row r="323">
      <c r="A323" t="inlineStr">
        <is>
          <t>c0608</t>
        </is>
      </c>
      <c r="G323" t="n">
        <v>1</v>
      </c>
    </row>
    <row r="324">
      <c r="A324" t="inlineStr">
        <is>
          <t>c0609</t>
        </is>
      </c>
    </row>
    <row r="325">
      <c r="A325" t="inlineStr">
        <is>
          <t>c0615</t>
        </is>
      </c>
      <c r="G325" t="n">
        <v>1</v>
      </c>
    </row>
    <row r="326">
      <c r="A326" t="inlineStr">
        <is>
          <t>c0616</t>
        </is>
      </c>
      <c r="G326" t="n">
        <v>1</v>
      </c>
    </row>
    <row r="327">
      <c r="A327" t="inlineStr">
        <is>
          <t>c0617</t>
        </is>
      </c>
      <c r="G327" t="n">
        <v>1</v>
      </c>
    </row>
    <row r="328">
      <c r="A328" t="inlineStr">
        <is>
          <t>c0619</t>
        </is>
      </c>
      <c r="B328" t="n">
        <v>1</v>
      </c>
    </row>
    <row r="329">
      <c r="A329" t="inlineStr">
        <is>
          <t>c0621</t>
        </is>
      </c>
      <c r="G329" t="n">
        <v>1</v>
      </c>
    </row>
    <row r="330">
      <c r="A330" t="inlineStr">
        <is>
          <t>c0622</t>
        </is>
      </c>
    </row>
    <row r="331">
      <c r="A331" t="inlineStr">
        <is>
          <t>c0623</t>
        </is>
      </c>
    </row>
    <row r="332">
      <c r="A332" t="inlineStr">
        <is>
          <t>c0627</t>
        </is>
      </c>
      <c r="G332" t="n">
        <v>1</v>
      </c>
    </row>
    <row r="333">
      <c r="A333" t="inlineStr">
        <is>
          <t>c0629</t>
        </is>
      </c>
    </row>
    <row r="334">
      <c r="A334" t="inlineStr">
        <is>
          <t>c0631</t>
        </is>
      </c>
    </row>
    <row r="335">
      <c r="A335" t="inlineStr">
        <is>
          <t>c0632</t>
        </is>
      </c>
    </row>
    <row r="336">
      <c r="A336" t="inlineStr">
        <is>
          <t>c0634</t>
        </is>
      </c>
    </row>
    <row r="337">
      <c r="A337" t="inlineStr">
        <is>
          <t>c0637</t>
        </is>
      </c>
      <c r="G337" t="n">
        <v>1</v>
      </c>
    </row>
    <row r="338">
      <c r="A338" t="inlineStr">
        <is>
          <t>c0638</t>
        </is>
      </c>
      <c r="G338" t="n">
        <v>1</v>
      </c>
    </row>
    <row r="339">
      <c r="A339" t="inlineStr">
        <is>
          <t>c0639</t>
        </is>
      </c>
      <c r="G339" t="n">
        <v>1</v>
      </c>
    </row>
    <row r="340">
      <c r="A340" t="inlineStr">
        <is>
          <t>c0640</t>
        </is>
      </c>
    </row>
    <row r="341">
      <c r="A341" t="inlineStr">
        <is>
          <t>c0644</t>
        </is>
      </c>
      <c r="B341" t="n">
        <v>1</v>
      </c>
    </row>
    <row r="342">
      <c r="A342" t="inlineStr">
        <is>
          <t>c0645</t>
        </is>
      </c>
      <c r="B342" t="n">
        <v>1</v>
      </c>
    </row>
    <row r="343">
      <c r="A343" t="inlineStr">
        <is>
          <t>c0648</t>
        </is>
      </c>
    </row>
    <row r="344">
      <c r="A344" t="inlineStr">
        <is>
          <t>c0649</t>
        </is>
      </c>
      <c r="G344" t="n">
        <v>1</v>
      </c>
    </row>
    <row r="345">
      <c r="A345" t="inlineStr">
        <is>
          <t>c0650</t>
        </is>
      </c>
    </row>
    <row r="346">
      <c r="A346" t="inlineStr">
        <is>
          <t>c0651</t>
        </is>
      </c>
      <c r="G346" t="n">
        <v>1</v>
      </c>
    </row>
    <row r="347">
      <c r="A347" t="inlineStr">
        <is>
          <t>c0653</t>
        </is>
      </c>
      <c r="G347" t="n">
        <v>1</v>
      </c>
    </row>
    <row r="348">
      <c r="A348" t="inlineStr">
        <is>
          <t>c0655</t>
        </is>
      </c>
      <c r="G348" t="n">
        <v>1</v>
      </c>
    </row>
    <row r="349">
      <c r="A349" t="inlineStr">
        <is>
          <t>c0657</t>
        </is>
      </c>
      <c r="G349" t="n">
        <v>1</v>
      </c>
    </row>
    <row r="350">
      <c r="A350" t="inlineStr">
        <is>
          <t>c0659</t>
        </is>
      </c>
      <c r="B350" t="n">
        <v>1</v>
      </c>
    </row>
    <row r="351">
      <c r="A351" t="inlineStr">
        <is>
          <t>c0663</t>
        </is>
      </c>
      <c r="B351" t="n">
        <v>1</v>
      </c>
    </row>
    <row r="352">
      <c r="A352" t="inlineStr">
        <is>
          <t>c0664</t>
        </is>
      </c>
      <c r="G352" t="n">
        <v>1</v>
      </c>
    </row>
    <row r="353">
      <c r="A353" t="inlineStr">
        <is>
          <t>c0666</t>
        </is>
      </c>
      <c r="G353" t="n">
        <v>1</v>
      </c>
    </row>
    <row r="354">
      <c r="A354" t="inlineStr">
        <is>
          <t>c0670</t>
        </is>
      </c>
      <c r="B354" t="n">
        <v>1</v>
      </c>
    </row>
    <row r="355">
      <c r="A355" t="inlineStr">
        <is>
          <t>c0671</t>
        </is>
      </c>
      <c r="G355" t="n">
        <v>1</v>
      </c>
    </row>
    <row r="356">
      <c r="A356" t="inlineStr">
        <is>
          <t>c0674</t>
        </is>
      </c>
      <c r="G356" t="n">
        <v>1</v>
      </c>
    </row>
    <row r="357">
      <c r="A357" t="inlineStr">
        <is>
          <t>c0675</t>
        </is>
      </c>
    </row>
    <row r="358">
      <c r="A358" t="inlineStr">
        <is>
          <t>c0676</t>
        </is>
      </c>
    </row>
    <row r="359">
      <c r="A359" t="inlineStr">
        <is>
          <t>c0677</t>
        </is>
      </c>
      <c r="C359" t="n">
        <v>1</v>
      </c>
    </row>
    <row r="360">
      <c r="A360" t="inlineStr">
        <is>
          <t>c0680</t>
        </is>
      </c>
      <c r="H360" t="n">
        <v>1</v>
      </c>
    </row>
    <row r="361">
      <c r="A361" t="inlineStr">
        <is>
          <t>c0681</t>
        </is>
      </c>
      <c r="D361" t="n">
        <v>1</v>
      </c>
    </row>
    <row r="362">
      <c r="A362" t="inlineStr">
        <is>
          <t>c0682</t>
        </is>
      </c>
      <c r="H362" t="n">
        <v>1</v>
      </c>
    </row>
    <row r="363">
      <c r="A363" t="inlineStr">
        <is>
          <t>c0684</t>
        </is>
      </c>
      <c r="H363" t="n">
        <v>1</v>
      </c>
    </row>
    <row r="364">
      <c r="A364" t="inlineStr">
        <is>
          <t>c0685</t>
        </is>
      </c>
    </row>
    <row r="365">
      <c r="A365" t="inlineStr">
        <is>
          <t>c0686</t>
        </is>
      </c>
      <c r="H365" t="n">
        <v>1</v>
      </c>
    </row>
    <row r="366">
      <c r="A366" t="inlineStr">
        <is>
          <t>c0687</t>
        </is>
      </c>
      <c r="H366" t="n">
        <v>1</v>
      </c>
    </row>
    <row r="367">
      <c r="A367" t="inlineStr">
        <is>
          <t>c0688</t>
        </is>
      </c>
      <c r="C367" t="n">
        <v>1</v>
      </c>
    </row>
    <row r="368">
      <c r="A368" t="inlineStr">
        <is>
          <t>c0689</t>
        </is>
      </c>
      <c r="D368" t="n">
        <v>1</v>
      </c>
    </row>
    <row r="369">
      <c r="A369" t="inlineStr">
        <is>
          <t>c0690</t>
        </is>
      </c>
      <c r="D369" t="n">
        <v>1</v>
      </c>
    </row>
    <row r="370">
      <c r="A370" t="inlineStr">
        <is>
          <t>c0693</t>
        </is>
      </c>
      <c r="C370" t="n">
        <v>1</v>
      </c>
    </row>
    <row r="371">
      <c r="A371" t="inlineStr">
        <is>
          <t>c0694</t>
        </is>
      </c>
      <c r="D371" t="n">
        <v>1</v>
      </c>
    </row>
    <row r="372">
      <c r="A372" t="inlineStr">
        <is>
          <t>c0695</t>
        </is>
      </c>
    </row>
    <row r="373">
      <c r="A373" t="inlineStr">
        <is>
          <t>c0697</t>
        </is>
      </c>
      <c r="H373" t="n">
        <v>1</v>
      </c>
    </row>
    <row r="374">
      <c r="A374" t="inlineStr">
        <is>
          <t>c0698</t>
        </is>
      </c>
      <c r="H374" t="n">
        <v>1</v>
      </c>
    </row>
    <row r="375">
      <c r="A375" t="inlineStr">
        <is>
          <t>c0700</t>
        </is>
      </c>
      <c r="D375" t="n">
        <v>1</v>
      </c>
    </row>
    <row r="376">
      <c r="A376" t="inlineStr">
        <is>
          <t>c0701</t>
        </is>
      </c>
      <c r="D376" t="n">
        <v>1</v>
      </c>
    </row>
    <row r="377">
      <c r="A377" t="inlineStr">
        <is>
          <t>c0703</t>
        </is>
      </c>
    </row>
    <row r="378">
      <c r="A378" t="inlineStr">
        <is>
          <t>c0704</t>
        </is>
      </c>
      <c r="H378" t="n">
        <v>1</v>
      </c>
    </row>
    <row r="379">
      <c r="A379" t="inlineStr">
        <is>
          <t>c0705</t>
        </is>
      </c>
    </row>
    <row r="380">
      <c r="A380" t="inlineStr">
        <is>
          <t>c0707</t>
        </is>
      </c>
      <c r="C380" t="n">
        <v>1</v>
      </c>
    </row>
    <row r="381">
      <c r="A381" t="inlineStr">
        <is>
          <t>c0710</t>
        </is>
      </c>
      <c r="C381" t="n">
        <v>1</v>
      </c>
    </row>
    <row r="382">
      <c r="A382" t="inlineStr">
        <is>
          <t>c0713</t>
        </is>
      </c>
    </row>
    <row r="383">
      <c r="A383" t="inlineStr">
        <is>
          <t>c0716</t>
        </is>
      </c>
    </row>
    <row r="384">
      <c r="A384" t="inlineStr">
        <is>
          <t>c0717</t>
        </is>
      </c>
    </row>
    <row r="385">
      <c r="A385" t="inlineStr">
        <is>
          <t>c0721</t>
        </is>
      </c>
      <c r="H385" t="n">
        <v>1</v>
      </c>
    </row>
    <row r="386">
      <c r="A386" t="inlineStr">
        <is>
          <t>c0724</t>
        </is>
      </c>
    </row>
    <row r="387">
      <c r="A387" t="inlineStr">
        <is>
          <t>c0725</t>
        </is>
      </c>
      <c r="C387" t="n">
        <v>1</v>
      </c>
    </row>
    <row r="388">
      <c r="A388" t="inlineStr">
        <is>
          <t>c0727</t>
        </is>
      </c>
      <c r="C388" t="n">
        <v>1</v>
      </c>
    </row>
    <row r="389">
      <c r="A389" t="inlineStr">
        <is>
          <t>c0729</t>
        </is>
      </c>
      <c r="D389" t="n">
        <v>1</v>
      </c>
    </row>
    <row r="390">
      <c r="A390" t="inlineStr">
        <is>
          <t>c0730</t>
        </is>
      </c>
    </row>
    <row r="391">
      <c r="A391" t="inlineStr">
        <is>
          <t>c0731</t>
        </is>
      </c>
    </row>
    <row r="392">
      <c r="A392" t="inlineStr">
        <is>
          <t>c0732</t>
        </is>
      </c>
      <c r="D392" t="n">
        <v>1</v>
      </c>
    </row>
    <row r="393">
      <c r="A393" t="inlineStr">
        <is>
          <t>c0734</t>
        </is>
      </c>
      <c r="D393" t="n">
        <v>1</v>
      </c>
    </row>
    <row r="394">
      <c r="A394" t="inlineStr">
        <is>
          <t>c0736</t>
        </is>
      </c>
      <c r="D394" t="n">
        <v>1</v>
      </c>
    </row>
    <row r="395">
      <c r="A395" t="inlineStr">
        <is>
          <t>c0738</t>
        </is>
      </c>
    </row>
    <row r="396">
      <c r="A396" t="inlineStr">
        <is>
          <t>c0739</t>
        </is>
      </c>
    </row>
    <row r="397">
      <c r="A397" t="inlineStr">
        <is>
          <t>c0740</t>
        </is>
      </c>
      <c r="D397" t="n">
        <v>1</v>
      </c>
    </row>
    <row r="398">
      <c r="A398" t="inlineStr">
        <is>
          <t>c0743</t>
        </is>
      </c>
      <c r="F398" t="n">
        <v>1</v>
      </c>
    </row>
    <row r="399">
      <c r="A399" t="inlineStr">
        <is>
          <t>c0745</t>
        </is>
      </c>
    </row>
    <row r="400">
      <c r="A400" t="inlineStr">
        <is>
          <t>c0749</t>
        </is>
      </c>
      <c r="B400" t="n">
        <v>1</v>
      </c>
    </row>
    <row r="401">
      <c r="A401" t="inlineStr">
        <is>
          <t>c0753</t>
        </is>
      </c>
      <c r="C401" t="n">
        <v>1</v>
      </c>
    </row>
    <row r="402">
      <c r="A402" t="inlineStr">
        <is>
          <t>c0757</t>
        </is>
      </c>
      <c r="C402" t="n">
        <v>1</v>
      </c>
      <c r="D402" t="n">
        <v>1</v>
      </c>
    </row>
    <row r="403">
      <c r="A403" t="inlineStr">
        <is>
          <t>c0759</t>
        </is>
      </c>
      <c r="B403" t="n">
        <v>1</v>
      </c>
    </row>
    <row r="404">
      <c r="A404" t="inlineStr">
        <is>
          <t>c0760</t>
        </is>
      </c>
      <c r="C404" t="n">
        <v>1</v>
      </c>
    </row>
    <row r="405">
      <c r="A405" t="inlineStr">
        <is>
          <t>c0763</t>
        </is>
      </c>
      <c r="F405" t="n">
        <v>1</v>
      </c>
    </row>
    <row r="406">
      <c r="A406" t="inlineStr">
        <is>
          <t>c0764</t>
        </is>
      </c>
      <c r="C406" t="n">
        <v>1</v>
      </c>
    </row>
    <row r="407">
      <c r="A407" t="inlineStr">
        <is>
          <t>c0766</t>
        </is>
      </c>
      <c r="D407" t="n">
        <v>1</v>
      </c>
    </row>
    <row r="408">
      <c r="A408" t="inlineStr">
        <is>
          <t>c0767</t>
        </is>
      </c>
      <c r="F408" t="n">
        <v>1</v>
      </c>
    </row>
    <row r="409">
      <c r="A409" t="inlineStr">
        <is>
          <t>c0774</t>
        </is>
      </c>
    </row>
    <row r="410">
      <c r="A410" t="inlineStr">
        <is>
          <t>c0778</t>
        </is>
      </c>
    </row>
    <row r="411">
      <c r="A411" t="inlineStr">
        <is>
          <t>c0779</t>
        </is>
      </c>
      <c r="D411" t="n">
        <v>1</v>
      </c>
    </row>
    <row r="412">
      <c r="A412" t="inlineStr">
        <is>
          <t>c0784</t>
        </is>
      </c>
      <c r="C412" t="n">
        <v>1</v>
      </c>
    </row>
    <row r="413">
      <c r="A413" t="inlineStr">
        <is>
          <t>c0785</t>
        </is>
      </c>
      <c r="F413" t="n">
        <v>1</v>
      </c>
    </row>
    <row r="414">
      <c r="A414" t="inlineStr">
        <is>
          <t>c0786</t>
        </is>
      </c>
      <c r="C414" t="n">
        <v>1</v>
      </c>
    </row>
    <row r="415">
      <c r="A415" t="inlineStr">
        <is>
          <t>c0792</t>
        </is>
      </c>
      <c r="E415" t="n">
        <v>1</v>
      </c>
    </row>
    <row r="416">
      <c r="A416" t="inlineStr">
        <is>
          <t>c0793</t>
        </is>
      </c>
      <c r="C416" t="n">
        <v>1</v>
      </c>
      <c r="E416" t="n">
        <v>1</v>
      </c>
    </row>
    <row r="417">
      <c r="A417" t="inlineStr">
        <is>
          <t>c0794</t>
        </is>
      </c>
    </row>
    <row r="418">
      <c r="A418" t="inlineStr">
        <is>
          <t>c0796</t>
        </is>
      </c>
      <c r="B418" t="n">
        <v>1</v>
      </c>
    </row>
    <row r="419">
      <c r="A419" t="inlineStr">
        <is>
          <t>c0799</t>
        </is>
      </c>
      <c r="D419" t="n">
        <v>1</v>
      </c>
    </row>
    <row r="420">
      <c r="A420" t="inlineStr">
        <is>
          <t>c0800</t>
        </is>
      </c>
      <c r="E420" t="n">
        <v>1</v>
      </c>
    </row>
    <row r="421">
      <c r="A421" t="inlineStr">
        <is>
          <t>c0801</t>
        </is>
      </c>
      <c r="D421" t="n">
        <v>1</v>
      </c>
    </row>
    <row r="422">
      <c r="A422" t="inlineStr">
        <is>
          <t>c0805</t>
        </is>
      </c>
    </row>
    <row r="423">
      <c r="A423" t="inlineStr">
        <is>
          <t>c0806</t>
        </is>
      </c>
      <c r="E423" t="n">
        <v>1</v>
      </c>
    </row>
    <row r="424">
      <c r="A424" t="inlineStr">
        <is>
          <t>c0808</t>
        </is>
      </c>
      <c r="F424" t="n">
        <v>1</v>
      </c>
    </row>
    <row r="425">
      <c r="A425" t="inlineStr">
        <is>
          <t>c0811</t>
        </is>
      </c>
      <c r="C425" t="n">
        <v>1</v>
      </c>
    </row>
    <row r="426">
      <c r="A426" t="inlineStr">
        <is>
          <t>c0813</t>
        </is>
      </c>
      <c r="B426" t="n">
        <v>1</v>
      </c>
    </row>
    <row r="427">
      <c r="A427" t="inlineStr">
        <is>
          <t>c0816</t>
        </is>
      </c>
    </row>
    <row r="428">
      <c r="A428" t="inlineStr">
        <is>
          <t>c0818</t>
        </is>
      </c>
      <c r="B428" t="n">
        <v>1</v>
      </c>
    </row>
    <row r="429">
      <c r="A429" t="inlineStr">
        <is>
          <t>c0819</t>
        </is>
      </c>
    </row>
    <row r="430">
      <c r="A430" t="inlineStr">
        <is>
          <t>c0822</t>
        </is>
      </c>
      <c r="F430" t="n">
        <v>1</v>
      </c>
    </row>
    <row r="431">
      <c r="A431" t="inlineStr">
        <is>
          <t>c0826</t>
        </is>
      </c>
      <c r="E431" t="n">
        <v>1</v>
      </c>
    </row>
    <row r="432">
      <c r="A432" t="inlineStr">
        <is>
          <t>c0827</t>
        </is>
      </c>
      <c r="F432" t="n">
        <v>1</v>
      </c>
    </row>
    <row r="433">
      <c r="A433" t="inlineStr">
        <is>
          <t>c0829</t>
        </is>
      </c>
      <c r="F433" t="n">
        <v>1</v>
      </c>
    </row>
    <row r="434">
      <c r="A434" t="inlineStr">
        <is>
          <t>c0830</t>
        </is>
      </c>
      <c r="E434" t="n">
        <v>1</v>
      </c>
    </row>
    <row r="435">
      <c r="A435" t="inlineStr">
        <is>
          <t>c0831</t>
        </is>
      </c>
      <c r="F435" t="n">
        <v>1</v>
      </c>
    </row>
    <row r="436">
      <c r="A436" t="inlineStr">
        <is>
          <t>c0832</t>
        </is>
      </c>
      <c r="E436" t="n">
        <v>1</v>
      </c>
    </row>
    <row r="437">
      <c r="A437" t="inlineStr">
        <is>
          <t>c0833</t>
        </is>
      </c>
      <c r="F437" t="n">
        <v>1</v>
      </c>
    </row>
    <row r="438">
      <c r="A438" t="inlineStr">
        <is>
          <t>c0835</t>
        </is>
      </c>
      <c r="F438" t="n">
        <v>1</v>
      </c>
    </row>
    <row r="439">
      <c r="A439" t="inlineStr">
        <is>
          <t>c0836</t>
        </is>
      </c>
      <c r="B439" t="n">
        <v>1</v>
      </c>
    </row>
    <row r="440">
      <c r="A440" t="inlineStr">
        <is>
          <t>c0838</t>
        </is>
      </c>
      <c r="B440" t="n">
        <v>1</v>
      </c>
    </row>
    <row r="441">
      <c r="A441" t="inlineStr">
        <is>
          <t>c0839</t>
        </is>
      </c>
    </row>
    <row r="442">
      <c r="A442" t="inlineStr">
        <is>
          <t>c0840</t>
        </is>
      </c>
      <c r="D442" t="n">
        <v>1</v>
      </c>
    </row>
    <row r="443">
      <c r="A443" t="inlineStr">
        <is>
          <t>c0841</t>
        </is>
      </c>
      <c r="F443" t="n">
        <v>1</v>
      </c>
    </row>
    <row r="444">
      <c r="A444" t="inlineStr">
        <is>
          <t>c0846</t>
        </is>
      </c>
      <c r="B444" t="n">
        <v>1</v>
      </c>
    </row>
    <row r="445">
      <c r="A445" t="inlineStr">
        <is>
          <t>c0847</t>
        </is>
      </c>
      <c r="D445" t="n">
        <v>1</v>
      </c>
    </row>
    <row r="446">
      <c r="A446" t="inlineStr">
        <is>
          <t>c0848</t>
        </is>
      </c>
      <c r="F446" t="n">
        <v>1</v>
      </c>
    </row>
    <row r="447">
      <c r="A447" t="inlineStr">
        <is>
          <t>c0850</t>
        </is>
      </c>
      <c r="B447" t="n">
        <v>1</v>
      </c>
    </row>
    <row r="448">
      <c r="A448" t="inlineStr">
        <is>
          <t>c0854</t>
        </is>
      </c>
    </row>
    <row r="449">
      <c r="A449" t="inlineStr">
        <is>
          <t>c0855</t>
        </is>
      </c>
      <c r="B449" t="n">
        <v>1</v>
      </c>
    </row>
    <row r="450">
      <c r="A450" t="inlineStr">
        <is>
          <t>c0856</t>
        </is>
      </c>
    </row>
    <row r="451">
      <c r="A451" t="inlineStr">
        <is>
          <t>c0857</t>
        </is>
      </c>
      <c r="B451" t="n">
        <v>1</v>
      </c>
    </row>
    <row r="452">
      <c r="A452" t="inlineStr">
        <is>
          <t>c0858</t>
        </is>
      </c>
      <c r="B452" t="n">
        <v>1</v>
      </c>
    </row>
    <row r="453">
      <c r="A453" t="inlineStr">
        <is>
          <t>c0859</t>
        </is>
      </c>
      <c r="B453" t="n">
        <v>1</v>
      </c>
    </row>
    <row r="454">
      <c r="A454" t="inlineStr">
        <is>
          <t>c0860</t>
        </is>
      </c>
      <c r="B454" t="n">
        <v>1</v>
      </c>
    </row>
    <row r="455">
      <c r="A455" t="inlineStr">
        <is>
          <t>c0864</t>
        </is>
      </c>
      <c r="B455" t="n">
        <v>1</v>
      </c>
    </row>
    <row r="456">
      <c r="A456" t="inlineStr">
        <is>
          <t>c0865</t>
        </is>
      </c>
      <c r="E456" t="n">
        <v>1</v>
      </c>
    </row>
    <row r="457">
      <c r="A457" t="inlineStr">
        <is>
          <t>c0867</t>
        </is>
      </c>
    </row>
    <row r="458">
      <c r="A458" t="inlineStr">
        <is>
          <t>c0868</t>
        </is>
      </c>
    </row>
    <row r="459">
      <c r="A459" t="inlineStr">
        <is>
          <t>c0870</t>
        </is>
      </c>
      <c r="F459" t="n">
        <v>1</v>
      </c>
    </row>
    <row r="460">
      <c r="A460" t="inlineStr">
        <is>
          <t>c0873</t>
        </is>
      </c>
      <c r="F460" t="n">
        <v>1</v>
      </c>
    </row>
    <row r="461">
      <c r="A461" t="inlineStr">
        <is>
          <t>c0875</t>
        </is>
      </c>
      <c r="C461" t="n">
        <v>1</v>
      </c>
    </row>
    <row r="462">
      <c r="A462" t="inlineStr">
        <is>
          <t>c0876</t>
        </is>
      </c>
      <c r="B462" t="n">
        <v>1</v>
      </c>
    </row>
    <row r="463">
      <c r="A463" t="inlineStr">
        <is>
          <t>c0879</t>
        </is>
      </c>
      <c r="B463" t="n">
        <v>1</v>
      </c>
      <c r="F463" t="n">
        <v>1</v>
      </c>
    </row>
    <row r="464">
      <c r="A464" t="inlineStr">
        <is>
          <t>c0881</t>
        </is>
      </c>
      <c r="B464" t="n">
        <v>1</v>
      </c>
    </row>
    <row r="465">
      <c r="A465" t="inlineStr">
        <is>
          <t>c0882</t>
        </is>
      </c>
      <c r="C465" t="n">
        <v>1</v>
      </c>
    </row>
    <row r="466">
      <c r="A466" t="inlineStr">
        <is>
          <t>c0888</t>
        </is>
      </c>
      <c r="B466" t="n">
        <v>1</v>
      </c>
    </row>
    <row r="467">
      <c r="A467" t="inlineStr">
        <is>
          <t>c0889</t>
        </is>
      </c>
      <c r="D467" t="n">
        <v>1</v>
      </c>
    </row>
    <row r="468">
      <c r="A468" t="inlineStr">
        <is>
          <t>c0891</t>
        </is>
      </c>
      <c r="C468" t="n">
        <v>1</v>
      </c>
      <c r="E468" t="n">
        <v>1</v>
      </c>
    </row>
    <row r="469">
      <c r="A469" t="inlineStr">
        <is>
          <t>c0894</t>
        </is>
      </c>
      <c r="D469" t="n">
        <v>1</v>
      </c>
      <c r="E469" t="n">
        <v>1</v>
      </c>
    </row>
    <row r="470">
      <c r="A470" t="inlineStr">
        <is>
          <t>c0896</t>
        </is>
      </c>
      <c r="E470" t="n">
        <v>1</v>
      </c>
    </row>
    <row r="471">
      <c r="A471" t="inlineStr">
        <is>
          <t>c0898</t>
        </is>
      </c>
      <c r="D471" t="n">
        <v>1</v>
      </c>
    </row>
    <row r="472">
      <c r="A472" t="inlineStr">
        <is>
          <t>c0900</t>
        </is>
      </c>
      <c r="D472" t="n">
        <v>1</v>
      </c>
    </row>
    <row r="473">
      <c r="A473" t="inlineStr">
        <is>
          <t>c0901</t>
        </is>
      </c>
      <c r="E473" t="n">
        <v>1</v>
      </c>
    </row>
    <row r="474">
      <c r="A474" t="inlineStr">
        <is>
          <t>c0902</t>
        </is>
      </c>
      <c r="B474" t="n">
        <v>1</v>
      </c>
      <c r="F474" t="n">
        <v>1</v>
      </c>
    </row>
    <row r="475">
      <c r="A475" t="inlineStr">
        <is>
          <t>c0903</t>
        </is>
      </c>
      <c r="E475" t="n">
        <v>1</v>
      </c>
      <c r="F475" t="n">
        <v>1</v>
      </c>
    </row>
    <row r="476">
      <c r="A476" t="inlineStr">
        <is>
          <t>c0904</t>
        </is>
      </c>
      <c r="C476" t="n">
        <v>1</v>
      </c>
    </row>
    <row r="477">
      <c r="A477" t="inlineStr">
        <is>
          <t>c0908</t>
        </is>
      </c>
      <c r="B477" t="n">
        <v>1</v>
      </c>
    </row>
    <row r="478">
      <c r="A478" t="inlineStr">
        <is>
          <t>c0909</t>
        </is>
      </c>
      <c r="E478" t="n">
        <v>1</v>
      </c>
    </row>
    <row r="479">
      <c r="A479" t="inlineStr">
        <is>
          <t>c0912</t>
        </is>
      </c>
    </row>
    <row r="480">
      <c r="A480" t="inlineStr">
        <is>
          <t>c0913</t>
        </is>
      </c>
      <c r="E480" t="n">
        <v>1</v>
      </c>
    </row>
    <row r="481">
      <c r="A481" t="inlineStr">
        <is>
          <t>c0914</t>
        </is>
      </c>
      <c r="C481" t="n">
        <v>1</v>
      </c>
    </row>
    <row r="482">
      <c r="A482" t="inlineStr">
        <is>
          <t>c0915</t>
        </is>
      </c>
      <c r="H482" t="n">
        <v>1</v>
      </c>
    </row>
    <row r="483">
      <c r="A483" t="inlineStr">
        <is>
          <t>c0916</t>
        </is>
      </c>
      <c r="H483" t="n">
        <v>1</v>
      </c>
    </row>
    <row r="484">
      <c r="A484" t="inlineStr">
        <is>
          <t>c0917</t>
        </is>
      </c>
      <c r="H484" t="n">
        <v>1</v>
      </c>
    </row>
    <row r="485">
      <c r="A485" t="inlineStr">
        <is>
          <t>c0063</t>
        </is>
      </c>
      <c r="F485" t="n">
        <v>1</v>
      </c>
    </row>
    <row r="486">
      <c r="A486" t="inlineStr">
        <is>
          <t>c0918</t>
        </is>
      </c>
      <c r="H486" t="n">
        <v>1</v>
      </c>
    </row>
    <row r="487">
      <c r="A487" t="inlineStr">
        <is>
          <t>c0215</t>
        </is>
      </c>
      <c r="D487" t="n">
        <v>1</v>
      </c>
    </row>
    <row r="488">
      <c r="A488" t="inlineStr">
        <is>
          <t>c0919</t>
        </is>
      </c>
      <c r="H488" t="n">
        <v>1</v>
      </c>
    </row>
    <row r="489">
      <c r="A489" t="inlineStr">
        <is>
          <t>c0920</t>
        </is>
      </c>
      <c r="H489" t="n">
        <v>1</v>
      </c>
    </row>
    <row r="490">
      <c r="A490" t="inlineStr">
        <is>
          <t>c0921</t>
        </is>
      </c>
      <c r="H490" t="n">
        <v>1</v>
      </c>
    </row>
    <row r="491">
      <c r="A491" t="inlineStr">
        <is>
          <t>c0092</t>
        </is>
      </c>
      <c r="F491" t="n">
        <v>1</v>
      </c>
    </row>
    <row r="492">
      <c r="A492" t="inlineStr">
        <is>
          <t>c0922</t>
        </is>
      </c>
      <c r="D492" t="n">
        <v>1</v>
      </c>
    </row>
    <row r="493">
      <c r="A493" t="inlineStr">
        <is>
          <t>c0923</t>
        </is>
      </c>
      <c r="C493" t="n">
        <v>1</v>
      </c>
    </row>
    <row r="494">
      <c r="A494" t="inlineStr">
        <is>
          <t>c0157</t>
        </is>
      </c>
      <c r="C494" t="n">
        <v>1</v>
      </c>
    </row>
    <row r="495">
      <c r="A495" t="inlineStr">
        <is>
          <t>c0924</t>
        </is>
      </c>
      <c r="H495" t="n">
        <v>1</v>
      </c>
    </row>
    <row r="496">
      <c r="A496" t="inlineStr">
        <is>
          <t>c0712</t>
        </is>
      </c>
      <c r="D496" t="n">
        <v>1</v>
      </c>
    </row>
    <row r="497">
      <c r="A497" t="inlineStr">
        <is>
          <t>c0678</t>
        </is>
      </c>
      <c r="D497" t="n">
        <v>1</v>
      </c>
      <c r="H497" t="n">
        <v>1</v>
      </c>
    </row>
    <row r="498">
      <c r="A498" t="inlineStr">
        <is>
          <t>c0282</t>
        </is>
      </c>
      <c r="C498" t="n">
        <v>1</v>
      </c>
      <c r="E498" t="n">
        <v>1</v>
      </c>
    </row>
    <row r="499">
      <c r="A499" t="inlineStr">
        <is>
          <t>c0255</t>
        </is>
      </c>
      <c r="C499" t="n">
        <v>1</v>
      </c>
      <c r="E499" t="n">
        <v>1</v>
      </c>
      <c r="H499" t="n">
        <v>1</v>
      </c>
    </row>
    <row r="500">
      <c r="A500" t="inlineStr">
        <is>
          <t>c0925</t>
        </is>
      </c>
      <c r="C500" t="n">
        <v>1</v>
      </c>
    </row>
    <row r="501">
      <c r="A501" t="inlineStr">
        <is>
          <t>c0926</t>
        </is>
      </c>
      <c r="C501" t="n">
        <v>1</v>
      </c>
    </row>
    <row r="502">
      <c r="A502" t="inlineStr">
        <is>
          <t>c0927</t>
        </is>
      </c>
      <c r="H502" t="n">
        <v>1</v>
      </c>
    </row>
    <row r="503">
      <c r="A503" t="inlineStr">
        <is>
          <t>c0928</t>
        </is>
      </c>
      <c r="C503" t="n">
        <v>1</v>
      </c>
    </row>
    <row r="504">
      <c r="A504" t="inlineStr">
        <is>
          <t>c0929</t>
        </is>
      </c>
      <c r="C504" t="n">
        <v>1</v>
      </c>
    </row>
    <row r="505">
      <c r="A505" t="inlineStr">
        <is>
          <t>c0930</t>
        </is>
      </c>
      <c r="C505" t="n">
        <v>1</v>
      </c>
    </row>
    <row r="506">
      <c r="A506" t="inlineStr">
        <is>
          <t>c0340</t>
        </is>
      </c>
      <c r="D506" t="n">
        <v>1</v>
      </c>
      <c r="E506" t="n">
        <v>1</v>
      </c>
    </row>
    <row r="507">
      <c r="A507" t="inlineStr">
        <is>
          <t>c0562</t>
        </is>
      </c>
      <c r="G507" t="n">
        <v>1</v>
      </c>
    </row>
    <row r="508">
      <c r="A508" t="inlineStr">
        <is>
          <t>c0931</t>
        </is>
      </c>
      <c r="C508" t="n">
        <v>1</v>
      </c>
    </row>
    <row r="509">
      <c r="A509" t="inlineStr">
        <is>
          <t>c0275</t>
        </is>
      </c>
      <c r="E509" t="n">
        <v>1</v>
      </c>
    </row>
    <row r="510">
      <c r="A510" t="inlineStr">
        <is>
          <t>c0410</t>
        </is>
      </c>
      <c r="B510" t="n">
        <v>1</v>
      </c>
    </row>
    <row r="511">
      <c r="A511" t="inlineStr">
        <is>
          <t>c0932</t>
        </is>
      </c>
      <c r="C511" t="n">
        <v>1</v>
      </c>
    </row>
    <row r="512">
      <c r="A512" t="inlineStr">
        <is>
          <t>c0626</t>
        </is>
      </c>
      <c r="B512" t="n">
        <v>1</v>
      </c>
    </row>
    <row r="513">
      <c r="A513" t="inlineStr">
        <is>
          <t>c0933</t>
        </is>
      </c>
      <c r="D513" t="n">
        <v>1</v>
      </c>
    </row>
    <row r="514">
      <c r="A514" t="inlineStr">
        <is>
          <t>c0934</t>
        </is>
      </c>
      <c r="C514" t="n">
        <v>1</v>
      </c>
    </row>
    <row r="515">
      <c r="A515" t="inlineStr">
        <is>
          <t>c0593</t>
        </is>
      </c>
      <c r="G515" t="n">
        <v>1</v>
      </c>
    </row>
    <row r="516">
      <c r="A516" t="inlineStr">
        <is>
          <t>c0935</t>
        </is>
      </c>
      <c r="G516" t="n">
        <v>1</v>
      </c>
    </row>
    <row r="517">
      <c r="A517" t="inlineStr">
        <is>
          <t>c0936</t>
        </is>
      </c>
      <c r="G517" t="n">
        <v>1</v>
      </c>
    </row>
    <row r="518">
      <c r="A518" t="inlineStr">
        <is>
          <t>c0937</t>
        </is>
      </c>
      <c r="B518" t="n">
        <v>1</v>
      </c>
    </row>
    <row r="519">
      <c r="A519" t="inlineStr">
        <is>
          <t>c0938</t>
        </is>
      </c>
      <c r="G519" t="n">
        <v>1</v>
      </c>
    </row>
    <row r="520">
      <c r="A520" t="inlineStr">
        <is>
          <t>c0132</t>
        </is>
      </c>
      <c r="F520" t="n">
        <v>1</v>
      </c>
      <c r="G520" t="n">
        <v>1</v>
      </c>
    </row>
    <row r="521">
      <c r="A521" t="inlineStr">
        <is>
          <t>c0939</t>
        </is>
      </c>
      <c r="G521" t="n">
        <v>1</v>
      </c>
    </row>
    <row r="522">
      <c r="A522" t="inlineStr">
        <is>
          <t>c0940</t>
        </is>
      </c>
      <c r="G522" t="n">
        <v>1</v>
      </c>
    </row>
    <row r="523">
      <c r="A523" t="inlineStr">
        <is>
          <t>c0647</t>
        </is>
      </c>
      <c r="G523" t="n">
        <v>1</v>
      </c>
    </row>
    <row r="524">
      <c r="A524" t="inlineStr">
        <is>
          <t>c0561</t>
        </is>
      </c>
      <c r="B524" t="n">
        <v>1</v>
      </c>
      <c r="G524" t="n">
        <v>1</v>
      </c>
    </row>
    <row r="525">
      <c r="A525" t="inlineStr">
        <is>
          <t>c0155</t>
        </is>
      </c>
      <c r="B525" t="n">
        <v>1</v>
      </c>
    </row>
    <row r="526">
      <c r="A526" t="inlineStr">
        <is>
          <t>c0397</t>
        </is>
      </c>
      <c r="H526" t="n">
        <v>1</v>
      </c>
    </row>
    <row r="527">
      <c r="A527" t="inlineStr">
        <is>
          <t>c0905</t>
        </is>
      </c>
      <c r="C527" t="n">
        <v>1</v>
      </c>
    </row>
    <row r="528">
      <c r="A528" t="inlineStr">
        <is>
          <t>c0941</t>
        </is>
      </c>
      <c r="H528" t="n">
        <v>1</v>
      </c>
    </row>
    <row r="529">
      <c r="A529" t="inlineStr">
        <is>
          <t>c0189</t>
        </is>
      </c>
      <c r="C529" t="n">
        <v>1</v>
      </c>
    </row>
    <row r="530">
      <c r="A530" t="inlineStr">
        <is>
          <t>c0702</t>
        </is>
      </c>
      <c r="C530" t="n">
        <v>1</v>
      </c>
    </row>
    <row r="531">
      <c r="A531" t="inlineStr">
        <is>
          <t>c0942</t>
        </is>
      </c>
      <c r="C531" t="n">
        <v>1</v>
      </c>
    </row>
    <row r="532">
      <c r="A532" t="inlineStr">
        <is>
          <t>c0943</t>
        </is>
      </c>
      <c r="C532" t="n">
        <v>1</v>
      </c>
    </row>
    <row r="533">
      <c r="A533" t="inlineStr">
        <is>
          <t>c0944</t>
        </is>
      </c>
      <c r="C533" t="n">
        <v>1</v>
      </c>
    </row>
    <row r="534">
      <c r="A534" t="inlineStr">
        <is>
          <t>c0945</t>
        </is>
      </c>
      <c r="H534" t="n">
        <v>1</v>
      </c>
    </row>
    <row r="535">
      <c r="A535" t="inlineStr">
        <is>
          <t>c0692</t>
        </is>
      </c>
      <c r="D535" t="n">
        <v>1</v>
      </c>
    </row>
    <row r="536">
      <c r="A536" t="inlineStr">
        <is>
          <t>c0878</t>
        </is>
      </c>
      <c r="F536" t="n">
        <v>1</v>
      </c>
    </row>
    <row r="537">
      <c r="A537" t="inlineStr">
        <is>
          <t>c0890</t>
        </is>
      </c>
      <c r="F537" t="n">
        <v>1</v>
      </c>
    </row>
    <row r="538">
      <c r="A538" t="inlineStr">
        <is>
          <t>c0946</t>
        </is>
      </c>
      <c r="F538" t="n">
        <v>1</v>
      </c>
    </row>
    <row r="539">
      <c r="A539" t="inlineStr">
        <is>
          <t>c0028</t>
        </is>
      </c>
      <c r="F539" t="n">
        <v>1</v>
      </c>
    </row>
    <row r="540">
      <c r="A540" t="inlineStr">
        <is>
          <t>c0947</t>
        </is>
      </c>
      <c r="C540" t="n">
        <v>1</v>
      </c>
    </row>
    <row r="541">
      <c r="A541" t="inlineStr">
        <is>
          <t>c0149</t>
        </is>
      </c>
      <c r="F541" t="n">
        <v>1</v>
      </c>
    </row>
    <row r="542">
      <c r="A542" t="inlineStr">
        <is>
          <t>c0948</t>
        </is>
      </c>
      <c r="F542" t="n">
        <v>1</v>
      </c>
    </row>
    <row r="543">
      <c r="A543" t="inlineStr">
        <is>
          <t>c0949</t>
        </is>
      </c>
      <c r="F543" t="n">
        <v>1</v>
      </c>
    </row>
    <row r="544">
      <c r="A544" t="inlineStr">
        <is>
          <t>c0515</t>
        </is>
      </c>
      <c r="D544" t="n">
        <v>1</v>
      </c>
    </row>
    <row r="545">
      <c r="A545" t="inlineStr">
        <is>
          <t>c0950</t>
        </is>
      </c>
      <c r="H545" t="n">
        <v>1</v>
      </c>
    </row>
    <row r="546">
      <c r="A546" t="inlineStr">
        <is>
          <t>c0752</t>
        </is>
      </c>
      <c r="E546" t="n">
        <v>1</v>
      </c>
      <c r="F546" t="n">
        <v>1</v>
      </c>
    </row>
    <row r="547">
      <c r="A547" t="inlineStr">
        <is>
          <t>c0951</t>
        </is>
      </c>
      <c r="E547" t="n">
        <v>1</v>
      </c>
    </row>
    <row r="548">
      <c r="A548" t="inlineStr">
        <is>
          <t>c0952</t>
        </is>
      </c>
      <c r="F548" t="n">
        <v>1</v>
      </c>
    </row>
    <row r="549">
      <c r="A549" t="inlineStr">
        <is>
          <t>c0953</t>
        </is>
      </c>
      <c r="H549" t="n">
        <v>1</v>
      </c>
    </row>
    <row r="550">
      <c r="A550" t="inlineStr">
        <is>
          <t>c0954</t>
        </is>
      </c>
      <c r="H550" t="n">
        <v>1</v>
      </c>
    </row>
    <row r="551">
      <c r="A551" t="inlineStr">
        <is>
          <t>c0955</t>
        </is>
      </c>
      <c r="H551" t="n">
        <v>1</v>
      </c>
    </row>
    <row r="552">
      <c r="A552" t="inlineStr">
        <is>
          <t>c0956</t>
        </is>
      </c>
      <c r="H552" t="n">
        <v>1</v>
      </c>
    </row>
    <row r="553">
      <c r="A553" t="inlineStr">
        <is>
          <t>c0030</t>
        </is>
      </c>
      <c r="F553" t="n">
        <v>1</v>
      </c>
    </row>
    <row r="554">
      <c r="A554" t="inlineStr">
        <is>
          <t>c0957</t>
        </is>
      </c>
      <c r="H554" t="n">
        <v>1</v>
      </c>
    </row>
    <row r="555">
      <c r="A555" t="inlineStr">
        <is>
          <t>c0175</t>
        </is>
      </c>
      <c r="G555" t="n">
        <v>1</v>
      </c>
    </row>
    <row r="556">
      <c r="A556" t="inlineStr">
        <is>
          <t>c0958</t>
        </is>
      </c>
      <c r="H556" t="n">
        <v>1</v>
      </c>
    </row>
    <row r="557">
      <c r="A557" t="inlineStr">
        <is>
          <t>c0959</t>
        </is>
      </c>
      <c r="F557" t="n">
        <v>1</v>
      </c>
    </row>
    <row r="558">
      <c r="A558" t="inlineStr">
        <is>
          <t>c0284</t>
        </is>
      </c>
      <c r="E558" t="n">
        <v>1</v>
      </c>
    </row>
    <row r="559">
      <c r="A559" t="inlineStr">
        <is>
          <t>c0260</t>
        </is>
      </c>
      <c r="E559" t="n">
        <v>1</v>
      </c>
    </row>
    <row r="560">
      <c r="A560" t="inlineStr">
        <is>
          <t>c0428</t>
        </is>
      </c>
      <c r="E560" t="n">
        <v>1</v>
      </c>
    </row>
    <row r="561">
      <c r="A561" t="inlineStr">
        <is>
          <t>c0960</t>
        </is>
      </c>
      <c r="H561" t="n">
        <v>1</v>
      </c>
    </row>
    <row r="562">
      <c r="A562" t="inlineStr">
        <is>
          <t>c0223</t>
        </is>
      </c>
      <c r="C562" t="n">
        <v>1</v>
      </c>
      <c r="E562" t="n">
        <v>1</v>
      </c>
    </row>
    <row r="563">
      <c r="A563" t="inlineStr">
        <is>
          <t>c0679</t>
        </is>
      </c>
      <c r="D563" t="n">
        <v>1</v>
      </c>
    </row>
    <row r="564">
      <c r="A564" t="inlineStr">
        <is>
          <t>c0961</t>
        </is>
      </c>
      <c r="H564" t="n">
        <v>1</v>
      </c>
    </row>
    <row r="565">
      <c r="A565" t="inlineStr">
        <is>
          <t>c0205</t>
        </is>
      </c>
      <c r="D565" t="n">
        <v>1</v>
      </c>
    </row>
    <row r="566">
      <c r="A566" t="inlineStr">
        <is>
          <t>c0897</t>
        </is>
      </c>
      <c r="E566" t="n">
        <v>1</v>
      </c>
    </row>
    <row r="567">
      <c r="A567" t="inlineStr">
        <is>
          <t>c0409</t>
        </is>
      </c>
      <c r="B567" t="n">
        <v>1</v>
      </c>
    </row>
    <row r="568">
      <c r="A568" t="inlineStr">
        <is>
          <t>c0962</t>
        </is>
      </c>
      <c r="H568" t="n">
        <v>1</v>
      </c>
    </row>
    <row r="569">
      <c r="A569" t="inlineStr">
        <is>
          <t>c0963</t>
        </is>
      </c>
      <c r="H569" t="n">
        <v>1</v>
      </c>
    </row>
    <row r="570">
      <c r="A570" t="inlineStr">
        <is>
          <t>c0964</t>
        </is>
      </c>
      <c r="G570" t="n">
        <v>1</v>
      </c>
    </row>
    <row r="571">
      <c r="A571" t="inlineStr">
        <is>
          <t>c0133</t>
        </is>
      </c>
      <c r="G571" t="n">
        <v>1</v>
      </c>
    </row>
    <row r="572">
      <c r="A572" t="inlineStr">
        <is>
          <t>c0965</t>
        </is>
      </c>
      <c r="G572" t="n">
        <v>1</v>
      </c>
    </row>
    <row r="573">
      <c r="A573" t="inlineStr">
        <is>
          <t>c0966</t>
        </is>
      </c>
      <c r="D573" t="n">
        <v>1</v>
      </c>
    </row>
    <row r="574">
      <c r="A574" t="inlineStr">
        <is>
          <t>c0967</t>
        </is>
      </c>
      <c r="C574" t="n">
        <v>1</v>
      </c>
    </row>
    <row r="575">
      <c r="A575" t="inlineStr">
        <is>
          <t>c0968</t>
        </is>
      </c>
      <c r="H575" t="n">
        <v>1</v>
      </c>
    </row>
    <row r="576">
      <c r="A576" t="inlineStr">
        <is>
          <t>c0190</t>
        </is>
      </c>
      <c r="E576" t="n">
        <v>1</v>
      </c>
    </row>
    <row r="577">
      <c r="A577" t="inlineStr">
        <is>
          <t>c0041</t>
        </is>
      </c>
      <c r="F577" t="n">
        <v>1</v>
      </c>
    </row>
    <row r="578">
      <c r="A578" t="inlineStr">
        <is>
          <t>c0969</t>
        </is>
      </c>
      <c r="F578" t="n">
        <v>1</v>
      </c>
    </row>
    <row r="579">
      <c r="A579" t="inlineStr">
        <is>
          <t>c0050</t>
        </is>
      </c>
      <c r="F579" t="n">
        <v>1</v>
      </c>
    </row>
    <row r="580">
      <c r="A580" t="inlineStr">
        <is>
          <t>c0054</t>
        </is>
      </c>
      <c r="F580" t="n">
        <v>1</v>
      </c>
    </row>
    <row r="581">
      <c r="A581" t="inlineStr">
        <is>
          <t>c0167</t>
        </is>
      </c>
      <c r="F581" t="n">
        <v>1</v>
      </c>
    </row>
  </sheetData>
  <autoFilter ref="A1:H480">
    <sortState ref="A2:H480">
      <sortCondition ref="A1:A480"/>
    </sortState>
  </autoFilter>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0"/>
  <sheetViews>
    <sheetView workbookViewId="0">
      <selection activeCell="E8" sqref="E8"/>
    </sheetView>
  </sheetViews>
  <sheetFormatPr baseColWidth="8" defaultRowHeight="14.4"/>
  <cols>
    <col width="8.88671875" customWidth="1" style="127" min="9" max="16384"/>
  </cols>
  <sheetData>
    <row r="1">
      <c r="A1" s="143" t="inlineStr">
        <is>
          <t>Card ID</t>
        </is>
      </c>
      <c r="B1" s="143" t="inlineStr">
        <is>
          <t>D1-A</t>
        </is>
      </c>
      <c r="C1" s="143" t="inlineStr">
        <is>
          <t>D2-A</t>
        </is>
      </c>
      <c r="D1" s="143" t="inlineStr">
        <is>
          <t>D3-A</t>
        </is>
      </c>
      <c r="E1" s="143" t="inlineStr">
        <is>
          <t>D4-A</t>
        </is>
      </c>
      <c r="F1" s="143" t="inlineStr">
        <is>
          <t>D5-A</t>
        </is>
      </c>
      <c r="G1" s="143" t="inlineStr">
        <is>
          <t>D6-A</t>
        </is>
      </c>
      <c r="H1" s="143" t="inlineStr">
        <is>
          <t>D7-A</t>
        </is>
      </c>
    </row>
    <row r="2">
      <c r="A2" t="inlineStr">
        <is>
          <t>c0004</t>
        </is>
      </c>
      <c r="F2" t="n">
        <v>1</v>
      </c>
    </row>
    <row r="3">
      <c r="A3" t="inlineStr">
        <is>
          <t>c0006</t>
        </is>
      </c>
      <c r="H3" t="n">
        <v>1</v>
      </c>
    </row>
    <row r="4">
      <c r="A4" t="inlineStr">
        <is>
          <t>c0007</t>
        </is>
      </c>
      <c r="E4" t="n">
        <v>1</v>
      </c>
    </row>
    <row r="5">
      <c r="A5" t="inlineStr">
        <is>
          <t>c0008</t>
        </is>
      </c>
      <c r="F5" t="n">
        <v>1</v>
      </c>
      <c r="H5" t="n">
        <v>1</v>
      </c>
    </row>
    <row r="6">
      <c r="A6" t="inlineStr">
        <is>
          <t>c0011</t>
        </is>
      </c>
      <c r="F6" t="n">
        <v>1</v>
      </c>
    </row>
    <row r="7">
      <c r="A7" t="inlineStr">
        <is>
          <t>c0012</t>
        </is>
      </c>
      <c r="H7" t="n">
        <v>1</v>
      </c>
    </row>
    <row r="8">
      <c r="A8" t="inlineStr">
        <is>
          <t>c0017</t>
        </is>
      </c>
      <c r="H8" t="n">
        <v>1</v>
      </c>
    </row>
    <row r="9">
      <c r="A9" t="inlineStr">
        <is>
          <t>c0019</t>
        </is>
      </c>
      <c r="H9" t="n">
        <v>1</v>
      </c>
    </row>
    <row r="10">
      <c r="A10" t="inlineStr">
        <is>
          <t>c0021</t>
        </is>
      </c>
      <c r="H10" t="n">
        <v>1</v>
      </c>
    </row>
    <row r="11">
      <c r="A11" t="inlineStr">
        <is>
          <t>c0022</t>
        </is>
      </c>
      <c r="F11" t="n">
        <v>1</v>
      </c>
    </row>
    <row r="12">
      <c r="A12" t="inlineStr">
        <is>
          <t>c0027</t>
        </is>
      </c>
      <c r="F12" t="n">
        <v>1</v>
      </c>
    </row>
    <row r="13">
      <c r="A13" t="inlineStr">
        <is>
          <t>c0029</t>
        </is>
      </c>
      <c r="E13" t="n">
        <v>1</v>
      </c>
    </row>
    <row r="14">
      <c r="A14" t="inlineStr">
        <is>
          <t>c0033</t>
        </is>
      </c>
      <c r="H14" t="n">
        <v>1</v>
      </c>
    </row>
    <row r="15">
      <c r="A15" t="inlineStr">
        <is>
          <t>c0034</t>
        </is>
      </c>
      <c r="D15" t="n">
        <v>1</v>
      </c>
    </row>
    <row r="16">
      <c r="A16" t="inlineStr">
        <is>
          <t>c0037</t>
        </is>
      </c>
      <c r="H16" t="n">
        <v>1</v>
      </c>
    </row>
    <row r="17">
      <c r="A17" t="inlineStr">
        <is>
          <t>c0039</t>
        </is>
      </c>
      <c r="H17" t="n">
        <v>1</v>
      </c>
    </row>
    <row r="18">
      <c r="A18" t="inlineStr">
        <is>
          <t>c0042</t>
        </is>
      </c>
      <c r="D18" t="n">
        <v>1</v>
      </c>
    </row>
    <row r="19">
      <c r="A19" t="inlineStr">
        <is>
          <t>c0043</t>
        </is>
      </c>
      <c r="D19" t="n">
        <v>1</v>
      </c>
    </row>
    <row r="20">
      <c r="A20" t="inlineStr">
        <is>
          <t>c0047</t>
        </is>
      </c>
      <c r="H20" t="n">
        <v>1</v>
      </c>
    </row>
    <row r="21">
      <c r="A21" t="inlineStr">
        <is>
          <t>c0048</t>
        </is>
      </c>
      <c r="H21" t="n">
        <v>1</v>
      </c>
    </row>
    <row r="22">
      <c r="A22" t="inlineStr">
        <is>
          <t>c0049</t>
        </is>
      </c>
      <c r="H22" t="n">
        <v>1</v>
      </c>
    </row>
    <row r="23">
      <c r="A23" t="inlineStr">
        <is>
          <t>c0051</t>
        </is>
      </c>
      <c r="F23" t="n">
        <v>1</v>
      </c>
    </row>
    <row r="24">
      <c r="A24" t="inlineStr">
        <is>
          <t>c0053</t>
        </is>
      </c>
      <c r="F24" t="n">
        <v>1</v>
      </c>
      <c r="H24" t="n">
        <v>1</v>
      </c>
    </row>
    <row r="25">
      <c r="A25" t="inlineStr">
        <is>
          <t>c0057</t>
        </is>
      </c>
      <c r="D25" t="n">
        <v>1</v>
      </c>
    </row>
    <row r="26">
      <c r="A26" t="inlineStr">
        <is>
          <t>c0058</t>
        </is>
      </c>
      <c r="F26" t="n">
        <v>1</v>
      </c>
      <c r="H26" t="n">
        <v>1</v>
      </c>
    </row>
    <row r="27">
      <c r="A27" t="inlineStr">
        <is>
          <t>c0060</t>
        </is>
      </c>
      <c r="H27" t="n">
        <v>1</v>
      </c>
    </row>
    <row r="28">
      <c r="A28" t="inlineStr">
        <is>
          <t>c0061</t>
        </is>
      </c>
      <c r="F28" t="n">
        <v>1</v>
      </c>
    </row>
    <row r="29">
      <c r="A29" t="inlineStr">
        <is>
          <t>c0062</t>
        </is>
      </c>
      <c r="H29" t="n">
        <v>1</v>
      </c>
    </row>
    <row r="30">
      <c r="A30" t="inlineStr">
        <is>
          <t>c0066</t>
        </is>
      </c>
      <c r="D30" t="n">
        <v>1</v>
      </c>
    </row>
    <row r="31">
      <c r="A31" t="inlineStr">
        <is>
          <t>c0070</t>
        </is>
      </c>
      <c r="H31" t="n">
        <v>1</v>
      </c>
    </row>
    <row r="32">
      <c r="A32" t="inlineStr">
        <is>
          <t>c0074</t>
        </is>
      </c>
      <c r="H32" t="n">
        <v>1</v>
      </c>
    </row>
    <row r="33">
      <c r="A33" t="inlineStr">
        <is>
          <t>c0076</t>
        </is>
      </c>
      <c r="H33" t="n">
        <v>1</v>
      </c>
    </row>
    <row r="34">
      <c r="A34" t="inlineStr">
        <is>
          <t>c0077</t>
        </is>
      </c>
      <c r="F34" t="n">
        <v>1</v>
      </c>
      <c r="H34" t="n">
        <v>1</v>
      </c>
    </row>
    <row r="35">
      <c r="A35" t="inlineStr">
        <is>
          <t>c0080</t>
        </is>
      </c>
      <c r="E35" t="n">
        <v>1</v>
      </c>
    </row>
    <row r="36">
      <c r="A36" t="inlineStr">
        <is>
          <t>c0084</t>
        </is>
      </c>
      <c r="H36" t="n">
        <v>1</v>
      </c>
    </row>
    <row r="37">
      <c r="A37" t="inlineStr">
        <is>
          <t>c0085</t>
        </is>
      </c>
      <c r="F37" t="n">
        <v>1</v>
      </c>
    </row>
    <row r="38">
      <c r="A38" t="inlineStr">
        <is>
          <t>c0086</t>
        </is>
      </c>
      <c r="F38" t="n">
        <v>1</v>
      </c>
    </row>
    <row r="39">
      <c r="A39" t="inlineStr">
        <is>
          <t>c0090</t>
        </is>
      </c>
      <c r="E39" t="n">
        <v>1</v>
      </c>
    </row>
    <row r="40">
      <c r="A40" t="inlineStr">
        <is>
          <t>c0094</t>
        </is>
      </c>
      <c r="F40" t="n">
        <v>1</v>
      </c>
    </row>
    <row r="41">
      <c r="A41" t="inlineStr">
        <is>
          <t>c0096</t>
        </is>
      </c>
      <c r="D41" t="n">
        <v>1</v>
      </c>
    </row>
    <row r="42">
      <c r="A42" t="inlineStr">
        <is>
          <t>c0097</t>
        </is>
      </c>
      <c r="B42" t="n">
        <v>1</v>
      </c>
      <c r="C42" t="n">
        <v>1</v>
      </c>
      <c r="F42" t="n">
        <v>1</v>
      </c>
      <c r="G42" t="n">
        <v>1</v>
      </c>
    </row>
    <row r="43">
      <c r="A43" t="inlineStr">
        <is>
          <t>c0098</t>
        </is>
      </c>
      <c r="H43" t="n">
        <v>1</v>
      </c>
    </row>
    <row r="44">
      <c r="A44" t="inlineStr">
        <is>
          <t>c0101</t>
        </is>
      </c>
      <c r="D44" t="n">
        <v>1</v>
      </c>
    </row>
    <row r="45">
      <c r="A45" t="inlineStr">
        <is>
          <t>c0102</t>
        </is>
      </c>
      <c r="D45" t="n">
        <v>1</v>
      </c>
    </row>
    <row r="46">
      <c r="A46" t="inlineStr">
        <is>
          <t>c0103</t>
        </is>
      </c>
      <c r="B46" t="n">
        <v>1</v>
      </c>
    </row>
    <row r="47">
      <c r="A47" t="inlineStr">
        <is>
          <t>c0106</t>
        </is>
      </c>
      <c r="D47" t="n">
        <v>1</v>
      </c>
    </row>
    <row r="48">
      <c r="A48" t="inlineStr">
        <is>
          <t>c0107</t>
        </is>
      </c>
      <c r="E48" t="n">
        <v>1</v>
      </c>
    </row>
    <row r="49">
      <c r="A49" t="inlineStr">
        <is>
          <t>c0108</t>
        </is>
      </c>
      <c r="C49" t="n">
        <v>1</v>
      </c>
    </row>
    <row r="50">
      <c r="A50" t="inlineStr">
        <is>
          <t>c0109</t>
        </is>
      </c>
      <c r="D50" t="n">
        <v>1</v>
      </c>
    </row>
    <row r="51">
      <c r="A51" t="inlineStr">
        <is>
          <t>c0111</t>
        </is>
      </c>
      <c r="D51" t="n">
        <v>1</v>
      </c>
    </row>
    <row r="52">
      <c r="A52" t="inlineStr">
        <is>
          <t>c0113</t>
        </is>
      </c>
      <c r="B52" t="n">
        <v>1</v>
      </c>
    </row>
    <row r="53">
      <c r="A53" t="inlineStr">
        <is>
          <t>c0114</t>
        </is>
      </c>
      <c r="E53" t="n">
        <v>1</v>
      </c>
    </row>
    <row r="54">
      <c r="A54" t="inlineStr">
        <is>
          <t>c0115</t>
        </is>
      </c>
      <c r="B54" t="n">
        <v>1</v>
      </c>
    </row>
    <row r="55">
      <c r="A55" t="inlineStr">
        <is>
          <t>c0118</t>
        </is>
      </c>
      <c r="G55" t="n">
        <v>1</v>
      </c>
    </row>
    <row r="56">
      <c r="A56" t="inlineStr">
        <is>
          <t>c0121</t>
        </is>
      </c>
      <c r="D56" t="n">
        <v>1</v>
      </c>
    </row>
    <row r="57">
      <c r="A57" t="inlineStr">
        <is>
          <t>c0122</t>
        </is>
      </c>
      <c r="H57" t="n">
        <v>1</v>
      </c>
    </row>
    <row r="58">
      <c r="A58" t="inlineStr">
        <is>
          <t>c0123</t>
        </is>
      </c>
      <c r="B58" t="n">
        <v>1</v>
      </c>
    </row>
    <row r="59">
      <c r="A59" t="inlineStr">
        <is>
          <t>c0125</t>
        </is>
      </c>
      <c r="C59" t="n">
        <v>1</v>
      </c>
    </row>
    <row r="60">
      <c r="A60" t="inlineStr">
        <is>
          <t>c0126</t>
        </is>
      </c>
      <c r="F60" t="n">
        <v>1</v>
      </c>
    </row>
    <row r="61">
      <c r="A61" t="inlineStr">
        <is>
          <t>c0127</t>
        </is>
      </c>
      <c r="B61" t="n">
        <v>1</v>
      </c>
    </row>
    <row r="62">
      <c r="A62" t="inlineStr">
        <is>
          <t>c0128</t>
        </is>
      </c>
      <c r="G62" t="n">
        <v>1</v>
      </c>
      <c r="H62" t="n">
        <v>1</v>
      </c>
    </row>
    <row r="63">
      <c r="A63" t="inlineStr">
        <is>
          <t>c0129</t>
        </is>
      </c>
      <c r="F63" t="n">
        <v>1</v>
      </c>
    </row>
    <row r="64">
      <c r="A64" t="inlineStr">
        <is>
          <t>c0130</t>
        </is>
      </c>
      <c r="E64" t="n">
        <v>1</v>
      </c>
    </row>
    <row r="65">
      <c r="A65" t="inlineStr">
        <is>
          <t>c0131</t>
        </is>
      </c>
      <c r="G65" t="n">
        <v>1</v>
      </c>
    </row>
    <row r="66">
      <c r="A66" t="inlineStr">
        <is>
          <t>c0138</t>
        </is>
      </c>
      <c r="B66" t="n">
        <v>1</v>
      </c>
    </row>
    <row r="67">
      <c r="A67" t="inlineStr">
        <is>
          <t>c0139</t>
        </is>
      </c>
      <c r="B67" t="n">
        <v>1</v>
      </c>
      <c r="F67" t="n">
        <v>1</v>
      </c>
      <c r="G67" t="n">
        <v>1</v>
      </c>
    </row>
    <row r="68">
      <c r="A68" t="inlineStr">
        <is>
          <t>c0141</t>
        </is>
      </c>
      <c r="E68" t="n">
        <v>1</v>
      </c>
      <c r="F68" t="n">
        <v>1</v>
      </c>
    </row>
    <row r="69">
      <c r="A69" t="inlineStr">
        <is>
          <t>c0142</t>
        </is>
      </c>
      <c r="E69" t="n">
        <v>1</v>
      </c>
      <c r="F69" t="n">
        <v>1</v>
      </c>
    </row>
    <row r="70">
      <c r="A70" t="inlineStr">
        <is>
          <t>c0144</t>
        </is>
      </c>
      <c r="G70" t="n">
        <v>1</v>
      </c>
    </row>
    <row r="71">
      <c r="A71" t="inlineStr">
        <is>
          <t>c0145</t>
        </is>
      </c>
      <c r="B71" t="n">
        <v>1</v>
      </c>
    </row>
    <row r="72">
      <c r="A72" t="inlineStr">
        <is>
          <t>c0146</t>
        </is>
      </c>
      <c r="C72" t="n">
        <v>1</v>
      </c>
      <c r="F72" t="n">
        <v>1</v>
      </c>
    </row>
    <row r="73">
      <c r="A73" t="inlineStr">
        <is>
          <t>c0148</t>
        </is>
      </c>
      <c r="E73" t="n">
        <v>1</v>
      </c>
      <c r="H73" t="n">
        <v>1</v>
      </c>
    </row>
    <row r="74">
      <c r="A74" t="inlineStr">
        <is>
          <t>c0151</t>
        </is>
      </c>
      <c r="E74" t="n">
        <v>1</v>
      </c>
    </row>
    <row r="75">
      <c r="A75" t="inlineStr">
        <is>
          <t>c0152</t>
        </is>
      </c>
      <c r="E75" t="n">
        <v>1</v>
      </c>
    </row>
    <row r="76">
      <c r="A76" t="inlineStr">
        <is>
          <t>c0153</t>
        </is>
      </c>
      <c r="D76" t="n">
        <v>1</v>
      </c>
    </row>
    <row r="77">
      <c r="A77" t="inlineStr">
        <is>
          <t>c0154</t>
        </is>
      </c>
      <c r="F77" t="n">
        <v>1</v>
      </c>
      <c r="G77" t="n">
        <v>1</v>
      </c>
    </row>
    <row r="78">
      <c r="A78" t="inlineStr">
        <is>
          <t>c0156</t>
        </is>
      </c>
      <c r="C78" t="n">
        <v>1</v>
      </c>
    </row>
    <row r="79">
      <c r="A79" t="inlineStr">
        <is>
          <t>c0160</t>
        </is>
      </c>
      <c r="H79" t="n">
        <v>1</v>
      </c>
    </row>
    <row r="80">
      <c r="A80" t="inlineStr">
        <is>
          <t>c0161</t>
        </is>
      </c>
      <c r="D80" t="n">
        <v>1</v>
      </c>
    </row>
    <row r="81">
      <c r="A81" t="inlineStr">
        <is>
          <t>c0162</t>
        </is>
      </c>
      <c r="H81" t="n">
        <v>1</v>
      </c>
    </row>
    <row r="82">
      <c r="A82" t="inlineStr">
        <is>
          <t>c0163</t>
        </is>
      </c>
      <c r="G82" t="n">
        <v>1</v>
      </c>
    </row>
    <row r="83">
      <c r="A83" t="inlineStr">
        <is>
          <t>c0164</t>
        </is>
      </c>
      <c r="D83" t="n">
        <v>1</v>
      </c>
      <c r="F83" t="n">
        <v>1</v>
      </c>
    </row>
    <row r="84">
      <c r="A84" t="inlineStr">
        <is>
          <t>c0165</t>
        </is>
      </c>
      <c r="H84" t="n">
        <v>1</v>
      </c>
    </row>
    <row r="85">
      <c r="A85" t="inlineStr">
        <is>
          <t>c0166</t>
        </is>
      </c>
      <c r="G85" t="n">
        <v>1</v>
      </c>
    </row>
    <row r="86">
      <c r="A86" t="inlineStr">
        <is>
          <t>c0168</t>
        </is>
      </c>
      <c r="G86" t="n">
        <v>1</v>
      </c>
    </row>
    <row r="87">
      <c r="A87" t="inlineStr">
        <is>
          <t>c0169</t>
        </is>
      </c>
      <c r="D87" t="n">
        <v>1</v>
      </c>
    </row>
    <row r="88">
      <c r="A88" t="inlineStr">
        <is>
          <t>c0171</t>
        </is>
      </c>
      <c r="D88" t="n">
        <v>1</v>
      </c>
    </row>
    <row r="89">
      <c r="A89" t="inlineStr">
        <is>
          <t>c0172</t>
        </is>
      </c>
      <c r="B89" t="n">
        <v>1</v>
      </c>
    </row>
    <row r="90">
      <c r="A90" t="inlineStr">
        <is>
          <t>c0173</t>
        </is>
      </c>
      <c r="F90" t="n">
        <v>1</v>
      </c>
    </row>
    <row r="91">
      <c r="A91" t="inlineStr">
        <is>
          <t>c0177</t>
        </is>
      </c>
      <c r="E91" t="n">
        <v>1</v>
      </c>
    </row>
    <row r="92">
      <c r="A92" t="inlineStr">
        <is>
          <t>c0180</t>
        </is>
      </c>
      <c r="E92" t="n">
        <v>1</v>
      </c>
    </row>
    <row r="93">
      <c r="A93" t="inlineStr">
        <is>
          <t>c0183</t>
        </is>
      </c>
      <c r="C93" t="n">
        <v>1</v>
      </c>
    </row>
    <row r="94">
      <c r="A94" t="inlineStr">
        <is>
          <t>c0185</t>
        </is>
      </c>
      <c r="E94" t="n">
        <v>1</v>
      </c>
    </row>
    <row r="95">
      <c r="A95" t="inlineStr">
        <is>
          <t>c0186</t>
        </is>
      </c>
      <c r="E95" t="n">
        <v>1</v>
      </c>
    </row>
    <row r="96">
      <c r="A96" t="inlineStr">
        <is>
          <t>c0188</t>
        </is>
      </c>
      <c r="E96" t="n">
        <v>1</v>
      </c>
    </row>
    <row r="97">
      <c r="A97" t="inlineStr">
        <is>
          <t>c0191</t>
        </is>
      </c>
      <c r="D97" t="n">
        <v>1</v>
      </c>
    </row>
    <row r="98">
      <c r="A98" t="inlineStr">
        <is>
          <t>c0192</t>
        </is>
      </c>
      <c r="H98" t="n">
        <v>1</v>
      </c>
    </row>
    <row r="99">
      <c r="A99" t="inlineStr">
        <is>
          <t>c0193</t>
        </is>
      </c>
      <c r="D99" t="n">
        <v>1</v>
      </c>
    </row>
    <row r="100">
      <c r="A100" t="inlineStr">
        <is>
          <t>c0196</t>
        </is>
      </c>
      <c r="E100" t="n">
        <v>1</v>
      </c>
    </row>
    <row r="101">
      <c r="A101" t="inlineStr">
        <is>
          <t>c0197</t>
        </is>
      </c>
      <c r="E101" t="n">
        <v>1</v>
      </c>
    </row>
    <row r="102">
      <c r="A102" t="inlineStr">
        <is>
          <t>c0199</t>
        </is>
      </c>
      <c r="C102" t="n">
        <v>1</v>
      </c>
    </row>
    <row r="103">
      <c r="A103" t="inlineStr">
        <is>
          <t>c0201</t>
        </is>
      </c>
      <c r="H103" t="n">
        <v>1</v>
      </c>
    </row>
    <row r="104">
      <c r="A104" t="inlineStr">
        <is>
          <t>c0202</t>
        </is>
      </c>
      <c r="C104" t="n">
        <v>1</v>
      </c>
    </row>
    <row r="105">
      <c r="A105" t="inlineStr">
        <is>
          <t>c0203</t>
        </is>
      </c>
      <c r="C105" t="n">
        <v>1</v>
      </c>
    </row>
    <row r="106">
      <c r="A106" t="inlineStr">
        <is>
          <t>c0204</t>
        </is>
      </c>
      <c r="C106" t="n">
        <v>1</v>
      </c>
    </row>
    <row r="107">
      <c r="A107" t="inlineStr">
        <is>
          <t>c0207</t>
        </is>
      </c>
      <c r="C107" t="n">
        <v>1</v>
      </c>
    </row>
    <row r="108">
      <c r="A108" t="inlineStr">
        <is>
          <t>c0208</t>
        </is>
      </c>
      <c r="H108" t="n">
        <v>1</v>
      </c>
    </row>
    <row r="109">
      <c r="A109" t="inlineStr">
        <is>
          <t>c0209</t>
        </is>
      </c>
      <c r="C109" t="n">
        <v>1</v>
      </c>
      <c r="D109" t="n">
        <v>1</v>
      </c>
    </row>
    <row r="110">
      <c r="A110" t="inlineStr">
        <is>
          <t>c0211</t>
        </is>
      </c>
      <c r="E110" t="n">
        <v>1</v>
      </c>
    </row>
    <row r="111">
      <c r="A111" t="inlineStr">
        <is>
          <t>c0213</t>
        </is>
      </c>
      <c r="E111" t="n">
        <v>1</v>
      </c>
    </row>
    <row r="112">
      <c r="A112" t="inlineStr">
        <is>
          <t>c0216</t>
        </is>
      </c>
      <c r="D112" t="n">
        <v>1</v>
      </c>
    </row>
    <row r="113">
      <c r="A113" t="inlineStr">
        <is>
          <t>c0219</t>
        </is>
      </c>
      <c r="H113" t="n">
        <v>1</v>
      </c>
    </row>
    <row r="114">
      <c r="A114" t="inlineStr">
        <is>
          <t>c0221</t>
        </is>
      </c>
      <c r="E114" t="n">
        <v>1</v>
      </c>
    </row>
    <row r="115">
      <c r="A115" t="inlineStr">
        <is>
          <t>c0222</t>
        </is>
      </c>
      <c r="D115" t="n">
        <v>1</v>
      </c>
    </row>
    <row r="116">
      <c r="A116" t="inlineStr">
        <is>
          <t>c0227</t>
        </is>
      </c>
      <c r="D116" t="n">
        <v>1</v>
      </c>
    </row>
    <row r="117">
      <c r="A117" t="inlineStr">
        <is>
          <t>c0228</t>
        </is>
      </c>
      <c r="D117" t="n">
        <v>1</v>
      </c>
    </row>
    <row r="118">
      <c r="A118" t="inlineStr">
        <is>
          <t>c0229</t>
        </is>
      </c>
      <c r="E118" t="n">
        <v>1</v>
      </c>
    </row>
    <row r="119">
      <c r="A119" t="inlineStr">
        <is>
          <t>c0231</t>
        </is>
      </c>
      <c r="H119" t="n">
        <v>1</v>
      </c>
    </row>
    <row r="120">
      <c r="A120" t="inlineStr">
        <is>
          <t>c0233</t>
        </is>
      </c>
      <c r="C120" t="n">
        <v>1</v>
      </c>
    </row>
    <row r="121">
      <c r="A121" t="inlineStr">
        <is>
          <t>c0235</t>
        </is>
      </c>
      <c r="E121" t="n">
        <v>1</v>
      </c>
    </row>
    <row r="122">
      <c r="A122" t="inlineStr">
        <is>
          <t>c0236</t>
        </is>
      </c>
      <c r="C122" t="n">
        <v>1</v>
      </c>
      <c r="H122" t="n">
        <v>1</v>
      </c>
    </row>
    <row r="123">
      <c r="A123" t="inlineStr">
        <is>
          <t>c0240</t>
        </is>
      </c>
      <c r="H123" t="n">
        <v>1</v>
      </c>
    </row>
    <row r="124">
      <c r="A124" t="inlineStr">
        <is>
          <t>c0241</t>
        </is>
      </c>
      <c r="H124" t="n">
        <v>1</v>
      </c>
    </row>
    <row r="125">
      <c r="A125" t="inlineStr">
        <is>
          <t>c0245</t>
        </is>
      </c>
      <c r="H125" t="n">
        <v>1</v>
      </c>
    </row>
    <row r="126">
      <c r="A126" t="inlineStr">
        <is>
          <t>c0247</t>
        </is>
      </c>
      <c r="D126" t="n">
        <v>1</v>
      </c>
    </row>
    <row r="127">
      <c r="A127" t="inlineStr">
        <is>
          <t>c0249</t>
        </is>
      </c>
      <c r="D127" t="n">
        <v>1</v>
      </c>
      <c r="E127" t="n">
        <v>1</v>
      </c>
    </row>
    <row r="128">
      <c r="A128" t="inlineStr">
        <is>
          <t>c0250</t>
        </is>
      </c>
      <c r="E128" t="n">
        <v>1</v>
      </c>
      <c r="H128" t="n">
        <v>1</v>
      </c>
    </row>
    <row r="129">
      <c r="A129" t="inlineStr">
        <is>
          <t>c0252</t>
        </is>
      </c>
      <c r="D129" t="n">
        <v>1</v>
      </c>
    </row>
    <row r="130">
      <c r="A130" t="inlineStr">
        <is>
          <t>c0253</t>
        </is>
      </c>
      <c r="E130" t="n">
        <v>1</v>
      </c>
    </row>
    <row r="131">
      <c r="A131" t="inlineStr">
        <is>
          <t>c0258</t>
        </is>
      </c>
      <c r="C131" t="n">
        <v>1</v>
      </c>
    </row>
    <row r="132">
      <c r="A132" t="inlineStr">
        <is>
          <t>c0261</t>
        </is>
      </c>
      <c r="C132" t="n">
        <v>1</v>
      </c>
    </row>
    <row r="133">
      <c r="A133" t="inlineStr">
        <is>
          <t>c0262</t>
        </is>
      </c>
      <c r="H133" t="n">
        <v>1</v>
      </c>
    </row>
    <row r="134">
      <c r="A134" t="inlineStr">
        <is>
          <t>c0266</t>
        </is>
      </c>
      <c r="C134" t="n">
        <v>1</v>
      </c>
    </row>
    <row r="135">
      <c r="A135" t="inlineStr">
        <is>
          <t>c0270</t>
        </is>
      </c>
      <c r="E135" t="n">
        <v>1</v>
      </c>
    </row>
    <row r="136">
      <c r="A136" t="inlineStr">
        <is>
          <t>c0271</t>
        </is>
      </c>
      <c r="C136" t="n">
        <v>1</v>
      </c>
    </row>
    <row r="137">
      <c r="A137" t="inlineStr">
        <is>
          <t>c0272</t>
        </is>
      </c>
      <c r="C137" t="n">
        <v>1</v>
      </c>
    </row>
    <row r="138">
      <c r="A138" t="inlineStr">
        <is>
          <t>c0274</t>
        </is>
      </c>
      <c r="C138" t="n">
        <v>1</v>
      </c>
    </row>
    <row r="139">
      <c r="A139" t="inlineStr">
        <is>
          <t>c0276</t>
        </is>
      </c>
      <c r="E139" t="n">
        <v>1</v>
      </c>
    </row>
    <row r="140">
      <c r="A140" t="inlineStr">
        <is>
          <t>c0277</t>
        </is>
      </c>
      <c r="E140" t="n">
        <v>1</v>
      </c>
    </row>
    <row r="141">
      <c r="A141" t="inlineStr">
        <is>
          <t>c0278</t>
        </is>
      </c>
      <c r="D141" t="n">
        <v>1</v>
      </c>
    </row>
    <row r="142">
      <c r="A142" t="inlineStr">
        <is>
          <t>c0279</t>
        </is>
      </c>
      <c r="H142" t="n">
        <v>1</v>
      </c>
    </row>
    <row r="143">
      <c r="A143" t="inlineStr">
        <is>
          <t>c0283</t>
        </is>
      </c>
      <c r="E143" t="n">
        <v>1</v>
      </c>
    </row>
    <row r="144">
      <c r="A144" t="inlineStr">
        <is>
          <t>c0285</t>
        </is>
      </c>
      <c r="D144" t="n">
        <v>1</v>
      </c>
    </row>
    <row r="145">
      <c r="A145" t="inlineStr">
        <is>
          <t>c0286</t>
        </is>
      </c>
      <c r="H145" t="n">
        <v>1</v>
      </c>
    </row>
    <row r="146">
      <c r="A146" t="inlineStr">
        <is>
          <t>c0291</t>
        </is>
      </c>
      <c r="C146" t="n">
        <v>1</v>
      </c>
      <c r="E146" t="n">
        <v>1</v>
      </c>
      <c r="H146" t="n">
        <v>1</v>
      </c>
    </row>
    <row r="147">
      <c r="A147" t="inlineStr">
        <is>
          <t>c0292</t>
        </is>
      </c>
      <c r="C147" t="n">
        <v>1</v>
      </c>
    </row>
    <row r="148">
      <c r="A148" t="inlineStr">
        <is>
          <t>c0293</t>
        </is>
      </c>
      <c r="E148" t="n">
        <v>1</v>
      </c>
    </row>
    <row r="149">
      <c r="A149" t="inlineStr">
        <is>
          <t>c0294</t>
        </is>
      </c>
      <c r="C149" t="n">
        <v>1</v>
      </c>
    </row>
    <row r="150">
      <c r="A150" t="inlineStr">
        <is>
          <t>c0295</t>
        </is>
      </c>
      <c r="H150" t="n">
        <v>1</v>
      </c>
    </row>
    <row r="151">
      <c r="A151" t="inlineStr">
        <is>
          <t>c0298</t>
        </is>
      </c>
      <c r="D151" t="n">
        <v>1</v>
      </c>
    </row>
    <row r="152">
      <c r="A152" t="inlineStr">
        <is>
          <t>c0299</t>
        </is>
      </c>
      <c r="E152" t="n">
        <v>1</v>
      </c>
    </row>
    <row r="153">
      <c r="A153" t="inlineStr">
        <is>
          <t>c0300</t>
        </is>
      </c>
      <c r="C153" t="n">
        <v>1</v>
      </c>
    </row>
    <row r="154">
      <c r="A154" t="inlineStr">
        <is>
          <t>c0301</t>
        </is>
      </c>
      <c r="C154" t="n">
        <v>1</v>
      </c>
      <c r="D154" t="n">
        <v>1</v>
      </c>
    </row>
    <row r="155">
      <c r="A155" t="inlineStr">
        <is>
          <t>c0302</t>
        </is>
      </c>
      <c r="C155" t="n">
        <v>1</v>
      </c>
    </row>
    <row r="156">
      <c r="A156" t="inlineStr">
        <is>
          <t>c0303</t>
        </is>
      </c>
      <c r="B156" t="n">
        <v>1</v>
      </c>
    </row>
    <row r="157">
      <c r="A157" t="inlineStr">
        <is>
          <t>c0304</t>
        </is>
      </c>
      <c r="C157" t="n">
        <v>1</v>
      </c>
      <c r="E157" t="n">
        <v>1</v>
      </c>
    </row>
    <row r="158">
      <c r="A158" t="inlineStr">
        <is>
          <t>c0307</t>
        </is>
      </c>
      <c r="B158" t="n">
        <v>1</v>
      </c>
    </row>
    <row r="159">
      <c r="A159" t="inlineStr">
        <is>
          <t>c0308</t>
        </is>
      </c>
      <c r="F159" t="n">
        <v>1</v>
      </c>
    </row>
    <row r="160">
      <c r="A160" t="inlineStr">
        <is>
          <t>c0309</t>
        </is>
      </c>
      <c r="G160" t="n">
        <v>1</v>
      </c>
    </row>
    <row r="161">
      <c r="A161" t="inlineStr">
        <is>
          <t>c0310</t>
        </is>
      </c>
      <c r="E161" t="n">
        <v>1</v>
      </c>
    </row>
    <row r="162">
      <c r="A162" t="inlineStr">
        <is>
          <t>c0311</t>
        </is>
      </c>
      <c r="B162" t="n">
        <v>1</v>
      </c>
    </row>
    <row r="163">
      <c r="A163" t="inlineStr">
        <is>
          <t>c0312</t>
        </is>
      </c>
      <c r="B163" t="n">
        <v>1</v>
      </c>
    </row>
    <row r="164">
      <c r="A164" t="inlineStr">
        <is>
          <t>c0313</t>
        </is>
      </c>
      <c r="E164" t="n">
        <v>1</v>
      </c>
    </row>
    <row r="165">
      <c r="A165" t="inlineStr">
        <is>
          <t>c0314</t>
        </is>
      </c>
      <c r="D165" t="n">
        <v>1</v>
      </c>
    </row>
    <row r="166">
      <c r="A166" t="inlineStr">
        <is>
          <t>c0315</t>
        </is>
      </c>
      <c r="D166" t="n">
        <v>1</v>
      </c>
    </row>
    <row r="167">
      <c r="A167" t="inlineStr">
        <is>
          <t>c0317</t>
        </is>
      </c>
      <c r="B167" t="n">
        <v>1</v>
      </c>
    </row>
    <row r="168">
      <c r="A168" t="inlineStr">
        <is>
          <t>c0318</t>
        </is>
      </c>
      <c r="C168" t="n">
        <v>1</v>
      </c>
      <c r="D168" t="n">
        <v>1</v>
      </c>
      <c r="F168" t="n">
        <v>1</v>
      </c>
    </row>
    <row r="169">
      <c r="A169" t="inlineStr">
        <is>
          <t>c0319</t>
        </is>
      </c>
      <c r="D169" t="n">
        <v>1</v>
      </c>
      <c r="F169" t="n">
        <v>1</v>
      </c>
    </row>
    <row r="170">
      <c r="A170" t="inlineStr">
        <is>
          <t>c0320</t>
        </is>
      </c>
      <c r="F170" t="n">
        <v>1</v>
      </c>
    </row>
    <row r="171">
      <c r="A171" t="inlineStr">
        <is>
          <t>c0321</t>
        </is>
      </c>
      <c r="B171" t="n">
        <v>1</v>
      </c>
    </row>
    <row r="172">
      <c r="A172" t="inlineStr">
        <is>
          <t>c0322</t>
        </is>
      </c>
      <c r="C172" t="n">
        <v>8</v>
      </c>
      <c r="D172" t="n">
        <v>6</v>
      </c>
      <c r="E172" t="n">
        <v>10</v>
      </c>
      <c r="H172" t="n">
        <v>10</v>
      </c>
    </row>
    <row r="173">
      <c r="A173" t="inlineStr">
        <is>
          <t>c0323</t>
        </is>
      </c>
      <c r="E173" t="n">
        <v>1</v>
      </c>
    </row>
    <row r="174">
      <c r="A174" t="inlineStr">
        <is>
          <t>c0324</t>
        </is>
      </c>
      <c r="B174" t="n">
        <v>1</v>
      </c>
    </row>
    <row r="175">
      <c r="A175" t="inlineStr">
        <is>
          <t>c0325</t>
        </is>
      </c>
      <c r="C175" t="n">
        <v>1</v>
      </c>
    </row>
    <row r="176">
      <c r="A176" t="inlineStr">
        <is>
          <t>c0326</t>
        </is>
      </c>
      <c r="B176" t="n">
        <v>1</v>
      </c>
    </row>
    <row r="177">
      <c r="A177" t="inlineStr">
        <is>
          <t>c0329</t>
        </is>
      </c>
      <c r="D177" t="n">
        <v>1</v>
      </c>
      <c r="E177" t="n">
        <v>1</v>
      </c>
    </row>
    <row r="178">
      <c r="A178" t="inlineStr">
        <is>
          <t>c0330</t>
        </is>
      </c>
      <c r="D178" t="n">
        <v>1</v>
      </c>
    </row>
    <row r="179">
      <c r="A179" t="inlineStr">
        <is>
          <t>c0331</t>
        </is>
      </c>
      <c r="C179" t="n">
        <v>1</v>
      </c>
    </row>
    <row r="180">
      <c r="A180" t="inlineStr">
        <is>
          <t>c0332</t>
        </is>
      </c>
      <c r="B180" t="n">
        <v>1</v>
      </c>
    </row>
    <row r="181">
      <c r="A181" t="inlineStr">
        <is>
          <t>c0333</t>
        </is>
      </c>
      <c r="B181" t="n">
        <v>1</v>
      </c>
    </row>
    <row r="182">
      <c r="A182" t="inlineStr">
        <is>
          <t>c0334</t>
        </is>
      </c>
      <c r="C182" t="n">
        <v>7</v>
      </c>
      <c r="D182" t="n">
        <v>7</v>
      </c>
      <c r="H182" t="n">
        <v>13</v>
      </c>
    </row>
    <row r="183">
      <c r="A183" t="inlineStr">
        <is>
          <t>c0335</t>
        </is>
      </c>
      <c r="E183" t="n">
        <v>1</v>
      </c>
      <c r="F183" t="n">
        <v>1</v>
      </c>
    </row>
    <row r="184">
      <c r="A184" t="inlineStr">
        <is>
          <t>c0336</t>
        </is>
      </c>
      <c r="D184" t="n">
        <v>1</v>
      </c>
    </row>
    <row r="185">
      <c r="A185" t="inlineStr">
        <is>
          <t>c0337</t>
        </is>
      </c>
      <c r="G185" t="n">
        <v>1</v>
      </c>
    </row>
    <row r="186">
      <c r="A186" t="inlineStr">
        <is>
          <t>c0339</t>
        </is>
      </c>
      <c r="D186" t="n">
        <v>1</v>
      </c>
    </row>
    <row r="187">
      <c r="A187" t="inlineStr">
        <is>
          <t>c0341</t>
        </is>
      </c>
      <c r="B187" t="n">
        <v>1</v>
      </c>
    </row>
    <row r="188">
      <c r="A188" t="inlineStr">
        <is>
          <t>c0342</t>
        </is>
      </c>
      <c r="C188" t="n">
        <v>1</v>
      </c>
    </row>
    <row r="189">
      <c r="A189" t="inlineStr">
        <is>
          <t>c0343</t>
        </is>
      </c>
      <c r="C189" t="n">
        <v>1</v>
      </c>
      <c r="D189" t="n">
        <v>1</v>
      </c>
    </row>
    <row r="190">
      <c r="A190" t="inlineStr">
        <is>
          <t>c0344</t>
        </is>
      </c>
      <c r="D190" t="n">
        <v>1</v>
      </c>
      <c r="H190" t="n">
        <v>1</v>
      </c>
    </row>
    <row r="191">
      <c r="A191" t="inlineStr">
        <is>
          <t>c0345</t>
        </is>
      </c>
      <c r="B191" t="n">
        <v>1</v>
      </c>
    </row>
    <row r="192">
      <c r="A192" t="inlineStr">
        <is>
          <t>c0346</t>
        </is>
      </c>
      <c r="B192" t="n">
        <v>8</v>
      </c>
      <c r="G192" t="n">
        <v>33</v>
      </c>
    </row>
    <row r="193">
      <c r="A193" t="inlineStr">
        <is>
          <t>c0347</t>
        </is>
      </c>
      <c r="E193" t="n">
        <v>1</v>
      </c>
    </row>
    <row r="194">
      <c r="A194" t="inlineStr">
        <is>
          <t>c0350</t>
        </is>
      </c>
      <c r="F194" t="n">
        <v>1</v>
      </c>
    </row>
    <row r="195">
      <c r="A195" t="inlineStr">
        <is>
          <t>c0351</t>
        </is>
      </c>
      <c r="F195" t="n">
        <v>1</v>
      </c>
    </row>
    <row r="196">
      <c r="A196" t="inlineStr">
        <is>
          <t>c0352</t>
        </is>
      </c>
      <c r="C196" t="n">
        <v>1</v>
      </c>
    </row>
    <row r="197">
      <c r="A197" t="inlineStr">
        <is>
          <t>c0353</t>
        </is>
      </c>
      <c r="G197" t="n">
        <v>1</v>
      </c>
    </row>
    <row r="198">
      <c r="A198" t="inlineStr">
        <is>
          <t>c0354</t>
        </is>
      </c>
      <c r="B198" t="n">
        <v>9</v>
      </c>
      <c r="C198" t="n">
        <v>6</v>
      </c>
      <c r="D198" t="n">
        <v>5</v>
      </c>
      <c r="E198" t="n">
        <v>9</v>
      </c>
      <c r="F198" t="n">
        <v>17</v>
      </c>
    </row>
    <row r="199">
      <c r="A199" t="inlineStr">
        <is>
          <t>c0355</t>
        </is>
      </c>
      <c r="E199" t="n">
        <v>1</v>
      </c>
    </row>
    <row r="200">
      <c r="A200" t="inlineStr">
        <is>
          <t>c0357</t>
        </is>
      </c>
      <c r="B200" t="n">
        <v>1</v>
      </c>
    </row>
    <row r="201">
      <c r="A201" t="inlineStr">
        <is>
          <t>c0358</t>
        </is>
      </c>
      <c r="C201" t="n">
        <v>1</v>
      </c>
      <c r="G201" t="n">
        <v>1</v>
      </c>
    </row>
    <row r="202">
      <c r="A202" t="inlineStr">
        <is>
          <t>c0360</t>
        </is>
      </c>
      <c r="B202" t="n">
        <v>1</v>
      </c>
    </row>
    <row r="203">
      <c r="A203" t="inlineStr">
        <is>
          <t>c0361</t>
        </is>
      </c>
      <c r="B203" t="n">
        <v>1</v>
      </c>
    </row>
    <row r="204">
      <c r="A204" t="inlineStr">
        <is>
          <t>c0362</t>
        </is>
      </c>
      <c r="E204" t="n">
        <v>1</v>
      </c>
    </row>
    <row r="205">
      <c r="A205" t="inlineStr">
        <is>
          <t>c0363</t>
        </is>
      </c>
      <c r="F205" t="n">
        <v>1</v>
      </c>
    </row>
    <row r="206">
      <c r="A206" t="inlineStr">
        <is>
          <t>c0364</t>
        </is>
      </c>
      <c r="C206" t="n">
        <v>1</v>
      </c>
    </row>
    <row r="207">
      <c r="A207" t="inlineStr">
        <is>
          <t>c0365</t>
        </is>
      </c>
      <c r="C207" t="n">
        <v>1</v>
      </c>
      <c r="E207" t="n">
        <v>1</v>
      </c>
    </row>
    <row r="208">
      <c r="A208" t="inlineStr">
        <is>
          <t>c0368</t>
        </is>
      </c>
      <c r="C208" t="n">
        <v>1</v>
      </c>
      <c r="D208" t="n">
        <v>1</v>
      </c>
    </row>
    <row r="209">
      <c r="A209" t="inlineStr">
        <is>
          <t>c0369</t>
        </is>
      </c>
      <c r="B209" t="n">
        <v>1</v>
      </c>
    </row>
    <row r="210">
      <c r="A210" t="inlineStr">
        <is>
          <t>c0370</t>
        </is>
      </c>
      <c r="G210" t="n">
        <v>1</v>
      </c>
    </row>
    <row r="211">
      <c r="A211" t="inlineStr">
        <is>
          <t>c0371</t>
        </is>
      </c>
      <c r="B211" t="n">
        <v>1</v>
      </c>
    </row>
    <row r="212">
      <c r="A212" t="inlineStr">
        <is>
          <t>c0372</t>
        </is>
      </c>
      <c r="D212" t="n">
        <v>1</v>
      </c>
      <c r="E212" t="n">
        <v>1</v>
      </c>
    </row>
    <row r="213">
      <c r="A213" t="inlineStr">
        <is>
          <t>c0373</t>
        </is>
      </c>
      <c r="B213" t="n">
        <v>1</v>
      </c>
    </row>
    <row r="214">
      <c r="A214" t="inlineStr">
        <is>
          <t>c0374</t>
        </is>
      </c>
      <c r="D214" t="n">
        <v>3</v>
      </c>
      <c r="E214" t="n">
        <v>5</v>
      </c>
      <c r="F214" t="n">
        <v>11</v>
      </c>
      <c r="H214" t="n">
        <v>14</v>
      </c>
    </row>
    <row r="215">
      <c r="A215" t="inlineStr">
        <is>
          <t>c0375</t>
        </is>
      </c>
      <c r="D215" t="n">
        <v>1</v>
      </c>
    </row>
    <row r="216">
      <c r="A216" t="inlineStr">
        <is>
          <t>c0376</t>
        </is>
      </c>
      <c r="F216" t="n">
        <v>1</v>
      </c>
    </row>
    <row r="217">
      <c r="A217" t="inlineStr">
        <is>
          <t>c0378</t>
        </is>
      </c>
      <c r="B217" t="n">
        <v>1</v>
      </c>
    </row>
    <row r="218">
      <c r="A218" t="inlineStr">
        <is>
          <t>c0379</t>
        </is>
      </c>
      <c r="C218" t="n">
        <v>1</v>
      </c>
    </row>
    <row r="219">
      <c r="A219" t="inlineStr">
        <is>
          <t>c0380</t>
        </is>
      </c>
      <c r="C219" t="n">
        <v>1</v>
      </c>
      <c r="D219" t="n">
        <v>1</v>
      </c>
    </row>
    <row r="220">
      <c r="A220" t="inlineStr">
        <is>
          <t>c0382</t>
        </is>
      </c>
      <c r="E220" t="n">
        <v>1</v>
      </c>
    </row>
    <row r="221">
      <c r="A221" t="inlineStr">
        <is>
          <t>c0383</t>
        </is>
      </c>
      <c r="B221" t="n">
        <v>1</v>
      </c>
    </row>
    <row r="222">
      <c r="A222" t="inlineStr">
        <is>
          <t>c0384</t>
        </is>
      </c>
      <c r="F222" t="n">
        <v>1</v>
      </c>
    </row>
    <row r="223">
      <c r="A223" t="inlineStr">
        <is>
          <t>c0385</t>
        </is>
      </c>
      <c r="B223" t="n">
        <v>1</v>
      </c>
    </row>
    <row r="224">
      <c r="A224" t="inlineStr">
        <is>
          <t>c0387</t>
        </is>
      </c>
      <c r="F224" t="n">
        <v>1</v>
      </c>
    </row>
    <row r="225">
      <c r="A225" t="inlineStr">
        <is>
          <t>c0392</t>
        </is>
      </c>
      <c r="D225" t="n">
        <v>1</v>
      </c>
    </row>
    <row r="226">
      <c r="A226" t="inlineStr">
        <is>
          <t>c0395</t>
        </is>
      </c>
      <c r="C226" t="n">
        <v>1</v>
      </c>
    </row>
    <row r="227">
      <c r="A227" t="inlineStr">
        <is>
          <t>c0398</t>
        </is>
      </c>
      <c r="D227" t="n">
        <v>1</v>
      </c>
    </row>
    <row r="228">
      <c r="A228" t="inlineStr">
        <is>
          <t>c0402</t>
        </is>
      </c>
      <c r="E228" t="n">
        <v>1</v>
      </c>
    </row>
    <row r="229">
      <c r="A229" t="inlineStr">
        <is>
          <t>c0403</t>
        </is>
      </c>
      <c r="D229" t="n">
        <v>1</v>
      </c>
    </row>
    <row r="230">
      <c r="A230" t="inlineStr">
        <is>
          <t>c0404</t>
        </is>
      </c>
      <c r="E230" t="n">
        <v>1</v>
      </c>
    </row>
    <row r="231">
      <c r="A231" t="inlineStr">
        <is>
          <t>c0411</t>
        </is>
      </c>
      <c r="B231" t="n">
        <v>1</v>
      </c>
    </row>
    <row r="232">
      <c r="A232" t="inlineStr">
        <is>
          <t>c0416</t>
        </is>
      </c>
      <c r="C232" t="n">
        <v>1</v>
      </c>
    </row>
    <row r="233">
      <c r="A233" t="inlineStr">
        <is>
          <t>c0418</t>
        </is>
      </c>
      <c r="C233" t="n">
        <v>1</v>
      </c>
    </row>
    <row r="234">
      <c r="A234" t="inlineStr">
        <is>
          <t>c0419</t>
        </is>
      </c>
      <c r="C234" t="n">
        <v>1</v>
      </c>
    </row>
    <row r="235">
      <c r="A235" t="inlineStr">
        <is>
          <t>c0421</t>
        </is>
      </c>
      <c r="F235" t="n">
        <v>1</v>
      </c>
    </row>
    <row r="236">
      <c r="A236" t="inlineStr">
        <is>
          <t>c0422</t>
        </is>
      </c>
      <c r="F236" t="n">
        <v>1</v>
      </c>
    </row>
    <row r="237">
      <c r="A237" t="inlineStr">
        <is>
          <t>c0425</t>
        </is>
      </c>
      <c r="B237" t="n">
        <v>1</v>
      </c>
    </row>
    <row r="238">
      <c r="A238" t="inlineStr">
        <is>
          <t>c0426</t>
        </is>
      </c>
      <c r="C238" t="n">
        <v>1</v>
      </c>
    </row>
    <row r="239">
      <c r="A239" t="inlineStr">
        <is>
          <t>c0427</t>
        </is>
      </c>
      <c r="D239" t="n">
        <v>1</v>
      </c>
      <c r="E239" t="n">
        <v>1</v>
      </c>
    </row>
    <row r="240">
      <c r="A240" t="inlineStr">
        <is>
          <t>c0429</t>
        </is>
      </c>
      <c r="E240" t="n">
        <v>1</v>
      </c>
    </row>
    <row r="241">
      <c r="A241" t="inlineStr">
        <is>
          <t>c0431</t>
        </is>
      </c>
      <c r="F241" t="n">
        <v>1</v>
      </c>
    </row>
    <row r="242">
      <c r="A242" t="inlineStr">
        <is>
          <t>c0435</t>
        </is>
      </c>
      <c r="B242" t="n">
        <v>1</v>
      </c>
    </row>
    <row r="243">
      <c r="A243" t="inlineStr">
        <is>
          <t>c0437</t>
        </is>
      </c>
      <c r="C243" t="n">
        <v>1</v>
      </c>
    </row>
    <row r="244">
      <c r="A244" t="inlineStr">
        <is>
          <t>c0441</t>
        </is>
      </c>
      <c r="E244" t="n">
        <v>1</v>
      </c>
    </row>
    <row r="245">
      <c r="A245" t="inlineStr">
        <is>
          <t>c0443</t>
        </is>
      </c>
      <c r="F245" t="n">
        <v>1</v>
      </c>
    </row>
    <row r="246">
      <c r="A246" t="inlineStr">
        <is>
          <t>c0446</t>
        </is>
      </c>
      <c r="F246" t="n">
        <v>1</v>
      </c>
    </row>
    <row r="247">
      <c r="A247" t="inlineStr">
        <is>
          <t>c0447</t>
        </is>
      </c>
      <c r="B247" t="n">
        <v>1</v>
      </c>
    </row>
    <row r="248">
      <c r="A248" t="inlineStr">
        <is>
          <t>c0448</t>
        </is>
      </c>
      <c r="E248" t="n">
        <v>1</v>
      </c>
    </row>
    <row r="249">
      <c r="A249" t="inlineStr">
        <is>
          <t>c0449</t>
        </is>
      </c>
      <c r="E249" t="n">
        <v>1</v>
      </c>
    </row>
    <row r="250">
      <c r="A250" t="inlineStr">
        <is>
          <t>c0451</t>
        </is>
      </c>
      <c r="F250" t="n">
        <v>1</v>
      </c>
    </row>
    <row r="251">
      <c r="A251" t="inlineStr">
        <is>
          <t>c0453</t>
        </is>
      </c>
      <c r="C251" t="n">
        <v>1</v>
      </c>
    </row>
    <row r="252">
      <c r="A252" t="inlineStr">
        <is>
          <t>c0455</t>
        </is>
      </c>
      <c r="F252" t="n">
        <v>1</v>
      </c>
    </row>
    <row r="253">
      <c r="A253" t="inlineStr">
        <is>
          <t>c0459</t>
        </is>
      </c>
      <c r="D253" t="n">
        <v>1</v>
      </c>
    </row>
    <row r="254">
      <c r="A254" t="inlineStr">
        <is>
          <t>c0461</t>
        </is>
      </c>
      <c r="B254" t="n">
        <v>1</v>
      </c>
    </row>
    <row r="255">
      <c r="A255" t="inlineStr">
        <is>
          <t>c0462</t>
        </is>
      </c>
      <c r="B255" t="n">
        <v>1</v>
      </c>
    </row>
    <row r="256">
      <c r="A256" t="inlineStr">
        <is>
          <t>c0464</t>
        </is>
      </c>
      <c r="B256" t="n">
        <v>1</v>
      </c>
    </row>
    <row r="257">
      <c r="A257" t="inlineStr">
        <is>
          <t>c0465</t>
        </is>
      </c>
      <c r="H257" t="n">
        <v>1</v>
      </c>
    </row>
    <row r="258">
      <c r="A258" t="inlineStr">
        <is>
          <t>c0466</t>
        </is>
      </c>
      <c r="D258" t="n">
        <v>1</v>
      </c>
    </row>
    <row r="259">
      <c r="A259" t="inlineStr">
        <is>
          <t>c0468</t>
        </is>
      </c>
      <c r="C259" t="n">
        <v>1</v>
      </c>
      <c r="H259" t="n">
        <v>1</v>
      </c>
    </row>
    <row r="260">
      <c r="A260" t="inlineStr">
        <is>
          <t>c0469</t>
        </is>
      </c>
      <c r="C260" t="n">
        <v>1</v>
      </c>
    </row>
    <row r="261">
      <c r="A261" t="inlineStr">
        <is>
          <t>c0471</t>
        </is>
      </c>
      <c r="D261" t="n">
        <v>1</v>
      </c>
    </row>
    <row r="262">
      <c r="A262" t="inlineStr">
        <is>
          <t>c0479</t>
        </is>
      </c>
      <c r="H262" t="n">
        <v>1</v>
      </c>
    </row>
    <row r="263">
      <c r="A263" t="inlineStr">
        <is>
          <t>c0480</t>
        </is>
      </c>
      <c r="E263" t="n">
        <v>1</v>
      </c>
    </row>
    <row r="264">
      <c r="A264" t="inlineStr">
        <is>
          <t>c0481</t>
        </is>
      </c>
      <c r="B264" t="n">
        <v>1</v>
      </c>
    </row>
    <row r="265">
      <c r="A265" t="inlineStr">
        <is>
          <t>c0482</t>
        </is>
      </c>
      <c r="B265" t="n">
        <v>1</v>
      </c>
    </row>
    <row r="266">
      <c r="A266" t="inlineStr">
        <is>
          <t>c0483</t>
        </is>
      </c>
      <c r="B266" t="n">
        <v>1</v>
      </c>
    </row>
    <row r="267">
      <c r="A267" t="inlineStr">
        <is>
          <t>c0484</t>
        </is>
      </c>
      <c r="B267" t="n">
        <v>1</v>
      </c>
    </row>
    <row r="268">
      <c r="A268" t="inlineStr">
        <is>
          <t>c0487</t>
        </is>
      </c>
      <c r="B268" t="n">
        <v>1</v>
      </c>
    </row>
    <row r="269">
      <c r="A269" t="inlineStr">
        <is>
          <t>c0488</t>
        </is>
      </c>
      <c r="C269" t="n">
        <v>1</v>
      </c>
    </row>
    <row r="270">
      <c r="A270" t="inlineStr">
        <is>
          <t>c0491</t>
        </is>
      </c>
      <c r="B270" t="n">
        <v>1</v>
      </c>
    </row>
    <row r="271">
      <c r="A271" t="inlineStr">
        <is>
          <t>c0494</t>
        </is>
      </c>
      <c r="C271" t="n">
        <v>1</v>
      </c>
    </row>
    <row r="272">
      <c r="A272" t="inlineStr">
        <is>
          <t>c0495</t>
        </is>
      </c>
      <c r="E272" t="n">
        <v>1</v>
      </c>
    </row>
    <row r="273">
      <c r="A273" t="inlineStr">
        <is>
          <t>c0498</t>
        </is>
      </c>
      <c r="F273" t="n">
        <v>1</v>
      </c>
    </row>
    <row r="274">
      <c r="A274" t="inlineStr">
        <is>
          <t>c0499</t>
        </is>
      </c>
      <c r="E274" t="n">
        <v>1</v>
      </c>
    </row>
    <row r="275">
      <c r="A275" t="inlineStr">
        <is>
          <t>c0500</t>
        </is>
      </c>
      <c r="E275" t="n">
        <v>1</v>
      </c>
    </row>
    <row r="276">
      <c r="A276" t="inlineStr">
        <is>
          <t>c0501</t>
        </is>
      </c>
      <c r="F276" t="n">
        <v>1</v>
      </c>
    </row>
    <row r="277">
      <c r="A277" t="inlineStr">
        <is>
          <t>c0503</t>
        </is>
      </c>
      <c r="C277" t="n">
        <v>1</v>
      </c>
    </row>
    <row r="278">
      <c r="A278" t="inlineStr">
        <is>
          <t>c0506</t>
        </is>
      </c>
      <c r="C278" t="n">
        <v>1</v>
      </c>
    </row>
    <row r="279">
      <c r="A279" t="inlineStr">
        <is>
          <t>c0507</t>
        </is>
      </c>
      <c r="F279" t="n">
        <v>1</v>
      </c>
    </row>
    <row r="280">
      <c r="A280" t="inlineStr">
        <is>
          <t>c0510</t>
        </is>
      </c>
      <c r="B280" t="n">
        <v>1</v>
      </c>
    </row>
    <row r="281">
      <c r="A281" t="inlineStr">
        <is>
          <t>c0511</t>
        </is>
      </c>
      <c r="D281" t="n">
        <v>1</v>
      </c>
    </row>
    <row r="282">
      <c r="A282" t="inlineStr">
        <is>
          <t>c0512</t>
        </is>
      </c>
      <c r="H282" t="n">
        <v>1</v>
      </c>
    </row>
    <row r="283">
      <c r="A283" t="inlineStr">
        <is>
          <t>c0514</t>
        </is>
      </c>
      <c r="E283" t="n">
        <v>1</v>
      </c>
    </row>
    <row r="284">
      <c r="A284" t="inlineStr">
        <is>
          <t>c0517</t>
        </is>
      </c>
      <c r="B284" t="n">
        <v>1</v>
      </c>
    </row>
    <row r="285">
      <c r="A285" t="inlineStr">
        <is>
          <t>c0518</t>
        </is>
      </c>
      <c r="E285" t="n">
        <v>1</v>
      </c>
    </row>
    <row r="286">
      <c r="A286" t="inlineStr">
        <is>
          <t>c0520</t>
        </is>
      </c>
      <c r="D286" t="n">
        <v>1</v>
      </c>
    </row>
    <row r="287">
      <c r="A287" t="inlineStr">
        <is>
          <t>c0524</t>
        </is>
      </c>
      <c r="C287" t="n">
        <v>1</v>
      </c>
    </row>
    <row r="288">
      <c r="A288" t="inlineStr">
        <is>
          <t>c0528</t>
        </is>
      </c>
      <c r="G288" t="n">
        <v>1</v>
      </c>
    </row>
    <row r="289">
      <c r="A289" t="inlineStr">
        <is>
          <t>c0529</t>
        </is>
      </c>
      <c r="B289" t="n">
        <v>1</v>
      </c>
    </row>
    <row r="290">
      <c r="A290" t="inlineStr">
        <is>
          <t>c0533</t>
        </is>
      </c>
      <c r="G290" t="n">
        <v>1</v>
      </c>
    </row>
    <row r="291">
      <c r="A291" t="inlineStr">
        <is>
          <t>c0536</t>
        </is>
      </c>
      <c r="G291" t="n">
        <v>1</v>
      </c>
    </row>
    <row r="292">
      <c r="A292" t="inlineStr">
        <is>
          <t>c0538</t>
        </is>
      </c>
      <c r="G292" t="n">
        <v>1</v>
      </c>
    </row>
    <row r="293">
      <c r="A293" t="inlineStr">
        <is>
          <t>c0539</t>
        </is>
      </c>
      <c r="B293" t="n">
        <v>1</v>
      </c>
    </row>
    <row r="294">
      <c r="A294" t="inlineStr">
        <is>
          <t>c0550</t>
        </is>
      </c>
      <c r="G294" t="n">
        <v>1</v>
      </c>
    </row>
    <row r="295">
      <c r="A295" t="inlineStr">
        <is>
          <t>c0551</t>
        </is>
      </c>
      <c r="B295" t="n">
        <v>1</v>
      </c>
    </row>
    <row r="296">
      <c r="A296" t="inlineStr">
        <is>
          <t>c0553</t>
        </is>
      </c>
      <c r="B296" t="n">
        <v>1</v>
      </c>
    </row>
    <row r="297">
      <c r="A297" t="inlineStr">
        <is>
          <t>c0555</t>
        </is>
      </c>
      <c r="G297" t="n">
        <v>1</v>
      </c>
    </row>
    <row r="298">
      <c r="A298" t="inlineStr">
        <is>
          <t>c0557</t>
        </is>
      </c>
      <c r="G298" t="n">
        <v>1</v>
      </c>
    </row>
    <row r="299">
      <c r="A299" t="inlineStr">
        <is>
          <t>c0559</t>
        </is>
      </c>
      <c r="G299" t="n">
        <v>1</v>
      </c>
    </row>
    <row r="300">
      <c r="A300" t="inlineStr">
        <is>
          <t>c0560</t>
        </is>
      </c>
      <c r="B300" t="n">
        <v>1</v>
      </c>
    </row>
    <row r="301">
      <c r="A301" t="inlineStr">
        <is>
          <t>c0564</t>
        </is>
      </c>
      <c r="G301" t="n">
        <v>1</v>
      </c>
    </row>
    <row r="302">
      <c r="A302" t="inlineStr">
        <is>
          <t>c0566</t>
        </is>
      </c>
      <c r="G302" t="n">
        <v>1</v>
      </c>
    </row>
    <row r="303">
      <c r="A303" t="inlineStr">
        <is>
          <t>c0570</t>
        </is>
      </c>
      <c r="G303" t="n">
        <v>1</v>
      </c>
    </row>
    <row r="304">
      <c r="A304" t="inlineStr">
        <is>
          <t>c0571</t>
        </is>
      </c>
      <c r="B304" t="n">
        <v>1</v>
      </c>
    </row>
    <row r="305">
      <c r="A305" t="inlineStr">
        <is>
          <t>c0572</t>
        </is>
      </c>
      <c r="G305" t="n">
        <v>1</v>
      </c>
    </row>
    <row r="306">
      <c r="A306" t="inlineStr">
        <is>
          <t>c0579</t>
        </is>
      </c>
      <c r="B306" t="n">
        <v>1</v>
      </c>
    </row>
    <row r="307">
      <c r="A307" t="inlineStr">
        <is>
          <t>c0580</t>
        </is>
      </c>
      <c r="G307" t="n">
        <v>1</v>
      </c>
    </row>
    <row r="308">
      <c r="A308" t="inlineStr">
        <is>
          <t>c0582</t>
        </is>
      </c>
      <c r="B308" t="n">
        <v>1</v>
      </c>
    </row>
    <row r="309">
      <c r="A309" t="inlineStr">
        <is>
          <t>c0583</t>
        </is>
      </c>
      <c r="B309" t="n">
        <v>1</v>
      </c>
    </row>
    <row r="310">
      <c r="A310" t="inlineStr">
        <is>
          <t>c0586</t>
        </is>
      </c>
      <c r="G310" t="n">
        <v>1</v>
      </c>
    </row>
    <row r="311">
      <c r="A311" t="inlineStr">
        <is>
          <t>c0587</t>
        </is>
      </c>
      <c r="G311" t="n">
        <v>1</v>
      </c>
    </row>
    <row r="312">
      <c r="A312" t="inlineStr">
        <is>
          <t>c0588</t>
        </is>
      </c>
      <c r="G312" t="n">
        <v>1</v>
      </c>
    </row>
    <row r="313">
      <c r="A313" t="inlineStr">
        <is>
          <t>c0589</t>
        </is>
      </c>
      <c r="G313" t="n">
        <v>1</v>
      </c>
    </row>
    <row r="314">
      <c r="A314" t="inlineStr">
        <is>
          <t>c0590</t>
        </is>
      </c>
      <c r="G314" t="n">
        <v>1</v>
      </c>
    </row>
    <row r="315">
      <c r="A315" t="inlineStr">
        <is>
          <t>c0592</t>
        </is>
      </c>
      <c r="G315" t="n">
        <v>1</v>
      </c>
    </row>
    <row r="316">
      <c r="A316" t="inlineStr">
        <is>
          <t>c0596</t>
        </is>
      </c>
      <c r="G316" t="n">
        <v>1</v>
      </c>
    </row>
    <row r="317">
      <c r="A317" t="inlineStr">
        <is>
          <t>c0597</t>
        </is>
      </c>
      <c r="G317" t="n">
        <v>1</v>
      </c>
    </row>
    <row r="318">
      <c r="A318" t="inlineStr">
        <is>
          <t>c0599</t>
        </is>
      </c>
      <c r="G318" t="n">
        <v>1</v>
      </c>
    </row>
    <row r="319">
      <c r="A319" t="inlineStr">
        <is>
          <t>c0600</t>
        </is>
      </c>
      <c r="G319" t="n">
        <v>1</v>
      </c>
    </row>
    <row r="320">
      <c r="A320" t="inlineStr">
        <is>
          <t>c0601</t>
        </is>
      </c>
      <c r="G320" t="n">
        <v>1</v>
      </c>
    </row>
    <row r="321">
      <c r="A321" t="inlineStr">
        <is>
          <t>c0605</t>
        </is>
      </c>
      <c r="G321" t="n">
        <v>1</v>
      </c>
    </row>
    <row r="322">
      <c r="A322" t="inlineStr">
        <is>
          <t>c0606</t>
        </is>
      </c>
      <c r="G322" t="n">
        <v>1</v>
      </c>
    </row>
    <row r="323">
      <c r="A323" t="inlineStr">
        <is>
          <t>c0608</t>
        </is>
      </c>
      <c r="G323" t="n">
        <v>1</v>
      </c>
    </row>
    <row r="324">
      <c r="A324" t="inlineStr">
        <is>
          <t>c0609</t>
        </is>
      </c>
      <c r="G324" t="n">
        <v>1</v>
      </c>
    </row>
    <row r="325">
      <c r="A325" t="inlineStr">
        <is>
          <t>c0615</t>
        </is>
      </c>
      <c r="G325" t="n">
        <v>1</v>
      </c>
    </row>
    <row r="326">
      <c r="A326" t="inlineStr">
        <is>
          <t>c0616</t>
        </is>
      </c>
      <c r="G326" t="n">
        <v>1</v>
      </c>
    </row>
    <row r="327">
      <c r="A327" t="inlineStr">
        <is>
          <t>c0617</t>
        </is>
      </c>
      <c r="G327" t="n">
        <v>1</v>
      </c>
    </row>
    <row r="328">
      <c r="A328" t="inlineStr">
        <is>
          <t>c0619</t>
        </is>
      </c>
      <c r="B328" t="n">
        <v>1</v>
      </c>
    </row>
    <row r="329">
      <c r="A329" t="inlineStr">
        <is>
          <t>c0621</t>
        </is>
      </c>
      <c r="G329" t="n">
        <v>1</v>
      </c>
    </row>
    <row r="330">
      <c r="A330" t="inlineStr">
        <is>
          <t>c0622</t>
        </is>
      </c>
      <c r="G330" t="n">
        <v>1</v>
      </c>
    </row>
    <row r="331">
      <c r="A331" t="inlineStr">
        <is>
          <t>c0623</t>
        </is>
      </c>
      <c r="G331" t="n">
        <v>1</v>
      </c>
    </row>
    <row r="332">
      <c r="A332" t="inlineStr">
        <is>
          <t>c0627</t>
        </is>
      </c>
      <c r="G332" t="n">
        <v>1</v>
      </c>
    </row>
    <row r="333">
      <c r="A333" t="inlineStr">
        <is>
          <t>c0629</t>
        </is>
      </c>
      <c r="B333" t="n">
        <v>1</v>
      </c>
    </row>
    <row r="334">
      <c r="A334" t="inlineStr">
        <is>
          <t>c0631</t>
        </is>
      </c>
      <c r="G334" t="n">
        <v>1</v>
      </c>
    </row>
    <row r="335">
      <c r="A335" t="inlineStr">
        <is>
          <t>c0632</t>
        </is>
      </c>
      <c r="G335" t="n">
        <v>1</v>
      </c>
    </row>
    <row r="336">
      <c r="A336" t="inlineStr">
        <is>
          <t>c0634</t>
        </is>
      </c>
      <c r="G336" t="n">
        <v>1</v>
      </c>
    </row>
    <row r="337">
      <c r="A337" t="inlineStr">
        <is>
          <t>c0637</t>
        </is>
      </c>
      <c r="G337" t="n">
        <v>1</v>
      </c>
    </row>
    <row r="338">
      <c r="A338" t="inlineStr">
        <is>
          <t>c0638</t>
        </is>
      </c>
      <c r="G338" t="n">
        <v>1</v>
      </c>
    </row>
    <row r="339">
      <c r="A339" t="inlineStr">
        <is>
          <t>c0639</t>
        </is>
      </c>
      <c r="G339" t="n">
        <v>1</v>
      </c>
    </row>
    <row r="340">
      <c r="A340" t="inlineStr">
        <is>
          <t>c0640</t>
        </is>
      </c>
      <c r="B340" t="n">
        <v>1</v>
      </c>
    </row>
    <row r="341">
      <c r="A341" t="inlineStr">
        <is>
          <t>c0644</t>
        </is>
      </c>
      <c r="B341" t="n">
        <v>1</v>
      </c>
    </row>
    <row r="342">
      <c r="A342" t="inlineStr">
        <is>
          <t>c0645</t>
        </is>
      </c>
      <c r="B342" t="n">
        <v>1</v>
      </c>
    </row>
    <row r="343">
      <c r="A343" t="inlineStr">
        <is>
          <t>c0648</t>
        </is>
      </c>
      <c r="B343" t="n">
        <v>1</v>
      </c>
    </row>
    <row r="344">
      <c r="A344" t="inlineStr">
        <is>
          <t>c0649</t>
        </is>
      </c>
      <c r="G344" t="n">
        <v>1</v>
      </c>
    </row>
    <row r="345">
      <c r="A345" t="inlineStr">
        <is>
          <t>c0650</t>
        </is>
      </c>
      <c r="G345" t="n">
        <v>1</v>
      </c>
    </row>
    <row r="346">
      <c r="A346" t="inlineStr">
        <is>
          <t>c0651</t>
        </is>
      </c>
      <c r="G346" t="n">
        <v>1</v>
      </c>
    </row>
    <row r="347">
      <c r="A347" t="inlineStr">
        <is>
          <t>c0653</t>
        </is>
      </c>
      <c r="G347" t="n">
        <v>1</v>
      </c>
    </row>
    <row r="348">
      <c r="A348" t="inlineStr">
        <is>
          <t>c0655</t>
        </is>
      </c>
      <c r="G348" t="n">
        <v>1</v>
      </c>
    </row>
    <row r="349">
      <c r="A349" t="inlineStr">
        <is>
          <t>c0657</t>
        </is>
      </c>
      <c r="G349" t="n">
        <v>1</v>
      </c>
    </row>
    <row r="350">
      <c r="A350" t="inlineStr">
        <is>
          <t>c0659</t>
        </is>
      </c>
      <c r="B350" t="n">
        <v>1</v>
      </c>
    </row>
    <row r="351">
      <c r="A351" t="inlineStr">
        <is>
          <t>c0663</t>
        </is>
      </c>
      <c r="G351" t="n">
        <v>1</v>
      </c>
    </row>
    <row r="352">
      <c r="A352" t="inlineStr">
        <is>
          <t>c0664</t>
        </is>
      </c>
      <c r="G352" t="n">
        <v>1</v>
      </c>
    </row>
    <row r="353">
      <c r="A353" t="inlineStr">
        <is>
          <t>c0666</t>
        </is>
      </c>
      <c r="G353" t="n">
        <v>1</v>
      </c>
    </row>
    <row r="354">
      <c r="A354" t="inlineStr">
        <is>
          <t>c0670</t>
        </is>
      </c>
      <c r="B354" t="n">
        <v>1</v>
      </c>
    </row>
    <row r="355">
      <c r="A355" t="inlineStr">
        <is>
          <t>c0671</t>
        </is>
      </c>
      <c r="G355" t="n">
        <v>1</v>
      </c>
    </row>
    <row r="356">
      <c r="A356" t="inlineStr">
        <is>
          <t>c0674</t>
        </is>
      </c>
      <c r="G356" t="n">
        <v>1</v>
      </c>
    </row>
    <row r="357">
      <c r="A357" t="inlineStr">
        <is>
          <t>c0675</t>
        </is>
      </c>
      <c r="H357" t="n">
        <v>1</v>
      </c>
    </row>
    <row r="358">
      <c r="A358" t="inlineStr">
        <is>
          <t>c0676</t>
        </is>
      </c>
      <c r="C358" t="n">
        <v>1</v>
      </c>
    </row>
    <row r="359">
      <c r="A359" t="inlineStr">
        <is>
          <t>c0677</t>
        </is>
      </c>
      <c r="C359" t="n">
        <v>1</v>
      </c>
    </row>
    <row r="360">
      <c r="A360" t="inlineStr">
        <is>
          <t>c0680</t>
        </is>
      </c>
      <c r="H360" t="n">
        <v>1</v>
      </c>
    </row>
    <row r="361">
      <c r="A361" t="inlineStr">
        <is>
          <t>c0681</t>
        </is>
      </c>
      <c r="D361" t="n">
        <v>1</v>
      </c>
    </row>
    <row r="362">
      <c r="A362" t="inlineStr">
        <is>
          <t>c0682</t>
        </is>
      </c>
      <c r="H362" t="n">
        <v>1</v>
      </c>
    </row>
    <row r="363">
      <c r="A363" t="inlineStr">
        <is>
          <t>c0684</t>
        </is>
      </c>
      <c r="H363" t="n">
        <v>1</v>
      </c>
    </row>
    <row r="364">
      <c r="A364" t="inlineStr">
        <is>
          <t>c0685</t>
        </is>
      </c>
      <c r="H364" t="n">
        <v>1</v>
      </c>
    </row>
    <row r="365">
      <c r="A365" t="inlineStr">
        <is>
          <t>c0686</t>
        </is>
      </c>
      <c r="H365" t="n">
        <v>1</v>
      </c>
    </row>
    <row r="366">
      <c r="A366" t="inlineStr">
        <is>
          <t>c0687</t>
        </is>
      </c>
      <c r="H366" t="n">
        <v>1</v>
      </c>
    </row>
    <row r="367">
      <c r="A367" t="inlineStr">
        <is>
          <t>c0688</t>
        </is>
      </c>
      <c r="C367" t="n">
        <v>1</v>
      </c>
    </row>
    <row r="368">
      <c r="A368" t="inlineStr">
        <is>
          <t>c0689</t>
        </is>
      </c>
      <c r="D368" t="n">
        <v>1</v>
      </c>
    </row>
    <row r="369">
      <c r="A369" t="inlineStr">
        <is>
          <t>c0690</t>
        </is>
      </c>
      <c r="D369" t="n">
        <v>1</v>
      </c>
    </row>
    <row r="370">
      <c r="A370" t="inlineStr">
        <is>
          <t>c0693</t>
        </is>
      </c>
      <c r="C370" t="n">
        <v>1</v>
      </c>
    </row>
    <row r="371">
      <c r="A371" t="inlineStr">
        <is>
          <t>c0694</t>
        </is>
      </c>
      <c r="D371" t="n">
        <v>1</v>
      </c>
    </row>
    <row r="372">
      <c r="A372" t="inlineStr">
        <is>
          <t>c0695</t>
        </is>
      </c>
      <c r="C372" t="n">
        <v>1</v>
      </c>
    </row>
    <row r="373">
      <c r="A373" t="inlineStr">
        <is>
          <t>c0697</t>
        </is>
      </c>
      <c r="H373" t="n">
        <v>1</v>
      </c>
    </row>
    <row r="374">
      <c r="A374" t="inlineStr">
        <is>
          <t>c0698</t>
        </is>
      </c>
      <c r="H374" t="n">
        <v>1</v>
      </c>
    </row>
    <row r="375">
      <c r="A375" t="inlineStr">
        <is>
          <t>c0700</t>
        </is>
      </c>
      <c r="D375" t="n">
        <v>1</v>
      </c>
    </row>
    <row r="376">
      <c r="A376" t="inlineStr">
        <is>
          <t>c0701</t>
        </is>
      </c>
      <c r="D376" t="n">
        <v>1</v>
      </c>
    </row>
    <row r="377">
      <c r="A377" t="inlineStr">
        <is>
          <t>c0703</t>
        </is>
      </c>
      <c r="C377" t="n">
        <v>1</v>
      </c>
    </row>
    <row r="378">
      <c r="A378" t="inlineStr">
        <is>
          <t>c0704</t>
        </is>
      </c>
      <c r="H378" t="n">
        <v>1</v>
      </c>
    </row>
    <row r="379">
      <c r="A379" t="inlineStr">
        <is>
          <t>c0705</t>
        </is>
      </c>
      <c r="C379" t="n">
        <v>1</v>
      </c>
    </row>
    <row r="380">
      <c r="A380" t="inlineStr">
        <is>
          <t>c0707</t>
        </is>
      </c>
      <c r="C380" t="n">
        <v>1</v>
      </c>
    </row>
    <row r="381">
      <c r="A381" t="inlineStr">
        <is>
          <t>c0710</t>
        </is>
      </c>
      <c r="D381" t="n">
        <v>1</v>
      </c>
    </row>
    <row r="382">
      <c r="A382" t="inlineStr">
        <is>
          <t>c0713</t>
        </is>
      </c>
      <c r="C382" t="n">
        <v>1</v>
      </c>
    </row>
    <row r="383">
      <c r="A383" t="inlineStr">
        <is>
          <t>c0716</t>
        </is>
      </c>
      <c r="C383" t="n">
        <v>1</v>
      </c>
    </row>
    <row r="384">
      <c r="A384" t="inlineStr">
        <is>
          <t>c0717</t>
        </is>
      </c>
      <c r="D384" t="n">
        <v>1</v>
      </c>
      <c r="H384" t="n">
        <v>1</v>
      </c>
    </row>
    <row r="385">
      <c r="A385" t="inlineStr">
        <is>
          <t>c0721</t>
        </is>
      </c>
      <c r="H385" t="n">
        <v>1</v>
      </c>
    </row>
    <row r="386">
      <c r="A386" t="inlineStr">
        <is>
          <t>c0724</t>
        </is>
      </c>
      <c r="C386" t="n">
        <v>1</v>
      </c>
    </row>
    <row r="387">
      <c r="A387" t="inlineStr">
        <is>
          <t>c0725</t>
        </is>
      </c>
      <c r="C387" t="n">
        <v>1</v>
      </c>
    </row>
    <row r="388">
      <c r="A388" t="inlineStr">
        <is>
          <t>c0727</t>
        </is>
      </c>
      <c r="C388" t="n">
        <v>1</v>
      </c>
    </row>
    <row r="389">
      <c r="A389" t="inlineStr">
        <is>
          <t>c0729</t>
        </is>
      </c>
      <c r="D389" t="n">
        <v>1</v>
      </c>
    </row>
    <row r="390">
      <c r="A390" t="inlineStr">
        <is>
          <t>c0730</t>
        </is>
      </c>
      <c r="H390" t="n">
        <v>1</v>
      </c>
    </row>
    <row r="391">
      <c r="A391" t="inlineStr">
        <is>
          <t>c0731</t>
        </is>
      </c>
      <c r="H391" t="n">
        <v>1</v>
      </c>
    </row>
    <row r="392">
      <c r="A392" t="inlineStr">
        <is>
          <t>c0732</t>
        </is>
      </c>
      <c r="D392" t="n">
        <v>1</v>
      </c>
    </row>
    <row r="393">
      <c r="A393" t="inlineStr">
        <is>
          <t>c0734</t>
        </is>
      </c>
      <c r="D393" t="n">
        <v>1</v>
      </c>
    </row>
    <row r="394">
      <c r="A394" t="inlineStr">
        <is>
          <t>c0736</t>
        </is>
      </c>
      <c r="D394" t="n">
        <v>1</v>
      </c>
    </row>
    <row r="395">
      <c r="A395" t="inlineStr">
        <is>
          <t>c0738</t>
        </is>
      </c>
      <c r="H395" t="n">
        <v>1</v>
      </c>
    </row>
    <row r="396">
      <c r="A396" t="inlineStr">
        <is>
          <t>c0739</t>
        </is>
      </c>
      <c r="D396" t="n">
        <v>1</v>
      </c>
    </row>
    <row r="397">
      <c r="A397" t="inlineStr">
        <is>
          <t>c0740</t>
        </is>
      </c>
      <c r="D397" t="n">
        <v>1</v>
      </c>
    </row>
    <row r="398">
      <c r="A398" t="inlineStr">
        <is>
          <t>c0743</t>
        </is>
      </c>
      <c r="F398" t="n">
        <v>1</v>
      </c>
    </row>
    <row r="399">
      <c r="A399" t="inlineStr">
        <is>
          <t>c0745</t>
        </is>
      </c>
      <c r="F399" t="n">
        <v>1</v>
      </c>
    </row>
    <row r="400">
      <c r="A400" t="inlineStr">
        <is>
          <t>c0749</t>
        </is>
      </c>
      <c r="B400" t="n">
        <v>1</v>
      </c>
    </row>
    <row r="401">
      <c r="A401" t="inlineStr">
        <is>
          <t>c0753</t>
        </is>
      </c>
      <c r="C401" t="n">
        <v>1</v>
      </c>
    </row>
    <row r="402">
      <c r="A402" t="inlineStr">
        <is>
          <t>c0757</t>
        </is>
      </c>
      <c r="C402" t="n">
        <v>1</v>
      </c>
      <c r="D402" t="n">
        <v>1</v>
      </c>
    </row>
    <row r="403">
      <c r="A403" t="inlineStr">
        <is>
          <t>c0759</t>
        </is>
      </c>
      <c r="B403" t="n">
        <v>1</v>
      </c>
    </row>
    <row r="404">
      <c r="A404" t="inlineStr">
        <is>
          <t>c0760</t>
        </is>
      </c>
      <c r="C404" t="n">
        <v>1</v>
      </c>
    </row>
    <row r="405">
      <c r="A405" t="inlineStr">
        <is>
          <t>c0763</t>
        </is>
      </c>
      <c r="F405" t="n">
        <v>1</v>
      </c>
    </row>
    <row r="406">
      <c r="A406" t="inlineStr">
        <is>
          <t>c0764</t>
        </is>
      </c>
      <c r="C406" t="n">
        <v>1</v>
      </c>
    </row>
    <row r="407">
      <c r="A407" t="inlineStr">
        <is>
          <t>c0766</t>
        </is>
      </c>
      <c r="D407" t="n">
        <v>1</v>
      </c>
    </row>
    <row r="408">
      <c r="A408" t="inlineStr">
        <is>
          <t>c0767</t>
        </is>
      </c>
      <c r="F408" t="n">
        <v>1</v>
      </c>
    </row>
    <row r="409">
      <c r="A409" t="inlineStr">
        <is>
          <t>c0774</t>
        </is>
      </c>
      <c r="E409" t="n">
        <v>1</v>
      </c>
    </row>
    <row r="410">
      <c r="A410" t="inlineStr">
        <is>
          <t>c0778</t>
        </is>
      </c>
      <c r="E410" t="n">
        <v>1</v>
      </c>
    </row>
    <row r="411">
      <c r="A411" t="inlineStr">
        <is>
          <t>c0779</t>
        </is>
      </c>
      <c r="D411" t="n">
        <v>1</v>
      </c>
    </row>
    <row r="412">
      <c r="A412" t="inlineStr">
        <is>
          <t>c0784</t>
        </is>
      </c>
      <c r="C412" t="n">
        <v>1</v>
      </c>
    </row>
    <row r="413">
      <c r="A413" t="inlineStr">
        <is>
          <t>c0785</t>
        </is>
      </c>
      <c r="F413" t="n">
        <v>1</v>
      </c>
    </row>
    <row r="414">
      <c r="A414" t="inlineStr">
        <is>
          <t>c0786</t>
        </is>
      </c>
      <c r="C414" t="n">
        <v>1</v>
      </c>
    </row>
    <row r="415">
      <c r="A415" t="inlineStr">
        <is>
          <t>c0792</t>
        </is>
      </c>
      <c r="E415" t="n">
        <v>1</v>
      </c>
    </row>
    <row r="416">
      <c r="A416" t="inlineStr">
        <is>
          <t>c0793</t>
        </is>
      </c>
      <c r="C416" t="n">
        <v>1</v>
      </c>
      <c r="E416" t="n">
        <v>1</v>
      </c>
    </row>
    <row r="417">
      <c r="A417" t="inlineStr">
        <is>
          <t>c0794</t>
        </is>
      </c>
      <c r="F417" t="n">
        <v>1</v>
      </c>
    </row>
    <row r="418">
      <c r="A418" t="inlineStr">
        <is>
          <t>c0796</t>
        </is>
      </c>
      <c r="B418" t="n">
        <v>1</v>
      </c>
    </row>
    <row r="419">
      <c r="A419" t="inlineStr">
        <is>
          <t>c0799</t>
        </is>
      </c>
      <c r="D419" t="n">
        <v>1</v>
      </c>
    </row>
    <row r="420">
      <c r="A420" t="inlineStr">
        <is>
          <t>c0800</t>
        </is>
      </c>
      <c r="E420" t="n">
        <v>1</v>
      </c>
    </row>
    <row r="421">
      <c r="A421" t="inlineStr">
        <is>
          <t>c0801</t>
        </is>
      </c>
      <c r="D421" t="n">
        <v>1</v>
      </c>
    </row>
    <row r="422">
      <c r="A422" t="inlineStr">
        <is>
          <t>c0805</t>
        </is>
      </c>
      <c r="F422" t="n">
        <v>1</v>
      </c>
    </row>
    <row r="423">
      <c r="A423" t="inlineStr">
        <is>
          <t>c0806</t>
        </is>
      </c>
      <c r="E423" t="n">
        <v>1</v>
      </c>
    </row>
    <row r="424">
      <c r="A424" t="inlineStr">
        <is>
          <t>c0808</t>
        </is>
      </c>
      <c r="F424" t="n">
        <v>1</v>
      </c>
    </row>
    <row r="425">
      <c r="A425" t="inlineStr">
        <is>
          <t>c0811</t>
        </is>
      </c>
      <c r="C425" t="n">
        <v>1</v>
      </c>
    </row>
    <row r="426">
      <c r="A426" t="inlineStr">
        <is>
          <t>c0813</t>
        </is>
      </c>
      <c r="B426" t="n">
        <v>1</v>
      </c>
    </row>
    <row r="427">
      <c r="A427" t="inlineStr">
        <is>
          <t>c0816</t>
        </is>
      </c>
      <c r="F427" t="n">
        <v>1</v>
      </c>
    </row>
    <row r="428">
      <c r="A428" t="inlineStr">
        <is>
          <t>c0818</t>
        </is>
      </c>
      <c r="B428" t="n">
        <v>1</v>
      </c>
    </row>
    <row r="429">
      <c r="A429" t="inlineStr">
        <is>
          <t>c0819</t>
        </is>
      </c>
      <c r="C429" t="n">
        <v>1</v>
      </c>
    </row>
    <row r="430">
      <c r="A430" t="inlineStr">
        <is>
          <t>c0822</t>
        </is>
      </c>
      <c r="F430" t="n">
        <v>1</v>
      </c>
    </row>
    <row r="431">
      <c r="A431" t="inlineStr">
        <is>
          <t>c0826</t>
        </is>
      </c>
      <c r="E431" t="n">
        <v>1</v>
      </c>
    </row>
    <row r="432">
      <c r="A432" t="inlineStr">
        <is>
          <t>c0827</t>
        </is>
      </c>
      <c r="F432" t="n">
        <v>1</v>
      </c>
    </row>
    <row r="433">
      <c r="A433" t="inlineStr">
        <is>
          <t>c0829</t>
        </is>
      </c>
      <c r="F433" t="n">
        <v>1</v>
      </c>
    </row>
    <row r="434">
      <c r="A434" t="inlineStr">
        <is>
          <t>c0830</t>
        </is>
      </c>
      <c r="E434" t="n">
        <v>1</v>
      </c>
    </row>
    <row r="435">
      <c r="A435" t="inlineStr">
        <is>
          <t>c0831</t>
        </is>
      </c>
      <c r="F435" t="n">
        <v>1</v>
      </c>
    </row>
    <row r="436">
      <c r="A436" t="inlineStr">
        <is>
          <t>c0832</t>
        </is>
      </c>
      <c r="E436" t="n">
        <v>1</v>
      </c>
    </row>
    <row r="437">
      <c r="A437" t="inlineStr">
        <is>
          <t>c0833</t>
        </is>
      </c>
      <c r="F437" t="n">
        <v>1</v>
      </c>
    </row>
    <row r="438">
      <c r="A438" t="inlineStr">
        <is>
          <t>c0835</t>
        </is>
      </c>
      <c r="F438" t="n">
        <v>1</v>
      </c>
    </row>
    <row r="439">
      <c r="A439" t="inlineStr">
        <is>
          <t>c0836</t>
        </is>
      </c>
      <c r="B439" t="n">
        <v>1</v>
      </c>
    </row>
    <row r="440">
      <c r="A440" t="inlineStr">
        <is>
          <t>c0838</t>
        </is>
      </c>
      <c r="B440" t="n">
        <v>1</v>
      </c>
    </row>
    <row r="441">
      <c r="A441" t="inlineStr">
        <is>
          <t>c0839</t>
        </is>
      </c>
      <c r="F441" t="n">
        <v>1</v>
      </c>
    </row>
    <row r="442">
      <c r="A442" t="inlineStr">
        <is>
          <t>c0840</t>
        </is>
      </c>
      <c r="D442" t="n">
        <v>1</v>
      </c>
    </row>
    <row r="443">
      <c r="A443" t="inlineStr">
        <is>
          <t>c0841</t>
        </is>
      </c>
      <c r="F443" t="n">
        <v>1</v>
      </c>
    </row>
    <row r="444">
      <c r="A444" t="inlineStr">
        <is>
          <t>c0846</t>
        </is>
      </c>
      <c r="B444" t="n">
        <v>1</v>
      </c>
    </row>
    <row r="445">
      <c r="A445" t="inlineStr">
        <is>
          <t>c0847</t>
        </is>
      </c>
      <c r="D445" t="n">
        <v>1</v>
      </c>
    </row>
    <row r="446">
      <c r="A446" t="inlineStr">
        <is>
          <t>c0848</t>
        </is>
      </c>
      <c r="F446" t="n">
        <v>1</v>
      </c>
    </row>
    <row r="447">
      <c r="A447" t="inlineStr">
        <is>
          <t>c0850</t>
        </is>
      </c>
      <c r="B447" t="n">
        <v>1</v>
      </c>
    </row>
    <row r="448">
      <c r="A448" t="inlineStr">
        <is>
          <t>c0854</t>
        </is>
      </c>
      <c r="F448" t="n">
        <v>1</v>
      </c>
    </row>
    <row r="449">
      <c r="A449" t="inlineStr">
        <is>
          <t>c0855</t>
        </is>
      </c>
      <c r="B449" t="n">
        <v>1</v>
      </c>
    </row>
    <row r="450">
      <c r="A450" t="inlineStr">
        <is>
          <t>c0856</t>
        </is>
      </c>
      <c r="F450" t="n">
        <v>1</v>
      </c>
    </row>
    <row r="451">
      <c r="A451" t="inlineStr">
        <is>
          <t>c0857</t>
        </is>
      </c>
      <c r="B451" t="n">
        <v>1</v>
      </c>
    </row>
    <row r="452">
      <c r="A452" t="inlineStr">
        <is>
          <t>c0858</t>
        </is>
      </c>
      <c r="B452" t="n">
        <v>1</v>
      </c>
    </row>
    <row r="453">
      <c r="A453" t="inlineStr">
        <is>
          <t>c0859</t>
        </is>
      </c>
      <c r="B453" t="n">
        <v>1</v>
      </c>
    </row>
    <row r="454">
      <c r="A454" t="inlineStr">
        <is>
          <t>c0860</t>
        </is>
      </c>
      <c r="B454" t="n">
        <v>1</v>
      </c>
    </row>
    <row r="455">
      <c r="A455" t="inlineStr">
        <is>
          <t>c0864</t>
        </is>
      </c>
      <c r="B455" t="n">
        <v>1</v>
      </c>
    </row>
    <row r="456">
      <c r="A456" t="inlineStr">
        <is>
          <t>c0865</t>
        </is>
      </c>
      <c r="E456" t="n">
        <v>1</v>
      </c>
    </row>
    <row r="457">
      <c r="A457" t="inlineStr">
        <is>
          <t>c0867</t>
        </is>
      </c>
      <c r="F457" t="n">
        <v>1</v>
      </c>
    </row>
    <row r="458">
      <c r="A458" t="inlineStr">
        <is>
          <t>c0868</t>
        </is>
      </c>
      <c r="F458" t="n">
        <v>1</v>
      </c>
    </row>
    <row r="459">
      <c r="A459" t="inlineStr">
        <is>
          <t>c0870</t>
        </is>
      </c>
      <c r="F459" t="n">
        <v>1</v>
      </c>
    </row>
    <row r="460">
      <c r="A460" t="inlineStr">
        <is>
          <t>c0873</t>
        </is>
      </c>
      <c r="F460" t="n">
        <v>1</v>
      </c>
    </row>
    <row r="461">
      <c r="A461" t="inlineStr">
        <is>
          <t>c0875</t>
        </is>
      </c>
      <c r="C461" t="n">
        <v>1</v>
      </c>
    </row>
    <row r="462">
      <c r="A462" t="inlineStr">
        <is>
          <t>c0876</t>
        </is>
      </c>
      <c r="B462" t="n">
        <v>1</v>
      </c>
    </row>
    <row r="463">
      <c r="A463" t="inlineStr">
        <is>
          <t>c0879</t>
        </is>
      </c>
      <c r="B463" t="n">
        <v>1</v>
      </c>
      <c r="F463" t="n">
        <v>1</v>
      </c>
    </row>
    <row r="464">
      <c r="A464" t="inlineStr">
        <is>
          <t>c0881</t>
        </is>
      </c>
      <c r="B464" t="n">
        <v>1</v>
      </c>
    </row>
    <row r="465">
      <c r="A465" t="inlineStr">
        <is>
          <t>c0882</t>
        </is>
      </c>
      <c r="C465" t="n">
        <v>1</v>
      </c>
    </row>
    <row r="466">
      <c r="A466" t="inlineStr">
        <is>
          <t>c0888</t>
        </is>
      </c>
      <c r="B466" t="n">
        <v>1</v>
      </c>
    </row>
    <row r="467">
      <c r="A467" t="inlineStr">
        <is>
          <t>c0889</t>
        </is>
      </c>
      <c r="D467" t="n">
        <v>1</v>
      </c>
    </row>
    <row r="468">
      <c r="A468" t="inlineStr">
        <is>
          <t>c0891</t>
        </is>
      </c>
      <c r="C468" t="n">
        <v>1</v>
      </c>
      <c r="E468" t="n">
        <v>1</v>
      </c>
    </row>
    <row r="469">
      <c r="A469" t="inlineStr">
        <is>
          <t>c0894</t>
        </is>
      </c>
      <c r="D469" t="n">
        <v>1</v>
      </c>
      <c r="E469" t="n">
        <v>1</v>
      </c>
    </row>
    <row r="470">
      <c r="A470" t="inlineStr">
        <is>
          <t>c0896</t>
        </is>
      </c>
      <c r="E470" t="n">
        <v>1</v>
      </c>
    </row>
    <row r="471">
      <c r="A471" t="inlineStr">
        <is>
          <t>c0898</t>
        </is>
      </c>
      <c r="D471" t="n">
        <v>1</v>
      </c>
    </row>
    <row r="472">
      <c r="A472" t="inlineStr">
        <is>
          <t>c0900</t>
        </is>
      </c>
      <c r="D472" t="n">
        <v>1</v>
      </c>
    </row>
    <row r="473">
      <c r="A473" t="inlineStr">
        <is>
          <t>c0901</t>
        </is>
      </c>
      <c r="E473" t="n">
        <v>1</v>
      </c>
    </row>
    <row r="474">
      <c r="A474" t="inlineStr">
        <is>
          <t>c0902</t>
        </is>
      </c>
      <c r="F474" t="n">
        <v>1</v>
      </c>
    </row>
    <row r="475">
      <c r="A475" t="inlineStr">
        <is>
          <t>c0903</t>
        </is>
      </c>
      <c r="E475" t="n">
        <v>1</v>
      </c>
      <c r="F475" t="n">
        <v>1</v>
      </c>
    </row>
    <row r="476">
      <c r="A476" t="inlineStr">
        <is>
          <t>c0904</t>
        </is>
      </c>
      <c r="C476" t="n">
        <v>1</v>
      </c>
    </row>
    <row r="477">
      <c r="A477" t="inlineStr">
        <is>
          <t>c0908</t>
        </is>
      </c>
      <c r="B477" t="n">
        <v>1</v>
      </c>
    </row>
    <row r="478">
      <c r="A478" t="inlineStr">
        <is>
          <t>c0909</t>
        </is>
      </c>
      <c r="E478" t="n">
        <v>1</v>
      </c>
    </row>
    <row r="479">
      <c r="A479" t="inlineStr">
        <is>
          <t>c0912</t>
        </is>
      </c>
      <c r="F479" t="n">
        <v>1</v>
      </c>
    </row>
    <row r="480">
      <c r="A480" t="inlineStr">
        <is>
          <t>c0913</t>
        </is>
      </c>
      <c r="E480" t="n">
        <v>1</v>
      </c>
    </row>
  </sheetData>
  <autoFilter ref="A1:H480">
    <sortState ref="A2:H480">
      <sortCondition ref="A1:A480"/>
    </sortState>
  </autoFilter>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74"/>
  <sheetViews>
    <sheetView workbookViewId="0">
      <selection activeCell="E9" sqref="E9"/>
    </sheetView>
  </sheetViews>
  <sheetFormatPr baseColWidth="8" defaultRowHeight="14.4"/>
  <cols>
    <col width="26.109375" customWidth="1" style="148" min="6" max="6"/>
    <col width="13" customWidth="1" style="148" min="7" max="7"/>
    <col width="41.5546875" customWidth="1" style="148" min="8" max="8"/>
  </cols>
  <sheetData>
    <row r="1" ht="26.4" customHeight="1" s="148">
      <c r="A1" s="18" t="inlineStr">
        <is>
          <t>Card ID</t>
        </is>
      </c>
      <c r="B1" s="62" t="inlineStr">
        <is>
          <t>Quantity</t>
        </is>
      </c>
      <c r="C1" s="62" t="inlineStr">
        <is>
          <t>Collector #</t>
        </is>
      </c>
      <c r="D1" s="62" t="inlineStr">
        <is>
          <t>Rarity</t>
        </is>
      </c>
      <c r="E1" s="62" t="inlineStr">
        <is>
          <t>Foil</t>
        </is>
      </c>
      <c r="F1" s="62" t="inlineStr">
        <is>
          <t>Artist</t>
        </is>
      </c>
      <c r="G1" s="62" t="inlineStr">
        <is>
          <t>Value</t>
        </is>
      </c>
      <c r="H1" s="21" t="inlineStr">
        <is>
          <t>Series</t>
        </is>
      </c>
      <c r="I1" t="inlineStr">
        <is>
          <t>Skin Name</t>
        </is>
      </c>
    </row>
    <row r="2">
      <c r="A2" s="139" t="inlineStr">
        <is>
          <t>c0602</t>
        </is>
      </c>
      <c r="B2" s="134" t="n">
        <v>1</v>
      </c>
      <c r="C2" s="134" t="inlineStr">
        <is>
          <t>100</t>
        </is>
      </c>
      <c r="D2" s="134" t="inlineStr">
        <is>
          <t>Common</t>
        </is>
      </c>
      <c r="E2" s="134" t="n">
        <v>0</v>
      </c>
      <c r="F2" s="134" t="inlineStr">
        <is>
          <t>Jason Kang</t>
        </is>
      </c>
      <c r="G2" s="140" t="n">
        <v>0.15</v>
      </c>
      <c r="H2" s="135" t="inlineStr">
        <is>
          <t>The Hobbit</t>
        </is>
      </c>
    </row>
    <row r="3">
      <c r="A3" s="139" t="inlineStr">
        <is>
          <t>c0453</t>
        </is>
      </c>
      <c r="B3" s="134" t="n">
        <v>1</v>
      </c>
      <c r="C3" s="134" t="inlineStr">
        <is>
          <t>106/143</t>
        </is>
      </c>
      <c r="D3" s="134" t="n"/>
      <c r="E3" s="134" t="n">
        <v>0</v>
      </c>
      <c r="F3" s="134" t="inlineStr">
        <is>
          <t>Edward P. Beard, Jr.</t>
        </is>
      </c>
      <c r="G3" s="141" t="n">
        <v>0.16</v>
      </c>
      <c r="H3" s="135" t="inlineStr">
        <is>
          <t>Apocalypse</t>
        </is>
      </c>
    </row>
    <row r="4">
      <c r="A4" s="139" t="inlineStr">
        <is>
          <t>c0059</t>
        </is>
      </c>
      <c r="B4" s="134" t="n">
        <v>1</v>
      </c>
      <c r="C4" s="134" t="inlineStr">
        <is>
          <t>115</t>
        </is>
      </c>
      <c r="D4" s="134" t="inlineStr">
        <is>
          <t>Uncommon</t>
        </is>
      </c>
      <c r="E4" s="134" t="n">
        <v>0</v>
      </c>
      <c r="F4" s="134" t="inlineStr">
        <is>
          <t>Heather Hudson</t>
        </is>
      </c>
      <c r="G4" s="140" t="n">
        <v>0.17</v>
      </c>
      <c r="H4" s="135" t="inlineStr">
        <is>
          <t>Lorwyn Eclipsed</t>
        </is>
      </c>
    </row>
    <row r="5">
      <c r="A5" s="139" t="inlineStr">
        <is>
          <t>c0547</t>
        </is>
      </c>
      <c r="B5" s="134" t="n">
        <v>1</v>
      </c>
      <c r="C5" s="134" t="inlineStr">
        <is>
          <t>126</t>
        </is>
      </c>
      <c r="D5" s="134" t="inlineStr">
        <is>
          <t>Common</t>
        </is>
      </c>
      <c r="E5" s="134" t="n">
        <v>0</v>
      </c>
      <c r="F5" s="134" t="inlineStr">
        <is>
          <t>Slawomir Maniak</t>
        </is>
      </c>
      <c r="G5" s="140" t="n">
        <v>0.16</v>
      </c>
      <c r="H5" s="135" t="inlineStr">
        <is>
          <t>Lorwyn Eclipsed</t>
        </is>
      </c>
    </row>
    <row r="6">
      <c r="A6" s="139" t="inlineStr">
        <is>
          <t>c0620</t>
        </is>
      </c>
      <c r="B6" s="134" t="n">
        <v>1</v>
      </c>
      <c r="C6" s="134" t="inlineStr">
        <is>
          <t>150</t>
        </is>
      </c>
      <c r="D6" s="134" t="inlineStr">
        <is>
          <t>Rare</t>
        </is>
      </c>
      <c r="E6" s="134" t="n">
        <v>0</v>
      </c>
      <c r="F6" s="134" t="inlineStr">
        <is>
          <t>Ron Spears</t>
        </is>
      </c>
      <c r="G6" s="140" t="n">
        <v>0.35</v>
      </c>
      <c r="H6" s="135" t="inlineStr">
        <is>
          <t>Lorwyn Eclipsed</t>
        </is>
      </c>
    </row>
    <row r="7">
      <c r="A7" s="139" t="inlineStr">
        <is>
          <t>c0445</t>
        </is>
      </c>
      <c r="B7" s="134" t="n">
        <v>1</v>
      </c>
      <c r="C7" s="134" t="inlineStr">
        <is>
          <t>157</t>
        </is>
      </c>
      <c r="D7" s="134" t="inlineStr">
        <is>
          <t>Common</t>
        </is>
      </c>
      <c r="E7" s="134" t="n">
        <v>0</v>
      </c>
      <c r="F7" s="134" t="inlineStr">
        <is>
          <t>Miklós Ligeti</t>
        </is>
      </c>
      <c r="G7" s="140" t="n">
        <v>0.11</v>
      </c>
      <c r="H7" s="135" t="inlineStr">
        <is>
          <t>The Hobbit</t>
        </is>
      </c>
    </row>
    <row r="8">
      <c r="A8" s="139" t="inlineStr">
        <is>
          <t>c0509</t>
        </is>
      </c>
      <c r="B8" s="134" t="n">
        <v>1</v>
      </c>
      <c r="C8" s="134" t="inlineStr">
        <is>
          <t>167</t>
        </is>
      </c>
      <c r="D8" s="134" t="inlineStr">
        <is>
          <t>Rare</t>
        </is>
      </c>
      <c r="E8" s="134" t="n">
        <v>0</v>
      </c>
      <c r="F8" s="134" t="inlineStr">
        <is>
          <t>Magali Villeneuve</t>
        </is>
      </c>
      <c r="G8" s="140" t="n">
        <v>0.5600000000000001</v>
      </c>
      <c r="H8" s="135" t="inlineStr">
        <is>
          <t>The Hobbit</t>
        </is>
      </c>
    </row>
    <row r="9">
      <c r="A9" s="139" t="inlineStr">
        <is>
          <t>c0242</t>
        </is>
      </c>
      <c r="B9" s="134" t="n">
        <v>1</v>
      </c>
      <c r="C9" s="134" t="inlineStr">
        <is>
          <t>185</t>
        </is>
      </c>
      <c r="D9" s="134" t="inlineStr">
        <is>
          <t>Uncommon</t>
        </is>
      </c>
      <c r="E9" s="134" t="n">
        <v>0</v>
      </c>
      <c r="F9" s="134" t="inlineStr">
        <is>
          <t>David Palumbo</t>
        </is>
      </c>
      <c r="G9" s="140" t="n">
        <v>0.27</v>
      </c>
      <c r="H9" s="135" t="inlineStr">
        <is>
          <t>Lorwyn Eclipsed</t>
        </is>
      </c>
    </row>
    <row r="10">
      <c r="A10" s="139" t="inlineStr">
        <is>
          <t>c0273</t>
        </is>
      </c>
      <c r="B10" s="134" t="n">
        <v>1</v>
      </c>
      <c r="C10" s="134" t="inlineStr">
        <is>
          <t>197</t>
        </is>
      </c>
      <c r="D10" s="134" t="inlineStr">
        <is>
          <t>Common</t>
        </is>
      </c>
      <c r="E10" s="134" t="n">
        <v>0</v>
      </c>
      <c r="F10" s="134" t="inlineStr">
        <is>
          <t>Iris Compiet</t>
        </is>
      </c>
      <c r="G10" s="140" t="n">
        <v>0.16</v>
      </c>
      <c r="H10" s="135" t="inlineStr">
        <is>
          <t>Lorwyn Eclipsed</t>
        </is>
      </c>
    </row>
    <row r="11">
      <c r="A11" s="139" t="inlineStr">
        <is>
          <t>c0407</t>
        </is>
      </c>
      <c r="B11" s="134" t="n">
        <v>1</v>
      </c>
      <c r="C11" s="134" t="inlineStr">
        <is>
          <t>211</t>
        </is>
      </c>
      <c r="D11" s="134" t="inlineStr">
        <is>
          <t>Rare</t>
        </is>
      </c>
      <c r="E11" s="134" t="n">
        <v>0</v>
      </c>
      <c r="F11" s="134" t="inlineStr">
        <is>
          <t>Denman Rooke</t>
        </is>
      </c>
      <c r="G11" s="140" t="n">
        <v>0.31</v>
      </c>
      <c r="H11" s="135" t="inlineStr">
        <is>
          <t>The Hobbit</t>
        </is>
      </c>
    </row>
    <row r="12">
      <c r="A12" s="139" t="inlineStr">
        <is>
          <t>c0129</t>
        </is>
      </c>
      <c r="B12" s="134" t="n">
        <v>1</v>
      </c>
      <c r="C12" s="134" t="inlineStr">
        <is>
          <t>239/285</t>
        </is>
      </c>
      <c r="D12" s="134" t="inlineStr">
        <is>
          <t>C</t>
        </is>
      </c>
      <c r="E12" s="134" t="n">
        <v>1</v>
      </c>
      <c r="F12" s="134" t="inlineStr">
        <is>
          <t>Dan Scott</t>
        </is>
      </c>
      <c r="G12" s="141" t="n">
        <v>0.42</v>
      </c>
      <c r="H12" s="135" t="inlineStr">
        <is>
          <t>Kaldheim</t>
        </is>
      </c>
    </row>
    <row r="13">
      <c r="A13" s="139" t="inlineStr">
        <is>
          <t>c0525</t>
        </is>
      </c>
      <c r="B13" s="134" t="n">
        <v>1</v>
      </c>
      <c r="C13" s="134" t="inlineStr">
        <is>
          <t>252</t>
        </is>
      </c>
      <c r="D13" s="134" t="inlineStr">
        <is>
          <t>Mythic</t>
        </is>
      </c>
      <c r="E13" s="134" t="n">
        <v>0</v>
      </c>
      <c r="F13" s="134" t="inlineStr">
        <is>
          <t>Jesper Ejsing</t>
        </is>
      </c>
      <c r="G13" s="140" t="n">
        <v>4.23</v>
      </c>
      <c r="H13" s="135" t="inlineStr">
        <is>
          <t>Lorwyn Eclipsed</t>
        </is>
      </c>
    </row>
    <row r="14">
      <c r="A14" s="139" t="inlineStr">
        <is>
          <t>c0902</t>
        </is>
      </c>
      <c r="B14" s="134" t="n">
        <v>1</v>
      </c>
      <c r="C14" s="134" t="inlineStr">
        <is>
          <t>59/350</t>
        </is>
      </c>
      <c r="D14" s="134" t="n"/>
      <c r="E14" s="134" t="n">
        <v>0</v>
      </c>
      <c r="F14" s="134" t="inlineStr">
        <is>
          <t>Greg &amp; Tim Hildebrandt</t>
        </is>
      </c>
      <c r="G14" s="141" t="n">
        <v>17.39</v>
      </c>
      <c r="H14" s="135" t="inlineStr">
        <is>
          <t>Onslaught</t>
        </is>
      </c>
    </row>
    <row r="15">
      <c r="A15" s="139" t="inlineStr">
        <is>
          <t>c0052</t>
        </is>
      </c>
      <c r="B15" s="134" t="n">
        <v>1</v>
      </c>
      <c r="C15" s="134" t="inlineStr">
        <is>
          <t>78</t>
        </is>
      </c>
      <c r="D15" s="134" t="inlineStr">
        <is>
          <t>Uncommon</t>
        </is>
      </c>
      <c r="E15" s="134" t="n">
        <v>0</v>
      </c>
      <c r="F15" s="134" t="inlineStr">
        <is>
          <t>Tomas Duchek</t>
        </is>
      </c>
      <c r="G15" s="140" t="n">
        <v>0.3</v>
      </c>
      <c r="H15" s="135" t="inlineStr">
        <is>
          <t>The Hobbit</t>
        </is>
      </c>
    </row>
    <row r="16">
      <c r="A16" s="139" t="inlineStr">
        <is>
          <t>c0770</t>
        </is>
      </c>
      <c r="B16" s="134" t="n">
        <v>1</v>
      </c>
      <c r="C16" s="134" t="inlineStr">
        <is>
          <t>8</t>
        </is>
      </c>
      <c r="D16" s="134" t="inlineStr">
        <is>
          <t>Uncommon</t>
        </is>
      </c>
      <c r="E16" s="134" t="n">
        <v>0</v>
      </c>
      <c r="F16" s="134" t="inlineStr">
        <is>
          <t>Tomas Duchek</t>
        </is>
      </c>
      <c r="G16" s="140" t="n">
        <v>0.23</v>
      </c>
      <c r="H16" s="135" t="inlineStr">
        <is>
          <t>The Hobbit</t>
        </is>
      </c>
    </row>
    <row r="17">
      <c r="A17" s="139" t="inlineStr">
        <is>
          <t>c0108</t>
        </is>
      </c>
      <c r="B17" s="134" t="n">
        <v>1</v>
      </c>
      <c r="C17" s="139" t="inlineStr">
        <is>
          <t>0001</t>
        </is>
      </c>
      <c r="D17" s="134" t="inlineStr">
        <is>
          <t>C</t>
        </is>
      </c>
      <c r="E17" s="134" t="n">
        <v>1</v>
      </c>
      <c r="F17" s="134" t="inlineStr">
        <is>
          <t>Quintin Gleim</t>
        </is>
      </c>
      <c r="G17" s="141" t="n">
        <v>0.33</v>
      </c>
      <c r="H17" s="136" t="inlineStr">
        <is>
          <t>Lorwyn Eclipsed</t>
        </is>
      </c>
    </row>
    <row r="18">
      <c r="A18" s="139" t="inlineStr">
        <is>
          <t>c0141</t>
        </is>
      </c>
      <c r="B18" s="134" t="n">
        <v>1</v>
      </c>
      <c r="C18" s="139" t="inlineStr">
        <is>
          <t>2</t>
        </is>
      </c>
      <c r="D18" s="134" t="inlineStr">
        <is>
          <t>Common</t>
        </is>
      </c>
      <c r="E18" s="134" t="n">
        <v>0</v>
      </c>
      <c r="F18" s="134" t="n"/>
      <c r="G18" s="141" t="n">
        <v>0.14</v>
      </c>
      <c r="H18" s="136" t="inlineStr">
        <is>
          <t>The Hobbit</t>
        </is>
      </c>
    </row>
    <row r="19">
      <c r="A19" s="139" t="inlineStr">
        <is>
          <t>c0797</t>
        </is>
      </c>
      <c r="B19" s="134" t="n">
        <v>1</v>
      </c>
      <c r="C19" s="139" t="inlineStr">
        <is>
          <t>0021</t>
        </is>
      </c>
      <c r="D19" s="134" t="inlineStr">
        <is>
          <t>C</t>
        </is>
      </c>
      <c r="E19" s="134" t="n">
        <v>1</v>
      </c>
      <c r="F19" s="134" t="inlineStr">
        <is>
          <t>Ikeda-cpt</t>
        </is>
      </c>
      <c r="G19" s="141" t="n">
        <v>0.14</v>
      </c>
      <c r="H19" s="136" t="inlineStr">
        <is>
          <t>Avatar: The Last Airbender</t>
        </is>
      </c>
    </row>
    <row r="20">
      <c r="A20" s="139" t="inlineStr">
        <is>
          <t>c0834</t>
        </is>
      </c>
      <c r="B20" s="134" t="n">
        <v>1</v>
      </c>
      <c r="C20" s="139" t="inlineStr">
        <is>
          <t>0023</t>
        </is>
      </c>
      <c r="D20" s="134" t="inlineStr">
        <is>
          <t>C</t>
        </is>
      </c>
      <c r="E20" s="134" t="n">
        <v>1</v>
      </c>
      <c r="F20" s="134" t="inlineStr">
        <is>
          <t>Yigit Koroglu</t>
        </is>
      </c>
      <c r="G20" s="141" t="n">
        <v>0.22</v>
      </c>
      <c r="H20" s="136" t="inlineStr">
        <is>
          <t>The Hobbit</t>
        </is>
      </c>
    </row>
    <row r="21">
      <c r="A21" s="139" t="inlineStr">
        <is>
          <t>c0884</t>
        </is>
      </c>
      <c r="B21" s="134" t="n">
        <v>1</v>
      </c>
      <c r="C21" s="139" t="inlineStr">
        <is>
          <t>0026</t>
        </is>
      </c>
      <c r="D21" s="134" t="inlineStr">
        <is>
          <t>C</t>
        </is>
      </c>
      <c r="E21" s="134" t="n">
        <v>1</v>
      </c>
      <c r="F21" s="134" t="inlineStr">
        <is>
          <t>John Di Giovanni</t>
        </is>
      </c>
      <c r="G21" s="141" t="n">
        <v>0.18</v>
      </c>
      <c r="H21" s="136" t="inlineStr">
        <is>
          <t>The Hobbit</t>
        </is>
      </c>
    </row>
    <row r="22">
      <c r="A22" s="139" t="inlineStr">
        <is>
          <t>c0737</t>
        </is>
      </c>
      <c r="B22" s="134" t="n">
        <v>1</v>
      </c>
      <c r="C22" s="139" t="inlineStr">
        <is>
          <t>0058</t>
        </is>
      </c>
      <c r="D22" s="134" t="inlineStr">
        <is>
          <t>C</t>
        </is>
      </c>
      <c r="E22" s="134" t="n">
        <v>1</v>
      </c>
      <c r="F22" s="134" t="inlineStr">
        <is>
          <t>Javier Charro</t>
        </is>
      </c>
      <c r="G22" s="141" t="n">
        <v>0.14</v>
      </c>
      <c r="H22" s="136" t="inlineStr">
        <is>
          <t>The Hobbit</t>
        </is>
      </c>
    </row>
    <row r="23">
      <c r="A23" s="139" t="inlineStr">
        <is>
          <t>c0031</t>
        </is>
      </c>
      <c r="B23" s="134" t="n">
        <v>1</v>
      </c>
      <c r="C23" s="139" t="inlineStr">
        <is>
          <t>67</t>
        </is>
      </c>
      <c r="D23" s="134" t="inlineStr">
        <is>
          <t>Common</t>
        </is>
      </c>
      <c r="E23" s="134" t="n">
        <v>0</v>
      </c>
      <c r="F23" s="134" t="inlineStr">
        <is>
          <t>Stanislav Sherbakov</t>
        </is>
      </c>
      <c r="G23" s="141" t="n">
        <v>0.12</v>
      </c>
      <c r="H23" s="136" t="inlineStr">
        <is>
          <t>The Hobbit</t>
        </is>
      </c>
    </row>
    <row r="24">
      <c r="A24" s="139" t="inlineStr">
        <is>
          <t>c0001</t>
        </is>
      </c>
      <c r="B24" s="134" t="n">
        <v>2</v>
      </c>
      <c r="C24" s="139" t="inlineStr">
        <is>
          <t>72</t>
        </is>
      </c>
      <c r="D24" s="134" t="inlineStr">
        <is>
          <t>Common</t>
        </is>
      </c>
      <c r="E24" s="134" t="n">
        <v>0</v>
      </c>
      <c r="F24" s="134" t="inlineStr">
        <is>
          <t>Josu Hernaiz</t>
        </is>
      </c>
      <c r="G24" s="141" t="n">
        <v>0.12</v>
      </c>
      <c r="H24" s="136" t="inlineStr">
        <is>
          <t>Secrets of Strixhaven</t>
        </is>
      </c>
    </row>
    <row r="25">
      <c r="A25" s="139" t="inlineStr">
        <is>
          <t>c0037</t>
        </is>
      </c>
      <c r="B25" s="134" t="n">
        <v>1</v>
      </c>
      <c r="C25" s="139" t="inlineStr">
        <is>
          <t>0073</t>
        </is>
      </c>
      <c r="D25" s="134" t="inlineStr">
        <is>
          <t>C</t>
        </is>
      </c>
      <c r="E25" s="134" t="n">
        <v>1</v>
      </c>
      <c r="F25" s="134" t="n"/>
      <c r="G25" s="141" t="n">
        <v>0.24</v>
      </c>
      <c r="H25" s="135" t="inlineStr">
        <is>
          <t>The Hobbit</t>
        </is>
      </c>
    </row>
    <row r="26">
      <c r="A26" s="139" t="inlineStr">
        <is>
          <t>c0605</t>
        </is>
      </c>
      <c r="B26" s="134" t="n">
        <v>1</v>
      </c>
      <c r="C26" s="139" t="inlineStr">
        <is>
          <t>0101</t>
        </is>
      </c>
      <c r="D26" s="134" t="inlineStr">
        <is>
          <t>C</t>
        </is>
      </c>
      <c r="E26" s="134" t="n">
        <v>1</v>
      </c>
      <c r="F26" s="134" t="inlineStr">
        <is>
          <t>Michele Giorgi</t>
        </is>
      </c>
      <c r="G26" s="141" t="n">
        <v>0.25</v>
      </c>
      <c r="H26" s="136" t="inlineStr">
        <is>
          <t>The Hobbit</t>
        </is>
      </c>
    </row>
    <row r="27">
      <c r="A27" s="139" t="inlineStr">
        <is>
          <t>c0654</t>
        </is>
      </c>
      <c r="B27" s="134" t="n">
        <v>1</v>
      </c>
      <c r="C27" s="139" t="inlineStr">
        <is>
          <t>109</t>
        </is>
      </c>
      <c r="D27" s="134" t="inlineStr">
        <is>
          <t>Common</t>
        </is>
      </c>
      <c r="E27" s="134" t="n">
        <v>0</v>
      </c>
      <c r="F27" s="134" t="n"/>
      <c r="G27" s="141" t="n">
        <v>0.15</v>
      </c>
      <c r="H27" s="136" t="inlineStr">
        <is>
          <t>The Hobbit</t>
        </is>
      </c>
    </row>
    <row r="28">
      <c r="A28" s="139" t="inlineStr">
        <is>
          <t>c0187</t>
        </is>
      </c>
      <c r="B28" s="134" t="n">
        <v>1</v>
      </c>
      <c r="C28" s="139" t="inlineStr">
        <is>
          <t>116</t>
        </is>
      </c>
      <c r="D28" s="134" t="inlineStr">
        <is>
          <t>Common</t>
        </is>
      </c>
      <c r="E28" s="134" t="n">
        <v>0</v>
      </c>
      <c r="F28" s="134" t="n"/>
      <c r="G28" s="141" t="n">
        <v>0.17</v>
      </c>
      <c r="H28" s="136" t="inlineStr">
        <is>
          <t>The Hobbit</t>
        </is>
      </c>
    </row>
    <row r="29">
      <c r="A29" s="139" t="inlineStr">
        <is>
          <t>c0551</t>
        </is>
      </c>
      <c r="B29" s="134" t="n">
        <v>1</v>
      </c>
      <c r="C29" s="139" t="inlineStr">
        <is>
          <t>0129</t>
        </is>
      </c>
      <c r="D29" s="134" t="inlineStr">
        <is>
          <t>C</t>
        </is>
      </c>
      <c r="E29" s="134" t="n">
        <v>1</v>
      </c>
      <c r="F29" s="134" t="inlineStr">
        <is>
          <t>Jim Pavelec</t>
        </is>
      </c>
      <c r="G29" s="141" t="n">
        <v>0.28</v>
      </c>
      <c r="H29" s="135" t="inlineStr">
        <is>
          <t>Lorwyn Eclipsed</t>
        </is>
      </c>
    </row>
    <row r="30">
      <c r="A30" s="139" t="inlineStr">
        <is>
          <t>c0604</t>
        </is>
      </c>
      <c r="B30" s="134" t="n">
        <v>1</v>
      </c>
      <c r="C30" s="139" t="inlineStr">
        <is>
          <t>0144</t>
        </is>
      </c>
      <c r="D30" s="134" t="inlineStr">
        <is>
          <t>C</t>
        </is>
      </c>
      <c r="E30" s="134" t="n">
        <v>1</v>
      </c>
      <c r="F30" s="134" t="inlineStr">
        <is>
          <t>Filip Burburan</t>
        </is>
      </c>
      <c r="G30" s="141" t="n">
        <v>0.3</v>
      </c>
      <c r="H30" s="135" t="inlineStr">
        <is>
          <t>Lorwyn Eclipsed</t>
        </is>
      </c>
    </row>
    <row r="31">
      <c r="A31" s="139" t="inlineStr">
        <is>
          <t>c0236</t>
        </is>
      </c>
      <c r="B31" s="134" t="n">
        <v>1</v>
      </c>
      <c r="C31" s="139" t="inlineStr">
        <is>
          <t>181</t>
        </is>
      </c>
      <c r="D31" s="134" t="inlineStr">
        <is>
          <t>Common</t>
        </is>
      </c>
      <c r="E31" s="134" t="n">
        <v>0</v>
      </c>
      <c r="F31" s="134" t="n"/>
      <c r="G31" s="141" t="n">
        <v>0.16</v>
      </c>
      <c r="H31" s="135" t="inlineStr">
        <is>
          <t>Lorwyn Eclipsed</t>
        </is>
      </c>
    </row>
    <row r="32">
      <c r="A32" s="139" t="inlineStr">
        <is>
          <t>c0476</t>
        </is>
      </c>
      <c r="B32" s="134" t="n">
        <v>1</v>
      </c>
      <c r="C32" s="139" t="inlineStr">
        <is>
          <t>0237</t>
        </is>
      </c>
      <c r="D32" s="134" t="inlineStr">
        <is>
          <t>C</t>
        </is>
      </c>
      <c r="E32" s="134" t="n">
        <v>1</v>
      </c>
      <c r="F32" s="134" t="inlineStr">
        <is>
          <t>Salvatorre Zee Yazzie</t>
        </is>
      </c>
      <c r="G32" s="141" t="n">
        <v>0.16</v>
      </c>
      <c r="H32" s="135" t="inlineStr">
        <is>
          <t>Avatar: The Last Airbender</t>
        </is>
      </c>
    </row>
    <row r="33">
      <c r="A33" s="139" t="inlineStr">
        <is>
          <t>c0125</t>
        </is>
      </c>
      <c r="B33" s="134" t="n">
        <v>1</v>
      </c>
      <c r="C33" s="139" t="inlineStr">
        <is>
          <t>0256</t>
        </is>
      </c>
      <c r="D33" s="134" t="inlineStr">
        <is>
          <t>C</t>
        </is>
      </c>
      <c r="E33" s="134" t="n">
        <v>1</v>
      </c>
      <c r="F33" s="134" t="inlineStr">
        <is>
          <t>Ron Spencer</t>
        </is>
      </c>
      <c r="G33" s="141" t="n">
        <v>0.27</v>
      </c>
      <c r="H33" s="136" t="inlineStr">
        <is>
          <t>Lorwyn Eclipsed</t>
        </is>
      </c>
    </row>
    <row r="34">
      <c r="A34" s="139" t="inlineStr">
        <is>
          <t>c0349</t>
        </is>
      </c>
      <c r="B34" s="134" t="n">
        <v>1</v>
      </c>
      <c r="C34" s="139" t="inlineStr">
        <is>
          <t>0258</t>
        </is>
      </c>
      <c r="D34" s="134" t="inlineStr">
        <is>
          <t>C</t>
        </is>
      </c>
      <c r="E34" s="134" t="n">
        <v>1</v>
      </c>
      <c r="F34" s="134" t="inlineStr">
        <is>
          <t>David Alvarez</t>
        </is>
      </c>
      <c r="G34" s="141" t="n">
        <v>0.3</v>
      </c>
      <c r="H34" s="135" t="inlineStr">
        <is>
          <t>Aetherdrift</t>
        </is>
      </c>
    </row>
    <row r="35">
      <c r="A35" s="139" t="inlineStr">
        <is>
          <t>c0867</t>
        </is>
      </c>
      <c r="B35" s="134" t="n">
        <v>2</v>
      </c>
      <c r="C35" s="139" t="inlineStr">
        <is>
          <t>0775</t>
        </is>
      </c>
      <c r="D35" s="134" t="inlineStr">
        <is>
          <t>C</t>
        </is>
      </c>
      <c r="E35" s="134" t="n">
        <v>2</v>
      </c>
      <c r="F35" s="134" t="inlineStr">
        <is>
          <t>Zoltan Boros</t>
        </is>
      </c>
      <c r="G35" s="141" t="n">
        <v>0.25</v>
      </c>
      <c r="H35" s="135" t="inlineStr">
        <is>
          <t>Marvel's Spider-Man</t>
        </is>
      </c>
    </row>
    <row r="36">
      <c r="A36" s="139" t="inlineStr">
        <is>
          <t>c0328</t>
        </is>
      </c>
      <c r="B36" s="134" t="n">
        <v>1</v>
      </c>
      <c r="C36" s="139" t="inlineStr">
        <is>
          <t>0183</t>
        </is>
      </c>
      <c r="D36" s="134" t="inlineStr">
        <is>
          <t>L</t>
        </is>
      </c>
      <c r="E36" s="134" t="n">
        <v>1</v>
      </c>
      <c r="F36" s="134" t="inlineStr">
        <is>
          <t>Sean Vo</t>
        </is>
      </c>
      <c r="G36" s="141" t="n">
        <v>0.18</v>
      </c>
      <c r="H36" s="136" t="inlineStr">
        <is>
          <t>The Hobbit</t>
        </is>
      </c>
    </row>
    <row r="37">
      <c r="A37" s="139" t="inlineStr">
        <is>
          <t>c0297</t>
        </is>
      </c>
      <c r="B37" s="134" t="n">
        <v>1</v>
      </c>
      <c r="C37" s="139" t="inlineStr">
        <is>
          <t>0265</t>
        </is>
      </c>
      <c r="D37" s="134" t="inlineStr">
        <is>
          <t>L</t>
        </is>
      </c>
      <c r="E37" s="134" t="n">
        <v>1</v>
      </c>
      <c r="F37" s="134" t="inlineStr">
        <is>
          <t>Andreas Rocha</t>
        </is>
      </c>
      <c r="G37" s="141" t="n">
        <v>0.29</v>
      </c>
      <c r="H37" s="135" t="inlineStr">
        <is>
          <t>Avatar: The Last Airbender</t>
        </is>
      </c>
    </row>
    <row r="38">
      <c r="A38" s="139" t="inlineStr">
        <is>
          <t>c0382</t>
        </is>
      </c>
      <c r="B38" s="134" t="n">
        <v>1</v>
      </c>
      <c r="C38" s="139" t="inlineStr">
        <is>
          <t>266</t>
        </is>
      </c>
      <c r="D38" s="134" t="inlineStr">
        <is>
          <t>Common</t>
        </is>
      </c>
      <c r="E38" s="134" t="n">
        <v>0</v>
      </c>
      <c r="F38" s="134" t="inlineStr">
        <is>
          <t>Lorenzo Lanfranconi</t>
        </is>
      </c>
      <c r="G38" s="141" t="n">
        <v>0.19</v>
      </c>
      <c r="H38" s="136" t="inlineStr">
        <is>
          <t>Secrets of Strixhaven</t>
        </is>
      </c>
    </row>
    <row r="39">
      <c r="A39" s="139" t="inlineStr">
        <is>
          <t>c0216</t>
        </is>
      </c>
      <c r="B39" s="134" t="n">
        <v>1</v>
      </c>
      <c r="C39" s="139" t="inlineStr">
        <is>
          <t>149</t>
        </is>
      </c>
      <c r="D39" s="134" t="inlineStr">
        <is>
          <t>Mythic</t>
        </is>
      </c>
      <c r="E39" s="134" t="n">
        <v>0</v>
      </c>
      <c r="F39" s="134" t="inlineStr">
        <is>
          <t>Johan Grenier</t>
        </is>
      </c>
      <c r="G39" s="141" t="n">
        <v>8.82</v>
      </c>
      <c r="H39" s="136" t="inlineStr">
        <is>
          <t>Secrets of Strixhaven</t>
        </is>
      </c>
    </row>
    <row r="40">
      <c r="A40" s="139" t="inlineStr">
        <is>
          <t>c0173</t>
        </is>
      </c>
      <c r="B40" s="134" t="n">
        <v>1</v>
      </c>
      <c r="C40" s="139" t="inlineStr">
        <is>
          <t>0002</t>
        </is>
      </c>
      <c r="D40" s="134" t="inlineStr">
        <is>
          <t>R</t>
        </is>
      </c>
      <c r="E40" s="134" t="n">
        <v>1</v>
      </c>
      <c r="F40" s="134" t="inlineStr">
        <is>
          <t>Russell Lu</t>
        </is>
      </c>
      <c r="G40" s="141" t="n">
        <v>1.87</v>
      </c>
      <c r="H40" s="135" t="inlineStr">
        <is>
          <t>Final Fantasy</t>
        </is>
      </c>
    </row>
    <row r="41">
      <c r="A41" s="139" t="inlineStr">
        <is>
          <t>c0425</t>
        </is>
      </c>
      <c r="B41" s="134" t="n">
        <v>1</v>
      </c>
      <c r="C41" s="139" t="inlineStr">
        <is>
          <t>63</t>
        </is>
      </c>
      <c r="D41" s="134" t="inlineStr">
        <is>
          <t>Rare</t>
        </is>
      </c>
      <c r="E41" s="134" t="n">
        <v>0</v>
      </c>
      <c r="F41" s="134" t="inlineStr">
        <is>
          <t>Alex Stone</t>
        </is>
      </c>
      <c r="G41" s="141" t="n">
        <v>2.26</v>
      </c>
      <c r="H41" s="136" t="inlineStr">
        <is>
          <t>Secrets of Strixhaven Mystical Archive</t>
        </is>
      </c>
    </row>
    <row r="42">
      <c r="A42" s="139" t="inlineStr">
        <is>
          <t>c0485</t>
        </is>
      </c>
      <c r="B42" s="134" t="n">
        <v>1</v>
      </c>
      <c r="C42" s="139" t="inlineStr">
        <is>
          <t>0150</t>
        </is>
      </c>
      <c r="D42" s="134" t="inlineStr">
        <is>
          <t>R</t>
        </is>
      </c>
      <c r="E42" s="134" t="n">
        <v>0</v>
      </c>
      <c r="F42" s="134" t="inlineStr">
        <is>
          <t>Andreia Ugrai</t>
        </is>
      </c>
      <c r="G42" s="141" t="n">
        <v>1.47</v>
      </c>
      <c r="H42" s="135" t="inlineStr">
        <is>
          <t>Assassin's Creed</t>
        </is>
      </c>
    </row>
    <row r="43">
      <c r="A43" s="139" t="inlineStr">
        <is>
          <t>c0902</t>
        </is>
      </c>
      <c r="B43" s="134" t="n">
        <v>1</v>
      </c>
      <c r="C43" s="139" t="inlineStr">
        <is>
          <t>0183</t>
        </is>
      </c>
      <c r="D43" s="134" t="inlineStr">
        <is>
          <t>R</t>
        </is>
      </c>
      <c r="E43" s="134" t="n">
        <v>0</v>
      </c>
      <c r="F43" s="134" t="inlineStr">
        <is>
          <t>Javier Charro</t>
        </is>
      </c>
      <c r="G43" s="140" t="n">
        <v>1.41</v>
      </c>
      <c r="H43" s="135" t="inlineStr">
        <is>
          <t>Onslaught</t>
        </is>
      </c>
    </row>
    <row r="44">
      <c r="A44" s="139" t="inlineStr">
        <is>
          <t>c0502</t>
        </is>
      </c>
      <c r="B44" s="134" t="n">
        <v>1</v>
      </c>
      <c r="C44" s="139" t="inlineStr">
        <is>
          <t>245</t>
        </is>
      </c>
      <c r="D44" s="134" t="inlineStr">
        <is>
          <t>Rare</t>
        </is>
      </c>
      <c r="E44" s="134" t="n">
        <v>0</v>
      </c>
      <c r="F44" s="134" t="n"/>
      <c r="G44" s="141" t="n">
        <v>1.5</v>
      </c>
      <c r="H44" s="136" t="inlineStr">
        <is>
          <t>The Hobbit</t>
        </is>
      </c>
    </row>
    <row r="45">
      <c r="A45" s="139" t="inlineStr">
        <is>
          <t>c0779</t>
        </is>
      </c>
      <c r="B45" s="134" t="n">
        <v>1</v>
      </c>
      <c r="C45" s="139" t="inlineStr">
        <is>
          <t>4</t>
        </is>
      </c>
      <c r="D45" s="134" t="inlineStr">
        <is>
          <t>Uncommon</t>
        </is>
      </c>
      <c r="E45" s="134" t="n">
        <v>0</v>
      </c>
      <c r="F45" s="134" t="inlineStr">
        <is>
          <t>Zuzanna Wuzyk</t>
        </is>
      </c>
      <c r="G45" s="141" t="n">
        <v>0.32</v>
      </c>
      <c r="H45" s="136" t="inlineStr">
        <is>
          <t>Secrets of Strixhaven Mystical Archive</t>
        </is>
      </c>
    </row>
    <row r="46">
      <c r="A46" s="139" t="inlineStr">
        <is>
          <t>c0803</t>
        </is>
      </c>
      <c r="B46" s="134" t="n">
        <v>1</v>
      </c>
      <c r="C46" s="139" t="inlineStr">
        <is>
          <t>6</t>
        </is>
      </c>
      <c r="D46" s="134" t="inlineStr">
        <is>
          <t>Uncommon</t>
        </is>
      </c>
      <c r="E46" s="134" t="n">
        <v>0</v>
      </c>
      <c r="F46" s="134" t="inlineStr">
        <is>
          <t>Alex Stone</t>
        </is>
      </c>
      <c r="G46" s="141" t="n">
        <v>0.28</v>
      </c>
      <c r="H46" s="136" t="inlineStr">
        <is>
          <t>Secrets of Strixhaven Mystical Archive</t>
        </is>
      </c>
    </row>
    <row r="47">
      <c r="A47" s="139" t="inlineStr">
        <is>
          <t>c0816</t>
        </is>
      </c>
      <c r="B47" s="134" t="n">
        <v>1</v>
      </c>
      <c r="C47" s="139" t="inlineStr">
        <is>
          <t>0023</t>
        </is>
      </c>
      <c r="D47" s="134" t="inlineStr">
        <is>
          <t>U</t>
        </is>
      </c>
      <c r="E47" s="134" t="n">
        <v>1</v>
      </c>
      <c r="F47" s="134" t="inlineStr">
        <is>
          <t>Filip Burburan</t>
        </is>
      </c>
      <c r="G47" s="141" t="n">
        <v>0.22</v>
      </c>
      <c r="H47" s="135" t="inlineStr">
        <is>
          <t>Lorwyn Eclipsed</t>
        </is>
      </c>
    </row>
    <row r="48">
      <c r="A48" s="139" t="inlineStr">
        <is>
          <t>c0872</t>
        </is>
      </c>
      <c r="B48" s="134" t="n">
        <v>2</v>
      </c>
      <c r="C48" s="139" t="inlineStr">
        <is>
          <t>34</t>
        </is>
      </c>
      <c r="D48" s="134" t="inlineStr">
        <is>
          <t>Uncommon</t>
        </is>
      </c>
      <c r="E48" s="134" t="n">
        <v>0</v>
      </c>
      <c r="F48" s="134" t="inlineStr">
        <is>
          <t>Nathaniel Himawan</t>
        </is>
      </c>
      <c r="G48" s="141" t="n">
        <v>0.11</v>
      </c>
      <c r="H48" s="136" t="inlineStr">
        <is>
          <t>Secrets of Strixhaven</t>
        </is>
      </c>
    </row>
    <row r="49">
      <c r="A49" s="139" t="inlineStr">
        <is>
          <t>c0629</t>
        </is>
      </c>
      <c r="B49" s="134" t="n">
        <v>1</v>
      </c>
      <c r="C49" s="139" t="inlineStr">
        <is>
          <t>0035</t>
        </is>
      </c>
      <c r="D49" s="134" t="inlineStr">
        <is>
          <t>U</t>
        </is>
      </c>
      <c r="E49" s="134" t="n">
        <v>1</v>
      </c>
      <c r="F49" s="134" t="inlineStr">
        <is>
          <t>Alexandre Honore</t>
        </is>
      </c>
      <c r="G49" s="141" t="n">
        <v>0.29</v>
      </c>
      <c r="H49" s="135" t="inlineStr">
        <is>
          <t>Assassin's Creed</t>
        </is>
      </c>
    </row>
    <row r="50">
      <c r="A50" s="139" t="inlineStr">
        <is>
          <t>c0280</t>
        </is>
      </c>
      <c r="B50" s="134" t="n">
        <v>1</v>
      </c>
      <c r="C50" s="139" t="inlineStr">
        <is>
          <t>0046</t>
        </is>
      </c>
      <c r="D50" s="134" t="inlineStr">
        <is>
          <t>U</t>
        </is>
      </c>
      <c r="E50" s="134" t="n">
        <v>0</v>
      </c>
      <c r="F50" s="134" t="inlineStr">
        <is>
          <t>Square Enix</t>
        </is>
      </c>
      <c r="G50" s="141" t="n">
        <v>0.3</v>
      </c>
      <c r="H50" s="135" t="inlineStr">
        <is>
          <t>Final Fantasy: Through the Ages</t>
        </is>
      </c>
      <c r="I50" t="inlineStr">
        <is>
          <t>Vayne Carudas Solidor</t>
        </is>
      </c>
    </row>
    <row r="51">
      <c r="A51" s="139" t="inlineStr">
        <is>
          <t>c0217</t>
        </is>
      </c>
      <c r="B51" s="134" t="n">
        <v>1</v>
      </c>
      <c r="C51" s="139" t="inlineStr">
        <is>
          <t>52</t>
        </is>
      </c>
      <c r="D51" s="134" t="inlineStr">
        <is>
          <t>Uncommon</t>
        </is>
      </c>
      <c r="E51" s="134" t="n">
        <v>0</v>
      </c>
      <c r="F51" s="134" t="n"/>
      <c r="G51" s="141" t="n">
        <v>0.05</v>
      </c>
      <c r="H51" s="136" t="inlineStr">
        <is>
          <t>Secrets of Strixhaven Mystical Archive</t>
        </is>
      </c>
    </row>
    <row r="52">
      <c r="A52" s="139" t="inlineStr">
        <is>
          <t>c0259</t>
        </is>
      </c>
      <c r="B52" s="134" t="n">
        <v>1</v>
      </c>
      <c r="C52" s="139" t="inlineStr">
        <is>
          <t>56</t>
        </is>
      </c>
      <c r="D52" s="134" t="inlineStr">
        <is>
          <t>Uncommon</t>
        </is>
      </c>
      <c r="E52" s="134" t="n">
        <v>0</v>
      </c>
      <c r="F52" s="134" t="n"/>
      <c r="G52" s="141" t="n">
        <v>0.27</v>
      </c>
      <c r="H52" s="136" t="inlineStr">
        <is>
          <t>Secrets of Strixhaven Mystical Archive</t>
        </is>
      </c>
    </row>
    <row r="53">
      <c r="A53" s="139" t="inlineStr">
        <is>
          <t>c0262</t>
        </is>
      </c>
      <c r="B53" s="134" t="n">
        <v>1</v>
      </c>
      <c r="C53" s="139" t="inlineStr">
        <is>
          <t>58</t>
        </is>
      </c>
      <c r="D53" s="134" t="inlineStr">
        <is>
          <t>Uncommon</t>
        </is>
      </c>
      <c r="E53" s="134" t="n">
        <v>0</v>
      </c>
      <c r="F53" s="134" t="inlineStr">
        <is>
          <t>Lenka Šimečková</t>
        </is>
      </c>
      <c r="G53" s="141" t="n">
        <v>0.36</v>
      </c>
      <c r="H53" s="136" t="inlineStr">
        <is>
          <t>Secrets of Strixhaven Mystical Archive</t>
        </is>
      </c>
    </row>
    <row r="54">
      <c r="A54" s="139" t="inlineStr">
        <is>
          <t>c0026</t>
        </is>
      </c>
      <c r="B54" s="134" t="n">
        <v>1</v>
      </c>
      <c r="C54" s="139" t="inlineStr">
        <is>
          <t>66</t>
        </is>
      </c>
      <c r="D54" s="134" t="inlineStr">
        <is>
          <t>Uncommon</t>
        </is>
      </c>
      <c r="E54" s="134" t="n">
        <v>0</v>
      </c>
      <c r="F54" s="134" t="inlineStr">
        <is>
          <t>Andreia Ugrai</t>
        </is>
      </c>
      <c r="G54" s="140" t="n">
        <v>0.22</v>
      </c>
      <c r="H54" s="136" t="inlineStr">
        <is>
          <t>The Hobbit</t>
        </is>
      </c>
    </row>
    <row r="55">
      <c r="A55" s="139" t="inlineStr">
        <is>
          <t>c0240</t>
        </is>
      </c>
      <c r="B55" s="134" t="n">
        <v>1</v>
      </c>
      <c r="C55" s="139" t="inlineStr">
        <is>
          <t>0129</t>
        </is>
      </c>
      <c r="D55" s="134" t="inlineStr">
        <is>
          <t>U</t>
        </is>
      </c>
      <c r="E55" s="134" t="n">
        <v>1</v>
      </c>
      <c r="F55" s="134" t="inlineStr">
        <is>
          <t>Sean Vo</t>
        </is>
      </c>
      <c r="G55" s="141" t="n">
        <v>0.27</v>
      </c>
      <c r="H55" s="136" t="inlineStr">
        <is>
          <t>The Hobbit</t>
        </is>
      </c>
    </row>
    <row r="56">
      <c r="A56" s="139" t="inlineStr">
        <is>
          <t>c0394</t>
        </is>
      </c>
      <c r="B56" s="134" t="n">
        <v>1</v>
      </c>
      <c r="C56" s="139" t="inlineStr">
        <is>
          <t>0138</t>
        </is>
      </c>
      <c r="D56" s="134" t="inlineStr">
        <is>
          <t>U</t>
        </is>
      </c>
      <c r="E56" s="134" t="n">
        <v>0</v>
      </c>
      <c r="F56" s="134" t="inlineStr">
        <is>
          <t>Bastien L. Deharme</t>
        </is>
      </c>
      <c r="G56" s="141" t="n">
        <v>0.3</v>
      </c>
      <c r="H56" s="135" t="inlineStr">
        <is>
          <t>Assassin's Creed</t>
        </is>
      </c>
    </row>
    <row r="57">
      <c r="A57" s="139" t="inlineStr">
        <is>
          <t>c0411</t>
        </is>
      </c>
      <c r="B57" s="134" t="n">
        <v>3</v>
      </c>
      <c r="C57" s="139" t="inlineStr">
        <is>
          <t>178</t>
        </is>
      </c>
      <c r="D57" s="134" t="inlineStr">
        <is>
          <t>Uncommon</t>
        </is>
      </c>
      <c r="E57" s="134" t="n">
        <v>0</v>
      </c>
      <c r="F57" s="134" t="inlineStr">
        <is>
          <t>Inkognit</t>
        </is>
      </c>
      <c r="G57" s="141" t="n">
        <v>0.34</v>
      </c>
      <c r="H57" s="136" t="inlineStr">
        <is>
          <t>Secrets of Strixhaven</t>
        </is>
      </c>
    </row>
    <row r="58">
      <c r="A58" s="139" t="inlineStr">
        <is>
          <t>c0458</t>
        </is>
      </c>
      <c r="B58" s="134" t="n">
        <v>1</v>
      </c>
      <c r="C58" s="139" t="inlineStr">
        <is>
          <t>198</t>
        </is>
      </c>
      <c r="D58" s="134" t="inlineStr">
        <is>
          <t>Uncommon</t>
        </is>
      </c>
      <c r="E58" s="134" t="n">
        <v>0</v>
      </c>
      <c r="F58" s="134" t="inlineStr">
        <is>
          <t>Bryan Sola</t>
        </is>
      </c>
      <c r="G58" s="141" t="n">
        <v>0.17</v>
      </c>
      <c r="H58" s="135" t="inlineStr">
        <is>
          <t>Secrets of Strixhaven</t>
        </is>
      </c>
    </row>
    <row r="59">
      <c r="A59" s="139" t="inlineStr">
        <is>
          <t>c0172</t>
        </is>
      </c>
      <c r="B59" s="134" t="n">
        <v>1</v>
      </c>
      <c r="C59" s="139" t="inlineStr">
        <is>
          <t>199</t>
        </is>
      </c>
      <c r="D59" s="134" t="inlineStr">
        <is>
          <t>Uncommon</t>
        </is>
      </c>
      <c r="E59" s="134" t="n">
        <v>0</v>
      </c>
      <c r="F59" s="134" t="n"/>
      <c r="G59" s="141" t="n">
        <v>0.31</v>
      </c>
      <c r="H59" s="136" t="inlineStr">
        <is>
          <t>The Hobbit</t>
        </is>
      </c>
    </row>
    <row r="60">
      <c r="A60" s="139" t="inlineStr">
        <is>
          <t>c0117</t>
        </is>
      </c>
      <c r="B60" s="134" t="n">
        <v>1</v>
      </c>
      <c r="C60" s="139" t="inlineStr">
        <is>
          <t>254</t>
        </is>
      </c>
      <c r="D60" s="134" t="inlineStr">
        <is>
          <t>Uncommon</t>
        </is>
      </c>
      <c r="E60" s="134" t="n">
        <v>0</v>
      </c>
      <c r="F60" s="134" t="n"/>
      <c r="G60" s="141" t="n">
        <v>0.31</v>
      </c>
      <c r="H60" s="135" t="inlineStr">
        <is>
          <t>Lorwyn Eclipsed</t>
        </is>
      </c>
    </row>
    <row r="61">
      <c r="A61" s="139" t="inlineStr">
        <is>
          <t>c0493</t>
        </is>
      </c>
      <c r="B61" s="134" t="n">
        <v>1</v>
      </c>
      <c r="C61" s="139" t="inlineStr">
        <is>
          <t>0327</t>
        </is>
      </c>
      <c r="D61" s="134" t="inlineStr">
        <is>
          <t>U</t>
        </is>
      </c>
      <c r="E61" s="134" t="n">
        <v>1</v>
      </c>
      <c r="F61" s="134" t="inlineStr">
        <is>
          <t>Adam Volker</t>
        </is>
      </c>
      <c r="G61" s="141" t="n">
        <v>0.25</v>
      </c>
      <c r="H61" s="135" t="inlineStr">
        <is>
          <t>Aetherdrift</t>
        </is>
      </c>
    </row>
    <row r="62">
      <c r="A62" s="139" t="inlineStr">
        <is>
          <t>c0026</t>
        </is>
      </c>
      <c r="B62" s="134" t="n">
        <v>1</v>
      </c>
      <c r="C62" s="139" t="inlineStr">
        <is>
          <t>O206</t>
        </is>
      </c>
      <c r="D62" s="134" t="inlineStr">
        <is>
          <t>U</t>
        </is>
      </c>
      <c r="E62" s="134" t="n">
        <v>0</v>
      </c>
      <c r="F62" s="134" t="inlineStr">
        <is>
          <t>Denman Rooke</t>
        </is>
      </c>
      <c r="G62" s="141" t="n">
        <v>1.05</v>
      </c>
      <c r="H62" s="136" t="inlineStr">
        <is>
          <t>The Hobbit</t>
        </is>
      </c>
    </row>
    <row r="63">
      <c r="A63" s="139" t="inlineStr">
        <is>
          <t>c0002</t>
        </is>
      </c>
      <c r="B63" s="134" t="n"/>
      <c r="C63" s="134" t="n"/>
      <c r="D63" s="134" t="n"/>
      <c r="E63" s="134" t="n"/>
      <c r="F63" s="134" t="n"/>
      <c r="G63" s="134" t="n">
        <v>0.14</v>
      </c>
      <c r="H63" s="135" t="inlineStr">
        <is>
          <t>Lorwyn Eclipsed</t>
        </is>
      </c>
    </row>
    <row r="64">
      <c r="A64" s="139" t="inlineStr">
        <is>
          <t>c0003</t>
        </is>
      </c>
      <c r="B64" s="134" t="n"/>
      <c r="C64" s="134" t="n"/>
      <c r="D64" s="134" t="n"/>
      <c r="E64" s="134" t="n"/>
      <c r="F64" s="134" t="n"/>
      <c r="G64" s="134" t="n">
        <v>0.4</v>
      </c>
      <c r="H64" s="135" t="inlineStr">
        <is>
          <t>Ravnica Allegiance</t>
        </is>
      </c>
    </row>
    <row r="65">
      <c r="A65" s="139" t="inlineStr">
        <is>
          <t>c0004</t>
        </is>
      </c>
      <c r="B65" s="134" t="n"/>
      <c r="C65" s="134" t="n"/>
      <c r="D65" s="134" t="n"/>
      <c r="E65" s="134" t="n"/>
      <c r="F65" s="134" t="n"/>
      <c r="G65" s="134" t="n">
        <v>0.34</v>
      </c>
      <c r="H65" s="135" t="inlineStr">
        <is>
          <t>Ikoria: Lair of Behemoths</t>
        </is>
      </c>
    </row>
    <row r="66">
      <c r="A66" s="139" t="inlineStr">
        <is>
          <t>c0005</t>
        </is>
      </c>
      <c r="B66" s="134" t="n"/>
      <c r="C66" s="134" t="n"/>
      <c r="D66" s="134" t="n"/>
      <c r="E66" s="134" t="n"/>
      <c r="F66" s="134" t="n"/>
      <c r="G66" s="134" t="n"/>
      <c r="H66" s="136" t="inlineStr">
        <is>
          <t>The Hobbit</t>
        </is>
      </c>
    </row>
    <row r="67">
      <c r="A67" s="139" t="inlineStr">
        <is>
          <t>c0006</t>
        </is>
      </c>
      <c r="B67" s="134" t="n"/>
      <c r="C67" s="134" t="n"/>
      <c r="D67" s="134" t="n"/>
      <c r="E67" s="134" t="n"/>
      <c r="F67" s="134" t="n"/>
      <c r="G67" s="134" t="n"/>
      <c r="H67" s="136" t="inlineStr">
        <is>
          <t>Lorwyn Eclipsed</t>
        </is>
      </c>
    </row>
    <row r="68">
      <c r="A68" s="139" t="inlineStr">
        <is>
          <t>c0007</t>
        </is>
      </c>
      <c r="B68" s="134" t="n"/>
      <c r="C68" s="134" t="n"/>
      <c r="D68" s="134" t="n"/>
      <c r="E68" s="134" t="n"/>
      <c r="F68" s="134" t="n"/>
      <c r="G68" s="134" t="n">
        <v>0.21</v>
      </c>
      <c r="H68" s="135" t="inlineStr">
        <is>
          <t>Dominaria United</t>
        </is>
      </c>
    </row>
    <row r="69">
      <c r="A69" s="139" t="inlineStr">
        <is>
          <t>c0008</t>
        </is>
      </c>
      <c r="B69" s="134" t="n"/>
      <c r="C69" s="134" t="n"/>
      <c r="D69" s="134" t="n"/>
      <c r="E69" s="134" t="n"/>
      <c r="F69" s="134" t="n"/>
      <c r="G69" s="134" t="n">
        <v>0.2</v>
      </c>
      <c r="H69" s="135" t="inlineStr">
        <is>
          <t>Lorwyn Eclipsed</t>
        </is>
      </c>
    </row>
    <row r="70">
      <c r="A70" s="139" t="inlineStr">
        <is>
          <t>c0009</t>
        </is>
      </c>
      <c r="B70" s="134" t="n"/>
      <c r="C70" s="134" t="n"/>
      <c r="D70" s="134" t="n"/>
      <c r="E70" s="134" t="n"/>
      <c r="F70" s="134" t="n"/>
      <c r="G70" s="134" t="n"/>
      <c r="H70" s="136" t="n"/>
    </row>
    <row r="71">
      <c r="A71" s="139" t="inlineStr">
        <is>
          <t>c0010</t>
        </is>
      </c>
      <c r="B71" s="134" t="n"/>
      <c r="C71" s="134" t="n"/>
      <c r="D71" s="134" t="n"/>
      <c r="E71" s="134" t="n"/>
      <c r="F71" s="134" t="n"/>
      <c r="G71" s="134" t="n">
        <v>3.68</v>
      </c>
      <c r="H71" s="135" t="inlineStr">
        <is>
          <t>Avacyn Restored</t>
        </is>
      </c>
    </row>
    <row r="72">
      <c r="A72" s="139" t="inlineStr">
        <is>
          <t>c0011</t>
        </is>
      </c>
      <c r="B72" s="134" t="n"/>
      <c r="C72" s="134" t="n"/>
      <c r="D72" s="134" t="n"/>
      <c r="E72" s="134" t="n"/>
      <c r="F72" s="134" t="n"/>
      <c r="G72" s="134" t="n">
        <v>0.31</v>
      </c>
      <c r="H72" s="135" t="inlineStr">
        <is>
          <t>Lorwyn Eclipsed</t>
        </is>
      </c>
    </row>
    <row r="73">
      <c r="A73" s="139" t="inlineStr">
        <is>
          <t>c0012</t>
        </is>
      </c>
      <c r="B73" s="134" t="n">
        <v>1</v>
      </c>
      <c r="C73" s="134" t="inlineStr">
        <is>
          <t>94</t>
        </is>
      </c>
      <c r="D73" s="134" t="inlineStr">
        <is>
          <t>Common</t>
        </is>
      </c>
      <c r="E73" s="134" t="n">
        <v>0</v>
      </c>
      <c r="F73" s="134" t="n"/>
      <c r="G73" s="134" t="n">
        <v>0.18</v>
      </c>
      <c r="H73" s="136" t="inlineStr">
        <is>
          <t>Lorwyn Eclipsed</t>
        </is>
      </c>
    </row>
    <row r="74">
      <c r="A74" s="139" t="inlineStr">
        <is>
          <t>c0013</t>
        </is>
      </c>
      <c r="B74" s="134" t="n"/>
      <c r="C74" s="134" t="n"/>
      <c r="D74" s="134" t="n"/>
      <c r="E74" s="134" t="n"/>
      <c r="F74" s="134" t="n"/>
      <c r="G74" s="134" t="n"/>
      <c r="H74" s="136" t="inlineStr">
        <is>
          <t>Avatar: The Last Airbender</t>
        </is>
      </c>
    </row>
    <row r="75">
      <c r="A75" s="139" t="inlineStr">
        <is>
          <t>c0014</t>
        </is>
      </c>
      <c r="B75" s="134" t="n"/>
      <c r="C75" s="134" t="n"/>
      <c r="D75" s="134" t="n"/>
      <c r="E75" s="134" t="n"/>
      <c r="F75" s="134" t="n"/>
      <c r="G75" s="134" t="n">
        <v>16.37</v>
      </c>
      <c r="H75" s="135" t="inlineStr">
        <is>
          <t>War of the Spark</t>
        </is>
      </c>
    </row>
    <row r="76">
      <c r="A76" s="139" t="inlineStr">
        <is>
          <t>c0015</t>
        </is>
      </c>
      <c r="B76" s="134" t="n"/>
      <c r="C76" s="134" t="n"/>
      <c r="D76" s="134" t="n"/>
      <c r="E76" s="134" t="n"/>
      <c r="F76" s="134" t="n"/>
      <c r="G76" s="141" t="n">
        <v>4.93</v>
      </c>
      <c r="H76" s="136" t="inlineStr">
        <is>
          <t>Dominaria United</t>
        </is>
      </c>
    </row>
    <row r="77">
      <c r="A77" s="139" t="inlineStr">
        <is>
          <t>c0016</t>
        </is>
      </c>
      <c r="B77" s="134" t="n"/>
      <c r="C77" s="134" t="n"/>
      <c r="D77" s="134" t="n"/>
      <c r="E77" s="134" t="n"/>
      <c r="F77" s="134" t="n"/>
      <c r="G77" s="134" t="n"/>
      <c r="H77" s="135" t="inlineStr">
        <is>
          <t>Scourge</t>
        </is>
      </c>
    </row>
    <row r="78">
      <c r="A78" s="139" t="inlineStr">
        <is>
          <t>c0017</t>
        </is>
      </c>
      <c r="B78" s="134" t="n"/>
      <c r="C78" s="134" t="n"/>
      <c r="D78" s="134" t="n"/>
      <c r="E78" s="134" t="n"/>
      <c r="F78" s="134" t="n"/>
      <c r="G78" s="134" t="n">
        <v>0.32</v>
      </c>
      <c r="H78" s="135" t="inlineStr">
        <is>
          <t>Assassin's Creed</t>
        </is>
      </c>
    </row>
    <row r="79">
      <c r="A79" s="139" t="inlineStr">
        <is>
          <t>c0018</t>
        </is>
      </c>
      <c r="B79" s="134" t="n"/>
      <c r="C79" s="134" t="n"/>
      <c r="D79" s="134" t="n"/>
      <c r="E79" s="134" t="n"/>
      <c r="F79" s="134" t="n"/>
      <c r="G79" s="134" t="n">
        <v>0.26</v>
      </c>
      <c r="H79" s="135" t="inlineStr">
        <is>
          <t>Ixalan</t>
        </is>
      </c>
    </row>
    <row r="80">
      <c r="A80" s="139" t="inlineStr">
        <is>
          <t>c0019</t>
        </is>
      </c>
      <c r="B80" s="134" t="n">
        <v>1</v>
      </c>
      <c r="C80" s="134" t="inlineStr">
        <is>
          <t>63</t>
        </is>
      </c>
      <c r="D80" s="134" t="inlineStr">
        <is>
          <t>Common</t>
        </is>
      </c>
      <c r="E80" s="134" t="n">
        <v>0</v>
      </c>
      <c r="F80" s="134" t="n"/>
      <c r="G80" s="134" t="n">
        <v>0.15</v>
      </c>
      <c r="H80" s="136" t="inlineStr">
        <is>
          <t>The Hobbit</t>
        </is>
      </c>
    </row>
    <row r="81">
      <c r="A81" s="139" t="inlineStr">
        <is>
          <t>c0020</t>
        </is>
      </c>
      <c r="B81" s="134" t="n"/>
      <c r="C81" s="134" t="n"/>
      <c r="D81" s="134" t="n"/>
      <c r="E81" s="134" t="n"/>
      <c r="F81" s="134" t="n"/>
      <c r="G81" s="134" t="n">
        <v>0.19</v>
      </c>
      <c r="H81" s="135" t="inlineStr">
        <is>
          <t>Avatar: The Last Airbender</t>
        </is>
      </c>
    </row>
    <row r="82">
      <c r="A82" s="139" t="inlineStr">
        <is>
          <t>c0021</t>
        </is>
      </c>
      <c r="B82" s="134" t="n"/>
      <c r="C82" s="134" t="n"/>
      <c r="D82" s="134" t="n"/>
      <c r="E82" s="134" t="n"/>
      <c r="F82" s="134" t="n"/>
      <c r="G82" s="134" t="n">
        <v>1.38</v>
      </c>
      <c r="H82" s="135" t="inlineStr">
        <is>
          <t>Avatar: The Last Airbender</t>
        </is>
      </c>
    </row>
    <row r="83">
      <c r="A83" s="139" t="inlineStr">
        <is>
          <t>c0022</t>
        </is>
      </c>
      <c r="B83" s="134" t="n"/>
      <c r="C83" s="134" t="n"/>
      <c r="D83" s="134" t="n"/>
      <c r="E83" s="134" t="n"/>
      <c r="F83" s="134" t="n"/>
      <c r="G83" s="134" t="n">
        <v>0.32</v>
      </c>
      <c r="H83" s="135" t="inlineStr">
        <is>
          <t>Adventures in the Forgotten Realms</t>
        </is>
      </c>
    </row>
    <row r="84">
      <c r="A84" s="139" t="inlineStr">
        <is>
          <t>c0023</t>
        </is>
      </c>
      <c r="B84" s="134" t="n"/>
      <c r="C84" s="134" t="n"/>
      <c r="D84" s="134" t="n"/>
      <c r="E84" s="134" t="n"/>
      <c r="F84" s="134" t="n"/>
      <c r="G84" s="134" t="n">
        <v>0.38</v>
      </c>
      <c r="H84" s="135" t="inlineStr">
        <is>
          <t>Assassin's Creed</t>
        </is>
      </c>
    </row>
    <row r="85">
      <c r="A85" s="139" t="inlineStr">
        <is>
          <t>c0024</t>
        </is>
      </c>
      <c r="B85" s="134" t="n"/>
      <c r="C85" s="134" t="n"/>
      <c r="D85" s="134" t="n"/>
      <c r="E85" s="134" t="n"/>
      <c r="F85" s="134" t="n"/>
      <c r="G85" s="134" t="n"/>
      <c r="H85" s="135" t="inlineStr">
        <is>
          <t>Odyssey</t>
        </is>
      </c>
    </row>
    <row r="86">
      <c r="A86" s="139" t="inlineStr">
        <is>
          <t>c0025</t>
        </is>
      </c>
      <c r="B86" s="134" t="n"/>
      <c r="C86" s="134" t="n"/>
      <c r="D86" s="134" t="n"/>
      <c r="E86" s="134" t="n"/>
      <c r="F86" s="134" t="n"/>
      <c r="G86" s="134" t="n">
        <v>15.32</v>
      </c>
      <c r="H86" s="135" t="inlineStr">
        <is>
          <t>Journey into Nyx</t>
        </is>
      </c>
    </row>
    <row r="87">
      <c r="A87" s="139" t="inlineStr">
        <is>
          <t>c0027</t>
        </is>
      </c>
      <c r="B87" s="134" t="n"/>
      <c r="C87" s="134" t="n"/>
      <c r="D87" s="134" t="n"/>
      <c r="E87" s="134" t="n"/>
      <c r="F87" s="134" t="n"/>
      <c r="G87" s="134" t="n">
        <v>1.01</v>
      </c>
      <c r="H87" s="135" t="inlineStr">
        <is>
          <t>War of the Spark</t>
        </is>
      </c>
    </row>
    <row r="88">
      <c r="A88" s="139" t="inlineStr">
        <is>
          <t>c0028</t>
        </is>
      </c>
      <c r="B88" s="134" t="n"/>
      <c r="C88" s="134" t="n"/>
      <c r="D88" s="134" t="n"/>
      <c r="E88" s="134" t="n"/>
      <c r="F88" s="134" t="n"/>
      <c r="G88" s="141" t="n"/>
      <c r="H88" s="136" t="inlineStr">
        <is>
          <t>Scars of Mirrodin</t>
        </is>
      </c>
    </row>
    <row r="89">
      <c r="A89" s="139" t="inlineStr">
        <is>
          <t>c0029</t>
        </is>
      </c>
      <c r="B89" s="134" t="n"/>
      <c r="C89" s="134" t="n"/>
      <c r="D89" s="134" t="n"/>
      <c r="E89" s="134" t="n"/>
      <c r="F89" s="134" t="n"/>
      <c r="G89" s="134" t="n">
        <v>0.21</v>
      </c>
      <c r="H89" s="135" t="inlineStr">
        <is>
          <t>Zendikar Rising</t>
        </is>
      </c>
    </row>
    <row r="90">
      <c r="A90" s="139" t="inlineStr">
        <is>
          <t>c0030</t>
        </is>
      </c>
      <c r="B90" s="134" t="n"/>
      <c r="C90" s="134" t="n"/>
      <c r="D90" s="134" t="n"/>
      <c r="E90" s="134" t="n"/>
      <c r="F90" s="134" t="n"/>
      <c r="G90" s="141" t="n"/>
      <c r="H90" s="136" t="inlineStr">
        <is>
          <t>Modern Horizons 3</t>
        </is>
      </c>
    </row>
    <row r="91">
      <c r="A91" s="139" t="inlineStr">
        <is>
          <t>c0032</t>
        </is>
      </c>
      <c r="B91" s="134" t="n"/>
      <c r="C91" s="134" t="n"/>
      <c r="D91" s="134" t="n"/>
      <c r="E91" s="134" t="n"/>
      <c r="F91" s="134" t="n"/>
      <c r="G91" s="134" t="n"/>
      <c r="H91" s="136" t="inlineStr">
        <is>
          <t>The Hobbit</t>
        </is>
      </c>
    </row>
    <row r="92">
      <c r="A92" s="139" t="inlineStr">
        <is>
          <t>c0033</t>
        </is>
      </c>
      <c r="B92" s="134" t="n"/>
      <c r="C92" s="134" t="n"/>
      <c r="D92" s="134" t="n"/>
      <c r="E92" s="134" t="n"/>
      <c r="F92" s="134" t="n"/>
      <c r="G92" s="134" t="n">
        <v>0.3</v>
      </c>
      <c r="H92" s="135" t="inlineStr">
        <is>
          <t>Lorwyn Eclipsed</t>
        </is>
      </c>
    </row>
    <row r="93">
      <c r="A93" s="139" t="inlineStr">
        <is>
          <t>c0034</t>
        </is>
      </c>
      <c r="B93" s="134" t="n"/>
      <c r="C93" s="134" t="n"/>
      <c r="D93" s="134" t="n"/>
      <c r="E93" s="134" t="n"/>
      <c r="F93" s="134" t="n"/>
      <c r="G93" s="134" t="n">
        <v>0.62</v>
      </c>
      <c r="H93" s="135" t="inlineStr">
        <is>
          <t>Mirrodin Besieged</t>
        </is>
      </c>
    </row>
    <row r="94">
      <c r="A94" s="139" t="inlineStr">
        <is>
          <t>c0035</t>
        </is>
      </c>
      <c r="B94" s="134" t="n"/>
      <c r="C94" s="134" t="n"/>
      <c r="D94" s="134" t="n"/>
      <c r="E94" s="134" t="n"/>
      <c r="F94" s="134" t="n"/>
      <c r="G94" s="134" t="n">
        <v>1.71</v>
      </c>
      <c r="H94" s="135" t="inlineStr">
        <is>
          <t>The Hobbit</t>
        </is>
      </c>
    </row>
    <row r="95">
      <c r="A95" s="139" t="inlineStr">
        <is>
          <t>c0036</t>
        </is>
      </c>
      <c r="B95" s="134" t="n">
        <v>1</v>
      </c>
      <c r="C95" s="134" t="inlineStr">
        <is>
          <t>71</t>
        </is>
      </c>
      <c r="D95" s="134" t="inlineStr">
        <is>
          <t>Common</t>
        </is>
      </c>
      <c r="E95" s="134" t="n">
        <v>0</v>
      </c>
      <c r="F95" s="134" t="n"/>
      <c r="G95" s="134" t="n">
        <v>0.15</v>
      </c>
      <c r="H95" s="136" t="inlineStr">
        <is>
          <t>The Hobbit</t>
        </is>
      </c>
    </row>
    <row r="96">
      <c r="A96" s="139" t="inlineStr">
        <is>
          <t>c0038</t>
        </is>
      </c>
      <c r="B96" s="134" t="n">
        <v>1</v>
      </c>
      <c r="C96" s="134" t="inlineStr">
        <is>
          <t>107</t>
        </is>
      </c>
      <c r="D96" s="134" t="inlineStr">
        <is>
          <t>Common</t>
        </is>
      </c>
      <c r="E96" s="134" t="n">
        <v>0</v>
      </c>
      <c r="F96" s="134" t="n"/>
      <c r="G96" s="134" t="n">
        <v>0.17</v>
      </c>
      <c r="H96" s="135" t="inlineStr">
        <is>
          <t>Lorwyn Eclipsed</t>
        </is>
      </c>
    </row>
    <row r="97">
      <c r="A97" s="139" t="inlineStr">
        <is>
          <t>c0039</t>
        </is>
      </c>
      <c r="B97" s="134" t="n"/>
      <c r="C97" s="134" t="n"/>
      <c r="D97" s="134" t="n"/>
      <c r="E97" s="134" t="n"/>
      <c r="F97" s="134" t="n"/>
      <c r="G97" s="134" t="n">
        <v>0.18</v>
      </c>
      <c r="H97" s="135" t="inlineStr">
        <is>
          <t>Assassin's Creed</t>
        </is>
      </c>
    </row>
    <row r="98">
      <c r="A98" s="139" t="inlineStr">
        <is>
          <t>c0040</t>
        </is>
      </c>
      <c r="B98" s="134" t="n"/>
      <c r="C98" s="134" t="n"/>
      <c r="D98" s="134" t="n"/>
      <c r="E98" s="134" t="n"/>
      <c r="F98" s="134" t="n"/>
      <c r="G98" s="134" t="n">
        <v>0.4</v>
      </c>
      <c r="H98" s="135" t="inlineStr">
        <is>
          <t>Phyrexia: All Will Be One</t>
        </is>
      </c>
    </row>
    <row r="99">
      <c r="A99" s="139" t="inlineStr">
        <is>
          <t>c0041</t>
        </is>
      </c>
      <c r="B99" s="134" t="n"/>
      <c r="C99" s="134" t="n"/>
      <c r="D99" s="134" t="n"/>
      <c r="E99" s="134" t="n"/>
      <c r="F99" s="134" t="n"/>
      <c r="G99" s="141" t="n">
        <v>0.33</v>
      </c>
      <c r="H99" s="136" t="inlineStr">
        <is>
          <t>Innistrad: Midnight Hunt</t>
        </is>
      </c>
    </row>
    <row r="100">
      <c r="A100" s="139" t="inlineStr">
        <is>
          <t>c0042</t>
        </is>
      </c>
      <c r="B100" s="134" t="n"/>
      <c r="C100" s="134" t="n"/>
      <c r="D100" s="134" t="n"/>
      <c r="E100" s="134" t="n"/>
      <c r="F100" s="134" t="n"/>
      <c r="G100" s="134" t="n">
        <v>0.28</v>
      </c>
      <c r="H100" s="135" t="inlineStr">
        <is>
          <t>New Capenna Commander</t>
        </is>
      </c>
    </row>
    <row r="101">
      <c r="A101" s="139" t="inlineStr">
        <is>
          <t>c0043</t>
        </is>
      </c>
      <c r="B101" s="134" t="n"/>
      <c r="C101" s="134" t="n"/>
      <c r="D101" s="134" t="n"/>
      <c r="E101" s="134" t="n"/>
      <c r="F101" s="134" t="n"/>
      <c r="G101" s="134" t="n">
        <v>0.32</v>
      </c>
      <c r="H101" s="135" t="inlineStr">
        <is>
          <t>Murders at Karlov Manor</t>
        </is>
      </c>
    </row>
    <row r="102">
      <c r="A102" s="139" t="inlineStr">
        <is>
          <t>c0044</t>
        </is>
      </c>
      <c r="B102" s="134" t="n"/>
      <c r="C102" s="134" t="n"/>
      <c r="D102" s="134" t="n"/>
      <c r="E102" s="134" t="n"/>
      <c r="F102" s="134" t="n"/>
      <c r="G102" s="134" t="n">
        <v>0.36</v>
      </c>
      <c r="H102" s="135" t="inlineStr">
        <is>
          <t>Zendikar Rising</t>
        </is>
      </c>
    </row>
    <row r="103">
      <c r="A103" s="139" t="inlineStr">
        <is>
          <t>c0045</t>
        </is>
      </c>
      <c r="B103" s="134" t="n">
        <v>1</v>
      </c>
      <c r="C103" s="134" t="inlineStr">
        <is>
          <t>89</t>
        </is>
      </c>
      <c r="D103" s="134" t="inlineStr">
        <is>
          <t>Common</t>
        </is>
      </c>
      <c r="E103" s="134" t="n">
        <v>0</v>
      </c>
      <c r="F103" s="134" t="n"/>
      <c r="G103" s="134" t="n">
        <v>0.2</v>
      </c>
      <c r="H103" s="136" t="inlineStr">
        <is>
          <t>Secrets of Strixhaven</t>
        </is>
      </c>
    </row>
    <row r="104">
      <c r="A104" s="139" t="inlineStr">
        <is>
          <t>c0046</t>
        </is>
      </c>
      <c r="B104" s="134" t="n"/>
      <c r="C104" s="134" t="n"/>
      <c r="D104" s="134" t="n"/>
      <c r="E104" s="134" t="n"/>
      <c r="F104" s="134" t="n"/>
      <c r="G104" s="134" t="n">
        <v>1.65</v>
      </c>
      <c r="H104" s="135" t="inlineStr">
        <is>
          <t>The Lord of the Rings: Tales of Middle-earth</t>
        </is>
      </c>
    </row>
    <row r="105">
      <c r="A105" s="139" t="inlineStr">
        <is>
          <t>c0047</t>
        </is>
      </c>
      <c r="B105" s="134" t="n"/>
      <c r="C105" s="134" t="n"/>
      <c r="D105" s="134" t="n"/>
      <c r="E105" s="134" t="n"/>
      <c r="F105" s="134" t="n"/>
      <c r="G105" s="134" t="n">
        <v>0.14</v>
      </c>
      <c r="H105" s="135" t="inlineStr">
        <is>
          <t>March of the Machine</t>
        </is>
      </c>
    </row>
    <row r="106">
      <c r="A106" s="139" t="inlineStr">
        <is>
          <t>c0048</t>
        </is>
      </c>
      <c r="B106" s="134" t="n"/>
      <c r="C106" s="134" t="n"/>
      <c r="D106" s="134" t="n"/>
      <c r="E106" s="134" t="n"/>
      <c r="F106" s="134" t="n"/>
      <c r="G106" s="134" t="n">
        <v>0.06</v>
      </c>
      <c r="H106" s="135" t="inlineStr">
        <is>
          <t>Lorwyn Eclipsed</t>
        </is>
      </c>
    </row>
    <row r="107">
      <c r="A107" s="139" t="inlineStr">
        <is>
          <t>c0049</t>
        </is>
      </c>
      <c r="B107" s="134" t="n">
        <v>1</v>
      </c>
      <c r="C107" s="134" t="inlineStr">
        <is>
          <t>110</t>
        </is>
      </c>
      <c r="D107" s="134" t="inlineStr">
        <is>
          <t>Mythic</t>
        </is>
      </c>
      <c r="E107" s="134" t="n">
        <v>0</v>
      </c>
      <c r="F107" s="134" t="n"/>
      <c r="G107" s="134" t="n">
        <v>13.04</v>
      </c>
      <c r="H107" s="136" t="inlineStr">
        <is>
          <t>Lorwyn Eclipsed</t>
        </is>
      </c>
    </row>
    <row r="108">
      <c r="A108" s="139" t="inlineStr">
        <is>
          <t>c0050</t>
        </is>
      </c>
      <c r="B108" s="134" t="n"/>
      <c r="C108" s="134" t="n"/>
      <c r="D108" s="134" t="n"/>
      <c r="E108" s="134" t="n"/>
      <c r="F108" s="134" t="n"/>
      <c r="G108" s="141" t="n">
        <v>0.32</v>
      </c>
      <c r="H108" s="136" t="inlineStr">
        <is>
          <t>Innistrad: Midnight Hunt</t>
        </is>
      </c>
    </row>
    <row r="109">
      <c r="A109" s="139" t="inlineStr">
        <is>
          <t>c0051</t>
        </is>
      </c>
      <c r="B109" s="134" t="n"/>
      <c r="C109" s="134" t="n"/>
      <c r="D109" s="134" t="n"/>
      <c r="E109" s="134" t="n"/>
      <c r="F109" s="134" t="n"/>
      <c r="G109" s="134" t="n">
        <v>0.38</v>
      </c>
      <c r="H109" s="135" t="inlineStr">
        <is>
          <t>Commander Legends</t>
        </is>
      </c>
    </row>
    <row r="110">
      <c r="A110" s="139" t="inlineStr">
        <is>
          <t>c0053</t>
        </is>
      </c>
      <c r="B110" s="134" t="n"/>
      <c r="C110" s="134" t="n"/>
      <c r="D110" s="134" t="n"/>
      <c r="E110" s="134" t="n"/>
      <c r="F110" s="134" t="n"/>
      <c r="G110" s="134" t="n">
        <v>0.21</v>
      </c>
      <c r="H110" s="135" t="inlineStr">
        <is>
          <t>Lorwyn Eclipsed</t>
        </is>
      </c>
    </row>
    <row r="111">
      <c r="A111" s="139" t="inlineStr">
        <is>
          <t>c0054</t>
        </is>
      </c>
      <c r="B111" s="134" t="n"/>
      <c r="C111" s="134" t="n"/>
      <c r="D111" s="134" t="n"/>
      <c r="E111" s="134" t="n"/>
      <c r="F111" s="134" t="n"/>
      <c r="G111" s="134" t="n">
        <v>5.45</v>
      </c>
      <c r="H111" s="135" t="inlineStr">
        <is>
          <t>Fifth Dawn</t>
        </is>
      </c>
    </row>
    <row r="112">
      <c r="A112" s="139" t="inlineStr">
        <is>
          <t>c0055</t>
        </is>
      </c>
      <c r="B112" s="134" t="n"/>
      <c r="C112" s="134" t="n"/>
      <c r="D112" s="134" t="n"/>
      <c r="E112" s="134" t="n"/>
      <c r="F112" s="134" t="n"/>
      <c r="G112" s="134" t="n"/>
      <c r="H112" s="136" t="inlineStr">
        <is>
          <t>Avatar: The Last Airbender</t>
        </is>
      </c>
    </row>
    <row r="113">
      <c r="A113" s="139" t="inlineStr">
        <is>
          <t>c0056</t>
        </is>
      </c>
      <c r="B113" s="134" t="n"/>
      <c r="C113" s="134" t="n"/>
      <c r="D113" s="134" t="n"/>
      <c r="E113" s="134" t="n"/>
      <c r="F113" s="134" t="n"/>
      <c r="G113" s="134" t="n">
        <v>1.14</v>
      </c>
      <c r="H113" s="135" t="inlineStr">
        <is>
          <t>Commander 2013</t>
        </is>
      </c>
    </row>
    <row r="114">
      <c r="A114" s="139" t="inlineStr">
        <is>
          <t>c0057</t>
        </is>
      </c>
      <c r="B114" s="134" t="n"/>
      <c r="C114" s="134" t="n"/>
      <c r="D114" s="134" t="n"/>
      <c r="E114" s="134" t="n"/>
      <c r="F114" s="134" t="n"/>
      <c r="G114" s="134" t="n">
        <v>0.27</v>
      </c>
      <c r="H114" s="135" t="inlineStr">
        <is>
          <t>Battle for Zendikar</t>
        </is>
      </c>
    </row>
    <row r="115">
      <c r="A115" s="139" t="inlineStr">
        <is>
          <t>c0058</t>
        </is>
      </c>
      <c r="B115" s="134" t="n"/>
      <c r="C115" s="134" t="n"/>
      <c r="D115" s="134" t="n"/>
      <c r="E115" s="134" t="n"/>
      <c r="F115" s="134" t="n"/>
      <c r="G115" s="134" t="n">
        <v>0.5</v>
      </c>
      <c r="H115" s="135" t="inlineStr">
        <is>
          <t>Rise of the Eldrazi</t>
        </is>
      </c>
    </row>
    <row r="116">
      <c r="A116" s="139" t="inlineStr">
        <is>
          <t>c0060</t>
        </is>
      </c>
      <c r="B116" s="134" t="n"/>
      <c r="C116" s="134" t="n"/>
      <c r="D116" s="134" t="n"/>
      <c r="E116" s="134" t="n"/>
      <c r="F116" s="134" t="n"/>
      <c r="G116" s="134" t="n">
        <v>4.19</v>
      </c>
      <c r="H116" s="135" t="inlineStr">
        <is>
          <t>Apocalypse</t>
        </is>
      </c>
    </row>
    <row r="117">
      <c r="A117" s="139" t="inlineStr">
        <is>
          <t>c0061</t>
        </is>
      </c>
      <c r="B117" s="134" t="n"/>
      <c r="C117" s="134" t="n"/>
      <c r="D117" s="134" t="n"/>
      <c r="E117" s="134" t="n"/>
      <c r="F117" s="134" t="n"/>
      <c r="G117" s="134" t="n">
        <v>4.68</v>
      </c>
      <c r="H117" s="135" t="inlineStr">
        <is>
          <t>Rivals of Ixalan</t>
        </is>
      </c>
    </row>
    <row r="118">
      <c r="A118" s="139" t="inlineStr">
        <is>
          <t>c0062</t>
        </is>
      </c>
      <c r="B118" s="134" t="n">
        <v>1</v>
      </c>
      <c r="C118" s="134" t="inlineStr">
        <is>
          <t>94</t>
        </is>
      </c>
      <c r="D118" s="134" t="inlineStr">
        <is>
          <t>Rare</t>
        </is>
      </c>
      <c r="E118" s="134" t="n">
        <v>0</v>
      </c>
      <c r="F118" s="134" t="inlineStr">
        <is>
          <t>Camille Alquier</t>
        </is>
      </c>
      <c r="G118" s="134" t="n">
        <v>0.34</v>
      </c>
      <c r="H118" s="136" t="inlineStr">
        <is>
          <t>Secrets of Strixhaven</t>
        </is>
      </c>
    </row>
    <row r="119">
      <c r="A119" s="139" t="inlineStr">
        <is>
          <t>c0063</t>
        </is>
      </c>
      <c r="B119" s="134" t="n"/>
      <c r="C119" s="134" t="n"/>
      <c r="D119" s="134" t="n"/>
      <c r="E119" s="134" t="n"/>
      <c r="F119" s="134" t="n"/>
      <c r="G119" s="134" t="n">
        <v>0.57</v>
      </c>
      <c r="H119" s="135" t="inlineStr">
        <is>
          <t>Ravnica Allegiance</t>
        </is>
      </c>
    </row>
    <row r="120">
      <c r="A120" s="139" t="inlineStr">
        <is>
          <t>c0064</t>
        </is>
      </c>
      <c r="B120" s="134" t="n">
        <v>1</v>
      </c>
      <c r="C120" s="134" t="inlineStr">
        <is>
          <t>95</t>
        </is>
      </c>
      <c r="D120" s="134" t="inlineStr">
        <is>
          <t>Common</t>
        </is>
      </c>
      <c r="E120" s="134" t="n">
        <v>0</v>
      </c>
      <c r="F120" s="134" t="inlineStr">
        <is>
          <t>Pauline Voss</t>
        </is>
      </c>
      <c r="G120" s="134" t="n">
        <v>0.16</v>
      </c>
      <c r="H120" s="136" t="inlineStr">
        <is>
          <t>Secrets of Strixhaven</t>
        </is>
      </c>
    </row>
    <row r="121">
      <c r="A121" s="139" t="inlineStr">
        <is>
          <t>c0065</t>
        </is>
      </c>
      <c r="B121" s="134" t="n">
        <v>1</v>
      </c>
      <c r="C121" s="134" t="inlineStr">
        <is>
          <t>96</t>
        </is>
      </c>
      <c r="D121" s="134" t="inlineStr">
        <is>
          <t>Uncommon</t>
        </is>
      </c>
      <c r="E121" s="134" t="n">
        <v>0</v>
      </c>
      <c r="F121" s="134" t="inlineStr">
        <is>
          <t>Izzy</t>
        </is>
      </c>
      <c r="G121" s="134" t="n">
        <v>0.2</v>
      </c>
      <c r="H121" s="136" t="inlineStr">
        <is>
          <t>Secrets of Strixhaven</t>
        </is>
      </c>
    </row>
    <row r="122">
      <c r="A122" s="139" t="inlineStr">
        <is>
          <t>c0066</t>
        </is>
      </c>
      <c r="B122" s="134" t="n">
        <v>1</v>
      </c>
      <c r="C122" s="134" t="inlineStr">
        <is>
          <t>79</t>
        </is>
      </c>
      <c r="D122" s="134" t="inlineStr">
        <is>
          <t>Common</t>
        </is>
      </c>
      <c r="E122" s="134" t="n">
        <v>0</v>
      </c>
      <c r="F122" s="134" t="inlineStr">
        <is>
          <t>Antonio José Manzaneda</t>
        </is>
      </c>
      <c r="G122" s="134" t="n">
        <v>0.16</v>
      </c>
      <c r="H122" s="136" t="inlineStr">
        <is>
          <t>The Hobbit</t>
        </is>
      </c>
    </row>
    <row r="123">
      <c r="A123" s="139" t="inlineStr">
        <is>
          <t>c0067</t>
        </is>
      </c>
      <c r="B123" s="134" t="n"/>
      <c r="C123" s="134" t="n"/>
      <c r="D123" s="134" t="n"/>
      <c r="E123" s="134" t="n"/>
      <c r="F123" s="134" t="n"/>
      <c r="G123" s="134" t="n"/>
      <c r="H123" s="136" t="inlineStr">
        <is>
          <t>The Hobbit</t>
        </is>
      </c>
    </row>
    <row r="124">
      <c r="A124" s="139" t="inlineStr">
        <is>
          <t>c0068</t>
        </is>
      </c>
      <c r="B124" s="134" t="n"/>
      <c r="C124" s="134" t="n"/>
      <c r="D124" s="134" t="n"/>
      <c r="E124" s="134" t="n"/>
      <c r="F124" s="134" t="n"/>
      <c r="G124" s="134" t="n">
        <v>0.31</v>
      </c>
      <c r="H124" s="135" t="inlineStr">
        <is>
          <t>Theros</t>
        </is>
      </c>
    </row>
    <row r="125">
      <c r="A125" s="139" t="inlineStr">
        <is>
          <t>c0069</t>
        </is>
      </c>
      <c r="B125" s="134" t="n">
        <v>1</v>
      </c>
      <c r="C125" s="134" t="inlineStr">
        <is>
          <t>117</t>
        </is>
      </c>
      <c r="D125" s="134" t="inlineStr">
        <is>
          <t>Uncommon</t>
        </is>
      </c>
      <c r="E125" s="134" t="n">
        <v>0</v>
      </c>
      <c r="F125" s="134" t="n"/>
      <c r="G125" s="134" t="n">
        <v>0.13</v>
      </c>
      <c r="H125" s="136" t="inlineStr">
        <is>
          <t>Lorwyn Eclipsed</t>
        </is>
      </c>
    </row>
    <row r="126">
      <c r="A126" s="139" t="inlineStr">
        <is>
          <t>c0070</t>
        </is>
      </c>
      <c r="B126" s="134" t="n"/>
      <c r="C126" s="134" t="n"/>
      <c r="D126" s="134" t="n"/>
      <c r="E126" s="134" t="n"/>
      <c r="F126" s="134" t="n"/>
      <c r="G126" s="134" t="n">
        <v>0.26</v>
      </c>
      <c r="H126" s="135" t="inlineStr">
        <is>
          <t>Guilds of Ravnica</t>
        </is>
      </c>
    </row>
    <row r="127">
      <c r="A127" s="139" t="inlineStr">
        <is>
          <t>c0071</t>
        </is>
      </c>
      <c r="B127" s="134" t="n">
        <v>1</v>
      </c>
      <c r="C127" s="134" t="inlineStr">
        <is>
          <t>98</t>
        </is>
      </c>
      <c r="D127" s="134" t="inlineStr">
        <is>
          <t>Uncommon</t>
        </is>
      </c>
      <c r="E127" s="134" t="n">
        <v>0</v>
      </c>
      <c r="F127" s="134" t="inlineStr">
        <is>
          <t>Loïc Canueles</t>
        </is>
      </c>
      <c r="G127" s="134" t="n">
        <v>0.19</v>
      </c>
      <c r="H127" s="136" t="inlineStr">
        <is>
          <t>Secrets of Strixhaven</t>
        </is>
      </c>
    </row>
    <row r="128">
      <c r="A128" s="139" t="inlineStr">
        <is>
          <t>c0072</t>
        </is>
      </c>
      <c r="B128" s="134" t="n"/>
      <c r="C128" s="134" t="n"/>
      <c r="D128" s="134" t="n"/>
      <c r="E128" s="134" t="n"/>
      <c r="F128" s="134" t="n"/>
      <c r="G128" s="134" t="n">
        <v>2.89</v>
      </c>
      <c r="H128" s="135" t="inlineStr">
        <is>
          <t>Magic 2010</t>
        </is>
      </c>
    </row>
    <row r="129">
      <c r="A129" s="139" t="inlineStr">
        <is>
          <t>c0073</t>
        </is>
      </c>
      <c r="B129" s="134" t="n"/>
      <c r="C129" s="134" t="n"/>
      <c r="D129" s="134" t="n"/>
      <c r="E129" s="134" t="n"/>
      <c r="F129" s="134" t="n"/>
      <c r="G129" s="134" t="n">
        <v>0.95</v>
      </c>
      <c r="H129" s="135" t="inlineStr">
        <is>
          <t>Innistrad: Midnight Hunt</t>
        </is>
      </c>
    </row>
    <row r="130">
      <c r="A130" s="139" t="inlineStr">
        <is>
          <t>c0074</t>
        </is>
      </c>
      <c r="B130" s="134" t="n"/>
      <c r="C130" s="134" t="n"/>
      <c r="D130" s="134" t="n"/>
      <c r="E130" s="134" t="n"/>
      <c r="F130" s="134" t="n"/>
      <c r="G130" s="134" t="n"/>
      <c r="H130" s="136" t="inlineStr">
        <is>
          <t>The Hobbit</t>
        </is>
      </c>
    </row>
    <row r="131">
      <c r="A131" s="139" t="inlineStr">
        <is>
          <t>c0075</t>
        </is>
      </c>
      <c r="B131" s="134" t="n">
        <v>1</v>
      </c>
      <c r="C131" s="134" t="inlineStr">
        <is>
          <t>85</t>
        </is>
      </c>
      <c r="D131" s="134" t="inlineStr">
        <is>
          <t>Common</t>
        </is>
      </c>
      <c r="E131" s="134" t="n">
        <v>0</v>
      </c>
      <c r="F131" s="134" t="inlineStr">
        <is>
          <t>Marius Bota</t>
        </is>
      </c>
      <c r="G131" s="134" t="n">
        <v>0.14</v>
      </c>
      <c r="H131" s="135" t="inlineStr">
        <is>
          <t>The Hobbit</t>
        </is>
      </c>
    </row>
    <row r="132">
      <c r="A132" s="139" t="inlineStr">
        <is>
          <t>c0076</t>
        </is>
      </c>
      <c r="B132" s="134" t="n"/>
      <c r="C132" s="134" t="n"/>
      <c r="D132" s="134" t="n"/>
      <c r="E132" s="134" t="n"/>
      <c r="F132" s="134" t="n"/>
      <c r="G132" s="134" t="n"/>
      <c r="H132" s="136" t="inlineStr">
        <is>
          <t>Avatar: The Last Airbender</t>
        </is>
      </c>
    </row>
    <row r="133">
      <c r="A133" s="139" t="inlineStr">
        <is>
          <t>c0077</t>
        </is>
      </c>
      <c r="B133" s="134" t="n"/>
      <c r="C133" s="134" t="n"/>
      <c r="D133" s="134" t="n"/>
      <c r="E133" s="134" t="n"/>
      <c r="F133" s="134" t="n"/>
      <c r="G133" s="134" t="n">
        <v>0.24</v>
      </c>
      <c r="H133" s="135" t="inlineStr">
        <is>
          <t>Limited Edition Alpha</t>
        </is>
      </c>
    </row>
    <row r="134">
      <c r="A134" s="139" t="inlineStr">
        <is>
          <t>c0078</t>
        </is>
      </c>
      <c r="B134" s="134" t="n"/>
      <c r="C134" s="134" t="n"/>
      <c r="D134" s="134" t="n"/>
      <c r="E134" s="134" t="n"/>
      <c r="F134" s="134" t="n"/>
      <c r="G134" s="134" t="n">
        <v>25.23</v>
      </c>
      <c r="H134" s="135" t="inlineStr">
        <is>
          <t>Innistrad: Midnight Hunt</t>
        </is>
      </c>
    </row>
    <row r="135">
      <c r="A135" s="139" t="inlineStr">
        <is>
          <t>c0079</t>
        </is>
      </c>
      <c r="B135" s="134" t="n"/>
      <c r="C135" s="134" t="n"/>
      <c r="D135" s="134" t="n"/>
      <c r="E135" s="134" t="n"/>
      <c r="F135" s="134" t="n"/>
      <c r="G135" s="134" t="n">
        <v>0.15</v>
      </c>
      <c r="H135" s="135" t="inlineStr">
        <is>
          <t>Ravnica Allegiance</t>
        </is>
      </c>
    </row>
    <row r="136">
      <c r="A136" s="139" t="inlineStr">
        <is>
          <t>c0080</t>
        </is>
      </c>
      <c r="B136" s="134" t="n"/>
      <c r="C136" s="134" t="n"/>
      <c r="D136" s="134" t="n"/>
      <c r="E136" s="134" t="n"/>
      <c r="F136" s="134" t="n"/>
      <c r="G136" s="134" t="n">
        <v>3.03</v>
      </c>
      <c r="H136" s="135" t="inlineStr">
        <is>
          <t>Eldritch Moon</t>
        </is>
      </c>
    </row>
    <row r="137">
      <c r="A137" s="139" t="inlineStr">
        <is>
          <t>c0081</t>
        </is>
      </c>
      <c r="B137" s="134" t="n"/>
      <c r="C137" s="134" t="n"/>
      <c r="D137" s="134" t="n"/>
      <c r="E137" s="134" t="n"/>
      <c r="F137" s="134" t="n"/>
      <c r="G137" s="134" t="n">
        <v>0.28</v>
      </c>
      <c r="H137" s="135" t="inlineStr">
        <is>
          <t>Shadows over Innistrad</t>
        </is>
      </c>
    </row>
    <row r="138">
      <c r="A138" s="139" t="inlineStr">
        <is>
          <t>c0082</t>
        </is>
      </c>
      <c r="B138" s="134" t="n"/>
      <c r="C138" s="134" t="n"/>
      <c r="D138" s="134" t="n"/>
      <c r="E138" s="134" t="n"/>
      <c r="F138" s="134" t="n"/>
      <c r="G138" s="134" t="n">
        <v>0.27</v>
      </c>
      <c r="H138" s="135" t="inlineStr">
        <is>
          <t>Lorwyn Eclipsed</t>
        </is>
      </c>
    </row>
    <row r="139">
      <c r="A139" s="139" t="inlineStr">
        <is>
          <t>c0083</t>
        </is>
      </c>
      <c r="B139" s="134" t="n"/>
      <c r="C139" s="134" t="n"/>
      <c r="D139" s="134" t="n"/>
      <c r="E139" s="134" t="n"/>
      <c r="F139" s="134" t="n"/>
      <c r="G139" s="134" t="n">
        <v>0.19</v>
      </c>
      <c r="H139" s="135" t="inlineStr">
        <is>
          <t>Ravnica Allegiance</t>
        </is>
      </c>
    </row>
    <row r="140">
      <c r="A140" s="139" t="inlineStr">
        <is>
          <t>c0084</t>
        </is>
      </c>
      <c r="B140" s="134" t="n"/>
      <c r="C140" s="134" t="n"/>
      <c r="D140" s="134" t="n"/>
      <c r="E140" s="134" t="n"/>
      <c r="F140" s="134" t="n"/>
      <c r="G140" s="134" t="n">
        <v>0.28</v>
      </c>
      <c r="H140" s="135" t="inlineStr">
        <is>
          <t>Zendikar</t>
        </is>
      </c>
    </row>
    <row r="141">
      <c r="A141" s="139" t="inlineStr">
        <is>
          <t>c0085</t>
        </is>
      </c>
      <c r="B141" s="134" t="n"/>
      <c r="C141" s="134" t="n"/>
      <c r="D141" s="134" t="n"/>
      <c r="E141" s="134" t="n"/>
      <c r="F141" s="134" t="n"/>
      <c r="G141" s="134" t="n">
        <v>0.88</v>
      </c>
      <c r="H141" s="135" t="inlineStr">
        <is>
          <t>Core Set 2021</t>
        </is>
      </c>
    </row>
    <row r="142">
      <c r="A142" s="139" t="inlineStr">
        <is>
          <t>c0086</t>
        </is>
      </c>
      <c r="B142" s="134" t="n"/>
      <c r="C142" s="134" t="n"/>
      <c r="D142" s="134" t="n"/>
      <c r="E142" s="134" t="n"/>
      <c r="F142" s="134" t="n"/>
      <c r="G142" s="134" t="n">
        <v>0.42</v>
      </c>
      <c r="H142" s="135" t="inlineStr">
        <is>
          <t>Magic 2011</t>
        </is>
      </c>
    </row>
    <row r="143">
      <c r="A143" s="139" t="inlineStr">
        <is>
          <t>c0087</t>
        </is>
      </c>
      <c r="B143" s="134" t="n"/>
      <c r="C143" s="134" t="n"/>
      <c r="D143" s="134" t="n"/>
      <c r="E143" s="134" t="n"/>
      <c r="F143" s="134" t="n"/>
      <c r="G143" s="134" t="n"/>
      <c r="H143" s="135" t="inlineStr">
        <is>
          <t>Phyrexia: All Will Be One</t>
        </is>
      </c>
    </row>
    <row r="144">
      <c r="A144" s="139" t="inlineStr">
        <is>
          <t>c0088</t>
        </is>
      </c>
      <c r="B144" s="134" t="n"/>
      <c r="C144" s="134" t="n"/>
      <c r="D144" s="134" t="n"/>
      <c r="E144" s="134" t="n"/>
      <c r="F144" s="134" t="n"/>
      <c r="G144" s="134" t="n">
        <v>0.38</v>
      </c>
      <c r="H144" s="135" t="inlineStr">
        <is>
          <t>Phyrexia: All Will Be One</t>
        </is>
      </c>
    </row>
    <row r="145">
      <c r="A145" s="139" t="inlineStr">
        <is>
          <t>c0089</t>
        </is>
      </c>
      <c r="B145" s="134" t="n"/>
      <c r="C145" s="134" t="n"/>
      <c r="D145" s="134" t="n"/>
      <c r="E145" s="134" t="n"/>
      <c r="F145" s="134" t="n"/>
      <c r="G145" s="134" t="n">
        <v>2.24</v>
      </c>
      <c r="H145" s="135" t="inlineStr">
        <is>
          <t>Mirrodin</t>
        </is>
      </c>
    </row>
    <row r="146">
      <c r="A146" s="139" t="inlineStr">
        <is>
          <t>c0090</t>
        </is>
      </c>
      <c r="B146" s="134" t="n"/>
      <c r="C146" s="134" t="n"/>
      <c r="D146" s="134" t="n"/>
      <c r="E146" s="134" t="n"/>
      <c r="F146" s="134" t="n"/>
      <c r="G146" s="134" t="n">
        <v>0.28</v>
      </c>
      <c r="H146" s="135" t="inlineStr">
        <is>
          <t>Magic 2015</t>
        </is>
      </c>
    </row>
    <row r="147">
      <c r="A147" s="139" t="inlineStr">
        <is>
          <t>c0091</t>
        </is>
      </c>
      <c r="B147" s="134" t="n">
        <v>1</v>
      </c>
      <c r="C147" s="134" t="inlineStr">
        <is>
          <t>104</t>
        </is>
      </c>
      <c r="D147" s="134" t="inlineStr">
        <is>
          <t>Common</t>
        </is>
      </c>
      <c r="E147" s="134" t="n">
        <v>0</v>
      </c>
      <c r="F147" s="134" t="n"/>
      <c r="G147" s="134" t="n">
        <v>0.11</v>
      </c>
      <c r="H147" s="136" t="inlineStr">
        <is>
          <t>Secrets of Strixhaven</t>
        </is>
      </c>
    </row>
    <row r="148">
      <c r="A148" s="139" t="inlineStr">
        <is>
          <t>c0092</t>
        </is>
      </c>
      <c r="B148" s="134" t="n"/>
      <c r="C148" s="134" t="n"/>
      <c r="D148" s="134" t="n"/>
      <c r="E148" s="134" t="n"/>
      <c r="F148" s="134" t="n"/>
      <c r="G148" s="134" t="n">
        <v>0.33</v>
      </c>
      <c r="H148" s="135" t="inlineStr">
        <is>
          <t>Theros Beyond Death</t>
        </is>
      </c>
    </row>
    <row r="149">
      <c r="A149" s="139" t="inlineStr">
        <is>
          <t>c0093</t>
        </is>
      </c>
      <c r="B149" s="134" t="n"/>
      <c r="C149" s="134" t="n"/>
      <c r="D149" s="134" t="n"/>
      <c r="E149" s="134" t="n"/>
      <c r="F149" s="134" t="n"/>
      <c r="G149" s="134" t="n"/>
      <c r="H149" s="135" t="inlineStr">
        <is>
          <t>Aether Revolt</t>
        </is>
      </c>
    </row>
    <row r="150">
      <c r="A150" s="139" t="inlineStr">
        <is>
          <t>c0094</t>
        </is>
      </c>
      <c r="B150" s="134" t="n"/>
      <c r="C150" s="134" t="n"/>
      <c r="D150" s="134" t="n"/>
      <c r="E150" s="134" t="n"/>
      <c r="F150" s="134" t="n"/>
      <c r="G150" s="134" t="n">
        <v>1.09</v>
      </c>
      <c r="H150" s="135" t="inlineStr">
        <is>
          <t>Battle for Zendikar</t>
        </is>
      </c>
    </row>
    <row r="151">
      <c r="A151" s="139" t="inlineStr">
        <is>
          <t>c0095</t>
        </is>
      </c>
      <c r="B151" s="134" t="n"/>
      <c r="C151" s="134" t="n"/>
      <c r="D151" s="134" t="n"/>
      <c r="E151" s="134" t="n"/>
      <c r="F151" s="134" t="n"/>
      <c r="G151" s="134" t="n">
        <v>22.33</v>
      </c>
      <c r="H151" s="135" t="inlineStr">
        <is>
          <t>Kaladesh</t>
        </is>
      </c>
    </row>
    <row r="152">
      <c r="A152" s="139" t="inlineStr">
        <is>
          <t>c0096</t>
        </is>
      </c>
      <c r="B152" s="134" t="n"/>
      <c r="C152" s="134" t="n"/>
      <c r="D152" s="134" t="n"/>
      <c r="E152" s="134" t="n"/>
      <c r="F152" s="134" t="n"/>
      <c r="G152" s="134" t="n">
        <v>0.66</v>
      </c>
      <c r="H152" s="135" t="inlineStr">
        <is>
          <t>Aetherdrift Commander</t>
        </is>
      </c>
    </row>
    <row r="153">
      <c r="A153" s="139" t="inlineStr">
        <is>
          <t>c0097</t>
        </is>
      </c>
      <c r="B153" s="134" t="n"/>
      <c r="C153" s="134" t="n"/>
      <c r="D153" s="134" t="n"/>
      <c r="E153" s="134" t="n"/>
      <c r="F153" s="134" t="n"/>
      <c r="G153" s="134" t="n">
        <v>0.57</v>
      </c>
      <c r="H153" s="135" t="inlineStr">
        <is>
          <t>Throne of Eldraine</t>
        </is>
      </c>
    </row>
    <row r="154">
      <c r="A154" s="139" t="inlineStr">
        <is>
          <t>c0098</t>
        </is>
      </c>
      <c r="B154" s="134" t="n"/>
      <c r="C154" s="134" t="n"/>
      <c r="D154" s="134" t="n"/>
      <c r="E154" s="134" t="n"/>
      <c r="F154" s="134" t="n"/>
      <c r="G154" s="134" t="n">
        <v>0.31</v>
      </c>
      <c r="H154" s="135" t="inlineStr">
        <is>
          <t>Phyrexia: All Will Be One</t>
        </is>
      </c>
    </row>
    <row r="155">
      <c r="A155" s="139" t="inlineStr">
        <is>
          <t>c0099</t>
        </is>
      </c>
      <c r="B155" s="134" t="n"/>
      <c r="C155" s="134" t="n"/>
      <c r="D155" s="134" t="n"/>
      <c r="E155" s="134" t="n"/>
      <c r="F155" s="134" t="n"/>
      <c r="G155" s="134" t="n">
        <v>0.48</v>
      </c>
      <c r="H155" s="135" t="inlineStr">
        <is>
          <t>Rise of the Eldrazi</t>
        </is>
      </c>
    </row>
    <row r="156">
      <c r="A156" s="139" t="inlineStr">
        <is>
          <t>c0100</t>
        </is>
      </c>
      <c r="B156" s="134" t="n"/>
      <c r="C156" s="134" t="n"/>
      <c r="D156" s="134" t="n"/>
      <c r="E156" s="134" t="n"/>
      <c r="F156" s="134" t="n"/>
      <c r="G156" s="134" t="n">
        <v>16.55</v>
      </c>
      <c r="H156" s="135" t="inlineStr">
        <is>
          <t>Antiquities</t>
        </is>
      </c>
    </row>
    <row r="157">
      <c r="A157" s="139" t="inlineStr">
        <is>
          <t>c0101</t>
        </is>
      </c>
      <c r="B157" s="134" t="n"/>
      <c r="C157" s="134" t="n"/>
      <c r="D157" s="134" t="n"/>
      <c r="E157" s="134" t="n"/>
      <c r="F157" s="134" t="n"/>
      <c r="G157" s="134" t="n">
        <v>0.24</v>
      </c>
      <c r="H157" s="135" t="inlineStr">
        <is>
          <t>Born of the Gods</t>
        </is>
      </c>
    </row>
    <row r="158">
      <c r="A158" s="139" t="inlineStr">
        <is>
          <t>c0102</t>
        </is>
      </c>
      <c r="B158" s="134" t="n"/>
      <c r="C158" s="134" t="n"/>
      <c r="D158" s="134" t="n"/>
      <c r="E158" s="134" t="n"/>
      <c r="F158" s="134" t="n"/>
      <c r="G158" s="134" t="n">
        <v>0.38</v>
      </c>
      <c r="H158" s="135" t="inlineStr">
        <is>
          <t>Dissension</t>
        </is>
      </c>
    </row>
    <row r="159">
      <c r="A159" s="139" t="inlineStr">
        <is>
          <t>c0103</t>
        </is>
      </c>
      <c r="B159" s="134" t="n"/>
      <c r="C159" s="134" t="n"/>
      <c r="D159" s="134" t="n"/>
      <c r="E159" s="134" t="n"/>
      <c r="F159" s="134" t="n"/>
      <c r="G159" s="134" t="n">
        <v>0.29</v>
      </c>
      <c r="H159" s="135" t="inlineStr">
        <is>
          <t>Core Set 2020</t>
        </is>
      </c>
    </row>
    <row r="160">
      <c r="A160" s="139" t="inlineStr">
        <is>
          <t>c0104</t>
        </is>
      </c>
      <c r="B160" s="134" t="n"/>
      <c r="C160" s="134" t="n"/>
      <c r="D160" s="134" t="n"/>
      <c r="E160" s="134" t="n"/>
      <c r="F160" s="134" t="n"/>
      <c r="G160" s="134" t="n">
        <v>0.3</v>
      </c>
      <c r="H160" s="135" t="inlineStr">
        <is>
          <t>Outlaws of Thunder Junction</t>
        </is>
      </c>
    </row>
    <row r="161">
      <c r="A161" s="139" t="inlineStr">
        <is>
          <t>c0105</t>
        </is>
      </c>
      <c r="B161" s="134" t="n">
        <v>3</v>
      </c>
      <c r="C161" s="134" t="inlineStr">
        <is>
          <t>247</t>
        </is>
      </c>
      <c r="D161" s="134" t="inlineStr">
        <is>
          <t>Common</t>
        </is>
      </c>
      <c r="E161" s="134" t="n">
        <v>0</v>
      </c>
      <c r="F161" s="134" t="inlineStr">
        <is>
          <t>Raph Lomotan</t>
        </is>
      </c>
      <c r="G161" s="134" t="n">
        <v>0.07000000000000001</v>
      </c>
      <c r="H161" s="136" t="inlineStr">
        <is>
          <t>Secrets of Strixhaven</t>
        </is>
      </c>
    </row>
    <row r="162">
      <c r="A162" s="139" t="inlineStr">
        <is>
          <t>c0106</t>
        </is>
      </c>
      <c r="B162" s="134" t="n"/>
      <c r="C162" s="134" t="n"/>
      <c r="D162" s="134" t="n"/>
      <c r="E162" s="134" t="n"/>
      <c r="F162" s="134" t="n"/>
      <c r="G162" s="134" t="n">
        <v>5.73</v>
      </c>
      <c r="H162" s="135" t="inlineStr">
        <is>
          <t>March of the Machine Commander</t>
        </is>
      </c>
    </row>
    <row r="163">
      <c r="A163" s="139" t="inlineStr">
        <is>
          <t>c0107</t>
        </is>
      </c>
      <c r="B163" s="134" t="n"/>
      <c r="C163" s="134" t="n"/>
      <c r="D163" s="134" t="n"/>
      <c r="E163" s="134" t="n"/>
      <c r="F163" s="134" t="n"/>
      <c r="G163" s="134" t="n">
        <v>0.27</v>
      </c>
      <c r="H163" s="135" t="inlineStr">
        <is>
          <t>Theros</t>
        </is>
      </c>
    </row>
    <row r="164">
      <c r="A164" s="139" t="inlineStr">
        <is>
          <t>c0109</t>
        </is>
      </c>
      <c r="B164" s="134" t="n"/>
      <c r="C164" s="134" t="n"/>
      <c r="D164" s="134" t="n"/>
      <c r="E164" s="134" t="n"/>
      <c r="F164" s="134" t="n"/>
      <c r="G164" s="134" t="n">
        <v>0.87</v>
      </c>
      <c r="H164" s="135" t="inlineStr">
        <is>
          <t>Return to Ravnica</t>
        </is>
      </c>
    </row>
    <row r="165">
      <c r="A165" s="139" t="inlineStr">
        <is>
          <t>c0110</t>
        </is>
      </c>
      <c r="B165" s="134" t="n"/>
      <c r="C165" s="134" t="n"/>
      <c r="D165" s="134" t="n"/>
      <c r="E165" s="134" t="n"/>
      <c r="F165" s="134" t="n"/>
      <c r="G165" s="134" t="n">
        <v>2.23</v>
      </c>
      <c r="H165" s="135" t="inlineStr">
        <is>
          <t>Coldsnap</t>
        </is>
      </c>
    </row>
    <row r="166">
      <c r="A166" s="139" t="inlineStr">
        <is>
          <t>c0111</t>
        </is>
      </c>
      <c r="B166" s="134" t="n"/>
      <c r="C166" s="134" t="n"/>
      <c r="D166" s="134" t="n"/>
      <c r="E166" s="134" t="n"/>
      <c r="F166" s="134" t="n"/>
      <c r="G166" s="134" t="n">
        <v>0.39</v>
      </c>
      <c r="H166" s="135" t="inlineStr">
        <is>
          <t>Duel Decks: Elspeth vs. Tezzeret</t>
        </is>
      </c>
    </row>
    <row r="167">
      <c r="A167" s="139" t="inlineStr">
        <is>
          <t>c0112</t>
        </is>
      </c>
      <c r="B167" s="134" t="n"/>
      <c r="C167" s="134" t="n"/>
      <c r="D167" s="134" t="n"/>
      <c r="E167" s="134" t="n"/>
      <c r="F167" s="134" t="n"/>
      <c r="G167" s="134" t="n">
        <v>13.6</v>
      </c>
      <c r="H167" s="135" t="inlineStr">
        <is>
          <t>Scars of Mirrodin</t>
        </is>
      </c>
    </row>
    <row r="168">
      <c r="A168" s="139" t="inlineStr">
        <is>
          <t>c0113</t>
        </is>
      </c>
      <c r="B168" s="134" t="n"/>
      <c r="C168" s="134" t="n"/>
      <c r="D168" s="134" t="n"/>
      <c r="E168" s="134" t="n"/>
      <c r="F168" s="134" t="n"/>
      <c r="G168" s="134" t="n">
        <v>0.34</v>
      </c>
      <c r="H168" s="135" t="inlineStr">
        <is>
          <t>Kamigawa: Neon Dynasty</t>
        </is>
      </c>
    </row>
    <row r="169">
      <c r="A169" s="139" t="inlineStr">
        <is>
          <t>c0114</t>
        </is>
      </c>
      <c r="B169" s="134" t="n"/>
      <c r="C169" s="134" t="n"/>
      <c r="D169" s="134" t="n"/>
      <c r="E169" s="134" t="n"/>
      <c r="F169" s="134" t="n"/>
      <c r="G169" s="134" t="n">
        <v>1.05</v>
      </c>
      <c r="H169" s="135" t="inlineStr">
        <is>
          <t>Throne of Eldraine</t>
        </is>
      </c>
    </row>
    <row r="170">
      <c r="A170" s="139" t="inlineStr">
        <is>
          <t>c0115</t>
        </is>
      </c>
      <c r="B170" s="134" t="n"/>
      <c r="C170" s="134" t="n"/>
      <c r="D170" s="134" t="n"/>
      <c r="E170" s="134" t="n"/>
      <c r="F170" s="134" t="n"/>
      <c r="G170" s="134" t="n">
        <v>0.49</v>
      </c>
      <c r="H170" s="135" t="inlineStr">
        <is>
          <t>New Capenna Commander</t>
        </is>
      </c>
    </row>
    <row r="171">
      <c r="A171" s="139" t="inlineStr">
        <is>
          <t>c0116</t>
        </is>
      </c>
      <c r="B171" s="134" t="n"/>
      <c r="C171" s="134" t="n"/>
      <c r="D171" s="134" t="n"/>
      <c r="E171" s="134" t="n"/>
      <c r="F171" s="134" t="n"/>
      <c r="G171" s="134" t="n">
        <v>0.35</v>
      </c>
      <c r="H171" s="135" t="inlineStr">
        <is>
          <t>Darksteel</t>
        </is>
      </c>
    </row>
    <row r="172">
      <c r="A172" s="139" t="inlineStr">
        <is>
          <t>c0118</t>
        </is>
      </c>
      <c r="B172" s="134" t="n">
        <v>1</v>
      </c>
      <c r="C172" s="134" t="inlineStr">
        <is>
          <t>172</t>
        </is>
      </c>
      <c r="D172" s="134" t="inlineStr">
        <is>
          <t>Uncommon</t>
        </is>
      </c>
      <c r="E172" s="134" t="n">
        <v>0</v>
      </c>
      <c r="F172" s="134" t="n"/>
      <c r="G172" s="134" t="n">
        <v>0.18</v>
      </c>
      <c r="H172" s="136" t="inlineStr">
        <is>
          <t>The Hobbit</t>
        </is>
      </c>
    </row>
    <row r="173">
      <c r="A173" s="139" t="inlineStr">
        <is>
          <t>c0119</t>
        </is>
      </c>
      <c r="B173" s="134" t="n"/>
      <c r="C173" s="134" t="n"/>
      <c r="D173" s="134" t="n"/>
      <c r="E173" s="134" t="n"/>
      <c r="F173" s="134" t="n"/>
      <c r="G173" s="134" t="n">
        <v>0.3</v>
      </c>
      <c r="H173" s="135" t="inlineStr">
        <is>
          <t>Modern Horizons 3</t>
        </is>
      </c>
    </row>
    <row r="174">
      <c r="A174" s="139" t="inlineStr">
        <is>
          <t>c0120</t>
        </is>
      </c>
      <c r="B174" s="134" t="n"/>
      <c r="C174" s="134" t="n"/>
      <c r="D174" s="134" t="n"/>
      <c r="E174" s="134" t="n"/>
      <c r="F174" s="134" t="n"/>
      <c r="G174" s="134" t="n">
        <v>0.38</v>
      </c>
      <c r="H174" s="135" t="inlineStr">
        <is>
          <t>Oath of the Gatewatch</t>
        </is>
      </c>
    </row>
    <row r="175">
      <c r="A175" s="139" t="inlineStr">
        <is>
          <t>c0121</t>
        </is>
      </c>
      <c r="B175" s="134" t="n"/>
      <c r="C175" s="134" t="n"/>
      <c r="D175" s="134" t="n"/>
      <c r="E175" s="134" t="n"/>
      <c r="F175" s="134" t="n"/>
      <c r="G175" s="134" t="n">
        <v>0.26</v>
      </c>
      <c r="H175" s="135" t="inlineStr">
        <is>
          <t>Worldwake</t>
        </is>
      </c>
    </row>
    <row r="176">
      <c r="A176" s="139" t="inlineStr">
        <is>
          <t>c0122</t>
        </is>
      </c>
      <c r="B176" s="134" t="n"/>
      <c r="C176" s="134" t="n"/>
      <c r="D176" s="134" t="n"/>
      <c r="E176" s="134" t="n"/>
      <c r="F176" s="134" t="n"/>
      <c r="G176" s="134" t="n">
        <v>0.16</v>
      </c>
      <c r="H176" s="135" t="inlineStr">
        <is>
          <t>Zendikar</t>
        </is>
      </c>
    </row>
    <row r="177">
      <c r="A177" s="139" t="inlineStr">
        <is>
          <t>c0123</t>
        </is>
      </c>
      <c r="B177" s="134" t="n"/>
      <c r="C177" s="134" t="n"/>
      <c r="D177" s="134" t="n"/>
      <c r="E177" s="134" t="n"/>
      <c r="F177" s="134" t="n"/>
      <c r="G177" s="134" t="n">
        <v>0.95</v>
      </c>
      <c r="H177" s="135" t="inlineStr">
        <is>
          <t>The Dark</t>
        </is>
      </c>
    </row>
    <row r="178">
      <c r="A178" s="139" t="inlineStr">
        <is>
          <t>c0124</t>
        </is>
      </c>
      <c r="B178" s="134" t="n"/>
      <c r="C178" s="134" t="n"/>
      <c r="D178" s="134" t="n"/>
      <c r="E178" s="134" t="n"/>
      <c r="F178" s="134" t="n"/>
      <c r="G178" s="134" t="n">
        <v>0.28</v>
      </c>
      <c r="H178" s="135" t="inlineStr">
        <is>
          <t>Kaladesh</t>
        </is>
      </c>
    </row>
    <row r="179">
      <c r="A179" s="139" t="inlineStr">
        <is>
          <t>c0126</t>
        </is>
      </c>
      <c r="B179" s="134" t="n"/>
      <c r="C179" s="134" t="n"/>
      <c r="D179" s="134" t="n"/>
      <c r="E179" s="134" t="n"/>
      <c r="F179" s="134" t="n"/>
      <c r="G179" s="134" t="n">
        <v>3.89</v>
      </c>
      <c r="H179" s="135" t="inlineStr">
        <is>
          <t>Darksteel</t>
        </is>
      </c>
    </row>
    <row r="180">
      <c r="A180" s="139" t="inlineStr">
        <is>
          <t>c0127</t>
        </is>
      </c>
      <c r="B180" s="134" t="n"/>
      <c r="C180" s="134" t="n"/>
      <c r="D180" s="134" t="n"/>
      <c r="E180" s="134" t="n"/>
      <c r="F180" s="134" t="n"/>
      <c r="G180" s="134" t="n">
        <v>4.1</v>
      </c>
      <c r="H180" s="135" t="inlineStr">
        <is>
          <t>Duskmourn: House of Horror</t>
        </is>
      </c>
    </row>
    <row r="181">
      <c r="A181" s="139" t="inlineStr">
        <is>
          <t>c0128</t>
        </is>
      </c>
      <c r="B181" s="134" t="n">
        <v>1</v>
      </c>
      <c r="C181" s="134" t="inlineStr">
        <is>
          <t>173</t>
        </is>
      </c>
      <c r="D181" s="134" t="inlineStr">
        <is>
          <t>Common</t>
        </is>
      </c>
      <c r="E181" s="134" t="n">
        <v>0</v>
      </c>
      <c r="F181" s="134" t="n"/>
      <c r="G181" s="134" t="n">
        <v>0.21</v>
      </c>
      <c r="H181" s="135" t="inlineStr">
        <is>
          <t>The Hobbit</t>
        </is>
      </c>
    </row>
    <row r="182">
      <c r="A182" s="139" t="inlineStr">
        <is>
          <t>c0130</t>
        </is>
      </c>
      <c r="B182" s="134" t="n"/>
      <c r="C182" s="134" t="n"/>
      <c r="D182" s="134" t="n"/>
      <c r="E182" s="134" t="n"/>
      <c r="F182" s="134" t="n"/>
      <c r="G182" s="134" t="n">
        <v>0.32</v>
      </c>
      <c r="H182" s="136" t="inlineStr">
        <is>
          <t>Ravnica: City of Guilds</t>
        </is>
      </c>
    </row>
    <row r="183">
      <c r="A183" s="139" t="inlineStr">
        <is>
          <t>c0131</t>
        </is>
      </c>
      <c r="B183" s="134" t="n"/>
      <c r="C183" s="134" t="n"/>
      <c r="D183" s="134" t="n"/>
      <c r="E183" s="134" t="n"/>
      <c r="F183" s="134" t="n"/>
      <c r="G183" s="134" t="n">
        <v>1.54</v>
      </c>
      <c r="H183" s="135" t="inlineStr">
        <is>
          <t>Mirrodin Besieged</t>
        </is>
      </c>
    </row>
    <row r="184">
      <c r="A184" s="139" t="inlineStr">
        <is>
          <t>c0132</t>
        </is>
      </c>
      <c r="B184" s="134" t="n"/>
      <c r="C184" s="134" t="n"/>
      <c r="D184" s="134" t="n"/>
      <c r="E184" s="134" t="n"/>
      <c r="F184" s="134" t="n"/>
      <c r="G184" s="134" t="n">
        <v>3.54</v>
      </c>
      <c r="H184" s="135" t="inlineStr">
        <is>
          <t>Commander 2019</t>
        </is>
      </c>
    </row>
    <row r="185">
      <c r="A185" s="139" t="inlineStr">
        <is>
          <t>c0133</t>
        </is>
      </c>
      <c r="B185" s="134" t="n"/>
      <c r="C185" s="134" t="n"/>
      <c r="D185" s="134" t="n"/>
      <c r="E185" s="134" t="n"/>
      <c r="F185" s="134" t="n"/>
      <c r="G185" s="134" t="n">
        <v>3.58</v>
      </c>
      <c r="H185" s="135" t="inlineStr">
        <is>
          <t>Mirrodin</t>
        </is>
      </c>
    </row>
    <row r="186">
      <c r="A186" s="139" t="inlineStr">
        <is>
          <t>c0134</t>
        </is>
      </c>
      <c r="B186" s="134" t="n">
        <v>1</v>
      </c>
      <c r="C186" s="134" t="inlineStr">
        <is>
          <t>1</t>
        </is>
      </c>
      <c r="D186" s="134" t="inlineStr">
        <is>
          <t>Common</t>
        </is>
      </c>
      <c r="E186" s="134" t="n">
        <v>0</v>
      </c>
      <c r="F186" s="134" t="inlineStr">
        <is>
          <t>Anna Podedworna</t>
        </is>
      </c>
      <c r="G186" s="134" t="n">
        <v>0.15</v>
      </c>
      <c r="H186" s="136" t="inlineStr">
        <is>
          <t>The Hobbit</t>
        </is>
      </c>
    </row>
    <row r="187">
      <c r="A187" s="139" t="inlineStr">
        <is>
          <t>c0135</t>
        </is>
      </c>
      <c r="B187" s="134" t="n">
        <v>1</v>
      </c>
      <c r="C187" s="134" t="inlineStr">
        <is>
          <t>249</t>
        </is>
      </c>
      <c r="D187" s="134" t="inlineStr">
        <is>
          <t>Common</t>
        </is>
      </c>
      <c r="E187" s="134" t="n">
        <v>0</v>
      </c>
      <c r="F187" s="134" t="n"/>
      <c r="G187" s="134" t="n">
        <v>0.05</v>
      </c>
      <c r="H187" s="136" t="inlineStr">
        <is>
          <t>Secrets of Strixhaven</t>
        </is>
      </c>
    </row>
    <row r="188">
      <c r="A188" s="139" t="inlineStr">
        <is>
          <t>c0136</t>
        </is>
      </c>
      <c r="B188" s="134" t="n"/>
      <c r="C188" s="134" t="n"/>
      <c r="D188" s="134" t="n"/>
      <c r="E188" s="134" t="n"/>
      <c r="F188" s="134" t="n"/>
      <c r="G188" s="134" t="n">
        <v>3.24</v>
      </c>
      <c r="H188" s="135" t="inlineStr">
        <is>
          <t>Mercadian Masques</t>
        </is>
      </c>
    </row>
    <row r="189">
      <c r="A189" s="139" t="inlineStr">
        <is>
          <t>c0137</t>
        </is>
      </c>
      <c r="B189" s="134" t="n"/>
      <c r="C189" s="134" t="n"/>
      <c r="D189" s="134" t="n"/>
      <c r="E189" s="134" t="n"/>
      <c r="F189" s="134" t="n"/>
      <c r="G189" s="134" t="n">
        <v>0.41</v>
      </c>
      <c r="H189" s="135" t="inlineStr">
        <is>
          <t>Mirrodin</t>
        </is>
      </c>
    </row>
    <row r="190">
      <c r="A190" s="139" t="inlineStr">
        <is>
          <t>c0138</t>
        </is>
      </c>
      <c r="B190" s="134" t="n"/>
      <c r="C190" s="134" t="n"/>
      <c r="D190" s="134" t="n"/>
      <c r="E190" s="134" t="n"/>
      <c r="F190" s="134" t="n"/>
      <c r="G190" s="134" t="n">
        <v>0.32</v>
      </c>
      <c r="H190" s="135" t="inlineStr">
        <is>
          <t>Odyssey</t>
        </is>
      </c>
    </row>
    <row r="191">
      <c r="A191" s="139" t="inlineStr">
        <is>
          <t>c0139</t>
        </is>
      </c>
      <c r="B191" s="134" t="n"/>
      <c r="C191" s="134" t="n"/>
      <c r="D191" s="134" t="n"/>
      <c r="E191" s="134" t="n"/>
      <c r="F191" s="134" t="n"/>
      <c r="G191" s="134" t="n">
        <v>0.27</v>
      </c>
      <c r="H191" s="135" t="inlineStr">
        <is>
          <t>Weatherlight</t>
        </is>
      </c>
    </row>
    <row r="192">
      <c r="A192" s="139" t="inlineStr">
        <is>
          <t>c0140</t>
        </is>
      </c>
      <c r="B192" s="134" t="n"/>
      <c r="C192" s="134" t="n"/>
      <c r="D192" s="134" t="n"/>
      <c r="E192" s="134" t="n"/>
      <c r="F192" s="134" t="n"/>
      <c r="G192" s="134" t="n">
        <v>0.39</v>
      </c>
      <c r="H192" s="135" t="inlineStr">
        <is>
          <t>Scars of Mirrodin</t>
        </is>
      </c>
    </row>
    <row r="193">
      <c r="A193" s="139" t="inlineStr">
        <is>
          <t>c0142</t>
        </is>
      </c>
      <c r="B193" s="134" t="n"/>
      <c r="C193" s="134" t="n"/>
      <c r="D193" s="134" t="n"/>
      <c r="E193" s="134" t="n"/>
      <c r="F193" s="134" t="n"/>
      <c r="G193" s="134" t="n">
        <v>0.38</v>
      </c>
      <c r="H193" s="136" t="inlineStr">
        <is>
          <t>Guildpact</t>
        </is>
      </c>
    </row>
    <row r="194">
      <c r="A194" s="139" t="inlineStr">
        <is>
          <t>c0143</t>
        </is>
      </c>
      <c r="B194" s="134" t="n"/>
      <c r="C194" s="134" t="n"/>
      <c r="D194" s="134" t="n"/>
      <c r="E194" s="134" t="n"/>
      <c r="F194" s="134" t="n"/>
      <c r="G194" s="134" t="n">
        <v>6.15</v>
      </c>
      <c r="H194" s="135" t="inlineStr">
        <is>
          <t>Kaladesh</t>
        </is>
      </c>
    </row>
    <row r="195">
      <c r="A195" s="139" t="inlineStr">
        <is>
          <t>c0144</t>
        </is>
      </c>
      <c r="B195" s="134" t="n"/>
      <c r="C195" s="134" t="n"/>
      <c r="D195" s="134" t="n"/>
      <c r="E195" s="134" t="n"/>
      <c r="F195" s="134" t="n"/>
      <c r="G195" s="134" t="n">
        <v>2.82</v>
      </c>
      <c r="H195" s="135" t="inlineStr">
        <is>
          <t>Bloomburrow</t>
        </is>
      </c>
    </row>
    <row r="196">
      <c r="A196" s="139" t="inlineStr">
        <is>
          <t>c0145</t>
        </is>
      </c>
      <c r="B196" s="134" t="n"/>
      <c r="C196" s="134" t="n"/>
      <c r="D196" s="134" t="n"/>
      <c r="E196" s="134" t="n"/>
      <c r="F196" s="134" t="n"/>
      <c r="G196" s="134" t="n">
        <v>0.32</v>
      </c>
      <c r="H196" s="135" t="inlineStr">
        <is>
          <t>Kaladesh</t>
        </is>
      </c>
    </row>
    <row r="197">
      <c r="A197" s="139" t="inlineStr">
        <is>
          <t>c0146</t>
        </is>
      </c>
      <c r="B197" s="134" t="n"/>
      <c r="C197" s="134" t="n"/>
      <c r="D197" s="134" t="n"/>
      <c r="E197" s="134" t="n"/>
      <c r="F197" s="134" t="n"/>
      <c r="G197" s="134" t="n">
        <v>0.21</v>
      </c>
      <c r="H197" s="135" t="inlineStr">
        <is>
          <t>Worldwake</t>
        </is>
      </c>
    </row>
    <row r="198">
      <c r="A198" s="139" t="inlineStr">
        <is>
          <t>c0147</t>
        </is>
      </c>
      <c r="B198" s="134" t="n"/>
      <c r="C198" s="134" t="n"/>
      <c r="D198" s="134" t="n"/>
      <c r="E198" s="134" t="n"/>
      <c r="F198" s="134" t="n"/>
      <c r="G198" s="134" t="n">
        <v>0.42</v>
      </c>
      <c r="H198" s="135" t="inlineStr">
        <is>
          <t>Time Spiral</t>
        </is>
      </c>
    </row>
    <row r="199">
      <c r="A199" s="139" t="inlineStr">
        <is>
          <t>c0148</t>
        </is>
      </c>
      <c r="B199" s="134" t="n"/>
      <c r="C199" s="134" t="n"/>
      <c r="D199" s="134" t="n"/>
      <c r="E199" s="134" t="n"/>
      <c r="F199" s="134" t="n"/>
      <c r="G199" s="134" t="n">
        <v>0.23</v>
      </c>
      <c r="H199" s="135" t="inlineStr">
        <is>
          <t>Rise of the Eldrazi</t>
        </is>
      </c>
    </row>
    <row r="200">
      <c r="A200" s="139" t="inlineStr">
        <is>
          <t>c0149</t>
        </is>
      </c>
      <c r="B200" s="134" t="n"/>
      <c r="C200" s="134" t="n"/>
      <c r="D200" s="134" t="n"/>
      <c r="E200" s="134" t="n"/>
      <c r="F200" s="134" t="n"/>
      <c r="G200" s="141" t="n">
        <v>2.5</v>
      </c>
      <c r="H200" s="136" t="inlineStr">
        <is>
          <t>Mirrodin Besieged</t>
        </is>
      </c>
    </row>
    <row r="201">
      <c r="A201" s="139" t="inlineStr">
        <is>
          <t>c0150</t>
        </is>
      </c>
      <c r="B201" s="134" t="n"/>
      <c r="C201" s="134" t="n"/>
      <c r="D201" s="134" t="n"/>
      <c r="E201" s="134" t="n"/>
      <c r="F201" s="134" t="n"/>
      <c r="G201" s="134" t="n">
        <v>13.89</v>
      </c>
      <c r="H201" s="135" t="inlineStr">
        <is>
          <t>Tempest</t>
        </is>
      </c>
    </row>
    <row r="202">
      <c r="A202" s="139" t="inlineStr">
        <is>
          <t>c0151</t>
        </is>
      </c>
      <c r="B202" s="134" t="n"/>
      <c r="C202" s="134" t="n"/>
      <c r="D202" s="134" t="n"/>
      <c r="E202" s="134" t="n"/>
      <c r="F202" s="134" t="n"/>
      <c r="G202" s="134" t="n">
        <v>0.42</v>
      </c>
      <c r="H202" s="136" t="inlineStr">
        <is>
          <t>Salvat 2005</t>
        </is>
      </c>
    </row>
    <row r="203">
      <c r="A203" s="139" t="inlineStr">
        <is>
          <t>c0152</t>
        </is>
      </c>
      <c r="B203" s="134" t="n"/>
      <c r="C203" s="134" t="n"/>
      <c r="D203" s="134" t="n"/>
      <c r="E203" s="134" t="n"/>
      <c r="F203" s="134" t="n"/>
      <c r="G203" s="134" t="n">
        <v>0.41</v>
      </c>
      <c r="H203" s="135" t="inlineStr">
        <is>
          <t>Dominaria United</t>
        </is>
      </c>
    </row>
    <row r="204">
      <c r="A204" s="139" t="inlineStr">
        <is>
          <t>c0153</t>
        </is>
      </c>
      <c r="B204" s="134" t="n"/>
      <c r="C204" s="134" t="n"/>
      <c r="D204" s="134" t="n"/>
      <c r="E204" s="134" t="n"/>
      <c r="F204" s="134" t="n"/>
      <c r="G204" s="134" t="n">
        <v>0.36</v>
      </c>
      <c r="H204" s="135" t="inlineStr">
        <is>
          <t>Dissension</t>
        </is>
      </c>
    </row>
    <row r="205">
      <c r="A205" s="139" t="inlineStr">
        <is>
          <t>c0154</t>
        </is>
      </c>
      <c r="B205" s="134" t="n"/>
      <c r="C205" s="134" t="n"/>
      <c r="D205" s="134" t="n"/>
      <c r="E205" s="134" t="n"/>
      <c r="F205" s="134" t="n"/>
      <c r="G205" s="134" t="n">
        <v>4.94</v>
      </c>
      <c r="H205" s="135" t="inlineStr">
        <is>
          <t>Darksteel</t>
        </is>
      </c>
    </row>
    <row r="206">
      <c r="A206" s="139" t="inlineStr">
        <is>
          <t>c0155</t>
        </is>
      </c>
      <c r="B206" s="134" t="n"/>
      <c r="C206" s="134" t="n"/>
      <c r="D206" s="134" t="n"/>
      <c r="E206" s="134" t="n"/>
      <c r="F206" s="134" t="n"/>
      <c r="G206" s="134" t="n">
        <v>1.67</v>
      </c>
      <c r="H206" s="135" t="inlineStr">
        <is>
          <t>Kaladesh</t>
        </is>
      </c>
    </row>
    <row r="207">
      <c r="A207" s="139" t="inlineStr">
        <is>
          <t>c0156</t>
        </is>
      </c>
      <c r="B207" s="134" t="n"/>
      <c r="C207" s="134" t="n"/>
      <c r="D207" s="134" t="n"/>
      <c r="E207" s="134" t="n"/>
      <c r="F207" s="134" t="n"/>
      <c r="G207" s="134" t="n">
        <v>1.53</v>
      </c>
      <c r="H207" s="135" t="inlineStr">
        <is>
          <t>Limited Edition Alpha</t>
        </is>
      </c>
    </row>
    <row r="208">
      <c r="A208" s="139" t="inlineStr">
        <is>
          <t>c0157</t>
        </is>
      </c>
      <c r="B208" s="134" t="n"/>
      <c r="C208" s="134" t="n"/>
      <c r="D208" s="134" t="n"/>
      <c r="E208" s="134" t="n"/>
      <c r="F208" s="134" t="n"/>
      <c r="G208" s="134" t="n">
        <v>0.36</v>
      </c>
      <c r="H208" s="135" t="inlineStr">
        <is>
          <t>Mirrodin</t>
        </is>
      </c>
    </row>
    <row r="209">
      <c r="A209" s="139" t="inlineStr">
        <is>
          <t>c0158</t>
        </is>
      </c>
      <c r="B209" s="134" t="n"/>
      <c r="C209" s="134" t="n"/>
      <c r="D209" s="134" t="n"/>
      <c r="E209" s="134" t="n"/>
      <c r="F209" s="134" t="n"/>
      <c r="G209" s="134" t="n">
        <v>0.91</v>
      </c>
      <c r="H209" s="135" t="inlineStr">
        <is>
          <t>Magic 2015</t>
        </is>
      </c>
    </row>
    <row r="210">
      <c r="A210" s="139" t="inlineStr">
        <is>
          <t>c0159</t>
        </is>
      </c>
      <c r="B210" s="134" t="n"/>
      <c r="C210" s="134" t="n"/>
      <c r="D210" s="134" t="n"/>
      <c r="E210" s="134" t="n"/>
      <c r="F210" s="134" t="n"/>
      <c r="G210" s="134" t="n"/>
      <c r="H210" s="136" t="inlineStr">
        <is>
          <t>Lorwyn Eclipsed</t>
        </is>
      </c>
    </row>
    <row r="211">
      <c r="A211" s="139" t="inlineStr">
        <is>
          <t>c0160</t>
        </is>
      </c>
      <c r="B211" s="134" t="n">
        <v>1</v>
      </c>
      <c r="C211" s="134" t="inlineStr">
        <is>
          <t>252</t>
        </is>
      </c>
      <c r="D211" s="134" t="inlineStr">
        <is>
          <t>Uncommon</t>
        </is>
      </c>
      <c r="E211" s="134" t="n">
        <v>0</v>
      </c>
      <c r="F211" s="134" t="n"/>
      <c r="G211" s="134" t="n">
        <v>0.19</v>
      </c>
      <c r="H211" s="136" t="inlineStr">
        <is>
          <t>Secrets of Strixhaven</t>
        </is>
      </c>
    </row>
    <row r="212">
      <c r="A212" s="139" t="inlineStr">
        <is>
          <t>c0161</t>
        </is>
      </c>
      <c r="B212" s="134" t="n"/>
      <c r="C212" s="134" t="n"/>
      <c r="D212" s="134" t="n"/>
      <c r="E212" s="134" t="n"/>
      <c r="F212" s="134" t="n"/>
      <c r="G212" s="134" t="n">
        <v>0.4</v>
      </c>
      <c r="H212" s="135" t="inlineStr">
        <is>
          <t>Strixhaven: School of Mages</t>
        </is>
      </c>
    </row>
    <row r="213">
      <c r="A213" s="139" t="inlineStr">
        <is>
          <t>c0162</t>
        </is>
      </c>
      <c r="B213" s="134" t="n">
        <v>1</v>
      </c>
      <c r="C213" s="134" t="inlineStr">
        <is>
          <t>3</t>
        </is>
      </c>
      <c r="D213" s="134" t="inlineStr">
        <is>
          <t>Uncommon</t>
        </is>
      </c>
      <c r="E213" s="134" t="n">
        <v>0</v>
      </c>
      <c r="F213" s="134" t="inlineStr">
        <is>
          <t>Quintin Gleim</t>
        </is>
      </c>
      <c r="G213" s="134" t="n">
        <v>0.17</v>
      </c>
      <c r="H213" s="136" t="inlineStr">
        <is>
          <t>Secrets of Strixhaven</t>
        </is>
      </c>
    </row>
    <row r="214">
      <c r="A214" s="139" t="inlineStr">
        <is>
          <t>c0163</t>
        </is>
      </c>
      <c r="B214" s="134" t="n"/>
      <c r="C214" s="134" t="n"/>
      <c r="D214" s="134" t="n"/>
      <c r="E214" s="134" t="n"/>
      <c r="F214" s="134" t="n"/>
      <c r="G214" s="134" t="n">
        <v>2</v>
      </c>
      <c r="H214" s="135" t="inlineStr">
        <is>
          <t>Magic 2012</t>
        </is>
      </c>
    </row>
    <row r="215">
      <c r="A215" s="139" t="inlineStr">
        <is>
          <t>c0164</t>
        </is>
      </c>
      <c r="B215" s="134" t="n"/>
      <c r="C215" s="134" t="n"/>
      <c r="D215" s="134" t="n"/>
      <c r="E215" s="134" t="n"/>
      <c r="F215" s="134" t="n"/>
      <c r="G215" s="134" t="n">
        <v>6.05</v>
      </c>
      <c r="H215" s="135" t="inlineStr">
        <is>
          <t>Magic Origins</t>
        </is>
      </c>
    </row>
    <row r="216">
      <c r="A216" s="139" t="inlineStr">
        <is>
          <t>c0165</t>
        </is>
      </c>
      <c r="B216" s="134" t="n"/>
      <c r="C216" s="134" t="n"/>
      <c r="D216" s="134" t="n"/>
      <c r="E216" s="134" t="n"/>
      <c r="F216" s="134" t="n"/>
      <c r="G216" s="134" t="n"/>
      <c r="H216" s="136" t="inlineStr">
        <is>
          <t>The Hobbit</t>
        </is>
      </c>
    </row>
    <row r="217">
      <c r="A217" s="139" t="inlineStr">
        <is>
          <t>c0166</t>
        </is>
      </c>
      <c r="B217" s="134" t="n"/>
      <c r="C217" s="134" t="n"/>
      <c r="D217" s="134" t="n"/>
      <c r="E217" s="134" t="n"/>
      <c r="F217" s="134" t="n"/>
      <c r="G217" s="134" t="n">
        <v>19.3</v>
      </c>
      <c r="H217" s="135" t="inlineStr">
        <is>
          <t>Morningtide</t>
        </is>
      </c>
    </row>
    <row r="218">
      <c r="A218" s="139" t="inlineStr">
        <is>
          <t>c0167</t>
        </is>
      </c>
      <c r="B218" s="134" t="n"/>
      <c r="C218" s="134" t="n"/>
      <c r="D218" s="134" t="n"/>
      <c r="E218" s="134" t="n"/>
      <c r="F218" s="134" t="n"/>
      <c r="G218" s="141" t="n"/>
      <c r="H218" s="136" t="inlineStr">
        <is>
          <t>Commander 2015</t>
        </is>
      </c>
    </row>
    <row r="219">
      <c r="A219" s="139" t="inlineStr">
        <is>
          <t>c0168</t>
        </is>
      </c>
      <c r="B219" s="134" t="n"/>
      <c r="C219" s="134" t="n"/>
      <c r="D219" s="134" t="n"/>
      <c r="E219" s="134" t="n"/>
      <c r="F219" s="134" t="n"/>
      <c r="G219" s="134" t="n">
        <v>14.81</v>
      </c>
      <c r="H219" s="135" t="inlineStr">
        <is>
          <t>Lorwyn</t>
        </is>
      </c>
    </row>
    <row r="220">
      <c r="A220" s="139" t="inlineStr">
        <is>
          <t>c0169</t>
        </is>
      </c>
      <c r="B220" s="134" t="n"/>
      <c r="C220" s="134" t="n"/>
      <c r="D220" s="134" t="n"/>
      <c r="E220" s="134" t="n"/>
      <c r="F220" s="134" t="n"/>
      <c r="G220" s="134" t="n">
        <v>1.1</v>
      </c>
      <c r="H220" s="135" t="inlineStr">
        <is>
          <t>Scars of Mirrodin</t>
        </is>
      </c>
    </row>
    <row r="221">
      <c r="A221" s="139" t="inlineStr">
        <is>
          <t>c0170</t>
        </is>
      </c>
      <c r="B221" s="134" t="n"/>
      <c r="C221" s="134" t="n"/>
      <c r="D221" s="134" t="n"/>
      <c r="E221" s="134" t="n"/>
      <c r="F221" s="134" t="n"/>
      <c r="G221" s="134" t="n"/>
      <c r="H221" s="136" t="inlineStr">
        <is>
          <t>The Hobbit</t>
        </is>
      </c>
    </row>
    <row r="222">
      <c r="A222" s="139" t="inlineStr">
        <is>
          <t>c0171</t>
        </is>
      </c>
      <c r="B222" s="134" t="n"/>
      <c r="C222" s="134" t="n"/>
      <c r="D222" s="134" t="n"/>
      <c r="E222" s="134" t="n"/>
      <c r="F222" s="134" t="n"/>
      <c r="G222" s="134" t="n">
        <v>0.29</v>
      </c>
      <c r="H222" s="135" t="inlineStr">
        <is>
          <t>Throne of Eldraine</t>
        </is>
      </c>
    </row>
    <row r="223">
      <c r="A223" s="139" t="inlineStr">
        <is>
          <t>c0174</t>
        </is>
      </c>
      <c r="B223" s="134" t="n"/>
      <c r="C223" s="134" t="n"/>
      <c r="D223" s="134" t="n"/>
      <c r="E223" s="134" t="n"/>
      <c r="F223" s="134" t="n"/>
      <c r="G223" s="134" t="n">
        <v>0.35</v>
      </c>
      <c r="H223" s="135" t="inlineStr">
        <is>
          <t>Streets of New Capenna</t>
        </is>
      </c>
    </row>
    <row r="224">
      <c r="A224" s="139" t="inlineStr">
        <is>
          <t>c0175</t>
        </is>
      </c>
      <c r="B224" s="134" t="n"/>
      <c r="C224" s="134" t="n"/>
      <c r="D224" s="134" t="n"/>
      <c r="E224" s="134" t="n"/>
      <c r="F224" s="134" t="n"/>
      <c r="G224" s="141" t="n">
        <v>5.12</v>
      </c>
      <c r="H224" s="136" t="inlineStr">
        <is>
          <t>Ixalan</t>
        </is>
      </c>
    </row>
    <row r="225">
      <c r="A225" s="139" t="inlineStr">
        <is>
          <t>c0176</t>
        </is>
      </c>
      <c r="B225" s="134" t="n"/>
      <c r="C225" s="134" t="n"/>
      <c r="D225" s="134" t="n"/>
      <c r="E225" s="134" t="n"/>
      <c r="F225" s="134" t="n"/>
      <c r="G225" s="134" t="n">
        <v>0.33</v>
      </c>
      <c r="H225" s="135" t="inlineStr">
        <is>
          <t>Ravnica: City of Guilds</t>
        </is>
      </c>
    </row>
    <row r="226">
      <c r="A226" s="139" t="inlineStr">
        <is>
          <t>c0177</t>
        </is>
      </c>
      <c r="B226" s="134" t="n"/>
      <c r="C226" s="134" t="n"/>
      <c r="D226" s="134" t="n"/>
      <c r="E226" s="134" t="n"/>
      <c r="F226" s="134" t="n"/>
      <c r="G226" s="134" t="n">
        <v>0.3</v>
      </c>
      <c r="H226" s="135" t="inlineStr">
        <is>
          <t>Dominaria United</t>
        </is>
      </c>
    </row>
    <row r="227">
      <c r="A227" s="139" t="inlineStr">
        <is>
          <t>c0178</t>
        </is>
      </c>
      <c r="B227" s="134" t="n"/>
      <c r="C227" s="134" t="n"/>
      <c r="D227" s="134" t="n"/>
      <c r="E227" s="134" t="n"/>
      <c r="F227" s="134" t="n"/>
      <c r="G227" s="134" t="n">
        <v>0.31</v>
      </c>
      <c r="H227" s="135" t="inlineStr">
        <is>
          <t>Urza's Saga</t>
        </is>
      </c>
    </row>
    <row r="228">
      <c r="A228" s="139" t="inlineStr">
        <is>
          <t>c0179</t>
        </is>
      </c>
      <c r="B228" s="134" t="n"/>
      <c r="C228" s="134" t="n"/>
      <c r="D228" s="134" t="n"/>
      <c r="E228" s="134" t="n"/>
      <c r="F228" s="134" t="n"/>
      <c r="G228" s="134" t="n">
        <v>5.38</v>
      </c>
      <c r="H228" s="135" t="inlineStr">
        <is>
          <t>Commander Legends</t>
        </is>
      </c>
    </row>
    <row r="229">
      <c r="A229" s="139" t="inlineStr">
        <is>
          <t>c0180</t>
        </is>
      </c>
      <c r="B229" s="134" t="n"/>
      <c r="C229" s="134" t="n"/>
      <c r="D229" s="134" t="n"/>
      <c r="E229" s="134" t="n"/>
      <c r="F229" s="134" t="n"/>
      <c r="G229" s="134" t="n">
        <v>1.01</v>
      </c>
      <c r="H229" s="135" t="inlineStr">
        <is>
          <t>New Capenna Commander</t>
        </is>
      </c>
    </row>
    <row r="230">
      <c r="A230" s="139" t="inlineStr">
        <is>
          <t>c0181</t>
        </is>
      </c>
      <c r="B230" s="134" t="n">
        <v>2</v>
      </c>
      <c r="C230" s="134" t="inlineStr">
        <is>
          <t>180</t>
        </is>
      </c>
      <c r="D230" s="134" t="inlineStr">
        <is>
          <t>Common</t>
        </is>
      </c>
      <c r="E230" s="134" t="n">
        <v>0</v>
      </c>
      <c r="F230" s="134" t="inlineStr">
        <is>
          <t>Gaboleps</t>
        </is>
      </c>
      <c r="G230" s="134" t="n">
        <v>0.13</v>
      </c>
      <c r="H230" s="136" t="inlineStr">
        <is>
          <t>The Hobbit</t>
        </is>
      </c>
    </row>
    <row r="231">
      <c r="A231" s="139" t="inlineStr">
        <is>
          <t>c0182</t>
        </is>
      </c>
      <c r="B231" s="134" t="n">
        <v>1</v>
      </c>
      <c r="C231" s="134" t="inlineStr">
        <is>
          <t>140</t>
        </is>
      </c>
      <c r="D231" s="134" t="inlineStr">
        <is>
          <t>Rare</t>
        </is>
      </c>
      <c r="E231" s="134" t="n">
        <v>0</v>
      </c>
      <c r="F231" s="134" t="inlineStr">
        <is>
          <t>Mariah Tekulve</t>
        </is>
      </c>
      <c r="G231" s="134" t="n">
        <v>0.28</v>
      </c>
      <c r="H231" s="136" t="inlineStr">
        <is>
          <t>Secrets of Strixhaven</t>
        </is>
      </c>
    </row>
    <row r="232">
      <c r="A232" s="139" t="inlineStr">
        <is>
          <t>c0183</t>
        </is>
      </c>
      <c r="B232" s="134" t="n"/>
      <c r="C232" s="134" t="n"/>
      <c r="D232" s="134" t="n"/>
      <c r="E232" s="134" t="n"/>
      <c r="F232" s="134" t="n"/>
      <c r="G232" s="134" t="n">
        <v>12.7</v>
      </c>
      <c r="H232" s="135" t="inlineStr">
        <is>
          <t>Zendikar Rising</t>
        </is>
      </c>
    </row>
    <row r="233">
      <c r="A233" s="139" t="inlineStr">
        <is>
          <t>c0184</t>
        </is>
      </c>
      <c r="B233" s="134" t="n"/>
      <c r="C233" s="134" t="n"/>
      <c r="D233" s="134" t="n"/>
      <c r="E233" s="134" t="n"/>
      <c r="F233" s="134" t="n"/>
      <c r="G233" s="134" t="n">
        <v>2.63</v>
      </c>
      <c r="H233" s="135" t="inlineStr">
        <is>
          <t>Tarkir: Dragonstorm Commander</t>
        </is>
      </c>
    </row>
    <row r="234">
      <c r="A234" s="139" t="inlineStr">
        <is>
          <t>c0185</t>
        </is>
      </c>
      <c r="B234" s="134" t="n"/>
      <c r="C234" s="134" t="n"/>
      <c r="D234" s="134" t="n"/>
      <c r="E234" s="134" t="n"/>
      <c r="F234" s="134" t="n"/>
      <c r="G234" s="134" t="n">
        <v>0.3</v>
      </c>
      <c r="H234" s="135" t="inlineStr">
        <is>
          <t>War of the Spark</t>
        </is>
      </c>
    </row>
    <row r="235">
      <c r="A235" s="139" t="inlineStr">
        <is>
          <t>c0186</t>
        </is>
      </c>
      <c r="B235" s="134" t="n"/>
      <c r="C235" s="134" t="n"/>
      <c r="D235" s="134" t="n"/>
      <c r="E235" s="134" t="n"/>
      <c r="F235" s="134" t="n"/>
      <c r="G235" s="134" t="n">
        <v>0.36</v>
      </c>
      <c r="H235" s="135" t="inlineStr">
        <is>
          <t>Dragons of Tarkir</t>
        </is>
      </c>
    </row>
    <row r="236">
      <c r="A236" s="139" t="inlineStr">
        <is>
          <t>c0188</t>
        </is>
      </c>
      <c r="B236" s="134" t="n"/>
      <c r="C236" s="134" t="n"/>
      <c r="D236" s="134" t="n"/>
      <c r="E236" s="134" t="n"/>
      <c r="F236" s="134" t="n"/>
      <c r="G236" s="134" t="n">
        <v>0.67</v>
      </c>
      <c r="H236" s="135" t="inlineStr">
        <is>
          <t>Return to Ravnica</t>
        </is>
      </c>
    </row>
    <row r="237">
      <c r="A237" s="139" t="inlineStr">
        <is>
          <t>c0189</t>
        </is>
      </c>
      <c r="B237" s="134" t="n"/>
      <c r="C237" s="134" t="n"/>
      <c r="D237" s="134" t="n"/>
      <c r="E237" s="134" t="n"/>
      <c r="F237" s="134" t="n"/>
      <c r="G237" s="134" t="n">
        <v>8.960000000000001</v>
      </c>
      <c r="H237" s="135" t="inlineStr">
        <is>
          <t>Guilds of Ravnica</t>
        </is>
      </c>
    </row>
    <row r="238">
      <c r="A238" s="139" t="inlineStr">
        <is>
          <t>c0190</t>
        </is>
      </c>
      <c r="B238" s="134" t="n"/>
      <c r="C238" s="134" t="n"/>
      <c r="D238" s="134" t="n"/>
      <c r="E238" s="134" t="n"/>
      <c r="F238" s="134" t="n"/>
      <c r="G238" s="134" t="n">
        <v>0.63</v>
      </c>
      <c r="H238" s="135" t="inlineStr">
        <is>
          <t>New Phyrexia</t>
        </is>
      </c>
    </row>
    <row r="239">
      <c r="A239" s="139" t="inlineStr">
        <is>
          <t>c0191</t>
        </is>
      </c>
      <c r="B239" s="134" t="n"/>
      <c r="C239" s="134" t="n"/>
      <c r="D239" s="134" t="n"/>
      <c r="E239" s="134" t="n"/>
      <c r="F239" s="134" t="n"/>
      <c r="G239" s="134" t="n"/>
      <c r="H239" s="136" t="inlineStr">
        <is>
          <t>War of the Spark</t>
        </is>
      </c>
    </row>
    <row r="240">
      <c r="A240" s="139" t="inlineStr">
        <is>
          <t>c0192</t>
        </is>
      </c>
      <c r="B240" s="134" t="n"/>
      <c r="C240" s="134" t="n"/>
      <c r="D240" s="134" t="n"/>
      <c r="E240" s="134" t="n"/>
      <c r="F240" s="134" t="n"/>
      <c r="G240" s="134" t="n"/>
      <c r="H240" s="136" t="inlineStr">
        <is>
          <t>The Hobbit</t>
        </is>
      </c>
    </row>
    <row r="241">
      <c r="A241" s="139" t="inlineStr">
        <is>
          <t>c0193</t>
        </is>
      </c>
      <c r="B241" s="134" t="n"/>
      <c r="C241" s="134" t="n"/>
      <c r="D241" s="134" t="n"/>
      <c r="E241" s="134" t="n"/>
      <c r="F241" s="134" t="n"/>
      <c r="G241" s="134" t="n">
        <v>8.09</v>
      </c>
      <c r="H241" s="135" t="inlineStr">
        <is>
          <t>Jumpstart</t>
        </is>
      </c>
    </row>
    <row r="242">
      <c r="A242" s="139" t="inlineStr">
        <is>
          <t>c0194</t>
        </is>
      </c>
      <c r="B242" s="134" t="n"/>
      <c r="C242" s="134" t="n"/>
      <c r="D242" s="134" t="n"/>
      <c r="E242" s="134" t="n"/>
      <c r="F242" s="134" t="n"/>
      <c r="G242" s="134" t="n">
        <v>0.3</v>
      </c>
      <c r="H242" s="135" t="inlineStr">
        <is>
          <t>Lorwyn Eclipsed</t>
        </is>
      </c>
    </row>
    <row r="243">
      <c r="A243" s="139" t="inlineStr">
        <is>
          <t>c0195</t>
        </is>
      </c>
      <c r="B243" s="134" t="n"/>
      <c r="C243" s="134" t="n"/>
      <c r="D243" s="134" t="n"/>
      <c r="E243" s="134" t="n"/>
      <c r="F243" s="134" t="n"/>
      <c r="G243" s="134" t="n">
        <v>0.51</v>
      </c>
      <c r="H243" s="135" t="inlineStr">
        <is>
          <t>Phyrexia: All Will Be One</t>
        </is>
      </c>
    </row>
    <row r="244">
      <c r="A244" s="139" t="inlineStr">
        <is>
          <t>c0196</t>
        </is>
      </c>
      <c r="B244" s="134" t="n"/>
      <c r="C244" s="134" t="n"/>
      <c r="D244" s="134" t="n"/>
      <c r="E244" s="134" t="n"/>
      <c r="F244" s="134" t="n"/>
      <c r="G244" s="134" t="n">
        <v>4.47</v>
      </c>
      <c r="H244" s="135" t="inlineStr">
        <is>
          <t>Tarkir: Dragonstorm Commander</t>
        </is>
      </c>
    </row>
    <row r="245">
      <c r="A245" s="139" t="inlineStr">
        <is>
          <t>c0197</t>
        </is>
      </c>
      <c r="B245" s="134" t="n"/>
      <c r="C245" s="134" t="n"/>
      <c r="D245" s="134" t="n"/>
      <c r="E245" s="134" t="n"/>
      <c r="F245" s="134" t="n"/>
      <c r="G245" s="134" t="n">
        <v>0.32</v>
      </c>
      <c r="H245" s="135" t="inlineStr">
        <is>
          <t>Ravnica: City of Guilds</t>
        </is>
      </c>
    </row>
    <row r="246">
      <c r="A246" s="139" t="inlineStr">
        <is>
          <t>c0198</t>
        </is>
      </c>
      <c r="B246" s="134" t="n">
        <v>1</v>
      </c>
      <c r="C246" s="134" t="inlineStr">
        <is>
          <t>142</t>
        </is>
      </c>
      <c r="D246" s="134" t="inlineStr">
        <is>
          <t>Uncommon</t>
        </is>
      </c>
      <c r="E246" s="134" t="n">
        <v>0</v>
      </c>
      <c r="F246" s="134" t="n"/>
      <c r="G246" s="134" t="n">
        <v>0.22</v>
      </c>
      <c r="H246" s="136" t="inlineStr">
        <is>
          <t>Secrets of Strixhaven</t>
        </is>
      </c>
    </row>
    <row r="247">
      <c r="A247" s="139" t="inlineStr">
        <is>
          <t>c0199</t>
        </is>
      </c>
      <c r="B247" s="134" t="n">
        <v>1</v>
      </c>
      <c r="C247" s="134" t="inlineStr">
        <is>
          <t>172</t>
        </is>
      </c>
      <c r="D247" s="134" t="inlineStr">
        <is>
          <t>Uncommon</t>
        </is>
      </c>
      <c r="E247" s="134" t="n">
        <v>0</v>
      </c>
      <c r="F247" s="134" t="n"/>
      <c r="G247" s="134" t="n">
        <v>1.37</v>
      </c>
      <c r="H247" s="136" t="inlineStr">
        <is>
          <t>Lorwyn Eclipsed</t>
        </is>
      </c>
    </row>
    <row r="248">
      <c r="A248" s="139" t="inlineStr">
        <is>
          <t>c0200</t>
        </is>
      </c>
      <c r="B248" s="134" t="n"/>
      <c r="C248" s="134" t="n"/>
      <c r="D248" s="134" t="n"/>
      <c r="E248" s="134" t="n"/>
      <c r="F248" s="134" t="n"/>
      <c r="G248" s="134" t="n">
        <v>0.73</v>
      </c>
      <c r="H248" s="135" t="inlineStr">
        <is>
          <t>Magic 2011</t>
        </is>
      </c>
    </row>
    <row r="249">
      <c r="A249" s="139" t="inlineStr">
        <is>
          <t>c0201</t>
        </is>
      </c>
      <c r="B249" s="134" t="n"/>
      <c r="C249" s="134" t="n"/>
      <c r="D249" s="134" t="n"/>
      <c r="E249" s="134" t="n"/>
      <c r="F249" s="134" t="n"/>
      <c r="G249" s="134" t="n">
        <v>0.16</v>
      </c>
      <c r="H249" s="135" t="inlineStr">
        <is>
          <t>Lorwyn Eclipsed</t>
        </is>
      </c>
    </row>
    <row r="250">
      <c r="A250" s="139" t="inlineStr">
        <is>
          <t>c0202</t>
        </is>
      </c>
      <c r="B250" s="134" t="n"/>
      <c r="C250" s="134" t="n"/>
      <c r="D250" s="134" t="n"/>
      <c r="E250" s="134" t="n"/>
      <c r="F250" s="134" t="n"/>
      <c r="G250" s="134" t="n">
        <v>0.22</v>
      </c>
      <c r="H250" s="135" t="inlineStr">
        <is>
          <t>Lorwyn Eclipsed</t>
        </is>
      </c>
    </row>
    <row r="251">
      <c r="A251" s="139" t="inlineStr">
        <is>
          <t>c0203</t>
        </is>
      </c>
      <c r="B251" s="134" t="n"/>
      <c r="C251" s="134" t="n"/>
      <c r="D251" s="134" t="n"/>
      <c r="E251" s="134" t="n"/>
      <c r="F251" s="134" t="n"/>
      <c r="G251" s="134" t="n">
        <v>0.26</v>
      </c>
      <c r="H251" s="135" t="inlineStr">
        <is>
          <t>Shards of Alara</t>
        </is>
      </c>
    </row>
    <row r="252">
      <c r="A252" s="139" t="inlineStr">
        <is>
          <t>c0204</t>
        </is>
      </c>
      <c r="B252" s="134" t="n"/>
      <c r="C252" s="134" t="n"/>
      <c r="D252" s="134" t="n"/>
      <c r="E252" s="134" t="n"/>
      <c r="F252" s="134" t="n"/>
      <c r="G252" s="134" t="n">
        <v>2.22</v>
      </c>
      <c r="H252" s="135" t="inlineStr">
        <is>
          <t>Fifth Dawn</t>
        </is>
      </c>
    </row>
    <row r="253">
      <c r="A253" s="139" t="inlineStr">
        <is>
          <t>c0205</t>
        </is>
      </c>
      <c r="B253" s="134" t="n"/>
      <c r="C253" s="134" t="n"/>
      <c r="D253" s="134" t="n"/>
      <c r="E253" s="134" t="n"/>
      <c r="F253" s="134" t="n"/>
      <c r="G253" s="134" t="n">
        <v>2.94</v>
      </c>
      <c r="H253" s="135" t="inlineStr">
        <is>
          <t>War of the Spark</t>
        </is>
      </c>
    </row>
    <row r="254">
      <c r="A254" s="139" t="inlineStr">
        <is>
          <t>c0206</t>
        </is>
      </c>
      <c r="B254" s="134" t="n"/>
      <c r="C254" s="134" t="n"/>
      <c r="D254" s="134" t="n"/>
      <c r="E254" s="134" t="n"/>
      <c r="F254" s="134" t="n"/>
      <c r="G254" s="141" t="n">
        <v>0.24</v>
      </c>
      <c r="H254" s="136" t="inlineStr">
        <is>
          <t>Worldwake</t>
        </is>
      </c>
    </row>
    <row r="255">
      <c r="A255" s="139" t="inlineStr">
        <is>
          <t>c0207</t>
        </is>
      </c>
      <c r="B255" s="134" t="n"/>
      <c r="C255" s="134" t="n"/>
      <c r="D255" s="134" t="n"/>
      <c r="E255" s="134" t="n"/>
      <c r="F255" s="134" t="n"/>
      <c r="G255" s="134" t="n">
        <v>0.22</v>
      </c>
      <c r="H255" s="135" t="inlineStr">
        <is>
          <t>Shadowmoor</t>
        </is>
      </c>
    </row>
    <row r="256">
      <c r="A256" s="139" t="inlineStr">
        <is>
          <t>c0208</t>
        </is>
      </c>
      <c r="B256" s="134" t="n"/>
      <c r="C256" s="134" t="n"/>
      <c r="D256" s="134" t="n"/>
      <c r="E256" s="134" t="n"/>
      <c r="F256" s="134" t="n"/>
      <c r="G256" s="134" t="n">
        <v>0.44</v>
      </c>
      <c r="H256" s="135" t="inlineStr">
        <is>
          <t>Ravnica: City of Guilds</t>
        </is>
      </c>
    </row>
    <row r="257">
      <c r="A257" s="139" t="inlineStr">
        <is>
          <t>c0209</t>
        </is>
      </c>
      <c r="B257" s="134" t="n"/>
      <c r="C257" s="134" t="n"/>
      <c r="D257" s="134" t="n"/>
      <c r="E257" s="134" t="n"/>
      <c r="F257" s="134" t="n"/>
      <c r="G257" s="134" t="n">
        <v>0.32</v>
      </c>
      <c r="H257" s="135" t="inlineStr">
        <is>
          <t>Morningtide</t>
        </is>
      </c>
    </row>
    <row r="258">
      <c r="A258" s="139" t="inlineStr">
        <is>
          <t>c0210</t>
        </is>
      </c>
      <c r="B258" s="134" t="n"/>
      <c r="C258" s="134" t="n"/>
      <c r="D258" s="134" t="n"/>
      <c r="E258" s="134" t="n"/>
      <c r="F258" s="134" t="n"/>
      <c r="G258" s="134" t="n"/>
      <c r="H258" s="136" t="inlineStr">
        <is>
          <t>Avatar: The Last Airbender</t>
        </is>
      </c>
    </row>
    <row r="259">
      <c r="A259" s="139" t="inlineStr">
        <is>
          <t>c0211</t>
        </is>
      </c>
      <c r="B259" s="134" t="n">
        <v>1</v>
      </c>
      <c r="C259" s="134" t="inlineStr">
        <is>
          <t>148</t>
        </is>
      </c>
      <c r="D259" s="134" t="inlineStr">
        <is>
          <t>Common</t>
        </is>
      </c>
      <c r="E259" s="134" t="n">
        <v>0</v>
      </c>
      <c r="F259" s="134" t="n"/>
      <c r="G259" s="134" t="n">
        <v>0.11</v>
      </c>
      <c r="H259" s="136" t="inlineStr">
        <is>
          <t>Secrets of Strixhaven</t>
        </is>
      </c>
    </row>
    <row r="260">
      <c r="A260" s="139" t="inlineStr">
        <is>
          <t>c0212</t>
        </is>
      </c>
      <c r="B260" s="134" t="n"/>
      <c r="C260" s="134" t="n"/>
      <c r="D260" s="134" t="n"/>
      <c r="E260" s="134" t="n"/>
      <c r="F260" s="134" t="n"/>
      <c r="G260" s="134" t="n">
        <v>0.37</v>
      </c>
      <c r="H260" s="135" t="inlineStr">
        <is>
          <t>Scourge</t>
        </is>
      </c>
    </row>
    <row r="261">
      <c r="A261" s="139" t="inlineStr">
        <is>
          <t>c0213</t>
        </is>
      </c>
      <c r="B261" s="134" t="n"/>
      <c r="C261" s="134" t="n"/>
      <c r="D261" s="134" t="n"/>
      <c r="E261" s="134" t="n"/>
      <c r="F261" s="134" t="n"/>
      <c r="G261" s="134" t="n">
        <v>4.22</v>
      </c>
      <c r="H261" s="135" t="inlineStr">
        <is>
          <t>Commander 2014</t>
        </is>
      </c>
    </row>
    <row r="262">
      <c r="A262" s="139" t="inlineStr">
        <is>
          <t>c0214</t>
        </is>
      </c>
      <c r="B262" s="134" t="n"/>
      <c r="C262" s="134" t="n"/>
      <c r="D262" s="134" t="n"/>
      <c r="E262" s="134" t="n"/>
      <c r="F262" s="134" t="n"/>
      <c r="G262" s="134" t="n"/>
      <c r="H262" s="135" t="inlineStr">
        <is>
          <t>Kaldheim</t>
        </is>
      </c>
    </row>
    <row r="263">
      <c r="A263" s="139" t="inlineStr">
        <is>
          <t>c0215</t>
        </is>
      </c>
      <c r="B263" s="134" t="n"/>
      <c r="C263" s="134" t="n"/>
      <c r="D263" s="134" t="n"/>
      <c r="E263" s="134" t="n"/>
      <c r="F263" s="134" t="n"/>
      <c r="G263" s="141" t="n">
        <v>0.59</v>
      </c>
      <c r="H263" s="136" t="inlineStr">
        <is>
          <t>Core Set 2021</t>
        </is>
      </c>
    </row>
    <row r="264">
      <c r="A264" s="139" t="inlineStr">
        <is>
          <t>c0218</t>
        </is>
      </c>
      <c r="B264" s="134" t="n"/>
      <c r="C264" s="134" t="n"/>
      <c r="D264" s="134" t="n"/>
      <c r="E264" s="134" t="n"/>
      <c r="F264" s="134" t="n"/>
      <c r="G264" s="134" t="n">
        <v>0.13</v>
      </c>
      <c r="H264" s="135" t="inlineStr">
        <is>
          <t>Lorwyn Eclipsed</t>
        </is>
      </c>
    </row>
    <row r="265">
      <c r="A265" s="139" t="inlineStr">
        <is>
          <t>c0219</t>
        </is>
      </c>
      <c r="B265" s="134" t="n">
        <v>1</v>
      </c>
      <c r="C265" s="134" t="inlineStr">
        <is>
          <t>150</t>
        </is>
      </c>
      <c r="D265" s="134" t="inlineStr">
        <is>
          <t>Common</t>
        </is>
      </c>
      <c r="E265" s="134" t="n">
        <v>0</v>
      </c>
      <c r="F265" s="134" t="inlineStr">
        <is>
          <t>Camille Alquier</t>
        </is>
      </c>
      <c r="G265" s="134" t="n">
        <v>0.14</v>
      </c>
      <c r="H265" s="136" t="inlineStr">
        <is>
          <t>Secrets of Strixhaven</t>
        </is>
      </c>
    </row>
    <row r="266">
      <c r="A266" s="139" t="inlineStr">
        <is>
          <t>c0220</t>
        </is>
      </c>
      <c r="B266" s="134" t="n"/>
      <c r="C266" s="134" t="n"/>
      <c r="D266" s="134" t="n"/>
      <c r="E266" s="134" t="n"/>
      <c r="F266" s="134" t="n"/>
      <c r="G266" s="134" t="n">
        <v>0.31</v>
      </c>
      <c r="H266" s="135" t="inlineStr">
        <is>
          <t>Zendikar</t>
        </is>
      </c>
    </row>
    <row r="267">
      <c r="A267" s="139" t="inlineStr">
        <is>
          <t>c0221</t>
        </is>
      </c>
      <c r="B267" s="134" t="n">
        <v>1</v>
      </c>
      <c r="C267" s="134" t="inlineStr">
        <is>
          <t>178</t>
        </is>
      </c>
      <c r="D267" s="134" t="inlineStr">
        <is>
          <t>Common</t>
        </is>
      </c>
      <c r="E267" s="134" t="n">
        <v>0</v>
      </c>
      <c r="F267" s="134" t="n"/>
      <c r="G267" s="134" t="n">
        <v>0.25</v>
      </c>
      <c r="H267" s="136" t="inlineStr">
        <is>
          <t>Lorwyn Eclipsed</t>
        </is>
      </c>
    </row>
    <row r="268">
      <c r="A268" s="139" t="inlineStr">
        <is>
          <t>c0222</t>
        </is>
      </c>
      <c r="B268" s="134" t="n">
        <v>2</v>
      </c>
      <c r="C268" s="134" t="inlineStr">
        <is>
          <t>127</t>
        </is>
      </c>
      <c r="D268" s="134" t="inlineStr">
        <is>
          <t>Common</t>
        </is>
      </c>
      <c r="E268" s="134" t="n">
        <v>0</v>
      </c>
      <c r="F268" s="134" t="inlineStr">
        <is>
          <t>Andreia Ugrai</t>
        </is>
      </c>
      <c r="G268" s="134" t="n">
        <v>0.13</v>
      </c>
      <c r="H268" s="135" t="inlineStr">
        <is>
          <t>The Hobbit</t>
        </is>
      </c>
    </row>
    <row r="269">
      <c r="A269" s="139" t="inlineStr">
        <is>
          <t>c0223</t>
        </is>
      </c>
      <c r="B269" s="134" t="n"/>
      <c r="C269" s="134" t="n"/>
      <c r="D269" s="134" t="n"/>
      <c r="E269" s="134" t="n"/>
      <c r="F269" s="134" t="n"/>
      <c r="G269" s="134" t="n">
        <v>15.05</v>
      </c>
      <c r="H269" s="135" t="inlineStr">
        <is>
          <t>Ravnica Allegiance</t>
        </is>
      </c>
    </row>
    <row r="270">
      <c r="A270" s="139" t="inlineStr">
        <is>
          <t>c0224</t>
        </is>
      </c>
      <c r="B270" s="134" t="n"/>
      <c r="C270" s="134" t="n"/>
      <c r="D270" s="134" t="n"/>
      <c r="E270" s="134" t="n"/>
      <c r="F270" s="134" t="n"/>
      <c r="G270" s="134" t="n">
        <v>3.69</v>
      </c>
      <c r="H270" s="135" t="inlineStr">
        <is>
          <t>Khans of Tarkir</t>
        </is>
      </c>
    </row>
    <row r="271">
      <c r="A271" s="139" t="inlineStr">
        <is>
          <t>c0225</t>
        </is>
      </c>
      <c r="B271" s="134" t="n"/>
      <c r="C271" s="134" t="n"/>
      <c r="D271" s="134" t="n"/>
      <c r="E271" s="134" t="n"/>
      <c r="F271" s="134" t="n"/>
      <c r="G271" s="134" t="n">
        <v>16.88</v>
      </c>
      <c r="H271" s="135" t="inlineStr">
        <is>
          <t>Aether Revolt</t>
        </is>
      </c>
    </row>
    <row r="272">
      <c r="A272" s="139" t="inlineStr">
        <is>
          <t>c0226</t>
        </is>
      </c>
      <c r="B272" s="134" t="n"/>
      <c r="C272" s="134" t="n"/>
      <c r="D272" s="134" t="n"/>
      <c r="E272" s="134" t="n"/>
      <c r="F272" s="134" t="n"/>
      <c r="G272" s="134" t="n">
        <v>0.34</v>
      </c>
      <c r="H272" s="135" t="inlineStr">
        <is>
          <t>Magic 2015</t>
        </is>
      </c>
    </row>
    <row r="273">
      <c r="A273" s="139" t="inlineStr">
        <is>
          <t>c0227</t>
        </is>
      </c>
      <c r="B273" s="134" t="n"/>
      <c r="C273" s="134" t="n"/>
      <c r="D273" s="134" t="n"/>
      <c r="E273" s="134" t="n"/>
      <c r="F273" s="134" t="n"/>
      <c r="G273" s="134" t="n">
        <v>10.91</v>
      </c>
      <c r="H273" s="135" t="inlineStr">
        <is>
          <t>Bloomburrow</t>
        </is>
      </c>
    </row>
    <row r="274">
      <c r="A274" s="139" t="inlineStr">
        <is>
          <t>c0228</t>
        </is>
      </c>
      <c r="B274" s="134" t="n"/>
      <c r="C274" s="134" t="n"/>
      <c r="D274" s="134" t="n"/>
      <c r="E274" s="134" t="n"/>
      <c r="F274" s="134" t="n"/>
      <c r="G274" s="134" t="n">
        <v>0.35</v>
      </c>
      <c r="H274" s="135" t="inlineStr">
        <is>
          <t>Dragons of Tarkir</t>
        </is>
      </c>
    </row>
    <row r="275">
      <c r="A275" s="139" t="inlineStr">
        <is>
          <t>c0229</t>
        </is>
      </c>
      <c r="B275" s="134" t="n"/>
      <c r="C275" s="134" t="n"/>
      <c r="D275" s="134" t="n"/>
      <c r="E275" s="134" t="n"/>
      <c r="F275" s="134" t="n"/>
      <c r="G275" s="134" t="n">
        <v>0.29</v>
      </c>
      <c r="H275" s="135" t="inlineStr">
        <is>
          <t>Battle for Zendikar</t>
        </is>
      </c>
    </row>
    <row r="276">
      <c r="A276" s="139" t="inlineStr">
        <is>
          <t>c0230</t>
        </is>
      </c>
      <c r="B276" s="134" t="n"/>
      <c r="C276" s="134" t="n"/>
      <c r="D276" s="134" t="n"/>
      <c r="E276" s="134" t="n"/>
      <c r="F276" s="134" t="n"/>
      <c r="G276" s="134" t="n">
        <v>2.27</v>
      </c>
      <c r="H276" s="135" t="inlineStr">
        <is>
          <t>Champions of Kamigawa</t>
        </is>
      </c>
    </row>
    <row r="277">
      <c r="A277" s="139" t="inlineStr">
        <is>
          <t>c0231</t>
        </is>
      </c>
      <c r="B277" s="134" t="n"/>
      <c r="C277" s="134" t="n"/>
      <c r="D277" s="134" t="n"/>
      <c r="E277" s="134" t="n"/>
      <c r="F277" s="134" t="n"/>
      <c r="G277" s="134" t="n">
        <v>0.32</v>
      </c>
      <c r="H277" s="135" t="inlineStr">
        <is>
          <t>Avatar: The Last Airbender</t>
        </is>
      </c>
    </row>
    <row r="278">
      <c r="A278" s="139" t="inlineStr">
        <is>
          <t>c0232</t>
        </is>
      </c>
      <c r="B278" s="134" t="n"/>
      <c r="C278" s="134" t="n"/>
      <c r="D278" s="134" t="n"/>
      <c r="E278" s="134" t="n"/>
      <c r="F278" s="134" t="n"/>
      <c r="G278" s="134" t="n"/>
      <c r="H278" s="136" t="inlineStr">
        <is>
          <t>The Hobbit</t>
        </is>
      </c>
    </row>
    <row r="279">
      <c r="A279" s="139" t="inlineStr">
        <is>
          <t>c0233</t>
        </is>
      </c>
      <c r="B279" s="134" t="n"/>
      <c r="C279" s="134" t="n"/>
      <c r="D279" s="134" t="n"/>
      <c r="E279" s="134" t="n"/>
      <c r="F279" s="134" t="n"/>
      <c r="G279" s="134" t="n">
        <v>0.33</v>
      </c>
      <c r="H279" s="135" t="inlineStr">
        <is>
          <t>Limited Edition Alpha</t>
        </is>
      </c>
    </row>
    <row r="280">
      <c r="A280" s="139" t="inlineStr">
        <is>
          <t>c0234</t>
        </is>
      </c>
      <c r="B280" s="134" t="n"/>
      <c r="C280" s="134" t="n"/>
      <c r="D280" s="134" t="n"/>
      <c r="E280" s="134" t="n"/>
      <c r="F280" s="134" t="n"/>
      <c r="G280" s="134" t="n"/>
      <c r="H280" s="136" t="inlineStr">
        <is>
          <t>Lorwyn Eclipsed</t>
        </is>
      </c>
    </row>
    <row r="281">
      <c r="A281" s="139" t="inlineStr">
        <is>
          <t>c0235</t>
        </is>
      </c>
      <c r="B281" s="134" t="n"/>
      <c r="C281" s="134" t="n"/>
      <c r="D281" s="134" t="n"/>
      <c r="E281" s="134" t="n"/>
      <c r="F281" s="134" t="n"/>
      <c r="G281" s="134" t="n">
        <v>0.23</v>
      </c>
      <c r="H281" s="135" t="inlineStr">
        <is>
          <t>Lorwyn Eclipsed</t>
        </is>
      </c>
    </row>
    <row r="282">
      <c r="A282" s="139" t="inlineStr">
        <is>
          <t>c0237</t>
        </is>
      </c>
      <c r="B282" s="134" t="n"/>
      <c r="C282" s="134" t="n"/>
      <c r="D282" s="134" t="n"/>
      <c r="E282" s="134" t="n"/>
      <c r="F282" s="134" t="n"/>
      <c r="G282" s="134" t="n">
        <v>0.16</v>
      </c>
      <c r="H282" s="135" t="inlineStr">
        <is>
          <t>Khans of Tarkir</t>
        </is>
      </c>
    </row>
    <row r="283">
      <c r="A283" s="139" t="inlineStr">
        <is>
          <t>c0238</t>
        </is>
      </c>
      <c r="B283" s="134" t="n"/>
      <c r="C283" s="134" t="n"/>
      <c r="D283" s="134" t="n"/>
      <c r="E283" s="134" t="n"/>
      <c r="F283" s="134" t="n"/>
      <c r="G283" s="134" t="n">
        <v>0.27</v>
      </c>
      <c r="H283" s="135" t="inlineStr">
        <is>
          <t>Lorwyn Eclipsed</t>
        </is>
      </c>
    </row>
    <row r="284">
      <c r="A284" s="139" t="inlineStr">
        <is>
          <t>c0239</t>
        </is>
      </c>
      <c r="B284" s="134" t="n"/>
      <c r="C284" s="134" t="n"/>
      <c r="D284" s="134" t="n"/>
      <c r="E284" s="134" t="n"/>
      <c r="F284" s="134" t="n"/>
      <c r="G284" s="134" t="n">
        <v>0.36</v>
      </c>
      <c r="H284" s="135" t="inlineStr">
        <is>
          <t>Ikoria: Lair of Behemoths</t>
        </is>
      </c>
    </row>
    <row r="285">
      <c r="A285" s="139" t="inlineStr">
        <is>
          <t>c0241</t>
        </is>
      </c>
      <c r="B285" s="134" t="n">
        <v>1</v>
      </c>
      <c r="C285" s="134" t="inlineStr">
        <is>
          <t>183</t>
        </is>
      </c>
      <c r="D285" s="134" t="inlineStr">
        <is>
          <t>Common</t>
        </is>
      </c>
      <c r="E285" s="134" t="n">
        <v>0</v>
      </c>
      <c r="F285" s="134" t="n"/>
      <c r="G285" s="134" t="n">
        <v>0.06</v>
      </c>
      <c r="H285" s="136" t="inlineStr">
        <is>
          <t>Lorwyn Eclipsed</t>
        </is>
      </c>
    </row>
    <row r="286">
      <c r="A286" s="139" t="inlineStr">
        <is>
          <t>c0243</t>
        </is>
      </c>
      <c r="B286" s="134" t="n"/>
      <c r="C286" s="134" t="n"/>
      <c r="D286" s="134" t="n"/>
      <c r="E286" s="134" t="n"/>
      <c r="F286" s="134" t="n"/>
      <c r="G286" s="134" t="n">
        <v>0.27</v>
      </c>
      <c r="H286" s="135" t="inlineStr">
        <is>
          <t>Stronghold</t>
        </is>
      </c>
    </row>
    <row r="287">
      <c r="A287" s="139" t="inlineStr">
        <is>
          <t>c0244</t>
        </is>
      </c>
      <c r="B287" s="134" t="n"/>
      <c r="C287" s="134" t="n"/>
      <c r="D287" s="134" t="n"/>
      <c r="E287" s="134" t="n"/>
      <c r="F287" s="134" t="n"/>
      <c r="G287" s="134" t="n">
        <v>1.91</v>
      </c>
      <c r="H287" s="135" t="inlineStr">
        <is>
          <t>Ice Age</t>
        </is>
      </c>
    </row>
    <row r="288">
      <c r="A288" s="139" t="inlineStr">
        <is>
          <t>c0245</t>
        </is>
      </c>
      <c r="B288" s="134" t="n">
        <v>1</v>
      </c>
      <c r="C288" s="134" t="inlineStr">
        <is>
          <t>155</t>
        </is>
      </c>
      <c r="D288" s="134" t="inlineStr">
        <is>
          <t>Common</t>
        </is>
      </c>
      <c r="E288" s="134" t="n">
        <v>0</v>
      </c>
      <c r="F288" s="134" t="n"/>
      <c r="G288" s="134" t="n">
        <v>0.27</v>
      </c>
      <c r="H288" s="136" t="inlineStr">
        <is>
          <t>Secrets of Strixhaven</t>
        </is>
      </c>
    </row>
    <row r="289">
      <c r="A289" s="139" t="inlineStr">
        <is>
          <t>c0246</t>
        </is>
      </c>
      <c r="B289" s="134" t="n"/>
      <c r="C289" s="134" t="n"/>
      <c r="D289" s="134" t="n"/>
      <c r="E289" s="134" t="n"/>
      <c r="F289" s="134" t="n"/>
      <c r="G289" s="134" t="n"/>
      <c r="H289" s="136" t="inlineStr">
        <is>
          <t>The Hobbit</t>
        </is>
      </c>
    </row>
    <row r="290">
      <c r="A290" s="139" t="inlineStr">
        <is>
          <t>c0247</t>
        </is>
      </c>
      <c r="B290" s="134" t="n"/>
      <c r="C290" s="134" t="n"/>
      <c r="D290" s="134" t="n"/>
      <c r="E290" s="134" t="n"/>
      <c r="F290" s="134" t="n"/>
      <c r="G290" s="134" t="n">
        <v>0.1</v>
      </c>
      <c r="H290" s="135" t="inlineStr">
        <is>
          <t>Theros</t>
        </is>
      </c>
    </row>
    <row r="291">
      <c r="A291" s="139" t="inlineStr">
        <is>
          <t>c0248</t>
        </is>
      </c>
      <c r="B291" s="134" t="n"/>
      <c r="C291" s="134" t="n"/>
      <c r="D291" s="134" t="n"/>
      <c r="E291" s="134" t="n"/>
      <c r="F291" s="134" t="n"/>
      <c r="G291" s="134" t="n">
        <v>0.21</v>
      </c>
      <c r="H291" s="136" t="inlineStr">
        <is>
          <t>The Hobbit</t>
        </is>
      </c>
    </row>
    <row r="292">
      <c r="A292" s="139" t="inlineStr">
        <is>
          <t>c0249</t>
        </is>
      </c>
      <c r="B292" s="134" t="n"/>
      <c r="C292" s="134" t="n"/>
      <c r="D292" s="134" t="n"/>
      <c r="E292" s="134" t="n"/>
      <c r="F292" s="134" t="n"/>
      <c r="G292" s="134" t="n">
        <v>0.26</v>
      </c>
      <c r="H292" s="135" t="inlineStr">
        <is>
          <t>Avatar: The Last Airbender</t>
        </is>
      </c>
    </row>
    <row r="293">
      <c r="A293" s="139" t="inlineStr">
        <is>
          <t>c0250</t>
        </is>
      </c>
      <c r="B293" s="134" t="n"/>
      <c r="C293" s="134" t="n"/>
      <c r="D293" s="134" t="n"/>
      <c r="E293" s="134" t="n"/>
      <c r="F293" s="134" t="n"/>
      <c r="G293" s="134" t="n">
        <v>0.35</v>
      </c>
      <c r="H293" s="135" t="inlineStr">
        <is>
          <t>Rise of the Eldrazi</t>
        </is>
      </c>
    </row>
    <row r="294">
      <c r="A294" s="139" t="inlineStr">
        <is>
          <t>c0251</t>
        </is>
      </c>
      <c r="B294" s="134" t="n"/>
      <c r="C294" s="134" t="n"/>
      <c r="D294" s="134" t="n"/>
      <c r="E294" s="134" t="n"/>
      <c r="F294" s="134" t="n"/>
      <c r="G294" s="134" t="n">
        <v>4.48</v>
      </c>
      <c r="H294" s="135" t="inlineStr">
        <is>
          <t>Battlebond</t>
        </is>
      </c>
    </row>
    <row r="295">
      <c r="A295" s="139" t="inlineStr">
        <is>
          <t>c0252</t>
        </is>
      </c>
      <c r="B295" s="134" t="n"/>
      <c r="C295" s="134" t="n"/>
      <c r="D295" s="134" t="n"/>
      <c r="E295" s="134" t="n"/>
      <c r="F295" s="134" t="n"/>
      <c r="G295" s="134" t="n">
        <v>0.2</v>
      </c>
      <c r="H295" s="135" t="inlineStr">
        <is>
          <t>Mirrodin Besieged</t>
        </is>
      </c>
    </row>
    <row r="296">
      <c r="A296" s="139" t="inlineStr">
        <is>
          <t>c0253</t>
        </is>
      </c>
      <c r="B296" s="134" t="n"/>
      <c r="C296" s="134" t="n"/>
      <c r="D296" s="134" t="n"/>
      <c r="E296" s="134" t="n"/>
      <c r="F296" s="134" t="n"/>
      <c r="G296" s="134" t="n">
        <v>0.2</v>
      </c>
      <c r="H296" s="135" t="inlineStr">
        <is>
          <t>Guilds of Ravnica</t>
        </is>
      </c>
    </row>
    <row r="297">
      <c r="A297" s="139" t="inlineStr">
        <is>
          <t>c0254</t>
        </is>
      </c>
      <c r="B297" s="134" t="n"/>
      <c r="C297" s="134" t="n"/>
      <c r="D297" s="134" t="n"/>
      <c r="E297" s="134" t="n"/>
      <c r="F297" s="134" t="n"/>
      <c r="G297" s="134" t="n"/>
      <c r="H297" s="136" t="inlineStr">
        <is>
          <t>The Hobbit</t>
        </is>
      </c>
    </row>
    <row r="298">
      <c r="A298" s="139" t="inlineStr">
        <is>
          <t>c0255</t>
        </is>
      </c>
      <c r="B298" s="134" t="n"/>
      <c r="C298" s="134" t="n"/>
      <c r="D298" s="134" t="n"/>
      <c r="E298" s="134" t="n"/>
      <c r="F298" s="134" t="n"/>
      <c r="G298" s="141" t="n">
        <v>0.59</v>
      </c>
      <c r="H298" s="136" t="inlineStr">
        <is>
          <t>Mirage</t>
        </is>
      </c>
    </row>
    <row r="299">
      <c r="A299" s="139" t="inlineStr">
        <is>
          <t>c0256</t>
        </is>
      </c>
      <c r="B299" s="134" t="n"/>
      <c r="C299" s="134" t="n"/>
      <c r="D299" s="134" t="n"/>
      <c r="E299" s="134" t="n"/>
      <c r="F299" s="134" t="n"/>
      <c r="G299" s="134" t="n">
        <v>0.32</v>
      </c>
      <c r="H299" s="135" t="inlineStr">
        <is>
          <t>Tarkir: Dragonstorm Commander</t>
        </is>
      </c>
    </row>
    <row r="300">
      <c r="A300" s="139" t="inlineStr">
        <is>
          <t>c0257</t>
        </is>
      </c>
      <c r="B300" s="134" t="n"/>
      <c r="C300" s="134" t="n"/>
      <c r="D300" s="134" t="n"/>
      <c r="E300" s="134" t="n"/>
      <c r="F300" s="134" t="n"/>
      <c r="G300" s="134" t="n">
        <v>0.07000000000000001</v>
      </c>
      <c r="H300" s="135" t="inlineStr">
        <is>
          <t>Avatar: The Last Airbender</t>
        </is>
      </c>
    </row>
    <row r="301">
      <c r="A301" s="139" t="inlineStr">
        <is>
          <t>c0258</t>
        </is>
      </c>
      <c r="B301" s="134" t="n"/>
      <c r="C301" s="134" t="n"/>
      <c r="D301" s="134" t="n"/>
      <c r="E301" s="134" t="n"/>
      <c r="F301" s="134" t="n"/>
      <c r="G301" s="134" t="n">
        <v>0.32</v>
      </c>
      <c r="H301" s="135" t="inlineStr">
        <is>
          <t>Magic 2015</t>
        </is>
      </c>
    </row>
    <row r="302">
      <c r="A302" s="139" t="inlineStr">
        <is>
          <t>c0260</t>
        </is>
      </c>
      <c r="B302" s="134" t="n"/>
      <c r="C302" s="134" t="n"/>
      <c r="D302" s="134" t="n"/>
      <c r="E302" s="134" t="n"/>
      <c r="F302" s="134" t="n"/>
      <c r="G302" s="134" t="n">
        <v>0.29</v>
      </c>
      <c r="H302" s="135" t="inlineStr">
        <is>
          <t>Ravnica Allegiance</t>
        </is>
      </c>
    </row>
    <row r="303">
      <c r="A303" s="139" t="inlineStr">
        <is>
          <t>c0261</t>
        </is>
      </c>
      <c r="B303" s="134" t="n"/>
      <c r="C303" s="134" t="n"/>
      <c r="D303" s="134" t="n"/>
      <c r="E303" s="134" t="n"/>
      <c r="F303" s="134" t="n"/>
      <c r="G303" s="134" t="n">
        <v>0.22</v>
      </c>
      <c r="H303" s="135" t="inlineStr">
        <is>
          <t>Born of the Gods</t>
        </is>
      </c>
    </row>
    <row r="304">
      <c r="A304" s="139" t="inlineStr">
        <is>
          <t>c0263</t>
        </is>
      </c>
      <c r="B304" s="134" t="n"/>
      <c r="C304" s="134" t="n"/>
      <c r="D304" s="134" t="n"/>
      <c r="E304" s="134" t="n"/>
      <c r="F304" s="134" t="n"/>
      <c r="G304" s="134" t="n">
        <v>0.19</v>
      </c>
      <c r="H304" s="135" t="inlineStr">
        <is>
          <t>Avacyn Restored</t>
        </is>
      </c>
    </row>
    <row r="305">
      <c r="A305" s="139" t="inlineStr">
        <is>
          <t>c0264</t>
        </is>
      </c>
      <c r="B305" s="134" t="n">
        <v>2</v>
      </c>
      <c r="C305" s="134" t="inlineStr">
        <is>
          <t>159</t>
        </is>
      </c>
      <c r="D305" s="134" t="inlineStr">
        <is>
          <t>Common</t>
        </is>
      </c>
      <c r="E305" s="134" t="n">
        <v>0</v>
      </c>
      <c r="F305" s="134" t="inlineStr">
        <is>
          <t>Filipe Pagliuso</t>
        </is>
      </c>
      <c r="G305" s="134" t="n">
        <v>0.17</v>
      </c>
      <c r="H305" s="136" t="inlineStr">
        <is>
          <t>Secrets of Strixhaven</t>
        </is>
      </c>
    </row>
    <row r="306">
      <c r="A306" s="139" t="inlineStr">
        <is>
          <t>c0265</t>
        </is>
      </c>
      <c r="B306" s="134" t="n"/>
      <c r="C306" s="134" t="n"/>
      <c r="D306" s="134" t="n"/>
      <c r="E306" s="134" t="n"/>
      <c r="F306" s="134" t="n"/>
      <c r="G306" s="134" t="n">
        <v>0.73</v>
      </c>
      <c r="H306" s="135" t="inlineStr">
        <is>
          <t>Nemesis</t>
        </is>
      </c>
    </row>
    <row r="307">
      <c r="A307" s="139" t="inlineStr">
        <is>
          <t>c0266</t>
        </is>
      </c>
      <c r="B307" s="134" t="n"/>
      <c r="C307" s="134" t="n"/>
      <c r="D307" s="134" t="n"/>
      <c r="E307" s="134" t="n"/>
      <c r="F307" s="134" t="n"/>
      <c r="G307" s="134" t="n">
        <v>6.16</v>
      </c>
      <c r="H307" s="135" t="inlineStr">
        <is>
          <t>Commander 2014</t>
        </is>
      </c>
    </row>
    <row r="308">
      <c r="A308" s="139" t="inlineStr">
        <is>
          <t>c0267</t>
        </is>
      </c>
      <c r="B308" s="134" t="n"/>
      <c r="C308" s="134" t="n"/>
      <c r="D308" s="134" t="n"/>
      <c r="E308" s="134" t="n"/>
      <c r="F308" s="134" t="n"/>
      <c r="G308" s="134" t="n">
        <v>0.11</v>
      </c>
      <c r="H308" s="135" t="inlineStr">
        <is>
          <t>Ravnica Allegiance</t>
        </is>
      </c>
    </row>
    <row r="309">
      <c r="A309" s="139" t="inlineStr">
        <is>
          <t>c0268</t>
        </is>
      </c>
      <c r="B309" s="134" t="n"/>
      <c r="C309" s="134" t="n"/>
      <c r="D309" s="134" t="n"/>
      <c r="E309" s="134" t="n"/>
      <c r="F309" s="134" t="n"/>
      <c r="G309" s="134" t="n">
        <v>0.07000000000000001</v>
      </c>
      <c r="H309" s="135" t="inlineStr">
        <is>
          <t>Lorwyn Eclipsed</t>
        </is>
      </c>
    </row>
    <row r="310">
      <c r="A310" s="139" t="inlineStr">
        <is>
          <t>c0269</t>
        </is>
      </c>
      <c r="B310" s="134" t="n"/>
      <c r="C310" s="134" t="n"/>
      <c r="D310" s="134" t="n"/>
      <c r="E310" s="134" t="n"/>
      <c r="F310" s="134" t="n"/>
      <c r="G310" s="134" t="n">
        <v>0.13</v>
      </c>
      <c r="H310" s="135" t="inlineStr">
        <is>
          <t>Ravnica Allegiance</t>
        </is>
      </c>
    </row>
    <row r="311">
      <c r="A311" s="139" t="inlineStr">
        <is>
          <t>c0270</t>
        </is>
      </c>
      <c r="B311" s="134" t="n"/>
      <c r="C311" s="134" t="n"/>
      <c r="D311" s="134" t="n"/>
      <c r="E311" s="134" t="n"/>
      <c r="F311" s="134" t="n"/>
      <c r="G311" s="134" t="n">
        <v>1.03</v>
      </c>
      <c r="H311" s="135" t="inlineStr">
        <is>
          <t>Theros</t>
        </is>
      </c>
    </row>
    <row r="312">
      <c r="A312" s="139" t="inlineStr">
        <is>
          <t>c0271</t>
        </is>
      </c>
      <c r="B312" s="134" t="n"/>
      <c r="C312" s="134" t="n"/>
      <c r="D312" s="134" t="n"/>
      <c r="E312" s="134" t="n"/>
      <c r="F312" s="134" t="n"/>
      <c r="G312" s="134" t="n">
        <v>0.34</v>
      </c>
      <c r="H312" s="135" t="inlineStr">
        <is>
          <t>Magic 2011</t>
        </is>
      </c>
    </row>
    <row r="313">
      <c r="A313" s="139" t="inlineStr">
        <is>
          <t>c0272</t>
        </is>
      </c>
      <c r="B313" s="134" t="n"/>
      <c r="C313" s="134" t="n"/>
      <c r="D313" s="134" t="n"/>
      <c r="E313" s="134" t="n"/>
      <c r="F313" s="134" t="n"/>
      <c r="G313" s="134" t="n">
        <v>1.89</v>
      </c>
      <c r="H313" s="135" t="inlineStr">
        <is>
          <t>Fate Reforged</t>
        </is>
      </c>
    </row>
    <row r="314">
      <c r="A314" s="139" t="inlineStr">
        <is>
          <t>c0274</t>
        </is>
      </c>
      <c r="B314" s="134" t="n"/>
      <c r="C314" s="134" t="n"/>
      <c r="D314" s="134" t="n"/>
      <c r="E314" s="134" t="n"/>
      <c r="F314" s="134" t="n"/>
      <c r="G314" s="134" t="n">
        <v>3.87</v>
      </c>
      <c r="H314" s="135" t="inlineStr">
        <is>
          <t>Modern Horizons 2</t>
        </is>
      </c>
    </row>
    <row r="315">
      <c r="A315" s="139" t="inlineStr">
        <is>
          <t>c0275</t>
        </is>
      </c>
      <c r="B315" s="134" t="n"/>
      <c r="C315" s="134" t="n"/>
      <c r="D315" s="134" t="n"/>
      <c r="E315" s="134" t="n"/>
      <c r="F315" s="134" t="n"/>
      <c r="G315" s="134" t="n">
        <v>0.29</v>
      </c>
      <c r="H315" s="135" t="inlineStr">
        <is>
          <t>Gatecrash</t>
        </is>
      </c>
    </row>
    <row r="316">
      <c r="A316" s="139" t="inlineStr">
        <is>
          <t>c0276</t>
        </is>
      </c>
      <c r="B316" s="134" t="n"/>
      <c r="C316" s="134" t="n"/>
      <c r="D316" s="134" t="n"/>
      <c r="E316" s="134" t="n"/>
      <c r="F316" s="134" t="n"/>
      <c r="G316" s="134" t="n">
        <v>0.59</v>
      </c>
      <c r="H316" s="135" t="inlineStr">
        <is>
          <t>Innistrad</t>
        </is>
      </c>
    </row>
    <row r="317">
      <c r="A317" s="139" t="inlineStr">
        <is>
          <t>c0277</t>
        </is>
      </c>
      <c r="B317" s="134" t="n"/>
      <c r="C317" s="134" t="n"/>
      <c r="D317" s="134" t="n"/>
      <c r="E317" s="134" t="n"/>
      <c r="F317" s="134" t="n"/>
      <c r="G317" s="134" t="n">
        <v>0.17</v>
      </c>
      <c r="H317" s="135" t="inlineStr">
        <is>
          <t>Modern Horizons</t>
        </is>
      </c>
    </row>
    <row r="318">
      <c r="A318" s="139" t="inlineStr">
        <is>
          <t>c0278</t>
        </is>
      </c>
      <c r="B318" s="134" t="n">
        <v>1</v>
      </c>
      <c r="C318" s="134" t="inlineStr">
        <is>
          <t>138</t>
        </is>
      </c>
      <c r="D318" s="134" t="inlineStr">
        <is>
          <t>Uncommon</t>
        </is>
      </c>
      <c r="E318" s="134" t="n">
        <v>0</v>
      </c>
      <c r="F318" s="134" t="n"/>
      <c r="G318" s="134" t="n">
        <v>0.12</v>
      </c>
      <c r="H318" s="135" t="inlineStr">
        <is>
          <t>The Hobbit</t>
        </is>
      </c>
    </row>
    <row r="319">
      <c r="A319" s="139" t="inlineStr">
        <is>
          <t>c0279</t>
        </is>
      </c>
      <c r="B319" s="134" t="n"/>
      <c r="C319" s="134" t="n"/>
      <c r="D319" s="134" t="n"/>
      <c r="E319" s="134" t="n"/>
      <c r="F319" s="134" t="n"/>
      <c r="G319" s="134" t="n">
        <v>0.16</v>
      </c>
      <c r="H319" s="135" t="inlineStr">
        <is>
          <t>Lorwyn Eclipsed</t>
        </is>
      </c>
    </row>
    <row r="320">
      <c r="A320" s="139" t="inlineStr">
        <is>
          <t>c0281</t>
        </is>
      </c>
      <c r="B320" s="134" t="n"/>
      <c r="C320" s="134" t="n"/>
      <c r="D320" s="134" t="n"/>
      <c r="E320" s="134" t="n"/>
      <c r="F320" s="134" t="n"/>
      <c r="G320" s="134" t="n">
        <v>54.2</v>
      </c>
      <c r="H320" s="135" t="inlineStr">
        <is>
          <t>Kaldheim</t>
        </is>
      </c>
    </row>
    <row r="321">
      <c r="A321" s="139" t="inlineStr">
        <is>
          <t>c0282</t>
        </is>
      </c>
      <c r="B321" s="134" t="n"/>
      <c r="C321" s="134" t="n"/>
      <c r="D321" s="134" t="n"/>
      <c r="E321" s="134" t="n"/>
      <c r="F321" s="134" t="n"/>
      <c r="G321" s="134" t="n">
        <v>0.33</v>
      </c>
      <c r="H321" s="135" t="inlineStr">
        <is>
          <t>Stronghold</t>
        </is>
      </c>
    </row>
    <row r="322">
      <c r="A322" s="139" t="inlineStr">
        <is>
          <t>c0283</t>
        </is>
      </c>
      <c r="B322" s="134" t="n"/>
      <c r="C322" s="134" t="n"/>
      <c r="D322" s="134" t="n"/>
      <c r="E322" s="134" t="n"/>
      <c r="F322" s="134" t="n"/>
      <c r="G322" s="134" t="n">
        <v>0.27</v>
      </c>
      <c r="H322" s="135" t="inlineStr">
        <is>
          <t>Onslaught</t>
        </is>
      </c>
    </row>
    <row r="323">
      <c r="A323" s="139" t="inlineStr">
        <is>
          <t>c0284</t>
        </is>
      </c>
      <c r="B323" s="134" t="n"/>
      <c r="C323" s="134" t="n"/>
      <c r="D323" s="134" t="n"/>
      <c r="E323" s="134" t="n"/>
      <c r="F323" s="134" t="n"/>
      <c r="G323" s="134" t="n">
        <v>0.24</v>
      </c>
      <c r="H323" s="135" t="inlineStr">
        <is>
          <t>Mirage</t>
        </is>
      </c>
    </row>
    <row r="324">
      <c r="A324" s="139" t="inlineStr">
        <is>
          <t>c0285</t>
        </is>
      </c>
      <c r="B324" s="134" t="n">
        <v>1</v>
      </c>
      <c r="C324" s="134" t="inlineStr">
        <is>
          <t>139</t>
        </is>
      </c>
      <c r="D324" s="134" t="inlineStr">
        <is>
          <t>Common</t>
        </is>
      </c>
      <c r="E324" s="134" t="n">
        <v>0</v>
      </c>
      <c r="F324" s="134" t="n"/>
      <c r="G324" s="134" t="n">
        <v>0.19</v>
      </c>
      <c r="H324" s="136" t="inlineStr">
        <is>
          <t>The Hobbit</t>
        </is>
      </c>
    </row>
    <row r="325">
      <c r="A325" s="139" t="inlineStr">
        <is>
          <t>c0286</t>
        </is>
      </c>
      <c r="B325" s="134" t="n"/>
      <c r="C325" s="134" t="n"/>
      <c r="D325" s="134" t="n"/>
      <c r="E325" s="134" t="n"/>
      <c r="F325" s="134" t="n"/>
      <c r="G325" s="134" t="n">
        <v>4.31</v>
      </c>
      <c r="H325" s="135" t="inlineStr">
        <is>
          <t>Rivals of Ixalan</t>
        </is>
      </c>
    </row>
    <row r="326">
      <c r="A326" s="139" t="inlineStr">
        <is>
          <t>c0287</t>
        </is>
      </c>
      <c r="B326" s="134" t="n">
        <v>1</v>
      </c>
      <c r="C326" s="134" t="inlineStr">
        <is>
          <t>167</t>
        </is>
      </c>
      <c r="D326" s="134" t="inlineStr">
        <is>
          <t>Common</t>
        </is>
      </c>
      <c r="E326" s="134" t="n">
        <v>0</v>
      </c>
      <c r="F326" s="134" t="inlineStr">
        <is>
          <t>Lie Setiawan</t>
        </is>
      </c>
      <c r="G326" s="134" t="n">
        <v>0.19</v>
      </c>
      <c r="H326" s="136" t="inlineStr">
        <is>
          <t>Secrets of Strixhaven</t>
        </is>
      </c>
    </row>
    <row r="327">
      <c r="A327" s="139" t="inlineStr">
        <is>
          <t>c0288</t>
        </is>
      </c>
      <c r="B327" s="134" t="n">
        <v>1</v>
      </c>
      <c r="C327" s="134" t="inlineStr">
        <is>
          <t>141</t>
        </is>
      </c>
      <c r="D327" s="134" t="inlineStr">
        <is>
          <t>Uncommon</t>
        </is>
      </c>
      <c r="E327" s="134" t="n">
        <v>0</v>
      </c>
      <c r="F327" s="134" t="inlineStr">
        <is>
          <t>Tomas Duchek</t>
        </is>
      </c>
      <c r="G327" s="134" t="n">
        <v>0.17</v>
      </c>
      <c r="H327" s="136" t="inlineStr">
        <is>
          <t>The Hobbit</t>
        </is>
      </c>
    </row>
    <row r="328">
      <c r="A328" s="139" t="inlineStr">
        <is>
          <t>c0289</t>
        </is>
      </c>
      <c r="B328" s="134" t="n"/>
      <c r="C328" s="134" t="n"/>
      <c r="D328" s="134" t="n"/>
      <c r="E328" s="134" t="n"/>
      <c r="F328" s="134" t="n"/>
      <c r="G328" s="134" t="n">
        <v>4.12</v>
      </c>
      <c r="H328" s="135" t="inlineStr">
        <is>
          <t>Ravnica Allegiance</t>
        </is>
      </c>
    </row>
    <row r="329">
      <c r="A329" s="139" t="inlineStr">
        <is>
          <t>c0290</t>
        </is>
      </c>
      <c r="B329" s="134" t="n">
        <v>1</v>
      </c>
      <c r="C329" s="134" t="inlineStr">
        <is>
          <t>203</t>
        </is>
      </c>
      <c r="D329" s="134" t="inlineStr">
        <is>
          <t>Common</t>
        </is>
      </c>
      <c r="E329" s="134" t="n">
        <v>0</v>
      </c>
      <c r="F329" s="134" t="n"/>
      <c r="G329" s="134" t="n">
        <v>0.09</v>
      </c>
      <c r="H329" s="135" t="inlineStr">
        <is>
          <t>Lorwyn Eclipsed</t>
        </is>
      </c>
    </row>
    <row r="330">
      <c r="A330" s="139" t="inlineStr">
        <is>
          <t>c0291</t>
        </is>
      </c>
      <c r="B330" s="134" t="n">
        <v>1</v>
      </c>
      <c r="C330" s="134" t="inlineStr">
        <is>
          <t>142</t>
        </is>
      </c>
      <c r="D330" s="134" t="inlineStr">
        <is>
          <t>Common</t>
        </is>
      </c>
      <c r="E330" s="134" t="n">
        <v>0</v>
      </c>
      <c r="F330" s="134" t="inlineStr">
        <is>
          <t>Andreia Ugrai</t>
        </is>
      </c>
      <c r="G330" s="134" t="n">
        <v>0.25</v>
      </c>
      <c r="H330" s="135" t="inlineStr">
        <is>
          <t>The Hobbit</t>
        </is>
      </c>
    </row>
    <row r="331">
      <c r="A331" s="139" t="inlineStr">
        <is>
          <t>c0292</t>
        </is>
      </c>
      <c r="B331" s="134" t="n"/>
      <c r="C331" s="134" t="n"/>
      <c r="D331" s="134" t="n"/>
      <c r="E331" s="134" t="n"/>
      <c r="F331" s="134" t="n"/>
      <c r="G331" s="134" t="n"/>
      <c r="H331" s="136" t="inlineStr">
        <is>
          <t>The Hobbit</t>
        </is>
      </c>
    </row>
    <row r="332">
      <c r="A332" s="139" t="inlineStr">
        <is>
          <t>c0293</t>
        </is>
      </c>
      <c r="B332" s="134" t="n"/>
      <c r="C332" s="134" t="n"/>
      <c r="D332" s="134" t="n"/>
      <c r="E332" s="134" t="n"/>
      <c r="F332" s="134" t="n"/>
      <c r="G332" s="134" t="n">
        <v>0.17</v>
      </c>
      <c r="H332" s="135" t="inlineStr">
        <is>
          <t>Urza's Destiny</t>
        </is>
      </c>
    </row>
    <row r="333">
      <c r="A333" s="139" t="inlineStr">
        <is>
          <t>c0294</t>
        </is>
      </c>
      <c r="B333" s="134" t="n"/>
      <c r="C333" s="134" t="n"/>
      <c r="D333" s="134" t="n"/>
      <c r="E333" s="134" t="n"/>
      <c r="F333" s="134" t="n"/>
      <c r="G333" s="134" t="n">
        <v>1.34</v>
      </c>
      <c r="H333" s="135" t="inlineStr">
        <is>
          <t>Magic Origins</t>
        </is>
      </c>
    </row>
    <row r="334">
      <c r="A334" s="139" t="inlineStr">
        <is>
          <t>c0295</t>
        </is>
      </c>
      <c r="B334" s="134" t="n">
        <v>1</v>
      </c>
      <c r="C334" s="134" t="inlineStr">
        <is>
          <t>169</t>
        </is>
      </c>
      <c r="D334" s="134" t="inlineStr">
        <is>
          <t>Uncommon</t>
        </is>
      </c>
      <c r="E334" s="134" t="n">
        <v>0</v>
      </c>
      <c r="F334" s="134" t="inlineStr">
        <is>
          <t>Izzy</t>
        </is>
      </c>
      <c r="G334" s="134" t="n">
        <v>0.21</v>
      </c>
      <c r="H334" s="136" t="inlineStr">
        <is>
          <t>Secrets of Strixhaven</t>
        </is>
      </c>
    </row>
    <row r="335">
      <c r="A335" s="139" t="inlineStr">
        <is>
          <t>c0296</t>
        </is>
      </c>
      <c r="B335" s="134" t="n"/>
      <c r="C335" s="134" t="n"/>
      <c r="D335" s="134" t="n"/>
      <c r="E335" s="134" t="n"/>
      <c r="F335" s="134" t="n"/>
      <c r="G335" s="134" t="n">
        <v>0.47</v>
      </c>
      <c r="H335" s="135" t="inlineStr">
        <is>
          <t>Strixhaven: School of Mages</t>
        </is>
      </c>
    </row>
    <row r="336">
      <c r="A336" s="139" t="inlineStr">
        <is>
          <t>c0298</t>
        </is>
      </c>
      <c r="B336" s="134" t="n"/>
      <c r="C336" s="134" t="n"/>
      <c r="D336" s="134" t="n"/>
      <c r="E336" s="134" t="n"/>
      <c r="F336" s="134" t="n"/>
      <c r="G336" s="134" t="n">
        <v>0.42</v>
      </c>
      <c r="H336" s="135" t="inlineStr">
        <is>
          <t>Shards of Alara</t>
        </is>
      </c>
    </row>
    <row r="337">
      <c r="A337" s="139" t="inlineStr">
        <is>
          <t>c0299</t>
        </is>
      </c>
      <c r="B337" s="134" t="n"/>
      <c r="C337" s="134" t="n"/>
      <c r="D337" s="134" t="n"/>
      <c r="E337" s="134" t="n"/>
      <c r="F337" s="134" t="n"/>
      <c r="G337" s="134" t="n">
        <v>0.32</v>
      </c>
      <c r="H337" s="135" t="inlineStr">
        <is>
          <t>Commander 2016</t>
        </is>
      </c>
    </row>
    <row r="338">
      <c r="A338" s="139" t="inlineStr">
        <is>
          <t>c0300</t>
        </is>
      </c>
      <c r="B338" s="134" t="n"/>
      <c r="C338" s="134" t="n"/>
      <c r="D338" s="134" t="n"/>
      <c r="E338" s="134" t="n"/>
      <c r="F338" s="134" t="n"/>
      <c r="G338" s="134" t="n">
        <v>0.35</v>
      </c>
      <c r="H338" s="135" t="inlineStr">
        <is>
          <t>Dissension</t>
        </is>
      </c>
    </row>
    <row r="339">
      <c r="A339" s="139" t="inlineStr">
        <is>
          <t>c0301</t>
        </is>
      </c>
      <c r="B339" s="134" t="n"/>
      <c r="C339" s="134" t="n"/>
      <c r="D339" s="134" t="n"/>
      <c r="E339" s="134" t="n"/>
      <c r="F339" s="134" t="n"/>
      <c r="G339" s="134" t="n"/>
      <c r="H339" s="135" t="inlineStr">
        <is>
          <t>Return to Ravnica</t>
        </is>
      </c>
    </row>
    <row r="340">
      <c r="A340" s="139" t="inlineStr">
        <is>
          <t>c0302</t>
        </is>
      </c>
      <c r="B340" s="134" t="n"/>
      <c r="C340" s="134" t="n"/>
      <c r="D340" s="134" t="n"/>
      <c r="E340" s="134" t="n"/>
      <c r="F340" s="134" t="n"/>
      <c r="G340" s="134" t="n">
        <v>0.36</v>
      </c>
      <c r="H340" s="135" t="inlineStr">
        <is>
          <t>Shards of Alara</t>
        </is>
      </c>
    </row>
    <row r="341">
      <c r="A341" s="139" t="inlineStr">
        <is>
          <t>c0303</t>
        </is>
      </c>
      <c r="B341" s="134" t="n"/>
      <c r="C341" s="134" t="n"/>
      <c r="D341" s="134" t="n"/>
      <c r="E341" s="134" t="n"/>
      <c r="F341" s="134" t="n"/>
      <c r="G341" s="134" t="n">
        <v>0.32</v>
      </c>
      <c r="H341" s="135" t="inlineStr">
        <is>
          <t>Apocalypse</t>
        </is>
      </c>
    </row>
    <row r="342">
      <c r="A342" s="139" t="inlineStr">
        <is>
          <t>c0304</t>
        </is>
      </c>
      <c r="B342" s="134" t="n"/>
      <c r="C342" s="134" t="n"/>
      <c r="D342" s="134" t="n"/>
      <c r="E342" s="134" t="n"/>
      <c r="F342" s="134" t="n"/>
      <c r="G342" s="134" t="n">
        <v>0.22</v>
      </c>
      <c r="H342" s="135" t="inlineStr">
        <is>
          <t>Khans of Tarkir</t>
        </is>
      </c>
    </row>
    <row r="343">
      <c r="A343" s="139" t="inlineStr">
        <is>
          <t>c0305</t>
        </is>
      </c>
      <c r="B343" s="134" t="n"/>
      <c r="C343" s="134" t="n"/>
      <c r="D343" s="134" t="n"/>
      <c r="E343" s="134" t="n"/>
      <c r="F343" s="134" t="n"/>
      <c r="G343" s="134" t="n">
        <v>0.93</v>
      </c>
      <c r="H343" s="135" t="inlineStr">
        <is>
          <t>Ikoria: Lair of Behemoths</t>
        </is>
      </c>
    </row>
    <row r="344">
      <c r="A344" s="139" t="inlineStr">
        <is>
          <t>c0306</t>
        </is>
      </c>
      <c r="B344" s="134" t="n"/>
      <c r="C344" s="134" t="n"/>
      <c r="D344" s="134" t="n"/>
      <c r="E344" s="134" t="n"/>
      <c r="F344" s="134" t="n"/>
      <c r="G344" s="134" t="n">
        <v>1.69</v>
      </c>
      <c r="H344" s="135" t="inlineStr">
        <is>
          <t>Ice Age</t>
        </is>
      </c>
    </row>
    <row r="345">
      <c r="A345" s="139" t="inlineStr">
        <is>
          <t>c0307</t>
        </is>
      </c>
      <c r="B345" s="134" t="n"/>
      <c r="C345" s="134" t="n"/>
      <c r="D345" s="134" t="n"/>
      <c r="E345" s="134" t="n"/>
      <c r="F345" s="134" t="n"/>
      <c r="G345" s="134" t="n">
        <v>0.37</v>
      </c>
      <c r="H345" s="135" t="inlineStr">
        <is>
          <t>Magic 2012</t>
        </is>
      </c>
    </row>
    <row r="346">
      <c r="A346" s="139" t="inlineStr">
        <is>
          <t>c0308</t>
        </is>
      </c>
      <c r="B346" s="134" t="n"/>
      <c r="C346" s="134" t="n"/>
      <c r="D346" s="134" t="n"/>
      <c r="E346" s="134" t="n"/>
      <c r="F346" s="134" t="n"/>
      <c r="G346" s="134" t="n">
        <v>0.25</v>
      </c>
      <c r="H346" s="135" t="inlineStr">
        <is>
          <t>Throne of Eldraine</t>
        </is>
      </c>
    </row>
    <row r="347">
      <c r="A347" s="139" t="inlineStr">
        <is>
          <t>c0309</t>
        </is>
      </c>
      <c r="B347" s="134" t="n"/>
      <c r="C347" s="134" t="n"/>
      <c r="D347" s="134" t="n"/>
      <c r="E347" s="134" t="n"/>
      <c r="F347" s="134" t="n"/>
      <c r="G347" s="134" t="n">
        <v>0.33</v>
      </c>
      <c r="H347" s="135" t="inlineStr">
        <is>
          <t>Throne of Eldraine</t>
        </is>
      </c>
    </row>
    <row r="348">
      <c r="A348" s="139" t="inlineStr">
        <is>
          <t>c0310</t>
        </is>
      </c>
      <c r="B348" s="134" t="n"/>
      <c r="C348" s="134" t="n"/>
      <c r="D348" s="134" t="n"/>
      <c r="E348" s="134" t="n"/>
      <c r="F348" s="134" t="n"/>
      <c r="G348" s="134" t="n">
        <v>0.82</v>
      </c>
      <c r="H348" s="135" t="inlineStr">
        <is>
          <t>Apocalypse</t>
        </is>
      </c>
    </row>
    <row r="349">
      <c r="A349" s="139" t="inlineStr">
        <is>
          <t>c0311</t>
        </is>
      </c>
      <c r="B349" s="134" t="n"/>
      <c r="C349" s="134" t="n"/>
      <c r="D349" s="134" t="n"/>
      <c r="E349" s="134" t="n"/>
      <c r="F349" s="134" t="n"/>
      <c r="G349" s="134" t="n">
        <v>0.3</v>
      </c>
      <c r="H349" s="135" t="inlineStr">
        <is>
          <t>Innistrad</t>
        </is>
      </c>
    </row>
    <row r="350">
      <c r="A350" s="139" t="inlineStr">
        <is>
          <t>c0312</t>
        </is>
      </c>
      <c r="B350" s="134" t="n"/>
      <c r="C350" s="134" t="n"/>
      <c r="D350" s="134" t="n"/>
      <c r="E350" s="134" t="n"/>
      <c r="F350" s="134" t="n"/>
      <c r="G350" s="134" t="n">
        <v>0.27</v>
      </c>
      <c r="H350" s="135" t="inlineStr">
        <is>
          <t>Commander 2011</t>
        </is>
      </c>
    </row>
    <row r="351">
      <c r="A351" s="139" t="inlineStr">
        <is>
          <t>c0313</t>
        </is>
      </c>
      <c r="B351" s="134" t="n"/>
      <c r="C351" s="134" t="n"/>
      <c r="D351" s="134" t="n"/>
      <c r="E351" s="134" t="n"/>
      <c r="F351" s="134" t="n"/>
      <c r="G351" s="134" t="n">
        <v>1.18</v>
      </c>
      <c r="H351" s="135" t="inlineStr">
        <is>
          <t>Kaladesh</t>
        </is>
      </c>
    </row>
    <row r="352">
      <c r="A352" s="139" t="inlineStr">
        <is>
          <t>c0314</t>
        </is>
      </c>
      <c r="B352" s="134" t="n"/>
      <c r="C352" s="134" t="n"/>
      <c r="D352" s="134" t="n"/>
      <c r="E352" s="134" t="n"/>
      <c r="F352" s="134" t="n"/>
      <c r="G352" s="134" t="n">
        <v>0.2</v>
      </c>
      <c r="H352" s="135" t="inlineStr">
        <is>
          <t>Khans of Tarkir</t>
        </is>
      </c>
    </row>
    <row r="353">
      <c r="A353" s="139" t="inlineStr">
        <is>
          <t>c0315</t>
        </is>
      </c>
      <c r="B353" s="134" t="n"/>
      <c r="C353" s="134" t="n"/>
      <c r="D353" s="134" t="n"/>
      <c r="E353" s="134" t="n"/>
      <c r="F353" s="134" t="n"/>
      <c r="G353" s="134" t="n">
        <v>1.2</v>
      </c>
      <c r="H353" s="135" t="inlineStr">
        <is>
          <t>Magic 2010</t>
        </is>
      </c>
    </row>
    <row r="354">
      <c r="A354" s="139" t="inlineStr">
        <is>
          <t>c0316</t>
        </is>
      </c>
      <c r="B354" s="134" t="n">
        <v>1</v>
      </c>
      <c r="C354" s="134" t="inlineStr">
        <is>
          <t>263</t>
        </is>
      </c>
      <c r="D354" s="134" t="inlineStr">
        <is>
          <t>Uncommon</t>
        </is>
      </c>
      <c r="E354" s="134" t="n">
        <v>0</v>
      </c>
      <c r="F354" s="134" t="n"/>
      <c r="G354" s="134" t="n">
        <v>0.72</v>
      </c>
      <c r="H354" s="136" t="inlineStr">
        <is>
          <t>Lorwyn Eclipsed</t>
        </is>
      </c>
    </row>
    <row r="355">
      <c r="A355" s="139" t="inlineStr">
        <is>
          <t>c0317</t>
        </is>
      </c>
      <c r="B355" s="134" t="n"/>
      <c r="C355" s="134" t="n"/>
      <c r="D355" s="134" t="n"/>
      <c r="E355" s="134" t="n"/>
      <c r="F355" s="134" t="n"/>
      <c r="G355" s="134" t="n">
        <v>7.4</v>
      </c>
      <c r="H355" s="135" t="inlineStr">
        <is>
          <t>Zendikar</t>
        </is>
      </c>
    </row>
    <row r="356">
      <c r="A356" s="139" t="inlineStr">
        <is>
          <t>c0318</t>
        </is>
      </c>
      <c r="B356" s="134" t="n">
        <v>1</v>
      </c>
      <c r="C356" s="134" t="inlineStr">
        <is>
          <t>264</t>
        </is>
      </c>
      <c r="D356" s="134" t="inlineStr">
        <is>
          <t>Common</t>
        </is>
      </c>
      <c r="E356" s="134" t="n">
        <v>0</v>
      </c>
      <c r="F356" s="134" t="inlineStr">
        <is>
          <t>Alayna Danner</t>
        </is>
      </c>
      <c r="G356" s="134" t="n">
        <v>0.09</v>
      </c>
      <c r="H356" s="135" t="inlineStr">
        <is>
          <t>Lorwyn Eclipsed</t>
        </is>
      </c>
    </row>
    <row r="357">
      <c r="A357" s="139" t="inlineStr">
        <is>
          <t>c0319</t>
        </is>
      </c>
      <c r="B357" s="134" t="n"/>
      <c r="C357" s="134" t="n"/>
      <c r="D357" s="134" t="n"/>
      <c r="E357" s="134" t="n"/>
      <c r="F357" s="134" t="n"/>
      <c r="G357" s="134" t="n">
        <v>0.19</v>
      </c>
      <c r="H357" s="135" t="inlineStr">
        <is>
          <t>Conflux</t>
        </is>
      </c>
    </row>
    <row r="358">
      <c r="A358" s="139" t="inlineStr">
        <is>
          <t>c0320</t>
        </is>
      </c>
      <c r="B358" s="134" t="n"/>
      <c r="C358" s="134" t="n"/>
      <c r="D358" s="134" t="n"/>
      <c r="E358" s="134" t="n"/>
      <c r="F358" s="134" t="n"/>
      <c r="G358" s="134" t="n">
        <v>1.11</v>
      </c>
      <c r="H358" s="135" t="inlineStr">
        <is>
          <t>Throne of Eldraine</t>
        </is>
      </c>
    </row>
    <row r="359">
      <c r="A359" s="139" t="inlineStr">
        <is>
          <t>c0321</t>
        </is>
      </c>
      <c r="B359" s="134" t="n">
        <v>2</v>
      </c>
      <c r="C359" s="134" t="inlineStr">
        <is>
          <t>255</t>
        </is>
      </c>
      <c r="D359" s="134" t="inlineStr">
        <is>
          <t>Common</t>
        </is>
      </c>
      <c r="E359" s="134" t="n">
        <v>0</v>
      </c>
      <c r="F359" s="134" t="inlineStr">
        <is>
          <t>Josu Solano</t>
        </is>
      </c>
      <c r="G359" s="134" t="n">
        <v>0.15</v>
      </c>
      <c r="H359" s="135" t="inlineStr">
        <is>
          <t>Secrets of Strixhaven</t>
        </is>
      </c>
    </row>
    <row r="360">
      <c r="A360" s="139" t="inlineStr">
        <is>
          <t>c0322</t>
        </is>
      </c>
      <c r="B360" s="134" t="n"/>
      <c r="C360" s="134" t="n"/>
      <c r="D360" s="134" t="n"/>
      <c r="E360" s="134" t="n"/>
      <c r="F360" s="134" t="n"/>
      <c r="G360" s="134" t="n">
        <v>0.08</v>
      </c>
      <c r="H360" s="135" t="inlineStr">
        <is>
          <t>Limited Edition Alpha</t>
        </is>
      </c>
    </row>
    <row r="361">
      <c r="A361" s="139" t="inlineStr">
        <is>
          <t>c0323</t>
        </is>
      </c>
      <c r="B361" s="134" t="n"/>
      <c r="C361" s="134" t="n"/>
      <c r="D361" s="134" t="n"/>
      <c r="E361" s="134" t="n"/>
      <c r="F361" s="134" t="n"/>
      <c r="G361" s="134" t="n">
        <v>0.24</v>
      </c>
      <c r="H361" s="135" t="inlineStr">
        <is>
          <t>Shadows over Innistrad</t>
        </is>
      </c>
    </row>
    <row r="362">
      <c r="A362" s="139" t="inlineStr">
        <is>
          <t>c0324</t>
        </is>
      </c>
      <c r="B362" s="134" t="n"/>
      <c r="C362" s="134" t="n"/>
      <c r="D362" s="134" t="n"/>
      <c r="E362" s="134" t="n"/>
      <c r="F362" s="134" t="n"/>
      <c r="G362" s="134" t="n">
        <v>0.3</v>
      </c>
      <c r="H362" s="135" t="inlineStr">
        <is>
          <t>Strixhaven: School of Mages</t>
        </is>
      </c>
    </row>
    <row r="363">
      <c r="A363" s="139" t="inlineStr">
        <is>
          <t>c0325</t>
        </is>
      </c>
      <c r="B363" s="134" t="n"/>
      <c r="C363" s="134" t="n"/>
      <c r="D363" s="134" t="n"/>
      <c r="E363" s="134" t="n"/>
      <c r="F363" s="134" t="n"/>
      <c r="G363" s="134" t="n">
        <v>0.39</v>
      </c>
      <c r="H363" s="135" t="inlineStr">
        <is>
          <t>Magic 2010</t>
        </is>
      </c>
    </row>
    <row r="364">
      <c r="A364" s="139" t="inlineStr">
        <is>
          <t>c0326</t>
        </is>
      </c>
      <c r="B364" s="134" t="n"/>
      <c r="C364" s="134" t="n"/>
      <c r="D364" s="134" t="n"/>
      <c r="E364" s="134" t="n"/>
      <c r="F364" s="134" t="n"/>
      <c r="G364" s="134" t="n">
        <v>0.22</v>
      </c>
      <c r="H364" s="135" t="inlineStr">
        <is>
          <t>Edge of Eternities Commander</t>
        </is>
      </c>
    </row>
    <row r="365">
      <c r="A365" s="139" t="inlineStr">
        <is>
          <t>c0327</t>
        </is>
      </c>
      <c r="B365" s="134" t="n"/>
      <c r="C365" s="134" t="n"/>
      <c r="D365" s="134" t="n"/>
      <c r="E365" s="134" t="n"/>
      <c r="F365" s="134" t="n"/>
      <c r="G365" s="134" t="n"/>
      <c r="H365" s="135" t="inlineStr">
        <is>
          <t>Onslaught</t>
        </is>
      </c>
    </row>
    <row r="366">
      <c r="A366" s="139" t="inlineStr">
        <is>
          <t>c0329</t>
        </is>
      </c>
      <c r="B366" s="134" t="n"/>
      <c r="C366" s="134" t="n"/>
      <c r="D366" s="134" t="n"/>
      <c r="E366" s="134" t="n"/>
      <c r="F366" s="134" t="n"/>
      <c r="G366" s="134" t="n">
        <v>0.12</v>
      </c>
      <c r="H366" s="135" t="inlineStr">
        <is>
          <t>Return to Ravnica</t>
        </is>
      </c>
    </row>
    <row r="367">
      <c r="A367" s="139" t="inlineStr">
        <is>
          <t>c0330</t>
        </is>
      </c>
      <c r="B367" s="134" t="n"/>
      <c r="C367" s="134" t="n"/>
      <c r="D367" s="134" t="n"/>
      <c r="E367" s="134" t="n"/>
      <c r="F367" s="134" t="n"/>
      <c r="G367" s="134" t="n">
        <v>0.36</v>
      </c>
      <c r="H367" s="135" t="inlineStr">
        <is>
          <t>Onslaught</t>
        </is>
      </c>
    </row>
    <row r="368">
      <c r="A368" s="139" t="inlineStr">
        <is>
          <t>c0331</t>
        </is>
      </c>
      <c r="B368" s="134" t="n"/>
      <c r="C368" s="134" t="n"/>
      <c r="D368" s="134" t="n"/>
      <c r="E368" s="134" t="n"/>
      <c r="F368" s="134" t="n"/>
      <c r="G368" s="134" t="n">
        <v>0.33</v>
      </c>
      <c r="H368" s="135" t="inlineStr">
        <is>
          <t>Innistrad</t>
        </is>
      </c>
    </row>
    <row r="369">
      <c r="A369" s="139" t="inlineStr">
        <is>
          <t>c0332</t>
        </is>
      </c>
      <c r="B369" s="134" t="n"/>
      <c r="C369" s="134" t="n"/>
      <c r="D369" s="134" t="n"/>
      <c r="E369" s="134" t="n"/>
      <c r="F369" s="134" t="n"/>
      <c r="G369" s="134" t="n">
        <v>2.54</v>
      </c>
      <c r="H369" s="135" t="inlineStr">
        <is>
          <t>Kaladesh</t>
        </is>
      </c>
    </row>
    <row r="370">
      <c r="A370" s="139" t="inlineStr">
        <is>
          <t>c0333</t>
        </is>
      </c>
      <c r="B370" s="134" t="n">
        <v>2</v>
      </c>
      <c r="C370" s="134" t="inlineStr">
        <is>
          <t>185</t>
        </is>
      </c>
      <c r="D370" s="134" t="inlineStr">
        <is>
          <t>Common</t>
        </is>
      </c>
      <c r="E370" s="134" t="n">
        <v>0</v>
      </c>
      <c r="F370" s="134" t="n"/>
      <c r="G370" s="134" t="n">
        <v>0.16</v>
      </c>
      <c r="H370" s="136" t="inlineStr">
        <is>
          <t>The Hobbit</t>
        </is>
      </c>
    </row>
    <row r="371">
      <c r="A371" s="139" t="inlineStr">
        <is>
          <t>c0334</t>
        </is>
      </c>
      <c r="B371" s="134" t="n"/>
      <c r="C371" s="134" t="n"/>
      <c r="D371" s="134" t="n"/>
      <c r="E371" s="134" t="n"/>
      <c r="F371" s="134" t="n"/>
      <c r="G371" s="134" t="n">
        <v>0.08</v>
      </c>
      <c r="H371" s="135" t="inlineStr">
        <is>
          <t>Limited Edition Alpha</t>
        </is>
      </c>
    </row>
    <row r="372">
      <c r="A372" s="139" t="inlineStr">
        <is>
          <t>c0335</t>
        </is>
      </c>
      <c r="B372" s="134" t="n"/>
      <c r="C372" s="134" t="n"/>
      <c r="D372" s="134" t="n"/>
      <c r="E372" s="134" t="n"/>
      <c r="F372" s="134" t="n"/>
      <c r="G372" s="134" t="n">
        <v>0.38</v>
      </c>
      <c r="H372" s="135" t="inlineStr">
        <is>
          <t>Innistrad</t>
        </is>
      </c>
    </row>
    <row r="373">
      <c r="A373" s="139" t="inlineStr">
        <is>
          <t>c0336</t>
        </is>
      </c>
      <c r="B373" s="134" t="n"/>
      <c r="C373" s="134" t="n"/>
      <c r="D373" s="134" t="n"/>
      <c r="E373" s="134" t="n"/>
      <c r="F373" s="134" t="n"/>
      <c r="G373" s="134" t="n">
        <v>2.39</v>
      </c>
      <c r="H373" s="135" t="inlineStr">
        <is>
          <t>War of the Spark</t>
        </is>
      </c>
    </row>
    <row r="374">
      <c r="A374" s="139" t="inlineStr">
        <is>
          <t>c0337</t>
        </is>
      </c>
      <c r="B374" s="134" t="n"/>
      <c r="C374" s="134" t="n"/>
      <c r="D374" s="134" t="n"/>
      <c r="E374" s="134" t="n"/>
      <c r="F374" s="134" t="n"/>
      <c r="G374" s="134" t="n">
        <v>0.32</v>
      </c>
      <c r="H374" s="135" t="inlineStr">
        <is>
          <t>Time Spiral</t>
        </is>
      </c>
    </row>
    <row r="375">
      <c r="A375" s="139" t="inlineStr">
        <is>
          <t>c0338</t>
        </is>
      </c>
      <c r="B375" s="134" t="n"/>
      <c r="C375" s="134" t="n"/>
      <c r="D375" s="134" t="n"/>
      <c r="E375" s="134" t="n"/>
      <c r="F375" s="134" t="n"/>
      <c r="G375" s="134" t="n">
        <v>0.3</v>
      </c>
      <c r="H375" s="135" t="inlineStr">
        <is>
          <t>Judgment</t>
        </is>
      </c>
    </row>
    <row r="376">
      <c r="A376" s="139" t="inlineStr">
        <is>
          <t>c0339</t>
        </is>
      </c>
      <c r="B376" s="134" t="n"/>
      <c r="C376" s="134" t="n"/>
      <c r="D376" s="134" t="n"/>
      <c r="E376" s="134" t="n"/>
      <c r="F376" s="134" t="n"/>
      <c r="G376" s="134" t="n"/>
      <c r="H376" s="136" t="inlineStr">
        <is>
          <t>The Hobbit</t>
        </is>
      </c>
    </row>
    <row r="377">
      <c r="A377" s="139" t="inlineStr">
        <is>
          <t>c0340</t>
        </is>
      </c>
      <c r="B377" s="134" t="n"/>
      <c r="C377" s="134" t="n"/>
      <c r="D377" s="134" t="n"/>
      <c r="E377" s="134" t="n"/>
      <c r="F377" s="134" t="n"/>
      <c r="G377" s="134" t="n">
        <v>0.6</v>
      </c>
      <c r="H377" s="135" t="inlineStr">
        <is>
          <t>Apocalypse</t>
        </is>
      </c>
    </row>
    <row r="378">
      <c r="A378" s="139" t="inlineStr">
        <is>
          <t>c0341</t>
        </is>
      </c>
      <c r="B378" s="134" t="n"/>
      <c r="C378" s="134" t="n"/>
      <c r="D378" s="134" t="n"/>
      <c r="E378" s="134" t="n"/>
      <c r="F378" s="134" t="n"/>
      <c r="G378" s="134" t="n">
        <v>0.25</v>
      </c>
      <c r="H378" s="135" t="inlineStr">
        <is>
          <t>Strixhaven: School of Mages</t>
        </is>
      </c>
    </row>
    <row r="379">
      <c r="A379" s="139" t="inlineStr">
        <is>
          <t>c0342</t>
        </is>
      </c>
      <c r="B379" s="134" t="n"/>
      <c r="C379" s="134" t="n"/>
      <c r="D379" s="134" t="n"/>
      <c r="E379" s="134" t="n"/>
      <c r="F379" s="134" t="n"/>
      <c r="G379" s="134" t="n">
        <v>2.57</v>
      </c>
      <c r="H379" s="135" t="inlineStr">
        <is>
          <t>Core Set 2020</t>
        </is>
      </c>
    </row>
    <row r="380">
      <c r="A380" s="139" t="inlineStr">
        <is>
          <t>c0343</t>
        </is>
      </c>
      <c r="B380" s="134" t="n"/>
      <c r="C380" s="134" t="n"/>
      <c r="D380" s="134" t="n"/>
      <c r="E380" s="134" t="n"/>
      <c r="F380" s="134" t="n"/>
      <c r="G380" s="134" t="n"/>
      <c r="H380" s="135" t="inlineStr">
        <is>
          <t>Oath of the Gatewatch</t>
        </is>
      </c>
    </row>
    <row r="381">
      <c r="A381" s="139" t="inlineStr">
        <is>
          <t>c0344</t>
        </is>
      </c>
      <c r="B381" s="134" t="n"/>
      <c r="C381" s="134" t="n"/>
      <c r="D381" s="134" t="n"/>
      <c r="E381" s="134" t="n"/>
      <c r="F381" s="134" t="n"/>
      <c r="G381" s="134" t="n">
        <v>0.16</v>
      </c>
      <c r="H381" s="135" t="inlineStr">
        <is>
          <t>The Hobbit</t>
        </is>
      </c>
    </row>
    <row r="382">
      <c r="A382" s="139" t="inlineStr">
        <is>
          <t>c0345</t>
        </is>
      </c>
      <c r="B382" s="134" t="n"/>
      <c r="C382" s="134" t="n"/>
      <c r="D382" s="134" t="n"/>
      <c r="E382" s="134" t="n"/>
      <c r="F382" s="134" t="n"/>
      <c r="G382" s="134" t="n">
        <v>0.25</v>
      </c>
      <c r="H382" s="135" t="inlineStr">
        <is>
          <t>Shadowmoor</t>
        </is>
      </c>
    </row>
    <row r="383">
      <c r="A383" s="139" t="inlineStr">
        <is>
          <t>c0346</t>
        </is>
      </c>
      <c r="B383" s="134" t="n"/>
      <c r="C383" s="134" t="n"/>
      <c r="D383" s="134" t="n"/>
      <c r="E383" s="134" t="n"/>
      <c r="F383" s="134" t="n"/>
      <c r="G383" s="134" t="n">
        <v>0.08</v>
      </c>
      <c r="H383" s="135" t="inlineStr">
        <is>
          <t>Limited Edition Alpha</t>
        </is>
      </c>
    </row>
    <row r="384">
      <c r="A384" s="139" t="inlineStr">
        <is>
          <t>c0347</t>
        </is>
      </c>
      <c r="B384" s="134" t="n"/>
      <c r="C384" s="134" t="n"/>
      <c r="D384" s="134" t="n"/>
      <c r="E384" s="134" t="n"/>
      <c r="F384" s="134" t="n"/>
      <c r="G384" s="134" t="n">
        <v>0.27</v>
      </c>
      <c r="H384" s="135" t="inlineStr">
        <is>
          <t>Commander 2014</t>
        </is>
      </c>
    </row>
    <row r="385">
      <c r="A385" s="139" t="inlineStr">
        <is>
          <t>c0348</t>
        </is>
      </c>
      <c r="B385" s="134" t="n"/>
      <c r="C385" s="134" t="n"/>
      <c r="D385" s="134" t="n"/>
      <c r="E385" s="134" t="n"/>
      <c r="F385" s="134" t="n"/>
      <c r="G385" s="134" t="n">
        <v>0.38</v>
      </c>
      <c r="H385" s="135" t="inlineStr">
        <is>
          <t>Shards of Alara</t>
        </is>
      </c>
    </row>
    <row r="386">
      <c r="A386" s="139" t="inlineStr">
        <is>
          <t>c0350</t>
        </is>
      </c>
      <c r="B386" s="134" t="n"/>
      <c r="C386" s="134" t="n"/>
      <c r="D386" s="134" t="n"/>
      <c r="E386" s="134" t="n"/>
      <c r="F386" s="134" t="n"/>
      <c r="G386" s="134" t="n">
        <v>0.29</v>
      </c>
      <c r="H386" s="135" t="inlineStr">
        <is>
          <t>Guildpact</t>
        </is>
      </c>
    </row>
    <row r="387">
      <c r="A387" s="139" t="inlineStr">
        <is>
          <t>c0351</t>
        </is>
      </c>
      <c r="B387" s="134" t="n"/>
      <c r="C387" s="134" t="n"/>
      <c r="D387" s="134" t="n"/>
      <c r="E387" s="134" t="n"/>
      <c r="F387" s="134" t="n"/>
      <c r="G387" s="134" t="n"/>
      <c r="H387" s="135" t="inlineStr">
        <is>
          <t>Gatecrash</t>
        </is>
      </c>
    </row>
    <row r="388">
      <c r="A388" s="139" t="inlineStr">
        <is>
          <t>c0352</t>
        </is>
      </c>
      <c r="B388" s="134" t="n">
        <v>1</v>
      </c>
      <c r="C388" s="134" t="inlineStr">
        <is>
          <t>258</t>
        </is>
      </c>
      <c r="D388" s="134" t="inlineStr">
        <is>
          <t>Common</t>
        </is>
      </c>
      <c r="E388" s="134" t="n">
        <v>0</v>
      </c>
      <c r="F388" s="134" t="inlineStr">
        <is>
          <t>Leon Tukker</t>
        </is>
      </c>
      <c r="G388" s="134" t="n">
        <v>0.17</v>
      </c>
      <c r="H388" s="136" t="inlineStr">
        <is>
          <t>Secrets of Strixhaven</t>
        </is>
      </c>
    </row>
    <row r="389">
      <c r="A389" s="139" t="inlineStr">
        <is>
          <t>c0353</t>
        </is>
      </c>
      <c r="B389" s="134" t="n"/>
      <c r="C389" s="134" t="n"/>
      <c r="D389" s="134" t="n"/>
      <c r="E389" s="134" t="n"/>
      <c r="F389" s="134" t="n"/>
      <c r="G389" s="134" t="n">
        <v>0.22</v>
      </c>
      <c r="H389" s="135" t="inlineStr">
        <is>
          <t>Commander 2017</t>
        </is>
      </c>
    </row>
    <row r="390">
      <c r="A390" s="139" t="inlineStr">
        <is>
          <t>c0354</t>
        </is>
      </c>
      <c r="B390" s="134" t="n">
        <v>1</v>
      </c>
      <c r="C390" s="134" t="inlineStr">
        <is>
          <t>189</t>
        </is>
      </c>
      <c r="D390" s="134" t="inlineStr">
        <is>
          <t>Common</t>
        </is>
      </c>
      <c r="E390" s="134" t="n">
        <v>0</v>
      </c>
      <c r="F390" s="134" t="inlineStr">
        <is>
          <t>Chris Cold</t>
        </is>
      </c>
      <c r="G390" s="134" t="n">
        <v>0.08</v>
      </c>
      <c r="H390" s="135" t="inlineStr">
        <is>
          <t>The Hobbit</t>
        </is>
      </c>
    </row>
    <row r="391">
      <c r="A391" s="139" t="inlineStr">
        <is>
          <t>c0355</t>
        </is>
      </c>
      <c r="B391" s="134" t="n"/>
      <c r="C391" s="134" t="n"/>
      <c r="D391" s="134" t="n"/>
      <c r="E391" s="134" t="n"/>
      <c r="F391" s="134" t="n"/>
      <c r="G391" s="134" t="n"/>
      <c r="H391" s="136" t="inlineStr">
        <is>
          <t>Dominaria United</t>
        </is>
      </c>
    </row>
    <row r="392">
      <c r="A392" s="139" t="inlineStr">
        <is>
          <t>c0356</t>
        </is>
      </c>
      <c r="B392" s="134" t="n"/>
      <c r="C392" s="134" t="n"/>
      <c r="D392" s="134" t="n"/>
      <c r="E392" s="134" t="n"/>
      <c r="F392" s="134" t="n"/>
      <c r="G392" s="134" t="n">
        <v>0.26</v>
      </c>
      <c r="H392" s="135" t="inlineStr">
        <is>
          <t>Dominaria United</t>
        </is>
      </c>
    </row>
    <row r="393">
      <c r="A393" s="139" t="inlineStr">
        <is>
          <t>c0357</t>
        </is>
      </c>
      <c r="B393" s="134" t="n"/>
      <c r="C393" s="134" t="n"/>
      <c r="D393" s="134" t="n"/>
      <c r="E393" s="134" t="n"/>
      <c r="F393" s="134" t="n"/>
      <c r="G393" s="134" t="n">
        <v>0.39</v>
      </c>
      <c r="H393" s="135" t="inlineStr">
        <is>
          <t>Edge of Eternities Commander</t>
        </is>
      </c>
    </row>
    <row r="394">
      <c r="A394" s="139" t="inlineStr">
        <is>
          <t>c0358</t>
        </is>
      </c>
      <c r="B394" s="134" t="n"/>
      <c r="C394" s="134" t="n"/>
      <c r="D394" s="134" t="n"/>
      <c r="E394" s="134" t="n"/>
      <c r="F394" s="134" t="n"/>
      <c r="G394" s="134" t="n">
        <v>4.26</v>
      </c>
      <c r="H394" s="135" t="inlineStr">
        <is>
          <t>Conflux</t>
        </is>
      </c>
    </row>
    <row r="395">
      <c r="A395" s="139" t="inlineStr">
        <is>
          <t>c0359</t>
        </is>
      </c>
      <c r="B395" s="134" t="n"/>
      <c r="C395" s="134" t="n"/>
      <c r="D395" s="134" t="n"/>
      <c r="E395" s="134" t="n"/>
      <c r="F395" s="134" t="n"/>
      <c r="G395" s="134" t="n">
        <v>0.22</v>
      </c>
      <c r="H395" s="135" t="inlineStr">
        <is>
          <t>Khans of Tarkir</t>
        </is>
      </c>
    </row>
    <row r="396">
      <c r="A396" s="139" t="inlineStr">
        <is>
          <t>c0360</t>
        </is>
      </c>
      <c r="B396" s="134" t="n"/>
      <c r="C396" s="134" t="n"/>
      <c r="D396" s="134" t="n"/>
      <c r="E396" s="134" t="n"/>
      <c r="F396" s="134" t="n"/>
      <c r="G396" s="134" t="n">
        <v>0.34</v>
      </c>
      <c r="H396" s="135" t="inlineStr">
        <is>
          <t>Eventide</t>
        </is>
      </c>
    </row>
    <row r="397">
      <c r="A397" s="139" t="inlineStr">
        <is>
          <t>c0361</t>
        </is>
      </c>
      <c r="B397" s="134" t="n"/>
      <c r="C397" s="134" t="n"/>
      <c r="D397" s="134" t="n"/>
      <c r="E397" s="134" t="n"/>
      <c r="F397" s="134" t="n"/>
      <c r="G397" s="134" t="n">
        <v>0.3</v>
      </c>
      <c r="H397" s="135" t="inlineStr">
        <is>
          <t>Dominaria United</t>
        </is>
      </c>
    </row>
    <row r="398">
      <c r="A398" s="139" t="inlineStr">
        <is>
          <t>c0362</t>
        </is>
      </c>
      <c r="B398" s="134" t="n"/>
      <c r="C398" s="134" t="n"/>
      <c r="D398" s="134" t="n"/>
      <c r="E398" s="134" t="n"/>
      <c r="F398" s="134" t="n"/>
      <c r="G398" s="134" t="n">
        <v>0.35</v>
      </c>
      <c r="H398" s="135" t="inlineStr">
        <is>
          <t>Khans of Tarkir</t>
        </is>
      </c>
    </row>
    <row r="399">
      <c r="A399" s="139" t="inlineStr">
        <is>
          <t>c0363</t>
        </is>
      </c>
      <c r="B399" s="134" t="n"/>
      <c r="C399" s="134" t="n"/>
      <c r="D399" s="134" t="n"/>
      <c r="E399" s="134" t="n"/>
      <c r="F399" s="134" t="n"/>
      <c r="G399" s="134" t="n">
        <v>0.21</v>
      </c>
      <c r="H399" s="135" t="inlineStr">
        <is>
          <t>Khans of Tarkir</t>
        </is>
      </c>
    </row>
    <row r="400">
      <c r="A400" s="139" t="inlineStr">
        <is>
          <t>c0364</t>
        </is>
      </c>
      <c r="B400" s="134" t="n"/>
      <c r="C400" s="134" t="n"/>
      <c r="D400" s="134" t="n"/>
      <c r="E400" s="134" t="n"/>
      <c r="F400" s="134" t="n"/>
      <c r="G400" s="134" t="n">
        <v>0.32</v>
      </c>
      <c r="H400" s="135" t="inlineStr">
        <is>
          <t>Shards of Alara</t>
        </is>
      </c>
    </row>
    <row r="401">
      <c r="A401" s="139" t="inlineStr">
        <is>
          <t>c0365</t>
        </is>
      </c>
      <c r="B401" s="134" t="n"/>
      <c r="C401" s="134" t="n"/>
      <c r="D401" s="134" t="n"/>
      <c r="E401" s="134" t="n"/>
      <c r="F401" s="134" t="n"/>
      <c r="G401" s="134" t="n"/>
      <c r="H401" s="135" t="inlineStr">
        <is>
          <t>Return to Ravnica</t>
        </is>
      </c>
    </row>
    <row r="402">
      <c r="A402" s="139" t="inlineStr">
        <is>
          <t>c0366</t>
        </is>
      </c>
      <c r="B402" s="134" t="n"/>
      <c r="C402" s="134" t="n"/>
      <c r="D402" s="134" t="n"/>
      <c r="E402" s="134" t="n"/>
      <c r="F402" s="134" t="n"/>
      <c r="G402" s="134" t="n">
        <v>0.3</v>
      </c>
      <c r="H402" s="135" t="inlineStr">
        <is>
          <t>Strixhaven: School of Mages</t>
        </is>
      </c>
    </row>
    <row r="403">
      <c r="A403" s="139" t="inlineStr">
        <is>
          <t>c0367</t>
        </is>
      </c>
      <c r="B403" s="134" t="n"/>
      <c r="C403" s="134" t="n"/>
      <c r="D403" s="134" t="n"/>
      <c r="E403" s="134" t="n"/>
      <c r="F403" s="134" t="n"/>
      <c r="G403" s="134" t="n">
        <v>0.29</v>
      </c>
      <c r="H403" s="135" t="inlineStr">
        <is>
          <t>Strixhaven: School of Mages</t>
        </is>
      </c>
    </row>
    <row r="404">
      <c r="A404" s="139" t="inlineStr">
        <is>
          <t>c0368</t>
        </is>
      </c>
      <c r="B404" s="134" t="n"/>
      <c r="C404" s="134" t="n"/>
      <c r="D404" s="134" t="n"/>
      <c r="E404" s="134" t="n"/>
      <c r="F404" s="134" t="n"/>
      <c r="G404" s="134" t="n">
        <v>0.12</v>
      </c>
      <c r="H404" s="135" t="inlineStr">
        <is>
          <t>Gatecrash</t>
        </is>
      </c>
    </row>
    <row r="405">
      <c r="A405" s="139" t="inlineStr">
        <is>
          <t>c0369</t>
        </is>
      </c>
      <c r="B405" s="134" t="n"/>
      <c r="C405" s="134" t="n"/>
      <c r="D405" s="134" t="n"/>
      <c r="E405" s="134" t="n"/>
      <c r="F405" s="134" t="n"/>
      <c r="G405" s="134" t="n">
        <v>0.17</v>
      </c>
      <c r="H405" s="135" t="inlineStr">
        <is>
          <t>Shadows over Innistrad</t>
        </is>
      </c>
    </row>
    <row r="406">
      <c r="A406" s="139" t="inlineStr">
        <is>
          <t>c0370</t>
        </is>
      </c>
      <c r="B406" s="134" t="n"/>
      <c r="C406" s="134" t="n"/>
      <c r="D406" s="134" t="n"/>
      <c r="E406" s="134" t="n"/>
      <c r="F406" s="134" t="n"/>
      <c r="G406" s="134" t="n">
        <v>0.24</v>
      </c>
      <c r="H406" s="135" t="inlineStr">
        <is>
          <t>Commander 2021</t>
        </is>
      </c>
    </row>
    <row r="407">
      <c r="A407" s="139" t="inlineStr">
        <is>
          <t>c0371</t>
        </is>
      </c>
      <c r="B407" s="134" t="n"/>
      <c r="C407" s="134" t="n"/>
      <c r="D407" s="134" t="n"/>
      <c r="E407" s="134" t="n"/>
      <c r="F407" s="134" t="n"/>
      <c r="G407" s="134" t="n">
        <v>4.57</v>
      </c>
      <c r="H407" s="135" t="inlineStr">
        <is>
          <t>Modern Horizons</t>
        </is>
      </c>
    </row>
    <row r="408">
      <c r="A408" s="139" t="inlineStr">
        <is>
          <t>c0372</t>
        </is>
      </c>
      <c r="B408" s="134" t="n"/>
      <c r="C408" s="134" t="n"/>
      <c r="D408" s="134" t="n"/>
      <c r="E408" s="134" t="n"/>
      <c r="F408" s="134" t="n"/>
      <c r="G408" s="134" t="n">
        <v>0.32</v>
      </c>
      <c r="H408" s="135" t="inlineStr">
        <is>
          <t>Magic 2010</t>
        </is>
      </c>
    </row>
    <row r="409">
      <c r="A409" s="139" t="inlineStr">
        <is>
          <t>c0373</t>
        </is>
      </c>
      <c r="B409" s="134" t="n"/>
      <c r="C409" s="134" t="n"/>
      <c r="D409" s="134" t="n"/>
      <c r="E409" s="134" t="n"/>
      <c r="F409" s="134" t="n"/>
      <c r="G409" s="134" t="n">
        <v>0.34</v>
      </c>
      <c r="H409" s="135" t="inlineStr">
        <is>
          <t>Fallout</t>
        </is>
      </c>
    </row>
    <row r="410">
      <c r="A410" s="139" t="inlineStr">
        <is>
          <t>c0374</t>
        </is>
      </c>
      <c r="B410" s="134" t="n">
        <v>1</v>
      </c>
      <c r="C410" s="134" t="inlineStr">
        <is>
          <t>269</t>
        </is>
      </c>
      <c r="D410" s="134" t="inlineStr">
        <is>
          <t>Common</t>
        </is>
      </c>
      <c r="E410" s="134" t="n">
        <v>0</v>
      </c>
      <c r="F410" s="134" t="inlineStr">
        <is>
          <t>Joshua Raphael</t>
        </is>
      </c>
      <c r="G410" s="134" t="n">
        <v>0.09</v>
      </c>
      <c r="H410" s="135" t="inlineStr">
        <is>
          <t>Secrets of Strixhaven</t>
        </is>
      </c>
    </row>
    <row r="411">
      <c r="A411" s="139" t="inlineStr">
        <is>
          <t>c0375</t>
        </is>
      </c>
      <c r="B411" s="134" t="n"/>
      <c r="C411" s="134" t="n"/>
      <c r="D411" s="134" t="n"/>
      <c r="E411" s="134" t="n"/>
      <c r="F411" s="134" t="n"/>
      <c r="G411" s="134" t="n">
        <v>0.24</v>
      </c>
      <c r="H411" s="135" t="inlineStr">
        <is>
          <t>Born of the Gods</t>
        </is>
      </c>
    </row>
    <row r="412">
      <c r="A412" s="139" t="inlineStr">
        <is>
          <t>c0376</t>
        </is>
      </c>
      <c r="B412" s="134" t="n"/>
      <c r="C412" s="134" t="n"/>
      <c r="D412" s="134" t="n"/>
      <c r="E412" s="134" t="n"/>
      <c r="F412" s="134" t="n"/>
      <c r="G412" s="134" t="n">
        <v>0.32</v>
      </c>
      <c r="H412" s="135" t="inlineStr">
        <is>
          <t>Theros</t>
        </is>
      </c>
    </row>
    <row r="413">
      <c r="A413" s="139" t="inlineStr">
        <is>
          <t>c0377</t>
        </is>
      </c>
      <c r="B413" s="134" t="n"/>
      <c r="C413" s="134" t="n"/>
      <c r="D413" s="134" t="n"/>
      <c r="E413" s="134" t="n"/>
      <c r="F413" s="134" t="n"/>
      <c r="G413" s="134" t="n">
        <v>0.37</v>
      </c>
      <c r="H413" s="135" t="inlineStr">
        <is>
          <t>Scourge</t>
        </is>
      </c>
    </row>
    <row r="414">
      <c r="A414" s="139" t="inlineStr">
        <is>
          <t>c0378</t>
        </is>
      </c>
      <c r="B414" s="134" t="n"/>
      <c r="C414" s="134" t="n"/>
      <c r="D414" s="134" t="n"/>
      <c r="E414" s="134" t="n"/>
      <c r="F414" s="134" t="n"/>
      <c r="G414" s="134" t="n">
        <v>0.28</v>
      </c>
      <c r="H414" s="135" t="inlineStr">
        <is>
          <t>Theros</t>
        </is>
      </c>
    </row>
    <row r="415">
      <c r="A415" s="139" t="inlineStr">
        <is>
          <t>c0379</t>
        </is>
      </c>
      <c r="B415" s="134" t="n"/>
      <c r="C415" s="134" t="n"/>
      <c r="D415" s="134" t="n"/>
      <c r="E415" s="134" t="n"/>
      <c r="F415" s="134" t="n"/>
      <c r="G415" s="134" t="n">
        <v>0.27</v>
      </c>
      <c r="H415" s="135" t="inlineStr">
        <is>
          <t>Salvat 2005</t>
        </is>
      </c>
    </row>
    <row r="416">
      <c r="A416" s="139" t="inlineStr">
        <is>
          <t>c0380</t>
        </is>
      </c>
      <c r="B416" s="134" t="n"/>
      <c r="C416" s="134" t="n"/>
      <c r="D416" s="134" t="n"/>
      <c r="E416" s="134" t="n"/>
      <c r="F416" s="134" t="n"/>
      <c r="G416" s="134" t="n">
        <v>0.19</v>
      </c>
      <c r="H416" s="135" t="inlineStr">
        <is>
          <t>Khans of Tarkir</t>
        </is>
      </c>
    </row>
    <row r="417">
      <c r="A417" s="139" t="inlineStr">
        <is>
          <t>c0381</t>
        </is>
      </c>
      <c r="B417" s="134" t="n"/>
      <c r="C417" s="134" t="n"/>
      <c r="D417" s="134" t="n"/>
      <c r="E417" s="134" t="n"/>
      <c r="F417" s="134" t="n"/>
      <c r="G417" s="134" t="n">
        <v>0.22</v>
      </c>
      <c r="H417" s="135" t="inlineStr">
        <is>
          <t>Oath of the Gatewatch</t>
        </is>
      </c>
    </row>
    <row r="418">
      <c r="A418" s="139" t="inlineStr">
        <is>
          <t>c0383</t>
        </is>
      </c>
      <c r="B418" s="134" t="n"/>
      <c r="C418" s="134" t="n"/>
      <c r="D418" s="134" t="n"/>
      <c r="E418" s="134" t="n"/>
      <c r="F418" s="134" t="n"/>
      <c r="G418" s="134" t="n">
        <v>6.59</v>
      </c>
      <c r="H418" s="135" t="inlineStr">
        <is>
          <t>Secrets of Strixhaven Commander</t>
        </is>
      </c>
    </row>
    <row r="419">
      <c r="A419" s="139" t="inlineStr">
        <is>
          <t>c0384</t>
        </is>
      </c>
      <c r="B419" s="134" t="n"/>
      <c r="C419" s="134" t="n"/>
      <c r="D419" s="134" t="n"/>
      <c r="E419" s="134" t="n"/>
      <c r="F419" s="134" t="n"/>
      <c r="G419" s="134" t="n">
        <v>0.86</v>
      </c>
      <c r="H419" s="135" t="inlineStr">
        <is>
          <t>Dark Ascension</t>
        </is>
      </c>
    </row>
    <row r="420">
      <c r="A420" s="139" t="inlineStr">
        <is>
          <t>c0385</t>
        </is>
      </c>
      <c r="B420" s="134" t="n"/>
      <c r="C420" s="134" t="n"/>
      <c r="D420" s="134" t="n"/>
      <c r="E420" s="134" t="n"/>
      <c r="F420" s="134" t="n"/>
      <c r="G420" s="134" t="n">
        <v>0.17</v>
      </c>
      <c r="H420" s="135" t="inlineStr">
        <is>
          <t>Khans of Tarkir</t>
        </is>
      </c>
    </row>
    <row r="421">
      <c r="A421" s="139" t="inlineStr">
        <is>
          <t>c0386</t>
        </is>
      </c>
      <c r="B421" s="134" t="n"/>
      <c r="C421" s="134" t="n"/>
      <c r="D421" s="134" t="n"/>
      <c r="E421" s="134" t="n"/>
      <c r="F421" s="134" t="n"/>
      <c r="G421" s="134" t="n">
        <v>0.64</v>
      </c>
      <c r="H421" s="135" t="inlineStr">
        <is>
          <t>Innistrad</t>
        </is>
      </c>
    </row>
    <row r="422">
      <c r="A422" s="139" t="inlineStr">
        <is>
          <t>c0387</t>
        </is>
      </c>
      <c r="B422" s="134" t="n"/>
      <c r="C422" s="134" t="n"/>
      <c r="D422" s="134" t="n"/>
      <c r="E422" s="134" t="n"/>
      <c r="F422" s="134" t="n"/>
      <c r="G422" s="134" t="n">
        <v>0.3</v>
      </c>
      <c r="H422" s="135" t="inlineStr">
        <is>
          <t>Lorwyn Eclipsed</t>
        </is>
      </c>
    </row>
    <row r="423">
      <c r="A423" s="139" t="inlineStr">
        <is>
          <t>c0388</t>
        </is>
      </c>
      <c r="B423" s="134" t="n">
        <v>1</v>
      </c>
      <c r="C423" s="134" t="inlineStr">
        <is>
          <t>171</t>
        </is>
      </c>
      <c r="D423" s="134" t="inlineStr">
        <is>
          <t>Uncommon</t>
        </is>
      </c>
      <c r="E423" s="134" t="n">
        <v>0</v>
      </c>
      <c r="F423" s="134" t="inlineStr">
        <is>
          <t>David Auden Nash</t>
        </is>
      </c>
      <c r="G423" s="134" t="n">
        <v>0.29</v>
      </c>
      <c r="H423" s="136" t="inlineStr">
        <is>
          <t>Secrets of Strixhaven</t>
        </is>
      </c>
    </row>
    <row r="424">
      <c r="A424" s="139" t="inlineStr">
        <is>
          <t>c0389</t>
        </is>
      </c>
      <c r="B424" s="134" t="n"/>
      <c r="C424" s="134" t="n"/>
      <c r="D424" s="134" t="n"/>
      <c r="E424" s="134" t="n"/>
      <c r="F424" s="134" t="n"/>
      <c r="G424" s="134" t="n">
        <v>0.35</v>
      </c>
      <c r="H424" s="135" t="inlineStr">
        <is>
          <t>Ice Age</t>
        </is>
      </c>
    </row>
    <row r="425">
      <c r="A425" s="139" t="inlineStr">
        <is>
          <t>c0390</t>
        </is>
      </c>
      <c r="B425" s="134" t="n"/>
      <c r="C425" s="134" t="n"/>
      <c r="D425" s="134" t="n"/>
      <c r="E425" s="134" t="n"/>
      <c r="F425" s="134" t="n"/>
      <c r="G425" s="134" t="n"/>
      <c r="H425" s="136" t="inlineStr">
        <is>
          <t>Avatar: The Last Airbender</t>
        </is>
      </c>
    </row>
    <row r="426">
      <c r="A426" s="139" t="inlineStr">
        <is>
          <t>c0391</t>
        </is>
      </c>
      <c r="B426" s="134" t="n"/>
      <c r="C426" s="134" t="n"/>
      <c r="D426" s="134" t="n"/>
      <c r="E426" s="134" t="n"/>
      <c r="F426" s="134" t="n"/>
      <c r="G426" s="134" t="n"/>
      <c r="H426" s="135" t="inlineStr">
        <is>
          <t>Innistrad: Crimson Vow</t>
        </is>
      </c>
    </row>
    <row r="427">
      <c r="A427" s="139" t="inlineStr">
        <is>
          <t>c0392</t>
        </is>
      </c>
      <c r="B427" s="134" t="n"/>
      <c r="C427" s="134" t="n"/>
      <c r="D427" s="134" t="n"/>
      <c r="E427" s="134" t="n"/>
      <c r="F427" s="134" t="n"/>
      <c r="G427" s="134" t="n">
        <v>1.54</v>
      </c>
      <c r="H427" s="135" t="inlineStr">
        <is>
          <t>Shadows over Innistrad</t>
        </is>
      </c>
    </row>
    <row r="428">
      <c r="A428" s="139" t="inlineStr">
        <is>
          <t>c0393</t>
        </is>
      </c>
      <c r="B428" s="134" t="n"/>
      <c r="C428" s="134" t="n"/>
      <c r="D428" s="134" t="n"/>
      <c r="E428" s="134" t="n"/>
      <c r="F428" s="134" t="n"/>
      <c r="G428" s="134" t="n">
        <v>4.64</v>
      </c>
      <c r="H428" s="135" t="inlineStr">
        <is>
          <t>The Lost Caverns of Ixalan</t>
        </is>
      </c>
    </row>
    <row r="429">
      <c r="A429" s="139" t="inlineStr">
        <is>
          <t>c0395</t>
        </is>
      </c>
      <c r="B429" s="134" t="n"/>
      <c r="C429" s="134" t="n"/>
      <c r="D429" s="134" t="n"/>
      <c r="E429" s="134" t="n"/>
      <c r="F429" s="134" t="n"/>
      <c r="G429" s="134" t="n">
        <v>4.66</v>
      </c>
      <c r="H429" s="135" t="inlineStr">
        <is>
          <t>Core Set 2019</t>
        </is>
      </c>
    </row>
    <row r="430">
      <c r="A430" s="139" t="inlineStr">
        <is>
          <t>c0396</t>
        </is>
      </c>
      <c r="B430" s="134" t="n"/>
      <c r="C430" s="134" t="n"/>
      <c r="D430" s="134" t="n"/>
      <c r="E430" s="134" t="n"/>
      <c r="F430" s="134" t="n"/>
      <c r="G430" s="134" t="n">
        <v>0.23</v>
      </c>
      <c r="H430" s="135" t="inlineStr">
        <is>
          <t>Assassin's Creed</t>
        </is>
      </c>
    </row>
    <row r="431">
      <c r="A431" s="139" t="inlineStr">
        <is>
          <t>c0397</t>
        </is>
      </c>
      <c r="B431" s="134" t="n"/>
      <c r="C431" s="134" t="n"/>
      <c r="D431" s="134" t="n"/>
      <c r="E431" s="134" t="n"/>
      <c r="F431" s="134" t="n"/>
      <c r="G431" s="141" t="n">
        <v>1.19</v>
      </c>
      <c r="H431" s="136" t="inlineStr">
        <is>
          <t>Guilds of Ravnica</t>
        </is>
      </c>
    </row>
    <row r="432">
      <c r="A432" s="139" t="inlineStr">
        <is>
          <t>c0398</t>
        </is>
      </c>
      <c r="B432" s="134" t="n"/>
      <c r="C432" s="134" t="n"/>
      <c r="D432" s="134" t="n"/>
      <c r="E432" s="134" t="n">
        <v>1</v>
      </c>
      <c r="F432" s="134" t="n"/>
      <c r="G432" s="134" t="n">
        <v>27.97</v>
      </c>
      <c r="H432" s="135" t="inlineStr">
        <is>
          <t>Commander 2016</t>
        </is>
      </c>
    </row>
    <row r="433">
      <c r="A433" s="139" t="inlineStr">
        <is>
          <t>c0399</t>
        </is>
      </c>
      <c r="B433" s="134" t="n"/>
      <c r="C433" s="134" t="n"/>
      <c r="D433" s="134" t="n"/>
      <c r="E433" s="134" t="n"/>
      <c r="F433" s="134" t="n"/>
      <c r="G433" s="134" t="n">
        <v>0.35</v>
      </c>
      <c r="H433" s="135" t="inlineStr">
        <is>
          <t>Eventide</t>
        </is>
      </c>
    </row>
    <row r="434">
      <c r="A434" s="139" t="inlineStr">
        <is>
          <t>c0400</t>
        </is>
      </c>
      <c r="B434" s="134" t="n"/>
      <c r="C434" s="134" t="n"/>
      <c r="D434" s="134" t="n"/>
      <c r="E434" s="134" t="n"/>
      <c r="F434" s="134" t="n"/>
      <c r="G434" s="134" t="n"/>
      <c r="H434" s="136" t="inlineStr">
        <is>
          <t>The Hobbit</t>
        </is>
      </c>
    </row>
    <row r="435">
      <c r="A435" s="139" t="inlineStr">
        <is>
          <t>c0401</t>
        </is>
      </c>
      <c r="B435" s="134" t="n"/>
      <c r="C435" s="134" t="n"/>
      <c r="D435" s="134" t="n"/>
      <c r="E435" s="134" t="n"/>
      <c r="F435" s="134" t="n"/>
      <c r="G435" s="134" t="n">
        <v>0.38</v>
      </c>
      <c r="H435" s="135" t="inlineStr">
        <is>
          <t>Assassin's Creed</t>
        </is>
      </c>
    </row>
    <row r="436">
      <c r="A436" s="139" t="inlineStr">
        <is>
          <t>c0402</t>
        </is>
      </c>
      <c r="B436" s="134" t="n"/>
      <c r="C436" s="134" t="n"/>
      <c r="D436" s="134" t="n"/>
      <c r="E436" s="134" t="n"/>
      <c r="F436" s="134" t="n"/>
      <c r="G436" s="134" t="n">
        <v>0.25</v>
      </c>
      <c r="H436" s="135" t="inlineStr">
        <is>
          <t>Ixalan</t>
        </is>
      </c>
    </row>
    <row r="437">
      <c r="A437" s="139" t="inlineStr">
        <is>
          <t>c0403</t>
        </is>
      </c>
      <c r="B437" s="134" t="n">
        <v>1</v>
      </c>
      <c r="C437" s="134" t="inlineStr">
        <is>
          <t>175</t>
        </is>
      </c>
      <c r="D437" s="134" t="inlineStr">
        <is>
          <t>Rare</t>
        </is>
      </c>
      <c r="E437" s="134" t="n">
        <v>0</v>
      </c>
      <c r="F437" s="134" t="inlineStr">
        <is>
          <t>Tuan Duong Chu</t>
        </is>
      </c>
      <c r="G437" s="134" t="n">
        <v>0.32</v>
      </c>
      <c r="H437" s="136" t="inlineStr">
        <is>
          <t>Secrets of Strixhaven</t>
        </is>
      </c>
    </row>
    <row r="438">
      <c r="A438" s="139" t="inlineStr">
        <is>
          <t>c0404</t>
        </is>
      </c>
      <c r="B438" s="134" t="n"/>
      <c r="C438" s="134" t="n"/>
      <c r="D438" s="134" t="n"/>
      <c r="E438" s="134" t="n"/>
      <c r="F438" s="134" t="n"/>
      <c r="G438" s="134" t="n">
        <v>3.67</v>
      </c>
      <c r="H438" s="135" t="inlineStr">
        <is>
          <t>Tarkir: Dragonstorm Commander</t>
        </is>
      </c>
    </row>
    <row r="439">
      <c r="A439" s="139" t="inlineStr">
        <is>
          <t>c0405</t>
        </is>
      </c>
      <c r="B439" s="134" t="n"/>
      <c r="C439" s="134" t="n"/>
      <c r="D439" s="134" t="n"/>
      <c r="E439" s="134" t="n"/>
      <c r="F439" s="134" t="n"/>
      <c r="G439" s="134" t="n">
        <v>1.58</v>
      </c>
      <c r="H439" s="135" t="inlineStr">
        <is>
          <t>Strixhaven: School of Mages</t>
        </is>
      </c>
    </row>
    <row r="440">
      <c r="A440" s="139" t="inlineStr">
        <is>
          <t>c0406</t>
        </is>
      </c>
      <c r="B440" s="134" t="n"/>
      <c r="C440" s="134" t="n"/>
      <c r="D440" s="134" t="n"/>
      <c r="E440" s="134" t="n"/>
      <c r="F440" s="134" t="n"/>
      <c r="G440" s="134" t="n">
        <v>0.36</v>
      </c>
      <c r="H440" s="135" t="inlineStr">
        <is>
          <t>Lorwyn Eclipsed</t>
        </is>
      </c>
    </row>
    <row r="441">
      <c r="A441" s="139" t="inlineStr">
        <is>
          <t>c0408</t>
        </is>
      </c>
      <c r="B441" s="134" t="n"/>
      <c r="C441" s="134" t="n"/>
      <c r="D441" s="134" t="n"/>
      <c r="E441" s="134" t="n"/>
      <c r="F441" s="134" t="n"/>
      <c r="G441" s="134" t="n">
        <v>0.06</v>
      </c>
      <c r="H441" s="135" t="inlineStr">
        <is>
          <t>Ravnica Allegiance</t>
        </is>
      </c>
    </row>
    <row r="442">
      <c r="A442" s="139" t="inlineStr">
        <is>
          <t>c0409</t>
        </is>
      </c>
      <c r="B442" s="134" t="n"/>
      <c r="C442" s="134" t="n"/>
      <c r="D442" s="134" t="n"/>
      <c r="E442" s="134" t="n"/>
      <c r="F442" s="134" t="n"/>
      <c r="G442" s="134" t="n">
        <v>4.51</v>
      </c>
      <c r="H442" s="135" t="inlineStr">
        <is>
          <t>Gatecrash</t>
        </is>
      </c>
    </row>
    <row r="443">
      <c r="A443" s="139" t="inlineStr">
        <is>
          <t>c0410</t>
        </is>
      </c>
      <c r="B443" s="134" t="n"/>
      <c r="C443" s="134" t="n"/>
      <c r="D443" s="134" t="n"/>
      <c r="E443" s="134" t="n"/>
      <c r="F443" s="134" t="n"/>
      <c r="G443" s="134" t="n">
        <v>0.67</v>
      </c>
      <c r="H443" s="135" t="inlineStr">
        <is>
          <t>Ravnica: City of Guilds</t>
        </is>
      </c>
    </row>
    <row r="444">
      <c r="A444" s="139" t="inlineStr">
        <is>
          <t>c0412</t>
        </is>
      </c>
      <c r="B444" s="134" t="n"/>
      <c r="C444" s="134" t="n"/>
      <c r="D444" s="134" t="n"/>
      <c r="E444" s="134" t="n"/>
      <c r="F444" s="134" t="n"/>
      <c r="G444" s="134" t="n">
        <v>0.87</v>
      </c>
      <c r="H444" s="135" t="inlineStr">
        <is>
          <t>Commander 2021</t>
        </is>
      </c>
    </row>
    <row r="445">
      <c r="A445" s="139" t="inlineStr">
        <is>
          <t>c0413</t>
        </is>
      </c>
      <c r="B445" s="134" t="n"/>
      <c r="C445" s="134" t="n"/>
      <c r="D445" s="134" t="n"/>
      <c r="E445" s="134" t="n"/>
      <c r="F445" s="134" t="n"/>
      <c r="G445" s="134" t="n"/>
      <c r="H445" s="135" t="inlineStr">
        <is>
          <t>Zendikar Rising</t>
        </is>
      </c>
    </row>
    <row r="446">
      <c r="A446" s="139" t="inlineStr">
        <is>
          <t>c0414</t>
        </is>
      </c>
      <c r="B446" s="134" t="n"/>
      <c r="C446" s="134" t="n"/>
      <c r="D446" s="134" t="n"/>
      <c r="E446" s="134" t="n"/>
      <c r="F446" s="134" t="n"/>
      <c r="G446" s="134" t="n">
        <v>0.13</v>
      </c>
      <c r="H446" s="135" t="inlineStr">
        <is>
          <t>Lorwyn Eclipsed</t>
        </is>
      </c>
    </row>
    <row r="447">
      <c r="A447" s="139" t="inlineStr">
        <is>
          <t>c0415</t>
        </is>
      </c>
      <c r="B447" s="134" t="n"/>
      <c r="C447" s="134" t="n"/>
      <c r="D447" s="134" t="n"/>
      <c r="E447" s="134" t="n"/>
      <c r="F447" s="134" t="n"/>
      <c r="G447" s="134" t="n"/>
      <c r="H447" s="136" t="inlineStr">
        <is>
          <t>Lorwyn Eclipsed</t>
        </is>
      </c>
    </row>
    <row r="448">
      <c r="A448" s="139" t="inlineStr">
        <is>
          <t>c0416</t>
        </is>
      </c>
      <c r="B448" s="134" t="n"/>
      <c r="C448" s="134" t="n"/>
      <c r="D448" s="134" t="n"/>
      <c r="E448" s="134" t="n"/>
      <c r="F448" s="134" t="n"/>
      <c r="G448" s="134" t="n">
        <v>6.22</v>
      </c>
      <c r="H448" s="135" t="inlineStr">
        <is>
          <t>Throne of Eldraine</t>
        </is>
      </c>
    </row>
    <row r="449">
      <c r="A449" s="139" t="inlineStr">
        <is>
          <t>c0417</t>
        </is>
      </c>
      <c r="B449" s="134" t="n"/>
      <c r="C449" s="134" t="n"/>
      <c r="D449" s="134" t="n"/>
      <c r="E449" s="134" t="n"/>
      <c r="F449" s="134" t="n"/>
      <c r="G449" s="134" t="n">
        <v>0.06</v>
      </c>
      <c r="H449" s="135" t="inlineStr">
        <is>
          <t>Ravnica Allegiance</t>
        </is>
      </c>
    </row>
    <row r="450">
      <c r="A450" s="139" t="inlineStr">
        <is>
          <t>c0418</t>
        </is>
      </c>
      <c r="B450" s="134" t="n"/>
      <c r="C450" s="134" t="n"/>
      <c r="D450" s="134" t="n"/>
      <c r="E450" s="134" t="n"/>
      <c r="F450" s="134" t="n"/>
      <c r="G450" s="134" t="n">
        <v>0.13</v>
      </c>
      <c r="H450" s="135" t="inlineStr">
        <is>
          <t>Kaladesh</t>
        </is>
      </c>
    </row>
    <row r="451">
      <c r="A451" s="139" t="inlineStr">
        <is>
          <t>c0419</t>
        </is>
      </c>
      <c r="B451" s="134" t="n"/>
      <c r="C451" s="134" t="n"/>
      <c r="D451" s="134" t="n"/>
      <c r="E451" s="134" t="n"/>
      <c r="F451" s="134" t="n"/>
      <c r="G451" s="134" t="n">
        <v>0.29</v>
      </c>
      <c r="H451" s="135" t="inlineStr">
        <is>
          <t>Dissension</t>
        </is>
      </c>
    </row>
    <row r="452">
      <c r="A452" s="139" t="inlineStr">
        <is>
          <t>c0420</t>
        </is>
      </c>
      <c r="B452" s="134" t="n"/>
      <c r="C452" s="134" t="n"/>
      <c r="D452" s="134" t="n"/>
      <c r="E452" s="134" t="n"/>
      <c r="F452" s="134" t="n"/>
      <c r="G452" s="134" t="n">
        <v>0.52</v>
      </c>
      <c r="H452" s="135" t="inlineStr">
        <is>
          <t>Commander Legends</t>
        </is>
      </c>
    </row>
    <row r="453">
      <c r="A453" s="139" t="inlineStr">
        <is>
          <t>c0421</t>
        </is>
      </c>
      <c r="B453" s="134" t="n"/>
      <c r="C453" s="134" t="n"/>
      <c r="D453" s="134" t="n"/>
      <c r="E453" s="134" t="n"/>
      <c r="F453" s="134" t="n"/>
      <c r="G453" s="134" t="n">
        <v>0.6899999999999999</v>
      </c>
      <c r="H453" s="135" t="inlineStr">
        <is>
          <t>Core Set 2020</t>
        </is>
      </c>
    </row>
    <row r="454">
      <c r="A454" s="139" t="inlineStr">
        <is>
          <t>c0422</t>
        </is>
      </c>
      <c r="B454" s="134" t="n"/>
      <c r="C454" s="134" t="n"/>
      <c r="D454" s="134" t="n"/>
      <c r="E454" s="134" t="n"/>
      <c r="F454" s="134" t="n"/>
      <c r="G454" s="134" t="n">
        <v>3.32</v>
      </c>
      <c r="H454" s="135" t="inlineStr">
        <is>
          <t>War of the Spark</t>
        </is>
      </c>
    </row>
    <row r="455">
      <c r="A455" s="139" t="inlineStr">
        <is>
          <t>c0423</t>
        </is>
      </c>
      <c r="B455" s="134" t="n"/>
      <c r="C455" s="134" t="n"/>
      <c r="D455" s="134" t="n"/>
      <c r="E455" s="134" t="n"/>
      <c r="F455" s="134" t="n"/>
      <c r="G455" s="134" t="n">
        <v>1.63</v>
      </c>
      <c r="H455" s="135" t="inlineStr">
        <is>
          <t>Eventide</t>
        </is>
      </c>
    </row>
    <row r="456">
      <c r="A456" s="139" t="inlineStr">
        <is>
          <t>c0424</t>
        </is>
      </c>
      <c r="B456" s="134" t="n"/>
      <c r="C456" s="134" t="n"/>
      <c r="D456" s="134" t="n"/>
      <c r="E456" s="134" t="n"/>
      <c r="F456" s="134" t="n"/>
      <c r="G456" s="134" t="n">
        <v>0.26</v>
      </c>
      <c r="H456" s="135" t="inlineStr">
        <is>
          <t>Lorwyn Eclipsed</t>
        </is>
      </c>
    </row>
    <row r="457">
      <c r="A457" s="139" t="inlineStr">
        <is>
          <t>c0426</t>
        </is>
      </c>
      <c r="B457" s="134" t="n"/>
      <c r="C457" s="134" t="n"/>
      <c r="D457" s="134" t="n"/>
      <c r="E457" s="134" t="n"/>
      <c r="F457" s="134" t="n"/>
      <c r="G457" s="134" t="n">
        <v>0.35</v>
      </c>
      <c r="H457" s="135" t="inlineStr">
        <is>
          <t>Ravnica Allegiance</t>
        </is>
      </c>
    </row>
    <row r="458">
      <c r="A458" s="139" t="inlineStr">
        <is>
          <t>c0427</t>
        </is>
      </c>
      <c r="B458" s="134" t="n"/>
      <c r="C458" s="134" t="n"/>
      <c r="D458" s="134" t="n"/>
      <c r="E458" s="134" t="n"/>
      <c r="F458" s="134" t="n"/>
      <c r="G458" s="134" t="n">
        <v>0.33</v>
      </c>
      <c r="H458" s="135" t="inlineStr">
        <is>
          <t>War of the Spark</t>
        </is>
      </c>
    </row>
    <row r="459">
      <c r="A459" s="139" t="inlineStr">
        <is>
          <t>c0428</t>
        </is>
      </c>
      <c r="B459" s="134" t="n"/>
      <c r="C459" s="134" t="n"/>
      <c r="D459" s="134" t="n"/>
      <c r="E459" s="134" t="n"/>
      <c r="F459" s="134" t="n"/>
      <c r="G459" s="134" t="n">
        <v>8.65</v>
      </c>
      <c r="H459" s="135" t="inlineStr">
        <is>
          <t>Lorwyn</t>
        </is>
      </c>
    </row>
    <row r="460">
      <c r="A460" s="139" t="inlineStr">
        <is>
          <t>c0429</t>
        </is>
      </c>
      <c r="B460" s="134" t="n"/>
      <c r="C460" s="134" t="n"/>
      <c r="D460" s="134" t="n"/>
      <c r="E460" s="134" t="n"/>
      <c r="F460" s="134" t="n"/>
      <c r="G460" s="134" t="n">
        <v>1.88</v>
      </c>
      <c r="H460" s="135" t="inlineStr">
        <is>
          <t>Dragons of Tarkir</t>
        </is>
      </c>
    </row>
    <row r="461">
      <c r="A461" s="139" t="inlineStr">
        <is>
          <t>c0430</t>
        </is>
      </c>
      <c r="B461" s="134" t="n"/>
      <c r="C461" s="134" t="n"/>
      <c r="D461" s="134" t="n"/>
      <c r="E461" s="134" t="n"/>
      <c r="F461" s="134" t="n"/>
      <c r="G461" s="134" t="n"/>
      <c r="H461" s="135" t="inlineStr">
        <is>
          <t>Ikoria: Lair of Behemoths</t>
        </is>
      </c>
    </row>
    <row r="462">
      <c r="A462" s="139" t="inlineStr">
        <is>
          <t>c0431</t>
        </is>
      </c>
      <c r="B462" s="134" t="n"/>
      <c r="C462" s="134" t="n"/>
      <c r="D462" s="134" t="n"/>
      <c r="E462" s="134" t="n"/>
      <c r="F462" s="134" t="n"/>
      <c r="G462" s="134" t="n">
        <v>1.44</v>
      </c>
      <c r="H462" s="135" t="inlineStr">
        <is>
          <t>Dominaria United</t>
        </is>
      </c>
    </row>
    <row r="463">
      <c r="A463" s="139" t="inlineStr">
        <is>
          <t>c0432</t>
        </is>
      </c>
      <c r="B463" s="134" t="n"/>
      <c r="C463" s="134" t="n"/>
      <c r="D463" s="134" t="n"/>
      <c r="E463" s="134" t="n"/>
      <c r="F463" s="134" t="n"/>
      <c r="G463" s="134" t="n">
        <v>5.57</v>
      </c>
      <c r="H463" s="135" t="inlineStr">
        <is>
          <t>Rivals of Ixalan</t>
        </is>
      </c>
    </row>
    <row r="464">
      <c r="A464" s="139" t="inlineStr">
        <is>
          <t>c0433</t>
        </is>
      </c>
      <c r="B464" s="134" t="n"/>
      <c r="C464" s="134" t="n"/>
      <c r="D464" s="134" t="n"/>
      <c r="E464" s="134" t="n"/>
      <c r="F464" s="134" t="n"/>
      <c r="G464" s="134" t="n"/>
      <c r="H464" s="136" t="inlineStr">
        <is>
          <t>Lorwyn Eclipsed</t>
        </is>
      </c>
    </row>
    <row r="465">
      <c r="A465" s="139" t="inlineStr">
        <is>
          <t>c0434</t>
        </is>
      </c>
      <c r="B465" s="134" t="n">
        <v>1</v>
      </c>
      <c r="C465" s="134" t="inlineStr">
        <is>
          <t>187</t>
        </is>
      </c>
      <c r="D465" s="134" t="inlineStr">
        <is>
          <t>Uncommon</t>
        </is>
      </c>
      <c r="E465" s="134" t="n">
        <v>0</v>
      </c>
      <c r="F465" s="134" t="inlineStr">
        <is>
          <t>Ioannis Fiore</t>
        </is>
      </c>
      <c r="G465" s="134" t="n">
        <v>0.24</v>
      </c>
      <c r="H465" s="136" t="inlineStr">
        <is>
          <t>Secrets of Strixhaven</t>
        </is>
      </c>
    </row>
    <row r="466">
      <c r="A466" s="139" t="inlineStr">
        <is>
          <t>c0435</t>
        </is>
      </c>
      <c r="B466" s="134" t="n"/>
      <c r="C466" s="134" t="n"/>
      <c r="D466" s="134" t="n"/>
      <c r="E466" s="134" t="n"/>
      <c r="F466" s="134" t="n"/>
      <c r="G466" s="134" t="n">
        <v>0.62</v>
      </c>
      <c r="H466" s="135" t="inlineStr">
        <is>
          <t>Secrets of Strixhaven Commander</t>
        </is>
      </c>
    </row>
    <row r="467">
      <c r="A467" s="139" t="inlineStr">
        <is>
          <t>c0436</t>
        </is>
      </c>
      <c r="B467" s="134" t="n"/>
      <c r="C467" s="134" t="n"/>
      <c r="D467" s="134" t="n"/>
      <c r="E467" s="134" t="n"/>
      <c r="F467" s="134" t="n"/>
      <c r="G467" s="134" t="n">
        <v>0.95</v>
      </c>
      <c r="H467" s="135" t="inlineStr">
        <is>
          <t>Phyrexia: All Will Be One</t>
        </is>
      </c>
    </row>
    <row r="468">
      <c r="A468" s="139" t="inlineStr">
        <is>
          <t>c0437</t>
        </is>
      </c>
      <c r="B468" s="134" t="n"/>
      <c r="C468" s="134" t="n"/>
      <c r="D468" s="134" t="n"/>
      <c r="E468" s="134" t="n"/>
      <c r="F468" s="134" t="n"/>
      <c r="G468" s="134" t="n">
        <v>0.47</v>
      </c>
      <c r="H468" s="135" t="inlineStr">
        <is>
          <t>Throne of Eldraine</t>
        </is>
      </c>
    </row>
    <row r="469">
      <c r="A469" s="139" t="inlineStr">
        <is>
          <t>c0438</t>
        </is>
      </c>
      <c r="B469" s="134" t="n"/>
      <c r="C469" s="134" t="n"/>
      <c r="D469" s="134" t="n"/>
      <c r="E469" s="134" t="n"/>
      <c r="F469" s="134" t="n"/>
      <c r="G469" s="134" t="n">
        <v>0.21</v>
      </c>
      <c r="H469" s="136" t="inlineStr">
        <is>
          <t>The Hobbit</t>
        </is>
      </c>
    </row>
    <row r="470">
      <c r="A470" s="139" t="inlineStr">
        <is>
          <t>c0439</t>
        </is>
      </c>
      <c r="B470" s="134" t="n"/>
      <c r="C470" s="134" t="n"/>
      <c r="D470" s="134" t="n"/>
      <c r="E470" s="134" t="n"/>
      <c r="F470" s="134" t="n"/>
      <c r="G470" s="134" t="n"/>
      <c r="H470" s="136" t="inlineStr">
        <is>
          <t>Lorwyn Eclipsed</t>
        </is>
      </c>
    </row>
    <row r="471">
      <c r="A471" s="139" t="inlineStr">
        <is>
          <t>c0440</t>
        </is>
      </c>
      <c r="B471" s="134" t="n"/>
      <c r="C471" s="134" t="n"/>
      <c r="D471" s="134" t="n"/>
      <c r="E471" s="134" t="n"/>
      <c r="F471" s="134" t="n"/>
      <c r="G471" s="134" t="n">
        <v>1.71</v>
      </c>
      <c r="H471" s="135" t="inlineStr">
        <is>
          <t>Commander 2021</t>
        </is>
      </c>
    </row>
    <row r="472">
      <c r="A472" s="139" t="inlineStr">
        <is>
          <t>c0441</t>
        </is>
      </c>
      <c r="B472" s="134" t="n"/>
      <c r="C472" s="134" t="n"/>
      <c r="D472" s="134" t="n"/>
      <c r="E472" s="134" t="n"/>
      <c r="F472" s="134" t="n"/>
      <c r="G472" s="134" t="n">
        <v>3.12</v>
      </c>
      <c r="H472" s="135" t="inlineStr">
        <is>
          <t>Tarkir: Dragonstorm Commander</t>
        </is>
      </c>
    </row>
    <row r="473">
      <c r="A473" s="139" t="inlineStr">
        <is>
          <t>c0442</t>
        </is>
      </c>
      <c r="B473" s="134" t="n">
        <v>1</v>
      </c>
      <c r="C473" s="134" t="inlineStr">
        <is>
          <t>225</t>
        </is>
      </c>
      <c r="D473" s="134" t="inlineStr">
        <is>
          <t>Common</t>
        </is>
      </c>
      <c r="E473" s="134" t="n">
        <v>0</v>
      </c>
      <c r="F473" s="134" t="n"/>
      <c r="G473" s="134" t="n">
        <v>0.13</v>
      </c>
      <c r="H473" s="136" t="inlineStr">
        <is>
          <t>Lorwyn Eclipsed</t>
        </is>
      </c>
    </row>
    <row r="474">
      <c r="A474" s="139" t="inlineStr">
        <is>
          <t>c0443</t>
        </is>
      </c>
      <c r="B474" s="134" t="n"/>
      <c r="C474" s="134" t="n"/>
      <c r="D474" s="134" t="n"/>
      <c r="E474" s="134" t="n"/>
      <c r="F474" s="134" t="n"/>
      <c r="G474" s="134" t="n">
        <v>0.63</v>
      </c>
      <c r="H474" s="135" t="inlineStr">
        <is>
          <t>Strixhaven: School of Mages</t>
        </is>
      </c>
    </row>
    <row r="475">
      <c r="A475" s="139" t="inlineStr">
        <is>
          <t>c0444</t>
        </is>
      </c>
      <c r="B475" s="134" t="n"/>
      <c r="C475" s="134" t="n"/>
      <c r="D475" s="134" t="n"/>
      <c r="E475" s="134" t="n"/>
      <c r="F475" s="134" t="n"/>
      <c r="G475" s="134" t="n">
        <v>0.22</v>
      </c>
      <c r="H475" s="135" t="inlineStr">
        <is>
          <t>Lorwyn Eclipsed</t>
        </is>
      </c>
    </row>
    <row r="476">
      <c r="A476" s="139" t="inlineStr">
        <is>
          <t>c0446</t>
        </is>
      </c>
      <c r="B476" s="134" t="n"/>
      <c r="C476" s="134" t="n"/>
      <c r="D476" s="134" t="n"/>
      <c r="E476" s="134" t="n"/>
      <c r="F476" s="134" t="n"/>
      <c r="G476" s="134" t="n">
        <v>0.28</v>
      </c>
      <c r="H476" s="137" t="inlineStr">
        <is>
          <t>Aether Revolt</t>
        </is>
      </c>
    </row>
    <row r="477">
      <c r="A477" s="139" t="inlineStr">
        <is>
          <t>c0447</t>
        </is>
      </c>
      <c r="B477" s="134" t="n"/>
      <c r="C477" s="134" t="n"/>
      <c r="D477" s="134" t="n"/>
      <c r="E477" s="134" t="n"/>
      <c r="F477" s="134" t="n"/>
      <c r="G477" s="134" t="n">
        <v>0.33</v>
      </c>
      <c r="H477" s="137" t="inlineStr">
        <is>
          <t>Strixhaven: School of Mages</t>
        </is>
      </c>
    </row>
    <row r="478">
      <c r="A478" s="139" t="inlineStr">
        <is>
          <t>c0448</t>
        </is>
      </c>
      <c r="B478" s="134" t="n"/>
      <c r="C478" s="134" t="n"/>
      <c r="D478" s="134" t="n"/>
      <c r="E478" s="134" t="n"/>
      <c r="F478" s="134" t="n"/>
      <c r="G478" s="134" t="n">
        <v>0.44</v>
      </c>
      <c r="H478" s="137" t="inlineStr">
        <is>
          <t>War of the Spark</t>
        </is>
      </c>
    </row>
    <row r="479">
      <c r="A479" s="139" t="inlineStr">
        <is>
          <t>c0449</t>
        </is>
      </c>
      <c r="B479" s="134" t="n"/>
      <c r="C479" s="134" t="n"/>
      <c r="D479" s="134" t="n"/>
      <c r="E479" s="134" t="n"/>
      <c r="F479" s="134" t="n"/>
      <c r="G479" s="134" t="n">
        <v>0.47</v>
      </c>
      <c r="H479" s="137" t="inlineStr">
        <is>
          <t>Commander 2016</t>
        </is>
      </c>
    </row>
    <row r="480">
      <c r="A480" s="139" t="inlineStr">
        <is>
          <t>c0450</t>
        </is>
      </c>
      <c r="B480" s="134" t="n">
        <v>2</v>
      </c>
      <c r="C480" s="134" t="inlineStr">
        <is>
          <t>195</t>
        </is>
      </c>
      <c r="D480" s="134" t="inlineStr">
        <is>
          <t>Common</t>
        </is>
      </c>
      <c r="E480" s="134" t="n">
        <v>0</v>
      </c>
      <c r="F480" s="134" t="inlineStr">
        <is>
          <t>Nathaniel Himawan</t>
        </is>
      </c>
      <c r="G480" s="134" t="n">
        <v>0.07000000000000001</v>
      </c>
      <c r="H480" s="134" t="inlineStr">
        <is>
          <t>Secrets of Strixhaven</t>
        </is>
      </c>
    </row>
    <row r="481">
      <c r="A481" s="139" t="inlineStr">
        <is>
          <t>c0451</t>
        </is>
      </c>
      <c r="B481" s="134" t="n"/>
      <c r="C481" s="134" t="n"/>
      <c r="D481" s="134" t="n"/>
      <c r="E481" s="134" t="n"/>
      <c r="F481" s="134" t="n"/>
      <c r="G481" s="134" t="n">
        <v>0.35</v>
      </c>
      <c r="H481" s="137" t="inlineStr">
        <is>
          <t>Core Set 2021</t>
        </is>
      </c>
    </row>
    <row r="482">
      <c r="A482" s="139" t="inlineStr">
        <is>
          <t>c0452</t>
        </is>
      </c>
      <c r="B482" s="134" t="n"/>
      <c r="C482" s="134" t="n"/>
      <c r="D482" s="134" t="n"/>
      <c r="E482" s="134" t="n"/>
      <c r="F482" s="134" t="n"/>
      <c r="G482" s="134" t="n">
        <v>5.95</v>
      </c>
      <c r="H482" s="137" t="inlineStr">
        <is>
          <t>Commander 2021</t>
        </is>
      </c>
    </row>
    <row r="483">
      <c r="A483" s="139" t="inlineStr">
        <is>
          <t>c0454</t>
        </is>
      </c>
      <c r="B483" s="134" t="n"/>
      <c r="C483" s="134" t="n"/>
      <c r="D483" s="134" t="n"/>
      <c r="E483" s="134" t="n"/>
      <c r="F483" s="134" t="n"/>
      <c r="G483" s="134" t="n">
        <v>8.960000000000001</v>
      </c>
      <c r="H483" s="137" t="inlineStr">
        <is>
          <t>Kaladesh</t>
        </is>
      </c>
    </row>
    <row r="484">
      <c r="A484" s="139" t="inlineStr">
        <is>
          <t>c0455</t>
        </is>
      </c>
      <c r="B484" s="134" t="n"/>
      <c r="C484" s="134" t="n"/>
      <c r="D484" s="134" t="n"/>
      <c r="E484" s="134" t="n"/>
      <c r="F484" s="134" t="n"/>
      <c r="G484" s="134" t="n">
        <v>6.28</v>
      </c>
      <c r="H484" s="137" t="inlineStr">
        <is>
          <t>Outlaws of Thunder Junction</t>
        </is>
      </c>
    </row>
    <row r="485">
      <c r="A485" s="139" t="inlineStr">
        <is>
          <t>c0456</t>
        </is>
      </c>
      <c r="B485" s="134" t="n"/>
      <c r="C485" s="134" t="n"/>
      <c r="D485" s="134" t="n"/>
      <c r="E485" s="134" t="n"/>
      <c r="F485" s="134" t="n"/>
      <c r="G485" s="134" t="n">
        <v>0.09</v>
      </c>
      <c r="H485" s="137" t="inlineStr">
        <is>
          <t>Khans of Tarkir</t>
        </is>
      </c>
    </row>
    <row r="486">
      <c r="A486" s="139" t="inlineStr">
        <is>
          <t>c0457</t>
        </is>
      </c>
      <c r="B486" s="134" t="n"/>
      <c r="C486" s="134" t="n"/>
      <c r="D486" s="134" t="n"/>
      <c r="E486" s="134" t="n"/>
      <c r="F486" s="134" t="n"/>
      <c r="G486" s="134" t="n">
        <v>0.36</v>
      </c>
      <c r="H486" s="137" t="inlineStr">
        <is>
          <t>Born of the Gods</t>
        </is>
      </c>
    </row>
    <row r="487">
      <c r="A487" s="139" t="inlineStr">
        <is>
          <t>c0459</t>
        </is>
      </c>
      <c r="B487" s="134" t="n"/>
      <c r="C487" s="134" t="n"/>
      <c r="D487" s="134" t="n"/>
      <c r="E487" s="134" t="n"/>
      <c r="F487" s="134" t="n"/>
      <c r="G487" s="134" t="n">
        <v>0.43</v>
      </c>
      <c r="H487" s="137" t="inlineStr">
        <is>
          <t>Guilds of Ravnica</t>
        </is>
      </c>
    </row>
    <row r="488">
      <c r="A488" s="139" t="inlineStr">
        <is>
          <t>c0460</t>
        </is>
      </c>
      <c r="B488" s="134" t="n"/>
      <c r="C488" s="134" t="n"/>
      <c r="D488" s="134" t="n"/>
      <c r="E488" s="134" t="n"/>
      <c r="F488" s="134" t="n"/>
      <c r="G488" s="134" t="n"/>
      <c r="H488" s="134" t="inlineStr">
        <is>
          <t>The Hobbit</t>
        </is>
      </c>
    </row>
    <row r="489">
      <c r="A489" s="139" t="inlineStr">
        <is>
          <t>c0461</t>
        </is>
      </c>
      <c r="B489" s="134" t="n"/>
      <c r="C489" s="134" t="n"/>
      <c r="D489" s="134" t="n"/>
      <c r="E489" s="134" t="n"/>
      <c r="F489" s="134" t="n"/>
      <c r="G489" s="134" t="n">
        <v>0.3</v>
      </c>
      <c r="H489" s="137" t="inlineStr">
        <is>
          <t>Secrets of Strixhaven Commander</t>
        </is>
      </c>
    </row>
    <row r="490">
      <c r="A490" s="139" t="inlineStr">
        <is>
          <t>c0462</t>
        </is>
      </c>
      <c r="B490" s="134" t="n"/>
      <c r="C490" s="134" t="n"/>
      <c r="D490" s="134" t="n"/>
      <c r="E490" s="134" t="n"/>
      <c r="F490" s="134" t="n"/>
      <c r="G490" s="134" t="n">
        <v>0.24</v>
      </c>
      <c r="H490" s="137" t="inlineStr">
        <is>
          <t>Secrets of Strixhaven</t>
        </is>
      </c>
    </row>
    <row r="491">
      <c r="A491" s="139" t="inlineStr">
        <is>
          <t>c0463</t>
        </is>
      </c>
      <c r="B491" s="134" t="n"/>
      <c r="C491" s="134" t="n"/>
      <c r="D491" s="134" t="n"/>
      <c r="E491" s="134" t="n"/>
      <c r="F491" s="134" t="n"/>
      <c r="G491" s="134" t="n">
        <v>0.39</v>
      </c>
      <c r="H491" s="137" t="inlineStr">
        <is>
          <t>Strixhaven: School of Mages</t>
        </is>
      </c>
    </row>
    <row r="492">
      <c r="A492" s="139" t="inlineStr">
        <is>
          <t>c0464</t>
        </is>
      </c>
      <c r="B492" s="134" t="n"/>
      <c r="C492" s="134" t="n"/>
      <c r="D492" s="134" t="n"/>
      <c r="E492" s="134" t="n"/>
      <c r="F492" s="134" t="n"/>
      <c r="G492" s="134" t="n">
        <v>0.23</v>
      </c>
      <c r="H492" s="137" t="inlineStr">
        <is>
          <t>Strixhaven: School of Mages</t>
        </is>
      </c>
    </row>
    <row r="493">
      <c r="A493" s="139" t="inlineStr">
        <is>
          <t>c0465</t>
        </is>
      </c>
      <c r="B493" s="134" t="n"/>
      <c r="C493" s="134" t="n"/>
      <c r="D493" s="134" t="n"/>
      <c r="E493" s="134" t="n"/>
      <c r="F493" s="134" t="n"/>
      <c r="G493" s="134" t="n">
        <v>0.47</v>
      </c>
      <c r="H493" s="137" t="inlineStr">
        <is>
          <t>Lorwyn Eclipsed</t>
        </is>
      </c>
    </row>
    <row r="494">
      <c r="A494" s="139" t="inlineStr">
        <is>
          <t>c0466</t>
        </is>
      </c>
      <c r="B494" s="134" t="n"/>
      <c r="C494" s="134" t="n"/>
      <c r="D494" s="134" t="n"/>
      <c r="E494" s="134" t="n"/>
      <c r="F494" s="134" t="n"/>
      <c r="G494" s="134" t="n">
        <v>0.27</v>
      </c>
      <c r="H494" s="137" t="inlineStr">
        <is>
          <t>War of the Spark</t>
        </is>
      </c>
    </row>
    <row r="495">
      <c r="A495" s="139" t="inlineStr">
        <is>
          <t>c0467</t>
        </is>
      </c>
      <c r="B495" s="134" t="n">
        <v>1</v>
      </c>
      <c r="C495" s="134" t="inlineStr">
        <is>
          <t>234</t>
        </is>
      </c>
      <c r="D495" s="134" t="inlineStr">
        <is>
          <t>Common</t>
        </is>
      </c>
      <c r="E495" s="134" t="n">
        <v>0</v>
      </c>
      <c r="F495" s="134" t="n"/>
      <c r="G495" s="134" t="n">
        <v>0.13</v>
      </c>
      <c r="H495" s="134" t="inlineStr">
        <is>
          <t>Lorwyn Eclipsed</t>
        </is>
      </c>
    </row>
    <row r="496">
      <c r="A496" s="139" t="inlineStr">
        <is>
          <t>c0468</t>
        </is>
      </c>
      <c r="B496" s="134" t="n"/>
      <c r="C496" s="134" t="n"/>
      <c r="D496" s="134" t="n"/>
      <c r="E496" s="134" t="n"/>
      <c r="F496" s="134" t="n"/>
      <c r="G496" s="134" t="n">
        <v>0.15</v>
      </c>
      <c r="H496" s="134" t="inlineStr">
        <is>
          <t>The Hobbit</t>
        </is>
      </c>
    </row>
    <row r="497">
      <c r="A497" s="139" t="inlineStr">
        <is>
          <t>c0469</t>
        </is>
      </c>
      <c r="B497" s="134" t="n"/>
      <c r="C497" s="134" t="n"/>
      <c r="D497" s="134" t="n"/>
      <c r="E497" s="134" t="n"/>
      <c r="F497" s="134" t="n"/>
      <c r="G497" s="134" t="n">
        <v>0.24</v>
      </c>
      <c r="H497" s="137" t="inlineStr">
        <is>
          <t>Shadowmoor</t>
        </is>
      </c>
    </row>
    <row r="498">
      <c r="A498" s="139" t="inlineStr">
        <is>
          <t>c0470</t>
        </is>
      </c>
      <c r="B498" s="134" t="n"/>
      <c r="C498" s="134" t="n"/>
      <c r="D498" s="134" t="n"/>
      <c r="E498" s="134" t="n"/>
      <c r="F498" s="134" t="n"/>
      <c r="G498" s="134" t="n">
        <v>0.24</v>
      </c>
      <c r="H498" s="137" t="inlineStr">
        <is>
          <t>Time Spiral</t>
        </is>
      </c>
    </row>
    <row r="499">
      <c r="A499" s="139" t="inlineStr">
        <is>
          <t>c0471</t>
        </is>
      </c>
      <c r="B499" s="134" t="n"/>
      <c r="C499" s="134" t="n"/>
      <c r="D499" s="134" t="n"/>
      <c r="E499" s="134" t="n"/>
      <c r="F499" s="134" t="n"/>
      <c r="G499" s="134" t="n">
        <v>0.19</v>
      </c>
      <c r="H499" s="137" t="inlineStr">
        <is>
          <t>Guildpact</t>
        </is>
      </c>
    </row>
    <row r="500">
      <c r="A500" s="139" t="inlineStr">
        <is>
          <t>c0472</t>
        </is>
      </c>
      <c r="B500" s="134" t="n"/>
      <c r="C500" s="134" t="n"/>
      <c r="D500" s="134" t="n"/>
      <c r="E500" s="134" t="n"/>
      <c r="F500" s="134" t="n"/>
      <c r="G500" s="134" t="n"/>
      <c r="H500" s="134" t="inlineStr">
        <is>
          <t>The Hobbit</t>
        </is>
      </c>
    </row>
    <row r="501">
      <c r="A501" s="139" t="inlineStr">
        <is>
          <t>c0473</t>
        </is>
      </c>
      <c r="B501" s="134" t="n">
        <v>1</v>
      </c>
      <c r="C501" s="134" t="inlineStr">
        <is>
          <t>162</t>
        </is>
      </c>
      <c r="D501" s="134" t="inlineStr">
        <is>
          <t>Common</t>
        </is>
      </c>
      <c r="E501" s="134" t="n">
        <v>0</v>
      </c>
      <c r="F501" s="134" t="n"/>
      <c r="G501" s="134" t="n">
        <v>0.13</v>
      </c>
      <c r="H501" s="134" t="inlineStr">
        <is>
          <t>The Hobbit</t>
        </is>
      </c>
    </row>
    <row r="502">
      <c r="A502" s="139" t="inlineStr">
        <is>
          <t>c0474</t>
        </is>
      </c>
      <c r="B502" s="134" t="n">
        <v>1</v>
      </c>
      <c r="C502" s="134" t="inlineStr">
        <is>
          <t>209</t>
        </is>
      </c>
      <c r="D502" s="134" t="inlineStr">
        <is>
          <t>Common</t>
        </is>
      </c>
      <c r="E502" s="134" t="n">
        <v>0</v>
      </c>
      <c r="F502" s="134" t="inlineStr">
        <is>
          <t>Filipe Pagliuso</t>
        </is>
      </c>
      <c r="G502" s="134" t="n">
        <v>0.25</v>
      </c>
      <c r="H502" s="134" t="inlineStr">
        <is>
          <t>Secrets of Strixhaven</t>
        </is>
      </c>
    </row>
    <row r="503">
      <c r="A503" s="139" t="inlineStr">
        <is>
          <t>c0475</t>
        </is>
      </c>
      <c r="B503" s="134" t="n"/>
      <c r="C503" s="134" t="n"/>
      <c r="D503" s="134" t="n"/>
      <c r="E503" s="134" t="n"/>
      <c r="F503" s="134" t="n"/>
      <c r="G503" s="134" t="n">
        <v>0.09</v>
      </c>
      <c r="H503" s="137" t="inlineStr">
        <is>
          <t>Avatar: The Last Airbender</t>
        </is>
      </c>
    </row>
    <row r="504">
      <c r="A504" s="139" t="inlineStr">
        <is>
          <t>c0477</t>
        </is>
      </c>
      <c r="B504" s="134" t="n"/>
      <c r="C504" s="134" t="n"/>
      <c r="D504" s="134" t="n"/>
      <c r="E504" s="134" t="n"/>
      <c r="F504" s="134" t="n"/>
      <c r="G504" s="134" t="n">
        <v>0.2</v>
      </c>
      <c r="H504" s="137" t="inlineStr">
        <is>
          <t>Lorwyn Eclipsed</t>
        </is>
      </c>
    </row>
    <row r="505">
      <c r="A505" s="139" t="inlineStr">
        <is>
          <t>c0478</t>
        </is>
      </c>
      <c r="B505" s="134" t="n"/>
      <c r="C505" s="134" t="n"/>
      <c r="D505" s="134" t="n"/>
      <c r="E505" s="134" t="n"/>
      <c r="F505" s="134" t="n"/>
      <c r="G505" s="134" t="n">
        <v>0.36</v>
      </c>
      <c r="H505" s="137" t="inlineStr">
        <is>
          <t>Modern Horizons 2</t>
        </is>
      </c>
    </row>
    <row r="506">
      <c r="A506" s="139" t="inlineStr">
        <is>
          <t>c0479</t>
        </is>
      </c>
      <c r="B506" s="134" t="n">
        <v>1</v>
      </c>
      <c r="C506" s="134" t="inlineStr">
        <is>
          <t>215</t>
        </is>
      </c>
      <c r="D506" s="134" t="inlineStr">
        <is>
          <t>Common</t>
        </is>
      </c>
      <c r="E506" s="134" t="n">
        <v>0</v>
      </c>
      <c r="F506" s="134" t="inlineStr">
        <is>
          <t>Andrew Mar</t>
        </is>
      </c>
      <c r="G506" s="134" t="n">
        <v>0.18</v>
      </c>
      <c r="H506" s="134" t="inlineStr">
        <is>
          <t>Secrets of Strixhaven</t>
        </is>
      </c>
    </row>
    <row r="507">
      <c r="A507" s="139" t="inlineStr">
        <is>
          <t>c0480</t>
        </is>
      </c>
      <c r="B507" s="134" t="n"/>
      <c r="C507" s="134" t="n"/>
      <c r="D507" s="134" t="n"/>
      <c r="E507" s="134" t="n"/>
      <c r="F507" s="134" t="n"/>
      <c r="G507" s="134" t="n">
        <v>0.24</v>
      </c>
      <c r="H507" s="137" t="inlineStr">
        <is>
          <t>Ravnica: City of Guilds</t>
        </is>
      </c>
    </row>
    <row r="508">
      <c r="A508" s="139" t="inlineStr">
        <is>
          <t>c0481</t>
        </is>
      </c>
      <c r="B508" s="134" t="n"/>
      <c r="C508" s="134" t="n"/>
      <c r="D508" s="134" t="n"/>
      <c r="E508" s="134" t="n"/>
      <c r="F508" s="134" t="n"/>
      <c r="G508" s="134" t="n">
        <v>2</v>
      </c>
      <c r="H508" s="137" t="inlineStr">
        <is>
          <t>The Lost Caverns of Ixalan</t>
        </is>
      </c>
    </row>
    <row r="509">
      <c r="A509" s="139" t="inlineStr">
        <is>
          <t>c0482</t>
        </is>
      </c>
      <c r="B509" s="134" t="n"/>
      <c r="C509" s="134" t="n"/>
      <c r="D509" s="134" t="n"/>
      <c r="E509" s="134" t="n"/>
      <c r="F509" s="134" t="n"/>
      <c r="G509" s="134" t="n">
        <v>0.23</v>
      </c>
      <c r="H509" s="137" t="inlineStr">
        <is>
          <t>Strixhaven: School of Mages</t>
        </is>
      </c>
    </row>
    <row r="510">
      <c r="A510" s="139" t="inlineStr">
        <is>
          <t>c0483</t>
        </is>
      </c>
      <c r="B510" s="134" t="n"/>
      <c r="C510" s="134" t="n"/>
      <c r="D510" s="134" t="n"/>
      <c r="E510" s="134" t="n"/>
      <c r="F510" s="134" t="n"/>
      <c r="G510" s="134" t="n">
        <v>0.66</v>
      </c>
      <c r="H510" s="137" t="inlineStr">
        <is>
          <t>Secrets of Strixhaven Commander</t>
        </is>
      </c>
    </row>
    <row r="511">
      <c r="A511" s="139" t="inlineStr">
        <is>
          <t>c0484</t>
        </is>
      </c>
      <c r="B511" s="134" t="n"/>
      <c r="C511" s="134" t="n"/>
      <c r="D511" s="134" t="n"/>
      <c r="E511" s="134" t="n"/>
      <c r="F511" s="134" t="n"/>
      <c r="G511" s="134" t="n">
        <v>0.17</v>
      </c>
      <c r="H511" s="137" t="inlineStr">
        <is>
          <t>March of the Machine</t>
        </is>
      </c>
    </row>
    <row r="512">
      <c r="A512" s="139" t="inlineStr">
        <is>
          <t>c0486</t>
        </is>
      </c>
      <c r="B512" s="134" t="n"/>
      <c r="C512" s="134" t="n"/>
      <c r="D512" s="134" t="n"/>
      <c r="E512" s="134" t="n"/>
      <c r="F512" s="134" t="n"/>
      <c r="G512" s="134" t="n">
        <v>0.19</v>
      </c>
      <c r="H512" s="137" t="inlineStr">
        <is>
          <t>Lorwyn Eclipsed</t>
        </is>
      </c>
    </row>
    <row r="513">
      <c r="A513" s="139" t="inlineStr">
        <is>
          <t>c0487</t>
        </is>
      </c>
      <c r="B513" s="134" t="n"/>
      <c r="C513" s="134" t="n"/>
      <c r="D513" s="134" t="n"/>
      <c r="E513" s="134" t="n"/>
      <c r="F513" s="134" t="n"/>
      <c r="G513" s="134" t="n">
        <v>0.19</v>
      </c>
      <c r="H513" s="137" t="inlineStr">
        <is>
          <t>Strixhaven: School of Mages</t>
        </is>
      </c>
    </row>
    <row r="514">
      <c r="A514" s="139" t="inlineStr">
        <is>
          <t>c0488</t>
        </is>
      </c>
      <c r="B514" s="134" t="n"/>
      <c r="C514" s="134" t="n"/>
      <c r="D514" s="134" t="n"/>
      <c r="E514" s="134" t="n"/>
      <c r="F514" s="134" t="n"/>
      <c r="G514" s="134" t="n">
        <v>0.48</v>
      </c>
      <c r="H514" s="137" t="inlineStr">
        <is>
          <t>Oath of the Gatewatch</t>
        </is>
      </c>
    </row>
    <row r="515">
      <c r="A515" s="139" t="inlineStr">
        <is>
          <t>c0489</t>
        </is>
      </c>
      <c r="B515" s="134" t="n">
        <v>1</v>
      </c>
      <c r="C515" s="134" t="inlineStr">
        <is>
          <t>220</t>
        </is>
      </c>
      <c r="D515" s="134" t="inlineStr">
        <is>
          <t>Common</t>
        </is>
      </c>
      <c r="E515" s="134" t="n">
        <v>0</v>
      </c>
      <c r="F515" s="134" t="n"/>
      <c r="G515" s="134" t="n">
        <v>0.07000000000000001</v>
      </c>
      <c r="H515" s="134" t="inlineStr">
        <is>
          <t>Secrets of Strixhaven</t>
        </is>
      </c>
    </row>
    <row r="516">
      <c r="A516" s="139" t="inlineStr">
        <is>
          <t>c0490</t>
        </is>
      </c>
      <c r="B516" s="134" t="n">
        <v>1</v>
      </c>
      <c r="C516" s="134" t="inlineStr">
        <is>
          <t>221</t>
        </is>
      </c>
      <c r="D516" s="134" t="inlineStr">
        <is>
          <t>Rare</t>
        </is>
      </c>
      <c r="E516" s="134" t="n">
        <v>0</v>
      </c>
      <c r="F516" s="134" t="n"/>
      <c r="G516" s="134" t="n">
        <v>1.18</v>
      </c>
      <c r="H516" s="134" t="inlineStr">
        <is>
          <t>Secrets of Strixhaven</t>
        </is>
      </c>
    </row>
    <row r="517">
      <c r="A517" s="139" t="inlineStr">
        <is>
          <t>c0491</t>
        </is>
      </c>
      <c r="B517" s="134" t="n"/>
      <c r="C517" s="134" t="n"/>
      <c r="D517" s="134" t="n"/>
      <c r="E517" s="134" t="n"/>
      <c r="F517" s="134" t="n"/>
      <c r="G517" s="134" t="n">
        <v>0.23</v>
      </c>
      <c r="H517" s="137" t="inlineStr">
        <is>
          <t>Strixhaven: School of Mages</t>
        </is>
      </c>
    </row>
    <row r="518">
      <c r="A518" s="139" t="inlineStr">
        <is>
          <t>c0492</t>
        </is>
      </c>
      <c r="B518" s="134" t="n"/>
      <c r="C518" s="134" t="n"/>
      <c r="D518" s="134" t="n"/>
      <c r="E518" s="134" t="n"/>
      <c r="F518" s="134" t="n"/>
      <c r="G518" s="134" t="n">
        <v>0.27</v>
      </c>
      <c r="H518" s="137" t="inlineStr">
        <is>
          <t>Core Set 2020</t>
        </is>
      </c>
    </row>
    <row r="519">
      <c r="A519" s="139" t="inlineStr">
        <is>
          <t>c0494</t>
        </is>
      </c>
      <c r="B519" s="134" t="n"/>
      <c r="C519" s="134" t="n"/>
      <c r="D519" s="134" t="n"/>
      <c r="E519" s="134" t="n"/>
      <c r="F519" s="134" t="n"/>
      <c r="G519" s="134" t="n">
        <v>0.33</v>
      </c>
      <c r="H519" s="137" t="inlineStr">
        <is>
          <t>Commander 2013</t>
        </is>
      </c>
    </row>
    <row r="520">
      <c r="A520" s="139" t="inlineStr">
        <is>
          <t>c0495</t>
        </is>
      </c>
      <c r="B520" s="134" t="n"/>
      <c r="C520" s="134" t="n"/>
      <c r="D520" s="134" t="n"/>
      <c r="E520" s="134" t="n"/>
      <c r="F520" s="134" t="n"/>
      <c r="G520" s="134" t="n">
        <v>6.21</v>
      </c>
      <c r="H520" s="137" t="inlineStr">
        <is>
          <t>Eventide</t>
        </is>
      </c>
    </row>
    <row r="521">
      <c r="A521" s="139" t="inlineStr">
        <is>
          <t>c0496</t>
        </is>
      </c>
      <c r="B521" s="134" t="n"/>
      <c r="C521" s="134" t="n"/>
      <c r="D521" s="134" t="n"/>
      <c r="E521" s="134" t="n"/>
      <c r="F521" s="134" t="n"/>
      <c r="G521" s="134" t="n">
        <v>0.07000000000000001</v>
      </c>
      <c r="H521" s="137" t="inlineStr">
        <is>
          <t>Ravnica Allegiance</t>
        </is>
      </c>
    </row>
    <row r="522">
      <c r="A522" s="139" t="inlineStr">
        <is>
          <t>c0497</t>
        </is>
      </c>
      <c r="B522" s="134" t="n">
        <v>1</v>
      </c>
      <c r="C522" s="134" t="inlineStr">
        <is>
          <t>242</t>
        </is>
      </c>
      <c r="D522" s="134" t="inlineStr">
        <is>
          <t>Rare</t>
        </is>
      </c>
      <c r="E522" s="134" t="n">
        <v>0</v>
      </c>
      <c r="F522" s="134" t="n"/>
      <c r="G522" s="134" t="n">
        <v>0.26</v>
      </c>
      <c r="H522" s="134" t="inlineStr">
        <is>
          <t>Lorwyn Eclipsed</t>
        </is>
      </c>
    </row>
    <row r="523">
      <c r="A523" s="139" t="inlineStr">
        <is>
          <t>c0498</t>
        </is>
      </c>
      <c r="B523" s="134" t="n"/>
      <c r="C523" s="134" t="n"/>
      <c r="D523" s="134" t="n"/>
      <c r="E523" s="134" t="n"/>
      <c r="F523" s="134" t="n"/>
      <c r="G523" s="134" t="n">
        <v>0.36</v>
      </c>
      <c r="H523" s="137" t="inlineStr">
        <is>
          <t>Strixhaven: School of Mages</t>
        </is>
      </c>
    </row>
    <row r="524">
      <c r="A524" s="139" t="inlineStr">
        <is>
          <t>c0499</t>
        </is>
      </c>
      <c r="B524" s="134" t="n"/>
      <c r="C524" s="134" t="n"/>
      <c r="D524" s="134" t="n"/>
      <c r="E524" s="134" t="n"/>
      <c r="F524" s="134" t="n"/>
      <c r="G524" s="134" t="n">
        <v>1.08</v>
      </c>
      <c r="H524" s="137" t="inlineStr">
        <is>
          <t>Dominaria</t>
        </is>
      </c>
    </row>
    <row r="525">
      <c r="A525" s="139" t="inlineStr">
        <is>
          <t>c0500</t>
        </is>
      </c>
      <c r="B525" s="134" t="n"/>
      <c r="C525" s="134" t="n"/>
      <c r="D525" s="134" t="n"/>
      <c r="E525" s="134" t="n"/>
      <c r="F525" s="134" t="n"/>
      <c r="G525" s="134" t="n">
        <v>0.3</v>
      </c>
      <c r="H525" s="137" t="inlineStr">
        <is>
          <t>Commander 2016</t>
        </is>
      </c>
    </row>
    <row r="526">
      <c r="A526" s="139" t="inlineStr">
        <is>
          <t>c0501</t>
        </is>
      </c>
      <c r="B526" s="134" t="n">
        <v>1</v>
      </c>
      <c r="C526" s="134" t="inlineStr">
        <is>
          <t>225</t>
        </is>
      </c>
      <c r="D526" s="134" t="inlineStr">
        <is>
          <t>Uncommon</t>
        </is>
      </c>
      <c r="E526" s="134" t="n">
        <v>0</v>
      </c>
      <c r="F526" s="134" t="n"/>
      <c r="G526" s="134" t="n">
        <v>0.23</v>
      </c>
      <c r="H526" s="134" t="inlineStr">
        <is>
          <t>Secrets of Strixhaven</t>
        </is>
      </c>
    </row>
    <row r="527">
      <c r="A527" s="139" t="inlineStr">
        <is>
          <t>c0503</t>
        </is>
      </c>
      <c r="B527" s="134" t="n"/>
      <c r="C527" s="134" t="n"/>
      <c r="D527" s="134" t="n"/>
      <c r="E527" s="134" t="n"/>
      <c r="F527" s="134" t="n"/>
      <c r="G527" s="134" t="n">
        <v>1.84</v>
      </c>
      <c r="H527" s="137" t="inlineStr">
        <is>
          <t>Modern Horizons</t>
        </is>
      </c>
    </row>
    <row r="528">
      <c r="A528" s="139" t="inlineStr">
        <is>
          <t>c0504</t>
        </is>
      </c>
      <c r="B528" s="134" t="n">
        <v>1</v>
      </c>
      <c r="C528" s="134" t="inlineStr">
        <is>
          <t>232</t>
        </is>
      </c>
      <c r="D528" s="134" t="inlineStr">
        <is>
          <t>Common</t>
        </is>
      </c>
      <c r="E528" s="134" t="n">
        <v>0</v>
      </c>
      <c r="F528" s="134" t="inlineStr">
        <is>
          <t>Ioannis Fiore</t>
        </is>
      </c>
      <c r="G528" s="134" t="n">
        <v>0.06</v>
      </c>
      <c r="H528" s="134" t="inlineStr">
        <is>
          <t>Secrets of Strixhaven</t>
        </is>
      </c>
    </row>
    <row r="529">
      <c r="A529" s="139" t="inlineStr">
        <is>
          <t>c0505</t>
        </is>
      </c>
      <c r="B529" s="134" t="n">
        <v>1</v>
      </c>
      <c r="C529" s="134" t="inlineStr">
        <is>
          <t>237</t>
        </is>
      </c>
      <c r="D529" s="134" t="inlineStr">
        <is>
          <t>Uncommon</t>
        </is>
      </c>
      <c r="E529" s="134" t="n">
        <v>0</v>
      </c>
      <c r="F529" s="134" t="inlineStr">
        <is>
          <t>Jodie Muir</t>
        </is>
      </c>
      <c r="G529" s="134" t="n">
        <v>0.29</v>
      </c>
      <c r="H529" s="134" t="inlineStr">
        <is>
          <t>Secrets of Strixhaven</t>
        </is>
      </c>
    </row>
    <row r="530">
      <c r="A530" s="139" t="inlineStr">
        <is>
          <t>c0506</t>
        </is>
      </c>
      <c r="B530" s="134" t="n"/>
      <c r="C530" s="134" t="n"/>
      <c r="D530" s="134" t="n"/>
      <c r="E530" s="134" t="n"/>
      <c r="F530" s="134" t="n"/>
      <c r="G530" s="134" t="n">
        <v>0.21</v>
      </c>
      <c r="H530" s="137" t="inlineStr">
        <is>
          <t>Dominaria</t>
        </is>
      </c>
    </row>
    <row r="531">
      <c r="A531" s="139" t="inlineStr">
        <is>
          <t>c0507</t>
        </is>
      </c>
      <c r="B531" s="134" t="n"/>
      <c r="C531" s="134" t="n"/>
      <c r="D531" s="134" t="n"/>
      <c r="E531" s="134" t="n"/>
      <c r="F531" s="134" t="n"/>
      <c r="G531" s="134" t="n">
        <v>2.81</v>
      </c>
      <c r="H531" s="137" t="inlineStr">
        <is>
          <t>Ravnica Allegiance</t>
        </is>
      </c>
    </row>
    <row r="532">
      <c r="A532" s="139" t="inlineStr">
        <is>
          <t>c0508</t>
        </is>
      </c>
      <c r="B532" s="134" t="n">
        <v>1</v>
      </c>
      <c r="C532" s="134" t="inlineStr">
        <is>
          <t>165</t>
        </is>
      </c>
      <c r="D532" s="134" t="inlineStr">
        <is>
          <t>Uncommon</t>
        </is>
      </c>
      <c r="E532" s="134" t="n">
        <v>0</v>
      </c>
      <c r="F532" s="134" t="n"/>
      <c r="G532" s="134" t="n">
        <v>0.24</v>
      </c>
      <c r="H532" s="134" t="inlineStr">
        <is>
          <t>The Hobbit</t>
        </is>
      </c>
    </row>
    <row r="533">
      <c r="A533" s="139" t="inlineStr">
        <is>
          <t>c0510</t>
        </is>
      </c>
      <c r="B533" s="134" t="n"/>
      <c r="C533" s="134" t="n"/>
      <c r="D533" s="134" t="n"/>
      <c r="E533" s="134" t="n"/>
      <c r="F533" s="134" t="n"/>
      <c r="G533" s="134" t="n">
        <v>0.38</v>
      </c>
      <c r="H533" s="137" t="inlineStr">
        <is>
          <t>Strixhaven: School of Mages</t>
        </is>
      </c>
    </row>
    <row r="534">
      <c r="A534" s="139" t="inlineStr">
        <is>
          <t>c0511</t>
        </is>
      </c>
      <c r="B534" s="134" t="n"/>
      <c r="C534" s="134" t="n"/>
      <c r="D534" s="134" t="n"/>
      <c r="E534" s="134" t="n"/>
      <c r="F534" s="134" t="n"/>
      <c r="G534" s="134" t="n">
        <v>2.64</v>
      </c>
      <c r="H534" s="137" t="inlineStr">
        <is>
          <t>Final Fantasy Commander</t>
        </is>
      </c>
    </row>
    <row r="535">
      <c r="A535" s="139" t="inlineStr">
        <is>
          <t>c0512</t>
        </is>
      </c>
      <c r="B535" s="134" t="n">
        <v>1</v>
      </c>
      <c r="C535" s="134" t="inlineStr">
        <is>
          <t>169</t>
        </is>
      </c>
      <c r="D535" s="134" t="inlineStr">
        <is>
          <t>Rare</t>
        </is>
      </c>
      <c r="E535" s="134" t="n">
        <v>0</v>
      </c>
      <c r="F535" s="134" t="n"/>
      <c r="G535" s="134" t="n">
        <v>0.3</v>
      </c>
      <c r="H535" s="134" t="inlineStr">
        <is>
          <t>The Hobbit</t>
        </is>
      </c>
    </row>
    <row r="536">
      <c r="A536" s="139" t="inlineStr">
        <is>
          <t>c0513</t>
        </is>
      </c>
      <c r="B536" s="134" t="n"/>
      <c r="C536" s="134" t="n"/>
      <c r="D536" s="134" t="n"/>
      <c r="E536" s="134" t="n"/>
      <c r="F536" s="134" t="n"/>
      <c r="G536" s="134" t="n">
        <v>0.15</v>
      </c>
      <c r="H536" s="137" t="inlineStr">
        <is>
          <t>Khans of Tarkir</t>
        </is>
      </c>
    </row>
    <row r="537">
      <c r="A537" s="139" t="inlineStr">
        <is>
          <t>c0514</t>
        </is>
      </c>
      <c r="B537" s="134" t="n"/>
      <c r="C537" s="134" t="n"/>
      <c r="D537" s="134" t="n"/>
      <c r="E537" s="134" t="n"/>
      <c r="F537" s="134" t="n"/>
      <c r="G537" s="134" t="n"/>
      <c r="H537" s="137" t="inlineStr">
        <is>
          <t>Oath of the Gatewatch</t>
        </is>
      </c>
    </row>
    <row r="538">
      <c r="A538" s="139" t="inlineStr">
        <is>
          <t>c0515</t>
        </is>
      </c>
      <c r="B538" s="134" t="n"/>
      <c r="C538" s="134" t="n"/>
      <c r="D538" s="134" t="n"/>
      <c r="E538" s="134" t="n"/>
      <c r="F538" s="134" t="n"/>
      <c r="G538" s="134" t="n"/>
      <c r="H538" s="137" t="inlineStr">
        <is>
          <t>Ice Age</t>
        </is>
      </c>
    </row>
    <row r="539">
      <c r="A539" s="139" t="inlineStr">
        <is>
          <t>c0516</t>
        </is>
      </c>
      <c r="B539" s="134" t="n"/>
      <c r="C539" s="134" t="n"/>
      <c r="D539" s="134" t="n"/>
      <c r="E539" s="134" t="n"/>
      <c r="F539" s="134" t="n"/>
      <c r="G539" s="134" t="n">
        <v>0.29</v>
      </c>
      <c r="H539" s="137" t="inlineStr">
        <is>
          <t>Khans of Tarkir</t>
        </is>
      </c>
    </row>
    <row r="540">
      <c r="A540" s="139" t="inlineStr">
        <is>
          <t>c0517</t>
        </is>
      </c>
      <c r="B540" s="134" t="n"/>
      <c r="C540" s="134" t="n"/>
      <c r="D540" s="134" t="n"/>
      <c r="E540" s="134" t="n"/>
      <c r="F540" s="134" t="n"/>
      <c r="G540" s="134" t="n">
        <v>0.25</v>
      </c>
      <c r="H540" s="137" t="inlineStr">
        <is>
          <t>Strixhaven: School of Mages</t>
        </is>
      </c>
    </row>
    <row r="541">
      <c r="A541" s="139" t="inlineStr">
        <is>
          <t>c0518</t>
        </is>
      </c>
      <c r="B541" s="134" t="n"/>
      <c r="C541" s="134" t="n"/>
      <c r="D541" s="134" t="n"/>
      <c r="E541" s="134" t="n"/>
      <c r="F541" s="134" t="n"/>
      <c r="G541" s="134" t="n">
        <v>0.8100000000000001</v>
      </c>
      <c r="H541" s="137" t="inlineStr">
        <is>
          <t>Apocalypse</t>
        </is>
      </c>
    </row>
    <row r="542">
      <c r="A542" s="139" t="inlineStr">
        <is>
          <t>c0519</t>
        </is>
      </c>
      <c r="B542" s="134" t="n">
        <v>1</v>
      </c>
      <c r="C542" s="134" t="inlineStr">
        <is>
          <t>242</t>
        </is>
      </c>
      <c r="D542" s="134" t="inlineStr">
        <is>
          <t>Common</t>
        </is>
      </c>
      <c r="E542" s="134" t="n">
        <v>0</v>
      </c>
      <c r="F542" s="134" t="inlineStr">
        <is>
          <t>Josiah "Jo" Cameron</t>
        </is>
      </c>
      <c r="G542" s="134" t="n">
        <v>0.12</v>
      </c>
      <c r="H542" s="134" t="inlineStr">
        <is>
          <t>Secrets of Strixhaven</t>
        </is>
      </c>
    </row>
    <row r="543">
      <c r="A543" s="139" t="inlineStr">
        <is>
          <t>c0520</t>
        </is>
      </c>
      <c r="B543" s="134" t="n"/>
      <c r="C543" s="134" t="n"/>
      <c r="D543" s="134" t="n"/>
      <c r="E543" s="134" t="n"/>
      <c r="F543" s="134" t="n"/>
      <c r="G543" s="134" t="n">
        <v>0.26</v>
      </c>
      <c r="H543" s="137" t="inlineStr">
        <is>
          <t>Lorwyn Eclipsed</t>
        </is>
      </c>
    </row>
    <row r="544">
      <c r="A544" s="139" t="inlineStr">
        <is>
          <t>c0521</t>
        </is>
      </c>
      <c r="B544" s="134" t="n"/>
      <c r="C544" s="134" t="n"/>
      <c r="D544" s="134" t="n"/>
      <c r="E544" s="134" t="n"/>
      <c r="F544" s="134" t="n"/>
      <c r="G544" s="134" t="n"/>
      <c r="H544" s="134" t="inlineStr">
        <is>
          <t>Avatar: The Last Airbender</t>
        </is>
      </c>
    </row>
    <row r="545">
      <c r="A545" s="139" t="inlineStr">
        <is>
          <t>c0522</t>
        </is>
      </c>
      <c r="B545" s="134" t="n"/>
      <c r="C545" s="134" t="n"/>
      <c r="D545" s="134" t="n"/>
      <c r="E545" s="134" t="n"/>
      <c r="F545" s="134" t="n"/>
      <c r="G545" s="134" t="n"/>
      <c r="H545" s="137" t="inlineStr">
        <is>
          <t>Murders at Karlov Manor</t>
        </is>
      </c>
    </row>
    <row r="546">
      <c r="A546" s="139" t="inlineStr">
        <is>
          <t>c0523</t>
        </is>
      </c>
      <c r="B546" s="134" t="n">
        <v>1</v>
      </c>
      <c r="C546" s="134" t="inlineStr">
        <is>
          <t>251</t>
        </is>
      </c>
      <c r="D546" s="134" t="inlineStr">
        <is>
          <t>Common</t>
        </is>
      </c>
      <c r="E546" s="134" t="n">
        <v>0</v>
      </c>
      <c r="F546" s="134" t="n"/>
      <c r="G546" s="134" t="n">
        <v>0.14</v>
      </c>
      <c r="H546" s="134" t="inlineStr">
        <is>
          <t>Lorwyn Eclipsed</t>
        </is>
      </c>
    </row>
    <row r="547">
      <c r="A547" s="139" t="inlineStr">
        <is>
          <t>c0524</t>
        </is>
      </c>
      <c r="B547" s="134" t="n"/>
      <c r="C547" s="134" t="n"/>
      <c r="D547" s="134" t="n"/>
      <c r="E547" s="134" t="n"/>
      <c r="F547" s="134" t="n"/>
      <c r="G547" s="134" t="n">
        <v>0.31</v>
      </c>
      <c r="H547" s="137" t="inlineStr">
        <is>
          <t>Modern Horizons 2</t>
        </is>
      </c>
    </row>
    <row r="548">
      <c r="A548" s="139" t="inlineStr">
        <is>
          <t>c0526</t>
        </is>
      </c>
      <c r="B548" s="134" t="n"/>
      <c r="C548" s="134" t="n"/>
      <c r="D548" s="134" t="n"/>
      <c r="E548" s="134" t="n"/>
      <c r="F548" s="134" t="n"/>
      <c r="G548" s="134" t="n">
        <v>0.38</v>
      </c>
      <c r="H548" s="137" t="inlineStr">
        <is>
          <t>Apocalypse</t>
        </is>
      </c>
    </row>
    <row r="549">
      <c r="A549" s="139" t="inlineStr">
        <is>
          <t>c0527</t>
        </is>
      </c>
      <c r="B549" s="134" t="n">
        <v>1</v>
      </c>
      <c r="C549" s="134" t="inlineStr">
        <is>
          <t>246</t>
        </is>
      </c>
      <c r="D549" s="134" t="inlineStr">
        <is>
          <t>Rare</t>
        </is>
      </c>
      <c r="E549" s="134" t="n">
        <v>0</v>
      </c>
      <c r="F549" s="134" t="inlineStr">
        <is>
          <t>Olivier Bernard</t>
        </is>
      </c>
      <c r="G549" s="134" t="n">
        <v>0.23</v>
      </c>
      <c r="H549" s="134" t="inlineStr">
        <is>
          <t>Secrets of Strixhaven</t>
        </is>
      </c>
    </row>
    <row r="550">
      <c r="A550" s="139" t="inlineStr">
        <is>
          <t>c0528</t>
        </is>
      </c>
      <c r="B550" s="134" t="n"/>
      <c r="C550" s="134" t="n"/>
      <c r="D550" s="134" t="n"/>
      <c r="E550" s="134" t="n"/>
      <c r="F550" s="134" t="n"/>
      <c r="G550" s="134" t="n">
        <v>0.3</v>
      </c>
      <c r="H550" s="137" t="inlineStr">
        <is>
          <t>Hour of Devastation</t>
        </is>
      </c>
    </row>
    <row r="551">
      <c r="A551" s="139" t="inlineStr">
        <is>
          <t>c0529</t>
        </is>
      </c>
      <c r="B551" s="134" t="n"/>
      <c r="C551" s="134" t="n"/>
      <c r="D551" s="134" t="n"/>
      <c r="E551" s="134" t="n"/>
      <c r="F551" s="134" t="n"/>
      <c r="G551" s="134" t="n">
        <v>0.39</v>
      </c>
      <c r="H551" s="135" t="inlineStr">
        <is>
          <t>Secrets of Strixhaven Commander</t>
        </is>
      </c>
    </row>
    <row r="552">
      <c r="A552" s="139" t="inlineStr">
        <is>
          <t>c0530</t>
        </is>
      </c>
      <c r="B552" s="134" t="n"/>
      <c r="C552" s="134" t="n"/>
      <c r="D552" s="134" t="n"/>
      <c r="E552" s="134" t="n"/>
      <c r="F552" s="134" t="n"/>
      <c r="G552" s="134" t="n">
        <v>0.21</v>
      </c>
      <c r="H552" s="135" t="inlineStr">
        <is>
          <t>Zendikar Rising</t>
        </is>
      </c>
    </row>
    <row r="553">
      <c r="A553" s="139" t="inlineStr">
        <is>
          <t>c0531</t>
        </is>
      </c>
      <c r="B553" s="134" t="n"/>
      <c r="C553" s="134" t="n"/>
      <c r="D553" s="134" t="n"/>
      <c r="E553" s="134" t="n"/>
      <c r="F553" s="134" t="n"/>
      <c r="G553" s="134" t="n">
        <v>0.48</v>
      </c>
      <c r="H553" s="135" t="inlineStr">
        <is>
          <t>Assassin's Creed</t>
        </is>
      </c>
    </row>
    <row r="554">
      <c r="A554" s="139" t="inlineStr">
        <is>
          <t>c0532</t>
        </is>
      </c>
      <c r="B554" s="134" t="n">
        <v>1</v>
      </c>
      <c r="C554" s="134" t="inlineStr">
        <is>
          <t>106</t>
        </is>
      </c>
      <c r="D554" s="134" t="inlineStr">
        <is>
          <t>Common</t>
        </is>
      </c>
      <c r="E554" s="134" t="n">
        <v>0</v>
      </c>
      <c r="F554" s="134" t="n"/>
      <c r="G554" s="134" t="n">
        <v>0.13</v>
      </c>
      <c r="H554" s="136" t="inlineStr">
        <is>
          <t>Secrets of Strixhaven</t>
        </is>
      </c>
    </row>
    <row r="555">
      <c r="A555" s="139" t="inlineStr">
        <is>
          <t>c0533</t>
        </is>
      </c>
      <c r="B555" s="134" t="n"/>
      <c r="C555" s="134" t="n"/>
      <c r="D555" s="134" t="n"/>
      <c r="E555" s="134" t="n"/>
      <c r="F555" s="134" t="n"/>
      <c r="G555" s="134" t="n">
        <v>0.6</v>
      </c>
      <c r="H555" s="135" t="inlineStr">
        <is>
          <t>Judgment</t>
        </is>
      </c>
    </row>
    <row r="556">
      <c r="A556" s="139" t="inlineStr">
        <is>
          <t>c0534</t>
        </is>
      </c>
      <c r="B556" s="134" t="n"/>
      <c r="C556" s="134" t="n"/>
      <c r="D556" s="134" t="n"/>
      <c r="E556" s="134" t="n"/>
      <c r="F556" s="134" t="n"/>
      <c r="G556" s="134" t="n"/>
      <c r="H556" s="136" t="inlineStr">
        <is>
          <t>Lorwyn Eclipsed</t>
        </is>
      </c>
    </row>
    <row r="557">
      <c r="A557" s="139" t="inlineStr">
        <is>
          <t>c0535</t>
        </is>
      </c>
      <c r="B557" s="134" t="n"/>
      <c r="C557" s="134" t="n"/>
      <c r="D557" s="134" t="n"/>
      <c r="E557" s="134" t="n"/>
      <c r="F557" s="134" t="n"/>
      <c r="G557" s="134" t="n">
        <v>0.39</v>
      </c>
      <c r="H557" s="135" t="inlineStr">
        <is>
          <t>Kamigawa: Neon Dynasty</t>
        </is>
      </c>
    </row>
    <row r="558">
      <c r="A558" s="139" t="inlineStr">
        <is>
          <t>c0536</t>
        </is>
      </c>
      <c r="B558" s="134" t="n"/>
      <c r="C558" s="134" t="n"/>
      <c r="D558" s="134" t="n"/>
      <c r="E558" s="134" t="n"/>
      <c r="F558" s="134" t="n"/>
      <c r="G558" s="134" t="n">
        <v>0.32</v>
      </c>
      <c r="H558" s="135" t="inlineStr">
        <is>
          <t>Magic 2014</t>
        </is>
      </c>
    </row>
    <row r="559">
      <c r="A559" s="139" t="inlineStr">
        <is>
          <t>c0537</t>
        </is>
      </c>
      <c r="B559" s="134" t="n"/>
      <c r="C559" s="134" t="n"/>
      <c r="D559" s="134" t="n"/>
      <c r="E559" s="134" t="n"/>
      <c r="F559" s="134" t="n"/>
      <c r="G559" s="134" t="n">
        <v>2.34</v>
      </c>
      <c r="H559" s="135" t="inlineStr">
        <is>
          <t>Avacyn Restored</t>
        </is>
      </c>
    </row>
    <row r="560">
      <c r="A560" s="139" t="inlineStr">
        <is>
          <t>c0538</t>
        </is>
      </c>
      <c r="B560" s="134" t="n"/>
      <c r="C560" s="134" t="n"/>
      <c r="D560" s="134" t="n"/>
      <c r="E560" s="134" t="n"/>
      <c r="F560" s="134" t="n"/>
      <c r="G560" s="134" t="n">
        <v>0.31</v>
      </c>
      <c r="H560" s="135" t="inlineStr">
        <is>
          <t>Planechase 2012</t>
        </is>
      </c>
    </row>
    <row r="561">
      <c r="A561" s="139" t="inlineStr">
        <is>
          <t>c0539</t>
        </is>
      </c>
      <c r="B561" s="134" t="n"/>
      <c r="C561" s="134" t="n"/>
      <c r="D561" s="134" t="n"/>
      <c r="E561" s="134" t="n"/>
      <c r="F561" s="134" t="n"/>
      <c r="G561" s="134" t="n">
        <v>0.43</v>
      </c>
      <c r="H561" s="135" t="inlineStr">
        <is>
          <t>Streets of New Capenna</t>
        </is>
      </c>
    </row>
    <row r="562">
      <c r="A562" s="139" t="inlineStr">
        <is>
          <t>c0540</t>
        </is>
      </c>
      <c r="B562" s="134" t="n"/>
      <c r="C562" s="134" t="n"/>
      <c r="D562" s="134" t="n"/>
      <c r="E562" s="134" t="n"/>
      <c r="F562" s="134" t="n"/>
      <c r="G562" s="134" t="n">
        <v>0.93</v>
      </c>
      <c r="H562" s="135" t="inlineStr">
        <is>
          <t>Innistrad</t>
        </is>
      </c>
    </row>
    <row r="563">
      <c r="A563" s="139" t="inlineStr">
        <is>
          <t>c0541</t>
        </is>
      </c>
      <c r="B563" s="134" t="n">
        <v>1</v>
      </c>
      <c r="C563" s="134" t="inlineStr">
        <is>
          <t>109</t>
        </is>
      </c>
      <c r="D563" s="134" t="inlineStr">
        <is>
          <t>Uncommon</t>
        </is>
      </c>
      <c r="E563" s="134" t="n">
        <v>0</v>
      </c>
      <c r="F563" s="134" t="n"/>
      <c r="G563" s="134" t="n">
        <v>0.35</v>
      </c>
      <c r="H563" s="136" t="inlineStr">
        <is>
          <t>Secrets of Strixhaven</t>
        </is>
      </c>
    </row>
    <row r="564">
      <c r="A564" s="139" t="inlineStr">
        <is>
          <t>c0542</t>
        </is>
      </c>
      <c r="B564" s="134" t="n"/>
      <c r="C564" s="134" t="n"/>
      <c r="D564" s="134" t="n"/>
      <c r="E564" s="134" t="n"/>
      <c r="F564" s="134" t="n"/>
      <c r="G564" s="134" t="n">
        <v>0.32</v>
      </c>
      <c r="H564" s="135" t="inlineStr">
        <is>
          <t>Innistrad: Midnight Hunt</t>
        </is>
      </c>
    </row>
    <row r="565">
      <c r="A565" s="139" t="inlineStr">
        <is>
          <t>c0543</t>
        </is>
      </c>
      <c r="B565" s="134" t="n"/>
      <c r="C565" s="134" t="n"/>
      <c r="D565" s="134" t="n"/>
      <c r="E565" s="134" t="n"/>
      <c r="F565" s="134" t="n"/>
      <c r="G565" s="134" t="n">
        <v>0.15</v>
      </c>
      <c r="H565" s="135" t="inlineStr">
        <is>
          <t>Avatar: The Last Airbender</t>
        </is>
      </c>
    </row>
    <row r="566">
      <c r="A566" s="139" t="inlineStr">
        <is>
          <t>c0544</t>
        </is>
      </c>
      <c r="B566" s="134" t="n">
        <v>1</v>
      </c>
      <c r="C566" s="134" t="inlineStr">
        <is>
          <t>125</t>
        </is>
      </c>
      <c r="D566" s="134" t="inlineStr">
        <is>
          <t>Uncommon</t>
        </is>
      </c>
      <c r="E566" s="134" t="n">
        <v>0</v>
      </c>
      <c r="F566" s="134" t="n"/>
      <c r="G566" s="134" t="n">
        <v>0.26</v>
      </c>
      <c r="H566" s="136" t="inlineStr">
        <is>
          <t>Lorwyn Eclipsed</t>
        </is>
      </c>
    </row>
    <row r="567">
      <c r="A567" s="139" t="inlineStr">
        <is>
          <t>c0545</t>
        </is>
      </c>
      <c r="B567" s="134" t="n"/>
      <c r="C567" s="134" t="n"/>
      <c r="D567" s="134" t="n"/>
      <c r="E567" s="134" t="n"/>
      <c r="F567" s="134" t="n"/>
      <c r="G567" s="134" t="n"/>
      <c r="H567" s="135" t="inlineStr">
        <is>
          <t>War of the Spark</t>
        </is>
      </c>
    </row>
    <row r="568">
      <c r="A568" s="139" t="inlineStr">
        <is>
          <t>c0546</t>
        </is>
      </c>
      <c r="B568" s="134" t="n">
        <v>1</v>
      </c>
      <c r="C568" s="134" t="inlineStr">
        <is>
          <t>88</t>
        </is>
      </c>
      <c r="D568" s="134" t="inlineStr">
        <is>
          <t>Uncommon</t>
        </is>
      </c>
      <c r="E568" s="134" t="n">
        <v>0</v>
      </c>
      <c r="F568" s="134" t="inlineStr">
        <is>
          <t>Eric Deschamps</t>
        </is>
      </c>
      <c r="G568" s="134" t="n">
        <v>0.2</v>
      </c>
      <c r="H568" s="136" t="inlineStr">
        <is>
          <t>The Hobbit</t>
        </is>
      </c>
    </row>
    <row r="569">
      <c r="A569" s="139" t="inlineStr">
        <is>
          <t>c0548</t>
        </is>
      </c>
      <c r="B569" s="134" t="n"/>
      <c r="C569" s="134" t="n"/>
      <c r="D569" s="134" t="n"/>
      <c r="E569" s="134" t="n"/>
      <c r="F569" s="134" t="n"/>
      <c r="G569" s="134" t="n"/>
      <c r="H569" s="136" t="inlineStr">
        <is>
          <t>The Hobbit</t>
        </is>
      </c>
    </row>
    <row r="570">
      <c r="A570" s="139" t="inlineStr">
        <is>
          <t>c0549</t>
        </is>
      </c>
      <c r="B570" s="134" t="n"/>
      <c r="C570" s="134" t="n"/>
      <c r="D570" s="134" t="n"/>
      <c r="E570" s="134" t="n"/>
      <c r="F570" s="134" t="n"/>
      <c r="G570" s="134" t="n"/>
      <c r="H570" s="135" t="inlineStr">
        <is>
          <t>Onslaught</t>
        </is>
      </c>
    </row>
    <row r="571">
      <c r="A571" s="139" t="inlineStr">
        <is>
          <t>c0550</t>
        </is>
      </c>
      <c r="B571" s="134" t="n"/>
      <c r="C571" s="134" t="n"/>
      <c r="D571" s="134" t="n"/>
      <c r="E571" s="134" t="n"/>
      <c r="F571" s="134" t="n"/>
      <c r="G571" s="134" t="n"/>
      <c r="H571" s="136" t="inlineStr">
        <is>
          <t>The Hobbit</t>
        </is>
      </c>
    </row>
    <row r="572">
      <c r="A572" s="139" t="inlineStr">
        <is>
          <t>c0552</t>
        </is>
      </c>
      <c r="B572" s="134" t="n"/>
      <c r="C572" s="134" t="n"/>
      <c r="D572" s="134" t="n"/>
      <c r="E572" s="134" t="n"/>
      <c r="F572" s="134" t="n"/>
      <c r="G572" s="134" t="n">
        <v>0.27</v>
      </c>
      <c r="H572" s="135" t="inlineStr">
        <is>
          <t>Innistrad: Midnight Hunt</t>
        </is>
      </c>
    </row>
    <row r="573">
      <c r="A573" s="139" t="inlineStr">
        <is>
          <t>c0553</t>
        </is>
      </c>
      <c r="B573" s="134" t="n"/>
      <c r="C573" s="134" t="n"/>
      <c r="D573" s="134" t="n"/>
      <c r="E573" s="134" t="n"/>
      <c r="F573" s="134" t="n"/>
      <c r="G573" s="134" t="n">
        <v>0.2</v>
      </c>
      <c r="H573" s="135" t="inlineStr">
        <is>
          <t>Kaladesh</t>
        </is>
      </c>
    </row>
    <row r="574">
      <c r="A574" s="139" t="inlineStr">
        <is>
          <t>c0554</t>
        </is>
      </c>
      <c r="B574" s="134" t="n"/>
      <c r="C574" s="134" t="n"/>
      <c r="D574" s="134" t="n"/>
      <c r="E574" s="134" t="n"/>
      <c r="F574" s="134" t="n"/>
      <c r="G574" s="134" t="n"/>
      <c r="H574" s="135" t="inlineStr">
        <is>
          <t>New Phyrexia</t>
        </is>
      </c>
    </row>
    <row r="575">
      <c r="A575" s="139" t="inlineStr">
        <is>
          <t>c0555</t>
        </is>
      </c>
      <c r="B575" s="134" t="n"/>
      <c r="C575" s="134" t="n"/>
      <c r="D575" s="134" t="n"/>
      <c r="E575" s="134" t="n"/>
      <c r="F575" s="134" t="n"/>
      <c r="G575" s="134" t="n">
        <v>0.34</v>
      </c>
      <c r="H575" s="135" t="inlineStr">
        <is>
          <t>Commander 2011</t>
        </is>
      </c>
    </row>
    <row r="576">
      <c r="A576" s="139" t="inlineStr">
        <is>
          <t>c0556</t>
        </is>
      </c>
      <c r="B576" s="134" t="n">
        <v>1</v>
      </c>
      <c r="C576" s="134" t="inlineStr">
        <is>
          <t>110</t>
        </is>
      </c>
      <c r="D576" s="134" t="inlineStr">
        <is>
          <t>Uncommon</t>
        </is>
      </c>
      <c r="E576" s="134" t="n">
        <v>0</v>
      </c>
      <c r="F576" s="134" t="n"/>
      <c r="G576" s="134" t="n">
        <v>0.21</v>
      </c>
      <c r="H576" s="136" t="inlineStr">
        <is>
          <t>Secrets of Strixhaven</t>
        </is>
      </c>
    </row>
    <row r="577">
      <c r="A577" s="139" t="inlineStr">
        <is>
          <t>c0557</t>
        </is>
      </c>
      <c r="B577" s="134" t="n"/>
      <c r="C577" s="134" t="n"/>
      <c r="D577" s="134" t="n"/>
      <c r="E577" s="134" t="n"/>
      <c r="F577" s="134" t="n"/>
      <c r="G577" s="134" t="n">
        <v>0.23</v>
      </c>
      <c r="H577" s="135" t="inlineStr">
        <is>
          <t>Lorwyn Eclipsed</t>
        </is>
      </c>
    </row>
    <row r="578">
      <c r="A578" s="139" t="inlineStr">
        <is>
          <t>c0558</t>
        </is>
      </c>
      <c r="B578" s="134" t="n"/>
      <c r="C578" s="134" t="n"/>
      <c r="D578" s="134" t="n"/>
      <c r="E578" s="134" t="n"/>
      <c r="F578" s="134" t="n"/>
      <c r="G578" s="134" t="n">
        <v>0.31</v>
      </c>
      <c r="H578" s="135" t="inlineStr">
        <is>
          <t>Avatar: The Last Airbender</t>
        </is>
      </c>
    </row>
    <row r="579">
      <c r="A579" s="139" t="inlineStr">
        <is>
          <t>c0559</t>
        </is>
      </c>
      <c r="B579" s="134" t="n"/>
      <c r="C579" s="134" t="n"/>
      <c r="D579" s="134" t="n"/>
      <c r="E579" s="134" t="n"/>
      <c r="F579" s="134" t="n"/>
      <c r="G579" s="134" t="n">
        <v>4.44</v>
      </c>
      <c r="H579" s="135" t="inlineStr">
        <is>
          <t>Core Set 2021</t>
        </is>
      </c>
    </row>
    <row r="580">
      <c r="A580" s="139" t="inlineStr">
        <is>
          <t>c0560</t>
        </is>
      </c>
      <c r="B580" s="134" t="n"/>
      <c r="C580" s="134" t="n"/>
      <c r="D580" s="134" t="n"/>
      <c r="E580" s="134" t="n"/>
      <c r="F580" s="134" t="n"/>
      <c r="G580" s="134" t="n">
        <v>0.28</v>
      </c>
      <c r="H580" s="135" t="inlineStr">
        <is>
          <t>Strixhaven: School of Mages</t>
        </is>
      </c>
    </row>
    <row r="581">
      <c r="A581" s="139" t="inlineStr">
        <is>
          <t>c0561</t>
        </is>
      </c>
      <c r="B581" s="134" t="n"/>
      <c r="C581" s="134" t="n"/>
      <c r="D581" s="134" t="n"/>
      <c r="E581" s="134" t="n"/>
      <c r="F581" s="134" t="n"/>
      <c r="G581" s="141" t="n">
        <v>0.47</v>
      </c>
      <c r="H581" s="136" t="inlineStr">
        <is>
          <t>Murders at Karlov Manor</t>
        </is>
      </c>
    </row>
    <row r="582">
      <c r="A582" s="139" t="inlineStr">
        <is>
          <t>c0562</t>
        </is>
      </c>
      <c r="B582" s="134" t="n"/>
      <c r="C582" s="134" t="n"/>
      <c r="D582" s="134" t="n"/>
      <c r="E582" s="134" t="n"/>
      <c r="F582" s="134" t="n"/>
      <c r="G582" s="134" t="n">
        <v>1.68</v>
      </c>
      <c r="H582" s="135" t="inlineStr">
        <is>
          <t>Adventures in the Forgotten Realms</t>
        </is>
      </c>
    </row>
    <row r="583">
      <c r="A583" s="139" t="inlineStr">
        <is>
          <t>c0563</t>
        </is>
      </c>
      <c r="B583" s="134" t="n"/>
      <c r="C583" s="134" t="n"/>
      <c r="D583" s="134" t="n"/>
      <c r="E583" s="134" t="n"/>
      <c r="F583" s="134" t="n"/>
      <c r="G583" s="134" t="n"/>
      <c r="H583" s="136" t="inlineStr">
        <is>
          <t>The Hobbit</t>
        </is>
      </c>
    </row>
    <row r="584">
      <c r="A584" s="139" t="inlineStr">
        <is>
          <t>c0564</t>
        </is>
      </c>
      <c r="B584" s="134" t="n"/>
      <c r="C584" s="134" t="n"/>
      <c r="D584" s="134" t="n"/>
      <c r="E584" s="134" t="n"/>
      <c r="F584" s="134" t="n"/>
      <c r="G584" s="134" t="n">
        <v>0.13</v>
      </c>
      <c r="H584" s="135" t="inlineStr">
        <is>
          <t>Shards of Alara</t>
        </is>
      </c>
    </row>
    <row r="585">
      <c r="A585" s="139" t="inlineStr">
        <is>
          <t>c0565</t>
        </is>
      </c>
      <c r="B585" s="134" t="n"/>
      <c r="C585" s="134" t="n"/>
      <c r="D585" s="134" t="n"/>
      <c r="E585" s="134" t="n"/>
      <c r="F585" s="134" t="n"/>
      <c r="G585" s="134" t="n">
        <v>0.25</v>
      </c>
      <c r="H585" s="135" t="inlineStr">
        <is>
          <t>The Hobbit</t>
        </is>
      </c>
    </row>
    <row r="586">
      <c r="A586" s="139" t="inlineStr">
        <is>
          <t>c0566</t>
        </is>
      </c>
      <c r="B586" s="134" t="n"/>
      <c r="C586" s="134" t="n"/>
      <c r="D586" s="134" t="n"/>
      <c r="E586" s="134" t="n"/>
      <c r="F586" s="134" t="n"/>
      <c r="G586" s="134" t="n">
        <v>0.15</v>
      </c>
      <c r="H586" s="135" t="inlineStr">
        <is>
          <t>Time Spiral</t>
        </is>
      </c>
    </row>
    <row r="587">
      <c r="A587" s="139" t="inlineStr">
        <is>
          <t>c0567</t>
        </is>
      </c>
      <c r="B587" s="134" t="n"/>
      <c r="C587" s="134" t="n"/>
      <c r="D587" s="134" t="n"/>
      <c r="E587" s="134" t="n"/>
      <c r="F587" s="134" t="n"/>
      <c r="G587" s="134" t="n">
        <v>0.14</v>
      </c>
      <c r="H587" s="135" t="inlineStr">
        <is>
          <t>Lorwyn Eclipsed</t>
        </is>
      </c>
    </row>
    <row r="588">
      <c r="A588" s="139" t="inlineStr">
        <is>
          <t>c0568</t>
        </is>
      </c>
      <c r="B588" s="134" t="n"/>
      <c r="C588" s="134" t="n"/>
      <c r="D588" s="134" t="n"/>
      <c r="E588" s="134" t="n"/>
      <c r="F588" s="134" t="n"/>
      <c r="G588" s="134" t="n"/>
      <c r="H588" s="136" t="inlineStr">
        <is>
          <t>Lorwyn Eclipsed</t>
        </is>
      </c>
    </row>
    <row r="589">
      <c r="A589" s="139" t="inlineStr">
        <is>
          <t>c0569</t>
        </is>
      </c>
      <c r="B589" s="134" t="n">
        <v>1</v>
      </c>
      <c r="C589" s="134" t="inlineStr">
        <is>
          <t>114</t>
        </is>
      </c>
      <c r="D589" s="134" t="inlineStr">
        <is>
          <t>Common</t>
        </is>
      </c>
      <c r="E589" s="134" t="n">
        <v>0</v>
      </c>
      <c r="F589" s="134" t="n"/>
      <c r="G589" s="134" t="n">
        <v>0.05</v>
      </c>
      <c r="H589" s="136" t="inlineStr">
        <is>
          <t>Secrets of Strixhaven</t>
        </is>
      </c>
    </row>
    <row r="590">
      <c r="A590" s="139" t="inlineStr">
        <is>
          <t>c0570</t>
        </is>
      </c>
      <c r="B590" s="134" t="n"/>
      <c r="C590" s="134" t="n"/>
      <c r="D590" s="134" t="n"/>
      <c r="E590" s="134" t="n"/>
      <c r="F590" s="134" t="n"/>
      <c r="G590" s="134" t="n"/>
      <c r="H590" s="135" t="inlineStr">
        <is>
          <t>Kamigawa: Neon Dynasty</t>
        </is>
      </c>
    </row>
    <row r="591">
      <c r="A591" s="139" t="inlineStr">
        <is>
          <t>c0571</t>
        </is>
      </c>
      <c r="B591" s="134" t="n"/>
      <c r="C591" s="134" t="n"/>
      <c r="D591" s="134" t="n"/>
      <c r="E591" s="134" t="n"/>
      <c r="F591" s="134" t="n"/>
      <c r="G591" s="134" t="n">
        <v>0.37</v>
      </c>
      <c r="H591" s="135" t="inlineStr">
        <is>
          <t>Dark Ascension</t>
        </is>
      </c>
    </row>
    <row r="592">
      <c r="A592" s="139" t="inlineStr">
        <is>
          <t>c0572</t>
        </is>
      </c>
      <c r="B592" s="134" t="n"/>
      <c r="C592" s="134" t="n"/>
      <c r="D592" s="134" t="n"/>
      <c r="E592" s="134" t="n"/>
      <c r="F592" s="134" t="n"/>
      <c r="G592" s="134" t="n">
        <v>0.23</v>
      </c>
      <c r="H592" s="135" t="inlineStr">
        <is>
          <t>Rivals of Ixalan</t>
        </is>
      </c>
    </row>
    <row r="593">
      <c r="A593" s="139" t="inlineStr">
        <is>
          <t>c0573</t>
        </is>
      </c>
      <c r="B593" s="134" t="n"/>
      <c r="C593" s="134" t="n"/>
      <c r="D593" s="134" t="n"/>
      <c r="E593" s="134" t="n"/>
      <c r="F593" s="134" t="n"/>
      <c r="G593" s="134" t="n">
        <v>0.2</v>
      </c>
      <c r="H593" s="135" t="inlineStr">
        <is>
          <t>Secrets of Strixhaven Commander</t>
        </is>
      </c>
    </row>
    <row r="594">
      <c r="A594" s="139" t="inlineStr">
        <is>
          <t>c0574</t>
        </is>
      </c>
      <c r="B594" s="134" t="n"/>
      <c r="C594" s="134" t="n"/>
      <c r="D594" s="134" t="n"/>
      <c r="E594" s="134" t="n"/>
      <c r="F594" s="134" t="n"/>
      <c r="G594" s="134" t="n">
        <v>5.2</v>
      </c>
      <c r="H594" s="135" t="inlineStr">
        <is>
          <t>Weatherlight</t>
        </is>
      </c>
    </row>
    <row r="595">
      <c r="A595" s="139" t="inlineStr">
        <is>
          <t>c0575</t>
        </is>
      </c>
      <c r="B595" s="134" t="n"/>
      <c r="C595" s="134" t="n"/>
      <c r="D595" s="134" t="n"/>
      <c r="E595" s="134" t="n"/>
      <c r="F595" s="134" t="n"/>
      <c r="G595" s="134" t="n">
        <v>0.4</v>
      </c>
      <c r="H595" s="135" t="inlineStr">
        <is>
          <t>Mirage</t>
        </is>
      </c>
    </row>
    <row r="596">
      <c r="A596" s="139" t="inlineStr">
        <is>
          <t>c0576</t>
        </is>
      </c>
      <c r="B596" s="134" t="n"/>
      <c r="C596" s="134" t="n"/>
      <c r="D596" s="134" t="n"/>
      <c r="E596" s="134" t="n"/>
      <c r="F596" s="134" t="n"/>
      <c r="G596" s="134" t="n"/>
      <c r="H596" s="136" t="inlineStr">
        <is>
          <t>Avatar: The Last Airbender</t>
        </is>
      </c>
    </row>
    <row r="597">
      <c r="A597" s="139" t="inlineStr">
        <is>
          <t>c0577</t>
        </is>
      </c>
      <c r="B597" s="134" t="n">
        <v>1</v>
      </c>
      <c r="C597" s="134" t="inlineStr">
        <is>
          <t>138</t>
        </is>
      </c>
      <c r="D597" s="134" t="inlineStr">
        <is>
          <t>Common</t>
        </is>
      </c>
      <c r="E597" s="134" t="n">
        <v>0</v>
      </c>
      <c r="F597" s="134" t="n"/>
      <c r="G597" s="134" t="n">
        <v>0.1</v>
      </c>
      <c r="H597" s="136" t="inlineStr">
        <is>
          <t>Lorwyn Eclipsed</t>
        </is>
      </c>
    </row>
    <row r="598">
      <c r="A598" s="139" t="inlineStr">
        <is>
          <t>c0578</t>
        </is>
      </c>
      <c r="B598" s="134" t="n">
        <v>1</v>
      </c>
      <c r="C598" s="134" t="inlineStr">
        <is>
          <t>140</t>
        </is>
      </c>
      <c r="D598" s="134" t="inlineStr">
        <is>
          <t>Common</t>
        </is>
      </c>
      <c r="E598" s="134" t="n">
        <v>0</v>
      </c>
      <c r="F598" s="134" t="n"/>
      <c r="G598" s="134" t="n">
        <v>0.12</v>
      </c>
      <c r="H598" s="136" t="inlineStr">
        <is>
          <t>Lorwyn Eclipsed</t>
        </is>
      </c>
    </row>
    <row r="599">
      <c r="A599" s="139" t="inlineStr">
        <is>
          <t>c0579</t>
        </is>
      </c>
      <c r="B599" s="134" t="n">
        <v>1</v>
      </c>
      <c r="C599" s="134" t="inlineStr">
        <is>
          <t>115</t>
        </is>
      </c>
      <c r="D599" s="134" t="inlineStr">
        <is>
          <t>Rare</t>
        </is>
      </c>
      <c r="E599" s="134" t="n">
        <v>0</v>
      </c>
      <c r="F599" s="134" t="inlineStr">
        <is>
          <t>Flavio Greco Paglia</t>
        </is>
      </c>
      <c r="G599" s="134" t="n">
        <v>3.08</v>
      </c>
      <c r="H599" s="136" t="inlineStr">
        <is>
          <t>Secrets of Strixhaven</t>
        </is>
      </c>
    </row>
    <row r="600">
      <c r="A600" s="139" t="inlineStr">
        <is>
          <t>c0580</t>
        </is>
      </c>
      <c r="B600" s="134" t="n"/>
      <c r="C600" s="134" t="n"/>
      <c r="D600" s="134" t="n"/>
      <c r="E600" s="134" t="n"/>
      <c r="F600" s="134" t="n"/>
      <c r="G600" s="134" t="n">
        <v>0.19</v>
      </c>
      <c r="H600" s="135" t="inlineStr">
        <is>
          <t>Gatecrash</t>
        </is>
      </c>
    </row>
    <row r="601">
      <c r="A601" s="139" t="inlineStr">
        <is>
          <t>c0581</t>
        </is>
      </c>
      <c r="B601" s="134" t="n">
        <v>1</v>
      </c>
      <c r="C601" s="134" t="inlineStr">
        <is>
          <t>96</t>
        </is>
      </c>
      <c r="D601" s="134" t="inlineStr">
        <is>
          <t>Mythic</t>
        </is>
      </c>
      <c r="E601" s="134" t="n">
        <v>0</v>
      </c>
      <c r="F601" s="134" t="n"/>
      <c r="G601" s="134" t="n">
        <v>4.65</v>
      </c>
      <c r="H601" s="136" t="inlineStr">
        <is>
          <t>The Hobbit</t>
        </is>
      </c>
    </row>
    <row r="602">
      <c r="A602" s="139" t="inlineStr">
        <is>
          <t>c0582</t>
        </is>
      </c>
      <c r="B602" s="134" t="n">
        <v>1</v>
      </c>
      <c r="C602" s="134" t="inlineStr">
        <is>
          <t>116</t>
        </is>
      </c>
      <c r="D602" s="134" t="inlineStr">
        <is>
          <t>Uncommon</t>
        </is>
      </c>
      <c r="E602" s="134" t="n">
        <v>0</v>
      </c>
      <c r="F602" s="134" t="inlineStr">
        <is>
          <t>Cristi Balanescu</t>
        </is>
      </c>
      <c r="G602" s="134" t="n">
        <v>0.22</v>
      </c>
      <c r="H602" s="136" t="inlineStr">
        <is>
          <t>Secrets of Strixhaven</t>
        </is>
      </c>
    </row>
    <row r="603">
      <c r="A603" s="139" t="inlineStr">
        <is>
          <t>c0583</t>
        </is>
      </c>
      <c r="B603" s="134" t="n"/>
      <c r="C603" s="134" t="n"/>
      <c r="D603" s="134" t="n"/>
      <c r="E603" s="134" t="n"/>
      <c r="F603" s="134" t="n"/>
      <c r="G603" s="134" t="n">
        <v>0.21</v>
      </c>
      <c r="H603" s="136" t="inlineStr">
        <is>
          <t>The Hobbit</t>
        </is>
      </c>
    </row>
    <row r="604">
      <c r="A604" s="139" t="inlineStr">
        <is>
          <t>c0584</t>
        </is>
      </c>
      <c r="B604" s="134" t="n"/>
      <c r="C604" s="134" t="n"/>
      <c r="D604" s="134" t="n"/>
      <c r="E604" s="134" t="n"/>
      <c r="F604" s="134" t="n"/>
      <c r="G604" s="134" t="n">
        <v>0.13</v>
      </c>
      <c r="H604" s="135" t="inlineStr">
        <is>
          <t>Ravnica Allegiance</t>
        </is>
      </c>
    </row>
    <row r="605">
      <c r="A605" s="139" t="inlineStr">
        <is>
          <t>c0585</t>
        </is>
      </c>
      <c r="B605" s="134" t="n"/>
      <c r="C605" s="134" t="n"/>
      <c r="D605" s="134" t="n"/>
      <c r="E605" s="134" t="n"/>
      <c r="F605" s="134" t="n"/>
      <c r="G605" s="134" t="n"/>
      <c r="H605" s="136" t="inlineStr">
        <is>
          <t>The Hobbit</t>
        </is>
      </c>
    </row>
    <row r="606">
      <c r="A606" s="139" t="inlineStr">
        <is>
          <t>c0586</t>
        </is>
      </c>
      <c r="B606" s="134" t="n"/>
      <c r="C606" s="134" t="n"/>
      <c r="D606" s="134" t="n"/>
      <c r="E606" s="134" t="n"/>
      <c r="F606" s="134" t="n"/>
      <c r="G606" s="134" t="n">
        <v>3.71</v>
      </c>
      <c r="H606" s="135" t="inlineStr">
        <is>
          <t>Tempest</t>
        </is>
      </c>
    </row>
    <row r="607">
      <c r="A607" s="139" t="inlineStr">
        <is>
          <t>c0587</t>
        </is>
      </c>
      <c r="B607" s="134" t="n"/>
      <c r="C607" s="134" t="n"/>
      <c r="D607" s="134" t="n"/>
      <c r="E607" s="134" t="n"/>
      <c r="F607" s="134" t="n"/>
      <c r="G607" s="134" t="n">
        <v>6.71</v>
      </c>
      <c r="H607" s="135" t="inlineStr">
        <is>
          <t>Magic 2010</t>
        </is>
      </c>
    </row>
    <row r="608">
      <c r="A608" s="139" t="inlineStr">
        <is>
          <t>c0588</t>
        </is>
      </c>
      <c r="B608" s="134" t="n"/>
      <c r="C608" s="134" t="n"/>
      <c r="D608" s="134" t="n"/>
      <c r="E608" s="134" t="n"/>
      <c r="F608" s="134" t="n"/>
      <c r="G608" s="134" t="n">
        <v>0.11</v>
      </c>
      <c r="H608" s="135" t="inlineStr">
        <is>
          <t>Ravnica Allegiance</t>
        </is>
      </c>
    </row>
    <row r="609">
      <c r="A609" s="139" t="inlineStr">
        <is>
          <t>c0589</t>
        </is>
      </c>
      <c r="B609" s="134" t="n">
        <v>1</v>
      </c>
      <c r="C609" s="134" t="inlineStr">
        <is>
          <t>117</t>
        </is>
      </c>
      <c r="D609" s="134" t="inlineStr">
        <is>
          <t>Common</t>
        </is>
      </c>
      <c r="E609" s="134" t="n">
        <v>0</v>
      </c>
      <c r="F609" s="134" t="inlineStr">
        <is>
          <t>David Auden Nash</t>
        </is>
      </c>
      <c r="G609" s="134" t="n">
        <v>0.16</v>
      </c>
      <c r="H609" s="136" t="inlineStr">
        <is>
          <t>Secrets of Strixhaven</t>
        </is>
      </c>
    </row>
    <row r="610">
      <c r="A610" s="139" t="inlineStr">
        <is>
          <t>c0590</t>
        </is>
      </c>
      <c r="B610" s="134" t="n"/>
      <c r="C610" s="134" t="n"/>
      <c r="D610" s="134" t="n"/>
      <c r="E610" s="134" t="n"/>
      <c r="F610" s="134" t="n"/>
      <c r="G610" s="134" t="n">
        <v>0.4</v>
      </c>
      <c r="H610" s="135" t="inlineStr">
        <is>
          <t>Core Set 2019</t>
        </is>
      </c>
    </row>
    <row r="611">
      <c r="A611" s="139" t="inlineStr">
        <is>
          <t>c0591</t>
        </is>
      </c>
      <c r="B611" s="134" t="n"/>
      <c r="C611" s="134" t="n"/>
      <c r="D611" s="134" t="n"/>
      <c r="E611" s="134" t="n"/>
      <c r="F611" s="134" t="n"/>
      <c r="G611" s="134" t="n"/>
      <c r="H611" s="135" t="inlineStr">
        <is>
          <t>Urza's Saga</t>
        </is>
      </c>
    </row>
    <row r="612">
      <c r="A612" s="139" t="inlineStr">
        <is>
          <t>c0592</t>
        </is>
      </c>
      <c r="B612" s="134" t="n"/>
      <c r="C612" s="134" t="n"/>
      <c r="D612" s="134" t="n"/>
      <c r="E612" s="134" t="n"/>
      <c r="F612" s="134" t="n"/>
      <c r="G612" s="134" t="n">
        <v>0.29</v>
      </c>
      <c r="H612" s="135" t="inlineStr">
        <is>
          <t>Portal Second Age</t>
        </is>
      </c>
    </row>
    <row r="613">
      <c r="A613" s="139" t="inlineStr">
        <is>
          <t>c0593</t>
        </is>
      </c>
      <c r="B613" s="134" t="n"/>
      <c r="C613" s="134" t="n"/>
      <c r="D613" s="134" t="n"/>
      <c r="E613" s="134" t="n"/>
      <c r="F613" s="134" t="n"/>
      <c r="G613" s="134" t="n">
        <v>0.26</v>
      </c>
      <c r="H613" s="135" t="inlineStr">
        <is>
          <t>Core Set 2019</t>
        </is>
      </c>
    </row>
    <row r="614">
      <c r="A614" s="139" t="inlineStr">
        <is>
          <t>c0594</t>
        </is>
      </c>
      <c r="B614" s="134" t="n"/>
      <c r="C614" s="134" t="n"/>
      <c r="D614" s="134" t="n"/>
      <c r="E614" s="134" t="n"/>
      <c r="F614" s="134" t="n"/>
      <c r="G614" s="134" t="n">
        <v>0.42</v>
      </c>
      <c r="H614" s="135" t="inlineStr">
        <is>
          <t>Modern Horizons</t>
        </is>
      </c>
    </row>
    <row r="615">
      <c r="A615" s="139" t="inlineStr">
        <is>
          <t>c0595</t>
        </is>
      </c>
      <c r="B615" s="134" t="n"/>
      <c r="C615" s="134" t="n"/>
      <c r="D615" s="134" t="n"/>
      <c r="E615" s="134" t="n"/>
      <c r="F615" s="134" t="n"/>
      <c r="G615" s="134" t="n">
        <v>2.62</v>
      </c>
      <c r="H615" s="135" t="inlineStr">
        <is>
          <t>Onslaught</t>
        </is>
      </c>
    </row>
    <row r="616">
      <c r="A616" s="139" t="inlineStr">
        <is>
          <t>c0596</t>
        </is>
      </c>
      <c r="B616" s="134" t="n"/>
      <c r="C616" s="134" t="n"/>
      <c r="D616" s="134" t="n"/>
      <c r="E616" s="134" t="n"/>
      <c r="F616" s="134" t="n"/>
      <c r="G616" s="134" t="n">
        <v>0.65</v>
      </c>
      <c r="H616" s="135" t="inlineStr">
        <is>
          <t>Magic 2015</t>
        </is>
      </c>
    </row>
    <row r="617">
      <c r="A617" s="139" t="inlineStr">
        <is>
          <t>c0597</t>
        </is>
      </c>
      <c r="B617" s="134" t="n"/>
      <c r="C617" s="134" t="n"/>
      <c r="D617" s="134" t="n"/>
      <c r="E617" s="134" t="n"/>
      <c r="F617" s="134" t="n"/>
      <c r="G617" s="134" t="n">
        <v>0.36</v>
      </c>
      <c r="H617" s="135" t="inlineStr">
        <is>
          <t>Return to Ravnica</t>
        </is>
      </c>
    </row>
    <row r="618">
      <c r="A618" s="139" t="inlineStr">
        <is>
          <t>c0598</t>
        </is>
      </c>
      <c r="B618" s="134" t="n"/>
      <c r="C618" s="134" t="n"/>
      <c r="D618" s="134" t="n"/>
      <c r="E618" s="134" t="n"/>
      <c r="F618" s="134" t="n"/>
      <c r="G618" s="134" t="n">
        <v>6.8</v>
      </c>
      <c r="H618" s="135" t="inlineStr">
        <is>
          <t>Visions</t>
        </is>
      </c>
    </row>
    <row r="619">
      <c r="A619" s="139" t="inlineStr">
        <is>
          <t>c0599</t>
        </is>
      </c>
      <c r="B619" s="134" t="n"/>
      <c r="C619" s="134" t="n"/>
      <c r="D619" s="134" t="n"/>
      <c r="E619" s="134" t="n"/>
      <c r="F619" s="134" t="n"/>
      <c r="G619" s="134" t="n">
        <v>0.96</v>
      </c>
      <c r="H619" s="135" t="inlineStr">
        <is>
          <t>Apocalypse</t>
        </is>
      </c>
    </row>
    <row r="620">
      <c r="A620" s="139" t="inlineStr">
        <is>
          <t>c0600</t>
        </is>
      </c>
      <c r="B620" s="134" t="n"/>
      <c r="C620" s="134" t="n"/>
      <c r="D620" s="134" t="n"/>
      <c r="E620" s="134" t="n"/>
      <c r="F620" s="134" t="n"/>
      <c r="G620" s="134" t="n">
        <v>7.65</v>
      </c>
      <c r="H620" s="135" t="inlineStr">
        <is>
          <t>Core Set 2019</t>
        </is>
      </c>
    </row>
    <row r="621">
      <c r="A621" s="139" t="inlineStr">
        <is>
          <t>c0601</t>
        </is>
      </c>
      <c r="B621" s="134" t="n"/>
      <c r="C621" s="134" t="n"/>
      <c r="D621" s="134" t="n"/>
      <c r="E621" s="134" t="n"/>
      <c r="F621" s="134" t="n"/>
      <c r="G621" s="134" t="n">
        <v>1.39</v>
      </c>
      <c r="H621" s="135" t="inlineStr">
        <is>
          <t>Scourge</t>
        </is>
      </c>
    </row>
    <row r="622">
      <c r="A622" s="139" t="inlineStr">
        <is>
          <t>c0603</t>
        </is>
      </c>
      <c r="B622" s="134" t="n"/>
      <c r="C622" s="134" t="n"/>
      <c r="D622" s="134" t="n"/>
      <c r="E622" s="134" t="n"/>
      <c r="F622" s="134" t="n"/>
      <c r="G622" s="134" t="n">
        <v>2.34</v>
      </c>
      <c r="H622" s="135" t="inlineStr">
        <is>
          <t>Mirrodin</t>
        </is>
      </c>
    </row>
    <row r="623">
      <c r="A623" s="139" t="inlineStr">
        <is>
          <t>c0606</t>
        </is>
      </c>
      <c r="B623" s="134" t="n"/>
      <c r="C623" s="134" t="n"/>
      <c r="D623" s="134" t="n"/>
      <c r="E623" s="134" t="n"/>
      <c r="F623" s="134" t="n"/>
      <c r="G623" s="134" t="n">
        <v>1.41</v>
      </c>
      <c r="H623" s="135" t="inlineStr">
        <is>
          <t>Eldritch Moon</t>
        </is>
      </c>
    </row>
    <row r="624">
      <c r="A624" s="139" t="inlineStr">
        <is>
          <t>c0607</t>
        </is>
      </c>
      <c r="B624" s="134" t="n"/>
      <c r="C624" s="134" t="n"/>
      <c r="D624" s="134" t="n"/>
      <c r="E624" s="134" t="n"/>
      <c r="F624" s="134" t="n"/>
      <c r="G624" s="134" t="n"/>
      <c r="H624" s="135" t="inlineStr">
        <is>
          <t>Adventures in the Forgotten Realms</t>
        </is>
      </c>
    </row>
    <row r="625">
      <c r="A625" s="139" t="inlineStr">
        <is>
          <t>c0608</t>
        </is>
      </c>
      <c r="B625" s="134" t="n"/>
      <c r="C625" s="134" t="n"/>
      <c r="D625" s="134" t="n"/>
      <c r="E625" s="134" t="n"/>
      <c r="F625" s="134" t="n"/>
      <c r="G625" s="134" t="n">
        <v>0.53</v>
      </c>
      <c r="H625" s="135" t="inlineStr">
        <is>
          <t>Khans of Tarkir</t>
        </is>
      </c>
    </row>
    <row r="626">
      <c r="A626" s="139" t="inlineStr">
        <is>
          <t>c0609</t>
        </is>
      </c>
      <c r="B626" s="134" t="n"/>
      <c r="C626" s="134" t="n"/>
      <c r="D626" s="134" t="n"/>
      <c r="E626" s="134" t="n"/>
      <c r="F626" s="134" t="n"/>
      <c r="G626" s="134" t="n">
        <v>2.32</v>
      </c>
      <c r="H626" s="135" t="inlineStr">
        <is>
          <t>Dragons of Tarkir</t>
        </is>
      </c>
    </row>
    <row r="627">
      <c r="A627" s="139" t="inlineStr">
        <is>
          <t>c0610</t>
        </is>
      </c>
      <c r="B627" s="134" t="n">
        <v>1</v>
      </c>
      <c r="C627" s="134" t="inlineStr">
        <is>
          <t>146</t>
        </is>
      </c>
      <c r="D627" s="134" t="inlineStr">
        <is>
          <t>Uncommon</t>
        </is>
      </c>
      <c r="E627" s="134" t="n">
        <v>0</v>
      </c>
      <c r="F627" s="134" t="n"/>
      <c r="G627" s="134" t="n">
        <v>0.33</v>
      </c>
      <c r="H627" s="136" t="inlineStr">
        <is>
          <t>Lorwyn Eclipsed</t>
        </is>
      </c>
    </row>
    <row r="628">
      <c r="A628" s="139" t="inlineStr">
        <is>
          <t>c0611</t>
        </is>
      </c>
      <c r="B628" s="134" t="n">
        <v>1</v>
      </c>
      <c r="C628" s="134" t="inlineStr">
        <is>
          <t>102</t>
        </is>
      </c>
      <c r="D628" s="134" t="inlineStr">
        <is>
          <t>Common</t>
        </is>
      </c>
      <c r="E628" s="134" t="n">
        <v>0</v>
      </c>
      <c r="F628" s="134" t="n"/>
      <c r="G628" s="134" t="n">
        <v>0.13</v>
      </c>
      <c r="H628" s="136" t="inlineStr">
        <is>
          <t>The Hobbit</t>
        </is>
      </c>
    </row>
    <row r="629">
      <c r="A629" s="139" t="inlineStr">
        <is>
          <t>c0612</t>
        </is>
      </c>
      <c r="B629" s="134" t="n"/>
      <c r="C629" s="134" t="n"/>
      <c r="D629" s="134" t="n"/>
      <c r="E629" s="134" t="n"/>
      <c r="F629" s="134" t="n"/>
      <c r="G629" s="134" t="n">
        <v>40.33</v>
      </c>
      <c r="H629" s="135" t="inlineStr">
        <is>
          <t>Commander Legends</t>
        </is>
      </c>
    </row>
    <row r="630">
      <c r="A630" s="139" t="inlineStr">
        <is>
          <t>c0613</t>
        </is>
      </c>
      <c r="B630" s="134" t="n"/>
      <c r="C630" s="134" t="n"/>
      <c r="D630" s="134" t="n"/>
      <c r="E630" s="134" t="n"/>
      <c r="F630" s="134" t="n"/>
      <c r="G630" s="134" t="n"/>
      <c r="H630" s="135" t="inlineStr">
        <is>
          <t>Champions of Kamigawa</t>
        </is>
      </c>
    </row>
    <row r="631">
      <c r="A631" s="139" t="inlineStr">
        <is>
          <t>c0614</t>
        </is>
      </c>
      <c r="B631" s="134" t="n"/>
      <c r="C631" s="134" t="n"/>
      <c r="D631" s="134" t="n"/>
      <c r="E631" s="134" t="n"/>
      <c r="F631" s="134" t="n"/>
      <c r="G631" s="134" t="n"/>
      <c r="H631" s="136" t="inlineStr">
        <is>
          <t>Lorwyn Eclipsed</t>
        </is>
      </c>
    </row>
    <row r="632">
      <c r="A632" s="139" t="inlineStr">
        <is>
          <t>c0615</t>
        </is>
      </c>
      <c r="B632" s="134" t="n"/>
      <c r="C632" s="134" t="n"/>
      <c r="D632" s="134" t="n"/>
      <c r="E632" s="134" t="n"/>
      <c r="F632" s="134" t="n"/>
      <c r="G632" s="134" t="n">
        <v>2.73</v>
      </c>
      <c r="H632" s="135" t="inlineStr">
        <is>
          <t>Magic 2013</t>
        </is>
      </c>
    </row>
    <row r="633">
      <c r="A633" s="139" t="inlineStr">
        <is>
          <t>c0616</t>
        </is>
      </c>
      <c r="B633" s="134" t="n"/>
      <c r="C633" s="134" t="n"/>
      <c r="D633" s="134" t="n"/>
      <c r="E633" s="134" t="n"/>
      <c r="F633" s="134" t="n"/>
      <c r="G633" s="134" t="n">
        <v>3.51</v>
      </c>
      <c r="H633" s="135" t="inlineStr">
        <is>
          <t>War of the Spark</t>
        </is>
      </c>
    </row>
    <row r="634">
      <c r="A634" s="139" t="inlineStr">
        <is>
          <t>c0617</t>
        </is>
      </c>
      <c r="B634" s="134" t="n"/>
      <c r="C634" s="134" t="n"/>
      <c r="D634" s="134" t="n"/>
      <c r="E634" s="134" t="n"/>
      <c r="F634" s="134" t="n"/>
      <c r="G634" s="134" t="n">
        <v>0.26</v>
      </c>
      <c r="H634" s="135" t="inlineStr">
        <is>
          <t>Magic 2013</t>
        </is>
      </c>
    </row>
    <row r="635">
      <c r="A635" s="139" t="inlineStr">
        <is>
          <t>c0618</t>
        </is>
      </c>
      <c r="B635" s="134" t="n"/>
      <c r="C635" s="134" t="n"/>
      <c r="D635" s="134" t="n"/>
      <c r="E635" s="134" t="n"/>
      <c r="F635" s="134" t="n"/>
      <c r="G635" s="134" t="n">
        <v>0.16</v>
      </c>
      <c r="H635" s="135" t="inlineStr">
        <is>
          <t>Lorwyn Eclipsed</t>
        </is>
      </c>
    </row>
    <row r="636">
      <c r="A636" s="139" t="inlineStr">
        <is>
          <t>c0619</t>
        </is>
      </c>
      <c r="B636" s="134" t="n"/>
      <c r="C636" s="134" t="n"/>
      <c r="D636" s="134" t="n"/>
      <c r="E636" s="134" t="n"/>
      <c r="F636" s="134" t="n"/>
      <c r="G636" s="134" t="n">
        <v>0.34</v>
      </c>
      <c r="H636" s="135" t="inlineStr">
        <is>
          <t>Commander 2021</t>
        </is>
      </c>
    </row>
    <row r="637">
      <c r="A637" s="139" t="inlineStr">
        <is>
          <t>c0621</t>
        </is>
      </c>
      <c r="B637" s="134" t="n"/>
      <c r="C637" s="134" t="n"/>
      <c r="D637" s="134" t="n"/>
      <c r="E637" s="134" t="n"/>
      <c r="F637" s="134" t="n"/>
      <c r="G637" s="134" t="n">
        <v>0.38</v>
      </c>
      <c r="H637" s="135" t="inlineStr">
        <is>
          <t>Guilds of Ravnica</t>
        </is>
      </c>
    </row>
    <row r="638">
      <c r="A638" s="139" t="inlineStr">
        <is>
          <t>c0622</t>
        </is>
      </c>
      <c r="B638" s="134" t="n"/>
      <c r="C638" s="134" t="n"/>
      <c r="D638" s="134" t="n"/>
      <c r="E638" s="134" t="n"/>
      <c r="F638" s="134" t="n"/>
      <c r="G638" s="134" t="n">
        <v>0.36</v>
      </c>
      <c r="H638" s="135" t="inlineStr">
        <is>
          <t>Ravnica Allegiance</t>
        </is>
      </c>
    </row>
    <row r="639">
      <c r="A639" s="139" t="inlineStr">
        <is>
          <t>c0623</t>
        </is>
      </c>
      <c r="B639" s="134" t="n"/>
      <c r="C639" s="134" t="n"/>
      <c r="D639" s="134" t="n"/>
      <c r="E639" s="134" t="n"/>
      <c r="F639" s="134" t="n"/>
      <c r="G639" s="134" t="n">
        <v>0.26</v>
      </c>
      <c r="H639" s="135" t="inlineStr">
        <is>
          <t>Gatecrash</t>
        </is>
      </c>
    </row>
    <row r="640">
      <c r="A640" s="139" t="inlineStr">
        <is>
          <t>c0624</t>
        </is>
      </c>
      <c r="B640" s="134" t="n">
        <v>2</v>
      </c>
      <c r="C640" s="134" t="inlineStr">
        <is>
          <t>124</t>
        </is>
      </c>
      <c r="D640" s="134" t="inlineStr">
        <is>
          <t>Uncommon</t>
        </is>
      </c>
      <c r="E640" s="134" t="n">
        <v>0</v>
      </c>
      <c r="F640" s="134" t="inlineStr">
        <is>
          <t>Josu Hernaiz</t>
        </is>
      </c>
      <c r="G640" s="134" t="n">
        <v>0.21</v>
      </c>
      <c r="H640" s="134" t="inlineStr">
        <is>
          <t>Secrets of Strixhaven</t>
        </is>
      </c>
    </row>
    <row r="641">
      <c r="A641" s="139" t="inlineStr">
        <is>
          <t>c0625</t>
        </is>
      </c>
      <c r="B641" s="134" t="n">
        <v>1</v>
      </c>
      <c r="C641" s="134" t="inlineStr">
        <is>
          <t>105</t>
        </is>
      </c>
      <c r="D641" s="134" t="inlineStr">
        <is>
          <t>Uncommon</t>
        </is>
      </c>
      <c r="E641" s="134" t="n">
        <v>0</v>
      </c>
      <c r="F641" s="134" t="n"/>
      <c r="G641" s="134" t="n">
        <v>0.21</v>
      </c>
      <c r="H641" s="134" t="inlineStr">
        <is>
          <t>The Hobbit</t>
        </is>
      </c>
    </row>
    <row r="642">
      <c r="A642" s="139" t="inlineStr">
        <is>
          <t>c0626</t>
        </is>
      </c>
      <c r="B642" s="134" t="n"/>
      <c r="C642" s="134" t="n"/>
      <c r="D642" s="134" t="n"/>
      <c r="E642" s="134" t="n"/>
      <c r="F642" s="134" t="n"/>
      <c r="G642" s="134" t="n">
        <v>8.1</v>
      </c>
      <c r="H642" s="137" t="inlineStr">
        <is>
          <t>Commander 2015</t>
        </is>
      </c>
    </row>
    <row r="643">
      <c r="A643" s="139" t="inlineStr">
        <is>
          <t>c0627</t>
        </is>
      </c>
      <c r="B643" s="134" t="n"/>
      <c r="C643" s="134" t="n"/>
      <c r="D643" s="134" t="n"/>
      <c r="E643" s="134" t="n"/>
      <c r="F643" s="134" t="n"/>
      <c r="G643" s="134" t="n">
        <v>0.27</v>
      </c>
      <c r="H643" s="137" t="inlineStr">
        <is>
          <t>Time Spiral</t>
        </is>
      </c>
    </row>
    <row r="644">
      <c r="A644" s="139" t="inlineStr">
        <is>
          <t>c0628</t>
        </is>
      </c>
      <c r="B644" s="134" t="n"/>
      <c r="C644" s="134" t="n"/>
      <c r="D644" s="134" t="n"/>
      <c r="E644" s="134" t="n"/>
      <c r="F644" s="134" t="n"/>
      <c r="G644" s="134" t="n">
        <v>10.12</v>
      </c>
      <c r="H644" s="137" t="inlineStr">
        <is>
          <t>Commander 2020</t>
        </is>
      </c>
    </row>
    <row r="645">
      <c r="A645" s="139" t="inlineStr">
        <is>
          <t>c0630</t>
        </is>
      </c>
      <c r="B645" s="134" t="n"/>
      <c r="C645" s="134" t="n"/>
      <c r="D645" s="134" t="n"/>
      <c r="E645" s="134" t="n"/>
      <c r="F645" s="134" t="n"/>
      <c r="G645" s="134" t="n">
        <v>13.56</v>
      </c>
      <c r="H645" s="137" t="inlineStr">
        <is>
          <t>Jumpstart</t>
        </is>
      </c>
    </row>
    <row r="646">
      <c r="A646" s="139" t="inlineStr">
        <is>
          <t>c0631</t>
        </is>
      </c>
      <c r="B646" s="134" t="n"/>
      <c r="C646" s="134" t="n"/>
      <c r="D646" s="134" t="n"/>
      <c r="E646" s="134" t="n"/>
      <c r="F646" s="134" t="n"/>
      <c r="G646" s="134" t="n">
        <v>1.29</v>
      </c>
      <c r="H646" s="137" t="inlineStr">
        <is>
          <t>Secrets of Strixhaven Commander</t>
        </is>
      </c>
    </row>
    <row r="647">
      <c r="A647" s="139" t="inlineStr">
        <is>
          <t>c0632</t>
        </is>
      </c>
      <c r="B647" s="134" t="n"/>
      <c r="C647" s="134" t="n"/>
      <c r="D647" s="134" t="n"/>
      <c r="E647" s="134" t="n"/>
      <c r="F647" s="134" t="n"/>
      <c r="G647" s="134" t="n">
        <v>0.34</v>
      </c>
      <c r="H647" s="137" t="inlineStr">
        <is>
          <t>Magic 2014</t>
        </is>
      </c>
    </row>
    <row r="648">
      <c r="A648" s="139" t="inlineStr">
        <is>
          <t>c0633</t>
        </is>
      </c>
      <c r="B648" s="134" t="n">
        <v>1</v>
      </c>
      <c r="C648" s="134" t="inlineStr">
        <is>
          <t>106</t>
        </is>
      </c>
      <c r="D648" s="134" t="inlineStr">
        <is>
          <t>Common</t>
        </is>
      </c>
      <c r="E648" s="134" t="n">
        <v>0</v>
      </c>
      <c r="F648" s="134" t="n"/>
      <c r="G648" s="134" t="n">
        <v>0.11</v>
      </c>
      <c r="H648" s="134" t="inlineStr">
        <is>
          <t>The Hobbit</t>
        </is>
      </c>
    </row>
    <row r="649">
      <c r="A649" s="139" t="inlineStr">
        <is>
          <t>c0634</t>
        </is>
      </c>
      <c r="B649" s="134" t="n"/>
      <c r="C649" s="134" t="n"/>
      <c r="D649" s="134" t="n"/>
      <c r="E649" s="134" t="n"/>
      <c r="F649" s="134" t="n"/>
      <c r="G649" s="134" t="n">
        <v>0.28</v>
      </c>
      <c r="H649" s="137" t="inlineStr">
        <is>
          <t>Fate Reforged</t>
        </is>
      </c>
    </row>
    <row r="650">
      <c r="A650" s="139" t="inlineStr">
        <is>
          <t>c0635</t>
        </is>
      </c>
      <c r="B650" s="134" t="n"/>
      <c r="C650" s="134" t="n"/>
      <c r="D650" s="134" t="n"/>
      <c r="E650" s="134" t="n"/>
      <c r="F650" s="134" t="n"/>
      <c r="G650" s="134" t="n">
        <v>4.42</v>
      </c>
      <c r="H650" s="137" t="inlineStr">
        <is>
          <t>Modern Horizons</t>
        </is>
      </c>
    </row>
    <row r="651">
      <c r="A651" s="139" t="inlineStr">
        <is>
          <t>c0636</t>
        </is>
      </c>
      <c r="B651" s="134" t="n"/>
      <c r="C651" s="134" t="n"/>
      <c r="D651" s="134" t="n"/>
      <c r="E651" s="134" t="n"/>
      <c r="F651" s="134" t="n"/>
      <c r="G651" s="134" t="n">
        <v>8.08</v>
      </c>
      <c r="H651" s="137" t="inlineStr">
        <is>
          <t>Streets of New Capenna</t>
        </is>
      </c>
    </row>
    <row r="652">
      <c r="A652" s="139" t="inlineStr">
        <is>
          <t>c0637</t>
        </is>
      </c>
      <c r="B652" s="134" t="n"/>
      <c r="C652" s="134" t="n"/>
      <c r="D652" s="134" t="n"/>
      <c r="E652" s="134" t="n"/>
      <c r="F652" s="134" t="n"/>
      <c r="G652" s="134" t="n">
        <v>30.45</v>
      </c>
      <c r="H652" s="137" t="inlineStr">
        <is>
          <t>Theros</t>
        </is>
      </c>
    </row>
    <row r="653">
      <c r="A653" s="139" t="inlineStr">
        <is>
          <t>c0638</t>
        </is>
      </c>
      <c r="B653" s="134" t="n"/>
      <c r="C653" s="134" t="n"/>
      <c r="D653" s="134" t="n"/>
      <c r="E653" s="134" t="n"/>
      <c r="F653" s="134" t="n"/>
      <c r="G653" s="134" t="n">
        <v>0.21</v>
      </c>
      <c r="H653" s="137" t="inlineStr">
        <is>
          <t>Theros Beyond Death</t>
        </is>
      </c>
    </row>
    <row r="654">
      <c r="A654" s="139" t="inlineStr">
        <is>
          <t>c0639</t>
        </is>
      </c>
      <c r="B654" s="134" t="n"/>
      <c r="C654" s="134" t="n"/>
      <c r="D654" s="134" t="n"/>
      <c r="E654" s="134" t="n"/>
      <c r="F654" s="134" t="n"/>
      <c r="G654" s="134" t="n">
        <v>1.75</v>
      </c>
      <c r="H654" s="137" t="inlineStr">
        <is>
          <t>Worldwake</t>
        </is>
      </c>
    </row>
    <row r="655">
      <c r="A655" s="139" t="inlineStr">
        <is>
          <t>c0640</t>
        </is>
      </c>
      <c r="B655" s="134" t="n">
        <v>1</v>
      </c>
      <c r="C655" s="134" t="inlineStr">
        <is>
          <t>108</t>
        </is>
      </c>
      <c r="D655" s="134" t="inlineStr">
        <is>
          <t>Common</t>
        </is>
      </c>
      <c r="E655" s="134" t="n">
        <v>0</v>
      </c>
      <c r="F655" s="134" t="inlineStr">
        <is>
          <t>Miklós Ligeti</t>
        </is>
      </c>
      <c r="G655" s="134" t="n">
        <v>0.13</v>
      </c>
      <c r="H655" s="137" t="inlineStr">
        <is>
          <t>The Hobbit</t>
        </is>
      </c>
    </row>
    <row r="656">
      <c r="A656" s="139" t="inlineStr">
        <is>
          <t>c0641</t>
        </is>
      </c>
      <c r="B656" s="134" t="n"/>
      <c r="C656" s="134" t="n"/>
      <c r="D656" s="134" t="n"/>
      <c r="E656" s="134" t="n"/>
      <c r="F656" s="134" t="n"/>
      <c r="G656" s="134" t="n">
        <v>0.32</v>
      </c>
      <c r="H656" s="137" t="inlineStr">
        <is>
          <t>Rise of the Eldrazi</t>
        </is>
      </c>
    </row>
    <row r="657">
      <c r="A657" s="139" t="inlineStr">
        <is>
          <t>c0642</t>
        </is>
      </c>
      <c r="B657" s="134" t="n"/>
      <c r="C657" s="134" t="n"/>
      <c r="D657" s="134" t="n"/>
      <c r="E657" s="134" t="n"/>
      <c r="F657" s="134" t="n"/>
      <c r="G657" s="134" t="n">
        <v>0.3</v>
      </c>
      <c r="H657" s="137" t="inlineStr">
        <is>
          <t>Oath of the Gatewatch</t>
        </is>
      </c>
    </row>
    <row r="658">
      <c r="A658" s="139" t="inlineStr">
        <is>
          <t>c0643</t>
        </is>
      </c>
      <c r="B658" s="134" t="n"/>
      <c r="C658" s="134" t="n"/>
      <c r="D658" s="134" t="n"/>
      <c r="E658" s="134" t="n"/>
      <c r="F658" s="134" t="n"/>
      <c r="G658" s="134" t="n">
        <v>0.27</v>
      </c>
      <c r="H658" s="135" t="inlineStr">
        <is>
          <t>Lorwyn Eclipsed</t>
        </is>
      </c>
    </row>
    <row r="659">
      <c r="A659" s="139" t="inlineStr">
        <is>
          <t>c0644</t>
        </is>
      </c>
      <c r="B659" s="134" t="n"/>
      <c r="C659" s="134" t="n"/>
      <c r="D659" s="134" t="n"/>
      <c r="E659" s="134" t="n"/>
      <c r="F659" s="134" t="n"/>
      <c r="G659" s="134" t="n">
        <v>0.2</v>
      </c>
      <c r="H659" s="135" t="inlineStr">
        <is>
          <t>Secrets of Strixhaven Commander</t>
        </is>
      </c>
    </row>
    <row r="660">
      <c r="A660" s="139" t="inlineStr">
        <is>
          <t>c0645</t>
        </is>
      </c>
      <c r="B660" s="134" t="n">
        <v>1</v>
      </c>
      <c r="C660" s="134" t="inlineStr">
        <is>
          <t>128</t>
        </is>
      </c>
      <c r="D660" s="134" t="inlineStr">
        <is>
          <t>Common</t>
        </is>
      </c>
      <c r="E660" s="134" t="n">
        <v>0</v>
      </c>
      <c r="F660" s="134" t="inlineStr">
        <is>
          <t>Craig J Spearing</t>
        </is>
      </c>
      <c r="G660" s="134" t="n">
        <v>0.16</v>
      </c>
      <c r="H660" s="134" t="inlineStr">
        <is>
          <t>Secrets of Strixhaven</t>
        </is>
      </c>
    </row>
    <row r="661">
      <c r="A661" s="139" t="inlineStr">
        <is>
          <t>c0646</t>
        </is>
      </c>
      <c r="B661" s="134" t="n"/>
      <c r="C661" s="134" t="n"/>
      <c r="D661" s="134" t="n"/>
      <c r="E661" s="134" t="n"/>
      <c r="F661" s="134" t="n"/>
      <c r="G661" s="134" t="n">
        <v>0.2</v>
      </c>
      <c r="H661" s="137" t="inlineStr">
        <is>
          <t>Magic 2013</t>
        </is>
      </c>
    </row>
    <row r="662">
      <c r="A662" s="139" t="inlineStr">
        <is>
          <t>c0647</t>
        </is>
      </c>
      <c r="B662" s="134" t="n"/>
      <c r="C662" s="134" t="n"/>
      <c r="D662" s="134" t="n"/>
      <c r="E662" s="134" t="n"/>
      <c r="F662" s="134" t="n"/>
      <c r="G662" s="134" t="n">
        <v>3.52</v>
      </c>
      <c r="H662" s="137" t="inlineStr">
        <is>
          <t>Dominaria United</t>
        </is>
      </c>
    </row>
    <row r="663">
      <c r="A663" s="139" t="inlineStr">
        <is>
          <t>c0648</t>
        </is>
      </c>
      <c r="B663" s="134" t="n"/>
      <c r="C663" s="134" t="n"/>
      <c r="D663" s="134" t="n"/>
      <c r="E663" s="134" t="n"/>
      <c r="F663" s="134" t="n"/>
      <c r="G663" s="134" t="n">
        <v>0.31</v>
      </c>
      <c r="H663" s="137" t="inlineStr">
        <is>
          <t>Kaldheim</t>
        </is>
      </c>
    </row>
    <row r="664">
      <c r="A664" s="139" t="inlineStr">
        <is>
          <t>c0649</t>
        </is>
      </c>
      <c r="B664" s="134" t="n"/>
      <c r="C664" s="134" t="n"/>
      <c r="D664" s="134" t="n"/>
      <c r="E664" s="134" t="n"/>
      <c r="F664" s="134" t="n"/>
      <c r="G664" s="134" t="n">
        <v>4.81</v>
      </c>
      <c r="H664" s="137" t="inlineStr">
        <is>
          <t>Morningtide</t>
        </is>
      </c>
    </row>
    <row r="665">
      <c r="A665" s="139" t="inlineStr">
        <is>
          <t>c0650</t>
        </is>
      </c>
      <c r="B665" s="134" t="n"/>
      <c r="C665" s="134" t="n"/>
      <c r="D665" s="134" t="n"/>
      <c r="E665" s="134" t="n"/>
      <c r="F665" s="134" t="n"/>
      <c r="G665" s="134" t="n">
        <v>0.27</v>
      </c>
      <c r="H665" s="137" t="inlineStr">
        <is>
          <t>Modern Horizons 3</t>
        </is>
      </c>
    </row>
    <row r="666">
      <c r="A666" s="139" t="inlineStr">
        <is>
          <t>c0651</t>
        </is>
      </c>
      <c r="B666" s="134" t="n"/>
      <c r="C666" s="134" t="n"/>
      <c r="D666" s="134" t="n"/>
      <c r="E666" s="134" t="n"/>
      <c r="F666" s="134" t="n"/>
      <c r="G666" s="134" t="n">
        <v>0.31</v>
      </c>
      <c r="H666" s="137" t="inlineStr">
        <is>
          <t>Scourge</t>
        </is>
      </c>
    </row>
    <row r="667">
      <c r="A667" s="139" t="inlineStr">
        <is>
          <t>c0652</t>
        </is>
      </c>
      <c r="B667" s="134" t="n"/>
      <c r="C667" s="134" t="n"/>
      <c r="D667" s="134" t="n"/>
      <c r="E667" s="134" t="n"/>
      <c r="F667" s="134" t="n"/>
      <c r="G667" s="134" t="n">
        <v>2.88</v>
      </c>
      <c r="H667" s="135" t="inlineStr">
        <is>
          <t>Onslaught</t>
        </is>
      </c>
    </row>
    <row r="668">
      <c r="A668" s="139" t="inlineStr">
        <is>
          <t>c0653</t>
        </is>
      </c>
      <c r="B668" s="134" t="n"/>
      <c r="C668" s="134" t="n"/>
      <c r="D668" s="134" t="n"/>
      <c r="E668" s="134" t="n"/>
      <c r="F668" s="134" t="n"/>
      <c r="G668" s="134" t="n">
        <v>0.32</v>
      </c>
      <c r="H668" s="135" t="inlineStr">
        <is>
          <t>Onslaught</t>
        </is>
      </c>
    </row>
    <row r="669">
      <c r="A669" s="139" t="inlineStr">
        <is>
          <t>c0655</t>
        </is>
      </c>
      <c r="B669" s="134" t="n"/>
      <c r="C669" s="134" t="n"/>
      <c r="D669" s="134" t="n"/>
      <c r="E669" s="134" t="n"/>
      <c r="F669" s="134" t="n"/>
      <c r="G669" s="134" t="n">
        <v>0.27</v>
      </c>
      <c r="H669" s="135" t="inlineStr">
        <is>
          <t>Lorwyn Eclipsed</t>
        </is>
      </c>
    </row>
    <row r="670">
      <c r="A670" s="139" t="inlineStr">
        <is>
          <t>c0656</t>
        </is>
      </c>
      <c r="B670" s="134" t="n"/>
      <c r="C670" s="134" t="n"/>
      <c r="D670" s="134" t="n"/>
      <c r="E670" s="134" t="n"/>
      <c r="F670" s="134" t="n"/>
      <c r="G670" s="134" t="n">
        <v>0.18</v>
      </c>
      <c r="H670" s="135" t="inlineStr">
        <is>
          <t>Secrets of Strixhaven Commander</t>
        </is>
      </c>
    </row>
    <row r="671">
      <c r="A671" s="139" t="inlineStr">
        <is>
          <t>c0657</t>
        </is>
      </c>
      <c r="B671" s="134" t="n"/>
      <c r="C671" s="134" t="n"/>
      <c r="D671" s="134" t="n"/>
      <c r="E671" s="134" t="n"/>
      <c r="F671" s="134" t="n"/>
      <c r="G671" s="134" t="n">
        <v>0.77</v>
      </c>
      <c r="H671" s="135" t="inlineStr">
        <is>
          <t>Dominaria United</t>
        </is>
      </c>
    </row>
    <row r="672">
      <c r="A672" s="139" t="inlineStr">
        <is>
          <t>c0658</t>
        </is>
      </c>
      <c r="B672" s="134" t="n"/>
      <c r="C672" s="134" t="n"/>
      <c r="D672" s="134" t="n"/>
      <c r="E672" s="134" t="n"/>
      <c r="F672" s="134" t="n"/>
      <c r="G672" s="134" t="n">
        <v>0.27</v>
      </c>
      <c r="H672" s="135" t="inlineStr">
        <is>
          <t>Mercadian Masques</t>
        </is>
      </c>
    </row>
    <row r="673">
      <c r="A673" s="139" t="inlineStr">
        <is>
          <t>c0659</t>
        </is>
      </c>
      <c r="B673" s="134" t="n"/>
      <c r="C673" s="134" t="n"/>
      <c r="D673" s="134" t="n"/>
      <c r="E673" s="134" t="n"/>
      <c r="F673" s="134" t="n"/>
      <c r="G673" s="134" t="n">
        <v>1.44</v>
      </c>
      <c r="H673" s="135" t="inlineStr">
        <is>
          <t>Dominaria</t>
        </is>
      </c>
    </row>
    <row r="674">
      <c r="A674" s="139" t="inlineStr">
        <is>
          <t>c0660</t>
        </is>
      </c>
      <c r="B674" s="134" t="n">
        <v>1</v>
      </c>
      <c r="C674" s="134" t="inlineStr">
        <is>
          <t>130</t>
        </is>
      </c>
      <c r="D674" s="134" t="inlineStr">
        <is>
          <t>Rare</t>
        </is>
      </c>
      <c r="E674" s="134" t="n">
        <v>0</v>
      </c>
      <c r="F674" s="134" t="inlineStr">
        <is>
          <t>Pauline Voss</t>
        </is>
      </c>
      <c r="G674" s="134" t="n">
        <v>0.28</v>
      </c>
      <c r="H674" s="136" t="inlineStr">
        <is>
          <t>Secrets of Strixhaven</t>
        </is>
      </c>
    </row>
    <row r="675">
      <c r="A675" s="139" t="inlineStr">
        <is>
          <t>c0661</t>
        </is>
      </c>
      <c r="B675" s="134" t="n"/>
      <c r="C675" s="134" t="n"/>
      <c r="D675" s="134" t="n"/>
      <c r="E675" s="134" t="n"/>
      <c r="F675" s="134" t="n"/>
      <c r="G675" s="134" t="n">
        <v>0.33</v>
      </c>
      <c r="H675" s="135" t="inlineStr">
        <is>
          <t>Commander 2013</t>
        </is>
      </c>
    </row>
    <row r="676">
      <c r="A676" s="139" t="inlineStr">
        <is>
          <t>c0662</t>
        </is>
      </c>
      <c r="B676" s="134" t="n"/>
      <c r="C676" s="134" t="n"/>
      <c r="D676" s="134" t="n"/>
      <c r="E676" s="134" t="n"/>
      <c r="F676" s="134" t="n"/>
      <c r="G676" s="134" t="n"/>
      <c r="H676" s="136" t="inlineStr">
        <is>
          <t>The Hobbit</t>
        </is>
      </c>
    </row>
    <row r="677">
      <c r="A677" s="139" t="inlineStr">
        <is>
          <t>c0663</t>
        </is>
      </c>
      <c r="B677" s="134" t="n"/>
      <c r="C677" s="134" t="n"/>
      <c r="D677" s="134" t="n"/>
      <c r="E677" s="134" t="n"/>
      <c r="F677" s="134" t="n"/>
      <c r="G677" s="134" t="n">
        <v>0.36</v>
      </c>
      <c r="H677" s="135" t="inlineStr">
        <is>
          <t>Throne of Eldraine</t>
        </is>
      </c>
    </row>
    <row r="678">
      <c r="A678" s="139" t="inlineStr">
        <is>
          <t>c0664</t>
        </is>
      </c>
      <c r="B678" s="134" t="n">
        <v>1</v>
      </c>
      <c r="C678" s="134" t="inlineStr">
        <is>
          <t>115</t>
        </is>
      </c>
      <c r="D678" s="134" t="inlineStr">
        <is>
          <t>Common</t>
        </is>
      </c>
      <c r="E678" s="134" t="n">
        <v>0</v>
      </c>
      <c r="F678" s="134" t="inlineStr">
        <is>
          <t>Pavel Kolomeyets</t>
        </is>
      </c>
      <c r="G678" s="134" t="n">
        <v>0.12</v>
      </c>
      <c r="H678" s="136" t="inlineStr">
        <is>
          <t>The Hobbit</t>
        </is>
      </c>
    </row>
    <row r="679">
      <c r="A679" s="139" t="inlineStr">
        <is>
          <t>c0665</t>
        </is>
      </c>
      <c r="B679" s="134" t="n">
        <v>2</v>
      </c>
      <c r="C679" s="134" t="inlineStr">
        <is>
          <t>135</t>
        </is>
      </c>
      <c r="D679" s="134" t="inlineStr">
        <is>
          <t>Common</t>
        </is>
      </c>
      <c r="E679" s="134" t="n">
        <v>0</v>
      </c>
      <c r="F679" s="134" t="inlineStr">
        <is>
          <t>Filipe Pagliuso</t>
        </is>
      </c>
      <c r="G679" s="134" t="n">
        <v>0.11</v>
      </c>
      <c r="H679" s="136" t="inlineStr">
        <is>
          <t>Secrets of Strixhaven</t>
        </is>
      </c>
    </row>
    <row r="680">
      <c r="A680" s="139" t="inlineStr">
        <is>
          <t>c0666</t>
        </is>
      </c>
      <c r="B680" s="134" t="n"/>
      <c r="C680" s="134" t="n"/>
      <c r="D680" s="134" t="n"/>
      <c r="E680" s="134" t="n"/>
      <c r="F680" s="134" t="n"/>
      <c r="G680" s="134" t="n"/>
      <c r="H680" s="136" t="inlineStr">
        <is>
          <t>Khans of Tarkir</t>
        </is>
      </c>
    </row>
    <row r="681">
      <c r="A681" s="139" t="inlineStr">
        <is>
          <t>c0667</t>
        </is>
      </c>
      <c r="B681" s="134" t="n">
        <v>1</v>
      </c>
      <c r="C681" s="134" t="inlineStr">
        <is>
          <t>162</t>
        </is>
      </c>
      <c r="D681" s="134" t="inlineStr">
        <is>
          <t>Common</t>
        </is>
      </c>
      <c r="E681" s="134" t="n">
        <v>0</v>
      </c>
      <c r="F681" s="134" t="inlineStr">
        <is>
          <t>Scott Gustafson</t>
        </is>
      </c>
      <c r="G681" s="134" t="n">
        <v>0.14</v>
      </c>
      <c r="H681" s="135" t="inlineStr">
        <is>
          <t>Lorwyn Eclipsed</t>
        </is>
      </c>
    </row>
    <row r="682">
      <c r="A682" s="139" t="inlineStr">
        <is>
          <t>c0668</t>
        </is>
      </c>
      <c r="B682" s="134" t="n"/>
      <c r="C682" s="134" t="n"/>
      <c r="D682" s="134" t="n"/>
      <c r="E682" s="134" t="n"/>
      <c r="F682" s="134" t="n"/>
      <c r="G682" s="134" t="n">
        <v>10.79</v>
      </c>
      <c r="H682" s="135" t="inlineStr">
        <is>
          <t>Theros Beyond Death</t>
        </is>
      </c>
    </row>
    <row r="683">
      <c r="A683" s="139" t="inlineStr">
        <is>
          <t>c0669</t>
        </is>
      </c>
      <c r="B683" s="134" t="n"/>
      <c r="C683" s="134" t="n"/>
      <c r="D683" s="134" t="n"/>
      <c r="E683" s="134" t="n"/>
      <c r="F683" s="134" t="n"/>
      <c r="G683" s="134" t="n">
        <v>3.34</v>
      </c>
      <c r="H683" s="135" t="inlineStr">
        <is>
          <t>Adventures in the Forgotten Realms</t>
        </is>
      </c>
    </row>
    <row r="684">
      <c r="A684" s="139" t="inlineStr">
        <is>
          <t>c0670</t>
        </is>
      </c>
      <c r="B684" s="134" t="n"/>
      <c r="C684" s="134" t="n"/>
      <c r="D684" s="134" t="n"/>
      <c r="E684" s="134" t="n"/>
      <c r="F684" s="134" t="n"/>
      <c r="G684" s="134" t="n">
        <v>3.97</v>
      </c>
      <c r="H684" s="135" t="inlineStr">
        <is>
          <t>Zendikar Rising</t>
        </is>
      </c>
    </row>
    <row r="685">
      <c r="A685" s="139" t="inlineStr">
        <is>
          <t>c0671</t>
        </is>
      </c>
      <c r="B685" s="134" t="n"/>
      <c r="C685" s="134" t="n"/>
      <c r="D685" s="134" t="n"/>
      <c r="E685" s="134" t="n"/>
      <c r="F685" s="134" t="n"/>
      <c r="G685" s="134" t="n">
        <v>1.33</v>
      </c>
      <c r="H685" s="135" t="inlineStr">
        <is>
          <t>Return to Ravnica</t>
        </is>
      </c>
    </row>
    <row r="686">
      <c r="A686" s="139" t="inlineStr">
        <is>
          <t>c0672</t>
        </is>
      </c>
      <c r="B686" s="134" t="n"/>
      <c r="C686" s="134" t="n"/>
      <c r="D686" s="134" t="n"/>
      <c r="E686" s="134" t="n"/>
      <c r="F686" s="134" t="n"/>
      <c r="G686" s="134" t="n">
        <v>0.36</v>
      </c>
      <c r="H686" s="135" t="inlineStr">
        <is>
          <t>Innistrad: Crimson Vow</t>
        </is>
      </c>
    </row>
    <row r="687">
      <c r="A687" s="139" t="inlineStr">
        <is>
          <t>c0673</t>
        </is>
      </c>
      <c r="B687" s="134" t="n"/>
      <c r="C687" s="134" t="n"/>
      <c r="D687" s="134" t="n"/>
      <c r="E687" s="134" t="n"/>
      <c r="F687" s="134" t="n"/>
      <c r="G687" s="134" t="n"/>
      <c r="H687" s="136" t="inlineStr">
        <is>
          <t>Avatar: The Last Airbender</t>
        </is>
      </c>
    </row>
    <row r="688">
      <c r="A688" s="139" t="inlineStr">
        <is>
          <t>c0674</t>
        </is>
      </c>
      <c r="B688" s="134" t="n"/>
      <c r="C688" s="134" t="n"/>
      <c r="D688" s="134" t="n"/>
      <c r="E688" s="134" t="n"/>
      <c r="F688" s="134" t="n"/>
      <c r="G688" s="134" t="n">
        <v>1.37</v>
      </c>
      <c r="H688" s="135" t="inlineStr">
        <is>
          <t>Streets of New Capenna</t>
        </is>
      </c>
    </row>
    <row r="689">
      <c r="A689" s="139" t="inlineStr">
        <is>
          <t>c0675</t>
        </is>
      </c>
      <c r="B689" s="134" t="n"/>
      <c r="C689" s="134" t="n"/>
      <c r="D689" s="134" t="n"/>
      <c r="E689" s="134" t="n"/>
      <c r="F689" s="134" t="n"/>
      <c r="G689" s="134" t="n">
        <v>0.62</v>
      </c>
      <c r="H689" s="135" t="inlineStr">
        <is>
          <t>Gatecrash</t>
        </is>
      </c>
    </row>
    <row r="690">
      <c r="A690" s="139" t="inlineStr">
        <is>
          <t>c0676</t>
        </is>
      </c>
      <c r="B690" s="134" t="n">
        <v>2</v>
      </c>
      <c r="C690" s="134" t="inlineStr">
        <is>
          <t>34</t>
        </is>
      </c>
      <c r="D690" s="134" t="inlineStr">
        <is>
          <t>Common</t>
        </is>
      </c>
      <c r="E690" s="134" t="n">
        <v>0</v>
      </c>
      <c r="F690" s="134" t="inlineStr">
        <is>
          <t>Kieran Yanner</t>
        </is>
      </c>
      <c r="G690" s="134" t="n">
        <v>0.14</v>
      </c>
      <c r="H690" s="136" t="inlineStr">
        <is>
          <t>The Hobbit</t>
        </is>
      </c>
    </row>
    <row r="691">
      <c r="A691" s="139" t="inlineStr">
        <is>
          <t>c0677</t>
        </is>
      </c>
      <c r="B691" s="134" t="n"/>
      <c r="C691" s="134" t="n"/>
      <c r="D691" s="134" t="n"/>
      <c r="E691" s="134" t="n"/>
      <c r="F691" s="134" t="n"/>
      <c r="G691" s="134" t="n">
        <v>0.16</v>
      </c>
      <c r="H691" s="135" t="inlineStr">
        <is>
          <t>Modern Horizons</t>
        </is>
      </c>
    </row>
    <row r="692">
      <c r="A692" s="139" t="inlineStr">
        <is>
          <t>c0678</t>
        </is>
      </c>
      <c r="B692" s="134" t="n"/>
      <c r="C692" s="134" t="n"/>
      <c r="D692" s="134" t="n"/>
      <c r="E692" s="134" t="n"/>
      <c r="F692" s="134" t="n"/>
      <c r="G692" s="141" t="n"/>
      <c r="H692" s="136" t="inlineStr">
        <is>
          <t>Ice Age</t>
        </is>
      </c>
    </row>
    <row r="693">
      <c r="A693" s="139" t="inlineStr">
        <is>
          <t>c0679</t>
        </is>
      </c>
      <c r="B693" s="134" t="n"/>
      <c r="C693" s="134" t="n"/>
      <c r="D693" s="134" t="n"/>
      <c r="E693" s="134" t="n"/>
      <c r="F693" s="134" t="n"/>
      <c r="G693" s="134" t="n">
        <v>0.32</v>
      </c>
      <c r="H693" s="137" t="inlineStr">
        <is>
          <t>War of the Spark</t>
        </is>
      </c>
    </row>
    <row r="694">
      <c r="A694" s="139" t="inlineStr">
        <is>
          <t>c0680</t>
        </is>
      </c>
      <c r="B694" s="134" t="n"/>
      <c r="C694" s="134" t="n"/>
      <c r="D694" s="134" t="n"/>
      <c r="E694" s="134" t="n"/>
      <c r="F694" s="134" t="n"/>
      <c r="G694" s="134" t="n">
        <v>3.51</v>
      </c>
      <c r="H694" s="137" t="inlineStr">
        <is>
          <t>Limited Edition Alpha</t>
        </is>
      </c>
    </row>
    <row r="695">
      <c r="A695" s="139" t="inlineStr">
        <is>
          <t>c0681</t>
        </is>
      </c>
      <c r="B695" s="134" t="n"/>
      <c r="C695" s="134" t="n"/>
      <c r="D695" s="134" t="n"/>
      <c r="E695" s="134" t="n"/>
      <c r="F695" s="134" t="n"/>
      <c r="G695" s="134" t="n">
        <v>0.28</v>
      </c>
      <c r="H695" s="137" t="inlineStr">
        <is>
          <t>Commander 2016</t>
        </is>
      </c>
    </row>
    <row r="696">
      <c r="A696" s="139" t="inlineStr">
        <is>
          <t>c0682</t>
        </is>
      </c>
      <c r="B696" s="134" t="n"/>
      <c r="C696" s="134" t="n"/>
      <c r="D696" s="134" t="n"/>
      <c r="E696" s="134" t="n"/>
      <c r="F696" s="134" t="n"/>
      <c r="G696" s="134" t="n">
        <v>0.22</v>
      </c>
      <c r="H696" s="137" t="inlineStr">
        <is>
          <t>Edge of Eternities</t>
        </is>
      </c>
    </row>
    <row r="697">
      <c r="A697" s="139" t="inlineStr">
        <is>
          <t>c0683</t>
        </is>
      </c>
      <c r="B697" s="134" t="n"/>
      <c r="C697" s="134" t="n"/>
      <c r="D697" s="134" t="n"/>
      <c r="E697" s="134" t="n"/>
      <c r="F697" s="134" t="n"/>
      <c r="G697" s="134" t="n">
        <v>0.29</v>
      </c>
      <c r="H697" s="137" t="inlineStr">
        <is>
          <t>Time Spiral</t>
        </is>
      </c>
    </row>
    <row r="698">
      <c r="A698" s="139" t="inlineStr">
        <is>
          <t>c0684</t>
        </is>
      </c>
      <c r="B698" s="134" t="n">
        <v>1</v>
      </c>
      <c r="C698" s="134" t="inlineStr">
        <is>
          <t>38</t>
        </is>
      </c>
      <c r="D698" s="134" t="inlineStr">
        <is>
          <t>Common</t>
        </is>
      </c>
      <c r="E698" s="134" t="n">
        <v>0</v>
      </c>
      <c r="F698" s="134" t="n"/>
      <c r="G698" s="134" t="n">
        <v>0.1</v>
      </c>
      <c r="H698" s="134" t="inlineStr">
        <is>
          <t>The Hobbit</t>
        </is>
      </c>
    </row>
    <row r="699">
      <c r="A699" s="139" t="inlineStr">
        <is>
          <t>c0685</t>
        </is>
      </c>
      <c r="B699" s="134" t="n"/>
      <c r="C699" s="134" t="n"/>
      <c r="D699" s="134" t="n"/>
      <c r="E699" s="134" t="n"/>
      <c r="F699" s="134" t="n"/>
      <c r="G699" s="134" t="n">
        <v>0.14</v>
      </c>
      <c r="H699" s="134" t="inlineStr">
        <is>
          <t>The Hobbit</t>
        </is>
      </c>
    </row>
    <row r="700">
      <c r="A700" s="139" t="inlineStr">
        <is>
          <t>c0686</t>
        </is>
      </c>
      <c r="B700" s="134" t="n">
        <v>1</v>
      </c>
      <c r="C700" s="134" t="inlineStr">
        <is>
          <t>47</t>
        </is>
      </c>
      <c r="D700" s="134" t="inlineStr">
        <is>
          <t>Common</t>
        </is>
      </c>
      <c r="E700" s="134" t="n">
        <v>0</v>
      </c>
      <c r="F700" s="134" t="inlineStr">
        <is>
          <t>Elliot Lang</t>
        </is>
      </c>
      <c r="G700" s="134" t="n">
        <v>0.07000000000000001</v>
      </c>
      <c r="H700" s="134" t="inlineStr">
        <is>
          <t>Secrets of Strixhaven</t>
        </is>
      </c>
    </row>
    <row r="701">
      <c r="A701" s="139" t="inlineStr">
        <is>
          <t>c0687</t>
        </is>
      </c>
      <c r="B701" s="134" t="n"/>
      <c r="C701" s="134" t="n"/>
      <c r="D701" s="134" t="n"/>
      <c r="E701" s="134" t="n"/>
      <c r="F701" s="134" t="n"/>
      <c r="G701" s="134" t="n">
        <v>0.09</v>
      </c>
      <c r="H701" s="137" t="inlineStr">
        <is>
          <t>Ravnica Allegiance</t>
        </is>
      </c>
    </row>
    <row r="702">
      <c r="A702" s="139" t="inlineStr">
        <is>
          <t>c0688</t>
        </is>
      </c>
      <c r="B702" s="134" t="n"/>
      <c r="C702" s="134" t="n"/>
      <c r="D702" s="134" t="n"/>
      <c r="E702" s="134" t="n"/>
      <c r="F702" s="134" t="n"/>
      <c r="G702" s="134" t="n">
        <v>0.35</v>
      </c>
      <c r="H702" s="137" t="inlineStr">
        <is>
          <t>War of the Spark</t>
        </is>
      </c>
    </row>
    <row r="703">
      <c r="A703" s="139" t="inlineStr">
        <is>
          <t>c0689</t>
        </is>
      </c>
      <c r="B703" s="134" t="n">
        <v>1</v>
      </c>
      <c r="C703" s="134" t="inlineStr">
        <is>
          <t>49</t>
        </is>
      </c>
      <c r="D703" s="134" t="inlineStr">
        <is>
          <t>Uncommon</t>
        </is>
      </c>
      <c r="E703" s="134" t="n">
        <v>0</v>
      </c>
      <c r="F703" s="134" t="inlineStr">
        <is>
          <t>Genel Jumalon</t>
        </is>
      </c>
      <c r="G703" s="134" t="n">
        <v>1.89</v>
      </c>
      <c r="H703" s="134" t="inlineStr">
        <is>
          <t>Secrets of Strixhaven</t>
        </is>
      </c>
    </row>
    <row r="704">
      <c r="A704" s="139" t="inlineStr">
        <is>
          <t>c0690</t>
        </is>
      </c>
      <c r="B704" s="134" t="n"/>
      <c r="C704" s="134" t="n"/>
      <c r="D704" s="134" t="n"/>
      <c r="E704" s="134" t="n"/>
      <c r="F704" s="134" t="n"/>
      <c r="G704" s="134" t="n">
        <v>3.3</v>
      </c>
      <c r="H704" s="137" t="inlineStr">
        <is>
          <t>War of the Spark</t>
        </is>
      </c>
    </row>
    <row r="705">
      <c r="A705" s="139" t="inlineStr">
        <is>
          <t>c0691</t>
        </is>
      </c>
      <c r="B705" s="134" t="n">
        <v>1</v>
      </c>
      <c r="C705" s="134" t="inlineStr">
        <is>
          <t>50</t>
        </is>
      </c>
      <c r="D705" s="134" t="inlineStr">
        <is>
          <t>Uncommon</t>
        </is>
      </c>
      <c r="E705" s="134" t="n">
        <v>0</v>
      </c>
      <c r="F705" s="134" t="n"/>
      <c r="G705" s="134" t="n">
        <v>0.23</v>
      </c>
      <c r="H705" s="134" t="inlineStr">
        <is>
          <t>Secrets of Strixhaven</t>
        </is>
      </c>
    </row>
    <row r="706">
      <c r="A706" s="139" t="inlineStr">
        <is>
          <t>c0692</t>
        </is>
      </c>
      <c r="B706" s="134" t="n"/>
      <c r="C706" s="134" t="n"/>
      <c r="D706" s="134" t="n"/>
      <c r="E706" s="134" t="n"/>
      <c r="F706" s="134" t="n"/>
      <c r="G706" s="141" t="n">
        <v>2.12</v>
      </c>
      <c r="H706" s="134" t="inlineStr">
        <is>
          <t>Urza's Legacy</t>
        </is>
      </c>
    </row>
    <row r="707">
      <c r="A707" s="139" t="inlineStr">
        <is>
          <t>c0693</t>
        </is>
      </c>
      <c r="B707" s="134" t="n"/>
      <c r="C707" s="134" t="n"/>
      <c r="D707" s="134" t="n"/>
      <c r="E707" s="134" t="n"/>
      <c r="F707" s="134" t="n"/>
      <c r="G707" s="134" t="n"/>
      <c r="H707" s="137" t="inlineStr">
        <is>
          <t>Saviors of Kamigawa</t>
        </is>
      </c>
    </row>
    <row r="708">
      <c r="A708" s="139" t="inlineStr">
        <is>
          <t>c0694</t>
        </is>
      </c>
      <c r="B708" s="134" t="n"/>
      <c r="C708" s="134" t="n"/>
      <c r="D708" s="134" t="n"/>
      <c r="E708" s="134" t="n"/>
      <c r="F708" s="134" t="n"/>
      <c r="G708" s="134" t="n">
        <v>0.34</v>
      </c>
      <c r="H708" s="137" t="inlineStr">
        <is>
          <t>Mirrodin Besieged</t>
        </is>
      </c>
    </row>
    <row r="709">
      <c r="A709" s="139" t="inlineStr">
        <is>
          <t>c0695</t>
        </is>
      </c>
      <c r="B709" s="134" t="n"/>
      <c r="C709" s="134" t="n"/>
      <c r="D709" s="134" t="n"/>
      <c r="E709" s="134" t="n"/>
      <c r="F709" s="134" t="n"/>
      <c r="G709" s="134" t="n"/>
      <c r="H709" s="134" t="inlineStr">
        <is>
          <t>The Hobbit</t>
        </is>
      </c>
    </row>
    <row r="710">
      <c r="A710" s="139" t="inlineStr">
        <is>
          <t>c0696</t>
        </is>
      </c>
      <c r="B710" s="134" t="n"/>
      <c r="C710" s="134" t="n"/>
      <c r="D710" s="134" t="n"/>
      <c r="E710" s="134" t="n"/>
      <c r="F710" s="134" t="n"/>
      <c r="G710" s="134" t="n"/>
      <c r="H710" s="134" t="inlineStr">
        <is>
          <t>Avatar: The Last Airbender</t>
        </is>
      </c>
    </row>
    <row r="711">
      <c r="A711" s="139" t="inlineStr">
        <is>
          <t>c0697</t>
        </is>
      </c>
      <c r="B711" s="134" t="n">
        <v>1</v>
      </c>
      <c r="C711" s="134" t="inlineStr">
        <is>
          <t>49</t>
        </is>
      </c>
      <c r="D711" s="134" t="inlineStr">
        <is>
          <t>Uncommon</t>
        </is>
      </c>
      <c r="E711" s="134" t="n">
        <v>0</v>
      </c>
      <c r="F711" s="134" t="inlineStr">
        <is>
          <t>Ben Hill</t>
        </is>
      </c>
      <c r="G711" s="134" t="n">
        <v>0.21</v>
      </c>
      <c r="H711" s="137" t="inlineStr">
        <is>
          <t>Lorwyn Eclipsed</t>
        </is>
      </c>
    </row>
    <row r="712">
      <c r="A712" s="139" t="inlineStr">
        <is>
          <t>c0698</t>
        </is>
      </c>
      <c r="B712" s="134" t="n"/>
      <c r="C712" s="134" t="n"/>
      <c r="D712" s="134" t="n"/>
      <c r="E712" s="134" t="n"/>
      <c r="F712" s="134" t="n"/>
      <c r="G712" s="134" t="n">
        <v>0.19</v>
      </c>
      <c r="H712" s="137" t="inlineStr">
        <is>
          <t>Lorwyn Eclipsed</t>
        </is>
      </c>
    </row>
    <row r="713">
      <c r="A713" s="139" t="inlineStr">
        <is>
          <t>c0699</t>
        </is>
      </c>
      <c r="B713" s="134" t="n"/>
      <c r="C713" s="134" t="n"/>
      <c r="D713" s="134" t="n"/>
      <c r="E713" s="134" t="n"/>
      <c r="F713" s="134" t="n"/>
      <c r="G713" s="134" t="n">
        <v>0.31</v>
      </c>
      <c r="H713" s="137" t="inlineStr">
        <is>
          <t>Avatar: The Last Airbender</t>
        </is>
      </c>
    </row>
    <row r="714">
      <c r="A714" s="139" t="inlineStr">
        <is>
          <t>c0700</t>
        </is>
      </c>
      <c r="B714" s="134" t="n"/>
      <c r="C714" s="134" t="n"/>
      <c r="D714" s="134" t="n"/>
      <c r="E714" s="134" t="n"/>
      <c r="F714" s="134" t="n"/>
      <c r="G714" s="134" t="n">
        <v>23.83</v>
      </c>
      <c r="H714" s="137" t="inlineStr">
        <is>
          <t>Phyrexia: All Will Be One</t>
        </is>
      </c>
    </row>
    <row r="715">
      <c r="A715" s="139" t="inlineStr">
        <is>
          <t>c0701</t>
        </is>
      </c>
      <c r="B715" s="134" t="n"/>
      <c r="C715" s="134" t="n"/>
      <c r="D715" s="134" t="n"/>
      <c r="E715" s="134" t="n"/>
      <c r="F715" s="134" t="n"/>
      <c r="G715" s="134" t="n">
        <v>5.71</v>
      </c>
      <c r="H715" s="137" t="inlineStr">
        <is>
          <t>Scars of Mirrodin</t>
        </is>
      </c>
    </row>
    <row r="716">
      <c r="A716" s="139" t="inlineStr">
        <is>
          <t>c0702</t>
        </is>
      </c>
      <c r="B716" s="134" t="n"/>
      <c r="C716" s="134" t="n"/>
      <c r="D716" s="134" t="n"/>
      <c r="E716" s="134" t="n"/>
      <c r="F716" s="134" t="n"/>
      <c r="G716" s="134" t="n">
        <v>5.95</v>
      </c>
      <c r="H716" s="137" t="inlineStr">
        <is>
          <t>Stronghold</t>
        </is>
      </c>
    </row>
    <row r="717">
      <c r="A717" s="139" t="inlineStr">
        <is>
          <t>c0703</t>
        </is>
      </c>
      <c r="B717" s="134" t="n">
        <v>2</v>
      </c>
      <c r="C717" s="134" t="inlineStr">
        <is>
          <t>44</t>
        </is>
      </c>
      <c r="D717" s="134" t="inlineStr">
        <is>
          <t>Uncommon</t>
        </is>
      </c>
      <c r="E717" s="134" t="n">
        <v>0</v>
      </c>
      <c r="F717" s="134" t="inlineStr">
        <is>
          <t>Wei Guan</t>
        </is>
      </c>
      <c r="G717" s="134" t="n">
        <v>0.13</v>
      </c>
      <c r="H717" s="134" t="inlineStr">
        <is>
          <t>The Hobbit</t>
        </is>
      </c>
    </row>
    <row r="718">
      <c r="A718" s="139" t="inlineStr">
        <is>
          <t>c0704</t>
        </is>
      </c>
      <c r="B718" s="134" t="n"/>
      <c r="C718" s="134" t="n"/>
      <c r="D718" s="134" t="n"/>
      <c r="E718" s="134" t="n"/>
      <c r="F718" s="134" t="n"/>
      <c r="G718" s="134" t="n"/>
      <c r="H718" s="134" t="inlineStr">
        <is>
          <t>Morningtide</t>
        </is>
      </c>
    </row>
    <row r="719">
      <c r="A719" s="139" t="inlineStr">
        <is>
          <t>c0705</t>
        </is>
      </c>
      <c r="B719" s="134" t="n">
        <v>1</v>
      </c>
      <c r="C719" s="134" t="inlineStr">
        <is>
          <t>45</t>
        </is>
      </c>
      <c r="D719" s="134" t="inlineStr">
        <is>
          <t>Common</t>
        </is>
      </c>
      <c r="E719" s="134" t="n">
        <v>0</v>
      </c>
      <c r="F719" s="134" t="n"/>
      <c r="G719" s="134" t="n">
        <v>0.08</v>
      </c>
      <c r="H719" s="137" t="inlineStr">
        <is>
          <t>The Hobbit</t>
        </is>
      </c>
    </row>
    <row r="720">
      <c r="A720" s="139" t="inlineStr">
        <is>
          <t>c0706</t>
        </is>
      </c>
      <c r="B720" s="134" t="n"/>
      <c r="C720" s="134" t="n"/>
      <c r="D720" s="134" t="n"/>
      <c r="E720" s="134" t="n"/>
      <c r="F720" s="134" t="n"/>
      <c r="G720" s="134" t="n">
        <v>0.33</v>
      </c>
      <c r="H720" s="137" t="inlineStr">
        <is>
          <t>Assassin's Creed</t>
        </is>
      </c>
    </row>
    <row r="721">
      <c r="A721" s="139" t="inlineStr">
        <is>
          <t>c0707</t>
        </is>
      </c>
      <c r="B721" s="134" t="n"/>
      <c r="C721" s="134" t="n"/>
      <c r="D721" s="134" t="n"/>
      <c r="E721" s="134" t="n"/>
      <c r="F721" s="134" t="n"/>
      <c r="G721" s="134" t="n">
        <v>0.16</v>
      </c>
      <c r="H721" s="137" t="inlineStr">
        <is>
          <t>Visions</t>
        </is>
      </c>
    </row>
    <row r="722">
      <c r="A722" s="139" t="inlineStr">
        <is>
          <t>c0708</t>
        </is>
      </c>
      <c r="B722" s="134" t="n">
        <v>1</v>
      </c>
      <c r="C722" s="134" t="inlineStr">
        <is>
          <t>47</t>
        </is>
      </c>
      <c r="D722" s="134" t="inlineStr">
        <is>
          <t>Uncommon</t>
        </is>
      </c>
      <c r="E722" s="134" t="n">
        <v>0</v>
      </c>
      <c r="F722" s="134" t="n"/>
      <c r="G722" s="134" t="n">
        <v>0.16</v>
      </c>
      <c r="H722" s="134" t="inlineStr">
        <is>
          <t>The Hobbit</t>
        </is>
      </c>
    </row>
    <row r="723">
      <c r="A723" s="139" t="inlineStr">
        <is>
          <t>c0709</t>
        </is>
      </c>
      <c r="B723" s="134" t="n"/>
      <c r="C723" s="134" t="n"/>
      <c r="D723" s="134" t="n"/>
      <c r="E723" s="134" t="n"/>
      <c r="F723" s="134" t="n"/>
      <c r="G723" s="134" t="n">
        <v>1.96</v>
      </c>
      <c r="H723" s="137" t="inlineStr">
        <is>
          <t>Lorwyn Eclipsed</t>
        </is>
      </c>
    </row>
    <row r="724">
      <c r="A724" s="139" t="inlineStr">
        <is>
          <t>c0710</t>
        </is>
      </c>
      <c r="B724" s="134" t="n"/>
      <c r="C724" s="134" t="n"/>
      <c r="D724" s="134" t="n"/>
      <c r="E724" s="134" t="n"/>
      <c r="F724" s="134" t="n"/>
      <c r="G724" s="134" t="n">
        <v>0.33</v>
      </c>
      <c r="H724" s="137" t="inlineStr">
        <is>
          <t>Lorwyn</t>
        </is>
      </c>
    </row>
    <row r="725">
      <c r="A725" s="139" t="inlineStr">
        <is>
          <t>c0711</t>
        </is>
      </c>
      <c r="B725" s="134" t="n">
        <v>1</v>
      </c>
      <c r="C725" s="134" t="inlineStr">
        <is>
          <t>61</t>
        </is>
      </c>
      <c r="D725" s="134" t="inlineStr">
        <is>
          <t>Common</t>
        </is>
      </c>
      <c r="E725" s="134" t="n">
        <v>0</v>
      </c>
      <c r="F725" s="134" t="n"/>
      <c r="G725" s="134" t="n">
        <v>0.07000000000000001</v>
      </c>
      <c r="H725" s="134" t="inlineStr">
        <is>
          <t>Secrets of Strixhaven</t>
        </is>
      </c>
    </row>
    <row r="726">
      <c r="A726" s="139" t="inlineStr">
        <is>
          <t>c0712</t>
        </is>
      </c>
      <c r="B726" s="134" t="n"/>
      <c r="C726" s="134" t="n"/>
      <c r="D726" s="134" t="n"/>
      <c r="E726" s="134" t="n"/>
      <c r="F726" s="134" t="n"/>
      <c r="G726" s="141" t="n"/>
      <c r="H726" s="134" t="inlineStr">
        <is>
          <t>Ice Age</t>
        </is>
      </c>
    </row>
    <row r="727">
      <c r="A727" s="139" t="inlineStr">
        <is>
          <t>c0713</t>
        </is>
      </c>
      <c r="B727" s="134" t="n"/>
      <c r="C727" s="134" t="n"/>
      <c r="D727" s="134" t="n"/>
      <c r="E727" s="134" t="n"/>
      <c r="F727" s="134" t="n"/>
      <c r="G727" s="134" t="n">
        <v>0.25</v>
      </c>
      <c r="H727" s="137" t="inlineStr">
        <is>
          <t>Morningtide</t>
        </is>
      </c>
    </row>
    <row r="728">
      <c r="A728" s="139" t="inlineStr">
        <is>
          <t>c0714</t>
        </is>
      </c>
      <c r="B728" s="134" t="n"/>
      <c r="C728" s="134" t="n"/>
      <c r="D728" s="134" t="n"/>
      <c r="E728" s="134" t="n"/>
      <c r="F728" s="134" t="n"/>
      <c r="G728" s="134" t="n">
        <v>0.21</v>
      </c>
      <c r="H728" s="137" t="inlineStr">
        <is>
          <t>Avatar: The Last Airbender</t>
        </is>
      </c>
    </row>
    <row r="729">
      <c r="A729" s="139" t="inlineStr">
        <is>
          <t>c0715</t>
        </is>
      </c>
      <c r="B729" s="134" t="n"/>
      <c r="C729" s="134" t="n"/>
      <c r="D729" s="134" t="n"/>
      <c r="E729" s="134" t="n"/>
      <c r="F729" s="134" t="n"/>
      <c r="G729" s="134" t="n">
        <v>0.19</v>
      </c>
      <c r="H729" s="134" t="inlineStr">
        <is>
          <t>The Hobbit</t>
        </is>
      </c>
    </row>
    <row r="730">
      <c r="A730" s="139" t="inlineStr">
        <is>
          <t>c0716</t>
        </is>
      </c>
      <c r="B730" s="134" t="n"/>
      <c r="C730" s="134" t="n"/>
      <c r="D730" s="134" t="n"/>
      <c r="E730" s="134" t="n"/>
      <c r="F730" s="134" t="n"/>
      <c r="G730" s="134" t="n">
        <v>0.28</v>
      </c>
      <c r="H730" s="137" t="inlineStr">
        <is>
          <t>Urza's Saga</t>
        </is>
      </c>
    </row>
    <row r="731">
      <c r="A731" s="139" t="inlineStr">
        <is>
          <t>c0717</t>
        </is>
      </c>
      <c r="B731" s="134" t="n">
        <v>1</v>
      </c>
      <c r="C731" s="134" t="inlineStr">
        <is>
          <t>51</t>
        </is>
      </c>
      <c r="D731" s="134" t="inlineStr">
        <is>
          <t>Common</t>
        </is>
      </c>
      <c r="E731" s="134" t="n">
        <v>0</v>
      </c>
      <c r="F731" s="134" t="n"/>
      <c r="G731" s="134" t="n">
        <v>0.16</v>
      </c>
      <c r="H731" s="134" t="inlineStr">
        <is>
          <t>The Hobbit</t>
        </is>
      </c>
    </row>
    <row r="732">
      <c r="A732" s="139" t="inlineStr">
        <is>
          <t>c0718</t>
        </is>
      </c>
      <c r="B732" s="134" t="n"/>
      <c r="C732" s="134" t="n"/>
      <c r="D732" s="134" t="n"/>
      <c r="E732" s="134" t="n"/>
      <c r="F732" s="134" t="n"/>
      <c r="G732" s="134" t="n"/>
      <c r="H732" s="137" t="inlineStr">
        <is>
          <t>Phyrexia: All Will Be One</t>
        </is>
      </c>
    </row>
    <row r="733">
      <c r="A733" s="139" t="inlineStr">
        <is>
          <t>c0719</t>
        </is>
      </c>
      <c r="B733" s="134" t="n"/>
      <c r="C733" s="134" t="n"/>
      <c r="D733" s="134" t="n"/>
      <c r="E733" s="134" t="n"/>
      <c r="F733" s="134" t="n"/>
      <c r="G733" s="134" t="n">
        <v>70.18000000000001</v>
      </c>
      <c r="H733" s="137" t="inlineStr">
        <is>
          <t>Prophecy</t>
        </is>
      </c>
    </row>
    <row r="734">
      <c r="A734" s="139" t="inlineStr">
        <is>
          <t>c0720</t>
        </is>
      </c>
      <c r="B734" s="134" t="n">
        <v>1</v>
      </c>
      <c r="C734" s="134" t="inlineStr">
        <is>
          <t>64</t>
        </is>
      </c>
      <c r="D734" s="134" t="inlineStr">
        <is>
          <t>Uncommon</t>
        </is>
      </c>
      <c r="E734" s="134" t="n">
        <v>0</v>
      </c>
      <c r="F734" s="134" t="n"/>
      <c r="G734" s="134" t="n">
        <v>0.1</v>
      </c>
      <c r="H734" s="134" t="inlineStr">
        <is>
          <t>Lorwyn Eclipsed</t>
        </is>
      </c>
    </row>
    <row r="735">
      <c r="A735" s="139" t="inlineStr">
        <is>
          <t>c0721</t>
        </is>
      </c>
      <c r="B735" s="134" t="n"/>
      <c r="C735" s="134" t="n"/>
      <c r="D735" s="134" t="n"/>
      <c r="E735" s="134" t="n"/>
      <c r="F735" s="134" t="n"/>
      <c r="G735" s="134" t="n"/>
      <c r="H735" s="134" t="inlineStr">
        <is>
          <t>Lorwyn Eclipsed</t>
        </is>
      </c>
    </row>
    <row r="736">
      <c r="A736" s="139" t="inlineStr">
        <is>
          <t>c0722</t>
        </is>
      </c>
      <c r="B736" s="134" t="n">
        <v>1</v>
      </c>
      <c r="C736" s="134" t="inlineStr">
        <is>
          <t>66</t>
        </is>
      </c>
      <c r="D736" s="134" t="inlineStr">
        <is>
          <t>Common</t>
        </is>
      </c>
      <c r="E736" s="134" t="n">
        <v>0</v>
      </c>
      <c r="F736" s="134" t="inlineStr">
        <is>
          <t>Nereida</t>
        </is>
      </c>
      <c r="G736" s="134" t="n">
        <v>0.05</v>
      </c>
      <c r="H736" s="134" t="inlineStr">
        <is>
          <t>Secrets of Strixhaven</t>
        </is>
      </c>
    </row>
    <row r="737">
      <c r="A737" s="139" t="inlineStr">
        <is>
          <t>c0723</t>
        </is>
      </c>
      <c r="B737" s="134" t="n"/>
      <c r="C737" s="134" t="n"/>
      <c r="D737" s="134" t="n"/>
      <c r="E737" s="134" t="n"/>
      <c r="F737" s="134" t="n"/>
      <c r="G737" s="134" t="n">
        <v>0.26</v>
      </c>
      <c r="H737" s="137" t="inlineStr">
        <is>
          <t>Phyrexia: All Will Be One</t>
        </is>
      </c>
    </row>
    <row r="738">
      <c r="A738" s="139" t="inlineStr">
        <is>
          <t>c0724</t>
        </is>
      </c>
      <c r="B738" s="134" t="n"/>
      <c r="C738" s="134" t="n"/>
      <c r="D738" s="134" t="n"/>
      <c r="E738" s="134" t="n"/>
      <c r="F738" s="134" t="n"/>
      <c r="G738" s="134" t="n">
        <v>0.31</v>
      </c>
      <c r="H738" s="137" t="inlineStr">
        <is>
          <t>Lorwyn Eclipsed</t>
        </is>
      </c>
    </row>
    <row r="739">
      <c r="A739" s="139" t="inlineStr">
        <is>
          <t>c0725</t>
        </is>
      </c>
      <c r="B739" s="134" t="n"/>
      <c r="C739" s="134" t="n"/>
      <c r="D739" s="134" t="n"/>
      <c r="E739" s="134" t="n"/>
      <c r="F739" s="134" t="n"/>
      <c r="G739" s="134" t="n">
        <v>0.23</v>
      </c>
      <c r="H739" s="137" t="inlineStr">
        <is>
          <t>Visions</t>
        </is>
      </c>
    </row>
    <row r="740">
      <c r="A740" s="139" t="inlineStr">
        <is>
          <t>c0726</t>
        </is>
      </c>
      <c r="B740" s="134" t="n">
        <v>1</v>
      </c>
      <c r="C740" s="134" t="inlineStr">
        <is>
          <t>70</t>
        </is>
      </c>
      <c r="D740" s="134" t="inlineStr">
        <is>
          <t>Common</t>
        </is>
      </c>
      <c r="E740" s="134" t="n">
        <v>0</v>
      </c>
      <c r="F740" s="134" t="n"/>
      <c r="G740" s="134" t="n">
        <v>0.15</v>
      </c>
      <c r="H740" s="134" t="inlineStr">
        <is>
          <t>Lorwyn Eclipsed</t>
        </is>
      </c>
    </row>
    <row r="741">
      <c r="A741" s="139" t="inlineStr">
        <is>
          <t>c0727</t>
        </is>
      </c>
      <c r="B741" s="134" t="n"/>
      <c r="C741" s="134" t="n"/>
      <c r="D741" s="134" t="n"/>
      <c r="E741" s="134" t="n"/>
      <c r="F741" s="134" t="n"/>
      <c r="G741" s="134" t="n">
        <v>0.24</v>
      </c>
      <c r="H741" s="137" t="inlineStr">
        <is>
          <t>Ixalan</t>
        </is>
      </c>
    </row>
    <row r="742">
      <c r="A742" s="139" t="inlineStr">
        <is>
          <t>c0728</t>
        </is>
      </c>
      <c r="B742" s="134" t="n">
        <v>1</v>
      </c>
      <c r="C742" s="134" t="inlineStr">
        <is>
          <t>68</t>
        </is>
      </c>
      <c r="D742" s="134" t="inlineStr">
        <is>
          <t>Common</t>
        </is>
      </c>
      <c r="E742" s="134" t="n">
        <v>0</v>
      </c>
      <c r="F742" s="134" t="inlineStr">
        <is>
          <t>Scott Murphy</t>
        </is>
      </c>
      <c r="G742" s="134" t="n">
        <v>0.11</v>
      </c>
      <c r="H742" s="134" t="inlineStr">
        <is>
          <t>Secrets of Strixhaven</t>
        </is>
      </c>
    </row>
    <row r="743">
      <c r="A743" s="139" t="inlineStr">
        <is>
          <t>c0729</t>
        </is>
      </c>
      <c r="B743" s="134" t="n"/>
      <c r="C743" s="134" t="n"/>
      <c r="D743" s="134" t="n"/>
      <c r="E743" s="134" t="n"/>
      <c r="F743" s="134" t="n"/>
      <c r="G743" s="134" t="n">
        <v>0.3</v>
      </c>
      <c r="H743" s="137" t="inlineStr">
        <is>
          <t>Scars of Mirrodin</t>
        </is>
      </c>
    </row>
    <row r="744">
      <c r="A744" s="139" t="inlineStr">
        <is>
          <t>c0730</t>
        </is>
      </c>
      <c r="B744" s="134" t="n">
        <v>1</v>
      </c>
      <c r="C744" s="134" t="inlineStr">
        <is>
          <t>72</t>
        </is>
      </c>
      <c r="D744" s="134" t="inlineStr">
        <is>
          <t>Common</t>
        </is>
      </c>
      <c r="E744" s="134" t="n">
        <v>0</v>
      </c>
      <c r="F744" s="134" t="inlineStr">
        <is>
          <t>John Tedrick</t>
        </is>
      </c>
      <c r="G744" s="134" t="n">
        <v>0.08</v>
      </c>
      <c r="H744" s="137" t="inlineStr">
        <is>
          <t>Lorwyn Eclipsed</t>
        </is>
      </c>
    </row>
    <row r="745">
      <c r="A745" s="139" t="inlineStr">
        <is>
          <t>c0731</t>
        </is>
      </c>
      <c r="B745" s="134" t="n"/>
      <c r="C745" s="134" t="n"/>
      <c r="D745" s="134" t="n"/>
      <c r="E745" s="134" t="n"/>
      <c r="F745" s="134" t="n"/>
      <c r="G745" s="134" t="n"/>
      <c r="H745" s="134" t="inlineStr">
        <is>
          <t>Lorwyn Eclipsed</t>
        </is>
      </c>
    </row>
    <row r="746">
      <c r="A746" s="139" t="inlineStr">
        <is>
          <t>c0732</t>
        </is>
      </c>
      <c r="B746" s="134" t="n"/>
      <c r="C746" s="134" t="n"/>
      <c r="D746" s="134" t="n"/>
      <c r="E746" s="134" t="n"/>
      <c r="F746" s="134" t="n"/>
      <c r="G746" s="134" t="n">
        <v>1.23</v>
      </c>
      <c r="H746" s="137" t="inlineStr">
        <is>
          <t>Phyrexia: All Will Be One</t>
        </is>
      </c>
    </row>
    <row r="747">
      <c r="A747" s="139" t="inlineStr">
        <is>
          <t>c0733</t>
        </is>
      </c>
      <c r="B747" s="134" t="n">
        <v>1</v>
      </c>
      <c r="C747" s="134" t="inlineStr">
        <is>
          <t>78</t>
        </is>
      </c>
      <c r="D747" s="134" t="inlineStr">
        <is>
          <t>Common</t>
        </is>
      </c>
      <c r="E747" s="134" t="n">
        <v>0</v>
      </c>
      <c r="F747" s="134" t="n"/>
      <c r="G747" s="134" t="n">
        <v>0.16</v>
      </c>
      <c r="H747" s="137" t="inlineStr">
        <is>
          <t>Lorwyn Eclipsed</t>
        </is>
      </c>
    </row>
    <row r="748">
      <c r="A748" s="139" t="inlineStr">
        <is>
          <t>c0734</t>
        </is>
      </c>
      <c r="B748" s="134" t="n"/>
      <c r="C748" s="134" t="n"/>
      <c r="D748" s="134" t="n"/>
      <c r="E748" s="134" t="n"/>
      <c r="F748" s="134" t="n"/>
      <c r="G748" s="134" t="n">
        <v>0.27</v>
      </c>
      <c r="H748" s="137" t="inlineStr">
        <is>
          <t>New Phyrexia</t>
        </is>
      </c>
    </row>
    <row r="749">
      <c r="A749" s="139" t="inlineStr">
        <is>
          <t>c0735</t>
        </is>
      </c>
      <c r="B749" s="134" t="n"/>
      <c r="C749" s="134" t="n"/>
      <c r="D749" s="134" t="n"/>
      <c r="E749" s="134" t="n"/>
      <c r="F749" s="134" t="n"/>
      <c r="G749" s="134" t="n"/>
      <c r="H749" s="134" t="inlineStr">
        <is>
          <t>The Hobbit</t>
        </is>
      </c>
    </row>
    <row r="750">
      <c r="A750" s="139" t="inlineStr">
        <is>
          <t>c0736</t>
        </is>
      </c>
      <c r="B750" s="134" t="n"/>
      <c r="C750" s="134" t="n"/>
      <c r="D750" s="134" t="n"/>
      <c r="E750" s="134" t="n"/>
      <c r="F750" s="134" t="n"/>
      <c r="G750" s="134" t="n">
        <v>0.25</v>
      </c>
      <c r="H750" s="137" t="inlineStr">
        <is>
          <t>Scars of Mirrodin</t>
        </is>
      </c>
    </row>
    <row r="751">
      <c r="A751" s="139" t="inlineStr">
        <is>
          <t>c0738</t>
        </is>
      </c>
      <c r="B751" s="134" t="n"/>
      <c r="C751" s="134" t="n"/>
      <c r="D751" s="134" t="n"/>
      <c r="E751" s="134" t="n"/>
      <c r="F751" s="134" t="n"/>
      <c r="G751" s="134" t="n">
        <v>0.26</v>
      </c>
      <c r="H751" s="137" t="inlineStr">
        <is>
          <t>Lorwyn Eclipsed</t>
        </is>
      </c>
    </row>
    <row r="752">
      <c r="A752" s="139" t="inlineStr">
        <is>
          <t>c0739</t>
        </is>
      </c>
      <c r="B752" s="134" t="n">
        <v>1</v>
      </c>
      <c r="C752" s="134" t="inlineStr">
        <is>
          <t>81</t>
        </is>
      </c>
      <c r="D752" s="134" t="inlineStr">
        <is>
          <t>Uncommon</t>
        </is>
      </c>
      <c r="E752" s="134" t="n">
        <v>0</v>
      </c>
      <c r="F752" s="134" t="n"/>
      <c r="G752" s="134" t="n">
        <v>0.21</v>
      </c>
      <c r="H752" s="137" t="inlineStr">
        <is>
          <t>Lorwyn Eclipsed</t>
        </is>
      </c>
    </row>
    <row r="753">
      <c r="A753" s="139" t="inlineStr">
        <is>
          <t>c0740</t>
        </is>
      </c>
      <c r="B753" s="134" t="n"/>
      <c r="C753" s="134" t="n"/>
      <c r="D753" s="134" t="n"/>
      <c r="E753" s="134" t="n"/>
      <c r="F753" s="134" t="n"/>
      <c r="G753" s="134" t="n">
        <v>1.95</v>
      </c>
      <c r="H753" s="137" t="inlineStr">
        <is>
          <t>New Phyrexia</t>
        </is>
      </c>
    </row>
    <row r="754">
      <c r="A754" s="139" t="inlineStr">
        <is>
          <t>c0741</t>
        </is>
      </c>
      <c r="B754" s="134" t="n"/>
      <c r="C754" s="134" t="n"/>
      <c r="D754" s="134" t="n"/>
      <c r="E754" s="134" t="n"/>
      <c r="F754" s="134" t="n"/>
      <c r="G754" s="134" t="n">
        <v>0.07000000000000001</v>
      </c>
      <c r="H754" s="137" t="inlineStr">
        <is>
          <t>Lorwyn Eclipsed</t>
        </is>
      </c>
    </row>
    <row r="755">
      <c r="A755" s="139" t="inlineStr">
        <is>
          <t>c0742</t>
        </is>
      </c>
      <c r="B755" s="134" t="n">
        <v>1</v>
      </c>
      <c r="C755" s="134" t="inlineStr">
        <is>
          <t>29</t>
        </is>
      </c>
      <c r="D755" s="134" t="inlineStr">
        <is>
          <t>Rare</t>
        </is>
      </c>
      <c r="E755" s="134" t="n">
        <v>0</v>
      </c>
      <c r="F755" s="134" t="inlineStr">
        <is>
          <t>Matt Stewart</t>
        </is>
      </c>
      <c r="G755" s="134" t="n">
        <v>0.31</v>
      </c>
      <c r="H755" s="134" t="inlineStr">
        <is>
          <t>The Hobbit</t>
        </is>
      </c>
    </row>
    <row r="756">
      <c r="A756" s="139" t="inlineStr">
        <is>
          <t>c0743</t>
        </is>
      </c>
      <c r="B756" s="134" t="n"/>
      <c r="C756" s="134" t="n"/>
      <c r="D756" s="134" t="n"/>
      <c r="E756" s="134" t="n"/>
      <c r="F756" s="134" t="n"/>
      <c r="G756" s="134" t="n">
        <v>0.4</v>
      </c>
      <c r="H756" s="137" t="inlineStr">
        <is>
          <t>Outlaws of Thunder Junction Commander</t>
        </is>
      </c>
    </row>
    <row r="757">
      <c r="A757" s="139" t="inlineStr">
        <is>
          <t>c0744</t>
        </is>
      </c>
      <c r="B757" s="134" t="n"/>
      <c r="C757" s="134" t="n"/>
      <c r="D757" s="134" t="n"/>
      <c r="E757" s="134" t="n"/>
      <c r="F757" s="134" t="n"/>
      <c r="G757" s="134" t="n">
        <v>61.48</v>
      </c>
      <c r="H757" s="137" t="inlineStr">
        <is>
          <t>Amonkhet</t>
        </is>
      </c>
    </row>
    <row r="758">
      <c r="A758" s="139" t="inlineStr">
        <is>
          <t>c0745</t>
        </is>
      </c>
      <c r="B758" s="134" t="n"/>
      <c r="C758" s="134" t="n"/>
      <c r="D758" s="134" t="n"/>
      <c r="E758" s="134" t="n"/>
      <c r="F758" s="134" t="n"/>
      <c r="G758" s="134" t="n">
        <v>0.23</v>
      </c>
      <c r="H758" s="137" t="inlineStr">
        <is>
          <t>Amonkhet</t>
        </is>
      </c>
    </row>
    <row r="759">
      <c r="A759" s="139" t="inlineStr">
        <is>
          <t>c0746</t>
        </is>
      </c>
      <c r="B759" s="134" t="n"/>
      <c r="C759" s="134" t="n"/>
      <c r="D759" s="134" t="n"/>
      <c r="E759" s="134" t="n"/>
      <c r="F759" s="134" t="n"/>
      <c r="G759" s="134" t="n">
        <v>0.35</v>
      </c>
      <c r="H759" s="137" t="inlineStr">
        <is>
          <t>Kamigawa: Neon Dynasty</t>
        </is>
      </c>
    </row>
    <row r="760">
      <c r="A760" s="139" t="inlineStr">
        <is>
          <t>c0747</t>
        </is>
      </c>
      <c r="B760" s="134" t="n">
        <v>1</v>
      </c>
      <c r="C760" s="134" t="inlineStr">
        <is>
          <t>5</t>
        </is>
      </c>
      <c r="D760" s="134" t="inlineStr">
        <is>
          <t>Common</t>
        </is>
      </c>
      <c r="E760" s="134" t="n">
        <v>0</v>
      </c>
      <c r="F760" s="134" t="n"/>
      <c r="G760" s="134" t="n">
        <v>0.11</v>
      </c>
      <c r="H760" s="134" t="inlineStr">
        <is>
          <t>Lorwyn Eclipsed</t>
        </is>
      </c>
    </row>
    <row r="761">
      <c r="A761" s="139" t="inlineStr">
        <is>
          <t>c0748</t>
        </is>
      </c>
      <c r="B761" s="134" t="n"/>
      <c r="C761" s="134" t="n"/>
      <c r="D761" s="134" t="n"/>
      <c r="E761" s="134" t="n"/>
      <c r="F761" s="134" t="n"/>
      <c r="G761" s="134" t="n">
        <v>6.68</v>
      </c>
      <c r="H761" s="137" t="inlineStr">
        <is>
          <t>Amonkhet</t>
        </is>
      </c>
    </row>
    <row r="762">
      <c r="A762" s="139" t="inlineStr">
        <is>
          <t>c0749</t>
        </is>
      </c>
      <c r="B762" s="134" t="n"/>
      <c r="C762" s="134" t="n"/>
      <c r="D762" s="134" t="n"/>
      <c r="E762" s="134" t="n"/>
      <c r="F762" s="134" t="n"/>
      <c r="G762" s="134" t="n">
        <v>1.02</v>
      </c>
      <c r="H762" s="137" t="inlineStr">
        <is>
          <t>Commander 2021</t>
        </is>
      </c>
    </row>
    <row r="763">
      <c r="A763" s="139" t="inlineStr">
        <is>
          <t>c0750</t>
        </is>
      </c>
      <c r="B763" s="134" t="n">
        <v>1</v>
      </c>
      <c r="C763" s="134" t="inlineStr">
        <is>
          <t>8</t>
        </is>
      </c>
      <c r="D763" s="134" t="inlineStr">
        <is>
          <t>Common</t>
        </is>
      </c>
      <c r="E763" s="134" t="n">
        <v>0</v>
      </c>
      <c r="F763" s="134" t="n"/>
      <c r="G763" s="134" t="n">
        <v>0.08</v>
      </c>
      <c r="H763" s="134" t="inlineStr">
        <is>
          <t>Secrets of Strixhaven</t>
        </is>
      </c>
    </row>
    <row r="764">
      <c r="A764" s="139" t="inlineStr">
        <is>
          <t>c0751</t>
        </is>
      </c>
      <c r="B764" s="134" t="n"/>
      <c r="C764" s="134" t="n"/>
      <c r="D764" s="134" t="n"/>
      <c r="E764" s="134" t="n"/>
      <c r="F764" s="134" t="n"/>
      <c r="G764" s="134" t="n">
        <v>0.18</v>
      </c>
      <c r="H764" s="137" t="inlineStr">
        <is>
          <t>Secrets of Strixhaven Commander</t>
        </is>
      </c>
    </row>
    <row r="765">
      <c r="A765" s="139" t="inlineStr">
        <is>
          <t>c0752</t>
        </is>
      </c>
      <c r="B765" s="134" t="n"/>
      <c r="C765" s="134" t="n"/>
      <c r="D765" s="134" t="n"/>
      <c r="E765" s="134" t="n"/>
      <c r="F765" s="134" t="n"/>
      <c r="G765" s="141" t="n">
        <v>0.35</v>
      </c>
      <c r="H765" s="134" t="inlineStr">
        <is>
          <t>Lorwyn</t>
        </is>
      </c>
    </row>
    <row r="766">
      <c r="A766" s="139" t="inlineStr">
        <is>
          <t>c0753</t>
        </is>
      </c>
      <c r="B766" s="134" t="n"/>
      <c r="C766" s="134" t="n"/>
      <c r="D766" s="134" t="n"/>
      <c r="E766" s="134" t="n"/>
      <c r="F766" s="134" t="n"/>
      <c r="G766" s="134" t="n"/>
      <c r="H766" s="134" t="inlineStr">
        <is>
          <t>The Hobbit</t>
        </is>
      </c>
    </row>
    <row r="767">
      <c r="A767" s="139" t="inlineStr">
        <is>
          <t>c0754</t>
        </is>
      </c>
      <c r="B767" s="134" t="n"/>
      <c r="C767" s="134" t="n"/>
      <c r="D767" s="134" t="n"/>
      <c r="E767" s="134" t="n"/>
      <c r="F767" s="134" t="n"/>
      <c r="G767" s="134" t="n">
        <v>1.46</v>
      </c>
      <c r="H767" s="137" t="inlineStr">
        <is>
          <t>Commander 2021</t>
        </is>
      </c>
    </row>
    <row r="768">
      <c r="A768" s="139" t="inlineStr">
        <is>
          <t>c0755</t>
        </is>
      </c>
      <c r="B768" s="134" t="n"/>
      <c r="C768" s="134" t="n"/>
      <c r="D768" s="134" t="n"/>
      <c r="E768" s="134" t="n"/>
      <c r="F768" s="134" t="n"/>
      <c r="G768" s="134" t="n">
        <v>2.27</v>
      </c>
      <c r="H768" s="137" t="inlineStr">
        <is>
          <t>Core Set 2020</t>
        </is>
      </c>
    </row>
    <row r="769">
      <c r="A769" s="139" t="inlineStr">
        <is>
          <t>c0756</t>
        </is>
      </c>
      <c r="B769" s="134" t="n">
        <v>1</v>
      </c>
      <c r="C769" s="134" t="inlineStr">
        <is>
          <t>8</t>
        </is>
      </c>
      <c r="D769" s="134" t="inlineStr">
        <is>
          <t>Uncommon</t>
        </is>
      </c>
      <c r="E769" s="134" t="n">
        <v>0</v>
      </c>
      <c r="F769" s="134" t="inlineStr">
        <is>
          <t>Carl Critchlow</t>
        </is>
      </c>
      <c r="G769" s="134" t="n">
        <v>0.16</v>
      </c>
      <c r="H769" s="137" t="inlineStr">
        <is>
          <t>Lorwyn Eclipsed</t>
        </is>
      </c>
    </row>
    <row r="770">
      <c r="A770" s="139" t="inlineStr">
        <is>
          <t>c0757</t>
        </is>
      </c>
      <c r="B770" s="134" t="n"/>
      <c r="C770" s="134" t="n"/>
      <c r="D770" s="134" t="n"/>
      <c r="E770" s="134" t="n"/>
      <c r="F770" s="134" t="n"/>
      <c r="G770" s="134" t="n">
        <v>0.28</v>
      </c>
      <c r="H770" s="137" t="inlineStr">
        <is>
          <t>Amonkhet</t>
        </is>
      </c>
    </row>
    <row r="771">
      <c r="A771" s="139" t="inlineStr">
        <is>
          <t>c0758</t>
        </is>
      </c>
      <c r="B771" s="134" t="n"/>
      <c r="C771" s="134" t="n"/>
      <c r="D771" s="134" t="n"/>
      <c r="E771" s="134" t="n"/>
      <c r="F771" s="134" t="n"/>
      <c r="G771" s="134" t="n">
        <v>0.24</v>
      </c>
      <c r="H771" s="137" t="inlineStr">
        <is>
          <t>Innistrad: Midnight Hunt</t>
        </is>
      </c>
    </row>
    <row r="772">
      <c r="A772" s="139" t="inlineStr">
        <is>
          <t>c0759</t>
        </is>
      </c>
      <c r="B772" s="134" t="n"/>
      <c r="C772" s="134" t="n"/>
      <c r="D772" s="134" t="n"/>
      <c r="E772" s="134" t="n"/>
      <c r="F772" s="134" t="n"/>
      <c r="G772" s="134" t="n">
        <v>0.23</v>
      </c>
      <c r="H772" s="137" t="inlineStr">
        <is>
          <t>Secrets of Strixhaven Commander</t>
        </is>
      </c>
    </row>
    <row r="773">
      <c r="A773" s="139" t="inlineStr">
        <is>
          <t>c0760</t>
        </is>
      </c>
      <c r="B773" s="134" t="n"/>
      <c r="C773" s="134" t="n"/>
      <c r="D773" s="134" t="n"/>
      <c r="E773" s="134" t="n"/>
      <c r="F773" s="134" t="n"/>
      <c r="G773" s="134" t="n">
        <v>0.31</v>
      </c>
      <c r="H773" s="137" t="inlineStr">
        <is>
          <t>Throne of Eldraine</t>
        </is>
      </c>
    </row>
    <row r="774">
      <c r="A774" s="139" t="inlineStr">
        <is>
          <t>c0761</t>
        </is>
      </c>
      <c r="B774" s="134" t="n"/>
      <c r="C774" s="134" t="n"/>
      <c r="D774" s="134" t="n"/>
      <c r="E774" s="134" t="n"/>
      <c r="F774" s="134" t="n"/>
      <c r="G774" s="134" t="n">
        <v>0.3</v>
      </c>
      <c r="H774" s="137" t="inlineStr">
        <is>
          <t>Final Fantasy Commander</t>
        </is>
      </c>
    </row>
    <row r="775">
      <c r="A775" s="139" t="inlineStr">
        <is>
          <t>c0762</t>
        </is>
      </c>
      <c r="B775" s="134" t="n"/>
      <c r="C775" s="134" t="n"/>
      <c r="D775" s="134" t="n"/>
      <c r="E775" s="134" t="n"/>
      <c r="F775" s="134" t="n"/>
      <c r="G775" s="134" t="n">
        <v>0.05</v>
      </c>
      <c r="H775" s="137" t="inlineStr">
        <is>
          <t>Ravnica Allegiance</t>
        </is>
      </c>
    </row>
    <row r="776">
      <c r="A776" s="139" t="inlineStr">
        <is>
          <t>c0763</t>
        </is>
      </c>
      <c r="B776" s="134" t="n"/>
      <c r="C776" s="134" t="n"/>
      <c r="D776" s="134" t="n"/>
      <c r="E776" s="134" t="n"/>
      <c r="F776" s="134" t="n"/>
      <c r="G776" s="134" t="n">
        <v>0.2</v>
      </c>
      <c r="H776" s="137" t="inlineStr">
        <is>
          <t>Lorwyn Eclipsed</t>
        </is>
      </c>
    </row>
    <row r="777">
      <c r="A777" s="139" t="inlineStr">
        <is>
          <t>c0764</t>
        </is>
      </c>
      <c r="B777" s="134" t="n"/>
      <c r="C777" s="134" t="n"/>
      <c r="D777" s="134" t="n"/>
      <c r="E777" s="134" t="n"/>
      <c r="F777" s="134" t="n"/>
      <c r="G777" s="134" t="n">
        <v>0.43</v>
      </c>
      <c r="H777" s="137" t="inlineStr">
        <is>
          <t>Outlaws of Thunder Junction</t>
        </is>
      </c>
    </row>
    <row r="778">
      <c r="A778" s="139" t="inlineStr">
        <is>
          <t>c0765</t>
        </is>
      </c>
      <c r="B778" s="134" t="n"/>
      <c r="C778" s="134" t="n"/>
      <c r="D778" s="134" t="n"/>
      <c r="E778" s="134" t="n"/>
      <c r="F778" s="134" t="n"/>
      <c r="G778" s="134" t="n">
        <v>0.27</v>
      </c>
      <c r="H778" s="137" t="inlineStr">
        <is>
          <t>Final Fantasy Commander</t>
        </is>
      </c>
    </row>
    <row r="779">
      <c r="A779" s="139" t="inlineStr">
        <is>
          <t>c0766</t>
        </is>
      </c>
      <c r="B779" s="134" t="n"/>
      <c r="C779" s="134" t="n"/>
      <c r="D779" s="134" t="n"/>
      <c r="E779" s="134" t="n"/>
      <c r="F779" s="134" t="n"/>
      <c r="G779" s="134" t="n">
        <v>0.15</v>
      </c>
      <c r="H779" s="137" t="inlineStr">
        <is>
          <t>Eldritch Moon</t>
        </is>
      </c>
    </row>
    <row r="780">
      <c r="A780" s="139" t="inlineStr">
        <is>
          <t>c0767</t>
        </is>
      </c>
      <c r="B780" s="134" t="n"/>
      <c r="C780" s="134" t="n"/>
      <c r="D780" s="134" t="n"/>
      <c r="E780" s="134" t="n"/>
      <c r="F780" s="134" t="n"/>
      <c r="G780" s="134" t="n">
        <v>0.23</v>
      </c>
      <c r="H780" s="137" t="inlineStr">
        <is>
          <t>Commander 2021</t>
        </is>
      </c>
    </row>
    <row r="781">
      <c r="A781" s="139" t="inlineStr">
        <is>
          <t>c0768</t>
        </is>
      </c>
      <c r="B781" s="134" t="n"/>
      <c r="C781" s="134" t="n"/>
      <c r="D781" s="134" t="n"/>
      <c r="E781" s="134" t="n"/>
      <c r="F781" s="134" t="n"/>
      <c r="G781" s="134" t="n">
        <v>0.21</v>
      </c>
      <c r="H781" s="137" t="inlineStr">
        <is>
          <t>Gatecrash</t>
        </is>
      </c>
    </row>
    <row r="782">
      <c r="A782" s="139" t="inlineStr">
        <is>
          <t>c0769</t>
        </is>
      </c>
      <c r="B782" s="134" t="n"/>
      <c r="C782" s="134" t="n"/>
      <c r="D782" s="134" t="n"/>
      <c r="E782" s="134" t="n"/>
      <c r="F782" s="134" t="n"/>
      <c r="G782" s="134" t="n">
        <v>0.26</v>
      </c>
      <c r="H782" s="137" t="inlineStr">
        <is>
          <t>Avatar: The Last Airbender</t>
        </is>
      </c>
    </row>
    <row r="783">
      <c r="A783" s="139" t="inlineStr">
        <is>
          <t>c0771</t>
        </is>
      </c>
      <c r="B783" s="134" t="n"/>
      <c r="C783" s="134" t="n"/>
      <c r="D783" s="134" t="n"/>
      <c r="E783" s="134" t="n"/>
      <c r="F783" s="134" t="n"/>
      <c r="G783" s="134" t="n">
        <v>0.97</v>
      </c>
      <c r="H783" s="137" t="inlineStr">
        <is>
          <t>Dominaria</t>
        </is>
      </c>
    </row>
    <row r="784">
      <c r="A784" s="139" t="inlineStr">
        <is>
          <t>c0772</t>
        </is>
      </c>
      <c r="B784" s="134" t="n"/>
      <c r="C784" s="134" t="n"/>
      <c r="D784" s="134" t="n"/>
      <c r="E784" s="134" t="n"/>
      <c r="F784" s="134" t="n"/>
      <c r="G784" s="134" t="n">
        <v>1.07</v>
      </c>
      <c r="H784" s="137" t="inlineStr">
        <is>
          <t>Zendikar</t>
        </is>
      </c>
    </row>
    <row r="785">
      <c r="A785" s="139" t="inlineStr">
        <is>
          <t>c0773</t>
        </is>
      </c>
      <c r="B785" s="134" t="n">
        <v>1</v>
      </c>
      <c r="C785" s="134" t="inlineStr">
        <is>
          <t>9</t>
        </is>
      </c>
      <c r="D785" s="134" t="inlineStr">
        <is>
          <t>Uncommon</t>
        </is>
      </c>
      <c r="E785" s="134" t="n">
        <v>0</v>
      </c>
      <c r="F785" s="134" t="n"/>
      <c r="G785" s="134" t="n">
        <v>0.36</v>
      </c>
      <c r="H785" s="134" t="inlineStr">
        <is>
          <t>Secrets of Strixhaven</t>
        </is>
      </c>
    </row>
    <row r="786">
      <c r="A786" s="139" t="inlineStr">
        <is>
          <t>c0774</t>
        </is>
      </c>
      <c r="B786" s="134" t="n"/>
      <c r="C786" s="134" t="n"/>
      <c r="D786" s="134" t="n"/>
      <c r="E786" s="134" t="n"/>
      <c r="F786" s="134" t="n"/>
      <c r="G786" s="134" t="n">
        <v>0.26</v>
      </c>
      <c r="H786" s="137" t="inlineStr">
        <is>
          <t>Dominaria United</t>
        </is>
      </c>
    </row>
    <row r="787">
      <c r="A787" s="139" t="inlineStr">
        <is>
          <t>c0775</t>
        </is>
      </c>
      <c r="B787" s="134" t="n"/>
      <c r="C787" s="134" t="n"/>
      <c r="D787" s="134" t="n"/>
      <c r="E787" s="134" t="n"/>
      <c r="F787" s="134" t="n"/>
      <c r="G787" s="134" t="n">
        <v>0.1</v>
      </c>
      <c r="H787" s="137" t="inlineStr">
        <is>
          <t>Limited Edition Alpha</t>
        </is>
      </c>
    </row>
    <row r="788">
      <c r="A788" s="139" t="inlineStr">
        <is>
          <t>c0776</t>
        </is>
      </c>
      <c r="B788" s="134" t="n"/>
      <c r="C788" s="134" t="n"/>
      <c r="D788" s="134" t="n"/>
      <c r="E788" s="134" t="n"/>
      <c r="F788" s="134" t="n"/>
      <c r="G788" s="134" t="n">
        <v>0.09</v>
      </c>
      <c r="H788" s="137" t="inlineStr">
        <is>
          <t>Innistrad</t>
        </is>
      </c>
    </row>
    <row r="789">
      <c r="A789" s="139" t="inlineStr">
        <is>
          <t>c0777</t>
        </is>
      </c>
      <c r="B789" s="134" t="n"/>
      <c r="C789" s="134" t="n"/>
      <c r="D789" s="134" t="n"/>
      <c r="E789" s="134" t="n"/>
      <c r="F789" s="134" t="n"/>
      <c r="G789" s="134" t="n">
        <v>0.1</v>
      </c>
      <c r="H789" s="137" t="inlineStr">
        <is>
          <t>Eldritch Moon</t>
        </is>
      </c>
    </row>
    <row r="790">
      <c r="A790" s="139" t="inlineStr">
        <is>
          <t>c0778</t>
        </is>
      </c>
      <c r="B790" s="134" t="n"/>
      <c r="C790" s="134" t="n"/>
      <c r="D790" s="134" t="n"/>
      <c r="E790" s="134" t="n"/>
      <c r="F790" s="134" t="n"/>
      <c r="G790" s="134" t="n">
        <v>2.97</v>
      </c>
      <c r="H790" s="137" t="inlineStr">
        <is>
          <t>Neon Dynasty Commander</t>
        </is>
      </c>
    </row>
    <row r="791">
      <c r="A791" s="139" t="inlineStr">
        <is>
          <t>c0780</t>
        </is>
      </c>
      <c r="B791" s="134" t="n"/>
      <c r="C791" s="134" t="n"/>
      <c r="D791" s="134" t="n"/>
      <c r="E791" s="134" t="n"/>
      <c r="F791" s="134" t="n"/>
      <c r="G791" s="134" t="n"/>
      <c r="H791" s="134" t="inlineStr">
        <is>
          <t>The Hobbit</t>
        </is>
      </c>
    </row>
    <row r="792">
      <c r="A792" s="139" t="inlineStr">
        <is>
          <t>c0781</t>
        </is>
      </c>
      <c r="B792" s="134" t="n">
        <v>1</v>
      </c>
      <c r="C792" s="134" t="inlineStr">
        <is>
          <t>10</t>
        </is>
      </c>
      <c r="D792" s="134" t="inlineStr">
        <is>
          <t>Common</t>
        </is>
      </c>
      <c r="E792" s="134" t="n">
        <v>0</v>
      </c>
      <c r="F792" s="134" t="n"/>
      <c r="G792" s="134" t="n">
        <v>0.18</v>
      </c>
      <c r="H792" s="137" t="inlineStr">
        <is>
          <t>The Hobbit</t>
        </is>
      </c>
    </row>
    <row r="793">
      <c r="A793" s="139" t="inlineStr">
        <is>
          <t>c0782</t>
        </is>
      </c>
      <c r="B793" s="134" t="n">
        <v>2</v>
      </c>
      <c r="C793" s="134" t="inlineStr">
        <is>
          <t>11</t>
        </is>
      </c>
      <c r="D793" s="134" t="inlineStr">
        <is>
          <t>Common</t>
        </is>
      </c>
      <c r="E793" s="134" t="n">
        <v>0</v>
      </c>
      <c r="F793" s="134" t="inlineStr">
        <is>
          <t>Cristi Balanescu</t>
        </is>
      </c>
      <c r="G793" s="134" t="n">
        <v>0.09</v>
      </c>
      <c r="H793" s="134" t="inlineStr">
        <is>
          <t>Secrets of Strixhaven</t>
        </is>
      </c>
    </row>
    <row r="794">
      <c r="A794" s="139" t="inlineStr">
        <is>
          <t>c0783</t>
        </is>
      </c>
      <c r="B794" s="134" t="n"/>
      <c r="C794" s="134" t="n"/>
      <c r="D794" s="134" t="n"/>
      <c r="E794" s="134" t="n"/>
      <c r="F794" s="134" t="n"/>
      <c r="G794" s="134" t="n"/>
      <c r="H794" s="134" t="inlineStr">
        <is>
          <t>The Hobbit</t>
        </is>
      </c>
    </row>
    <row r="795">
      <c r="A795" s="139" t="inlineStr">
        <is>
          <t>c0784</t>
        </is>
      </c>
      <c r="B795" s="134" t="n"/>
      <c r="C795" s="134" t="n"/>
      <c r="D795" s="134" t="n"/>
      <c r="E795" s="134" t="n"/>
      <c r="F795" s="134" t="n"/>
      <c r="G795" s="134" t="n">
        <v>0.2</v>
      </c>
      <c r="H795" s="137" t="inlineStr">
        <is>
          <t>Avatar: The Last Airbender</t>
        </is>
      </c>
    </row>
    <row r="796">
      <c r="A796" s="139" t="inlineStr">
        <is>
          <t>c0785</t>
        </is>
      </c>
      <c r="B796" s="134" t="n"/>
      <c r="C796" s="134" t="n"/>
      <c r="D796" s="134" t="n"/>
      <c r="E796" s="134" t="n"/>
      <c r="F796" s="134" t="n"/>
      <c r="G796" s="134" t="n">
        <v>0.8</v>
      </c>
      <c r="H796" s="137" t="inlineStr">
        <is>
          <t>Theros Beyond Death</t>
        </is>
      </c>
    </row>
    <row r="797">
      <c r="A797" s="139" t="inlineStr">
        <is>
          <t>c0786</t>
        </is>
      </c>
      <c r="B797" s="134" t="n"/>
      <c r="C797" s="134" t="n"/>
      <c r="D797" s="134" t="n"/>
      <c r="E797" s="134" t="n"/>
      <c r="F797" s="134" t="n"/>
      <c r="G797" s="134" t="n">
        <v>5.26</v>
      </c>
      <c r="H797" s="137" t="inlineStr">
        <is>
          <t>Modern Horizons</t>
        </is>
      </c>
    </row>
    <row r="798">
      <c r="A798" s="139" t="inlineStr">
        <is>
          <t>c0787</t>
        </is>
      </c>
      <c r="B798" s="134" t="n"/>
      <c r="C798" s="134" t="n"/>
      <c r="D798" s="134" t="n"/>
      <c r="E798" s="134" t="n"/>
      <c r="F798" s="134" t="n"/>
      <c r="G798" s="134" t="n"/>
      <c r="H798" s="134" t="inlineStr">
        <is>
          <t>The Hobbit</t>
        </is>
      </c>
    </row>
    <row r="799">
      <c r="A799" s="139" t="inlineStr">
        <is>
          <t>c0788</t>
        </is>
      </c>
      <c r="B799" s="134" t="n"/>
      <c r="C799" s="134" t="n"/>
      <c r="D799" s="134" t="n"/>
      <c r="E799" s="134" t="n"/>
      <c r="F799" s="134" t="n"/>
      <c r="G799" s="134" t="n">
        <v>0.3</v>
      </c>
      <c r="H799" s="137" t="inlineStr">
        <is>
          <t>Wilds of Eldraine</t>
        </is>
      </c>
    </row>
    <row r="800">
      <c r="A800" s="139" t="inlineStr">
        <is>
          <t>c0789</t>
        </is>
      </c>
      <c r="B800" s="134" t="n"/>
      <c r="C800" s="134" t="n"/>
      <c r="D800" s="134" t="n"/>
      <c r="E800" s="134" t="n"/>
      <c r="F800" s="134" t="n"/>
      <c r="G800" s="134" t="n">
        <v>0.36</v>
      </c>
      <c r="H800" s="137" t="inlineStr">
        <is>
          <t>Assassin's Creed</t>
        </is>
      </c>
    </row>
    <row r="801">
      <c r="A801" s="139" t="inlineStr">
        <is>
          <t>c0790</t>
        </is>
      </c>
      <c r="B801" s="134" t="n"/>
      <c r="C801" s="134" t="n"/>
      <c r="D801" s="134" t="n"/>
      <c r="E801" s="134" t="n"/>
      <c r="F801" s="134" t="n"/>
      <c r="G801" s="134" t="n"/>
      <c r="H801" s="134" t="inlineStr">
        <is>
          <t>Avatar: The Last Airbender</t>
        </is>
      </c>
    </row>
    <row r="802">
      <c r="A802" s="139" t="inlineStr">
        <is>
          <t>c0791</t>
        </is>
      </c>
      <c r="B802" s="134" t="n"/>
      <c r="C802" s="134" t="n"/>
      <c r="D802" s="134" t="n"/>
      <c r="E802" s="134" t="n"/>
      <c r="F802" s="134" t="n"/>
      <c r="G802" s="134" t="n">
        <v>6.17</v>
      </c>
      <c r="H802" s="137" t="inlineStr">
        <is>
          <t>Kamigawa: Neon Dynasty</t>
        </is>
      </c>
    </row>
    <row r="803">
      <c r="A803" s="139" t="inlineStr">
        <is>
          <t>c0792</t>
        </is>
      </c>
      <c r="B803" s="134" t="n"/>
      <c r="C803" s="134" t="n"/>
      <c r="D803" s="134" t="n"/>
      <c r="E803" s="134" t="n"/>
      <c r="F803" s="134" t="n"/>
      <c r="G803" s="134" t="n">
        <v>0.4</v>
      </c>
      <c r="H803" s="137" t="inlineStr">
        <is>
          <t>Innistrad: Midnight Hunt</t>
        </is>
      </c>
    </row>
    <row r="804">
      <c r="A804" s="139" t="inlineStr">
        <is>
          <t>c0793</t>
        </is>
      </c>
      <c r="B804" s="134" t="n"/>
      <c r="C804" s="134" t="n"/>
      <c r="D804" s="134" t="n"/>
      <c r="E804" s="134" t="n"/>
      <c r="F804" s="134" t="n"/>
      <c r="G804" s="134" t="n">
        <v>0.28</v>
      </c>
      <c r="H804" s="137" t="inlineStr">
        <is>
          <t>Commander 2014</t>
        </is>
      </c>
    </row>
    <row r="805">
      <c r="A805" s="139" t="inlineStr">
        <is>
          <t>c0794</t>
        </is>
      </c>
      <c r="B805" s="134" t="n"/>
      <c r="C805" s="134" t="n"/>
      <c r="D805" s="134" t="n"/>
      <c r="E805" s="134" t="n"/>
      <c r="F805" s="134" t="n"/>
      <c r="G805" s="134" t="n">
        <v>0.2</v>
      </c>
      <c r="H805" s="137" t="inlineStr">
        <is>
          <t>Gatecrash</t>
        </is>
      </c>
    </row>
    <row r="806">
      <c r="A806" s="139" t="inlineStr">
        <is>
          <t>c0795</t>
        </is>
      </c>
      <c r="B806" s="134" t="n"/>
      <c r="C806" s="134" t="n"/>
      <c r="D806" s="134" t="n"/>
      <c r="E806" s="134" t="n"/>
      <c r="F806" s="134" t="n"/>
      <c r="G806" s="134" t="n">
        <v>0.18</v>
      </c>
      <c r="H806" s="137" t="inlineStr">
        <is>
          <t>Dark Ascension</t>
        </is>
      </c>
    </row>
    <row r="807">
      <c r="A807" s="139" t="inlineStr">
        <is>
          <t>c0796</t>
        </is>
      </c>
      <c r="B807" s="134" t="n"/>
      <c r="C807" s="134" t="n"/>
      <c r="D807" s="134" t="n"/>
      <c r="E807" s="134" t="n"/>
      <c r="F807" s="134" t="n"/>
      <c r="G807" s="134" t="n">
        <v>0.72</v>
      </c>
      <c r="H807" s="137" t="inlineStr">
        <is>
          <t>Modern Horizons</t>
        </is>
      </c>
    </row>
    <row r="808">
      <c r="A808" s="139" t="inlineStr">
        <is>
          <t>c0798</t>
        </is>
      </c>
      <c r="B808" s="134" t="n">
        <v>2</v>
      </c>
      <c r="C808" s="134" t="inlineStr">
        <is>
          <t>18</t>
        </is>
      </c>
      <c r="D808" s="134" t="inlineStr">
        <is>
          <t>Common</t>
        </is>
      </c>
      <c r="E808" s="134" t="n">
        <v>0</v>
      </c>
      <c r="F808" s="134" t="inlineStr">
        <is>
          <t>Paolo Parente</t>
        </is>
      </c>
      <c r="G808" s="134" t="n">
        <v>0.2</v>
      </c>
      <c r="H808" s="134" t="inlineStr">
        <is>
          <t>Lorwyn Eclipsed</t>
        </is>
      </c>
    </row>
    <row r="809">
      <c r="A809" s="139" t="inlineStr">
        <is>
          <t>c0799</t>
        </is>
      </c>
      <c r="B809" s="134" t="n"/>
      <c r="C809" s="134" t="n"/>
      <c r="D809" s="134" t="n"/>
      <c r="E809" s="134" t="n"/>
      <c r="F809" s="134" t="n"/>
      <c r="G809" s="134" t="n">
        <v>0.37</v>
      </c>
      <c r="H809" s="137" t="inlineStr">
        <is>
          <t>War of the Spark</t>
        </is>
      </c>
    </row>
    <row r="810">
      <c r="A810" s="139" t="inlineStr">
        <is>
          <t>c0800</t>
        </is>
      </c>
      <c r="B810" s="134" t="n"/>
      <c r="C810" s="134" t="n"/>
      <c r="D810" s="134" t="n"/>
      <c r="E810" s="134" t="n"/>
      <c r="F810" s="134" t="n"/>
      <c r="G810" s="134" t="n">
        <v>0.59</v>
      </c>
      <c r="H810" s="137" t="inlineStr">
        <is>
          <t>Adventures in the Forgotten Realms</t>
        </is>
      </c>
    </row>
    <row r="811">
      <c r="A811" s="139" t="inlineStr">
        <is>
          <t>c0801</t>
        </is>
      </c>
      <c r="B811" s="134" t="n"/>
      <c r="C811" s="134" t="n"/>
      <c r="D811" s="134" t="n"/>
      <c r="E811" s="134" t="n"/>
      <c r="F811" s="134" t="n"/>
      <c r="G811" s="134" t="n">
        <v>0.29</v>
      </c>
      <c r="H811" s="137" t="inlineStr">
        <is>
          <t>March of the Machine Commander</t>
        </is>
      </c>
    </row>
    <row r="812">
      <c r="A812" s="139" t="inlineStr">
        <is>
          <t>c0802</t>
        </is>
      </c>
      <c r="B812" s="134" t="n"/>
      <c r="C812" s="134" t="n"/>
      <c r="D812" s="134" t="n"/>
      <c r="E812" s="134" t="n"/>
      <c r="F812" s="134" t="n"/>
      <c r="G812" s="134" t="n">
        <v>0.35</v>
      </c>
      <c r="H812" s="137" t="inlineStr">
        <is>
          <t>Assassin's Creed</t>
        </is>
      </c>
    </row>
    <row r="813">
      <c r="A813" s="139" t="inlineStr">
        <is>
          <t>c0804</t>
        </is>
      </c>
      <c r="B813" s="134" t="n"/>
      <c r="C813" s="134" t="n"/>
      <c r="D813" s="134" t="n"/>
      <c r="E813" s="134" t="n"/>
      <c r="F813" s="134" t="n"/>
      <c r="G813" s="134" t="n">
        <v>0.3</v>
      </c>
      <c r="H813" s="137" t="inlineStr">
        <is>
          <t>Guilds of Ravnica</t>
        </is>
      </c>
    </row>
    <row r="814">
      <c r="A814" s="139" t="inlineStr">
        <is>
          <t>c0805</t>
        </is>
      </c>
      <c r="B814" s="134" t="n"/>
      <c r="C814" s="134" t="n"/>
      <c r="D814" s="134" t="n"/>
      <c r="E814" s="134" t="n"/>
      <c r="F814" s="134" t="n"/>
      <c r="G814" s="134" t="n">
        <v>0.32</v>
      </c>
      <c r="H814" s="137" t="inlineStr">
        <is>
          <t>Ravnica Allegiance</t>
        </is>
      </c>
    </row>
    <row r="815">
      <c r="A815" s="139" t="inlineStr">
        <is>
          <t>c0806</t>
        </is>
      </c>
      <c r="B815" s="134" t="n"/>
      <c r="C815" s="134" t="n"/>
      <c r="D815" s="134" t="n"/>
      <c r="E815" s="134" t="n"/>
      <c r="F815" s="134" t="n"/>
      <c r="G815" s="134" t="n">
        <v>0.37</v>
      </c>
      <c r="H815" s="137" t="inlineStr">
        <is>
          <t>Morningtide</t>
        </is>
      </c>
    </row>
    <row r="816">
      <c r="A816" s="139" t="inlineStr">
        <is>
          <t>c0807</t>
        </is>
      </c>
      <c r="B816" s="134" t="n"/>
      <c r="C816" s="134" t="n"/>
      <c r="D816" s="134" t="n"/>
      <c r="E816" s="134" t="n"/>
      <c r="F816" s="134" t="n"/>
      <c r="G816" s="134" t="n">
        <v>0.23</v>
      </c>
      <c r="H816" s="137" t="inlineStr">
        <is>
          <t>Streets of New Capenna</t>
        </is>
      </c>
    </row>
    <row r="817">
      <c r="A817" s="139" t="inlineStr">
        <is>
          <t>c0808</t>
        </is>
      </c>
      <c r="B817" s="134" t="n"/>
      <c r="C817" s="134" t="n"/>
      <c r="D817" s="134" t="n"/>
      <c r="E817" s="134" t="n"/>
      <c r="F817" s="134" t="n"/>
      <c r="G817" s="134" t="n">
        <v>0.32</v>
      </c>
      <c r="H817" s="137" t="inlineStr">
        <is>
          <t>Innistrad</t>
        </is>
      </c>
    </row>
    <row r="818">
      <c r="A818" s="139" t="inlineStr">
        <is>
          <t>c0809</t>
        </is>
      </c>
      <c r="B818" s="134" t="n"/>
      <c r="C818" s="134" t="n"/>
      <c r="D818" s="134" t="n"/>
      <c r="E818" s="134" t="n"/>
      <c r="F818" s="134" t="n"/>
      <c r="G818" s="134" t="n">
        <v>0.99</v>
      </c>
      <c r="H818" s="137" t="inlineStr">
        <is>
          <t>Neon Dynasty Commander</t>
        </is>
      </c>
    </row>
    <row r="819">
      <c r="A819" s="139" t="inlineStr">
        <is>
          <t>c0810</t>
        </is>
      </c>
      <c r="B819" s="134" t="n">
        <v>1</v>
      </c>
      <c r="C819" s="134" t="inlineStr">
        <is>
          <t>23</t>
        </is>
      </c>
      <c r="D819" s="134" t="inlineStr">
        <is>
          <t>Rare</t>
        </is>
      </c>
      <c r="E819" s="134" t="n">
        <v>0</v>
      </c>
      <c r="F819" s="134" t="n"/>
      <c r="G819" s="134" t="n">
        <v>0.37</v>
      </c>
      <c r="H819" s="134" t="inlineStr">
        <is>
          <t>Secrets of Strixhaven</t>
        </is>
      </c>
    </row>
    <row r="820">
      <c r="A820" s="139" t="inlineStr">
        <is>
          <t>c0811</t>
        </is>
      </c>
      <c r="B820" s="134" t="n"/>
      <c r="C820" s="134" t="n"/>
      <c r="D820" s="134" t="n"/>
      <c r="E820" s="134" t="n"/>
      <c r="F820" s="134" t="n"/>
      <c r="G820" s="134" t="n">
        <v>0.23</v>
      </c>
      <c r="H820" s="137" t="inlineStr">
        <is>
          <t>Champions of Kamigawa</t>
        </is>
      </c>
    </row>
    <row r="821">
      <c r="A821" s="139" t="inlineStr">
        <is>
          <t>c0812</t>
        </is>
      </c>
      <c r="B821" s="134" t="n"/>
      <c r="C821" s="134" t="n"/>
      <c r="D821" s="134" t="n"/>
      <c r="E821" s="134" t="n"/>
      <c r="F821" s="134" t="n"/>
      <c r="G821" s="134" t="n">
        <v>0.29</v>
      </c>
      <c r="H821" s="137" t="inlineStr">
        <is>
          <t>Champions of Kamigawa</t>
        </is>
      </c>
    </row>
    <row r="822">
      <c r="A822" s="139" t="inlineStr">
        <is>
          <t>c0813</t>
        </is>
      </c>
      <c r="B822" s="134" t="n"/>
      <c r="C822" s="134" t="n"/>
      <c r="D822" s="134" t="n"/>
      <c r="E822" s="134" t="n"/>
      <c r="F822" s="134" t="n"/>
      <c r="G822" s="134" t="n">
        <v>0.34</v>
      </c>
      <c r="H822" s="137" t="inlineStr">
        <is>
          <t>Urza's Legacy</t>
        </is>
      </c>
    </row>
    <row r="823">
      <c r="A823" s="139" t="inlineStr">
        <is>
          <t>c0814</t>
        </is>
      </c>
      <c r="B823" s="134" t="n"/>
      <c r="C823" s="134" t="n"/>
      <c r="D823" s="134" t="n"/>
      <c r="E823" s="134" t="n"/>
      <c r="F823" s="134" t="n"/>
      <c r="G823" s="134" t="n">
        <v>0.67</v>
      </c>
      <c r="H823" s="137" t="inlineStr">
        <is>
          <t>Commander Legends</t>
        </is>
      </c>
    </row>
    <row r="824">
      <c r="A824" s="139" t="inlineStr">
        <is>
          <t>c0815</t>
        </is>
      </c>
      <c r="B824" s="134" t="n">
        <v>1</v>
      </c>
      <c r="C824" s="134" t="inlineStr">
        <is>
          <t>20</t>
        </is>
      </c>
      <c r="D824" s="134" t="inlineStr">
        <is>
          <t>Rare</t>
        </is>
      </c>
      <c r="E824" s="134" t="n">
        <v>0</v>
      </c>
      <c r="F824" s="134" t="n"/>
      <c r="G824" s="134" t="n">
        <v>0.36</v>
      </c>
      <c r="H824" s="134" t="inlineStr">
        <is>
          <t>Lorwyn Eclipsed</t>
        </is>
      </c>
    </row>
    <row r="825">
      <c r="A825" s="139" t="inlineStr">
        <is>
          <t>c0817</t>
        </is>
      </c>
      <c r="B825" s="134" t="n"/>
      <c r="C825" s="134" t="n"/>
      <c r="D825" s="134" t="n"/>
      <c r="E825" s="134" t="n"/>
      <c r="F825" s="134" t="n"/>
      <c r="G825" s="134" t="n">
        <v>0.06</v>
      </c>
      <c r="H825" s="137" t="inlineStr">
        <is>
          <t>Modern Horizons</t>
        </is>
      </c>
    </row>
    <row r="826">
      <c r="A826" s="139" t="inlineStr">
        <is>
          <t>c0818</t>
        </is>
      </c>
      <c r="B826" s="134" t="n"/>
      <c r="C826" s="134" t="n"/>
      <c r="D826" s="134" t="n"/>
      <c r="E826" s="134" t="n"/>
      <c r="F826" s="134" t="n"/>
      <c r="G826" s="134" t="n">
        <v>4.21</v>
      </c>
      <c r="H826" s="137" t="inlineStr">
        <is>
          <t>Shards of Alara</t>
        </is>
      </c>
    </row>
    <row r="827">
      <c r="A827" s="139" t="inlineStr">
        <is>
          <t>c0819</t>
        </is>
      </c>
      <c r="B827" s="134" t="n"/>
      <c r="C827" s="134" t="n"/>
      <c r="D827" s="134" t="n"/>
      <c r="E827" s="134" t="n"/>
      <c r="F827" s="134" t="n"/>
      <c r="G827" s="134" t="n">
        <v>0.21</v>
      </c>
      <c r="H827" s="137" t="inlineStr">
        <is>
          <t>Zendikar</t>
        </is>
      </c>
    </row>
    <row r="828">
      <c r="A828" s="139" t="inlineStr">
        <is>
          <t>c0820</t>
        </is>
      </c>
      <c r="B828" s="134" t="n"/>
      <c r="C828" s="134" t="n"/>
      <c r="D828" s="134" t="n"/>
      <c r="E828" s="134" t="n"/>
      <c r="F828" s="134" t="n"/>
      <c r="G828" s="134" t="n">
        <v>0.16</v>
      </c>
      <c r="H828" s="137" t="inlineStr">
        <is>
          <t>The Hobbit</t>
        </is>
      </c>
    </row>
    <row r="829">
      <c r="A829" s="139" t="inlineStr">
        <is>
          <t>c0821</t>
        </is>
      </c>
      <c r="B829" s="134" t="n"/>
      <c r="C829" s="134" t="n"/>
      <c r="D829" s="134" t="n"/>
      <c r="E829" s="134" t="n"/>
      <c r="F829" s="134" t="n"/>
      <c r="G829" s="134" t="n"/>
      <c r="H829" s="134" t="inlineStr">
        <is>
          <t>The Hobbit</t>
        </is>
      </c>
    </row>
    <row r="830">
      <c r="A830" s="139" t="inlineStr">
        <is>
          <t>c0822</t>
        </is>
      </c>
      <c r="B830" s="134" t="n"/>
      <c r="C830" s="134" t="n"/>
      <c r="D830" s="134" t="n"/>
      <c r="E830" s="134" t="n"/>
      <c r="F830" s="134" t="n"/>
      <c r="G830" s="134" t="n">
        <v>0.32</v>
      </c>
      <c r="H830" s="137" t="inlineStr">
        <is>
          <t>Dark Ascension</t>
        </is>
      </c>
    </row>
    <row r="831">
      <c r="A831" s="139" t="inlineStr">
        <is>
          <t>c0823</t>
        </is>
      </c>
      <c r="B831" s="134" t="n">
        <v>1</v>
      </c>
      <c r="C831" s="134" t="inlineStr">
        <is>
          <t>20</t>
        </is>
      </c>
      <c r="D831" s="134" t="inlineStr">
        <is>
          <t>Common</t>
        </is>
      </c>
      <c r="E831" s="134" t="n">
        <v>0</v>
      </c>
      <c r="F831" s="134" t="n"/>
      <c r="G831" s="134" t="n">
        <v>0.1</v>
      </c>
      <c r="H831" s="134" t="inlineStr">
        <is>
          <t>The Hobbit</t>
        </is>
      </c>
    </row>
    <row r="832">
      <c r="A832" s="139" t="inlineStr">
        <is>
          <t>c0824</t>
        </is>
      </c>
      <c r="B832" s="134" t="n"/>
      <c r="C832" s="134" t="n"/>
      <c r="D832" s="134" t="n"/>
      <c r="E832" s="134" t="n"/>
      <c r="F832" s="134" t="n"/>
      <c r="G832" s="134" t="n">
        <v>0.26</v>
      </c>
      <c r="H832" s="137" t="inlineStr">
        <is>
          <t>Murders at Karlov Manor</t>
        </is>
      </c>
    </row>
    <row r="833">
      <c r="A833" s="139" t="inlineStr">
        <is>
          <t>c0825</t>
        </is>
      </c>
      <c r="B833" s="134" t="n"/>
      <c r="C833" s="134" t="n"/>
      <c r="D833" s="134" t="n"/>
      <c r="E833" s="134" t="n"/>
      <c r="F833" s="134" t="n"/>
      <c r="G833" s="134" t="n">
        <v>0.14</v>
      </c>
      <c r="H833" s="137" t="inlineStr">
        <is>
          <t>Lorwyn Eclipsed</t>
        </is>
      </c>
    </row>
    <row r="834">
      <c r="A834" s="139" t="inlineStr">
        <is>
          <t>c0826</t>
        </is>
      </c>
      <c r="B834" s="134" t="n"/>
      <c r="C834" s="134" t="n"/>
      <c r="D834" s="134" t="n"/>
      <c r="E834" s="134" t="n"/>
      <c r="F834" s="134" t="n"/>
      <c r="G834" s="134" t="n">
        <v>4.76</v>
      </c>
      <c r="H834" s="137" t="inlineStr">
        <is>
          <t>Innistrad</t>
        </is>
      </c>
    </row>
    <row r="835">
      <c r="A835" s="139" t="inlineStr">
        <is>
          <t>c0827</t>
        </is>
      </c>
      <c r="B835" s="134" t="n"/>
      <c r="C835" s="134" t="n"/>
      <c r="D835" s="134" t="n"/>
      <c r="E835" s="134" t="n"/>
      <c r="F835" s="134" t="n"/>
      <c r="G835" s="134" t="n">
        <v>0.32</v>
      </c>
      <c r="H835" s="137" t="inlineStr">
        <is>
          <t>Ravnica Allegiance</t>
        </is>
      </c>
    </row>
    <row r="836">
      <c r="A836" s="139" t="inlineStr">
        <is>
          <t>c0828</t>
        </is>
      </c>
      <c r="B836" s="134" t="n"/>
      <c r="C836" s="134" t="n"/>
      <c r="D836" s="134" t="n"/>
      <c r="E836" s="134" t="n"/>
      <c r="F836" s="134" t="n"/>
      <c r="G836" s="134" t="n">
        <v>0.14</v>
      </c>
      <c r="H836" s="134" t="inlineStr">
        <is>
          <t>The Hobbit</t>
        </is>
      </c>
    </row>
    <row r="837">
      <c r="A837" s="139" t="inlineStr">
        <is>
          <t>c0829</t>
        </is>
      </c>
      <c r="B837" s="134" t="n"/>
      <c r="C837" s="134" t="n"/>
      <c r="D837" s="134" t="n"/>
      <c r="E837" s="134" t="n"/>
      <c r="F837" s="134" t="n"/>
      <c r="G837" s="134" t="n">
        <v>1.11</v>
      </c>
      <c r="H837" s="137" t="inlineStr">
        <is>
          <t>Commander 2021</t>
        </is>
      </c>
    </row>
    <row r="838">
      <c r="A838" s="139" t="inlineStr">
        <is>
          <t>c0830</t>
        </is>
      </c>
      <c r="B838" s="134" t="n"/>
      <c r="C838" s="134" t="n"/>
      <c r="D838" s="134" t="n"/>
      <c r="E838" s="134" t="n"/>
      <c r="F838" s="134" t="n"/>
      <c r="G838" s="134" t="n">
        <v>0.17</v>
      </c>
      <c r="H838" s="137" t="inlineStr">
        <is>
          <t>Lorwyn Eclipsed</t>
        </is>
      </c>
    </row>
    <row r="839">
      <c r="A839" s="139" t="inlineStr">
        <is>
          <t>c0831</t>
        </is>
      </c>
      <c r="B839" s="134" t="n"/>
      <c r="C839" s="134" t="n"/>
      <c r="D839" s="134" t="n"/>
      <c r="E839" s="134" t="n"/>
      <c r="F839" s="134" t="n"/>
      <c r="G839" s="134" t="n">
        <v>9.26</v>
      </c>
      <c r="H839" s="137" t="inlineStr">
        <is>
          <t>Wilds of Eldraine</t>
        </is>
      </c>
    </row>
    <row r="840">
      <c r="A840" s="139" t="inlineStr">
        <is>
          <t>c0832</t>
        </is>
      </c>
      <c r="B840" s="134" t="n"/>
      <c r="C840" s="134" t="n"/>
      <c r="D840" s="134" t="n"/>
      <c r="E840" s="134" t="n"/>
      <c r="F840" s="134" t="n"/>
      <c r="G840" s="134" t="n">
        <v>0.31</v>
      </c>
      <c r="H840" s="137" t="inlineStr">
        <is>
          <t>Journey into Nyx</t>
        </is>
      </c>
    </row>
    <row r="841">
      <c r="A841" s="139" t="inlineStr">
        <is>
          <t>c0833</t>
        </is>
      </c>
      <c r="B841" s="134" t="n"/>
      <c r="C841" s="134" t="n"/>
      <c r="D841" s="134" t="n"/>
      <c r="E841" s="134" t="n"/>
      <c r="F841" s="134" t="n"/>
      <c r="G841" s="134" t="n">
        <v>1.2</v>
      </c>
      <c r="H841" s="137" t="inlineStr">
        <is>
          <t>Shadows over Innistrad</t>
        </is>
      </c>
    </row>
    <row r="842">
      <c r="A842" s="139" t="inlineStr">
        <is>
          <t>c0835</t>
        </is>
      </c>
      <c r="B842" s="134" t="n"/>
      <c r="C842" s="134" t="n"/>
      <c r="D842" s="134" t="n"/>
      <c r="E842" s="134" t="n"/>
      <c r="F842" s="134" t="n"/>
      <c r="G842" s="134" t="n">
        <v>0.32</v>
      </c>
      <c r="H842" s="137" t="inlineStr">
        <is>
          <t>Phyrexia: All Will Be One</t>
        </is>
      </c>
    </row>
    <row r="843">
      <c r="A843" s="139" t="inlineStr">
        <is>
          <t>c0836</t>
        </is>
      </c>
      <c r="B843" s="134" t="n"/>
      <c r="C843" s="134" t="n"/>
      <c r="D843" s="134" t="n"/>
      <c r="E843" s="134" t="n"/>
      <c r="F843" s="134" t="n"/>
      <c r="G843" s="134" t="n">
        <v>1.49</v>
      </c>
      <c r="H843" s="137" t="inlineStr">
        <is>
          <t>Conflux</t>
        </is>
      </c>
    </row>
    <row r="844">
      <c r="A844" s="139" t="inlineStr">
        <is>
          <t>c0837</t>
        </is>
      </c>
      <c r="B844" s="134" t="n"/>
      <c r="C844" s="134" t="n"/>
      <c r="D844" s="134" t="n"/>
      <c r="E844" s="134" t="n"/>
      <c r="F844" s="134" t="n"/>
      <c r="G844" s="134" t="n">
        <v>1.4</v>
      </c>
      <c r="H844" s="137" t="inlineStr">
        <is>
          <t>Worldwake</t>
        </is>
      </c>
    </row>
    <row r="845">
      <c r="A845" s="139" t="inlineStr">
        <is>
          <t>c0838</t>
        </is>
      </c>
      <c r="B845" s="134" t="n"/>
      <c r="C845" s="134" t="n"/>
      <c r="D845" s="134" t="n"/>
      <c r="E845" s="134" t="n"/>
      <c r="F845" s="134" t="n"/>
      <c r="G845" s="134" t="n">
        <v>0.19</v>
      </c>
      <c r="H845" s="137" t="inlineStr">
        <is>
          <t>Secrets of Strixhaven</t>
        </is>
      </c>
    </row>
    <row r="846">
      <c r="A846" s="139" t="inlineStr">
        <is>
          <t>c0839</t>
        </is>
      </c>
      <c r="B846" s="134" t="n"/>
      <c r="C846" s="134" t="n"/>
      <c r="D846" s="134" t="n"/>
      <c r="E846" s="134" t="n"/>
      <c r="F846" s="134" t="n"/>
      <c r="G846" s="134" t="n">
        <v>0.24</v>
      </c>
      <c r="H846" s="137" t="inlineStr">
        <is>
          <t>Commander 2021</t>
        </is>
      </c>
    </row>
    <row r="847">
      <c r="A847" s="139" t="inlineStr">
        <is>
          <t>c0840</t>
        </is>
      </c>
      <c r="B847" s="134" t="n"/>
      <c r="C847" s="134" t="n"/>
      <c r="D847" s="134" t="n"/>
      <c r="E847" s="134" t="n"/>
      <c r="F847" s="134" t="n"/>
      <c r="G847" s="134" t="n">
        <v>0.28</v>
      </c>
      <c r="H847" s="137" t="inlineStr">
        <is>
          <t>Tarkir: Dragonstorm Commander</t>
        </is>
      </c>
    </row>
    <row r="848">
      <c r="A848" s="139" t="inlineStr">
        <is>
          <t>c0841</t>
        </is>
      </c>
      <c r="B848" s="134" t="n"/>
      <c r="C848" s="134" t="n"/>
      <c r="D848" s="134" t="n"/>
      <c r="E848" s="134" t="n"/>
      <c r="F848" s="134" t="n"/>
      <c r="G848" s="134" t="n">
        <v>0.21</v>
      </c>
      <c r="H848" s="137" t="inlineStr">
        <is>
          <t>Mirrodin</t>
        </is>
      </c>
    </row>
    <row r="849">
      <c r="A849" s="139" t="inlineStr">
        <is>
          <t>c0842</t>
        </is>
      </c>
      <c r="B849" s="134" t="n"/>
      <c r="C849" s="134" t="n"/>
      <c r="D849" s="134" t="n"/>
      <c r="E849" s="134" t="n"/>
      <c r="F849" s="134" t="n"/>
      <c r="G849" s="134" t="n">
        <v>0.32</v>
      </c>
      <c r="H849" s="137" t="inlineStr">
        <is>
          <t>Fate Reforged</t>
        </is>
      </c>
    </row>
    <row r="850">
      <c r="A850" s="139" t="inlineStr">
        <is>
          <t>c0843</t>
        </is>
      </c>
      <c r="B850" s="134" t="n">
        <v>1</v>
      </c>
      <c r="C850" s="134" t="inlineStr">
        <is>
          <t>29</t>
        </is>
      </c>
      <c r="D850" s="134" t="inlineStr">
        <is>
          <t>Common</t>
        </is>
      </c>
      <c r="E850" s="134" t="n">
        <v>0</v>
      </c>
      <c r="F850" s="134" t="inlineStr">
        <is>
          <t>Kim Sokol</t>
        </is>
      </c>
      <c r="G850" s="134" t="n">
        <v>0.03</v>
      </c>
      <c r="H850" s="134" t="inlineStr">
        <is>
          <t>Secrets of Strixhaven</t>
        </is>
      </c>
    </row>
    <row r="851">
      <c r="A851" s="139" t="inlineStr">
        <is>
          <t>c0844</t>
        </is>
      </c>
      <c r="B851" s="134" t="n"/>
      <c r="C851" s="134" t="n"/>
      <c r="D851" s="134" t="n"/>
      <c r="E851" s="134" t="n"/>
      <c r="F851" s="134" t="n"/>
      <c r="G851" s="134" t="n"/>
      <c r="H851" s="137" t="inlineStr">
        <is>
          <t>Neon Dynasty Commander</t>
        </is>
      </c>
    </row>
    <row r="852">
      <c r="A852" s="139" t="inlineStr">
        <is>
          <t>c0845</t>
        </is>
      </c>
      <c r="B852" s="134" t="n"/>
      <c r="C852" s="134" t="n"/>
      <c r="D852" s="134" t="n"/>
      <c r="E852" s="134" t="n"/>
      <c r="F852" s="134" t="n"/>
      <c r="G852" s="134" t="n">
        <v>0.09</v>
      </c>
      <c r="H852" s="137" t="inlineStr">
        <is>
          <t>Lorwyn Eclipsed</t>
        </is>
      </c>
    </row>
    <row r="853">
      <c r="A853" s="139" t="inlineStr">
        <is>
          <t>c0846</t>
        </is>
      </c>
      <c r="B853" s="134" t="n"/>
      <c r="C853" s="134" t="n"/>
      <c r="D853" s="134" t="n"/>
      <c r="E853" s="134" t="n"/>
      <c r="F853" s="134" t="n"/>
      <c r="G853" s="134" t="n">
        <v>0.28</v>
      </c>
      <c r="H853" s="137" t="inlineStr">
        <is>
          <t>Core Set 2019</t>
        </is>
      </c>
    </row>
    <row r="854">
      <c r="A854" s="139" t="inlineStr">
        <is>
          <t>c0847</t>
        </is>
      </c>
      <c r="B854" s="134" t="n"/>
      <c r="C854" s="134" t="n"/>
      <c r="D854" s="134" t="n"/>
      <c r="E854" s="134" t="n"/>
      <c r="F854" s="134" t="n"/>
      <c r="G854" s="134" t="n">
        <v>0.18</v>
      </c>
      <c r="H854" s="137" t="inlineStr">
        <is>
          <t>Bloomburrow</t>
        </is>
      </c>
    </row>
    <row r="855">
      <c r="A855" s="139" t="inlineStr">
        <is>
          <t>c0848</t>
        </is>
      </c>
      <c r="B855" s="134" t="n"/>
      <c r="C855" s="134" t="n"/>
      <c r="D855" s="134" t="n"/>
      <c r="E855" s="134" t="n"/>
      <c r="F855" s="134" t="n"/>
      <c r="G855" s="134" t="n">
        <v>0.83</v>
      </c>
      <c r="H855" s="137" t="inlineStr">
        <is>
          <t>Dark Ascension</t>
        </is>
      </c>
    </row>
    <row r="856">
      <c r="A856" s="139" t="inlineStr">
        <is>
          <t>c0849</t>
        </is>
      </c>
      <c r="B856" s="134" t="n"/>
      <c r="C856" s="134" t="n"/>
      <c r="D856" s="134" t="n"/>
      <c r="E856" s="134" t="n"/>
      <c r="F856" s="134" t="n"/>
      <c r="G856" s="134" t="n">
        <v>0.38</v>
      </c>
      <c r="H856" s="137" t="inlineStr">
        <is>
          <t>Avacyn Restored</t>
        </is>
      </c>
    </row>
    <row r="857">
      <c r="A857" s="139" t="inlineStr">
        <is>
          <t>c0850</t>
        </is>
      </c>
      <c r="B857" s="134" t="n"/>
      <c r="C857" s="134" t="n"/>
      <c r="D857" s="134" t="n"/>
      <c r="E857" s="134" t="n"/>
      <c r="F857" s="134" t="n"/>
      <c r="G857" s="134" t="n">
        <v>0.33</v>
      </c>
      <c r="H857" s="137" t="inlineStr">
        <is>
          <t>Time Spiral</t>
        </is>
      </c>
    </row>
    <row r="858">
      <c r="A858" s="139" t="inlineStr">
        <is>
          <t>c0851</t>
        </is>
      </c>
      <c r="B858" s="134" t="n"/>
      <c r="C858" s="134" t="n"/>
      <c r="D858" s="134" t="n"/>
      <c r="E858" s="134" t="n"/>
      <c r="F858" s="134" t="n"/>
      <c r="G858" s="134" t="n">
        <v>2.14</v>
      </c>
      <c r="H858" s="137" t="inlineStr">
        <is>
          <t>Magic 2013</t>
        </is>
      </c>
    </row>
    <row r="859">
      <c r="A859" s="139" t="inlineStr">
        <is>
          <t>c0852</t>
        </is>
      </c>
      <c r="B859" s="134" t="n"/>
      <c r="C859" s="134" t="n"/>
      <c r="D859" s="134" t="n"/>
      <c r="E859" s="134" t="n"/>
      <c r="F859" s="134" t="n"/>
      <c r="G859" s="134" t="n">
        <v>0.21</v>
      </c>
      <c r="H859" s="137" t="inlineStr">
        <is>
          <t>Lorwyn Eclipsed</t>
        </is>
      </c>
    </row>
    <row r="860">
      <c r="A860" s="139" t="inlineStr">
        <is>
          <t>c0853</t>
        </is>
      </c>
      <c r="B860" s="134" t="n"/>
      <c r="C860" s="134" t="n"/>
      <c r="D860" s="134" t="n"/>
      <c r="E860" s="134" t="n"/>
      <c r="F860" s="134" t="n"/>
      <c r="G860" s="134" t="n">
        <v>1.83</v>
      </c>
      <c r="H860" s="137" t="inlineStr">
        <is>
          <t>Stronghold</t>
        </is>
      </c>
    </row>
    <row r="861">
      <c r="A861" s="139" t="inlineStr">
        <is>
          <t>c0854</t>
        </is>
      </c>
      <c r="B861" s="134" t="n"/>
      <c r="C861" s="134" t="n"/>
      <c r="D861" s="134" t="n"/>
      <c r="E861" s="134" t="n"/>
      <c r="F861" s="134" t="n"/>
      <c r="G861" s="134" t="n">
        <v>0.18</v>
      </c>
      <c r="H861" s="137" t="inlineStr">
        <is>
          <t>Return to Ravnica</t>
        </is>
      </c>
    </row>
    <row r="862">
      <c r="A862" s="139" t="inlineStr">
        <is>
          <t>c0855</t>
        </is>
      </c>
      <c r="B862" s="134" t="n"/>
      <c r="C862" s="134" t="n"/>
      <c r="D862" s="134" t="n"/>
      <c r="E862" s="134" t="n"/>
      <c r="F862" s="134" t="n"/>
      <c r="G862" s="134" t="n">
        <v>0.77</v>
      </c>
      <c r="H862" s="137" t="inlineStr">
        <is>
          <t>Modern Horizons 3 Commander</t>
        </is>
      </c>
    </row>
    <row r="863">
      <c r="A863" s="139" t="inlineStr">
        <is>
          <t>c0856</t>
        </is>
      </c>
      <c r="B863" s="134" t="n"/>
      <c r="C863" s="134" t="n"/>
      <c r="D863" s="134" t="n"/>
      <c r="E863" s="134" t="n"/>
      <c r="F863" s="134" t="n"/>
      <c r="G863" s="134" t="n">
        <v>0.33</v>
      </c>
      <c r="H863" s="137" t="inlineStr">
        <is>
          <t>Strixhaven: School of Mages</t>
        </is>
      </c>
    </row>
    <row r="864">
      <c r="A864" s="139" t="inlineStr">
        <is>
          <t>c0857</t>
        </is>
      </c>
      <c r="B864" s="134" t="n"/>
      <c r="C864" s="134" t="n"/>
      <c r="D864" s="134" t="n"/>
      <c r="E864" s="134" t="n"/>
      <c r="F864" s="134" t="n"/>
      <c r="G864" s="134" t="n">
        <v>0.41</v>
      </c>
      <c r="H864" s="137" t="inlineStr">
        <is>
          <t>Eldritch Moon</t>
        </is>
      </c>
    </row>
    <row r="865">
      <c r="A865" s="139" t="inlineStr">
        <is>
          <t>c0858</t>
        </is>
      </c>
      <c r="B865" s="134" t="n"/>
      <c r="C865" s="134" t="n"/>
      <c r="D865" s="134" t="n"/>
      <c r="E865" s="134" t="n"/>
      <c r="F865" s="134" t="n"/>
      <c r="G865" s="134" t="n">
        <v>0.5</v>
      </c>
      <c r="H865" s="137" t="inlineStr">
        <is>
          <t>Dominaria United</t>
        </is>
      </c>
    </row>
    <row r="866">
      <c r="A866" s="139" t="inlineStr">
        <is>
          <t>c0859</t>
        </is>
      </c>
      <c r="B866" s="134" t="n"/>
      <c r="C866" s="134" t="n"/>
      <c r="D866" s="134" t="n"/>
      <c r="E866" s="134" t="n"/>
      <c r="F866" s="134" t="n"/>
      <c r="G866" s="134" t="n">
        <v>0.43</v>
      </c>
      <c r="H866" s="134" t="inlineStr">
        <is>
          <t>Ixalan</t>
        </is>
      </c>
    </row>
    <row r="867">
      <c r="A867" s="139" t="inlineStr">
        <is>
          <t>c0860</t>
        </is>
      </c>
      <c r="B867" s="134" t="n"/>
      <c r="C867" s="134" t="n"/>
      <c r="D867" s="134" t="n"/>
      <c r="E867" s="134" t="n"/>
      <c r="F867" s="134" t="n"/>
      <c r="G867" s="134" t="n">
        <v>0.39</v>
      </c>
      <c r="H867" s="137" t="inlineStr">
        <is>
          <t>Commander 2019</t>
        </is>
      </c>
    </row>
    <row r="868">
      <c r="A868" s="139" t="inlineStr">
        <is>
          <t>c0861</t>
        </is>
      </c>
      <c r="B868" s="134" t="n">
        <v>1</v>
      </c>
      <c r="C868" s="134" t="inlineStr">
        <is>
          <t>31</t>
        </is>
      </c>
      <c r="D868" s="134" t="inlineStr">
        <is>
          <t>Common</t>
        </is>
      </c>
      <c r="E868" s="134" t="n">
        <v>0</v>
      </c>
      <c r="F868" s="134" t="inlineStr">
        <is>
          <t>Ashley Lovett</t>
        </is>
      </c>
      <c r="G868" s="134" t="n">
        <v>0.22</v>
      </c>
      <c r="H868" s="134" t="inlineStr">
        <is>
          <t>Secrets of Strixhaven</t>
        </is>
      </c>
    </row>
    <row r="869">
      <c r="A869" s="139" t="inlineStr">
        <is>
          <t>c0862</t>
        </is>
      </c>
      <c r="B869" s="134" t="n"/>
      <c r="C869" s="134" t="n"/>
      <c r="D869" s="134" t="n"/>
      <c r="E869" s="134" t="n"/>
      <c r="F869" s="134" t="n"/>
      <c r="G869" s="134" t="n">
        <v>0.08</v>
      </c>
      <c r="H869" s="137" t="inlineStr">
        <is>
          <t>Lorwyn Eclipsed</t>
        </is>
      </c>
    </row>
    <row r="870">
      <c r="A870" s="139" t="inlineStr">
        <is>
          <t>c0863</t>
        </is>
      </c>
      <c r="B870" s="134" t="n"/>
      <c r="C870" s="134" t="n"/>
      <c r="D870" s="134" t="n"/>
      <c r="E870" s="134" t="n"/>
      <c r="F870" s="134" t="n"/>
      <c r="G870" s="134" t="n">
        <v>3.27</v>
      </c>
      <c r="H870" s="137" t="inlineStr">
        <is>
          <t>Phyrexia: All Will Be One</t>
        </is>
      </c>
    </row>
    <row r="871">
      <c r="A871" s="139" t="inlineStr">
        <is>
          <t>c0864</t>
        </is>
      </c>
      <c r="B871" s="134" t="n"/>
      <c r="C871" s="134" t="n"/>
      <c r="D871" s="134" t="n"/>
      <c r="E871" s="134" t="n"/>
      <c r="F871" s="134" t="n"/>
      <c r="G871" s="134" t="n">
        <v>0.32</v>
      </c>
      <c r="H871" s="137" t="inlineStr">
        <is>
          <t>Zendikar Rising</t>
        </is>
      </c>
    </row>
    <row r="872">
      <c r="A872" s="139" t="inlineStr">
        <is>
          <t>c0865</t>
        </is>
      </c>
      <c r="B872" s="134" t="n"/>
      <c r="C872" s="134" t="n"/>
      <c r="D872" s="134" t="n"/>
      <c r="E872" s="134" t="n"/>
      <c r="F872" s="134" t="n"/>
      <c r="G872" s="134" t="n">
        <v>0.32</v>
      </c>
      <c r="H872" s="137" t="inlineStr">
        <is>
          <t>Rivals of Ixalan</t>
        </is>
      </c>
    </row>
    <row r="873">
      <c r="A873" s="139" t="inlineStr">
        <is>
          <t>c0866</t>
        </is>
      </c>
      <c r="B873" s="134" t="n"/>
      <c r="C873" s="134" t="n"/>
      <c r="D873" s="134" t="n"/>
      <c r="E873" s="134" t="n"/>
      <c r="F873" s="134" t="n"/>
      <c r="G873" s="134" t="n">
        <v>59.26</v>
      </c>
      <c r="H873" s="137" t="inlineStr">
        <is>
          <t>Ravnica Allegiance</t>
        </is>
      </c>
    </row>
    <row r="874">
      <c r="A874" s="139" t="inlineStr">
        <is>
          <t>c0868</t>
        </is>
      </c>
      <c r="B874" s="134" t="n"/>
      <c r="C874" s="134" t="n"/>
      <c r="D874" s="134" t="n"/>
      <c r="E874" s="134" t="n"/>
      <c r="F874" s="134" t="n"/>
      <c r="G874" s="134" t="n">
        <v>0.34</v>
      </c>
      <c r="H874" s="137" t="inlineStr">
        <is>
          <t>Shadowmoor</t>
        </is>
      </c>
    </row>
    <row r="875">
      <c r="A875" s="139" t="inlineStr">
        <is>
          <t>c0869</t>
        </is>
      </c>
      <c r="B875" s="134" t="n"/>
      <c r="C875" s="134" t="n"/>
      <c r="D875" s="134" t="n"/>
      <c r="E875" s="134" t="n"/>
      <c r="F875" s="134" t="n"/>
      <c r="G875" s="134" t="n">
        <v>0.14</v>
      </c>
      <c r="H875" s="137" t="inlineStr">
        <is>
          <t>Lorwyn Eclipsed</t>
        </is>
      </c>
    </row>
    <row r="876">
      <c r="A876" s="139" t="inlineStr">
        <is>
          <t>c0870</t>
        </is>
      </c>
      <c r="B876" s="134" t="n"/>
      <c r="C876" s="134" t="n"/>
      <c r="D876" s="134" t="n"/>
      <c r="E876" s="134" t="n"/>
      <c r="F876" s="134" t="n"/>
      <c r="G876" s="134" t="n">
        <v>0.44</v>
      </c>
      <c r="H876" s="137" t="inlineStr">
        <is>
          <t>Phyrexia: All Will Be One Commander</t>
        </is>
      </c>
    </row>
    <row r="877">
      <c r="A877" s="139" t="inlineStr">
        <is>
          <t>c0871</t>
        </is>
      </c>
      <c r="B877" s="134" t="n"/>
      <c r="C877" s="134" t="n"/>
      <c r="D877" s="134" t="n"/>
      <c r="E877" s="134" t="n"/>
      <c r="F877" s="134" t="n"/>
      <c r="G877" s="134" t="n">
        <v>1.84</v>
      </c>
      <c r="H877" s="137" t="inlineStr">
        <is>
          <t>Rise of the Eldrazi</t>
        </is>
      </c>
    </row>
    <row r="878">
      <c r="A878" s="139" t="inlineStr">
        <is>
          <t>c0873</t>
        </is>
      </c>
      <c r="B878" s="134" t="n"/>
      <c r="C878" s="134" t="n"/>
      <c r="D878" s="134" t="n"/>
      <c r="E878" s="134" t="n"/>
      <c r="F878" s="134" t="n"/>
      <c r="G878" s="134" t="n">
        <v>0.17</v>
      </c>
      <c r="H878" s="134" t="inlineStr">
        <is>
          <t>The Hobbit</t>
        </is>
      </c>
    </row>
    <row r="879">
      <c r="A879" s="139" t="inlineStr">
        <is>
          <t>c0874</t>
        </is>
      </c>
      <c r="B879" s="134" t="n">
        <v>1</v>
      </c>
      <c r="C879" s="134" t="inlineStr">
        <is>
          <t>36</t>
        </is>
      </c>
      <c r="D879" s="134" t="inlineStr">
        <is>
          <t>Common</t>
        </is>
      </c>
      <c r="E879" s="134" t="n">
        <v>0</v>
      </c>
      <c r="F879" s="134" t="n"/>
      <c r="G879" s="134" t="n">
        <v>0.07000000000000001</v>
      </c>
      <c r="H879" s="134" t="inlineStr">
        <is>
          <t>Secrets of Strixhaven</t>
        </is>
      </c>
    </row>
    <row r="880">
      <c r="A880" s="139" t="inlineStr">
        <is>
          <t>c0875</t>
        </is>
      </c>
      <c r="B880" s="134" t="n"/>
      <c r="C880" s="134" t="n"/>
      <c r="D880" s="134" t="n"/>
      <c r="E880" s="134" t="n"/>
      <c r="F880" s="134" t="n"/>
      <c r="G880" s="134" t="n">
        <v>0.11</v>
      </c>
      <c r="H880" s="137" t="inlineStr">
        <is>
          <t>Planar Chaos</t>
        </is>
      </c>
    </row>
    <row r="881">
      <c r="A881" s="139" t="inlineStr">
        <is>
          <t>c0876</t>
        </is>
      </c>
      <c r="B881" s="134" t="n"/>
      <c r="C881" s="134" t="n"/>
      <c r="D881" s="134" t="n"/>
      <c r="E881" s="134" t="n"/>
      <c r="F881" s="134" t="n"/>
      <c r="G881" s="134" t="n">
        <v>0.32</v>
      </c>
      <c r="H881" s="135" t="inlineStr">
        <is>
          <t>Magic 2011</t>
        </is>
      </c>
    </row>
    <row r="882">
      <c r="A882" s="139" t="inlineStr">
        <is>
          <t>c0877</t>
        </is>
      </c>
      <c r="B882" s="134" t="n"/>
      <c r="C882" s="134" t="n"/>
      <c r="D882" s="134" t="n"/>
      <c r="E882" s="134" t="n"/>
      <c r="F882" s="134" t="n"/>
      <c r="G882" s="134" t="n">
        <v>0.14</v>
      </c>
      <c r="H882" s="135" t="inlineStr">
        <is>
          <t>Lorwyn Eclipsed</t>
        </is>
      </c>
    </row>
    <row r="883">
      <c r="A883" s="139" t="inlineStr">
        <is>
          <t>c0878</t>
        </is>
      </c>
      <c r="B883" s="134" t="n"/>
      <c r="C883" s="134" t="n"/>
      <c r="D883" s="134" t="n"/>
      <c r="E883" s="134" t="n"/>
      <c r="F883" s="134" t="n"/>
      <c r="G883" s="134" t="n">
        <v>4.4</v>
      </c>
      <c r="H883" s="135" t="inlineStr">
        <is>
          <t>New Phyrexia</t>
        </is>
      </c>
    </row>
    <row r="884">
      <c r="A884" s="139" t="inlineStr">
        <is>
          <t>c0879</t>
        </is>
      </c>
      <c r="B884" s="134" t="n"/>
      <c r="C884" s="134" t="n"/>
      <c r="D884" s="134" t="n"/>
      <c r="E884" s="134" t="n"/>
      <c r="F884" s="134" t="n"/>
      <c r="G884" s="134" t="n">
        <v>1.56</v>
      </c>
      <c r="H884" s="135" t="inlineStr">
        <is>
          <t>Limited Edition Alpha</t>
        </is>
      </c>
    </row>
    <row r="885">
      <c r="A885" s="139" t="inlineStr">
        <is>
          <t>c0880</t>
        </is>
      </c>
      <c r="B885" s="134" t="n"/>
      <c r="C885" s="134" t="n"/>
      <c r="D885" s="134" t="n"/>
      <c r="E885" s="134" t="n"/>
      <c r="F885" s="134" t="n"/>
      <c r="G885" s="134" t="n">
        <v>10.49</v>
      </c>
      <c r="H885" s="135" t="inlineStr">
        <is>
          <t>Adventures in the Forgotten Realms</t>
        </is>
      </c>
    </row>
    <row r="886">
      <c r="A886" s="139" t="inlineStr">
        <is>
          <t>c0881</t>
        </is>
      </c>
      <c r="B886" s="134" t="n"/>
      <c r="C886" s="134" t="n"/>
      <c r="D886" s="134" t="n"/>
      <c r="E886" s="134" t="n"/>
      <c r="F886" s="134" t="n"/>
      <c r="G886" s="134" t="n">
        <v>0.27</v>
      </c>
      <c r="H886" s="135" t="inlineStr">
        <is>
          <t>Dominaria</t>
        </is>
      </c>
    </row>
    <row r="887">
      <c r="A887" s="139" t="inlineStr">
        <is>
          <t>c0882</t>
        </is>
      </c>
      <c r="B887" s="134" t="n"/>
      <c r="C887" s="134" t="n"/>
      <c r="D887" s="134" t="n"/>
      <c r="E887" s="134" t="n"/>
      <c r="F887" s="134" t="n"/>
      <c r="G887" s="134" t="n">
        <v>1.1</v>
      </c>
      <c r="H887" s="135" t="inlineStr">
        <is>
          <t>Phyrexia: All Will Be One</t>
        </is>
      </c>
    </row>
    <row r="888">
      <c r="A888" s="139" t="inlineStr">
        <is>
          <t>c0883</t>
        </is>
      </c>
      <c r="B888" s="134" t="n"/>
      <c r="C888" s="134" t="n"/>
      <c r="D888" s="134" t="n"/>
      <c r="E888" s="134" t="n"/>
      <c r="F888" s="134" t="n"/>
      <c r="G888" s="134" t="n"/>
      <c r="H888" s="135" t="inlineStr">
        <is>
          <t>Kamigawa: Neon Dynasty</t>
        </is>
      </c>
    </row>
    <row r="889">
      <c r="A889" s="139" t="inlineStr">
        <is>
          <t>c0885</t>
        </is>
      </c>
      <c r="B889" s="134" t="n"/>
      <c r="C889" s="134" t="n"/>
      <c r="D889" s="134" t="n"/>
      <c r="E889" s="134" t="n"/>
      <c r="F889" s="134" t="n"/>
      <c r="G889" s="134" t="n"/>
      <c r="H889" s="136" t="inlineStr">
        <is>
          <t>Lorwyn Eclipsed</t>
        </is>
      </c>
    </row>
    <row r="890">
      <c r="A890" s="139" t="inlineStr">
        <is>
          <t>c0886</t>
        </is>
      </c>
      <c r="B890" s="134" t="n"/>
      <c r="C890" s="134" t="n"/>
      <c r="D890" s="134" t="n"/>
      <c r="E890" s="134" t="n"/>
      <c r="F890" s="134" t="n"/>
      <c r="G890" s="134" t="n">
        <v>0.09</v>
      </c>
      <c r="H890" s="135" t="inlineStr">
        <is>
          <t>Lorwyn Eclipsed</t>
        </is>
      </c>
    </row>
    <row r="891">
      <c r="A891" s="139" t="inlineStr">
        <is>
          <t>c0887</t>
        </is>
      </c>
      <c r="B891" s="134" t="n"/>
      <c r="C891" s="134" t="n"/>
      <c r="D891" s="134" t="n"/>
      <c r="E891" s="134" t="n"/>
      <c r="F891" s="134" t="n"/>
      <c r="G891" s="134" t="n">
        <v>0.35</v>
      </c>
      <c r="H891" s="135" t="inlineStr">
        <is>
          <t>Ravnica Allegiance</t>
        </is>
      </c>
    </row>
    <row r="892">
      <c r="A892" s="139" t="inlineStr">
        <is>
          <t>c0888</t>
        </is>
      </c>
      <c r="B892" s="134" t="n"/>
      <c r="C892" s="134" t="n"/>
      <c r="D892" s="134" t="n"/>
      <c r="E892" s="134" t="n"/>
      <c r="F892" s="134" t="n"/>
      <c r="G892" s="134" t="n">
        <v>0.8100000000000001</v>
      </c>
      <c r="H892" s="135" t="inlineStr">
        <is>
          <t>The Brothers' War</t>
        </is>
      </c>
    </row>
    <row r="893">
      <c r="A893" s="139" t="inlineStr">
        <is>
          <t>c0889</t>
        </is>
      </c>
      <c r="B893" s="134" t="n"/>
      <c r="C893" s="134" t="n"/>
      <c r="D893" s="134" t="n"/>
      <c r="E893" s="134" t="n"/>
      <c r="F893" s="134" t="n"/>
      <c r="G893" s="134" t="n">
        <v>0.17</v>
      </c>
      <c r="H893" s="135" t="inlineStr">
        <is>
          <t>Magic Origins</t>
        </is>
      </c>
    </row>
    <row r="894">
      <c r="A894" s="139" t="inlineStr">
        <is>
          <t>c0890</t>
        </is>
      </c>
      <c r="B894" s="134" t="n"/>
      <c r="C894" s="134" t="n"/>
      <c r="D894" s="134" t="n"/>
      <c r="E894" s="134" t="n"/>
      <c r="F894" s="134" t="n"/>
      <c r="G894" s="134" t="n">
        <v>1.4</v>
      </c>
      <c r="H894" s="135" t="inlineStr">
        <is>
          <t>Ravnica Allegiance</t>
        </is>
      </c>
    </row>
    <row r="895">
      <c r="A895" s="139" t="inlineStr">
        <is>
          <t>c0891</t>
        </is>
      </c>
      <c r="B895" s="134" t="n"/>
      <c r="C895" s="134" t="n"/>
      <c r="D895" s="134" t="n"/>
      <c r="E895" s="134" t="n"/>
      <c r="F895" s="134" t="n"/>
      <c r="G895" s="134" t="n">
        <v>0.21</v>
      </c>
      <c r="H895" s="135" t="inlineStr">
        <is>
          <t>Fate Reforged</t>
        </is>
      </c>
    </row>
    <row r="896">
      <c r="A896" s="139" t="inlineStr">
        <is>
          <t>c0892</t>
        </is>
      </c>
      <c r="B896" s="134" t="n"/>
      <c r="C896" s="134" t="n"/>
      <c r="D896" s="134" t="n"/>
      <c r="E896" s="134" t="n"/>
      <c r="F896" s="134" t="n"/>
      <c r="G896" s="134" t="n">
        <v>0.21</v>
      </c>
      <c r="H896" s="135" t="inlineStr">
        <is>
          <t>Secrets of Strixhaven Commander</t>
        </is>
      </c>
    </row>
    <row r="897">
      <c r="A897" s="139" t="inlineStr">
        <is>
          <t>c0893</t>
        </is>
      </c>
      <c r="B897" s="134" t="n">
        <v>2</v>
      </c>
      <c r="C897" s="134" t="inlineStr">
        <is>
          <t>30</t>
        </is>
      </c>
      <c r="D897" s="134" t="inlineStr">
        <is>
          <t>Common</t>
        </is>
      </c>
      <c r="E897" s="134" t="n">
        <v>0</v>
      </c>
      <c r="F897" s="134" t="inlineStr">
        <is>
          <t>Xabi Gaztelua</t>
        </is>
      </c>
      <c r="G897" s="134" t="n">
        <v>0.12</v>
      </c>
      <c r="H897" s="136" t="inlineStr">
        <is>
          <t>The Hobbit</t>
        </is>
      </c>
    </row>
    <row r="898">
      <c r="A898" s="139" t="inlineStr">
        <is>
          <t>c0894</t>
        </is>
      </c>
      <c r="B898" s="134" t="n"/>
      <c r="C898" s="134" t="n"/>
      <c r="D898" s="134" t="n"/>
      <c r="E898" s="134" t="n"/>
      <c r="F898" s="134" t="n"/>
      <c r="G898" s="134" t="n"/>
      <c r="H898" s="135" t="inlineStr">
        <is>
          <t>Final Fantasy</t>
        </is>
      </c>
    </row>
    <row r="899">
      <c r="A899" s="139" t="inlineStr">
        <is>
          <t>c0895</t>
        </is>
      </c>
      <c r="B899" s="134" t="n">
        <v>1</v>
      </c>
      <c r="C899" s="134" t="inlineStr">
        <is>
          <t>31</t>
        </is>
      </c>
      <c r="D899" s="134" t="inlineStr">
        <is>
          <t>Common</t>
        </is>
      </c>
      <c r="E899" s="134" t="n">
        <v>0</v>
      </c>
      <c r="F899" s="134" t="n"/>
      <c r="G899" s="134" t="n">
        <v>0.15</v>
      </c>
      <c r="H899" s="136" t="inlineStr">
        <is>
          <t>The Hobbit</t>
        </is>
      </c>
    </row>
    <row r="900">
      <c r="A900" s="139" t="inlineStr">
        <is>
          <t>c0896</t>
        </is>
      </c>
      <c r="B900" s="134" t="n"/>
      <c r="C900" s="134" t="n"/>
      <c r="D900" s="134" t="n"/>
      <c r="E900" s="134" t="n"/>
      <c r="F900" s="134" t="n"/>
      <c r="G900" s="134" t="n">
        <v>0.27</v>
      </c>
      <c r="H900" s="135" t="inlineStr">
        <is>
          <t>Dissension</t>
        </is>
      </c>
    </row>
    <row r="901">
      <c r="A901" s="139" t="inlineStr">
        <is>
          <t>c0897</t>
        </is>
      </c>
      <c r="B901" s="134" t="n"/>
      <c r="C901" s="134" t="n"/>
      <c r="D901" s="134" t="n"/>
      <c r="E901" s="134" t="n"/>
      <c r="F901" s="134" t="n"/>
      <c r="G901" s="134" t="n">
        <v>0.32</v>
      </c>
      <c r="H901" s="135" t="inlineStr">
        <is>
          <t>Rise of the Eldrazi</t>
        </is>
      </c>
    </row>
    <row r="902">
      <c r="A902" s="139" t="inlineStr">
        <is>
          <t>c0898</t>
        </is>
      </c>
      <c r="B902" s="134" t="n"/>
      <c r="C902" s="134" t="n"/>
      <c r="D902" s="134" t="n"/>
      <c r="E902" s="134" t="n"/>
      <c r="F902" s="134" t="n"/>
      <c r="G902" s="134" t="n">
        <v>0.1</v>
      </c>
      <c r="H902" s="135" t="inlineStr">
        <is>
          <t>Oath of the Gatewatch</t>
        </is>
      </c>
    </row>
    <row r="903">
      <c r="A903" s="139" t="inlineStr">
        <is>
          <t>c0899</t>
        </is>
      </c>
      <c r="B903" s="134" t="n"/>
      <c r="C903" s="134" t="n"/>
      <c r="D903" s="134" t="n"/>
      <c r="E903" s="134" t="n"/>
      <c r="F903" s="134" t="n"/>
      <c r="G903" s="134" t="n">
        <v>0.35</v>
      </c>
      <c r="H903" s="138" t="inlineStr">
        <is>
          <t>Conflux</t>
        </is>
      </c>
    </row>
    <row r="904">
      <c r="A904" s="139" t="inlineStr">
        <is>
          <t>c0900</t>
        </is>
      </c>
      <c r="B904" s="134" t="n"/>
      <c r="C904" s="134" t="n"/>
      <c r="D904" s="134" t="n"/>
      <c r="E904" s="134" t="n"/>
      <c r="F904" s="134" t="n"/>
      <c r="G904" s="134" t="n"/>
      <c r="H904" s="142" t="inlineStr">
        <is>
          <t>War of the Spark</t>
        </is>
      </c>
    </row>
    <row r="905">
      <c r="A905" s="139" t="inlineStr">
        <is>
          <t>c0901</t>
        </is>
      </c>
      <c r="B905" s="134" t="n"/>
      <c r="C905" s="134" t="n"/>
      <c r="D905" s="134" t="n"/>
      <c r="E905" s="134" t="n"/>
      <c r="F905" s="134" t="n"/>
      <c r="G905" s="134" t="n">
        <v>0.54</v>
      </c>
      <c r="H905" s="138" t="inlineStr">
        <is>
          <t>Mercadian Masques</t>
        </is>
      </c>
    </row>
    <row r="906">
      <c r="A906" s="139" t="inlineStr">
        <is>
          <t>c0903</t>
        </is>
      </c>
      <c r="B906" s="134" t="n"/>
      <c r="C906" s="134" t="n"/>
      <c r="D906" s="134" t="n"/>
      <c r="E906" s="134" t="n"/>
      <c r="F906" s="134" t="n"/>
      <c r="G906" s="134" t="n">
        <v>3.09</v>
      </c>
      <c r="H906" s="138" t="inlineStr">
        <is>
          <t>Innistrad: Crimson Vow</t>
        </is>
      </c>
    </row>
    <row r="907">
      <c r="A907" s="139" t="inlineStr">
        <is>
          <t>c0904</t>
        </is>
      </c>
      <c r="B907" s="134" t="n"/>
      <c r="C907" s="134" t="n"/>
      <c r="D907" s="134" t="n"/>
      <c r="E907" s="134" t="n"/>
      <c r="F907" s="134" t="n"/>
      <c r="G907" s="134" t="n">
        <v>0.27</v>
      </c>
      <c r="H907" s="138" t="inlineStr">
        <is>
          <t>Modern Horizons 3</t>
        </is>
      </c>
    </row>
    <row r="908">
      <c r="A908" s="139" t="inlineStr">
        <is>
          <t>c0905</t>
        </is>
      </c>
      <c r="B908" s="134" t="n"/>
      <c r="C908" s="134" t="n"/>
      <c r="D908" s="134" t="n"/>
      <c r="E908" s="134" t="n"/>
      <c r="F908" s="134" t="n"/>
      <c r="G908" s="134" t="n">
        <v>0.24</v>
      </c>
      <c r="H908" s="138" t="inlineStr">
        <is>
          <t>Salvat 2005</t>
        </is>
      </c>
    </row>
    <row r="909">
      <c r="A909" s="139" t="inlineStr">
        <is>
          <t>c0906</t>
        </is>
      </c>
      <c r="B909" s="134" t="n"/>
      <c r="C909" s="134" t="n"/>
      <c r="D909" s="134" t="n"/>
      <c r="E909" s="134" t="n"/>
      <c r="F909" s="134" t="n"/>
      <c r="G909" s="134" t="n">
        <v>0.18</v>
      </c>
      <c r="H909" s="138" t="inlineStr">
        <is>
          <t>Marvel's Spider-Man</t>
        </is>
      </c>
    </row>
    <row r="910">
      <c r="A910" s="139" t="inlineStr">
        <is>
          <t>c0907</t>
        </is>
      </c>
      <c r="B910" s="134" t="n"/>
      <c r="C910" s="134" t="n"/>
      <c r="D910" s="134" t="n"/>
      <c r="E910" s="134" t="n"/>
      <c r="F910" s="134" t="n"/>
      <c r="G910" s="134" t="n">
        <v>0.83</v>
      </c>
      <c r="H910" s="138" t="inlineStr">
        <is>
          <t>Legions</t>
        </is>
      </c>
    </row>
    <row r="911">
      <c r="A911" s="139" t="inlineStr">
        <is>
          <t>c0908</t>
        </is>
      </c>
      <c r="B911" s="134" t="n"/>
      <c r="C911" s="134" t="n"/>
      <c r="D911" s="134" t="n"/>
      <c r="E911" s="134" t="n"/>
      <c r="F911" s="134" t="n"/>
      <c r="G911" s="134" t="n">
        <v>4.84</v>
      </c>
      <c r="H911" s="138" t="inlineStr">
        <is>
          <t>Modern Horizons</t>
        </is>
      </c>
    </row>
    <row r="912">
      <c r="A912" s="139" t="inlineStr">
        <is>
          <t>c0909</t>
        </is>
      </c>
      <c r="B912" s="134" t="n"/>
      <c r="C912" s="134" t="n"/>
      <c r="D912" s="134" t="n"/>
      <c r="E912" s="134" t="n"/>
      <c r="F912" s="134" t="n"/>
      <c r="G912" s="134" t="n">
        <v>0.32</v>
      </c>
      <c r="H912" s="138" t="inlineStr">
        <is>
          <t>Dominaria United</t>
        </is>
      </c>
    </row>
    <row r="913">
      <c r="A913" s="139" t="inlineStr">
        <is>
          <t>c0910</t>
        </is>
      </c>
      <c r="B913" s="134" t="n"/>
      <c r="C913" s="134" t="n"/>
      <c r="D913" s="134" t="n"/>
      <c r="E913" s="134" t="n"/>
      <c r="F913" s="134" t="n"/>
      <c r="G913" s="134" t="n">
        <v>0.32</v>
      </c>
      <c r="H913" s="138" t="inlineStr">
        <is>
          <t>Lorwyn Eclipsed</t>
        </is>
      </c>
    </row>
    <row r="914">
      <c r="A914" s="139" t="inlineStr">
        <is>
          <t>c0911</t>
        </is>
      </c>
      <c r="B914" s="134" t="n"/>
      <c r="C914" s="134" t="n"/>
      <c r="D914" s="134" t="n"/>
      <c r="E914" s="134" t="n"/>
      <c r="F914" s="134" t="n"/>
      <c r="G914" s="134" t="n"/>
      <c r="H914" s="142" t="inlineStr">
        <is>
          <t>Avatar: The Last Airbender</t>
        </is>
      </c>
    </row>
    <row r="915">
      <c r="A915" s="139" t="inlineStr">
        <is>
          <t>c0912</t>
        </is>
      </c>
      <c r="B915" s="134" t="n"/>
      <c r="C915" s="134" t="n"/>
      <c r="D915" s="134" t="n"/>
      <c r="E915" s="134" t="n"/>
      <c r="F915" s="134" t="n"/>
      <c r="G915" s="134" t="n">
        <v>0.25</v>
      </c>
      <c r="H915" s="135" t="inlineStr">
        <is>
          <t>Final Fantasy</t>
        </is>
      </c>
    </row>
    <row r="916">
      <c r="A916" s="139" t="inlineStr">
        <is>
          <t>c0913</t>
        </is>
      </c>
      <c r="B916" s="134" t="n"/>
      <c r="C916" s="134" t="n"/>
      <c r="D916" s="134" t="n"/>
      <c r="E916" s="134" t="n"/>
      <c r="F916" s="134" t="n"/>
      <c r="G916" s="134" t="n">
        <v>0.29</v>
      </c>
      <c r="H916" s="135" t="inlineStr">
        <is>
          <t>Rivals of Ixalan</t>
        </is>
      </c>
    </row>
    <row r="917">
      <c r="A917" t="inlineStr">
        <is>
          <t>c0354</t>
        </is>
      </c>
      <c r="B917" t="n">
        <v>1</v>
      </c>
      <c r="C917" t="inlineStr">
        <is>
          <t>279</t>
        </is>
      </c>
      <c r="D917" t="inlineStr">
        <is>
          <t>Common</t>
        </is>
      </c>
      <c r="E917" t="n">
        <v>0</v>
      </c>
      <c r="F917" t="inlineStr">
        <is>
          <t>Justin Gerard</t>
        </is>
      </c>
      <c r="G917" t="n">
        <v>0.08</v>
      </c>
      <c r="H917" t="inlineStr">
        <is>
          <t>Lorwyn Eclipsed</t>
        </is>
      </c>
    </row>
    <row r="918">
      <c r="A918" t="inlineStr">
        <is>
          <t>c0374</t>
        </is>
      </c>
      <c r="B918" t="n">
        <v>1</v>
      </c>
      <c r="C918" t="inlineStr">
        <is>
          <t>191</t>
        </is>
      </c>
      <c r="D918" t="inlineStr">
        <is>
          <t>Common</t>
        </is>
      </c>
      <c r="E918" t="n">
        <v>0</v>
      </c>
      <c r="F918" t="inlineStr">
        <is>
          <t>Erikas Perl</t>
        </is>
      </c>
      <c r="G918" t="n">
        <v>0.09</v>
      </c>
      <c r="H918" t="inlineStr">
        <is>
          <t>The Hobbit</t>
        </is>
      </c>
    </row>
    <row r="919">
      <c r="A919" t="inlineStr">
        <is>
          <t>c0914</t>
        </is>
      </c>
      <c r="D919" t="inlineStr">
        <is>
          <t>U</t>
        </is>
      </c>
      <c r="G919" t="n">
        <v>0.21</v>
      </c>
      <c r="H919" t="inlineStr">
        <is>
          <t>Forgotten Realms Commander</t>
        </is>
      </c>
    </row>
    <row r="920">
      <c r="A920" t="inlineStr">
        <is>
          <t>c0915</t>
        </is>
      </c>
      <c r="D920" t="inlineStr">
        <is>
          <t>C</t>
        </is>
      </c>
      <c r="G920" t="n">
        <v>0.26</v>
      </c>
      <c r="H920" t="inlineStr">
        <is>
          <t>Modern Masters</t>
        </is>
      </c>
    </row>
    <row r="921">
      <c r="A921" t="inlineStr">
        <is>
          <t>c0916</t>
        </is>
      </c>
      <c r="D921" t="inlineStr">
        <is>
          <t>C</t>
        </is>
      </c>
      <c r="G921" t="n">
        <v>0.23</v>
      </c>
      <c r="H921" t="inlineStr">
        <is>
          <t>Double Masters 2022</t>
        </is>
      </c>
    </row>
    <row r="922">
      <c r="A922" t="inlineStr">
        <is>
          <t>c0917</t>
        </is>
      </c>
      <c r="D922" t="inlineStr">
        <is>
          <t>U</t>
        </is>
      </c>
      <c r="G922" t="n">
        <v>0.26</v>
      </c>
      <c r="H922" t="inlineStr">
        <is>
          <t>March of the Machine</t>
        </is>
      </c>
    </row>
    <row r="923">
      <c r="A923" t="inlineStr">
        <is>
          <t>c0918</t>
        </is>
      </c>
      <c r="D923" t="inlineStr">
        <is>
          <t>C</t>
        </is>
      </c>
      <c r="G923" t="n">
        <v>0.29</v>
      </c>
      <c r="H923" t="inlineStr">
        <is>
          <t>Core Set 2021</t>
        </is>
      </c>
    </row>
    <row r="924">
      <c r="A924" t="inlineStr">
        <is>
          <t>c0919</t>
        </is>
      </c>
      <c r="D924" t="inlineStr">
        <is>
          <t>C</t>
        </is>
      </c>
      <c r="G924" t="n">
        <v>2.18</v>
      </c>
      <c r="H924" t="inlineStr">
        <is>
          <t>Kaldheim Commander</t>
        </is>
      </c>
    </row>
    <row r="925">
      <c r="A925" t="inlineStr">
        <is>
          <t>c0920</t>
        </is>
      </c>
      <c r="D925" t="inlineStr">
        <is>
          <t>C</t>
        </is>
      </c>
      <c r="G925" t="n">
        <v>0.74</v>
      </c>
      <c r="H925" t="inlineStr">
        <is>
          <t>Tarkir: Dragonstorm Commander</t>
        </is>
      </c>
    </row>
    <row r="926">
      <c r="A926" t="inlineStr">
        <is>
          <t>c0921</t>
        </is>
      </c>
      <c r="D926" t="inlineStr">
        <is>
          <t>U</t>
        </is>
      </c>
      <c r="G926" t="n">
        <v>0.23</v>
      </c>
      <c r="H926" t="inlineStr">
        <is>
          <t>Commander Legends</t>
        </is>
      </c>
    </row>
    <row r="927">
      <c r="A927" t="inlineStr">
        <is>
          <t>c0922</t>
        </is>
      </c>
      <c r="D927" t="inlineStr">
        <is>
          <t>R</t>
        </is>
      </c>
      <c r="G927" t="n">
        <v>0.39</v>
      </c>
      <c r="H927" t="inlineStr">
        <is>
          <t>Dominaria United Commander</t>
        </is>
      </c>
    </row>
    <row r="928">
      <c r="A928" t="inlineStr">
        <is>
          <t>c0923</t>
        </is>
      </c>
      <c r="D928" t="inlineStr">
        <is>
          <t>C</t>
        </is>
      </c>
      <c r="G928" t="n">
        <v>0.59</v>
      </c>
      <c r="H928" t="inlineStr">
        <is>
          <t>Foundations</t>
        </is>
      </c>
    </row>
    <row r="929">
      <c r="A929" t="inlineStr">
        <is>
          <t>c0924</t>
        </is>
      </c>
      <c r="D929" t="inlineStr">
        <is>
          <t>R</t>
        </is>
      </c>
      <c r="G929" t="n">
        <v>2.53</v>
      </c>
      <c r="H929" t="inlineStr">
        <is>
          <t>Battlebond</t>
        </is>
      </c>
    </row>
    <row r="930">
      <c r="A930" t="inlineStr">
        <is>
          <t>c0925</t>
        </is>
      </c>
      <c r="D930" t="inlineStr">
        <is>
          <t>C</t>
        </is>
      </c>
      <c r="G930" t="n">
        <v>0.5600000000000001</v>
      </c>
      <c r="H930" t="inlineStr">
        <is>
          <t>Commander Masters</t>
        </is>
      </c>
    </row>
    <row r="931">
      <c r="A931" t="inlineStr">
        <is>
          <t>c0926</t>
        </is>
      </c>
      <c r="D931" t="inlineStr">
        <is>
          <t>U</t>
        </is>
      </c>
      <c r="G931" t="n">
        <v>0.32</v>
      </c>
      <c r="H931" t="inlineStr">
        <is>
          <t>Modern Horizons</t>
        </is>
      </c>
    </row>
    <row r="932">
      <c r="A932" t="inlineStr">
        <is>
          <t>c0927</t>
        </is>
      </c>
      <c r="D932" t="inlineStr">
        <is>
          <t>R</t>
        </is>
      </c>
      <c r="G932" t="n">
        <v>2.1</v>
      </c>
      <c r="H932" t="inlineStr">
        <is>
          <t>Lorwyn Eclipsed Commander</t>
        </is>
      </c>
    </row>
    <row r="933">
      <c r="A933" t="inlineStr">
        <is>
          <t>c0928</t>
        </is>
      </c>
      <c r="D933" t="inlineStr">
        <is>
          <t>C</t>
        </is>
      </c>
      <c r="G933" t="n">
        <v>0.26</v>
      </c>
      <c r="H933" t="inlineStr">
        <is>
          <t>Outlaws of Thunder Junction Commander</t>
        </is>
      </c>
    </row>
    <row r="934">
      <c r="A934" t="inlineStr">
        <is>
          <t>c0929</t>
        </is>
      </c>
      <c r="D934" t="inlineStr">
        <is>
          <t>R</t>
        </is>
      </c>
      <c r="G934" t="n">
        <v>0.99</v>
      </c>
      <c r="H934" t="inlineStr">
        <is>
          <t>The Lost Caverns of Ixalan Commander</t>
        </is>
      </c>
    </row>
    <row r="935">
      <c r="A935" t="inlineStr">
        <is>
          <t>c0930</t>
        </is>
      </c>
      <c r="D935" t="inlineStr">
        <is>
          <t>R</t>
        </is>
      </c>
      <c r="G935" t="n">
        <v>0.29</v>
      </c>
      <c r="H935" t="inlineStr">
        <is>
          <t>Marvel Super Heroes Commander</t>
        </is>
      </c>
    </row>
    <row r="936">
      <c r="A936" t="inlineStr">
        <is>
          <t>c0931</t>
        </is>
      </c>
      <c r="D936" t="inlineStr">
        <is>
          <t>R</t>
        </is>
      </c>
      <c r="H936" t="inlineStr">
        <is>
          <t>Reality Fracture Commander</t>
        </is>
      </c>
    </row>
    <row r="937">
      <c r="A937" t="inlineStr">
        <is>
          <t>c0932</t>
        </is>
      </c>
      <c r="D937" t="inlineStr">
        <is>
          <t>R</t>
        </is>
      </c>
      <c r="G937" t="n">
        <v>0.32</v>
      </c>
      <c r="H937" t="inlineStr">
        <is>
          <t>Edge of Eternities Commander</t>
        </is>
      </c>
    </row>
    <row r="938">
      <c r="A938" t="inlineStr">
        <is>
          <t>c0933</t>
        </is>
      </c>
      <c r="D938" t="inlineStr">
        <is>
          <t>R</t>
        </is>
      </c>
      <c r="G938" t="n">
        <v>0.61</v>
      </c>
      <c r="H938" t="inlineStr">
        <is>
          <t>New Capenna Commander</t>
        </is>
      </c>
    </row>
    <row r="939">
      <c r="A939" t="inlineStr">
        <is>
          <t>c0934</t>
        </is>
      </c>
      <c r="D939" t="inlineStr">
        <is>
          <t>C</t>
        </is>
      </c>
      <c r="G939" t="n">
        <v>0.61</v>
      </c>
      <c r="H939" t="inlineStr">
        <is>
          <t>Modern Masters 2017</t>
        </is>
      </c>
    </row>
    <row r="940">
      <c r="A940" t="inlineStr">
        <is>
          <t>c0935</t>
        </is>
      </c>
      <c r="D940" t="inlineStr">
        <is>
          <t>C</t>
        </is>
      </c>
      <c r="G940" t="n">
        <v>0.38</v>
      </c>
      <c r="H940" t="inlineStr">
        <is>
          <t>Tempest</t>
        </is>
      </c>
    </row>
    <row r="941">
      <c r="A941" t="inlineStr">
        <is>
          <t>c0936</t>
        </is>
      </c>
      <c r="D941" t="inlineStr">
        <is>
          <t>R</t>
        </is>
      </c>
      <c r="G941" t="n">
        <v>0.57</v>
      </c>
      <c r="H941" t="inlineStr">
        <is>
          <t>Commander Legends: Battle for Baldur's Gate</t>
        </is>
      </c>
    </row>
    <row r="942">
      <c r="A942" t="inlineStr">
        <is>
          <t>c0937</t>
        </is>
      </c>
      <c r="D942" t="inlineStr">
        <is>
          <t>C</t>
        </is>
      </c>
      <c r="H942" t="inlineStr">
        <is>
          <t>Star Trek</t>
        </is>
      </c>
    </row>
    <row r="943">
      <c r="A943" t="inlineStr">
        <is>
          <t>c0938</t>
        </is>
      </c>
      <c r="D943" t="inlineStr">
        <is>
          <t>R</t>
        </is>
      </c>
      <c r="G943" t="n">
        <v>1.44</v>
      </c>
      <c r="H943" t="inlineStr">
        <is>
          <t>Commander Legends: Battle for Baldur's Gate</t>
        </is>
      </c>
    </row>
    <row r="944">
      <c r="A944" t="inlineStr">
        <is>
          <t>c0939</t>
        </is>
      </c>
      <c r="D944" t="inlineStr">
        <is>
          <t>R</t>
        </is>
      </c>
      <c r="G944" t="n">
        <v>1.08</v>
      </c>
      <c r="H944" t="inlineStr">
        <is>
          <t>Avacyn Restored</t>
        </is>
      </c>
    </row>
    <row r="945">
      <c r="A945" t="inlineStr">
        <is>
          <t>c0940</t>
        </is>
      </c>
      <c r="D945" t="inlineStr">
        <is>
          <t>R</t>
        </is>
      </c>
      <c r="G945" t="n">
        <v>0.35</v>
      </c>
      <c r="H945" t="inlineStr">
        <is>
          <t>Edge of Eternities Commander</t>
        </is>
      </c>
    </row>
    <row r="946">
      <c r="A946" t="inlineStr">
        <is>
          <t>c0941</t>
        </is>
      </c>
      <c r="D946" t="inlineStr">
        <is>
          <t>U</t>
        </is>
      </c>
      <c r="G946" t="n">
        <v>0.12</v>
      </c>
      <c r="H946" t="inlineStr">
        <is>
          <t>Throne of Eldraine</t>
        </is>
      </c>
    </row>
    <row r="947">
      <c r="A947" t="inlineStr">
        <is>
          <t>c0942</t>
        </is>
      </c>
      <c r="D947" t="inlineStr">
        <is>
          <t>R</t>
        </is>
      </c>
      <c r="G947" t="n">
        <v>0.32</v>
      </c>
      <c r="H947" t="inlineStr">
        <is>
          <t>March of the Machine Commander</t>
        </is>
      </c>
    </row>
    <row r="948">
      <c r="A948" t="inlineStr">
        <is>
          <t>c0943</t>
        </is>
      </c>
      <c r="D948" t="inlineStr">
        <is>
          <t>C</t>
        </is>
      </c>
      <c r="G948" t="n">
        <v>0.34</v>
      </c>
      <c r="H948" t="inlineStr">
        <is>
          <t>Secrets of Strixhaven Commander</t>
        </is>
      </c>
    </row>
    <row r="949">
      <c r="A949" t="inlineStr">
        <is>
          <t>c0944</t>
        </is>
      </c>
      <c r="D949" t="inlineStr">
        <is>
          <t>U</t>
        </is>
      </c>
      <c r="G949" t="n">
        <v>0.37</v>
      </c>
      <c r="H949" t="inlineStr">
        <is>
          <t>Core Set 2021</t>
        </is>
      </c>
    </row>
    <row r="950">
      <c r="A950" t="inlineStr">
        <is>
          <t>c0945</t>
        </is>
      </c>
      <c r="D950" t="inlineStr">
        <is>
          <t>U</t>
        </is>
      </c>
      <c r="G950" t="n">
        <v>0.34</v>
      </c>
      <c r="H950" t="inlineStr">
        <is>
          <t>Wilds of Eldraine</t>
        </is>
      </c>
    </row>
    <row r="951">
      <c r="A951" t="inlineStr">
        <is>
          <t>c0946</t>
        </is>
      </c>
      <c r="D951" t="inlineStr">
        <is>
          <t>C</t>
        </is>
      </c>
      <c r="G951" t="n">
        <v>3.33</v>
      </c>
      <c r="H951" t="inlineStr">
        <is>
          <t>Modern Masters 2017</t>
        </is>
      </c>
    </row>
    <row r="952">
      <c r="A952" t="inlineStr">
        <is>
          <t>c0947</t>
        </is>
      </c>
      <c r="D952" t="inlineStr">
        <is>
          <t>U</t>
        </is>
      </c>
      <c r="G952" t="n">
        <v>0.24</v>
      </c>
      <c r="H952" t="inlineStr">
        <is>
          <t>Time Spiral Remastered</t>
        </is>
      </c>
    </row>
    <row r="953">
      <c r="A953" t="inlineStr">
        <is>
          <t>c0948</t>
        </is>
      </c>
      <c r="D953" t="inlineStr">
        <is>
          <t>C</t>
        </is>
      </c>
      <c r="G953" t="n">
        <v>0.25</v>
      </c>
      <c r="H953" t="inlineStr">
        <is>
          <t>Commander Masters</t>
        </is>
      </c>
    </row>
    <row r="954">
      <c r="A954" t="inlineStr">
        <is>
          <t>c0949</t>
        </is>
      </c>
      <c r="D954" t="inlineStr">
        <is>
          <t>C</t>
        </is>
      </c>
      <c r="G954" t="n">
        <v>0.34</v>
      </c>
      <c r="H954" t="inlineStr">
        <is>
          <t>Commander Masters</t>
        </is>
      </c>
    </row>
    <row r="955">
      <c r="A955" t="inlineStr">
        <is>
          <t>c0950</t>
        </is>
      </c>
      <c r="D955" t="inlineStr">
        <is>
          <t>M</t>
        </is>
      </c>
      <c r="G955" t="n">
        <v>4.55</v>
      </c>
      <c r="H955" t="inlineStr">
        <is>
          <t>Wilds of Eldraine Commander</t>
        </is>
      </c>
    </row>
    <row r="956">
      <c r="A956" t="inlineStr">
        <is>
          <t>c0951</t>
        </is>
      </c>
      <c r="D956" t="inlineStr">
        <is>
          <t>C</t>
        </is>
      </c>
      <c r="G956" t="n">
        <v>1.16</v>
      </c>
      <c r="H956" t="inlineStr">
        <is>
          <t>Duel Decks Anthology: Garruk vs. Liliana</t>
        </is>
      </c>
    </row>
    <row r="957">
      <c r="A957" t="inlineStr">
        <is>
          <t>c0952</t>
        </is>
      </c>
      <c r="D957" t="inlineStr">
        <is>
          <t>M</t>
        </is>
      </c>
      <c r="G957" t="n">
        <v>0.39</v>
      </c>
      <c r="H957" t="inlineStr">
        <is>
          <t>Lorwyn Eclipsed Commander</t>
        </is>
      </c>
    </row>
    <row r="958">
      <c r="A958" t="inlineStr">
        <is>
          <t>c0953</t>
        </is>
      </c>
      <c r="D958" t="inlineStr">
        <is>
          <t>R</t>
        </is>
      </c>
      <c r="G958" t="n">
        <v>12.11</v>
      </c>
      <c r="H958" t="inlineStr">
        <is>
          <t>Secrets of Strixhaven Commander</t>
        </is>
      </c>
    </row>
    <row r="959">
      <c r="A959" t="inlineStr">
        <is>
          <t>c0954</t>
        </is>
      </c>
      <c r="D959" t="inlineStr">
        <is>
          <t>C</t>
        </is>
      </c>
      <c r="G959" t="n">
        <v>5.42</v>
      </c>
      <c r="H959" t="inlineStr">
        <is>
          <t>Modern Masters</t>
        </is>
      </c>
    </row>
    <row r="960">
      <c r="A960" t="inlineStr">
        <is>
          <t>c0955</t>
        </is>
      </c>
      <c r="D960" t="inlineStr">
        <is>
          <t>R</t>
        </is>
      </c>
      <c r="G960" t="n">
        <v>0.45</v>
      </c>
      <c r="H960" t="inlineStr">
        <is>
          <t>Throne of Eldraine</t>
        </is>
      </c>
    </row>
    <row r="961">
      <c r="A961" t="inlineStr">
        <is>
          <t>c0956</t>
        </is>
      </c>
      <c r="D961" t="inlineStr">
        <is>
          <t>R</t>
        </is>
      </c>
      <c r="G961" t="n">
        <v>12.95</v>
      </c>
      <c r="H961" t="inlineStr">
        <is>
          <t>Modern Masters</t>
        </is>
      </c>
    </row>
    <row r="962">
      <c r="A962" t="inlineStr">
        <is>
          <t>c0957</t>
        </is>
      </c>
      <c r="D962" t="inlineStr">
        <is>
          <t>U</t>
        </is>
      </c>
      <c r="G962" t="n">
        <v>0.99</v>
      </c>
      <c r="H962" t="inlineStr">
        <is>
          <t>Murders at Karlov Manor Commander</t>
        </is>
      </c>
    </row>
    <row r="963">
      <c r="A963" t="inlineStr">
        <is>
          <t>c0958</t>
        </is>
      </c>
      <c r="D963" t="inlineStr">
        <is>
          <t>C</t>
        </is>
      </c>
      <c r="G963" t="n">
        <v>5.23</v>
      </c>
      <c r="H963" t="inlineStr">
        <is>
          <t>The Hobbit Eternal</t>
        </is>
      </c>
    </row>
    <row r="964">
      <c r="A964" t="inlineStr">
        <is>
          <t>c0959</t>
        </is>
      </c>
      <c r="D964" t="inlineStr">
        <is>
          <t>R</t>
        </is>
      </c>
      <c r="G964" t="n">
        <v>2.85</v>
      </c>
      <c r="H964" t="inlineStr">
        <is>
          <t>Tarkir: Dragonstorm Commander</t>
        </is>
      </c>
    </row>
    <row r="965">
      <c r="A965" t="inlineStr">
        <is>
          <t>c0960</t>
        </is>
      </c>
      <c r="D965" t="inlineStr">
        <is>
          <t>C</t>
        </is>
      </c>
      <c r="G965" t="n">
        <v>0.3</v>
      </c>
      <c r="H965" t="inlineStr">
        <is>
          <t>Kaldheim</t>
        </is>
      </c>
    </row>
    <row r="966">
      <c r="A966" t="inlineStr">
        <is>
          <t>c0961</t>
        </is>
      </c>
      <c r="D966" t="inlineStr">
        <is>
          <t>C</t>
        </is>
      </c>
      <c r="G966" t="n">
        <v>2.28</v>
      </c>
      <c r="H966" t="inlineStr">
        <is>
          <t>Commander Legends</t>
        </is>
      </c>
    </row>
    <row r="967">
      <c r="A967" t="inlineStr">
        <is>
          <t>c0962</t>
        </is>
      </c>
      <c r="D967" t="inlineStr">
        <is>
          <t>U</t>
        </is>
      </c>
      <c r="G967" t="n">
        <v>0.32</v>
      </c>
      <c r="H967" t="inlineStr">
        <is>
          <t>Duel Decks: Speed vs. Cunning</t>
        </is>
      </c>
    </row>
    <row r="968">
      <c r="A968" t="inlineStr">
        <is>
          <t>c0963</t>
        </is>
      </c>
      <c r="D968" t="inlineStr">
        <is>
          <t>U</t>
        </is>
      </c>
      <c r="H968" t="inlineStr">
        <is>
          <t>Foundations</t>
        </is>
      </c>
    </row>
    <row r="969">
      <c r="A969" t="inlineStr">
        <is>
          <t>c0964</t>
        </is>
      </c>
      <c r="D969" t="inlineStr">
        <is>
          <t>U</t>
        </is>
      </c>
      <c r="G969" t="n">
        <v>0.8100000000000001</v>
      </c>
      <c r="H969" t="inlineStr">
        <is>
          <t>Marvel Super Heroes Commander</t>
        </is>
      </c>
    </row>
    <row r="970">
      <c r="A970" t="inlineStr">
        <is>
          <t>c0965</t>
        </is>
      </c>
      <c r="D970" t="inlineStr">
        <is>
          <t>U</t>
        </is>
      </c>
      <c r="G970" t="n">
        <v>0.27</v>
      </c>
      <c r="H970" t="inlineStr">
        <is>
          <t>The Hobbit Eternal</t>
        </is>
      </c>
    </row>
    <row r="971">
      <c r="A971" t="inlineStr">
        <is>
          <t>c0966</t>
        </is>
      </c>
      <c r="D971" t="inlineStr">
        <is>
          <t>C</t>
        </is>
      </c>
      <c r="G971" t="n">
        <v>0.23</v>
      </c>
      <c r="H971" t="inlineStr">
        <is>
          <t>Commander Masters</t>
        </is>
      </c>
    </row>
    <row r="972">
      <c r="A972" t="inlineStr">
        <is>
          <t>c0967</t>
        </is>
      </c>
      <c r="D972" t="inlineStr">
        <is>
          <t>R</t>
        </is>
      </c>
      <c r="G972" t="n">
        <v>1.47</v>
      </c>
      <c r="H972" t="inlineStr">
        <is>
          <t>Masters 25</t>
        </is>
      </c>
    </row>
    <row r="973">
      <c r="A973" t="inlineStr">
        <is>
          <t>c0968</t>
        </is>
      </c>
      <c r="D973" t="inlineStr">
        <is>
          <t>U</t>
        </is>
      </c>
      <c r="H973" t="inlineStr">
        <is>
          <t>Reality Fracture Commander</t>
        </is>
      </c>
    </row>
    <row r="974">
      <c r="A974" t="inlineStr">
        <is>
          <t>c0969</t>
        </is>
      </c>
      <c r="D974" t="inlineStr">
        <is>
          <t>U</t>
        </is>
      </c>
      <c r="H974" t="inlineStr">
        <is>
          <t>Foundations</t>
        </is>
      </c>
    </row>
  </sheetData>
  <autoFilter ref="A1:H914">
    <sortState ref="A2:H916">
      <sortCondition ref="C1:C914"/>
    </sortState>
  </autoFilter>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8"/>
  <sheetViews>
    <sheetView workbookViewId="0">
      <selection activeCell="B16" sqref="B16"/>
    </sheetView>
  </sheetViews>
  <sheetFormatPr baseColWidth="8" defaultRowHeight="14.4"/>
  <cols>
    <col width="8" customWidth="1" style="127" min="1" max="1"/>
    <col width="30" customWidth="1" style="127" min="2" max="3"/>
    <col width="8.88671875" customWidth="1" style="127" min="4" max="16384"/>
  </cols>
  <sheetData>
    <row r="1">
      <c r="A1" s="128" t="inlineStr">
        <is>
          <t>Deck</t>
        </is>
      </c>
      <c r="B1" s="128" t="inlineStr">
        <is>
          <t>Commander</t>
        </is>
      </c>
      <c r="C1" s="128" t="inlineStr">
        <is>
          <t>Name</t>
        </is>
      </c>
    </row>
    <row r="2">
      <c r="A2" s="144" t="inlineStr">
        <is>
          <t>D1</t>
        </is>
      </c>
      <c r="B2" s="144" t="inlineStr">
        <is>
          <t>Quintorius, Loremaster</t>
        </is>
      </c>
      <c r="C2" s="144" t="inlineStr">
        <is>
          <t>D1 Quintorius Spirits</t>
        </is>
      </c>
    </row>
    <row r="3">
      <c r="A3" s="144" t="inlineStr">
        <is>
          <t>D2</t>
        </is>
      </c>
      <c r="B3" s="144" t="inlineStr">
        <is>
          <t>Chulane, Teller of Tales</t>
        </is>
      </c>
      <c r="C3" s="144" t="inlineStr">
        <is>
          <t>D2 Chulane Value Loop</t>
        </is>
      </c>
    </row>
    <row r="4">
      <c r="A4" s="144" t="inlineStr">
        <is>
          <t>D3</t>
        </is>
      </c>
      <c r="B4" s="144" t="inlineStr">
        <is>
          <t>Atraxa, Praetors' Voice</t>
        </is>
      </c>
      <c r="C4" s="144" t="inlineStr">
        <is>
          <t>D3 Atraxa Proliferate</t>
        </is>
      </c>
    </row>
    <row r="5">
      <c r="A5" s="144" t="inlineStr">
        <is>
          <t>D4</t>
        </is>
      </c>
      <c r="B5" s="144" t="inlineStr">
        <is>
          <t>Felothar the Steadfast</t>
        </is>
      </c>
      <c r="C5" s="144" t="inlineStr">
        <is>
          <t>D4 Felothar Walls</t>
        </is>
      </c>
    </row>
    <row r="6">
      <c r="A6" s="144" t="inlineStr">
        <is>
          <t>D5</t>
        </is>
      </c>
      <c r="B6" s="144" t="inlineStr">
        <is>
          <t>Shadrix Silverquill</t>
        </is>
      </c>
      <c r="C6" s="144" t="inlineStr">
        <is>
          <t>D5 Shadrix Aristocrats</t>
        </is>
      </c>
    </row>
    <row r="7">
      <c r="A7" s="144" t="inlineStr">
        <is>
          <t>D6</t>
        </is>
      </c>
      <c r="B7" s="144" t="inlineStr">
        <is>
          <t>Krenko, Mob Boss</t>
        </is>
      </c>
      <c r="C7" s="144" t="inlineStr">
        <is>
          <t>D6 Krenko Goblins</t>
        </is>
      </c>
    </row>
    <row r="8">
      <c r="A8" s="144" t="inlineStr">
        <is>
          <t>D7</t>
        </is>
      </c>
      <c r="B8" s="144" t="inlineStr">
        <is>
          <t>Maralen, Fae Ascendant</t>
        </is>
      </c>
      <c r="C8" s="144" t="inlineStr">
        <is>
          <t>D7 Maralen Exile Cast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8"/>
  <sheetViews>
    <sheetView workbookViewId="0">
      <selection activeCell="C4" sqref="C4"/>
    </sheetView>
  </sheetViews>
  <sheetFormatPr baseColWidth="8" defaultRowHeight="14.4"/>
  <cols>
    <col width="20.77734375" customWidth="1" style="148" min="2" max="2"/>
    <col width="40.77734375" customWidth="1" style="148" min="3" max="7"/>
  </cols>
  <sheetData>
    <row r="1">
      <c r="A1" s="68" t="inlineStr">
        <is>
          <t>Deck ID</t>
        </is>
      </c>
      <c r="B1" s="152" t="inlineStr">
        <is>
          <t>Commander</t>
        </is>
      </c>
      <c r="C1" s="153" t="inlineStr">
        <is>
          <t>Strategy</t>
        </is>
      </c>
      <c r="D1" s="153" t="inlineStr">
        <is>
          <t>Engine</t>
        </is>
      </c>
      <c r="E1" s="153" t="inlineStr">
        <is>
          <t>Attack Mechanics</t>
        </is>
      </c>
      <c r="F1" s="153" t="inlineStr">
        <is>
          <t>Defense Mechanics</t>
        </is>
      </c>
      <c r="G1" s="153" t="inlineStr">
        <is>
          <t>Ramp Mechanic</t>
        </is>
      </c>
    </row>
    <row r="2" ht="86.40000000000001" customHeight="1" s="148">
      <c r="A2" s="72" t="inlineStr">
        <is>
          <t>D1</t>
        </is>
      </c>
      <c r="B2" s="154" t="inlineStr">
        <is>
          <t>Quintorius, Loremaster</t>
        </is>
      </c>
      <c r="C2" s="78" t="inlineStr">
        <is>
          <t>Lorehold spirit recursion. Fill the graveyard with cheap instants, sorceries and artifacts, then turn each one into a 3/2 Spirit and cast it again for free. The graveyard is the resource, not a byproduct.</t>
        </is>
      </c>
      <c r="D2" s="78" t="inlineStr">
        <is>
          <t>Quintorius exiles a noncreature card from your graveyard each end step and makes a 3/2 Spirit; sacrifice a Spirit to cast that exiled card without paying its cost. 33 cards in the deck move cards out of the graveyard to keep the trigger fed, backed by 16 recursion pieces.</t>
        </is>
      </c>
      <c r="E2" s="78" t="inlineStr">
        <is>
          <t>Go wide with 3/2 Spirit tokens under anthem effects. Every removal spell they answer comes back, so the board rebuilds faster than opponents can clear it. Gandalf, Goblins' Bane converts the noncreature spell density into reach damage.</t>
        </is>
      </c>
      <c r="F2" s="78" t="inlineStr">
        <is>
          <t>Cheap instant-speed removal that doubles as graveyard fuel, Spirits as free chump blockers, and Deflecting Palm to turn a lethal swing back on its controller.</t>
        </is>
      </c>
      <c r="G2" s="78" t="inlineStr">
        <is>
          <t>10 pieces, weighted to 2-mana rocks and Equipment-based land fetch so the curve stays under 3. 38 lands, 9 nonbasic, none entering tapped.</t>
        </is>
      </c>
    </row>
    <row r="3" ht="108" customHeight="1" s="148">
      <c r="A3" s="72" t="inlineStr">
        <is>
          <t>D2</t>
        </is>
      </c>
      <c r="B3" s="154" t="inlineStr">
        <is>
          <t>Chulane, Teller of Tales</t>
        </is>
      </c>
      <c r="C3" s="78" t="inlineStr">
        <is>
          <t>Creature-flood value. Every creature spell draws a card and drops a land, so board, mana and hand all grow on the same trigger. The deck wins by simply doing more per turn than anyone else.</t>
        </is>
      </c>
      <c r="D3" s="78" t="inlineStr">
        <is>
          <t>Chulane's cast trigger plus 45 enter-the-battlefield creatures and 7 blink or bounce effects (Ephemerate, Soulherder, Temur Sabertooth) to re-run them. Freed from the Real is the combo line with a mana-producing creature. Ancient Greenwarden doubles every land trigger.</t>
        </is>
      </c>
      <c r="E3" s="78" t="inlineStr">
        <is>
          <t>Widest creature count in the pod at 52. Zendikar's Roil turns Chulane's free land drops into 2/2 bodies, and the board outgrows blockers rather than evading them.</t>
        </is>
      </c>
      <c r="F3" s="78" t="inlineStr">
        <is>
          <t>9 removal spells, a wall of enter-the-battlefield blockers, and Chulane's own bounce ability to rescue a creature and re-buy its trigger.</t>
        </is>
      </c>
      <c r="G3" s="78" t="inlineStr">
        <is>
          <t>11 dedicated pieces on top of Chulane's free land drops. 38 lands, 7 nonbasic, none entering tapped.</t>
        </is>
      </c>
    </row>
    <row r="4" ht="108" customHeight="1" s="148">
      <c r="A4" s="72" t="inlineStr">
        <is>
          <t>D3</t>
        </is>
      </c>
      <c r="B4" s="154" t="inlineStr">
        <is>
          <t>Atraxa, Praetors' Voice</t>
        </is>
      </c>
      <c r="C4" s="78" t="inlineStr">
        <is>
          <t>Proliferate control. Land a counter on anything that matters, then add to every counter on the board each end step until the accumulated advantage ends the game. The pod's control seat.</t>
        </is>
      </c>
      <c r="D4" s="78" t="inlineStr">
        <is>
          <t>Atraxa's end-step proliferate with 18 proliferate sources and 18 counter payoffs: Ichormoon Gauntlet, Innkeeper's Talent, Branching Evolution, Inexorable Tide, Flux Channeler, Karn's Bastion and Viral Drake.</t>
        </is>
      </c>
      <c r="E4" s="78" t="inlineStr">
        <is>
          <t>Atraxa herself is a 4/4 flying deathtouch lifelink clock. Viral Drake converts proliferate into poison counters as a second, faster win route while +1/+1 counter creatures grow past blockers.</t>
        </is>
      </c>
      <c r="F4" s="78" t="inlineStr">
        <is>
          <t>Heaviest interaction in the pod at 10 removal including sweepers, plus lifelink on the commander to buy turns against aggression.</t>
        </is>
      </c>
      <c r="G4" s="78" t="inlineStr">
        <is>
          <t>10 pieces weighted toward four-colour fixing rather than raw acceleration. 37 lands, 7 nonbasic, none entering tapped.</t>
        </is>
      </c>
    </row>
    <row r="5" ht="108" customHeight="1" s="148">
      <c r="A5" s="72" t="inlineStr">
        <is>
          <t>D4</t>
        </is>
      </c>
      <c r="B5" s="154" t="inlineStr">
        <is>
          <t>Felothar the Steadfast</t>
        </is>
      </c>
      <c r="C5" s="78" t="inlineStr">
        <is>
          <t>Toughness fortress. Creatures deal combat damage equal to toughness and ignore defender, so the same permanents that hold the ground are the offense. Nothing in the deck is a dead card on either side of the table.</t>
        </is>
      </c>
      <c r="D5" s="78" t="inlineStr">
        <is>
          <t>Felothar's static rewrite over 20 defenders and 22 high-toughness bodies. His sacrifice ability turns a fat blocker into a fistful of cards. Canopy Gargantuan adds counters equal to each creature's toughness every upkeep, compounding both halves at once.</t>
        </is>
      </c>
      <c r="E5" s="78" t="inlineStr">
        <is>
          <t>Walls swing for their toughness, which is where the deck's stats actually live. Damage scales with the same numbers that make the board hard to attack into.</t>
        </is>
      </c>
      <c r="F5" s="78" t="inlineStr">
        <is>
          <t>The board is the defense: 20 defenders, 14 lifegain pieces and protection spells. The strongest ground defense of the seven.</t>
        </is>
      </c>
      <c r="G5" s="78" t="inlineStr">
        <is>
          <t>11 pieces, several of them defender-ramp creatures that block and produce mana in the same slot. 38 lands, 7 nonbasic, none entering tapped. 48 total mana sources, most in the pod.</t>
        </is>
      </c>
    </row>
    <row r="6" ht="108" customHeight="1" s="148">
      <c r="A6" s="72" t="inlineStr">
        <is>
          <t>D5</t>
        </is>
      </c>
      <c r="B6" s="154" t="inlineStr">
        <is>
          <t>Shadrix Silverquill</t>
        </is>
      </c>
      <c r="C6" s="78" t="inlineStr">
        <is>
          <t>Token drain. Shadrix fires two modes every combat, flooding the board with evasive bodies while draining the table. Wins through the air and through incremental life loss rather than through combat math.</t>
        </is>
      </c>
      <c r="D6" s="78" t="inlineStr">
        <is>
          <t>Shadrix's combat trigger plus 16 token producers and 11 drain payoffs: Cruel Celebrant, Elas il-Kor, Kambal Profiteering Mayor, Teysa Karlov, Pitiless Plunderer and Genesis Chamber. Every token that enters or dies converts into life swing.</t>
        </is>
      </c>
      <c r="E6" s="78" t="inlineStr">
        <is>
          <t>21 fliers make the swarm evasive. Moonshaker Cavalry is the one-card finisher, giving the whole board flying and a mass pump; Odric spreads the best keyword across every creature.</t>
        </is>
      </c>
      <c r="F6" s="78" t="inlineStr">
        <is>
          <t>9 removal plus 18 lifegain pieces to stay out of burn range, with Vault of the Archangel as the combat reset.</t>
        </is>
      </c>
      <c r="G6" s="78" t="inlineStr">
        <is>
          <t>10 pieces, mostly 2-mana rocks. 38 lands, 7 nonbasic, none entering tapped.</t>
        </is>
      </c>
    </row>
    <row r="7" ht="108" customHeight="1" s="148">
      <c r="A7" s="72" t="inlineStr">
        <is>
          <t>D6</t>
        </is>
      </c>
      <c r="B7" s="154" t="inlineStr">
        <is>
          <t>Krenko, Mob Boss</t>
        </is>
      </c>
      <c r="C7" s="78" t="inlineStr">
        <is>
          <t>Goblin go-wide. Krenko doubles the board every activation, then a damage payoff converts bodies into a win without needing combat to connect. The fastest clock in the pod.</t>
        </is>
      </c>
      <c r="D7" s="78" t="inlineStr">
        <is>
          <t>Krenko's tap ability with Thousand-Year Elixir and Thornbite Staff to untap him, so the token count squares instead of doubling. Purphoros turns every token that enters into 2 damage per opponent, which makes the engine lethal without attacking.</t>
        </is>
      </c>
      <c r="E7" s="78" t="inlineStr">
        <is>
          <t>Shared Animosity plus Goblin Chieftain, Goblin Warchief and Patchwork Banner turn a wide board into one lethal swing. 13 haste sources mean tokens attack the turn they arrive.</t>
        </is>
      </c>
      <c r="F7" s="78" t="inlineStr">
        <is>
          <t>Thinnest defense of the seven by design. Goblin Bombardment as the sacrifice outlet and reach, Swiftfoot Boots protecting Krenko, and raw speed as the answer to slower decks.</t>
        </is>
      </c>
      <c r="G7" s="78" t="inlineStr">
        <is>
          <t>9 pieces, mostly 2-mana rocks and rituals to deploy Krenko a turn early. 37 lands, 7 nonbasic, none entering tapped.</t>
        </is>
      </c>
    </row>
    <row r="8" ht="86.40000000000001" customHeight="1" s="148">
      <c r="A8" s="71" t="inlineStr">
        <is>
          <t>D7</t>
        </is>
      </c>
      <c r="B8" s="154" t="inlineStr">
        <is>
          <t>Maralen, Fae Ascendant</t>
        </is>
      </c>
      <c r="C8" s="78" t="inlineStr">
        <is>
          <t>Sultai exile-and-cast value, deliberately green-blue forward with black as the answer suite. Kept entirely off proliferate and +1/+1 counters so it never competes with Atraxa for cards or for a role at the table. Wins on card advantage, not board dominance.</t>
        </is>
      </c>
      <c r="D8" s="78" t="inlineStr">
        <is>
          <t>Maralen and every Elf or Faerie that enters exile the top two cards of an opponent's library, and you cast them free up to the number of Elves and Faeries you control. 12 tribal bodies and 13 draw pieces keep both halves fed; Phyrexian Arena guarantees the extra card each upkeep.</t>
        </is>
      </c>
      <c r="E8" s="78" t="inlineStr">
        <is>
          <t>Maralen's 4/5 flying body plus 12 evasive creatures. The deck is not trying to win the board, it is trying to play two opponents' worth of cards each turn and close with fliers.</t>
        </is>
      </c>
      <c r="F8" s="78" t="inlineStr">
        <is>
          <t>Deepest interaction in the pod at 30 removal-tagged cards, including Counterspell, Day of Black Sun and Ritual of Soot. Black gives the answers to the pod's token and proliferate engines.</t>
        </is>
      </c>
      <c r="G8" s="78" t="inlineStr">
        <is>
          <t>10 pieces. 38 lands, all basics because D1 through D6 had first claim on the duals, so the mana base is slower to fix but literally never enters tapped.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sheetData>
    <row r="1">
      <c r="A1" t="inlineStr">
        <is>
          <t>Card ID</t>
        </is>
      </c>
      <c r="B1" t="inlineStr">
        <is>
          <t>Temp Status</t>
        </is>
      </c>
      <c r="C1" t="inlineStr">
        <is>
          <t>Deck</t>
        </is>
      </c>
      <c r="D1" t="inlineStr">
        <is>
          <t>Upgrade Card ID</t>
        </is>
      </c>
      <c r="E1" t="inlineStr">
        <is>
          <t>Price</t>
        </is>
      </c>
      <c r="F1" t="inlineStr">
        <is>
          <t>Ordered</t>
        </is>
      </c>
    </row>
    <row r="2">
      <c r="A2" t="inlineStr">
        <is>
          <t>c0125</t>
        </is>
      </c>
      <c r="B2" t="inlineStr">
        <is>
          <t>LT</t>
        </is>
      </c>
      <c r="C2" t="inlineStr">
        <is>
          <t>D2</t>
        </is>
      </c>
      <c r="D2" t="inlineStr">
        <is>
          <t>c0914</t>
        </is>
      </c>
      <c r="E2" t="n">
        <v>0.21</v>
      </c>
    </row>
    <row r="3">
      <c r="A3" t="inlineStr">
        <is>
          <t>c0318</t>
        </is>
      </c>
      <c r="B3" t="inlineStr">
        <is>
          <t>LT</t>
        </is>
      </c>
      <c r="C3" t="inlineStr">
        <is>
          <t>D2</t>
        </is>
      </c>
      <c r="D3" t="inlineStr">
        <is>
          <t>c0320</t>
        </is>
      </c>
      <c r="E3" t="n">
        <v>0.85</v>
      </c>
    </row>
    <row r="4">
      <c r="A4" t="inlineStr">
        <is>
          <t>c0006</t>
        </is>
      </c>
      <c r="B4" t="inlineStr">
        <is>
          <t>LT</t>
        </is>
      </c>
      <c r="C4" t="inlineStr">
        <is>
          <t>D7</t>
        </is>
      </c>
      <c r="D4" t="inlineStr">
        <is>
          <t>c0915</t>
        </is>
      </c>
      <c r="E4" t="n">
        <v>0.26</v>
      </c>
    </row>
    <row r="5">
      <c r="A5" t="inlineStr">
        <is>
          <t>c0017</t>
        </is>
      </c>
      <c r="B5" t="inlineStr">
        <is>
          <t>LT</t>
        </is>
      </c>
      <c r="C5" t="inlineStr">
        <is>
          <t>D7</t>
        </is>
      </c>
      <c r="D5" t="inlineStr">
        <is>
          <t>c0916</t>
        </is>
      </c>
      <c r="E5" t="n">
        <v>0.13</v>
      </c>
    </row>
    <row r="6">
      <c r="A6" t="inlineStr">
        <is>
          <t>c0019</t>
        </is>
      </c>
      <c r="B6" t="inlineStr">
        <is>
          <t>LT</t>
        </is>
      </c>
      <c r="C6" t="inlineStr">
        <is>
          <t>D7</t>
        </is>
      </c>
      <c r="D6" t="inlineStr">
        <is>
          <t>c0917</t>
        </is>
      </c>
      <c r="E6" t="n">
        <v>0.5</v>
      </c>
    </row>
    <row r="7">
      <c r="A7" t="inlineStr">
        <is>
          <t>c0022</t>
        </is>
      </c>
      <c r="B7" t="inlineStr">
        <is>
          <t>LT</t>
        </is>
      </c>
      <c r="C7" t="inlineStr">
        <is>
          <t>D5</t>
        </is>
      </c>
      <c r="D7" t="inlineStr">
        <is>
          <t>c0063</t>
        </is>
      </c>
      <c r="E7" t="n">
        <v>0.57</v>
      </c>
    </row>
    <row r="8">
      <c r="A8" t="inlineStr">
        <is>
          <t>c0048</t>
        </is>
      </c>
      <c r="B8" t="inlineStr">
        <is>
          <t>LT</t>
        </is>
      </c>
      <c r="C8" t="inlineStr">
        <is>
          <t>D7</t>
        </is>
      </c>
      <c r="D8" t="inlineStr">
        <is>
          <t>c0918</t>
        </is>
      </c>
      <c r="E8" t="n">
        <v>0.15</v>
      </c>
    </row>
    <row r="9">
      <c r="A9" t="inlineStr">
        <is>
          <t>c0057</t>
        </is>
      </c>
      <c r="B9" t="inlineStr">
        <is>
          <t>LT</t>
        </is>
      </c>
      <c r="C9" t="inlineStr">
        <is>
          <t>D3</t>
        </is>
      </c>
      <c r="D9" t="inlineStr">
        <is>
          <t>c0215</t>
        </is>
      </c>
      <c r="E9" t="n">
        <v>0.54</v>
      </c>
    </row>
    <row r="10">
      <c r="A10" t="inlineStr">
        <is>
          <t>c0058</t>
        </is>
      </c>
      <c r="B10" t="inlineStr">
        <is>
          <t>LT</t>
        </is>
      </c>
      <c r="C10" t="inlineStr">
        <is>
          <t>D7</t>
        </is>
      </c>
      <c r="D10" t="inlineStr">
        <is>
          <t>c0919</t>
        </is>
      </c>
      <c r="E10" t="n">
        <v>1.17</v>
      </c>
    </row>
    <row r="11">
      <c r="A11" t="inlineStr">
        <is>
          <t>c0076</t>
        </is>
      </c>
      <c r="B11" t="inlineStr">
        <is>
          <t>LT</t>
        </is>
      </c>
      <c r="C11" t="inlineStr">
        <is>
          <t>D7</t>
        </is>
      </c>
      <c r="D11" t="inlineStr">
        <is>
          <t>c0920</t>
        </is>
      </c>
      <c r="E11" t="n">
        <v>0.75</v>
      </c>
    </row>
    <row r="12">
      <c r="A12" t="inlineStr">
        <is>
          <t>c0084</t>
        </is>
      </c>
      <c r="B12" t="inlineStr">
        <is>
          <t>LT</t>
        </is>
      </c>
      <c r="C12" t="inlineStr">
        <is>
          <t>D7</t>
        </is>
      </c>
      <c r="D12" t="inlineStr">
        <is>
          <t>c0921</t>
        </is>
      </c>
      <c r="E12" t="n">
        <v>0.11</v>
      </c>
    </row>
    <row r="13">
      <c r="A13" t="inlineStr">
        <is>
          <t>c0086</t>
        </is>
      </c>
      <c r="B13" t="inlineStr">
        <is>
          <t>LT</t>
        </is>
      </c>
      <c r="C13" t="inlineStr">
        <is>
          <t>D5</t>
        </is>
      </c>
      <c r="D13" t="inlineStr">
        <is>
          <t>c0092</t>
        </is>
      </c>
      <c r="E13" t="n">
        <v>0.27</v>
      </c>
    </row>
    <row r="14">
      <c r="A14" t="inlineStr">
        <is>
          <t>c0096</t>
        </is>
      </c>
      <c r="B14" t="inlineStr">
        <is>
          <t>LT</t>
        </is>
      </c>
      <c r="C14" t="inlineStr">
        <is>
          <t>D3</t>
        </is>
      </c>
      <c r="D14" t="inlineStr">
        <is>
          <t>c0922</t>
        </is>
      </c>
      <c r="E14" t="n">
        <v>0.38</v>
      </c>
    </row>
    <row r="15">
      <c r="A15" t="inlineStr">
        <is>
          <t>c0108</t>
        </is>
      </c>
      <c r="B15" t="inlineStr">
        <is>
          <t>LT</t>
        </is>
      </c>
      <c r="C15" t="inlineStr">
        <is>
          <t>D2</t>
        </is>
      </c>
      <c r="D15" t="inlineStr">
        <is>
          <t>c0923</t>
        </is>
      </c>
      <c r="E15" t="n">
        <v>0.12</v>
      </c>
    </row>
    <row r="16">
      <c r="A16" t="inlineStr">
        <is>
          <t>c0128</t>
        </is>
      </c>
      <c r="B16" t="inlineStr">
        <is>
          <t>LT</t>
        </is>
      </c>
      <c r="C16" t="inlineStr">
        <is>
          <t>D6</t>
        </is>
      </c>
      <c r="D16" t="inlineStr">
        <is>
          <t>c0156</t>
        </is>
      </c>
      <c r="E16" t="n">
        <v>1.3</v>
      </c>
    </row>
    <row r="17">
      <c r="A17" t="inlineStr">
        <is>
          <t>c0146</t>
        </is>
      </c>
      <c r="B17" t="inlineStr">
        <is>
          <t>LT</t>
        </is>
      </c>
      <c r="C17" t="inlineStr">
        <is>
          <t>D2</t>
        </is>
      </c>
      <c r="D17" t="inlineStr">
        <is>
          <t>c0157</t>
        </is>
      </c>
      <c r="E17" t="n">
        <v>0.29</v>
      </c>
    </row>
    <row r="18">
      <c r="A18" t="inlineStr">
        <is>
          <t>c0161</t>
        </is>
      </c>
      <c r="B18" t="inlineStr">
        <is>
          <t>LT</t>
        </is>
      </c>
      <c r="C18" t="inlineStr">
        <is>
          <t>D3</t>
        </is>
      </c>
      <c r="D18" t="inlineStr">
        <is>
          <t>c0097</t>
        </is>
      </c>
      <c r="E18" t="n">
        <v>0.43</v>
      </c>
    </row>
    <row r="19">
      <c r="A19" t="inlineStr">
        <is>
          <t>c0162</t>
        </is>
      </c>
      <c r="B19" t="inlineStr">
        <is>
          <t>LT</t>
        </is>
      </c>
      <c r="C19" t="inlineStr">
        <is>
          <t>D7</t>
        </is>
      </c>
      <c r="D19" t="inlineStr">
        <is>
          <t>c0924</t>
        </is>
      </c>
      <c r="E19" t="n">
        <v>2.53</v>
      </c>
    </row>
    <row r="20">
      <c r="A20" t="inlineStr">
        <is>
          <t>c0171</t>
        </is>
      </c>
      <c r="B20" t="inlineStr">
        <is>
          <t>LT</t>
        </is>
      </c>
      <c r="C20" t="inlineStr">
        <is>
          <t>D3</t>
        </is>
      </c>
      <c r="D20" t="inlineStr">
        <is>
          <t>c0712</t>
        </is>
      </c>
      <c r="E20" t="n">
        <v>12.86</v>
      </c>
    </row>
    <row r="21">
      <c r="A21" t="inlineStr">
        <is>
          <t>c0192</t>
        </is>
      </c>
      <c r="B21" t="inlineStr">
        <is>
          <t>LT</t>
        </is>
      </c>
      <c r="C21" t="inlineStr">
        <is>
          <t>D7</t>
        </is>
      </c>
      <c r="D21" t="inlineStr">
        <is>
          <t>c0678</t>
        </is>
      </c>
      <c r="E21" t="n">
        <v>1.38</v>
      </c>
    </row>
    <row r="22">
      <c r="A22" t="inlineStr">
        <is>
          <t>c0203</t>
        </is>
      </c>
      <c r="B22" t="inlineStr">
        <is>
          <t>LT</t>
        </is>
      </c>
      <c r="C22" t="inlineStr">
        <is>
          <t>D2</t>
        </is>
      </c>
      <c r="D22" t="inlineStr">
        <is>
          <t>c0282</t>
        </is>
      </c>
      <c r="E22" t="n">
        <v>0.21</v>
      </c>
    </row>
    <row r="23">
      <c r="A23" t="inlineStr">
        <is>
          <t>c0231</t>
        </is>
      </c>
      <c r="B23" t="inlineStr">
        <is>
          <t>LT</t>
        </is>
      </c>
      <c r="C23" t="inlineStr">
        <is>
          <t>D7</t>
        </is>
      </c>
      <c r="D23" t="inlineStr">
        <is>
          <t>c0255</t>
        </is>
      </c>
      <c r="E23" t="n">
        <v>0.62</v>
      </c>
    </row>
    <row r="24">
      <c r="A24" t="inlineStr">
        <is>
          <t>c0233</t>
        </is>
      </c>
      <c r="B24" t="inlineStr">
        <is>
          <t>LT</t>
        </is>
      </c>
      <c r="C24" t="inlineStr">
        <is>
          <t>D2</t>
        </is>
      </c>
      <c r="D24" t="inlineStr">
        <is>
          <t>c0925</t>
        </is>
      </c>
      <c r="E24" t="n">
        <v>0.23</v>
      </c>
    </row>
    <row r="25">
      <c r="A25" t="inlineStr">
        <is>
          <t>c0235</t>
        </is>
      </c>
      <c r="B25" t="inlineStr">
        <is>
          <t>LT</t>
        </is>
      </c>
      <c r="C25" t="inlineStr">
        <is>
          <t>D4</t>
        </is>
      </c>
      <c r="D25" t="inlineStr">
        <is>
          <t>c0255</t>
        </is>
      </c>
      <c r="E25" t="n">
        <v>0.62</v>
      </c>
    </row>
    <row r="26">
      <c r="A26" t="inlineStr">
        <is>
          <t>c0236</t>
        </is>
      </c>
      <c r="B26" t="inlineStr">
        <is>
          <t>LT</t>
        </is>
      </c>
      <c r="C26" t="inlineStr">
        <is>
          <t>D2</t>
        </is>
      </c>
      <c r="D26" t="inlineStr">
        <is>
          <t>c0926</t>
        </is>
      </c>
      <c r="E26" t="n">
        <v>0.2</v>
      </c>
    </row>
    <row r="27">
      <c r="A27" t="inlineStr">
        <is>
          <t>c0241</t>
        </is>
      </c>
      <c r="B27" t="inlineStr">
        <is>
          <t>LT</t>
        </is>
      </c>
      <c r="C27" t="inlineStr">
        <is>
          <t>D7</t>
        </is>
      </c>
      <c r="D27" t="inlineStr">
        <is>
          <t>c0927</t>
        </is>
      </c>
      <c r="E27" t="n">
        <v>2.1</v>
      </c>
    </row>
    <row r="28">
      <c r="A28" t="inlineStr">
        <is>
          <t>c0261</t>
        </is>
      </c>
      <c r="B28" t="inlineStr">
        <is>
          <t>LT</t>
        </is>
      </c>
      <c r="C28" t="inlineStr">
        <is>
          <t>D2</t>
        </is>
      </c>
      <c r="D28" t="inlineStr">
        <is>
          <t>c0928</t>
        </is>
      </c>
      <c r="E28" t="n">
        <v>0.1</v>
      </c>
    </row>
    <row r="29">
      <c r="A29" t="inlineStr">
        <is>
          <t>c0271</t>
        </is>
      </c>
      <c r="B29" t="inlineStr">
        <is>
          <t>LT</t>
        </is>
      </c>
      <c r="C29" t="inlineStr">
        <is>
          <t>D2</t>
        </is>
      </c>
      <c r="D29" t="inlineStr">
        <is>
          <t>c0929</t>
        </is>
      </c>
      <c r="E29" t="n">
        <v>0.67</v>
      </c>
    </row>
    <row r="30">
      <c r="A30" t="inlineStr">
        <is>
          <t>c0299</t>
        </is>
      </c>
      <c r="B30" t="inlineStr">
        <is>
          <t>LT</t>
        </is>
      </c>
      <c r="C30" t="inlineStr">
        <is>
          <t>D4</t>
        </is>
      </c>
      <c r="D30" t="inlineStr">
        <is>
          <t>c0312</t>
        </is>
      </c>
      <c r="E30" t="n">
        <v>0.26</v>
      </c>
    </row>
    <row r="31">
      <c r="A31" t="inlineStr">
        <is>
          <t>c0302</t>
        </is>
      </c>
      <c r="B31" t="inlineStr">
        <is>
          <t>LT</t>
        </is>
      </c>
      <c r="C31" t="inlineStr">
        <is>
          <t>D2</t>
        </is>
      </c>
      <c r="D31" t="inlineStr">
        <is>
          <t>c0930</t>
        </is>
      </c>
      <c r="E31" t="n">
        <v>0.27</v>
      </c>
    </row>
    <row r="32">
      <c r="A32" t="inlineStr">
        <is>
          <t>c0319</t>
        </is>
      </c>
      <c r="B32" t="inlineStr">
        <is>
          <t>LT</t>
        </is>
      </c>
      <c r="C32" t="inlineStr">
        <is>
          <t>D3</t>
        </is>
      </c>
      <c r="D32" t="inlineStr">
        <is>
          <t>c0312</t>
        </is>
      </c>
      <c r="E32" t="n">
        <v>0.26</v>
      </c>
    </row>
    <row r="33">
      <c r="A33" t="inlineStr">
        <is>
          <t>c0330</t>
        </is>
      </c>
      <c r="B33" t="inlineStr">
        <is>
          <t>LT</t>
        </is>
      </c>
      <c r="C33" t="inlineStr">
        <is>
          <t>D3</t>
        </is>
      </c>
      <c r="D33" t="inlineStr">
        <is>
          <t>c0340</t>
        </is>
      </c>
      <c r="E33" t="n">
        <v>0.6</v>
      </c>
    </row>
    <row r="34">
      <c r="A34" t="inlineStr">
        <is>
          <t>c0337</t>
        </is>
      </c>
      <c r="B34" t="inlineStr">
        <is>
          <t>LT</t>
        </is>
      </c>
      <c r="C34" t="inlineStr">
        <is>
          <t>D6</t>
        </is>
      </c>
      <c r="D34" t="inlineStr">
        <is>
          <t>c0562</t>
        </is>
      </c>
      <c r="E34" t="n">
        <v>1.36</v>
      </c>
    </row>
    <row r="35">
      <c r="A35" t="inlineStr">
        <is>
          <t>c0347</t>
        </is>
      </c>
      <c r="B35" t="inlineStr">
        <is>
          <t>LT</t>
        </is>
      </c>
      <c r="C35" t="inlineStr">
        <is>
          <t>D4</t>
        </is>
      </c>
      <c r="D35" t="inlineStr">
        <is>
          <t>c0340</t>
        </is>
      </c>
      <c r="E35" t="n">
        <v>0.6</v>
      </c>
    </row>
    <row r="36">
      <c r="A36" t="inlineStr">
        <is>
          <t>c0379</t>
        </is>
      </c>
      <c r="B36" t="inlineStr">
        <is>
          <t>LT</t>
        </is>
      </c>
      <c r="C36" t="inlineStr">
        <is>
          <t>D2</t>
        </is>
      </c>
      <c r="D36" t="inlineStr">
        <is>
          <t>c0931</t>
        </is>
      </c>
      <c r="E36" t="n">
        <v>0.21</v>
      </c>
    </row>
    <row r="37">
      <c r="A37" t="inlineStr">
        <is>
          <t>c0411</t>
        </is>
      </c>
      <c r="B37" t="inlineStr">
        <is>
          <t>LT</t>
        </is>
      </c>
      <c r="C37" t="inlineStr">
        <is>
          <t>D1</t>
        </is>
      </c>
      <c r="D37" t="inlineStr">
        <is>
          <t>c0410</t>
        </is>
      </c>
      <c r="E37" t="n">
        <v>0.52</v>
      </c>
    </row>
    <row r="38">
      <c r="A38" t="inlineStr">
        <is>
          <t>c0506</t>
        </is>
      </c>
      <c r="B38" t="inlineStr">
        <is>
          <t>LT</t>
        </is>
      </c>
      <c r="C38" t="inlineStr">
        <is>
          <t>D2</t>
        </is>
      </c>
      <c r="D38" t="inlineStr">
        <is>
          <t>c0932</t>
        </is>
      </c>
      <c r="E38" t="n">
        <v>0.25</v>
      </c>
    </row>
    <row r="39">
      <c r="A39" t="inlineStr">
        <is>
          <t>c0510</t>
        </is>
      </c>
      <c r="B39" t="inlineStr">
        <is>
          <t>LT</t>
        </is>
      </c>
      <c r="C39" t="inlineStr">
        <is>
          <t>D1</t>
        </is>
      </c>
      <c r="D39" t="inlineStr">
        <is>
          <t>c0626</t>
        </is>
      </c>
      <c r="E39" t="n">
        <v>4.68</v>
      </c>
    </row>
    <row r="40">
      <c r="A40" t="inlineStr">
        <is>
          <t>c0520</t>
        </is>
      </c>
      <c r="B40" t="inlineStr">
        <is>
          <t>LT</t>
        </is>
      </c>
      <c r="C40" t="inlineStr">
        <is>
          <t>D3</t>
        </is>
      </c>
      <c r="D40" t="inlineStr">
        <is>
          <t>c0933</t>
        </is>
      </c>
      <c r="E40" t="n">
        <v>0.29</v>
      </c>
    </row>
    <row r="41">
      <c r="A41" t="inlineStr">
        <is>
          <t>c0524</t>
        </is>
      </c>
      <c r="B41" t="inlineStr">
        <is>
          <t>LT</t>
        </is>
      </c>
      <c r="C41" t="inlineStr">
        <is>
          <t>D2</t>
        </is>
      </c>
      <c r="D41" t="inlineStr">
        <is>
          <t>c0934</t>
        </is>
      </c>
      <c r="E41" t="n">
        <v>0.42</v>
      </c>
    </row>
    <row r="42">
      <c r="A42" t="inlineStr">
        <is>
          <t>c0533</t>
        </is>
      </c>
      <c r="B42" t="inlineStr">
        <is>
          <t>LT</t>
        </is>
      </c>
      <c r="C42" t="inlineStr">
        <is>
          <t>D6</t>
        </is>
      </c>
      <c r="D42" t="inlineStr">
        <is>
          <t>c0593</t>
        </is>
      </c>
      <c r="E42" t="n">
        <v>0.24</v>
      </c>
    </row>
    <row r="43">
      <c r="A43" t="inlineStr">
        <is>
          <t>c0536</t>
        </is>
      </c>
      <c r="B43" t="inlineStr">
        <is>
          <t>LT</t>
        </is>
      </c>
      <c r="C43" t="inlineStr">
        <is>
          <t>D6</t>
        </is>
      </c>
      <c r="D43" t="inlineStr">
        <is>
          <t>c0935</t>
        </is>
      </c>
      <c r="E43" t="n">
        <v>0.21</v>
      </c>
    </row>
    <row r="44">
      <c r="A44" t="inlineStr">
        <is>
          <t>c0550</t>
        </is>
      </c>
      <c r="B44" t="inlineStr">
        <is>
          <t>LT</t>
        </is>
      </c>
      <c r="C44" t="inlineStr">
        <is>
          <t>D6</t>
        </is>
      </c>
      <c r="D44" t="inlineStr">
        <is>
          <t>c0936</t>
        </is>
      </c>
      <c r="E44" t="n">
        <v>0.46</v>
      </c>
    </row>
    <row r="45">
      <c r="A45" t="inlineStr">
        <is>
          <t>c0551</t>
        </is>
      </c>
      <c r="B45" t="inlineStr">
        <is>
          <t>LT</t>
        </is>
      </c>
      <c r="C45" t="inlineStr">
        <is>
          <t>D1</t>
        </is>
      </c>
      <c r="D45" t="inlineStr">
        <is>
          <t>c0937</t>
        </is>
      </c>
      <c r="E45" t="n">
        <v>0.88</v>
      </c>
    </row>
    <row r="46">
      <c r="A46" t="inlineStr">
        <is>
          <t>c0609</t>
        </is>
      </c>
      <c r="B46" t="inlineStr">
        <is>
          <t>LT</t>
        </is>
      </c>
      <c r="C46" t="inlineStr">
        <is>
          <t>D6</t>
        </is>
      </c>
      <c r="D46" t="inlineStr">
        <is>
          <t>c0938</t>
        </is>
      </c>
      <c r="E46" t="n">
        <v>0.75</v>
      </c>
    </row>
    <row r="47">
      <c r="A47" t="inlineStr">
        <is>
          <t>c0622</t>
        </is>
      </c>
      <c r="B47" t="inlineStr">
        <is>
          <t>LT</t>
        </is>
      </c>
      <c r="C47" t="inlineStr">
        <is>
          <t>D6</t>
        </is>
      </c>
      <c r="D47" t="inlineStr">
        <is>
          <t>c0132</t>
        </is>
      </c>
      <c r="E47" t="n">
        <v>2.16</v>
      </c>
    </row>
    <row r="48">
      <c r="A48" t="inlineStr">
        <is>
          <t>c0623</t>
        </is>
      </c>
      <c r="B48" t="inlineStr">
        <is>
          <t>LT</t>
        </is>
      </c>
      <c r="C48" t="inlineStr">
        <is>
          <t>D6</t>
        </is>
      </c>
      <c r="D48" t="inlineStr">
        <is>
          <t>c0939</t>
        </is>
      </c>
      <c r="E48" t="n">
        <v>1.08</v>
      </c>
    </row>
    <row r="49">
      <c r="A49" t="inlineStr">
        <is>
          <t>c0632</t>
        </is>
      </c>
      <c r="B49" t="inlineStr">
        <is>
          <t>LT</t>
        </is>
      </c>
      <c r="C49" t="inlineStr">
        <is>
          <t>D6</t>
        </is>
      </c>
      <c r="D49" t="inlineStr">
        <is>
          <t>c0940</t>
        </is>
      </c>
      <c r="E49" t="n">
        <v>0.35</v>
      </c>
    </row>
    <row r="50">
      <c r="A50" t="inlineStr">
        <is>
          <t>c0634</t>
        </is>
      </c>
      <c r="B50" t="inlineStr">
        <is>
          <t>LT</t>
        </is>
      </c>
      <c r="C50" t="inlineStr">
        <is>
          <t>D6</t>
        </is>
      </c>
      <c r="D50" t="inlineStr">
        <is>
          <t>c0647</t>
        </is>
      </c>
      <c r="E50" t="n">
        <v>2.07</v>
      </c>
    </row>
    <row r="51">
      <c r="A51" t="inlineStr">
        <is>
          <t>c0640</t>
        </is>
      </c>
      <c r="B51" t="inlineStr">
        <is>
          <t>LT</t>
        </is>
      </c>
      <c r="C51" t="inlineStr">
        <is>
          <t>D1</t>
        </is>
      </c>
      <c r="D51" t="inlineStr">
        <is>
          <t>c0561</t>
        </is>
      </c>
      <c r="E51" t="n">
        <v>0.5</v>
      </c>
    </row>
    <row r="52">
      <c r="A52" t="inlineStr">
        <is>
          <t>c0675</t>
        </is>
      </c>
      <c r="B52" t="inlineStr">
        <is>
          <t>LT</t>
        </is>
      </c>
      <c r="C52" t="inlineStr">
        <is>
          <t>D7</t>
        </is>
      </c>
      <c r="D52" t="inlineStr">
        <is>
          <t>c0397</t>
        </is>
      </c>
      <c r="E52" t="n">
        <v>1.2</v>
      </c>
    </row>
    <row r="53">
      <c r="A53" t="inlineStr">
        <is>
          <t>c0676</t>
        </is>
      </c>
      <c r="B53" t="inlineStr">
        <is>
          <t>LT</t>
        </is>
      </c>
      <c r="C53" t="inlineStr">
        <is>
          <t>D2</t>
        </is>
      </c>
      <c r="D53" t="inlineStr">
        <is>
          <t>c0905</t>
        </is>
      </c>
      <c r="E53" t="n">
        <v>0.09</v>
      </c>
    </row>
    <row r="54">
      <c r="A54" t="inlineStr">
        <is>
          <t>c0685</t>
        </is>
      </c>
      <c r="B54" t="inlineStr">
        <is>
          <t>LT</t>
        </is>
      </c>
      <c r="C54" t="inlineStr">
        <is>
          <t>D7</t>
        </is>
      </c>
      <c r="D54" t="inlineStr">
        <is>
          <t>c0941</t>
        </is>
      </c>
      <c r="E54" t="n">
        <v>0.12</v>
      </c>
    </row>
    <row r="55">
      <c r="A55" t="inlineStr">
        <is>
          <t>c0695</t>
        </is>
      </c>
      <c r="B55" t="inlineStr">
        <is>
          <t>LT</t>
        </is>
      </c>
      <c r="C55" t="inlineStr">
        <is>
          <t>D2</t>
        </is>
      </c>
      <c r="D55" t="inlineStr">
        <is>
          <t>c0189</t>
        </is>
      </c>
      <c r="E55" t="n">
        <v>1.5</v>
      </c>
    </row>
    <row r="56">
      <c r="A56" t="inlineStr">
        <is>
          <t>c0705</t>
        </is>
      </c>
      <c r="B56" t="inlineStr">
        <is>
          <t>LT</t>
        </is>
      </c>
      <c r="C56" t="inlineStr">
        <is>
          <t>D2</t>
        </is>
      </c>
      <c r="D56" t="inlineStr">
        <is>
          <t>c0942</t>
        </is>
      </c>
      <c r="E56" t="n">
        <v>0.22</v>
      </c>
    </row>
    <row r="57">
      <c r="A57" t="inlineStr">
        <is>
          <t>c0716</t>
        </is>
      </c>
      <c r="B57" t="inlineStr">
        <is>
          <t>LT</t>
        </is>
      </c>
      <c r="C57" t="inlineStr">
        <is>
          <t>D2</t>
        </is>
      </c>
      <c r="D57" t="inlineStr">
        <is>
          <t>c0943</t>
        </is>
      </c>
      <c r="E57" t="n">
        <v>0.33</v>
      </c>
    </row>
    <row r="58">
      <c r="A58" t="inlineStr">
        <is>
          <t>c0724</t>
        </is>
      </c>
      <c r="B58" t="inlineStr">
        <is>
          <t>LT</t>
        </is>
      </c>
      <c r="C58" t="inlineStr">
        <is>
          <t>D2</t>
        </is>
      </c>
      <c r="D58" t="inlineStr">
        <is>
          <t>c0944</t>
        </is>
      </c>
      <c r="E58" t="n">
        <v>0.37</v>
      </c>
    </row>
    <row r="59">
      <c r="A59" t="inlineStr">
        <is>
          <t>c0731</t>
        </is>
      </c>
      <c r="B59" t="inlineStr">
        <is>
          <t>LT</t>
        </is>
      </c>
      <c r="C59" t="inlineStr">
        <is>
          <t>D7</t>
        </is>
      </c>
      <c r="D59" t="inlineStr">
        <is>
          <t>c0945</t>
        </is>
      </c>
      <c r="E59" t="n">
        <v>0.34</v>
      </c>
    </row>
    <row r="60">
      <c r="A60" t="inlineStr">
        <is>
          <t>c0739</t>
        </is>
      </c>
      <c r="B60" t="inlineStr">
        <is>
          <t>LT</t>
        </is>
      </c>
      <c r="C60" t="inlineStr">
        <is>
          <t>D3</t>
        </is>
      </c>
      <c r="D60" t="inlineStr">
        <is>
          <t>c0692</t>
        </is>
      </c>
      <c r="E60" t="n">
        <v>2.17</v>
      </c>
    </row>
    <row r="61">
      <c r="A61" t="inlineStr">
        <is>
          <t>c0745</t>
        </is>
      </c>
      <c r="B61" t="inlineStr">
        <is>
          <t>LT</t>
        </is>
      </c>
      <c r="C61" t="inlineStr">
        <is>
          <t>D5</t>
        </is>
      </c>
      <c r="D61" t="inlineStr">
        <is>
          <t>c0878</t>
        </is>
      </c>
      <c r="E61" t="n">
        <v>1.48</v>
      </c>
    </row>
    <row r="62">
      <c r="A62" t="inlineStr">
        <is>
          <t>c0794</t>
        </is>
      </c>
      <c r="B62" t="inlineStr">
        <is>
          <t>LT</t>
        </is>
      </c>
      <c r="C62" t="inlineStr">
        <is>
          <t>D5</t>
        </is>
      </c>
      <c r="D62" t="inlineStr">
        <is>
          <t>c0890</t>
        </is>
      </c>
      <c r="E62" t="n">
        <v>0.71</v>
      </c>
    </row>
    <row r="63">
      <c r="A63" t="inlineStr">
        <is>
          <t>c0805</t>
        </is>
      </c>
      <c r="B63" t="inlineStr">
        <is>
          <t>LT</t>
        </is>
      </c>
      <c r="C63" t="inlineStr">
        <is>
          <t>D5</t>
        </is>
      </c>
      <c r="D63" t="inlineStr">
        <is>
          <t>c0946</t>
        </is>
      </c>
      <c r="E63" t="n">
        <v>2.84</v>
      </c>
    </row>
    <row r="64">
      <c r="A64" t="inlineStr">
        <is>
          <t>c0816</t>
        </is>
      </c>
      <c r="B64" t="inlineStr">
        <is>
          <t>LT</t>
        </is>
      </c>
      <c r="C64" t="inlineStr">
        <is>
          <t>D5</t>
        </is>
      </c>
      <c r="D64" t="inlineStr">
        <is>
          <t>c0028</t>
        </is>
      </c>
      <c r="E64" t="n">
        <v>0.4</v>
      </c>
    </row>
    <row r="65">
      <c r="A65" t="inlineStr">
        <is>
          <t>c0819</t>
        </is>
      </c>
      <c r="B65" t="inlineStr">
        <is>
          <t>LT</t>
        </is>
      </c>
      <c r="C65" t="inlineStr">
        <is>
          <t>D2</t>
        </is>
      </c>
      <c r="D65" t="inlineStr">
        <is>
          <t>c0947</t>
        </is>
      </c>
      <c r="E65" t="n">
        <v>0.24</v>
      </c>
    </row>
    <row r="66">
      <c r="A66" t="inlineStr">
        <is>
          <t>c0856</t>
        </is>
      </c>
      <c r="B66" t="inlineStr">
        <is>
          <t>LT</t>
        </is>
      </c>
      <c r="C66" t="inlineStr">
        <is>
          <t>D5</t>
        </is>
      </c>
      <c r="D66" t="inlineStr">
        <is>
          <t>c0149</t>
        </is>
      </c>
      <c r="E66" t="n">
        <v>2.69</v>
      </c>
    </row>
    <row r="67">
      <c r="A67" t="inlineStr">
        <is>
          <t>c0868</t>
        </is>
      </c>
      <c r="B67" t="inlineStr">
        <is>
          <t>LT</t>
        </is>
      </c>
      <c r="C67" t="inlineStr">
        <is>
          <t>D5</t>
        </is>
      </c>
      <c r="D67" t="inlineStr">
        <is>
          <t>c0948</t>
        </is>
      </c>
      <c r="E67" t="n">
        <v>0.16</v>
      </c>
    </row>
    <row r="68">
      <c r="A68" t="inlineStr">
        <is>
          <t>c0141</t>
        </is>
      </c>
      <c r="B68" t="inlineStr">
        <is>
          <t>LT</t>
        </is>
      </c>
      <c r="C68" t="inlineStr">
        <is>
          <t>D5</t>
        </is>
      </c>
      <c r="D68" t="inlineStr">
        <is>
          <t>c0949</t>
        </is>
      </c>
      <c r="E68" t="n">
        <v>0.22</v>
      </c>
    </row>
    <row r="69">
      <c r="A69" t="inlineStr">
        <is>
          <t>c0318</t>
        </is>
      </c>
      <c r="B69" t="inlineStr">
        <is>
          <t>LT</t>
        </is>
      </c>
      <c r="C69" t="inlineStr">
        <is>
          <t>D3</t>
        </is>
      </c>
      <c r="D69" t="inlineStr">
        <is>
          <t>c0515</t>
        </is>
      </c>
      <c r="E69" t="n">
        <v>1.66</v>
      </c>
    </row>
    <row r="70">
      <c r="A70" t="inlineStr">
        <is>
          <t>c0717</t>
        </is>
      </c>
      <c r="B70" t="inlineStr">
        <is>
          <t>LT</t>
        </is>
      </c>
      <c r="C70" t="inlineStr">
        <is>
          <t>D7</t>
        </is>
      </c>
      <c r="D70" t="inlineStr">
        <is>
          <t>c0950</t>
        </is>
      </c>
      <c r="E70" t="n">
        <v>0.77</v>
      </c>
    </row>
    <row r="71">
      <c r="A71" t="inlineStr">
        <is>
          <t>c0008</t>
        </is>
      </c>
      <c r="B71" t="inlineStr">
        <is>
          <t>ST</t>
        </is>
      </c>
      <c r="C71" t="inlineStr">
        <is>
          <t>D5</t>
        </is>
      </c>
      <c r="D71" t="inlineStr">
        <is>
          <t>c0752</t>
        </is>
      </c>
      <c r="E71" t="n">
        <v>0.36</v>
      </c>
    </row>
    <row r="72">
      <c r="A72" t="inlineStr">
        <is>
          <t>c0141</t>
        </is>
      </c>
      <c r="B72" t="inlineStr">
        <is>
          <t>ST</t>
        </is>
      </c>
      <c r="C72" t="inlineStr">
        <is>
          <t>D4</t>
        </is>
      </c>
      <c r="D72" t="inlineStr">
        <is>
          <t>c0951</t>
        </is>
      </c>
      <c r="E72" t="n">
        <v>0.25</v>
      </c>
    </row>
    <row r="73">
      <c r="A73" t="inlineStr">
        <is>
          <t>c0717</t>
        </is>
      </c>
      <c r="B73" t="inlineStr">
        <is>
          <t>ST</t>
        </is>
      </c>
      <c r="C73" t="inlineStr">
        <is>
          <t>D3</t>
        </is>
      </c>
      <c r="D73" t="inlineStr">
        <is>
          <t>c0678</t>
        </is>
      </c>
      <c r="E73" t="n">
        <v>1.38</v>
      </c>
    </row>
    <row r="74">
      <c r="A74" t="inlineStr">
        <is>
          <t>c0027</t>
        </is>
      </c>
      <c r="B74" t="inlineStr">
        <is>
          <t>ST</t>
        </is>
      </c>
      <c r="C74" t="inlineStr">
        <is>
          <t>D5</t>
        </is>
      </c>
      <c r="D74" t="inlineStr">
        <is>
          <t>c0952</t>
        </is>
      </c>
      <c r="E74" t="n">
        <v>3.5</v>
      </c>
    </row>
    <row r="75">
      <c r="A75" t="inlineStr">
        <is>
          <t>c0029</t>
        </is>
      </c>
      <c r="B75" t="inlineStr">
        <is>
          <t>ST</t>
        </is>
      </c>
      <c r="C75" t="inlineStr">
        <is>
          <t>D4</t>
        </is>
      </c>
      <c r="D75" t="inlineStr">
        <is>
          <t>c0752</t>
        </is>
      </c>
      <c r="E75" t="n">
        <v>0.36</v>
      </c>
    </row>
    <row r="76">
      <c r="A76" t="inlineStr">
        <is>
          <t>c0033</t>
        </is>
      </c>
      <c r="B76" t="inlineStr">
        <is>
          <t>ST</t>
        </is>
      </c>
      <c r="C76" t="inlineStr">
        <is>
          <t>D7</t>
        </is>
      </c>
      <c r="D76" t="inlineStr">
        <is>
          <t>c0953</t>
        </is>
      </c>
      <c r="E76" t="n">
        <v>2.5</v>
      </c>
    </row>
    <row r="77">
      <c r="A77" t="inlineStr">
        <is>
          <t>c0049</t>
        </is>
      </c>
      <c r="B77" t="inlineStr">
        <is>
          <t>ST</t>
        </is>
      </c>
      <c r="C77" t="inlineStr">
        <is>
          <t>D7</t>
        </is>
      </c>
      <c r="D77" t="inlineStr">
        <is>
          <t>c0954</t>
        </is>
      </c>
      <c r="E77" t="n">
        <v>0.75</v>
      </c>
    </row>
    <row r="78">
      <c r="A78" t="inlineStr">
        <is>
          <t>c0062</t>
        </is>
      </c>
      <c r="B78" t="inlineStr">
        <is>
          <t>ST</t>
        </is>
      </c>
      <c r="C78" t="inlineStr">
        <is>
          <t>D7</t>
        </is>
      </c>
      <c r="D78" t="inlineStr">
        <is>
          <t>c0955</t>
        </is>
      </c>
      <c r="E78" t="n">
        <v>0.5</v>
      </c>
    </row>
    <row r="79">
      <c r="A79" t="inlineStr">
        <is>
          <t>c0070</t>
        </is>
      </c>
      <c r="B79" t="inlineStr">
        <is>
          <t>ST</t>
        </is>
      </c>
      <c r="C79" t="inlineStr">
        <is>
          <t>D7</t>
        </is>
      </c>
      <c r="D79" t="inlineStr">
        <is>
          <t>c0956</t>
        </is>
      </c>
      <c r="E79" t="n">
        <v>1</v>
      </c>
    </row>
    <row r="80">
      <c r="A80" t="inlineStr">
        <is>
          <t>c0077</t>
        </is>
      </c>
      <c r="B80" t="inlineStr">
        <is>
          <t>ST</t>
        </is>
      </c>
      <c r="C80" t="inlineStr">
        <is>
          <t>D5</t>
        </is>
      </c>
      <c r="D80" t="inlineStr">
        <is>
          <t>c0030</t>
        </is>
      </c>
      <c r="E80" t="n">
        <v>5.01</v>
      </c>
    </row>
    <row r="81">
      <c r="A81" t="inlineStr">
        <is>
          <t>c0098</t>
        </is>
      </c>
      <c r="B81" t="inlineStr">
        <is>
          <t>ST</t>
        </is>
      </c>
      <c r="C81" t="inlineStr">
        <is>
          <t>D7</t>
        </is>
      </c>
      <c r="D81" t="inlineStr">
        <is>
          <t>c0957</t>
        </is>
      </c>
      <c r="E81" t="n">
        <v>0.5</v>
      </c>
    </row>
    <row r="82">
      <c r="A82" t="inlineStr">
        <is>
          <t>c0118</t>
        </is>
      </c>
      <c r="B82" t="inlineStr">
        <is>
          <t>ST</t>
        </is>
      </c>
      <c r="C82" t="inlineStr">
        <is>
          <t>D6</t>
        </is>
      </c>
      <c r="D82" t="inlineStr">
        <is>
          <t>c0175</t>
        </is>
      </c>
      <c r="E82" t="n">
        <v>5.51</v>
      </c>
    </row>
    <row r="83">
      <c r="A83" t="inlineStr">
        <is>
          <t>c0122</t>
        </is>
      </c>
      <c r="B83" t="inlineStr">
        <is>
          <t>ST</t>
        </is>
      </c>
      <c r="C83" t="inlineStr">
        <is>
          <t>D7</t>
        </is>
      </c>
      <c r="D83" t="inlineStr">
        <is>
          <t>c0958</t>
        </is>
      </c>
      <c r="E83" t="n">
        <v>0.5</v>
      </c>
    </row>
    <row r="84">
      <c r="A84" t="inlineStr">
        <is>
          <t>c0126</t>
        </is>
      </c>
      <c r="B84" t="inlineStr">
        <is>
          <t>ST</t>
        </is>
      </c>
      <c r="C84" t="inlineStr">
        <is>
          <t>D5</t>
        </is>
      </c>
      <c r="D84" t="inlineStr">
        <is>
          <t>c0959</t>
        </is>
      </c>
      <c r="E84" t="n">
        <v>3</v>
      </c>
    </row>
    <row r="85">
      <c r="A85" t="inlineStr">
        <is>
          <t>c0148</t>
        </is>
      </c>
      <c r="B85" t="inlineStr">
        <is>
          <t>ST</t>
        </is>
      </c>
      <c r="C85" t="inlineStr">
        <is>
          <t>D4</t>
        </is>
      </c>
      <c r="D85" t="inlineStr">
        <is>
          <t>c0284</t>
        </is>
      </c>
      <c r="E85" t="n">
        <v>1</v>
      </c>
    </row>
    <row r="86">
      <c r="A86" t="inlineStr">
        <is>
          <t>c0173</t>
        </is>
      </c>
      <c r="B86" t="inlineStr">
        <is>
          <t>ST</t>
        </is>
      </c>
      <c r="C86" t="inlineStr">
        <is>
          <t>D5</t>
        </is>
      </c>
      <c r="D86" t="inlineStr">
        <is>
          <t>c0132</t>
        </is>
      </c>
      <c r="E86" t="n">
        <v>1</v>
      </c>
    </row>
    <row r="87">
      <c r="A87" t="inlineStr">
        <is>
          <t>c0185</t>
        </is>
      </c>
      <c r="B87" t="inlineStr">
        <is>
          <t>ST</t>
        </is>
      </c>
      <c r="C87" t="inlineStr">
        <is>
          <t>D4</t>
        </is>
      </c>
      <c r="D87" t="inlineStr">
        <is>
          <t>c0260</t>
        </is>
      </c>
      <c r="E87" t="n">
        <v>0.25</v>
      </c>
    </row>
    <row r="88">
      <c r="A88" t="inlineStr">
        <is>
          <t>c0196</t>
        </is>
      </c>
      <c r="B88" t="inlineStr">
        <is>
          <t>ST</t>
        </is>
      </c>
      <c r="C88" t="inlineStr">
        <is>
          <t>D4</t>
        </is>
      </c>
      <c r="D88" t="inlineStr">
        <is>
          <t>c0428</t>
        </is>
      </c>
      <c r="E88" t="n">
        <v>3</v>
      </c>
    </row>
    <row r="89">
      <c r="A89" t="inlineStr">
        <is>
          <t>c0208</t>
        </is>
      </c>
      <c r="B89" t="inlineStr">
        <is>
          <t>ST</t>
        </is>
      </c>
      <c r="C89" t="inlineStr">
        <is>
          <t>D7</t>
        </is>
      </c>
      <c r="D89" t="inlineStr">
        <is>
          <t>c0960</t>
        </is>
      </c>
      <c r="E89" t="n">
        <v>0.14</v>
      </c>
    </row>
    <row r="90">
      <c r="A90" t="inlineStr">
        <is>
          <t>c0211</t>
        </is>
      </c>
      <c r="B90" t="inlineStr">
        <is>
          <t>ST</t>
        </is>
      </c>
      <c r="C90" t="inlineStr">
        <is>
          <t>D4</t>
        </is>
      </c>
      <c r="D90" t="inlineStr">
        <is>
          <t>c0223</t>
        </is>
      </c>
      <c r="E90" t="n">
        <v>3.5</v>
      </c>
    </row>
    <row r="91">
      <c r="A91" t="inlineStr">
        <is>
          <t>c0222</t>
        </is>
      </c>
      <c r="B91" t="inlineStr">
        <is>
          <t>ST</t>
        </is>
      </c>
      <c r="C91" t="inlineStr">
        <is>
          <t>D3</t>
        </is>
      </c>
      <c r="D91" t="inlineStr">
        <is>
          <t>c0679</t>
        </is>
      </c>
      <c r="E91" t="n">
        <v>0.3</v>
      </c>
    </row>
    <row r="92">
      <c r="A92" t="inlineStr">
        <is>
          <t>c0245</t>
        </is>
      </c>
      <c r="B92" t="inlineStr">
        <is>
          <t>ST</t>
        </is>
      </c>
      <c r="C92" t="inlineStr">
        <is>
          <t>D7</t>
        </is>
      </c>
      <c r="D92" t="inlineStr">
        <is>
          <t>c0961</t>
        </is>
      </c>
      <c r="E92" t="n">
        <v>0.5</v>
      </c>
    </row>
    <row r="93">
      <c r="A93" t="inlineStr">
        <is>
          <t>c0247</t>
        </is>
      </c>
      <c r="B93" t="inlineStr">
        <is>
          <t>ST</t>
        </is>
      </c>
      <c r="C93" t="inlineStr">
        <is>
          <t>D3</t>
        </is>
      </c>
      <c r="D93" t="inlineStr">
        <is>
          <t>c0205</t>
        </is>
      </c>
      <c r="E93" t="n">
        <v>0.5</v>
      </c>
    </row>
    <row r="94">
      <c r="A94" t="inlineStr">
        <is>
          <t>c0292</t>
        </is>
      </c>
      <c r="B94" t="inlineStr">
        <is>
          <t>ST</t>
        </is>
      </c>
      <c r="C94" t="inlineStr">
        <is>
          <t>D2</t>
        </is>
      </c>
      <c r="D94" t="inlineStr">
        <is>
          <t>c0255</t>
        </is>
      </c>
      <c r="E94" t="n">
        <v>0.62</v>
      </c>
    </row>
    <row r="95">
      <c r="A95" t="inlineStr">
        <is>
          <t>c0293</t>
        </is>
      </c>
      <c r="B95" t="inlineStr">
        <is>
          <t>ST</t>
        </is>
      </c>
      <c r="C95" t="inlineStr">
        <is>
          <t>D4</t>
        </is>
      </c>
      <c r="D95" t="inlineStr">
        <is>
          <t>c0897</t>
        </is>
      </c>
      <c r="E95" t="n">
        <v>0.5</v>
      </c>
    </row>
    <row r="96">
      <c r="A96" t="inlineStr">
        <is>
          <t>c0395</t>
        </is>
      </c>
      <c r="B96" t="inlineStr">
        <is>
          <t>ST</t>
        </is>
      </c>
      <c r="C96" t="inlineStr">
        <is>
          <t>D2</t>
        </is>
      </c>
      <c r="D96" t="inlineStr">
        <is>
          <t>c0223</t>
        </is>
      </c>
      <c r="E96" t="n">
        <v>3.5</v>
      </c>
    </row>
    <row r="97">
      <c r="A97" t="inlineStr">
        <is>
          <t>c0425</t>
        </is>
      </c>
      <c r="B97" t="inlineStr">
        <is>
          <t>ST</t>
        </is>
      </c>
      <c r="C97" t="inlineStr">
        <is>
          <t>D1</t>
        </is>
      </c>
      <c r="D97" t="inlineStr">
        <is>
          <t>c0409</t>
        </is>
      </c>
      <c r="E97" t="n">
        <v>1.5</v>
      </c>
    </row>
    <row r="98">
      <c r="A98" t="inlineStr">
        <is>
          <t>c0479</t>
        </is>
      </c>
      <c r="B98" t="inlineStr">
        <is>
          <t>ST</t>
        </is>
      </c>
      <c r="C98" t="inlineStr">
        <is>
          <t>D7</t>
        </is>
      </c>
      <c r="D98" t="inlineStr">
        <is>
          <t>c0962</t>
        </is>
      </c>
      <c r="E98" t="n">
        <v>0.2</v>
      </c>
    </row>
    <row r="99">
      <c r="A99" t="inlineStr">
        <is>
          <t>c0512</t>
        </is>
      </c>
      <c r="B99" t="inlineStr">
        <is>
          <t>ST</t>
        </is>
      </c>
      <c r="C99" t="inlineStr">
        <is>
          <t>D7</t>
        </is>
      </c>
      <c r="D99" t="inlineStr">
        <is>
          <t>c0963</t>
        </is>
      </c>
      <c r="E99" t="n">
        <v>0.32</v>
      </c>
    </row>
    <row r="100">
      <c r="A100" t="inlineStr">
        <is>
          <t>c0557</t>
        </is>
      </c>
      <c r="B100" t="inlineStr">
        <is>
          <t>ST</t>
        </is>
      </c>
      <c r="C100" t="inlineStr">
        <is>
          <t>D6</t>
        </is>
      </c>
      <c r="D100" t="inlineStr">
        <is>
          <t>c0964</t>
        </is>
      </c>
      <c r="E100" t="n">
        <v>1</v>
      </c>
    </row>
    <row r="101">
      <c r="A101" t="inlineStr">
        <is>
          <t>c0631</t>
        </is>
      </c>
      <c r="B101" t="inlineStr">
        <is>
          <t>ST</t>
        </is>
      </c>
      <c r="C101" t="inlineStr">
        <is>
          <t>D6</t>
        </is>
      </c>
      <c r="D101" t="inlineStr">
        <is>
          <t>c0133</t>
        </is>
      </c>
      <c r="E101" t="n">
        <v>5</v>
      </c>
    </row>
    <row r="102">
      <c r="A102" t="inlineStr">
        <is>
          <t>c0650</t>
        </is>
      </c>
      <c r="B102" t="inlineStr">
        <is>
          <t>ST</t>
        </is>
      </c>
      <c r="C102" t="inlineStr">
        <is>
          <t>D6</t>
        </is>
      </c>
      <c r="D102" t="inlineStr">
        <is>
          <t>c0965</t>
        </is>
      </c>
      <c r="E102" t="n">
        <v>0.5</v>
      </c>
    </row>
    <row r="103">
      <c r="A103" t="inlineStr">
        <is>
          <t>c0663</t>
        </is>
      </c>
      <c r="B103" t="inlineStr">
        <is>
          <t>ST</t>
        </is>
      </c>
      <c r="C103" t="inlineStr">
        <is>
          <t>D6</t>
        </is>
      </c>
      <c r="D103" t="inlineStr">
        <is>
          <t>c0561</t>
        </is>
      </c>
      <c r="E103" t="n">
        <v>0.5</v>
      </c>
    </row>
    <row r="104">
      <c r="A104" t="inlineStr">
        <is>
          <t>c0710</t>
        </is>
      </c>
      <c r="B104" t="inlineStr">
        <is>
          <t>ST</t>
        </is>
      </c>
      <c r="C104" t="inlineStr">
        <is>
          <t>D3</t>
        </is>
      </c>
      <c r="D104" t="inlineStr">
        <is>
          <t>c0966</t>
        </is>
      </c>
      <c r="E104" t="n">
        <v>0.25</v>
      </c>
    </row>
    <row r="105">
      <c r="A105" t="inlineStr">
        <is>
          <t>c0713</t>
        </is>
      </c>
      <c r="B105" t="inlineStr">
        <is>
          <t>ST</t>
        </is>
      </c>
      <c r="C105" t="inlineStr">
        <is>
          <t>D2</t>
        </is>
      </c>
      <c r="D105" t="inlineStr">
        <is>
          <t>c0967</t>
        </is>
      </c>
      <c r="E105" t="n">
        <v>1.5</v>
      </c>
    </row>
    <row r="106">
      <c r="A106" t="inlineStr">
        <is>
          <t>c0738</t>
        </is>
      </c>
      <c r="B106" t="inlineStr">
        <is>
          <t>ST</t>
        </is>
      </c>
      <c r="C106" t="inlineStr">
        <is>
          <t>D7</t>
        </is>
      </c>
      <c r="D106" t="inlineStr">
        <is>
          <t>c0968</t>
        </is>
      </c>
      <c r="E106" t="n">
        <v>0.75</v>
      </c>
    </row>
    <row r="107">
      <c r="A107" t="inlineStr">
        <is>
          <t>c0774</t>
        </is>
      </c>
      <c r="B107" t="inlineStr">
        <is>
          <t>ST</t>
        </is>
      </c>
      <c r="C107" t="inlineStr">
        <is>
          <t>D4</t>
        </is>
      </c>
      <c r="D107" t="inlineStr">
        <is>
          <t>c0190</t>
        </is>
      </c>
      <c r="E107" t="n">
        <v>0.75</v>
      </c>
    </row>
    <row r="108">
      <c r="A108" t="inlineStr">
        <is>
          <t>c0778</t>
        </is>
      </c>
      <c r="B108" t="inlineStr">
        <is>
          <t>ST</t>
        </is>
      </c>
      <c r="C108" t="inlineStr">
        <is>
          <t>D4</t>
        </is>
      </c>
      <c r="D108" t="inlineStr">
        <is>
          <t>c0282</t>
        </is>
      </c>
      <c r="E108" t="n">
        <v>0.75</v>
      </c>
    </row>
    <row r="109">
      <c r="A109" t="inlineStr">
        <is>
          <t>c0839</t>
        </is>
      </c>
      <c r="B109" t="inlineStr">
        <is>
          <t>ST</t>
        </is>
      </c>
      <c r="C109" t="inlineStr">
        <is>
          <t>D5</t>
        </is>
      </c>
      <c r="D109" t="inlineStr">
        <is>
          <t>c0041</t>
        </is>
      </c>
      <c r="E109" t="n">
        <v>0.33</v>
      </c>
    </row>
    <row r="110">
      <c r="A110" t="inlineStr">
        <is>
          <t>c0854</t>
        </is>
      </c>
      <c r="B110" t="inlineStr">
        <is>
          <t>ST</t>
        </is>
      </c>
      <c r="C110" t="inlineStr">
        <is>
          <t>D5</t>
        </is>
      </c>
      <c r="D110" t="inlineStr">
        <is>
          <t>c0969</t>
        </is>
      </c>
      <c r="E110" t="n">
        <v>0.15</v>
      </c>
    </row>
    <row r="111">
      <c r="A111" t="inlineStr">
        <is>
          <t>c0867</t>
        </is>
      </c>
      <c r="B111" t="inlineStr">
        <is>
          <t>ST</t>
        </is>
      </c>
      <c r="C111" t="inlineStr">
        <is>
          <t>D5</t>
        </is>
      </c>
      <c r="D111" t="inlineStr">
        <is>
          <t>c0050</t>
        </is>
      </c>
      <c r="E111" t="n">
        <v>0.32</v>
      </c>
    </row>
    <row r="112">
      <c r="A112" t="inlineStr">
        <is>
          <t>c0912</t>
        </is>
      </c>
      <c r="B112" t="inlineStr">
        <is>
          <t>ST</t>
        </is>
      </c>
      <c r="C112" t="inlineStr">
        <is>
          <t>D5</t>
        </is>
      </c>
      <c r="D112" t="inlineStr">
        <is>
          <t>c0054</t>
        </is>
      </c>
      <c r="E1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Robert Minor</dc:creator>
  <dcterms:created xsi:type="dcterms:W3CDTF">2026-09-05T04:45:55Z</dcterms:created>
  <dcterms:modified xsi:type="dcterms:W3CDTF">2026-09-19T20:40:38Z</dcterms:modified>
  <cp:lastModifiedBy>Robert Minor</cp:lastModifiedBy>
</cp:coreProperties>
</file>