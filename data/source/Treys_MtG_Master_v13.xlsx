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obmi\Downloads\"/>
    </mc:Choice>
  </mc:AlternateContent>
  <xr:revisionPtr revIDLastSave="0" documentId="13_ncr:1_{8AF99F11-58B8-4F48-8FE0-D8130D51C071}" xr6:coauthVersionLast="47" xr6:coauthVersionMax="47" xr10:uidLastSave="{00000000-0000-0000-0000-000000000000}"/>
  <bookViews>
    <workbookView xWindow="38280" yWindow="2610" windowWidth="29040" windowHeight="15720" tabRatio="742" activeTab="1" xr2:uid="{00000000-000D-0000-FFFF-FFFF00000000}"/>
  </bookViews>
  <sheets>
    <sheet name="Upgrade Path" sheetId="3" r:id="rId1"/>
    <sheet name="Master" sheetId="4" r:id="rId2"/>
  </sheets>
  <definedNames>
    <definedName name="_xlnm._FilterDatabase" localSheetId="1" hidden="1">Master!$A$4:$AX$837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783" i="4" l="1"/>
  <c r="AD784" i="4"/>
  <c r="AD785" i="4"/>
  <c r="AD786" i="4"/>
  <c r="AD787" i="4"/>
  <c r="AD788" i="4"/>
  <c r="AD789" i="4"/>
  <c r="AD790" i="4"/>
  <c r="AD791" i="4"/>
  <c r="AD792" i="4"/>
  <c r="AD793" i="4"/>
  <c r="AD794" i="4"/>
  <c r="AD795" i="4"/>
  <c r="AD796" i="4"/>
  <c r="AD797" i="4"/>
  <c r="AD798" i="4"/>
  <c r="AD799" i="4"/>
  <c r="AD800" i="4"/>
  <c r="AD801" i="4"/>
  <c r="AD802" i="4"/>
  <c r="AD803" i="4"/>
  <c r="AD804" i="4"/>
  <c r="AD805" i="4"/>
  <c r="AD806" i="4"/>
  <c r="AD807" i="4"/>
  <c r="AD808" i="4"/>
  <c r="AD782" i="4"/>
  <c r="AD809" i="4"/>
  <c r="AD810" i="4"/>
  <c r="AD811" i="4"/>
  <c r="AD812" i="4"/>
  <c r="AD813" i="4"/>
  <c r="AD814" i="4"/>
  <c r="AD815" i="4"/>
  <c r="AD816" i="4"/>
  <c r="AD817" i="4"/>
  <c r="AD818" i="4"/>
  <c r="AD819" i="4"/>
  <c r="AD820" i="4"/>
  <c r="AD821" i="4"/>
  <c r="AD822" i="4"/>
  <c r="AD823" i="4"/>
  <c r="AD824" i="4"/>
  <c r="AD825" i="4"/>
  <c r="AD826" i="4"/>
  <c r="AD827" i="4"/>
  <c r="AD828" i="4"/>
  <c r="AD829" i="4"/>
  <c r="AD830" i="4"/>
  <c r="AD831" i="4"/>
  <c r="AD832" i="4"/>
  <c r="AD833" i="4"/>
  <c r="AD834" i="4"/>
  <c r="AD835" i="4"/>
  <c r="AD836" i="4"/>
  <c r="AD837" i="4"/>
  <c r="AL783" i="4"/>
  <c r="AM783" i="4"/>
  <c r="AL784" i="4"/>
  <c r="AM784" i="4"/>
  <c r="AL785" i="4"/>
  <c r="AM785" i="4"/>
  <c r="AL786" i="4"/>
  <c r="AM786" i="4"/>
  <c r="AL787" i="4"/>
  <c r="AM787" i="4"/>
  <c r="AL788" i="4"/>
  <c r="AM788" i="4"/>
  <c r="AL789" i="4"/>
  <c r="AM789" i="4"/>
  <c r="AL790" i="4"/>
  <c r="AM790" i="4"/>
  <c r="AL791" i="4"/>
  <c r="AM791" i="4"/>
  <c r="AL792" i="4"/>
  <c r="AM792" i="4"/>
  <c r="AL793" i="4"/>
  <c r="AM793" i="4"/>
  <c r="AL794" i="4"/>
  <c r="AM794" i="4"/>
  <c r="AL795" i="4"/>
  <c r="AM795" i="4"/>
  <c r="AL796" i="4"/>
  <c r="AM796" i="4"/>
  <c r="AL797" i="4"/>
  <c r="AM797" i="4"/>
  <c r="AL798" i="4"/>
  <c r="AM798" i="4"/>
  <c r="AL799" i="4"/>
  <c r="AM799" i="4"/>
  <c r="AL800" i="4"/>
  <c r="AM800" i="4"/>
  <c r="AL801" i="4"/>
  <c r="AM801" i="4"/>
  <c r="AL802" i="4"/>
  <c r="AM802" i="4"/>
  <c r="AL803" i="4"/>
  <c r="AM803" i="4"/>
  <c r="AL804" i="4"/>
  <c r="AM804" i="4"/>
  <c r="AL805" i="4"/>
  <c r="AM805" i="4"/>
  <c r="AL806" i="4"/>
  <c r="AM806" i="4"/>
  <c r="AL807" i="4"/>
  <c r="AM807" i="4"/>
  <c r="AL808" i="4"/>
  <c r="AM808" i="4"/>
  <c r="AL782" i="4"/>
  <c r="AM782" i="4"/>
  <c r="AL809" i="4"/>
  <c r="AM809" i="4"/>
  <c r="AL810" i="4"/>
  <c r="AM810" i="4"/>
  <c r="AL811" i="4"/>
  <c r="AM811" i="4"/>
  <c r="AL812" i="4"/>
  <c r="AM812" i="4"/>
  <c r="AL813" i="4"/>
  <c r="AM813" i="4"/>
  <c r="AL814" i="4"/>
  <c r="AM814" i="4"/>
  <c r="AL815" i="4"/>
  <c r="AM815" i="4"/>
  <c r="AL816" i="4"/>
  <c r="AM816" i="4"/>
  <c r="AL817" i="4"/>
  <c r="AM817" i="4"/>
  <c r="AL818" i="4"/>
  <c r="AM818" i="4"/>
  <c r="AL819" i="4"/>
  <c r="AM819" i="4"/>
  <c r="AL820" i="4"/>
  <c r="AM820" i="4"/>
  <c r="AL821" i="4"/>
  <c r="AM821" i="4"/>
  <c r="AL822" i="4"/>
  <c r="AM822" i="4"/>
  <c r="AL823" i="4"/>
  <c r="AM823" i="4"/>
  <c r="AL824" i="4"/>
  <c r="AM824" i="4"/>
  <c r="AL825" i="4"/>
  <c r="AM825" i="4"/>
  <c r="AL826" i="4"/>
  <c r="AM826" i="4"/>
  <c r="AL827" i="4"/>
  <c r="AM827" i="4"/>
  <c r="AL828" i="4"/>
  <c r="AM828" i="4"/>
  <c r="AL829" i="4"/>
  <c r="AM829" i="4"/>
  <c r="AL830" i="4"/>
  <c r="AM830" i="4"/>
  <c r="AL831" i="4"/>
  <c r="AM831" i="4"/>
  <c r="AL832" i="4"/>
  <c r="AM832" i="4"/>
  <c r="AL833" i="4"/>
  <c r="AM833" i="4"/>
  <c r="AL834" i="4"/>
  <c r="AM834" i="4"/>
  <c r="AL835" i="4"/>
  <c r="AM835" i="4"/>
  <c r="AL836" i="4"/>
  <c r="AM836" i="4"/>
  <c r="AL837" i="4"/>
  <c r="AM837" i="4"/>
  <c r="V783" i="4"/>
  <c r="Q783" i="4" s="1"/>
  <c r="U783" i="4" s="1"/>
  <c r="V784" i="4"/>
  <c r="Q784" i="4" s="1"/>
  <c r="U784" i="4" s="1"/>
  <c r="V785" i="4"/>
  <c r="Q785" i="4" s="1"/>
  <c r="U785" i="4" s="1"/>
  <c r="V786" i="4"/>
  <c r="Q786" i="4" s="1"/>
  <c r="U786" i="4" s="1"/>
  <c r="V787" i="4"/>
  <c r="Q787" i="4" s="1"/>
  <c r="U787" i="4" s="1"/>
  <c r="V788" i="4"/>
  <c r="Q788" i="4" s="1"/>
  <c r="U788" i="4" s="1"/>
  <c r="V789" i="4"/>
  <c r="Q789" i="4" s="1"/>
  <c r="U789" i="4" s="1"/>
  <c r="V790" i="4"/>
  <c r="Q790" i="4" s="1"/>
  <c r="U790" i="4" s="1"/>
  <c r="V791" i="4"/>
  <c r="Q791" i="4" s="1"/>
  <c r="U791" i="4" s="1"/>
  <c r="V792" i="4"/>
  <c r="Q792" i="4" s="1"/>
  <c r="U792" i="4" s="1"/>
  <c r="V793" i="4"/>
  <c r="V794" i="4"/>
  <c r="Q794" i="4" s="1"/>
  <c r="U794" i="4" s="1"/>
  <c r="V795" i="4"/>
  <c r="Q795" i="4" s="1"/>
  <c r="U795" i="4" s="1"/>
  <c r="V796" i="4"/>
  <c r="Q796" i="4" s="1"/>
  <c r="U796" i="4" s="1"/>
  <c r="V797" i="4"/>
  <c r="Q797" i="4" s="1"/>
  <c r="U797" i="4" s="1"/>
  <c r="V798" i="4"/>
  <c r="Q798" i="4" s="1"/>
  <c r="U798" i="4" s="1"/>
  <c r="V799" i="4"/>
  <c r="Q799" i="4" s="1"/>
  <c r="U799" i="4" s="1"/>
  <c r="V800" i="4"/>
  <c r="Q800" i="4" s="1"/>
  <c r="U800" i="4" s="1"/>
  <c r="V801" i="4"/>
  <c r="Q801" i="4" s="1"/>
  <c r="U801" i="4" s="1"/>
  <c r="V802" i="4"/>
  <c r="Q802" i="4" s="1"/>
  <c r="U802" i="4" s="1"/>
  <c r="V803" i="4"/>
  <c r="Q803" i="4" s="1"/>
  <c r="U803" i="4" s="1"/>
  <c r="V804" i="4"/>
  <c r="Q804" i="4" s="1"/>
  <c r="U804" i="4" s="1"/>
  <c r="V805" i="4"/>
  <c r="Q805" i="4" s="1"/>
  <c r="U805" i="4" s="1"/>
  <c r="V806" i="4"/>
  <c r="Q806" i="4" s="1"/>
  <c r="U806" i="4" s="1"/>
  <c r="V807" i="4"/>
  <c r="Q807" i="4" s="1"/>
  <c r="U807" i="4" s="1"/>
  <c r="V808" i="4"/>
  <c r="Q808" i="4" s="1"/>
  <c r="U808" i="4" s="1"/>
  <c r="V782" i="4"/>
  <c r="Q782" i="4" s="1"/>
  <c r="U782" i="4" s="1"/>
  <c r="V809" i="4"/>
  <c r="Q809" i="4" s="1"/>
  <c r="U809" i="4" s="1"/>
  <c r="V810" i="4"/>
  <c r="Q810" i="4" s="1"/>
  <c r="U810" i="4" s="1"/>
  <c r="V811" i="4"/>
  <c r="Q811" i="4" s="1"/>
  <c r="U811" i="4" s="1"/>
  <c r="V812" i="4"/>
  <c r="Q812" i="4" s="1"/>
  <c r="U812" i="4" s="1"/>
  <c r="V813" i="4"/>
  <c r="Q813" i="4" s="1"/>
  <c r="U813" i="4" s="1"/>
  <c r="V814" i="4"/>
  <c r="Q814" i="4" s="1"/>
  <c r="U814" i="4" s="1"/>
  <c r="V815" i="4"/>
  <c r="Q815" i="4" s="1"/>
  <c r="U815" i="4" s="1"/>
  <c r="V816" i="4"/>
  <c r="Q816" i="4" s="1"/>
  <c r="U816" i="4" s="1"/>
  <c r="V817" i="4"/>
  <c r="Q817" i="4" s="1"/>
  <c r="U817" i="4" s="1"/>
  <c r="V818" i="4"/>
  <c r="Q818" i="4" s="1"/>
  <c r="U818" i="4" s="1"/>
  <c r="V819" i="4"/>
  <c r="Q819" i="4" s="1"/>
  <c r="U819" i="4" s="1"/>
  <c r="V820" i="4"/>
  <c r="Q820" i="4" s="1"/>
  <c r="U820" i="4" s="1"/>
  <c r="V821" i="4"/>
  <c r="Q821" i="4" s="1"/>
  <c r="U821" i="4" s="1"/>
  <c r="V822" i="4"/>
  <c r="Q822" i="4" s="1"/>
  <c r="U822" i="4" s="1"/>
  <c r="V823" i="4"/>
  <c r="Q823" i="4" s="1"/>
  <c r="U823" i="4" s="1"/>
  <c r="V824" i="4"/>
  <c r="Q824" i="4" s="1"/>
  <c r="U824" i="4" s="1"/>
  <c r="V825" i="4"/>
  <c r="Q825" i="4" s="1"/>
  <c r="U825" i="4" s="1"/>
  <c r="V826" i="4"/>
  <c r="Q826" i="4" s="1"/>
  <c r="U826" i="4" s="1"/>
  <c r="V827" i="4"/>
  <c r="Q827" i="4" s="1"/>
  <c r="U827" i="4" s="1"/>
  <c r="V828" i="4"/>
  <c r="Q828" i="4" s="1"/>
  <c r="U828" i="4" s="1"/>
  <c r="V829" i="4"/>
  <c r="Q829" i="4" s="1"/>
  <c r="U829" i="4" s="1"/>
  <c r="V830" i="4"/>
  <c r="Q830" i="4" s="1"/>
  <c r="U830" i="4" s="1"/>
  <c r="V831" i="4"/>
  <c r="Q831" i="4" s="1"/>
  <c r="U831" i="4" s="1"/>
  <c r="V832" i="4"/>
  <c r="Q832" i="4" s="1"/>
  <c r="U832" i="4" s="1"/>
  <c r="V833" i="4"/>
  <c r="Q833" i="4" s="1"/>
  <c r="U833" i="4" s="1"/>
  <c r="V834" i="4"/>
  <c r="Q834" i="4" s="1"/>
  <c r="U834" i="4" s="1"/>
  <c r="V835" i="4"/>
  <c r="V836" i="4"/>
  <c r="V837" i="4"/>
  <c r="Q837" i="4" s="1"/>
  <c r="U837" i="4" s="1"/>
  <c r="Q793" i="4"/>
  <c r="U793" i="4" s="1"/>
  <c r="Q835" i="4"/>
  <c r="U835" i="4" s="1"/>
  <c r="Q836" i="4"/>
  <c r="U836" i="4" s="1"/>
  <c r="P3" i="4"/>
  <c r="AL121" i="4"/>
  <c r="AL560" i="4"/>
  <c r="AL137" i="4"/>
  <c r="AL604" i="4"/>
  <c r="AL683" i="4"/>
  <c r="AL669" i="4"/>
  <c r="AL716" i="4"/>
  <c r="AL776" i="4"/>
  <c r="AL736" i="4"/>
  <c r="AL713" i="4"/>
  <c r="AL764" i="4"/>
  <c r="AL779" i="4"/>
  <c r="AL781" i="4"/>
  <c r="AL746" i="4"/>
  <c r="AL763" i="4"/>
  <c r="AL703" i="4"/>
  <c r="AL720" i="4"/>
  <c r="AL760" i="4"/>
  <c r="AL741" i="4"/>
  <c r="AL747" i="4"/>
  <c r="AL731" i="4"/>
  <c r="AL613" i="4"/>
  <c r="AL641" i="4"/>
  <c r="AL675" i="4"/>
  <c r="AL660" i="4"/>
  <c r="AL279" i="4"/>
  <c r="AL758" i="4"/>
  <c r="AL200" i="4"/>
  <c r="AL11" i="4"/>
  <c r="AL497" i="4"/>
  <c r="AL647" i="4"/>
  <c r="AL629" i="4"/>
  <c r="AL625" i="4"/>
  <c r="AL642" i="4"/>
  <c r="AL611" i="4"/>
  <c r="AL655" i="4"/>
  <c r="AL639" i="4"/>
  <c r="AL624" i="4"/>
  <c r="AL681" i="4"/>
  <c r="AL626" i="4"/>
  <c r="AL636" i="4"/>
  <c r="AL643" i="4"/>
  <c r="AL619" i="4"/>
  <c r="AL605" i="4"/>
  <c r="AL658" i="4"/>
  <c r="AL645" i="4"/>
  <c r="AL682" i="4"/>
  <c r="AL650" i="4"/>
  <c r="AL654" i="4"/>
  <c r="AL607" i="4"/>
  <c r="AL778" i="4"/>
  <c r="AL774" i="4"/>
  <c r="AL754" i="4"/>
  <c r="AL729" i="4"/>
  <c r="AL739" i="4"/>
  <c r="AL220" i="4"/>
  <c r="AL719" i="4"/>
  <c r="AL769" i="4"/>
  <c r="AL753" i="4"/>
  <c r="AL679" i="4"/>
  <c r="AL677" i="4"/>
  <c r="AL640" i="4"/>
  <c r="AL504" i="4"/>
  <c r="AL432" i="4"/>
  <c r="AL201" i="4"/>
  <c r="AL666" i="4"/>
  <c r="AL37" i="4"/>
  <c r="AL596" i="4"/>
  <c r="AL226" i="4"/>
  <c r="AL217" i="4"/>
  <c r="AL128" i="4"/>
  <c r="AL616" i="4"/>
  <c r="AL601" i="4"/>
  <c r="AL310" i="4"/>
  <c r="AL668" i="4"/>
  <c r="AL730" i="4"/>
  <c r="AL712" i="4"/>
  <c r="AL722" i="4"/>
  <c r="AL745" i="4"/>
  <c r="AL766" i="4"/>
  <c r="AL580" i="4"/>
  <c r="AL515" i="4"/>
  <c r="AL250" i="4"/>
  <c r="AL143" i="4"/>
  <c r="AL194" i="4"/>
  <c r="AL202" i="4"/>
  <c r="AL737" i="4"/>
  <c r="AL771" i="4"/>
  <c r="AL708" i="4"/>
  <c r="AL690" i="4"/>
  <c r="AL714" i="4"/>
  <c r="AL724" i="4"/>
  <c r="AL699" i="4"/>
  <c r="AL777" i="4"/>
  <c r="AL765" i="4"/>
  <c r="AL743" i="4"/>
  <c r="AL759" i="4"/>
  <c r="AL718" i="4"/>
  <c r="AL772" i="4"/>
  <c r="AL775" i="4"/>
  <c r="AL701" i="4"/>
  <c r="AL697" i="4"/>
  <c r="AL761" i="4"/>
  <c r="AL773" i="4"/>
  <c r="AL734" i="4"/>
  <c r="AL715" i="4"/>
  <c r="AL733" i="4"/>
  <c r="AL735" i="4"/>
  <c r="AL717" i="4"/>
  <c r="AL725" i="4"/>
  <c r="AL704" i="4"/>
  <c r="AL749" i="4"/>
  <c r="AL710" i="4"/>
  <c r="AL757" i="4"/>
  <c r="AL762" i="4"/>
  <c r="AL742" i="4"/>
  <c r="AL69" i="4"/>
  <c r="AL107" i="4"/>
  <c r="AL105" i="4"/>
  <c r="AL55" i="4"/>
  <c r="AL419" i="4"/>
  <c r="AL75" i="4"/>
  <c r="AL122" i="4"/>
  <c r="AL664" i="4"/>
  <c r="AL672" i="4"/>
  <c r="AL630" i="4"/>
  <c r="AL623" i="4"/>
  <c r="AL635" i="4"/>
  <c r="AL661" i="4"/>
  <c r="AL662" i="4"/>
  <c r="AL649" i="4"/>
  <c r="AL633" i="4"/>
  <c r="AL688" i="4"/>
  <c r="AL691" i="4"/>
  <c r="AL441" i="4"/>
  <c r="AL207" i="4"/>
  <c r="AL152" i="4"/>
  <c r="AL280" i="4"/>
  <c r="AL481" i="4"/>
  <c r="AL435" i="4"/>
  <c r="AL467" i="4"/>
  <c r="AL222" i="4"/>
  <c r="AL336" i="4"/>
  <c r="AL254" i="4"/>
  <c r="AL187" i="4"/>
  <c r="AL50" i="4"/>
  <c r="AL528" i="4"/>
  <c r="AL472" i="4"/>
  <c r="AL543" i="4"/>
  <c r="AL602" i="4"/>
  <c r="AL429" i="4"/>
  <c r="AL341" i="4"/>
  <c r="AL230" i="4"/>
  <c r="AL414" i="4"/>
  <c r="AL431" i="4"/>
  <c r="AL159" i="4"/>
  <c r="AL324" i="4"/>
  <c r="AL210" i="4"/>
  <c r="AL474" i="4"/>
  <c r="AL657" i="4"/>
  <c r="AL620" i="4"/>
  <c r="AL637" i="4"/>
  <c r="AL628" i="4"/>
  <c r="AL632" i="4"/>
  <c r="AL631" i="4"/>
  <c r="AL208" i="4"/>
  <c r="AL565" i="4"/>
  <c r="AL578" i="4"/>
  <c r="AL667" i="4"/>
  <c r="AL644" i="4"/>
  <c r="AL97" i="4"/>
  <c r="AL240" i="4"/>
  <c r="AL651" i="4"/>
  <c r="AL617" i="4"/>
  <c r="AL689" i="4"/>
  <c r="AL750" i="4"/>
  <c r="AL700" i="4"/>
  <c r="AL709" i="4"/>
  <c r="AL702" i="4"/>
  <c r="AL694" i="4"/>
  <c r="AL706" i="4"/>
  <c r="AL606" i="4"/>
  <c r="AL615" i="4"/>
  <c r="AL132" i="4"/>
  <c r="AL133" i="4"/>
  <c r="AL738" i="4"/>
  <c r="AL707" i="4"/>
  <c r="AL768" i="4"/>
  <c r="AL693" i="4"/>
  <c r="AL767" i="4"/>
  <c r="AL756" i="4"/>
  <c r="AL695" i="4"/>
  <c r="AL686" i="4"/>
  <c r="AL583" i="4"/>
  <c r="AL582" i="4"/>
  <c r="AL195" i="4"/>
  <c r="AL169" i="4"/>
  <c r="AL608" i="4"/>
  <c r="AL424" i="4"/>
  <c r="AL328" i="4"/>
  <c r="AL396" i="4"/>
  <c r="AL196" i="4"/>
  <c r="AL259" i="4"/>
  <c r="AL368" i="4"/>
  <c r="AL321" i="4"/>
  <c r="AL167" i="4"/>
  <c r="AL423" i="4"/>
  <c r="AL301" i="4"/>
  <c r="AL490" i="4"/>
  <c r="AL406" i="4"/>
  <c r="AL492" i="4"/>
  <c r="AL311" i="4"/>
  <c r="AL237" i="4"/>
  <c r="AL312" i="4"/>
  <c r="AL433" i="4"/>
  <c r="AL164" i="4"/>
  <c r="AL263" i="4"/>
  <c r="AL555" i="4"/>
  <c r="AL575" i="4"/>
  <c r="AL351" i="4"/>
  <c r="AL416" i="4"/>
  <c r="AL331" i="4"/>
  <c r="AL204" i="4"/>
  <c r="AL197" i="4"/>
  <c r="AL205" i="4"/>
  <c r="AL235" i="4"/>
  <c r="AL228" i="4"/>
  <c r="AL223" i="4"/>
  <c r="AL355" i="4"/>
  <c r="AL577" i="4"/>
  <c r="AL248" i="4"/>
  <c r="AL314" i="4"/>
  <c r="AL227" i="4"/>
  <c r="AL366" i="4"/>
  <c r="AL190" i="4"/>
  <c r="AL603" i="4"/>
  <c r="AL350" i="4"/>
  <c r="AL315" i="4"/>
  <c r="AL294" i="4"/>
  <c r="AL170" i="4"/>
  <c r="AL437" i="4"/>
  <c r="AL597" i="4"/>
  <c r="AL571" i="4"/>
  <c r="AL573" i="4"/>
  <c r="AL335" i="4"/>
  <c r="AL309" i="4"/>
  <c r="AL295" i="4"/>
  <c r="AL581" i="4"/>
  <c r="AL562" i="4"/>
  <c r="AL496" i="4"/>
  <c r="AL527" i="4"/>
  <c r="AL33" i="4"/>
  <c r="AL401" i="4"/>
  <c r="AL66" i="4"/>
  <c r="AL108" i="4"/>
  <c r="AL26" i="4"/>
  <c r="AL390" i="4"/>
  <c r="AL245" i="4"/>
  <c r="AL444" i="4"/>
  <c r="AL270" i="4"/>
  <c r="AL138" i="4"/>
  <c r="AL443" i="4"/>
  <c r="AL369" i="4"/>
  <c r="AL272" i="4"/>
  <c r="AL125" i="4"/>
  <c r="AL199" i="4"/>
  <c r="AL163" i="4"/>
  <c r="AL286" i="4"/>
  <c r="AL502" i="4"/>
  <c r="AL313" i="4"/>
  <c r="AL238" i="4"/>
  <c r="AL430" i="4"/>
  <c r="AL470" i="4"/>
  <c r="AL534" i="4"/>
  <c r="AL267" i="4"/>
  <c r="AL547" i="4"/>
  <c r="AL386" i="4"/>
  <c r="AL545" i="4"/>
  <c r="AL549" i="4"/>
  <c r="AL261" i="4"/>
  <c r="AL157" i="4"/>
  <c r="AL349" i="4"/>
  <c r="AL473" i="4"/>
  <c r="AL102" i="4"/>
  <c r="AL262" i="4"/>
  <c r="AL663" i="4"/>
  <c r="AL618" i="4"/>
  <c r="AL526" i="4"/>
  <c r="AL214" i="4"/>
  <c r="AL101" i="4"/>
  <c r="AL68" i="4"/>
  <c r="AL403" i="4"/>
  <c r="AL546" i="4"/>
  <c r="AL500" i="4"/>
  <c r="AL438" i="4"/>
  <c r="AL339" i="4"/>
  <c r="AL646" i="4"/>
  <c r="AL216" i="4"/>
  <c r="AL298" i="4"/>
  <c r="AL428" i="4"/>
  <c r="AL273" i="4"/>
  <c r="AL344" i="4"/>
  <c r="AL728" i="4"/>
  <c r="AL670" i="4"/>
  <c r="AL671" i="4"/>
  <c r="AL507" i="4"/>
  <c r="AL453" i="4"/>
  <c r="AL376" i="4"/>
  <c r="AL445" i="4"/>
  <c r="AL656" i="4"/>
  <c r="AL94" i="4"/>
  <c r="AL525" i="4"/>
  <c r="AL342" i="4"/>
  <c r="AL276" i="4"/>
  <c r="AL371" i="4"/>
  <c r="AL382" i="4"/>
  <c r="AL532" i="4"/>
  <c r="AL511" i="4"/>
  <c r="AL256" i="4"/>
  <c r="AL487" i="4"/>
  <c r="AL621" i="4"/>
  <c r="AL673" i="4"/>
  <c r="AL614" i="4"/>
  <c r="AL659" i="4"/>
  <c r="AL151" i="4"/>
  <c r="AL290" i="4"/>
  <c r="AL638" i="4"/>
  <c r="AL674" i="4"/>
  <c r="AL634" i="4"/>
  <c r="AL676" i="4"/>
  <c r="AL665" i="4"/>
  <c r="AL648" i="4"/>
  <c r="AL495" i="4"/>
  <c r="AL168" i="4"/>
  <c r="AL484" i="4"/>
  <c r="AL622" i="4"/>
  <c r="AL627" i="4"/>
  <c r="AL612" i="4"/>
  <c r="AL609" i="4"/>
  <c r="AL255" i="4"/>
  <c r="AL218" i="4"/>
  <c r="AL287" i="4"/>
  <c r="AL346" i="4"/>
  <c r="AL521" i="4"/>
  <c r="AL541" i="4"/>
  <c r="AL359" i="4"/>
  <c r="AL384" i="4"/>
  <c r="AL65" i="4"/>
  <c r="AL744" i="4"/>
  <c r="AL770" i="4"/>
  <c r="AL685" i="4"/>
  <c r="AL684" i="4"/>
  <c r="AL692" i="4"/>
  <c r="AL698" i="4"/>
  <c r="AL755" i="4"/>
  <c r="AL780" i="4"/>
  <c r="AL732" i="4"/>
  <c r="AL751" i="4"/>
  <c r="AL726" i="4"/>
  <c r="AL740" i="4"/>
  <c r="AL727" i="4"/>
  <c r="AL723" i="4"/>
  <c r="AL752" i="4"/>
  <c r="AL721" i="4"/>
  <c r="AL748" i="4"/>
  <c r="AL653" i="4"/>
  <c r="AL678" i="4"/>
  <c r="AL652" i="4"/>
  <c r="AL448" i="4"/>
  <c r="AL333" i="4"/>
  <c r="AL158" i="4"/>
  <c r="AL318" i="4"/>
  <c r="AL476" i="4"/>
  <c r="AL680" i="4"/>
  <c r="AL610" i="4"/>
  <c r="AL400" i="4"/>
  <c r="AL404" i="4"/>
  <c r="AL499" i="4"/>
  <c r="AL134" i="4"/>
  <c r="AL246" i="4"/>
  <c r="AL258" i="4"/>
  <c r="AL485" i="4"/>
  <c r="AL135" i="4"/>
  <c r="AL536" i="4"/>
  <c r="AL288" i="4"/>
  <c r="AL160" i="4"/>
  <c r="AL330" i="4"/>
  <c r="AL334" i="4"/>
  <c r="AL439" i="4"/>
  <c r="AL588" i="4"/>
  <c r="AL325" i="4"/>
  <c r="AL348" i="4"/>
  <c r="AL559" i="4"/>
  <c r="AL367" i="4"/>
  <c r="AL494" i="4"/>
  <c r="AL561" i="4"/>
  <c r="AL264" i="4"/>
  <c r="AL440" i="4"/>
  <c r="AL449" i="4"/>
  <c r="AL482" i="4"/>
  <c r="AL488" i="4"/>
  <c r="AL127" i="4"/>
  <c r="AL136" i="4"/>
  <c r="AL153" i="4"/>
  <c r="AL501" i="4"/>
  <c r="AL337" i="4"/>
  <c r="AL459" i="4"/>
  <c r="AL479" i="4"/>
  <c r="AL533" i="4"/>
  <c r="AL595" i="4"/>
  <c r="AL193" i="4"/>
  <c r="AL505" i="4"/>
  <c r="AL398" i="4"/>
  <c r="AL454" i="4"/>
  <c r="AL182" i="4"/>
  <c r="AL174" i="4"/>
  <c r="AL281" i="4"/>
  <c r="AL425" i="4"/>
  <c r="AL452" i="4"/>
  <c r="AL498" i="4"/>
  <c r="AL554" i="4"/>
  <c r="AL599" i="4"/>
  <c r="AL332" i="4"/>
  <c r="AL338" i="4"/>
  <c r="AL373" i="4"/>
  <c r="AL436" i="4"/>
  <c r="AL551" i="4"/>
  <c r="AL574" i="4"/>
  <c r="AL576" i="4"/>
  <c r="AL361" i="4"/>
  <c r="AL407" i="4"/>
  <c r="AL475" i="4"/>
  <c r="AL570" i="4"/>
  <c r="AL171" i="4"/>
  <c r="AL283" i="4"/>
  <c r="AL144" i="4"/>
  <c r="AL154" i="4"/>
  <c r="AL251" i="4"/>
  <c r="AL269" i="4"/>
  <c r="AL493" i="4"/>
  <c r="AL538" i="4"/>
  <c r="AL556" i="4"/>
  <c r="AL585" i="4"/>
  <c r="AL483" i="4"/>
  <c r="AL491" i="4"/>
  <c r="AL277" i="4"/>
  <c r="AL319" i="4"/>
  <c r="AL36" i="4"/>
  <c r="AL380" i="4"/>
  <c r="AL181" i="4"/>
  <c r="AL48" i="4"/>
  <c r="AL176" i="4"/>
  <c r="AL308" i="4"/>
  <c r="AL372" i="4"/>
  <c r="AL557" i="4"/>
  <c r="AL471" i="4"/>
  <c r="AL523" i="4"/>
  <c r="AL524" i="4"/>
  <c r="AL584" i="4"/>
  <c r="AL354" i="4"/>
  <c r="AL375" i="4"/>
  <c r="AL394" i="4"/>
  <c r="AL224" i="4"/>
  <c r="AL409" i="4"/>
  <c r="AL274" i="4"/>
  <c r="AL347" i="4"/>
  <c r="AL357" i="4"/>
  <c r="AL413" i="4"/>
  <c r="AL458" i="4"/>
  <c r="AL477" i="4"/>
  <c r="AL508" i="4"/>
  <c r="AL593" i="4"/>
  <c r="AL180" i="4"/>
  <c r="AL141" i="4"/>
  <c r="AL427" i="4"/>
  <c r="AL148" i="4"/>
  <c r="AL161" i="4"/>
  <c r="AL165" i="4"/>
  <c r="AL213" i="4"/>
  <c r="AL242" i="4"/>
  <c r="AL257" i="4"/>
  <c r="AL266" i="4"/>
  <c r="AL285" i="4"/>
  <c r="AL291" i="4"/>
  <c r="AL305" i="4"/>
  <c r="AL329" i="4"/>
  <c r="AL374" i="4"/>
  <c r="AL377" i="4"/>
  <c r="AL395" i="4"/>
  <c r="AL405" i="4"/>
  <c r="AL408" i="4"/>
  <c r="AL421" i="4"/>
  <c r="AL426" i="4"/>
  <c r="AL442" i="4"/>
  <c r="AL466" i="4"/>
  <c r="AL469" i="4"/>
  <c r="AL518" i="4"/>
  <c r="AL530" i="4"/>
  <c r="AL564" i="4"/>
  <c r="AL594" i="4"/>
  <c r="AL54" i="4"/>
  <c r="AL99" i="4"/>
  <c r="AL59" i="4"/>
  <c r="AL109" i="4"/>
  <c r="AL85" i="4"/>
  <c r="AL22" i="4"/>
  <c r="AL34" i="4"/>
  <c r="AL12" i="4"/>
  <c r="AL53" i="4"/>
  <c r="AL80" i="4"/>
  <c r="AL111" i="4"/>
  <c r="AL112" i="4"/>
  <c r="AL422" i="4"/>
  <c r="AL696" i="4"/>
  <c r="AL98" i="4"/>
  <c r="AL72" i="4"/>
  <c r="AL100" i="4"/>
  <c r="AL57" i="4"/>
  <c r="AL67" i="4"/>
  <c r="AL129" i="4"/>
  <c r="AL103" i="4"/>
  <c r="AL58" i="4"/>
  <c r="AL178" i="4"/>
  <c r="AL198" i="4"/>
  <c r="AL381" i="4"/>
  <c r="AL303" i="4"/>
  <c r="AL592" i="4"/>
  <c r="AL512" i="4"/>
  <c r="AL558" i="4"/>
  <c r="AL326" i="4"/>
  <c r="AL90" i="4"/>
  <c r="AL480" i="4"/>
  <c r="AL323" i="4"/>
  <c r="AL563" i="4"/>
  <c r="AL388" i="4"/>
  <c r="AL415" i="4"/>
  <c r="AL173" i="4"/>
  <c r="AL123" i="4"/>
  <c r="AL150" i="4"/>
  <c r="AL468" i="4"/>
  <c r="AL186" i="4"/>
  <c r="AL417" i="4"/>
  <c r="AL299" i="4"/>
  <c r="AL393" i="4"/>
  <c r="AL544" i="4"/>
  <c r="AL434" i="4"/>
  <c r="AL247" i="4"/>
  <c r="AL183" i="4"/>
  <c r="AL365" i="4"/>
  <c r="AL383" i="4"/>
  <c r="AL44" i="4"/>
  <c r="AL41" i="4"/>
  <c r="AL292" i="4"/>
  <c r="AL514" i="4"/>
  <c r="AL188" i="4"/>
  <c r="AL253" i="4"/>
  <c r="AL43" i="4"/>
  <c r="AL345" i="4"/>
  <c r="AL293" i="4"/>
  <c r="AL39" i="4"/>
  <c r="AL463" i="4"/>
  <c r="AL284" i="4"/>
  <c r="AL379" i="4"/>
  <c r="AL142" i="4"/>
  <c r="AL146" i="4"/>
  <c r="AL206" i="4"/>
  <c r="AL191" i="4"/>
  <c r="AL306" i="4"/>
  <c r="AL352" i="4"/>
  <c r="AL587" i="4"/>
  <c r="AL49" i="4"/>
  <c r="AL586" i="4"/>
  <c r="AL209" i="4"/>
  <c r="AL364" i="4"/>
  <c r="AL540" i="4"/>
  <c r="AL542" i="4"/>
  <c r="AL40" i="4"/>
  <c r="AL172" i="4"/>
  <c r="AL520" i="4"/>
  <c r="AL568" i="4"/>
  <c r="AL203" i="4"/>
  <c r="AL535" i="4"/>
  <c r="AL233" i="4"/>
  <c r="AL300" i="4"/>
  <c r="AL370" i="4"/>
  <c r="AL589" i="4"/>
  <c r="AL162" i="4"/>
  <c r="AL38" i="4"/>
  <c r="AL47" i="4"/>
  <c r="AL184" i="4"/>
  <c r="AL244" i="4"/>
  <c r="AL506" i="4"/>
  <c r="AL537" i="4"/>
  <c r="AL378" i="4"/>
  <c r="AL461" i="4"/>
  <c r="AL211" i="4"/>
  <c r="AL249" i="4"/>
  <c r="AL271" i="4"/>
  <c r="AL304" i="4"/>
  <c r="AL399" i="4"/>
  <c r="AL456" i="4"/>
  <c r="AL590" i="4"/>
  <c r="AL234" i="4"/>
  <c r="AL447" i="4"/>
  <c r="AL46" i="4"/>
  <c r="AL509" i="4"/>
  <c r="AL548" i="4"/>
  <c r="AL387" i="4"/>
  <c r="AL402" i="4"/>
  <c r="AL598" i="4"/>
  <c r="AL124" i="4"/>
  <c r="AL130" i="4"/>
  <c r="AL212" i="4"/>
  <c r="AL236" i="4"/>
  <c r="AL278" i="4"/>
  <c r="AL411" i="4"/>
  <c r="AL462" i="4"/>
  <c r="AL464" i="4"/>
  <c r="AL149" i="4"/>
  <c r="AL185" i="4"/>
  <c r="AL221" i="4"/>
  <c r="AL265" i="4"/>
  <c r="AL45" i="4"/>
  <c r="AL451" i="4"/>
  <c r="AL517" i="4"/>
  <c r="AL51" i="4"/>
  <c r="AL189" i="4"/>
  <c r="AL215" i="4"/>
  <c r="AL241" i="4"/>
  <c r="AL457" i="4"/>
  <c r="AL503" i="4"/>
  <c r="AL412" i="4"/>
  <c r="AL539" i="4"/>
  <c r="AL52" i="4"/>
  <c r="AL282" i="4"/>
  <c r="AL600" i="4"/>
  <c r="AL131" i="4"/>
  <c r="AL316" i="4"/>
  <c r="AL362" i="4"/>
  <c r="AL410" i="4"/>
  <c r="AL465" i="4"/>
  <c r="AL552" i="4"/>
  <c r="AL117" i="4"/>
  <c r="AL119" i="4"/>
  <c r="AL296" i="4"/>
  <c r="AL550" i="4"/>
  <c r="AL420" i="4"/>
  <c r="AL391" i="4"/>
  <c r="AL389" i="4"/>
  <c r="AL516" i="4"/>
  <c r="AL450" i="4"/>
  <c r="AL392" i="4"/>
  <c r="AL35" i="4"/>
  <c r="AL297" i="4"/>
  <c r="AL219" i="4"/>
  <c r="AL179" i="4"/>
  <c r="AL140" i="4"/>
  <c r="AL446" i="4"/>
  <c r="AL147" i="4"/>
  <c r="AL232" i="4"/>
  <c r="AL529" i="4"/>
  <c r="AL566" i="4"/>
  <c r="AL260" i="4"/>
  <c r="AL126" i="4"/>
  <c r="AL116" i="4"/>
  <c r="AL110" i="4"/>
  <c r="AL320" i="4"/>
  <c r="AL569" i="4"/>
  <c r="AL418" i="4"/>
  <c r="AL385" i="4"/>
  <c r="AL358" i="4"/>
  <c r="AL363" i="4"/>
  <c r="AL572" i="4"/>
  <c r="AL327" i="4"/>
  <c r="AL510" i="4"/>
  <c r="AL92" i="4"/>
  <c r="AL139" i="4"/>
  <c r="AL711" i="4"/>
  <c r="AL486" i="4"/>
  <c r="AL460" i="4"/>
  <c r="AL579" i="4"/>
  <c r="AL145" i="4"/>
  <c r="AL177" i="4"/>
  <c r="AL156" i="4"/>
  <c r="AL307" i="4"/>
  <c r="AL155" i="4"/>
  <c r="AL231" i="4"/>
  <c r="AL513" i="4"/>
  <c r="AL42" i="4"/>
  <c r="AL519" i="4"/>
  <c r="AL268" i="4"/>
  <c r="AL302" i="4"/>
  <c r="AL76" i="4"/>
  <c r="AL522" i="4"/>
  <c r="AL591" i="4"/>
  <c r="AL478" i="4"/>
  <c r="AL360" i="4"/>
  <c r="AL239" i="4"/>
  <c r="AL322" i="4"/>
  <c r="AL567" i="4"/>
  <c r="AL317" i="4"/>
  <c r="AL553" i="4"/>
  <c r="AL229" i="4"/>
  <c r="AL397" i="4"/>
  <c r="AL252" i="4"/>
  <c r="AL192" i="4"/>
  <c r="AL243" i="4"/>
  <c r="AL289" i="4"/>
  <c r="AL356" i="4"/>
  <c r="AL687" i="4"/>
  <c r="AL705" i="4"/>
  <c r="AL489" i="4"/>
  <c r="AL275" i="4"/>
  <c r="AL78" i="4"/>
  <c r="AL74" i="4"/>
  <c r="AL340" i="4"/>
  <c r="AL86" i="4"/>
  <c r="AL175" i="4"/>
  <c r="AL77" i="4"/>
  <c r="AL96" i="4"/>
  <c r="AL88" i="4"/>
  <c r="AL118" i="4"/>
  <c r="AL225" i="4"/>
  <c r="AL353" i="4"/>
  <c r="AL531" i="4"/>
  <c r="AL63" i="4"/>
  <c r="AL32" i="4"/>
  <c r="AL23" i="4"/>
  <c r="AL29" i="4"/>
  <c r="AL18" i="4"/>
  <c r="AL73" i="4"/>
  <c r="AL25" i="4"/>
  <c r="AL106" i="4"/>
  <c r="AL83" i="4"/>
  <c r="AL61" i="4"/>
  <c r="AL95" i="4"/>
  <c r="AL89" i="4"/>
  <c r="AL24" i="4"/>
  <c r="AL17" i="4"/>
  <c r="AL30" i="4"/>
  <c r="AL21" i="4"/>
  <c r="AL93" i="4"/>
  <c r="AL115" i="4"/>
  <c r="AL91" i="4"/>
  <c r="AL19" i="4"/>
  <c r="AL56" i="4"/>
  <c r="AL70" i="4"/>
  <c r="AL20" i="4"/>
  <c r="AL114" i="4"/>
  <c r="AL64" i="4"/>
  <c r="AL113" i="4"/>
  <c r="AL71" i="4"/>
  <c r="AL84" i="4"/>
  <c r="AL16" i="4"/>
  <c r="AL60" i="4"/>
  <c r="AL120" i="4"/>
  <c r="AL104" i="4"/>
  <c r="AL31" i="4"/>
  <c r="AL15" i="4"/>
  <c r="AL62" i="4"/>
  <c r="AL82" i="4"/>
  <c r="AL27" i="4"/>
  <c r="AL166" i="4"/>
  <c r="AL343" i="4"/>
  <c r="AL455" i="4"/>
  <c r="AL9" i="4"/>
  <c r="AL8" i="4"/>
  <c r="AL6" i="4"/>
  <c r="AL5" i="4"/>
  <c r="AL13" i="4"/>
  <c r="AL10" i="4"/>
  <c r="AL28" i="4"/>
  <c r="AL14" i="4"/>
  <c r="AL81" i="4"/>
  <c r="AL87" i="4"/>
  <c r="AL79" i="4"/>
  <c r="AL7" i="4"/>
  <c r="AC2" i="4"/>
  <c r="X2" i="4"/>
  <c r="Y2" i="4"/>
  <c r="Z2" i="4"/>
  <c r="AA2" i="4"/>
  <c r="AB2" i="4"/>
  <c r="W2" i="4"/>
  <c r="AF2" i="4"/>
  <c r="AG2" i="4"/>
  <c r="AH2" i="4"/>
  <c r="AI2" i="4"/>
  <c r="AJ2" i="4"/>
  <c r="AE2" i="4"/>
  <c r="AM112" i="4"/>
  <c r="AM696" i="4"/>
  <c r="AM422" i="4"/>
  <c r="AM774" i="4"/>
  <c r="AM758" i="4"/>
  <c r="AM613" i="4"/>
  <c r="AM641" i="4"/>
  <c r="AM604" i="4"/>
  <c r="AM683" i="4"/>
  <c r="AM720" i="4"/>
  <c r="AM636" i="4"/>
  <c r="AM754" i="4"/>
  <c r="AM645" i="4"/>
  <c r="AM647" i="4"/>
  <c r="AM650" i="4"/>
  <c r="AM776" i="4"/>
  <c r="AM779" i="4"/>
  <c r="AM781" i="4"/>
  <c r="AM747" i="4"/>
  <c r="AM753" i="4"/>
  <c r="AM643" i="4"/>
  <c r="AM605" i="4"/>
  <c r="AM719" i="4"/>
  <c r="AM625" i="4"/>
  <c r="AM629" i="4"/>
  <c r="AM653" i="4"/>
  <c r="AM658" i="4"/>
  <c r="AM675" i="4"/>
  <c r="AM679" i="4"/>
  <c r="AM739" i="4"/>
  <c r="AM640" i="4"/>
  <c r="AM652" i="4"/>
  <c r="AM660" i="4"/>
  <c r="AM713" i="4"/>
  <c r="AM611" i="4"/>
  <c r="AM626" i="4"/>
  <c r="AM639" i="4"/>
  <c r="AM642" i="4"/>
  <c r="AM669" i="4"/>
  <c r="AM778" i="4"/>
  <c r="AM607" i="4"/>
  <c r="AM729" i="4"/>
  <c r="AM731" i="4"/>
  <c r="AM741" i="4"/>
  <c r="AM746" i="4"/>
  <c r="AM760" i="4"/>
  <c r="AM654" i="4"/>
  <c r="AM769" i="4"/>
  <c r="AM619" i="4"/>
  <c r="AM624" i="4"/>
  <c r="AM763" i="4"/>
  <c r="AM716" i="4"/>
  <c r="AM616" i="4"/>
  <c r="AM736" i="4"/>
  <c r="AM764" i="4"/>
  <c r="AM655" i="4"/>
  <c r="AM677" i="4"/>
  <c r="AM678" i="4"/>
  <c r="AM681" i="4"/>
  <c r="AM682" i="4"/>
  <c r="AM608" i="4"/>
  <c r="AM610" i="4"/>
  <c r="AM721" i="4"/>
  <c r="AM728" i="4"/>
  <c r="AM620" i="4"/>
  <c r="AM732" i="4"/>
  <c r="AM733" i="4"/>
  <c r="AM661" i="4"/>
  <c r="AM663" i="4"/>
  <c r="AM773" i="4"/>
  <c r="AM673" i="4"/>
  <c r="AM674" i="4"/>
  <c r="AM712" i="4"/>
  <c r="AM717" i="4"/>
  <c r="AM606" i="4"/>
  <c r="AM617" i="4"/>
  <c r="AM730" i="4"/>
  <c r="AM621" i="4"/>
  <c r="AM644" i="4"/>
  <c r="AM759" i="4"/>
  <c r="AM651" i="4"/>
  <c r="AM767" i="4"/>
  <c r="AM664" i="4"/>
  <c r="AM671" i="4"/>
  <c r="AM676" i="4"/>
  <c r="AM777" i="4"/>
  <c r="AM718" i="4"/>
  <c r="AM614" i="4"/>
  <c r="AM743" i="4"/>
  <c r="AM744" i="4"/>
  <c r="AM745" i="4"/>
  <c r="AM634" i="4"/>
  <c r="AM752" i="4"/>
  <c r="AM761" i="4"/>
  <c r="AM775" i="4"/>
  <c r="AM723" i="4"/>
  <c r="AM662" i="4"/>
  <c r="AM666" i="4"/>
  <c r="AM780" i="4"/>
  <c r="AM714" i="4"/>
  <c r="AM609" i="4"/>
  <c r="AM724" i="4"/>
  <c r="AM612" i="4"/>
  <c r="AM725" i="4"/>
  <c r="AM618" i="4"/>
  <c r="AM622" i="4"/>
  <c r="AM734" i="4"/>
  <c r="AM735" i="4"/>
  <c r="AM627" i="4"/>
  <c r="AM748" i="4"/>
  <c r="AM750" i="4"/>
  <c r="AM646" i="4"/>
  <c r="AM649" i="4"/>
  <c r="AM656" i="4"/>
  <c r="AM668" i="4"/>
  <c r="AM672" i="4"/>
  <c r="AM680" i="4"/>
  <c r="AM722" i="4"/>
  <c r="AM726" i="4"/>
  <c r="AM615" i="4"/>
  <c r="AM738" i="4"/>
  <c r="AM628" i="4"/>
  <c r="AM740" i="4"/>
  <c r="AM631" i="4"/>
  <c r="AM632" i="4"/>
  <c r="AM742" i="4"/>
  <c r="AM633" i="4"/>
  <c r="AM749" i="4"/>
  <c r="AM751" i="4"/>
  <c r="AM755" i="4"/>
  <c r="AM756" i="4"/>
  <c r="AM757" i="4"/>
  <c r="AM762" i="4"/>
  <c r="AM657" i="4"/>
  <c r="AM768" i="4"/>
  <c r="AM670" i="4"/>
  <c r="AM765" i="4"/>
  <c r="AM659" i="4"/>
  <c r="AM715" i="4"/>
  <c r="AM727" i="4"/>
  <c r="AM623" i="4"/>
  <c r="AM737" i="4"/>
  <c r="AM630" i="4"/>
  <c r="AM635" i="4"/>
  <c r="AM637" i="4"/>
  <c r="AM638" i="4"/>
  <c r="AM648" i="4"/>
  <c r="AM766" i="4"/>
  <c r="AM770" i="4"/>
  <c r="AM771" i="4"/>
  <c r="AM665" i="4"/>
  <c r="AM667" i="4"/>
  <c r="AM772" i="4"/>
  <c r="AM345" i="4"/>
  <c r="AM320" i="4"/>
  <c r="AM590" i="4"/>
  <c r="AM129" i="4"/>
  <c r="AM173" i="4"/>
  <c r="AM155" i="4"/>
  <c r="AM156" i="4"/>
  <c r="AM172" i="4"/>
  <c r="AM231" i="4"/>
  <c r="AM234" i="4"/>
  <c r="AM239" i="4"/>
  <c r="AM247" i="4"/>
  <c r="AM293" i="4"/>
  <c r="AM307" i="4"/>
  <c r="AM39" i="4"/>
  <c r="AM40" i="4"/>
  <c r="AM327" i="4"/>
  <c r="AM392" i="4"/>
  <c r="AM412" i="4"/>
  <c r="AM447" i="4"/>
  <c r="AM463" i="4"/>
  <c r="AM513" i="4"/>
  <c r="AM520" i="4"/>
  <c r="AM539" i="4"/>
  <c r="AM563" i="4"/>
  <c r="AM567" i="4"/>
  <c r="AM568" i="4"/>
  <c r="AM203" i="4"/>
  <c r="AM35" i="4"/>
  <c r="AM260" i="4"/>
  <c r="AM317" i="4"/>
  <c r="AM389" i="4"/>
  <c r="AM46" i="4"/>
  <c r="AM509" i="4"/>
  <c r="AM535" i="4"/>
  <c r="AM548" i="4"/>
  <c r="AM52" i="4"/>
  <c r="AM186" i="4"/>
  <c r="AM233" i="4"/>
  <c r="AM284" i="4"/>
  <c r="AM300" i="4"/>
  <c r="AM322" i="4"/>
  <c r="AM360" i="4"/>
  <c r="AM370" i="4"/>
  <c r="AM379" i="4"/>
  <c r="AM42" i="4"/>
  <c r="AM385" i="4"/>
  <c r="AM387" i="4"/>
  <c r="AM391" i="4"/>
  <c r="AM402" i="4"/>
  <c r="AM417" i="4"/>
  <c r="AM420" i="4"/>
  <c r="AM450" i="4"/>
  <c r="AM512" i="4"/>
  <c r="AM519" i="4"/>
  <c r="AM522" i="4"/>
  <c r="AM558" i="4"/>
  <c r="AM569" i="4"/>
  <c r="AM711" i="4"/>
  <c r="AM589" i="4"/>
  <c r="AM592" i="4"/>
  <c r="AM598" i="4"/>
  <c r="AM126" i="4"/>
  <c r="AM131" i="4"/>
  <c r="AM316" i="4"/>
  <c r="AM362" i="4"/>
  <c r="AM410" i="4"/>
  <c r="AM465" i="4"/>
  <c r="AM516" i="4"/>
  <c r="AM552" i="4"/>
  <c r="AM124" i="4"/>
  <c r="AM130" i="4"/>
  <c r="AM140" i="4"/>
  <c r="AM142" i="4"/>
  <c r="AM146" i="4"/>
  <c r="AM162" i="4"/>
  <c r="AM166" i="4"/>
  <c r="AM183" i="4"/>
  <c r="AM206" i="4"/>
  <c r="AM212" i="4"/>
  <c r="AM236" i="4"/>
  <c r="AM278" i="4"/>
  <c r="AM38" i="4"/>
  <c r="AM353" i="4"/>
  <c r="AM365" i="4"/>
  <c r="AM383" i="4"/>
  <c r="AM44" i="4"/>
  <c r="AM411" i="4"/>
  <c r="AM47" i="4"/>
  <c r="AM446" i="4"/>
  <c r="AM462" i="4"/>
  <c r="AM464" i="4"/>
  <c r="AM478" i="4"/>
  <c r="AM579" i="4"/>
  <c r="AM149" i="4"/>
  <c r="AM178" i="4"/>
  <c r="AM179" i="4"/>
  <c r="AM184" i="4"/>
  <c r="AM185" i="4"/>
  <c r="AM191" i="4"/>
  <c r="AM192" i="4"/>
  <c r="AM219" i="4"/>
  <c r="AM221" i="4"/>
  <c r="AM244" i="4"/>
  <c r="AM252" i="4"/>
  <c r="AM265" i="4"/>
  <c r="AM275" i="4"/>
  <c r="AM282" i="4"/>
  <c r="AM297" i="4"/>
  <c r="AM306" i="4"/>
  <c r="AM323" i="4"/>
  <c r="AM41" i="4"/>
  <c r="AM352" i="4"/>
  <c r="AM397" i="4"/>
  <c r="AM45" i="4"/>
  <c r="AM705" i="4"/>
  <c r="AM451" i="4"/>
  <c r="AM455" i="4"/>
  <c r="AM489" i="4"/>
  <c r="AM506" i="4"/>
  <c r="AM537" i="4"/>
  <c r="AM587" i="4"/>
  <c r="AM177" i="4"/>
  <c r="AM243" i="4"/>
  <c r="AM268" i="4"/>
  <c r="AM292" i="4"/>
  <c r="AM299" i="4"/>
  <c r="AM302" i="4"/>
  <c r="AM303" i="4"/>
  <c r="AM378" i="4"/>
  <c r="AM393" i="4"/>
  <c r="AM418" i="4"/>
  <c r="AM461" i="4"/>
  <c r="AM514" i="4"/>
  <c r="AM517" i="4"/>
  <c r="AM49" i="4"/>
  <c r="AM544" i="4"/>
  <c r="AM51" i="4"/>
  <c r="AM586" i="4"/>
  <c r="AM139" i="4"/>
  <c r="AM188" i="4"/>
  <c r="AM189" i="4"/>
  <c r="AM198" i="4"/>
  <c r="AM209" i="4"/>
  <c r="AM211" i="4"/>
  <c r="AM215" i="4"/>
  <c r="AM225" i="4"/>
  <c r="AM229" i="4"/>
  <c r="AM241" i="4"/>
  <c r="AM249" i="4"/>
  <c r="AM253" i="4"/>
  <c r="AM271" i="4"/>
  <c r="AM304" i="4"/>
  <c r="AM326" i="4"/>
  <c r="AM343" i="4"/>
  <c r="AM356" i="4"/>
  <c r="AM358" i="4"/>
  <c r="AM363" i="4"/>
  <c r="AM364" i="4"/>
  <c r="AM43" i="4"/>
  <c r="AM381" i="4"/>
  <c r="AM399" i="4"/>
  <c r="AM434" i="4"/>
  <c r="AM456" i="4"/>
  <c r="AM457" i="4"/>
  <c r="AM460" i="4"/>
  <c r="AM468" i="4"/>
  <c r="AM480" i="4"/>
  <c r="AM486" i="4"/>
  <c r="AM503" i="4"/>
  <c r="AM510" i="4"/>
  <c r="AM540" i="4"/>
  <c r="AM542" i="4"/>
  <c r="AM553" i="4"/>
  <c r="AM572" i="4"/>
  <c r="AM591" i="4"/>
  <c r="AM600" i="4"/>
  <c r="AM145" i="4"/>
  <c r="AM147" i="4"/>
  <c r="AM150" i="4"/>
  <c r="AM340" i="4"/>
  <c r="AM388" i="4"/>
  <c r="AM529" i="4"/>
  <c r="AM175" i="4"/>
  <c r="AM232" i="4"/>
  <c r="AM687" i="4"/>
  <c r="AM289" i="4"/>
  <c r="AM415" i="4"/>
  <c r="AM566" i="4"/>
  <c r="AM296" i="4"/>
  <c r="AM531" i="4"/>
  <c r="AM550" i="4"/>
  <c r="AM580" i="4"/>
  <c r="AM483" i="4"/>
  <c r="AM491" i="4"/>
  <c r="AM596" i="4"/>
  <c r="AM602" i="4"/>
  <c r="AM454" i="4"/>
  <c r="AM691" i="4"/>
  <c r="AM180" i="4"/>
  <c r="AM318" i="4"/>
  <c r="AM476" i="4"/>
  <c r="AM53" i="4"/>
  <c r="AM72" i="4"/>
  <c r="AM369" i="4"/>
  <c r="AM80" i="4"/>
  <c r="AM98" i="4"/>
  <c r="AM521" i="4"/>
  <c r="AM541" i="4"/>
  <c r="AM138" i="4"/>
  <c r="AM497" i="4"/>
  <c r="AM220" i="4"/>
  <c r="AM200" i="4"/>
  <c r="AM137" i="4"/>
  <c r="AM703" i="4"/>
  <c r="AM158" i="4"/>
  <c r="AM279" i="4"/>
  <c r="AM164" i="4"/>
  <c r="AM176" i="4"/>
  <c r="AM182" i="4"/>
  <c r="AM235" i="4"/>
  <c r="AM248" i="4"/>
  <c r="AM308" i="4"/>
  <c r="AM367" i="4"/>
  <c r="AM372" i="4"/>
  <c r="AM406" i="4"/>
  <c r="AM704" i="4"/>
  <c r="AM448" i="4"/>
  <c r="AM560" i="4"/>
  <c r="AM575" i="4"/>
  <c r="AM577" i="4"/>
  <c r="AM583" i="4"/>
  <c r="AM603" i="4"/>
  <c r="AM128" i="4"/>
  <c r="AM151" i="4"/>
  <c r="AM159" i="4"/>
  <c r="AM174" i="4"/>
  <c r="AM685" i="4"/>
  <c r="AM222" i="4"/>
  <c r="AM226" i="4"/>
  <c r="AM230" i="4"/>
  <c r="AM263" i="4"/>
  <c r="AM281" i="4"/>
  <c r="AM295" i="4"/>
  <c r="AM298" i="4"/>
  <c r="AM333" i="4"/>
  <c r="AM404" i="4"/>
  <c r="AM425" i="4"/>
  <c r="AM429" i="4"/>
  <c r="AM484" i="4"/>
  <c r="AM496" i="4"/>
  <c r="AM499" i="4"/>
  <c r="AM515" i="4"/>
  <c r="AM543" i="4"/>
  <c r="AM547" i="4"/>
  <c r="AM557" i="4"/>
  <c r="AM582" i="4"/>
  <c r="AM134" i="4"/>
  <c r="AM141" i="4"/>
  <c r="AM684" i="4"/>
  <c r="AM194" i="4"/>
  <c r="AM195" i="4"/>
  <c r="AM228" i="4"/>
  <c r="AM256" i="4"/>
  <c r="AM262" i="4"/>
  <c r="AM272" i="4"/>
  <c r="AM273" i="4"/>
  <c r="AM288" i="4"/>
  <c r="AM692" i="4"/>
  <c r="AM698" i="4"/>
  <c r="AM371" i="4"/>
  <c r="AM701" i="4"/>
  <c r="AM430" i="4"/>
  <c r="AM452" i="4"/>
  <c r="AM471" i="4"/>
  <c r="AM494" i="4"/>
  <c r="AM498" i="4"/>
  <c r="AM523" i="4"/>
  <c r="AM524" i="4"/>
  <c r="AM532" i="4"/>
  <c r="AM554" i="4"/>
  <c r="AM561" i="4"/>
  <c r="AM562" i="4"/>
  <c r="AM50" i="4"/>
  <c r="AM584" i="4"/>
  <c r="AM599" i="4"/>
  <c r="AM143" i="4"/>
  <c r="AM148" i="4"/>
  <c r="AM157" i="4"/>
  <c r="AM161" i="4"/>
  <c r="AM165" i="4"/>
  <c r="AM190" i="4"/>
  <c r="AM196" i="4"/>
  <c r="AM197" i="4"/>
  <c r="AM213" i="4"/>
  <c r="AM57" i="4"/>
  <c r="AM242" i="4"/>
  <c r="AM250" i="4"/>
  <c r="AM257" i="4"/>
  <c r="AM266" i="4"/>
  <c r="AM37" i="4"/>
  <c r="AM285" i="4"/>
  <c r="AM291" i="4"/>
  <c r="AM301" i="4"/>
  <c r="AM305" i="4"/>
  <c r="AM329" i="4"/>
  <c r="AM349" i="4"/>
  <c r="AM374" i="4"/>
  <c r="AM377" i="4"/>
  <c r="AM395" i="4"/>
  <c r="AM405" i="4"/>
  <c r="AM408" i="4"/>
  <c r="AM421" i="4"/>
  <c r="AM426" i="4"/>
  <c r="AM442" i="4"/>
  <c r="AM466" i="4"/>
  <c r="AM467" i="4"/>
  <c r="AM469" i="4"/>
  <c r="AM472" i="4"/>
  <c r="AM473" i="4"/>
  <c r="AM100" i="4"/>
  <c r="AM518" i="4"/>
  <c r="AM527" i="4"/>
  <c r="AM528" i="4"/>
  <c r="AM530" i="4"/>
  <c r="AM564" i="4"/>
  <c r="AM573" i="4"/>
  <c r="AM594" i="4"/>
  <c r="AM152" i="4"/>
  <c r="AM160" i="4"/>
  <c r="AM169" i="4"/>
  <c r="AM207" i="4"/>
  <c r="AM214" i="4"/>
  <c r="AM216" i="4"/>
  <c r="AM223" i="4"/>
  <c r="AM227" i="4"/>
  <c r="AM238" i="4"/>
  <c r="AM246" i="4"/>
  <c r="AM688" i="4"/>
  <c r="AM255" i="4"/>
  <c r="AM258" i="4"/>
  <c r="AM264" i="4"/>
  <c r="AM267" i="4"/>
  <c r="AM280" i="4"/>
  <c r="AM287" i="4"/>
  <c r="AM328" i="4"/>
  <c r="AM330" i="4"/>
  <c r="AM332" i="4"/>
  <c r="AM334" i="4"/>
  <c r="AM338" i="4"/>
  <c r="AM699" i="4"/>
  <c r="AM346" i="4"/>
  <c r="AM354" i="4"/>
  <c r="AM355" i="4"/>
  <c r="AM373" i="4"/>
  <c r="AM375" i="4"/>
  <c r="AM376" i="4"/>
  <c r="AM386" i="4"/>
  <c r="AM394" i="4"/>
  <c r="AM401" i="4"/>
  <c r="AM436" i="4"/>
  <c r="AM438" i="4"/>
  <c r="AM439" i="4"/>
  <c r="AM440" i="4"/>
  <c r="AM441" i="4"/>
  <c r="AM449" i="4"/>
  <c r="AM453" i="4"/>
  <c r="AM470" i="4"/>
  <c r="AM481" i="4"/>
  <c r="AM482" i="4"/>
  <c r="AM488" i="4"/>
  <c r="AM500" i="4"/>
  <c r="AM708" i="4"/>
  <c r="AM525" i="4"/>
  <c r="AM709" i="4"/>
  <c r="AM546" i="4"/>
  <c r="AM551" i="4"/>
  <c r="AM574" i="4"/>
  <c r="AM576" i="4"/>
  <c r="AM588" i="4"/>
  <c r="AM125" i="4"/>
  <c r="AM127" i="4"/>
  <c r="AM136" i="4"/>
  <c r="AM153" i="4"/>
  <c r="AM163" i="4"/>
  <c r="AM167" i="4"/>
  <c r="AM170" i="4"/>
  <c r="AM199" i="4"/>
  <c r="AM204" i="4"/>
  <c r="AM208" i="4"/>
  <c r="AM686" i="4"/>
  <c r="AM245" i="4"/>
  <c r="AM259" i="4"/>
  <c r="AM690" i="4"/>
  <c r="AM270" i="4"/>
  <c r="AM286" i="4"/>
  <c r="AM309" i="4"/>
  <c r="AM693" i="4"/>
  <c r="AM310" i="4"/>
  <c r="AM311" i="4"/>
  <c r="AM312" i="4"/>
  <c r="AM694" i="4"/>
  <c r="AM314" i="4"/>
  <c r="AM695" i="4"/>
  <c r="AM315" i="4"/>
  <c r="AM331" i="4"/>
  <c r="AM335" i="4"/>
  <c r="AM351" i="4"/>
  <c r="AM359" i="4"/>
  <c r="AM361" i="4"/>
  <c r="AM366" i="4"/>
  <c r="AM368" i="4"/>
  <c r="AM384" i="4"/>
  <c r="AM396" i="4"/>
  <c r="AM407" i="4"/>
  <c r="AM416" i="4"/>
  <c r="AM423" i="4"/>
  <c r="AM435" i="4"/>
  <c r="AM437" i="4"/>
  <c r="AM443" i="4"/>
  <c r="AM475" i="4"/>
  <c r="AM707" i="4"/>
  <c r="AM490" i="4"/>
  <c r="AM492" i="4"/>
  <c r="AM501" i="4"/>
  <c r="AM504" i="4"/>
  <c r="AM507" i="4"/>
  <c r="AM545" i="4"/>
  <c r="AM565" i="4"/>
  <c r="AM570" i="4"/>
  <c r="AM571" i="4"/>
  <c r="AM578" i="4"/>
  <c r="AM597" i="4"/>
  <c r="AM171" i="4"/>
  <c r="AM224" i="4"/>
  <c r="AM237" i="4"/>
  <c r="AM276" i="4"/>
  <c r="AM283" i="4"/>
  <c r="AM290" i="4"/>
  <c r="AM697" i="4"/>
  <c r="AM339" i="4"/>
  <c r="AM342" i="4"/>
  <c r="AM382" i="4"/>
  <c r="AM403" i="4"/>
  <c r="AM409" i="4"/>
  <c r="AM414" i="4"/>
  <c r="AM428" i="4"/>
  <c r="AM485" i="4"/>
  <c r="AM487" i="4"/>
  <c r="AM526" i="4"/>
  <c r="AM534" i="4"/>
  <c r="AM549" i="4"/>
  <c r="AM135" i="4"/>
  <c r="AM144" i="4"/>
  <c r="AM154" i="4"/>
  <c r="AM201" i="4"/>
  <c r="AM205" i="4"/>
  <c r="AM210" i="4"/>
  <c r="AM217" i="4"/>
  <c r="AM218" i="4"/>
  <c r="AM240" i="4"/>
  <c r="AM251" i="4"/>
  <c r="AM254" i="4"/>
  <c r="AM689" i="4"/>
  <c r="AM261" i="4"/>
  <c r="AM269" i="4"/>
  <c r="AM274" i="4"/>
  <c r="AM294" i="4"/>
  <c r="AM321" i="4"/>
  <c r="AM324" i="4"/>
  <c r="AM325" i="4"/>
  <c r="AM336" i="4"/>
  <c r="AM337" i="4"/>
  <c r="AM341" i="4"/>
  <c r="AM347" i="4"/>
  <c r="AM348" i="4"/>
  <c r="AM350" i="4"/>
  <c r="AM357" i="4"/>
  <c r="AM400" i="4"/>
  <c r="AM413" i="4"/>
  <c r="AM702" i="4"/>
  <c r="AM427" i="4"/>
  <c r="AM432" i="4"/>
  <c r="AM433" i="4"/>
  <c r="AM444" i="4"/>
  <c r="AM445" i="4"/>
  <c r="AM458" i="4"/>
  <c r="AM459" i="4"/>
  <c r="AM477" i="4"/>
  <c r="AM479" i="4"/>
  <c r="AM493" i="4"/>
  <c r="AM495" i="4"/>
  <c r="AM502" i="4"/>
  <c r="AM508" i="4"/>
  <c r="AM511" i="4"/>
  <c r="AM533" i="4"/>
  <c r="AM536" i="4"/>
  <c r="AM538" i="4"/>
  <c r="AM555" i="4"/>
  <c r="AM556" i="4"/>
  <c r="AM559" i="4"/>
  <c r="AM581" i="4"/>
  <c r="AM585" i="4"/>
  <c r="AM593" i="4"/>
  <c r="AM595" i="4"/>
  <c r="AM202" i="4"/>
  <c r="AM277" i="4"/>
  <c r="AM319" i="4"/>
  <c r="AM424" i="4"/>
  <c r="AM193" i="4"/>
  <c r="AM36" i="4"/>
  <c r="AM187" i="4"/>
  <c r="AM344" i="4"/>
  <c r="AM380" i="4"/>
  <c r="AM419" i="4"/>
  <c r="AM168" i="4"/>
  <c r="AM181" i="4"/>
  <c r="AM431" i="4"/>
  <c r="AM132" i="4"/>
  <c r="AM133" i="4"/>
  <c r="AM313" i="4"/>
  <c r="AM505" i="4"/>
  <c r="AM48" i="4"/>
  <c r="AM700" i="4"/>
  <c r="AM390" i="4"/>
  <c r="AM398" i="4"/>
  <c r="AM706" i="4"/>
  <c r="AM474" i="4"/>
  <c r="AM601" i="4"/>
  <c r="AM710" i="4"/>
  <c r="AM19" i="4"/>
  <c r="AM73" i="4"/>
  <c r="AM83" i="4"/>
  <c r="AM104" i="4"/>
  <c r="AM115" i="4"/>
  <c r="AM61" i="4"/>
  <c r="AM18" i="4"/>
  <c r="AM16" i="4"/>
  <c r="AM91" i="4"/>
  <c r="AM71" i="4"/>
  <c r="AM87" i="4"/>
  <c r="AM89" i="4"/>
  <c r="AM63" i="4"/>
  <c r="AM79" i="4"/>
  <c r="AM93" i="4"/>
  <c r="AM20" i="4"/>
  <c r="AM62" i="4"/>
  <c r="AM113" i="4"/>
  <c r="AM114" i="4"/>
  <c r="AM60" i="4"/>
  <c r="AM17" i="4"/>
  <c r="AM64" i="4"/>
  <c r="AM81" i="4"/>
  <c r="AM82" i="4"/>
  <c r="AM84" i="4"/>
  <c r="AM95" i="4"/>
  <c r="AM106" i="4"/>
  <c r="AM120" i="4"/>
  <c r="AM70" i="4"/>
  <c r="AM56" i="4"/>
  <c r="AM88" i="4"/>
  <c r="AM77" i="4"/>
  <c r="AM78" i="4"/>
  <c r="AM92" i="4"/>
  <c r="AM110" i="4"/>
  <c r="AM90" i="4"/>
  <c r="AM74" i="4"/>
  <c r="AM76" i="4"/>
  <c r="AM116" i="4"/>
  <c r="AM86" i="4"/>
  <c r="AM58" i="4"/>
  <c r="AM119" i="4"/>
  <c r="AM96" i="4"/>
  <c r="AM103" i="4"/>
  <c r="AM117" i="4"/>
  <c r="AM118" i="4"/>
  <c r="AM123" i="4"/>
  <c r="AM67" i="4"/>
  <c r="AM68" i="4"/>
  <c r="AM85" i="4"/>
  <c r="AM54" i="4"/>
  <c r="AM101" i="4"/>
  <c r="AM102" i="4"/>
  <c r="AM69" i="4"/>
  <c r="AM122" i="4"/>
  <c r="AM55" i="4"/>
  <c r="AM65" i="4"/>
  <c r="AM75" i="4"/>
  <c r="AM94" i="4"/>
  <c r="AM107" i="4"/>
  <c r="AM109" i="4"/>
  <c r="AM59" i="4"/>
  <c r="AM66" i="4"/>
  <c r="AM97" i="4"/>
  <c r="AM99" i="4"/>
  <c r="AM105" i="4"/>
  <c r="AM108" i="4"/>
  <c r="AM121" i="4"/>
  <c r="AM28" i="4"/>
  <c r="AM10" i="4"/>
  <c r="AM21" i="4"/>
  <c r="AM29" i="4"/>
  <c r="AM23" i="4"/>
  <c r="AM27" i="4"/>
  <c r="AM25" i="4"/>
  <c r="AM31" i="4"/>
  <c r="AM32" i="4"/>
  <c r="AM30" i="4"/>
  <c r="AM24" i="4"/>
  <c r="AM26" i="4"/>
  <c r="AM22" i="4"/>
  <c r="AM34" i="4"/>
  <c r="AM33" i="4"/>
  <c r="AM13" i="4"/>
  <c r="AM14" i="4"/>
  <c r="AM15" i="4"/>
  <c r="AM11" i="4"/>
  <c r="AM12" i="4"/>
  <c r="AM8" i="4"/>
  <c r="AM6" i="4"/>
  <c r="AM9" i="4"/>
  <c r="AM7" i="4"/>
  <c r="AM5" i="4"/>
  <c r="AM111" i="4"/>
  <c r="AD320" i="4"/>
  <c r="AD590" i="4"/>
  <c r="AD129" i="4"/>
  <c r="AD21" i="4"/>
  <c r="AD29" i="4"/>
  <c r="AD7" i="4"/>
  <c r="AD9" i="4"/>
  <c r="AD5" i="4"/>
  <c r="AD580" i="4"/>
  <c r="AD483" i="4"/>
  <c r="AD491" i="4"/>
  <c r="AD596" i="4"/>
  <c r="AD23" i="4"/>
  <c r="AD68" i="4"/>
  <c r="AD602" i="4"/>
  <c r="AD454" i="4"/>
  <c r="AD691" i="4"/>
  <c r="AD180" i="4"/>
  <c r="AD88" i="4"/>
  <c r="AD77" i="4"/>
  <c r="AD78" i="4"/>
  <c r="AD173" i="4"/>
  <c r="AD92" i="4"/>
  <c r="AD110" i="4"/>
  <c r="AD90" i="4"/>
  <c r="AD74" i="4"/>
  <c r="AD76" i="4"/>
  <c r="AD116" i="4"/>
  <c r="AD155" i="4"/>
  <c r="AD156" i="4"/>
  <c r="AD172" i="4"/>
  <c r="AD231" i="4"/>
  <c r="AD234" i="4"/>
  <c r="AD239" i="4"/>
  <c r="AD247" i="4"/>
  <c r="AD293" i="4"/>
  <c r="AD307" i="4"/>
  <c r="AD39" i="4"/>
  <c r="AD40" i="4"/>
  <c r="AD327" i="4"/>
  <c r="AD392" i="4"/>
  <c r="AD412" i="4"/>
  <c r="AD447" i="4"/>
  <c r="AD463" i="4"/>
  <c r="AD513" i="4"/>
  <c r="AD520" i="4"/>
  <c r="AD539" i="4"/>
  <c r="AD563" i="4"/>
  <c r="AD567" i="4"/>
  <c r="AD568" i="4"/>
  <c r="AD203" i="4"/>
  <c r="AD35" i="4"/>
  <c r="AD260" i="4"/>
  <c r="AD317" i="4"/>
  <c r="AD389" i="4"/>
  <c r="AD46" i="4"/>
  <c r="AD509" i="4"/>
  <c r="AD535" i="4"/>
  <c r="AD548" i="4"/>
  <c r="AD52" i="4"/>
  <c r="AD186" i="4"/>
  <c r="AD233" i="4"/>
  <c r="AD284" i="4"/>
  <c r="AD300" i="4"/>
  <c r="AD322" i="4"/>
  <c r="AD360" i="4"/>
  <c r="AD370" i="4"/>
  <c r="AD379" i="4"/>
  <c r="AD42" i="4"/>
  <c r="AD385" i="4"/>
  <c r="AD387" i="4"/>
  <c r="AD391" i="4"/>
  <c r="AD402" i="4"/>
  <c r="AD417" i="4"/>
  <c r="AD420" i="4"/>
  <c r="AD450" i="4"/>
  <c r="AD512" i="4"/>
  <c r="AD519" i="4"/>
  <c r="AD522" i="4"/>
  <c r="AD558" i="4"/>
  <c r="AD569" i="4"/>
  <c r="AD711" i="4"/>
  <c r="AD589" i="4"/>
  <c r="AD592" i="4"/>
  <c r="AD598" i="4"/>
  <c r="AD126" i="4"/>
  <c r="AD131" i="4"/>
  <c r="AD316" i="4"/>
  <c r="AD362" i="4"/>
  <c r="AD410" i="4"/>
  <c r="AD465" i="4"/>
  <c r="AD516" i="4"/>
  <c r="AD552" i="4"/>
  <c r="AD124" i="4"/>
  <c r="AD130" i="4"/>
  <c r="AD140" i="4"/>
  <c r="AD142" i="4"/>
  <c r="AD146" i="4"/>
  <c r="AD162" i="4"/>
  <c r="AD166" i="4"/>
  <c r="AD183" i="4"/>
  <c r="AD206" i="4"/>
  <c r="AD212" i="4"/>
  <c r="AD236" i="4"/>
  <c r="AD278" i="4"/>
  <c r="AD38" i="4"/>
  <c r="AD353" i="4"/>
  <c r="AD365" i="4"/>
  <c r="AD383" i="4"/>
  <c r="AD44" i="4"/>
  <c r="AD411" i="4"/>
  <c r="AD47" i="4"/>
  <c r="AD446" i="4"/>
  <c r="AD462" i="4"/>
  <c r="AD464" i="4"/>
  <c r="AD478" i="4"/>
  <c r="AD579" i="4"/>
  <c r="AD149" i="4"/>
  <c r="AD178" i="4"/>
  <c r="AD179" i="4"/>
  <c r="AD184" i="4"/>
  <c r="AD185" i="4"/>
  <c r="AD191" i="4"/>
  <c r="AD192" i="4"/>
  <c r="AD219" i="4"/>
  <c r="AD221" i="4"/>
  <c r="AD244" i="4"/>
  <c r="AD252" i="4"/>
  <c r="AD265" i="4"/>
  <c r="AD275" i="4"/>
  <c r="AD282" i="4"/>
  <c r="AD297" i="4"/>
  <c r="AD306" i="4"/>
  <c r="AD323" i="4"/>
  <c r="AD41" i="4"/>
  <c r="AD352" i="4"/>
  <c r="AD397" i="4"/>
  <c r="AD45" i="4"/>
  <c r="AD705" i="4"/>
  <c r="AD451" i="4"/>
  <c r="AD455" i="4"/>
  <c r="AD489" i="4"/>
  <c r="AD506" i="4"/>
  <c r="AD537" i="4"/>
  <c r="AD587" i="4"/>
  <c r="AD177" i="4"/>
  <c r="AD243" i="4"/>
  <c r="AD268" i="4"/>
  <c r="AD292" i="4"/>
  <c r="AD299" i="4"/>
  <c r="AD302" i="4"/>
  <c r="AD303" i="4"/>
  <c r="AD378" i="4"/>
  <c r="AD393" i="4"/>
  <c r="AD418" i="4"/>
  <c r="AD461" i="4"/>
  <c r="AD514" i="4"/>
  <c r="AD517" i="4"/>
  <c r="AD49" i="4"/>
  <c r="AD544" i="4"/>
  <c r="AD51" i="4"/>
  <c r="AD586" i="4"/>
  <c r="AD139" i="4"/>
  <c r="AD188" i="4"/>
  <c r="AD189" i="4"/>
  <c r="AD198" i="4"/>
  <c r="AD209" i="4"/>
  <c r="AD211" i="4"/>
  <c r="AD215" i="4"/>
  <c r="AD225" i="4"/>
  <c r="AD229" i="4"/>
  <c r="AD241" i="4"/>
  <c r="AD249" i="4"/>
  <c r="AD253" i="4"/>
  <c r="AD271" i="4"/>
  <c r="AD304" i="4"/>
  <c r="AD326" i="4"/>
  <c r="AD343" i="4"/>
  <c r="AD356" i="4"/>
  <c r="AD358" i="4"/>
  <c r="AD363" i="4"/>
  <c r="AD364" i="4"/>
  <c r="AD43" i="4"/>
  <c r="AD381" i="4"/>
  <c r="AD399" i="4"/>
  <c r="AD434" i="4"/>
  <c r="AD456" i="4"/>
  <c r="AD457" i="4"/>
  <c r="AD460" i="4"/>
  <c r="AD468" i="4"/>
  <c r="AD480" i="4"/>
  <c r="AD486" i="4"/>
  <c r="AD503" i="4"/>
  <c r="AD510" i="4"/>
  <c r="AD540" i="4"/>
  <c r="AD542" i="4"/>
  <c r="AD553" i="4"/>
  <c r="AD572" i="4"/>
  <c r="AD591" i="4"/>
  <c r="AD600" i="4"/>
  <c r="AD86" i="4"/>
  <c r="AD58" i="4"/>
  <c r="AD119" i="4"/>
  <c r="AD96" i="4"/>
  <c r="AD103" i="4"/>
  <c r="AD117" i="4"/>
  <c r="AD118" i="4"/>
  <c r="AD123" i="4"/>
  <c r="AD145" i="4"/>
  <c r="AD147" i="4"/>
  <c r="AD150" i="4"/>
  <c r="AD340" i="4"/>
  <c r="AD388" i="4"/>
  <c r="AD529" i="4"/>
  <c r="AD67" i="4"/>
  <c r="AD175" i="4"/>
  <c r="AD232" i="4"/>
  <c r="AD687" i="4"/>
  <c r="AD289" i="4"/>
  <c r="AD415" i="4"/>
  <c r="AD566" i="4"/>
  <c r="AD296" i="4"/>
  <c r="AD531" i="4"/>
  <c r="AD550" i="4"/>
  <c r="AD27" i="4"/>
  <c r="AD25" i="4"/>
  <c r="AD31" i="4"/>
  <c r="AD32" i="4"/>
  <c r="AD19" i="4"/>
  <c r="AD73" i="4"/>
  <c r="AD83" i="4"/>
  <c r="AD104" i="4"/>
  <c r="AD115" i="4"/>
  <c r="AD61" i="4"/>
  <c r="AD18" i="4"/>
  <c r="AD16" i="4"/>
  <c r="AD91" i="4"/>
  <c r="AD71" i="4"/>
  <c r="AD87" i="4"/>
  <c r="AD89" i="4"/>
  <c r="AD63" i="4"/>
  <c r="AD79" i="4"/>
  <c r="AD93" i="4"/>
  <c r="AD20" i="4"/>
  <c r="AD62" i="4"/>
  <c r="AD113" i="4"/>
  <c r="AD114" i="4"/>
  <c r="AD60" i="4"/>
  <c r="AD17" i="4"/>
  <c r="AD64" i="4"/>
  <c r="AD81" i="4"/>
  <c r="AD82" i="4"/>
  <c r="AD84" i="4"/>
  <c r="AD95" i="4"/>
  <c r="AD106" i="4"/>
  <c r="AD120" i="4"/>
  <c r="AD15" i="4"/>
  <c r="AD30" i="4"/>
  <c r="AD24" i="4"/>
  <c r="AD70" i="4"/>
  <c r="AD56" i="4"/>
  <c r="AD14" i="4"/>
  <c r="AD28" i="4"/>
  <c r="AD10" i="4"/>
  <c r="AD13" i="4"/>
  <c r="AD8" i="4"/>
  <c r="AD6" i="4"/>
  <c r="AD111" i="4"/>
  <c r="AD112" i="4"/>
  <c r="AD85" i="4"/>
  <c r="AD318" i="4"/>
  <c r="AD476" i="4"/>
  <c r="AD53" i="4"/>
  <c r="AD72" i="4"/>
  <c r="AD369" i="4"/>
  <c r="AD80" i="4"/>
  <c r="AD98" i="4"/>
  <c r="AD521" i="4"/>
  <c r="AD541" i="4"/>
  <c r="AD138" i="4"/>
  <c r="AD696" i="4"/>
  <c r="AD422" i="4"/>
  <c r="AD11" i="4"/>
  <c r="AD12" i="4"/>
  <c r="AD26" i="4"/>
  <c r="AD497" i="4"/>
  <c r="AD220" i="4"/>
  <c r="AD22" i="4"/>
  <c r="AD34" i="4"/>
  <c r="AD54" i="4"/>
  <c r="AD101" i="4"/>
  <c r="AD102" i="4"/>
  <c r="AD33" i="4"/>
  <c r="AD69" i="4"/>
  <c r="AD122" i="4"/>
  <c r="AD55" i="4"/>
  <c r="AD200" i="4"/>
  <c r="AD65" i="4"/>
  <c r="AD75" i="4"/>
  <c r="AD94" i="4"/>
  <c r="AD107" i="4"/>
  <c r="AD109" i="4"/>
  <c r="AD137" i="4"/>
  <c r="AD59" i="4"/>
  <c r="AD66" i="4"/>
  <c r="AD97" i="4"/>
  <c r="AD99" i="4"/>
  <c r="AD105" i="4"/>
  <c r="AD108" i="4"/>
  <c r="AD121" i="4"/>
  <c r="AD703" i="4"/>
  <c r="AD158" i="4"/>
  <c r="AD279" i="4"/>
  <c r="AD774" i="4"/>
  <c r="AD164" i="4"/>
  <c r="AD176" i="4"/>
  <c r="AD182" i="4"/>
  <c r="AD235" i="4"/>
  <c r="AD248" i="4"/>
  <c r="AD308" i="4"/>
  <c r="AD367" i="4"/>
  <c r="AD372" i="4"/>
  <c r="AD406" i="4"/>
  <c r="AD758" i="4"/>
  <c r="AD704" i="4"/>
  <c r="AD448" i="4"/>
  <c r="AD560" i="4"/>
  <c r="AD575" i="4"/>
  <c r="AD577" i="4"/>
  <c r="AD583" i="4"/>
  <c r="AD603" i="4"/>
  <c r="AD128" i="4"/>
  <c r="AD151" i="4"/>
  <c r="AD159" i="4"/>
  <c r="AD174" i="4"/>
  <c r="AD685" i="4"/>
  <c r="AD222" i="4"/>
  <c r="AD226" i="4"/>
  <c r="AD230" i="4"/>
  <c r="AD263" i="4"/>
  <c r="AD281" i="4"/>
  <c r="AD295" i="4"/>
  <c r="AD298" i="4"/>
  <c r="AD333" i="4"/>
  <c r="AD404" i="4"/>
  <c r="AD425" i="4"/>
  <c r="AD429" i="4"/>
  <c r="AD484" i="4"/>
  <c r="AD496" i="4"/>
  <c r="AD499" i="4"/>
  <c r="AD515" i="4"/>
  <c r="AD543" i="4"/>
  <c r="AD547" i="4"/>
  <c r="AD557" i="4"/>
  <c r="AD582" i="4"/>
  <c r="AD134" i="4"/>
  <c r="AD141" i="4"/>
  <c r="AD684" i="4"/>
  <c r="AD194" i="4"/>
  <c r="AD195" i="4"/>
  <c r="AD228" i="4"/>
  <c r="AD256" i="4"/>
  <c r="AD262" i="4"/>
  <c r="AD272" i="4"/>
  <c r="AD273" i="4"/>
  <c r="AD288" i="4"/>
  <c r="AD692" i="4"/>
  <c r="AD698" i="4"/>
  <c r="AD371" i="4"/>
  <c r="AD701" i="4"/>
  <c r="AD430" i="4"/>
  <c r="AD452" i="4"/>
  <c r="AD471" i="4"/>
  <c r="AD494" i="4"/>
  <c r="AD498" i="4"/>
  <c r="AD523" i="4"/>
  <c r="AD524" i="4"/>
  <c r="AD532" i="4"/>
  <c r="AD554" i="4"/>
  <c r="AD561" i="4"/>
  <c r="AD562" i="4"/>
  <c r="AD50" i="4"/>
  <c r="AD584" i="4"/>
  <c r="AD599" i="4"/>
  <c r="AD143" i="4"/>
  <c r="AD148" i="4"/>
  <c r="AD157" i="4"/>
  <c r="AD161" i="4"/>
  <c r="AD165" i="4"/>
  <c r="AD613" i="4"/>
  <c r="AD190" i="4"/>
  <c r="AD196" i="4"/>
  <c r="AD197" i="4"/>
  <c r="AD213" i="4"/>
  <c r="AD57" i="4"/>
  <c r="AD242" i="4"/>
  <c r="AD250" i="4"/>
  <c r="AD257" i="4"/>
  <c r="AD266" i="4"/>
  <c r="AD37" i="4"/>
  <c r="AD285" i="4"/>
  <c r="AD291" i="4"/>
  <c r="AD301" i="4"/>
  <c r="AD305" i="4"/>
  <c r="AD329" i="4"/>
  <c r="AD349" i="4"/>
  <c r="AD641" i="4"/>
  <c r="AD374" i="4"/>
  <c r="AD377" i="4"/>
  <c r="AD395" i="4"/>
  <c r="AD405" i="4"/>
  <c r="AD408" i="4"/>
  <c r="AD421" i="4"/>
  <c r="AD426" i="4"/>
  <c r="AD442" i="4"/>
  <c r="AD466" i="4"/>
  <c r="AD467" i="4"/>
  <c r="AD469" i="4"/>
  <c r="AD472" i="4"/>
  <c r="AD473" i="4"/>
  <c r="AD100" i="4"/>
  <c r="AD518" i="4"/>
  <c r="AD527" i="4"/>
  <c r="AD528" i="4"/>
  <c r="AD530" i="4"/>
  <c r="AD564" i="4"/>
  <c r="AD573" i="4"/>
  <c r="AD594" i="4"/>
  <c r="AD604" i="4"/>
  <c r="AD152" i="4"/>
  <c r="AD160" i="4"/>
  <c r="AD169" i="4"/>
  <c r="AD207" i="4"/>
  <c r="AD214" i="4"/>
  <c r="AD216" i="4"/>
  <c r="AD223" i="4"/>
  <c r="AD227" i="4"/>
  <c r="AD238" i="4"/>
  <c r="AD246" i="4"/>
  <c r="AD688" i="4"/>
  <c r="AD255" i="4"/>
  <c r="AD258" i="4"/>
  <c r="AD264" i="4"/>
  <c r="AD267" i="4"/>
  <c r="AD280" i="4"/>
  <c r="AD287" i="4"/>
  <c r="AD328" i="4"/>
  <c r="AD330" i="4"/>
  <c r="AD332" i="4"/>
  <c r="AD334" i="4"/>
  <c r="AD338" i="4"/>
  <c r="AD699" i="4"/>
  <c r="AD346" i="4"/>
  <c r="AD354" i="4"/>
  <c r="AD355" i="4"/>
  <c r="AD373" i="4"/>
  <c r="AD375" i="4"/>
  <c r="AD376" i="4"/>
  <c r="AD386" i="4"/>
  <c r="AD394" i="4"/>
  <c r="AD401" i="4"/>
  <c r="AD436" i="4"/>
  <c r="AD438" i="4"/>
  <c r="AD439" i="4"/>
  <c r="AD440" i="4"/>
  <c r="AD441" i="4"/>
  <c r="AD449" i="4"/>
  <c r="AD453" i="4"/>
  <c r="AD470" i="4"/>
  <c r="AD481" i="4"/>
  <c r="AD482" i="4"/>
  <c r="AD488" i="4"/>
  <c r="AD500" i="4"/>
  <c r="AD708" i="4"/>
  <c r="AD525" i="4"/>
  <c r="AD709" i="4"/>
  <c r="AD546" i="4"/>
  <c r="AD551" i="4"/>
  <c r="AD574" i="4"/>
  <c r="AD576" i="4"/>
  <c r="AD588" i="4"/>
  <c r="AD683" i="4"/>
  <c r="AD125" i="4"/>
  <c r="AD127" i="4"/>
  <c r="AD136" i="4"/>
  <c r="AD153" i="4"/>
  <c r="AD163" i="4"/>
  <c r="AD167" i="4"/>
  <c r="AD170" i="4"/>
  <c r="AD199" i="4"/>
  <c r="AD204" i="4"/>
  <c r="AD208" i="4"/>
  <c r="AD686" i="4"/>
  <c r="AD245" i="4"/>
  <c r="AD259" i="4"/>
  <c r="AD690" i="4"/>
  <c r="AD270" i="4"/>
  <c r="AD286" i="4"/>
  <c r="AD309" i="4"/>
  <c r="AD693" i="4"/>
  <c r="AD310" i="4"/>
  <c r="AD311" i="4"/>
  <c r="AD312" i="4"/>
  <c r="AD694" i="4"/>
  <c r="AD314" i="4"/>
  <c r="AD695" i="4"/>
  <c r="AD315" i="4"/>
  <c r="AD331" i="4"/>
  <c r="AD335" i="4"/>
  <c r="AD351" i="4"/>
  <c r="AD359" i="4"/>
  <c r="AD361" i="4"/>
  <c r="AD366" i="4"/>
  <c r="AD368" i="4"/>
  <c r="AD384" i="4"/>
  <c r="AD396" i="4"/>
  <c r="AD407" i="4"/>
  <c r="AD416" i="4"/>
  <c r="AD423" i="4"/>
  <c r="AD435" i="4"/>
  <c r="AD437" i="4"/>
  <c r="AD443" i="4"/>
  <c r="AD475" i="4"/>
  <c r="AD707" i="4"/>
  <c r="AD490" i="4"/>
  <c r="AD492" i="4"/>
  <c r="AD501" i="4"/>
  <c r="AD504" i="4"/>
  <c r="AD507" i="4"/>
  <c r="AD545" i="4"/>
  <c r="AD565" i="4"/>
  <c r="AD570" i="4"/>
  <c r="AD571" i="4"/>
  <c r="AD578" i="4"/>
  <c r="AD597" i="4"/>
  <c r="AD171" i="4"/>
  <c r="AD224" i="4"/>
  <c r="AD237" i="4"/>
  <c r="AD276" i="4"/>
  <c r="AD283" i="4"/>
  <c r="AD290" i="4"/>
  <c r="AD697" i="4"/>
  <c r="AD339" i="4"/>
  <c r="AD342" i="4"/>
  <c r="AD382" i="4"/>
  <c r="AD403" i="4"/>
  <c r="AD409" i="4"/>
  <c r="AD414" i="4"/>
  <c r="AD428" i="4"/>
  <c r="AD485" i="4"/>
  <c r="AD487" i="4"/>
  <c r="AD526" i="4"/>
  <c r="AD534" i="4"/>
  <c r="AD549" i="4"/>
  <c r="AD135" i="4"/>
  <c r="AD144" i="4"/>
  <c r="AD154" i="4"/>
  <c r="AD201" i="4"/>
  <c r="AD205" i="4"/>
  <c r="AD210" i="4"/>
  <c r="AD217" i="4"/>
  <c r="AD218" i="4"/>
  <c r="AD240" i="4"/>
  <c r="AD251" i="4"/>
  <c r="AD254" i="4"/>
  <c r="AD689" i="4"/>
  <c r="AD261" i="4"/>
  <c r="AD269" i="4"/>
  <c r="AD274" i="4"/>
  <c r="AD294" i="4"/>
  <c r="AD321" i="4"/>
  <c r="AD324" i="4"/>
  <c r="AD325" i="4"/>
  <c r="AD336" i="4"/>
  <c r="AD337" i="4"/>
  <c r="AD341" i="4"/>
  <c r="AD347" i="4"/>
  <c r="AD348" i="4"/>
  <c r="AD350" i="4"/>
  <c r="AD357" i="4"/>
  <c r="AD400" i="4"/>
  <c r="AD413" i="4"/>
  <c r="AD702" i="4"/>
  <c r="AD427" i="4"/>
  <c r="AD432" i="4"/>
  <c r="AD433" i="4"/>
  <c r="AD444" i="4"/>
  <c r="AD445" i="4"/>
  <c r="AD458" i="4"/>
  <c r="AD459" i="4"/>
  <c r="AD477" i="4"/>
  <c r="AD479" i="4"/>
  <c r="AD493" i="4"/>
  <c r="AD495" i="4"/>
  <c r="AD502" i="4"/>
  <c r="AD508" i="4"/>
  <c r="AD511" i="4"/>
  <c r="AD533" i="4"/>
  <c r="AD536" i="4"/>
  <c r="AD538" i="4"/>
  <c r="AD555" i="4"/>
  <c r="AD556" i="4"/>
  <c r="AD559" i="4"/>
  <c r="AD581" i="4"/>
  <c r="AD585" i="4"/>
  <c r="AD593" i="4"/>
  <c r="AD595" i="4"/>
  <c r="AD720" i="4"/>
  <c r="AD202" i="4"/>
  <c r="AD277" i="4"/>
  <c r="AD319" i="4"/>
  <c r="AD636" i="4"/>
  <c r="AD754" i="4"/>
  <c r="AD645" i="4"/>
  <c r="AD647" i="4"/>
  <c r="AD424" i="4"/>
  <c r="AD650" i="4"/>
  <c r="AD776" i="4"/>
  <c r="AD779" i="4"/>
  <c r="AD781" i="4"/>
  <c r="AD193" i="4"/>
  <c r="AD36" i="4"/>
  <c r="AD747" i="4"/>
  <c r="AD753" i="4"/>
  <c r="AD643" i="4"/>
  <c r="AD605" i="4"/>
  <c r="AD719" i="4"/>
  <c r="AD187" i="4"/>
  <c r="AD625" i="4"/>
  <c r="AD629" i="4"/>
  <c r="AD344" i="4"/>
  <c r="AD380" i="4"/>
  <c r="AD419" i="4"/>
  <c r="AD653" i="4"/>
  <c r="AD658" i="4"/>
  <c r="AD675" i="4"/>
  <c r="AD679" i="4"/>
  <c r="AD739" i="4"/>
  <c r="AD640" i="4"/>
  <c r="AD652" i="4"/>
  <c r="AD660" i="4"/>
  <c r="AD713" i="4"/>
  <c r="AD168" i="4"/>
  <c r="AD181" i="4"/>
  <c r="AD611" i="4"/>
  <c r="AD626" i="4"/>
  <c r="AD639" i="4"/>
  <c r="AD642" i="4"/>
  <c r="AD431" i="4"/>
  <c r="AD669" i="4"/>
  <c r="AD778" i="4"/>
  <c r="AD132" i="4"/>
  <c r="AD133" i="4"/>
  <c r="AD607" i="4"/>
  <c r="AD729" i="4"/>
  <c r="AD731" i="4"/>
  <c r="AD741" i="4"/>
  <c r="AD313" i="4"/>
  <c r="AD746" i="4"/>
  <c r="AD760" i="4"/>
  <c r="AD654" i="4"/>
  <c r="AD769" i="4"/>
  <c r="AD505" i="4"/>
  <c r="AD619" i="4"/>
  <c r="AD624" i="4"/>
  <c r="AD48" i="4"/>
  <c r="AD763" i="4"/>
  <c r="AD716" i="4"/>
  <c r="AD616" i="4"/>
  <c r="AD736" i="4"/>
  <c r="AD700" i="4"/>
  <c r="AD390" i="4"/>
  <c r="AD398" i="4"/>
  <c r="AD764" i="4"/>
  <c r="AD706" i="4"/>
  <c r="AD655" i="4"/>
  <c r="AD474" i="4"/>
  <c r="AD677" i="4"/>
  <c r="AD678" i="4"/>
  <c r="AD681" i="4"/>
  <c r="AD682" i="4"/>
  <c r="AD601" i="4"/>
  <c r="AD608" i="4"/>
  <c r="AD610" i="4"/>
  <c r="AD721" i="4"/>
  <c r="AD728" i="4"/>
  <c r="AD620" i="4"/>
  <c r="AD732" i="4"/>
  <c r="AD733" i="4"/>
  <c r="AD661" i="4"/>
  <c r="AD663" i="4"/>
  <c r="AD773" i="4"/>
  <c r="AD673" i="4"/>
  <c r="AD674" i="4"/>
  <c r="AD712" i="4"/>
  <c r="AD717" i="4"/>
  <c r="AD606" i="4"/>
  <c r="AD617" i="4"/>
  <c r="AD730" i="4"/>
  <c r="AD621" i="4"/>
  <c r="AD644" i="4"/>
  <c r="AD759" i="4"/>
  <c r="AD651" i="4"/>
  <c r="AD767" i="4"/>
  <c r="AD664" i="4"/>
  <c r="AD671" i="4"/>
  <c r="AD676" i="4"/>
  <c r="AD777" i="4"/>
  <c r="AD718" i="4"/>
  <c r="AD614" i="4"/>
  <c r="AD743" i="4"/>
  <c r="AD744" i="4"/>
  <c r="AD745" i="4"/>
  <c r="AD634" i="4"/>
  <c r="AD752" i="4"/>
  <c r="AD761" i="4"/>
  <c r="AD775" i="4"/>
  <c r="AD723" i="4"/>
  <c r="AD662" i="4"/>
  <c r="AD666" i="4"/>
  <c r="AD780" i="4"/>
  <c r="AD714" i="4"/>
  <c r="AD609" i="4"/>
  <c r="AD724" i="4"/>
  <c r="AD612" i="4"/>
  <c r="AD725" i="4"/>
  <c r="AD618" i="4"/>
  <c r="AD622" i="4"/>
  <c r="AD734" i="4"/>
  <c r="AD735" i="4"/>
  <c r="AD627" i="4"/>
  <c r="AD748" i="4"/>
  <c r="AD750" i="4"/>
  <c r="AD646" i="4"/>
  <c r="AD649" i="4"/>
  <c r="AD656" i="4"/>
  <c r="AD668" i="4"/>
  <c r="AD672" i="4"/>
  <c r="AD680" i="4"/>
  <c r="AD722" i="4"/>
  <c r="AD726" i="4"/>
  <c r="AD615" i="4"/>
  <c r="AD738" i="4"/>
  <c r="AD628" i="4"/>
  <c r="AD740" i="4"/>
  <c r="AD631" i="4"/>
  <c r="AD632" i="4"/>
  <c r="AD742" i="4"/>
  <c r="AD633" i="4"/>
  <c r="AD749" i="4"/>
  <c r="AD751" i="4"/>
  <c r="AD755" i="4"/>
  <c r="AD756" i="4"/>
  <c r="AD757" i="4"/>
  <c r="AD762" i="4"/>
  <c r="AD657" i="4"/>
  <c r="AD768" i="4"/>
  <c r="AD670" i="4"/>
  <c r="AD765" i="4"/>
  <c r="AD659" i="4"/>
  <c r="AD715" i="4"/>
  <c r="AD727" i="4"/>
  <c r="AD623" i="4"/>
  <c r="AD737" i="4"/>
  <c r="AD630" i="4"/>
  <c r="AD635" i="4"/>
  <c r="AD637" i="4"/>
  <c r="AD638" i="4"/>
  <c r="AD648" i="4"/>
  <c r="AD766" i="4"/>
  <c r="AD770" i="4"/>
  <c r="AD771" i="4"/>
  <c r="AD665" i="4"/>
  <c r="AD667" i="4"/>
  <c r="AD772" i="4"/>
  <c r="AD710" i="4"/>
  <c r="T3" i="4"/>
  <c r="V590" i="4"/>
  <c r="V129" i="4"/>
  <c r="V21" i="4"/>
  <c r="V29" i="4"/>
  <c r="V7" i="4"/>
  <c r="V9" i="4"/>
  <c r="V5" i="4"/>
  <c r="V580" i="4"/>
  <c r="V483" i="4"/>
  <c r="V491" i="4"/>
  <c r="V596" i="4"/>
  <c r="V23" i="4"/>
  <c r="V68" i="4"/>
  <c r="V602" i="4"/>
  <c r="V454" i="4"/>
  <c r="V691" i="4"/>
  <c r="V180" i="4"/>
  <c r="V88" i="4"/>
  <c r="V77" i="4"/>
  <c r="V78" i="4"/>
  <c r="V173" i="4"/>
  <c r="Q173" i="4" s="1"/>
  <c r="U173" i="4" s="1"/>
  <c r="V92" i="4"/>
  <c r="V110" i="4"/>
  <c r="V90" i="4"/>
  <c r="V74" i="4"/>
  <c r="V76" i="4"/>
  <c r="V116" i="4"/>
  <c r="V155" i="4"/>
  <c r="V156" i="4"/>
  <c r="V172" i="4"/>
  <c r="V231" i="4"/>
  <c r="V234" i="4"/>
  <c r="V239" i="4"/>
  <c r="V247" i="4"/>
  <c r="V293" i="4"/>
  <c r="V307" i="4"/>
  <c r="V39" i="4"/>
  <c r="V40" i="4"/>
  <c r="V327" i="4"/>
  <c r="V392" i="4"/>
  <c r="V412" i="4"/>
  <c r="V447" i="4"/>
  <c r="V463" i="4"/>
  <c r="V513" i="4"/>
  <c r="V520" i="4"/>
  <c r="V539" i="4"/>
  <c r="V563" i="4"/>
  <c r="V567" i="4"/>
  <c r="V568" i="4"/>
  <c r="V203" i="4"/>
  <c r="V35" i="4"/>
  <c r="V260" i="4"/>
  <c r="V317" i="4"/>
  <c r="V389" i="4"/>
  <c r="V46" i="4"/>
  <c r="V509" i="4"/>
  <c r="V535" i="4"/>
  <c r="V548" i="4"/>
  <c r="V52" i="4"/>
  <c r="V186" i="4"/>
  <c r="V233" i="4"/>
  <c r="V284" i="4"/>
  <c r="V300" i="4"/>
  <c r="V322" i="4"/>
  <c r="V360" i="4"/>
  <c r="V370" i="4"/>
  <c r="V379" i="4"/>
  <c r="V42" i="4"/>
  <c r="V385" i="4"/>
  <c r="V387" i="4"/>
  <c r="V391" i="4"/>
  <c r="Q391" i="4" s="1"/>
  <c r="U391" i="4" s="1"/>
  <c r="V402" i="4"/>
  <c r="V417" i="4"/>
  <c r="V420" i="4"/>
  <c r="Q420" i="4" s="1"/>
  <c r="U420" i="4" s="1"/>
  <c r="V450" i="4"/>
  <c r="V512" i="4"/>
  <c r="V519" i="4"/>
  <c r="V522" i="4"/>
  <c r="V558" i="4"/>
  <c r="V569" i="4"/>
  <c r="V711" i="4"/>
  <c r="V589" i="4"/>
  <c r="V592" i="4"/>
  <c r="V598" i="4"/>
  <c r="V126" i="4"/>
  <c r="V131" i="4"/>
  <c r="V316" i="4"/>
  <c r="V362" i="4"/>
  <c r="V410" i="4"/>
  <c r="V465" i="4"/>
  <c r="V516" i="4"/>
  <c r="V552" i="4"/>
  <c r="V124" i="4"/>
  <c r="V130" i="4"/>
  <c r="V140" i="4"/>
  <c r="V142" i="4"/>
  <c r="V146" i="4"/>
  <c r="V162" i="4"/>
  <c r="V166" i="4"/>
  <c r="V183" i="4"/>
  <c r="V206" i="4"/>
  <c r="V212" i="4"/>
  <c r="V236" i="4"/>
  <c r="V278" i="4"/>
  <c r="V38" i="4"/>
  <c r="V353" i="4"/>
  <c r="V365" i="4"/>
  <c r="V383" i="4"/>
  <c r="V44" i="4"/>
  <c r="V411" i="4"/>
  <c r="V47" i="4"/>
  <c r="V446" i="4"/>
  <c r="V462" i="4"/>
  <c r="V464" i="4"/>
  <c r="V478" i="4"/>
  <c r="V579" i="4"/>
  <c r="V149" i="4"/>
  <c r="V178" i="4"/>
  <c r="V179" i="4"/>
  <c r="V184" i="4"/>
  <c r="V185" i="4"/>
  <c r="V191" i="4"/>
  <c r="V192" i="4"/>
  <c r="V219" i="4"/>
  <c r="V221" i="4"/>
  <c r="V244" i="4"/>
  <c r="V252" i="4"/>
  <c r="V265" i="4"/>
  <c r="V275" i="4"/>
  <c r="V282" i="4"/>
  <c r="V297" i="4"/>
  <c r="V306" i="4"/>
  <c r="V323" i="4"/>
  <c r="V41" i="4"/>
  <c r="V352" i="4"/>
  <c r="V397" i="4"/>
  <c r="V45" i="4"/>
  <c r="V705" i="4"/>
  <c r="V451" i="4"/>
  <c r="V455" i="4"/>
  <c r="V489" i="4"/>
  <c r="V506" i="4"/>
  <c r="V537" i="4"/>
  <c r="V587" i="4"/>
  <c r="V177" i="4"/>
  <c r="V243" i="4"/>
  <c r="V268" i="4"/>
  <c r="V292" i="4"/>
  <c r="V299" i="4"/>
  <c r="V302" i="4"/>
  <c r="V303" i="4"/>
  <c r="V378" i="4"/>
  <c r="V393" i="4"/>
  <c r="V418" i="4"/>
  <c r="Q418" i="4" s="1"/>
  <c r="U418" i="4" s="1"/>
  <c r="V461" i="4"/>
  <c r="V514" i="4"/>
  <c r="V517" i="4"/>
  <c r="V49" i="4"/>
  <c r="V544" i="4"/>
  <c r="V51" i="4"/>
  <c r="V586" i="4"/>
  <c r="V139" i="4"/>
  <c r="V188" i="4"/>
  <c r="V189" i="4"/>
  <c r="V198" i="4"/>
  <c r="V209" i="4"/>
  <c r="V211" i="4"/>
  <c r="V215" i="4"/>
  <c r="V225" i="4"/>
  <c r="V229" i="4"/>
  <c r="V241" i="4"/>
  <c r="V249" i="4"/>
  <c r="V253" i="4"/>
  <c r="V271" i="4"/>
  <c r="V304" i="4"/>
  <c r="V326" i="4"/>
  <c r="V343" i="4"/>
  <c r="V356" i="4"/>
  <c r="V358" i="4"/>
  <c r="V363" i="4"/>
  <c r="V364" i="4"/>
  <c r="V43" i="4"/>
  <c r="V381" i="4"/>
  <c r="V399" i="4"/>
  <c r="V434" i="4"/>
  <c r="V456" i="4"/>
  <c r="V457" i="4"/>
  <c r="V460" i="4"/>
  <c r="V468" i="4"/>
  <c r="V480" i="4"/>
  <c r="V486" i="4"/>
  <c r="V503" i="4"/>
  <c r="V510" i="4"/>
  <c r="Q510" i="4" s="1"/>
  <c r="U510" i="4" s="1"/>
  <c r="V540" i="4"/>
  <c r="V542" i="4"/>
  <c r="V553" i="4"/>
  <c r="V572" i="4"/>
  <c r="V591" i="4"/>
  <c r="V600" i="4"/>
  <c r="V86" i="4"/>
  <c r="V58" i="4"/>
  <c r="V119" i="4"/>
  <c r="V96" i="4"/>
  <c r="V103" i="4"/>
  <c r="V117" i="4"/>
  <c r="V118" i="4"/>
  <c r="V123" i="4"/>
  <c r="Q123" i="4" s="1"/>
  <c r="U123" i="4" s="1"/>
  <c r="V145" i="4"/>
  <c r="V147" i="4"/>
  <c r="V150" i="4"/>
  <c r="V340" i="4"/>
  <c r="V388" i="4"/>
  <c r="V529" i="4"/>
  <c r="V67" i="4"/>
  <c r="V175" i="4"/>
  <c r="V232" i="4"/>
  <c r="V687" i="4"/>
  <c r="V289" i="4"/>
  <c r="V415" i="4"/>
  <c r="V566" i="4"/>
  <c r="V296" i="4"/>
  <c r="Q296" i="4" s="1"/>
  <c r="U296" i="4" s="1"/>
  <c r="V531" i="4"/>
  <c r="V550" i="4"/>
  <c r="Q550" i="4" s="1"/>
  <c r="U550" i="4" s="1"/>
  <c r="V27" i="4"/>
  <c r="Q27" i="4" s="1"/>
  <c r="U27" i="4" s="1"/>
  <c r="V25" i="4"/>
  <c r="V31" i="4"/>
  <c r="V32" i="4"/>
  <c r="V19" i="4"/>
  <c r="Q19" i="4" s="1"/>
  <c r="U19" i="4" s="1"/>
  <c r="V73" i="4"/>
  <c r="V83" i="4"/>
  <c r="V104" i="4"/>
  <c r="V115" i="4"/>
  <c r="V61" i="4"/>
  <c r="V18" i="4"/>
  <c r="V16" i="4"/>
  <c r="V91" i="4"/>
  <c r="V71" i="4"/>
  <c r="V87" i="4"/>
  <c r="V89" i="4"/>
  <c r="V63" i="4"/>
  <c r="V79" i="4"/>
  <c r="V93" i="4"/>
  <c r="V20" i="4"/>
  <c r="V62" i="4"/>
  <c r="Q62" i="4" s="1"/>
  <c r="U62" i="4" s="1"/>
  <c r="V113" i="4"/>
  <c r="V114" i="4"/>
  <c r="V60" i="4"/>
  <c r="V17" i="4"/>
  <c r="V64" i="4"/>
  <c r="V81" i="4"/>
  <c r="V82" i="4"/>
  <c r="V84" i="4"/>
  <c r="V95" i="4"/>
  <c r="V106" i="4"/>
  <c r="V120" i="4"/>
  <c r="V15" i="4"/>
  <c r="V30" i="4"/>
  <c r="V24" i="4"/>
  <c r="V70" i="4"/>
  <c r="V56" i="4"/>
  <c r="V14" i="4"/>
  <c r="V28" i="4"/>
  <c r="V10" i="4"/>
  <c r="V13" i="4"/>
  <c r="V8" i="4"/>
  <c r="V6" i="4"/>
  <c r="V111" i="4"/>
  <c r="V112" i="4"/>
  <c r="V85" i="4"/>
  <c r="V318" i="4"/>
  <c r="Q318" i="4" s="1"/>
  <c r="U318" i="4" s="1"/>
  <c r="V476" i="4"/>
  <c r="Q476" i="4" s="1"/>
  <c r="U476" i="4" s="1"/>
  <c r="V53" i="4"/>
  <c r="V72" i="4"/>
  <c r="V369" i="4"/>
  <c r="Q369" i="4" s="1"/>
  <c r="U369" i="4" s="1"/>
  <c r="V80" i="4"/>
  <c r="V98" i="4"/>
  <c r="V521" i="4"/>
  <c r="V541" i="4"/>
  <c r="V138" i="4"/>
  <c r="V696" i="4"/>
  <c r="V422" i="4"/>
  <c r="V11" i="4"/>
  <c r="V12" i="4"/>
  <c r="V26" i="4"/>
  <c r="V497" i="4"/>
  <c r="V220" i="4"/>
  <c r="V22" i="4"/>
  <c r="V34" i="4"/>
  <c r="V54" i="4"/>
  <c r="V101" i="4"/>
  <c r="V102" i="4"/>
  <c r="V33" i="4"/>
  <c r="V69" i="4"/>
  <c r="V122" i="4"/>
  <c r="V55" i="4"/>
  <c r="V200" i="4"/>
  <c r="V65" i="4"/>
  <c r="V75" i="4"/>
  <c r="V94" i="4"/>
  <c r="V107" i="4"/>
  <c r="V109" i="4"/>
  <c r="V137" i="4"/>
  <c r="V59" i="4"/>
  <c r="V66" i="4"/>
  <c r="V97" i="4"/>
  <c r="V99" i="4"/>
  <c r="V105" i="4"/>
  <c r="V108" i="4"/>
  <c r="V121" i="4"/>
  <c r="V703" i="4"/>
  <c r="V158" i="4"/>
  <c r="Q158" i="4" s="1"/>
  <c r="U158" i="4" s="1"/>
  <c r="V279" i="4"/>
  <c r="V774" i="4"/>
  <c r="V164" i="4"/>
  <c r="V176" i="4"/>
  <c r="V182" i="4"/>
  <c r="V235" i="4"/>
  <c r="V248" i="4"/>
  <c r="V308" i="4"/>
  <c r="V367" i="4"/>
  <c r="V372" i="4"/>
  <c r="V406" i="4"/>
  <c r="V758" i="4"/>
  <c r="V704" i="4"/>
  <c r="V448" i="4"/>
  <c r="V560" i="4"/>
  <c r="V575" i="4"/>
  <c r="V577" i="4"/>
  <c r="V583" i="4"/>
  <c r="V603" i="4"/>
  <c r="V128" i="4"/>
  <c r="V151" i="4"/>
  <c r="V159" i="4"/>
  <c r="V174" i="4"/>
  <c r="V685" i="4"/>
  <c r="V222" i="4"/>
  <c r="V226" i="4"/>
  <c r="V230" i="4"/>
  <c r="V263" i="4"/>
  <c r="V281" i="4"/>
  <c r="V295" i="4"/>
  <c r="V298" i="4"/>
  <c r="V333" i="4"/>
  <c r="V404" i="4"/>
  <c r="V425" i="4"/>
  <c r="V429" i="4"/>
  <c r="V484" i="4"/>
  <c r="V496" i="4"/>
  <c r="V499" i="4"/>
  <c r="V515" i="4"/>
  <c r="V543" i="4"/>
  <c r="V547" i="4"/>
  <c r="V557" i="4"/>
  <c r="V582" i="4"/>
  <c r="V134" i="4"/>
  <c r="V141" i="4"/>
  <c r="V684" i="4"/>
  <c r="V194" i="4"/>
  <c r="V195" i="4"/>
  <c r="V228" i="4"/>
  <c r="V256" i="4"/>
  <c r="V262" i="4"/>
  <c r="V272" i="4"/>
  <c r="V273" i="4"/>
  <c r="V288" i="4"/>
  <c r="V692" i="4"/>
  <c r="V698" i="4"/>
  <c r="V371" i="4"/>
  <c r="V701" i="4"/>
  <c r="V430" i="4"/>
  <c r="V452" i="4"/>
  <c r="V471" i="4"/>
  <c r="V494" i="4"/>
  <c r="V498" i="4"/>
  <c r="V523" i="4"/>
  <c r="V524" i="4"/>
  <c r="V532" i="4"/>
  <c r="V554" i="4"/>
  <c r="V561" i="4"/>
  <c r="V562" i="4"/>
  <c r="V50" i="4"/>
  <c r="V584" i="4"/>
  <c r="V599" i="4"/>
  <c r="V143" i="4"/>
  <c r="V148" i="4"/>
  <c r="V157" i="4"/>
  <c r="V161" i="4"/>
  <c r="V165" i="4"/>
  <c r="V613" i="4"/>
  <c r="V190" i="4"/>
  <c r="V196" i="4"/>
  <c r="V197" i="4"/>
  <c r="V213" i="4"/>
  <c r="Q213" i="4" s="1"/>
  <c r="U213" i="4" s="1"/>
  <c r="V57" i="4"/>
  <c r="V242" i="4"/>
  <c r="V250" i="4"/>
  <c r="V257" i="4"/>
  <c r="V266" i="4"/>
  <c r="V37" i="4"/>
  <c r="V285" i="4"/>
  <c r="V291" i="4"/>
  <c r="V301" i="4"/>
  <c r="V305" i="4"/>
  <c r="V329" i="4"/>
  <c r="V349" i="4"/>
  <c r="V641" i="4"/>
  <c r="V374" i="4"/>
  <c r="V377" i="4"/>
  <c r="V395" i="4"/>
  <c r="V405" i="4"/>
  <c r="V408" i="4"/>
  <c r="V421" i="4"/>
  <c r="V426" i="4"/>
  <c r="V442" i="4"/>
  <c r="V466" i="4"/>
  <c r="V467" i="4"/>
  <c r="V469" i="4"/>
  <c r="V472" i="4"/>
  <c r="V473" i="4"/>
  <c r="V100" i="4"/>
  <c r="V518" i="4"/>
  <c r="V527" i="4"/>
  <c r="V528" i="4"/>
  <c r="V530" i="4"/>
  <c r="V564" i="4"/>
  <c r="V573" i="4"/>
  <c r="V594" i="4"/>
  <c r="V604" i="4"/>
  <c r="V152" i="4"/>
  <c r="V160" i="4"/>
  <c r="V169" i="4"/>
  <c r="V207" i="4"/>
  <c r="V214" i="4"/>
  <c r="V216" i="4"/>
  <c r="V223" i="4"/>
  <c r="V227" i="4"/>
  <c r="V238" i="4"/>
  <c r="V246" i="4"/>
  <c r="V688" i="4"/>
  <c r="V255" i="4"/>
  <c r="V258" i="4"/>
  <c r="V264" i="4"/>
  <c r="V267" i="4"/>
  <c r="V280" i="4"/>
  <c r="V287" i="4"/>
  <c r="V328" i="4"/>
  <c r="V330" i="4"/>
  <c r="V332" i="4"/>
  <c r="V334" i="4"/>
  <c r="V338" i="4"/>
  <c r="V699" i="4"/>
  <c r="V346" i="4"/>
  <c r="V354" i="4"/>
  <c r="V355" i="4"/>
  <c r="V373" i="4"/>
  <c r="V375" i="4"/>
  <c r="V376" i="4"/>
  <c r="V386" i="4"/>
  <c r="V394" i="4"/>
  <c r="V401" i="4"/>
  <c r="V436" i="4"/>
  <c r="V438" i="4"/>
  <c r="V439" i="4"/>
  <c r="V440" i="4"/>
  <c r="V441" i="4"/>
  <c r="V449" i="4"/>
  <c r="V453" i="4"/>
  <c r="V470" i="4"/>
  <c r="V481" i="4"/>
  <c r="V482" i="4"/>
  <c r="V488" i="4"/>
  <c r="V500" i="4"/>
  <c r="V708" i="4"/>
  <c r="V525" i="4"/>
  <c r="V709" i="4"/>
  <c r="V546" i="4"/>
  <c r="V551" i="4"/>
  <c r="V574" i="4"/>
  <c r="V576" i="4"/>
  <c r="V588" i="4"/>
  <c r="V683" i="4"/>
  <c r="V125" i="4"/>
  <c r="V127" i="4"/>
  <c r="V136" i="4"/>
  <c r="V153" i="4"/>
  <c r="V163" i="4"/>
  <c r="V167" i="4"/>
  <c r="V170" i="4"/>
  <c r="V199" i="4"/>
  <c r="V204" i="4"/>
  <c r="V208" i="4"/>
  <c r="V686" i="4"/>
  <c r="V245" i="4"/>
  <c r="V259" i="4"/>
  <c r="V690" i="4"/>
  <c r="V270" i="4"/>
  <c r="V286" i="4"/>
  <c r="V309" i="4"/>
  <c r="V693" i="4"/>
  <c r="V310" i="4"/>
  <c r="Q310" i="4" s="1"/>
  <c r="U310" i="4" s="1"/>
  <c r="V311" i="4"/>
  <c r="V312" i="4"/>
  <c r="V694" i="4"/>
  <c r="V314" i="4"/>
  <c r="V695" i="4"/>
  <c r="V315" i="4"/>
  <c r="V331" i="4"/>
  <c r="V335" i="4"/>
  <c r="V351" i="4"/>
  <c r="V359" i="4"/>
  <c r="V361" i="4"/>
  <c r="V366" i="4"/>
  <c r="V368" i="4"/>
  <c r="V384" i="4"/>
  <c r="V396" i="4"/>
  <c r="V407" i="4"/>
  <c r="V416" i="4"/>
  <c r="V423" i="4"/>
  <c r="V435" i="4"/>
  <c r="V437" i="4"/>
  <c r="V443" i="4"/>
  <c r="V475" i="4"/>
  <c r="V707" i="4"/>
  <c r="V490" i="4"/>
  <c r="V492" i="4"/>
  <c r="V501" i="4"/>
  <c r="V504" i="4"/>
  <c r="V507" i="4"/>
  <c r="V545" i="4"/>
  <c r="V565" i="4"/>
  <c r="V570" i="4"/>
  <c r="V571" i="4"/>
  <c r="V578" i="4"/>
  <c r="V597" i="4"/>
  <c r="V171" i="4"/>
  <c r="V224" i="4"/>
  <c r="V237" i="4"/>
  <c r="V276" i="4"/>
  <c r="V283" i="4"/>
  <c r="V290" i="4"/>
  <c r="V697" i="4"/>
  <c r="V339" i="4"/>
  <c r="V342" i="4"/>
  <c r="V382" i="4"/>
  <c r="V403" i="4"/>
  <c r="V409" i="4"/>
  <c r="V414" i="4"/>
  <c r="V428" i="4"/>
  <c r="V485" i="4"/>
  <c r="V487" i="4"/>
  <c r="V526" i="4"/>
  <c r="V534" i="4"/>
  <c r="V549" i="4"/>
  <c r="V135" i="4"/>
  <c r="V144" i="4"/>
  <c r="V154" i="4"/>
  <c r="V201" i="4"/>
  <c r="V205" i="4"/>
  <c r="V210" i="4"/>
  <c r="V217" i="4"/>
  <c r="V218" i="4"/>
  <c r="V240" i="4"/>
  <c r="V251" i="4"/>
  <c r="V254" i="4"/>
  <c r="V689" i="4"/>
  <c r="V261" i="4"/>
  <c r="V269" i="4"/>
  <c r="V274" i="4"/>
  <c r="V294" i="4"/>
  <c r="V321" i="4"/>
  <c r="V324" i="4"/>
  <c r="V325" i="4"/>
  <c r="V336" i="4"/>
  <c r="V337" i="4"/>
  <c r="V341" i="4"/>
  <c r="V347" i="4"/>
  <c r="V348" i="4"/>
  <c r="V350" i="4"/>
  <c r="V357" i="4"/>
  <c r="V400" i="4"/>
  <c r="V413" i="4"/>
  <c r="V702" i="4"/>
  <c r="V427" i="4"/>
  <c r="V432" i="4"/>
  <c r="V433" i="4"/>
  <c r="V444" i="4"/>
  <c r="V445" i="4"/>
  <c r="V458" i="4"/>
  <c r="V459" i="4"/>
  <c r="V477" i="4"/>
  <c r="V479" i="4"/>
  <c r="V493" i="4"/>
  <c r="V495" i="4"/>
  <c r="V502" i="4"/>
  <c r="V508" i="4"/>
  <c r="V511" i="4"/>
  <c r="V533" i="4"/>
  <c r="V536" i="4"/>
  <c r="V538" i="4"/>
  <c r="V555" i="4"/>
  <c r="V556" i="4"/>
  <c r="V559" i="4"/>
  <c r="V581" i="4"/>
  <c r="V585" i="4"/>
  <c r="V593" i="4"/>
  <c r="V595" i="4"/>
  <c r="V720" i="4"/>
  <c r="V202" i="4"/>
  <c r="V277" i="4"/>
  <c r="V319" i="4"/>
  <c r="V636" i="4"/>
  <c r="V754" i="4"/>
  <c r="V645" i="4"/>
  <c r="V647" i="4"/>
  <c r="V424" i="4"/>
  <c r="V650" i="4"/>
  <c r="V776" i="4"/>
  <c r="V779" i="4"/>
  <c r="V781" i="4"/>
  <c r="V193" i="4"/>
  <c r="V36" i="4"/>
  <c r="V747" i="4"/>
  <c r="V753" i="4"/>
  <c r="V643" i="4"/>
  <c r="V605" i="4"/>
  <c r="V719" i="4"/>
  <c r="V187" i="4"/>
  <c r="V625" i="4"/>
  <c r="V629" i="4"/>
  <c r="V344" i="4"/>
  <c r="V380" i="4"/>
  <c r="V419" i="4"/>
  <c r="V653" i="4"/>
  <c r="V658" i="4"/>
  <c r="V675" i="4"/>
  <c r="V679" i="4"/>
  <c r="V739" i="4"/>
  <c r="V640" i="4"/>
  <c r="V652" i="4"/>
  <c r="V660" i="4"/>
  <c r="V713" i="4"/>
  <c r="V168" i="4"/>
  <c r="V181" i="4"/>
  <c r="V611" i="4"/>
  <c r="V626" i="4"/>
  <c r="V639" i="4"/>
  <c r="V642" i="4"/>
  <c r="V431" i="4"/>
  <c r="V669" i="4"/>
  <c r="V778" i="4"/>
  <c r="V132" i="4"/>
  <c r="V133" i="4"/>
  <c r="V607" i="4"/>
  <c r="V729" i="4"/>
  <c r="V731" i="4"/>
  <c r="V741" i="4"/>
  <c r="V313" i="4"/>
  <c r="V746" i="4"/>
  <c r="V760" i="4"/>
  <c r="V654" i="4"/>
  <c r="V769" i="4"/>
  <c r="V505" i="4"/>
  <c r="V619" i="4"/>
  <c r="V624" i="4"/>
  <c r="V48" i="4"/>
  <c r="V763" i="4"/>
  <c r="V716" i="4"/>
  <c r="V616" i="4"/>
  <c r="V736" i="4"/>
  <c r="V700" i="4"/>
  <c r="V390" i="4"/>
  <c r="V398" i="4"/>
  <c r="V764" i="4"/>
  <c r="V706" i="4"/>
  <c r="V655" i="4"/>
  <c r="V474" i="4"/>
  <c r="V677" i="4"/>
  <c r="V678" i="4"/>
  <c r="V681" i="4"/>
  <c r="V682" i="4"/>
  <c r="V601" i="4"/>
  <c r="V608" i="4"/>
  <c r="V610" i="4"/>
  <c r="V721" i="4"/>
  <c r="V728" i="4"/>
  <c r="V620" i="4"/>
  <c r="V732" i="4"/>
  <c r="V733" i="4"/>
  <c r="V661" i="4"/>
  <c r="V663" i="4"/>
  <c r="V773" i="4"/>
  <c r="V673" i="4"/>
  <c r="V674" i="4"/>
  <c r="V712" i="4"/>
  <c r="V717" i="4"/>
  <c r="V606" i="4"/>
  <c r="V617" i="4"/>
  <c r="V730" i="4"/>
  <c r="V621" i="4"/>
  <c r="V644" i="4"/>
  <c r="V759" i="4"/>
  <c r="V651" i="4"/>
  <c r="V767" i="4"/>
  <c r="V664" i="4"/>
  <c r="V671" i="4"/>
  <c r="V676" i="4"/>
  <c r="V777" i="4"/>
  <c r="V718" i="4"/>
  <c r="V614" i="4"/>
  <c r="V743" i="4"/>
  <c r="V744" i="4"/>
  <c r="V745" i="4"/>
  <c r="V634" i="4"/>
  <c r="V752" i="4"/>
  <c r="V761" i="4"/>
  <c r="V775" i="4"/>
  <c r="V723" i="4"/>
  <c r="V662" i="4"/>
  <c r="V666" i="4"/>
  <c r="V780" i="4"/>
  <c r="V714" i="4"/>
  <c r="V609" i="4"/>
  <c r="V724" i="4"/>
  <c r="V612" i="4"/>
  <c r="V725" i="4"/>
  <c r="V618" i="4"/>
  <c r="V622" i="4"/>
  <c r="V734" i="4"/>
  <c r="V735" i="4"/>
  <c r="V627" i="4"/>
  <c r="V748" i="4"/>
  <c r="V750" i="4"/>
  <c r="V646" i="4"/>
  <c r="V649" i="4"/>
  <c r="V656" i="4"/>
  <c r="V668" i="4"/>
  <c r="V672" i="4"/>
  <c r="V680" i="4"/>
  <c r="V722" i="4"/>
  <c r="V726" i="4"/>
  <c r="V615" i="4"/>
  <c r="V738" i="4"/>
  <c r="V628" i="4"/>
  <c r="V740" i="4"/>
  <c r="V631" i="4"/>
  <c r="V632" i="4"/>
  <c r="V742" i="4"/>
  <c r="V633" i="4"/>
  <c r="V749" i="4"/>
  <c r="V751" i="4"/>
  <c r="V755" i="4"/>
  <c r="V756" i="4"/>
  <c r="V757" i="4"/>
  <c r="V762" i="4"/>
  <c r="V657" i="4"/>
  <c r="V768" i="4"/>
  <c r="V670" i="4"/>
  <c r="V765" i="4"/>
  <c r="V659" i="4"/>
  <c r="V715" i="4"/>
  <c r="V727" i="4"/>
  <c r="V623" i="4"/>
  <c r="V737" i="4"/>
  <c r="V630" i="4"/>
  <c r="V635" i="4"/>
  <c r="V637" i="4"/>
  <c r="V638" i="4"/>
  <c r="V648" i="4"/>
  <c r="V766" i="4"/>
  <c r="V770" i="4"/>
  <c r="V771" i="4"/>
  <c r="V665" i="4"/>
  <c r="V667" i="4"/>
  <c r="V772" i="4"/>
  <c r="V710" i="4"/>
  <c r="V345" i="4"/>
  <c r="V320" i="4"/>
  <c r="AD345" i="4"/>
  <c r="S3" i="4"/>
  <c r="AT1" i="4"/>
  <c r="AS1" i="4"/>
  <c r="AR1" i="4"/>
  <c r="AQ1" i="4"/>
  <c r="AP1" i="4"/>
  <c r="AO1" i="4"/>
  <c r="V3" i="4" l="1"/>
  <c r="AL3" i="4"/>
  <c r="AD3" i="4"/>
  <c r="Q129" i="4"/>
  <c r="U129" i="4" s="1"/>
  <c r="Q153" i="4"/>
  <c r="U153" i="4" s="1"/>
  <c r="Q207" i="4"/>
  <c r="U207" i="4" s="1"/>
  <c r="Q563" i="4"/>
  <c r="U563" i="4" s="1"/>
  <c r="Q237" i="4"/>
  <c r="U237" i="4" s="1"/>
  <c r="Q571" i="4"/>
  <c r="U571" i="4" s="1"/>
  <c r="Q526" i="4"/>
  <c r="U526" i="4" s="1"/>
  <c r="Q622" i="4"/>
  <c r="U622" i="4" s="1"/>
  <c r="Q178" i="4"/>
  <c r="U178" i="4" s="1"/>
  <c r="Q665" i="4"/>
  <c r="U665" i="4" s="1"/>
  <c r="Q652" i="4"/>
  <c r="U652" i="4" s="1"/>
  <c r="Q194" i="4"/>
  <c r="U194" i="4" s="1"/>
  <c r="Q301" i="4"/>
  <c r="U301" i="4" s="1"/>
  <c r="Q416" i="4"/>
  <c r="U416" i="4" s="1"/>
  <c r="Q689" i="4"/>
  <c r="U689" i="4" s="1"/>
  <c r="Q331" i="4"/>
  <c r="U331" i="4" s="1"/>
  <c r="Q335" i="4"/>
  <c r="U335" i="4" s="1"/>
  <c r="Q368" i="4"/>
  <c r="U368" i="4" s="1"/>
  <c r="Q205" i="4"/>
  <c r="U205" i="4" s="1"/>
  <c r="Q350" i="4"/>
  <c r="U350" i="4" s="1"/>
  <c r="Q176" i="4"/>
  <c r="U176" i="4" s="1"/>
  <c r="Q281" i="4"/>
  <c r="U281" i="4" s="1"/>
  <c r="Q257" i="4"/>
  <c r="U257" i="4" s="1"/>
  <c r="Q473" i="4"/>
  <c r="U473" i="4" s="1"/>
  <c r="Q423" i="4"/>
  <c r="U423" i="4" s="1"/>
  <c r="Q208" i="4"/>
  <c r="U208" i="4" s="1"/>
  <c r="Q456" i="4"/>
  <c r="U456" i="4" s="1"/>
  <c r="Q455" i="4"/>
  <c r="U455" i="4" s="1"/>
  <c r="Q48" i="4"/>
  <c r="U48" i="4" s="1"/>
  <c r="Q545" i="4"/>
  <c r="U545" i="4" s="1"/>
  <c r="Q536" i="4"/>
  <c r="U536" i="4" s="1"/>
  <c r="Q776" i="4"/>
  <c r="U776" i="4" s="1"/>
  <c r="Q555" i="4"/>
  <c r="U555" i="4" s="1"/>
  <c r="Q721" i="4"/>
  <c r="U721" i="4" s="1"/>
  <c r="Q273" i="4"/>
  <c r="U273" i="4" s="1"/>
  <c r="Q509" i="4"/>
  <c r="U509" i="4" s="1"/>
  <c r="Q260" i="4"/>
  <c r="U260" i="4" s="1"/>
  <c r="Q597" i="4"/>
  <c r="U597" i="4" s="1"/>
  <c r="Q366" i="4"/>
  <c r="U366" i="4" s="1"/>
  <c r="Q702" i="4"/>
  <c r="U702" i="4" s="1"/>
  <c r="Q697" i="4"/>
  <c r="U697" i="4" s="1"/>
  <c r="Q716" i="4"/>
  <c r="U716" i="4" s="1"/>
  <c r="Q700" i="4"/>
  <c r="U700" i="4" s="1"/>
  <c r="Q184" i="4"/>
  <c r="U184" i="4" s="1"/>
  <c r="Q163" i="4"/>
  <c r="U163" i="4" s="1"/>
  <c r="Q384" i="4"/>
  <c r="U384" i="4" s="1"/>
  <c r="Q630" i="4"/>
  <c r="U630" i="4" s="1"/>
  <c r="Q279" i="4"/>
  <c r="U279" i="4" s="1"/>
  <c r="Q141" i="4"/>
  <c r="U141" i="4" s="1"/>
  <c r="Q590" i="4"/>
  <c r="U590" i="4" s="1"/>
  <c r="Q258" i="4"/>
  <c r="U258" i="4" s="1"/>
  <c r="Q771" i="4"/>
  <c r="U771" i="4" s="1"/>
  <c r="Q500" i="4"/>
  <c r="U500" i="4" s="1"/>
  <c r="Q175" i="4"/>
  <c r="U175" i="4" s="1"/>
  <c r="Q145" i="4"/>
  <c r="U145" i="4" s="1"/>
  <c r="Q248" i="4"/>
  <c r="U248" i="4" s="1"/>
  <c r="Q328" i="4"/>
  <c r="U328" i="4" s="1"/>
  <c r="Q529" i="4"/>
  <c r="U529" i="4" s="1"/>
  <c r="Q311" i="4"/>
  <c r="U311" i="4" s="1"/>
  <c r="Q339" i="4"/>
  <c r="U339" i="4" s="1"/>
  <c r="Q758" i="4"/>
  <c r="U758" i="4" s="1"/>
  <c r="Q388" i="4"/>
  <c r="U388" i="4" s="1"/>
  <c r="Q351" i="4"/>
  <c r="U351" i="4" s="1"/>
  <c r="Q616" i="4"/>
  <c r="U616" i="4" s="1"/>
  <c r="Q45" i="4"/>
  <c r="U45" i="4" s="1"/>
  <c r="Q314" i="4"/>
  <c r="U314" i="4" s="1"/>
  <c r="Q52" i="4"/>
  <c r="U52" i="4" s="1"/>
  <c r="Q404" i="4"/>
  <c r="U404" i="4" s="1"/>
  <c r="Q401" i="4"/>
  <c r="U401" i="4" s="1"/>
  <c r="Q147" i="4"/>
  <c r="U147" i="4" s="1"/>
  <c r="Q66" i="4"/>
  <c r="U66" i="4" s="1"/>
  <c r="Q674" i="4"/>
  <c r="U674" i="4" s="1"/>
  <c r="Q150" i="4"/>
  <c r="U150" i="4" s="1"/>
  <c r="Q629" i="4"/>
  <c r="U629" i="4" s="1"/>
  <c r="Q757" i="4"/>
  <c r="U757" i="4" s="1"/>
  <c r="Q677" i="4"/>
  <c r="U677" i="4" s="1"/>
  <c r="Q547" i="4"/>
  <c r="U547" i="4" s="1"/>
  <c r="Q315" i="4"/>
  <c r="U315" i="4" s="1"/>
  <c r="Q714" i="4"/>
  <c r="U714" i="4" s="1"/>
  <c r="Q376" i="4"/>
  <c r="U376" i="4" s="1"/>
  <c r="Q136" i="4"/>
  <c r="U136" i="4" s="1"/>
  <c r="Q293" i="4"/>
  <c r="U293" i="4" s="1"/>
  <c r="Q636" i="4"/>
  <c r="U636" i="4" s="1"/>
  <c r="Q687" i="4"/>
  <c r="U687" i="4" s="1"/>
  <c r="Q340" i="4"/>
  <c r="U340" i="4" s="1"/>
  <c r="Q653" i="4"/>
  <c r="U653" i="4" s="1"/>
  <c r="Q190" i="4"/>
  <c r="U190" i="4" s="1"/>
  <c r="Q459" i="4"/>
  <c r="U459" i="4" s="1"/>
  <c r="Q263" i="4"/>
  <c r="U263" i="4" s="1"/>
  <c r="Q333" i="4"/>
  <c r="U333" i="4" s="1"/>
  <c r="Q228" i="4"/>
  <c r="U228" i="4" s="1"/>
  <c r="Q402" i="4"/>
  <c r="U402" i="4" s="1"/>
  <c r="Q192" i="4"/>
  <c r="U192" i="4" s="1"/>
  <c r="Q631" i="4"/>
  <c r="U631" i="4" s="1"/>
  <c r="Q396" i="4"/>
  <c r="U396" i="4" s="1"/>
  <c r="Q705" i="4"/>
  <c r="U705" i="4" s="1"/>
  <c r="Q707" i="4"/>
  <c r="U707" i="4" s="1"/>
  <c r="Q154" i="4"/>
  <c r="U154" i="4" s="1"/>
  <c r="Q556" i="4"/>
  <c r="U556" i="4" s="1"/>
  <c r="Q773" i="4"/>
  <c r="U773" i="4" s="1"/>
  <c r="Q724" i="4"/>
  <c r="U724" i="4" s="1"/>
  <c r="Q433" i="4"/>
  <c r="U433" i="4" s="1"/>
  <c r="Q294" i="4"/>
  <c r="U294" i="4" s="1"/>
  <c r="Q573" i="4"/>
  <c r="U573" i="4" s="1"/>
  <c r="Q580" i="4"/>
  <c r="U580" i="4" s="1"/>
  <c r="Q226" i="4"/>
  <c r="U226" i="4" s="1"/>
  <c r="Q9" i="4"/>
  <c r="U9" i="4" s="1"/>
  <c r="Q164" i="4"/>
  <c r="U164" i="4" s="1"/>
  <c r="Q332" i="4"/>
  <c r="U332" i="4" s="1"/>
  <c r="Q575" i="4"/>
  <c r="U575" i="4" s="1"/>
  <c r="Q664" i="4"/>
  <c r="U664" i="4" s="1"/>
  <c r="Q196" i="4"/>
  <c r="U196" i="4" s="1"/>
  <c r="Q223" i="4"/>
  <c r="U223" i="4" s="1"/>
  <c r="Q710" i="4"/>
  <c r="U710" i="4" s="1"/>
  <c r="Q267" i="4"/>
  <c r="U267" i="4" s="1"/>
  <c r="Q116" i="4"/>
  <c r="U116" i="4" s="1"/>
  <c r="Q428" i="4"/>
  <c r="U428" i="4" s="1"/>
  <c r="Q289" i="4"/>
  <c r="U289" i="4" s="1"/>
  <c r="Q415" i="4"/>
  <c r="U415" i="4" s="1"/>
  <c r="Q282" i="4"/>
  <c r="U282" i="4" s="1"/>
  <c r="Q577" i="4"/>
  <c r="U577" i="4" s="1"/>
  <c r="Q137" i="4"/>
  <c r="U137" i="4" s="1"/>
  <c r="Q504" i="4"/>
  <c r="U504" i="4" s="1"/>
  <c r="Q312" i="4"/>
  <c r="U312" i="4" s="1"/>
  <c r="Q268" i="4"/>
  <c r="U268" i="4" s="1"/>
  <c r="Q678" i="4"/>
  <c r="U678" i="4" s="1"/>
  <c r="Q679" i="4"/>
  <c r="U679" i="4" s="1"/>
  <c r="Q497" i="4"/>
  <c r="U497" i="4" s="1"/>
  <c r="Q316" i="4"/>
  <c r="U316" i="4" s="1"/>
  <c r="Q655" i="4"/>
  <c r="U655" i="4" s="1"/>
  <c r="Q371" i="4"/>
  <c r="U371" i="4" s="1"/>
  <c r="Q594" i="4"/>
  <c r="U594" i="4" s="1"/>
  <c r="Q227" i="4"/>
  <c r="U227" i="4" s="1"/>
  <c r="Q437" i="4"/>
  <c r="U437" i="4" s="1"/>
  <c r="Q29" i="4"/>
  <c r="U29" i="4" s="1"/>
  <c r="Q157" i="4"/>
  <c r="U157" i="4" s="1"/>
  <c r="Q200" i="4"/>
  <c r="U200" i="4" s="1"/>
  <c r="Q53" i="4"/>
  <c r="U53" i="4" s="1"/>
  <c r="Q259" i="4"/>
  <c r="U259" i="4" s="1"/>
  <c r="Q780" i="4"/>
  <c r="U780" i="4" s="1"/>
  <c r="Q438" i="4"/>
  <c r="U438" i="4" s="1"/>
  <c r="Q490" i="4"/>
  <c r="U490" i="4" s="1"/>
  <c r="Q766" i="4"/>
  <c r="U766" i="4" s="1"/>
  <c r="Q448" i="4"/>
  <c r="U448" i="4" s="1"/>
  <c r="Q621" i="4"/>
  <c r="U621" i="4" s="1"/>
  <c r="Q295" i="4"/>
  <c r="U295" i="4" s="1"/>
  <c r="Q469" i="4"/>
  <c r="U469" i="4" s="1"/>
  <c r="Q56" i="4"/>
  <c r="U56" i="4" s="1"/>
  <c r="Q167" i="4"/>
  <c r="U167" i="4" s="1"/>
  <c r="Q403" i="4"/>
  <c r="U403" i="4" s="1"/>
  <c r="Q274" i="4"/>
  <c r="U274" i="4" s="1"/>
  <c r="Q603" i="4"/>
  <c r="U603" i="4" s="1"/>
  <c r="Q232" i="4"/>
  <c r="U232" i="4" s="1"/>
  <c r="Q277" i="4"/>
  <c r="U277" i="4" s="1"/>
  <c r="Q197" i="4"/>
  <c r="U197" i="4" s="1"/>
  <c r="Q269" i="4"/>
  <c r="U269" i="4" s="1"/>
  <c r="Q70" i="4"/>
  <c r="U70" i="4" s="1"/>
  <c r="Q494" i="4"/>
  <c r="U494" i="4" s="1"/>
  <c r="Q588" i="4"/>
  <c r="U588" i="4" s="1"/>
  <c r="Q541" i="4"/>
  <c r="U541" i="4" s="1"/>
  <c r="Q50" i="4"/>
  <c r="U50" i="4" s="1"/>
  <c r="Q640" i="4"/>
  <c r="U640" i="4" s="1"/>
  <c r="Q238" i="4"/>
  <c r="U238" i="4" s="1"/>
  <c r="Q546" i="4"/>
  <c r="U546" i="4" s="1"/>
  <c r="Q683" i="4"/>
  <c r="U683" i="4" s="1"/>
  <c r="Q170" i="4"/>
  <c r="U170" i="4" s="1"/>
  <c r="Q204" i="4"/>
  <c r="U204" i="4" s="1"/>
  <c r="Q224" i="4"/>
  <c r="U224" i="4" s="1"/>
  <c r="Q362" i="4"/>
  <c r="U362" i="4" s="1"/>
  <c r="Q321" i="4"/>
  <c r="U321" i="4" s="1"/>
  <c r="Q148" i="4"/>
  <c r="U148" i="4" s="1"/>
  <c r="Q589" i="4"/>
  <c r="U589" i="4" s="1"/>
  <c r="Q283" i="4"/>
  <c r="U283" i="4" s="1"/>
  <c r="Q106" i="4"/>
  <c r="U106" i="4" s="1"/>
  <c r="Q392" i="4"/>
  <c r="U392" i="4" s="1"/>
  <c r="Q515" i="4"/>
  <c r="U515" i="4" s="1"/>
  <c r="Q625" i="4"/>
  <c r="U625" i="4" s="1"/>
  <c r="Q108" i="4"/>
  <c r="U108" i="4" s="1"/>
  <c r="Q235" i="4"/>
  <c r="U235" i="4" s="1"/>
  <c r="Q406" i="4"/>
  <c r="U406" i="4" s="1"/>
  <c r="Q298" i="4"/>
  <c r="U298" i="4" s="1"/>
  <c r="Q26" i="4"/>
  <c r="U26" i="4" s="1"/>
  <c r="Q421" i="4"/>
  <c r="U421" i="4" s="1"/>
  <c r="Q355" i="4"/>
  <c r="U355" i="4" s="1"/>
  <c r="Q309" i="4"/>
  <c r="U309" i="4" s="1"/>
  <c r="Q302" i="4"/>
  <c r="U302" i="4" s="1"/>
  <c r="Q413" i="4"/>
  <c r="U413" i="4" s="1"/>
  <c r="Q83" i="4"/>
  <c r="U83" i="4" s="1"/>
  <c r="Q18" i="4"/>
  <c r="U18" i="4" s="1"/>
  <c r="Q690" i="4"/>
  <c r="U690" i="4" s="1"/>
  <c r="Q492" i="4"/>
  <c r="U492" i="4" s="1"/>
  <c r="Q591" i="4"/>
  <c r="U591" i="4" s="1"/>
  <c r="Q320" i="4"/>
  <c r="U320" i="4" s="1"/>
  <c r="Q532" i="4"/>
  <c r="U532" i="4" s="1"/>
  <c r="Q432" i="4"/>
  <c r="U432" i="4" s="1"/>
  <c r="Q101" i="4"/>
  <c r="U101" i="4" s="1"/>
  <c r="Q249" i="4"/>
  <c r="U249" i="4" s="1"/>
  <c r="Q100" i="4"/>
  <c r="U100" i="4" s="1"/>
  <c r="Q280" i="4"/>
  <c r="U280" i="4" s="1"/>
  <c r="Q748" i="4"/>
  <c r="U748" i="4" s="1"/>
  <c r="Q336" i="4"/>
  <c r="U336" i="4" s="1"/>
  <c r="Q36" i="4"/>
  <c r="U36" i="4" s="1"/>
  <c r="Q221" i="4"/>
  <c r="U221" i="4" s="1"/>
  <c r="Q187" i="4"/>
  <c r="U187" i="4" s="1"/>
  <c r="Q230" i="4"/>
  <c r="U230" i="4" s="1"/>
  <c r="Q399" i="4"/>
  <c r="U399" i="4" s="1"/>
  <c r="Q424" i="4"/>
  <c r="U424" i="4" s="1"/>
  <c r="Q521" i="4"/>
  <c r="U521" i="4" s="1"/>
  <c r="Q140" i="4"/>
  <c r="U140" i="4" s="1"/>
  <c r="Q426" i="4"/>
  <c r="U426" i="4" s="1"/>
  <c r="Q717" i="4"/>
  <c r="U717" i="4" s="1"/>
  <c r="Q400" i="4"/>
  <c r="U400" i="4" s="1"/>
  <c r="Q25" i="4"/>
  <c r="U25" i="4" s="1"/>
  <c r="Q682" i="4"/>
  <c r="U682" i="4" s="1"/>
  <c r="Q583" i="4"/>
  <c r="U583" i="4" s="1"/>
  <c r="Q65" i="4"/>
  <c r="U65" i="4" s="1"/>
  <c r="Q353" i="4"/>
  <c r="U353" i="4" s="1"/>
  <c r="Q781" i="4"/>
  <c r="U781" i="4" s="1"/>
  <c r="Q737" i="4"/>
  <c r="U737" i="4" s="1"/>
  <c r="Q72" i="4"/>
  <c r="U72" i="4" s="1"/>
  <c r="Q572" i="4"/>
  <c r="U572" i="4" s="1"/>
  <c r="Q735" i="4"/>
  <c r="U735" i="4" s="1"/>
  <c r="Q78" i="4"/>
  <c r="U78" i="4" s="1"/>
  <c r="Q240" i="4"/>
  <c r="U240" i="4" s="1"/>
  <c r="Q285" i="4"/>
  <c r="U285" i="4" s="1"/>
  <c r="Q474" i="4"/>
  <c r="U474" i="4" s="1"/>
  <c r="Q47" i="4"/>
  <c r="U47" i="4" s="1"/>
  <c r="Q364" i="4"/>
  <c r="U364" i="4" s="1"/>
  <c r="Q79" i="4"/>
  <c r="U79" i="4" s="1"/>
  <c r="Q412" i="4"/>
  <c r="U412" i="4" s="1"/>
  <c r="Q15" i="4"/>
  <c r="U15" i="4" s="1"/>
  <c r="Q112" i="4"/>
  <c r="U112" i="4" s="1"/>
  <c r="Q744" i="4"/>
  <c r="U744" i="4" s="1"/>
  <c r="Q142" i="4"/>
  <c r="U142" i="4" s="1"/>
  <c r="Q264" i="4"/>
  <c r="U264" i="4" s="1"/>
  <c r="Q297" i="4"/>
  <c r="U297" i="4" s="1"/>
  <c r="Q120" i="4"/>
  <c r="U120" i="4" s="1"/>
  <c r="Q539" i="4"/>
  <c r="U539" i="4" s="1"/>
  <c r="Q215" i="4"/>
  <c r="U215" i="4" s="1"/>
  <c r="Q673" i="4"/>
  <c r="U673" i="4" s="1"/>
  <c r="Q446" i="4"/>
  <c r="U446" i="4" s="1"/>
  <c r="Q558" i="4"/>
  <c r="U558" i="4" s="1"/>
  <c r="Q649" i="4"/>
  <c r="U649" i="4" s="1"/>
  <c r="Q595" i="4"/>
  <c r="U595" i="4" s="1"/>
  <c r="Q28" i="4"/>
  <c r="U28" i="4" s="1"/>
  <c r="Q614" i="4"/>
  <c r="U614" i="4" s="1"/>
  <c r="Q41" i="4"/>
  <c r="U41" i="4" s="1"/>
  <c r="Q341" i="4"/>
  <c r="U341" i="4" s="1"/>
  <c r="Q581" i="4"/>
  <c r="U581" i="4" s="1"/>
  <c r="Q692" i="4"/>
  <c r="U692" i="4" s="1"/>
  <c r="Q584" i="4"/>
  <c r="U584" i="4" s="1"/>
  <c r="Q96" i="4"/>
  <c r="U96" i="4" s="1"/>
  <c r="Q654" i="4"/>
  <c r="U654" i="4" s="1"/>
  <c r="Q188" i="4"/>
  <c r="U188" i="4" s="1"/>
  <c r="Q728" i="4"/>
  <c r="U728" i="4" s="1"/>
  <c r="Q736" i="4"/>
  <c r="U736" i="4" s="1"/>
  <c r="Q54" i="4"/>
  <c r="U54" i="4" s="1"/>
  <c r="Q429" i="4"/>
  <c r="U429" i="4" s="1"/>
  <c r="Q598" i="4"/>
  <c r="U598" i="4" s="1"/>
  <c r="Q266" i="4"/>
  <c r="U266" i="4" s="1"/>
  <c r="Q754" i="4"/>
  <c r="U754" i="4" s="1"/>
  <c r="Q562" i="4"/>
  <c r="U562" i="4" s="1"/>
  <c r="Q107" i="4"/>
  <c r="U107" i="4" s="1"/>
  <c r="Q628" i="4"/>
  <c r="U628" i="4" s="1"/>
  <c r="Q698" i="4"/>
  <c r="U698" i="4" s="1"/>
  <c r="Q133" i="4"/>
  <c r="U133" i="4" s="1"/>
  <c r="Q97" i="4"/>
  <c r="U97" i="4" s="1"/>
  <c r="Q236" i="4"/>
  <c r="U236" i="4" s="1"/>
  <c r="Q138" i="4"/>
  <c r="U138" i="4" s="1"/>
  <c r="Q334" i="4"/>
  <c r="U334" i="4" s="1"/>
  <c r="Q557" i="4"/>
  <c r="U557" i="4" s="1"/>
  <c r="Q727" i="4"/>
  <c r="U727" i="4" s="1"/>
  <c r="Q303" i="4"/>
  <c r="U303" i="4" s="1"/>
  <c r="Q389" i="4"/>
  <c r="U389" i="4" s="1"/>
  <c r="Q461" i="4"/>
  <c r="U461" i="4" s="1"/>
  <c r="Q361" i="4"/>
  <c r="U361" i="4" s="1"/>
  <c r="Q633" i="4"/>
  <c r="U633" i="4" s="1"/>
  <c r="Q688" i="4"/>
  <c r="U688" i="4" s="1"/>
  <c r="Q644" i="4"/>
  <c r="U644" i="4" s="1"/>
  <c r="Q319" i="4"/>
  <c r="U319" i="4" s="1"/>
  <c r="Q449" i="4"/>
  <c r="U449" i="4" s="1"/>
  <c r="Q80" i="4"/>
  <c r="U80" i="4" s="1"/>
  <c r="Q740" i="4"/>
  <c r="U740" i="4" s="1"/>
  <c r="Q759" i="4"/>
  <c r="U759" i="4" s="1"/>
  <c r="Q501" i="4"/>
  <c r="U501" i="4" s="1"/>
  <c r="Q219" i="4"/>
  <c r="U219" i="4" s="1"/>
  <c r="Q578" i="4"/>
  <c r="U578" i="4" s="1"/>
  <c r="Q103" i="4"/>
  <c r="U103" i="4" s="1"/>
  <c r="Q684" i="4"/>
  <c r="U684" i="4" s="1"/>
  <c r="Q430" i="4"/>
  <c r="U430" i="4" s="1"/>
  <c r="Q313" i="4"/>
  <c r="U313" i="4" s="1"/>
  <c r="Q407" i="4"/>
  <c r="U407" i="4" s="1"/>
  <c r="Q670" i="4"/>
  <c r="U670" i="4" s="1"/>
  <c r="Q481" i="4"/>
  <c r="U481" i="4" s="1"/>
  <c r="Q185" i="4"/>
  <c r="U185" i="4" s="1"/>
  <c r="Q483" i="4"/>
  <c r="U483" i="4" s="1"/>
  <c r="Q647" i="4"/>
  <c r="U647" i="4" s="1"/>
  <c r="Q234" i="4"/>
  <c r="U234" i="4" s="1"/>
  <c r="Q256" i="4"/>
  <c r="U256" i="4" s="1"/>
  <c r="Q414" i="4"/>
  <c r="U414" i="4" s="1"/>
  <c r="Q566" i="4"/>
  <c r="U566" i="4" s="1"/>
  <c r="Q604" i="4"/>
  <c r="U604" i="4" s="1"/>
  <c r="Q465" i="4"/>
  <c r="U465" i="4" s="1"/>
  <c r="Q750" i="4"/>
  <c r="U750" i="4" s="1"/>
  <c r="Q753" i="4"/>
  <c r="U753" i="4" s="1"/>
  <c r="Q610" i="4"/>
  <c r="U610" i="4" s="1"/>
  <c r="Q300" i="4"/>
  <c r="U300" i="4" s="1"/>
  <c r="Q287" i="4"/>
  <c r="U287" i="4" s="1"/>
  <c r="Q286" i="4"/>
  <c r="U286" i="4" s="1"/>
  <c r="Q427" i="4"/>
  <c r="U427" i="4" s="1"/>
  <c r="Q606" i="4"/>
  <c r="U606" i="4" s="1"/>
  <c r="Q634" i="4"/>
  <c r="U634" i="4" s="1"/>
  <c r="Q55" i="4"/>
  <c r="U55" i="4" s="1"/>
  <c r="Q244" i="4"/>
  <c r="U244" i="4" s="1"/>
  <c r="Q685" i="4"/>
  <c r="U685" i="4" s="1"/>
  <c r="Q419" i="4"/>
  <c r="U419" i="4" s="1"/>
  <c r="Q40" i="4"/>
  <c r="U40" i="4" s="1"/>
  <c r="Q75" i="4"/>
  <c r="U75" i="4" s="1"/>
  <c r="Q656" i="4"/>
  <c r="U656" i="4" s="1"/>
  <c r="Q570" i="4"/>
  <c r="U570" i="4" s="1"/>
  <c r="Q121" i="4"/>
  <c r="U121" i="4" s="1"/>
  <c r="Q681" i="4"/>
  <c r="U681" i="4" s="1"/>
  <c r="Q520" i="4"/>
  <c r="U520" i="4" s="1"/>
  <c r="Q553" i="4"/>
  <c r="U553" i="4" s="1"/>
  <c r="Q620" i="4"/>
  <c r="U620" i="4" s="1"/>
  <c r="Q764" i="4"/>
  <c r="U764" i="4" s="1"/>
  <c r="Q68" i="4"/>
  <c r="U68" i="4" s="1"/>
  <c r="Q85" i="4"/>
  <c r="U85" i="4" s="1"/>
  <c r="Q183" i="4"/>
  <c r="U183" i="4" s="1"/>
  <c r="Q661" i="4"/>
  <c r="U661" i="4" s="1"/>
  <c r="Q733" i="4"/>
  <c r="U733" i="4" s="1"/>
  <c r="Q122" i="4"/>
  <c r="U122" i="4" s="1"/>
  <c r="Q385" i="4"/>
  <c r="U385" i="4" s="1"/>
  <c r="Q618" i="4"/>
  <c r="U618" i="4" s="1"/>
  <c r="Q452" i="4"/>
  <c r="U452" i="4" s="1"/>
  <c r="Q6" i="4"/>
  <c r="U6" i="4" s="1"/>
  <c r="Q725" i="4"/>
  <c r="U725" i="4" s="1"/>
  <c r="Q435" i="4"/>
  <c r="U435" i="4" s="1"/>
  <c r="Q516" i="4"/>
  <c r="U516" i="4" s="1"/>
  <c r="Q586" i="4"/>
  <c r="U586" i="4" s="1"/>
  <c r="Q667" i="4"/>
  <c r="U667" i="4" s="1"/>
  <c r="Q89" i="4"/>
  <c r="U89" i="4" s="1"/>
  <c r="Q478" i="4"/>
  <c r="U478" i="4" s="1"/>
  <c r="Q619" i="4"/>
  <c r="U619" i="4" s="1"/>
  <c r="Q229" i="4"/>
  <c r="U229" i="4" s="1"/>
  <c r="Q508" i="4"/>
  <c r="U508" i="4" s="1"/>
  <c r="Q288" i="4"/>
  <c r="U288" i="4" s="1"/>
  <c r="Q543" i="4"/>
  <c r="U543" i="4" s="1"/>
  <c r="Q719" i="4"/>
  <c r="U719" i="4" s="1"/>
  <c r="Q265" i="4"/>
  <c r="U265" i="4" s="1"/>
  <c r="Q605" i="4"/>
  <c r="U605" i="4" s="1"/>
  <c r="Q57" i="4"/>
  <c r="U57" i="4" s="1"/>
  <c r="Q327" i="4"/>
  <c r="U327" i="4" s="1"/>
  <c r="Q470" i="4"/>
  <c r="U470" i="4" s="1"/>
  <c r="Q380" i="4"/>
  <c r="U380" i="4" s="1"/>
  <c r="Q218" i="4"/>
  <c r="U218" i="4" s="1"/>
  <c r="Q503" i="4"/>
  <c r="U503" i="4" s="1"/>
  <c r="Q329" i="4"/>
  <c r="U329" i="4" s="1"/>
  <c r="Q663" i="4"/>
  <c r="U663" i="4" s="1"/>
  <c r="Q734" i="4"/>
  <c r="U734" i="4" s="1"/>
  <c r="Q484" i="4"/>
  <c r="U484" i="4" s="1"/>
  <c r="Q358" i="4"/>
  <c r="U358" i="4" s="1"/>
  <c r="Q149" i="4"/>
  <c r="U149" i="4" s="1"/>
  <c r="Q593" i="4"/>
  <c r="U593" i="4" s="1"/>
  <c r="Q528" i="4"/>
  <c r="U528" i="4" s="1"/>
  <c r="Q24" i="4"/>
  <c r="U24" i="4" s="1"/>
  <c r="Q42" i="4"/>
  <c r="U42" i="4" s="1"/>
  <c r="Q58" i="4"/>
  <c r="U58" i="4" s="1"/>
  <c r="Q600" i="4"/>
  <c r="U600" i="4" s="1"/>
  <c r="Q442" i="4"/>
  <c r="U442" i="4" s="1"/>
  <c r="Q650" i="4"/>
  <c r="U650" i="4" s="1"/>
  <c r="Q49" i="4"/>
  <c r="U49" i="4" s="1"/>
  <c r="Q67" i="4"/>
  <c r="U67" i="4" s="1"/>
  <c r="Q730" i="4"/>
  <c r="U730" i="4" s="1"/>
  <c r="Q377" i="4"/>
  <c r="U377" i="4" s="1"/>
  <c r="Q152" i="4"/>
  <c r="U152" i="4" s="1"/>
  <c r="Q104" i="4"/>
  <c r="U104" i="4" s="1"/>
  <c r="Q231" i="4"/>
  <c r="U231" i="4" s="1"/>
  <c r="Q177" i="4"/>
  <c r="U177" i="4" s="1"/>
  <c r="Q704" i="4"/>
  <c r="U704" i="4" s="1"/>
  <c r="Q535" i="4"/>
  <c r="U535" i="4" s="1"/>
  <c r="Q777" i="4"/>
  <c r="U777" i="4" s="1"/>
  <c r="Q457" i="4"/>
  <c r="U457" i="4" s="1"/>
  <c r="Q495" i="4"/>
  <c r="U495" i="4" s="1"/>
  <c r="Q739" i="4"/>
  <c r="U739" i="4" s="1"/>
  <c r="Q519" i="4"/>
  <c r="U519" i="4" s="1"/>
  <c r="Q637" i="4"/>
  <c r="U637" i="4" s="1"/>
  <c r="Q696" i="4"/>
  <c r="U696" i="4" s="1"/>
  <c r="Q417" i="4"/>
  <c r="U417" i="4" s="1"/>
  <c r="Q779" i="4"/>
  <c r="U779" i="4" s="1"/>
  <c r="Q87" i="4"/>
  <c r="U87" i="4" s="1"/>
  <c r="Q17" i="4"/>
  <c r="U17" i="4" s="1"/>
  <c r="Q278" i="4"/>
  <c r="U278" i="4" s="1"/>
  <c r="Q642" i="4"/>
  <c r="U642" i="4" s="1"/>
  <c r="Q499" i="4"/>
  <c r="U499" i="4" s="1"/>
  <c r="Q220" i="4"/>
  <c r="U220" i="4" s="1"/>
  <c r="Q254" i="4"/>
  <c r="U254" i="4" s="1"/>
  <c r="Q513" i="4"/>
  <c r="U513" i="4" s="1"/>
  <c r="Q7" i="4"/>
  <c r="U7" i="4" s="1"/>
  <c r="Q551" i="4"/>
  <c r="U551" i="4" s="1"/>
  <c r="Q505" i="4"/>
  <c r="U505" i="4" s="1"/>
  <c r="Q323" i="4"/>
  <c r="U323" i="4" s="1"/>
  <c r="Q487" i="4"/>
  <c r="U487" i="4" s="1"/>
  <c r="Q477" i="4"/>
  <c r="U477" i="4" s="1"/>
  <c r="Q381" i="4"/>
  <c r="U381" i="4" s="1"/>
  <c r="Q613" i="4"/>
  <c r="U613" i="4" s="1"/>
  <c r="Q726" i="4"/>
  <c r="U726" i="4" s="1"/>
  <c r="Q372" i="4"/>
  <c r="U372" i="4" s="1"/>
  <c r="Q569" i="4"/>
  <c r="U569" i="4" s="1"/>
  <c r="Q252" i="4"/>
  <c r="U252" i="4" s="1"/>
  <c r="Q507" i="4"/>
  <c r="U507" i="4" s="1"/>
  <c r="Q720" i="4"/>
  <c r="U720" i="4" s="1"/>
  <c r="Q193" i="4"/>
  <c r="U193" i="4" s="1"/>
  <c r="Q643" i="4"/>
  <c r="U643" i="4" s="1"/>
  <c r="Q592" i="4"/>
  <c r="U592" i="4" s="1"/>
  <c r="Q746" i="4"/>
  <c r="U746" i="4" s="1"/>
  <c r="Q511" i="4"/>
  <c r="U511" i="4" s="1"/>
  <c r="Q317" i="4"/>
  <c r="U317" i="4" s="1"/>
  <c r="Q518" i="4"/>
  <c r="U518" i="4" s="1"/>
  <c r="Q51" i="4"/>
  <c r="U51" i="4" s="1"/>
  <c r="Q14" i="4"/>
  <c r="U14" i="4" s="1"/>
  <c r="Q109" i="4"/>
  <c r="U109" i="4" s="1"/>
  <c r="Q422" i="4"/>
  <c r="U422" i="4" s="1"/>
  <c r="Q638" i="4"/>
  <c r="U638" i="4" s="1"/>
  <c r="Q732" i="4"/>
  <c r="U732" i="4" s="1"/>
  <c r="Q522" i="4"/>
  <c r="U522" i="4" s="1"/>
  <c r="Q675" i="4"/>
  <c r="U675" i="4" s="1"/>
  <c r="Q13" i="4"/>
  <c r="U13" i="4" s="1"/>
  <c r="Q262" i="4"/>
  <c r="U262" i="4" s="1"/>
  <c r="Q662" i="4"/>
  <c r="U662" i="4" s="1"/>
  <c r="Q44" i="4"/>
  <c r="U44" i="4" s="1"/>
  <c r="Q743" i="4"/>
  <c r="U743" i="4" s="1"/>
  <c r="Q525" i="4"/>
  <c r="U525" i="4" s="1"/>
  <c r="Q405" i="4"/>
  <c r="U405" i="4" s="1"/>
  <c r="Q124" i="4"/>
  <c r="Q493" i="4"/>
  <c r="U493" i="4" s="1"/>
  <c r="Q370" i="4"/>
  <c r="U370" i="4" s="1"/>
  <c r="Q752" i="4"/>
  <c r="U752" i="4" s="1"/>
  <c r="Q760" i="4"/>
  <c r="U760" i="4" s="1"/>
  <c r="Q76" i="4"/>
  <c r="U76" i="4" s="1"/>
  <c r="Q657" i="4"/>
  <c r="U657" i="4" s="1"/>
  <c r="Q272" i="4"/>
  <c r="U272" i="4" s="1"/>
  <c r="Q439" i="4"/>
  <c r="U439" i="4" s="1"/>
  <c r="Q342" i="4"/>
  <c r="U342" i="4" s="1"/>
  <c r="Q86" i="4"/>
  <c r="U86" i="4" s="1"/>
  <c r="Q119" i="4"/>
  <c r="U119" i="4" s="1"/>
  <c r="Q666" i="4"/>
  <c r="U666" i="4" s="1"/>
  <c r="Q245" i="4"/>
  <c r="U245" i="4" s="1"/>
  <c r="Q93" i="4"/>
  <c r="U93" i="4" s="1"/>
  <c r="Q241" i="4"/>
  <c r="U241" i="4" s="1"/>
  <c r="Q747" i="4"/>
  <c r="U747" i="4" s="1"/>
  <c r="Q611" i="4"/>
  <c r="U611" i="4" s="1"/>
  <c r="Q394" i="4"/>
  <c r="U394" i="4" s="1"/>
  <c r="Q35" i="4"/>
  <c r="U35" i="4" s="1"/>
  <c r="Q212" i="4"/>
  <c r="U212" i="4" s="1"/>
  <c r="Q169" i="4"/>
  <c r="U169" i="4" s="1"/>
  <c r="Q715" i="4"/>
  <c r="U715" i="4" s="1"/>
  <c r="Q411" i="4"/>
  <c r="U411" i="4" s="1"/>
  <c r="Q463" i="4"/>
  <c r="U463" i="4" s="1"/>
  <c r="Q115" i="4"/>
  <c r="U115" i="4" s="1"/>
  <c r="Q94" i="4"/>
  <c r="U94" i="4" s="1"/>
  <c r="Q612" i="4"/>
  <c r="U612" i="4" s="1"/>
  <c r="Q16" i="4"/>
  <c r="U16" i="4" s="1"/>
  <c r="Q554" i="4"/>
  <c r="U554" i="4" s="1"/>
  <c r="Q711" i="4"/>
  <c r="U711" i="4" s="1"/>
  <c r="Q395" i="4"/>
  <c r="U395" i="4" s="1"/>
  <c r="Q574" i="4"/>
  <c r="U574" i="4" s="1"/>
  <c r="Q475" i="4"/>
  <c r="U475" i="4" s="1"/>
  <c r="Q180" i="4"/>
  <c r="U180" i="4" s="1"/>
  <c r="Q635" i="4"/>
  <c r="U635" i="4" s="1"/>
  <c r="Q222" i="4"/>
  <c r="U222" i="4" s="1"/>
  <c r="Q471" i="4"/>
  <c r="U471" i="4" s="1"/>
  <c r="Q346" i="4"/>
  <c r="U346" i="4" s="1"/>
  <c r="Q615" i="4"/>
  <c r="U615" i="4" s="1"/>
  <c r="Q749" i="4"/>
  <c r="U749" i="4" s="1"/>
  <c r="Q382" i="4"/>
  <c r="U382" i="4" s="1"/>
  <c r="Q659" i="4"/>
  <c r="U659" i="4" s="1"/>
  <c r="Q114" i="4"/>
  <c r="U114" i="4" s="1"/>
  <c r="Q347" i="4"/>
  <c r="U347" i="4" s="1"/>
  <c r="Q559" i="4"/>
  <c r="U559" i="4" s="1"/>
  <c r="Q398" i="4"/>
  <c r="U398" i="4" s="1"/>
  <c r="Q284" i="4"/>
  <c r="U284" i="4" s="1"/>
  <c r="Q585" i="4"/>
  <c r="U585" i="4" s="1"/>
  <c r="Q60" i="4"/>
  <c r="U60" i="4" s="1"/>
  <c r="Q134" i="4"/>
  <c r="U134" i="4" s="1"/>
  <c r="Q540" i="4"/>
  <c r="U540" i="4" s="1"/>
  <c r="Q524" i="4"/>
  <c r="U524" i="4" s="1"/>
  <c r="Q778" i="4"/>
  <c r="U778" i="4" s="1"/>
  <c r="Q491" i="4"/>
  <c r="U491" i="4" s="1"/>
  <c r="Q330" i="4"/>
  <c r="U330" i="4" s="1"/>
  <c r="Q74" i="4"/>
  <c r="U74" i="4" s="1"/>
  <c r="Q326" i="4"/>
  <c r="U326" i="4" s="1"/>
  <c r="Q496" i="4"/>
  <c r="U496" i="4" s="1"/>
  <c r="Q37" i="4"/>
  <c r="U37" i="4" s="1"/>
  <c r="Q261" i="4"/>
  <c r="U261" i="4" s="1"/>
  <c r="Q299" i="4"/>
  <c r="U299" i="4" s="1"/>
  <c r="Q322" i="4"/>
  <c r="U322" i="4" s="1"/>
  <c r="Q482" i="4"/>
  <c r="U482" i="4" s="1"/>
  <c r="Q498" i="4"/>
  <c r="U498" i="4" s="1"/>
  <c r="Q143" i="4"/>
  <c r="U143" i="4" s="1"/>
  <c r="Q374" i="4"/>
  <c r="U374" i="4" s="1"/>
  <c r="Q251" i="4"/>
  <c r="U251" i="4" s="1"/>
  <c r="Q425" i="4"/>
  <c r="U425" i="4" s="1"/>
  <c r="Q88" i="4"/>
  <c r="U88" i="4" s="1"/>
  <c r="Q775" i="4"/>
  <c r="U775" i="4" s="1"/>
  <c r="Q646" i="4"/>
  <c r="U646" i="4" s="1"/>
  <c r="Q356" i="4"/>
  <c r="U356" i="4" s="1"/>
  <c r="Q527" i="4"/>
  <c r="U527" i="4" s="1"/>
  <c r="Q308" i="4"/>
  <c r="U308" i="4" s="1"/>
  <c r="Q77" i="4"/>
  <c r="U77" i="4" s="1"/>
  <c r="Q596" i="4"/>
  <c r="U596" i="4" s="1"/>
  <c r="Q349" i="4"/>
  <c r="U349" i="4" s="1"/>
  <c r="Q118" i="4"/>
  <c r="U118" i="4" s="1"/>
  <c r="Q146" i="4"/>
  <c r="U146" i="4" s="1"/>
  <c r="Q582" i="4"/>
  <c r="U582" i="4" s="1"/>
  <c r="Q387" i="4"/>
  <c r="U387" i="4" s="1"/>
  <c r="Q198" i="4"/>
  <c r="U198" i="4" s="1"/>
  <c r="Q390" i="4"/>
  <c r="U390" i="4" s="1"/>
  <c r="Q239" i="4"/>
  <c r="U239" i="4" s="1"/>
  <c r="Q561" i="4"/>
  <c r="U561" i="4" s="1"/>
  <c r="Q602" i="4"/>
  <c r="U602" i="4" s="1"/>
  <c r="Q373" i="4"/>
  <c r="U373" i="4" s="1"/>
  <c r="Q250" i="4"/>
  <c r="U250" i="4" s="1"/>
  <c r="Q534" i="4"/>
  <c r="U534" i="4" s="1"/>
  <c r="Q712" i="4"/>
  <c r="U712" i="4" s="1"/>
  <c r="Q639" i="4"/>
  <c r="U639" i="4" s="1"/>
  <c r="Q708" i="4"/>
  <c r="U708" i="4" s="1"/>
  <c r="Q59" i="4"/>
  <c r="U59" i="4" s="1"/>
  <c r="Q345" i="4"/>
  <c r="U345" i="4" s="1"/>
  <c r="Q375" i="4"/>
  <c r="U375" i="4" s="1"/>
  <c r="Q587" i="4"/>
  <c r="U587" i="4" s="1"/>
  <c r="Q686" i="4"/>
  <c r="U686" i="4" s="1"/>
  <c r="Q485" i="4"/>
  <c r="U485" i="4" s="1"/>
  <c r="Q165" i="4"/>
  <c r="U165" i="4" s="1"/>
  <c r="Q270" i="4"/>
  <c r="U270" i="4" s="1"/>
  <c r="Q43" i="4"/>
  <c r="U43" i="4" s="1"/>
  <c r="Q69" i="4"/>
  <c r="U69" i="4" s="1"/>
  <c r="Q181" i="4"/>
  <c r="U181" i="4" s="1"/>
  <c r="Q156" i="4"/>
  <c r="U156" i="4" s="1"/>
  <c r="Q454" i="4"/>
  <c r="U454" i="4" s="1"/>
  <c r="Q450" i="4"/>
  <c r="U450" i="4" s="1"/>
  <c r="Q166" i="4"/>
  <c r="U166" i="4" s="1"/>
  <c r="Q113" i="4"/>
  <c r="U113" i="4" s="1"/>
  <c r="Q363" i="4"/>
  <c r="U363" i="4" s="1"/>
  <c r="Q61" i="4"/>
  <c r="U61" i="4" s="1"/>
  <c r="Q660" i="4"/>
  <c r="U660" i="4" s="1"/>
  <c r="Q626" i="4"/>
  <c r="U626" i="4" s="1"/>
  <c r="Q436" i="4"/>
  <c r="U436" i="4" s="1"/>
  <c r="Q63" i="4"/>
  <c r="U63" i="4" s="1"/>
  <c r="Q135" i="4"/>
  <c r="U135" i="4" s="1"/>
  <c r="Q128" i="4"/>
  <c r="U128" i="4" s="1"/>
  <c r="Q745" i="4"/>
  <c r="U745" i="4" s="1"/>
  <c r="Q466" i="4"/>
  <c r="U466" i="4" s="1"/>
  <c r="Q168" i="4"/>
  <c r="U168" i="4" s="1"/>
  <c r="Q607" i="4"/>
  <c r="U607" i="4" s="1"/>
  <c r="Q693" i="4"/>
  <c r="U693" i="4" s="1"/>
  <c r="Q742" i="4"/>
  <c r="U742" i="4" s="1"/>
  <c r="Q201" i="4"/>
  <c r="U201" i="4" s="1"/>
  <c r="Q458" i="4"/>
  <c r="U458" i="4" s="1"/>
  <c r="Q34" i="4"/>
  <c r="U34" i="4" s="1"/>
  <c r="Q560" i="4"/>
  <c r="U560" i="4" s="1"/>
  <c r="Q23" i="4"/>
  <c r="U23" i="4" s="1"/>
  <c r="Q255" i="4"/>
  <c r="U255" i="4" s="1"/>
  <c r="Q443" i="4"/>
  <c r="U443" i="4" s="1"/>
  <c r="Q325" i="4"/>
  <c r="U325" i="4" s="1"/>
  <c r="Q445" i="4"/>
  <c r="U445" i="4" s="1"/>
  <c r="Q772" i="4"/>
  <c r="U772" i="4" s="1"/>
  <c r="Q447" i="4"/>
  <c r="U447" i="4" s="1"/>
  <c r="Q367" i="4"/>
  <c r="U367" i="4" s="1"/>
  <c r="Q174" i="4"/>
  <c r="U174" i="4" s="1"/>
  <c r="Q410" i="4"/>
  <c r="U410" i="4" s="1"/>
  <c r="Q467" i="4"/>
  <c r="U467" i="4" s="1"/>
  <c r="Q552" i="4"/>
  <c r="U552" i="4" s="1"/>
  <c r="Q624" i="4"/>
  <c r="U624" i="4" s="1"/>
  <c r="Q378" i="4"/>
  <c r="U378" i="4" s="1"/>
  <c r="Q210" i="4"/>
  <c r="U210" i="4" s="1"/>
  <c r="Q225" i="4"/>
  <c r="U225" i="4" s="1"/>
  <c r="Q706" i="4"/>
  <c r="U706" i="4" s="1"/>
  <c r="Q486" i="4"/>
  <c r="U486" i="4" s="1"/>
  <c r="Q105" i="4"/>
  <c r="U105" i="4" s="1"/>
  <c r="Q214" i="4"/>
  <c r="U214" i="4" s="1"/>
  <c r="Q354" i="4"/>
  <c r="U354" i="4" s="1"/>
  <c r="Q709" i="4"/>
  <c r="U709" i="4" s="1"/>
  <c r="Q731" i="4"/>
  <c r="U731" i="4" s="1"/>
  <c r="Q762" i="4"/>
  <c r="U762" i="4" s="1"/>
  <c r="Q95" i="4"/>
  <c r="U95" i="4" s="1"/>
  <c r="Q680" i="4"/>
  <c r="U680" i="4" s="1"/>
  <c r="Q651" i="4"/>
  <c r="U651" i="4" s="1"/>
  <c r="Q151" i="4"/>
  <c r="U151" i="4" s="1"/>
  <c r="Q488" i="4"/>
  <c r="U488" i="4" s="1"/>
  <c r="Q722" i="4"/>
  <c r="U722" i="4" s="1"/>
  <c r="Q110" i="4"/>
  <c r="U110" i="4" s="1"/>
  <c r="Q90" i="4"/>
  <c r="U90" i="4" s="1"/>
  <c r="Q397" i="4"/>
  <c r="U397" i="4" s="1"/>
  <c r="Q189" i="4"/>
  <c r="U189" i="4" s="1"/>
  <c r="Q20" i="4"/>
  <c r="U20" i="4" s="1"/>
  <c r="Q567" i="4"/>
  <c r="U567" i="4" s="1"/>
  <c r="Q627" i="4"/>
  <c r="U627" i="4" s="1"/>
  <c r="Q409" i="4"/>
  <c r="U409" i="4" s="1"/>
  <c r="Q703" i="4"/>
  <c r="U703" i="4" s="1"/>
  <c r="Q599" i="4"/>
  <c r="U599" i="4" s="1"/>
  <c r="Q549" i="4"/>
  <c r="U549" i="4" s="1"/>
  <c r="Q608" i="4"/>
  <c r="U608" i="4" s="1"/>
  <c r="Q564" i="4"/>
  <c r="U564" i="4" s="1"/>
  <c r="Q73" i="4"/>
  <c r="U73" i="4" s="1"/>
  <c r="Q290" i="4"/>
  <c r="U290" i="4" s="1"/>
  <c r="Q64" i="4"/>
  <c r="U64" i="4" s="1"/>
  <c r="Q186" i="4"/>
  <c r="U186" i="4" s="1"/>
  <c r="Q756" i="4"/>
  <c r="U756" i="4" s="1"/>
  <c r="Q10" i="4"/>
  <c r="U10" i="4" s="1"/>
  <c r="Q126" i="4"/>
  <c r="U126" i="4" s="1"/>
  <c r="Q12" i="4"/>
  <c r="U12" i="4" s="1"/>
  <c r="Q216" i="4"/>
  <c r="U216" i="4" s="1"/>
  <c r="Q770" i="4"/>
  <c r="U770" i="4" s="1"/>
  <c r="Q172" i="4"/>
  <c r="U172" i="4" s="1"/>
  <c r="Q306" i="4"/>
  <c r="U306" i="4" s="1"/>
  <c r="Q125" i="4"/>
  <c r="U125" i="4" s="1"/>
  <c r="Q741" i="4"/>
  <c r="U741" i="4" s="1"/>
  <c r="Q348" i="4"/>
  <c r="U348" i="4" s="1"/>
  <c r="Q502" i="4"/>
  <c r="U502" i="4" s="1"/>
  <c r="Q203" i="4"/>
  <c r="U203" i="4" s="1"/>
  <c r="Q307" i="4"/>
  <c r="U307" i="4" s="1"/>
  <c r="Q160" i="4"/>
  <c r="U160" i="4" s="1"/>
  <c r="Q131" i="4"/>
  <c r="U131" i="4" s="1"/>
  <c r="Q579" i="4"/>
  <c r="U579" i="4" s="1"/>
  <c r="Q393" i="4"/>
  <c r="U393" i="4" s="1"/>
  <c r="Q479" i="4"/>
  <c r="U479" i="4" s="1"/>
  <c r="Q84" i="4"/>
  <c r="U84" i="4" s="1"/>
  <c r="Q530" i="4"/>
  <c r="U530" i="4" s="1"/>
  <c r="Q565" i="4"/>
  <c r="U565" i="4" s="1"/>
  <c r="Q182" i="4"/>
  <c r="U182" i="4" s="1"/>
  <c r="Q568" i="4"/>
  <c r="U568" i="4" s="1"/>
  <c r="Q701" i="4"/>
  <c r="U701" i="4" s="1"/>
  <c r="Q161" i="4"/>
  <c r="U161" i="4" s="1"/>
  <c r="Q8" i="4"/>
  <c r="U8" i="4" s="1"/>
  <c r="Q453" i="4"/>
  <c r="U453" i="4" s="1"/>
  <c r="Q761" i="4"/>
  <c r="U761" i="4" s="1"/>
  <c r="Q512" i="4"/>
  <c r="U512" i="4" s="1"/>
  <c r="Q242" i="4"/>
  <c r="U242" i="4" s="1"/>
  <c r="Q713" i="4"/>
  <c r="U713" i="4" s="1"/>
  <c r="Q246" i="4"/>
  <c r="U246" i="4" s="1"/>
  <c r="Q694" i="4"/>
  <c r="U694" i="4" s="1"/>
  <c r="Q276" i="4"/>
  <c r="U276" i="4" s="1"/>
  <c r="Q117" i="4"/>
  <c r="U117" i="4" s="1"/>
  <c r="Q22" i="4"/>
  <c r="U22" i="4" s="1"/>
  <c r="Q38" i="4"/>
  <c r="U38" i="4" s="1"/>
  <c r="Q39" i="4"/>
  <c r="U39" i="4" s="1"/>
  <c r="Q383" i="4"/>
  <c r="U383" i="4" s="1"/>
  <c r="Q755" i="4"/>
  <c r="U755" i="4" s="1"/>
  <c r="Q82" i="4"/>
  <c r="U82" i="4" s="1"/>
  <c r="Q344" i="4"/>
  <c r="U344" i="4" s="1"/>
  <c r="Q462" i="4"/>
  <c r="U462" i="4" s="1"/>
  <c r="Q33" i="4"/>
  <c r="U33" i="4" s="1"/>
  <c r="Q668" i="4"/>
  <c r="U668" i="4" s="1"/>
  <c r="Q601" i="4"/>
  <c r="U601" i="4" s="1"/>
  <c r="Q542" i="4"/>
  <c r="U542" i="4" s="1"/>
  <c r="Q195" i="4"/>
  <c r="U195" i="4" s="1"/>
  <c r="Q641" i="4"/>
  <c r="U641" i="4" s="1"/>
  <c r="Q576" i="4"/>
  <c r="U576" i="4" s="1"/>
  <c r="Q211" i="4"/>
  <c r="U211" i="4" s="1"/>
  <c r="Q533" i="4"/>
  <c r="U533" i="4" s="1"/>
  <c r="Q338" i="4"/>
  <c r="U338" i="4" s="1"/>
  <c r="Q623" i="4"/>
  <c r="U623" i="4" s="1"/>
  <c r="Q46" i="4"/>
  <c r="U46" i="4" s="1"/>
  <c r="Q111" i="4"/>
  <c r="U111" i="4" s="1"/>
  <c r="Q81" i="4"/>
  <c r="U81" i="4" s="1"/>
  <c r="Q91" i="4"/>
  <c r="U91" i="4" s="1"/>
  <c r="Q206" i="4"/>
  <c r="U206" i="4" s="1"/>
  <c r="Q769" i="4"/>
  <c r="U769" i="4" s="1"/>
  <c r="Q32" i="4"/>
  <c r="U32" i="4" s="1"/>
  <c r="Q21" i="4"/>
  <c r="U21" i="4" s="1"/>
  <c r="Q609" i="4"/>
  <c r="U609" i="4" s="1"/>
  <c r="Q431" i="4"/>
  <c r="U431" i="4" s="1"/>
  <c r="Q464" i="4"/>
  <c r="U464" i="4" s="1"/>
  <c r="Q506" i="4"/>
  <c r="U506" i="4" s="1"/>
  <c r="Q676" i="4"/>
  <c r="U676" i="4" s="1"/>
  <c r="Q360" i="4"/>
  <c r="U360" i="4" s="1"/>
  <c r="Q30" i="4"/>
  <c r="U30" i="4" s="1"/>
  <c r="Q523" i="4"/>
  <c r="U523" i="4" s="1"/>
  <c r="Q765" i="4"/>
  <c r="U765" i="4" s="1"/>
  <c r="Q357" i="4"/>
  <c r="U357" i="4" s="1"/>
  <c r="Q247" i="4"/>
  <c r="U247" i="4" s="1"/>
  <c r="Q767" i="4"/>
  <c r="U767" i="4" s="1"/>
  <c r="Q440" i="4"/>
  <c r="U440" i="4" s="1"/>
  <c r="Q751" i="4"/>
  <c r="U751" i="4" s="1"/>
  <c r="Q292" i="4"/>
  <c r="U292" i="4" s="1"/>
  <c r="Q102" i="4"/>
  <c r="U102" i="4" s="1"/>
  <c r="Q291" i="4"/>
  <c r="U291" i="4" s="1"/>
  <c r="Q669" i="4"/>
  <c r="U669" i="4" s="1"/>
  <c r="Q159" i="4"/>
  <c r="U159" i="4" s="1"/>
  <c r="Q233" i="4"/>
  <c r="U233" i="4" s="1"/>
  <c r="Q699" i="4"/>
  <c r="U699" i="4" s="1"/>
  <c r="Q343" i="4"/>
  <c r="U343" i="4" s="1"/>
  <c r="Q434" i="4"/>
  <c r="U434" i="4" s="1"/>
  <c r="Q774" i="4"/>
  <c r="U774" i="4" s="1"/>
  <c r="Q472" i="4"/>
  <c r="U472" i="4" s="1"/>
  <c r="Q671" i="4"/>
  <c r="U671" i="4" s="1"/>
  <c r="Q209" i="4"/>
  <c r="U209" i="4" s="1"/>
  <c r="Q480" i="4"/>
  <c r="U480" i="4" s="1"/>
  <c r="Q468" i="4"/>
  <c r="U468" i="4" s="1"/>
  <c r="Q305" i="4"/>
  <c r="U305" i="4" s="1"/>
  <c r="Q199" i="4"/>
  <c r="U199" i="4" s="1"/>
  <c r="Q275" i="4"/>
  <c r="U275" i="4" s="1"/>
  <c r="Q632" i="4"/>
  <c r="U632" i="4" s="1"/>
  <c r="Q359" i="4"/>
  <c r="U359" i="4" s="1"/>
  <c r="Q444" i="4"/>
  <c r="U444" i="4" s="1"/>
  <c r="Q538" i="4"/>
  <c r="U538" i="4" s="1"/>
  <c r="Q379" i="4"/>
  <c r="U379" i="4" s="1"/>
  <c r="Q11" i="4"/>
  <c r="U11" i="4" s="1"/>
  <c r="Q718" i="4"/>
  <c r="U718" i="4" s="1"/>
  <c r="Q408" i="4"/>
  <c r="U408" i="4" s="1"/>
  <c r="Q171" i="4"/>
  <c r="U171" i="4" s="1"/>
  <c r="Q130" i="4"/>
  <c r="U130" i="4" s="1"/>
  <c r="Q548" i="4"/>
  <c r="U548" i="4" s="1"/>
  <c r="Q517" i="4"/>
  <c r="U517" i="4" s="1"/>
  <c r="Q648" i="4"/>
  <c r="U648" i="4" s="1"/>
  <c r="Q162" i="4"/>
  <c r="U162" i="4" s="1"/>
  <c r="Q92" i="4"/>
  <c r="U92" i="4" s="1"/>
  <c r="Q617" i="4"/>
  <c r="U617" i="4" s="1"/>
  <c r="Q5" i="4"/>
  <c r="U5" i="4" s="1"/>
  <c r="Q672" i="4"/>
  <c r="U672" i="4" s="1"/>
  <c r="Q763" i="4"/>
  <c r="U763" i="4" s="1"/>
  <c r="Q723" i="4"/>
  <c r="U723" i="4" s="1"/>
  <c r="Q71" i="4"/>
  <c r="U71" i="4" s="1"/>
  <c r="Q98" i="4"/>
  <c r="U98" i="4" s="1"/>
  <c r="Q729" i="4"/>
  <c r="U729" i="4" s="1"/>
  <c r="Q738" i="4"/>
  <c r="U738" i="4" s="1"/>
  <c r="Q531" i="4"/>
  <c r="U531" i="4" s="1"/>
  <c r="Q460" i="4"/>
  <c r="U460" i="4" s="1"/>
  <c r="Q645" i="4"/>
  <c r="U645" i="4" s="1"/>
  <c r="Q537" i="4"/>
  <c r="U537" i="4" s="1"/>
  <c r="Q202" i="4"/>
  <c r="U202" i="4" s="1"/>
  <c r="Q132" i="4"/>
  <c r="U132" i="4" s="1"/>
  <c r="Q489" i="4"/>
  <c r="U489" i="4" s="1"/>
  <c r="Q99" i="4"/>
  <c r="U99" i="4" s="1"/>
  <c r="Q441" i="4"/>
  <c r="U441" i="4" s="1"/>
  <c r="Q691" i="4"/>
  <c r="U691" i="4" s="1"/>
  <c r="Q324" i="4"/>
  <c r="U324" i="4" s="1"/>
  <c r="Q304" i="4"/>
  <c r="U304" i="4" s="1"/>
  <c r="Q451" i="4"/>
  <c r="U451" i="4" s="1"/>
  <c r="Q139" i="4"/>
  <c r="U139" i="4" s="1"/>
  <c r="Q544" i="4"/>
  <c r="U544" i="4" s="1"/>
  <c r="Q386" i="4"/>
  <c r="U386" i="4" s="1"/>
  <c r="Q179" i="4"/>
  <c r="U179" i="4" s="1"/>
  <c r="Q243" i="4"/>
  <c r="U243" i="4" s="1"/>
  <c r="Q253" i="4"/>
  <c r="U253" i="4" s="1"/>
  <c r="Q31" i="4"/>
  <c r="U31" i="4" s="1"/>
  <c r="Q514" i="4"/>
  <c r="U514" i="4" s="1"/>
  <c r="Q658" i="4"/>
  <c r="U658" i="4" s="1"/>
  <c r="Q217" i="4"/>
  <c r="U217" i="4" s="1"/>
  <c r="Q191" i="4"/>
  <c r="U191" i="4" s="1"/>
  <c r="Q271" i="4"/>
  <c r="U271" i="4" s="1"/>
  <c r="Q695" i="4"/>
  <c r="U695" i="4" s="1"/>
  <c r="Q768" i="4"/>
  <c r="U768" i="4" s="1"/>
  <c r="Q144" i="4"/>
  <c r="U144" i="4" s="1"/>
  <c r="Q352" i="4"/>
  <c r="U352" i="4" s="1"/>
  <c r="Q337" i="4"/>
  <c r="U337" i="4" s="1"/>
  <c r="Q365" i="4"/>
  <c r="U365" i="4" s="1"/>
  <c r="Q127" i="4"/>
  <c r="U127" i="4" s="1"/>
  <c r="P2" i="4" l="1"/>
  <c r="U124" i="4"/>
  <c r="Q155" i="4"/>
  <c r="U155" i="4" s="1"/>
  <c r="Q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MyAI</author>
  </authors>
  <commentList>
    <comment ref="AU5" authorId="0" shapeId="0" xr:uid="{00000000-0006-0000-0300-000020000000}">
      <text>
        <r>
          <rPr>
            <sz val="11"/>
            <color theme="1"/>
            <rFont val="Calibri"/>
            <family val="2"/>
            <charset val="1"/>
          </rPr>
          <t>D2 Brushland: basic for the missing G/W land; spare copy on hand (copy from: From the D5 box)
D2 Command Tower: basic for the missing G/U/W land; spare copy on hand (copy from: From the D5 box)
D2 Meandering River: basic for the missing U/W land; spare copy on hand (copy from: From the D5 box)
D2 Selesnya Guildgate: basic for the missing G/W land; spare copy on hand (copy from: From the D5 box)
D3 Brushland: basic for the missing G/W land; spare copy on hand (copy from: From the D5 box)
D3 Caves of Koilos: basic for the missing B/W land; spare copy on hand (copy from: From the D5 box)
D3 Command Tower: basic for the missing B/G/U/W land; spare copy on hand (copy from: From the D5 box)
D3 Meandering River: basic for the missing U/W land; spare copy on hand (copy from: From the D5 box)
D3 Tranquil Expanse: basic for the missing G/W land; spare copy on hand (copy from: From the D5 box)
D4 Command Tower: basic for the missing B/G/W land; spare copy on hand (copy from: From the D5 box)
D5 Command Tower: basic for the missing B/W land; spare copy on hand (copy from: From the D5 box)
D5 Shineshadow Snarl: basic for the missing B/W land; spare copy on hand (copy from: From the D5 box)</t>
        </r>
      </text>
    </comment>
    <comment ref="AU6" authorId="0" shapeId="0" xr:uid="{00000000-0006-0000-0300-00001F000000}">
      <text>
        <r>
          <rPr>
            <sz val="11"/>
            <color theme="1"/>
            <rFont val="Calibri"/>
            <family val="2"/>
            <charset val="1"/>
          </rPr>
          <t>D6 Den of the Bugbear: basic for the missing R land; spare copy on hand (copy from: From the D6 box)
D6 Goblin Burrows: basic for the missing R land; spare copy on hand (copy from: From the D6 box)</t>
        </r>
      </text>
    </comment>
    <comment ref="AU7" authorId="0" shapeId="0" xr:uid="{00000000-0006-0000-0300-00001E000000}">
      <text>
        <r>
          <rPr>
            <sz val="11"/>
            <color theme="1"/>
            <rFont val="Calibri"/>
            <family val="2"/>
            <charset val="1"/>
          </rPr>
          <t>D2 Adarkar Wastes: basic for the missing U/W land; spare copy on hand (copy from: From the D3 box)
D2 Yavimaya Coast: basic for the missing G/U land; spare copy on hand (copy from: From the D3 box)
D2 Azorius Guildgate: basic for the missing U/W land; spare copy on hand (copy from: From the D3 box)
D2 Thornwood Falls: basic for the missing G/U land; spare copy on hand (copy from: From the D3 box)
D3 Adarkar Wastes: basic for the missing U/W land; spare copy on hand (copy from: From the D3 box)
D3 Azorius Guildgate: basic for the missing U/W land; spare copy on hand (copy from: From the D3 box)</t>
        </r>
      </text>
    </comment>
    <comment ref="AU8" authorId="0" shapeId="0" xr:uid="{00000000-0006-0000-0300-000021000000}">
      <text>
        <r>
          <rPr>
            <sz val="11"/>
            <color theme="1"/>
            <rFont val="Calibri"/>
            <family val="2"/>
            <charset val="1"/>
          </rPr>
          <t>D3 Underground River: basic for the missing B/U land; spare copy on hand (copy from: From the D5 box)
D3 Grand Coliseum: basic for the missing B/G/U/W land; spare copy on hand (copy from: From the D5 box)
D3 Orzhov Guildgate: basic for the missing B/W land; spare copy on hand (copy from: From the D5 box)
D3 Golgari Guildgate: basic for the missing B/G land; spare copy on hand (copy from: From the D5 box)
D4 Llanowar Wastes: basic for the missing B/G land; spare copy on hand (copy from: From the D5 box)
D4 Golgari Guildgate: basic for the missing B/G land; spare copy on hand (copy from: From the D5 box)
D5 Concealed Courtyard: basic for the missing B/W land; spare copy on hand (copy from: From the D5 box)
D5 Caves of Koilos: basic for the missing B/W land; spare copy on hand (copy from: From the D5 box)</t>
        </r>
      </text>
    </comment>
    <comment ref="AU9" authorId="0" shapeId="0" xr:uid="{00000000-0006-0000-0300-00001D000000}">
      <text>
        <r>
          <rPr>
            <sz val="11"/>
            <color theme="1"/>
            <rFont val="Calibri"/>
            <family val="2"/>
            <charset val="1"/>
          </rPr>
          <t>D2 Simic Guildgate: basic for the missing G/U land; spare copy on hand (copy from: From the D4 box)
D2 Tranquil Expanse: basic for the missing G/W land; spare copy on hand (copy from: From the D4 box)
D3 Llanowar Wastes: basic for the missing B/G land; spare copy on hand (copy from: From the D4 box)
D3 Yavimaya Coast: basic for the missing G/U land; spare copy on hand (copy from: From the D4 box)
D3 Selesnya Guildgate: basic for the missing G/W land; spare copy on hand (copy from: From the D4 box)
D3 Thornwood Falls: basic for the missing G/U land; spare copy on hand (copy from: From the D4 box)
D4 Krosan Verge: basic for the missing B/G/W land; spare copy on hand (copy from: From the D4 box)</t>
        </r>
      </text>
    </comment>
    <comment ref="AU14" authorId="0" shapeId="0" xr:uid="{00000000-0006-0000-0300-000017000000}">
      <text>
        <r>
          <rPr>
            <sz val="11"/>
            <color theme="1"/>
            <rFont val="Calibri"/>
            <family val="2"/>
            <charset val="1"/>
          </rPr>
          <t>D3 Forgotten Ancient: same role (Counters Payoff); shares counters (copy from: bench)</t>
        </r>
      </text>
    </comment>
    <comment ref="AU18" authorId="0" shapeId="0" xr:uid="{00000000-0006-0000-0300-00000F000000}">
      <text>
        <r>
          <rPr>
            <sz val="11"/>
            <color theme="1"/>
            <rFont val="Calibri"/>
            <family val="2"/>
            <charset val="1"/>
          </rPr>
          <t>D1 Boros Signet: same role (Mana Rock); shares ramp (copy from: From the D3 box)</t>
        </r>
      </text>
    </comment>
    <comment ref="AU24" authorId="0" shapeId="0" xr:uid="{00000000-0006-0000-0300-00000E000000}">
      <text>
        <r>
          <rPr>
            <sz val="11"/>
            <color theme="1"/>
            <rFont val="Calibri"/>
            <family val="2"/>
            <charset val="1"/>
          </rPr>
          <t>D3 Fellwar Stone: Ramp for Mana Rock (copy from: bench)
D6 Battle Hymn: same role (Ramp) (copy from: bench)</t>
        </r>
      </text>
    </comment>
    <comment ref="AU28" authorId="0" shapeId="0" xr:uid="{00000000-0006-0000-0300-000006000000}">
      <text>
        <r>
          <rPr>
            <sz val="11"/>
            <color theme="1"/>
            <rFont val="Calibri"/>
            <family val="2"/>
            <charset val="1"/>
          </rPr>
          <t>D4 Wall of Omens: same role (Card Draw); shares draw (copy from: bench)</t>
        </r>
      </text>
    </comment>
    <comment ref="AU31" authorId="0" shapeId="0" xr:uid="{00000000-0006-0000-0300-000012000000}">
      <text>
        <r>
          <rPr>
            <sz val="11"/>
            <color theme="1"/>
            <rFont val="Calibri"/>
            <family val="2"/>
            <charset val="1"/>
          </rPr>
          <t>D6 Sol Ring: hand-picked: land fetch on a body; the closest owned thing to a rock in mono-red (copy from: bench)</t>
        </r>
      </text>
    </comment>
    <comment ref="AU32" authorId="0" shapeId="0" xr:uid="{00000000-0006-0000-0300-000036000000}">
      <text>
        <r>
          <rPr>
            <sz val="11"/>
            <color theme="1"/>
            <rFont val="Calibri"/>
            <family val="2"/>
            <charset val="1"/>
          </rPr>
          <t>D5 Unbreakable Formation: Combat Trick for Protection; shares counters, protection (copy from: From the D4 box)</t>
        </r>
      </text>
    </comment>
    <comment ref="AU33" authorId="0" shapeId="0" xr:uid="{00000000-0006-0000-0300-000014000000}">
      <text>
        <r>
          <rPr>
            <sz val="11"/>
            <color theme="1"/>
            <rFont val="Calibri"/>
            <family val="2"/>
            <charset val="1"/>
          </rPr>
          <t>D3 Arcane Signet: Ramp for Mana Rock; shares ramp (copy from: From the D6 box)
D5 Sol Ring: Ramp for Mana Rock; shares ramp (copy from: From the D6 box)</t>
        </r>
      </text>
    </comment>
    <comment ref="AU36" authorId="0" shapeId="0" xr:uid="{00000000-0006-0000-0300-00000C000000}">
      <text>
        <r>
          <rPr>
            <sz val="11"/>
            <color theme="1"/>
            <rFont val="Calibri"/>
            <family val="2"/>
            <charset val="1"/>
          </rPr>
          <t>D6 Lightning Greaves: Combat Trick for Protection; shares protection (copy from: bench)</t>
        </r>
      </text>
    </comment>
    <comment ref="AU40" authorId="0" shapeId="0" xr:uid="{00000000-0006-0000-0300-000005000000}">
      <text>
        <r>
          <rPr>
            <sz val="11"/>
            <color theme="1"/>
            <rFont val="Calibri"/>
            <family val="2"/>
            <charset val="1"/>
          </rPr>
          <t>D3 Ezuri, Stalker of Spheres: Counters Payoff for Proliferate (copy from: bench)</t>
        </r>
      </text>
    </comment>
    <comment ref="AU48" authorId="0" shapeId="0" xr:uid="{00000000-0006-0000-0300-00002C000000}">
      <text>
        <r>
          <rPr>
            <sz val="11"/>
            <color theme="1"/>
            <rFont val="Calibri"/>
            <family val="2"/>
            <charset val="1"/>
          </rPr>
          <t>D3 Prologue to Phyresis: same role (Card Draw); shares draw (copy from: bench)</t>
        </r>
      </text>
    </comment>
    <comment ref="AU61" authorId="0" shapeId="0" xr:uid="{00000000-0006-0000-0300-00000D000000}">
      <text>
        <r>
          <rPr>
            <sz val="11"/>
            <color theme="1"/>
            <rFont val="Calibri"/>
            <family val="2"/>
            <charset val="1"/>
          </rPr>
          <t>D2 Approach of the Second Sun: same role (Finisher) (copy from: bench)</t>
        </r>
      </text>
    </comment>
    <comment ref="AU67" authorId="0" shapeId="0" xr:uid="{00000000-0006-0000-0300-000024000000}">
      <text>
        <r>
          <rPr>
            <sz val="11"/>
            <color theme="1"/>
            <rFont val="Calibri"/>
            <family val="2"/>
            <charset val="1"/>
          </rPr>
          <t>D6 Goblin Piledriver: hand-picked: a Goblin body for a Goblin body; Krenko counts it (copy from: bench)</t>
        </r>
      </text>
    </comment>
    <comment ref="AU74" authorId="0" shapeId="0" xr:uid="{00000000-0006-0000-0300-000029000000}">
      <text>
        <r>
          <rPr>
            <sz val="11"/>
            <color theme="1"/>
            <rFont val="Calibri"/>
            <family val="2"/>
            <charset val="1"/>
          </rPr>
          <t>D6 Chancellor of the Forge: same role (Token Producer) (copy from: bench)</t>
        </r>
      </text>
    </comment>
    <comment ref="AU76" authorId="0" shapeId="0" xr:uid="{00000000-0006-0000-0300-00002F000000}">
      <text>
        <r>
          <rPr>
            <sz val="11"/>
            <color theme="1"/>
            <rFont val="Calibri"/>
            <family val="2"/>
            <charset val="1"/>
          </rPr>
          <t>D5 Yahenni, Undying Partisan: hand-picked: token maker for the outlets to eat (copy from: bench)</t>
        </r>
      </text>
    </comment>
    <comment ref="AU82" authorId="0" shapeId="0" xr:uid="{00000000-0006-0000-0300-000032000000}">
      <text>
        <r>
          <rPr>
            <sz val="11"/>
            <color theme="1"/>
            <rFont val="Calibri"/>
            <family val="2"/>
            <charset val="1"/>
          </rPr>
          <t>D3 Contentious Plan: Counters Payoff for Proliferate (copy from: bench)</t>
        </r>
      </text>
    </comment>
    <comment ref="AU90" authorId="0" shapeId="0" xr:uid="{00000000-0006-0000-0300-000013000000}">
      <text>
        <r>
          <rPr>
            <sz val="11"/>
            <color theme="1"/>
            <rFont val="Calibri"/>
            <family val="2"/>
            <charset val="1"/>
          </rPr>
          <t>D3 Sol Ring: same role (Mana Rock); shares ramp (copy from: bench)
D4 Sol Ring: same role (Mana Rock); shares ramp (copy from: bench)</t>
        </r>
      </text>
    </comment>
    <comment ref="AU92" authorId="0" shapeId="0" xr:uid="{00000000-0006-0000-0300-000008000000}">
      <text>
        <r>
          <rPr>
            <sz val="11"/>
            <color theme="1"/>
            <rFont val="Calibri"/>
            <family val="2"/>
            <charset val="1"/>
          </rPr>
          <t>D3 Infectious Inquiry: same role (Card Draw); shares draw (copy from: bench)</t>
        </r>
      </text>
    </comment>
    <comment ref="AU110" authorId="0" shapeId="0" xr:uid="{00000000-0006-0000-0300-00000A000000}">
      <text>
        <r>
          <rPr>
            <sz val="11"/>
            <color theme="1"/>
            <rFont val="Calibri"/>
            <family val="2"/>
            <charset val="1"/>
          </rPr>
          <t>D5 Anguished Unmaking: same role (Removal); shares removal (copy from: bench)</t>
        </r>
      </text>
    </comment>
    <comment ref="AU116" authorId="0" shapeId="0" xr:uid="{00000000-0006-0000-0300-000039000000}">
      <text>
        <r>
          <rPr>
            <sz val="11"/>
            <color theme="1"/>
            <rFont val="Calibri"/>
            <family val="2"/>
            <charset val="1"/>
          </rPr>
          <t>D4 Wall of Blossoms: same role (Card Draw); shares draw (copy from: bench)</t>
        </r>
      </text>
    </comment>
    <comment ref="AU120" authorId="0" shapeId="0" xr:uid="{00000000-0006-0000-0300-00003A000000}">
      <text>
        <r>
          <rPr>
            <sz val="11"/>
            <color theme="1"/>
            <rFont val="Calibri"/>
            <family val="2"/>
            <charset val="1"/>
          </rPr>
          <t>D2 Kiora's Follower: same role (Ramp) (copy from: bench)</t>
        </r>
      </text>
    </comment>
    <comment ref="AU123" authorId="0" shapeId="0" xr:uid="{00000000-0006-0000-0300-00003D000000}">
      <text>
        <r>
          <rPr>
            <sz val="11"/>
            <color theme="1"/>
            <rFont val="Calibri"/>
            <family val="2"/>
            <charset val="1"/>
          </rPr>
          <t>D4 Tree of Perdition: same role (Finisher); graph: in 30% of Felothar the Steadfast lists, synergy +0.24 (copy from: bench)</t>
        </r>
      </text>
    </comment>
    <comment ref="AU132" authorId="0" shapeId="0" xr:uid="{00000000-0006-0000-0300-000026000000}">
      <text>
        <r>
          <rPr>
            <sz val="11"/>
            <color theme="1"/>
            <rFont val="Calibri"/>
            <family val="2"/>
            <charset val="1"/>
          </rPr>
          <t>D6 Reckless Bushwhacker: Combat Trick for Haste Enabler (copy from: bench)</t>
        </r>
      </text>
    </comment>
    <comment ref="AU133" authorId="0" shapeId="0" xr:uid="{00000000-0006-0000-0300-000027000000}">
      <text>
        <r>
          <rPr>
            <sz val="11"/>
            <color theme="1"/>
            <rFont val="Calibri"/>
            <family val="2"/>
            <charset val="1"/>
          </rPr>
          <t>D6 Skirk Fire Marshal: same role (Finisher) (copy from: bench)</t>
        </r>
      </text>
    </comment>
    <comment ref="AU139" authorId="0" shapeId="0" xr:uid="{00000000-0006-0000-0300-00002E000000}">
      <text>
        <r>
          <rPr>
            <sz val="11"/>
            <color theme="1"/>
            <rFont val="Calibri"/>
            <family val="2"/>
            <charset val="1"/>
          </rPr>
          <t>D1 Release to Memory: same role (Value Engine); graph: in 9% of Quintorius lists, synergy +0.07 (copy from: From the D5 box)</t>
        </r>
      </text>
    </comment>
    <comment ref="AU168" authorId="0" shapeId="0" xr:uid="{00000000-0006-0000-0300-000022000000}">
      <text>
        <r>
          <rPr>
            <sz val="11"/>
            <color theme="1"/>
            <rFont val="Calibri"/>
            <family val="2"/>
            <charset val="1"/>
          </rPr>
          <t>D4 Arbor Adherent: hand-picked: same effect: creatures deal damage by toughness (copy from: From the D4 box)</t>
        </r>
      </text>
    </comment>
    <comment ref="AU177" authorId="0" shapeId="0" xr:uid="{00000000-0006-0000-0300-00002B000000}">
      <text>
        <r>
          <rPr>
            <sz val="11"/>
            <color theme="1"/>
            <rFont val="Calibri"/>
            <family val="2"/>
            <charset val="1"/>
          </rPr>
          <t>D2 Restoration Angel: same role (Blink) (copy from: bench)</t>
        </r>
      </text>
    </comment>
    <comment ref="AU181" authorId="0" shapeId="0" xr:uid="{00000000-0006-0000-0300-000023000000}">
      <text>
        <r>
          <rPr>
            <sz val="11"/>
            <color theme="1"/>
            <rFont val="Calibri"/>
            <family val="2"/>
            <charset val="1"/>
          </rPr>
          <t>D5 Priest of Forgotten Gods: hand-picked: aristocrats payoff in black; on-plan for the sac loop (copy from: bench)</t>
        </r>
      </text>
    </comment>
    <comment ref="AU187" authorId="0" shapeId="0" xr:uid="{00000000-0006-0000-0300-000016000000}">
      <text>
        <r>
          <rPr>
            <sz val="11"/>
            <color theme="1"/>
            <rFont val="Calibri"/>
            <family val="2"/>
            <charset val="1"/>
          </rPr>
          <t>D3 Evolution Sage: Counters Payoff for Proliferate (copy from: bench)</t>
        </r>
      </text>
    </comment>
    <comment ref="AU193" authorId="0" shapeId="0" xr:uid="{00000000-0006-0000-0300-00000B000000}">
      <text>
        <r>
          <rPr>
            <sz val="11"/>
            <color theme="1"/>
            <rFont val="Calibri"/>
            <family val="2"/>
            <charset val="1"/>
          </rPr>
          <t>D4 Wall of Roots: Ramp for Defender Ramp; shares ramp (copy from: From the D6 box)</t>
        </r>
      </text>
    </comment>
    <comment ref="AU202" authorId="0" shapeId="0" xr:uid="{00000000-0006-0000-0300-000001000000}">
      <text>
        <r>
          <rPr>
            <sz val="11"/>
            <color theme="1"/>
            <rFont val="Calibri"/>
            <family val="2"/>
            <charset val="1"/>
          </rPr>
          <t>D4 Beast Within: same role (Removal); shares removal (copy from: From the D5 box)</t>
        </r>
      </text>
    </comment>
    <comment ref="AU248" authorId="0" shapeId="0" xr:uid="{00000000-0006-0000-0300-000002000000}">
      <text>
        <r>
          <rPr>
            <sz val="11"/>
            <color theme="1"/>
            <rFont val="Calibri"/>
            <family val="2"/>
            <charset val="1"/>
          </rPr>
          <t>D5 Woe Strider: hand-picked: a body every upkeep to sacrifice (copy from: From the D2 box)</t>
        </r>
      </text>
    </comment>
    <comment ref="AU277" authorId="0" shapeId="0" xr:uid="{00000000-0006-0000-0300-000003000000}">
      <text>
        <r>
          <rPr>
            <sz val="11"/>
            <color theme="1"/>
            <rFont val="Calibri"/>
            <family val="2"/>
            <charset val="1"/>
          </rPr>
          <t>D4 Anguished Unmaking: same role (Removal); shares removal; graph: in 43% of Felothar the Steadfast lists, synergy +0.34 (copy from: bench)</t>
        </r>
      </text>
    </comment>
    <comment ref="AU313" authorId="0" shapeId="0" xr:uid="{00000000-0006-0000-0300-000028000000}">
      <text>
        <r>
          <rPr>
            <sz val="11"/>
            <color theme="1"/>
            <rFont val="Calibri"/>
            <family val="2"/>
            <charset val="1"/>
          </rPr>
          <t>D6 Pashalik Mons: weak fit, best owned option: graph: in 15% of Krenko lists, synergy +0.12 (copy from: From the D6 box)</t>
        </r>
      </text>
    </comment>
    <comment ref="AU319" authorId="0" shapeId="0" xr:uid="{00000000-0006-0000-0300-000004000000}">
      <text>
        <r>
          <rPr>
            <sz val="11"/>
            <color theme="1"/>
            <rFont val="Calibri"/>
            <family val="2"/>
            <charset val="1"/>
          </rPr>
          <t>D3 Magistrate's Scepter: same role (Value Engine) (copy from: bench)</t>
        </r>
      </text>
    </comment>
    <comment ref="AU333" authorId="0" shapeId="0" xr:uid="{00000000-0006-0000-0300-000010000000}">
      <text>
        <r>
          <rPr>
            <sz val="11"/>
            <color theme="1"/>
            <rFont val="Calibri"/>
            <family val="2"/>
            <charset val="1"/>
          </rPr>
          <t>D6 Idol of Oblivion: same role (Card Draw); shares draw (copy from: bench)</t>
        </r>
      </text>
    </comment>
    <comment ref="AU340" authorId="0" shapeId="0" xr:uid="{00000000-0006-0000-0300-000018000000}">
      <text>
        <r>
          <rPr>
            <sz val="11"/>
            <color theme="1"/>
            <rFont val="Calibri"/>
            <family val="2"/>
            <charset val="1"/>
          </rPr>
          <t>D3 Unbreakable Formation: same role (Protection); shares protection; graph: in 10% of Atraxa lists, synergy +0.03 (copy from: From the D4 box)</t>
        </r>
      </text>
    </comment>
    <comment ref="AU344" authorId="0" shapeId="0" xr:uid="{00000000-0006-0000-0300-000019000000}">
      <text>
        <r>
          <rPr>
            <sz val="11"/>
            <color theme="1"/>
            <rFont val="Calibri"/>
            <family val="2"/>
            <charset val="1"/>
          </rPr>
          <t>D4 Ancient Lumberknot: weak fit, best owned option: graph: in 34% of Felothar the Steadfast lists, synergy +0.30 (copy from: From the D4 box)</t>
        </r>
      </text>
    </comment>
    <comment ref="AU380" authorId="0" shapeId="0" xr:uid="{00000000-0006-0000-0300-00001A000000}">
      <text>
        <r>
          <rPr>
            <sz val="11"/>
            <color theme="1"/>
            <rFont val="Calibri"/>
            <family val="2"/>
            <charset val="1"/>
          </rPr>
          <t>D4 Saruli Caretaker: Ramp for Defender Ramp; shares ramp (copy from: bench)</t>
        </r>
      </text>
    </comment>
    <comment ref="AU389" authorId="0" shapeId="0" xr:uid="{00000000-0006-0000-0300-000011000000}">
      <text>
        <r>
          <rPr>
            <sz val="11"/>
            <color theme="1"/>
            <rFont val="Calibri"/>
            <family val="2"/>
            <charset val="1"/>
          </rPr>
          <t>D1 Sol Ring: same role (Mana Rock); shares ramp; graph: in 21% of Quintorius lists, synergy +0.19 (copy from: From the D6 box)</t>
        </r>
      </text>
    </comment>
    <comment ref="AU390" authorId="0" shapeId="0" xr:uid="{00000000-0006-0000-0300-000031000000}">
      <text>
        <r>
          <rPr>
            <sz val="11"/>
            <color theme="1"/>
            <rFont val="Calibri"/>
            <family val="2"/>
            <charset val="1"/>
          </rPr>
          <t>D5 Ophiomancer: same role (Token Producer) (copy from: From the D5 box)</t>
        </r>
      </text>
    </comment>
    <comment ref="AU398" authorId="0" shapeId="0" xr:uid="{00000000-0006-0000-0300-000033000000}">
      <text>
        <r>
          <rPr>
            <sz val="11"/>
            <color theme="1"/>
            <rFont val="Calibri"/>
            <family val="2"/>
            <charset val="1"/>
          </rPr>
          <t>D5 Mirkwood Bats: weak fit, best owned option: graph: in 10% of Shadrix Silverquill lists, synergy +0.06 (copy from: bench)</t>
        </r>
      </text>
    </comment>
    <comment ref="AU419" authorId="0" shapeId="0" xr:uid="{00000000-0006-0000-0300-00001B000000}">
      <text>
        <r>
          <rPr>
            <sz val="11"/>
            <color theme="1"/>
            <rFont val="Calibri"/>
            <family val="2"/>
            <charset val="1"/>
          </rPr>
          <t>D3 Vraska, Betrayal's Sting: Counters Payoff for Proliferate; shares ramp (copy from: bench)</t>
        </r>
      </text>
    </comment>
    <comment ref="AU424" authorId="0" shapeId="0" xr:uid="{00000000-0006-0000-0300-000007000000}">
      <text>
        <r>
          <rPr>
            <sz val="11"/>
            <color theme="1"/>
            <rFont val="Calibri"/>
            <family val="2"/>
            <charset val="1"/>
          </rPr>
          <t>D3 Night's Whisper: same role (Card Draw); shares draw (copy from: From the D4 box)</t>
        </r>
      </text>
    </comment>
    <comment ref="AU431" authorId="0" shapeId="0" xr:uid="{00000000-0006-0000-0300-000025000000}">
      <text>
        <r>
          <rPr>
            <sz val="11"/>
            <color theme="1"/>
            <rFont val="Calibri"/>
            <family val="2"/>
            <charset val="1"/>
          </rPr>
          <t>D5 Windborn Muse: Lifegain for Stax/Tax (copy from: bench)</t>
        </r>
      </text>
    </comment>
    <comment ref="AU448" authorId="0" shapeId="0" xr:uid="{00000000-0006-0000-0300-000009000000}">
      <text>
        <r>
          <rPr>
            <sz val="11"/>
            <color theme="1"/>
            <rFont val="Calibri"/>
            <family val="2"/>
            <charset val="1"/>
          </rPr>
          <t>D5 Phyrexian Arena: same role (Card Draw); shares draw; graph: in 9% of Shadrix Silverquill lists, synergy +0.00 (copy from: bench)</t>
        </r>
      </text>
    </comment>
    <comment ref="AU474" authorId="0" shapeId="0" xr:uid="{00000000-0006-0000-0300-000035000000}">
      <text>
        <r>
          <rPr>
            <sz val="11"/>
            <color theme="1"/>
            <rFont val="Calibri"/>
            <family val="2"/>
            <charset val="1"/>
          </rPr>
          <t>D5 Night's Whisper: same role (Card Draw); shares draw; graph: in 44% of Shadrix Silverquill lists, synergy +0.41 (copy from: bench)</t>
        </r>
      </text>
    </comment>
    <comment ref="AU483" authorId="0" shapeId="0" xr:uid="{00000000-0006-0000-0300-00001C000000}">
      <text>
        <r>
          <rPr>
            <sz val="11"/>
            <color theme="1"/>
            <rFont val="Calibri"/>
            <family val="2"/>
            <charset val="1"/>
          </rPr>
          <t>D2 Unbreakable Formation: same role (Protection); shares protection (copy from: From the D2 box)</t>
        </r>
      </text>
    </comment>
    <comment ref="AU491" authorId="0" shapeId="0" xr:uid="{00000000-0006-0000-0300-00002D000000}">
      <text>
        <r>
          <rPr>
            <sz val="11"/>
            <color theme="1"/>
            <rFont val="Calibri"/>
            <family val="2"/>
            <charset val="1"/>
          </rPr>
          <t>D2 Dream Stalker: same role (Blink) (copy from: From the D2 box)</t>
        </r>
      </text>
    </comment>
    <comment ref="AU505" authorId="0" shapeId="0" xr:uid="{00000000-0006-0000-0300-00002A000000}">
      <text>
        <r>
          <rPr>
            <sz val="11"/>
            <color theme="1"/>
            <rFont val="Calibri"/>
            <family val="2"/>
            <charset val="1"/>
          </rPr>
          <t>D6 Hobgoblin Bandit Lord: graph: in 23% of Krenko lists, synergy +0.18 (copy from: From the D6 box)</t>
        </r>
      </text>
    </comment>
    <comment ref="AU510" authorId="0" shapeId="0" xr:uid="{00000000-0006-0000-0300-000037000000}">
      <text>
        <r>
          <rPr>
            <sz val="11"/>
            <color theme="1"/>
            <rFont val="Calibri"/>
            <family val="2"/>
            <charset val="1"/>
          </rPr>
          <t>D1 Lorehold Command: same role (Removal); shares protection, removal (copy from: From the D5 box)</t>
        </r>
      </text>
    </comment>
    <comment ref="AU572" authorId="0" shapeId="0" xr:uid="{00000000-0006-0000-0300-000038000000}">
      <text>
        <r>
          <rPr>
            <sz val="11"/>
            <color theme="1"/>
            <rFont val="Calibri"/>
            <family val="2"/>
            <charset val="1"/>
          </rPr>
          <t>D1 Warleader's Call: same role (Lord/Anthem); graph: in 18% of Quintorius lists, synergy +0.13 (copy from: From the D5 box)</t>
        </r>
      </text>
    </comment>
    <comment ref="AU580" authorId="0" shapeId="0" xr:uid="{00000000-0006-0000-0300-000015000000}">
      <text>
        <r>
          <rPr>
            <sz val="11"/>
            <color theme="1"/>
            <rFont val="Calibri"/>
            <family val="2"/>
            <charset val="1"/>
          </rPr>
          <t>D2 Whitemane Lion: same role (Blink) (copy from: From the D2 box)</t>
        </r>
      </text>
    </comment>
    <comment ref="AU596" authorId="0" shapeId="0" xr:uid="{00000000-0006-0000-0300-00003B000000}">
      <text>
        <r>
          <rPr>
            <sz val="11"/>
            <color theme="1"/>
            <rFont val="Calibri"/>
            <family val="2"/>
            <charset val="1"/>
          </rPr>
          <t>D4 Expel the Interlopers: same role (Board Wipe); shares wipe (copy from: From the D2 box)</t>
        </r>
      </text>
    </comment>
    <comment ref="AU601" authorId="0" shapeId="0" xr:uid="{00000000-0006-0000-0300-00003C000000}">
      <text>
        <r>
          <rPr>
            <sz val="11"/>
            <color theme="1"/>
            <rFont val="Calibri"/>
            <family val="2"/>
            <charset val="1"/>
          </rPr>
          <t>D5 Blood Artist: Sacrifice Outlet for Drain Payoff (copy from: From the D5 box)</t>
        </r>
      </text>
    </comment>
    <comment ref="AU700" authorId="0" shapeId="0" xr:uid="{00000000-0006-0000-0300-000030000000}">
      <text>
        <r>
          <rPr>
            <sz val="11"/>
            <color theme="1"/>
            <rFont val="Calibri"/>
            <family val="2"/>
            <charset val="1"/>
          </rPr>
          <t>D4 Welcoming Vampire: same role (Card Draw); shares draw (copy from: From the D5 box)</t>
        </r>
      </text>
    </comment>
    <comment ref="AU706" authorId="0" shapeId="0" xr:uid="{00000000-0006-0000-0300-000034000000}">
      <text>
        <r>
          <rPr>
            <sz val="11"/>
            <color theme="1"/>
            <rFont val="Calibri"/>
            <family val="2"/>
            <charset val="1"/>
          </rPr>
          <t>D5 Marauding Blight-Priest: hand-picked: a Spirit every time a nontoken creature dies; feeds the drains (copy from: From the D1 box)</t>
        </r>
      </text>
    </comment>
  </commentList>
</comments>
</file>

<file path=xl/sharedStrings.xml><?xml version="1.0" encoding="utf-8"?>
<sst xmlns="http://schemas.openxmlformats.org/spreadsheetml/2006/main" count="7574" uniqueCount="2788">
  <si>
    <t>Target</t>
  </si>
  <si>
    <t>Actual</t>
  </si>
  <si>
    <t>Card</t>
  </si>
  <si>
    <t>Foil</t>
  </si>
  <si>
    <t>Bracket</t>
  </si>
  <si>
    <t>Target Qty</t>
  </si>
  <si>
    <t>Own</t>
  </si>
  <si>
    <t>In Deck</t>
  </si>
  <si>
    <t>Buy Count</t>
  </si>
  <si>
    <t>In Cart</t>
  </si>
  <si>
    <t>Ordered</t>
  </si>
  <si>
    <t>$ Each</t>
  </si>
  <si>
    <t>$ To Buy</t>
  </si>
  <si>
    <t>D1-T</t>
  </si>
  <si>
    <t>D2-T</t>
  </si>
  <si>
    <t>D3-T</t>
  </si>
  <si>
    <t>D4-T</t>
  </si>
  <si>
    <t>D5-T</t>
  </si>
  <si>
    <t>D6-T</t>
  </si>
  <si>
    <t>D1-A</t>
  </si>
  <si>
    <t>D2-A</t>
  </si>
  <si>
    <t>D3-A</t>
  </si>
  <si>
    <t>D4-A</t>
  </si>
  <si>
    <t>D5-A</t>
  </si>
  <si>
    <t>D6-A</t>
  </si>
  <si>
    <t>Color</t>
  </si>
  <si>
    <t>Type</t>
  </si>
  <si>
    <t>Sub-Type</t>
  </si>
  <si>
    <t>MV</t>
  </si>
  <si>
    <t>Series</t>
  </si>
  <si>
    <t>Primary Purpose</t>
  </si>
  <si>
    <t>Primary Mechanic</t>
  </si>
  <si>
    <t>Secondary Mechanic</t>
  </si>
  <si>
    <t>Tertiary Mechanic</t>
  </si>
  <si>
    <t>Notes</t>
  </si>
  <si>
    <t>Moves</t>
  </si>
  <si>
    <t>Sub Status</t>
  </si>
  <si>
    <t>D1-S</t>
  </si>
  <si>
    <t>D2-S</t>
  </si>
  <si>
    <t>D3-S</t>
  </si>
  <si>
    <t>D4-S</t>
  </si>
  <si>
    <t>D5-S</t>
  </si>
  <si>
    <t>D6-S</t>
  </si>
  <si>
    <t>Sub For</t>
  </si>
  <si>
    <t>Auntie's Sentence</t>
  </si>
  <si>
    <t>B2</t>
  </si>
  <si>
    <t>B</t>
  </si>
  <si>
    <t>Sorcery</t>
  </si>
  <si>
    <t>Lorwyn Eclipsed</t>
  </si>
  <si>
    <t>Removal</t>
  </si>
  <si>
    <t>Target creature gets -2/-2 until end of turn</t>
  </si>
  <si>
    <t>Or opponent reveals hand and discards a nonland permanent card you choose</t>
  </si>
  <si>
    <t>Awaken the Erstwhile</t>
  </si>
  <si>
    <t>Ravnica Allegiance</t>
  </si>
  <si>
    <t>Token Producer</t>
  </si>
  <si>
    <t>Each player discards their hand, then creates that many 2/2 Zombie tokens</t>
  </si>
  <si>
    <t>Bastion of Remembrance</t>
  </si>
  <si>
    <t>TCG</t>
  </si>
  <si>
    <t>Enchantment</t>
  </si>
  <si>
    <t>Ikoria: Lair of Behemoths</t>
  </si>
  <si>
    <t>Drain Payoff</t>
  </si>
  <si>
    <t>Whenever a creature you control dies, each opponent loses 1 life and you gain 1 life</t>
  </si>
  <si>
    <t>Creates a 1/1 Human Soldier token when it enters</t>
  </si>
  <si>
    <t>Bile-Vial Boggart</t>
  </si>
  <si>
    <t>Creature</t>
  </si>
  <si>
    <t>Goblin Assassin</t>
  </si>
  <si>
    <t>When it dies, put a -1/-1 counter on up to one target creature</t>
  </si>
  <si>
    <t>Blight Pile</t>
  </si>
  <si>
    <t>Phyrexian</t>
  </si>
  <si>
    <t>Dominaria United</t>
  </si>
  <si>
    <t>Pay {2}{B} and tap: each opponent loses life equal to the number of defenders you control</t>
  </si>
  <si>
    <t>Blight Rot</t>
  </si>
  <si>
    <t>Instant</t>
  </si>
  <si>
    <t>Puts four -1/-1 counters on target creature</t>
  </si>
  <si>
    <t>Blight-Vial Boggart</t>
  </si>
  <si>
    <t>Blood Artist</t>
  </si>
  <si>
    <t>B3</t>
  </si>
  <si>
    <t>Vampire</t>
  </si>
  <si>
    <t>Avacyn Restored</t>
  </si>
  <si>
    <t>B3 (Max) add</t>
  </si>
  <si>
    <t>Whenever this creature or another creature dies, target player loses 1 life and you gain 1 life.</t>
  </si>
  <si>
    <t>Covered</t>
  </si>
  <si>
    <t>← covered by: D5 Zack Fair</t>
  </si>
  <si>
    <t>Boggart Mischief</t>
  </si>
  <si>
    <t>Kindred Enchantment</t>
  </si>
  <si>
    <t>Goblin</t>
  </si>
  <si>
    <t>Put a -1/-1 counter on a creature you control to create two 1/1 Goblin tokens when it enters</t>
  </si>
  <si>
    <t>Each opponent loses 1 life and you gain 1 life whenever a Goblin you control dies</t>
  </si>
  <si>
    <t>Bolas's Citadel</t>
  </si>
  <si>
    <t>Legendary Artifact</t>
  </si>
  <si>
    <t>War of the Spark</t>
  </si>
  <si>
    <t>Value Engine</t>
  </si>
  <si>
    <t>You may look at the top card of your library any time</t>
  </si>
  <si>
    <t>You may play lands and cast spells from the top of your library. If you cast a spell this way, pay life equal to its man</t>
  </si>
  <si>
    <t>{T}, Sacrifice ten nonland permanents: Each opponent loses 10 life</t>
  </si>
  <si>
    <t>Carrion Feeder</t>
  </si>
  <si>
    <t>Zombie</t>
  </si>
  <si>
    <t>Modern Horizons</t>
  </si>
  <si>
    <t>Sacrifice Outlet</t>
  </si>
  <si>
    <t>This creature can't block.
Sacrifice a creature: Put a +1/+1 counter on this creature.</t>
  </si>
  <si>
    <t>Chain Assassination</t>
  </si>
  <si>
    <t>Assassin's Creed</t>
  </si>
  <si>
    <t>Destroys target creature</t>
  </si>
  <si>
    <t>Draw a card if another creature died this turn</t>
  </si>
  <si>
    <t>Can be cast for less if you dealt combat damage with an Assassin or commander</t>
  </si>
  <si>
    <t>Bench Sub</t>
  </si>
  <si>
    <t>D4: Beast Within</t>
  </si>
  <si>
    <t>Costly Plunder</t>
  </si>
  <si>
    <t>Ixalan</t>
  </si>
  <si>
    <t>Sacrifice an artifact or creature to draw two cards</t>
  </si>
  <si>
    <t>Dai Li Indoctrination</t>
  </si>
  <si>
    <t>Lesson</t>
  </si>
  <si>
    <t>Avatar: The Last Airbender</t>
  </si>
  <si>
    <t>Discard/Looting</t>
  </si>
  <si>
    <t>Opponent reveals hand; you choose a nonland permanent card for them to discard</t>
  </si>
  <si>
    <t>Or target land becomes a 0/0 hasty creature with two +1/+1 counters</t>
  </si>
  <si>
    <t>Day of Black Sun</t>
  </si>
  <si>
    <t>Board Wipe</t>
  </si>
  <si>
    <t>Creatures with mana value X or less lose all abilities and are destroyed</t>
  </si>
  <si>
    <t>Deadly Dispute</t>
  </si>
  <si>
    <t>Adventures in the Forgotten Realms</t>
  </si>
  <si>
    <t>Sacrifice an artifact or creature to draw two cards and make a Treasure token</t>
  </si>
  <si>
    <t>Desmond Miles</t>
  </si>
  <si>
    <t>Legendary Creature</t>
  </si>
  <si>
    <t>Human Assassin</t>
  </si>
  <si>
    <t>Utility Creature</t>
  </si>
  <si>
    <t>Gets +1/+0 for each other Assassin you control or in your graveyard</t>
  </si>
  <si>
    <t>Combat damage to a player lets you look at and rearrange cards off the top of your library</t>
  </si>
  <si>
    <t>Diabolic Tutor</t>
  </si>
  <si>
    <t>Odyssey</t>
  </si>
  <si>
    <t>Search your library for a card, put that card into your hand, then shuffle</t>
  </si>
  <si>
    <t>Dictate of Erebos</t>
  </si>
  <si>
    <t>Journey into Nyx</t>
  </si>
  <si>
    <t>Flash
Whenever a creature you control dies, each opponent sacrifices a creature of their choice.</t>
  </si>
  <si>
    <t>Dreaded Bat-Cloud</t>
  </si>
  <si>
    <t>Bat</t>
  </si>
  <si>
    <t>The Hobbit</t>
  </si>
  <si>
    <t>Flying, deathtouch</t>
  </si>
  <si>
    <t>Costs {3} less to cast if a creature died this turn</t>
  </si>
  <si>
    <t>Dreadhorde Invasion</t>
  </si>
  <si>
    <t>Each upkeep, lose 1 life and put a counter on (or create) a Zombie Army token</t>
  </si>
  <si>
    <t>Big Zombie tokens gain lifelink when attacking</t>
  </si>
  <si>
    <t>D5: Woe Strider</t>
  </si>
  <si>
    <t>Feed the Swarm</t>
  </si>
  <si>
    <t>Zendikar Rising</t>
  </si>
  <si>
    <t>Destroy target creature or enchantment an opponent controls</t>
  </si>
  <si>
    <t>You lose life equal to that permanent's mana value</t>
  </si>
  <si>
    <t>D4: Anguished Unmaking (ordered)</t>
  </si>
  <si>
    <t>Front Porch Sentries</t>
  </si>
  <si>
    <t>Goblin Soldier</t>
  </si>
  <si>
    <t>When this creature dies, target creature an opponent controls gets -1/-1 until end of turn</t>
  </si>
  <si>
    <t>Gloom Ripper</t>
  </si>
  <si>
    <t>Elf Assassin</t>
  </si>
  <si>
    <t>Target creature you control gets +X/+0 and an opponent's creature gets -0/-X until end of turn</t>
  </si>
  <si>
    <t>X equals Elves you control plus Elf cards in your graveyard</t>
  </si>
  <si>
    <t>Go for the Throat</t>
  </si>
  <si>
    <t>Mirrodin Besieged</t>
  </si>
  <si>
    <t>Destroys target nonartifact creature</t>
  </si>
  <si>
    <t>Gollum, Riddle Master</t>
  </si>
  <si>
    <t>Halfling Horror</t>
  </si>
  <si>
    <t>Whenever an opponent casts a spell of the chosen parity, choose an unused mode</t>
  </si>
  <si>
    <t>Modes: add a counter to it, drain 2 life, or draw a card</t>
  </si>
  <si>
    <t>D3: Magistrate's Scepter</t>
  </si>
  <si>
    <t>Great Fierce Bee</t>
  </si>
  <si>
    <t>Insect</t>
  </si>
  <si>
    <t>Card Selection</t>
  </si>
  <si>
    <t>Flying body</t>
  </si>
  <si>
    <t>Other creatures dying lets you look at and rearrange the top library card</t>
  </si>
  <si>
    <t>Heirloom Auntie</t>
  </si>
  <si>
    <t>Goblin Warlock</t>
  </si>
  <si>
    <t>Counters Payoff</t>
  </si>
  <si>
    <t>Enters with two -1/-1 counters on it</t>
  </si>
  <si>
    <t>Surveils 1 and removes a -1/-1 counter from itself whenever another creature you control dies</t>
  </si>
  <si>
    <t>D3: Ezuri, Stalker of Spheres</t>
  </si>
  <si>
    <t>Hemlock Vial</t>
  </si>
  <si>
    <t>Artifact</t>
  </si>
  <si>
    <t>Card Draw</t>
  </si>
  <si>
    <t>Enters: draw a card and lose 1 life</t>
  </si>
  <si>
    <t>Sacrifice: your equipped creatures and Equipment become lethal on any damage this turn</t>
  </si>
  <si>
    <t>Infectious Inquiry</t>
  </si>
  <si>
    <t>Phyrexia: All Will Be One</t>
  </si>
  <si>
    <t>You draw two cards and you lose 2 life. Each opponent gets a poison counter</t>
  </si>
  <si>
    <t>← covered by: D3 Rage into the Valley</t>
  </si>
  <si>
    <t>Lethal Scheme</t>
  </si>
  <si>
    <t>New Capenna Commander</t>
  </si>
  <si>
    <t>Destroys target creature or planeswalker</t>
  </si>
  <si>
    <t>Convoking creatures connive (draw then discard, maybe +1/+1 counter)</t>
  </si>
  <si>
    <t>Long Goodbye</t>
  </si>
  <si>
    <t>Murders at Karlov Manor</t>
  </si>
  <si>
    <t>Destroys target creature or planeswalker with mana value 3 or less</t>
  </si>
  <si>
    <t>Can't be countered</t>
  </si>
  <si>
    <t>Marauding Blight-Priest</t>
  </si>
  <si>
    <t>Vampire Cleric</t>
  </si>
  <si>
    <t>Whenever you gain life, each opponent loses 1 life</t>
  </si>
  <si>
    <t>← covered by: D5 Requiem Angel</t>
  </si>
  <si>
    <t>Mirkwood Bats</t>
  </si>
  <si>
    <t>The Lord of the Rings: Tales of Middle-earth</t>
  </si>
  <si>
    <t>Flying</t>
  </si>
  <si>
    <t>Whenever you create or sacrifice a token, each opponent loses 1 life</t>
  </si>
  <si>
    <t>← covered by: D5 Monologue Tax</t>
  </si>
  <si>
    <t>Mirrodin Avenged</t>
  </si>
  <si>
    <t>March of the Machine</t>
  </si>
  <si>
    <t>Destroys target creature that was dealt damage this turn</t>
  </si>
  <si>
    <t>Draws a card</t>
  </si>
  <si>
    <t>Moonglove Extractor</t>
  </si>
  <si>
    <t>Elf Warlock</t>
  </si>
  <si>
    <t>Attacking draws you a card and costs you 1 life</t>
  </si>
  <si>
    <t>D4: Wall of Omens (ordered)</t>
  </si>
  <si>
    <t>Nadier's Nightblade</t>
  </si>
  <si>
    <t>Elf Warrior</t>
  </si>
  <si>
    <t>Commander Legends</t>
  </si>
  <si>
    <t>Whenever a token you control leaves the battlefield, each opponent loses 1 life and you gain 1 life</t>
  </si>
  <si>
    <t>Nightmare Sower</t>
  </si>
  <si>
    <t>Faerie Assassin</t>
  </si>
  <si>
    <t>Puts a -1/-1 counter on up to one target creature whenever you cast a spell during an opponent's turn</t>
  </si>
  <si>
    <t>Gains you life equal to damage it deals</t>
  </si>
  <si>
    <t>Night's Whisper</t>
  </si>
  <si>
    <t>Fifth Dawn</t>
  </si>
  <si>
    <t>Tuned add</t>
  </si>
  <si>
    <t>You draw two cards and lose 2 life.</t>
  </si>
  <si>
    <t>← covered by: D3 Painful Truths; D5 Secret Rendezvous</t>
  </si>
  <si>
    <t>Ophiomancer</t>
  </si>
  <si>
    <t>Human Shaman</t>
  </si>
  <si>
    <t>Commander 2013</t>
  </si>
  <si>
    <t>Each upkeep, creates a 1/1 deathtouch Snake token if you control none</t>
  </si>
  <si>
    <t>← covered by: D5 Ministrant of Obligation</t>
  </si>
  <si>
    <t>Painful Truths</t>
  </si>
  <si>
    <t>Battle for Zendikar</t>
  </si>
  <si>
    <t>Draws cards equal to colors of mana spent to cast it, loses that much life</t>
  </si>
  <si>
    <t>D3: Night's Whisper</t>
  </si>
  <si>
    <t>Pawn of Ulamog</t>
  </si>
  <si>
    <t>Vampire Shaman</t>
  </si>
  <si>
    <t>Rise of the Eldrazi</t>
  </si>
  <si>
    <t>Whenever it or another nontoken creature you control dies, may create a mana-producing Eldrazi Spawn token</t>
  </si>
  <si>
    <t>Phyrexian Arena</t>
  </si>
  <si>
    <t>Apocalypse</t>
  </si>
  <si>
    <t>At the beginning of your upkeep, you draw a card and you lose 1 life.</t>
  </si>
  <si>
    <t>← covered by: D5 Read the Bones</t>
  </si>
  <si>
    <t>Pitiless Plunderer</t>
  </si>
  <si>
    <t>Human Pirate</t>
  </si>
  <si>
    <t>Rivals of Ixalan</t>
  </si>
  <si>
    <t xml:space="preserve">Whenever another creature you control dies, create a Treasure token. (It's an artifact with "{T}, Sacrifice this token: </t>
  </si>
  <si>
    <t>Priest of Forgotten Gods</t>
  </si>
  <si>
    <t>Human Cleric</t>
  </si>
  <si>
    <t>{T}, Sacrifice two other creatures: Any number of target players each lose 2 life and sacrifice a creature of their choi</t>
  </si>
  <si>
    <t>← covered by: D5 Boggart Cursecrafter</t>
  </si>
  <si>
    <t>Rage into the Valley</t>
  </si>
  <si>
    <t>You draw a card and lose 1 life</t>
  </si>
  <si>
    <t>Amass Goblins 2: two +1/+1 counters on your Army token, making one if needed</t>
  </si>
  <si>
    <t>D3: Infectious Inquiry</t>
  </si>
  <si>
    <t>Read the Bones</t>
  </si>
  <si>
    <t>Theros</t>
  </si>
  <si>
    <t>Scry 2, then draw two cards</t>
  </si>
  <si>
    <t>You lose 2 life</t>
  </si>
  <si>
    <t>D5: Phyrexian Arena</t>
  </si>
  <si>
    <t>Ritual of Soot</t>
  </si>
  <si>
    <t>Guilds of Ravnica</t>
  </si>
  <si>
    <t>Destroys all creatures with mana value 3 or less</t>
  </si>
  <si>
    <t>Sign in Blood</t>
  </si>
  <si>
    <t>Magic 2010</t>
  </si>
  <si>
    <t>Target player draws two cards and loses 2 life</t>
  </si>
  <si>
    <t>Slaughter Specialist</t>
  </si>
  <si>
    <t>Vampire Warrior</t>
  </si>
  <si>
    <t>Innistrad: Midnight Hunt</t>
  </si>
  <si>
    <t>Toughness Payoff</t>
  </si>
  <si>
    <t>Gives each opponent a 1/1 Human token when it enters</t>
  </si>
  <si>
    <t>Gets a +1/+1 counter whenever an opponent's creature dies</t>
  </si>
  <si>
    <t>Stony-Voiced Goblins</t>
  </si>
  <si>
    <t>Goblin Bard</t>
  </si>
  <si>
    <t>Each opponent discards a card when it enters</t>
  </si>
  <si>
    <t>Terror</t>
  </si>
  <si>
    <t>Limited Edition Alpha</t>
  </si>
  <si>
    <t>Destroys target nonartifact, nonblack creature</t>
  </si>
  <si>
    <t>That creature can't be regenerated</t>
  </si>
  <si>
    <t>D5: Anguished Unmaking</t>
  </si>
  <si>
    <t>The Meathook Massacre</t>
  </si>
  <si>
    <t>Legendary Enchantment</t>
  </si>
  <si>
    <t>When The Meathook Massacre enters, each creature gets -X/-X until end of turn.
Whenever a creature you control dies, eac</t>
  </si>
  <si>
    <t>Thirsting Shade</t>
  </si>
  <si>
    <t>Shade</t>
  </si>
  <si>
    <t>Mana Sink</t>
  </si>
  <si>
    <t>Pay {2}{B} to get +1/+1 until end of turn, any number of times</t>
  </si>
  <si>
    <t>Tree of Perdition</t>
  </si>
  <si>
    <t>Plant</t>
  </si>
  <si>
    <t>Eldritch Moon</t>
  </si>
  <si>
    <t>Finisher</t>
  </si>
  <si>
    <t>Tap: swap target opponent's life total with this creature's toughness</t>
  </si>
  <si>
    <t>Defender body</t>
  </si>
  <si>
    <t>← covered by: D4 Zetalpa, Primal Dawn (ordered from Game Theory; stand-in is temporary)</t>
  </si>
  <si>
    <t>ORDERED 2026-09-11 $7.90</t>
  </si>
  <si>
    <t>Triskaidekaphobia</t>
  </si>
  <si>
    <t>Shadows over Innistrad</t>
  </si>
  <si>
    <t>At the beginning of your upkeep, choose one —</t>
  </si>
  <si>
    <t>• Each player with exactly 13 life loses the game, then each player gains 1 life</t>
  </si>
  <si>
    <t>• Each player with exactly 13 life loses the game, then each player loses 1 life</t>
  </si>
  <si>
    <t>Unbury</t>
  </si>
  <si>
    <t>Recursion</t>
  </si>
  <si>
    <t>Returns target creature card from your graveyard to hand</t>
  </si>
  <si>
    <t>Or returns two target creature cards sharing a type from your graveyard to hand</t>
  </si>
  <si>
    <t>Undercity's Embrace</t>
  </si>
  <si>
    <t>Target opponent sacrifices a creature of their choice</t>
  </si>
  <si>
    <t>Gain 4 life if you control a creature with power 4 or greater</t>
  </si>
  <si>
    <t>Vampire Hexmage</t>
  </si>
  <si>
    <t>Zendikar</t>
  </si>
  <si>
    <t>Sacrifice: remove all counters from target permanent (can kill planeswalkers)</t>
  </si>
  <si>
    <t>First strike body</t>
  </si>
  <si>
    <t>Village Rites</t>
  </si>
  <si>
    <t>Core Set 2021</t>
  </si>
  <si>
    <t>Sacrifice a creature to draw two cards</t>
  </si>
  <si>
    <t>Viscera Seer</t>
  </si>
  <si>
    <t>Vampire Wizard</t>
  </si>
  <si>
    <t>Magic 2011</t>
  </si>
  <si>
    <t>Sacrifice a creature: Scry 1</t>
  </si>
  <si>
    <t>Vraska, Betrayal's Sting</t>
  </si>
  <si>
    <t>Legendary Planeswalker</t>
  </si>
  <si>
    <t>Vraska</t>
  </si>
  <si>
    <t>Lorwyn Eclipsed Commander</t>
  </si>
  <si>
    <t>Proliferate</t>
  </si>
  <si>
    <t xml:space="preserve">Compleated ({B/P} can be paid with {B} or 2 life. If life was paid, this planeswalker enters with two fewer loyalty counters.)
0: You draw a card and lose 1 life. Proliferate.
−2: Target creature becomes a Treasure artifact with "{T}, Sacrifice this </t>
  </si>
  <si>
    <t>← covered by: D3 Ordeal of Nylea</t>
  </si>
  <si>
    <t>Vraska's Fall</t>
  </si>
  <si>
    <t>Each opponent sacrifices a creature or planeswalker of their choice and gets a poison counter</t>
  </si>
  <si>
    <t>Wall of Blood</t>
  </si>
  <si>
    <t>Wall</t>
  </si>
  <si>
    <t>Mirrodin</t>
  </si>
  <si>
    <t>Defender</t>
  </si>
  <si>
    <t>Pay 1 life: This creature gets +1/+1 until end of turn</t>
  </si>
  <si>
    <t>Wall of Limbs</t>
  </si>
  <si>
    <t>Zombie Wall</t>
  </si>
  <si>
    <t>Magic 2015</t>
  </si>
  <si>
    <t>Gets a +1/+1 counter whenever you gain life</t>
  </si>
  <si>
    <t>Sacrifice: target player loses life equal to this creature's power</t>
  </si>
  <si>
    <t>Woe Strider</t>
  </si>
  <si>
    <t>Horror</t>
  </si>
  <si>
    <t>Secrets of Strixhaven Commander</t>
  </si>
  <si>
    <t>When this creature enters, create a 0/1 white Goat creature token.
Sacrifice another creature: Scry 1.
Escape—{3}{B}{B}, Exile four other cards from your graveyard. (You may cast this card from your graveyard for its escape cost.)
This creature escap</t>
  </si>
  <si>
    <t>← covered by: D5 Dreadhorde Invasion</t>
  </si>
  <si>
    <t>Yahenni, Undying Partisan</t>
  </si>
  <si>
    <t>Aetherborn Vampire</t>
  </si>
  <si>
    <t>Haste
Whenever a creature an opponent controls dies, put a +1/+1 counter on Yahenni.
Sacrifice another creature: Yahenni gains indestructible until end of turn.</t>
  </si>
  <si>
    <t>← covered by: D5 Kithkeeper</t>
  </si>
  <si>
    <t>Zulaport Cutthroat</t>
  </si>
  <si>
    <t>Human Rogue Ally</t>
  </si>
  <si>
    <t>Whenever it or another creature you control dies, each opponent loses 1 life and you gain 1 life</t>
  </si>
  <si>
    <t>Aetherflux Reservoir</t>
  </si>
  <si>
    <t>C</t>
  </si>
  <si>
    <t>Kaladesh</t>
  </si>
  <si>
    <t>Whenever you cast a spell, you gain 1 life for each spell you've cast this turn.
Pay 50 life: This artifact deals 50 damage to any target.</t>
  </si>
  <si>
    <t>Aetheric Amplifier</t>
  </si>
  <si>
    <t>Aetherdrift Commander</t>
  </si>
  <si>
    <t>Mana Rock</t>
  </si>
  <si>
    <t>Taps for one mana of any color</t>
  </si>
  <si>
    <t>Pay {4} and tap to double the counters of a kind on target permanent</t>
  </si>
  <si>
    <t>Or double each kind of counter you have</t>
  </si>
  <si>
    <t>Arcane Signet</t>
  </si>
  <si>
    <t>Throne of Eldraine</t>
  </si>
  <si>
    <t>Taps for any color in your commander's color identity</t>
  </si>
  <si>
    <t>← covered by: D3 Sword of the Animist</t>
  </si>
  <si>
    <t>Argentum Masticore</t>
  </si>
  <si>
    <t>Artifact Creature</t>
  </si>
  <si>
    <t>Phyrexian Masticore</t>
  </si>
  <si>
    <t>Discard a card each upkeep or sacrifice this creature</t>
  </si>
  <si>
    <t>Discarding destroys an opponent's permanent MV ≤ the discarded card</t>
  </si>
  <si>
    <t>First strike, protection from multicolored body</t>
  </si>
  <si>
    <t>Artisan of Kozilek</t>
  </si>
  <si>
    <t>Eldrazi</t>
  </si>
  <si>
    <t>Reanimation</t>
  </si>
  <si>
    <t>Returns a creature card from graveyard to battlefield when cast</t>
  </si>
  <si>
    <t>Annihilator 2 (opponent sacrifices two permanents when it attacks)</t>
  </si>
  <si>
    <t>9-mana Eldrazi body</t>
  </si>
  <si>
    <t>Ashnod's Altar</t>
  </si>
  <si>
    <t>Antiquities</t>
  </si>
  <si>
    <t>Sacrifice a creature: Add {C}{C}.</t>
  </si>
  <si>
    <t>Astral Cornucopia</t>
  </si>
  <si>
    <t>Born of the Gods</t>
  </si>
  <si>
    <t>This artifact enters with X charge counters on it</t>
  </si>
  <si>
    <t>{T}: Choose a color. Add one mana of that color for each charge counter on this artifact</t>
  </si>
  <si>
    <t>Azorius Signet</t>
  </si>
  <si>
    <t>Dissension</t>
  </si>
  <si>
    <t>{1}, tap: add {W}{U}</t>
  </si>
  <si>
    <t>Bag of Holding</t>
  </si>
  <si>
    <t>Core Set 2020</t>
  </si>
  <si>
    <t>Discarding a card exiles it from your graveyard</t>
  </si>
  <si>
    <t>Pay {2}, tap: draw a card, then discard a card</t>
  </si>
  <si>
    <t>Pay {4}, tap, sacrifice: return all cards exiled with it to your hand</t>
  </si>
  <si>
    <t>Bandit's Haul</t>
  </si>
  <si>
    <t>Outlaws of Thunder Junction</t>
  </si>
  <si>
    <t>Gets a loot counter once a turn when you commit a crime (target an opponent or their stuff)</t>
  </si>
  <si>
    <t>Pay 2, tap, remove two loot counters: draw a card</t>
  </si>
  <si>
    <t>Bitterthorn, Nissa's Animus</t>
  </si>
  <si>
    <t>Equipment</t>
  </si>
  <si>
    <t>March of the Machine Commander</t>
  </si>
  <si>
    <t>Ramp</t>
  </si>
  <si>
    <t>Creates a 0/0 Germ token and attaches to it when it enters</t>
  </si>
  <si>
    <t>Equipped creature gets +1/+1</t>
  </si>
  <si>
    <t>Searches for a basic land onto the battlefield tapped whenever equipped creature attacks</t>
  </si>
  <si>
    <t>Burnished Hart</t>
  </si>
  <si>
    <t>Elk</t>
  </si>
  <si>
    <t>3/3 body</t>
  </si>
  <si>
    <t>Sacrifice: search for two basic lands, put them into play tapped</t>
  </si>
  <si>
    <t>D4: Wall of Roots (ordered)</t>
  </si>
  <si>
    <t>Chromatic Lantern</t>
  </si>
  <si>
    <t>Return to Ravnica</t>
  </si>
  <si>
    <t>Lands you control have "{T}: Add one mana of any color."</t>
  </si>
  <si>
    <t>{T}: Add one mana of any color</t>
  </si>
  <si>
    <t>Coldsteel Heart</t>
  </si>
  <si>
    <t>Snow Artifact</t>
  </si>
  <si>
    <t>Coldsnap</t>
  </si>
  <si>
    <t>Enters tapped; choose a color as it enters</t>
  </si>
  <si>
    <t>Taps for one mana of the chosen color</t>
  </si>
  <si>
    <t>Contagion Clasp</t>
  </si>
  <si>
    <t>Duel Decks: Elspeth vs. Tezzeret</t>
  </si>
  <si>
    <t>Puts a -1/-1 counter on target creature when it enters</t>
  </si>
  <si>
    <t>{4}, tap: Proliferate</t>
  </si>
  <si>
    <t>Contagion Engine</t>
  </si>
  <si>
    <t>Scars of Mirrodin</t>
  </si>
  <si>
    <t>When this artifact enters, put a -1/-1 counter on each creature target player controls.
{4}, {T}: Proliferate twice. (Choose any number of permanents and/or players, then give each another counter of each kind already there. Then do it again.)</t>
  </si>
  <si>
    <t>Containment Construct</t>
  </si>
  <si>
    <t>Construct</t>
  </si>
  <si>
    <t>Kamigawa: Neon Dynasty</t>
  </si>
  <si>
    <t>Discarding a card lets you exile it from graveyard and play it this turn</t>
  </si>
  <si>
    <t>Crashing Drawbridge</t>
  </si>
  <si>
    <t>Haste Enabler</t>
  </si>
  <si>
    <t>Tap to give your creatures haste until end of turn</t>
  </si>
  <si>
    <t>Currency Converter</t>
  </si>
  <si>
    <t>Discarding a card lets you exile it from your graveyard</t>
  </si>
  <si>
    <t>Tap: put an exiled card into graveyard, making a Treasure or a 2/2 Rogue token</t>
  </si>
  <si>
    <t>Darksteel Reactor</t>
  </si>
  <si>
    <t>Darksteel</t>
  </si>
  <si>
    <t>Indestructible</t>
  </si>
  <si>
    <t>At the beginning of your upkeep, you may put a charge counter on this artifact</t>
  </si>
  <si>
    <t>When this artifact has twenty or more charge counters on it, you win the game</t>
  </si>
  <si>
    <t>Dawn-Blessed Pennant</t>
  </si>
  <si>
    <t>Lifegain</t>
  </si>
  <si>
    <t>Gain 1 life whenever a permanent of the chosen type enters</t>
  </si>
  <si>
    <t>Sacrifice and pay {2} to return a card of the chosen type from graveyard to hand</t>
  </si>
  <si>
    <t>Dwarven Mattock</t>
  </si>
  <si>
    <t>Artifact - Equipment</t>
  </si>
  <si>
    <t>Combat Trick</t>
  </si>
  <si>
    <t>Enters: attaches to target Dwarf you control</t>
  </si>
  <si>
    <t>Equipped creature gets +2/+2 and resists opponents' targeted spells and abilities unless they pay {1}</t>
  </si>
  <si>
    <t>D6: Lightning Greaves</t>
  </si>
  <si>
    <t>Eldrazi Ravager</t>
  </si>
  <si>
    <t>Modern Horizons 3</t>
  </si>
  <si>
    <t>Attacking forces the defending player to sacrifice a permanent</t>
  </si>
  <si>
    <t>Sacrifice two Eldrazi: return this from graveyard to hand</t>
  </si>
  <si>
    <t>Discard for {2} to draw a card instead of casting</t>
  </si>
  <si>
    <t>D2: Approach of the Second Sun</t>
  </si>
  <si>
    <t>Endbringer</t>
  </si>
  <si>
    <t>Oath of the Gatewatch</t>
  </si>
  <si>
    <t>Untaps during each other player's untap step</t>
  </si>
  <si>
    <t>Tap: deals 1 damage to any target</t>
  </si>
  <si>
    <t>Pay {C}{C}, tap: draw a card</t>
  </si>
  <si>
    <t>Everflowing Chalice</t>
  </si>
  <si>
    <t>Worldwake</t>
  </si>
  <si>
    <t>Taps for {C} equal to charge counters on it</t>
  </si>
  <si>
    <t>Enters with more counters if kicked for extra {2} payments</t>
  </si>
  <si>
    <t>Explorer's Scope</t>
  </si>
  <si>
    <t>Attacking lets you look at the top library card and play a land there onto the battlefield tapped</t>
  </si>
  <si>
    <t>D3: Fellwar Stone; D6: Battle Hymn</t>
  </si>
  <si>
    <t>Fellwar Stone</t>
  </si>
  <si>
    <t>The Dark</t>
  </si>
  <si>
    <t>Taps for one mana of any color an opponent's land could produce</t>
  </si>
  <si>
    <t>← covered by: D3 Explorer's Scope</t>
  </si>
  <si>
    <t>Filigree Familiar</t>
  </si>
  <si>
    <t>Fox</t>
  </si>
  <si>
    <t>Gain 2 life when it enters</t>
  </si>
  <si>
    <t>Draws a card when it dies</t>
  </si>
  <si>
    <t>Foraging Wickermaw</t>
  </si>
  <si>
    <t>Scarecrow</t>
  </si>
  <si>
    <t>Flexible Fixing</t>
  </si>
  <si>
    <t>{1}: Add one mana of any color and it becomes that color; once each turn</t>
  </si>
  <si>
    <t>Enters: look at the top card of your library, and you may put it into your graveyard</t>
  </si>
  <si>
    <t>Genesis Chamber</t>
  </si>
  <si>
    <t>Whenever a nontoken creature enters, its controller creates a 1/1 Myr token (while this is untapped)</t>
  </si>
  <si>
    <t>Ghost Vacuum</t>
  </si>
  <si>
    <t>Duskmourn: House of Horror</t>
  </si>
  <si>
    <t>Graveyard Hate</t>
  </si>
  <si>
    <t>Tap: exile target card from a graveyard</t>
  </si>
  <si>
    <t>Pay {6}, tap, sacrifice: put all creatures exiled with it onto the battlefield as 1/1 flying Spirits</t>
  </si>
  <si>
    <t>Giant's Boulder</t>
  </si>
  <si>
    <t>Taps for one mana of any color for {1}</t>
  </si>
  <si>
    <t>Scry 2 when it enters</t>
  </si>
  <si>
    <t>Sacrifice and pay {7} to destroy target permanent</t>
  </si>
  <si>
    <t>D1: Boros Signet</t>
  </si>
  <si>
    <t>Goldvein Pick</t>
  </si>
  <si>
    <t>Kaldheim</t>
  </si>
  <si>
    <t>Creates a Treasure token when equipped creature deals combat damage to a player</t>
  </si>
  <si>
    <t>Golgari Signet</t>
  </si>
  <si>
    <t>Ravnica: City of Guilds</t>
  </si>
  <si>
    <t>{1}, {T}: Add {B}{G}</t>
  </si>
  <si>
    <t>Ichor Wellspring</t>
  </si>
  <si>
    <t>Draws a card when it enters or is put into a graveyard from the battlefield</t>
  </si>
  <si>
    <t>D6: Idol of Oblivion</t>
  </si>
  <si>
    <t>Idol of Oblivion</t>
  </si>
  <si>
    <t>Commander 2019</t>
  </si>
  <si>
    <t>{T}: Draw a card. Activate only if you created a token this turn.
{8}, {T}, Sacrifice this artifact: Create a 10/10 colo</t>
  </si>
  <si>
    <t>← covered by: D6 Ichor Wellspring</t>
  </si>
  <si>
    <t>Lightning Greaves</t>
  </si>
  <si>
    <t>Protection</t>
  </si>
  <si>
    <t>Equipped creature has haste and shroud</t>
  </si>
  <si>
    <t>Equip {0}</t>
  </si>
  <si>
    <t>← covered by: D6 Dwarven Mattock</t>
  </si>
  <si>
    <t>Magistrate's Scepter</t>
  </si>
  <si>
    <t>Mercadian Masques</t>
  </si>
  <si>
    <t>{4}, {T}: Put a charge counter on this artifact</t>
  </si>
  <si>
    <t>{T}, Remove three charge counters from this artifact: Take an extra turn after this one</t>
  </si>
  <si>
    <t>← covered by: D3 Gollum, Riddle Master</t>
  </si>
  <si>
    <t>Mask of Memory</t>
  </si>
  <si>
    <t>Equipped creature draws two and discards one on combat damage to a player</t>
  </si>
  <si>
    <t>Equip for 1</t>
  </si>
  <si>
    <t>Millikin</t>
  </si>
  <si>
    <t>Mill a card, tap: add {C}</t>
  </si>
  <si>
    <t>D1: Sol Ring (ordered)</t>
  </si>
  <si>
    <t>Mind Stone</t>
  </si>
  <si>
    <t>TCG x2</t>
  </si>
  <si>
    <t>Weatherlight</t>
  </si>
  <si>
    <t>Taps for {C}</t>
  </si>
  <si>
    <t>Pay {1}, tap, sacrifice: draw a card</t>
  </si>
  <si>
    <t>Myr Battlesphere</t>
  </si>
  <si>
    <t>Myr Construct</t>
  </si>
  <si>
    <t>Creates four 1/1 Myr tokens when it enters</t>
  </si>
  <si>
    <t>Attacking: tap Myr for +X/+0 and X damage to defender</t>
  </si>
  <si>
    <t>Orzhov Signet</t>
  </si>
  <si>
    <t>Guildpact</t>
  </si>
  <si>
    <t>{1}, {T}: Add {W}{B}</t>
  </si>
  <si>
    <t>Panharmonicon</t>
  </si>
  <si>
    <t>If an artifact or creature entering causes a triggered ability of a permanent you control to trigger, that ability trigg</t>
  </si>
  <si>
    <t>Patchwork Banner</t>
  </si>
  <si>
    <t>Bloomburrow</t>
  </si>
  <si>
    <t>Lord/Anthem</t>
  </si>
  <si>
    <t>Choose a creature type; those creatures get +1/+1</t>
  </si>
  <si>
    <t>Perpetual Timepiece</t>
  </si>
  <si>
    <t>Tap: mill two cards</t>
  </si>
  <si>
    <t>Exile this: shuffle any number of target graveyard cards into your library</t>
  </si>
  <si>
    <t>Pilgrim's Eye</t>
  </si>
  <si>
    <t>Thopter</t>
  </si>
  <si>
    <t>2/2 body that can block fliers</t>
  </si>
  <si>
    <t>Enters: search library for a basic land, put it into hand</t>
  </si>
  <si>
    <t>D6: Sol Ring</t>
  </si>
  <si>
    <t>Prismatic Lens</t>
  </si>
  <si>
    <t>Time Spiral</t>
  </si>
  <si>
    <t>Taps for colorless</t>
  </si>
  <si>
    <t>Pay 1 and tap for one mana of any color</t>
  </si>
  <si>
    <t>Prophetic Prism</t>
  </si>
  <si>
    <t>Draws a card when it enters</t>
  </si>
  <si>
    <t>D3: Sol Ring (ordered); D4: Sol Ring</t>
  </si>
  <si>
    <t>Ruby Medallion</t>
  </si>
  <si>
    <t>Tempest</t>
  </si>
  <si>
    <t>Red spells you cast cost {1} less to cast.</t>
  </si>
  <si>
    <t>Selesnya Signet</t>
  </si>
  <si>
    <t>Salvat 2005</t>
  </si>
  <si>
    <t>{1}, {T}: Add {G}{W}</t>
  </si>
  <si>
    <t>Shield-Wall Sentinel</t>
  </si>
  <si>
    <t>Golem</t>
  </si>
  <si>
    <t>Tutor</t>
  </si>
  <si>
    <t>When this creature enters, you may search your library for a creature card with defender, reveal it, put it into your ha</t>
  </si>
  <si>
    <t>Simic Signet</t>
  </si>
  <si>
    <t>{1}, tap: add {G}{U}</t>
  </si>
  <si>
    <t>Skullclamp</t>
  </si>
  <si>
    <t>Equipped creature gets +1/-1</t>
  </si>
  <si>
    <t>Draw two cards whenever equipped creature dies</t>
  </si>
  <si>
    <t>Smuggler's Copter</t>
  </si>
  <si>
    <t>Vehicle</t>
  </si>
  <si>
    <t>Draws then discards a card when it attacks or blocks</t>
  </si>
  <si>
    <t>Crews for 1 power to become a creature until end of turn</t>
  </si>
  <si>
    <t>Sol Ring</t>
  </si>
  <si>
    <t>Taps for {C}{C}</t>
  </si>
  <si>
    <t>← covered by: D1 Millikin; D3 Prophetic Prism; D4 Prophetic Prism; D5 Sword of the Animist; D6 Pilgrim's Eye</t>
  </si>
  <si>
    <t>Solemn Simulacrum</t>
  </si>
  <si>
    <t>Searches for a basic land and puts it onto the battlefield tapped when it enters</t>
  </si>
  <si>
    <t>Soul of New Phyrexia</t>
  </si>
  <si>
    <t>Phyrexian Avatar</t>
  </si>
  <si>
    <t>Pay {5} to give your permanents indestructible until end of turn</t>
  </si>
  <si>
    <t>Exile this from graveyard and pay {5} for the same effect</t>
  </si>
  <si>
    <t>Strixhaven Stadium</t>
  </si>
  <si>
    <t>Strixhaven: School of Mages</t>
  </si>
  <si>
    <t>Taps for {C}, gaining a point counter</t>
  </si>
  <si>
    <t>10+ point counters from combat damage causes an opponent to lose the game</t>
  </si>
  <si>
    <t>Loses counters when you take combat damage</t>
  </si>
  <si>
    <t>Swiftfoot Boots</t>
  </si>
  <si>
    <t>Magic 2012</t>
  </si>
  <si>
    <t>Equipped creature has hexproof and haste</t>
  </si>
  <si>
    <t>Equip {1}</t>
  </si>
  <si>
    <t>Sword of the Animist</t>
  </si>
  <si>
    <t>Magic Origins</t>
  </si>
  <si>
    <t>Attacking fetches a basic land onto the battlefield tapped</t>
  </si>
  <si>
    <t>D3: Arcane Signet; D5: Sol Ring</t>
  </si>
  <si>
    <t>Thornbite Staff</t>
  </si>
  <si>
    <t>Kindred Artifact</t>
  </si>
  <si>
    <t>Shaman Equipment</t>
  </si>
  <si>
    <t>Morningtide</t>
  </si>
  <si>
    <t>Equipped creature has "{2}, {T}: This creature deals 1 damage to any target" and "Whenever a creature dies, untap this c</t>
  </si>
  <si>
    <t>Whenever a Shaman creature enters, you may attach this Equipment to it</t>
  </si>
  <si>
    <t>Equip {4}</t>
  </si>
  <si>
    <t>Thousand-Year Elixir</t>
  </si>
  <si>
    <t>Lorwyn</t>
  </si>
  <si>
    <t>Your creatures can use tap abilities the turn they enter</t>
  </si>
  <si>
    <t>Pay {1} and tap to untap target creature</t>
  </si>
  <si>
    <t>Throne of Geth</t>
  </si>
  <si>
    <t>Sacrifice an artifact to proliferate</t>
  </si>
  <si>
    <t>Tome of Legends</t>
  </si>
  <si>
    <t>Book</t>
  </si>
  <si>
    <t>Gets a page counter when your commander enters or attacks</t>
  </si>
  <si>
    <t>Remove a page counter, pay {1}, tap: draw a card</t>
  </si>
  <si>
    <t>Ultima, Origin of Oblivion</t>
  </si>
  <si>
    <t>God</t>
  </si>
  <si>
    <t>Final Fantasy</t>
  </si>
  <si>
    <t>Attacking corrupts target land into a colorless-only land</t>
  </si>
  <si>
    <t>Tapping a land for {C} produces an additional {C}</t>
  </si>
  <si>
    <t>Unlicensed Hearse</t>
  </si>
  <si>
    <t>Streets of New Capenna</t>
  </si>
  <si>
    <t>{T}: Exile up to two target cards from a single graveyard</t>
  </si>
  <si>
    <t>Unlicensed Hearse's power and toughness are each equal to the number of cards exiled with it</t>
  </si>
  <si>
    <t>Crew 2</t>
  </si>
  <si>
    <t>Voyager Staff</t>
  </si>
  <si>
    <t>Blink</t>
  </si>
  <si>
    <t>Sacrifice: exile target creature, return it at next end step</t>
  </si>
  <si>
    <t>Joining</t>
  </si>
  <si>
    <t>D2: Whitemane Lion</t>
  </si>
  <si>
    <t>Walking Bulwark</t>
  </si>
  <si>
    <t>Lets target defender attack, dealing damage equal to toughness</t>
  </si>
  <si>
    <t>Defender body itself</t>
  </si>
  <si>
    <t>Wall of Junk</t>
  </si>
  <si>
    <t>Urza's Saga</t>
  </si>
  <si>
    <t>When this creature blocks, return it to its owner's hand at end of combat</t>
  </si>
  <si>
    <t>War Room</t>
  </si>
  <si>
    <t>Land</t>
  </si>
  <si>
    <t>{T}: Add {C}.
{3}, {T}, Pay life equal to the number of colors in your commanders' color identity: Draw a card.</t>
  </si>
  <si>
    <t>Weathered Sentinels</t>
  </si>
  <si>
    <t>Can attack players who attacked you last turn despite normally being unable to attack</t>
  </si>
  <si>
    <t>Gets +3/+3 and becomes indestructible when it attacks</t>
  </si>
  <si>
    <t>Well-Worn Spatula</t>
  </si>
  <si>
    <t>Equipped creature gets +1/+1; equip {1}</t>
  </si>
  <si>
    <t>Enters: you gain 2 life</t>
  </si>
  <si>
    <t>Ancient Greenwarden</t>
  </si>
  <si>
    <t>G</t>
  </si>
  <si>
    <t>Elemental</t>
  </si>
  <si>
    <t>You may play lands from your graveyard</t>
  </si>
  <si>
    <t>Triggered abilities from a land entering trigger an additional time</t>
  </si>
  <si>
    <t>Arbor Adherent</t>
  </si>
  <si>
    <t>Dog Druid</t>
  </si>
  <si>
    <t>Tarkir: Dragonstorm Commander</t>
  </si>
  <si>
    <t>{T}: Add X mana of any one color, where X is the greatest toughness among other creatures you control</t>
  </si>
  <si>
    <t>← covered by: D4 Belligerent Brontodon</t>
  </si>
  <si>
    <t>Arboreal Grazer</t>
  </si>
  <si>
    <t>Sloth Beast</t>
  </si>
  <si>
    <t>Puts a land from your hand onto the battlefield tapped, on ETB</t>
  </si>
  <si>
    <t>Reach body</t>
  </si>
  <si>
    <t>Assault Formation</t>
  </si>
  <si>
    <t>Dragons of Tarkir</t>
  </si>
  <si>
    <t>Your creatures assign combat damage equal to toughness rather than power</t>
  </si>
  <si>
    <t>{G}: Target defender can attack this turn</t>
  </si>
  <si>
    <t>{2}{G}: Creatures you control get +0/+1</t>
  </si>
  <si>
    <t>Axebane Guardian</t>
  </si>
  <si>
    <t>Human Druid</t>
  </si>
  <si>
    <t>Defender Ramp</t>
  </si>
  <si>
    <t>Taps for X mana of any colors, X = creatures you control with defender</t>
  </si>
  <si>
    <t>Beast Whisperer</t>
  </si>
  <si>
    <t>Elf Druid</t>
  </si>
  <si>
    <t>Whenever you cast a creature spell, draw a card.</t>
  </si>
  <si>
    <t>Beast Within</t>
  </si>
  <si>
    <t>New Phyrexia</t>
  </si>
  <si>
    <t>Destroy target permanent. Its controller creates a 3/3 green Beast creature token</t>
  </si>
  <si>
    <t>← covered by: D4 Chain Assassination</t>
  </si>
  <si>
    <t>Branching Evolution</t>
  </si>
  <si>
    <t>Jumpstart</t>
  </si>
  <si>
    <t>If one or more +1/+1 counters would be put on a creature you control, twice that many +1/+1 counters are put on that cre</t>
  </si>
  <si>
    <t>Bristlebane Battler</t>
  </si>
  <si>
    <t>Kithkin Soldier</t>
  </si>
  <si>
    <t>Enters with five -1/-1 counters on it</t>
  </si>
  <si>
    <t>Removes a -1/-1 counter from itself whenever another creature you control enters</t>
  </si>
  <si>
    <t>D3: Evolution Sage (ordered)</t>
  </si>
  <si>
    <t>Cankerbloom</t>
  </si>
  <si>
    <t>Phyrexian Fungus</t>
  </si>
  <si>
    <t>Artifact/Enchantment Removal</t>
  </si>
  <si>
    <t>{1}, Sacrifice this creature: Choose one —</t>
  </si>
  <si>
    <t>• Destroy target artifact</t>
  </si>
  <si>
    <t>• Destroy target enchantment</t>
  </si>
  <si>
    <t>Canopy Gargantuan</t>
  </si>
  <si>
    <t>Dragon</t>
  </si>
  <si>
    <t>Flying body that resists opposing spells</t>
  </si>
  <si>
    <t>Upkeep: put +1/+1 counters equal to toughness on each other creature you control</t>
  </si>
  <si>
    <t>Carven Caryatid</t>
  </si>
  <si>
    <t>Spirit</t>
  </si>
  <si>
    <t>Cultivate</t>
  </si>
  <si>
    <t>Searches for two basic lands; puts one onto the battlefield tapped, one to hand</t>
  </si>
  <si>
    <t>Dawn's Light Archer</t>
  </si>
  <si>
    <t>Elf Archer</t>
  </si>
  <si>
    <t>Can be cast at instant speed</t>
  </si>
  <si>
    <t>Can block fliers</t>
  </si>
  <si>
    <t>Dundoolin Weaver</t>
  </si>
  <si>
    <t>Kithkin Druid</t>
  </si>
  <si>
    <t>Enters: if you control three or more creatures, return a permanent card from graveyard to hand</t>
  </si>
  <si>
    <t>Elvish Visionary</t>
  </si>
  <si>
    <t>Elf Shaman</t>
  </si>
  <si>
    <t>Shards of Alara</t>
  </si>
  <si>
    <t>When this creature enters, draw a card</t>
  </si>
  <si>
    <t>Eternal Witness</t>
  </si>
  <si>
    <t>Returns target card from your graveyard to hand when it enters</t>
  </si>
  <si>
    <t>Evolution Sage</t>
  </si>
  <si>
    <t>Proliferate whenever a land you control enters</t>
  </si>
  <si>
    <t>← covered by: D3 Bristlebane Battler</t>
  </si>
  <si>
    <t>Farhaven Elf</t>
  </si>
  <si>
    <t>Shadowmoor</t>
  </si>
  <si>
    <t>Farseek</t>
  </si>
  <si>
    <t>Searches your library for a Plains, Island, Swamp, or Mountain card, puts it onto the battlefield tapped</t>
  </si>
  <si>
    <t>Fertilid</t>
  </si>
  <si>
    <t>Enters with two +1/+1 counters</t>
  </si>
  <si>
    <t>Remove a counter: target player searches for a basic land onto the battlefield tapped</t>
  </si>
  <si>
    <t>Forgotten Ancient</t>
  </si>
  <si>
    <t>Scourge</t>
  </si>
  <si>
    <t>Gets a +1/+1 counter whenever any player casts a spell</t>
  </si>
  <si>
    <t>Moves any number of +1/+1 counters to other creatures each upkeep</t>
  </si>
  <si>
    <t>← covered by: D3 Guardian of the Halls</t>
  </si>
  <si>
    <t>Freyalise, Llanowar's Fury</t>
  </si>
  <si>
    <t>Freyalise</t>
  </si>
  <si>
    <t>Commander 2014</t>
  </si>
  <si>
    <t>+2: creates a 1/1 Elf token that taps for {G}</t>
  </si>
  <si>
    <t>-2: destroys target artifact or enchantment</t>
  </si>
  <si>
    <t>-6: draws a card per green creature you control</t>
  </si>
  <si>
    <t>Fynn, the Fangbearer</t>
  </si>
  <si>
    <t>Human Warrior</t>
  </si>
  <si>
    <t>Deathtouch</t>
  </si>
  <si>
    <t>Whenever a creature you control with deathtouch deals combat damage to a player, that player gets two poison counters</t>
  </si>
  <si>
    <t>Gilt-Leaf's Embrace</t>
  </si>
  <si>
    <t>Aura</t>
  </si>
  <si>
    <t>Enchanted creature gets +2/+0</t>
  </si>
  <si>
    <t>Enchanted creature can't be destroyed and its damage carries through blockers until end of turn, when it enters</t>
  </si>
  <si>
    <t>Grazing Gladehart</t>
  </si>
  <si>
    <t>Antelope</t>
  </si>
  <si>
    <t>Gains 2 life when a land you control enters</t>
  </si>
  <si>
    <t>Guardian of the Halls</t>
  </si>
  <si>
    <t>Elf Soldier</t>
  </si>
  <si>
    <t>Pay {5}{G}{G} to put three +1/+1 counters on it</t>
  </si>
  <si>
    <t>Excess combat damage carries through to the defending player</t>
  </si>
  <si>
    <t>D3: Forgotten Ancient (ordered)</t>
  </si>
  <si>
    <t>Guardian Project</t>
  </si>
  <si>
    <t>Whenever a nontoken creature you control enters, if it doesn't have the same name as another creature you control or a c</t>
  </si>
  <si>
    <t>Hardened Scales</t>
  </si>
  <si>
    <t>Khans of Tarkir</t>
  </si>
  <si>
    <t>If one or more +1/+1 counters would be put on a creature you control, that many plus one +1/+1 counters are put on it in</t>
  </si>
  <si>
    <t>Heroic Intervention</t>
  </si>
  <si>
    <t>Commander Masters</t>
  </si>
  <si>
    <t>Permanents you control gain hexproof and indestructible until end of turn.</t>
  </si>
  <si>
    <t>Hornet Nest</t>
  </si>
  <si>
    <t>Whenever this creature is dealt damage, create that many 1/1 green Insect creature tokens with flying and deathtouch</t>
  </si>
  <si>
    <t>Innkeeper's Talent</t>
  </si>
  <si>
    <t>Class</t>
  </si>
  <si>
    <t>At the beginning of combat on your turn, put a +1/+1 counter on target creature you control</t>
  </si>
  <si>
    <t>{G}: Level 2</t>
  </si>
  <si>
    <t>Permanents you control with counters on them have ward {1}</t>
  </si>
  <si>
    <t>Inspiring Call</t>
  </si>
  <si>
    <t>Draws a card for each creature you control with a +1/+1 counter</t>
  </si>
  <si>
    <t>Those creatures gain indestructible until end of turn</t>
  </si>
  <si>
    <t>D3: Unbreakable Formation</t>
  </si>
  <si>
    <t>Jaddi Offshoot</t>
  </si>
  <si>
    <t>Gain 1 life whenever a land you control enters</t>
  </si>
  <si>
    <t>D4: Ancient Lumberknot</t>
  </si>
  <si>
    <t>Kodama's Reach</t>
  </si>
  <si>
    <t>Arcane</t>
  </si>
  <si>
    <t>Champions of Kamigawa</t>
  </si>
  <si>
    <t>Search your library for up to two basic land cards, reveal those cards, put one onto the battlefield tapped and the othe</t>
  </si>
  <si>
    <t>Kyoshi Island Plaza</t>
  </si>
  <si>
    <t>Shrine</t>
  </si>
  <si>
    <t>Searches for basic lands equal to Shrines you control, puts them onto the battlefield tapped, when it enters</t>
  </si>
  <si>
    <t>Searches for one basic land tapped whenever another Shrine you control enters</t>
  </si>
  <si>
    <t>Llanowar Elves</t>
  </si>
  <si>
    <t>{T}: Add {G}</t>
  </si>
  <si>
    <t>Lys Alana Dignitary</t>
  </si>
  <si>
    <t>Elf Advisor</t>
  </si>
  <si>
    <t>Taps for {G}{G} if an Elf is in your graveyard</t>
  </si>
  <si>
    <t>Costs an extra Elf reveal or {2} to cast</t>
  </si>
  <si>
    <t>D4: Saruli Caretaker</t>
  </si>
  <si>
    <t>Lys Alana Informant</t>
  </si>
  <si>
    <t>Elf Scout</t>
  </si>
  <si>
    <t>Surveils 1 when it enters or dies</t>
  </si>
  <si>
    <t>Meandering Towershell</t>
  </si>
  <si>
    <t>Turtle</t>
  </si>
  <si>
    <t>Can't be blocked while defender controls an Island</t>
  </si>
  <si>
    <t>Exiles itself when attacking, returns tapped and attacking next turn</t>
  </si>
  <si>
    <t>Midnight Tilling</t>
  </si>
  <si>
    <t>Mills four cards, then returns a permanent card from among them to hand</t>
  </si>
  <si>
    <t>Migration Path</t>
  </si>
  <si>
    <t>Searches for up to two basic lands, puts them onto battlefield tapped</t>
  </si>
  <si>
    <t>Cycling {2}: discard to draw a card instead</t>
  </si>
  <si>
    <t>Mirkwood Pathmaker</t>
  </si>
  <si>
    <t>Elf Ranger</t>
  </si>
  <si>
    <t>Mirkwood Pathmaker's power and toughness are each equal to the number of lands you control</t>
  </si>
  <si>
    <t>Mulch</t>
  </si>
  <si>
    <t>Stronghold</t>
  </si>
  <si>
    <t>Reveals top four cards; puts land cards into your hand and the rest into your graveyard</t>
  </si>
  <si>
    <t>Nature's Lore</t>
  </si>
  <si>
    <t>Ice Age</t>
  </si>
  <si>
    <t>Search your library for a Forest card, put that card onto the battlefield, then shuffle.</t>
  </si>
  <si>
    <t>Ordeal of Nylea</t>
  </si>
  <si>
    <t>Enchanted creature gets a +1/+1 counter when it attacks; sacrifices itself at three counters</t>
  </si>
  <si>
    <t>Searches for up to two basic lands onto the battlefield tapped when sacrificed</t>
  </si>
  <si>
    <t>D3: Vraska, Betrayal's Sting</t>
  </si>
  <si>
    <t>Ordinary Bear</t>
  </si>
  <si>
    <t>Bear</t>
  </si>
  <si>
    <t>Vanilla creature with no abilities (body only)</t>
  </si>
  <si>
    <t>Origin of Metalbending</t>
  </si>
  <si>
    <t>Choose one: destroys target artifact or enchantment</t>
  </si>
  <si>
    <t>Or puts a +1/+1 counter on your creature; it can't be destroyed this turn</t>
  </si>
  <si>
    <t>Overgrown Battlement</t>
  </si>
  <si>
    <t>Taps for {G} for each creature you control with defender</t>
  </si>
  <si>
    <t>Pir, Imaginative Rascal</t>
  </si>
  <si>
    <t>Human</t>
  </si>
  <si>
    <t>Battlebond</t>
  </si>
  <si>
    <t>Partner with Toothy, Imaginary Friend (When this creature enters, target player may put Toothy into their hand from thei</t>
  </si>
  <si>
    <t>Plaguemaw Beast</t>
  </si>
  <si>
    <t>Phyrexian Beast</t>
  </si>
  <si>
    <t>Sacrifice a creature and tap to proliferate</t>
  </si>
  <si>
    <t>Portcullis Vine</t>
  </si>
  <si>
    <t>Plant Wall</t>
  </si>
  <si>
    <t>Can't attack</t>
  </si>
  <si>
    <t>Pay {2}, tap, sacrifice a creature that can't attack: draw a card</t>
  </si>
  <si>
    <t>Quarrel</t>
  </si>
  <si>
    <t>Target creature you control deals damage equal to its power to target creature an opponent controls</t>
  </si>
  <si>
    <t>Rampart Architect</t>
  </si>
  <si>
    <t>Elephant Advisor</t>
  </si>
  <si>
    <t>Creates a 1/3 Wall token with defender when it enters or attacks</t>
  </si>
  <si>
    <t>Fetches a basic land to battlefield tapped when a defender you control dies</t>
  </si>
  <si>
    <t>Rebellious Captives</t>
  </si>
  <si>
    <t>Human Peasant Ally</t>
  </si>
  <si>
    <t>Pay {6} once to put two +1/+1 counters on itself</t>
  </si>
  <si>
    <t>Then animates target land into a 0/0 hasty creature with two +1/+1 counters</t>
  </si>
  <si>
    <t>Reclamation Sage</t>
  </si>
  <si>
    <t>Destroys target artifact or enchantment when it enters</t>
  </si>
  <si>
    <t>Saruli Caretaker</t>
  </si>
  <si>
    <t>Dryad</t>
  </si>
  <si>
    <t>{T}, Tap an untapped creature you control: Add one mana of any color</t>
  </si>
  <si>
    <t>← covered by: D4 Lys Alana Dignitary</t>
  </si>
  <si>
    <t>Satyr Wayfinder</t>
  </si>
  <si>
    <t>Satyr</t>
  </si>
  <si>
    <t>Reveals top four cards; puts a land card into your hand and the rest into your graveyard</t>
  </si>
  <si>
    <t>Sheltering Word</t>
  </si>
  <si>
    <t>Target creature you control can't be targeted by opponents until end of turn</t>
  </si>
  <si>
    <t>You gain life equal to that creature's toughness</t>
  </si>
  <si>
    <t>D2: Unbreakable Formation</t>
  </si>
  <si>
    <t>Skyshroud Claim</t>
  </si>
  <si>
    <t>Nemesis</t>
  </si>
  <si>
    <t>Searches for up to two Forest cards and puts them onto the battlefield</t>
  </si>
  <si>
    <t>Song of the Dryads</t>
  </si>
  <si>
    <t>Turns enchanted permanent into a colorless Forest land, removing its abilities</t>
  </si>
  <si>
    <t>Stony Strength</t>
  </si>
  <si>
    <t>Puts a +1/+1 counter on target creature you control and untaps it</t>
  </si>
  <si>
    <t>Surly Farrier</t>
  </si>
  <si>
    <t>Kithkin Citizen</t>
  </si>
  <si>
    <t>Target creature you control gets +1/+1 until end of turn (sorcery speed)</t>
  </si>
  <si>
    <t>Sylvan Brushstrider</t>
  </si>
  <si>
    <t>Beast</t>
  </si>
  <si>
    <t>Sylvan Caryatid</t>
  </si>
  <si>
    <t>Can't attack; can't be targeted by opponents' spells or abilities</t>
  </si>
  <si>
    <t>Sylvan Ranger</t>
  </si>
  <si>
    <t>Elf Scout Ranger</t>
  </si>
  <si>
    <t>Searches your library for a basic land card and puts it into your hand when it enters</t>
  </si>
  <si>
    <t>Temur Sabertooth</t>
  </si>
  <si>
    <t>Cat</t>
  </si>
  <si>
    <t>Fate Reforged</t>
  </si>
  <si>
    <t>{1}{G}: You may return another creature you control to its owner's hand. If you do, this creature gains indestructible u</t>
  </si>
  <si>
    <t>Tireless Provisioner</t>
  </si>
  <si>
    <t>Modern Horizons 2</t>
  </si>
  <si>
    <t>Creates a Food or Treasure token whenever a land you control enters</t>
  </si>
  <si>
    <t>Tower Defense</t>
  </si>
  <si>
    <t>Gatecrash</t>
  </si>
  <si>
    <t>Your creatures get +0/+5 and gain reach until end of turn</t>
  </si>
  <si>
    <t>Tree of Redemption</t>
  </si>
  <si>
    <t>Innistrad</t>
  </si>
  <si>
    <t>Tap to swap your life total with this creature's toughness</t>
  </si>
  <si>
    <t>Treefolk Umbra</t>
  </si>
  <si>
    <t>Enchanted creature gets +0/+2 and deals combat damage equal to its toughness instead of power</t>
  </si>
  <si>
    <t>If enchanted creature would be destroyed, instead remove all damage and destroy this Aura</t>
  </si>
  <si>
    <t>Troll Negotiations</t>
  </si>
  <si>
    <t>Puts two +1/+1 counters on target creature you control, then it fights an opponent's creature</t>
  </si>
  <si>
    <t>Unforgiving Aim</t>
  </si>
  <si>
    <t>Destroy target creature with flying</t>
  </si>
  <si>
    <t>Or destroy target enchantment</t>
  </si>
  <si>
    <t>Or create a 2/2 Elf creature token</t>
  </si>
  <si>
    <t>Vayne Carudas Solidor</t>
  </si>
  <si>
    <t>Final Fantasy: Through the Ages</t>
  </si>
  <si>
    <t>Vorinclex, Monstrous Raider</t>
  </si>
  <si>
    <t>Phyrexian Praetor</t>
  </si>
  <si>
    <t>Trample, haste
If you would put one or more counters on a permanent or player, put twice that many of each of those kind</t>
  </si>
  <si>
    <t>Wall of Blossoms</t>
  </si>
  <si>
    <t>← covered by: D4 Venat, Heart of Hydaelyn // Hydaelyn, the Mothercrystal</t>
  </si>
  <si>
    <t>Wall of Mulch</t>
  </si>
  <si>
    <t>Onslaught</t>
  </si>
  <si>
    <t>Sacrifice a Wall and pay {G} to draw a card</t>
  </si>
  <si>
    <t>Wall of Roots</t>
  </si>
  <si>
    <t>Mirage</t>
  </si>
  <si>
    <t>Put a -0/-1 counter on itself to add {G}, once per turn</t>
  </si>
  <si>
    <t>← covered by: D4 Burnished Hart</t>
  </si>
  <si>
    <t>Wayward Swordtooth</t>
  </si>
  <si>
    <t>Dinosaur</t>
  </si>
  <si>
    <t>You may play an additional land each turn</t>
  </si>
  <si>
    <t>Can't attack or block unless you control ten or more permanents</t>
  </si>
  <si>
    <t>Wilderness Reclamation</t>
  </si>
  <si>
    <t>Untaps all your lands at the beginning of your end step</t>
  </si>
  <si>
    <t>Wildvine Pummeler</t>
  </si>
  <si>
    <t>Giant Berserker</t>
  </si>
  <si>
    <t>Cost Reducer</t>
  </si>
  <si>
    <t>Costs {1} less to cast for each color among your permanents</t>
  </si>
  <si>
    <t>Can block creatures with flying</t>
  </si>
  <si>
    <t>Wood Elves</t>
  </si>
  <si>
    <t>Portal</t>
  </si>
  <si>
    <t>Searches for a Forest and puts it onto the battlefield when it enters</t>
  </si>
  <si>
    <t>Woodland Weavemaster</t>
  </si>
  <si>
    <t>{T}: Add X mana of any one color, where X is its power; spend only on Elf spells and abilities</t>
  </si>
  <si>
    <t>Whenever another Elf you control enters, it gets +1/+1 until end of turn</t>
  </si>
  <si>
    <t>Vigilance</t>
  </si>
  <si>
    <t>Yavimaya Elder</t>
  </si>
  <si>
    <t>Urza's Destiny</t>
  </si>
  <si>
    <t>Searches for up to two basic lands to your hand when it dies</t>
  </si>
  <si>
    <t>Sacrifice to draw a card</t>
  </si>
  <si>
    <t>Zendikar's Roil</t>
  </si>
  <si>
    <t>Creates a 2/2 Elemental token whenever a land you control enters</t>
  </si>
  <si>
    <t>Access Tunnel</t>
  </si>
  <si>
    <t>L</t>
  </si>
  <si>
    <t>Pay {3}, tap: target creature with power 3 or less can't be blocked</t>
  </si>
  <si>
    <t>Airship Engine Room</t>
  </si>
  <si>
    <t>Taps for {U} or {R}</t>
  </si>
  <si>
    <t>Sacrifice and pay {4} to draw a card</t>
  </si>
  <si>
    <t>Arcane Sanctum</t>
  </si>
  <si>
    <t>Taps for {W}, {U}, or {B}</t>
  </si>
  <si>
    <t>Enters tapped</t>
  </si>
  <si>
    <t>Ash Barrens</t>
  </si>
  <si>
    <t>Commander 2016</t>
  </si>
  <si>
    <t>Basic landcycling {1}: discard to fetch a basic land</t>
  </si>
  <si>
    <t>Azorius Chancery</t>
  </si>
  <si>
    <t>Taps for {W}{U}</t>
  </si>
  <si>
    <t>Enters tapped; bounces a land you control when it enters</t>
  </si>
  <si>
    <t>Bant Panorama</t>
  </si>
  <si>
    <t>Sacrifice to search for a basic Forest, Plains, or Island card, put tapped</t>
  </si>
  <si>
    <t>Battlefield Forge</t>
  </si>
  <si>
    <t>Taps for {R} or {W}, dealing 1 damage to you</t>
  </si>
  <si>
    <t>Blossoming Sands</t>
  </si>
  <si>
    <t>Taps for {G} or {W}</t>
  </si>
  <si>
    <t>Gain 1 life when it enters</t>
  </si>
  <si>
    <t>Bonders' Enclave</t>
  </si>
  <si>
    <t>{T}: Add {C}</t>
  </si>
  <si>
    <t>{3}, {T}: Draw a card. Activate only if you control a creature with power 4 or greater</t>
  </si>
  <si>
    <t>Brushland</t>
  </si>
  <si>
    <t>Taps for {C}, or {G}/{W} at the cost of 1 damage to you</t>
  </si>
  <si>
    <t>← covered by: D2 Plains; D3 Plains</t>
  </si>
  <si>
    <t>Buried Ruin</t>
  </si>
  <si>
    <t>Sacrifice plus {2}: return target artifact card from graveyard to hand</t>
  </si>
  <si>
    <t>Castle Ardenvale</t>
  </si>
  <si>
    <t>Taps for {W}</t>
  </si>
  <si>
    <t>{2}{W}{W}, tap: creates a 1/1 Human token</t>
  </si>
  <si>
    <t>Castle Embereth</t>
  </si>
  <si>
    <t>Taps for {R}</t>
  </si>
  <si>
    <t>{1}{R}{R}, tap: creatures you control get +1/+0</t>
  </si>
  <si>
    <t>Caves of Koilos</t>
  </si>
  <si>
    <t>Taps for {C}, or {W}/{B} at the cost of 1 damage to you</t>
  </si>
  <si>
    <t>← covered by: D3 Plains; D5 Swamp</t>
  </si>
  <si>
    <t>Clifftop Retreat</t>
  </si>
  <si>
    <t>Taps for {R} or {W}</t>
  </si>
  <si>
    <t>Enters tapped unless you control a Mountain or Plains</t>
  </si>
  <si>
    <t>Command Tower</t>
  </si>
  <si>
    <t>Commander 2011</t>
  </si>
  <si>
    <t>← covered by: D2 Plains; D3 Plains; D4 Plains; D5 Plains</t>
  </si>
  <si>
    <t>Concealed Courtyard</t>
  </si>
  <si>
    <t>Taps for {W} or {B}</t>
  </si>
  <si>
    <t>Enters tapped unless you control two or fewer other lands</t>
  </si>
  <si>
    <t>← covered by: D5 Swamp (ordered from Game Theory; stand-in is temporary)</t>
  </si>
  <si>
    <t>ORDERED 2026-09-11 $2.50</t>
  </si>
  <si>
    <t>Dismal Backwater</t>
  </si>
  <si>
    <t>Taps for {U} or {B}</t>
  </si>
  <si>
    <t>Drowned Catacomb</t>
  </si>
  <si>
    <t>Enters tapped unless you control an Island or Swamp</t>
  </si>
  <si>
    <t>Emeria, the Sky Ruin</t>
  </si>
  <si>
    <t>Upkeep: if you control 7+ Plains, return a creature card from graveyard to battlefield</t>
  </si>
  <si>
    <t>Evolving Wilds</t>
  </si>
  <si>
    <t>Sacrifice, search a basic land, put it into play tapped</t>
  </si>
  <si>
    <t>Exotic Orchard</t>
  </si>
  <si>
    <t>Conflux</t>
  </si>
  <si>
    <t>Fabled Passage</t>
  </si>
  <si>
    <t>Untaps that land if you control 4+ lands</t>
  </si>
  <si>
    <t>Fields of Strife</t>
  </si>
  <si>
    <t>Secrets of Strixhaven</t>
  </si>
  <si>
    <t>Pay mana, tap: look at top card, may put it in graveyard</t>
  </si>
  <si>
    <t>Forest</t>
  </si>
  <si>
    <t>Basic Land</t>
  </si>
  <si>
    <t>Taps for {G}</t>
  </si>
  <si>
    <t>D2: Simic Guildgate (ordered); D2: Tranquil Expanse (ordered); D3: Llanowar Wastes; D3: Yavimaya Coast; D3: Selesnya Guildgate (ordered); D3: Thornwood Falls (ordered); D4: Krosan Verge (ordered)</t>
  </si>
  <si>
    <t>Fortified Village</t>
  </si>
  <si>
    <t>Enters untapped if you reveal a Forest or Plains card from hand</t>
  </si>
  <si>
    <t>Furycalm Snarl</t>
  </si>
  <si>
    <t>Enters tapped unless you reveal a Mountain or Plains from hand</t>
  </si>
  <si>
    <t>Glacial Fortress</t>
  </si>
  <si>
    <t>Taps for {W} or {U}</t>
  </si>
  <si>
    <t>Enters untapped if you control a Plains or Island</t>
  </si>
  <si>
    <t>Glittering Massif</t>
  </si>
  <si>
    <t>Mountain Plains</t>
  </si>
  <si>
    <t>Edge of Eternities Commander</t>
  </si>
  <si>
    <t>Discard for {2} to draw a card instead of playing it</t>
  </si>
  <si>
    <t>Goblin Burrows</t>
  </si>
  <si>
    <t>{1}{R}, {T}: Target Goblin creature gets +2/+0 until end of turn</t>
  </si>
  <si>
    <t>← covered by: D6 Mountain</t>
  </si>
  <si>
    <t>Goblin-town</t>
  </si>
  <si>
    <t>Taps for {B} or {R}</t>
  </si>
  <si>
    <t>{2}{B}{R}, {T}, Sacrifice: put two +1/+1 counters on target Goblin or Orc you control</t>
  </si>
  <si>
    <t>Grand Coliseum</t>
  </si>
  <si>
    <t>This land enters tapped</t>
  </si>
  <si>
    <t>{T}: Add one mana of any color. This land deals 1 damage to you</t>
  </si>
  <si>
    <t>← covered by: D3 Swamp (ordered from Game Theory; stand-in is temporary)</t>
  </si>
  <si>
    <t>ORDERED 2026-09-11 $0.40</t>
  </si>
  <si>
    <t>Hinterland Harbor</t>
  </si>
  <si>
    <t>Taps for {G} or {U}</t>
  </si>
  <si>
    <t>Enters untapped if you control a Forest or Island</t>
  </si>
  <si>
    <t>Island</t>
  </si>
  <si>
    <t>Taps for {U}</t>
  </si>
  <si>
    <t>D2: Adarkar Wastes; D2: Yavimaya Coast; D2: Azorius Guildgate (ordered); D2: Thornwood Falls (ordered); D3: Adarkar Wastes; D3: Azorius Guildgate (ordered)</t>
  </si>
  <si>
    <t>Isolated Chapel</t>
  </si>
  <si>
    <t>Enters tapped unless you control a Plains or Swamp</t>
  </si>
  <si>
    <t>Karn's Bastion</t>
  </si>
  <si>
    <t>Pay {4} and tap to proliferate</t>
  </si>
  <si>
    <t>Krosan Verge</t>
  </si>
  <si>
    <t>Judgment</t>
  </si>
  <si>
    <t>Sacrifice: search for a Forest and a Plains, put onto battlefield tapped</t>
  </si>
  <si>
    <t>← covered by: D4 Forest</t>
  </si>
  <si>
    <t>Llanowar Wastes</t>
  </si>
  <si>
    <t>Taps for {C}, or {B}/{G} at the cost of 1 damage to you</t>
  </si>
  <si>
    <t>← covered by: D3 Forest; D4 Swamp</t>
  </si>
  <si>
    <t>Lorehold Campus</t>
  </si>
  <si>
    <t>Pay {4}, tap: look at top card, may put it on bottom</t>
  </si>
  <si>
    <t>Lotus Field</t>
  </si>
  <si>
    <t>Taps for three mana of one color</t>
  </si>
  <si>
    <t>Sacrifice two lands when it enters</t>
  </si>
  <si>
    <t>Mirkwood</t>
  </si>
  <si>
    <t>Taps for {B} or {G}</t>
  </si>
  <si>
    <t>Sacrifice to put two +1/+1 counters on target Bear, Spider, or Wolf you control</t>
  </si>
  <si>
    <t>Mistveil Plains</t>
  </si>
  <si>
    <t>Plains</t>
  </si>
  <si>
    <t>Pay {W}, tap: put a card from graveyard on bottom of library</t>
  </si>
  <si>
    <t>Mountain</t>
  </si>
  <si>
    <t>D6: Den of the Bugbear; D6: Goblin Burrows</t>
  </si>
  <si>
    <t>Myriad Landscape</t>
  </si>
  <si>
    <t>Sacrifice: search for two basic lands sharing a land type, tapped</t>
  </si>
  <si>
    <t>Naya Panorama</t>
  </si>
  <si>
    <t>Sacrifice to search for a Mountain, Forest, or Plains card, put tapped</t>
  </si>
  <si>
    <t>Night Market</t>
  </si>
  <si>
    <t>Aetherdrift</t>
  </si>
  <si>
    <t>Taps for a chosen color</t>
  </si>
  <si>
    <t>Discard for {3} to draw a card instead of playing it</t>
  </si>
  <si>
    <t>Orzhov Basilica</t>
  </si>
  <si>
    <t>Taps for {W}{B}</t>
  </si>
  <si>
    <t>Path of Ancestry</t>
  </si>
  <si>
    <t>Commander 2017</t>
  </si>
  <si>
    <t>Taps for one mana in your commander's color identity</t>
  </si>
  <si>
    <t>Scry 1 when that mana casts a creature sharing a type with your commander</t>
  </si>
  <si>
    <t>D2: Brushland; D2: Command Tower; D2: Meandering River (ordered); D2: Selesnya Guildgate (ordered); D3: Brushland; D3: Caves of Koilos (ordered); D3: Command Tower; D3: Meandering River (ordered); D3: Tranquil Expanse (ordered); D4: Command Tower; D5: Command Tower; D5: Shineshadow Snarl</t>
  </si>
  <si>
    <t>Radiant Grove</t>
  </si>
  <si>
    <t>Forest Plains</t>
  </si>
  <si>
    <t>Radiant Summit</t>
  </si>
  <si>
    <t>Enters tapped unless you control two or more basic lands</t>
  </si>
  <si>
    <t>Reliquary Tower</t>
  </si>
  <si>
    <t>You have no maximum hand size</t>
  </si>
  <si>
    <t>Rugged Highlands</t>
  </si>
  <si>
    <t>Taps for {R} or {G}</t>
  </si>
  <si>
    <t>Rugged Prairie</t>
  </si>
  <si>
    <t>Eventide</t>
  </si>
  <si>
    <t>Pay a hybrid mana, tap: add two red and/or white mana</t>
  </si>
  <si>
    <t>Sacred Peaks</t>
  </si>
  <si>
    <t>Sandsteppe Citadel</t>
  </si>
  <si>
    <t>Taps for {W}, {B}, or {G}</t>
  </si>
  <si>
    <t>Scoured Barrens</t>
  </si>
  <si>
    <t>Seaside Citadel</t>
  </si>
  <si>
    <t>Taps for {G}, {W}, or {U}</t>
  </si>
  <si>
    <t>Shineshadow Snarl</t>
  </si>
  <si>
    <t>Enters untapped if you reveal a Plains or Swamp</t>
  </si>
  <si>
    <t>← covered by: D5 Plains</t>
  </si>
  <si>
    <t>Silverquill Campus</t>
  </si>
  <si>
    <t>Taps for {W} or {B} (enters tapped)</t>
  </si>
  <si>
    <t>{4}, tap: Scry 1</t>
  </si>
  <si>
    <t>Simic Guildgate</t>
  </si>
  <si>
    <t>Gate</t>
  </si>
  <si>
    <t>← covered by: D2 Forest (ordered from Game Theory; stand-in is temporary)</t>
  </si>
  <si>
    <t>ORDERED 2026-09-11 $0.70</t>
  </si>
  <si>
    <t>Stone Quarry</t>
  </si>
  <si>
    <t>Study Hall</t>
  </si>
  <si>
    <t>Commander 2021</t>
  </si>
  <si>
    <t>Pay {1}, tap: add one mana of any color</t>
  </si>
  <si>
    <t>Scries when that mana casts your commander</t>
  </si>
  <si>
    <t>Sunpetal Grove</t>
  </si>
  <si>
    <t>Enters untapped if you control a Forest or Plains</t>
  </si>
  <si>
    <t>Sunscorched Divide</t>
  </si>
  <si>
    <t>Fallout</t>
  </si>
  <si>
    <t>Pay {1}, tap: add {R}{W}</t>
  </si>
  <si>
    <t>Swamp</t>
  </si>
  <si>
    <t>Taps for {B}</t>
  </si>
  <si>
    <t>D3: Underground River; D3: Grand Coliseum (ordered); D3: Orzhov Guildgate (ordered); D3: Golgari Guildgate (ordered); D4: Llanowar Wastes; D4: Golgari Guildgate (ordered); D5: Concealed Courtyard (ordered); D5: Caves of Koilos</t>
  </si>
  <si>
    <t>Temple of Enlightenment</t>
  </si>
  <si>
    <t>Scry 1 when it enters</t>
  </si>
  <si>
    <t>Temple of Silence</t>
  </si>
  <si>
    <t>Enters tapped; scry 1 when it enters</t>
  </si>
  <si>
    <t>Temple of the False God</t>
  </si>
  <si>
    <t>Taps for {C}{C} if you control five or more lands</t>
  </si>
  <si>
    <t>Temple of Triumph</t>
  </si>
  <si>
    <t>Scries 1 when it enters</t>
  </si>
  <si>
    <t>Terramorphic Expanse</t>
  </si>
  <si>
    <t>Timber Gorge</t>
  </si>
  <si>
    <t>Turbulent Steppe</t>
  </si>
  <si>
    <t>Enters tapped unless opponents control 8+ lands</t>
  </si>
  <si>
    <t>Vault of the Archangel</t>
  </si>
  <si>
    <t>Dark Ascension</t>
  </si>
  <si>
    <t>{2}{W}{B}, tap: creatures you control gain deathtouch and lifelink</t>
  </si>
  <si>
    <t>Wind-Scarred Crag</t>
  </si>
  <si>
    <t>Woodland Cemetery</t>
  </si>
  <si>
    <t>This land enters tapped unless you control a Swamp or a Forest</t>
  </si>
  <si>
    <t>{T}: Add {B} or {G}</t>
  </si>
  <si>
    <t>Abigale, Eloquent First-Year</t>
  </si>
  <si>
    <t>Multi</t>
  </si>
  <si>
    <t>Bird Bard</t>
  </si>
  <si>
    <t>Up to one target creature loses all abilities and gains a flying, first strike, and lifelink counter when Abigale enters</t>
  </si>
  <si>
    <t>Adarkar Wastes</t>
  </si>
  <si>
    <t>{T}: Add {C}. / {T}: Add {W} or {U}. This land deals 1 damage to you.</t>
  </si>
  <si>
    <t>← covered by: D2 Island; D3 Island</t>
  </si>
  <si>
    <t>Ancient Lumberknot</t>
  </si>
  <si>
    <t>Treefolk</t>
  </si>
  <si>
    <t>Innistrad: Crimson Vow</t>
  </si>
  <si>
    <t>Each creature you control with toughness greater than its power assigns combat damage equal to its toughness rather than its power.</t>
  </si>
  <si>
    <t>← covered by: D4 Jaddi Offshoot</t>
  </si>
  <si>
    <t>Anguished Unmaking</t>
  </si>
  <si>
    <t>Exiles target nonland permanent</t>
  </si>
  <si>
    <t>You lose 3 life</t>
  </si>
  <si>
    <t>← covered by: D4 Feed the Swarm; D5 Terror</t>
  </si>
  <si>
    <t>Anim Pakal, Thousandth Moon</t>
  </si>
  <si>
    <t>Human Soldier</t>
  </si>
  <si>
    <t>The Lost Caverns of Ixalan</t>
  </si>
  <si>
    <t>Whenever you attack with one or more non-Gnome creatures, put a +1/+1 counter on Anim Pakal, then create X 1/1 colorless</t>
  </si>
  <si>
    <t>Arbaaz Mir</t>
  </si>
  <si>
    <t>Whenever a historic permanent you control enters, deals 1 damage to each opponent and gains you 1 life</t>
  </si>
  <si>
    <t>Arcades, the Strategist</t>
  </si>
  <si>
    <t>Elder Dragon</t>
  </si>
  <si>
    <t>Core Set 2019</t>
  </si>
  <si>
    <t>Draws a card whenever a creature you control with defender enters</t>
  </si>
  <si>
    <t>Creatures you control with defender deal damage equal to toughness and can attack</t>
  </si>
  <si>
    <t>Arno Dorian</t>
  </si>
  <si>
    <t>Other Assassins you control get +2/+0</t>
  </si>
  <si>
    <t>Can be cast face-down for {3}, later flipped for its cost</t>
  </si>
  <si>
    <t>Atraxa, Praetors' Voice</t>
  </si>
  <si>
    <t>Phyrexian Angel Horror</t>
  </si>
  <si>
    <t>Commander</t>
  </si>
  <si>
    <t>Proliferates at the beginning of your end step</t>
  </si>
  <si>
    <t>Destroys anything it deals damage to</t>
  </si>
  <si>
    <t>Azorius Guildgate</t>
  </si>
  <si>
    <t>This land enters tapped. / {T}: Add {W} or {U}.</t>
  </si>
  <si>
    <t>← covered by: D2 Island; D3 Island (ordered from Game Theory; stand-in is temporary)</t>
  </si>
  <si>
    <t>ORDERED 2026-09-11 $0.20</t>
  </si>
  <si>
    <t>Balefire Liege</t>
  </si>
  <si>
    <t>Spirit Horror</t>
  </si>
  <si>
    <t>Other red creatures get +1/+1; other white creatures get +1/+1</t>
  </si>
  <si>
    <t>Casting a red spell deals 3 damage to a player or planeswalker</t>
  </si>
  <si>
    <t>Casting a white spell gains you 3 life</t>
  </si>
  <si>
    <t>Bayek of Siwa</t>
  </si>
  <si>
    <t>Other historic creatures you control strike twice in combat during your turn</t>
  </si>
  <si>
    <t>Belligerent Brontodon</t>
  </si>
  <si>
    <t>Each creature you control assigns combat damage equal to its toughness rather than its power</t>
  </si>
  <si>
    <t>D4: Arbor Adherent</t>
  </si>
  <si>
    <t>Betor, Ancestor's Voice</t>
  </si>
  <si>
    <t>Spirit Dragon</t>
  </si>
  <si>
    <t>End step: put +1/+1 counters on a creature equal to life gained this turn</t>
  </si>
  <si>
    <t>End step: reanimate a creature MV ≤ life lost this turn</t>
  </si>
  <si>
    <t>Flying lifelink body</t>
  </si>
  <si>
    <t>Blot Out the Sky</t>
  </si>
  <si>
    <t>Create X tapped 2/1 white and black Inkling creature tokens with flying. If X is 6 or more, destroy all noncreature, non</t>
  </si>
  <si>
    <t>Boggart Cursecrafter</t>
  </si>
  <si>
    <t>Aristocrats Payoff</t>
  </si>
  <si>
    <t>Deals 1 damage to each opponent whenever another Goblin you control dies</t>
  </si>
  <si>
    <t>D5: Priest of Forgotten Gods</t>
  </si>
  <si>
    <t>Bolrac-Clan Crusher</t>
  </si>
  <si>
    <t>Ogre Warrior</t>
  </si>
  <si>
    <t>Remove a +1/+1 counter from a creature you control to deal 2 damage to any target</t>
  </si>
  <si>
    <t>Boros Charm</t>
  </si>
  <si>
    <t>Choose one —
• Boros Charm deals 4 damage to target player or planeswalker.
• Permanents you control gain indestructible</t>
  </si>
  <si>
    <t>Boros Signet</t>
  </si>
  <si>
    <t>{1}, {T}: Add {R}{W}</t>
  </si>
  <si>
    <t>← covered by: D1 Giant's Boulder</t>
  </si>
  <si>
    <t>Breena, the Demagogue</t>
  </si>
  <si>
    <t>Bird Warlock</t>
  </si>
  <si>
    <t>Whenever a player attacks one of your opponents, if that opponent has more life than another of your opponents, that att</t>
  </si>
  <si>
    <t>Brightclimb Pathway</t>
  </si>
  <si>
    <t>{T}: Add {W}.</t>
  </si>
  <si>
    <t>Chaos Spewer</t>
  </si>
  <si>
    <t>Enters: pay {2} or put two -1/-1 counters on a creature you control</t>
  </si>
  <si>
    <t>Chitinous Graspling</t>
  </si>
  <si>
    <t>Shapeshifter</t>
  </si>
  <si>
    <t>Changeling (it is every creature type)</t>
  </si>
  <si>
    <t>Reach</t>
  </si>
  <si>
    <t>Chulane, Teller of Tales</t>
  </si>
  <si>
    <t>Draw a card and may put a land from hand onto the battlefield whenever you cast a creature spell</t>
  </si>
  <si>
    <t>{3}, tap: return target creature you control to hand</t>
  </si>
  <si>
    <t>Vigilance body</t>
  </si>
  <si>
    <t>Clan Guildmage</t>
  </si>
  <si>
    <t>Target creature can't block this turn</t>
  </si>
  <si>
    <t>Target land becomes a 4/4 hasty Elemental until end of turn</t>
  </si>
  <si>
    <t>Cloudblazer</t>
  </si>
  <si>
    <t>Human Scout</t>
  </si>
  <si>
    <t>Gain 2 life and draw two cards when it enters</t>
  </si>
  <si>
    <t>Coiling Oracle</t>
  </si>
  <si>
    <t>Snake Elf Druid</t>
  </si>
  <si>
    <t>Reveals top card of library; puts it onto the battlefield if a land, otherwise to hand</t>
  </si>
  <si>
    <t>Colfenor, the Last Yew</t>
  </si>
  <si>
    <t>Treefolk Shaman</t>
  </si>
  <si>
    <t>Returns a creature card with lesser toughness from graveyard to hand when it or another creature you control dies</t>
  </si>
  <si>
    <t>Reach, vigilance body</t>
  </si>
  <si>
    <t>Corpse Knight</t>
  </si>
  <si>
    <t>Zombie Knight</t>
  </si>
  <si>
    <t>Whenever another creature you control enters, each opponent loses 1 life</t>
  </si>
  <si>
    <t>Cruel Celebrant</t>
  </si>
  <si>
    <t>Whenever it or another creature/planeswalker you control dies, each opponent loses 1 life and you gain 1 life</t>
  </si>
  <si>
    <t>Deathbringer Liege</t>
  </si>
  <si>
    <t>Other white creatures you control get +1/+1</t>
  </si>
  <si>
    <t>Other black creatures you control get +1/+1</t>
  </si>
  <si>
    <t>Whenever you cast a white spell, you may tap target creature</t>
  </si>
  <si>
    <t>Deepchannel Duelist</t>
  </si>
  <si>
    <t>Merfolk Soldier</t>
  </si>
  <si>
    <t>Other Merfolk you control get +1/+1</t>
  </si>
  <si>
    <t>Untaps target Merfolk you control at your end step</t>
  </si>
  <si>
    <t>Deputy of Detention</t>
  </si>
  <si>
    <t>Vedalken Wizard</t>
  </si>
  <si>
    <t>Exiles target nonland permanent and same-named copies its controller has until this leaves</t>
  </si>
  <si>
    <t>Despark</t>
  </si>
  <si>
    <t>Exiles target permanent with mana value 4 or greater</t>
  </si>
  <si>
    <t>Doran, the Siege Tower</t>
  </si>
  <si>
    <t>Each creature assigns combat damage equal to its toughness rather than its power.</t>
  </si>
  <si>
    <t>Dragonlord Dromoka</t>
  </si>
  <si>
    <t>Opponents can't cast spells during your turn</t>
  </si>
  <si>
    <t>This spell can't be countered</t>
  </si>
  <si>
    <t>Eerie Ultimatum</t>
  </si>
  <si>
    <t>Return any number of permanent cards with different names from your graveyard to the battlefield</t>
  </si>
  <si>
    <t>Elas il-Kor, Sadistic Pilgrim</t>
  </si>
  <si>
    <t>Phyrexian Kor Cleric</t>
  </si>
  <si>
    <t>Gains you 1 life whenever another creature you control enters</t>
  </si>
  <si>
    <t>Each opponent loses 1 life whenever another creature you control dies</t>
  </si>
  <si>
    <t>Deathtouch body</t>
  </si>
  <si>
    <t>Elenda, the Dusk Rose</t>
  </si>
  <si>
    <t>Vampire Knight</t>
  </si>
  <si>
    <t>Lifelink
Whenever another creature dies, put a +1/+1 counter on Elenda.
When Elenda dies, create X 1/1 white Vampire cre</t>
  </si>
  <si>
    <t>Emptiness</t>
  </si>
  <si>
    <t>Elemental Incarnation</t>
  </si>
  <si>
    <t>Enters: if {W}{W} was spent, return a creature card with mana value 3 or less from your graveyard to the battlefield</t>
  </si>
  <si>
    <t>Enters: if {B}{B} was spent, put three -1/-1 counters on up to one target creature</t>
  </si>
  <si>
    <t>Evoke {W/B}{W/B}: cast it cheaply by sacrificing it as it enters</t>
  </si>
  <si>
    <t>Excava, the Risen Past</t>
  </si>
  <si>
    <t>Spirit Horse</t>
  </si>
  <si>
    <t>Can attack the turn it enters</t>
  </si>
  <si>
    <t>Attacking returns a MV 3 or less artifact/creature/enchantment from graveyard as a 1/1 Spirit that gets exiled if it dies</t>
  </si>
  <si>
    <t>Ezuri, Stalker of Spheres</t>
  </si>
  <si>
    <t>Phyrexian Elf Warrior</t>
  </si>
  <si>
    <t>When Ezuri enters, you may pay {3}. If you do, proliferate twice</t>
  </si>
  <si>
    <t>Whenever you proliferate, draw a card</t>
  </si>
  <si>
    <t>← covered by: D3 Heirloom Auntie</t>
  </si>
  <si>
    <t>Faeburrow Elder</t>
  </si>
  <si>
    <t>Treefolk Druid</t>
  </si>
  <si>
    <t>Taps for one mana of each color among your permanents</t>
  </si>
  <si>
    <t>Gets +1/+1 for each color among your permanents</t>
  </si>
  <si>
    <t>Fearsome Goblin Pair</t>
  </si>
  <si>
    <t>When this creature dies, amass Goblins 4</t>
  </si>
  <si>
    <t>D6: Goblin Piledriver</t>
  </si>
  <si>
    <t>Feisty Spikeling</t>
  </si>
  <si>
    <t>Has first strike during your turn</t>
  </si>
  <si>
    <t>Felisa, Fang of Silverquill</t>
  </si>
  <si>
    <t>Mentor</t>
  </si>
  <si>
    <t>Whenever a nontoken creature you control dies, if it had counters on it, create X tapped 2/1 white and black Inkling cre</t>
  </si>
  <si>
    <t>Felothar the Steadfast</t>
  </si>
  <si>
    <t>Your creatures assign combat damage equal to toughness</t>
  </si>
  <si>
    <t>Your defender creatures can attack</t>
  </si>
  <si>
    <t>Sacrifice a creature: draw cards equal to its toughness, discard equal to power</t>
  </si>
  <si>
    <t>Fracture</t>
  </si>
  <si>
    <t>Destroy target artifact, enchantment, or planeswalker</t>
  </si>
  <si>
    <t>Gangly Stompling</t>
  </si>
  <si>
    <t>Counts as every creature type</t>
  </si>
  <si>
    <t>Deals excess combat damage to the defending player</t>
  </si>
  <si>
    <t>Golgari Guildgate</t>
  </si>
  <si>
    <t>This land enters tapped. / {T}: Add {B} or {G}.</t>
  </si>
  <si>
    <t>← covered by: D3 Swamp; D4 Swamp (ordered from Game Theory; stand-in is temporary)</t>
  </si>
  <si>
    <t>ORDERED 2026-09-11 $0.60</t>
  </si>
  <si>
    <t>Hidden Stockpile</t>
  </si>
  <si>
    <t>Aether Revolt</t>
  </si>
  <si>
    <t>End step: creates a 1/1 Servo token if a permanent left the battlefield under your control this turn</t>
  </si>
  <si>
    <t>{1}, sacrifice a creature: Scry 1</t>
  </si>
  <si>
    <t>Hofri Ghostforge</t>
  </si>
  <si>
    <t>Dwarf Cleric</t>
  </si>
  <si>
    <t>Spirits you control get +1/+1 and can attack the turn they enter</t>
  </si>
  <si>
    <t>Another nontoken creature dying lets you exile it and make a Spirit copy token</t>
  </si>
  <si>
    <t>Huatli, the Sun's Heart</t>
  </si>
  <si>
    <t>Huatli</t>
  </si>
  <si>
    <t>-3: gain life equal to the greatest toughness among your creatures</t>
  </si>
  <si>
    <t>Ikra Shidiqi, the Usurper</t>
  </si>
  <si>
    <t>Snake Wizard</t>
  </si>
  <si>
    <t>Gain life equal to a creature's toughness whenever it deals combat damage to a player</t>
  </si>
  <si>
    <t>Can have two commanders if paired with another partner commander</t>
  </si>
  <si>
    <t>Indulging Patrician</t>
  </si>
  <si>
    <t>Vampire Noble</t>
  </si>
  <si>
    <t>Each opponent loses 3 life at your end step if you gained 3 or more life that turn</t>
  </si>
  <si>
    <t>Inkshield</t>
  </si>
  <si>
    <t>Prevent all combat damage that would be dealt to you this turn. For each 1 damage prevented this way, create a 2/1 white</t>
  </si>
  <si>
    <t>Inspiring Vantage</t>
  </si>
  <si>
    <t>This land enters tapped unless you control two or fewer other lands.
{T}: Add {R} or {W}.</t>
  </si>
  <si>
    <t>Jungle Barrier</t>
  </si>
  <si>
    <t>Kambal, Consul of Allocation</t>
  </si>
  <si>
    <t>Human Advisor</t>
  </si>
  <si>
    <t>Whenever an opponent casts a noncreature spell, that player loses 2 life and you gain 2 life.</t>
  </si>
  <si>
    <t>Kambal, Profiteering Mayor</t>
  </si>
  <si>
    <t>Whenever one or more tokens your opponents control enter, for each of them, create a tapped token that's a copy of it. T</t>
  </si>
  <si>
    <t>Whenever one or more tokens you control enter, each opponent loses 1 life and you gain 1 life</t>
  </si>
  <si>
    <t>Kin-Tree Invocation</t>
  </si>
  <si>
    <t>Creates an X/X token, X = greatest toughness among your creatures</t>
  </si>
  <si>
    <t>Kiora's Follower</t>
  </si>
  <si>
    <t>Merfolk</t>
  </si>
  <si>
    <t>{T}: Untap another target permanent</t>
  </si>
  <si>
    <t>← covered by: D2 Weathered Wayfarer</t>
  </si>
  <si>
    <t>Kirol, History Buff // Pack a Punch</t>
  </si>
  <si>
    <t>Cards leaving your graveyard lets you cast a copy of its other half</t>
  </si>
  <si>
    <t>Other half: mill a card, put two +1/+1 counters on target creature</t>
  </si>
  <si>
    <t>Other half also lets that creature push through blockers this turn</t>
  </si>
  <si>
    <t>Knight of Autumn</t>
  </si>
  <si>
    <t>Dryad Knight</t>
  </si>
  <si>
    <t>Choose one when it enters: add two +1/+1 counters to itself, destroy target artifact/enchantment, or gain 4 life</t>
  </si>
  <si>
    <t>Lingering Souls</t>
  </si>
  <si>
    <t>Creates two 1/1 flying Spirit tokens</t>
  </si>
  <si>
    <t>Flashback {1}{B} to cast again from graveyard</t>
  </si>
  <si>
    <t>Lorehold Archivist // Restore Relic</t>
  </si>
  <si>
    <t>Dwarf Artificer</t>
  </si>
  <si>
    <t>Deals combat damage before normal-speed blockers</t>
  </si>
  <si>
    <t>Upkeep: if 3+ artifacts/creatures are in your graveyard, you may cast a copy of its other half</t>
  </si>
  <si>
    <t>Other half: exile an artifact or creature card from graveyard, create a copy token</t>
  </si>
  <si>
    <t>Lorehold Charm</t>
  </si>
  <si>
    <t>Interaction</t>
  </si>
  <si>
    <t>Choose one: each opponent sacrifices a nontoken artifact</t>
  </si>
  <si>
    <t>Or returns a MV 2 or less artifact/creature from graveyard to battlefield</t>
  </si>
  <si>
    <t>Or your creatures get +1/+1 and push through blockers this turn</t>
  </si>
  <si>
    <t>Lorehold Command</t>
  </si>
  <si>
    <t>Choose two —</t>
  </si>
  <si>
    <t>• Create a 3/2 red and white Spirit creature token</t>
  </si>
  <si>
    <t>• Creatures you control get +1/+0 and gain indestructible and haste until end of turn</t>
  </si>
  <si>
    <t>← covered by: D1 Stone by Sunlight</t>
  </si>
  <si>
    <t>Lorehold Excavation</t>
  </si>
  <si>
    <t>At the beginning of your end step, mill a card. If a land card was milled this way, you gain 1 life. Otherwise, this enc</t>
  </si>
  <si>
    <t>{5}, Exile a creature card from your graveyard: Create a tapped 3/2 red and white Spirit creature token</t>
  </si>
  <si>
    <t>Maralen, Fae Ascendant</t>
  </si>
  <si>
    <t>Elf Faerie Noble</t>
  </si>
  <si>
    <t>Exiles two cards from opponent's library on Elf/Faerie ETB</t>
  </si>
  <si>
    <t>Free-casts exiled spells with MV ≤ Elves/Faeries you control</t>
  </si>
  <si>
    <t>Meandering River</t>
  </si>
  <si>
    <t>← covered by: D2 Plains; D3 Plains (ordered from Game Theory; stand-in is temporary)</t>
  </si>
  <si>
    <t>Merfolk Skydiver</t>
  </si>
  <si>
    <t>Merfolk Mutant</t>
  </si>
  <si>
    <t>Puts a +1/+1 counter on target creature you control when it enters</t>
  </si>
  <si>
    <t>Pay {3}{G}{U} to proliferate</t>
  </si>
  <si>
    <t>Merrow Skyswimmer</t>
  </si>
  <si>
    <t>Enters: create a 1/1 white and blue Merfolk token</t>
  </si>
  <si>
    <t>Flying, vigilance</t>
  </si>
  <si>
    <t>Convoke: tap your creatures to help cast it</t>
  </si>
  <si>
    <t>Mirkwood Nurturer</t>
  </si>
  <si>
    <t>When this creature enters, return up to one other target permanent you control to its owner's hand. If you do, put a +1/</t>
  </si>
  <si>
    <t>Mistmeadow Witch</t>
  </si>
  <si>
    <t>Kithkin Wizard</t>
  </si>
  <si>
    <t>Exiles a creature, returning it at the next end step</t>
  </si>
  <si>
    <t>Momentary Blink</t>
  </si>
  <si>
    <t>Exiles then returns target creature you control</t>
  </si>
  <si>
    <t>Flashback {3}{U}</t>
  </si>
  <si>
    <t>Mortify</t>
  </si>
  <si>
    <t>Destroys target creature or enchantment</t>
  </si>
  <si>
    <t>Orzhov Guildgate</t>
  </si>
  <si>
    <t>This land enters tapped. / {T}: Add {W} or {B}.</t>
  </si>
  <si>
    <t>Platypus-Bear</t>
  </si>
  <si>
    <t>Platypus Bear</t>
  </si>
  <si>
    <t>Mills two cards when it enters</t>
  </si>
  <si>
    <t>Can attack if a Lesson is in your graveyard</t>
  </si>
  <si>
    <t>Pretending Poxbearers</t>
  </si>
  <si>
    <t>Human Citizen Ally</t>
  </si>
  <si>
    <t>Dies: create a 1/1 white Ally token</t>
  </si>
  <si>
    <t>Prideful Feastling</t>
  </si>
  <si>
    <t>Is every creature type</t>
  </si>
  <si>
    <t>D5: Windborn Muse</t>
  </si>
  <si>
    <t>Priest of Fell Rites</t>
  </si>
  <si>
    <t>Human Warlock</t>
  </si>
  <si>
    <t>Tap, pay 3 life, sacrifice: return target creature card from graveyard to the battlefield</t>
  </si>
  <si>
    <t>Unearth {3}{W}{B} to return from graveyard with haste temporarily</t>
  </si>
  <si>
    <t>Putrefy</t>
  </si>
  <si>
    <t>Destroys target artifact or creature; it can't be regenerated</t>
  </si>
  <si>
    <t>Quintorius Kand</t>
  </si>
  <si>
    <t>Quintorius</t>
  </si>
  <si>
    <t>Casting spells from exile deals 2 damage to each opponent and gains you 2 life</t>
  </si>
  <si>
    <t>+1: create a 3/2 Spirit token</t>
  </si>
  <si>
    <t>-3: Discover 4 (exile cards until a nonland MV 4 or less appears, cast or hand it free)</t>
  </si>
  <si>
    <t>Quintorius, Field Historian</t>
  </si>
  <si>
    <t>Elephant Cleric</t>
  </si>
  <si>
    <t>Spirits you control get +1/+0</t>
  </si>
  <si>
    <t>Whenever cards leave your graveyard, create a 3/2 Spirit token</t>
  </si>
  <si>
    <t>Quintorius, History Chaser</t>
  </si>
  <si>
    <t>+1: discard a card to draw two cards, then mill one</t>
  </si>
  <si>
    <t>-4: Spirits you control get extra combat abilities this turn</t>
  </si>
  <si>
    <t>Quintorius, Loremaster</t>
  </si>
  <si>
    <t>Vigilant 3/2ish body</t>
  </si>
  <si>
    <t>End step: exile a noncreature nonland card from graveyard, create a 3/2 Spirit token</t>
  </si>
  <si>
    <t>Sacrifice a Spirit: cast an exiled card for free this turn</t>
  </si>
  <si>
    <t>Ratonhnhaké꞉ton</t>
  </si>
  <si>
    <t>Unblockable and hexproof until it first deals damage</t>
  </si>
  <si>
    <t>Combat damage makes a 1/1 Assassin token</t>
  </si>
  <si>
    <t>Also reanimates target Equipment onto that token</t>
  </si>
  <si>
    <t>Reaping Willow</t>
  </si>
  <si>
    <t>Treefolk Cleric</t>
  </si>
  <si>
    <t>Enters with two -1/-1 counters on itself</t>
  </si>
  <si>
    <t>Remove counters: reanimate a creature card MV 3 or less</t>
  </si>
  <si>
    <t>Reconstruct History</t>
  </si>
  <si>
    <t>Return up to one target artifact card, up to one target enchantment card, up to one target instant card, up to one targe</t>
  </si>
  <si>
    <t>Exile Reconstruct History</t>
  </si>
  <si>
    <t>Reflector Mage</t>
  </si>
  <si>
    <t>Human Wizard</t>
  </si>
  <si>
    <t>Bounces target opponent creature to hand when it enters</t>
  </si>
  <si>
    <t>That creature's owner can't recast it until your next turn</t>
  </si>
  <si>
    <t>Rip Apart</t>
  </si>
  <si>
    <t>Choose one: deals 3 damage to target creature or planeswalker</t>
  </si>
  <si>
    <t>Or destroys target artifact or enchantment</t>
  </si>
  <si>
    <t>Risen Reef</t>
  </si>
  <si>
    <t>Card Advantage</t>
  </si>
  <si>
    <t>Whenever this creature or another Elemental you control enters, look at the top card of your library. If it's a land car</t>
  </si>
  <si>
    <t>Rocketeer Boostbuggy</t>
  </si>
  <si>
    <t>Creates a Treasure token whenever it attacks</t>
  </si>
  <si>
    <t>Pay {3} once to become a creature and get a +1/+1 counter</t>
  </si>
  <si>
    <t>Roon of the Hidden Realm</t>
  </si>
  <si>
    <t>Rhino Soldier</t>
  </si>
  <si>
    <t>Exiles another creature, returns it at next end step</t>
  </si>
  <si>
    <t>Repeatable via {2}, tap activated ability</t>
  </si>
  <si>
    <t>Sapling of Colfenor</t>
  </si>
  <si>
    <t>Attacking reveals top card; if creature, gain life equal to its toughness</t>
  </si>
  <si>
    <t>Lose life equal to that creature's power, then put it into hand</t>
  </si>
  <si>
    <t>Indestructible body</t>
  </si>
  <si>
    <t>Selesnya Guildgate</t>
  </si>
  <si>
    <t>This land enters tapped. / {T}: Add {G} or {W}.</t>
  </si>
  <si>
    <t>← covered by: D2 Plains; D3 Forest (ordered from Game Theory; stand-in is temporary)</t>
  </si>
  <si>
    <t>Senate Griffin</t>
  </si>
  <si>
    <t>Griffin</t>
  </si>
  <si>
    <t>Shadrix Silverquill</t>
  </si>
  <si>
    <t>Combat: choose two modes, each targeting a different player</t>
  </si>
  <si>
    <t>Modes make a 2/1 flying token, draw+lose life, or add +1/+1 counters</t>
  </si>
  <si>
    <t>Flying double strike body</t>
  </si>
  <si>
    <t>Shalai, Voice of Plenty</t>
  </si>
  <si>
    <t>Angel</t>
  </si>
  <si>
    <t>Dominaria</t>
  </si>
  <si>
    <t>You, your planeswalkers, and your other creatures can't be targeted by opponents</t>
  </si>
  <si>
    <t>Pay {4}{G}{G} to put a +1/+1 counter on each creature you control</t>
  </si>
  <si>
    <t>Sidar Kondo of Jamuraa</t>
  </si>
  <si>
    <t>Human Knight</t>
  </si>
  <si>
    <t>Evasion</t>
  </si>
  <si>
    <t>Your creatures with power 2 or less can't be blocked by creatures without flying or reach</t>
  </si>
  <si>
    <t>Soulherder</t>
  </si>
  <si>
    <t>End step: may exile then return another target creature you control</t>
  </si>
  <si>
    <t>Gets a +1/+1 counter whenever a creature is exiled from the battlefield</t>
  </si>
  <si>
    <t>Sunbaked Canyon</t>
  </si>
  <si>
    <t>{T}, Pay 1 life: Add {R} or {W}.
{1}, {T}, Sacrifice this land: Draw a card.</t>
  </si>
  <si>
    <t>Tatyova, Benthic Druid</t>
  </si>
  <si>
    <t>Merfolk Druid</t>
  </si>
  <si>
    <t>Landfall — Whenever a land you control enters, you gain 1 life and draw a card</t>
  </si>
  <si>
    <t>Teysa Karlov</t>
  </si>
  <si>
    <t>If a creature dying causes a triggered ability of a permanent you control to trigger, that ability triggers an additiona</t>
  </si>
  <si>
    <t>Thornwood Falls</t>
  </si>
  <si>
    <t>This land enters tapped. / When this land enters, you gain 1 life. / {</t>
  </si>
  <si>
    <t>← covered by: D2 Island; D3 Forest (ordered from Game Theory; stand-in is temporary)</t>
  </si>
  <si>
    <t>Thrilling Discovery</t>
  </si>
  <si>
    <t>Gain 2 life</t>
  </si>
  <si>
    <t>May discard two cards to draw three</t>
  </si>
  <si>
    <t>Tidus, Yuna's Guardian</t>
  </si>
  <si>
    <t>Final Fantasy Commander</t>
  </si>
  <si>
    <t>Moves a counter from one creature you control to another</t>
  </si>
  <si>
    <t>Draw a card and proliferate when countered creatures deal damage</t>
  </si>
  <si>
    <t>Tranquil Cove</t>
  </si>
  <si>
    <t>Tranquil Expanse</t>
  </si>
  <si>
    <t>← covered by: D2 Forest; D3 Plains (ordered from Game Theory; stand-in is temporary)</t>
  </si>
  <si>
    <t>Underground River</t>
  </si>
  <si>
    <t>{T}: Add {C}. / {T}: Add {U} or {B}. This land deals 1 damage to you.</t>
  </si>
  <si>
    <t>← covered by: D3 Swamp</t>
  </si>
  <si>
    <t>Utter End</t>
  </si>
  <si>
    <t>Venerable Warsinger</t>
  </si>
  <si>
    <t>Spirit Cleric</t>
  </si>
  <si>
    <t>Can attack past blockers while staying untapped</t>
  </si>
  <si>
    <t>Combat damage to a player returns a creature card from graveyard with MV up to that damage</t>
  </si>
  <si>
    <t>Vindicate</t>
  </si>
  <si>
    <t>Destroys target permanent of any type</t>
  </si>
  <si>
    <t>Voracious Tome-Skimmer</t>
  </si>
  <si>
    <t>Faerie Rogue</t>
  </si>
  <si>
    <t>Pay 1 life to draw a card when you cast on opponent's turn</t>
  </si>
  <si>
    <t>Warleader's Call</t>
  </si>
  <si>
    <t>Creatures you control get +1/+1</t>
  </si>
  <si>
    <t>Whenever a creature you control enters, this enchantment deals 1 damage to each opponent</t>
  </si>
  <si>
    <t>← covered by: D1 Vanguard of the Restless</t>
  </si>
  <si>
    <t>Wavesifter</t>
  </si>
  <si>
    <t>Creates two Clue tokens (sac, {2}: draw a card)</t>
  </si>
  <si>
    <t>Can be cast for its evoke cost, then sacrificed</t>
  </si>
  <si>
    <t>Yavimaya Coast</t>
  </si>
  <si>
    <t>{T}: Add {C}. / {T}: Add {G} or {U}. This land deals 1 damage to you.</t>
  </si>
  <si>
    <t>← covered by: D2 Island; D3 Forest</t>
  </si>
  <si>
    <t>Abrade</t>
  </si>
  <si>
    <t>R</t>
  </si>
  <si>
    <t>Hour of Devastation</t>
  </si>
  <si>
    <t>Deals 3 damage to target creature, or destroys target artifact</t>
  </si>
  <si>
    <t>Advanced Reconstruction</t>
  </si>
  <si>
    <t>Main phase: mill a card, then exile a random graveyard card you may play this turn</t>
  </si>
  <si>
    <t>Level 2: deals 2 damage to each opponent when cards leave your graveyard</t>
  </si>
  <si>
    <t>Level 3: spells cast from anywhere but hand cost {2} less</t>
  </si>
  <si>
    <t>Akoum Hellhound</t>
  </si>
  <si>
    <t>Elemental Dog</t>
  </si>
  <si>
    <t>Gets +2/+2 until end of turn when a land you control enters</t>
  </si>
  <si>
    <t>D6: Reckless Bushwhacker</t>
  </si>
  <si>
    <t>Alexios, Deimos of Kosmos</t>
  </si>
  <si>
    <t>Human Berserker</t>
  </si>
  <si>
    <t>Must attack each combat, can't be sacrificed or attack you</t>
  </si>
  <si>
    <t>Passes to whoever's upkeep it is, untapped with a +1/+1 counter and haste</t>
  </si>
  <si>
    <t>Trample body that grows every turn cycle</t>
  </si>
  <si>
    <t>D6: Skirk Fire Marshal</t>
  </si>
  <si>
    <t>Anger</t>
  </si>
  <si>
    <t>Incarnation</t>
  </si>
  <si>
    <t>While in your graveyard with a Mountain, your creatures can attack the turn they enter</t>
  </si>
  <si>
    <t>Atsushi, the Blazing Sky</t>
  </si>
  <si>
    <t>Dragon Spirit</t>
  </si>
  <si>
    <t>Flying body that deals extra combat damage through blockers</t>
  </si>
  <si>
    <t>Dies: exile top two library cards to play until next turn's end</t>
  </si>
  <si>
    <t>Or dies: create three Treasure tokens</t>
  </si>
  <si>
    <t>Barrage of Expendables</t>
  </si>
  <si>
    <t>Magic 2014</t>
  </si>
  <si>
    <t>{R}, sacrifice a creature: deals 1 damage to any target</t>
  </si>
  <si>
    <t>Battle Hymn</t>
  </si>
  <si>
    <t>Add {R} for each creature you control</t>
  </si>
  <si>
    <t>← covered by: D6 Explorer's Scope</t>
  </si>
  <si>
    <t>Beetleback Chief</t>
  </si>
  <si>
    <t>Goblin Warrior</t>
  </si>
  <si>
    <t>Planechase 2012</t>
  </si>
  <si>
    <t>Creates two 1/1 Goblin tokens when it enters</t>
  </si>
  <si>
    <t>Big Score</t>
  </si>
  <si>
    <t>Discard a card to draw two cards and create two Treasure tokens</t>
  </si>
  <si>
    <t>Blasphemous Act</t>
  </si>
  <si>
    <t>Deals 13 damage to each creature</t>
  </si>
  <si>
    <t>Costs {1} less for each creature on the battlefield</t>
  </si>
  <si>
    <t>Bloodthirsty Adversary</t>
  </si>
  <si>
    <t>Haste</t>
  </si>
  <si>
    <t>When this creature enters, you may pay {2}{R} any number of times. When you pay this cost one or more times, put that ma</t>
  </si>
  <si>
    <t>Boar-q-pine</t>
  </si>
  <si>
    <t>Boar Porcupine</t>
  </si>
  <si>
    <t>Gets a +1/+1 counter whenever you cast a noncreature spell</t>
  </si>
  <si>
    <t>Bolt Bend</t>
  </si>
  <si>
    <t>Avatar: The Last Airbender Eternal</t>
  </si>
  <si>
    <t>This spell costs {3} less to cast if you control a creature with power 4 or greater.
Change the target of target spell or ability with a single target.</t>
  </si>
  <si>
    <t>Brightstone Ritual</t>
  </si>
  <si>
    <t>Add {R} for each Goblin on the battlefield</t>
  </si>
  <si>
    <t>Burning Curiosity</t>
  </si>
  <si>
    <t>Exiles top two cards of library to play until end of next turn</t>
  </si>
  <si>
    <t>Optionally put a -1/-1 counter on a creature to exile three instead</t>
  </si>
  <si>
    <t>Cathartic Pyre</t>
  </si>
  <si>
    <t>Deals 3 damage to a creature or planeswalker</t>
  </si>
  <si>
    <t>Or discard up to two cards and draw that many</t>
  </si>
  <si>
    <t>Cathartic Reunion</t>
  </si>
  <si>
    <t>Discard two cards to draw three cards</t>
  </si>
  <si>
    <t>Chancellor of the Forge</t>
  </si>
  <si>
    <t>Phyrexian Giant</t>
  </si>
  <si>
    <t>You may reveal this card from your opening hand. If you do, at the beginning of the first upkeep, create a 1/1 red Phyre</t>
  </si>
  <si>
    <t>When this creature enters, create X 1/1 red Phyrexian Goblin creature tokens with haste, where X is the number of creatu</t>
  </si>
  <si>
    <t>← covered by: D6 Hanweir Garrison</t>
  </si>
  <si>
    <t>Chaos Warp</t>
  </si>
  <si>
    <t>Shuffles target permanent into its owner's library, who may hit a new permanent off the top</t>
  </si>
  <si>
    <t>Cinder Strike</t>
  </si>
  <si>
    <t>Deals 2 damage to target creature</t>
  </si>
  <si>
    <t>Deals 4 instead if you put a -1/-1 counter on a creature you control</t>
  </si>
  <si>
    <t>Combustion Technique</t>
  </si>
  <si>
    <t>Deals 2 plus Lesson cards in graveyard damage to target creature</t>
  </si>
  <si>
    <t>Exiles that creature instead of letting it die this turn</t>
  </si>
  <si>
    <t>Conspicuous Snoop</t>
  </si>
  <si>
    <t>Goblin Rogue</t>
  </si>
  <si>
    <t>Play with the top card of your library revealed.
You may cast Goblin spells from the top of your library.
As long as the</t>
  </si>
  <si>
    <t>Conspiracy Theorist</t>
  </si>
  <si>
    <t>Attacking lets you pay {1} and discard a card to draw a card</t>
  </si>
  <si>
    <t>Discarding a nonland card lets you exile it and cast it this turn</t>
  </si>
  <si>
    <t>Den of the Bugbear</t>
  </si>
  <si>
    <t>If you control two or more other lands, this land enters tapped.
{T}: Add {R}.
{3}{R}: Until end of turn, this land beco</t>
  </si>
  <si>
    <t>Dragon Fodder</t>
  </si>
  <si>
    <t>Creates two 1/1 Goblin tokens</t>
  </si>
  <si>
    <t>Dwarven Mauler</t>
  </si>
  <si>
    <t>Dwarf Warrior</t>
  </si>
  <si>
    <t>Reduces equip costs targeting itself by {2}</t>
  </si>
  <si>
    <t>Cheap 1-drop body</t>
  </si>
  <si>
    <t>Empty the Warrens</t>
  </si>
  <si>
    <t>Copied for each spell already cast this turn (Storm)</t>
  </si>
  <si>
    <t>Enraged Flamecaster</t>
  </si>
  <si>
    <t>Elemental Sorcerer</t>
  </si>
  <si>
    <t>Burn</t>
  </si>
  <si>
    <t>Deals 2 damage to each opponent when you cast a spell MV 4 or greater</t>
  </si>
  <si>
    <t>Explosive Prodigy</t>
  </si>
  <si>
    <t>Enters: deals X damage to target creature an opponent controls, where X is the number of colors among your permanents</t>
  </si>
  <si>
    <t>Fable of the Mirror-Breaker</t>
  </si>
  <si>
    <t>Saga</t>
  </si>
  <si>
    <t>(As this Saga enters and after your draw step, add a lore counter.)
I — Create a 2/2 red Goblin Shaman creature token wi</t>
  </si>
  <si>
    <t>Faithless Looting</t>
  </si>
  <si>
    <t>Draw two cards, then discard two cards</t>
  </si>
  <si>
    <t>Flashback lets you cast it again from graveyard</t>
  </si>
  <si>
    <t>Fanatical Firebrand</t>
  </si>
  <si>
    <t>Goblin Pirate</t>
  </si>
  <si>
    <t>Sacrifice: deals 1 damage to any target</t>
  </si>
  <si>
    <t>Can attack immediately (haste)</t>
  </si>
  <si>
    <t>Fateful Tempest</t>
  </si>
  <si>
    <t>Deals damage to each opponent equal to mana value milled by votes</t>
  </si>
  <si>
    <t>Exiles cards you may play until end of next turn for present votes</t>
  </si>
  <si>
    <t>Fervor</t>
  </si>
  <si>
    <t>Creatures you control have haste. (They can attack and {T} as soon as they come under your control.)</t>
  </si>
  <si>
    <t>Fire Diamond</t>
  </si>
  <si>
    <t>Taps for {R} (enters tapped)</t>
  </si>
  <si>
    <t>Foundry Street Denizen</t>
  </si>
  <si>
    <t>Gets +1/+0 until end of turn whenever another red creature you control enters</t>
  </si>
  <si>
    <t>Getaway Barrel</t>
  </si>
  <si>
    <t>When this artifact is put into a graveyard from the battlefield, reveal the top thirteen cards of your library. Put a ra</t>
  </si>
  <si>
    <t>Ghor-Clan Wrecker</t>
  </si>
  <si>
    <t>Enters with a +1/+1 counter or haste, your choice</t>
  </si>
  <si>
    <t>Can't be blocked except by two or more creatures</t>
  </si>
  <si>
    <t>Goblin Bombardment</t>
  </si>
  <si>
    <t>Sacrifice a creature: deals 1 damage to any target</t>
  </si>
  <si>
    <t>Goblin Chieftain</t>
  </si>
  <si>
    <t xml:space="preserve">Haste (This creature can attack and {T} as soon as it comes under your control.)
Other Goblin creatures you control get </t>
  </si>
  <si>
    <t>Goblin Gathering</t>
  </si>
  <si>
    <t>Creates two 1/1 Goblin tokens, plus one more per copy in your graveyard</t>
  </si>
  <si>
    <t>Goblin Instigator</t>
  </si>
  <si>
    <t>Creates a 1/1 Goblin token when it enters</t>
  </si>
  <si>
    <t>Goblin Lackey</t>
  </si>
  <si>
    <t>Whenever this creature deals damage to a player, you may put a Goblin permanent card from your hand onto the battlefield</t>
  </si>
  <si>
    <t>Goblin Matron</t>
  </si>
  <si>
    <t>Portal Second Age</t>
  </si>
  <si>
    <t>Searches library for a Goblin card to hand when it enters</t>
  </si>
  <si>
    <t>Goblin Motivator</t>
  </si>
  <si>
    <t>Tap: target creature gains haste until end of turn</t>
  </si>
  <si>
    <t>Goblin Oriflamme</t>
  </si>
  <si>
    <t>Attacking creatures you control get +1/+0</t>
  </si>
  <si>
    <t>Goblin Piledriver</t>
  </si>
  <si>
    <t>Protection from blue (This creature can't be blocked, targeted, dealt damage, or enchanted by anything blue.)
Whenever t</t>
  </si>
  <si>
    <t>← covered by: D6 Fearsome Goblin Pair</t>
  </si>
  <si>
    <t>Goblin Rabblemaster</t>
  </si>
  <si>
    <t>Magic 2015 Promos</t>
  </si>
  <si>
    <t>Creates a 1/1 Goblin that must attack at each of your combats</t>
  </si>
  <si>
    <t>Gets +1/+0 per other attacking Goblin; other Goblins must attack</t>
  </si>
  <si>
    <t>Goblin Rally</t>
  </si>
  <si>
    <t>Creates four 1/1 Goblin tokens</t>
  </si>
  <si>
    <t>D6: Pashalik Mons</t>
  </si>
  <si>
    <t>Goblin Recruiter</t>
  </si>
  <si>
    <t>Visions</t>
  </si>
  <si>
    <t>When this creature enters, search your library for any number of Goblin cards, reveal them, then shuffle and put those c</t>
  </si>
  <si>
    <t>Goblin Ringleader</t>
  </si>
  <si>
    <t>Reveals top four cards, puts all Goblin cards found into hand</t>
  </si>
  <si>
    <t>Can attack immediately when it enters (haste)</t>
  </si>
  <si>
    <t>Goblin Trashmaster</t>
  </si>
  <si>
    <t>Other Goblins you control get +1/+1.
Sacrifice a Goblin: Destroy target artifact.</t>
  </si>
  <si>
    <t>Goblin Warchief</t>
  </si>
  <si>
    <t>Goblin spells you cast cost {1} less</t>
  </si>
  <si>
    <t>Goblins you control have haste</t>
  </si>
  <si>
    <t>Great Furnace</t>
  </si>
  <si>
    <t>Artifact Land</t>
  </si>
  <si>
    <t>Gristle Glutton</t>
  </si>
  <si>
    <t>Goblin Scout</t>
  </si>
  <si>
    <t>Put a -1/-1 counter on a creature to loot (discard then draw)</t>
  </si>
  <si>
    <t>Gundabad Opportunist</t>
  </si>
  <si>
    <t>Exiles the top card of your library when it enters; you may play it until your next turn ends</t>
  </si>
  <si>
    <t>Hanweir Garrison</t>
  </si>
  <si>
    <t>Creates two 1/1 Human tokens, tapped and attacking, whenever it attacks</t>
  </si>
  <si>
    <t>D6: Chancellor of the Forge</t>
  </si>
  <si>
    <t>Hobgoblin Bandit Lord</t>
  </si>
  <si>
    <t>Other Goblins you control get +1/+1.
{R}, {T}: This creature deals damage equal to the number of Goblins that entered the battlefield under your control this turn to any target.</t>
  </si>
  <si>
    <t>← covered by: D6 Squee, Dubious Monarch</t>
  </si>
  <si>
    <t>Hordeling Outburst</t>
  </si>
  <si>
    <t>Creates three 1/1 Goblin tokens</t>
  </si>
  <si>
    <t>Impact Tremors</t>
  </si>
  <si>
    <t>Whenever a creature you control enters, deals 1 damage to each opponent</t>
  </si>
  <si>
    <t>Iron Hills Stalwart</t>
  </si>
  <si>
    <t>Reach, trample</t>
  </si>
  <si>
    <t>Enters: attach target Equipment you control to up to one target creature you control</t>
  </si>
  <si>
    <t>Jeska's Will</t>
  </si>
  <si>
    <t>Choose one. If you control a commander as you cast this spell, you may choose both instead</t>
  </si>
  <si>
    <t>• Add {R} for each card in target opponent's hand</t>
  </si>
  <si>
    <t>• Exile the top three cards of your library. You may play them this turn</t>
  </si>
  <si>
    <t>Kher Keep</t>
  </si>
  <si>
    <t>Legendary Land</t>
  </si>
  <si>
    <t>{1}{R}, tap: creates a 0/1 Kobold token</t>
  </si>
  <si>
    <t>Kiki-Jiki, Mirror Breaker</t>
  </si>
  <si>
    <t>Goblin Shaman</t>
  </si>
  <si>
    <t xml:space="preserve">{T}: Create a token that's a copy of target nonlegendary creature you control, except it has haste. Sacrifice it at the </t>
  </si>
  <si>
    <t>Krenko, Mob Boss</t>
  </si>
  <si>
    <t>Magic 2013</t>
  </si>
  <si>
    <t>Tap: creates X 1/1 Goblin tokens, X = Goblins you control</t>
  </si>
  <si>
    <t>Krenko, Tin Street Kingpin</t>
  </si>
  <si>
    <t>Whenever Krenko attacks, put a +1/+1 counter on it, then create a number of 1/1 red Goblin creature tokens equal to Kren</t>
  </si>
  <si>
    <t>Krenko's Command</t>
  </si>
  <si>
    <t>Kulrath Zealot</t>
  </si>
  <si>
    <t>Elemental Warrior</t>
  </si>
  <si>
    <t>Exiles top card of library to play until end of next turn</t>
  </si>
  <si>
    <t>Can discard for {1}{R} to tutor a basic land to hand</t>
  </si>
  <si>
    <t>Laelia, the Blade Reforged</t>
  </si>
  <si>
    <t>Spirit Warrior</t>
  </si>
  <si>
    <t>Attacking exiles the top library card to play this turn</t>
  </si>
  <si>
    <t>Gets a +1/+1 counter whenever cards are exiled from library or graveyard</t>
  </si>
  <si>
    <t>Legion Warboss</t>
  </si>
  <si>
    <t>Combat: creates a hasty 1/1 Goblin token that attacks</t>
  </si>
  <si>
    <t>Puts a +1/+1 counter on an attacker with lesser power</t>
  </si>
  <si>
    <t>Light Up the Stage</t>
  </si>
  <si>
    <t>Exiles top two cards of library; may play them until end of next turn</t>
  </si>
  <si>
    <t>Castable for {R} if an opponent lost life this turn</t>
  </si>
  <si>
    <t>Massive Raid</t>
  </si>
  <si>
    <t>Massive Raid deals damage to any target equal to the number of creatures you control</t>
  </si>
  <si>
    <t>Mizzix's Mastery</t>
  </si>
  <si>
    <t>Commander 2015</t>
  </si>
  <si>
    <t xml:space="preserve">Exile target card that's an instant or sorcery from your graveyard. For each card exiled this way, copy it, and you may </t>
  </si>
  <si>
    <t>Overload {5}{R}{R}{R}</t>
  </si>
  <si>
    <t>Mogg War Marshal</t>
  </si>
  <si>
    <t>Creates a 1/1 Goblin token when it enters or dies</t>
  </si>
  <si>
    <t>Sacrifice it next upkeep unless you pay {1}{R} (Echo)</t>
  </si>
  <si>
    <t>Molten Echoes</t>
  </si>
  <si>
    <t>Commander 2020</t>
  </si>
  <si>
    <t xml:space="preserve">As this enchantment enters, choose a creature type.
Whenever a nontoken creature you control of the chosen type enters, </t>
  </si>
  <si>
    <t>Monastery Raid</t>
  </si>
  <si>
    <t>Exiles top two cards to play until end of next turn</t>
  </si>
  <si>
    <t>Freerunning lets you pay {X}{R} to exile X cards instead</t>
  </si>
  <si>
    <t>Muxus, Goblin Grandee</t>
  </si>
  <si>
    <t>Goblin Noble</t>
  </si>
  <si>
    <t>When Muxus enters, reveal the top six cards of your library. Put all Goblin creature cards with mana value 5 or less fro</t>
  </si>
  <si>
    <t>Naktamun Lorespinner // Wheel of Fortune</t>
  </si>
  <si>
    <t>Jackal Wizard</t>
  </si>
  <si>
    <t>Wheel</t>
  </si>
  <si>
    <t>Front: becomes prepared to recast its spell when a player is low on cards</t>
  </si>
  <si>
    <t>Back (Wheel of Fortune): each player discards hand, draws seven</t>
  </si>
  <si>
    <t>Ogre Battledriver</t>
  </si>
  <si>
    <t>Other creatures get +2/+0 and haste when they enter</t>
  </si>
  <si>
    <t>Outpost Siege</t>
  </si>
  <si>
    <t>Choose a mode as it enters</t>
  </si>
  <si>
    <t>Khans: each upkeep, exile top card and may play it this turn</t>
  </si>
  <si>
    <t>Dragons: whenever a creature you control leaves the battlefield, deals 1 damage to any target</t>
  </si>
  <si>
    <t>Pashalik Mons</t>
  </si>
  <si>
    <t>Whenever Pashalik Mons or another Goblin you control dies, Pashalik Mons deals 1 damage to any target.
{3}{R}, Sacrifice</t>
  </si>
  <si>
    <t>← covered by: D6 Goblin Rally</t>
  </si>
  <si>
    <t>Professional Face-Breaker</t>
  </si>
  <si>
    <t>Streets of New Capenna Promos</t>
  </si>
  <si>
    <t>Menace
Whenever one or more creatures you control deal combat damage to a player, create a Treasure token.
Sacrifice a T</t>
  </si>
  <si>
    <t>Purphoros, God of the Forge</t>
  </si>
  <si>
    <t>Legendary Enchantment Creature</t>
  </si>
  <si>
    <t>Deals 2 damage to each opponent when another creature you control enters</t>
  </si>
  <si>
    <t>{2}{R}: your creatures get +1/+0 until end of turn</t>
  </si>
  <si>
    <t>Indestructible; only a creature at devotion to red 5+</t>
  </si>
  <si>
    <t>Purphoros's Intervention</t>
  </si>
  <si>
    <t>Theros Beyond Death</t>
  </si>
  <si>
    <t>X damage to target creature/planeswalker, or make an X/1 hasty trampler</t>
  </si>
  <si>
    <t>Quest for the Goblin Lord</t>
  </si>
  <si>
    <t>Gains a quest counter whenever a Goblin you control enters</t>
  </si>
  <si>
    <t>At five or more counters, your creatures get +2/+0</t>
  </si>
  <si>
    <t>Ragged Short Spear</t>
  </si>
  <si>
    <t>Enters: discard a card to draw two</t>
  </si>
  <si>
    <t>Equipped creature gets +2/+0</t>
  </si>
  <si>
    <t>Raid Bombardment</t>
  </si>
  <si>
    <t>Whenever a creature you control with power 2 or less attacks, deals 1 damage to what it's attacking</t>
  </si>
  <si>
    <t>Reckless Bushwhacker</t>
  </si>
  <si>
    <t>Goblin Warrior Ally</t>
  </si>
  <si>
    <t>Surge {1}{R}</t>
  </si>
  <si>
    <t>When this creature enters, if its surge cost was paid, other creatures you control get +1/+0 and gain haste until end of</t>
  </si>
  <si>
    <t>← covered by: D6 Akoum Hellhound</t>
  </si>
  <si>
    <t>Reckless Ransacking</t>
  </si>
  <si>
    <t>Target creature gets +3/+2 until end of turn</t>
  </si>
  <si>
    <t>Creates a Treasure token</t>
  </si>
  <si>
    <t>Relic Retriever</t>
  </si>
  <si>
    <t>Spirit Monkey</t>
  </si>
  <si>
    <t>End step: create a Treasure token if a card left your graveyard this turn</t>
  </si>
  <si>
    <t>Rummaging Goblin</t>
  </si>
  <si>
    <t>Tap, discard a card: draw a card</t>
  </si>
  <si>
    <t>Rundvelt Hordemaster</t>
  </si>
  <si>
    <t>Other Goblins you control get +1/+1.
Whenever this creature or another Goblin you control dies, exile the top card of yo</t>
  </si>
  <si>
    <t>Seize the Spoils</t>
  </si>
  <si>
    <t>Discard a card as an additional cost</t>
  </si>
  <si>
    <t>Draw two cards and create a Treasure token</t>
  </si>
  <si>
    <t>Shared Animosity</t>
  </si>
  <si>
    <t>Whenever a creature you control attacks, it gets +1/+0 until end of turn for each other attacking creature that shares a</t>
  </si>
  <si>
    <t>Siege Smash</t>
  </si>
  <si>
    <t>Split second: nobody can respond while it is on the stack</t>
  </si>
  <si>
    <t>Destroys an artifact</t>
  </si>
  <si>
    <t>Or gives a creature +3/+2 and trample</t>
  </si>
  <si>
    <t>Siege-Gang Commander</t>
  </si>
  <si>
    <t>Creates three 1/1 Goblin tokens when it enters</t>
  </si>
  <si>
    <t>{1}{R}, sacrifice a Goblin: deals 2 damage to any target</t>
  </si>
  <si>
    <t>Skirk Fire Marshal</t>
  </si>
  <si>
    <t>Protection from red</t>
  </si>
  <si>
    <t>Tap five untapped Goblins you control: This creature deals 10 damage to each creature and each player</t>
  </si>
  <si>
    <t>← covered by: D6 Alexios, Deimos of Kosmos</t>
  </si>
  <si>
    <t>Skirk Prospector</t>
  </si>
  <si>
    <t>Sacrifice a Goblin: add {R}</t>
  </si>
  <si>
    <t>Sourbread Auntie</t>
  </si>
  <si>
    <t>May put two -1/-1 counters on a creature to make two Goblin tokens</t>
  </si>
  <si>
    <t>Spirit of Resilience</t>
  </si>
  <si>
    <t>Gets a +1/+1 counter whenever cards leave your graveyard</t>
  </si>
  <si>
    <t>May become a copy of an artifact/creature card that just left your graveyard until end of turn</t>
  </si>
  <si>
    <t>Squee, Dubious Monarch</t>
  </si>
  <si>
    <t>Attacking creates a tapped and attacking 1/1 Goblin token</t>
  </si>
  <si>
    <t>Can be cast from graveyard by exiling four other graveyard cards instead of paying its cost</t>
  </si>
  <si>
    <t>D6: Hobgoblin Bandit Lord</t>
  </si>
  <si>
    <t>Squee, Goblin Nabob</t>
  </si>
  <si>
    <t>Upkeep: you may return this card from graveyard to your hand</t>
  </si>
  <si>
    <t>Squee, the Immortal</t>
  </si>
  <si>
    <t>You may cast this card from your graveyard or from exile</t>
  </si>
  <si>
    <t>Tempt with Vengeance</t>
  </si>
  <si>
    <t>Creates X 1/1 hasty Elemental tokens</t>
  </si>
  <si>
    <t>Opponents may match it, then you get that many more tokens</t>
  </si>
  <si>
    <t>Thrill of Possibility</t>
  </si>
  <si>
    <t>Draw two cards</t>
  </si>
  <si>
    <t>Tidings of War</t>
  </si>
  <si>
    <t>Amass Goblins 1. If this spell was cast from a graveyard, amass Goblins 3 instead</t>
  </si>
  <si>
    <t>Flashback {3}{R}</t>
  </si>
  <si>
    <t>Tweeze</t>
  </si>
  <si>
    <t>Deals 3 damage to any target</t>
  </si>
  <si>
    <t>May discard a card to draw a card</t>
  </si>
  <si>
    <t>Underworld Breach</t>
  </si>
  <si>
    <t xml:space="preserve">Each nonland card in your graveyard has escape. The escape cost is equal to the card's mana cost plus exile three other </t>
  </si>
  <si>
    <t>Unexpected Windfall</t>
  </si>
  <si>
    <t>As an additional cost to cast this spell, discard a card</t>
  </si>
  <si>
    <t>Draw two cards and create two Treasure tokens</t>
  </si>
  <si>
    <t>Valakut Exploration</t>
  </si>
  <si>
    <t>A land you control entering exiles the top library card, playable while exiled</t>
  </si>
  <si>
    <t>End step: cards exiled this way go to graveyard and deal that much damage to each opponent</t>
  </si>
  <si>
    <t>Vandalblast</t>
  </si>
  <si>
    <t>Destroys target artifact you don't control</t>
  </si>
  <si>
    <t>Overload {4}{R}: destroys every artifact you don't control</t>
  </si>
  <si>
    <t>Voldaren Epicure</t>
  </si>
  <si>
    <t>Deals 1 damage to each opponent when it enters</t>
  </si>
  <si>
    <t>Creates a Blood token (sacrifice + discard: draw a card)</t>
  </si>
  <si>
    <t>Witty Roastmaster</t>
  </si>
  <si>
    <t>Devil Citizen</t>
  </si>
  <si>
    <t>Whenever another creature you control enters, deals 1 damage to each opponent</t>
  </si>
  <si>
    <t>Aetherize</t>
  </si>
  <si>
    <t>U</t>
  </si>
  <si>
    <t>Returns all attacking creatures to their owners' hands</t>
  </si>
  <si>
    <t>Bilbo Baggins, Burglar</t>
  </si>
  <si>
    <t>Halfling Rogue</t>
  </si>
  <si>
    <t>Draw a card when Bilbo enters</t>
  </si>
  <si>
    <t>Adventure: Scry 2 before casting the creature</t>
  </si>
  <si>
    <t>Blizzard Strix</t>
  </si>
  <si>
    <t>Snow Creature</t>
  </si>
  <si>
    <t>Bird</t>
  </si>
  <si>
    <t>Exiles target permanent when it enters if you control a snow permanent</t>
  </si>
  <si>
    <t>Returns that permanent at the next end step</t>
  </si>
  <si>
    <t>D2: Restoration Angel</t>
  </si>
  <si>
    <t>Contentious Plan</t>
  </si>
  <si>
    <t>Draw a card</t>
  </si>
  <si>
    <t>← covered by: D3 Moment of Glory</t>
  </si>
  <si>
    <t>Counterspell</t>
  </si>
  <si>
    <t>Counters target spell</t>
  </si>
  <si>
    <t>Deepglow Skate</t>
  </si>
  <si>
    <t>Fish</t>
  </si>
  <si>
    <t>Doubles each kind of counter on any number of target permanents when it enters</t>
  </si>
  <si>
    <t>Divert Disaster</t>
  </si>
  <si>
    <t>Edge of Eternities</t>
  </si>
  <si>
    <t>Counters a spell unless its controller pays 2</t>
  </si>
  <si>
    <t>If they pay, you get a Lander token that fetches a tapped basic</t>
  </si>
  <si>
    <t>Dream Stalker</t>
  </si>
  <si>
    <t>Illusion</t>
  </si>
  <si>
    <t>When this creature enters, return a permanent you control to its owner's hand</t>
  </si>
  <si>
    <t>← covered by: D2 Siren's Ruse</t>
  </si>
  <si>
    <t>Enchanted River's Grasp</t>
  </si>
  <si>
    <t>Enchant creature</t>
  </si>
  <si>
    <t>When this Aura enters, tap enchanted creature and remove all counters from it</t>
  </si>
  <si>
    <t>Enchanted creature loses all abilities and doesn't untap during its controller's untap step</t>
  </si>
  <si>
    <t>Faerie Duelist</t>
  </si>
  <si>
    <t>Target opponent creature gets -2/-0 until end of turn when it enters</t>
  </si>
  <si>
    <t>Fblthp, the Lost</t>
  </si>
  <si>
    <t>Homunculus</t>
  </si>
  <si>
    <t>When Fblthp enters, draw a card. If it entered from your library or was cast from your library, draw two cards instead</t>
  </si>
  <si>
    <t>When Fblthp becomes the target of a spell, shuffle Fblthp into its owner's library</t>
  </si>
  <si>
    <t>Flux Channeler</t>
  </si>
  <si>
    <t>Proliferate whenever you cast a noncreature spell</t>
  </si>
  <si>
    <t>Freed from the Real</t>
  </si>
  <si>
    <t>Saviors of Kamigawa</t>
  </si>
  <si>
    <t>{U}: Tap enchanted creature</t>
  </si>
  <si>
    <t>{U}: Untap enchanted creature</t>
  </si>
  <si>
    <t>Fuel for the Cause</t>
  </si>
  <si>
    <t>Counter target spell, then proliferate</t>
  </si>
  <si>
    <t>Glamer Gifter</t>
  </si>
  <si>
    <t>Faerie Wizard</t>
  </si>
  <si>
    <t>Target creature becomes a 4/4 with every creature type until end of turn</t>
  </si>
  <si>
    <t>Glamermite</t>
  </si>
  <si>
    <t>Taps or untaps target creature when it enters</t>
  </si>
  <si>
    <t>Flash flying body</t>
  </si>
  <si>
    <t>Gran-Gran</t>
  </si>
  <si>
    <t>Draws then discards a card whenever it becomes tapped</t>
  </si>
  <si>
    <t>Noncreature spells cost {1} less with three or more Lessons in your graveyard</t>
  </si>
  <si>
    <t>Ichormoon Gauntlet</t>
  </si>
  <si>
    <t>Planeswalkers you control have "[0]: Proliferate" and "[−12]: Take an extra turn after this one."
Whenever you cast a no</t>
  </si>
  <si>
    <t>Inexorable Tide</t>
  </si>
  <si>
    <t>Whenever you cast a spell, proliferate</t>
  </si>
  <si>
    <t>Intruder Alarm</t>
  </si>
  <si>
    <t>Creatures don't untap during their controllers' untap steps</t>
  </si>
  <si>
    <t>Whenever a creature enters, untap all creatures</t>
  </si>
  <si>
    <t>Loyal Inventor</t>
  </si>
  <si>
    <t>Human Artificer</t>
  </si>
  <si>
    <t>Searches library for an artifact card when it enters</t>
  </si>
  <si>
    <t>Puts it in hand if you control an Assassin, else on top of library</t>
  </si>
  <si>
    <t>Man-o'-War</t>
  </si>
  <si>
    <t>Jellyfish</t>
  </si>
  <si>
    <t>When this creature enters, return target creature to its owner's hand</t>
  </si>
  <si>
    <t>Mirrorform</t>
  </si>
  <si>
    <t>Copy/Clone</t>
  </si>
  <si>
    <t>Each nonland permanent you control becomes a copy of target non-Aura permanent</t>
  </si>
  <si>
    <t>Mulldrifter</t>
  </si>
  <si>
    <t>Draws two cards when it enters</t>
  </si>
  <si>
    <t>Can be cast for {2}{U}, sacrificing itself immediately (Evoke)</t>
  </si>
  <si>
    <t>Negate</t>
  </si>
  <si>
    <t>Counters target noncreature spell</t>
  </si>
  <si>
    <t>Octopus Form</t>
  </si>
  <si>
    <t>Target creature you control gets +1/+1 and can't be targeted by opponents until end of turn</t>
  </si>
  <si>
    <t>Untaps that creature</t>
  </si>
  <si>
    <t>Old Fat Spider Can't See Me</t>
  </si>
  <si>
    <t>Chapter I: a creature you control gains hexproof while the Saga lasts</t>
  </si>
  <si>
    <t>Chapter II: prevents all damage from one creature while the Saga lasts</t>
  </si>
  <si>
    <t>Chapters III and IV: draw a card each</t>
  </si>
  <si>
    <t>Peregrine Drake</t>
  </si>
  <si>
    <t>Drake</t>
  </si>
  <si>
    <t>Untaps up to five lands when it enters</t>
  </si>
  <si>
    <t>Plunder the Trollshaws</t>
  </si>
  <si>
    <t>Draw a card, or two cards if it was cast from a graveyard</t>
  </si>
  <si>
    <t>Flashback {3}{U}: cast it from your graveyard, then exile it</t>
  </si>
  <si>
    <t>D3: Prologue to Phyresis</t>
  </si>
  <si>
    <t>Prologue to Phyresis</t>
  </si>
  <si>
    <t>Each opponent gets a poison counter.
Draw a card.</t>
  </si>
  <si>
    <t>← covered by: D3 Plunder the Trollshaws</t>
  </si>
  <si>
    <t>Rhystic Study</t>
  </si>
  <si>
    <t>Prophecy</t>
  </si>
  <si>
    <t>Whenever an opponent casts a spell, you may draw a card unless that player pays {1}.</t>
  </si>
  <si>
    <t>Serum Snare</t>
  </si>
  <si>
    <t>Return target nonland permanent to its owner's hand. If that permanent had mana value 3 or less, proliferate</t>
  </si>
  <si>
    <t>Shinestriker</t>
  </si>
  <si>
    <t>Draws a card for each color among permanents you control</t>
  </si>
  <si>
    <t>Shrieking Drake</t>
  </si>
  <si>
    <t>When this creature enters, return a creature you control to its owner's hand</t>
  </si>
  <si>
    <t>Siren's Ruse</t>
  </si>
  <si>
    <t>Draw a card if the exiled creature was a Pirate</t>
  </si>
  <si>
    <t>D2: Dream Stalker</t>
  </si>
  <si>
    <t>Steady Progress</t>
  </si>
  <si>
    <t>Proliferate, then draw a card</t>
  </si>
  <si>
    <t>Stratosoarer</t>
  </si>
  <si>
    <t>Gives target creature flying until end of turn when it enters</t>
  </si>
  <si>
    <t>Basic landcycling: discard for {1}{U} to fetch a basic land</t>
  </si>
  <si>
    <t>Summit Sentinel</t>
  </si>
  <si>
    <t>Elemental Soldier</t>
  </si>
  <si>
    <t>When it dies, draw a card</t>
  </si>
  <si>
    <t>Tekuthal, Inquiry Dominus</t>
  </si>
  <si>
    <t>Phyrexian Horror</t>
  </si>
  <si>
    <t>Doubles your proliferate triggers into two proliferates</t>
  </si>
  <si>
    <t>Remove three counters from your permanents to add an indestructible counter to itself</t>
  </si>
  <si>
    <t>Temporal Cleansing</t>
  </si>
  <si>
    <t>Puts target nonland permanent into its owner's library second from top or on bottom</t>
  </si>
  <si>
    <t>Your creatures can tap to help pay its cost</t>
  </si>
  <si>
    <t>Tezzeret's Gambit</t>
  </si>
  <si>
    <t>Draw two cards, then proliferate</t>
  </si>
  <si>
    <t>Can pay 2 life instead of {U}</t>
  </si>
  <si>
    <t>Thrummingbird</t>
  </si>
  <si>
    <t>Phyrexian Bird Horror</t>
  </si>
  <si>
    <t>Proliferate when it deals combat damage to a player</t>
  </si>
  <si>
    <t>Unexpected Assistance</t>
  </si>
  <si>
    <t>Tapping your creatures can help pay its cost</t>
  </si>
  <si>
    <t>Draw three cards, then discard a card</t>
  </si>
  <si>
    <t>Unwelcome Sprite</t>
  </si>
  <si>
    <t>Surveils 2 whenever you cast a spell during an opponent's turn</t>
  </si>
  <si>
    <t>Viral Drake</t>
  </si>
  <si>
    <t>Phyrexian Drake</t>
  </si>
  <si>
    <t>Deals damage as -1/-1 counters to creatures, poison counters to players</t>
  </si>
  <si>
    <t>{3}{U}: Proliferate</t>
  </si>
  <si>
    <t>Wanderwine Distracter</t>
  </si>
  <si>
    <t>Merfolk Wizard</t>
  </si>
  <si>
    <t>Target opponent creature gets -3/-0 until end of turn whenever this becomes tapped</t>
  </si>
  <si>
    <t>Angel of Indemnity</t>
  </si>
  <si>
    <t>W</t>
  </si>
  <si>
    <t>Angel Warrior</t>
  </si>
  <si>
    <t>Outlaws of Thunder Junction Commander</t>
  </si>
  <si>
    <t>Returns a permanent card MV 4 or less from graveyard when it enters</t>
  </si>
  <si>
    <t>Encore: exile from graveyard to make attacking token copies for each opponent</t>
  </si>
  <si>
    <t>Anointed Procession</t>
  </si>
  <si>
    <t>Amonkhet</t>
  </si>
  <si>
    <t>If an effect would create one or more tokens under your control, it creates twice that many of those tokens instead.</t>
  </si>
  <si>
    <t>Anointer Priest</t>
  </si>
  <si>
    <t>Gains 1 life whenever a creature token you control enters</t>
  </si>
  <si>
    <t>Embalm {3}{W}: exile from graveyard to make a token copy of itself</t>
  </si>
  <si>
    <t>Ao, the Dawn Sky</t>
  </si>
  <si>
    <t>When it dies, puts nonland permanents totaling mana value 4 or less from top 7 onto the battlefield</t>
  </si>
  <si>
    <t>Or puts two +1/+1 counters on each creature and Vehicle you control</t>
  </si>
  <si>
    <t>D1: Release to Memory</t>
  </si>
  <si>
    <t>Approach of the Second Sun</t>
  </si>
  <si>
    <t>If this spell was cast from your hand and you've cast another spell named Approach of the Second Sun this game, you win the game. Otherwise, put Approach of the Second Sun into its owner's library seventh from the top and you gain 7 life.</t>
  </si>
  <si>
    <t>← covered by: D2 Eldrazi Ravager</t>
  </si>
  <si>
    <t>Archaeomancer's Map</t>
  </si>
  <si>
    <t>Enters: search for up to two basic Plains, put them into hand</t>
  </si>
  <si>
    <t>An opponent with more lands playing a land lets you put a land from hand onto the battlefield</t>
  </si>
  <si>
    <t>Augusta, Order Returned</t>
  </si>
  <si>
    <t>Spirit Advisor</t>
  </si>
  <si>
    <t>Flying body that also stays untapped when attacking</t>
  </si>
  <si>
    <t>Attacking makes each player exile a card from their graveyard</t>
  </si>
  <si>
    <t>Puts a +1/+1 counter on an attacker for each nonland card exiled this way</t>
  </si>
  <si>
    <t>Bofur, Reliable Guardian</t>
  </si>
  <si>
    <t>Dwarf Scout</t>
  </si>
  <si>
    <t>Lifelink</t>
  </si>
  <si>
    <t>Back face Concerted Care {1}{W}: target artifact or creature you control gains hexproof and indestructible until end of turn</t>
  </si>
  <si>
    <t>Bronze Guardian</t>
  </si>
  <si>
    <t>Its power equals the number of artifacts you control</t>
  </si>
  <si>
    <t>Other artifacts you control can't be targeted by opponents without them paying {2}</t>
  </si>
  <si>
    <t>Deals combat damage twice each combat</t>
  </si>
  <si>
    <t>Brought Back</t>
  </si>
  <si>
    <t>Choose up to two target permanent cards in your graveyard that were put there from the battlefield this turn. Return the</t>
  </si>
  <si>
    <t>Burdened Stoneback</t>
  </si>
  <si>
    <t>Giant Warrior</t>
  </si>
  <si>
    <t>Remove a counter: give target creature indestructible until end of turn</t>
  </si>
  <si>
    <t>Cast Out</t>
  </si>
  <si>
    <t>Enters: exiles target nonland permanent an opponent controls until this leaves</t>
  </si>
  <si>
    <t>Discard for {W} to draw a card instead of casting</t>
  </si>
  <si>
    <t>Cathar Commando</t>
  </si>
  <si>
    <t>Sacrifice this creature to destroy target artifact or enchantment</t>
  </si>
  <si>
    <t>Ceaseless Conflict</t>
  </si>
  <si>
    <t>Destroys all creatures</t>
  </si>
  <si>
    <t>Creates a 3/2 Spirit token for each of your nontoken creatures destroyed this way</t>
  </si>
  <si>
    <t>Charming Prince</t>
  </si>
  <si>
    <t>Human Noble</t>
  </si>
  <si>
    <t>Choose one when it enters: Scry 2, gain 3 life, or blink another target creature you own</t>
  </si>
  <si>
    <t>Chocobo Knights</t>
  </si>
  <si>
    <t>Creatures you control with counters gain double strike when you attack</t>
  </si>
  <si>
    <t>Civic Stalwart</t>
  </si>
  <si>
    <t>Elephant Soldier</t>
  </si>
  <si>
    <t>Creatures you control get +1/+1 until end of turn when it enters</t>
  </si>
  <si>
    <t>Clachan Festival</t>
  </si>
  <si>
    <t>Kithkin</t>
  </si>
  <si>
    <t>Creates two 1/1 Kithkin tokens when it enters</t>
  </si>
  <si>
    <t>Pay {4}{W} to create another 1/1 Kithkin token</t>
  </si>
  <si>
    <t>Claim Jumper</t>
  </si>
  <si>
    <t>Rabbit Mercenary</t>
  </si>
  <si>
    <t>Fetches a Plains onto the battlefield tapped if you're land-light</t>
  </si>
  <si>
    <t>Repeats the fetch once more if still behind on lands</t>
  </si>
  <si>
    <t>Cloud's Limit Break</t>
  </si>
  <si>
    <t>Destroy target tapped creature</t>
  </si>
  <si>
    <t>Or destroy any number of target tapped creatures with different controllers</t>
  </si>
  <si>
    <t>Or destroy all tapped creatures for {3}{W} more</t>
  </si>
  <si>
    <t>Collective Effort</t>
  </si>
  <si>
    <t>Escalate: tap creatures to add modes beyond the first</t>
  </si>
  <si>
    <t>Modes: destroy power 4+ creature, destroy enchantment, or counter creatures</t>
  </si>
  <si>
    <t>Combat Calligrapher</t>
  </si>
  <si>
    <t>Bird Cleric</t>
  </si>
  <si>
    <t>Inklings can't attack you or planeswalkers you control</t>
  </si>
  <si>
    <t>Whenever a player attacks one of your opponents, that attacking player creates a tapped 2/1 white and black Inkling crea</t>
  </si>
  <si>
    <t>Court Street Denizen</t>
  </si>
  <si>
    <t>Taps target creature an opponent controls whenever another white creature you control enters</t>
  </si>
  <si>
    <t>Curious Farm Animals</t>
  </si>
  <si>
    <t>Boar Elk Bird Ox</t>
  </si>
  <si>
    <t>Gain 3 life when this creature dies</t>
  </si>
  <si>
    <t>Sacrifice it to destroy target artifact or enchantment</t>
  </si>
  <si>
    <t>Danitha Capashen, Paragon</t>
  </si>
  <si>
    <t>Reduces your Aura and Equipment spells by {1}</t>
  </si>
  <si>
    <t>First strike, vigilance, lifelink body</t>
  </si>
  <si>
    <t>Day of Judgment</t>
  </si>
  <si>
    <t>Destroy Evil</t>
  </si>
  <si>
    <t>Destroys target creature with toughness 4 or greater</t>
  </si>
  <si>
    <t>Or destroys target enchantment instead</t>
  </si>
  <si>
    <t>Disenchant</t>
  </si>
  <si>
    <t>Destroys target artifact or enchantment</t>
  </si>
  <si>
    <t>Doomed Traveler</t>
  </si>
  <si>
    <t>Creates a 1/1 flying Spirit token when it dies</t>
  </si>
  <si>
    <t>Drogskol Shieldmate</t>
  </si>
  <si>
    <t>Spirit Soldier</t>
  </si>
  <si>
    <t>Gives other creatures you control +0/+1 until end of turn when it enters</t>
  </si>
  <si>
    <t>Flash creature</t>
  </si>
  <si>
    <t>Drumbellower</t>
  </si>
  <si>
    <t>Neon Dynasty Commander</t>
  </si>
  <si>
    <t>Untaps all your creatures during each opponent's untap step</t>
  </si>
  <si>
    <t>Dwarven Shortsword</t>
  </si>
  <si>
    <t>Creates a 2/2 Dwarf token and attaches itself when it enters</t>
  </si>
  <si>
    <t>Equipped creature gets +1/+2</t>
  </si>
  <si>
    <t>Equip {2}</t>
  </si>
  <si>
    <t>Earth Kingdom Jailer</t>
  </si>
  <si>
    <t>Human Soldier Ally</t>
  </si>
  <si>
    <t>Exiles an opponent's permanent (MV 3+) when it enters</t>
  </si>
  <si>
    <t>Exiled permanent returns if this creature leaves</t>
  </si>
  <si>
    <t>Elspeth, Sun's Nemesis</t>
  </si>
  <si>
    <t>Elspeth</t>
  </si>
  <si>
    <t>-1: Up to two creatures get +2/+1 until end of turn</t>
  </si>
  <si>
    <t>-2: Create two 1/1 Human Soldier tokens</t>
  </si>
  <si>
    <t>Escape from the graveyard by exiling four cards</t>
  </si>
  <si>
    <t>Ephemerate</t>
  </si>
  <si>
    <t>Rebound: cast again free next upkeep from exile</t>
  </si>
  <si>
    <t>Esgaroth Garrison</t>
  </si>
  <si>
    <t>Its power equals the number of creatures you control</t>
  </si>
  <si>
    <t>Enters: recruit (draw a card, then discard a card; if you discarded a nonland card, create a 1/1 Human Soldier token)</t>
  </si>
  <si>
    <t>Expel the Interlopers</t>
  </si>
  <si>
    <t>Choose a number between 0 and 10. Destroy all creatures with power greater than or equal to the chosen number.</t>
  </si>
  <si>
    <t>← covered by: D4 Winnowing</t>
  </si>
  <si>
    <t>Fall of the First Civilization</t>
  </si>
  <si>
    <t>Chapter I: you and an opponent each draw two cards</t>
  </si>
  <si>
    <t>Chapter II: exile target opponent artifact</t>
  </si>
  <si>
    <t>Chapter III: each player keeps 3 nonland permanents, rest destroyed</t>
  </si>
  <si>
    <t>Farewell</t>
  </si>
  <si>
    <t>Choose one or more —
• Exile all artifacts.
• Exile all creatures.
• Exile all enchantments.
• Exile all graveyards.</t>
  </si>
  <si>
    <t>Fateful Absence</t>
  </si>
  <si>
    <t>Its controller creates a Clue token</t>
  </si>
  <si>
    <t>Fell the Mighty</t>
  </si>
  <si>
    <t>Destroys all creatures with power greater than target creature's power</t>
  </si>
  <si>
    <t>Frontline Medic</t>
  </si>
  <si>
    <t>Battalion: your creatures gain indestructible when 3+ attack</t>
  </si>
  <si>
    <t>Sacrifice: counter a spell with {X} in its cost unless they pay {3}</t>
  </si>
  <si>
    <t>Gather the Townsfolk</t>
  </si>
  <si>
    <t>Creates two 1/1 Human tokens (five instead if you have 5 or less life)</t>
  </si>
  <si>
    <t>Generous Gift</t>
  </si>
  <si>
    <t>Destroys target permanent</t>
  </si>
  <si>
    <t>Its controller creates a 3/3 Elephant token</t>
  </si>
  <si>
    <t>Grateful Apparition</t>
  </si>
  <si>
    <t>Proliferates whenever it deals combat damage to a player or planeswalker</t>
  </si>
  <si>
    <t>Guardian of Faith</t>
  </si>
  <si>
    <t>Spirit Knight</t>
  </si>
  <si>
    <t>Enters: any number of your other creatures become temporarily untargetable and safe from harm</t>
  </si>
  <si>
    <t>Guardian Scalelord</t>
  </si>
  <si>
    <t>Backup 1: puts a +1/+1 counter on target creature, may share flying</t>
  </si>
  <si>
    <t>Attacking returns a permanent MV ≤ its power from graveyard</t>
  </si>
  <si>
    <t>Haystack</t>
  </si>
  <si>
    <t>Phases out target creature you control</t>
  </si>
  <si>
    <t>Hunted Witness</t>
  </si>
  <si>
    <t>Creates a 1/1 lifelink Soldier token when it dies</t>
  </si>
  <si>
    <t>Impassioned Orator</t>
  </si>
  <si>
    <t>Gain 1 life whenever another creature you control enters</t>
  </si>
  <si>
    <t>Indomitable Ancients</t>
  </si>
  <si>
    <t>Treefolk Warrior</t>
  </si>
  <si>
    <t>Inspiring Overseer</t>
  </si>
  <si>
    <t>Angel Cleric</t>
  </si>
  <si>
    <t>Gains 1 life and draws a card when it enters</t>
  </si>
  <si>
    <t>Intangible Virtue</t>
  </si>
  <si>
    <t>Your creature tokens get +1/+1</t>
  </si>
  <si>
    <t>Your creature tokens have vigilance</t>
  </si>
  <si>
    <t>Ironsoul Enforcer</t>
  </si>
  <si>
    <t>Human Samurai</t>
  </si>
  <si>
    <t>Returns target artifact card from your graveyard to the battlefield when it or your commander attacks alone</t>
  </si>
  <si>
    <t>Kami of Ancient Law</t>
  </si>
  <si>
    <t>Sacrifice this creature to destroy target enchantment</t>
  </si>
  <si>
    <t>Kami of Old Stone</t>
  </si>
  <si>
    <t>Karmic Guide</t>
  </si>
  <si>
    <t>Angel Spirit</t>
  </si>
  <si>
    <t>Urza's Legacy</t>
  </si>
  <si>
    <t>Flying body that can't be blocked or targeted by black</t>
  </si>
  <si>
    <t>Enters: return target creature card from graveyard to battlefield</t>
  </si>
  <si>
    <t>Must pay {3}{W}{W} next upkeep or be sacrificed</t>
  </si>
  <si>
    <t>Keeper of the Accord</t>
  </si>
  <si>
    <t>Each opponent's end step: if they have more creatures, create a 1/1 Soldier token</t>
  </si>
  <si>
    <t>Each opponent's end step: if they have more lands, may search for a Plains onto the battlefield tapped</t>
  </si>
  <si>
    <t>Kithkeeper</t>
  </si>
  <si>
    <t>Enters: create X 1/1 Kithkin tokens, X = colors among your permanents</t>
  </si>
  <si>
    <t>Tap three untapped creatures you control: gets +3/+0 and can fly this turn</t>
  </si>
  <si>
    <t>D5: Yahenni, Undying Partisan</t>
  </si>
  <si>
    <t>Knight of Old Benalia</t>
  </si>
  <si>
    <t>Other creatures you control get +1/+1 until end of turn when it enters</t>
  </si>
  <si>
    <t>Suspend 5-{W}: cast later free with haste after counters removed</t>
  </si>
  <si>
    <t>Knight of the White Orchid</t>
  </si>
  <si>
    <t>Enters: if an opponent has more lands, search for a Plains onto the battlefield</t>
  </si>
  <si>
    <t>Kor Cartographer</t>
  </si>
  <si>
    <t>Kor Scout</t>
  </si>
  <si>
    <t>Searches your library for a Plains card and puts it onto the battlefield tapped when it enters</t>
  </si>
  <si>
    <t>Lake-town Lookout</t>
  </si>
  <si>
    <t>Draws then discards a card when it dies</t>
  </si>
  <si>
    <t>Creates a 1/1 Soldier token if a nonland card was discarded that way</t>
  </si>
  <si>
    <t>Make Your Move</t>
  </si>
  <si>
    <t>Destroys target artifact, enchantment, or creature with power 4+</t>
  </si>
  <si>
    <t>Meanders Guide</t>
  </si>
  <si>
    <t>Merfolk Scout</t>
  </si>
  <si>
    <t>Returns target creature card with mana value 3 or less from graveyard to the battlefield when it attacks</t>
  </si>
  <si>
    <t>Requires tapping another untapped Merfolk you control</t>
  </si>
  <si>
    <t>Mentor of the Meek</t>
  </si>
  <si>
    <t>Whenever another creature you control with power 2 or less enters, you may pay {1}. If you do, draw a card.</t>
  </si>
  <si>
    <t>D4: Welcoming Vampire (ordered)</t>
  </si>
  <si>
    <t>Ministrant of Obligation</t>
  </si>
  <si>
    <t>Creates two 1/1 flying Spirit tokens when it dies</t>
  </si>
  <si>
    <t>D5: Ophiomancer</t>
  </si>
  <si>
    <t>Moment of Glory</t>
  </si>
  <si>
    <t>Put a +1/+1 counter on target creature you control. If this spell was cast from a graveyard, also put a +1/+1 counter on</t>
  </si>
  <si>
    <t>Flashback {4}{W}</t>
  </si>
  <si>
    <t>D3: Contentious Plan</t>
  </si>
  <si>
    <t>Monologue Tax</t>
  </si>
  <si>
    <t>Stax/Tax</t>
  </si>
  <si>
    <t>Creates a Treasure token when an opponent casts their second spell each turn</t>
  </si>
  <si>
    <t>D5: Mirkwood Bats</t>
  </si>
  <si>
    <t>Moonlit Lamenter</t>
  </si>
  <si>
    <t>Enters with a -1/-1 counter on itself</t>
  </si>
  <si>
    <t>Remove the counter (sorcery speed) to draw a card</t>
  </si>
  <si>
    <t>Moonshaker Cavalry</t>
  </si>
  <si>
    <t>Wilds of Eldraine</t>
  </si>
  <si>
    <t>Enters: creatures you control get +X/+X and can fly until end of turn, X = creatures you control</t>
  </si>
  <si>
    <t>Nyx-Fleece Ram</t>
  </si>
  <si>
    <t>Enchantment Creature</t>
  </si>
  <si>
    <t>Sheep</t>
  </si>
  <si>
    <t>Gains 1 life each upkeep</t>
  </si>
  <si>
    <t>Odric, Lunarch Marshal</t>
  </si>
  <si>
    <t>Shares first strike, flying, deathtouch and other keywords among your creatures</t>
  </si>
  <si>
    <t>Ossification</t>
  </si>
  <si>
    <t>Exiles target creature or planeswalker (enchants a basic land you control)</t>
  </si>
  <si>
    <t>Path to Exile</t>
  </si>
  <si>
    <t>Exiles target creature</t>
  </si>
  <si>
    <t>Its controller may search for a basic land onto the battlefield tapped</t>
  </si>
  <si>
    <t>Perimeter Captain</t>
  </si>
  <si>
    <t>Whenever a creature you control with defender blocks, you may gain 2 life</t>
  </si>
  <si>
    <t>Primary Research</t>
  </si>
  <si>
    <t>Enters: return a MV 3 or less nonland permanent card from graveyard to battlefield</t>
  </si>
  <si>
    <t>End step: draw a card if a card left your graveyard this turn</t>
  </si>
  <si>
    <t>Promise of Loyalty</t>
  </si>
  <si>
    <t>Each player sacrifices all but one of their creatures</t>
  </si>
  <si>
    <t>The kept creature can't attack you or your planeswalkers while marked</t>
  </si>
  <si>
    <t>Protector of the Wastes</t>
  </si>
  <si>
    <t>Exiles up to two target artifacts/enchantments when it enters or becomes monstrous</t>
  </si>
  <si>
    <t>{4}{W}: Monstrosity 3, adds three +1/+1 counters</t>
  </si>
  <si>
    <t>Raise the Alarm</t>
  </si>
  <si>
    <t>Creates two 1/1 white Soldier tokens</t>
  </si>
  <si>
    <t>Rally the Ancestors</t>
  </si>
  <si>
    <t>Return each creature card with mana value X or less from your graveyard to the battlefield. Exile those creatures at the</t>
  </si>
  <si>
    <t>Release to Memory</t>
  </si>
  <si>
    <t>Exile target opponent's graveyard. For each creature card exiled this way, create a 1/1 colorless Spirit creature token.</t>
  </si>
  <si>
    <t>← covered by: D1 Ao, the Dawn Sky</t>
  </si>
  <si>
    <t>Reluctant Dounguard</t>
  </si>
  <si>
    <t>Removes one of its own counters whenever another creature you control enters</t>
  </si>
  <si>
    <t>Remorseful Cleric</t>
  </si>
  <si>
    <t>Sacrifice: exile target player's entire graveyard</t>
  </si>
  <si>
    <t>Repel Calamity</t>
  </si>
  <si>
    <t>Destroys target creature with power or toughness 4 or greater</t>
  </si>
  <si>
    <t>Requiem Angel</t>
  </si>
  <si>
    <t>Whenever another non-Spirit creature you control dies, create a 1/1 flying Spirit</t>
  </si>
  <si>
    <t>5/4 flying body</t>
  </si>
  <si>
    <t>D5: Marauding Blight-Priest</t>
  </si>
  <si>
    <t>Restoration Angel</t>
  </si>
  <si>
    <t>Flash</t>
  </si>
  <si>
    <t>When this creature enters, you may exile target non-Angel creature you control, then return that card to the battlefield</t>
  </si>
  <si>
    <t>← covered by: D2 Blizzard Strix</t>
  </si>
  <si>
    <t>Return to Dust</t>
  </si>
  <si>
    <t>Exiles target artifact or enchantment</t>
  </si>
  <si>
    <t>During your main phase, may exile a second artifact or enchantment</t>
  </si>
  <si>
    <t>Rhox Faithmender</t>
  </si>
  <si>
    <t>Rhino Monk</t>
  </si>
  <si>
    <t>Doubles all life you gain</t>
  </si>
  <si>
    <t>Lifelink body</t>
  </si>
  <si>
    <t>Riverguard's Reflexes</t>
  </si>
  <si>
    <t>Target creature gets +2/+2 until end of turn and untaps</t>
  </si>
  <si>
    <t>Deals its combat damage before creatures without this ability</t>
  </si>
  <si>
    <t>Rolling Stones</t>
  </si>
  <si>
    <t>Eighth Edition</t>
  </si>
  <si>
    <t>Wall creatures can attack as though they didn't have defender.</t>
  </si>
  <si>
    <t>Rootborn Defenses</t>
  </si>
  <si>
    <t>Creatures you control gain indestructible until end of turn</t>
  </si>
  <si>
    <t>Populate: creates a copy of a creature token you control</t>
  </si>
  <si>
    <t>Salvation Colossus</t>
  </si>
  <si>
    <t>Modern Horizons 3 Commander</t>
  </si>
  <si>
    <t>Other creatures you control get +2/+2 and become indestructible when you attack</t>
  </si>
  <si>
    <t>Can return from graveyard to the battlefield with haste by paying eight energy, then gets exiled</t>
  </si>
  <si>
    <t>Secret Rendezvous</t>
  </si>
  <si>
    <t>You and target opponent each draw three cards</t>
  </si>
  <si>
    <t>D5: Night's Whisper</t>
  </si>
  <si>
    <t>Selfless Spirit</t>
  </si>
  <si>
    <t>Sacrifice: your creatures can't be destroyed until end of turn</t>
  </si>
  <si>
    <t>Serra Paragon</t>
  </si>
  <si>
    <t>Once per turn, play a land or cast a MV 3 or less permanent spell from your graveyard</t>
  </si>
  <si>
    <t>That permanent exiles itself and gains you 2 life when it leaves the battlefield</t>
  </si>
  <si>
    <t>Settle the Wreckage</t>
  </si>
  <si>
    <t>Exile all attacking creatures target player controls</t>
  </si>
  <si>
    <t>That player may search their library for that many basic lands and put them onto the battlefield tapped</t>
  </si>
  <si>
    <t>Sevinne's Reclamation</t>
  </si>
  <si>
    <t>Returns a MV 3 or less permanent from graveyard to battlefield</t>
  </si>
  <si>
    <t>If cast from graveyard, copy the spell with a new target</t>
  </si>
  <si>
    <t>Flashback lets you cast it from graveyard</t>
  </si>
  <si>
    <t>Shore Lurker</t>
  </si>
  <si>
    <t>Surveil 1 when it enters</t>
  </si>
  <si>
    <t>Skrelv, Defector Mite</t>
  </si>
  <si>
    <t>Legendary Artifact Creature</t>
  </si>
  <si>
    <t>Phyrexian Mite</t>
  </si>
  <si>
    <t>Toxic 1</t>
  </si>
  <si>
    <t>Skrelv can't block</t>
  </si>
  <si>
    <t xml:space="preserve">{W/P}, {T}: Choose a color. Another target creature you control gains toxic 1 and hexproof from that color until end of </t>
  </si>
  <si>
    <t>Skyclave Apparition</t>
  </si>
  <si>
    <t>Kor Spirit</t>
  </si>
  <si>
    <t>Enters: exile a nonland, nontoken permanent an opponent controls with MV 4 or less</t>
  </si>
  <si>
    <t>Leaves the battlefield: that permanent's owner gets an X/X token, X = its mana value</t>
  </si>
  <si>
    <t>Slaughter the Strong</t>
  </si>
  <si>
    <t>Each player chooses any number of creatures they control with total power 4 or less, then sacrifices all other creatures</t>
  </si>
  <si>
    <t>Smothering Tithe</t>
  </si>
  <si>
    <t>Whenever an opponent draws a card, that player may pay {2}. If the player doesn't, you create a Treasure token. (It's an</t>
  </si>
  <si>
    <t>Spectacular Tactics</t>
  </si>
  <si>
    <t>Through the Omenpaths</t>
  </si>
  <si>
    <t>Choose one: put a +1/+1 counter on your creature, it becomes untargetable this turn</t>
  </si>
  <si>
    <t>Or destroys target creature with power 4 or greater</t>
  </si>
  <si>
    <t>D5: Unbreakable Formation</t>
  </si>
  <si>
    <t>Spectral Procession</t>
  </si>
  <si>
    <t>Creates three 1/1 flying Spirit tokens</t>
  </si>
  <si>
    <t>Spiral into Solitude</t>
  </si>
  <si>
    <t>Enchanted creature can't attack or block</t>
  </si>
  <si>
    <t>Pay {1}{W}, blight 1, sacrifice: exile enchanted creature</t>
  </si>
  <si>
    <t>Staff of the Storyteller</t>
  </si>
  <si>
    <t>Phyrexia: All Will Be One Commander</t>
  </si>
  <si>
    <t>Enters: create a 1/1 flying Spirit token</t>
  </si>
  <si>
    <t>Creating creature tokens adds a story counter to this</t>
  </si>
  <si>
    <t>Pay {W}, tap, remove a story counter: draw a card</t>
  </si>
  <si>
    <t>Stalwart Shield-Bearers</t>
  </si>
  <si>
    <t>Other creatures you control with defender get +0/+2</t>
  </si>
  <si>
    <t>Stone by Sunlight</t>
  </si>
  <si>
    <t>Destroys a creature with power 4 or greater</t>
  </si>
  <si>
    <t>Or makes a creature an artifact and indestructible until end of turn</t>
  </si>
  <si>
    <t>D1: Lorehold Command</t>
  </si>
  <si>
    <t>Stonecloaker</t>
  </si>
  <si>
    <t>Gargoyle</t>
  </si>
  <si>
    <t>Planar Chaos</t>
  </si>
  <si>
    <t>Sun Titan</t>
  </si>
  <si>
    <t>Giant</t>
  </si>
  <si>
    <t>6/6 body that can block after attacking</t>
  </si>
  <si>
    <t>Enters or attacks: return a MV 3 or less permanent from graveyard to battlefield</t>
  </si>
  <si>
    <t>Sun-Dappled Celebrant</t>
  </si>
  <si>
    <t>Can be cast for less by tapping creatures (convoke)</t>
  </si>
  <si>
    <t>Suture Priest</t>
  </si>
  <si>
    <t>Phyrexian Cleric</t>
  </si>
  <si>
    <t>May cause an opponent to lose 1 life whenever a creature they control enters</t>
  </si>
  <si>
    <t>Swords to Plowshares</t>
  </si>
  <si>
    <t>Its controller gains life equal to its power</t>
  </si>
  <si>
    <t>Teleportation Circle</t>
  </si>
  <si>
    <t>At the beginning of your end step, exile up to one target artifact or creature you control, then return that card to the</t>
  </si>
  <si>
    <t>Teshar, Ancestor's Apostle</t>
  </si>
  <si>
    <t>Casting a historic spell returns a MV 3 or less creature card from graveyard to battlefield</t>
  </si>
  <si>
    <t>The Eternal Wanderer</t>
  </si>
  <si>
    <t>+1: exiles an artifact or creature, returns it at that player's next end step</t>
  </si>
  <si>
    <t>0: creates a 2/2 white Samurai token with double strike</t>
  </si>
  <si>
    <t>-4: each player keeps one chosen creature, sacrifices the rest</t>
  </si>
  <si>
    <t>The Restoration of Eiganjo</t>
  </si>
  <si>
    <t>Chapter I: search library for a basic Plains to hand</t>
  </si>
  <si>
    <t>Chapter II: discard a card to reanimate a permanent MV 2 or less</t>
  </si>
  <si>
    <t>Chapter III: transforms into a creature that makes Spirit tokens on attack/block</t>
  </si>
  <si>
    <t>Timid Shieldbearer</t>
  </si>
  <si>
    <t>{4}{W}: your creatures get +1/+1 until end of turn</t>
  </si>
  <si>
    <t>Tithe Taker</t>
  </si>
  <si>
    <t>Your opponents' spells and abilities cost {1} more on your turn</t>
  </si>
  <si>
    <t>Tocasia's Welcome</t>
  </si>
  <si>
    <t>The Brothers' War</t>
  </si>
  <si>
    <t>Creatures with MV 3 or less entering draws a card, once per turn</t>
  </si>
  <si>
    <t>Tragic Arrogance</t>
  </si>
  <si>
    <t>Each player keeps one artifact, creature, enchantment, and planeswalker</t>
  </si>
  <si>
    <t>Sacrifices all other nonland permanents</t>
  </si>
  <si>
    <t>Unbreakable Formation</t>
  </si>
  <si>
    <t>Addendum — If you cast this spell during your main phase, put a +1/+1 counter on each of those creatures and they gain v</t>
  </si>
  <si>
    <t>← covered by: D2 Sheltering Word; D3 Inspiring Call; D5 Spectacular Tactics</t>
  </si>
  <si>
    <t>Valorous Stance</t>
  </si>
  <si>
    <t>Choose one: target creature can't be destroyed this turn</t>
  </si>
  <si>
    <t>Or destroys target creature with toughness 4 or greater</t>
  </si>
  <si>
    <t>Vanguard of the Restless</t>
  </si>
  <si>
    <t>Spirits you control get +1/+1 for each time you've cast your commander from the command zone</t>
  </si>
  <si>
    <t>A Spirit entering lets you pay {2}{W} to return this from graveyard to battlefield</t>
  </si>
  <si>
    <t>D1: Warleader's Call</t>
  </si>
  <si>
    <t>Venat, Heart of Hydaelyn</t>
  </si>
  <si>
    <t>Elder Wizard</t>
  </si>
  <si>
    <t>Casting a legendary spell draws a card, once per turn</t>
  </si>
  <si>
    <t>Pay {7}, tap: exile target nonland permanent, then transform</t>
  </si>
  <si>
    <t>Back side is unkillable; combat: give a creature a +1/+1 counter and protection, drawing a card if it's legendary</t>
  </si>
  <si>
    <t>D4: Wall of Blossoms</t>
  </si>
  <si>
    <t>Wakestone Gargoyle</t>
  </si>
  <si>
    <t>Lets your defender creatures attack this turn for {1}{W}</t>
  </si>
  <si>
    <t>Defender, flying body</t>
  </si>
  <si>
    <t>Wall of Omens</t>
  </si>
  <si>
    <t>← covered by: D4 Moonglove Extractor</t>
  </si>
  <si>
    <t>Wall of Resurgence</t>
  </si>
  <si>
    <t>Puts three +1/+1 counters on target land you control when it enters</t>
  </si>
  <si>
    <t>That land becomes a 3/3 creature with haste (still a land)</t>
  </si>
  <si>
    <t>Wall of Reverence</t>
  </si>
  <si>
    <t>Spirit Wall</t>
  </si>
  <si>
    <t>May gain life equal to a target creature's power each end step</t>
  </si>
  <si>
    <t>Wave of Reckoning</t>
  </si>
  <si>
    <t>Each creature deals damage to itself equal to its power</t>
  </si>
  <si>
    <t>Weathered Wayfarer</t>
  </si>
  <si>
    <t>Human Nomad Cleric</t>
  </si>
  <si>
    <t>1/1 body</t>
  </si>
  <si>
    <t>Tap: search library for a land card to hand if an opponent has more lands</t>
  </si>
  <si>
    <t>D2: Kiora's Follower</t>
  </si>
  <si>
    <t>Welcoming Vampire</t>
  </si>
  <si>
    <t>Draws a card (once per turn) when creatures with power 2 or less you control enter</t>
  </si>
  <si>
    <t>← covered by: D4 Mentor of the Meek (ordered from Game Theory; stand-in is temporary)</t>
  </si>
  <si>
    <t>ORDERED 2026-09-11 $5.20 (surplus)</t>
  </si>
  <si>
    <t>White Orchid Phantom</t>
  </si>
  <si>
    <t>Destroys target nonbasic land when it enters</t>
  </si>
  <si>
    <t>Its controller may search for a basic land instead</t>
  </si>
  <si>
    <t>Flying first strike body</t>
  </si>
  <si>
    <t>Whitemane Lion</t>
  </si>
  <si>
    <t>← covered by: D2 Voyager Staff</t>
  </si>
  <si>
    <t>Wild Pack Squad</t>
  </si>
  <si>
    <t>Human Mercenary</t>
  </si>
  <si>
    <t>Gives target creature first strike and vigilance at combat start</t>
  </si>
  <si>
    <t>Windborn Muse</t>
  </si>
  <si>
    <t>Legions</t>
  </si>
  <si>
    <t>Creatures can't attack you unless their controller pays {2} for each creature they control that's attacking you</t>
  </si>
  <si>
    <t>← covered by: D5 Prideful Feastling</t>
  </si>
  <si>
    <t>Winds of Abandon</t>
  </si>
  <si>
    <t>Exiles target creature you don't control</t>
  </si>
  <si>
    <t>Its controller searches for a basic land put onto the battlefield tapped</t>
  </si>
  <si>
    <t>Overload cost hits every creature you don't control</t>
  </si>
  <si>
    <t>Wingmantle Chaplain</t>
  </si>
  <si>
    <t>Creates a 1/1 flying Bird token for each defender you control, on ETB</t>
  </si>
  <si>
    <t>Creates another Bird token whenever a defender creature enters</t>
  </si>
  <si>
    <t>Winnowing</t>
  </si>
  <si>
    <t>Each player sacrifices creatures not sharing a type with a chosen one</t>
  </si>
  <si>
    <t>D4: Expel the Interlopers</t>
  </si>
  <si>
    <t>Zack Fair</t>
  </si>
  <si>
    <t>Enters with a +1/+1 counter on itself</t>
  </si>
  <si>
    <t>Sacrifice: target creature gains indestructible and gets its counters/Equipment</t>
  </si>
  <si>
    <t>D5: Blood Artist</t>
  </si>
  <si>
    <t>Zetalpa, Primal Dawn</t>
  </si>
  <si>
    <t>Elder Dinosaur</t>
  </si>
  <si>
    <t>Evasive double-strike attacker that dodges most removal</t>
  </si>
  <si>
    <t>Very hard to kill in combat or by damage</t>
  </si>
  <si>
    <t>D4: Tree of Perdition (ordered)</t>
  </si>
  <si>
    <t>Air Nomad Legacy</t>
  </si>
  <si>
    <t>Creatures you control with flying get +1/+1</t>
  </si>
  <si>
    <t>Enters: create a Clue token ({2}, sacrifice it: draw a card)</t>
  </si>
  <si>
    <t>Ashling, Rekindled</t>
  </si>
  <si>
    <t>When it enters or transforms into Ashling, Rekindled, you may discard a card to draw a card</t>
  </si>
  <si>
    <t>At the beginning of your first main phase you may pay {U} to transform it</t>
  </si>
  <si>
    <t>Back face Ashling, Rimebound: on transforming and each first main phase, add two mana of any one color for spells with mana value 4 or greater</t>
  </si>
  <si>
    <t>Attercop</t>
  </si>
  <si>
    <t>Spider</t>
  </si>
  <si>
    <t>Reach, deathtouch</t>
  </si>
  <si>
    <t>Landfall - whenever a land you control enters, it gets +1/+1 until end of turn</t>
  </si>
  <si>
    <t>Bard the Bowman</t>
  </si>
  <si>
    <t>Human Archer</t>
  </si>
  <si>
    <t>Whenever you draw your second card each turn, put a +1/+1 counter on target creature and it gains lifelink until end of turn</t>
  </si>
  <si>
    <t>Bilbo's Deadly Slice</t>
  </si>
  <si>
    <t>Destroy target creature</t>
  </si>
  <si>
    <t>Boiling Rock Rioter</t>
  </si>
  <si>
    <t>Tap an untapped Ally you control: exile target card from a graveyard</t>
  </si>
  <si>
    <t>Whenever it attacks, you may cast an Ally spell from among the cards it exiled</t>
  </si>
  <si>
    <t>Firebending 1 - whenever it attacks, add {R} until end of combat</t>
  </si>
  <si>
    <t>Bombur, Gentle Dreamer</t>
  </si>
  <si>
    <t>Dwarf Bard</t>
  </si>
  <si>
    <t>A 5/3 that does not untap during your untap step unless you have an enduring story</t>
  </si>
  <si>
    <t>Storied - you have an enduring story for the rest of the game once you control three or more artifacts, legendaries, and/or Sagas</t>
  </si>
  <si>
    <t>Bothersome Noisemaker</t>
  </si>
  <si>
    <t>Whenever you cast a noncreature spell, put a +1/+1 counter on a Goblin Army you control, creating a 0/0 one first if you have none</t>
  </si>
  <si>
    <t>Boughside Wanderers</t>
  </si>
  <si>
    <t>Enters: look at the top four cards of your library and put a permanent card from among them into your hand</t>
  </si>
  <si>
    <t>Landfall - whenever a land you control enters, it gets +2/+2 until end of turn</t>
  </si>
  <si>
    <t>Burn, Burn, Tree and Fern</t>
  </si>
  <si>
    <t>Chapter I: deals 6 damage to target creature an opponent controls</t>
  </si>
  <si>
    <t>Chapter II: destroy target artifact an opponent controls</t>
  </si>
  <si>
    <t>Chapters III and IV: add {R}</t>
  </si>
  <si>
    <t>Changeling Wayfinder</t>
  </si>
  <si>
    <t>Enters: search your library for a basic land card and put it into your hand</t>
  </si>
  <si>
    <t>Dori, Bearer of Friends</t>
  </si>
  <si>
    <t>Enters: create a Treasure token</t>
  </si>
  <si>
    <t>Trample</t>
  </si>
  <si>
    <t>Dwarven Provisioner</t>
  </si>
  <si>
    <t>Dwarf Citizen</t>
  </si>
  <si>
    <t>{3}{W}: Creatures you control get +1/+1 until end of turn</t>
  </si>
  <si>
    <t>Eagle of the Great Shelf</t>
  </si>
  <si>
    <t>Bird Soldier</t>
  </si>
  <si>
    <t>Whenever it attacks, it gets +1/+1 until end of turn for each other creature you control</t>
  </si>
  <si>
    <t>Fancy Footwork</t>
  </si>
  <si>
    <t>Untap one or two target creatures; each gets +2/+2 until end of turn</t>
  </si>
  <si>
    <t>Fire Nation Cadets</t>
  </si>
  <si>
    <t>{2}: It gets +1/+0 until end of turn</t>
  </si>
  <si>
    <t>Has firebending 2 while a Lesson card is in your graveyard - whenever it attacks, add {R}{R} until end of combat</t>
  </si>
  <si>
    <t>Flaring Cinder</t>
  </si>
  <si>
    <t>When it enters and whenever you cast a spell with mana value 4 or greater, you may discard a card to draw a card</t>
  </si>
  <si>
    <t>Foggy Swamp Vinebender</t>
  </si>
  <si>
    <t>Human Plant Ally</t>
  </si>
  <si>
    <t>Waterbend {5}: put a +1/+1 counter on it during your turn (tap artifacts and creatures to help pay)</t>
  </si>
  <si>
    <t>Cannot be blocked by creatures with power 2 or less</t>
  </si>
  <si>
    <t>Gandalf, Wandering Wizard</t>
  </si>
  <si>
    <t>Avatar Wizard</t>
  </si>
  <si>
    <t>{6}: Shuffle him into your library and draw three cards</t>
  </si>
  <si>
    <t>Ward {3}</t>
  </si>
  <si>
    <t>Gathering of Darkness</t>
  </si>
  <si>
    <t>Return up to one target creature card from your graveyard to your hand</t>
  </si>
  <si>
    <t>Amass Goblins 3 - put three +1/+1 counters on a Goblin Army you control, creating a 0/0 one first if you have none</t>
  </si>
  <si>
    <t>Giant Koi</t>
  </si>
  <si>
    <t>Waterbend {3}: it cannot be blocked this turn (tap artifacts and creatures to help pay)</t>
  </si>
  <si>
    <t>Islandcycling {2}: discard it to search your library for an Island</t>
  </si>
  <si>
    <t>Glider Kids</t>
  </si>
  <si>
    <t>Human Pilot Ally</t>
  </si>
  <si>
    <t>Enters: look at the top card of your library and you may put it on the bottom</t>
  </si>
  <si>
    <t>Glóin the Mighty</t>
  </si>
  <si>
    <t>At the beginning of your first main phase, add {R}{R}</t>
  </si>
  <si>
    <t>Back face Easy Pickings {2}{R}: deals 1 damage to each creature your opponents control</t>
  </si>
  <si>
    <t>Gollum, Silent Slinker</t>
  </si>
  <si>
    <t>Menace</t>
  </si>
  <si>
    <t>Back face Meager Meal {B}: put a +1/+1 counter on up to one target creature and target player gains 2 life</t>
  </si>
  <si>
    <t>Kindle the Inner Flame</t>
  </si>
  <si>
    <t>Kindred Sorcery</t>
  </si>
  <si>
    <t>Create a token copy of target creature you control with haste, sacrificed at the beginning of the end step</t>
  </si>
  <si>
    <t>Flashback {1}{R} and behold three Elementals: cast it from your graveyard, then exile it</t>
  </si>
  <si>
    <t>Lake-town</t>
  </si>
  <si>
    <t>{2}{W}{U}, {T}, Sacrifice: put two +1/+1 counters on target Human you control</t>
  </si>
  <si>
    <t>Lake-town Toymaker</t>
  </si>
  <si>
    <t>At the beginning of combat on your turn, if you have drawn two or more cards this turn, another target creature you control gets +3/+0 and gains first strike until end of turn</t>
  </si>
  <si>
    <t>Large Bear</t>
  </si>
  <si>
    <t>Reach, trample, haste</t>
  </si>
  <si>
    <t>Little Bear</t>
  </si>
  <si>
    <t>Enters: untap another target creature you control; if it is a Bear, put a +1/+1 counter on it</t>
  </si>
  <si>
    <t>Luminollusk</t>
  </si>
  <si>
    <t>Enters: you gain life equal to the number of colors among your permanents</t>
  </si>
  <si>
    <t>Magnificent End</t>
  </si>
  <si>
    <t>Deals 5 damage to target creature</t>
  </si>
  <si>
    <t>Costs {3} less to cast if it targets a tapped creature</t>
  </si>
  <si>
    <t>Nori, Teller of Tales</t>
  </si>
  <si>
    <t>Whenever it attacks, target attacking creature gains first strike until end of turn</t>
  </si>
  <si>
    <t>Northern Air Temple</t>
  </si>
  <si>
    <t>Whenever another Shrine you control enters, each opponent loses 1 life and you gain 1 life</t>
  </si>
  <si>
    <t>Enters: each opponent loses X life and you gain X life, where X is the number of Shrines you control</t>
  </si>
  <si>
    <t>Óin the Brave</t>
  </si>
  <si>
    <t>{1}, {T}, Discard a card: Draw a card</t>
  </si>
  <si>
    <t>Gets +1/+0 and has haste as long as you have an enduring story</t>
  </si>
  <si>
    <t>Old Fat Spider</t>
  </si>
  <si>
    <t>Reach, and cannot be blocked by creatures with power 2 or less</t>
  </si>
  <si>
    <t>Whenever it becomes the target of a spell or ability an opponent controls, draw a card</t>
  </si>
  <si>
    <t>Old Thrush</t>
  </si>
  <si>
    <t>Enters: you gain 2 life and may search your library for a basic land card to put on top</t>
  </si>
  <si>
    <t>Ori, Keeper of Songs</t>
  </si>
  <si>
    <t>Gets +1/+0 and has vigilance as long as you have an enduring story</t>
  </si>
  <si>
    <t>Patient Instructor</t>
  </si>
  <si>
    <t>Human Citizen</t>
  </si>
  <si>
    <t>Ravening Warg</t>
  </si>
  <si>
    <t>Wolf</t>
  </si>
  <si>
    <t>Ferocious - whenever it attacks while you control a creature with power 4 or greater, you gain 2 life</t>
  </si>
  <si>
    <t>Rimekin Recluse</t>
  </si>
  <si>
    <t>Elemental Wizard</t>
  </si>
  <si>
    <t>Enters: return up to one other target creature to its owner's hand</t>
  </si>
  <si>
    <t>Smaug, the Great Calamity</t>
  </si>
  <si>
    <t>Back face Spew Flame {4}{R}: deals 5 damage to target creature</t>
  </si>
  <si>
    <t>Stalactite Dagger</t>
  </si>
  <si>
    <t>Enters: create a 1/1 colorless Shapeshifter token with changeling</t>
  </si>
  <si>
    <t>Equipped creature gets +1/+1 and is every creature type; equip {2}</t>
  </si>
  <si>
    <t>Stir Up Trouble</t>
  </si>
  <si>
    <t>Additional cost: sacrifice an artifact or creature, or pay {4}</t>
  </si>
  <si>
    <t>Swampsnare Trap</t>
  </si>
  <si>
    <t>Enchanted creature gets -5/-3</t>
  </si>
  <si>
    <t>Costs {1} less to cast if it targets a creature with flying</t>
  </si>
  <si>
    <t>The Black Arrow</t>
  </si>
  <si>
    <t>Enters: deals 1 damage to any target; if a Dragon is dealt damage this way, destroy it</t>
  </si>
  <si>
    <t>Equipped creature gets +1/+1 and has reach; equip {1}</t>
  </si>
  <si>
    <t>The Misty Mountains Cold</t>
  </si>
  <si>
    <t>Chapters I through IV: create a Treasure token</t>
  </si>
  <si>
    <t>Sacrifice it once you control four or more Treasures to create a 6/6 red Dragon token with flying</t>
  </si>
  <si>
    <t>Thorin's Last Stand</t>
  </si>
  <si>
    <t>Creatures you control get +2/+1 until end of turn</t>
  </si>
  <si>
    <t>Or destroy target artifact or enchantment and you gain 2 life</t>
  </si>
  <si>
    <t>Thoughtweft Imbuer</t>
  </si>
  <si>
    <t>Kithkin Advisor</t>
  </si>
  <si>
    <t>Whenever a creature you control attacks alone, it gets +X/+X until end of turn, where X is the number of Kithkin you control</t>
  </si>
  <si>
    <t>Thranduil's Decree</t>
  </si>
  <si>
    <t>Counter target spell</t>
  </si>
  <si>
    <t>If a permanent spell is countered this way, exile it instead and you may cast it without paying its mana cost while it remains exiled</t>
  </si>
  <si>
    <t>Thrór's Map</t>
  </si>
  <si>
    <t>{2}, {T}: Draw a card, then discard a card</t>
  </si>
  <si>
    <t>Uneasy Partings</t>
  </si>
  <si>
    <t>Target creature's owner puts it on the top or bottom of their library</t>
  </si>
  <si>
    <t>Costs {1} less to cast if it targets an attacking nontoken creature</t>
  </si>
  <si>
    <t>Wandering Musicians</t>
  </si>
  <si>
    <t>Human Bard Ally</t>
  </si>
  <si>
    <t>Whenever it attacks, creatures you control get +1/+0 until end of turn</t>
  </si>
  <si>
    <t>Wartime Protestors</t>
  </si>
  <si>
    <t>Human Rebel Ally</t>
  </si>
  <si>
    <t>Whenever another Ally you control enters, put a +1/+1 counter on that creature and it gains haste until end of turn</t>
  </si>
  <si>
    <t>Yip Yip!</t>
  </si>
  <si>
    <t>Target creature you control gets +2/+2 until end of turn; if it is an Ally, it also gains flying</t>
  </si>
  <si>
    <t>Buy</t>
  </si>
  <si>
    <t>Deck</t>
  </si>
  <si>
    <t>D1</t>
  </si>
  <si>
    <t>D2</t>
  </si>
  <si>
    <t>D3</t>
  </si>
  <si>
    <t>D4</t>
  </si>
  <si>
    <t>D5</t>
  </si>
  <si>
    <t>D6</t>
  </si>
  <si>
    <t>$</t>
  </si>
  <si>
    <t>Cathars' Crusade</t>
  </si>
  <si>
    <t>Emiel the Blessed</t>
  </si>
  <si>
    <t>Black Market Connections</t>
  </si>
  <si>
    <t>Grave Pact</t>
  </si>
  <si>
    <t>Ghostly Prison</t>
  </si>
  <si>
    <t>Coat of Arms</t>
  </si>
  <si>
    <t>Upgrade Path</t>
  </si>
  <si>
    <t>2026-09-10  ·  67 cards, $766.01 at market  ·  none over $40  ·  every row names the card it comes in for</t>
  </si>
  <si>
    <t>This tab is not part of the v7-FINAL build. It is what you buy after it, in the order that moves each deck furthest.</t>
  </si>
  <si>
    <t>Every card here is legal in its deck's color identity, is not already in that deck, and replaces exactly one named card that is.</t>
  </si>
  <si>
    <t>Land counts and mana-source counts are unaffected by every swap on this tab, so you can make them one at a time without re-checking the mana base.</t>
  </si>
  <si>
    <t>Tier 1 changes how the deck wins. Tier 2 is a clear power gain on an existing plan. Tier 3 is efficiency and consistency.</t>
  </si>
  <si>
    <t>By tier</t>
  </si>
  <si>
    <t>Tier</t>
  </si>
  <si>
    <t>Cards</t>
  </si>
  <si>
    <t>Cost</t>
  </si>
  <si>
    <t>What it buys</t>
  </si>
  <si>
    <t>Tier 1</t>
  </si>
  <si>
    <t>Changes how the deck wins. Buy these first.</t>
  </si>
  <si>
    <t>Tier 2</t>
  </si>
  <si>
    <t>A clear power gain on the plan the deck already has.</t>
  </si>
  <si>
    <t>Tier 3</t>
  </si>
  <si>
    <t>Efficiency and consistency. Cheap, and they add up.</t>
  </si>
  <si>
    <t>D1  ·  Quintorius, Loremaster  ·  R/W</t>
  </si>
  <si>
    <t>10 cards</t>
  </si>
  <si>
    <t>Goal: Cards leaving the graveyard into Spirits, then a big recursion turn</t>
  </si>
  <si>
    <t>Buy this</t>
  </si>
  <si>
    <t>Own?</t>
  </si>
  <si>
    <t>Comes in for</t>
  </si>
  <si>
    <t>Why it is worth the slot</t>
  </si>
  <si>
    <t>buy</t>
  </si>
  <si>
    <t>Mana equal to an opponent's hand plus three cards off the top. It is the turn where Quintorius goes from grinding to winning.</t>
  </si>
  <si>
    <t>Every spell you cast from the graveyard is a card leaving the graveyard, so every one is also a Spirit. This is the deck's engine, not a value piece.</t>
  </si>
  <si>
    <t>Exiles a spell out of the graveyard and copies it. Two Quintorius triggers and a free sorcery in one card.</t>
  </si>
  <si>
    <t>Scales every combat instead of a five-mana spell that does not touch the graveyard.</t>
  </si>
  <si>
    <t>Four damage, or team indestructible through a wipe, or double strike. Three answers on one card instead of one.</t>
  </si>
  <si>
    <t>A free sacrifice outlet turns every Spirit into damage. The deck makes bodies and currently has no way to cash them in.</t>
  </si>
  <si>
    <t>Feldon of the Third Path</t>
  </si>
  <si>
    <t>Repeatable creature recursion every turn, and the token is exiled at end of turn so the card leaves the graveyard again.</t>
  </si>
  <si>
    <t>Sunforger</t>
  </si>
  <si>
    <t>Tutors any instant in the deck straight onto the stack. Consistency for a deck built on the right answer at the right time.</t>
  </si>
  <si>
    <t>Two permanents back at instant speed for two mana, and two cards leaving the graveyard means two Spirits.</t>
  </si>
  <si>
    <t>One mana of insurance against the wipe that otherwise ends your game.</t>
  </si>
  <si>
    <t>D2  ·  Chulane, Teller of Tales  ·  G/W/U</t>
  </si>
  <si>
    <t>11 cards</t>
  </si>
  <si>
    <t>Goal: Creature enter-the-battlefield value, looped with Chulane</t>
  </si>
  <si>
    <t>Finale of Devastation</t>
  </si>
  <si>
    <t>Tutors any creature to the battlefield, and for large X it is the game-ending pump. One card that is both the setup and the finish.</t>
  </si>
  <si>
    <t>Elesh Norn, Mother of Machines</t>
  </si>
  <si>
    <t>Doubles every enter-the-battlefield trigger you have and shuts off every one your opponents have. In a deck built on ETBs this is two cards in one.</t>
  </si>
  <si>
    <t>Cloudstone Curio</t>
  </si>
  <si>
    <t>With Chulane out, two cheap creatures bounce each other forever. This is the card that turns the deck from good value into a combo deck.</t>
  </si>
  <si>
    <t>Displacer Kitten</t>
  </si>
  <si>
    <t>Blinks a nonland permanent every time you cast a noncreature spell. Free value on cards you were casting anyway.</t>
  </si>
  <si>
    <t>Sylvan Library</t>
  </si>
  <si>
    <t>The best card selection in green. Fixes the draws where Chulane never lands.</t>
  </si>
  <si>
    <t>Same-turn kill off either infinite loop. Cut on second review; Approach does it for a third of the price.</t>
  </si>
  <si>
    <t>Hexproof and indestructible at instant speed. Cut on second review in favour of Unbreakable Formation at $0.74.</t>
  </si>
  <si>
    <t>A card every time a nontoken creature enters. Chulane already draws you one; this doubles it.</t>
  </si>
  <si>
    <t>A blink outlet that costs three and needs no blue, and it grows the creature it blinks.</t>
  </si>
  <si>
    <t>A card on every creature spell instead of a card once.</t>
  </si>
  <si>
    <t>Ghostly Flicker</t>
  </si>
  <si>
    <t>Two blinks for one card, and it can reset lands as well as creatures.</t>
  </si>
  <si>
    <t>D3  ·  Atraxa, Praetors' Voice  ·  W/U/B/G</t>
  </si>
  <si>
    <t>13 cards</t>
  </si>
  <si>
    <t>Goal: +1/+1 counters and proliferate compounding every turn</t>
  </si>
  <si>
    <t>Cyclonic Rift</t>
  </si>
  <si>
    <t>Overloaded it bounces every nonland permanent your opponents control at instant speed. It is the single best turn this deck can have.</t>
  </si>
  <si>
    <t>Doubles every counter you place and halves every counter your opponents get. Atraxa's proliferate becomes twice as fast and their proliferate stops working.</t>
  </si>
  <si>
    <t>Teferi's Protection</t>
  </si>
  <si>
    <t>The wipe answer the deck does not have. Phases out everything you own and makes you untargetable until your next turn.</t>
  </si>
  <si>
    <t>Damning Verdict</t>
  </si>
  <si>
    <t>A one-sided wipe. Everything without a +1/+1 counter dies, and your board is made of +1/+1 counters.</t>
  </si>
  <si>
    <t>Two mana to save the entire board. The second layer of wipe insurance behind Teferi's Protection.</t>
  </si>
  <si>
    <t>One-sided -1/-1 wipe plus a second proliferate every turn. Cut on second review; Fall of the First Civilization does the wipe job free.</t>
  </si>
  <si>
    <t>A +1/+1 counter on every creature you control every time a creature enters. It compounds with every token and every proliferate.</t>
  </si>
  <si>
    <t>Herald of Secret Streams</t>
  </si>
  <si>
    <t>Every creature with a counter becomes unblockable. It turns a stalled counters board into lethal.</t>
  </si>
  <si>
    <t>Kalonian Hydra</t>
  </si>
  <si>
    <t>Doubles the counters on every creature you control whenever it attacks.</t>
  </si>
  <si>
    <t>A card on every creature spell in the deck with the most creatures.</t>
  </si>
  <si>
    <t>One mana, and it gives a creature protection to dodge removal or to push damage through.</t>
  </si>
  <si>
    <t>Corpsejack Menace</t>
  </si>
  <si>
    <t>Doubles every counter that would be placed on your creatures for four mana.</t>
  </si>
  <si>
    <t>Master Biomancer</t>
  </si>
  <si>
    <t>Every creature you cast arrives with counters already on it. The Hexmage removes counters, which fights your own plan.</t>
  </si>
  <si>
    <t>D4  ·  Betor, Ancestor's Voice  ·  W/B/G</t>
  </si>
  <si>
    <t>Goal: High toughness turned into damage and end-step payoffs</t>
  </si>
  <si>
    <t>Two mana to protect the board you spent the game assembling.</t>
  </si>
  <si>
    <t>Vigor</t>
  </si>
  <si>
    <t>All damage to your creatures becomes +1/+1 counters instead. In a toughness deck it makes combat unlosable.</t>
  </si>
  <si>
    <t>Grand Abolisher</t>
  </si>
  <si>
    <t>Opponents cannot cast spells or activate abilities during your turn. Your wipe and your alpha both resolve untouched.</t>
  </si>
  <si>
    <t>A fifth global toughness-as-damage body. Cut from the order on second review; the deck has four already.</t>
  </si>
  <si>
    <t>Angelic Chorus</t>
  </si>
  <si>
    <t>Life equal to toughness every time a creature enters, and your creatures are all toughness.</t>
  </si>
  <si>
    <t>Taxes every attack against you. A defensive deck should be nearly unattackable.</t>
  </si>
  <si>
    <t>Toughness with no ceiling, and Betor counts total toughness.</t>
  </si>
  <si>
    <t>Shield of the Oversoul</t>
  </si>
  <si>
    <t>Indestructible and flying on top of the pump, so the creature survives wipes and gets through.</t>
  </si>
  <si>
    <t>Karador, Ghost Chieftain</t>
  </si>
  <si>
    <t>A creature back from the graveyard every turn, for thirty-three cents.</t>
  </si>
  <si>
    <t>Plus zero plus two to the whole team pushes several creatures over Betor's next threshold at once.</t>
  </si>
  <si>
    <t>Ramp and fixing in the three-color deck with the fewest mana sources to spare.</t>
  </si>
  <si>
    <t>Life every time a defender blocks, which is every combat in this deck. (v12: Jaddi Offshoot left the deck; the Ram is the other lifegain wall.)</t>
  </si>
  <si>
    <t>A 0/6 that returns to your hand every time it blocks. Thirty cents for an infinite blocker.</t>
  </si>
  <si>
    <t>D5  ·  Shadrix Silverquill  ·  W/B</t>
  </si>
  <si>
    <t>Goal: Go wide on tokens, then drain the table as they die</t>
  </si>
  <si>
    <t>Every creature that dies on your side makes each opponent sacrifice one. With tokens dying constantly it dismantles three boards at once.</t>
  </si>
  <si>
    <t>The same effect as Grave Pact with flash, so it lands after a wipe and punishes it.</t>
  </si>
  <si>
    <t>Play off the top of your library paying life instead of mana. In a deck already gaining life it is close to a free win.</t>
  </si>
  <si>
    <t>Divine Visitation</t>
  </si>
  <si>
    <t>Every token you would make becomes a 4/4 Angel instead. Forty-four cents, and it is the biggest single upgrade on this entire tab.</t>
  </si>
  <si>
    <t>Fifth free outlet and two mana per body. Cut from the order on second review because four free outlets already exist; still the best single upgrade for the deck.</t>
  </si>
  <si>
    <t>A +1/+1 counter on everything each time a creature enters. Your tokens stop being 1/1s.</t>
  </si>
  <si>
    <t>A treasure, a body and a card every turn, all optional, all at the cost of some life you are already gaining back.</t>
  </si>
  <si>
    <t>Prevents the attack that would kill you and turns the damage into that many 1/1 fliers.</t>
  </si>
  <si>
    <t>Grows on every death and then dies into an army of Vampires.</t>
  </si>
  <si>
    <t>Counters on your creatures and a 2/1 Inkling every time one with a counter dies.</t>
  </si>
  <si>
    <t>Counters and cards every time an opponent is attacked, including by someone who is not you.</t>
  </si>
  <si>
    <t>Any card in the deck for four mana. Slow, but it finds Grave Pact or the Altar when the game demands it.</t>
  </si>
  <si>
    <t>A card each turn you made a token, which is nearly every turn.</t>
  </si>
  <si>
    <t>D6  ·  Krenko, Mob Boss  ·  R</t>
  </si>
  <si>
    <t>7 cards</t>
  </si>
  <si>
    <t>Goal: Make goblins faster than the table can answer them</t>
  </si>
  <si>
    <t>Every goblin gets plus one plus one for every other goblin. Thirty tokens becomes lethal instead of chip damage.</t>
  </si>
  <si>
    <t>Copy Krenko every turn. Each copy taps for goblins equal to your goblin count, and the count doubles as it goes.</t>
  </si>
  <si>
    <t>Look at the top six and put every goblin onto the battlefield. It refills a wiped board in one card.</t>
  </si>
  <si>
    <t>Umbral Mantle</t>
  </si>
  <si>
    <t>Three mana untaps Krenko. With enough goblins producing mana, that is arbitrarily many goblins in one turn.</t>
  </si>
  <si>
    <t>One damage on turn two puts Krenko or Muxus onto the battlefield for free.</t>
  </si>
  <si>
    <t>Stacks the top of your library with exactly the goblins you need, in the order you need them.</t>
  </si>
  <si>
    <t>Goblins you cast get menace and dead goblins come back off the top. Recursion in the color that has almost none.</t>
  </si>
  <si>
    <t>What this tab cannot fix</t>
  </si>
  <si>
    <t>D6 still has no clean answer to a resolved enchantment beyond Chaos Warp. Mono-red does not have one at any price. Race those decks.</t>
  </si>
  <si>
    <t>D3 and D6 gain wipe insurance here (Teferi's Protection, Heroic Intervention, Blasphemous Act) but neither gets true team-wide protection in its colors.</t>
  </si>
  <si>
    <t>These upgrades pull the kill turn in by roughly two to three turns. They do not turn a turn-13 deck into a turn-7 deck, and nothing at this budget would.</t>
  </si>
  <si>
    <t>Collector #</t>
  </si>
  <si>
    <t>Set Total</t>
  </si>
  <si>
    <t>Set Code</t>
  </si>
  <si>
    <t>Long Lake Nuisance</t>
  </si>
  <si>
    <t>In Bench</t>
  </si>
  <si>
    <t>Substitutes</t>
  </si>
  <si>
    <t>Substitute Count</t>
  </si>
  <si>
    <t>Bench</t>
  </si>
  <si>
    <t>D7-T</t>
  </si>
  <si>
    <t>D7-A</t>
  </si>
  <si>
    <t>Order Notes</t>
  </si>
  <si>
    <t>Comments</t>
  </si>
  <si>
    <t>Collect</t>
  </si>
  <si>
    <t>Play</t>
  </si>
  <si>
    <t>Ancestral Anger</t>
  </si>
  <si>
    <t>Appeal to Eirdu</t>
  </si>
  <si>
    <t>Ascendant Dustspeaker</t>
  </si>
  <si>
    <t>Biblioplex Tomekeeper</t>
  </si>
  <si>
    <t>Blazing Firesinger</t>
  </si>
  <si>
    <t>Bogslither's Embrace</t>
  </si>
  <si>
    <t>Boldwyr Aggressor</t>
  </si>
  <si>
    <t>Borrowed Knowledge</t>
  </si>
  <si>
    <t>Charging Strifeknight</t>
  </si>
  <si>
    <t>Chelonian Tackle</t>
  </si>
  <si>
    <t>Chomping Changeling</t>
  </si>
  <si>
    <t>Crude Bent Blade</t>
  </si>
  <si>
    <t>Daydream</t>
  </si>
  <si>
    <t>Eclipsed Realms</t>
  </si>
  <si>
    <t>Elvenking's Harper</t>
  </si>
  <si>
    <t>Expressive Firedancer</t>
  </si>
  <si>
    <t>Flame-Chain Mauler</t>
  </si>
  <si>
    <t>Flamekin Gildweaver</t>
  </si>
  <si>
    <t>Follow the Lumarets</t>
  </si>
  <si>
    <t>Fractal Anomaly</t>
  </si>
  <si>
    <t>Gandalf, Goblins' Bane</t>
  </si>
  <si>
    <t>Giant Growth</t>
  </si>
  <si>
    <t>Goldmeadow Nomad</t>
  </si>
  <si>
    <t>Great Forest Druid</t>
  </si>
  <si>
    <t>Imperious Inkmage</t>
  </si>
  <si>
    <t>Impolite Entrance</t>
  </si>
  <si>
    <t>Iron Hills</t>
  </si>
  <si>
    <t>Joined Researchers</t>
  </si>
  <si>
    <t>Kinbinding</t>
  </si>
  <si>
    <t>Mage Tower Referee</t>
  </si>
  <si>
    <t>Master's Councillors</t>
  </si>
  <si>
    <t>Masterful Flourish</t>
  </si>
  <si>
    <t>Mistmeadow Council</t>
  </si>
  <si>
    <t>Misty Mountains Raider</t>
  </si>
  <si>
    <t>Moonshadow</t>
  </si>
  <si>
    <t>Muse's Encouragement</t>
  </si>
  <si>
    <t>Noxious Newt</t>
  </si>
  <si>
    <t>Render Speechless</t>
  </si>
  <si>
    <t>Resonating Lute</t>
  </si>
  <si>
    <t>Retched Wretch</t>
  </si>
  <si>
    <t>Rime Chill</t>
  </si>
  <si>
    <t>Royal Treatment</t>
  </si>
  <si>
    <t>Shadow Urchin</t>
  </si>
  <si>
    <t>Silvergill Peddler</t>
  </si>
  <si>
    <t>Silverquill Charm</t>
  </si>
  <si>
    <t>Smaug, Wicked Worm</t>
  </si>
  <si>
    <t>Stand Up for Yourself</t>
  </si>
  <si>
    <t>Stone Docent</t>
  </si>
  <si>
    <t>Strixhaven Skycoach</t>
  </si>
  <si>
    <t>Thorin Oakenshield</t>
  </si>
  <si>
    <t>Tom, Bert, and William</t>
  </si>
  <si>
    <t>Troop of Ponies</t>
  </si>
  <si>
    <t>Vow to Erebor</t>
  </si>
  <si>
    <t>Wander Off</t>
  </si>
  <si>
    <t>Warg Tactics</t>
  </si>
  <si>
    <t>Wary Farmer</t>
  </si>
  <si>
    <t>Orc Cleric</t>
  </si>
  <si>
    <t>Elf Bard</t>
  </si>
  <si>
    <t>Human Sorcerer</t>
  </si>
  <si>
    <t>Kithkin Scout</t>
  </si>
  <si>
    <t>Orc Warlock</t>
  </si>
  <si>
    <t>Human Cleric Wizard</t>
  </si>
  <si>
    <t>Salamander</t>
  </si>
  <si>
    <t>Ouphe</t>
  </si>
  <si>
    <t>Merfolk Citizen</t>
  </si>
  <si>
    <t>Spirit Chimera</t>
  </si>
  <si>
    <t>Dwarf Noble</t>
  </si>
  <si>
    <t>Troll</t>
  </si>
  <si>
    <t>Horse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</si>
</sst>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00"/>
  </numFmts>
  <fonts count="22">
    <font>
      <sz val="11"/>
      <color theme="1"/>
      <name val="Calibri"/>
      <family val="2"/>
      <charset val="1"/>
    </font>
    <font>
      <b/>
      <sz val="11"/>
      <color theme="1"/>
      <name val="Calibri"/>
      <family val="2"/>
    </font>
    <font>
      <b/>
      <sz val="10"/>
      <color rgb="FFFFFFFF"/>
      <name val="Satoshi"/>
    </font>
    <font>
      <b/>
      <sz val="10"/>
      <color theme="1"/>
      <name val="Satoshi"/>
    </font>
    <font>
      <sz val="10"/>
      <name val="Satoshi"/>
    </font>
    <font>
      <sz val="10"/>
      <color theme="1"/>
      <name val="Satoshi"/>
    </font>
    <font>
      <i/>
      <sz val="10"/>
      <color rgb="FF5A6472"/>
      <name val="Calibri"/>
    </font>
    <font>
      <b/>
      <sz val="12"/>
      <color rgb="FF1B2A41"/>
      <name val="Calibri"/>
    </font>
    <font>
      <sz val="10"/>
      <name val="Calibri"/>
    </font>
    <font>
      <b/>
      <sz val="11"/>
      <name val="Calibri"/>
    </font>
    <font>
      <b/>
      <sz val="16"/>
      <color rgb="FF1B2A41"/>
      <name val="Calibri"/>
    </font>
    <font>
      <b/>
      <sz val="10"/>
      <color rgb="FFFFFFFF"/>
      <name val="Calibri"/>
    </font>
    <font>
      <b/>
      <sz val="10"/>
      <color rgb="FF5A6472"/>
      <name val="Calibri"/>
    </font>
    <font>
      <b/>
      <sz val="10"/>
      <color rgb="FF1B2A41"/>
      <name val="Calibri"/>
    </font>
    <font>
      <sz val="11"/>
      <color rgb="FF5A6472"/>
      <name val="Calibri"/>
    </font>
    <font>
      <b/>
      <sz val="11"/>
      <name val="Calibri"/>
    </font>
    <font>
      <i/>
      <sz val="10"/>
      <color rgb="FF4A4A6A"/>
      <name val="Satoshi"/>
    </font>
    <font>
      <sz val="10"/>
      <color rgb="FF9A9A9A"/>
      <name val="Satoshi"/>
    </font>
    <font>
      <b/>
      <sz val="10"/>
      <name val="Satoshi"/>
    </font>
    <font>
      <b/>
      <sz val="10"/>
      <color rgb="FF1B5E20"/>
      <name val="Satoshi"/>
    </font>
    <font>
      <sz val="11"/>
      <color theme="1"/>
      <name val="Calibri"/>
      <family val="2"/>
    </font>
    <font>
      <b/>
      <sz val="10"/>
      <color theme="0"/>
      <name val="Satoshi"/>
    </font>
  </fonts>
  <fills count="37">
    <fill>
      <patternFill patternType="none"/>
    </fill>
    <fill>
      <patternFill patternType="gray125"/>
    </fill>
    <fill>
      <patternFill patternType="solid">
        <fgColor theme="3" tint="0.59999389629810485"/>
        <bgColor indexed="64"/>
      </patternFill>
    </fill>
    <fill>
      <patternFill patternType="solid">
        <fgColor theme="6"/>
        <bgColor indexed="64"/>
      </patternFill>
    </fill>
    <fill>
      <patternFill patternType="solid">
        <fgColor rgb="FF1F4E78"/>
        <bgColor rgb="FF2E5E4E"/>
      </patternFill>
    </fill>
    <fill>
      <patternFill patternType="solid">
        <fgColor rgb="FF00B050"/>
        <bgColor rgb="FF2E5E4E"/>
      </patternFill>
    </fill>
    <fill>
      <patternFill patternType="solid">
        <fgColor theme="2" tint="-0.499984740745262"/>
        <bgColor rgb="FF2E5E4E"/>
      </patternFill>
    </fill>
    <fill>
      <patternFill patternType="solid">
        <fgColor rgb="FF7030A0"/>
        <bgColor rgb="FF2E5E4E"/>
      </patternFill>
    </fill>
    <fill>
      <patternFill patternType="solid">
        <fgColor theme="6"/>
        <bgColor rgb="FF2E5E4E"/>
      </patternFill>
    </fill>
    <fill>
      <patternFill patternType="solid">
        <fgColor rgb="FFF8CBCD"/>
      </patternFill>
    </fill>
    <fill>
      <patternFill patternType="solid">
        <fgColor rgb="FF1B2A41"/>
      </patternFill>
    </fill>
    <fill>
      <patternFill patternType="solid">
        <fgColor rgb="FFFFE9B8"/>
      </patternFill>
    </fill>
    <fill>
      <patternFill patternType="solid">
        <fgColor rgb="FFDDE7F2"/>
      </patternFill>
    </fill>
    <fill>
      <patternFill patternType="solid">
        <fgColor rgb="FFF2F2F2"/>
      </patternFill>
    </fill>
    <fill>
      <patternFill patternType="solid">
        <fgColor rgb="FFC6EFCE"/>
      </patternFill>
    </fill>
    <fill>
      <patternFill patternType="solid">
        <fgColor rgb="FFD9EFD9"/>
      </patternFill>
    </fill>
    <fill>
      <patternFill patternType="solid">
        <fgColor rgb="FFFFC7CE"/>
      </patternFill>
    </fill>
    <fill>
      <patternFill patternType="solid">
        <fgColor rgb="FFF8CBCD"/>
      </patternFill>
    </fill>
    <fill>
      <patternFill patternType="solid">
        <fgColor rgb="FFFFEB9C"/>
      </patternFill>
    </fill>
    <fill>
      <patternFill patternType="solid">
        <fgColor rgb="FFFFF2CC"/>
      </patternFill>
    </fill>
    <fill>
      <patternFill patternType="solid">
        <fgColor rgb="FFE4DFEC"/>
      </patternFill>
    </fill>
    <fill>
      <patternFill patternType="solid">
        <fgColor rgb="FFFCE4D6"/>
      </patternFill>
    </fill>
    <fill>
      <patternFill patternType="solid">
        <fgColor rgb="FFDDEBF7"/>
      </patternFill>
    </fill>
    <fill>
      <patternFill patternType="solid">
        <fgColor rgb="FFE2EFDA"/>
      </patternFill>
    </fill>
    <fill>
      <patternFill patternType="solid">
        <fgColor theme="7"/>
        <bgColor rgb="FF2E5E4E"/>
      </patternFill>
    </fill>
    <fill>
      <patternFill patternType="solid">
        <fgColor rgb="FFFFC000"/>
        <bgColor indexed="64"/>
      </patternFill>
    </fill>
    <fill>
      <patternFill patternType="solid">
        <fgColor theme="7" tint="0.79998168889431442"/>
        <bgColor indexed="64"/>
      </patternFill>
    </fill>
    <fill>
      <patternFill patternType="solid">
        <fgColor rgb="FF00B0F0"/>
        <bgColor indexed="64"/>
      </patternFill>
    </fill>
    <fill>
      <patternFill patternType="solid">
        <fgColor theme="6" tint="0.79998168889431442"/>
        <bgColor indexed="64"/>
      </patternFill>
    </fill>
    <fill>
      <patternFill patternType="solid">
        <fgColor theme="6" tint="0.39997558519241921"/>
        <bgColor rgb="FF2E5E4E"/>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theme="7" tint="0.39997558519241921"/>
        <bgColor rgb="FF2E5E4E"/>
      </patternFill>
    </fill>
    <fill>
      <patternFill patternType="solid">
        <fgColor theme="3" tint="0.39997558519241921"/>
        <bgColor rgb="FF2E5E4E"/>
      </patternFill>
    </fill>
    <fill>
      <patternFill patternType="solid">
        <fgColor theme="4" tint="0.59999389629810485"/>
        <bgColor rgb="FF2E5E4E"/>
      </patternFill>
    </fill>
  </fills>
  <borders count="13">
    <border>
      <left/>
      <right/>
      <top/>
      <bottom/>
      <diagonal/>
    </border>
    <border>
      <left/>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right style="thin">
        <color rgb="FFD9D9D9"/>
      </right>
      <top/>
      <bottom/>
      <diagonal/>
    </border>
    <border>
      <left style="thin">
        <color rgb="FFD3D8DE"/>
      </left>
      <right style="thin">
        <color rgb="FFD3D8DE"/>
      </right>
      <top style="thin">
        <color rgb="FFD3D8DE"/>
      </top>
      <bottom style="thin">
        <color rgb="FFD3D8DE"/>
      </bottom>
      <diagonal/>
    </border>
    <border>
      <left style="thin">
        <color rgb="FFD3D8DE"/>
      </left>
      <right style="thin">
        <color rgb="FFD3D8DE"/>
      </right>
      <top style="thin">
        <color rgb="FFD3D8DE"/>
      </top>
      <bottom style="thin">
        <color rgb="FFD3D8DE"/>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s>
  <cellStyleXfs count="1">
    <xf numFmtId="0" fontId="0" fillId="0" borderId="0"/>
  </cellStyleXfs>
  <cellXfs count="155">
    <xf numFmtId="0" fontId="0" fillId="0" borderId="0" xfId="0"/>
    <xf numFmtId="0" fontId="1" fillId="0" borderId="1" xfId="0" applyFont="1" applyBorder="1"/>
    <xf numFmtId="0" fontId="2" fillId="4" borderId="2" xfId="0" applyFont="1" applyFill="1" applyBorder="1" applyAlignment="1">
      <alignment horizontal="center" vertical="top" wrapText="1"/>
    </xf>
    <xf numFmtId="0" fontId="2" fillId="7" borderId="2" xfId="0" applyFont="1" applyFill="1" applyBorder="1" applyAlignment="1">
      <alignment horizontal="center" vertical="top" wrapText="1"/>
    </xf>
    <xf numFmtId="0" fontId="0" fillId="0" borderId="0" xfId="0" applyAlignment="1">
      <alignment horizontal="center"/>
    </xf>
    <xf numFmtId="0" fontId="6" fillId="0" borderId="0" xfId="0" applyFont="1"/>
    <xf numFmtId="0" fontId="7" fillId="0" borderId="0" xfId="0" applyFont="1"/>
    <xf numFmtId="0" fontId="8" fillId="0" borderId="0" xfId="0" applyFont="1"/>
    <xf numFmtId="0" fontId="0" fillId="0" borderId="5" xfId="0" applyBorder="1"/>
    <xf numFmtId="0" fontId="0" fillId="0" borderId="5" xfId="0" applyBorder="1" applyAlignment="1">
      <alignment vertical="top"/>
    </xf>
    <xf numFmtId="0" fontId="0" fillId="0" borderId="5" xfId="0" applyBorder="1" applyAlignment="1">
      <alignment vertical="top" wrapText="1"/>
    </xf>
    <xf numFmtId="165" fontId="0" fillId="0" borderId="5" xfId="0" applyNumberFormat="1" applyBorder="1"/>
    <xf numFmtId="165" fontId="0" fillId="0" borderId="5" xfId="0" applyNumberFormat="1" applyBorder="1" applyAlignment="1">
      <alignment vertical="top"/>
    </xf>
    <xf numFmtId="0" fontId="10" fillId="0" borderId="0" xfId="0" applyFont="1"/>
    <xf numFmtId="0" fontId="11" fillId="10" borderId="5" xfId="0" applyFont="1" applyFill="1" applyBorder="1"/>
    <xf numFmtId="0" fontId="9" fillId="9" borderId="5" xfId="0" applyFont="1" applyFill="1" applyBorder="1"/>
    <xf numFmtId="0" fontId="9" fillId="11" borderId="5" xfId="0" applyFont="1" applyFill="1" applyBorder="1"/>
    <xf numFmtId="0" fontId="9" fillId="12" borderId="5" xfId="0" applyFont="1" applyFill="1" applyBorder="1"/>
    <xf numFmtId="0" fontId="12" fillId="0" borderId="0" xfId="0" applyFont="1"/>
    <xf numFmtId="165" fontId="13" fillId="0" borderId="0" xfId="0" applyNumberFormat="1" applyFont="1"/>
    <xf numFmtId="0" fontId="9" fillId="9" borderId="5" xfId="0" applyFont="1" applyFill="1" applyBorder="1" applyAlignment="1">
      <alignment horizontal="center"/>
    </xf>
    <xf numFmtId="0" fontId="0" fillId="0" borderId="5" xfId="0" applyBorder="1" applyAlignment="1">
      <alignment horizontal="center"/>
    </xf>
    <xf numFmtId="0" fontId="9" fillId="0" borderId="5" xfId="0" applyFont="1" applyBorder="1" applyAlignment="1">
      <alignment vertical="top"/>
    </xf>
    <xf numFmtId="0" fontId="14" fillId="13" borderId="5" xfId="0" applyFont="1" applyFill="1" applyBorder="1" applyAlignment="1">
      <alignment vertical="top"/>
    </xf>
    <xf numFmtId="0" fontId="9" fillId="11" borderId="5" xfId="0" applyFont="1" applyFill="1" applyBorder="1" applyAlignment="1">
      <alignment horizontal="center"/>
    </xf>
    <xf numFmtId="0" fontId="9" fillId="12" borderId="5" xfId="0" applyFont="1" applyFill="1" applyBorder="1" applyAlignment="1">
      <alignment horizontal="center"/>
    </xf>
    <xf numFmtId="0" fontId="15" fillId="0" borderId="0" xfId="0" applyFont="1"/>
    <xf numFmtId="0" fontId="0" fillId="0" borderId="6" xfId="0" applyBorder="1" applyAlignment="1">
      <alignment vertical="top" wrapText="1"/>
    </xf>
    <xf numFmtId="0" fontId="16" fillId="0" borderId="0" xfId="0" applyFont="1" applyAlignment="1">
      <alignment vertical="top" wrapText="1"/>
    </xf>
    <xf numFmtId="0" fontId="16" fillId="0" borderId="6" xfId="0" applyFont="1" applyBorder="1" applyAlignment="1">
      <alignment vertical="top" wrapText="1"/>
    </xf>
    <xf numFmtId="0" fontId="4" fillId="0" borderId="6" xfId="0" applyFont="1" applyBorder="1" applyAlignment="1">
      <alignment vertical="top" wrapText="1"/>
    </xf>
    <xf numFmtId="0" fontId="4" fillId="0" borderId="0" xfId="0" applyFont="1" applyAlignment="1">
      <alignment vertical="top" wrapText="1"/>
    </xf>
    <xf numFmtId="0" fontId="2" fillId="24" borderId="2" xfId="0" applyFont="1" applyFill="1" applyBorder="1" applyAlignment="1">
      <alignment horizontal="center" vertical="top" wrapText="1"/>
    </xf>
    <xf numFmtId="0" fontId="2" fillId="4" borderId="8" xfId="0" applyFont="1" applyFill="1" applyBorder="1" applyAlignment="1">
      <alignment horizontal="center" vertical="top" wrapText="1"/>
    </xf>
    <xf numFmtId="0" fontId="2" fillId="4" borderId="11" xfId="0" applyFont="1" applyFill="1" applyBorder="1" applyAlignment="1">
      <alignment horizontal="center" vertical="top" wrapText="1"/>
    </xf>
    <xf numFmtId="0" fontId="0" fillId="26" borderId="0" xfId="0" applyFill="1"/>
    <xf numFmtId="0" fontId="1" fillId="27" borderId="1" xfId="0" applyFont="1" applyFill="1" applyBorder="1"/>
    <xf numFmtId="0" fontId="0" fillId="27" borderId="0" xfId="0" applyFill="1"/>
    <xf numFmtId="0" fontId="2" fillId="0" borderId="9" xfId="0" applyFont="1" applyBorder="1" applyAlignment="1">
      <alignment horizontal="center" vertical="top" wrapText="1"/>
    </xf>
    <xf numFmtId="0" fontId="2" fillId="0" borderId="10" xfId="0" applyFont="1" applyBorder="1" applyAlignment="1">
      <alignment horizontal="center" vertical="top" wrapText="1"/>
    </xf>
    <xf numFmtId="0" fontId="0" fillId="28" borderId="0" xfId="0" applyFill="1"/>
    <xf numFmtId="0" fontId="3" fillId="29" borderId="2" xfId="0" applyFont="1" applyFill="1" applyBorder="1" applyAlignment="1">
      <alignment horizontal="center" vertical="top" wrapText="1"/>
    </xf>
    <xf numFmtId="164" fontId="0" fillId="26" borderId="0" xfId="0" applyNumberFormat="1" applyFill="1"/>
    <xf numFmtId="0" fontId="1" fillId="30" borderId="0" xfId="0" applyFont="1" applyFill="1"/>
    <xf numFmtId="0" fontId="2" fillId="5" borderId="7" xfId="0" applyFont="1" applyFill="1" applyBorder="1" applyAlignment="1">
      <alignment horizontal="center" vertical="top" wrapText="1"/>
    </xf>
    <xf numFmtId="0" fontId="2" fillId="6" borderId="8" xfId="0" applyFont="1" applyFill="1" applyBorder="1" applyAlignment="1">
      <alignment horizontal="center" vertical="top" wrapText="1"/>
    </xf>
    <xf numFmtId="0" fontId="2" fillId="5" borderId="12" xfId="0" applyFont="1" applyFill="1" applyBorder="1" applyAlignment="1">
      <alignment horizontal="center" vertical="top" wrapText="1"/>
    </xf>
    <xf numFmtId="0" fontId="1" fillId="31" borderId="1" xfId="0" applyFont="1" applyFill="1" applyBorder="1"/>
    <xf numFmtId="0" fontId="0" fillId="31" borderId="0" xfId="0" applyFill="1"/>
    <xf numFmtId="0" fontId="20" fillId="2" borderId="1" xfId="0" applyFont="1" applyFill="1" applyBorder="1" applyAlignment="1">
      <alignment horizontal="center"/>
    </xf>
    <xf numFmtId="0" fontId="20" fillId="3" borderId="0" xfId="0" applyFont="1" applyFill="1" applyAlignment="1">
      <alignment horizontal="center"/>
    </xf>
    <xf numFmtId="0" fontId="20" fillId="30" borderId="0" xfId="0" applyFont="1" applyFill="1" applyAlignment="1">
      <alignment horizontal="center"/>
    </xf>
    <xf numFmtId="0" fontId="20" fillId="32" borderId="0" xfId="0" applyFont="1" applyFill="1" applyAlignment="1">
      <alignment horizontal="center"/>
    </xf>
    <xf numFmtId="0" fontId="20" fillId="33" borderId="1" xfId="0" applyFont="1" applyFill="1" applyBorder="1" applyAlignment="1">
      <alignment horizontal="center"/>
    </xf>
    <xf numFmtId="0" fontId="20" fillId="26" borderId="0" xfId="0" applyFont="1" applyFill="1" applyAlignment="1">
      <alignment horizontal="center"/>
    </xf>
    <xf numFmtId="0" fontId="1" fillId="0" borderId="0" xfId="0" applyFont="1" applyAlignment="1">
      <alignment horizontal="center"/>
    </xf>
    <xf numFmtId="0" fontId="1" fillId="2" borderId="0" xfId="0" applyFont="1" applyFill="1"/>
    <xf numFmtId="0" fontId="1" fillId="32" borderId="0" xfId="0" applyFont="1" applyFill="1"/>
    <xf numFmtId="0" fontId="21" fillId="8" borderId="2" xfId="0" applyFont="1" applyFill="1" applyBorder="1" applyAlignment="1">
      <alignment horizontal="center" vertical="top" wrapText="1"/>
    </xf>
    <xf numFmtId="0" fontId="1" fillId="26" borderId="0" xfId="0" applyFont="1" applyFill="1" applyAlignment="1">
      <alignment horizontal="center"/>
    </xf>
    <xf numFmtId="0" fontId="1" fillId="30" borderId="0" xfId="0" applyFont="1" applyFill="1" applyAlignment="1">
      <alignment horizontal="center"/>
    </xf>
    <xf numFmtId="0" fontId="1" fillId="32" borderId="0" xfId="0" applyFont="1" applyFill="1" applyAlignment="1">
      <alignment horizontal="center"/>
    </xf>
    <xf numFmtId="0" fontId="1" fillId="25" borderId="0" xfId="0" applyFont="1" applyFill="1" applyAlignment="1">
      <alignment horizontal="center"/>
    </xf>
    <xf numFmtId="0" fontId="1" fillId="33" borderId="1" xfId="0" applyFont="1" applyFill="1" applyBorder="1" applyAlignment="1">
      <alignment horizontal="center"/>
    </xf>
    <xf numFmtId="0" fontId="18" fillId="34" borderId="2" xfId="0" applyFont="1" applyFill="1" applyBorder="1" applyAlignment="1">
      <alignment horizontal="center" vertical="top" wrapText="1"/>
    </xf>
    <xf numFmtId="0" fontId="2" fillId="35" borderId="3" xfId="0" applyFont="1" applyFill="1" applyBorder="1" applyAlignment="1">
      <alignment horizontal="center" vertical="top" wrapText="1"/>
    </xf>
    <xf numFmtId="0" fontId="18" fillId="36" borderId="2" xfId="0" applyFont="1" applyFill="1" applyBorder="1" applyAlignment="1">
      <alignment horizontal="center" vertical="top" wrapText="1"/>
    </xf>
    <xf numFmtId="0" fontId="4" fillId="19" borderId="2" xfId="0" applyFont="1" applyFill="1" applyBorder="1" applyAlignment="1">
      <alignment vertical="top" wrapText="1"/>
    </xf>
    <xf numFmtId="0" fontId="4" fillId="0" borderId="2" xfId="0" applyFont="1" applyBorder="1" applyAlignment="1">
      <alignment horizontal="center" vertical="top" wrapText="1"/>
    </xf>
    <xf numFmtId="0" fontId="5" fillId="0" borderId="0" xfId="0" applyFont="1" applyAlignment="1">
      <alignment horizontal="center" vertical="top" wrapText="1"/>
    </xf>
    <xf numFmtId="0" fontId="4" fillId="0" borderId="2" xfId="0" applyFont="1" applyBorder="1" applyAlignment="1">
      <alignment vertical="top" wrapText="1"/>
    </xf>
    <xf numFmtId="0" fontId="4" fillId="0" borderId="2" xfId="0" applyFont="1" applyBorder="1" applyAlignment="1">
      <alignment horizontal="left" vertical="top" wrapText="1"/>
    </xf>
    <xf numFmtId="0" fontId="5" fillId="0" borderId="0" xfId="0" applyFont="1" applyAlignment="1">
      <alignment vertical="top" wrapText="1"/>
    </xf>
    <xf numFmtId="164" fontId="4" fillId="0" borderId="2" xfId="0" applyNumberFormat="1" applyFont="1" applyBorder="1" applyAlignment="1">
      <alignment vertical="top" wrapText="1"/>
    </xf>
    <xf numFmtId="0" fontId="4" fillId="18" borderId="2" xfId="0" applyFont="1" applyFill="1" applyBorder="1" applyAlignment="1">
      <alignment horizontal="center" vertical="top" wrapText="1"/>
    </xf>
    <xf numFmtId="0" fontId="4" fillId="0" borderId="7" xfId="0" applyFont="1" applyBorder="1" applyAlignment="1">
      <alignment horizontal="center" vertical="top" wrapText="1"/>
    </xf>
    <xf numFmtId="0" fontId="4" fillId="0" borderId="12" xfId="0" applyFont="1" applyBorder="1" applyAlignment="1">
      <alignment horizontal="center" vertical="top" wrapText="1"/>
    </xf>
    <xf numFmtId="0" fontId="4" fillId="0" borderId="0" xfId="0" applyFont="1" applyAlignment="1">
      <alignment horizontal="center" vertical="top" wrapText="1"/>
    </xf>
    <xf numFmtId="0" fontId="18" fillId="20" borderId="6" xfId="0" applyFont="1" applyFill="1" applyBorder="1" applyAlignment="1">
      <alignment vertical="top" wrapText="1"/>
    </xf>
    <xf numFmtId="0" fontId="5" fillId="20" borderId="0" xfId="0" applyFont="1" applyFill="1" applyAlignment="1">
      <alignment horizontal="center" vertical="top" wrapText="1"/>
    </xf>
    <xf numFmtId="0" fontId="18" fillId="20" borderId="0" xfId="0" applyFont="1" applyFill="1" applyAlignment="1">
      <alignment vertical="top" wrapText="1"/>
    </xf>
    <xf numFmtId="0" fontId="4" fillId="17" borderId="2" xfId="0" applyFont="1" applyFill="1" applyBorder="1" applyAlignment="1">
      <alignment vertical="top" wrapText="1"/>
    </xf>
    <xf numFmtId="0" fontId="4" fillId="16" borderId="2" xfId="0" applyFont="1" applyFill="1" applyBorder="1" applyAlignment="1">
      <alignment horizontal="center" vertical="top" wrapText="1"/>
    </xf>
    <xf numFmtId="0" fontId="4" fillId="22" borderId="0" xfId="0" applyFont="1" applyFill="1" applyAlignment="1">
      <alignment vertical="top" wrapText="1"/>
    </xf>
    <xf numFmtId="0" fontId="17" fillId="0" borderId="0" xfId="0" applyFont="1" applyAlignment="1">
      <alignment vertical="top" wrapText="1"/>
    </xf>
    <xf numFmtId="0" fontId="5" fillId="0" borderId="6" xfId="0" applyFont="1" applyBorder="1" applyAlignment="1">
      <alignment vertical="top" wrapText="1"/>
    </xf>
    <xf numFmtId="0" fontId="4" fillId="15" borderId="2" xfId="0" applyFont="1" applyFill="1" applyBorder="1" applyAlignment="1">
      <alignment vertical="top" wrapText="1"/>
    </xf>
    <xf numFmtId="0" fontId="4" fillId="14" borderId="2" xfId="0" applyFont="1" applyFill="1" applyBorder="1" applyAlignment="1">
      <alignment horizontal="center" vertical="top" wrapText="1"/>
    </xf>
    <xf numFmtId="0" fontId="4" fillId="22" borderId="6" xfId="0" applyFont="1" applyFill="1" applyBorder="1" applyAlignment="1">
      <alignment vertical="top" wrapText="1"/>
    </xf>
    <xf numFmtId="0" fontId="17" fillId="0" borderId="6" xfId="0" applyFont="1" applyBorder="1" applyAlignment="1">
      <alignment vertical="top" wrapText="1"/>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5" fillId="0" borderId="2" xfId="0" applyFont="1" applyBorder="1" applyAlignment="1">
      <alignment vertical="top" wrapText="1"/>
    </xf>
    <xf numFmtId="0" fontId="5" fillId="21" borderId="0" xfId="0" applyFont="1" applyFill="1" applyAlignment="1">
      <alignment horizontal="center" vertical="top" wrapText="1"/>
    </xf>
    <xf numFmtId="0" fontId="19" fillId="23" borderId="0" xfId="0" applyFont="1" applyFill="1" applyAlignment="1">
      <alignment vertical="top" wrapText="1"/>
    </xf>
    <xf numFmtId="0" fontId="5" fillId="14" borderId="2" xfId="0" applyFont="1" applyFill="1" applyBorder="1" applyAlignment="1">
      <alignment horizontal="center" vertical="top" wrapText="1"/>
    </xf>
    <xf numFmtId="0" fontId="5" fillId="15" borderId="2" xfId="0" applyFont="1" applyFill="1" applyBorder="1" applyAlignment="1">
      <alignment vertical="top" wrapText="1"/>
    </xf>
    <xf numFmtId="0" fontId="18" fillId="21" borderId="0" xfId="0" applyFont="1" applyFill="1" applyAlignment="1">
      <alignment vertical="top" wrapText="1"/>
    </xf>
    <xf numFmtId="0" fontId="0" fillId="0" borderId="2" xfId="0" applyBorder="1" applyAlignment="1">
      <alignment vertical="top" wrapText="1"/>
    </xf>
    <xf numFmtId="0" fontId="0" fillId="0" borderId="0" xfId="0" applyAlignment="1">
      <alignment vertical="top" wrapText="1"/>
    </xf>
    <xf numFmtId="0" fontId="0" fillId="0" borderId="2" xfId="0" applyBorder="1" applyAlignment="1">
      <alignment horizontal="center" vertical="top" wrapText="1"/>
    </xf>
    <xf numFmtId="0" fontId="0" fillId="0" borderId="0" xfId="0" applyAlignment="1">
      <alignment horizontal="center" vertical="top" wrapText="1"/>
    </xf>
    <xf numFmtId="0" fontId="0" fillId="0" borderId="12" xfId="0" applyBorder="1" applyAlignment="1">
      <alignment horizontal="center" vertical="top" wrapText="1"/>
    </xf>
    <xf numFmtId="0" fontId="0" fillId="0" borderId="12" xfId="0" applyBorder="1" applyAlignment="1">
      <alignment vertical="top" wrapText="1"/>
    </xf>
    <xf numFmtId="0" fontId="5" fillId="19" borderId="2" xfId="0" applyFont="1" applyFill="1" applyBorder="1" applyAlignment="1">
      <alignment vertical="top" wrapText="1"/>
    </xf>
    <xf numFmtId="0" fontId="5" fillId="18" borderId="2" xfId="0" applyFont="1" applyFill="1" applyBorder="1" applyAlignment="1">
      <alignment horizontal="center" vertical="top" wrapText="1"/>
    </xf>
    <xf numFmtId="0" fontId="4" fillId="19" borderId="3" xfId="0" applyFont="1" applyFill="1" applyBorder="1" applyAlignment="1">
      <alignment vertical="top" wrapText="1"/>
    </xf>
    <xf numFmtId="0" fontId="0" fillId="0" borderId="3" xfId="0" applyBorder="1" applyAlignment="1">
      <alignment horizontal="center" vertical="top" wrapText="1"/>
    </xf>
    <xf numFmtId="0" fontId="0" fillId="0" borderId="3" xfId="0" applyBorder="1" applyAlignment="1">
      <alignment vertical="top" wrapText="1"/>
    </xf>
    <xf numFmtId="0" fontId="4" fillId="15" borderId="3" xfId="0" applyFont="1" applyFill="1" applyBorder="1" applyAlignment="1">
      <alignment vertical="top" wrapText="1"/>
    </xf>
    <xf numFmtId="0" fontId="4" fillId="0" borderId="3" xfId="0" applyFont="1" applyBorder="1" applyAlignment="1">
      <alignment horizontal="center" vertical="top" wrapText="1"/>
    </xf>
    <xf numFmtId="0" fontId="4" fillId="0" borderId="3" xfId="0" applyFont="1" applyBorder="1" applyAlignment="1">
      <alignment vertical="top" wrapText="1"/>
    </xf>
    <xf numFmtId="0" fontId="4" fillId="0" borderId="0" xfId="0" applyFont="1" applyAlignment="1">
      <alignment horizontal="left" vertical="top" wrapText="1"/>
    </xf>
    <xf numFmtId="164" fontId="4" fillId="0" borderId="0" xfId="0" applyNumberFormat="1" applyFont="1" applyAlignment="1">
      <alignment vertical="top" wrapText="1"/>
    </xf>
    <xf numFmtId="164" fontId="4" fillId="0" borderId="3" xfId="0" applyNumberFormat="1" applyFont="1" applyBorder="1" applyAlignment="1">
      <alignment vertical="top" wrapText="1"/>
    </xf>
    <xf numFmtId="0" fontId="5" fillId="0" borderId="3" xfId="0" applyFont="1" applyBorder="1" applyAlignment="1">
      <alignment vertical="top" wrapText="1"/>
    </xf>
    <xf numFmtId="0" fontId="5" fillId="0" borderId="3" xfId="0" applyFont="1" applyBorder="1" applyAlignment="1">
      <alignment horizontal="center" vertical="top" wrapText="1"/>
    </xf>
    <xf numFmtId="0" fontId="4" fillId="17" borderId="3" xfId="0" applyFont="1" applyFill="1" applyBorder="1" applyAlignment="1">
      <alignment vertical="top" wrapText="1"/>
    </xf>
    <xf numFmtId="0" fontId="4" fillId="16" borderId="0" xfId="0" applyFont="1" applyFill="1" applyAlignment="1">
      <alignment horizontal="center" vertical="top" wrapText="1"/>
    </xf>
    <xf numFmtId="0" fontId="4" fillId="15" borderId="4" xfId="0" applyFont="1" applyFill="1" applyBorder="1" applyAlignment="1">
      <alignment vertical="top" wrapText="1"/>
    </xf>
    <xf numFmtId="0" fontId="4" fillId="0" borderId="4" xfId="0" applyFont="1" applyBorder="1" applyAlignment="1">
      <alignment vertical="top" wrapText="1"/>
    </xf>
    <xf numFmtId="0" fontId="20" fillId="3" borderId="0" xfId="0" applyFont="1" applyFill="1" applyAlignment="1">
      <alignment horizontal="center"/>
    </xf>
    <xf numFmtId="0" fontId="20" fillId="0" borderId="0" xfId="0" applyFont="1" applyAlignment="1">
      <alignment horizontal="center"/>
    </xf>
    <xf numFmtId="0" fontId="20" fillId="2" borderId="1" xfId="0" applyFont="1" applyFill="1" applyBorder="1" applyAlignment="1">
      <alignment horizontal="center"/>
    </xf>
    <xf numFmtId="0" fontId="20" fillId="0" borderId="1" xfId="0" applyFont="1" applyBorder="1" applyAlignment="1">
      <alignment horizontal="center"/>
    </xf>
    <xf numFmtId="0" fontId="4" fillId="0" borderId="0" xfId="0" applyFont="1" applyBorder="1" applyAlignment="1">
      <alignment vertical="top" wrapText="1"/>
    </xf>
    <xf numFmtId="0" fontId="4" fillId="19" borderId="0" xfId="0" applyFont="1" applyFill="1" applyBorder="1" applyAlignment="1">
      <alignment vertical="top" wrapText="1"/>
    </xf>
    <xf numFmtId="0" fontId="0" fillId="0" borderId="0" xfId="0" applyBorder="1" applyAlignment="1">
      <alignment vertical="top" wrapText="1"/>
    </xf>
    <xf numFmtId="0" fontId="4" fillId="17" borderId="0" xfId="0" applyFont="1" applyFill="1" applyBorder="1" applyAlignment="1">
      <alignment vertical="top" wrapText="1"/>
    </xf>
    <xf numFmtId="0" fontId="5" fillId="0" borderId="0" xfId="0" applyFont="1" applyBorder="1" applyAlignment="1">
      <alignment vertical="top" wrapText="1"/>
    </xf>
    <xf numFmtId="0" fontId="4" fillId="0" borderId="0" xfId="0" applyFont="1" applyBorder="1" applyAlignment="1">
      <alignment horizontal="center" vertical="top" wrapText="1"/>
    </xf>
    <xf numFmtId="0" fontId="0" fillId="0" borderId="0" xfId="0" applyBorder="1" applyAlignment="1">
      <alignment horizontal="center" vertical="top" wrapText="1"/>
    </xf>
    <xf numFmtId="0" fontId="5" fillId="0" borderId="0" xfId="0" applyFont="1" applyBorder="1" applyAlignment="1">
      <alignment horizontal="center" vertical="top" wrapText="1"/>
    </xf>
    <xf numFmtId="0" fontId="4" fillId="0" borderId="0" xfId="0" applyFont="1" applyBorder="1" applyAlignment="1">
      <alignment horizontal="left" vertical="top" wrapText="1"/>
    </xf>
    <xf numFmtId="164" fontId="4" fillId="0" borderId="0" xfId="0" applyNumberFormat="1" applyFont="1" applyBorder="1" applyAlignment="1">
      <alignment vertical="top" wrapText="1"/>
    </xf>
    <xf numFmtId="0" fontId="4" fillId="14" borderId="0" xfId="0" applyFont="1" applyFill="1" applyBorder="1" applyAlignment="1">
      <alignment horizontal="center" vertical="top" wrapText="1"/>
    </xf>
    <xf numFmtId="0" fontId="4" fillId="16" borderId="0" xfId="0" applyFont="1" applyFill="1" applyBorder="1" applyAlignment="1">
      <alignment horizontal="center" vertical="top" wrapText="1"/>
    </xf>
    <xf numFmtId="0" fontId="4" fillId="18" borderId="0" xfId="0" applyFont="1" applyFill="1" applyBorder="1" applyAlignment="1">
      <alignment horizontal="center" vertical="top" wrapText="1"/>
    </xf>
    <xf numFmtId="0" fontId="4" fillId="22" borderId="0" xfId="0" applyFont="1" applyFill="1" applyBorder="1" applyAlignment="1">
      <alignment vertical="top" wrapText="1"/>
    </xf>
    <xf numFmtId="0" fontId="18" fillId="21" borderId="0" xfId="0" applyFont="1" applyFill="1" applyBorder="1" applyAlignment="1">
      <alignment vertical="top" wrapText="1"/>
    </xf>
    <xf numFmtId="0" fontId="18" fillId="20" borderId="0" xfId="0" applyFont="1" applyFill="1" applyBorder="1" applyAlignment="1">
      <alignment vertical="top" wrapText="1"/>
    </xf>
    <xf numFmtId="0" fontId="5" fillId="20" borderId="0" xfId="0" applyFont="1" applyFill="1" applyBorder="1" applyAlignment="1">
      <alignment horizontal="center" vertical="top" wrapText="1"/>
    </xf>
    <xf numFmtId="0" fontId="16" fillId="0" borderId="0" xfId="0" applyFont="1" applyBorder="1" applyAlignment="1">
      <alignment vertical="top" wrapText="1"/>
    </xf>
    <xf numFmtId="0" fontId="17" fillId="0" borderId="0" xfId="0" applyFont="1" applyBorder="1" applyAlignment="1">
      <alignment vertical="top" wrapText="1"/>
    </xf>
    <xf numFmtId="0" fontId="5" fillId="0" borderId="0" xfId="0" applyFont="1"/>
    <xf numFmtId="0" fontId="5" fillId="0" borderId="0" xfId="0" applyFont="1" applyAlignment="1">
      <alignment horizontal="center"/>
    </xf>
    <xf numFmtId="165" fontId="5" fillId="0" borderId="0" xfId="0" applyNumberFormat="1" applyFont="1"/>
    <xf numFmtId="0" fontId="5" fillId="0" borderId="12" xfId="0" applyFont="1" applyBorder="1" applyAlignment="1">
      <alignment horizontal="center" vertical="top" wrapText="1"/>
    </xf>
    <xf numFmtId="0" fontId="5" fillId="19" borderId="3" xfId="0" applyFont="1" applyFill="1" applyBorder="1" applyAlignment="1">
      <alignment vertical="top" wrapText="1"/>
    </xf>
    <xf numFmtId="0" fontId="5" fillId="18" borderId="0" xfId="0" applyFont="1" applyFill="1" applyBorder="1" applyAlignment="1">
      <alignment horizontal="center" vertical="top" wrapText="1"/>
    </xf>
    <xf numFmtId="0" fontId="19" fillId="23" borderId="0" xfId="0" applyFont="1" applyFill="1" applyBorder="1" applyAlignment="1">
      <alignment vertical="top" wrapText="1"/>
    </xf>
    <xf numFmtId="0" fontId="5" fillId="0" borderId="0" xfId="0" applyFont="1" applyBorder="1"/>
    <xf numFmtId="0" fontId="4" fillId="17" borderId="4" xfId="0" applyFont="1" applyFill="1" applyBorder="1" applyAlignment="1">
      <alignment vertical="top" wrapText="1"/>
    </xf>
    <xf numFmtId="0" fontId="5" fillId="0" borderId="0" xfId="0" applyFont="1" applyBorder="1" applyAlignment="1">
      <alignment horizontal="center"/>
    </xf>
    <xf numFmtId="165" fontId="5" fillId="0" borderId="0" xfId="0" applyNumberFormat="1" applyFont="1" applyBorder="1"/>
  </cellXfs>
  <cellStyles count="1">
    <cellStyle name="Normal" xfId="0" builtinId="0"/>
  </cellStyles>
  <dxfs count="39">
    <dxf>
      <fill>
        <patternFill>
          <bgColor theme="5" tint="0.79998168889431442"/>
        </patternFill>
      </fill>
    </dxf>
    <dxf>
      <fill>
        <patternFill>
          <bgColor rgb="FF92D050"/>
        </patternFill>
      </fill>
    </dxf>
    <dxf>
      <fill>
        <patternFill>
          <bgColor theme="3" tint="0.59996337778862885"/>
        </patternFill>
      </fill>
    </dxf>
    <dxf>
      <fill>
        <patternFill>
          <bgColor rgb="FFFFE699"/>
        </patternFill>
      </fill>
    </dxf>
    <dxf>
      <fill>
        <patternFill>
          <bgColor theme="7" tint="0.79998168889431442"/>
        </patternFill>
      </fill>
    </dxf>
    <dxf>
      <fill>
        <patternFill>
          <bgColor rgb="FFF8CBAD"/>
        </patternFill>
      </fill>
    </dxf>
    <dxf>
      <fill>
        <patternFill>
          <bgColor rgb="FFFFE699"/>
        </patternFill>
      </fill>
    </dxf>
    <dxf>
      <fill>
        <patternFill>
          <bgColor rgb="FFBDD7EE"/>
        </patternFill>
      </fill>
    </dxf>
    <dxf>
      <fill>
        <patternFill>
          <bgColor rgb="FFC6EFCE"/>
        </patternFill>
      </fill>
    </dxf>
    <dxf>
      <fill>
        <patternFill>
          <bgColor rgb="FF00D05E"/>
        </patternFill>
      </fill>
    </dxf>
    <dxf>
      <fill>
        <patternFill>
          <bgColor theme="2" tint="-0.24994659260841701"/>
        </patternFill>
      </fill>
    </dxf>
    <dxf>
      <fill>
        <patternFill>
          <bgColor theme="2" tint="-0.499984740745262"/>
        </patternFill>
      </fill>
    </dxf>
    <dxf>
      <font>
        <b/>
        <color theme="0"/>
      </font>
      <fill>
        <patternFill>
          <bgColor rgb="FFFF0000"/>
        </patternFill>
      </fill>
    </dxf>
    <dxf>
      <fill>
        <patternFill>
          <bgColor theme="5" tint="0.79998168889431442"/>
        </patternFill>
      </fill>
    </dxf>
    <dxf>
      <fill>
        <patternFill>
          <bgColor rgb="FF92D050"/>
        </patternFill>
      </fill>
    </dxf>
    <dxf>
      <fill>
        <patternFill>
          <bgColor theme="3" tint="0.59996337778862885"/>
        </patternFill>
      </fill>
    </dxf>
    <dxf>
      <fill>
        <patternFill>
          <bgColor rgb="FFFFE699"/>
        </patternFill>
      </fill>
    </dxf>
    <dxf>
      <fill>
        <patternFill>
          <bgColor theme="7" tint="0.79998168889431442"/>
        </patternFill>
      </fill>
    </dxf>
    <dxf>
      <fill>
        <patternFill>
          <bgColor rgb="FFF8CBAD"/>
        </patternFill>
      </fill>
    </dxf>
    <dxf>
      <fill>
        <patternFill>
          <bgColor rgb="FFFFE699"/>
        </patternFill>
      </fill>
    </dxf>
    <dxf>
      <fill>
        <patternFill>
          <bgColor rgb="FFBDD7EE"/>
        </patternFill>
      </fill>
    </dxf>
    <dxf>
      <fill>
        <patternFill>
          <bgColor rgb="FFC6EFCE"/>
        </patternFill>
      </fill>
    </dxf>
    <dxf>
      <fill>
        <patternFill>
          <bgColor rgb="FF00D05E"/>
        </patternFill>
      </fill>
    </dxf>
    <dxf>
      <fill>
        <patternFill>
          <bgColor theme="2" tint="-0.24994659260841701"/>
        </patternFill>
      </fill>
    </dxf>
    <dxf>
      <fill>
        <patternFill>
          <bgColor theme="2" tint="-0.499984740745262"/>
        </patternFill>
      </fill>
    </dxf>
    <dxf>
      <font>
        <b/>
        <color theme="0"/>
      </font>
      <fill>
        <patternFill>
          <bgColor rgb="FFFF0000"/>
        </patternFill>
      </fill>
    </dxf>
    <dxf>
      <fill>
        <patternFill>
          <bgColor theme="5" tint="0.79998168889431442"/>
        </patternFill>
      </fill>
    </dxf>
    <dxf>
      <fill>
        <patternFill>
          <bgColor rgb="FF92D050"/>
        </patternFill>
      </fill>
    </dxf>
    <dxf>
      <fill>
        <patternFill>
          <bgColor theme="3" tint="0.59996337778862885"/>
        </patternFill>
      </fill>
    </dxf>
    <dxf>
      <fill>
        <patternFill>
          <bgColor rgb="FFFFE699"/>
        </patternFill>
      </fill>
    </dxf>
    <dxf>
      <fill>
        <patternFill>
          <bgColor theme="7" tint="0.79998168889431442"/>
        </patternFill>
      </fill>
    </dxf>
    <dxf>
      <fill>
        <patternFill>
          <bgColor rgb="FFF8CBAD"/>
        </patternFill>
      </fill>
    </dxf>
    <dxf>
      <fill>
        <patternFill>
          <bgColor rgb="FFFFE699"/>
        </patternFill>
      </fill>
    </dxf>
    <dxf>
      <fill>
        <patternFill>
          <bgColor rgb="FFBDD7EE"/>
        </patternFill>
      </fill>
    </dxf>
    <dxf>
      <fill>
        <patternFill>
          <bgColor rgb="FFC6EFCE"/>
        </patternFill>
      </fill>
    </dxf>
    <dxf>
      <fill>
        <patternFill>
          <bgColor rgb="FF00D05E"/>
        </patternFill>
      </fill>
    </dxf>
    <dxf>
      <fill>
        <patternFill>
          <bgColor theme="2" tint="-0.24994659260841701"/>
        </patternFill>
      </fill>
    </dxf>
    <dxf>
      <fill>
        <patternFill>
          <bgColor theme="2" tint="-0.499984740745262"/>
        </patternFill>
      </fill>
    </dxf>
    <dxf>
      <font>
        <b/>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117"/>
  <sheetViews>
    <sheetView showGridLines="0" workbookViewId="0">
      <pane xSplit="1" ySplit="2" topLeftCell="B23" activePane="bottomRight" state="frozen"/>
      <selection pane="topRight"/>
      <selection pane="bottomLeft"/>
      <selection pane="bottomRight"/>
    </sheetView>
  </sheetViews>
  <sheetFormatPr defaultRowHeight="14.4"/>
  <cols>
    <col min="1" max="1" width="3" customWidth="1"/>
    <col min="2" max="3" width="6" customWidth="1"/>
    <col min="4" max="4" width="30" customWidth="1"/>
    <col min="5" max="5" width="10" customWidth="1"/>
    <col min="6" max="6" width="9" customWidth="1"/>
    <col min="7" max="7" width="7" customWidth="1"/>
    <col min="8" max="8" width="28" customWidth="1"/>
    <col min="9" max="9" width="100" customWidth="1"/>
  </cols>
  <sheetData>
    <row r="2" spans="2:5" ht="21" customHeight="1">
      <c r="B2" s="13" t="s">
        <v>2574</v>
      </c>
    </row>
    <row r="3" spans="2:5">
      <c r="B3" s="5" t="s">
        <v>2575</v>
      </c>
    </row>
    <row r="5" spans="2:5">
      <c r="B5" s="7" t="s">
        <v>2576</v>
      </c>
    </row>
    <row r="6" spans="2:5">
      <c r="B6" s="7" t="s">
        <v>2577</v>
      </c>
    </row>
    <row r="7" spans="2:5">
      <c r="B7" s="7" t="s">
        <v>2578</v>
      </c>
    </row>
    <row r="8" spans="2:5">
      <c r="B8" s="7" t="s">
        <v>2579</v>
      </c>
    </row>
    <row r="10" spans="2:5" ht="15.75" customHeight="1">
      <c r="B10" s="6" t="s">
        <v>2580</v>
      </c>
    </row>
    <row r="11" spans="2:5">
      <c r="B11" s="14" t="s">
        <v>2581</v>
      </c>
      <c r="C11" s="14" t="s">
        <v>2582</v>
      </c>
      <c r="D11" s="14" t="s">
        <v>2583</v>
      </c>
      <c r="E11" s="14" t="s">
        <v>2584</v>
      </c>
    </row>
    <row r="12" spans="2:5">
      <c r="B12" s="15" t="s">
        <v>2585</v>
      </c>
      <c r="C12" s="8">
        <v>19</v>
      </c>
      <c r="D12" s="11">
        <v>403.68999999999988</v>
      </c>
      <c r="E12" s="8" t="s">
        <v>2586</v>
      </c>
    </row>
    <row r="13" spans="2:5">
      <c r="B13" s="16" t="s">
        <v>2587</v>
      </c>
      <c r="C13" s="8">
        <v>33</v>
      </c>
      <c r="D13" s="11">
        <v>318.86</v>
      </c>
      <c r="E13" s="8" t="s">
        <v>2588</v>
      </c>
    </row>
    <row r="14" spans="2:5">
      <c r="B14" s="17" t="s">
        <v>2589</v>
      </c>
      <c r="C14" s="8">
        <v>15</v>
      </c>
      <c r="D14" s="11">
        <v>43.46</v>
      </c>
      <c r="E14" s="8" t="s">
        <v>2590</v>
      </c>
    </row>
    <row r="17" spans="2:9" ht="15.75" customHeight="1">
      <c r="B17" s="6" t="s">
        <v>2591</v>
      </c>
      <c r="H17" s="18" t="s">
        <v>2592</v>
      </c>
      <c r="I17" s="19">
        <v>78.989999999999995</v>
      </c>
    </row>
    <row r="18" spans="2:9">
      <c r="B18" s="5" t="s">
        <v>2593</v>
      </c>
    </row>
    <row r="19" spans="2:9">
      <c r="B19" s="14" t="s">
        <v>2581</v>
      </c>
      <c r="C19" s="14" t="s">
        <v>28</v>
      </c>
      <c r="D19" s="14" t="s">
        <v>2594</v>
      </c>
      <c r="E19" s="14" t="s">
        <v>2567</v>
      </c>
      <c r="F19" s="14" t="s">
        <v>2595</v>
      </c>
      <c r="G19" s="14" t="s">
        <v>2560</v>
      </c>
      <c r="H19" s="14" t="s">
        <v>2596</v>
      </c>
      <c r="I19" s="14" t="s">
        <v>2597</v>
      </c>
    </row>
    <row r="20" spans="2:9" ht="30" customHeight="1">
      <c r="B20" s="20">
        <v>1</v>
      </c>
      <c r="C20" s="21">
        <v>3</v>
      </c>
      <c r="D20" s="22" t="s">
        <v>1675</v>
      </c>
      <c r="E20" s="12">
        <v>38.270000000000003</v>
      </c>
      <c r="F20" s="9" t="s">
        <v>2598</v>
      </c>
      <c r="G20" s="9" t="s">
        <v>2561</v>
      </c>
      <c r="H20" s="23" t="s">
        <v>1771</v>
      </c>
      <c r="I20" s="10" t="s">
        <v>2599</v>
      </c>
    </row>
    <row r="21" spans="2:9" ht="30" customHeight="1">
      <c r="B21" s="20">
        <v>1</v>
      </c>
      <c r="C21" s="21">
        <v>2</v>
      </c>
      <c r="D21" s="22" t="s">
        <v>1813</v>
      </c>
      <c r="E21" s="12">
        <v>10.54</v>
      </c>
      <c r="F21" s="9" t="s">
        <v>2598</v>
      </c>
      <c r="G21" s="9" t="s">
        <v>2561</v>
      </c>
      <c r="H21" s="23" t="s">
        <v>2199</v>
      </c>
      <c r="I21" s="10" t="s">
        <v>2600</v>
      </c>
    </row>
    <row r="22" spans="2:9">
      <c r="B22" s="24">
        <v>2</v>
      </c>
      <c r="C22" s="21">
        <v>4</v>
      </c>
      <c r="D22" s="22" t="s">
        <v>1707</v>
      </c>
      <c r="E22" s="12">
        <v>7.52</v>
      </c>
      <c r="F22" s="9" t="s">
        <v>2598</v>
      </c>
      <c r="G22" s="9" t="s">
        <v>2561</v>
      </c>
      <c r="H22" s="23" t="s">
        <v>1502</v>
      </c>
      <c r="I22" s="10" t="s">
        <v>2601</v>
      </c>
    </row>
    <row r="23" spans="2:9">
      <c r="B23" s="24">
        <v>2</v>
      </c>
      <c r="C23" s="21">
        <v>3</v>
      </c>
      <c r="D23" s="22" t="s">
        <v>1129</v>
      </c>
      <c r="E23" s="12">
        <v>5.01</v>
      </c>
      <c r="F23" s="9" t="s">
        <v>2598</v>
      </c>
      <c r="G23" s="9" t="s">
        <v>2561</v>
      </c>
      <c r="H23" s="23" t="s">
        <v>2015</v>
      </c>
      <c r="I23" s="10" t="s">
        <v>2602</v>
      </c>
    </row>
    <row r="24" spans="2:9" ht="30" customHeight="1">
      <c r="B24" s="24">
        <v>2</v>
      </c>
      <c r="C24" s="21">
        <v>2</v>
      </c>
      <c r="D24" s="22" t="s">
        <v>1176</v>
      </c>
      <c r="E24" s="12">
        <v>4.83</v>
      </c>
      <c r="F24" s="9" t="s">
        <v>2598</v>
      </c>
      <c r="G24" s="9" t="s">
        <v>2561</v>
      </c>
      <c r="H24" s="23" t="s">
        <v>1331</v>
      </c>
      <c r="I24" s="10" t="s">
        <v>2603</v>
      </c>
    </row>
    <row r="25" spans="2:9" ht="30" customHeight="1">
      <c r="B25" s="24">
        <v>2</v>
      </c>
      <c r="C25" s="21">
        <v>2</v>
      </c>
      <c r="D25" s="22" t="s">
        <v>1617</v>
      </c>
      <c r="E25" s="12">
        <v>4.0199999999999996</v>
      </c>
      <c r="F25" s="9" t="s">
        <v>2598</v>
      </c>
      <c r="G25" s="9" t="s">
        <v>2561</v>
      </c>
      <c r="H25" s="23" t="s">
        <v>424</v>
      </c>
      <c r="I25" s="10" t="s">
        <v>2604</v>
      </c>
    </row>
    <row r="26" spans="2:9" ht="30" customHeight="1">
      <c r="B26" s="24">
        <v>2</v>
      </c>
      <c r="C26" s="21">
        <v>3</v>
      </c>
      <c r="D26" s="22" t="s">
        <v>2605</v>
      </c>
      <c r="E26" s="12">
        <v>1.38</v>
      </c>
      <c r="F26" s="9" t="s">
        <v>2598</v>
      </c>
      <c r="G26" s="9" t="s">
        <v>2561</v>
      </c>
      <c r="H26" s="23" t="s">
        <v>1800</v>
      </c>
      <c r="I26" s="10" t="s">
        <v>2606</v>
      </c>
    </row>
    <row r="27" spans="2:9" ht="30" customHeight="1">
      <c r="B27" s="25">
        <v>3</v>
      </c>
      <c r="C27" s="21">
        <v>3</v>
      </c>
      <c r="D27" s="22" t="s">
        <v>2607</v>
      </c>
      <c r="E27" s="12">
        <v>4.04</v>
      </c>
      <c r="F27" s="9" t="s">
        <v>2598</v>
      </c>
      <c r="G27" s="9" t="s">
        <v>2561</v>
      </c>
      <c r="H27" s="23" t="s">
        <v>532</v>
      </c>
      <c r="I27" s="10" t="s">
        <v>2608</v>
      </c>
    </row>
    <row r="28" spans="2:9">
      <c r="B28" s="25">
        <v>3</v>
      </c>
      <c r="C28" s="21">
        <v>2</v>
      </c>
      <c r="D28" s="22" t="s">
        <v>2005</v>
      </c>
      <c r="E28" s="12">
        <v>1.83</v>
      </c>
      <c r="F28" s="9" t="s">
        <v>2598</v>
      </c>
      <c r="G28" s="9" t="s">
        <v>2561</v>
      </c>
      <c r="H28" s="23" t="s">
        <v>1556</v>
      </c>
      <c r="I28" s="10" t="s">
        <v>2609</v>
      </c>
    </row>
    <row r="29" spans="2:9">
      <c r="B29" s="25">
        <v>3</v>
      </c>
      <c r="C29" s="21">
        <v>3</v>
      </c>
      <c r="D29" s="22" t="s">
        <v>2337</v>
      </c>
      <c r="E29" s="12">
        <v>1.55</v>
      </c>
      <c r="F29" s="9" t="s">
        <v>2598</v>
      </c>
      <c r="G29" s="9" t="s">
        <v>2561</v>
      </c>
      <c r="H29" s="23" t="s">
        <v>1465</v>
      </c>
      <c r="I29" s="10" t="s">
        <v>2610</v>
      </c>
    </row>
    <row r="32" spans="2:9" ht="15.75" customHeight="1">
      <c r="B32" s="6" t="s">
        <v>2611</v>
      </c>
      <c r="H32" s="18" t="s">
        <v>2612</v>
      </c>
      <c r="I32" s="19">
        <v>215.57</v>
      </c>
    </row>
    <row r="33" spans="2:9">
      <c r="B33" s="5" t="s">
        <v>2613</v>
      </c>
    </row>
    <row r="34" spans="2:9">
      <c r="B34" s="14" t="s">
        <v>2581</v>
      </c>
      <c r="C34" s="14" t="s">
        <v>28</v>
      </c>
      <c r="D34" s="14" t="s">
        <v>2594</v>
      </c>
      <c r="E34" s="14" t="s">
        <v>2567</v>
      </c>
      <c r="F34" s="14" t="s">
        <v>2595</v>
      </c>
      <c r="G34" s="14" t="s">
        <v>2560</v>
      </c>
      <c r="H34" s="14" t="s">
        <v>2596</v>
      </c>
      <c r="I34" s="14" t="s">
        <v>2597</v>
      </c>
    </row>
    <row r="35" spans="2:9" ht="30" customHeight="1">
      <c r="B35" s="20">
        <v>1</v>
      </c>
      <c r="C35" s="21">
        <v>2</v>
      </c>
      <c r="D35" s="22" t="s">
        <v>2614</v>
      </c>
      <c r="E35" s="12">
        <v>37.89</v>
      </c>
      <c r="F35" s="9" t="s">
        <v>2598</v>
      </c>
      <c r="G35" s="9" t="s">
        <v>2562</v>
      </c>
      <c r="H35" s="23" t="s">
        <v>705</v>
      </c>
      <c r="I35" s="10" t="s">
        <v>2615</v>
      </c>
    </row>
    <row r="36" spans="2:9" ht="30" customHeight="1">
      <c r="B36" s="20">
        <v>1</v>
      </c>
      <c r="C36" s="21">
        <v>5</v>
      </c>
      <c r="D36" s="22" t="s">
        <v>2616</v>
      </c>
      <c r="E36" s="12">
        <v>24.17</v>
      </c>
      <c r="F36" s="9" t="s">
        <v>2598</v>
      </c>
      <c r="G36" s="9" t="s">
        <v>2562</v>
      </c>
      <c r="H36" s="23" t="s">
        <v>834</v>
      </c>
      <c r="I36" s="10" t="s">
        <v>2617</v>
      </c>
    </row>
    <row r="37" spans="2:9" ht="30" customHeight="1">
      <c r="B37" s="20">
        <v>1</v>
      </c>
      <c r="C37" s="21">
        <v>3</v>
      </c>
      <c r="D37" s="22" t="s">
        <v>2618</v>
      </c>
      <c r="E37" s="12">
        <v>17.329999999999998</v>
      </c>
      <c r="F37" s="9" t="s">
        <v>2598</v>
      </c>
      <c r="G37" s="9" t="s">
        <v>2562</v>
      </c>
      <c r="H37" s="23" t="s">
        <v>1865</v>
      </c>
      <c r="I37" s="10" t="s">
        <v>2619</v>
      </c>
    </row>
    <row r="38" spans="2:9" ht="30" customHeight="1">
      <c r="B38" s="24">
        <v>2</v>
      </c>
      <c r="C38" s="21">
        <v>4</v>
      </c>
      <c r="D38" s="22" t="s">
        <v>2620</v>
      </c>
      <c r="E38" s="12">
        <v>32.380000000000003</v>
      </c>
      <c r="F38" s="9" t="s">
        <v>2598</v>
      </c>
      <c r="G38" s="9" t="s">
        <v>2562</v>
      </c>
      <c r="H38" s="23" t="s">
        <v>1871</v>
      </c>
      <c r="I38" s="10" t="s">
        <v>2621</v>
      </c>
    </row>
    <row r="39" spans="2:9">
      <c r="B39" s="24">
        <v>2</v>
      </c>
      <c r="C39" s="21">
        <v>2</v>
      </c>
      <c r="D39" s="22" t="s">
        <v>2622</v>
      </c>
      <c r="E39" s="12">
        <v>27.9</v>
      </c>
      <c r="F39" s="9" t="s">
        <v>2598</v>
      </c>
      <c r="G39" s="9" t="s">
        <v>2562</v>
      </c>
      <c r="H39" s="23" t="s">
        <v>828</v>
      </c>
      <c r="I39" s="10" t="s">
        <v>2623</v>
      </c>
    </row>
    <row r="40" spans="2:9">
      <c r="B40" s="24">
        <v>2</v>
      </c>
      <c r="C40" s="21">
        <v>4</v>
      </c>
      <c r="D40" s="22" t="s">
        <v>344</v>
      </c>
      <c r="E40" s="12">
        <v>20.45</v>
      </c>
      <c r="F40" s="9" t="s">
        <v>2598</v>
      </c>
      <c r="G40" s="9" t="s">
        <v>2562</v>
      </c>
      <c r="H40" s="23" t="s">
        <v>1986</v>
      </c>
      <c r="I40" s="10" t="s">
        <v>2624</v>
      </c>
    </row>
    <row r="41" spans="2:9" ht="30" customHeight="1">
      <c r="B41" s="24">
        <v>2</v>
      </c>
      <c r="C41" s="21">
        <v>2</v>
      </c>
      <c r="D41" s="22" t="s">
        <v>742</v>
      </c>
      <c r="E41" s="12">
        <v>15.52</v>
      </c>
      <c r="F41" s="9" t="s">
        <v>2598</v>
      </c>
      <c r="G41" s="9" t="s">
        <v>2562</v>
      </c>
      <c r="H41" s="23" t="s">
        <v>2337</v>
      </c>
      <c r="I41" s="10" t="s">
        <v>2625</v>
      </c>
    </row>
    <row r="42" spans="2:9">
      <c r="B42" s="24">
        <v>2</v>
      </c>
      <c r="C42" s="21">
        <v>4</v>
      </c>
      <c r="D42" s="22" t="s">
        <v>737</v>
      </c>
      <c r="E42" s="12">
        <v>15.17</v>
      </c>
      <c r="F42" s="9" t="s">
        <v>2598</v>
      </c>
      <c r="G42" s="9" t="s">
        <v>2562</v>
      </c>
      <c r="H42" s="23" t="s">
        <v>2133</v>
      </c>
      <c r="I42" s="10" t="s">
        <v>2626</v>
      </c>
    </row>
    <row r="43" spans="2:9">
      <c r="B43" s="24">
        <v>2</v>
      </c>
      <c r="C43" s="21">
        <v>4</v>
      </c>
      <c r="D43" s="22" t="s">
        <v>2569</v>
      </c>
      <c r="E43" s="12">
        <v>13.56</v>
      </c>
      <c r="F43" s="9" t="s">
        <v>2598</v>
      </c>
      <c r="G43" s="9" t="s">
        <v>2562</v>
      </c>
      <c r="H43" s="23" t="s">
        <v>1360</v>
      </c>
      <c r="I43" s="10" t="s">
        <v>2627</v>
      </c>
    </row>
    <row r="44" spans="2:9">
      <c r="B44" s="25">
        <v>3</v>
      </c>
      <c r="C44" s="21">
        <v>4</v>
      </c>
      <c r="D44" s="22" t="s">
        <v>658</v>
      </c>
      <c r="E44" s="12">
        <v>9</v>
      </c>
      <c r="F44" s="9" t="s">
        <v>2598</v>
      </c>
      <c r="G44" s="9" t="s">
        <v>2562</v>
      </c>
      <c r="H44" s="23" t="s">
        <v>694</v>
      </c>
      <c r="I44" s="10" t="s">
        <v>2628</v>
      </c>
    </row>
    <row r="45" spans="2:9">
      <c r="B45" s="25">
        <v>3</v>
      </c>
      <c r="C45" s="21">
        <v>3</v>
      </c>
      <c r="D45" s="22" t="s">
        <v>2629</v>
      </c>
      <c r="E45" s="12">
        <v>2.2000000000000002</v>
      </c>
      <c r="F45" s="9" t="s">
        <v>2598</v>
      </c>
      <c r="G45" s="9" t="s">
        <v>2562</v>
      </c>
      <c r="H45" s="23" t="s">
        <v>1202</v>
      </c>
      <c r="I45" s="10" t="s">
        <v>2630</v>
      </c>
    </row>
    <row r="48" spans="2:9" ht="15.75" customHeight="1">
      <c r="B48" s="6" t="s">
        <v>2631</v>
      </c>
      <c r="H48" s="18" t="s">
        <v>2632</v>
      </c>
      <c r="I48" s="19">
        <v>186.82</v>
      </c>
    </row>
    <row r="49" spans="2:9">
      <c r="B49" s="5" t="s">
        <v>2633</v>
      </c>
    </row>
    <row r="50" spans="2:9">
      <c r="B50" s="14" t="s">
        <v>2581</v>
      </c>
      <c r="C50" s="14" t="s">
        <v>28</v>
      </c>
      <c r="D50" s="14" t="s">
        <v>2594</v>
      </c>
      <c r="E50" s="14" t="s">
        <v>2567</v>
      </c>
      <c r="F50" s="14" t="s">
        <v>2595</v>
      </c>
      <c r="G50" s="14" t="s">
        <v>2560</v>
      </c>
      <c r="H50" s="14" t="s">
        <v>2596</v>
      </c>
      <c r="I50" s="14" t="s">
        <v>2597</v>
      </c>
    </row>
    <row r="51" spans="2:9" ht="30" customHeight="1">
      <c r="B51" s="20">
        <v>1</v>
      </c>
      <c r="C51" s="21">
        <v>2</v>
      </c>
      <c r="D51" s="22" t="s">
        <v>2634</v>
      </c>
      <c r="E51" s="12">
        <v>39.54</v>
      </c>
      <c r="F51" s="9" t="s">
        <v>2598</v>
      </c>
      <c r="G51" s="9" t="s">
        <v>2563</v>
      </c>
      <c r="H51" s="23" t="s">
        <v>1875</v>
      </c>
      <c r="I51" s="10" t="s">
        <v>2635</v>
      </c>
    </row>
    <row r="52" spans="2:9" ht="30" customHeight="1">
      <c r="B52" s="20">
        <v>1</v>
      </c>
      <c r="C52" s="21">
        <v>6</v>
      </c>
      <c r="D52" s="22" t="s">
        <v>882</v>
      </c>
      <c r="E52" s="12">
        <v>33.36</v>
      </c>
      <c r="F52" s="9" t="s">
        <v>2598</v>
      </c>
      <c r="G52" s="9" t="s">
        <v>2563</v>
      </c>
      <c r="H52" s="23" t="s">
        <v>1963</v>
      </c>
      <c r="I52" s="10" t="s">
        <v>2636</v>
      </c>
    </row>
    <row r="53" spans="2:9" ht="30" customHeight="1">
      <c r="B53" s="20">
        <v>1</v>
      </c>
      <c r="C53" s="21">
        <v>3</v>
      </c>
      <c r="D53" s="22" t="s">
        <v>2637</v>
      </c>
      <c r="E53" s="12">
        <v>33.07</v>
      </c>
      <c r="F53" s="9" t="s">
        <v>2598</v>
      </c>
      <c r="G53" s="9" t="s">
        <v>2563</v>
      </c>
      <c r="H53" s="23" t="s">
        <v>2219</v>
      </c>
      <c r="I53" s="10" t="s">
        <v>2638</v>
      </c>
    </row>
    <row r="54" spans="2:9">
      <c r="B54" s="20">
        <v>1</v>
      </c>
      <c r="C54" s="21">
        <v>5</v>
      </c>
      <c r="D54" s="22" t="s">
        <v>2639</v>
      </c>
      <c r="E54" s="12">
        <v>11.11</v>
      </c>
      <c r="F54" s="9" t="s">
        <v>2598</v>
      </c>
      <c r="G54" s="9" t="s">
        <v>2563</v>
      </c>
      <c r="H54" s="23" t="s">
        <v>2334</v>
      </c>
      <c r="I54" s="10" t="s">
        <v>2640</v>
      </c>
    </row>
    <row r="55" spans="2:9">
      <c r="B55" s="24">
        <v>2</v>
      </c>
      <c r="C55" s="21">
        <v>2</v>
      </c>
      <c r="D55" s="22" t="s">
        <v>742</v>
      </c>
      <c r="E55" s="12">
        <v>15.52</v>
      </c>
      <c r="F55" s="9" t="s">
        <v>2598</v>
      </c>
      <c r="G55" s="9" t="s">
        <v>2563</v>
      </c>
      <c r="H55" s="23" t="s">
        <v>2340</v>
      </c>
      <c r="I55" s="10" t="s">
        <v>2641</v>
      </c>
    </row>
    <row r="56" spans="2:9" ht="30" customHeight="1">
      <c r="B56" s="24">
        <v>2</v>
      </c>
      <c r="C56" s="21">
        <v>6</v>
      </c>
      <c r="D56" s="22" t="s">
        <v>414</v>
      </c>
      <c r="E56" s="12">
        <v>13.67</v>
      </c>
      <c r="F56" s="9" t="s">
        <v>2598</v>
      </c>
      <c r="G56" s="9" t="s">
        <v>2563</v>
      </c>
      <c r="H56" s="23" t="s">
        <v>2090</v>
      </c>
      <c r="I56" s="10" t="s">
        <v>2642</v>
      </c>
    </row>
    <row r="57" spans="2:9" ht="30" customHeight="1">
      <c r="B57" s="24">
        <v>2</v>
      </c>
      <c r="C57" s="21">
        <v>5</v>
      </c>
      <c r="D57" s="22" t="s">
        <v>2568</v>
      </c>
      <c r="E57" s="12">
        <v>10.77</v>
      </c>
      <c r="F57" s="9" t="s">
        <v>2598</v>
      </c>
      <c r="G57" s="9" t="s">
        <v>2563</v>
      </c>
      <c r="H57" s="23" t="s">
        <v>2358</v>
      </c>
      <c r="I57" s="10" t="s">
        <v>2643</v>
      </c>
    </row>
    <row r="58" spans="2:9">
      <c r="B58" s="24">
        <v>2</v>
      </c>
      <c r="C58" s="21">
        <v>4</v>
      </c>
      <c r="D58" s="22" t="s">
        <v>2644</v>
      </c>
      <c r="E58" s="12">
        <v>7.75</v>
      </c>
      <c r="F58" s="9" t="s">
        <v>2598</v>
      </c>
      <c r="G58" s="9" t="s">
        <v>2563</v>
      </c>
      <c r="H58" s="23" t="s">
        <v>2113</v>
      </c>
      <c r="I58" s="10" t="s">
        <v>2645</v>
      </c>
    </row>
    <row r="59" spans="2:9">
      <c r="B59" s="24">
        <v>2</v>
      </c>
      <c r="C59" s="21">
        <v>5</v>
      </c>
      <c r="D59" s="22" t="s">
        <v>2646</v>
      </c>
      <c r="E59" s="12">
        <v>7.06</v>
      </c>
      <c r="F59" s="9" t="s">
        <v>2598</v>
      </c>
      <c r="G59" s="9" t="s">
        <v>2563</v>
      </c>
      <c r="H59" s="23" t="s">
        <v>811</v>
      </c>
      <c r="I59" s="10" t="s">
        <v>2647</v>
      </c>
    </row>
    <row r="60" spans="2:9">
      <c r="B60" s="25">
        <v>3</v>
      </c>
      <c r="C60" s="21">
        <v>4</v>
      </c>
      <c r="D60" s="22" t="s">
        <v>658</v>
      </c>
      <c r="E60" s="12">
        <v>9</v>
      </c>
      <c r="F60" s="9" t="s">
        <v>2598</v>
      </c>
      <c r="G60" s="9" t="s">
        <v>2563</v>
      </c>
      <c r="H60" s="23" t="s">
        <v>71</v>
      </c>
      <c r="I60" s="10" t="s">
        <v>2648</v>
      </c>
    </row>
    <row r="61" spans="2:9">
      <c r="B61" s="25">
        <v>3</v>
      </c>
      <c r="C61" s="21">
        <v>1</v>
      </c>
      <c r="D61" s="22" t="s">
        <v>2266</v>
      </c>
      <c r="E61" s="12">
        <v>4.24</v>
      </c>
      <c r="F61" s="9" t="s">
        <v>2598</v>
      </c>
      <c r="G61" s="9" t="s">
        <v>2563</v>
      </c>
      <c r="H61" s="23" t="s">
        <v>1952</v>
      </c>
      <c r="I61" s="10" t="s">
        <v>2649</v>
      </c>
    </row>
    <row r="62" spans="2:9">
      <c r="B62" s="25">
        <v>3</v>
      </c>
      <c r="C62" s="21">
        <v>4</v>
      </c>
      <c r="D62" s="22" t="s">
        <v>2650</v>
      </c>
      <c r="E62" s="12">
        <v>0.92</v>
      </c>
      <c r="F62" s="9" t="s">
        <v>2598</v>
      </c>
      <c r="G62" s="9" t="s">
        <v>2563</v>
      </c>
      <c r="H62" s="23" t="s">
        <v>1886</v>
      </c>
      <c r="I62" s="10" t="s">
        <v>2651</v>
      </c>
    </row>
    <row r="63" spans="2:9" ht="30" customHeight="1">
      <c r="B63" s="25">
        <v>3</v>
      </c>
      <c r="C63" s="21">
        <v>4</v>
      </c>
      <c r="D63" s="22" t="s">
        <v>2652</v>
      </c>
      <c r="E63" s="12">
        <v>0.81</v>
      </c>
      <c r="F63" s="9" t="s">
        <v>2598</v>
      </c>
      <c r="G63" s="9" t="s">
        <v>2563</v>
      </c>
      <c r="H63" s="23" t="s">
        <v>1937</v>
      </c>
      <c r="I63" s="10" t="s">
        <v>2653</v>
      </c>
    </row>
    <row r="66" spans="2:9" ht="15.75" customHeight="1">
      <c r="B66" s="6" t="s">
        <v>2654</v>
      </c>
      <c r="H66" s="18" t="s">
        <v>2632</v>
      </c>
      <c r="I66" s="19">
        <v>81.17</v>
      </c>
    </row>
    <row r="67" spans="2:9">
      <c r="B67" s="5" t="s">
        <v>2655</v>
      </c>
    </row>
    <row r="68" spans="2:9">
      <c r="B68" s="14" t="s">
        <v>2581</v>
      </c>
      <c r="C68" s="14" t="s">
        <v>28</v>
      </c>
      <c r="D68" s="14" t="s">
        <v>2594</v>
      </c>
      <c r="E68" s="14" t="s">
        <v>2567</v>
      </c>
      <c r="F68" s="14" t="s">
        <v>2595</v>
      </c>
      <c r="G68" s="14" t="s">
        <v>2560</v>
      </c>
      <c r="H68" s="14" t="s">
        <v>2596</v>
      </c>
      <c r="I68" s="14" t="s">
        <v>2597</v>
      </c>
    </row>
    <row r="69" spans="2:9">
      <c r="B69" s="20">
        <v>1</v>
      </c>
      <c r="C69" s="21">
        <v>2</v>
      </c>
      <c r="D69" s="22" t="s">
        <v>742</v>
      </c>
      <c r="E69" s="12">
        <v>15.52</v>
      </c>
      <c r="F69" s="9" t="s">
        <v>2598</v>
      </c>
      <c r="G69" s="9" t="s">
        <v>2564</v>
      </c>
      <c r="H69" s="23" t="s">
        <v>629</v>
      </c>
      <c r="I69" s="10" t="s">
        <v>2656</v>
      </c>
    </row>
    <row r="70" spans="2:9" ht="30" customHeight="1">
      <c r="B70" s="20">
        <v>1</v>
      </c>
      <c r="C70" s="21">
        <v>6</v>
      </c>
      <c r="D70" s="22" t="s">
        <v>2657</v>
      </c>
      <c r="E70" s="12">
        <v>14.34</v>
      </c>
      <c r="F70" s="9" t="s">
        <v>2598</v>
      </c>
      <c r="G70" s="9" t="s">
        <v>2564</v>
      </c>
      <c r="H70" s="23" t="s">
        <v>679</v>
      </c>
      <c r="I70" s="10" t="s">
        <v>2658</v>
      </c>
    </row>
    <row r="71" spans="2:9" ht="30" customHeight="1">
      <c r="B71" s="24">
        <v>2</v>
      </c>
      <c r="C71" s="21">
        <v>2</v>
      </c>
      <c r="D71" s="22" t="s">
        <v>2659</v>
      </c>
      <c r="E71" s="12">
        <v>18.21</v>
      </c>
      <c r="F71" s="9" t="s">
        <v>2598</v>
      </c>
      <c r="G71" s="9" t="s">
        <v>2564</v>
      </c>
      <c r="H71" s="23" t="s">
        <v>327</v>
      </c>
      <c r="I71" s="10" t="s">
        <v>2660</v>
      </c>
    </row>
    <row r="72" spans="2:9">
      <c r="B72" s="24">
        <v>2</v>
      </c>
      <c r="C72" s="21">
        <v>3</v>
      </c>
      <c r="D72" s="22" t="s">
        <v>1227</v>
      </c>
      <c r="E72" s="12">
        <v>8.44</v>
      </c>
      <c r="F72" s="9" t="s">
        <v>2598</v>
      </c>
      <c r="G72" s="9" t="s">
        <v>2564</v>
      </c>
      <c r="H72" s="23" t="s">
        <v>2186</v>
      </c>
      <c r="I72" s="10" t="s">
        <v>2661</v>
      </c>
    </row>
    <row r="73" spans="2:9">
      <c r="B73" s="24">
        <v>2</v>
      </c>
      <c r="C73" s="21">
        <v>5</v>
      </c>
      <c r="D73" s="22" t="s">
        <v>2662</v>
      </c>
      <c r="E73" s="12">
        <v>8.43</v>
      </c>
      <c r="F73" s="9" t="s">
        <v>2598</v>
      </c>
      <c r="G73" s="9" t="s">
        <v>2564</v>
      </c>
      <c r="H73" s="23" t="s">
        <v>553</v>
      </c>
      <c r="I73" s="10" t="s">
        <v>2663</v>
      </c>
    </row>
    <row r="74" spans="2:9">
      <c r="B74" s="24">
        <v>2</v>
      </c>
      <c r="C74" s="21">
        <v>3</v>
      </c>
      <c r="D74" s="22" t="s">
        <v>2572</v>
      </c>
      <c r="E74" s="12">
        <v>6.58</v>
      </c>
      <c r="F74" s="9" t="s">
        <v>2598</v>
      </c>
      <c r="G74" s="9" t="s">
        <v>2564</v>
      </c>
      <c r="H74" s="23" t="s">
        <v>2276</v>
      </c>
      <c r="I74" s="10" t="s">
        <v>2664</v>
      </c>
    </row>
    <row r="75" spans="2:9">
      <c r="B75" s="24">
        <v>2</v>
      </c>
      <c r="C75" s="21">
        <v>3</v>
      </c>
      <c r="D75" s="22" t="s">
        <v>322</v>
      </c>
      <c r="E75" s="12">
        <v>2.15</v>
      </c>
      <c r="F75" s="9" t="s">
        <v>2598</v>
      </c>
      <c r="G75" s="9" t="s">
        <v>2564</v>
      </c>
      <c r="H75" s="23" t="s">
        <v>620</v>
      </c>
      <c r="I75" s="10" t="s">
        <v>2665</v>
      </c>
    </row>
    <row r="76" spans="2:9">
      <c r="B76" s="24">
        <v>2</v>
      </c>
      <c r="C76" s="21">
        <v>3</v>
      </c>
      <c r="D76" s="22" t="s">
        <v>2666</v>
      </c>
      <c r="E76" s="12">
        <v>1.85</v>
      </c>
      <c r="F76" s="9" t="s">
        <v>2598</v>
      </c>
      <c r="G76" s="9" t="s">
        <v>2564</v>
      </c>
      <c r="H76" s="23" t="s">
        <v>871</v>
      </c>
      <c r="I76" s="10" t="s">
        <v>2667</v>
      </c>
    </row>
    <row r="77" spans="2:9">
      <c r="B77" s="24">
        <v>2</v>
      </c>
      <c r="C77" s="21">
        <v>8</v>
      </c>
      <c r="D77" s="22" t="s">
        <v>2668</v>
      </c>
      <c r="E77" s="12">
        <v>0.33</v>
      </c>
      <c r="F77" s="9" t="s">
        <v>2598</v>
      </c>
      <c r="G77" s="9" t="s">
        <v>2564</v>
      </c>
      <c r="H77" s="23" t="s">
        <v>1430</v>
      </c>
      <c r="I77" s="10" t="s">
        <v>2669</v>
      </c>
    </row>
    <row r="78" spans="2:9">
      <c r="B78" s="25">
        <v>3</v>
      </c>
      <c r="C78" s="21">
        <v>2</v>
      </c>
      <c r="D78" s="22" t="s">
        <v>2295</v>
      </c>
      <c r="E78" s="12">
        <v>1.9</v>
      </c>
      <c r="F78" s="9" t="s">
        <v>2598</v>
      </c>
      <c r="G78" s="9" t="s">
        <v>2564</v>
      </c>
      <c r="H78" s="23" t="s">
        <v>814</v>
      </c>
      <c r="I78" s="10" t="s">
        <v>2670</v>
      </c>
    </row>
    <row r="79" spans="2:9">
      <c r="B79" s="25">
        <v>3</v>
      </c>
      <c r="C79" s="21">
        <v>3</v>
      </c>
      <c r="D79" s="22" t="s">
        <v>759</v>
      </c>
      <c r="E79" s="12">
        <v>1.78</v>
      </c>
      <c r="F79" s="9" t="s">
        <v>2598</v>
      </c>
      <c r="G79" s="9" t="s">
        <v>2564</v>
      </c>
      <c r="H79" s="23" t="s">
        <v>683</v>
      </c>
      <c r="I79" s="10" t="s">
        <v>2671</v>
      </c>
    </row>
    <row r="80" spans="2:9" ht="28.8" customHeight="1">
      <c r="B80" s="25">
        <v>3</v>
      </c>
      <c r="C80" s="21">
        <v>1</v>
      </c>
      <c r="D80" s="22" t="s">
        <v>2197</v>
      </c>
      <c r="E80" s="12">
        <v>1.34</v>
      </c>
      <c r="F80" s="9" t="s">
        <v>2598</v>
      </c>
      <c r="G80" s="9" t="s">
        <v>2564</v>
      </c>
      <c r="H80" s="23" t="s">
        <v>2186</v>
      </c>
      <c r="I80" s="10" t="s">
        <v>2672</v>
      </c>
    </row>
    <row r="81" spans="2:9">
      <c r="B81" s="25">
        <v>3</v>
      </c>
      <c r="C81" s="21">
        <v>2</v>
      </c>
      <c r="D81" s="22" t="s">
        <v>623</v>
      </c>
      <c r="E81" s="12">
        <v>0.3</v>
      </c>
      <c r="F81" s="9" t="s">
        <v>2598</v>
      </c>
      <c r="G81" s="9" t="s">
        <v>2564</v>
      </c>
      <c r="H81" s="23" t="s">
        <v>887</v>
      </c>
      <c r="I81" s="10" t="s">
        <v>2673</v>
      </c>
    </row>
    <row r="84" spans="2:9" ht="15.75" customHeight="1">
      <c r="B84" s="6" t="s">
        <v>2674</v>
      </c>
      <c r="H84" s="18" t="s">
        <v>2632</v>
      </c>
      <c r="I84" s="19">
        <v>121.96</v>
      </c>
    </row>
    <row r="85" spans="2:9">
      <c r="B85" s="5" t="s">
        <v>2675</v>
      </c>
    </row>
    <row r="86" spans="2:9">
      <c r="B86" s="14" t="s">
        <v>2581</v>
      </c>
      <c r="C86" s="14" t="s">
        <v>28</v>
      </c>
      <c r="D86" s="14" t="s">
        <v>2594</v>
      </c>
      <c r="E86" s="14" t="s">
        <v>2567</v>
      </c>
      <c r="F86" s="14" t="s">
        <v>2595</v>
      </c>
      <c r="G86" s="14" t="s">
        <v>2560</v>
      </c>
      <c r="H86" s="14" t="s">
        <v>2596</v>
      </c>
      <c r="I86" s="14" t="s">
        <v>2597</v>
      </c>
    </row>
    <row r="87" spans="2:9" ht="30" customHeight="1">
      <c r="B87" s="20">
        <v>1</v>
      </c>
      <c r="C87" s="21">
        <v>4</v>
      </c>
      <c r="D87" s="22" t="s">
        <v>2571</v>
      </c>
      <c r="E87" s="12">
        <v>33.54</v>
      </c>
      <c r="F87" s="9" t="s">
        <v>2598</v>
      </c>
      <c r="G87" s="9" t="s">
        <v>2565</v>
      </c>
      <c r="H87" s="23" t="s">
        <v>1242</v>
      </c>
      <c r="I87" s="10" t="s">
        <v>2676</v>
      </c>
    </row>
    <row r="88" spans="2:9">
      <c r="B88" s="20">
        <v>1</v>
      </c>
      <c r="C88" s="21">
        <v>5</v>
      </c>
      <c r="D88" s="22" t="s">
        <v>131</v>
      </c>
      <c r="E88" s="12">
        <v>17.010000000000002</v>
      </c>
      <c r="F88" s="9" t="s">
        <v>2598</v>
      </c>
      <c r="G88" s="9" t="s">
        <v>2565</v>
      </c>
      <c r="H88" s="23" t="s">
        <v>473</v>
      </c>
      <c r="I88" s="10" t="s">
        <v>2677</v>
      </c>
    </row>
    <row r="89" spans="2:9" ht="30" customHeight="1">
      <c r="B89" s="20">
        <v>1</v>
      </c>
      <c r="C89" s="21">
        <v>6</v>
      </c>
      <c r="D89" s="22" t="s">
        <v>88</v>
      </c>
      <c r="E89" s="12">
        <v>16.37</v>
      </c>
      <c r="F89" s="9" t="s">
        <v>2598</v>
      </c>
      <c r="G89" s="9" t="s">
        <v>2565</v>
      </c>
      <c r="H89" s="23" t="s">
        <v>2077</v>
      </c>
      <c r="I89" s="10" t="s">
        <v>2678</v>
      </c>
    </row>
    <row r="90" spans="2:9" ht="30" customHeight="1">
      <c r="B90" s="20">
        <v>1</v>
      </c>
      <c r="C90" s="21">
        <v>5</v>
      </c>
      <c r="D90" s="22" t="s">
        <v>2679</v>
      </c>
      <c r="E90" s="12">
        <v>0.44</v>
      </c>
      <c r="F90" s="9" t="s">
        <v>2598</v>
      </c>
      <c r="G90" s="9" t="s">
        <v>2565</v>
      </c>
      <c r="H90" s="23" t="s">
        <v>2127</v>
      </c>
      <c r="I90" s="10" t="s">
        <v>2680</v>
      </c>
    </row>
    <row r="91" spans="2:9" ht="30" customHeight="1">
      <c r="B91" s="24">
        <v>2</v>
      </c>
      <c r="C91" s="21">
        <v>3</v>
      </c>
      <c r="D91" s="22" t="s">
        <v>370</v>
      </c>
      <c r="E91" s="12">
        <v>16.649999999999999</v>
      </c>
      <c r="F91" s="9" t="s">
        <v>2598</v>
      </c>
      <c r="G91" s="9" t="s">
        <v>2565</v>
      </c>
      <c r="H91" s="23" t="s">
        <v>230</v>
      </c>
      <c r="I91" s="10" t="s">
        <v>2681</v>
      </c>
    </row>
    <row r="92" spans="2:9">
      <c r="B92" s="24">
        <v>2</v>
      </c>
      <c r="C92" s="21">
        <v>5</v>
      </c>
      <c r="D92" s="22" t="s">
        <v>2568</v>
      </c>
      <c r="E92" s="12">
        <v>10.77</v>
      </c>
      <c r="F92" s="9" t="s">
        <v>2598</v>
      </c>
      <c r="G92" s="9" t="s">
        <v>2565</v>
      </c>
      <c r="H92" s="23" t="s">
        <v>1979</v>
      </c>
      <c r="I92" s="10" t="s">
        <v>2682</v>
      </c>
    </row>
    <row r="93" spans="2:9">
      <c r="B93" s="24">
        <v>2</v>
      </c>
      <c r="C93" s="21">
        <v>3</v>
      </c>
      <c r="D93" s="22" t="s">
        <v>2570</v>
      </c>
      <c r="E93" s="12">
        <v>8.77</v>
      </c>
      <c r="F93" s="9" t="s">
        <v>2598</v>
      </c>
      <c r="G93" s="9" t="s">
        <v>2565</v>
      </c>
      <c r="H93" s="23" t="s">
        <v>2120</v>
      </c>
      <c r="I93" s="10" t="s">
        <v>2683</v>
      </c>
    </row>
    <row r="94" spans="2:9">
      <c r="B94" s="24">
        <v>2</v>
      </c>
      <c r="C94" s="21">
        <v>5</v>
      </c>
      <c r="D94" s="22" t="s">
        <v>1299</v>
      </c>
      <c r="E94" s="12">
        <v>5.59</v>
      </c>
      <c r="F94" s="9" t="s">
        <v>2598</v>
      </c>
      <c r="G94" s="9" t="s">
        <v>2565</v>
      </c>
      <c r="H94" s="23" t="s">
        <v>2242</v>
      </c>
      <c r="I94" s="10" t="s">
        <v>2684</v>
      </c>
    </row>
    <row r="95" spans="2:9">
      <c r="B95" s="24">
        <v>2</v>
      </c>
      <c r="C95" s="21">
        <v>4</v>
      </c>
      <c r="D95" s="22" t="s">
        <v>1239</v>
      </c>
      <c r="E95" s="12">
        <v>5.28</v>
      </c>
      <c r="F95" s="9" t="s">
        <v>2598</v>
      </c>
      <c r="G95" s="9" t="s">
        <v>2565</v>
      </c>
      <c r="H95" s="23" t="s">
        <v>1296</v>
      </c>
      <c r="I95" s="10" t="s">
        <v>2685</v>
      </c>
    </row>
    <row r="96" spans="2:9">
      <c r="B96" s="24">
        <v>2</v>
      </c>
      <c r="C96" s="21">
        <v>4</v>
      </c>
      <c r="D96" s="22" t="s">
        <v>1265</v>
      </c>
      <c r="E96" s="12">
        <v>1.92</v>
      </c>
      <c r="F96" s="9" t="s">
        <v>2598</v>
      </c>
      <c r="G96" s="9" t="s">
        <v>2565</v>
      </c>
      <c r="H96" s="23" t="s">
        <v>2329</v>
      </c>
      <c r="I96" s="10" t="s">
        <v>2686</v>
      </c>
    </row>
    <row r="97" spans="2:9">
      <c r="B97" s="24">
        <v>2</v>
      </c>
      <c r="C97" s="21">
        <v>3</v>
      </c>
      <c r="D97" s="22" t="s">
        <v>1181</v>
      </c>
      <c r="E97" s="12">
        <v>1.07</v>
      </c>
      <c r="F97" s="9" t="s">
        <v>2598</v>
      </c>
      <c r="G97" s="9" t="s">
        <v>2565</v>
      </c>
      <c r="H97" s="23" t="s">
        <v>2371</v>
      </c>
      <c r="I97" s="10" t="s">
        <v>2687</v>
      </c>
    </row>
    <row r="98" spans="2:9">
      <c r="B98" s="25">
        <v>3</v>
      </c>
      <c r="C98" s="21">
        <v>4</v>
      </c>
      <c r="D98" s="22" t="s">
        <v>128</v>
      </c>
      <c r="E98" s="12">
        <v>2.2999999999999998</v>
      </c>
      <c r="F98" s="9" t="s">
        <v>2598</v>
      </c>
      <c r="G98" s="9" t="s">
        <v>2565</v>
      </c>
      <c r="H98" s="23" t="s">
        <v>2208</v>
      </c>
      <c r="I98" s="10" t="s">
        <v>2688</v>
      </c>
    </row>
    <row r="99" spans="2:9">
      <c r="B99" s="25">
        <v>3</v>
      </c>
      <c r="C99" s="21">
        <v>2</v>
      </c>
      <c r="D99" s="22" t="s">
        <v>494</v>
      </c>
      <c r="E99" s="12">
        <v>2.25</v>
      </c>
      <c r="F99" s="9" t="s">
        <v>2598</v>
      </c>
      <c r="G99" s="9" t="s">
        <v>2565</v>
      </c>
      <c r="H99" s="23" t="s">
        <v>2290</v>
      </c>
      <c r="I99" s="10" t="s">
        <v>2689</v>
      </c>
    </row>
    <row r="102" spans="2:9" ht="15.75" customHeight="1">
      <c r="B102" s="6" t="s">
        <v>2690</v>
      </c>
      <c r="H102" s="18" t="s">
        <v>2691</v>
      </c>
      <c r="I102" s="19">
        <v>81.5</v>
      </c>
    </row>
    <row r="103" spans="2:9">
      <c r="B103" s="5" t="s">
        <v>2692</v>
      </c>
    </row>
    <row r="104" spans="2:9">
      <c r="B104" s="14" t="s">
        <v>2581</v>
      </c>
      <c r="C104" s="14" t="s">
        <v>28</v>
      </c>
      <c r="D104" s="14" t="s">
        <v>2594</v>
      </c>
      <c r="E104" s="14" t="s">
        <v>2567</v>
      </c>
      <c r="F104" s="14" t="s">
        <v>2595</v>
      </c>
      <c r="G104" s="14" t="s">
        <v>2560</v>
      </c>
      <c r="H104" s="14" t="s">
        <v>2596</v>
      </c>
      <c r="I104" s="14" t="s">
        <v>2597</v>
      </c>
    </row>
    <row r="105" spans="2:9" ht="30" customHeight="1">
      <c r="B105" s="20">
        <v>1</v>
      </c>
      <c r="C105" s="21">
        <v>5</v>
      </c>
      <c r="D105" s="22" t="s">
        <v>2573</v>
      </c>
      <c r="E105" s="12">
        <v>21.13</v>
      </c>
      <c r="F105" s="9" t="s">
        <v>2598</v>
      </c>
      <c r="G105" s="9" t="s">
        <v>2566</v>
      </c>
      <c r="H105" s="23" t="s">
        <v>1754</v>
      </c>
      <c r="I105" s="10" t="s">
        <v>2693</v>
      </c>
    </row>
    <row r="106" spans="2:9" ht="30" customHeight="1">
      <c r="B106" s="20">
        <v>1</v>
      </c>
      <c r="C106" s="21">
        <v>5</v>
      </c>
      <c r="D106" s="22" t="s">
        <v>1682</v>
      </c>
      <c r="E106" s="12">
        <v>16.239999999999998</v>
      </c>
      <c r="F106" s="9" t="s">
        <v>2598</v>
      </c>
      <c r="G106" s="9" t="s">
        <v>2566</v>
      </c>
      <c r="H106" s="23" t="s">
        <v>1623</v>
      </c>
      <c r="I106" s="10" t="s">
        <v>2694</v>
      </c>
    </row>
    <row r="107" spans="2:9">
      <c r="B107" s="20">
        <v>1</v>
      </c>
      <c r="C107" s="21">
        <v>6</v>
      </c>
      <c r="D107" s="22" t="s">
        <v>1720</v>
      </c>
      <c r="E107" s="12">
        <v>13.32</v>
      </c>
      <c r="F107" s="9" t="s">
        <v>2598</v>
      </c>
      <c r="G107" s="9" t="s">
        <v>2566</v>
      </c>
      <c r="H107" s="23" t="s">
        <v>1530</v>
      </c>
      <c r="I107" s="10" t="s">
        <v>2695</v>
      </c>
    </row>
    <row r="108" spans="2:9">
      <c r="B108" s="20">
        <v>1</v>
      </c>
      <c r="C108" s="21">
        <v>3</v>
      </c>
      <c r="D108" s="22" t="s">
        <v>2696</v>
      </c>
      <c r="E108" s="12">
        <v>10.5</v>
      </c>
      <c r="F108" s="9" t="s">
        <v>2598</v>
      </c>
      <c r="G108" s="9" t="s">
        <v>2566</v>
      </c>
      <c r="H108" s="23" t="s">
        <v>1805</v>
      </c>
      <c r="I108" s="10" t="s">
        <v>2697</v>
      </c>
    </row>
    <row r="109" spans="2:9">
      <c r="B109" s="24">
        <v>2</v>
      </c>
      <c r="C109" s="21">
        <v>1</v>
      </c>
      <c r="D109" s="22" t="s">
        <v>1625</v>
      </c>
      <c r="E109" s="12">
        <v>9.3699999999999992</v>
      </c>
      <c r="F109" s="9" t="s">
        <v>2598</v>
      </c>
      <c r="G109" s="9" t="s">
        <v>2566</v>
      </c>
      <c r="H109" s="23" t="s">
        <v>1599</v>
      </c>
      <c r="I109" s="10" t="s">
        <v>2698</v>
      </c>
    </row>
    <row r="110" spans="2:9">
      <c r="B110" s="24">
        <v>2</v>
      </c>
      <c r="C110" s="21">
        <v>2</v>
      </c>
      <c r="D110" s="22" t="s">
        <v>1644</v>
      </c>
      <c r="E110" s="12">
        <v>6.55</v>
      </c>
      <c r="F110" s="9" t="s">
        <v>2598</v>
      </c>
      <c r="G110" s="9" t="s">
        <v>2566</v>
      </c>
      <c r="H110" s="23" t="s">
        <v>1621</v>
      </c>
      <c r="I110" s="10" t="s">
        <v>2699</v>
      </c>
    </row>
    <row r="111" spans="2:9" ht="30" customHeight="1">
      <c r="B111" s="24">
        <v>2</v>
      </c>
      <c r="C111" s="21">
        <v>2</v>
      </c>
      <c r="D111" s="22" t="s">
        <v>1769</v>
      </c>
      <c r="E111" s="12">
        <v>4.3899999999999997</v>
      </c>
      <c r="F111" s="9" t="s">
        <v>2598</v>
      </c>
      <c r="G111" s="9" t="s">
        <v>2566</v>
      </c>
      <c r="H111" s="23" t="s">
        <v>1730</v>
      </c>
      <c r="I111" s="10" t="s">
        <v>2700</v>
      </c>
    </row>
    <row r="114" spans="2:2" ht="15.75" customHeight="1">
      <c r="B114" s="6" t="s">
        <v>2701</v>
      </c>
    </row>
    <row r="115" spans="2:2">
      <c r="B115" s="7" t="s">
        <v>2702</v>
      </c>
    </row>
    <row r="116" spans="2:2">
      <c r="B116" s="7" t="s">
        <v>2703</v>
      </c>
    </row>
    <row r="117" spans="2:2">
      <c r="B117" s="7" t="s">
        <v>2704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outlinePr summaryRight="0"/>
  </sheetPr>
  <dimension ref="A1:AX837"/>
  <sheetViews>
    <sheetView tabSelected="1" zoomScaleNormal="100" workbookViewId="0">
      <pane xSplit="1" ySplit="4" topLeftCell="B755" activePane="bottomRight" state="frozen"/>
      <selection activeCell="D9" sqref="D9"/>
      <selection pane="topRight" activeCell="D9" sqref="D9"/>
      <selection pane="bottomLeft" activeCell="D9" sqref="D9"/>
      <selection pane="bottomRight" activeCell="P827" sqref="P827"/>
    </sheetView>
  </sheetViews>
  <sheetFormatPr defaultColWidth="8.6640625" defaultRowHeight="14.4" outlineLevelCol="1"/>
  <cols>
    <col min="1" max="1" width="29.88671875" customWidth="1"/>
    <col min="2" max="2" width="7.33203125" customWidth="1"/>
    <col min="3" max="3" width="11.109375" customWidth="1" collapsed="1"/>
    <col min="4" max="4" width="18.44140625" hidden="1" customWidth="1" outlineLevel="1"/>
    <col min="5" max="5" width="20" hidden="1" customWidth="1" outlineLevel="1"/>
    <col min="6" max="6" width="7.21875" hidden="1" customWidth="1" outlineLevel="1"/>
    <col min="7" max="10" width="25" hidden="1" customWidth="1" outlineLevel="1"/>
    <col min="11" max="11" width="9.109375" customWidth="1" collapsed="1"/>
    <col min="12" max="12" width="5.6640625" hidden="1" customWidth="1" outlineLevel="1"/>
    <col min="13" max="14" width="6.5546875" hidden="1" customWidth="1" outlineLevel="1"/>
    <col min="15" max="15" width="23.88671875" hidden="1" customWidth="1" outlineLevel="1"/>
    <col min="16" max="16" width="8.5546875" style="4" customWidth="1"/>
    <col min="17" max="17" width="7.44140625" customWidth="1"/>
    <col min="18" max="18" width="7" customWidth="1" outlineLevel="1"/>
    <col min="19" max="19" width="8.5546875" customWidth="1" outlineLevel="1"/>
    <col min="20" max="20" width="7.33203125" customWidth="1" outlineLevel="1"/>
    <col min="21" max="21" width="7.109375" customWidth="1" outlineLevel="1"/>
    <col min="22" max="22" width="7.5546875" customWidth="1"/>
    <col min="23" max="28" width="5" customWidth="1" outlineLevel="1"/>
    <col min="29" max="29" width="5.21875" customWidth="1" outlineLevel="1"/>
    <col min="30" max="30" width="6.44140625" customWidth="1"/>
    <col min="31" max="37" width="5.6640625" customWidth="1" outlineLevel="1"/>
    <col min="38" max="38" width="7.44140625" customWidth="1"/>
    <col min="39" max="39" width="10.5546875" customWidth="1"/>
    <col min="40" max="40" width="9.77734375" customWidth="1" outlineLevel="1"/>
    <col min="41" max="46" width="6" customWidth="1" outlineLevel="1"/>
    <col min="47" max="47" width="14.21875" customWidth="1" outlineLevel="1"/>
    <col min="48" max="48" width="22.77734375" customWidth="1"/>
    <col min="49" max="49" width="31.6640625" customWidth="1" outlineLevel="1"/>
    <col min="50" max="50" width="26" customWidth="1" outlineLevel="1"/>
  </cols>
  <sheetData>
    <row r="1" spans="1:50" ht="14.4" customHeight="1">
      <c r="B1" s="38"/>
      <c r="AO1" s="26">
        <f t="shared" ref="AO1:AT1" si="0">SUM(AO5:AO760)</f>
        <v>5</v>
      </c>
      <c r="AP1" s="26">
        <f t="shared" si="0"/>
        <v>16</v>
      </c>
      <c r="AQ1" s="26">
        <f t="shared" si="0"/>
        <v>28</v>
      </c>
      <c r="AR1" s="26">
        <f t="shared" si="0"/>
        <v>16</v>
      </c>
      <c r="AS1" s="26">
        <f t="shared" si="0"/>
        <v>17</v>
      </c>
      <c r="AT1" s="26">
        <f t="shared" si="0"/>
        <v>12</v>
      </c>
    </row>
    <row r="2" spans="1:50" ht="15.6" customHeight="1">
      <c r="B2" s="39"/>
      <c r="P2" s="4">
        <f>SUM(AD3:AL3)</f>
        <v>1192</v>
      </c>
      <c r="Q2" s="59" t="s">
        <v>2559</v>
      </c>
      <c r="R2" s="4"/>
      <c r="S2" s="4"/>
      <c r="T2" s="4"/>
      <c r="U2" s="4"/>
      <c r="V2" s="60" t="s">
        <v>0</v>
      </c>
      <c r="W2" s="4">
        <f>SUM(W$5:W$781)</f>
        <v>100</v>
      </c>
      <c r="X2" s="4">
        <f t="shared" ref="X2:AC2" si="1">SUM(X$5:X$781)</f>
        <v>100</v>
      </c>
      <c r="Y2" s="4">
        <f t="shared" si="1"/>
        <v>100</v>
      </c>
      <c r="Z2" s="4">
        <f t="shared" si="1"/>
        <v>100</v>
      </c>
      <c r="AA2" s="4">
        <f t="shared" si="1"/>
        <v>100</v>
      </c>
      <c r="AB2" s="4">
        <f t="shared" si="1"/>
        <v>100</v>
      </c>
      <c r="AC2" s="4">
        <f t="shared" si="1"/>
        <v>0</v>
      </c>
      <c r="AD2" s="61" t="s">
        <v>2560</v>
      </c>
      <c r="AE2" s="62">
        <f>SUM(AE$5:AE$781)</f>
        <v>100</v>
      </c>
      <c r="AF2" s="62">
        <f t="shared" ref="AF2:AJ2" si="2">SUM(AF$5:AF$781)</f>
        <v>97</v>
      </c>
      <c r="AG2" s="62">
        <f t="shared" si="2"/>
        <v>92</v>
      </c>
      <c r="AH2" s="62">
        <f t="shared" si="2"/>
        <v>100</v>
      </c>
      <c r="AI2" s="62">
        <f t="shared" si="2"/>
        <v>100</v>
      </c>
      <c r="AJ2" s="62">
        <f t="shared" si="2"/>
        <v>100</v>
      </c>
      <c r="AK2" s="62"/>
      <c r="AL2" s="63" t="s">
        <v>2712</v>
      </c>
    </row>
    <row r="3" spans="1:50" ht="15" customHeight="1">
      <c r="B3" s="39"/>
      <c r="C3" s="56" t="s">
        <v>2718</v>
      </c>
      <c r="D3" s="36"/>
      <c r="E3" s="36"/>
      <c r="F3" s="37"/>
      <c r="G3" s="37"/>
      <c r="H3" s="36"/>
      <c r="I3" s="36"/>
      <c r="J3" s="36"/>
      <c r="K3" s="57" t="s">
        <v>2717</v>
      </c>
      <c r="L3" s="40"/>
      <c r="M3" s="40"/>
      <c r="N3" s="40"/>
      <c r="O3" s="1"/>
      <c r="P3" s="55">
        <f>SUM(P5:P781)</f>
        <v>1192</v>
      </c>
      <c r="Q3" s="54">
        <f>SUM(Q5:Q781)</f>
        <v>66</v>
      </c>
      <c r="R3" s="35"/>
      <c r="S3" s="35">
        <f>SUM(S5:S762)</f>
        <v>105</v>
      </c>
      <c r="T3" s="42">
        <f>SUM(T5:T46)</f>
        <v>13.21</v>
      </c>
      <c r="U3" s="35"/>
      <c r="V3" s="51">
        <f>SUM(V5:V781)</f>
        <v>600</v>
      </c>
      <c r="W3" s="123" t="s">
        <v>0</v>
      </c>
      <c r="X3" s="124"/>
      <c r="Y3" s="124"/>
      <c r="Z3" s="124"/>
      <c r="AA3" s="124"/>
      <c r="AB3" s="49"/>
      <c r="AC3" s="49"/>
      <c r="AD3" s="52">
        <f>SUM(AD5:AD781)</f>
        <v>589</v>
      </c>
      <c r="AE3" s="121" t="s">
        <v>1</v>
      </c>
      <c r="AF3" s="122"/>
      <c r="AG3" s="122"/>
      <c r="AH3" s="122"/>
      <c r="AI3" s="122"/>
      <c r="AJ3" s="50"/>
      <c r="AK3" s="50"/>
      <c r="AL3" s="53">
        <f>SUM(AL5:AL781)</f>
        <v>603</v>
      </c>
      <c r="AM3" s="43" t="s">
        <v>2710</v>
      </c>
      <c r="AV3" s="47" t="s">
        <v>2716</v>
      </c>
      <c r="AW3" s="48"/>
      <c r="AX3" s="48"/>
    </row>
    <row r="4" spans="1:50" ht="39.9" customHeight="1">
      <c r="A4" s="2" t="s">
        <v>2</v>
      </c>
      <c r="B4" s="34" t="s">
        <v>25</v>
      </c>
      <c r="C4" s="2" t="s">
        <v>4</v>
      </c>
      <c r="D4" s="33" t="s">
        <v>26</v>
      </c>
      <c r="E4" s="2" t="s">
        <v>27</v>
      </c>
      <c r="F4" s="2" t="s">
        <v>28</v>
      </c>
      <c r="G4" s="2" t="s">
        <v>30</v>
      </c>
      <c r="H4" s="2" t="s">
        <v>31</v>
      </c>
      <c r="I4" s="2" t="s">
        <v>32</v>
      </c>
      <c r="J4" s="2" t="s">
        <v>33</v>
      </c>
      <c r="K4" s="58" t="s">
        <v>2705</v>
      </c>
      <c r="L4" s="41" t="s">
        <v>3</v>
      </c>
      <c r="M4" s="41" t="s">
        <v>2706</v>
      </c>
      <c r="N4" s="41" t="s">
        <v>2707</v>
      </c>
      <c r="O4" s="41" t="s">
        <v>29</v>
      </c>
      <c r="P4" s="65" t="s">
        <v>6</v>
      </c>
      <c r="Q4" s="64" t="s">
        <v>8</v>
      </c>
      <c r="R4" s="3" t="s">
        <v>9</v>
      </c>
      <c r="S4" s="3" t="s">
        <v>10</v>
      </c>
      <c r="T4" s="3" t="s">
        <v>11</v>
      </c>
      <c r="U4" s="3" t="s">
        <v>12</v>
      </c>
      <c r="V4" s="66" t="s">
        <v>5</v>
      </c>
      <c r="W4" s="2" t="s">
        <v>13</v>
      </c>
      <c r="X4" s="2" t="s">
        <v>14</v>
      </c>
      <c r="Y4" s="2" t="s">
        <v>15</v>
      </c>
      <c r="Z4" s="2" t="s">
        <v>16</v>
      </c>
      <c r="AA4" s="2" t="s">
        <v>17</v>
      </c>
      <c r="AB4" s="2" t="s">
        <v>18</v>
      </c>
      <c r="AC4" s="2" t="s">
        <v>2713</v>
      </c>
      <c r="AD4" s="44" t="s">
        <v>7</v>
      </c>
      <c r="AE4" s="46" t="s">
        <v>19</v>
      </c>
      <c r="AF4" s="46" t="s">
        <v>20</v>
      </c>
      <c r="AG4" s="46" t="s">
        <v>21</v>
      </c>
      <c r="AH4" s="46" t="s">
        <v>22</v>
      </c>
      <c r="AI4" s="46" t="s">
        <v>23</v>
      </c>
      <c r="AJ4" s="46" t="s">
        <v>24</v>
      </c>
      <c r="AK4" s="46" t="s">
        <v>2714</v>
      </c>
      <c r="AL4" s="45" t="s">
        <v>2709</v>
      </c>
      <c r="AM4" s="32" t="s">
        <v>2711</v>
      </c>
      <c r="AN4" s="32" t="s">
        <v>36</v>
      </c>
      <c r="AO4" s="32" t="s">
        <v>37</v>
      </c>
      <c r="AP4" s="32" t="s">
        <v>38</v>
      </c>
      <c r="AQ4" s="32" t="s">
        <v>39</v>
      </c>
      <c r="AR4" s="32" t="s">
        <v>40</v>
      </c>
      <c r="AS4" s="32" t="s">
        <v>41</v>
      </c>
      <c r="AT4" s="32" t="s">
        <v>42</v>
      </c>
      <c r="AU4" s="2" t="s">
        <v>43</v>
      </c>
      <c r="AV4" s="2" t="s">
        <v>34</v>
      </c>
      <c r="AW4" s="2" t="s">
        <v>35</v>
      </c>
      <c r="AX4" s="2" t="s">
        <v>2715</v>
      </c>
    </row>
    <row r="5" spans="1:50" ht="15" customHeight="1">
      <c r="A5" s="67" t="s">
        <v>1035</v>
      </c>
      <c r="B5" s="68" t="s">
        <v>919</v>
      </c>
      <c r="C5" s="69" t="s">
        <v>45</v>
      </c>
      <c r="D5" s="70" t="s">
        <v>984</v>
      </c>
      <c r="E5" s="70" t="s">
        <v>1035</v>
      </c>
      <c r="F5" s="68">
        <v>0</v>
      </c>
      <c r="G5" s="71" t="s">
        <v>627</v>
      </c>
      <c r="H5" s="71" t="s">
        <v>949</v>
      </c>
      <c r="I5" s="71"/>
      <c r="J5" s="71"/>
      <c r="K5" s="72"/>
      <c r="L5" s="72"/>
      <c r="M5" s="72"/>
      <c r="N5" s="72"/>
      <c r="O5" s="71" t="s">
        <v>271</v>
      </c>
      <c r="P5" s="69">
        <v>93</v>
      </c>
      <c r="Q5" s="68">
        <f>MAX(0,$V5-$P5-$S5)</f>
        <v>0</v>
      </c>
      <c r="R5" s="68"/>
      <c r="S5" s="68"/>
      <c r="T5" s="73">
        <v>0.1</v>
      </c>
      <c r="U5" s="73">
        <f>IF(AND($Q5&gt;0,ISNUMBER($T5)),$Q5*$T5,0)</f>
        <v>0</v>
      </c>
      <c r="V5" s="68">
        <f>SUM(W5:AB5)</f>
        <v>41</v>
      </c>
      <c r="W5" s="68">
        <v>10</v>
      </c>
      <c r="X5" s="74">
        <v>6</v>
      </c>
      <c r="Y5" s="74">
        <v>2</v>
      </c>
      <c r="Z5" s="74">
        <v>8</v>
      </c>
      <c r="AA5" s="74">
        <v>15</v>
      </c>
      <c r="AB5" s="68"/>
      <c r="AC5" s="68"/>
      <c r="AD5" s="75">
        <f>SUM(AE5:AJ5)</f>
        <v>51</v>
      </c>
      <c r="AE5" s="76">
        <v>13</v>
      </c>
      <c r="AF5" s="76">
        <v>7</v>
      </c>
      <c r="AG5" s="76">
        <v>6</v>
      </c>
      <c r="AH5" s="76">
        <v>9</v>
      </c>
      <c r="AI5" s="76">
        <v>16</v>
      </c>
      <c r="AJ5" s="76"/>
      <c r="AK5" s="76"/>
      <c r="AL5" s="77">
        <f>IF((P5-SUM(AE5:AK5))&lt;0,0,P5-SUM(AE5:AK5))</f>
        <v>42</v>
      </c>
      <c r="AM5" s="77">
        <f>SUM(AO5:AT5)</f>
        <v>12</v>
      </c>
      <c r="AN5" s="78" t="s">
        <v>105</v>
      </c>
      <c r="AO5" s="72"/>
      <c r="AP5" s="79">
        <v>4</v>
      </c>
      <c r="AQ5" s="79">
        <v>5</v>
      </c>
      <c r="AR5" s="79">
        <v>1</v>
      </c>
      <c r="AS5" s="79">
        <v>2</v>
      </c>
      <c r="AT5" s="72"/>
      <c r="AU5" s="31" t="s">
        <v>1053</v>
      </c>
      <c r="AV5" s="70"/>
      <c r="AW5" s="72"/>
      <c r="AX5" s="72"/>
    </row>
    <row r="6" spans="1:50" ht="15" customHeight="1">
      <c r="A6" s="67" t="s">
        <v>1037</v>
      </c>
      <c r="B6" s="68" t="s">
        <v>919</v>
      </c>
      <c r="C6" s="69" t="s">
        <v>45</v>
      </c>
      <c r="D6" s="70" t="s">
        <v>984</v>
      </c>
      <c r="E6" s="70" t="s">
        <v>1037</v>
      </c>
      <c r="F6" s="68">
        <v>0</v>
      </c>
      <c r="G6" s="71" t="s">
        <v>627</v>
      </c>
      <c r="H6" s="71" t="s">
        <v>952</v>
      </c>
      <c r="I6" s="71"/>
      <c r="J6" s="71"/>
      <c r="K6" s="72"/>
      <c r="L6" s="72"/>
      <c r="M6" s="72"/>
      <c r="N6" s="72"/>
      <c r="O6" s="71" t="s">
        <v>271</v>
      </c>
      <c r="P6" s="69">
        <v>88</v>
      </c>
      <c r="Q6" s="68">
        <f>MAX(0,$V6-$P6-$S6)</f>
        <v>0</v>
      </c>
      <c r="R6" s="68"/>
      <c r="S6" s="68"/>
      <c r="T6" s="73">
        <v>0.1</v>
      </c>
      <c r="U6" s="73">
        <f>IF(AND($Q6&gt;0,ISNUMBER($T6)),$Q6*$T6,0)</f>
        <v>0</v>
      </c>
      <c r="V6" s="68">
        <f>SUM(W6:AB6)</f>
        <v>38</v>
      </c>
      <c r="W6" s="68">
        <v>7</v>
      </c>
      <c r="X6" s="68"/>
      <c r="Y6" s="68"/>
      <c r="Z6" s="68"/>
      <c r="AA6" s="68"/>
      <c r="AB6" s="74">
        <v>31</v>
      </c>
      <c r="AC6" s="68"/>
      <c r="AD6" s="75">
        <f>SUM(AE6:AJ6)</f>
        <v>40</v>
      </c>
      <c r="AE6" s="76">
        <v>8</v>
      </c>
      <c r="AF6" s="76"/>
      <c r="AG6" s="76"/>
      <c r="AH6" s="76"/>
      <c r="AI6" s="76"/>
      <c r="AJ6" s="76">
        <v>32</v>
      </c>
      <c r="AK6" s="76"/>
      <c r="AL6" s="77">
        <f>IF((P6-SUM(AE6:AK6))&lt;0,0,P6-SUM(AE6:AK6))</f>
        <v>48</v>
      </c>
      <c r="AM6" s="77">
        <f>SUM(AO6:AT6)</f>
        <v>2</v>
      </c>
      <c r="AN6" s="80" t="s">
        <v>105</v>
      </c>
      <c r="AO6" s="72"/>
      <c r="AP6" s="72"/>
      <c r="AQ6" s="72"/>
      <c r="AR6" s="72"/>
      <c r="AS6" s="72"/>
      <c r="AT6" s="79">
        <v>2</v>
      </c>
      <c r="AU6" s="31" t="s">
        <v>1038</v>
      </c>
      <c r="AV6" s="70"/>
      <c r="AW6" s="72"/>
      <c r="AX6" s="72"/>
    </row>
    <row r="7" spans="1:50" ht="15" customHeight="1">
      <c r="A7" s="67" t="s">
        <v>1012</v>
      </c>
      <c r="B7" s="68" t="s">
        <v>919</v>
      </c>
      <c r="C7" s="69" t="s">
        <v>45</v>
      </c>
      <c r="D7" s="70" t="s">
        <v>984</v>
      </c>
      <c r="E7" s="70" t="s">
        <v>1012</v>
      </c>
      <c r="F7" s="68">
        <v>0</v>
      </c>
      <c r="G7" s="71" t="s">
        <v>627</v>
      </c>
      <c r="H7" s="71" t="s">
        <v>1013</v>
      </c>
      <c r="I7" s="71"/>
      <c r="J7" s="71"/>
      <c r="K7" s="72"/>
      <c r="L7" s="72"/>
      <c r="M7" s="72"/>
      <c r="N7" s="72"/>
      <c r="O7" s="71" t="s">
        <v>271</v>
      </c>
      <c r="P7" s="69">
        <v>82</v>
      </c>
      <c r="Q7" s="68">
        <f>MAX(0,$V7-$P7-$S7)</f>
        <v>0</v>
      </c>
      <c r="R7" s="68"/>
      <c r="S7" s="68"/>
      <c r="T7" s="73">
        <v>0.1</v>
      </c>
      <c r="U7" s="73">
        <f>IF(AND($Q7&gt;0,ISNUMBER($T7)),$Q7*$T7,0)</f>
        <v>0</v>
      </c>
      <c r="V7" s="68">
        <f>SUM(W7:AB7)</f>
        <v>9</v>
      </c>
      <c r="W7" s="68"/>
      <c r="X7" s="74">
        <v>5</v>
      </c>
      <c r="Y7" s="74">
        <v>4</v>
      </c>
      <c r="Z7" s="68"/>
      <c r="AA7" s="68"/>
      <c r="AB7" s="68"/>
      <c r="AC7" s="68"/>
      <c r="AD7" s="75">
        <f>SUM(AE7:AJ7)</f>
        <v>14</v>
      </c>
      <c r="AE7" s="76"/>
      <c r="AF7" s="76">
        <v>8</v>
      </c>
      <c r="AG7" s="76">
        <v>6</v>
      </c>
      <c r="AH7" s="76"/>
      <c r="AI7" s="76"/>
      <c r="AJ7" s="76"/>
      <c r="AK7" s="76"/>
      <c r="AL7" s="77">
        <f>IF((P7-SUM(AE7:AK7))&lt;0,0,P7-SUM(AE7:AK7))</f>
        <v>68</v>
      </c>
      <c r="AM7" s="77">
        <f>SUM(AO7:AT7)</f>
        <v>6</v>
      </c>
      <c r="AN7" s="80" t="s">
        <v>105</v>
      </c>
      <c r="AO7" s="72"/>
      <c r="AP7" s="79">
        <v>4</v>
      </c>
      <c r="AQ7" s="79">
        <v>2</v>
      </c>
      <c r="AR7" s="72"/>
      <c r="AS7" s="72"/>
      <c r="AT7" s="72"/>
      <c r="AU7" s="31" t="s">
        <v>1014</v>
      </c>
      <c r="AV7" s="70"/>
      <c r="AW7" s="72"/>
      <c r="AX7" s="72"/>
    </row>
    <row r="8" spans="1:50" ht="15" customHeight="1">
      <c r="A8" s="67" t="s">
        <v>1091</v>
      </c>
      <c r="B8" s="68" t="s">
        <v>919</v>
      </c>
      <c r="C8" s="69" t="s">
        <v>45</v>
      </c>
      <c r="D8" s="70" t="s">
        <v>984</v>
      </c>
      <c r="E8" s="70" t="s">
        <v>1091</v>
      </c>
      <c r="F8" s="68">
        <v>0</v>
      </c>
      <c r="G8" s="71" t="s">
        <v>627</v>
      </c>
      <c r="H8" s="71" t="s">
        <v>1092</v>
      </c>
      <c r="I8" s="71"/>
      <c r="J8" s="71"/>
      <c r="K8" s="72"/>
      <c r="L8" s="72"/>
      <c r="M8" s="72"/>
      <c r="N8" s="72"/>
      <c r="O8" s="71" t="s">
        <v>271</v>
      </c>
      <c r="P8" s="69">
        <v>82</v>
      </c>
      <c r="Q8" s="68">
        <f>MAX(0,$V8-$P8-$S8)</f>
        <v>0</v>
      </c>
      <c r="R8" s="68"/>
      <c r="S8" s="68"/>
      <c r="T8" s="73">
        <v>0.1</v>
      </c>
      <c r="U8" s="73">
        <f>IF(AND($Q8&gt;0,ISNUMBER($T8)),$Q8*$T8,0)</f>
        <v>0</v>
      </c>
      <c r="V8" s="68">
        <f>SUM(W8:AB8)</f>
        <v>25</v>
      </c>
      <c r="W8" s="68"/>
      <c r="X8" s="68"/>
      <c r="Y8" s="74">
        <v>3</v>
      </c>
      <c r="Z8" s="74">
        <v>8</v>
      </c>
      <c r="AA8" s="74">
        <v>14</v>
      </c>
      <c r="AB8" s="68"/>
      <c r="AC8" s="68"/>
      <c r="AD8" s="75">
        <f>SUM(AE8:AJ8)</f>
        <v>31</v>
      </c>
      <c r="AE8" s="76"/>
      <c r="AF8" s="76"/>
      <c r="AG8" s="76">
        <v>6</v>
      </c>
      <c r="AH8" s="76">
        <v>9</v>
      </c>
      <c r="AI8" s="76">
        <v>16</v>
      </c>
      <c r="AJ8" s="76"/>
      <c r="AK8" s="76"/>
      <c r="AL8" s="77">
        <f>IF((P8-SUM(AE8:AK8))&lt;0,0,P8-SUM(AE8:AK8))</f>
        <v>51</v>
      </c>
      <c r="AM8" s="77">
        <f>SUM(AO8:AT8)</f>
        <v>8</v>
      </c>
      <c r="AN8" s="140" t="s">
        <v>105</v>
      </c>
      <c r="AO8" s="129"/>
      <c r="AP8" s="72"/>
      <c r="AQ8" s="79">
        <v>4</v>
      </c>
      <c r="AR8" s="79">
        <v>2</v>
      </c>
      <c r="AS8" s="79">
        <v>2</v>
      </c>
      <c r="AT8" s="72"/>
      <c r="AU8" s="125" t="s">
        <v>1093</v>
      </c>
      <c r="AV8" s="70"/>
      <c r="AW8" s="72"/>
      <c r="AX8" s="72"/>
    </row>
    <row r="9" spans="1:50" ht="15" customHeight="1">
      <c r="A9" s="67" t="s">
        <v>983</v>
      </c>
      <c r="B9" s="68" t="s">
        <v>919</v>
      </c>
      <c r="C9" s="69" t="s">
        <v>45</v>
      </c>
      <c r="D9" s="70" t="s">
        <v>984</v>
      </c>
      <c r="E9" s="70" t="s">
        <v>983</v>
      </c>
      <c r="F9" s="68">
        <v>0</v>
      </c>
      <c r="G9" s="71" t="s">
        <v>627</v>
      </c>
      <c r="H9" s="71" t="s">
        <v>985</v>
      </c>
      <c r="I9" s="71"/>
      <c r="J9" s="71"/>
      <c r="K9" s="72"/>
      <c r="L9" s="72"/>
      <c r="M9" s="72"/>
      <c r="N9" s="72"/>
      <c r="O9" s="71" t="s">
        <v>271</v>
      </c>
      <c r="P9" s="69">
        <v>80</v>
      </c>
      <c r="Q9" s="68">
        <f>MAX(0,$V9-$P9-$S9)</f>
        <v>0</v>
      </c>
      <c r="R9" s="68"/>
      <c r="S9" s="68"/>
      <c r="T9" s="73">
        <v>0.1</v>
      </c>
      <c r="U9" s="73">
        <f>IF(AND($Q9&gt;0,ISNUMBER($T9)),$Q9*$T9,0)</f>
        <v>0</v>
      </c>
      <c r="V9" s="68">
        <f>SUM(W9:AB9)</f>
        <v>19</v>
      </c>
      <c r="W9" s="68"/>
      <c r="X9" s="74">
        <v>8</v>
      </c>
      <c r="Y9" s="74">
        <v>3</v>
      </c>
      <c r="Z9" s="74">
        <v>8</v>
      </c>
      <c r="AA9" s="68"/>
      <c r="AB9" s="68"/>
      <c r="AC9" s="68"/>
      <c r="AD9" s="75">
        <f>SUM(AE9:AJ9)</f>
        <v>25</v>
      </c>
      <c r="AE9" s="76"/>
      <c r="AF9" s="76">
        <v>10</v>
      </c>
      <c r="AG9" s="76">
        <v>6</v>
      </c>
      <c r="AH9" s="76">
        <v>9</v>
      </c>
      <c r="AI9" s="76"/>
      <c r="AJ9" s="76"/>
      <c r="AK9" s="76"/>
      <c r="AL9" s="77">
        <f>IF((P9-SUM(AE9:AK9))&lt;0,0,P9-SUM(AE9:AK9))</f>
        <v>55</v>
      </c>
      <c r="AM9" s="77">
        <f>SUM(AO9:AT9)</f>
        <v>7</v>
      </c>
      <c r="AN9" s="78" t="s">
        <v>105</v>
      </c>
      <c r="AO9" s="72"/>
      <c r="AP9" s="79">
        <v>2</v>
      </c>
      <c r="AQ9" s="79">
        <v>4</v>
      </c>
      <c r="AR9" s="79">
        <v>1</v>
      </c>
      <c r="AS9" s="72"/>
      <c r="AT9" s="72"/>
      <c r="AU9" s="31" t="s">
        <v>986</v>
      </c>
      <c r="AV9" s="70"/>
      <c r="AW9" s="72"/>
      <c r="AX9" s="72"/>
    </row>
    <row r="10" spans="1:50" ht="15" customHeight="1">
      <c r="A10" s="70" t="s">
        <v>900</v>
      </c>
      <c r="B10" s="68" t="s">
        <v>636</v>
      </c>
      <c r="C10" s="69" t="s">
        <v>45</v>
      </c>
      <c r="D10" s="70" t="s">
        <v>64</v>
      </c>
      <c r="E10" s="70" t="s">
        <v>901</v>
      </c>
      <c r="F10" s="68">
        <v>7</v>
      </c>
      <c r="G10" s="71" t="s">
        <v>902</v>
      </c>
      <c r="H10" s="71" t="s">
        <v>903</v>
      </c>
      <c r="I10" s="71" t="s">
        <v>904</v>
      </c>
      <c r="J10" s="71" t="s">
        <v>735</v>
      </c>
      <c r="K10" s="99"/>
      <c r="L10" s="72"/>
      <c r="M10" s="72"/>
      <c r="N10" s="72"/>
      <c r="O10" s="71" t="s">
        <v>48</v>
      </c>
      <c r="P10" s="101">
        <v>4</v>
      </c>
      <c r="Q10" s="68">
        <f>MAX(0,$V10-$P10-$S10)</f>
        <v>0</v>
      </c>
      <c r="R10" s="68"/>
      <c r="S10" s="68"/>
      <c r="T10" s="73">
        <v>0.08</v>
      </c>
      <c r="U10" s="73">
        <f>IF(AND($Q10&gt;0,ISNUMBER($T10)),$Q10*$T10,0)</f>
        <v>0</v>
      </c>
      <c r="V10" s="68">
        <f>SUM(W10:AB10)</f>
        <v>0</v>
      </c>
      <c r="W10" s="68"/>
      <c r="X10" s="68"/>
      <c r="Y10" s="68"/>
      <c r="Z10" s="68"/>
      <c r="AA10" s="68"/>
      <c r="AB10" s="68"/>
      <c r="AC10" s="68"/>
      <c r="AD10" s="75">
        <f>SUM(AE10:AJ10)</f>
        <v>0</v>
      </c>
      <c r="AE10" s="76"/>
      <c r="AF10" s="76"/>
      <c r="AG10" s="76"/>
      <c r="AH10" s="76"/>
      <c r="AI10" s="76"/>
      <c r="AJ10" s="76"/>
      <c r="AK10" s="76"/>
      <c r="AL10" s="77">
        <f>IF((P10-SUM(AE10:AK10))&lt;0,0,P10-SUM(AE10:AK10))</f>
        <v>4</v>
      </c>
      <c r="AM10" s="77">
        <f>SUM(AO10:AT10)</f>
        <v>0</v>
      </c>
      <c r="AN10" s="85"/>
      <c r="AO10" s="72"/>
      <c r="AP10" s="72"/>
      <c r="AQ10" s="72"/>
      <c r="AR10" s="72"/>
      <c r="AS10" s="72"/>
      <c r="AT10" s="72"/>
      <c r="AU10" s="72"/>
      <c r="AV10" s="70"/>
      <c r="AW10" s="72"/>
      <c r="AX10" s="72"/>
    </row>
    <row r="11" spans="1:50" ht="15" customHeight="1">
      <c r="A11" s="81" t="s">
        <v>354</v>
      </c>
      <c r="B11" s="68" t="s">
        <v>345</v>
      </c>
      <c r="C11" s="69" t="s">
        <v>45</v>
      </c>
      <c r="D11" s="70" t="s">
        <v>175</v>
      </c>
      <c r="E11" s="70"/>
      <c r="F11" s="68">
        <v>2</v>
      </c>
      <c r="G11" s="71" t="s">
        <v>350</v>
      </c>
      <c r="H11" s="71" t="s">
        <v>356</v>
      </c>
      <c r="I11" s="71"/>
      <c r="J11" s="71"/>
      <c r="K11" s="69"/>
      <c r="L11" s="69"/>
      <c r="M11" s="69"/>
      <c r="N11" s="69"/>
      <c r="O11" s="71" t="s">
        <v>355</v>
      </c>
      <c r="P11" s="69">
        <v>4</v>
      </c>
      <c r="Q11" s="68">
        <f>MAX(0,$V11-$P11-$S11)</f>
        <v>1</v>
      </c>
      <c r="R11" s="68"/>
      <c r="S11" s="68"/>
      <c r="T11" s="73">
        <v>0.41</v>
      </c>
      <c r="U11" s="73">
        <f>IF(AND($Q11&gt;0,ISNUMBER($T11)),$Q11*$T11,0)</f>
        <v>0.41</v>
      </c>
      <c r="V11" s="68">
        <f>SUM(W11:AB11)</f>
        <v>5</v>
      </c>
      <c r="W11" s="68">
        <v>1</v>
      </c>
      <c r="X11" s="68">
        <v>1</v>
      </c>
      <c r="Y11" s="82">
        <v>1</v>
      </c>
      <c r="Z11" s="68"/>
      <c r="AA11" s="68">
        <v>1</v>
      </c>
      <c r="AB11" s="68">
        <v>1</v>
      </c>
      <c r="AC11" s="68"/>
      <c r="AD11" s="75">
        <f>SUM(AE11:AJ11)</f>
        <v>4</v>
      </c>
      <c r="AE11" s="76">
        <v>1</v>
      </c>
      <c r="AF11" s="76">
        <v>1</v>
      </c>
      <c r="AG11" s="76"/>
      <c r="AH11" s="76"/>
      <c r="AI11" s="76">
        <v>1</v>
      </c>
      <c r="AJ11" s="76">
        <v>1</v>
      </c>
      <c r="AK11" s="76"/>
      <c r="AL11" s="77">
        <f>IF((P11-SUM(AE11:AK11))&lt;0,0,P11-SUM(AE11:AK11))</f>
        <v>0</v>
      </c>
      <c r="AM11" s="77">
        <f>SUM(AO11:AT11)</f>
        <v>0</v>
      </c>
      <c r="AN11" s="88" t="s">
        <v>81</v>
      </c>
      <c r="AO11" s="72"/>
      <c r="AP11" s="72"/>
      <c r="AQ11" s="85"/>
      <c r="AR11" s="72"/>
      <c r="AS11" s="72"/>
      <c r="AT11" s="72"/>
      <c r="AU11" s="29" t="s">
        <v>357</v>
      </c>
      <c r="AV11" s="70"/>
      <c r="AW11" s="72"/>
      <c r="AX11" s="84"/>
    </row>
    <row r="12" spans="1:50" ht="15" customHeight="1">
      <c r="A12" s="86" t="s">
        <v>974</v>
      </c>
      <c r="B12" s="68" t="s">
        <v>919</v>
      </c>
      <c r="C12" s="69" t="s">
        <v>45</v>
      </c>
      <c r="D12" s="70" t="s">
        <v>627</v>
      </c>
      <c r="E12" s="70"/>
      <c r="F12" s="68">
        <v>0</v>
      </c>
      <c r="G12" s="71" t="s">
        <v>627</v>
      </c>
      <c r="H12" s="71" t="s">
        <v>975</v>
      </c>
      <c r="I12" s="71"/>
      <c r="J12" s="71"/>
      <c r="K12" s="69"/>
      <c r="L12" s="69"/>
      <c r="M12" s="69"/>
      <c r="N12" s="69"/>
      <c r="O12" s="71" t="s">
        <v>232</v>
      </c>
      <c r="P12" s="69">
        <v>4</v>
      </c>
      <c r="Q12" s="68">
        <f>MAX(0,$V12-$P12-$S12)</f>
        <v>0</v>
      </c>
      <c r="R12" s="68"/>
      <c r="S12" s="68"/>
      <c r="T12" s="73">
        <v>0.22</v>
      </c>
      <c r="U12" s="73">
        <f>IF(AND($Q12&gt;0,ISNUMBER($T12)),$Q12*$T12,0)</f>
        <v>0</v>
      </c>
      <c r="V12" s="68">
        <f>SUM(W12:AB12)</f>
        <v>4</v>
      </c>
      <c r="W12" s="68">
        <v>1</v>
      </c>
      <c r="X12" s="68">
        <v>1</v>
      </c>
      <c r="Y12" s="68">
        <v>1</v>
      </c>
      <c r="Z12" s="68"/>
      <c r="AA12" s="68"/>
      <c r="AB12" s="87">
        <v>1</v>
      </c>
      <c r="AC12" s="68"/>
      <c r="AD12" s="75">
        <f>SUM(AE12:AJ12)</f>
        <v>4</v>
      </c>
      <c r="AE12" s="76">
        <v>1</v>
      </c>
      <c r="AF12" s="76">
        <v>1</v>
      </c>
      <c r="AG12" s="76">
        <v>1</v>
      </c>
      <c r="AH12" s="76"/>
      <c r="AI12" s="76"/>
      <c r="AJ12" s="76">
        <v>1</v>
      </c>
      <c r="AK12" s="76"/>
      <c r="AL12" s="77">
        <f>IF((P12-SUM(AE12:AK12))&lt;0,0,P12-SUM(AE12:AK12))</f>
        <v>0</v>
      </c>
      <c r="AM12" s="77">
        <f>SUM(AO12:AT12)</f>
        <v>0</v>
      </c>
      <c r="AN12" s="129"/>
      <c r="AO12" s="72"/>
      <c r="AP12" s="129"/>
      <c r="AQ12" s="129"/>
      <c r="AR12" s="72"/>
      <c r="AS12" s="72"/>
      <c r="AT12" s="72"/>
      <c r="AU12" s="129"/>
      <c r="AV12" s="70"/>
      <c r="AW12" s="72"/>
      <c r="AX12" s="72"/>
    </row>
    <row r="13" spans="1:50" ht="15" customHeight="1">
      <c r="A13" s="92" t="s">
        <v>148</v>
      </c>
      <c r="B13" s="90" t="s">
        <v>46</v>
      </c>
      <c r="C13" s="69" t="s">
        <v>45</v>
      </c>
      <c r="D13" s="92" t="s">
        <v>64</v>
      </c>
      <c r="E13" s="92" t="s">
        <v>149</v>
      </c>
      <c r="F13" s="90">
        <v>2</v>
      </c>
      <c r="G13" s="92" t="s">
        <v>125</v>
      </c>
      <c r="H13" s="92" t="s">
        <v>150</v>
      </c>
      <c r="I13" s="92"/>
      <c r="J13" s="92"/>
      <c r="K13" s="72"/>
      <c r="L13" s="72">
        <v>1</v>
      </c>
      <c r="M13" s="72"/>
      <c r="N13" s="72"/>
      <c r="O13" s="92" t="s">
        <v>136</v>
      </c>
      <c r="P13" s="69">
        <v>4</v>
      </c>
      <c r="Q13" s="68">
        <f>MAX(0,$V13-$P13-$S13)</f>
        <v>0</v>
      </c>
      <c r="R13" s="92"/>
      <c r="S13" s="92"/>
      <c r="T13" s="92">
        <v>0.1</v>
      </c>
      <c r="U13" s="92">
        <f>IF(AND($Q13&gt;0,ISNUMBER($T13)),$Q13*$T13,0)</f>
        <v>0</v>
      </c>
      <c r="V13" s="68">
        <f>SUM(W13:AB13)</f>
        <v>0</v>
      </c>
      <c r="W13" s="90"/>
      <c r="X13" s="90"/>
      <c r="Y13" s="90"/>
      <c r="Z13" s="90"/>
      <c r="AA13" s="90"/>
      <c r="AB13" s="90"/>
      <c r="AC13" s="90"/>
      <c r="AD13" s="75">
        <f>SUM(AE13:AJ13)</f>
        <v>0</v>
      </c>
      <c r="AE13" s="76"/>
      <c r="AF13" s="76"/>
      <c r="AG13" s="76"/>
      <c r="AH13" s="76"/>
      <c r="AI13" s="76"/>
      <c r="AJ13" s="76"/>
      <c r="AK13" s="76"/>
      <c r="AL13" s="77">
        <f>IF((P13-SUM(AE13:AK13))&lt;0,0,P13-SUM(AE13:AK13))</f>
        <v>4</v>
      </c>
      <c r="AM13" s="77">
        <f>SUM(AO13:AT13)</f>
        <v>0</v>
      </c>
      <c r="AN13" s="85"/>
      <c r="AO13" s="72"/>
      <c r="AP13" s="72"/>
      <c r="AQ13" s="72"/>
      <c r="AR13" s="72"/>
      <c r="AS13" s="72"/>
      <c r="AT13" s="72"/>
      <c r="AU13" s="72"/>
      <c r="AV13" s="92"/>
      <c r="AW13" s="72"/>
      <c r="AX13" s="72"/>
    </row>
    <row r="14" spans="1:50" ht="15" customHeight="1">
      <c r="A14" s="70" t="s">
        <v>732</v>
      </c>
      <c r="B14" s="68" t="s">
        <v>636</v>
      </c>
      <c r="C14" s="69" t="s">
        <v>45</v>
      </c>
      <c r="D14" s="70" t="s">
        <v>64</v>
      </c>
      <c r="E14" s="70" t="s">
        <v>733</v>
      </c>
      <c r="F14" s="68">
        <v>2</v>
      </c>
      <c r="G14" s="71" t="s">
        <v>170</v>
      </c>
      <c r="H14" s="71" t="s">
        <v>734</v>
      </c>
      <c r="I14" s="71" t="s">
        <v>735</v>
      </c>
      <c r="J14" s="71"/>
      <c r="K14" s="72"/>
      <c r="L14" s="72"/>
      <c r="M14" s="72"/>
      <c r="N14" s="72"/>
      <c r="O14" s="71" t="s">
        <v>136</v>
      </c>
      <c r="P14" s="69">
        <v>4</v>
      </c>
      <c r="Q14" s="68">
        <f>MAX(0,$V14-$P14-$S14)</f>
        <v>0</v>
      </c>
      <c r="R14" s="68"/>
      <c r="S14" s="68"/>
      <c r="T14" s="73">
        <v>0.12</v>
      </c>
      <c r="U14" s="73">
        <f>IF(AND($Q14&gt;0,ISNUMBER($T14)),$Q14*$T14,0)</f>
        <v>0</v>
      </c>
      <c r="V14" s="68">
        <f>SUM(W14:AB14)</f>
        <v>0</v>
      </c>
      <c r="W14" s="68"/>
      <c r="X14" s="68"/>
      <c r="Y14" s="68"/>
      <c r="Z14" s="68"/>
      <c r="AA14" s="68"/>
      <c r="AB14" s="68"/>
      <c r="AC14" s="68"/>
      <c r="AD14" s="75">
        <f>SUM(AE14:AJ14)</f>
        <v>1</v>
      </c>
      <c r="AE14" s="76"/>
      <c r="AF14" s="76"/>
      <c r="AG14" s="76">
        <v>1</v>
      </c>
      <c r="AH14" s="76"/>
      <c r="AI14" s="76"/>
      <c r="AJ14" s="76"/>
      <c r="AK14" s="76"/>
      <c r="AL14" s="77">
        <f>IF((P14-SUM(AE14:AK14))&lt;0,0,P14-SUM(AE14:AK14))</f>
        <v>3</v>
      </c>
      <c r="AM14" s="77">
        <f>SUM(AO14:AT14)</f>
        <v>1</v>
      </c>
      <c r="AN14" s="80" t="s">
        <v>105</v>
      </c>
      <c r="AO14" s="72"/>
      <c r="AP14" s="72"/>
      <c r="AQ14" s="79">
        <v>1</v>
      </c>
      <c r="AR14" s="72"/>
      <c r="AS14" s="72"/>
      <c r="AT14" s="72"/>
      <c r="AU14" s="31" t="s">
        <v>736</v>
      </c>
      <c r="AV14" s="70"/>
      <c r="AW14" s="72"/>
      <c r="AX14" s="72"/>
    </row>
    <row r="15" spans="1:50" ht="15" customHeight="1">
      <c r="A15" s="86" t="s">
        <v>1031</v>
      </c>
      <c r="B15" s="68" t="s">
        <v>919</v>
      </c>
      <c r="C15" s="69" t="s">
        <v>45</v>
      </c>
      <c r="D15" s="70" t="s">
        <v>627</v>
      </c>
      <c r="E15" s="70"/>
      <c r="F15" s="68">
        <v>0</v>
      </c>
      <c r="G15" s="71" t="s">
        <v>627</v>
      </c>
      <c r="H15" s="71" t="s">
        <v>1032</v>
      </c>
      <c r="I15" s="71" t="s">
        <v>1033</v>
      </c>
      <c r="J15" s="71"/>
      <c r="K15" s="72"/>
      <c r="L15" s="72"/>
      <c r="M15" s="72"/>
      <c r="N15" s="72"/>
      <c r="O15" s="71" t="s">
        <v>136</v>
      </c>
      <c r="P15" s="69">
        <v>4</v>
      </c>
      <c r="Q15" s="68">
        <f>MAX(0,$V15-$P15-$S15)</f>
        <v>0</v>
      </c>
      <c r="R15" s="68"/>
      <c r="S15" s="68"/>
      <c r="T15" s="73">
        <v>0.18</v>
      </c>
      <c r="U15" s="73">
        <f>IF(AND($Q15&gt;0,ISNUMBER($T15)),$Q15*$T15,0)</f>
        <v>0</v>
      </c>
      <c r="V15" s="68">
        <f>SUM(W15:AB15)</f>
        <v>2</v>
      </c>
      <c r="W15" s="68"/>
      <c r="X15" s="68"/>
      <c r="Y15" s="68">
        <v>1</v>
      </c>
      <c r="Z15" s="87">
        <v>1</v>
      </c>
      <c r="AA15" s="68"/>
      <c r="AB15" s="68"/>
      <c r="AC15" s="68"/>
      <c r="AD15" s="75">
        <f>SUM(AE15:AJ15)</f>
        <v>2</v>
      </c>
      <c r="AE15" s="76"/>
      <c r="AF15" s="76"/>
      <c r="AG15" s="76">
        <v>1</v>
      </c>
      <c r="AH15" s="76">
        <v>1</v>
      </c>
      <c r="AI15" s="76"/>
      <c r="AJ15" s="76"/>
      <c r="AK15" s="76"/>
      <c r="AL15" s="77">
        <f>IF((P15-SUM(AE15:AK15))&lt;0,0,P15-SUM(AE15:AK15))</f>
        <v>2</v>
      </c>
      <c r="AM15" s="77">
        <f>SUM(AO15:AT15)</f>
        <v>0</v>
      </c>
      <c r="AN15" s="85"/>
      <c r="AO15" s="72"/>
      <c r="AP15" s="72"/>
      <c r="AQ15" s="72"/>
      <c r="AR15" s="72"/>
      <c r="AS15" s="72"/>
      <c r="AT15" s="72"/>
      <c r="AU15" s="72"/>
      <c r="AV15" s="70"/>
      <c r="AW15" s="72"/>
      <c r="AX15" s="72"/>
    </row>
    <row r="16" spans="1:50" ht="15" customHeight="1">
      <c r="A16" s="98" t="s">
        <v>2414</v>
      </c>
      <c r="B16" s="100" t="s">
        <v>636</v>
      </c>
      <c r="C16" s="101" t="s">
        <v>45</v>
      </c>
      <c r="D16" s="98" t="s">
        <v>64</v>
      </c>
      <c r="E16" s="98" t="s">
        <v>2415</v>
      </c>
      <c r="F16" s="100">
        <v>2</v>
      </c>
      <c r="G16" s="98" t="s">
        <v>125</v>
      </c>
      <c r="H16" s="98" t="s">
        <v>2416</v>
      </c>
      <c r="I16" s="98" t="s">
        <v>2417</v>
      </c>
      <c r="J16" s="98"/>
      <c r="K16" s="99"/>
      <c r="L16" s="99">
        <v>1</v>
      </c>
      <c r="M16" s="99"/>
      <c r="N16" s="99"/>
      <c r="O16" s="98" t="s">
        <v>136</v>
      </c>
      <c r="P16" s="101">
        <v>3</v>
      </c>
      <c r="Q16" s="68">
        <f>MAX(0,$V16-$P16-$S16)</f>
        <v>0</v>
      </c>
      <c r="R16" s="98"/>
      <c r="S16" s="98"/>
      <c r="T16" s="98">
        <v>0.14000000000000001</v>
      </c>
      <c r="U16" s="98">
        <f>IF(AND($Q16&gt;0,ISNUMBER($T16)),$Q16*$T16,0)</f>
        <v>0</v>
      </c>
      <c r="V16" s="68">
        <f>SUM(W16:AB16)</f>
        <v>0</v>
      </c>
      <c r="W16" s="100"/>
      <c r="X16" s="100"/>
      <c r="Y16" s="100"/>
      <c r="Z16" s="100"/>
      <c r="AA16" s="100"/>
      <c r="AB16" s="100"/>
      <c r="AC16" s="68"/>
      <c r="AD16" s="75">
        <f>SUM(AE16:AJ16)</f>
        <v>0</v>
      </c>
      <c r="AE16" s="102"/>
      <c r="AF16" s="102"/>
      <c r="AG16" s="102"/>
      <c r="AH16" s="102"/>
      <c r="AI16" s="102"/>
      <c r="AJ16" s="102"/>
      <c r="AK16" s="102"/>
      <c r="AL16" s="77">
        <f>IF((P16-SUM(AE16:AK16))&lt;0,0,P16-SUM(AE16:AK16))</f>
        <v>3</v>
      </c>
      <c r="AM16" s="77">
        <f>SUM(AO16:AT16)</f>
        <v>0</v>
      </c>
      <c r="AN16" s="127"/>
      <c r="AO16" s="99"/>
      <c r="AP16" s="99"/>
      <c r="AQ16" s="99"/>
      <c r="AR16" s="99"/>
      <c r="AS16" s="99"/>
      <c r="AT16" s="99"/>
      <c r="AU16" s="99"/>
      <c r="AV16" s="98"/>
      <c r="AW16" s="99"/>
      <c r="AX16" s="99"/>
    </row>
    <row r="17" spans="1:50" ht="15" customHeight="1">
      <c r="A17" s="70" t="s">
        <v>2069</v>
      </c>
      <c r="B17" s="68" t="s">
        <v>1971</v>
      </c>
      <c r="C17" s="69" t="s">
        <v>45</v>
      </c>
      <c r="D17" s="70" t="s">
        <v>175</v>
      </c>
      <c r="E17" s="70" t="s">
        <v>390</v>
      </c>
      <c r="F17" s="68">
        <v>4</v>
      </c>
      <c r="G17" s="71" t="s">
        <v>54</v>
      </c>
      <c r="H17" s="71" t="s">
        <v>2070</v>
      </c>
      <c r="I17" s="71" t="s">
        <v>2071</v>
      </c>
      <c r="J17" s="71" t="s">
        <v>2072</v>
      </c>
      <c r="K17" s="99"/>
      <c r="L17" s="72"/>
      <c r="M17" s="72"/>
      <c r="N17" s="72"/>
      <c r="O17" s="71" t="s">
        <v>136</v>
      </c>
      <c r="P17" s="101">
        <v>3</v>
      </c>
      <c r="Q17" s="68">
        <f>MAX(0,$V17-$P17-$S17)</f>
        <v>0</v>
      </c>
      <c r="R17" s="68"/>
      <c r="S17" s="68"/>
      <c r="T17" s="73">
        <v>0.1</v>
      </c>
      <c r="U17" s="73">
        <f>IF(AND($Q17&gt;0,ISNUMBER($T17)),$Q17*$T17,0)</f>
        <v>0</v>
      </c>
      <c r="V17" s="68">
        <f>SUM(W17:AB17)</f>
        <v>0</v>
      </c>
      <c r="W17" s="68"/>
      <c r="X17" s="68"/>
      <c r="Y17" s="68"/>
      <c r="Z17" s="68"/>
      <c r="AA17" s="68"/>
      <c r="AB17" s="68"/>
      <c r="AC17" s="68"/>
      <c r="AD17" s="75">
        <f>SUM(AE17:AJ17)</f>
        <v>0</v>
      </c>
      <c r="AE17" s="76"/>
      <c r="AF17" s="76"/>
      <c r="AG17" s="76"/>
      <c r="AH17" s="76"/>
      <c r="AI17" s="76"/>
      <c r="AJ17" s="76"/>
      <c r="AK17" s="76"/>
      <c r="AL17" s="77">
        <f>IF((P17-SUM(AE17:AK17))&lt;0,0,P17-SUM(AE17:AK17))</f>
        <v>3</v>
      </c>
      <c r="AM17" s="77">
        <f>SUM(AO17:AT17)</f>
        <v>0</v>
      </c>
      <c r="AN17" s="129"/>
      <c r="AO17" s="72"/>
      <c r="AP17" s="72"/>
      <c r="AQ17" s="72"/>
      <c r="AR17" s="72"/>
      <c r="AS17" s="72"/>
      <c r="AT17" s="72"/>
      <c r="AU17" s="72"/>
      <c r="AV17" s="70"/>
      <c r="AW17" s="72"/>
      <c r="AX17" s="72"/>
    </row>
    <row r="18" spans="1:50" ht="15" customHeight="1">
      <c r="A18" s="67" t="s">
        <v>480</v>
      </c>
      <c r="B18" s="68" t="s">
        <v>345</v>
      </c>
      <c r="C18" s="69" t="s">
        <v>45</v>
      </c>
      <c r="D18" s="70" t="s">
        <v>175</v>
      </c>
      <c r="E18" s="70"/>
      <c r="F18" s="68">
        <v>1</v>
      </c>
      <c r="G18" s="71" t="s">
        <v>350</v>
      </c>
      <c r="H18" s="71" t="s">
        <v>481</v>
      </c>
      <c r="I18" s="71" t="s">
        <v>482</v>
      </c>
      <c r="J18" s="71" t="s">
        <v>483</v>
      </c>
      <c r="K18" s="99"/>
      <c r="L18" s="72"/>
      <c r="M18" s="72"/>
      <c r="N18" s="72"/>
      <c r="O18" s="71" t="s">
        <v>136</v>
      </c>
      <c r="P18" s="101">
        <v>3</v>
      </c>
      <c r="Q18" s="68">
        <f>MAX(0,$V18-$P18-$S18)</f>
        <v>0</v>
      </c>
      <c r="R18" s="68"/>
      <c r="S18" s="68"/>
      <c r="T18" s="73">
        <v>0.26</v>
      </c>
      <c r="U18" s="73">
        <f>IF(AND($Q18&gt;0,ISNUMBER($T18)),$Q18*$T18,0)</f>
        <v>0</v>
      </c>
      <c r="V18" s="68">
        <f>SUM(W18:AB18)</f>
        <v>0</v>
      </c>
      <c r="W18" s="68"/>
      <c r="X18" s="68"/>
      <c r="Y18" s="74"/>
      <c r="Z18" s="68"/>
      <c r="AA18" s="68"/>
      <c r="AB18" s="68"/>
      <c r="AC18" s="68"/>
      <c r="AD18" s="75">
        <f>SUM(AE18:AJ18)</f>
        <v>0</v>
      </c>
      <c r="AE18" s="76"/>
      <c r="AF18" s="76"/>
      <c r="AG18" s="76"/>
      <c r="AH18" s="76"/>
      <c r="AI18" s="76"/>
      <c r="AJ18" s="76"/>
      <c r="AK18" s="76"/>
      <c r="AL18" s="77">
        <f>IF((P18-SUM(AE18:AK18))&lt;0,0,P18-SUM(AE18:AK18))</f>
        <v>3</v>
      </c>
      <c r="AM18" s="77">
        <f>SUM(AO18:AT18)</f>
        <v>1</v>
      </c>
      <c r="AN18" s="140" t="s">
        <v>105</v>
      </c>
      <c r="AO18" s="79">
        <v>1</v>
      </c>
      <c r="AP18" s="72"/>
      <c r="AQ18" s="129"/>
      <c r="AR18" s="72"/>
      <c r="AS18" s="72"/>
      <c r="AT18" s="72"/>
      <c r="AU18" s="125" t="s">
        <v>484</v>
      </c>
      <c r="AV18" s="70"/>
      <c r="AW18" s="72"/>
      <c r="AX18" s="72"/>
    </row>
    <row r="19" spans="1:50" ht="15" customHeight="1">
      <c r="A19" s="98" t="s">
        <v>2708</v>
      </c>
      <c r="B19" s="68" t="s">
        <v>1831</v>
      </c>
      <c r="C19" s="69" t="s">
        <v>45</v>
      </c>
      <c r="D19" s="70" t="s">
        <v>64</v>
      </c>
      <c r="E19" s="70" t="s">
        <v>1839</v>
      </c>
      <c r="F19" s="68">
        <v>4</v>
      </c>
      <c r="G19" s="98"/>
      <c r="H19" s="98"/>
      <c r="I19" s="98"/>
      <c r="J19" s="98"/>
      <c r="K19" s="99"/>
      <c r="L19" s="99"/>
      <c r="M19" s="99"/>
      <c r="N19" s="99"/>
      <c r="O19" s="71" t="s">
        <v>136</v>
      </c>
      <c r="P19" s="101">
        <v>3</v>
      </c>
      <c r="Q19" s="68">
        <f>MAX(0,$V19-$P19-$S19)</f>
        <v>0</v>
      </c>
      <c r="R19" s="68" t="s">
        <v>57</v>
      </c>
      <c r="S19" s="68">
        <v>1</v>
      </c>
      <c r="T19" s="73"/>
      <c r="U19" s="73">
        <f>IF(AND($Q19&gt;0,ISNUMBER($T19)),$Q19*$T19,0)</f>
        <v>0</v>
      </c>
      <c r="V19" s="68">
        <f>SUM(W19:AB19)</f>
        <v>0</v>
      </c>
      <c r="W19" s="68"/>
      <c r="X19" s="68"/>
      <c r="Y19" s="68"/>
      <c r="Z19" s="68"/>
      <c r="AA19" s="68"/>
      <c r="AB19" s="68"/>
      <c r="AC19" s="68"/>
      <c r="AD19" s="75">
        <f>SUM(AE19:AJ19)</f>
        <v>0</v>
      </c>
      <c r="AE19" s="76"/>
      <c r="AF19" s="76"/>
      <c r="AG19" s="76"/>
      <c r="AH19" s="76"/>
      <c r="AI19" s="76"/>
      <c r="AJ19" s="76"/>
      <c r="AK19" s="76"/>
      <c r="AL19" s="77">
        <f>IF((P19-SUM(AE19:AK19))&lt;0,0,P19-SUM(AE19:AK19))</f>
        <v>3</v>
      </c>
      <c r="AM19" s="77">
        <f>SUM(AO19:AT19)</f>
        <v>0</v>
      </c>
      <c r="AN19" s="127"/>
      <c r="AO19" s="99"/>
      <c r="AP19" s="99"/>
      <c r="AQ19" s="99"/>
      <c r="AR19" s="99"/>
      <c r="AS19" s="99"/>
      <c r="AT19" s="99"/>
      <c r="AU19" s="99"/>
      <c r="AV19" s="98"/>
      <c r="AW19" s="99"/>
      <c r="AX19" s="99"/>
    </row>
    <row r="20" spans="1:50" ht="15" customHeight="1">
      <c r="A20" s="98" t="s">
        <v>2521</v>
      </c>
      <c r="B20" s="100" t="s">
        <v>1499</v>
      </c>
      <c r="C20" s="101" t="s">
        <v>45</v>
      </c>
      <c r="D20" s="98" t="s">
        <v>123</v>
      </c>
      <c r="E20" s="98" t="s">
        <v>680</v>
      </c>
      <c r="F20" s="100">
        <v>7</v>
      </c>
      <c r="G20" s="98" t="s">
        <v>285</v>
      </c>
      <c r="H20" s="98" t="s">
        <v>197</v>
      </c>
      <c r="I20" s="98" t="s">
        <v>2522</v>
      </c>
      <c r="J20" s="98"/>
      <c r="K20" s="99"/>
      <c r="L20" s="99"/>
      <c r="M20" s="99"/>
      <c r="N20" s="99"/>
      <c r="O20" s="98" t="s">
        <v>136</v>
      </c>
      <c r="P20" s="101">
        <v>3</v>
      </c>
      <c r="Q20" s="68">
        <f>MAX(0,$V20-$P20-$S20)</f>
        <v>0</v>
      </c>
      <c r="R20" s="98"/>
      <c r="S20" s="98"/>
      <c r="T20" s="98">
        <v>0.22</v>
      </c>
      <c r="U20" s="98">
        <f>IF(AND($Q20&gt;0,ISNUMBER($T20)),$Q20*$T20,0)</f>
        <v>0</v>
      </c>
      <c r="V20" s="68">
        <f>SUM(W20:AB20)</f>
        <v>0</v>
      </c>
      <c r="W20" s="100"/>
      <c r="X20" s="100"/>
      <c r="Y20" s="100"/>
      <c r="Z20" s="100"/>
      <c r="AA20" s="100"/>
      <c r="AB20" s="100"/>
      <c r="AC20" s="68"/>
      <c r="AD20" s="75">
        <f>SUM(AE20:AJ20)</f>
        <v>0</v>
      </c>
      <c r="AE20" s="102"/>
      <c r="AF20" s="102"/>
      <c r="AG20" s="102"/>
      <c r="AH20" s="102"/>
      <c r="AI20" s="102"/>
      <c r="AJ20" s="102"/>
      <c r="AK20" s="102"/>
      <c r="AL20" s="77">
        <f>IF((P20-SUM(AE20:AK20))&lt;0,0,P20-SUM(AE20:AK20))</f>
        <v>3</v>
      </c>
      <c r="AM20" s="77">
        <f>SUM(AO20:AT20)</f>
        <v>0</v>
      </c>
      <c r="AN20" s="27"/>
      <c r="AO20" s="99"/>
      <c r="AP20" s="99"/>
      <c r="AQ20" s="99"/>
      <c r="AR20" s="99"/>
      <c r="AS20" s="27"/>
      <c r="AT20" s="99"/>
      <c r="AU20" s="27"/>
      <c r="AV20" s="98"/>
      <c r="AW20" s="99"/>
      <c r="AX20" s="127"/>
    </row>
    <row r="21" spans="1:50" ht="15" customHeight="1">
      <c r="A21" s="67" t="s">
        <v>654</v>
      </c>
      <c r="B21" s="68" t="s">
        <v>636</v>
      </c>
      <c r="C21" s="69" t="s">
        <v>45</v>
      </c>
      <c r="D21" s="70" t="s">
        <v>64</v>
      </c>
      <c r="E21" s="70" t="s">
        <v>655</v>
      </c>
      <c r="F21" s="68">
        <v>3</v>
      </c>
      <c r="G21" s="71" t="s">
        <v>656</v>
      </c>
      <c r="H21" s="71" t="s">
        <v>657</v>
      </c>
      <c r="I21" s="71"/>
      <c r="J21" s="71"/>
      <c r="K21" s="69"/>
      <c r="L21" s="69"/>
      <c r="M21" s="69"/>
      <c r="N21" s="69"/>
      <c r="O21" s="71" t="s">
        <v>402</v>
      </c>
      <c r="P21" s="69">
        <v>3</v>
      </c>
      <c r="Q21" s="68">
        <f>MAX(0,$V21-$P21-$S21)</f>
        <v>0</v>
      </c>
      <c r="R21" s="68"/>
      <c r="S21" s="68"/>
      <c r="T21" s="73">
        <v>0.34</v>
      </c>
      <c r="U21" s="73">
        <f>IF(AND($Q21&gt;0,ISNUMBER($T21)),$Q21*$T21,0)</f>
        <v>0</v>
      </c>
      <c r="V21" s="68">
        <f>SUM(W21:AB21)</f>
        <v>1</v>
      </c>
      <c r="W21" s="68"/>
      <c r="X21" s="74"/>
      <c r="Y21" s="74"/>
      <c r="Z21" s="68">
        <v>1</v>
      </c>
      <c r="AA21" s="68"/>
      <c r="AB21" s="68"/>
      <c r="AC21" s="68"/>
      <c r="AD21" s="75">
        <f>SUM(AE21:AJ21)</f>
        <v>1</v>
      </c>
      <c r="AE21" s="76"/>
      <c r="AF21" s="76"/>
      <c r="AG21" s="76"/>
      <c r="AH21" s="76">
        <v>1</v>
      </c>
      <c r="AI21" s="76"/>
      <c r="AJ21" s="76"/>
      <c r="AK21" s="76"/>
      <c r="AL21" s="77">
        <f>IF((P21-SUM(AE21:AK21))&lt;0,0,P21-SUM(AE21:AK21))</f>
        <v>2</v>
      </c>
      <c r="AM21" s="77">
        <f>SUM(AO21:AT21)</f>
        <v>0</v>
      </c>
      <c r="AN21" s="72"/>
      <c r="AO21" s="72"/>
      <c r="AP21" s="72"/>
      <c r="AQ21" s="72"/>
      <c r="AR21" s="72"/>
      <c r="AS21" s="72"/>
      <c r="AT21" s="72"/>
      <c r="AU21" s="72"/>
      <c r="AV21" s="70"/>
      <c r="AW21" s="72"/>
      <c r="AX21" s="72"/>
    </row>
    <row r="22" spans="1:50" ht="15" customHeight="1">
      <c r="A22" s="86" t="s">
        <v>2010</v>
      </c>
      <c r="B22" s="68" t="s">
        <v>1971</v>
      </c>
      <c r="C22" s="69" t="s">
        <v>45</v>
      </c>
      <c r="D22" s="70" t="s">
        <v>58</v>
      </c>
      <c r="E22" s="70"/>
      <c r="F22" s="68">
        <v>4</v>
      </c>
      <c r="G22" s="71" t="s">
        <v>49</v>
      </c>
      <c r="H22" s="71" t="s">
        <v>689</v>
      </c>
      <c r="I22" s="71" t="s">
        <v>2011</v>
      </c>
      <c r="J22" s="71" t="s">
        <v>2012</v>
      </c>
      <c r="K22" s="69"/>
      <c r="L22" s="69"/>
      <c r="M22" s="69"/>
      <c r="N22" s="69"/>
      <c r="O22" s="71" t="s">
        <v>1977</v>
      </c>
      <c r="P22" s="69">
        <v>3</v>
      </c>
      <c r="Q22" s="68">
        <f>MAX(0,$V22-$P22-$S22)</f>
        <v>0</v>
      </c>
      <c r="R22" s="68"/>
      <c r="S22" s="68"/>
      <c r="T22" s="73">
        <v>0.27</v>
      </c>
      <c r="U22" s="73">
        <f>IF(AND($Q22&gt;0,ISNUMBER($T22)),$Q22*$T22,0)</f>
        <v>0</v>
      </c>
      <c r="V22" s="68">
        <f>SUM(W22:AB22)</f>
        <v>3</v>
      </c>
      <c r="W22" s="68">
        <v>1</v>
      </c>
      <c r="X22" s="68">
        <v>1</v>
      </c>
      <c r="Y22" s="87">
        <v>1</v>
      </c>
      <c r="Z22" s="68"/>
      <c r="AA22" s="68"/>
      <c r="AB22" s="68"/>
      <c r="AC22" s="68"/>
      <c r="AD22" s="75">
        <f>SUM(AE22:AJ22)</f>
        <v>3</v>
      </c>
      <c r="AE22" s="76">
        <v>1</v>
      </c>
      <c r="AF22" s="76">
        <v>1</v>
      </c>
      <c r="AG22" s="76">
        <v>1</v>
      </c>
      <c r="AH22" s="76"/>
      <c r="AI22" s="76"/>
      <c r="AJ22" s="76"/>
      <c r="AK22" s="76"/>
      <c r="AL22" s="77">
        <f>IF((P22-SUM(AE22:AK22))&lt;0,0,P22-SUM(AE22:AK22))</f>
        <v>0</v>
      </c>
      <c r="AM22" s="77">
        <f>SUM(AO22:AT22)</f>
        <v>0</v>
      </c>
      <c r="AN22" s="72"/>
      <c r="AO22" s="72"/>
      <c r="AP22" s="72"/>
      <c r="AQ22" s="72"/>
      <c r="AR22" s="72"/>
      <c r="AS22" s="72"/>
      <c r="AT22" s="72"/>
      <c r="AU22" s="72"/>
      <c r="AV22" s="70"/>
      <c r="AW22" s="72"/>
      <c r="AX22" s="72"/>
    </row>
    <row r="23" spans="1:50" ht="15" customHeight="1">
      <c r="A23" s="86" t="s">
        <v>691</v>
      </c>
      <c r="B23" s="68" t="s">
        <v>636</v>
      </c>
      <c r="C23" s="69" t="s">
        <v>45</v>
      </c>
      <c r="D23" s="70" t="s">
        <v>64</v>
      </c>
      <c r="E23" s="70" t="s">
        <v>692</v>
      </c>
      <c r="F23" s="68">
        <v>2</v>
      </c>
      <c r="G23" s="71" t="s">
        <v>296</v>
      </c>
      <c r="H23" s="71" t="s">
        <v>693</v>
      </c>
      <c r="I23" s="71"/>
      <c r="J23" s="71"/>
      <c r="K23" s="72"/>
      <c r="L23" s="72"/>
      <c r="M23" s="72"/>
      <c r="N23" s="72"/>
      <c r="O23" s="71" t="s">
        <v>48</v>
      </c>
      <c r="P23" s="69">
        <v>3</v>
      </c>
      <c r="Q23" s="68">
        <f>MAX(0,$V23-$P23-$S23)</f>
        <v>0</v>
      </c>
      <c r="R23" s="68"/>
      <c r="S23" s="68"/>
      <c r="T23" s="73">
        <v>0.22</v>
      </c>
      <c r="U23" s="73">
        <f>IF(AND($Q23&gt;0,ISNUMBER($T23)),$Q23*$T23,0)</f>
        <v>0</v>
      </c>
      <c r="V23" s="68">
        <f>SUM(W23:AB23)</f>
        <v>1</v>
      </c>
      <c r="W23" s="68"/>
      <c r="X23" s="87">
        <v>1</v>
      </c>
      <c r="Y23" s="68"/>
      <c r="Z23" s="68"/>
      <c r="AA23" s="68"/>
      <c r="AB23" s="68"/>
      <c r="AC23" s="68"/>
      <c r="AD23" s="75">
        <f>SUM(AE23:AJ23)</f>
        <v>1</v>
      </c>
      <c r="AE23" s="76"/>
      <c r="AF23" s="76">
        <v>1</v>
      </c>
      <c r="AG23" s="76"/>
      <c r="AH23" s="76"/>
      <c r="AI23" s="76"/>
      <c r="AJ23" s="76"/>
      <c r="AK23" s="76"/>
      <c r="AL23" s="77">
        <f>IF((P23-SUM(AE23:AK23))&lt;0,0,P23-SUM(AE23:AK23))</f>
        <v>2</v>
      </c>
      <c r="AM23" s="77">
        <f>SUM(AO23:AT23)</f>
        <v>0</v>
      </c>
      <c r="AN23" s="85"/>
      <c r="AO23" s="72"/>
      <c r="AP23" s="129"/>
      <c r="AQ23" s="129"/>
      <c r="AR23" s="129"/>
      <c r="AS23" s="129"/>
      <c r="AT23" s="72"/>
      <c r="AU23" s="129"/>
      <c r="AV23" s="70"/>
      <c r="AW23" s="72"/>
      <c r="AX23" s="85"/>
    </row>
    <row r="24" spans="1:50" ht="15" customHeight="1">
      <c r="A24" s="70" t="s">
        <v>457</v>
      </c>
      <c r="B24" s="68" t="s">
        <v>345</v>
      </c>
      <c r="C24" s="69" t="s">
        <v>45</v>
      </c>
      <c r="D24" s="70" t="s">
        <v>175</v>
      </c>
      <c r="E24" s="70" t="s">
        <v>390</v>
      </c>
      <c r="F24" s="68">
        <v>1</v>
      </c>
      <c r="G24" s="71" t="s">
        <v>392</v>
      </c>
      <c r="H24" s="71" t="s">
        <v>458</v>
      </c>
      <c r="I24" s="71"/>
      <c r="J24" s="71"/>
      <c r="K24" s="72"/>
      <c r="L24" s="72"/>
      <c r="M24" s="72"/>
      <c r="N24" s="72"/>
      <c r="O24" s="71" t="s">
        <v>303</v>
      </c>
      <c r="P24" s="69">
        <v>3</v>
      </c>
      <c r="Q24" s="68">
        <f>MAX(0,$V24-$P24-$S24)</f>
        <v>0</v>
      </c>
      <c r="R24" s="68"/>
      <c r="S24" s="68"/>
      <c r="T24" s="73">
        <v>0.14000000000000001</v>
      </c>
      <c r="U24" s="73">
        <f>IF(AND($Q24&gt;0,ISNUMBER($T24)),$Q24*$T24,0)</f>
        <v>0</v>
      </c>
      <c r="V24" s="68">
        <f>SUM(W24:AB24)</f>
        <v>0</v>
      </c>
      <c r="W24" s="68"/>
      <c r="X24" s="68"/>
      <c r="Y24" s="68"/>
      <c r="Z24" s="68"/>
      <c r="AA24" s="68"/>
      <c r="AB24" s="68"/>
      <c r="AC24" s="68"/>
      <c r="AD24" s="75">
        <f>SUM(AE24:AJ24)</f>
        <v>1</v>
      </c>
      <c r="AE24" s="76"/>
      <c r="AF24" s="76"/>
      <c r="AG24" s="76"/>
      <c r="AH24" s="76"/>
      <c r="AI24" s="76"/>
      <c r="AJ24" s="76">
        <v>1</v>
      </c>
      <c r="AK24" s="76"/>
      <c r="AL24" s="77">
        <f>IF((P24-SUM(AE24:AK24))&lt;0,0,P24-SUM(AE24:AK24))</f>
        <v>2</v>
      </c>
      <c r="AM24" s="77">
        <f>SUM(AO24:AT24)</f>
        <v>2</v>
      </c>
      <c r="AN24" s="140" t="s">
        <v>105</v>
      </c>
      <c r="AO24" s="72"/>
      <c r="AP24" s="72"/>
      <c r="AQ24" s="79">
        <v>1</v>
      </c>
      <c r="AR24" s="72"/>
      <c r="AS24" s="72"/>
      <c r="AT24" s="79">
        <v>1</v>
      </c>
      <c r="AU24" s="31" t="s">
        <v>459</v>
      </c>
      <c r="AV24" s="70"/>
      <c r="AW24" s="72"/>
      <c r="AX24" s="72"/>
    </row>
    <row r="25" spans="1:50" ht="15" customHeight="1">
      <c r="A25" s="70" t="s">
        <v>1660</v>
      </c>
      <c r="B25" s="68" t="s">
        <v>1499</v>
      </c>
      <c r="C25" s="69" t="s">
        <v>45</v>
      </c>
      <c r="D25" s="70" t="s">
        <v>64</v>
      </c>
      <c r="E25" s="70" t="s">
        <v>1572</v>
      </c>
      <c r="F25" s="90">
        <v>4</v>
      </c>
      <c r="G25" s="91" t="s">
        <v>1421</v>
      </c>
      <c r="H25" s="91" t="s">
        <v>1661</v>
      </c>
      <c r="I25" s="91"/>
      <c r="J25" s="91"/>
      <c r="K25" s="72"/>
      <c r="L25" s="72">
        <v>1</v>
      </c>
      <c r="M25" s="72"/>
      <c r="N25" s="72"/>
      <c r="O25" s="91" t="s">
        <v>136</v>
      </c>
      <c r="P25" s="69">
        <v>3</v>
      </c>
      <c r="Q25" s="68">
        <f>MAX(0,$V25-$P25-$S25)</f>
        <v>0</v>
      </c>
      <c r="R25" s="92"/>
      <c r="S25" s="92"/>
      <c r="T25" s="92">
        <v>0.08</v>
      </c>
      <c r="U25" s="73">
        <f>IF(AND($Q25&gt;0,ISNUMBER($T25)),$Q25*$T25,0)</f>
        <v>0</v>
      </c>
      <c r="V25" s="68">
        <f>SUM(W25:AB25)</f>
        <v>1</v>
      </c>
      <c r="W25" s="90"/>
      <c r="X25" s="90"/>
      <c r="Y25" s="90"/>
      <c r="Z25" s="90"/>
      <c r="AA25" s="90"/>
      <c r="AB25" s="90">
        <v>1</v>
      </c>
      <c r="AC25" s="68"/>
      <c r="AD25" s="75">
        <f>SUM(AE25:AJ25)</f>
        <v>1</v>
      </c>
      <c r="AE25" s="76"/>
      <c r="AF25" s="76"/>
      <c r="AG25" s="76"/>
      <c r="AH25" s="76"/>
      <c r="AI25" s="76"/>
      <c r="AJ25" s="76">
        <v>1</v>
      </c>
      <c r="AK25" s="76"/>
      <c r="AL25" s="77">
        <f>IF((P25-SUM(AE25:AK25))&lt;0,0,P25-SUM(AE25:AK25))</f>
        <v>2</v>
      </c>
      <c r="AM25" s="77">
        <f>SUM(AO25:AT25)</f>
        <v>0</v>
      </c>
      <c r="AN25" s="72"/>
      <c r="AO25" s="72"/>
      <c r="AP25" s="72"/>
      <c r="AQ25" s="72"/>
      <c r="AR25" s="72"/>
      <c r="AS25" s="72"/>
      <c r="AT25" s="72"/>
      <c r="AU25" s="72"/>
      <c r="AV25" s="92"/>
      <c r="AW25" s="72"/>
      <c r="AX25" s="72"/>
    </row>
    <row r="26" spans="1:50" ht="15" customHeight="1">
      <c r="A26" s="70" t="s">
        <v>514</v>
      </c>
      <c r="B26" s="68" t="s">
        <v>345</v>
      </c>
      <c r="C26" s="69" t="s">
        <v>45</v>
      </c>
      <c r="D26" s="70" t="s">
        <v>175</v>
      </c>
      <c r="E26" s="70"/>
      <c r="F26" s="68">
        <v>2</v>
      </c>
      <c r="G26" s="71" t="s">
        <v>350</v>
      </c>
      <c r="H26" s="71" t="s">
        <v>517</v>
      </c>
      <c r="I26" s="71" t="s">
        <v>518</v>
      </c>
      <c r="J26" s="71"/>
      <c r="K26" s="69"/>
      <c r="L26" s="69"/>
      <c r="M26" s="69"/>
      <c r="N26" s="69"/>
      <c r="O26" s="71" t="s">
        <v>516</v>
      </c>
      <c r="P26" s="69">
        <v>3</v>
      </c>
      <c r="Q26" s="68">
        <f>MAX(0,$V26-$P26-$S26)</f>
        <v>0</v>
      </c>
      <c r="R26" s="68" t="s">
        <v>515</v>
      </c>
      <c r="S26" s="68">
        <v>2</v>
      </c>
      <c r="T26" s="73">
        <v>0.28999999999999998</v>
      </c>
      <c r="U26" s="73">
        <f>IF(AND($Q26&gt;0,ISNUMBER($T26)),$Q26*$T26,0)</f>
        <v>0</v>
      </c>
      <c r="V26" s="68">
        <f>SUM(W26:AB26)</f>
        <v>3</v>
      </c>
      <c r="W26" s="68">
        <v>1</v>
      </c>
      <c r="X26" s="68"/>
      <c r="Y26" s="68"/>
      <c r="Z26" s="68"/>
      <c r="AA26" s="68">
        <v>1</v>
      </c>
      <c r="AB26" s="68">
        <v>1</v>
      </c>
      <c r="AC26" s="68"/>
      <c r="AD26" s="75">
        <f>SUM(AE26:AJ26)</f>
        <v>3</v>
      </c>
      <c r="AE26" s="76">
        <v>1</v>
      </c>
      <c r="AF26" s="76"/>
      <c r="AG26" s="76"/>
      <c r="AH26" s="76"/>
      <c r="AI26" s="76">
        <v>1</v>
      </c>
      <c r="AJ26" s="76">
        <v>1</v>
      </c>
      <c r="AK26" s="76"/>
      <c r="AL26" s="77">
        <f>IF((P26-SUM(AE26:AK26))&lt;0,0,P26-SUM(AE26:AK26))</f>
        <v>0</v>
      </c>
      <c r="AM26" s="77">
        <f>SUM(AO26:AT26)</f>
        <v>0</v>
      </c>
      <c r="AN26" s="72"/>
      <c r="AO26" s="72"/>
      <c r="AP26" s="72"/>
      <c r="AQ26" s="72"/>
      <c r="AR26" s="72"/>
      <c r="AS26" s="72"/>
      <c r="AT26" s="72"/>
      <c r="AU26" s="72"/>
      <c r="AV26" s="70"/>
      <c r="AW26" s="72"/>
      <c r="AX26" s="72"/>
    </row>
    <row r="27" spans="1:50" ht="15" customHeight="1">
      <c r="A27" s="92" t="s">
        <v>1358</v>
      </c>
      <c r="B27" s="90" t="s">
        <v>1114</v>
      </c>
      <c r="C27" s="69" t="s">
        <v>45</v>
      </c>
      <c r="D27" s="92" t="s">
        <v>64</v>
      </c>
      <c r="E27" s="92" t="s">
        <v>787</v>
      </c>
      <c r="F27" s="90">
        <v>3</v>
      </c>
      <c r="G27" s="92" t="s">
        <v>616</v>
      </c>
      <c r="H27" s="92" t="s">
        <v>1359</v>
      </c>
      <c r="I27" s="92"/>
      <c r="J27" s="92"/>
      <c r="K27" s="69"/>
      <c r="L27" s="69"/>
      <c r="M27" s="69"/>
      <c r="N27" s="69"/>
      <c r="O27" s="92" t="s">
        <v>136</v>
      </c>
      <c r="P27" s="69">
        <v>3</v>
      </c>
      <c r="Q27" s="68">
        <f>MAX(0,$V27-$P27-$S27)</f>
        <v>0</v>
      </c>
      <c r="R27" s="92"/>
      <c r="S27" s="92"/>
      <c r="T27" s="92">
        <v>0.15</v>
      </c>
      <c r="U27" s="92">
        <f>IF(AND($Q27&gt;0,ISNUMBER($T27)),$Q27*$T27,0)</f>
        <v>0</v>
      </c>
      <c r="V27" s="68">
        <f>SUM(W27:AB27)</f>
        <v>1</v>
      </c>
      <c r="W27" s="90"/>
      <c r="X27" s="90">
        <v>1</v>
      </c>
      <c r="Y27" s="90"/>
      <c r="Z27" s="90"/>
      <c r="AA27" s="90"/>
      <c r="AB27" s="90"/>
      <c r="AC27" s="90"/>
      <c r="AD27" s="75">
        <f>SUM(AE27:AJ27)</f>
        <v>1</v>
      </c>
      <c r="AE27" s="76"/>
      <c r="AF27" s="76">
        <v>1</v>
      </c>
      <c r="AG27" s="76"/>
      <c r="AH27" s="76"/>
      <c r="AI27" s="76"/>
      <c r="AJ27" s="76"/>
      <c r="AK27" s="76"/>
      <c r="AL27" s="77">
        <f>IF((P27-SUM(AE27:AK27))&lt;0,0,P27-SUM(AE27:AK27))</f>
        <v>2</v>
      </c>
      <c r="AM27" s="77">
        <f>SUM(AO27:AT27)</f>
        <v>0</v>
      </c>
      <c r="AN27" s="72"/>
      <c r="AO27" s="72"/>
      <c r="AP27" s="72"/>
      <c r="AQ27" s="72"/>
      <c r="AR27" s="72"/>
      <c r="AS27" s="72"/>
      <c r="AT27" s="72"/>
      <c r="AU27" s="72"/>
      <c r="AV27" s="92"/>
      <c r="AW27" s="72"/>
      <c r="AX27" s="72"/>
    </row>
    <row r="28" spans="1:50" ht="15" customHeight="1">
      <c r="A28" s="70" t="s">
        <v>204</v>
      </c>
      <c r="B28" s="68" t="s">
        <v>46</v>
      </c>
      <c r="C28" s="69" t="s">
        <v>45</v>
      </c>
      <c r="D28" s="70" t="s">
        <v>64</v>
      </c>
      <c r="E28" s="70" t="s">
        <v>205</v>
      </c>
      <c r="F28" s="68">
        <v>3</v>
      </c>
      <c r="G28" s="71" t="s">
        <v>176</v>
      </c>
      <c r="H28" s="71" t="s">
        <v>206</v>
      </c>
      <c r="I28" s="71"/>
      <c r="J28" s="71"/>
      <c r="K28" s="72"/>
      <c r="L28" s="72"/>
      <c r="M28" s="72"/>
      <c r="N28" s="72"/>
      <c r="O28" s="71" t="s">
        <v>48</v>
      </c>
      <c r="P28" s="69">
        <v>3</v>
      </c>
      <c r="Q28" s="68">
        <f>MAX(0,$V28-$P28-$S28)</f>
        <v>0</v>
      </c>
      <c r="R28" s="68"/>
      <c r="S28" s="68"/>
      <c r="T28" s="73">
        <v>7.0000000000000007E-2</v>
      </c>
      <c r="U28" s="73">
        <f>IF(AND($Q28&gt;0,ISNUMBER($T28)),$Q28*$T28,0)</f>
        <v>0</v>
      </c>
      <c r="V28" s="68">
        <f>SUM(W28:AB28)</f>
        <v>0</v>
      </c>
      <c r="W28" s="68"/>
      <c r="X28" s="68"/>
      <c r="Y28" s="68"/>
      <c r="Z28" s="68"/>
      <c r="AA28" s="68"/>
      <c r="AB28" s="68"/>
      <c r="AC28" s="68"/>
      <c r="AD28" s="75">
        <f>SUM(AE28:AJ28)</f>
        <v>0</v>
      </c>
      <c r="AE28" s="76"/>
      <c r="AF28" s="76"/>
      <c r="AG28" s="76"/>
      <c r="AH28" s="76"/>
      <c r="AI28" s="76"/>
      <c r="AJ28" s="76"/>
      <c r="AK28" s="76"/>
      <c r="AL28" s="77">
        <f>IF((P28-SUM(AE28:AK28))&lt;0,0,P28-SUM(AE28:AK28))</f>
        <v>3</v>
      </c>
      <c r="AM28" s="77">
        <f>SUM(AO28:AT28)</f>
        <v>1</v>
      </c>
      <c r="AN28" s="80" t="s">
        <v>105</v>
      </c>
      <c r="AO28" s="72"/>
      <c r="AP28" s="72"/>
      <c r="AQ28" s="72"/>
      <c r="AR28" s="79">
        <v>1</v>
      </c>
      <c r="AS28" s="72"/>
      <c r="AT28" s="72"/>
      <c r="AU28" s="31" t="s">
        <v>207</v>
      </c>
      <c r="AV28" s="70"/>
      <c r="AW28" s="72"/>
      <c r="AX28" s="72"/>
    </row>
    <row r="29" spans="1:50" ht="15" customHeight="1">
      <c r="A29" s="86" t="s">
        <v>802</v>
      </c>
      <c r="B29" s="68" t="s">
        <v>636</v>
      </c>
      <c r="C29" s="69" t="s">
        <v>45</v>
      </c>
      <c r="D29" s="70" t="s">
        <v>72</v>
      </c>
      <c r="E29" s="70" t="s">
        <v>111</v>
      </c>
      <c r="F29" s="68">
        <v>2</v>
      </c>
      <c r="G29" s="71" t="s">
        <v>675</v>
      </c>
      <c r="H29" s="71" t="s">
        <v>803</v>
      </c>
      <c r="I29" s="71" t="s">
        <v>804</v>
      </c>
      <c r="J29" s="71"/>
      <c r="K29" s="69"/>
      <c r="L29" s="69"/>
      <c r="M29" s="69"/>
      <c r="N29" s="69"/>
      <c r="O29" s="71" t="s">
        <v>112</v>
      </c>
      <c r="P29" s="69">
        <v>3</v>
      </c>
      <c r="Q29" s="68">
        <f>MAX(0,$V29-$P29-$S29)</f>
        <v>0</v>
      </c>
      <c r="R29" s="68"/>
      <c r="S29" s="68"/>
      <c r="T29" s="73">
        <v>0.28000000000000003</v>
      </c>
      <c r="U29" s="73">
        <f>IF(AND($Q29&gt;0,ISNUMBER($T29)),$Q29*$T29,0)</f>
        <v>0</v>
      </c>
      <c r="V29" s="68">
        <f>SUM(W29:AB29)</f>
        <v>1</v>
      </c>
      <c r="W29" s="68"/>
      <c r="X29" s="74"/>
      <c r="Y29" s="87">
        <v>1</v>
      </c>
      <c r="Z29" s="68"/>
      <c r="AA29" s="68"/>
      <c r="AB29" s="68"/>
      <c r="AC29" s="68"/>
      <c r="AD29" s="75">
        <f>SUM(AE29:AJ29)</f>
        <v>1</v>
      </c>
      <c r="AE29" s="76"/>
      <c r="AF29" s="76"/>
      <c r="AG29" s="76">
        <v>1</v>
      </c>
      <c r="AH29" s="76"/>
      <c r="AI29" s="76"/>
      <c r="AJ29" s="76"/>
      <c r="AK29" s="76"/>
      <c r="AL29" s="77">
        <f>IF((P29-SUM(AE29:AK29))&lt;0,0,P29-SUM(AE29:AK29))</f>
        <v>2</v>
      </c>
      <c r="AM29" s="77">
        <f>SUM(AO29:AT29)</f>
        <v>0</v>
      </c>
      <c r="AN29" s="72"/>
      <c r="AO29" s="72"/>
      <c r="AP29" s="72"/>
      <c r="AQ29" s="72"/>
      <c r="AR29" s="72"/>
      <c r="AS29" s="72"/>
      <c r="AT29" s="72"/>
      <c r="AU29" s="72"/>
      <c r="AV29" s="70"/>
      <c r="AW29" s="72"/>
      <c r="AX29" s="72"/>
    </row>
    <row r="30" spans="1:50" ht="15" customHeight="1">
      <c r="A30" s="70" t="s">
        <v>805</v>
      </c>
      <c r="B30" s="68" t="s">
        <v>636</v>
      </c>
      <c r="C30" s="69" t="s">
        <v>45</v>
      </c>
      <c r="D30" s="70" t="s">
        <v>64</v>
      </c>
      <c r="E30" s="70" t="s">
        <v>323</v>
      </c>
      <c r="F30" s="68">
        <v>2</v>
      </c>
      <c r="G30" s="71" t="s">
        <v>656</v>
      </c>
      <c r="H30" s="71" t="s">
        <v>806</v>
      </c>
      <c r="I30" s="71"/>
      <c r="J30" s="71"/>
      <c r="K30" s="72"/>
      <c r="L30" s="72"/>
      <c r="M30" s="72"/>
      <c r="N30" s="72"/>
      <c r="O30" s="71" t="s">
        <v>232</v>
      </c>
      <c r="P30" s="69">
        <v>3</v>
      </c>
      <c r="Q30" s="68">
        <f>MAX(0,$V30-$P30-$S30)</f>
        <v>0</v>
      </c>
      <c r="R30" s="68"/>
      <c r="S30" s="68"/>
      <c r="T30" s="73">
        <v>0.34</v>
      </c>
      <c r="U30" s="73">
        <f>IF(AND($Q30&gt;0,ISNUMBER($T30)),$Q30*$T30,0)</f>
        <v>0</v>
      </c>
      <c r="V30" s="68">
        <f>SUM(W30:AB30)</f>
        <v>1</v>
      </c>
      <c r="W30" s="68"/>
      <c r="X30" s="68"/>
      <c r="Y30" s="68"/>
      <c r="Z30" s="68">
        <v>1</v>
      </c>
      <c r="AA30" s="68"/>
      <c r="AB30" s="68"/>
      <c r="AC30" s="68"/>
      <c r="AD30" s="75">
        <f>SUM(AE30:AJ30)</f>
        <v>1</v>
      </c>
      <c r="AE30" s="76"/>
      <c r="AF30" s="76"/>
      <c r="AG30" s="76"/>
      <c r="AH30" s="76">
        <v>1</v>
      </c>
      <c r="AI30" s="76"/>
      <c r="AJ30" s="76"/>
      <c r="AK30" s="76"/>
      <c r="AL30" s="77">
        <f>IF((P30-SUM(AE30:AK30))&lt;0,0,P30-SUM(AE30:AK30))</f>
        <v>2</v>
      </c>
      <c r="AM30" s="77">
        <f>SUM(AO30:AT30)</f>
        <v>0</v>
      </c>
      <c r="AN30" s="129"/>
      <c r="AO30" s="72"/>
      <c r="AP30" s="129"/>
      <c r="AQ30" s="72"/>
      <c r="AR30" s="72"/>
      <c r="AS30" s="72"/>
      <c r="AT30" s="72"/>
      <c r="AU30" s="129"/>
      <c r="AV30" s="70"/>
      <c r="AW30" s="72"/>
      <c r="AX30" s="72"/>
    </row>
    <row r="31" spans="1:50" ht="15" customHeight="1">
      <c r="A31" s="70" t="s">
        <v>535</v>
      </c>
      <c r="B31" s="68" t="s">
        <v>345</v>
      </c>
      <c r="C31" s="69" t="s">
        <v>45</v>
      </c>
      <c r="D31" s="70" t="s">
        <v>359</v>
      </c>
      <c r="E31" s="70" t="s">
        <v>536</v>
      </c>
      <c r="F31" s="68">
        <v>3</v>
      </c>
      <c r="G31" s="71" t="s">
        <v>392</v>
      </c>
      <c r="H31" s="71" t="s">
        <v>537</v>
      </c>
      <c r="I31" s="71" t="s">
        <v>538</v>
      </c>
      <c r="J31" s="71"/>
      <c r="K31" s="72"/>
      <c r="L31" s="72"/>
      <c r="M31" s="72"/>
      <c r="N31" s="72"/>
      <c r="O31" s="71" t="s">
        <v>454</v>
      </c>
      <c r="P31" s="69">
        <v>3</v>
      </c>
      <c r="Q31" s="68">
        <f>MAX(0,$V31-$P31-$S31)</f>
        <v>0</v>
      </c>
      <c r="R31" s="68"/>
      <c r="S31" s="68"/>
      <c r="T31" s="73">
        <v>0.17</v>
      </c>
      <c r="U31" s="73">
        <f>IF(AND($Q31&gt;0,ISNUMBER($T31)),$Q31*$T31,0)</f>
        <v>0</v>
      </c>
      <c r="V31" s="68">
        <f>SUM(W31:AB31)</f>
        <v>0</v>
      </c>
      <c r="W31" s="68"/>
      <c r="X31" s="68"/>
      <c r="Y31" s="68"/>
      <c r="Z31" s="68"/>
      <c r="AA31" s="68"/>
      <c r="AB31" s="68"/>
      <c r="AC31" s="68"/>
      <c r="AD31" s="75">
        <f>SUM(AE31:AJ31)</f>
        <v>1</v>
      </c>
      <c r="AE31" s="76"/>
      <c r="AF31" s="76"/>
      <c r="AG31" s="76"/>
      <c r="AH31" s="76"/>
      <c r="AI31" s="76"/>
      <c r="AJ31" s="76">
        <v>1</v>
      </c>
      <c r="AK31" s="76"/>
      <c r="AL31" s="77">
        <f>IF((P31-SUM(AE31:AK31))&lt;0,0,P31-SUM(AE31:AK31))</f>
        <v>2</v>
      </c>
      <c r="AM31" s="77">
        <f>SUM(AO31:AT31)</f>
        <v>1</v>
      </c>
      <c r="AN31" s="140" t="s">
        <v>105</v>
      </c>
      <c r="AO31" s="72"/>
      <c r="AP31" s="72"/>
      <c r="AQ31" s="72"/>
      <c r="AR31" s="72"/>
      <c r="AS31" s="72"/>
      <c r="AT31" s="79">
        <v>1</v>
      </c>
      <c r="AU31" s="31" t="s">
        <v>539</v>
      </c>
      <c r="AV31" s="70"/>
      <c r="AW31" s="72"/>
      <c r="AX31" s="72"/>
    </row>
    <row r="32" spans="1:50" ht="15" customHeight="1">
      <c r="A32" s="70" t="s">
        <v>2280</v>
      </c>
      <c r="B32" s="68" t="s">
        <v>1971</v>
      </c>
      <c r="C32" s="69" t="s">
        <v>45</v>
      </c>
      <c r="D32" s="70" t="s">
        <v>72</v>
      </c>
      <c r="E32" s="70"/>
      <c r="F32" s="68">
        <v>2</v>
      </c>
      <c r="G32" s="71" t="s">
        <v>438</v>
      </c>
      <c r="H32" s="71" t="s">
        <v>2282</v>
      </c>
      <c r="I32" s="71" t="s">
        <v>2283</v>
      </c>
      <c r="J32" s="71"/>
      <c r="K32" s="72"/>
      <c r="L32" s="72">
        <v>2</v>
      </c>
      <c r="M32" s="72"/>
      <c r="N32" s="72"/>
      <c r="O32" s="71" t="s">
        <v>2281</v>
      </c>
      <c r="P32" s="69">
        <v>3</v>
      </c>
      <c r="Q32" s="68">
        <f>MAX(0,$V32-$P32-$S32)</f>
        <v>0</v>
      </c>
      <c r="R32" s="68"/>
      <c r="S32" s="68"/>
      <c r="T32" s="73">
        <v>0.26</v>
      </c>
      <c r="U32" s="73">
        <f>IF(AND($Q32&gt;0,ISNUMBER($T32)),$Q32*$T32,0)</f>
        <v>0</v>
      </c>
      <c r="V32" s="68">
        <f>SUM(W32:AB32)</f>
        <v>0</v>
      </c>
      <c r="W32" s="68"/>
      <c r="X32" s="68"/>
      <c r="Y32" s="68"/>
      <c r="Z32" s="74"/>
      <c r="AA32" s="68"/>
      <c r="AB32" s="68"/>
      <c r="AC32" s="68"/>
      <c r="AD32" s="75">
        <f>SUM(AE32:AJ32)</f>
        <v>1</v>
      </c>
      <c r="AE32" s="76"/>
      <c r="AF32" s="76"/>
      <c r="AG32" s="76"/>
      <c r="AH32" s="76"/>
      <c r="AI32" s="76">
        <v>1</v>
      </c>
      <c r="AJ32" s="76"/>
      <c r="AK32" s="76"/>
      <c r="AL32" s="77">
        <f>IF((P32-SUM(AE32:AK32))&lt;0,0,P32-SUM(AE32:AK32))</f>
        <v>2</v>
      </c>
      <c r="AM32" s="77">
        <f>SUM(AO32:AT32)</f>
        <v>1</v>
      </c>
      <c r="AN32" s="80" t="s">
        <v>105</v>
      </c>
      <c r="AO32" s="72"/>
      <c r="AP32" s="72"/>
      <c r="AQ32" s="72"/>
      <c r="AR32" s="72"/>
      <c r="AS32" s="79">
        <v>1</v>
      </c>
      <c r="AT32" s="72"/>
      <c r="AU32" s="31" t="s">
        <v>2284</v>
      </c>
      <c r="AV32" s="70"/>
      <c r="AW32" s="72"/>
      <c r="AX32" s="72"/>
    </row>
    <row r="33" spans="1:50" ht="15" customHeight="1">
      <c r="A33" s="67" t="s">
        <v>584</v>
      </c>
      <c r="B33" s="68" t="s">
        <v>345</v>
      </c>
      <c r="C33" s="69" t="s">
        <v>45</v>
      </c>
      <c r="D33" s="70" t="s">
        <v>89</v>
      </c>
      <c r="E33" s="70" t="s">
        <v>390</v>
      </c>
      <c r="F33" s="68">
        <v>2</v>
      </c>
      <c r="G33" s="71" t="s">
        <v>392</v>
      </c>
      <c r="H33" s="71" t="s">
        <v>394</v>
      </c>
      <c r="I33" s="71" t="s">
        <v>586</v>
      </c>
      <c r="J33" s="71"/>
      <c r="K33" s="69"/>
      <c r="L33" s="69"/>
      <c r="M33" s="69"/>
      <c r="N33" s="69"/>
      <c r="O33" s="71" t="s">
        <v>585</v>
      </c>
      <c r="P33" s="69">
        <v>3</v>
      </c>
      <c r="Q33" s="68">
        <f>MAX(0,$V33-$P33-$S33)</f>
        <v>0</v>
      </c>
      <c r="R33" s="68"/>
      <c r="S33" s="68"/>
      <c r="T33" s="73">
        <v>6.13</v>
      </c>
      <c r="U33" s="73">
        <f>IF(AND($Q33&gt;0,ISNUMBER($T33)),$Q33*$T33,0)</f>
        <v>0</v>
      </c>
      <c r="V33" s="68">
        <f>SUM(W33:AB33)</f>
        <v>1</v>
      </c>
      <c r="W33" s="68">
        <v>1</v>
      </c>
      <c r="X33" s="68"/>
      <c r="Y33" s="68"/>
      <c r="Z33" s="68"/>
      <c r="AA33" s="68"/>
      <c r="AB33" s="74"/>
      <c r="AC33" s="68"/>
      <c r="AD33" s="75">
        <f>SUM(AE33:AJ33)</f>
        <v>3</v>
      </c>
      <c r="AE33" s="76">
        <v>1</v>
      </c>
      <c r="AF33" s="76"/>
      <c r="AG33" s="76">
        <v>1</v>
      </c>
      <c r="AH33" s="76"/>
      <c r="AI33" s="76">
        <v>1</v>
      </c>
      <c r="AJ33" s="76"/>
      <c r="AK33" s="76"/>
      <c r="AL33" s="77">
        <f>IF((P33-SUM(AE33:AK33))&lt;0,0,P33-SUM(AE33:AK33))</f>
        <v>0</v>
      </c>
      <c r="AM33" s="77">
        <f>SUM(AO33:AT33)</f>
        <v>2</v>
      </c>
      <c r="AN33" s="80" t="s">
        <v>105</v>
      </c>
      <c r="AO33" s="72"/>
      <c r="AP33" s="72"/>
      <c r="AQ33" s="79">
        <v>1</v>
      </c>
      <c r="AR33" s="72"/>
      <c r="AS33" s="79">
        <v>1</v>
      </c>
      <c r="AT33" s="72"/>
      <c r="AU33" s="31" t="s">
        <v>587</v>
      </c>
      <c r="AV33" s="70"/>
      <c r="AW33" s="72"/>
      <c r="AX33" s="72"/>
    </row>
    <row r="34" spans="1:50" ht="15" customHeight="1">
      <c r="A34" s="86" t="s">
        <v>2340</v>
      </c>
      <c r="B34" s="68" t="s">
        <v>1971</v>
      </c>
      <c r="C34" s="69" t="s">
        <v>45</v>
      </c>
      <c r="D34" s="70" t="s">
        <v>72</v>
      </c>
      <c r="E34" s="70"/>
      <c r="F34" s="68">
        <v>2</v>
      </c>
      <c r="G34" s="71" t="s">
        <v>499</v>
      </c>
      <c r="H34" s="71" t="s">
        <v>2341</v>
      </c>
      <c r="I34" s="71" t="s">
        <v>2342</v>
      </c>
      <c r="J34" s="71"/>
      <c r="K34" s="72"/>
      <c r="L34" s="72"/>
      <c r="M34" s="72"/>
      <c r="N34" s="72"/>
      <c r="O34" s="71" t="s">
        <v>860</v>
      </c>
      <c r="P34" s="69">
        <v>3</v>
      </c>
      <c r="Q34" s="68">
        <f>MAX(0,$V34-$P34-$S34)</f>
        <v>0</v>
      </c>
      <c r="R34" s="68"/>
      <c r="S34" s="68"/>
      <c r="T34" s="73">
        <v>0.18</v>
      </c>
      <c r="U34" s="73">
        <f>IF(AND($Q34&gt;0,ISNUMBER($T34)),$Q34*$T34,0)</f>
        <v>0</v>
      </c>
      <c r="V34" s="68">
        <f>SUM(W34:AB34)</f>
        <v>3</v>
      </c>
      <c r="W34" s="68"/>
      <c r="X34" s="68">
        <v>1</v>
      </c>
      <c r="Y34" s="68">
        <v>1</v>
      </c>
      <c r="Z34" s="87">
        <v>1</v>
      </c>
      <c r="AA34" s="68"/>
      <c r="AB34" s="68"/>
      <c r="AC34" s="68"/>
      <c r="AD34" s="75">
        <f>SUM(AE34:AJ34)</f>
        <v>3</v>
      </c>
      <c r="AE34" s="76"/>
      <c r="AF34" s="76">
        <v>1</v>
      </c>
      <c r="AG34" s="76">
        <v>1</v>
      </c>
      <c r="AH34" s="76">
        <v>1</v>
      </c>
      <c r="AI34" s="76"/>
      <c r="AJ34" s="76"/>
      <c r="AK34" s="76"/>
      <c r="AL34" s="77">
        <f>IF((P34-SUM(AE34:AK34))&lt;0,0,P34-SUM(AE34:AK34))</f>
        <v>0</v>
      </c>
      <c r="AM34" s="77">
        <f>SUM(AO34:AT34)</f>
        <v>0</v>
      </c>
      <c r="AN34" s="72"/>
      <c r="AO34" s="72"/>
      <c r="AP34" s="72"/>
      <c r="AQ34" s="72"/>
      <c r="AR34" s="72"/>
      <c r="AS34" s="72"/>
      <c r="AT34" s="72"/>
      <c r="AU34" s="72"/>
      <c r="AV34" s="70"/>
      <c r="AW34" s="72"/>
      <c r="AX34" s="72"/>
    </row>
    <row r="35" spans="1:50" ht="15" customHeight="1">
      <c r="A35" s="70" t="s">
        <v>432</v>
      </c>
      <c r="B35" s="68" t="s">
        <v>345</v>
      </c>
      <c r="C35" s="69" t="s">
        <v>45</v>
      </c>
      <c r="D35" s="70" t="s">
        <v>175</v>
      </c>
      <c r="E35" s="70"/>
      <c r="F35" s="68">
        <v>1</v>
      </c>
      <c r="G35" s="71" t="s">
        <v>433</v>
      </c>
      <c r="H35" s="71" t="s">
        <v>434</v>
      </c>
      <c r="I35" s="71" t="s">
        <v>435</v>
      </c>
      <c r="J35" s="71"/>
      <c r="K35" s="99"/>
      <c r="L35" s="72"/>
      <c r="M35" s="72"/>
      <c r="N35" s="72"/>
      <c r="O35" s="71" t="s">
        <v>48</v>
      </c>
      <c r="P35" s="101">
        <v>2</v>
      </c>
      <c r="Q35" s="68">
        <f>MAX(0,$V35-$P35-$S35)</f>
        <v>0</v>
      </c>
      <c r="R35" s="68"/>
      <c r="S35" s="68"/>
      <c r="T35" s="73">
        <v>0.33</v>
      </c>
      <c r="U35" s="73">
        <f>IF(AND($Q35&gt;0,ISNUMBER($T35)),$Q35*$T35,0)</f>
        <v>0</v>
      </c>
      <c r="V35" s="68">
        <f>SUM(W35:AB35)</f>
        <v>0</v>
      </c>
      <c r="W35" s="68"/>
      <c r="X35" s="68"/>
      <c r="Y35" s="68"/>
      <c r="Z35" s="68"/>
      <c r="AA35" s="68"/>
      <c r="AB35" s="68"/>
      <c r="AC35" s="68"/>
      <c r="AD35" s="75">
        <f>SUM(AE35:AJ35)</f>
        <v>0</v>
      </c>
      <c r="AE35" s="76"/>
      <c r="AF35" s="76"/>
      <c r="AG35" s="76"/>
      <c r="AH35" s="76"/>
      <c r="AI35" s="76"/>
      <c r="AJ35" s="76"/>
      <c r="AK35" s="76"/>
      <c r="AL35" s="77">
        <f>IF((P35-SUM(AE35:AK35))&lt;0,0,P35-SUM(AE35:AK35))</f>
        <v>2</v>
      </c>
      <c r="AM35" s="77">
        <f>SUM(AO35:AT35)</f>
        <v>0</v>
      </c>
      <c r="AN35" s="85"/>
      <c r="AO35" s="72"/>
      <c r="AP35" s="72"/>
      <c r="AQ35" s="85"/>
      <c r="AR35" s="85"/>
      <c r="AS35" s="72"/>
      <c r="AT35" s="72"/>
      <c r="AU35" s="85"/>
      <c r="AV35" s="70"/>
      <c r="AW35" s="72"/>
      <c r="AX35" s="72"/>
    </row>
    <row r="36" spans="1:50" ht="15" customHeight="1">
      <c r="A36" s="70" t="s">
        <v>436</v>
      </c>
      <c r="B36" s="68" t="s">
        <v>345</v>
      </c>
      <c r="C36" s="69" t="s">
        <v>45</v>
      </c>
      <c r="D36" s="70" t="s">
        <v>437</v>
      </c>
      <c r="E36" s="70" t="s">
        <v>390</v>
      </c>
      <c r="F36" s="90">
        <v>2</v>
      </c>
      <c r="G36" s="91" t="s">
        <v>438</v>
      </c>
      <c r="H36" s="91" t="s">
        <v>439</v>
      </c>
      <c r="I36" s="91" t="s">
        <v>440</v>
      </c>
      <c r="J36" s="91"/>
      <c r="K36" s="99"/>
      <c r="L36" s="72"/>
      <c r="M36" s="72"/>
      <c r="N36" s="72"/>
      <c r="O36" s="91" t="s">
        <v>136</v>
      </c>
      <c r="P36" s="101">
        <v>2</v>
      </c>
      <c r="Q36" s="68">
        <f>MAX(0,$V36-$P36-$S36)</f>
        <v>0</v>
      </c>
      <c r="R36" s="92"/>
      <c r="S36" s="92"/>
      <c r="T36" s="92">
        <v>0.26</v>
      </c>
      <c r="U36" s="73">
        <f>IF(AND($Q36&gt;0,ISNUMBER($T36)),$Q36*$T36,0)</f>
        <v>0</v>
      </c>
      <c r="V36" s="68">
        <f>SUM(W36:AB36)</f>
        <v>0</v>
      </c>
      <c r="W36" s="90"/>
      <c r="X36" s="90"/>
      <c r="Y36" s="90"/>
      <c r="Z36" s="90"/>
      <c r="AA36" s="90"/>
      <c r="AB36" s="90"/>
      <c r="AC36" s="68"/>
      <c r="AD36" s="75">
        <f>SUM(AE36:AJ36)</f>
        <v>1</v>
      </c>
      <c r="AE36" s="76"/>
      <c r="AF36" s="76"/>
      <c r="AG36" s="76"/>
      <c r="AH36" s="76"/>
      <c r="AI36" s="76"/>
      <c r="AJ36" s="76">
        <v>1</v>
      </c>
      <c r="AK36" s="76"/>
      <c r="AL36" s="77">
        <f>IF((P36-SUM(AE36:AK36))&lt;0,0,P36-SUM(AE36:AK36))</f>
        <v>1</v>
      </c>
      <c r="AM36" s="77">
        <f>SUM(AO36:AT36)</f>
        <v>1</v>
      </c>
      <c r="AN36" s="80" t="s">
        <v>105</v>
      </c>
      <c r="AO36" s="72"/>
      <c r="AP36" s="72"/>
      <c r="AQ36" s="72"/>
      <c r="AR36" s="72"/>
      <c r="AS36" s="72"/>
      <c r="AT36" s="79">
        <v>1</v>
      </c>
      <c r="AU36" s="31" t="s">
        <v>441</v>
      </c>
      <c r="AV36" s="92"/>
      <c r="AW36" s="72"/>
      <c r="AX36" s="72"/>
    </row>
    <row r="37" spans="1:50" ht="15" customHeight="1">
      <c r="A37" s="70" t="s">
        <v>980</v>
      </c>
      <c r="B37" s="68" t="s">
        <v>919</v>
      </c>
      <c r="C37" s="69" t="s">
        <v>45</v>
      </c>
      <c r="D37" s="70" t="s">
        <v>627</v>
      </c>
      <c r="E37" s="70"/>
      <c r="F37" s="68">
        <v>0</v>
      </c>
      <c r="G37" s="71" t="s">
        <v>627</v>
      </c>
      <c r="H37" s="71" t="s">
        <v>958</v>
      </c>
      <c r="I37" s="71" t="s">
        <v>926</v>
      </c>
      <c r="J37" s="71" t="s">
        <v>982</v>
      </c>
      <c r="K37" s="99"/>
      <c r="L37" s="72"/>
      <c r="M37" s="72"/>
      <c r="N37" s="72"/>
      <c r="O37" s="71" t="s">
        <v>981</v>
      </c>
      <c r="P37" s="101">
        <v>2</v>
      </c>
      <c r="Q37" s="68">
        <f>MAX(0,$V37-$P37-$S37)</f>
        <v>0</v>
      </c>
      <c r="R37" s="68"/>
      <c r="S37" s="68"/>
      <c r="T37" s="73">
        <v>0.09</v>
      </c>
      <c r="U37" s="73">
        <f>IF(AND($Q37&gt;0,ISNUMBER($T37)),$Q37*$T37,0)</f>
        <v>0</v>
      </c>
      <c r="V37" s="68">
        <f>SUM(W37:AB37)</f>
        <v>1</v>
      </c>
      <c r="W37" s="68">
        <v>1</v>
      </c>
      <c r="X37" s="68"/>
      <c r="Y37" s="68"/>
      <c r="Z37" s="68"/>
      <c r="AA37" s="68"/>
      <c r="AB37" s="68"/>
      <c r="AC37" s="68"/>
      <c r="AD37" s="75">
        <f>SUM(AE37:AJ37)</f>
        <v>1</v>
      </c>
      <c r="AE37" s="76">
        <v>1</v>
      </c>
      <c r="AF37" s="76"/>
      <c r="AG37" s="76"/>
      <c r="AH37" s="76"/>
      <c r="AI37" s="76"/>
      <c r="AJ37" s="76"/>
      <c r="AK37" s="76"/>
      <c r="AL37" s="77">
        <f>IF((P37-SUM(AE37:AK37))&lt;0,0,P37-SUM(AE37:AK37))</f>
        <v>1</v>
      </c>
      <c r="AM37" s="77">
        <f>SUM(AO37:AT37)</f>
        <v>0</v>
      </c>
      <c r="AN37" s="129"/>
      <c r="AO37" s="72"/>
      <c r="AP37" s="72"/>
      <c r="AQ37" s="72"/>
      <c r="AR37" s="72"/>
      <c r="AS37" s="72"/>
      <c r="AT37" s="72"/>
      <c r="AU37" s="72"/>
      <c r="AV37" s="70"/>
      <c r="AW37" s="72"/>
      <c r="AX37" s="72"/>
    </row>
    <row r="38" spans="1:50" ht="15" customHeight="1">
      <c r="A38" s="98" t="s">
        <v>2456</v>
      </c>
      <c r="B38" s="100" t="s">
        <v>1114</v>
      </c>
      <c r="C38" s="101" t="s">
        <v>45</v>
      </c>
      <c r="D38" s="98" t="s">
        <v>64</v>
      </c>
      <c r="E38" s="98" t="s">
        <v>1588</v>
      </c>
      <c r="F38" s="100">
        <v>3</v>
      </c>
      <c r="G38" s="98" t="s">
        <v>113</v>
      </c>
      <c r="H38" s="98" t="s">
        <v>2457</v>
      </c>
      <c r="I38" s="98"/>
      <c r="J38" s="98"/>
      <c r="K38" s="99"/>
      <c r="L38" s="99"/>
      <c r="M38" s="99"/>
      <c r="N38" s="99"/>
      <c r="O38" s="98" t="s">
        <v>48</v>
      </c>
      <c r="P38" s="101">
        <v>2</v>
      </c>
      <c r="Q38" s="68">
        <f>MAX(0,$V38-$P38-$S38)</f>
        <v>0</v>
      </c>
      <c r="R38" s="98"/>
      <c r="S38" s="98"/>
      <c r="T38" s="98">
        <v>0.14000000000000001</v>
      </c>
      <c r="U38" s="98">
        <f>IF(AND($Q38&gt;0,ISNUMBER($T38)),$Q38*$T38,0)</f>
        <v>0</v>
      </c>
      <c r="V38" s="68">
        <f>SUM(W38:AB38)</f>
        <v>0</v>
      </c>
      <c r="W38" s="100"/>
      <c r="X38" s="100"/>
      <c r="Y38" s="100"/>
      <c r="Z38" s="100"/>
      <c r="AA38" s="100"/>
      <c r="AB38" s="100"/>
      <c r="AC38" s="68"/>
      <c r="AD38" s="75">
        <f>SUM(AE38:AJ38)</f>
        <v>0</v>
      </c>
      <c r="AE38" s="102"/>
      <c r="AF38" s="102"/>
      <c r="AG38" s="102"/>
      <c r="AH38" s="102"/>
      <c r="AI38" s="102"/>
      <c r="AJ38" s="102"/>
      <c r="AK38" s="102"/>
      <c r="AL38" s="77">
        <f>IF((P38-SUM(AE38:AK38))&lt;0,0,P38-SUM(AE38:AK38))</f>
        <v>2</v>
      </c>
      <c r="AM38" s="77">
        <f>SUM(AO38:AT38)</f>
        <v>0</v>
      </c>
      <c r="AN38" s="127"/>
      <c r="AO38" s="99"/>
      <c r="AP38" s="99"/>
      <c r="AQ38" s="99"/>
      <c r="AR38" s="99"/>
      <c r="AS38" s="99"/>
      <c r="AT38" s="99"/>
      <c r="AU38" s="99"/>
      <c r="AV38" s="98"/>
      <c r="AW38" s="99"/>
      <c r="AX38" s="99"/>
    </row>
    <row r="39" spans="1:50" ht="15" customHeight="1">
      <c r="A39" s="98" t="s">
        <v>2478</v>
      </c>
      <c r="B39" s="100" t="s">
        <v>46</v>
      </c>
      <c r="C39" s="101" t="s">
        <v>45</v>
      </c>
      <c r="D39" s="98" t="s">
        <v>123</v>
      </c>
      <c r="E39" s="98" t="s">
        <v>159</v>
      </c>
      <c r="F39" s="100">
        <v>4</v>
      </c>
      <c r="G39" s="98" t="s">
        <v>125</v>
      </c>
      <c r="H39" s="98" t="s">
        <v>2479</v>
      </c>
      <c r="I39" s="98" t="s">
        <v>2480</v>
      </c>
      <c r="J39" s="98"/>
      <c r="K39" s="99"/>
      <c r="L39" s="99"/>
      <c r="M39" s="99"/>
      <c r="N39" s="99"/>
      <c r="O39" s="98" t="s">
        <v>136</v>
      </c>
      <c r="P39" s="101">
        <v>2</v>
      </c>
      <c r="Q39" s="68">
        <f>MAX(0,$V39-$P39-$S39)</f>
        <v>0</v>
      </c>
      <c r="R39" s="98"/>
      <c r="S39" s="98"/>
      <c r="T39" s="98">
        <v>0.11</v>
      </c>
      <c r="U39" s="98">
        <f>IF(AND($Q39&gt;0,ISNUMBER($T39)),$Q39*$T39,0)</f>
        <v>0</v>
      </c>
      <c r="V39" s="68">
        <f>SUM(W39:AB39)</f>
        <v>0</v>
      </c>
      <c r="W39" s="100"/>
      <c r="X39" s="100"/>
      <c r="Y39" s="100"/>
      <c r="Z39" s="100"/>
      <c r="AA39" s="100"/>
      <c r="AB39" s="100"/>
      <c r="AC39" s="68"/>
      <c r="AD39" s="75">
        <f>SUM(AE39:AJ39)</f>
        <v>0</v>
      </c>
      <c r="AE39" s="102"/>
      <c r="AF39" s="102"/>
      <c r="AG39" s="102"/>
      <c r="AH39" s="102"/>
      <c r="AI39" s="102"/>
      <c r="AJ39" s="102"/>
      <c r="AK39" s="102"/>
      <c r="AL39" s="77">
        <f>IF((P39-SUM(AE39:AK39))&lt;0,0,P39-SUM(AE39:AK39))</f>
        <v>2</v>
      </c>
      <c r="AM39" s="77">
        <f>SUM(AO39:AT39)</f>
        <v>0</v>
      </c>
      <c r="AN39" s="99"/>
      <c r="AO39" s="99"/>
      <c r="AP39" s="99"/>
      <c r="AQ39" s="99"/>
      <c r="AR39" s="99"/>
      <c r="AS39" s="99"/>
      <c r="AT39" s="99"/>
      <c r="AU39" s="99"/>
      <c r="AV39" s="98"/>
      <c r="AW39" s="99"/>
      <c r="AX39" s="99"/>
    </row>
    <row r="40" spans="1:50" ht="15" customHeight="1">
      <c r="A40" s="70" t="s">
        <v>168</v>
      </c>
      <c r="B40" s="68" t="s">
        <v>46</v>
      </c>
      <c r="C40" s="69" t="s">
        <v>45</v>
      </c>
      <c r="D40" s="70" t="s">
        <v>64</v>
      </c>
      <c r="E40" s="70" t="s">
        <v>169</v>
      </c>
      <c r="F40" s="68">
        <v>3</v>
      </c>
      <c r="G40" s="71" t="s">
        <v>170</v>
      </c>
      <c r="H40" s="71" t="s">
        <v>171</v>
      </c>
      <c r="I40" s="71" t="s">
        <v>172</v>
      </c>
      <c r="J40" s="71"/>
      <c r="K40" s="99"/>
      <c r="L40" s="72"/>
      <c r="M40" s="72"/>
      <c r="N40" s="72"/>
      <c r="O40" s="71" t="s">
        <v>48</v>
      </c>
      <c r="P40" s="101">
        <v>2</v>
      </c>
      <c r="Q40" s="68">
        <f>MAX(0,$V40-$P40-$S40)</f>
        <v>0</v>
      </c>
      <c r="R40" s="68"/>
      <c r="S40" s="68"/>
      <c r="T40" s="73">
        <v>0.14000000000000001</v>
      </c>
      <c r="U40" s="73">
        <f>IF(AND($Q40&gt;0,ISNUMBER($T40)),$Q40*$T40,0)</f>
        <v>0</v>
      </c>
      <c r="V40" s="68">
        <f>SUM(W40:AB40)</f>
        <v>0</v>
      </c>
      <c r="W40" s="68"/>
      <c r="X40" s="68"/>
      <c r="Y40" s="68"/>
      <c r="Z40" s="68"/>
      <c r="AA40" s="68"/>
      <c r="AB40" s="68"/>
      <c r="AC40" s="68"/>
      <c r="AD40" s="75">
        <f>SUM(AE40:AJ40)</f>
        <v>0</v>
      </c>
      <c r="AE40" s="76"/>
      <c r="AF40" s="76"/>
      <c r="AG40" s="76"/>
      <c r="AH40" s="76"/>
      <c r="AI40" s="76"/>
      <c r="AJ40" s="76"/>
      <c r="AK40" s="76"/>
      <c r="AL40" s="77">
        <f>IF((P40-SUM(AE40:AK40))&lt;0,0,P40-SUM(AE40:AK40))</f>
        <v>2</v>
      </c>
      <c r="AM40" s="77">
        <f>SUM(AO40:AT40)</f>
        <v>1</v>
      </c>
      <c r="AN40" s="78" t="s">
        <v>105</v>
      </c>
      <c r="AO40" s="72"/>
      <c r="AP40" s="72"/>
      <c r="AQ40" s="79">
        <v>1</v>
      </c>
      <c r="AR40" s="72"/>
      <c r="AS40" s="72"/>
      <c r="AT40" s="129"/>
      <c r="AU40" s="125" t="s">
        <v>173</v>
      </c>
      <c r="AV40" s="70"/>
      <c r="AW40" s="72"/>
      <c r="AX40" s="72"/>
    </row>
    <row r="41" spans="1:50" ht="15" customHeight="1">
      <c r="A41" s="92" t="s">
        <v>1672</v>
      </c>
      <c r="B41" s="90" t="s">
        <v>1499</v>
      </c>
      <c r="C41" s="69" t="s">
        <v>45</v>
      </c>
      <c r="D41" s="92" t="s">
        <v>64</v>
      </c>
      <c r="E41" s="92" t="s">
        <v>1582</v>
      </c>
      <c r="F41" s="90">
        <v>5</v>
      </c>
      <c r="G41" s="92" t="s">
        <v>125</v>
      </c>
      <c r="H41" s="92" t="s">
        <v>1673</v>
      </c>
      <c r="I41" s="92" t="s">
        <v>1674</v>
      </c>
      <c r="J41" s="92"/>
      <c r="K41" s="99"/>
      <c r="L41" s="72"/>
      <c r="M41" s="72"/>
      <c r="N41" s="72"/>
      <c r="O41" s="92" t="s">
        <v>136</v>
      </c>
      <c r="P41" s="101">
        <v>2</v>
      </c>
      <c r="Q41" s="68">
        <f>MAX(0,$V41-$P41-$S41)</f>
        <v>0</v>
      </c>
      <c r="R41" s="92"/>
      <c r="S41" s="92"/>
      <c r="T41" s="92">
        <v>0.12</v>
      </c>
      <c r="U41" s="92">
        <f>IF(AND($Q41&gt;0,ISNUMBER($T41)),$Q41*$T41,0)</f>
        <v>0</v>
      </c>
      <c r="V41" s="68">
        <f>SUM(W41:AB41)</f>
        <v>0</v>
      </c>
      <c r="W41" s="68"/>
      <c r="X41" s="68"/>
      <c r="Y41" s="68"/>
      <c r="Z41" s="68"/>
      <c r="AA41" s="68"/>
      <c r="AB41" s="68"/>
      <c r="AC41" s="68"/>
      <c r="AD41" s="75">
        <f>SUM(AE41:AJ41)</f>
        <v>0</v>
      </c>
      <c r="AE41" s="76"/>
      <c r="AF41" s="76"/>
      <c r="AG41" s="76"/>
      <c r="AH41" s="76"/>
      <c r="AI41" s="76"/>
      <c r="AJ41" s="76"/>
      <c r="AK41" s="76"/>
      <c r="AL41" s="77">
        <f>IF((P41-SUM(AE41:AK41))&lt;0,0,P41-SUM(AE41:AK41))</f>
        <v>2</v>
      </c>
      <c r="AM41" s="77">
        <f>SUM(AO41:AT41)</f>
        <v>0</v>
      </c>
      <c r="AN41" s="85"/>
      <c r="AO41" s="72"/>
      <c r="AP41" s="72"/>
      <c r="AQ41" s="72"/>
      <c r="AR41" s="72"/>
      <c r="AS41" s="72"/>
      <c r="AT41" s="72"/>
      <c r="AU41" s="72"/>
      <c r="AV41" s="92"/>
      <c r="AW41" s="72"/>
      <c r="AX41" s="72"/>
    </row>
    <row r="42" spans="1:50" ht="15" customHeight="1">
      <c r="A42" s="70" t="s">
        <v>774</v>
      </c>
      <c r="B42" s="68" t="s">
        <v>636</v>
      </c>
      <c r="C42" s="69" t="s">
        <v>45</v>
      </c>
      <c r="D42" s="70" t="s">
        <v>64</v>
      </c>
      <c r="E42" s="70" t="s">
        <v>775</v>
      </c>
      <c r="F42" s="68">
        <v>2</v>
      </c>
      <c r="G42" s="71" t="s">
        <v>165</v>
      </c>
      <c r="H42" s="71" t="s">
        <v>776</v>
      </c>
      <c r="I42" s="71"/>
      <c r="J42" s="71"/>
      <c r="K42" s="99"/>
      <c r="L42" s="72"/>
      <c r="M42" s="72"/>
      <c r="N42" s="72"/>
      <c r="O42" s="71" t="s">
        <v>48</v>
      </c>
      <c r="P42" s="101">
        <v>2</v>
      </c>
      <c r="Q42" s="68">
        <f>MAX(0,$V42-$P42-$S42)</f>
        <v>0</v>
      </c>
      <c r="R42" s="68"/>
      <c r="S42" s="68"/>
      <c r="T42" s="73">
        <v>0.17</v>
      </c>
      <c r="U42" s="73">
        <f>IF(AND($Q42&gt;0,ISNUMBER($T42)),$Q42*$T42,0)</f>
        <v>0</v>
      </c>
      <c r="V42" s="68">
        <f>SUM(W42:AB42)</f>
        <v>0</v>
      </c>
      <c r="W42" s="68"/>
      <c r="X42" s="68"/>
      <c r="Y42" s="68"/>
      <c r="Z42" s="68"/>
      <c r="AA42" s="68"/>
      <c r="AB42" s="68"/>
      <c r="AC42" s="68"/>
      <c r="AD42" s="75">
        <f>SUM(AE42:AJ42)</f>
        <v>0</v>
      </c>
      <c r="AE42" s="76"/>
      <c r="AF42" s="76"/>
      <c r="AG42" s="76"/>
      <c r="AH42" s="76"/>
      <c r="AI42" s="76"/>
      <c r="AJ42" s="76"/>
      <c r="AK42" s="76"/>
      <c r="AL42" s="77">
        <f>IF((P42-SUM(AE42:AK42))&lt;0,0,P42-SUM(AE42:AK42))</f>
        <v>2</v>
      </c>
      <c r="AM42" s="77">
        <f>SUM(AO42:AT42)</f>
        <v>0</v>
      </c>
      <c r="AN42" s="72"/>
      <c r="AO42" s="72"/>
      <c r="AP42" s="72"/>
      <c r="AQ42" s="72"/>
      <c r="AR42" s="72"/>
      <c r="AS42" s="72"/>
      <c r="AT42" s="72"/>
      <c r="AU42" s="72"/>
      <c r="AV42" s="70"/>
      <c r="AW42" s="72"/>
      <c r="AX42" s="72"/>
    </row>
    <row r="43" spans="1:50" ht="15" customHeight="1">
      <c r="A43" s="98" t="s">
        <v>2495</v>
      </c>
      <c r="B43" s="100" t="s">
        <v>1971</v>
      </c>
      <c r="C43" s="101" t="s">
        <v>45</v>
      </c>
      <c r="D43" s="98" t="s">
        <v>72</v>
      </c>
      <c r="E43" s="98"/>
      <c r="F43" s="100">
        <v>5</v>
      </c>
      <c r="G43" s="98" t="s">
        <v>49</v>
      </c>
      <c r="H43" s="98" t="s">
        <v>2496</v>
      </c>
      <c r="I43" s="98" t="s">
        <v>2497</v>
      </c>
      <c r="J43" s="98"/>
      <c r="K43" s="99"/>
      <c r="L43" s="99"/>
      <c r="M43" s="99"/>
      <c r="N43" s="99"/>
      <c r="O43" s="98" t="s">
        <v>136</v>
      </c>
      <c r="P43" s="101">
        <v>2</v>
      </c>
      <c r="Q43" s="68">
        <f>MAX(0,$V43-$P43-$S43)</f>
        <v>0</v>
      </c>
      <c r="R43" s="98"/>
      <c r="S43" s="98"/>
      <c r="T43" s="98">
        <v>0.14000000000000001</v>
      </c>
      <c r="U43" s="98">
        <f>IF(AND($Q43&gt;0,ISNUMBER($T43)),$Q43*$T43,0)</f>
        <v>0</v>
      </c>
      <c r="V43" s="68">
        <f>SUM(W43:AB43)</f>
        <v>0</v>
      </c>
      <c r="W43" s="100"/>
      <c r="X43" s="100"/>
      <c r="Y43" s="100"/>
      <c r="Z43" s="100"/>
      <c r="AA43" s="100"/>
      <c r="AB43" s="100"/>
      <c r="AC43" s="68"/>
      <c r="AD43" s="75">
        <f>SUM(AE43:AJ43)</f>
        <v>0</v>
      </c>
      <c r="AE43" s="102"/>
      <c r="AF43" s="102"/>
      <c r="AG43" s="102"/>
      <c r="AH43" s="102"/>
      <c r="AI43" s="102"/>
      <c r="AJ43" s="102"/>
      <c r="AK43" s="102"/>
      <c r="AL43" s="77">
        <f>IF((P43-SUM(AE43:AK43))&lt;0,0,P43-SUM(AE43:AK43))</f>
        <v>2</v>
      </c>
      <c r="AM43" s="77">
        <f>SUM(AO43:AT43)</f>
        <v>0</v>
      </c>
      <c r="AN43" s="127"/>
      <c r="AO43" s="99"/>
      <c r="AP43" s="99"/>
      <c r="AQ43" s="99"/>
      <c r="AR43" s="99"/>
      <c r="AS43" s="99"/>
      <c r="AT43" s="99"/>
      <c r="AU43" s="99"/>
      <c r="AV43" s="98"/>
      <c r="AW43" s="99"/>
      <c r="AX43" s="99"/>
    </row>
    <row r="44" spans="1:50" ht="15" customHeight="1">
      <c r="A44" s="92" t="s">
        <v>1354</v>
      </c>
      <c r="B44" s="90" t="s">
        <v>1114</v>
      </c>
      <c r="C44" s="69" t="s">
        <v>45</v>
      </c>
      <c r="D44" s="92" t="s">
        <v>64</v>
      </c>
      <c r="E44" s="92" t="s">
        <v>1219</v>
      </c>
      <c r="F44" s="90">
        <v>5</v>
      </c>
      <c r="G44" s="92" t="s">
        <v>54</v>
      </c>
      <c r="H44" s="92" t="s">
        <v>1355</v>
      </c>
      <c r="I44" s="92" t="s">
        <v>1356</v>
      </c>
      <c r="J44" s="92" t="s">
        <v>1357</v>
      </c>
      <c r="K44" s="99"/>
      <c r="L44" s="72"/>
      <c r="M44" s="72"/>
      <c r="N44" s="72"/>
      <c r="O44" s="92" t="s">
        <v>48</v>
      </c>
      <c r="P44" s="101">
        <v>2</v>
      </c>
      <c r="Q44" s="68">
        <f>MAX(0,$V44-$P44-$S44)</f>
        <v>0</v>
      </c>
      <c r="R44" s="92"/>
      <c r="S44" s="92"/>
      <c r="T44" s="92">
        <v>0.14000000000000001</v>
      </c>
      <c r="U44" s="92">
        <f>IF(AND($Q44&gt;0,ISNUMBER($T44)),$Q44*$T44,0)</f>
        <v>0</v>
      </c>
      <c r="V44" s="68">
        <f>SUM(W44:AB44)</f>
        <v>0</v>
      </c>
      <c r="W44" s="68"/>
      <c r="X44" s="68"/>
      <c r="Y44" s="68"/>
      <c r="Z44" s="68"/>
      <c r="AA44" s="68"/>
      <c r="AB44" s="68"/>
      <c r="AC44" s="68"/>
      <c r="AD44" s="75">
        <f>SUM(AE44:AJ44)</f>
        <v>0</v>
      </c>
      <c r="AE44" s="76"/>
      <c r="AF44" s="76"/>
      <c r="AG44" s="76"/>
      <c r="AH44" s="76"/>
      <c r="AI44" s="76"/>
      <c r="AJ44" s="76"/>
      <c r="AK44" s="76"/>
      <c r="AL44" s="77">
        <f>IF((P44-SUM(AE44:AK44))&lt;0,0,P44-SUM(AE44:AK44))</f>
        <v>2</v>
      </c>
      <c r="AM44" s="77">
        <f>SUM(AO44:AT44)</f>
        <v>0</v>
      </c>
      <c r="AN44" s="85"/>
      <c r="AO44" s="72"/>
      <c r="AP44" s="72"/>
      <c r="AQ44" s="72"/>
      <c r="AR44" s="72"/>
      <c r="AS44" s="72"/>
      <c r="AT44" s="72"/>
      <c r="AU44" s="72"/>
      <c r="AV44" s="92"/>
      <c r="AW44" s="72"/>
      <c r="AX44" s="72"/>
    </row>
    <row r="45" spans="1:50" ht="15" customHeight="1">
      <c r="A45" s="98" t="s">
        <v>2503</v>
      </c>
      <c r="B45" s="100" t="s">
        <v>1499</v>
      </c>
      <c r="C45" s="101" t="s">
        <v>45</v>
      </c>
      <c r="D45" s="98" t="s">
        <v>123</v>
      </c>
      <c r="E45" s="98" t="s">
        <v>1582</v>
      </c>
      <c r="F45" s="100">
        <v>2</v>
      </c>
      <c r="G45" s="98" t="s">
        <v>113</v>
      </c>
      <c r="H45" s="98" t="s">
        <v>2504</v>
      </c>
      <c r="I45" s="98" t="s">
        <v>2505</v>
      </c>
      <c r="J45" s="98" t="s">
        <v>2430</v>
      </c>
      <c r="K45" s="99"/>
      <c r="L45" s="99"/>
      <c r="M45" s="99"/>
      <c r="N45" s="99"/>
      <c r="O45" s="98" t="s">
        <v>136</v>
      </c>
      <c r="P45" s="101">
        <v>2</v>
      </c>
      <c r="Q45" s="68">
        <f>MAX(0,$V45-$P45-$S45)</f>
        <v>0</v>
      </c>
      <c r="R45" s="98"/>
      <c r="S45" s="98"/>
      <c r="T45" s="98">
        <v>0.17</v>
      </c>
      <c r="U45" s="98">
        <f>IF(AND($Q45&gt;0,ISNUMBER($T45)),$Q45*$T45,0)</f>
        <v>0</v>
      </c>
      <c r="V45" s="68">
        <f>SUM(W45:AB45)</f>
        <v>0</v>
      </c>
      <c r="W45" s="100"/>
      <c r="X45" s="100"/>
      <c r="Y45" s="100"/>
      <c r="Z45" s="100"/>
      <c r="AA45" s="100"/>
      <c r="AB45" s="100"/>
      <c r="AC45" s="68"/>
      <c r="AD45" s="75">
        <f>SUM(AE45:AJ45)</f>
        <v>0</v>
      </c>
      <c r="AE45" s="102"/>
      <c r="AF45" s="102"/>
      <c r="AG45" s="102"/>
      <c r="AH45" s="102"/>
      <c r="AI45" s="102"/>
      <c r="AJ45" s="102"/>
      <c r="AK45" s="102"/>
      <c r="AL45" s="77">
        <f>IF((P45-SUM(AE45:AK45))&lt;0,0,P45-SUM(AE45:AK45))</f>
        <v>2</v>
      </c>
      <c r="AM45" s="77">
        <f>SUM(AO45:AT45)</f>
        <v>0</v>
      </c>
      <c r="AN45" s="27"/>
      <c r="AO45" s="99"/>
      <c r="AP45" s="99"/>
      <c r="AQ45" s="27"/>
      <c r="AR45" s="99"/>
      <c r="AS45" s="27"/>
      <c r="AT45" s="99"/>
      <c r="AU45" s="27"/>
      <c r="AV45" s="98"/>
      <c r="AW45" s="99"/>
      <c r="AX45" s="99"/>
    </row>
    <row r="46" spans="1:50" ht="15" customHeight="1">
      <c r="A46" s="98" t="s">
        <v>2509</v>
      </c>
      <c r="B46" s="100" t="s">
        <v>345</v>
      </c>
      <c r="C46" s="101" t="s">
        <v>45</v>
      </c>
      <c r="D46" s="98" t="s">
        <v>64</v>
      </c>
      <c r="E46" s="98" t="s">
        <v>1839</v>
      </c>
      <c r="F46" s="100">
        <v>2</v>
      </c>
      <c r="G46" s="98" t="s">
        <v>165</v>
      </c>
      <c r="H46" s="98" t="s">
        <v>2510</v>
      </c>
      <c r="I46" s="98" t="s">
        <v>197</v>
      </c>
      <c r="J46" s="98"/>
      <c r="K46" s="99"/>
      <c r="L46" s="99"/>
      <c r="M46" s="99"/>
      <c r="N46" s="99"/>
      <c r="O46" s="98" t="s">
        <v>136</v>
      </c>
      <c r="P46" s="101">
        <v>2</v>
      </c>
      <c r="Q46" s="68">
        <f>MAX(0,$V46-$P46-$S46)</f>
        <v>0</v>
      </c>
      <c r="R46" s="98"/>
      <c r="S46" s="98"/>
      <c r="T46" s="98">
        <v>0.15</v>
      </c>
      <c r="U46" s="98">
        <f>IF(AND($Q46&gt;0,ISNUMBER($T46)),$Q46*$T46,0)</f>
        <v>0</v>
      </c>
      <c r="V46" s="68">
        <f>SUM(W46:AB46)</f>
        <v>0</v>
      </c>
      <c r="W46" s="100"/>
      <c r="X46" s="100"/>
      <c r="Y46" s="100"/>
      <c r="Z46" s="100"/>
      <c r="AA46" s="100"/>
      <c r="AB46" s="100"/>
      <c r="AC46" s="68"/>
      <c r="AD46" s="75">
        <f>SUM(AE46:AJ46)</f>
        <v>0</v>
      </c>
      <c r="AE46" s="102"/>
      <c r="AF46" s="102"/>
      <c r="AG46" s="102"/>
      <c r="AH46" s="102"/>
      <c r="AI46" s="102"/>
      <c r="AJ46" s="102"/>
      <c r="AK46" s="102"/>
      <c r="AL46" s="77">
        <f>IF((P46-SUM(AE46:AK46))&lt;0,0,P46-SUM(AE46:AK46))</f>
        <v>2</v>
      </c>
      <c r="AM46" s="77">
        <f>SUM(AO46:AT46)</f>
        <v>0</v>
      </c>
      <c r="AN46" s="127"/>
      <c r="AO46" s="99"/>
      <c r="AP46" s="99"/>
      <c r="AQ46" s="99"/>
      <c r="AR46" s="99"/>
      <c r="AS46" s="127"/>
      <c r="AT46" s="99"/>
      <c r="AU46" s="127"/>
      <c r="AV46" s="98"/>
      <c r="AW46" s="99"/>
      <c r="AX46" s="99"/>
    </row>
    <row r="47" spans="1:50" ht="15" customHeight="1">
      <c r="A47" s="98" t="s">
        <v>2513</v>
      </c>
      <c r="B47" s="100" t="s">
        <v>1114</v>
      </c>
      <c r="C47" s="101" t="s">
        <v>45</v>
      </c>
      <c r="D47" s="98" t="s">
        <v>64</v>
      </c>
      <c r="E47" s="98" t="s">
        <v>2514</v>
      </c>
      <c r="F47" s="100">
        <v>3</v>
      </c>
      <c r="G47" s="98" t="s">
        <v>54</v>
      </c>
      <c r="H47" s="98" t="s">
        <v>2086</v>
      </c>
      <c r="I47" s="98" t="s">
        <v>911</v>
      </c>
      <c r="J47" s="98"/>
      <c r="K47" s="99"/>
      <c r="L47" s="99"/>
      <c r="M47" s="99"/>
      <c r="N47" s="99"/>
      <c r="O47" s="98" t="s">
        <v>136</v>
      </c>
      <c r="P47" s="101">
        <v>2</v>
      </c>
      <c r="Q47" s="68">
        <f>MAX(0,$V47-$P47-$S47)</f>
        <v>0</v>
      </c>
      <c r="R47" s="98"/>
      <c r="S47" s="98"/>
      <c r="T47" s="98">
        <v>0.14000000000000001</v>
      </c>
      <c r="U47" s="98">
        <f>IF(AND($Q47&gt;0,ISNUMBER($T47)),$Q47*$T47,0)</f>
        <v>0</v>
      </c>
      <c r="V47" s="68">
        <f>SUM(W47:AB47)</f>
        <v>0</v>
      </c>
      <c r="W47" s="100"/>
      <c r="X47" s="100"/>
      <c r="Y47" s="100"/>
      <c r="Z47" s="100"/>
      <c r="AA47" s="100"/>
      <c r="AB47" s="100"/>
      <c r="AC47" s="68"/>
      <c r="AD47" s="75">
        <f>SUM(AE47:AJ47)</f>
        <v>0</v>
      </c>
      <c r="AE47" s="102"/>
      <c r="AF47" s="102"/>
      <c r="AG47" s="102"/>
      <c r="AH47" s="102"/>
      <c r="AI47" s="102"/>
      <c r="AJ47" s="102"/>
      <c r="AK47" s="102"/>
      <c r="AL47" s="77">
        <f>IF((P47-SUM(AE47:AK47))&lt;0,0,P47-SUM(AE47:AK47))</f>
        <v>2</v>
      </c>
      <c r="AM47" s="77">
        <f>SUM(AO47:AT47)</f>
        <v>0</v>
      </c>
      <c r="AN47" s="99"/>
      <c r="AO47" s="99"/>
      <c r="AP47" s="99"/>
      <c r="AQ47" s="99"/>
      <c r="AR47" s="99"/>
      <c r="AS47" s="99"/>
      <c r="AT47" s="99"/>
      <c r="AU47" s="99"/>
      <c r="AV47" s="98"/>
      <c r="AW47" s="99"/>
      <c r="AX47" s="99"/>
    </row>
    <row r="48" spans="1:50" ht="15" customHeight="1">
      <c r="A48" s="92" t="s">
        <v>1918</v>
      </c>
      <c r="B48" s="90" t="s">
        <v>1831</v>
      </c>
      <c r="C48" s="69" t="s">
        <v>45</v>
      </c>
      <c r="D48" s="92" t="s">
        <v>72</v>
      </c>
      <c r="E48" s="92"/>
      <c r="F48" s="90">
        <v>2</v>
      </c>
      <c r="G48" s="92" t="s">
        <v>176</v>
      </c>
      <c r="H48" s="92" t="s">
        <v>1919</v>
      </c>
      <c r="I48" s="92" t="s">
        <v>1920</v>
      </c>
      <c r="J48" s="92"/>
      <c r="K48" s="99"/>
      <c r="L48" s="72"/>
      <c r="M48" s="72"/>
      <c r="N48" s="72"/>
      <c r="O48" s="92" t="s">
        <v>136</v>
      </c>
      <c r="P48" s="101">
        <v>2</v>
      </c>
      <c r="Q48" s="68">
        <f>MAX(0,$V48-$P48-$S48)</f>
        <v>0</v>
      </c>
      <c r="R48" s="92"/>
      <c r="S48" s="92"/>
      <c r="T48" s="92">
        <v>0.18</v>
      </c>
      <c r="U48" s="92">
        <f>IF(AND($Q48&gt;0,ISNUMBER($T48)),$Q48*$T48,0)</f>
        <v>0</v>
      </c>
      <c r="V48" s="68">
        <f>SUM(W48:AB48)</f>
        <v>0</v>
      </c>
      <c r="W48" s="68"/>
      <c r="X48" s="68"/>
      <c r="Y48" s="68"/>
      <c r="Z48" s="68"/>
      <c r="AA48" s="68"/>
      <c r="AB48" s="68"/>
      <c r="AC48" s="68"/>
      <c r="AD48" s="75">
        <f>SUM(AE48:AJ48)</f>
        <v>1</v>
      </c>
      <c r="AE48" s="76"/>
      <c r="AF48" s="76"/>
      <c r="AG48" s="76">
        <v>1</v>
      </c>
      <c r="AH48" s="76"/>
      <c r="AI48" s="76"/>
      <c r="AJ48" s="76"/>
      <c r="AK48" s="76"/>
      <c r="AL48" s="77">
        <f>IF((P48-SUM(AE48:AK48))&lt;0,0,P48-SUM(AE48:AK48))</f>
        <v>1</v>
      </c>
      <c r="AM48" s="77">
        <f>SUM(AO48:AT48)</f>
        <v>1</v>
      </c>
      <c r="AN48" s="80" t="s">
        <v>105</v>
      </c>
      <c r="AO48" s="72"/>
      <c r="AP48" s="72"/>
      <c r="AQ48" s="79">
        <v>1</v>
      </c>
      <c r="AR48" s="72"/>
      <c r="AS48" s="72"/>
      <c r="AT48" s="72"/>
      <c r="AU48" s="31" t="s">
        <v>1921</v>
      </c>
      <c r="AV48" s="92"/>
      <c r="AW48" s="72"/>
      <c r="AX48" s="72"/>
    </row>
    <row r="49" spans="1:50" ht="15" customHeight="1">
      <c r="A49" s="70" t="s">
        <v>1949</v>
      </c>
      <c r="B49" s="68" t="s">
        <v>1831</v>
      </c>
      <c r="C49" s="69" t="s">
        <v>45</v>
      </c>
      <c r="D49" s="70" t="s">
        <v>47</v>
      </c>
      <c r="E49" s="70"/>
      <c r="F49" s="68">
        <v>4</v>
      </c>
      <c r="G49" s="71" t="s">
        <v>49</v>
      </c>
      <c r="H49" s="71" t="s">
        <v>1950</v>
      </c>
      <c r="I49" s="71" t="s">
        <v>1951</v>
      </c>
      <c r="J49" s="71"/>
      <c r="K49" s="99"/>
      <c r="L49" s="72"/>
      <c r="M49" s="72"/>
      <c r="N49" s="72"/>
      <c r="O49" s="71" t="s">
        <v>201</v>
      </c>
      <c r="P49" s="101">
        <v>2</v>
      </c>
      <c r="Q49" s="68">
        <f>MAX(0,$V49-$P49-$S49)</f>
        <v>0</v>
      </c>
      <c r="R49" s="68"/>
      <c r="S49" s="68"/>
      <c r="T49" s="73">
        <v>0.15</v>
      </c>
      <c r="U49" s="73">
        <f>IF(AND($Q49&gt;0,ISNUMBER($T49)),$Q49*$T49,0)</f>
        <v>0</v>
      </c>
      <c r="V49" s="68">
        <f>SUM(W49:AB49)</f>
        <v>0</v>
      </c>
      <c r="W49" s="68"/>
      <c r="X49" s="68"/>
      <c r="Y49" s="68"/>
      <c r="Z49" s="68"/>
      <c r="AA49" s="68"/>
      <c r="AB49" s="68"/>
      <c r="AC49" s="68"/>
      <c r="AD49" s="75">
        <f>SUM(AE49:AJ49)</f>
        <v>0</v>
      </c>
      <c r="AE49" s="76"/>
      <c r="AF49" s="76"/>
      <c r="AG49" s="76"/>
      <c r="AH49" s="76"/>
      <c r="AI49" s="76"/>
      <c r="AJ49" s="76"/>
      <c r="AK49" s="76"/>
      <c r="AL49" s="77">
        <f>IF((P49-SUM(AE49:AK49))&lt;0,0,P49-SUM(AE49:AK49))</f>
        <v>2</v>
      </c>
      <c r="AM49" s="77">
        <f>SUM(AO49:AT49)</f>
        <v>0</v>
      </c>
      <c r="AN49" s="72"/>
      <c r="AO49" s="72"/>
      <c r="AP49" s="72"/>
      <c r="AQ49" s="72"/>
      <c r="AR49" s="72"/>
      <c r="AS49" s="72"/>
      <c r="AT49" s="72"/>
      <c r="AU49" s="72"/>
      <c r="AV49" s="70"/>
      <c r="AW49" s="72"/>
      <c r="AX49" s="72"/>
    </row>
    <row r="50" spans="1:50" ht="15" customHeight="1">
      <c r="A50" s="86" t="s">
        <v>874</v>
      </c>
      <c r="B50" s="68" t="s">
        <v>636</v>
      </c>
      <c r="C50" s="69" t="s">
        <v>45</v>
      </c>
      <c r="D50" s="70" t="s">
        <v>47</v>
      </c>
      <c r="E50" s="70"/>
      <c r="F50" s="68">
        <v>4</v>
      </c>
      <c r="G50" s="71" t="s">
        <v>49</v>
      </c>
      <c r="H50" s="71" t="s">
        <v>875</v>
      </c>
      <c r="I50" s="71"/>
      <c r="J50" s="71"/>
      <c r="K50" s="99"/>
      <c r="L50" s="72"/>
      <c r="M50" s="72"/>
      <c r="N50" s="72"/>
      <c r="O50" s="71" t="s">
        <v>136</v>
      </c>
      <c r="P50" s="101">
        <v>2</v>
      </c>
      <c r="Q50" s="68">
        <f>MAX(0,$V50-$P50-$S50)</f>
        <v>0</v>
      </c>
      <c r="R50" s="68"/>
      <c r="S50" s="68"/>
      <c r="T50" s="73">
        <v>0.14000000000000001</v>
      </c>
      <c r="U50" s="73">
        <f>IF(AND($Q50&gt;0,ISNUMBER($T50)),$Q50*$T50,0)</f>
        <v>0</v>
      </c>
      <c r="V50" s="68">
        <f>SUM(W50:AB50)</f>
        <v>1</v>
      </c>
      <c r="W50" s="68"/>
      <c r="X50" s="68"/>
      <c r="Y50" s="87">
        <v>1</v>
      </c>
      <c r="Z50" s="68"/>
      <c r="AA50" s="68"/>
      <c r="AB50" s="68"/>
      <c r="AC50" s="68"/>
      <c r="AD50" s="75">
        <f>SUM(AE50:AJ50)</f>
        <v>1</v>
      </c>
      <c r="AE50" s="76"/>
      <c r="AF50" s="76"/>
      <c r="AG50" s="76">
        <v>1</v>
      </c>
      <c r="AH50" s="76"/>
      <c r="AI50" s="76"/>
      <c r="AJ50" s="76"/>
      <c r="AK50" s="76"/>
      <c r="AL50" s="77">
        <f>IF((P50-SUM(AE50:AK50))&lt;0,0,P50-SUM(AE50:AK50))</f>
        <v>1</v>
      </c>
      <c r="AM50" s="77">
        <f>SUM(AO50:AT50)</f>
        <v>0</v>
      </c>
      <c r="AN50" s="72"/>
      <c r="AO50" s="72"/>
      <c r="AP50" s="72"/>
      <c r="AQ50" s="72"/>
      <c r="AR50" s="72"/>
      <c r="AS50" s="72"/>
      <c r="AT50" s="72"/>
      <c r="AU50" s="72"/>
      <c r="AV50" s="70"/>
      <c r="AW50" s="72"/>
      <c r="AX50" s="72"/>
    </row>
    <row r="51" spans="1:50" ht="15" customHeight="1">
      <c r="A51" s="70" t="s">
        <v>1961</v>
      </c>
      <c r="B51" s="68" t="s">
        <v>1831</v>
      </c>
      <c r="C51" s="69" t="s">
        <v>45</v>
      </c>
      <c r="D51" s="70" t="s">
        <v>64</v>
      </c>
      <c r="E51" s="70" t="s">
        <v>1486</v>
      </c>
      <c r="F51" s="68">
        <v>2</v>
      </c>
      <c r="G51" s="71" t="s">
        <v>165</v>
      </c>
      <c r="H51" s="71" t="s">
        <v>1962</v>
      </c>
      <c r="I51" s="71"/>
      <c r="J51" s="71"/>
      <c r="K51" s="99"/>
      <c r="L51" s="72"/>
      <c r="M51" s="72"/>
      <c r="N51" s="72"/>
      <c r="O51" s="71" t="s">
        <v>48</v>
      </c>
      <c r="P51" s="101">
        <v>2</v>
      </c>
      <c r="Q51" s="68">
        <f>MAX(0,$V51-$P51-$S51)</f>
        <v>0</v>
      </c>
      <c r="R51" s="68"/>
      <c r="S51" s="68"/>
      <c r="T51" s="73">
        <v>0.24</v>
      </c>
      <c r="U51" s="73">
        <f>IF(AND($Q51&gt;0,ISNUMBER($T51)),$Q51*$T51,0)</f>
        <v>0</v>
      </c>
      <c r="V51" s="68">
        <f>SUM(W51:AB51)</f>
        <v>0</v>
      </c>
      <c r="W51" s="68"/>
      <c r="X51" s="68"/>
      <c r="Y51" s="68"/>
      <c r="Z51" s="68"/>
      <c r="AA51" s="68"/>
      <c r="AB51" s="68"/>
      <c r="AC51" s="68"/>
      <c r="AD51" s="75">
        <f>SUM(AE51:AJ51)</f>
        <v>0</v>
      </c>
      <c r="AE51" s="76"/>
      <c r="AF51" s="76"/>
      <c r="AG51" s="76"/>
      <c r="AH51" s="76"/>
      <c r="AI51" s="76"/>
      <c r="AJ51" s="76"/>
      <c r="AK51" s="76"/>
      <c r="AL51" s="77">
        <f>IF((P51-SUM(AE51:AK51))&lt;0,0,P51-SUM(AE51:AK51))</f>
        <v>2</v>
      </c>
      <c r="AM51" s="77">
        <f>SUM(AO51:AT51)</f>
        <v>0</v>
      </c>
      <c r="AN51" s="129"/>
      <c r="AO51" s="72"/>
      <c r="AP51" s="129"/>
      <c r="AQ51" s="72"/>
      <c r="AR51" s="72"/>
      <c r="AS51" s="72"/>
      <c r="AT51" s="72"/>
      <c r="AU51" s="129"/>
      <c r="AV51" s="70"/>
      <c r="AW51" s="72"/>
      <c r="AX51" s="72"/>
    </row>
    <row r="52" spans="1:50" ht="15" customHeight="1">
      <c r="A52" s="92" t="s">
        <v>632</v>
      </c>
      <c r="B52" s="90" t="s">
        <v>345</v>
      </c>
      <c r="C52" s="69" t="s">
        <v>45</v>
      </c>
      <c r="D52" s="92" t="s">
        <v>175</v>
      </c>
      <c r="E52" s="92" t="s">
        <v>390</v>
      </c>
      <c r="F52" s="90">
        <v>1</v>
      </c>
      <c r="G52" s="92" t="s">
        <v>433</v>
      </c>
      <c r="H52" s="92" t="s">
        <v>633</v>
      </c>
      <c r="I52" s="92" t="s">
        <v>634</v>
      </c>
      <c r="J52" s="92"/>
      <c r="K52" s="99"/>
      <c r="L52" s="72"/>
      <c r="M52" s="72"/>
      <c r="N52" s="72"/>
      <c r="O52" s="92" t="s">
        <v>136</v>
      </c>
      <c r="P52" s="101">
        <v>2</v>
      </c>
      <c r="Q52" s="68">
        <f>MAX(0,$V52-$P52-$S52)</f>
        <v>0</v>
      </c>
      <c r="R52" s="92"/>
      <c r="S52" s="92"/>
      <c r="T52" s="92">
        <v>0.12</v>
      </c>
      <c r="U52" s="92">
        <f>IF(AND($Q52&gt;0,ISNUMBER($T52)),$Q52*$T52,0)</f>
        <v>0</v>
      </c>
      <c r="V52" s="68">
        <f>SUM(W52:AB52)</f>
        <v>0</v>
      </c>
      <c r="W52" s="68"/>
      <c r="X52" s="68"/>
      <c r="Y52" s="68"/>
      <c r="Z52" s="68"/>
      <c r="AA52" s="68"/>
      <c r="AB52" s="68"/>
      <c r="AC52" s="68"/>
      <c r="AD52" s="75">
        <f>SUM(AE52:AJ52)</f>
        <v>0</v>
      </c>
      <c r="AE52" s="76"/>
      <c r="AF52" s="76"/>
      <c r="AG52" s="76"/>
      <c r="AH52" s="76"/>
      <c r="AI52" s="76"/>
      <c r="AJ52" s="76"/>
      <c r="AK52" s="76"/>
      <c r="AL52" s="77">
        <f>IF((P52-SUM(AE52:AK52))&lt;0,0,P52-SUM(AE52:AK52))</f>
        <v>2</v>
      </c>
      <c r="AM52" s="77">
        <f>SUM(AO52:AT52)</f>
        <v>0</v>
      </c>
      <c r="AN52" s="72"/>
      <c r="AO52" s="72"/>
      <c r="AP52" s="72"/>
      <c r="AQ52" s="72"/>
      <c r="AR52" s="72"/>
      <c r="AS52" s="72"/>
      <c r="AT52" s="72"/>
      <c r="AU52" s="72"/>
      <c r="AV52" s="92"/>
      <c r="AW52" s="72"/>
      <c r="AX52" s="72"/>
    </row>
    <row r="53" spans="1:50" ht="15" customHeight="1">
      <c r="A53" s="81" t="s">
        <v>1148</v>
      </c>
      <c r="B53" s="68" t="s">
        <v>1114</v>
      </c>
      <c r="C53" s="69" t="s">
        <v>45</v>
      </c>
      <c r="D53" s="70" t="s">
        <v>627</v>
      </c>
      <c r="E53" s="70" t="s">
        <v>1078</v>
      </c>
      <c r="F53" s="68">
        <v>0</v>
      </c>
      <c r="G53" s="71" t="s">
        <v>627</v>
      </c>
      <c r="H53" s="71" t="s">
        <v>1149</v>
      </c>
      <c r="I53" s="71"/>
      <c r="J53" s="71"/>
      <c r="K53" s="69"/>
      <c r="L53" s="69"/>
      <c r="M53" s="69"/>
      <c r="N53" s="69"/>
      <c r="O53" s="71" t="s">
        <v>402</v>
      </c>
      <c r="P53" s="69">
        <v>2</v>
      </c>
      <c r="Q53" s="68">
        <f>MAX(0,$V53-$P53-$S53)</f>
        <v>0</v>
      </c>
      <c r="R53" s="68"/>
      <c r="S53" s="68"/>
      <c r="T53" s="73">
        <v>0.12</v>
      </c>
      <c r="U53" s="73">
        <f>IF(AND($Q53&gt;0,ISNUMBER($T53)),$Q53*$T53,0)</f>
        <v>0</v>
      </c>
      <c r="V53" s="68">
        <f>SUM(W53:AB53)</f>
        <v>2</v>
      </c>
      <c r="W53" s="68"/>
      <c r="X53" s="82">
        <v>1</v>
      </c>
      <c r="Y53" s="82">
        <v>1</v>
      </c>
      <c r="Z53" s="68"/>
      <c r="AA53" s="68"/>
      <c r="AB53" s="68"/>
      <c r="AC53" s="68"/>
      <c r="AD53" s="75">
        <f>SUM(AE53:AJ53)</f>
        <v>1</v>
      </c>
      <c r="AE53" s="76"/>
      <c r="AF53" s="76">
        <v>1</v>
      </c>
      <c r="AG53" s="76"/>
      <c r="AH53" s="76"/>
      <c r="AI53" s="76"/>
      <c r="AJ53" s="76"/>
      <c r="AK53" s="76"/>
      <c r="AL53" s="77">
        <f>IF((P53-SUM(AE53:AK53))&lt;0,0,P53-SUM(AE53:AK53))</f>
        <v>1</v>
      </c>
      <c r="AM53" s="77">
        <f>SUM(AO53:AT53)</f>
        <v>0</v>
      </c>
      <c r="AN53" s="138" t="s">
        <v>81</v>
      </c>
      <c r="AO53" s="72"/>
      <c r="AP53" s="72"/>
      <c r="AQ53" s="72"/>
      <c r="AR53" s="72"/>
      <c r="AS53" s="72"/>
      <c r="AT53" s="129"/>
      <c r="AU53" s="142" t="s">
        <v>1150</v>
      </c>
      <c r="AV53" s="70"/>
      <c r="AW53" s="72"/>
      <c r="AX53" s="94" t="s">
        <v>1151</v>
      </c>
    </row>
    <row r="54" spans="1:50" ht="15" customHeight="1">
      <c r="A54" s="86" t="s">
        <v>71</v>
      </c>
      <c r="B54" s="68" t="s">
        <v>46</v>
      </c>
      <c r="C54" s="69" t="s">
        <v>45</v>
      </c>
      <c r="D54" s="70" t="s">
        <v>72</v>
      </c>
      <c r="E54" s="70"/>
      <c r="F54" s="68">
        <v>3</v>
      </c>
      <c r="G54" s="71" t="s">
        <v>49</v>
      </c>
      <c r="H54" s="71" t="s">
        <v>73</v>
      </c>
      <c r="I54" s="71"/>
      <c r="J54" s="71"/>
      <c r="K54" s="72"/>
      <c r="L54" s="72"/>
      <c r="M54" s="72"/>
      <c r="N54" s="72"/>
      <c r="O54" s="71" t="s">
        <v>48</v>
      </c>
      <c r="P54" s="69">
        <v>2</v>
      </c>
      <c r="Q54" s="68">
        <f>MAX(0,$V54-$P54-$S54)</f>
        <v>0</v>
      </c>
      <c r="R54" s="68"/>
      <c r="S54" s="68"/>
      <c r="T54" s="73">
        <v>0.25</v>
      </c>
      <c r="U54" s="73">
        <f>IF(AND($Q54&gt;0,ISNUMBER($T54)),$Q54*$T54,0)</f>
        <v>0</v>
      </c>
      <c r="V54" s="68">
        <f>SUM(W54:AB54)</f>
        <v>2</v>
      </c>
      <c r="W54" s="68"/>
      <c r="X54" s="68"/>
      <c r="Y54" s="68">
        <v>1</v>
      </c>
      <c r="Z54" s="68"/>
      <c r="AA54" s="87">
        <v>1</v>
      </c>
      <c r="AB54" s="68"/>
      <c r="AC54" s="68"/>
      <c r="AD54" s="75">
        <f>SUM(AE54:AJ54)</f>
        <v>2</v>
      </c>
      <c r="AE54" s="76"/>
      <c r="AF54" s="76"/>
      <c r="AG54" s="76">
        <v>1</v>
      </c>
      <c r="AH54" s="76"/>
      <c r="AI54" s="76">
        <v>1</v>
      </c>
      <c r="AJ54" s="76"/>
      <c r="AK54" s="76"/>
      <c r="AL54" s="77">
        <f>IF((P54-SUM(AE54:AK54))&lt;0,0,P54-SUM(AE54:AK54))</f>
        <v>0</v>
      </c>
      <c r="AM54" s="77">
        <f>SUM(AO54:AT54)</f>
        <v>0</v>
      </c>
      <c r="AN54" s="85"/>
      <c r="AO54" s="72"/>
      <c r="AP54" s="129"/>
      <c r="AQ54" s="129"/>
      <c r="AR54" s="85"/>
      <c r="AS54" s="129"/>
      <c r="AT54" s="72"/>
      <c r="AU54" s="85"/>
      <c r="AV54" s="70"/>
      <c r="AW54" s="72"/>
      <c r="AX54" s="72"/>
    </row>
    <row r="55" spans="1:50" ht="15" customHeight="1">
      <c r="A55" s="86" t="s">
        <v>937</v>
      </c>
      <c r="B55" s="68" t="s">
        <v>919</v>
      </c>
      <c r="C55" s="69" t="s">
        <v>45</v>
      </c>
      <c r="D55" s="70" t="s">
        <v>627</v>
      </c>
      <c r="E55" s="70"/>
      <c r="F55" s="68">
        <v>0</v>
      </c>
      <c r="G55" s="71" t="s">
        <v>627</v>
      </c>
      <c r="H55" s="71" t="s">
        <v>938</v>
      </c>
      <c r="I55" s="71" t="s">
        <v>926</v>
      </c>
      <c r="J55" s="71" t="s">
        <v>939</v>
      </c>
      <c r="K55" s="69"/>
      <c r="L55" s="69"/>
      <c r="M55" s="69"/>
      <c r="N55" s="69"/>
      <c r="O55" s="71" t="s">
        <v>740</v>
      </c>
      <c r="P55" s="69">
        <v>2</v>
      </c>
      <c r="Q55" s="68">
        <f>MAX(0,$V55-$P55-$S55)</f>
        <v>0</v>
      </c>
      <c r="R55" s="68"/>
      <c r="S55" s="68"/>
      <c r="T55" s="73">
        <v>0.19</v>
      </c>
      <c r="U55" s="73">
        <f>IF(AND($Q55&gt;0,ISNUMBER($T55)),$Q55*$T55,0)</f>
        <v>0</v>
      </c>
      <c r="V55" s="68">
        <f>SUM(W55:AB55)</f>
        <v>2</v>
      </c>
      <c r="W55" s="68"/>
      <c r="X55" s="68">
        <v>1</v>
      </c>
      <c r="Y55" s="68"/>
      <c r="Z55" s="87">
        <v>1</v>
      </c>
      <c r="AA55" s="68"/>
      <c r="AB55" s="68"/>
      <c r="AC55" s="68"/>
      <c r="AD55" s="75">
        <f>SUM(AE55:AJ55)</f>
        <v>2</v>
      </c>
      <c r="AE55" s="76"/>
      <c r="AF55" s="76">
        <v>1</v>
      </c>
      <c r="AG55" s="76"/>
      <c r="AH55" s="76">
        <v>1</v>
      </c>
      <c r="AI55" s="76"/>
      <c r="AJ55" s="76"/>
      <c r="AK55" s="76"/>
      <c r="AL55" s="77">
        <f>IF((P55-SUM(AE55:AK55))&lt;0,0,P55-SUM(AE55:AK55))</f>
        <v>0</v>
      </c>
      <c r="AM55" s="77">
        <f>SUM(AO55:AT55)</f>
        <v>0</v>
      </c>
      <c r="AN55" s="72"/>
      <c r="AO55" s="72"/>
      <c r="AP55" s="72"/>
      <c r="AQ55" s="72"/>
      <c r="AR55" s="72"/>
      <c r="AS55" s="72"/>
      <c r="AT55" s="72"/>
      <c r="AU55" s="72"/>
      <c r="AV55" s="70"/>
      <c r="AW55" s="72"/>
      <c r="AX55" s="72"/>
    </row>
    <row r="56" spans="1:50" ht="15" customHeight="1">
      <c r="A56" s="70" t="s">
        <v>1186</v>
      </c>
      <c r="B56" s="68" t="s">
        <v>1114</v>
      </c>
      <c r="C56" s="69" t="s">
        <v>45</v>
      </c>
      <c r="D56" s="70" t="s">
        <v>64</v>
      </c>
      <c r="E56" s="70" t="s">
        <v>169</v>
      </c>
      <c r="F56" s="68">
        <v>3</v>
      </c>
      <c r="G56" s="71" t="s">
        <v>125</v>
      </c>
      <c r="H56" s="71" t="s">
        <v>1187</v>
      </c>
      <c r="I56" s="71"/>
      <c r="J56" s="71"/>
      <c r="K56" s="72"/>
      <c r="L56" s="72"/>
      <c r="M56" s="72"/>
      <c r="N56" s="72"/>
      <c r="O56" s="71" t="s">
        <v>48</v>
      </c>
      <c r="P56" s="69">
        <v>2</v>
      </c>
      <c r="Q56" s="68">
        <f>MAX(0,$V56-$P56-$S56)</f>
        <v>0</v>
      </c>
      <c r="R56" s="68"/>
      <c r="S56" s="68"/>
      <c r="T56" s="73">
        <v>0.15</v>
      </c>
      <c r="U56" s="73">
        <f>IF(AND($Q56&gt;0,ISNUMBER($T56)),$Q56*$T56,0)</f>
        <v>0</v>
      </c>
      <c r="V56" s="68">
        <f>SUM(W56:AB56)</f>
        <v>0</v>
      </c>
      <c r="W56" s="68"/>
      <c r="X56" s="68"/>
      <c r="Y56" s="68"/>
      <c r="Z56" s="68"/>
      <c r="AA56" s="68"/>
      <c r="AB56" s="68"/>
      <c r="AC56" s="68"/>
      <c r="AD56" s="75">
        <f>SUM(AE56:AJ56)</f>
        <v>0</v>
      </c>
      <c r="AE56" s="76"/>
      <c r="AF56" s="76"/>
      <c r="AG56" s="76"/>
      <c r="AH56" s="76"/>
      <c r="AI56" s="76"/>
      <c r="AJ56" s="76"/>
      <c r="AK56" s="76"/>
      <c r="AL56" s="77">
        <f>IF((P56-SUM(AE56:AK56))&lt;0,0,P56-SUM(AE56:AK56))</f>
        <v>2</v>
      </c>
      <c r="AM56" s="77">
        <f>SUM(AO56:AT56)</f>
        <v>0</v>
      </c>
      <c r="AN56" s="72"/>
      <c r="AO56" s="72"/>
      <c r="AP56" s="72"/>
      <c r="AQ56" s="72"/>
      <c r="AR56" s="72"/>
      <c r="AS56" s="72"/>
      <c r="AT56" s="72"/>
      <c r="AU56" s="72"/>
      <c r="AV56" s="70"/>
      <c r="AW56" s="72"/>
      <c r="AX56" s="72"/>
    </row>
    <row r="57" spans="1:50" ht="15" customHeight="1">
      <c r="A57" s="81" t="s">
        <v>963</v>
      </c>
      <c r="B57" s="68" t="s">
        <v>919</v>
      </c>
      <c r="C57" s="69" t="s">
        <v>45</v>
      </c>
      <c r="D57" s="70" t="s">
        <v>627</v>
      </c>
      <c r="E57" s="70"/>
      <c r="F57" s="68">
        <v>0</v>
      </c>
      <c r="G57" s="71" t="s">
        <v>627</v>
      </c>
      <c r="H57" s="71" t="s">
        <v>964</v>
      </c>
      <c r="I57" s="71" t="s">
        <v>965</v>
      </c>
      <c r="J57" s="71"/>
      <c r="K57" s="72"/>
      <c r="L57" s="72"/>
      <c r="M57" s="72"/>
      <c r="N57" s="72"/>
      <c r="O57" s="71" t="s">
        <v>346</v>
      </c>
      <c r="P57" s="69">
        <v>2</v>
      </c>
      <c r="Q57" s="68">
        <f>MAX(0,$V57-$P57-$S57)</f>
        <v>0</v>
      </c>
      <c r="R57" s="68"/>
      <c r="S57" s="68"/>
      <c r="T57" s="73">
        <v>1.04</v>
      </c>
      <c r="U57" s="73">
        <f>IF(AND($Q57&gt;0,ISNUMBER($T57)),$Q57*$T57,0)</f>
        <v>0</v>
      </c>
      <c r="V57" s="68">
        <f>SUM(W57:AB57)</f>
        <v>1</v>
      </c>
      <c r="W57" s="68"/>
      <c r="X57" s="68"/>
      <c r="Y57" s="68"/>
      <c r="Z57" s="68"/>
      <c r="AA57" s="82">
        <v>1</v>
      </c>
      <c r="AB57" s="68"/>
      <c r="AC57" s="68"/>
      <c r="AD57" s="75">
        <f>SUM(AE57:AJ57)</f>
        <v>1</v>
      </c>
      <c r="AE57" s="76"/>
      <c r="AF57" s="76"/>
      <c r="AG57" s="76"/>
      <c r="AH57" s="76"/>
      <c r="AI57" s="76">
        <v>1</v>
      </c>
      <c r="AJ57" s="76"/>
      <c r="AK57" s="76"/>
      <c r="AL57" s="77">
        <f>IF((P57-SUM(AE57:AK57))&lt;0,0,P57-SUM(AE57:AK57))</f>
        <v>1</v>
      </c>
      <c r="AM57" s="77">
        <f>SUM(AO57:AT57)</f>
        <v>0</v>
      </c>
      <c r="AN57" s="83" t="s">
        <v>81</v>
      </c>
      <c r="AO57" s="72"/>
      <c r="AP57" s="72"/>
      <c r="AQ57" s="72"/>
      <c r="AR57" s="72"/>
      <c r="AS57" s="72"/>
      <c r="AT57" s="72"/>
      <c r="AU57" s="28" t="s">
        <v>966</v>
      </c>
      <c r="AV57" s="70"/>
      <c r="AW57" s="72"/>
      <c r="AX57" s="94" t="s">
        <v>967</v>
      </c>
    </row>
    <row r="58" spans="1:50" ht="15" customHeight="1">
      <c r="A58" s="70" t="s">
        <v>410</v>
      </c>
      <c r="B58" s="68" t="s">
        <v>345</v>
      </c>
      <c r="C58" s="69" t="s">
        <v>45</v>
      </c>
      <c r="D58" s="70" t="s">
        <v>175</v>
      </c>
      <c r="E58" s="70"/>
      <c r="F58" s="68">
        <v>2</v>
      </c>
      <c r="G58" s="71" t="s">
        <v>317</v>
      </c>
      <c r="H58" s="71" t="s">
        <v>412</v>
      </c>
      <c r="I58" s="71" t="s">
        <v>413</v>
      </c>
      <c r="J58" s="71"/>
      <c r="K58" s="72"/>
      <c r="L58" s="72"/>
      <c r="M58" s="72"/>
      <c r="N58" s="72"/>
      <c r="O58" s="71" t="s">
        <v>411</v>
      </c>
      <c r="P58" s="69">
        <v>2</v>
      </c>
      <c r="Q58" s="68">
        <f>MAX(0,$V58-$P58-$S58)</f>
        <v>0</v>
      </c>
      <c r="R58" s="68"/>
      <c r="S58" s="68"/>
      <c r="T58" s="73">
        <v>0.38</v>
      </c>
      <c r="U58" s="73">
        <f>IF(AND($Q58&gt;0,ISNUMBER($T58)),$Q58*$T58,0)</f>
        <v>0</v>
      </c>
      <c r="V58" s="68">
        <f>SUM(W58:AB58)</f>
        <v>1</v>
      </c>
      <c r="W58" s="68"/>
      <c r="X58" s="68"/>
      <c r="Y58" s="68">
        <v>1</v>
      </c>
      <c r="Z58" s="68"/>
      <c r="AA58" s="68"/>
      <c r="AB58" s="68"/>
      <c r="AC58" s="68"/>
      <c r="AD58" s="75">
        <f>SUM(AE58:AJ58)</f>
        <v>1</v>
      </c>
      <c r="AE58" s="76"/>
      <c r="AF58" s="76"/>
      <c r="AG58" s="76">
        <v>1</v>
      </c>
      <c r="AH58" s="76"/>
      <c r="AI58" s="76"/>
      <c r="AJ58" s="76"/>
      <c r="AK58" s="76"/>
      <c r="AL58" s="77">
        <f>IF((P58-SUM(AE58:AK58))&lt;0,0,P58-SUM(AE58:AK58))</f>
        <v>1</v>
      </c>
      <c r="AM58" s="77">
        <f>SUM(AO58:AT58)</f>
        <v>0</v>
      </c>
      <c r="AN58" s="72"/>
      <c r="AO58" s="72"/>
      <c r="AP58" s="72"/>
      <c r="AQ58" s="72"/>
      <c r="AR58" s="72"/>
      <c r="AS58" s="72"/>
      <c r="AT58" s="72"/>
      <c r="AU58" s="72"/>
      <c r="AV58" s="70"/>
      <c r="AW58" s="72"/>
      <c r="AX58" s="72"/>
    </row>
    <row r="59" spans="1:50" ht="15" customHeight="1">
      <c r="A59" s="86" t="s">
        <v>1225</v>
      </c>
      <c r="B59" s="68" t="s">
        <v>1114</v>
      </c>
      <c r="C59" s="69" t="s">
        <v>45</v>
      </c>
      <c r="D59" s="70" t="s">
        <v>72</v>
      </c>
      <c r="E59" s="70"/>
      <c r="F59" s="68">
        <v>2</v>
      </c>
      <c r="G59" s="71" t="s">
        <v>49</v>
      </c>
      <c r="H59" s="71" t="s">
        <v>1226</v>
      </c>
      <c r="I59" s="71"/>
      <c r="J59" s="71"/>
      <c r="K59" s="72"/>
      <c r="L59" s="72"/>
      <c r="M59" s="72"/>
      <c r="N59" s="72"/>
      <c r="O59" s="71" t="s">
        <v>90</v>
      </c>
      <c r="P59" s="69">
        <v>2</v>
      </c>
      <c r="Q59" s="68">
        <f>MAX(0,$V59-$P59-$S59)</f>
        <v>0</v>
      </c>
      <c r="R59" s="68"/>
      <c r="S59" s="68"/>
      <c r="T59" s="73">
        <v>0.38</v>
      </c>
      <c r="U59" s="73">
        <f>IF(AND($Q59&gt;0,ISNUMBER($T59)),$Q59*$T59,0)</f>
        <v>0</v>
      </c>
      <c r="V59" s="68">
        <f>SUM(W59:AB59)</f>
        <v>2</v>
      </c>
      <c r="W59" s="68"/>
      <c r="X59" s="68"/>
      <c r="Y59" s="87">
        <v>1</v>
      </c>
      <c r="Z59" s="68">
        <v>1</v>
      </c>
      <c r="AA59" s="68"/>
      <c r="AB59" s="68"/>
      <c r="AC59" s="68"/>
      <c r="AD59" s="75">
        <f>SUM(AE59:AJ59)</f>
        <v>2</v>
      </c>
      <c r="AE59" s="76"/>
      <c r="AF59" s="76"/>
      <c r="AG59" s="76">
        <v>1</v>
      </c>
      <c r="AH59" s="76">
        <v>1</v>
      </c>
      <c r="AI59" s="76"/>
      <c r="AJ59" s="76"/>
      <c r="AK59" s="76"/>
      <c r="AL59" s="77">
        <f>IF((P59-SUM(AE59:AK59))&lt;0,0,P59-SUM(AE59:AK59))</f>
        <v>0</v>
      </c>
      <c r="AM59" s="77">
        <f>SUM(AO59:AT59)</f>
        <v>0</v>
      </c>
      <c r="AN59" s="72"/>
      <c r="AO59" s="72"/>
      <c r="AP59" s="72"/>
      <c r="AQ59" s="72"/>
      <c r="AR59" s="72"/>
      <c r="AS59" s="72"/>
      <c r="AT59" s="72"/>
      <c r="AU59" s="72"/>
      <c r="AV59" s="70"/>
      <c r="AW59" s="72"/>
      <c r="AX59" s="72"/>
    </row>
    <row r="60" spans="1:50" ht="15" customHeight="1">
      <c r="A60" s="98" t="s">
        <v>2445</v>
      </c>
      <c r="B60" s="100" t="s">
        <v>1971</v>
      </c>
      <c r="C60" s="101" t="s">
        <v>45</v>
      </c>
      <c r="D60" s="98" t="s">
        <v>64</v>
      </c>
      <c r="E60" s="98" t="s">
        <v>2446</v>
      </c>
      <c r="F60" s="100">
        <v>2</v>
      </c>
      <c r="G60" s="98" t="s">
        <v>530</v>
      </c>
      <c r="H60" s="98" t="s">
        <v>2447</v>
      </c>
      <c r="I60" s="98"/>
      <c r="J60" s="98"/>
      <c r="K60" s="99"/>
      <c r="L60" s="99"/>
      <c r="M60" s="99"/>
      <c r="N60" s="99"/>
      <c r="O60" s="98" t="s">
        <v>136</v>
      </c>
      <c r="P60" s="101">
        <v>2</v>
      </c>
      <c r="Q60" s="68">
        <f>MAX(0,$V60-$P60-$S60)</f>
        <v>0</v>
      </c>
      <c r="R60" s="98"/>
      <c r="S60" s="98"/>
      <c r="T60" s="98">
        <v>0.12</v>
      </c>
      <c r="U60" s="98">
        <f>IF(AND($Q60&gt;0,ISNUMBER($T60)),$Q60*$T60,0)</f>
        <v>0</v>
      </c>
      <c r="V60" s="68">
        <f>SUM(W60:AB60)</f>
        <v>0</v>
      </c>
      <c r="W60" s="100"/>
      <c r="X60" s="100"/>
      <c r="Y60" s="100"/>
      <c r="Z60" s="100"/>
      <c r="AA60" s="100"/>
      <c r="AB60" s="100"/>
      <c r="AC60" s="68"/>
      <c r="AD60" s="75">
        <f>SUM(AE60:AJ60)</f>
        <v>0</v>
      </c>
      <c r="AE60" s="102"/>
      <c r="AF60" s="102"/>
      <c r="AG60" s="102"/>
      <c r="AH60" s="102"/>
      <c r="AI60" s="102"/>
      <c r="AJ60" s="102"/>
      <c r="AK60" s="102"/>
      <c r="AL60" s="77">
        <f>IF((P60-SUM(AE60:AK60))&lt;0,0,P60-SUM(AE60:AK60))</f>
        <v>2</v>
      </c>
      <c r="AM60" s="77">
        <f>SUM(AO60:AT60)</f>
        <v>0</v>
      </c>
      <c r="AN60" s="99"/>
      <c r="AO60" s="99"/>
      <c r="AP60" s="99"/>
      <c r="AQ60" s="99"/>
      <c r="AR60" s="99"/>
      <c r="AS60" s="99"/>
      <c r="AT60" s="99"/>
      <c r="AU60" s="99"/>
      <c r="AV60" s="98"/>
      <c r="AW60" s="99"/>
      <c r="AX60" s="99"/>
    </row>
    <row r="61" spans="1:50" ht="15" customHeight="1">
      <c r="A61" s="70" t="s">
        <v>442</v>
      </c>
      <c r="B61" s="68" t="s">
        <v>345</v>
      </c>
      <c r="C61" s="69" t="s">
        <v>45</v>
      </c>
      <c r="D61" s="70" t="s">
        <v>64</v>
      </c>
      <c r="E61" s="70" t="s">
        <v>365</v>
      </c>
      <c r="F61" s="68">
        <v>6</v>
      </c>
      <c r="G61" s="71" t="s">
        <v>285</v>
      </c>
      <c r="H61" s="71" t="s">
        <v>444</v>
      </c>
      <c r="I61" s="71" t="s">
        <v>445</v>
      </c>
      <c r="J61" s="71" t="s">
        <v>446</v>
      </c>
      <c r="K61" s="72"/>
      <c r="L61" s="72"/>
      <c r="M61" s="72"/>
      <c r="N61" s="72"/>
      <c r="O61" s="71" t="s">
        <v>443</v>
      </c>
      <c r="P61" s="69">
        <v>2</v>
      </c>
      <c r="Q61" s="68">
        <f>MAX(0,$V61-$P61-$S61)</f>
        <v>0</v>
      </c>
      <c r="R61" s="68"/>
      <c r="S61" s="68"/>
      <c r="T61" s="73">
        <v>0.31</v>
      </c>
      <c r="U61" s="73">
        <f>IF(AND($Q61&gt;0,ISNUMBER($T61)),$Q61*$T61,0)</f>
        <v>0</v>
      </c>
      <c r="V61" s="68">
        <f>SUM(W61:AB61)</f>
        <v>0</v>
      </c>
      <c r="W61" s="68"/>
      <c r="X61" s="68"/>
      <c r="Y61" s="68"/>
      <c r="Z61" s="68"/>
      <c r="AA61" s="68"/>
      <c r="AB61" s="68"/>
      <c r="AC61" s="68"/>
      <c r="AD61" s="75">
        <f>SUM(AE61:AJ61)</f>
        <v>0</v>
      </c>
      <c r="AE61" s="76"/>
      <c r="AF61" s="76"/>
      <c r="AG61" s="76"/>
      <c r="AH61" s="76"/>
      <c r="AI61" s="76"/>
      <c r="AJ61" s="76"/>
      <c r="AK61" s="76"/>
      <c r="AL61" s="77">
        <f>IF((P61-SUM(AE61:AK61))&lt;0,0,P61-SUM(AE61:AK61))</f>
        <v>2</v>
      </c>
      <c r="AM61" s="77">
        <f>SUM(AO61:AT61)</f>
        <v>1</v>
      </c>
      <c r="AN61" s="140" t="s">
        <v>105</v>
      </c>
      <c r="AO61" s="72"/>
      <c r="AP61" s="79">
        <v>1</v>
      </c>
      <c r="AQ61" s="72"/>
      <c r="AR61" s="72"/>
      <c r="AS61" s="129"/>
      <c r="AT61" s="72"/>
      <c r="AU61" s="125" t="s">
        <v>447</v>
      </c>
      <c r="AV61" s="70"/>
      <c r="AW61" s="72"/>
      <c r="AX61" s="72"/>
    </row>
    <row r="62" spans="1:50" ht="15" customHeight="1">
      <c r="A62" s="92" t="s">
        <v>1859</v>
      </c>
      <c r="B62" s="90" t="s">
        <v>1831</v>
      </c>
      <c r="C62" s="69" t="s">
        <v>45</v>
      </c>
      <c r="D62" s="92" t="s">
        <v>58</v>
      </c>
      <c r="E62" s="92" t="s">
        <v>726</v>
      </c>
      <c r="F62" s="90">
        <v>3</v>
      </c>
      <c r="G62" s="92" t="s">
        <v>49</v>
      </c>
      <c r="H62" s="92" t="s">
        <v>1860</v>
      </c>
      <c r="I62" s="92" t="s">
        <v>1861</v>
      </c>
      <c r="J62" s="92" t="s">
        <v>1862</v>
      </c>
      <c r="K62" s="72"/>
      <c r="L62" s="72"/>
      <c r="M62" s="72"/>
      <c r="N62" s="72"/>
      <c r="O62" s="92" t="s">
        <v>136</v>
      </c>
      <c r="P62" s="69">
        <v>2</v>
      </c>
      <c r="Q62" s="68">
        <f>MAX(0,$V62-$P62-$S62)</f>
        <v>0</v>
      </c>
      <c r="R62" s="92"/>
      <c r="S62" s="92"/>
      <c r="T62" s="92">
        <v>0.15</v>
      </c>
      <c r="U62" s="92">
        <f>IF(AND($Q62&gt;0,ISNUMBER($T62)),$Q62*$T62,0)</f>
        <v>0</v>
      </c>
      <c r="V62" s="68">
        <f>SUM(W62:AB62)</f>
        <v>0</v>
      </c>
      <c r="W62" s="90"/>
      <c r="X62" s="90"/>
      <c r="Y62" s="90"/>
      <c r="Z62" s="90"/>
      <c r="AA62" s="90"/>
      <c r="AB62" s="90"/>
      <c r="AC62" s="90"/>
      <c r="AD62" s="75">
        <f>SUM(AE62:AJ62)</f>
        <v>0</v>
      </c>
      <c r="AE62" s="76"/>
      <c r="AF62" s="76"/>
      <c r="AG62" s="76"/>
      <c r="AH62" s="76"/>
      <c r="AI62" s="76"/>
      <c r="AJ62" s="76"/>
      <c r="AK62" s="76"/>
      <c r="AL62" s="77">
        <f>IF((P62-SUM(AE62:AK62))&lt;0,0,P62-SUM(AE62:AK62))</f>
        <v>2</v>
      </c>
      <c r="AM62" s="77">
        <f>SUM(AO62:AT62)</f>
        <v>0</v>
      </c>
      <c r="AN62" s="85"/>
      <c r="AO62" s="72"/>
      <c r="AP62" s="72"/>
      <c r="AQ62" s="72"/>
      <c r="AR62" s="72"/>
      <c r="AS62" s="72"/>
      <c r="AT62" s="85"/>
      <c r="AU62" s="85"/>
      <c r="AV62" s="92"/>
      <c r="AW62" s="72"/>
      <c r="AX62" s="72"/>
    </row>
    <row r="63" spans="1:50" ht="15" customHeight="1">
      <c r="A63" s="70" t="s">
        <v>1587</v>
      </c>
      <c r="B63" s="68" t="s">
        <v>1499</v>
      </c>
      <c r="C63" s="69" t="s">
        <v>45</v>
      </c>
      <c r="D63" s="70" t="s">
        <v>64</v>
      </c>
      <c r="E63" s="70" t="s">
        <v>1588</v>
      </c>
      <c r="F63" s="68">
        <v>3</v>
      </c>
      <c r="G63" s="71" t="s">
        <v>1589</v>
      </c>
      <c r="H63" s="71" t="s">
        <v>1590</v>
      </c>
      <c r="I63" s="71"/>
      <c r="J63" s="71"/>
      <c r="K63" s="72"/>
      <c r="L63" s="72"/>
      <c r="M63" s="72"/>
      <c r="N63" s="72"/>
      <c r="O63" s="71" t="s">
        <v>48</v>
      </c>
      <c r="P63" s="69">
        <v>2</v>
      </c>
      <c r="Q63" s="68">
        <f>MAX(0,$V63-$P63-$S63)</f>
        <v>0</v>
      </c>
      <c r="R63" s="68"/>
      <c r="S63" s="68"/>
      <c r="T63" s="73">
        <v>0.18</v>
      </c>
      <c r="U63" s="73">
        <f>IF(AND($Q63&gt;0,ISNUMBER($T63)),$Q63*$T63,0)</f>
        <v>0</v>
      </c>
      <c r="V63" s="68">
        <f>SUM(W63:AB63)</f>
        <v>0</v>
      </c>
      <c r="W63" s="68"/>
      <c r="X63" s="68"/>
      <c r="Y63" s="68"/>
      <c r="Z63" s="68"/>
      <c r="AA63" s="68"/>
      <c r="AB63" s="68"/>
      <c r="AC63" s="68"/>
      <c r="AD63" s="75">
        <f>SUM(AE63:AJ63)</f>
        <v>0</v>
      </c>
      <c r="AE63" s="76"/>
      <c r="AF63" s="76"/>
      <c r="AG63" s="76"/>
      <c r="AH63" s="76"/>
      <c r="AI63" s="76"/>
      <c r="AJ63" s="76"/>
      <c r="AK63" s="76"/>
      <c r="AL63" s="77">
        <f>IF((P63-SUM(AE63:AK63))&lt;0,0,P63-SUM(AE63:AK63))</f>
        <v>2</v>
      </c>
      <c r="AM63" s="77">
        <f>SUM(AO63:AT63)</f>
        <v>0</v>
      </c>
      <c r="AN63" s="85"/>
      <c r="AO63" s="72"/>
      <c r="AP63" s="85"/>
      <c r="AQ63" s="129"/>
      <c r="AR63" s="129"/>
      <c r="AS63" s="72"/>
      <c r="AT63" s="72"/>
      <c r="AU63" s="85"/>
      <c r="AV63" s="70"/>
      <c r="AW63" s="72"/>
      <c r="AX63" s="72"/>
    </row>
    <row r="64" spans="1:50" ht="15" customHeight="1">
      <c r="A64" s="92" t="s">
        <v>2084</v>
      </c>
      <c r="B64" s="90" t="s">
        <v>1971</v>
      </c>
      <c r="C64" s="69" t="s">
        <v>45</v>
      </c>
      <c r="D64" s="92" t="s">
        <v>64</v>
      </c>
      <c r="E64" s="92" t="s">
        <v>1130</v>
      </c>
      <c r="F64" s="90">
        <v>5</v>
      </c>
      <c r="G64" s="92" t="s">
        <v>125</v>
      </c>
      <c r="H64" s="92" t="s">
        <v>2085</v>
      </c>
      <c r="I64" s="92" t="s">
        <v>2086</v>
      </c>
      <c r="J64" s="92"/>
      <c r="K64" s="72"/>
      <c r="L64" s="72"/>
      <c r="M64" s="72"/>
      <c r="N64" s="72"/>
      <c r="O64" s="92" t="s">
        <v>136</v>
      </c>
      <c r="P64" s="69">
        <v>2</v>
      </c>
      <c r="Q64" s="68">
        <f>MAX(0,$V64-$P64-$S64)</f>
        <v>0</v>
      </c>
      <c r="R64" s="92"/>
      <c r="S64" s="92"/>
      <c r="T64" s="92">
        <v>0.15</v>
      </c>
      <c r="U64" s="92">
        <f>IF(AND($Q64&gt;0,ISNUMBER($T64)),$Q64*$T64,0)</f>
        <v>0</v>
      </c>
      <c r="V64" s="68">
        <f>SUM(W64:AB64)</f>
        <v>0</v>
      </c>
      <c r="W64" s="68"/>
      <c r="X64" s="68"/>
      <c r="Y64" s="68"/>
      <c r="Z64" s="68"/>
      <c r="AA64" s="68"/>
      <c r="AB64" s="68"/>
      <c r="AC64" s="68"/>
      <c r="AD64" s="75">
        <f>SUM(AE64:AJ64)</f>
        <v>0</v>
      </c>
      <c r="AE64" s="76"/>
      <c r="AF64" s="76"/>
      <c r="AG64" s="76"/>
      <c r="AH64" s="76"/>
      <c r="AI64" s="76"/>
      <c r="AJ64" s="76"/>
      <c r="AK64" s="76"/>
      <c r="AL64" s="77">
        <f>IF((P64-SUM(AE64:AK64))&lt;0,0,P64-SUM(AE64:AK64))</f>
        <v>2</v>
      </c>
      <c r="AM64" s="77">
        <f>SUM(AO64:AT64)</f>
        <v>0</v>
      </c>
      <c r="AN64" s="129"/>
      <c r="AO64" s="72"/>
      <c r="AP64" s="72"/>
      <c r="AQ64" s="72"/>
      <c r="AR64" s="72"/>
      <c r="AS64" s="72"/>
      <c r="AT64" s="72"/>
      <c r="AU64" s="72"/>
      <c r="AV64" s="92"/>
      <c r="AW64" s="72"/>
      <c r="AX64" s="72"/>
    </row>
    <row r="65" spans="1:50" ht="15" customHeight="1">
      <c r="A65" s="70" t="s">
        <v>976</v>
      </c>
      <c r="B65" s="68" t="s">
        <v>919</v>
      </c>
      <c r="C65" s="69" t="s">
        <v>45</v>
      </c>
      <c r="D65" s="70" t="s">
        <v>627</v>
      </c>
      <c r="E65" s="70"/>
      <c r="F65" s="68">
        <v>0</v>
      </c>
      <c r="G65" s="71" t="s">
        <v>627</v>
      </c>
      <c r="H65" s="71" t="s">
        <v>462</v>
      </c>
      <c r="I65" s="71"/>
      <c r="J65" s="71"/>
      <c r="K65" s="69"/>
      <c r="L65" s="69"/>
      <c r="M65" s="69"/>
      <c r="N65" s="69"/>
      <c r="O65" s="71" t="s">
        <v>977</v>
      </c>
      <c r="P65" s="69">
        <v>2</v>
      </c>
      <c r="Q65" s="68">
        <f>MAX(0,$V65-$P65-$S65)</f>
        <v>0</v>
      </c>
      <c r="R65" s="68"/>
      <c r="S65" s="68"/>
      <c r="T65" s="73">
        <v>0.24</v>
      </c>
      <c r="U65" s="73">
        <f>IF(AND($Q65&gt;0,ISNUMBER($T65)),$Q65*$T65,0)</f>
        <v>0</v>
      </c>
      <c r="V65" s="68">
        <f>SUM(W65:AB65)</f>
        <v>2</v>
      </c>
      <c r="W65" s="68">
        <v>1</v>
      </c>
      <c r="X65" s="68"/>
      <c r="Y65" s="68">
        <v>1</v>
      </c>
      <c r="Z65" s="68"/>
      <c r="AA65" s="68"/>
      <c r="AB65" s="68"/>
      <c r="AC65" s="68"/>
      <c r="AD65" s="75">
        <f>SUM(AE65:AJ65)</f>
        <v>2</v>
      </c>
      <c r="AE65" s="76">
        <v>1</v>
      </c>
      <c r="AF65" s="76"/>
      <c r="AG65" s="76">
        <v>1</v>
      </c>
      <c r="AH65" s="76"/>
      <c r="AI65" s="76"/>
      <c r="AJ65" s="76"/>
      <c r="AK65" s="76"/>
      <c r="AL65" s="77">
        <f>IF((P65-SUM(AE65:AK65))&lt;0,0,P65-SUM(AE65:AK65))</f>
        <v>0</v>
      </c>
      <c r="AM65" s="77">
        <f>SUM(AO65:AT65)</f>
        <v>0</v>
      </c>
      <c r="AN65" s="129"/>
      <c r="AO65" s="72"/>
      <c r="AP65" s="72"/>
      <c r="AQ65" s="129"/>
      <c r="AR65" s="72"/>
      <c r="AS65" s="129"/>
      <c r="AT65" s="72"/>
      <c r="AU65" s="129"/>
      <c r="AV65" s="70"/>
      <c r="AW65" s="72"/>
      <c r="AX65" s="72"/>
    </row>
    <row r="66" spans="1:50" ht="15" customHeight="1">
      <c r="A66" s="70" t="s">
        <v>1596</v>
      </c>
      <c r="B66" s="68" t="s">
        <v>1499</v>
      </c>
      <c r="C66" s="69" t="s">
        <v>45</v>
      </c>
      <c r="D66" s="70" t="s">
        <v>47</v>
      </c>
      <c r="E66" s="70"/>
      <c r="F66" s="68">
        <v>1</v>
      </c>
      <c r="G66" s="71" t="s">
        <v>113</v>
      </c>
      <c r="H66" s="71" t="s">
        <v>1597</v>
      </c>
      <c r="I66" s="71" t="s">
        <v>1598</v>
      </c>
      <c r="J66" s="71"/>
      <c r="K66" s="69"/>
      <c r="L66" s="69"/>
      <c r="M66" s="69"/>
      <c r="N66" s="69"/>
      <c r="O66" s="71" t="s">
        <v>1107</v>
      </c>
      <c r="P66" s="69">
        <v>2</v>
      </c>
      <c r="Q66" s="68">
        <f>MAX(0,$V66-$P66-$S66)</f>
        <v>0</v>
      </c>
      <c r="R66" s="68" t="s">
        <v>57</v>
      </c>
      <c r="S66" s="68">
        <v>1</v>
      </c>
      <c r="T66" s="73">
        <v>0.39</v>
      </c>
      <c r="U66" s="73">
        <f>IF(AND($Q66&gt;0,ISNUMBER($T66)),$Q66*$T66,0)</f>
        <v>0</v>
      </c>
      <c r="V66" s="68">
        <f>SUM(W66:AB66)</f>
        <v>2</v>
      </c>
      <c r="W66" s="68">
        <v>1</v>
      </c>
      <c r="X66" s="68"/>
      <c r="Y66" s="68"/>
      <c r="Z66" s="68"/>
      <c r="AA66" s="68"/>
      <c r="AB66" s="68">
        <v>1</v>
      </c>
      <c r="AC66" s="68"/>
      <c r="AD66" s="75">
        <f>SUM(AE66:AJ66)</f>
        <v>2</v>
      </c>
      <c r="AE66" s="76">
        <v>1</v>
      </c>
      <c r="AF66" s="76"/>
      <c r="AG66" s="76"/>
      <c r="AH66" s="76"/>
      <c r="AI66" s="76"/>
      <c r="AJ66" s="76">
        <v>1</v>
      </c>
      <c r="AK66" s="76"/>
      <c r="AL66" s="77">
        <f>IF((P66-SUM(AE66:AK66))&lt;0,0,P66-SUM(AE66:AK66))</f>
        <v>0</v>
      </c>
      <c r="AM66" s="77">
        <f>SUM(AO66:AT66)</f>
        <v>0</v>
      </c>
      <c r="AN66" s="85"/>
      <c r="AO66" s="72"/>
      <c r="AP66" s="72"/>
      <c r="AQ66" s="85"/>
      <c r="AR66" s="72"/>
      <c r="AS66" s="72"/>
      <c r="AT66" s="85"/>
      <c r="AU66" s="85"/>
      <c r="AV66" s="70"/>
      <c r="AW66" s="72"/>
      <c r="AX66" s="129"/>
    </row>
    <row r="67" spans="1:50" ht="15" customHeight="1">
      <c r="A67" s="92" t="s">
        <v>1260</v>
      </c>
      <c r="B67" s="90" t="s">
        <v>1114</v>
      </c>
      <c r="C67" s="69" t="s">
        <v>45</v>
      </c>
      <c r="D67" s="92" t="s">
        <v>64</v>
      </c>
      <c r="E67" s="92" t="s">
        <v>149</v>
      </c>
      <c r="F67" s="90">
        <v>3</v>
      </c>
      <c r="G67" s="92" t="s">
        <v>54</v>
      </c>
      <c r="H67" s="92" t="s">
        <v>1261</v>
      </c>
      <c r="I67" s="92"/>
      <c r="J67" s="92"/>
      <c r="K67" s="72"/>
      <c r="L67" s="72"/>
      <c r="M67" s="72"/>
      <c r="N67" s="72"/>
      <c r="O67" s="92" t="s">
        <v>136</v>
      </c>
      <c r="P67" s="69">
        <v>2</v>
      </c>
      <c r="Q67" s="68">
        <f>MAX(0,$V67-$P67-$S67)</f>
        <v>0</v>
      </c>
      <c r="R67" s="92"/>
      <c r="S67" s="92"/>
      <c r="T67" s="92">
        <v>0.26</v>
      </c>
      <c r="U67" s="92">
        <f>IF(AND($Q67&gt;0,ISNUMBER($T67)),$Q67*$T67,0)</f>
        <v>0</v>
      </c>
      <c r="V67" s="68">
        <f>SUM(W67:AB67)</f>
        <v>0</v>
      </c>
      <c r="W67" s="90"/>
      <c r="X67" s="90"/>
      <c r="Y67" s="90"/>
      <c r="Z67" s="90"/>
      <c r="AA67" s="90"/>
      <c r="AB67" s="90"/>
      <c r="AC67" s="90"/>
      <c r="AD67" s="75">
        <f>SUM(AE67:AJ67)</f>
        <v>1</v>
      </c>
      <c r="AE67" s="76"/>
      <c r="AF67" s="76"/>
      <c r="AG67" s="76"/>
      <c r="AH67" s="76"/>
      <c r="AI67" s="76"/>
      <c r="AJ67" s="76">
        <v>1</v>
      </c>
      <c r="AK67" s="76"/>
      <c r="AL67" s="77">
        <f>IF((P67-SUM(AE67:AK67))&lt;0,0,P67-SUM(AE67:AK67))</f>
        <v>1</v>
      </c>
      <c r="AM67" s="77">
        <f>SUM(AO67:AT67)</f>
        <v>1</v>
      </c>
      <c r="AN67" s="80" t="s">
        <v>105</v>
      </c>
      <c r="AO67" s="72"/>
      <c r="AP67" s="72"/>
      <c r="AQ67" s="72"/>
      <c r="AR67" s="72"/>
      <c r="AS67" s="72"/>
      <c r="AT67" s="79">
        <v>1</v>
      </c>
      <c r="AU67" s="31" t="s">
        <v>1262</v>
      </c>
      <c r="AV67" s="92"/>
      <c r="AW67" s="72"/>
      <c r="AX67" s="72"/>
    </row>
    <row r="68" spans="1:50" ht="15" customHeight="1">
      <c r="A68" s="86" t="s">
        <v>2098</v>
      </c>
      <c r="B68" s="68" t="s">
        <v>1971</v>
      </c>
      <c r="C68" s="69" t="s">
        <v>45</v>
      </c>
      <c r="D68" s="70" t="s">
        <v>47</v>
      </c>
      <c r="E68" s="70"/>
      <c r="F68" s="68">
        <v>5</v>
      </c>
      <c r="G68" s="71" t="s">
        <v>117</v>
      </c>
      <c r="H68" s="71" t="s">
        <v>2099</v>
      </c>
      <c r="I68" s="71"/>
      <c r="J68" s="71"/>
      <c r="K68" s="72"/>
      <c r="L68" s="72"/>
      <c r="M68" s="72"/>
      <c r="N68" s="72"/>
      <c r="O68" s="71" t="s">
        <v>717</v>
      </c>
      <c r="P68" s="69">
        <v>2</v>
      </c>
      <c r="Q68" s="68">
        <f>MAX(0,$V68-$P68-$S68)</f>
        <v>0</v>
      </c>
      <c r="R68" s="68"/>
      <c r="S68" s="68"/>
      <c r="T68" s="73">
        <v>0.28000000000000003</v>
      </c>
      <c r="U68" s="73">
        <f>IF(AND($Q68&gt;0,ISNUMBER($T68)),$Q68*$T68,0)</f>
        <v>0</v>
      </c>
      <c r="V68" s="68">
        <f>SUM(W68:AB68)</f>
        <v>2</v>
      </c>
      <c r="W68" s="68"/>
      <c r="X68" s="87">
        <v>1</v>
      </c>
      <c r="Y68" s="68"/>
      <c r="Z68" s="68">
        <v>1</v>
      </c>
      <c r="AA68" s="68"/>
      <c r="AB68" s="68"/>
      <c r="AC68" s="68"/>
      <c r="AD68" s="75">
        <f>SUM(AE68:AJ68)</f>
        <v>2</v>
      </c>
      <c r="AE68" s="76"/>
      <c r="AF68" s="76">
        <v>1</v>
      </c>
      <c r="AG68" s="76"/>
      <c r="AH68" s="76">
        <v>1</v>
      </c>
      <c r="AI68" s="76"/>
      <c r="AJ68" s="76"/>
      <c r="AK68" s="76"/>
      <c r="AL68" s="77">
        <f>IF((P68-SUM(AE68:AK68))&lt;0,0,P68-SUM(AE68:AK68))</f>
        <v>0</v>
      </c>
      <c r="AM68" s="77">
        <f>SUM(AO68:AT68)</f>
        <v>0</v>
      </c>
      <c r="AN68" s="129"/>
      <c r="AO68" s="72"/>
      <c r="AP68" s="72"/>
      <c r="AQ68" s="72"/>
      <c r="AR68" s="72"/>
      <c r="AS68" s="72"/>
      <c r="AT68" s="72"/>
      <c r="AU68" s="72"/>
      <c r="AV68" s="70"/>
      <c r="AW68" s="72"/>
      <c r="AX68" s="72"/>
    </row>
    <row r="69" spans="1:50" ht="15" customHeight="1">
      <c r="A69" s="86" t="s">
        <v>707</v>
      </c>
      <c r="B69" s="68" t="s">
        <v>636</v>
      </c>
      <c r="C69" s="69" t="s">
        <v>45</v>
      </c>
      <c r="D69" s="70" t="s">
        <v>64</v>
      </c>
      <c r="E69" s="70" t="s">
        <v>637</v>
      </c>
      <c r="F69" s="68">
        <v>3</v>
      </c>
      <c r="G69" s="71" t="s">
        <v>392</v>
      </c>
      <c r="H69" s="71" t="s">
        <v>708</v>
      </c>
      <c r="I69" s="71" t="s">
        <v>709</v>
      </c>
      <c r="J69" s="71"/>
      <c r="K69" s="69"/>
      <c r="L69" s="69"/>
      <c r="M69" s="69"/>
      <c r="N69" s="69"/>
      <c r="O69" s="71" t="s">
        <v>591</v>
      </c>
      <c r="P69" s="69">
        <v>2</v>
      </c>
      <c r="Q69" s="68">
        <f>MAX(0,$V69-$P69-$S69)</f>
        <v>0</v>
      </c>
      <c r="R69" s="68"/>
      <c r="S69" s="68"/>
      <c r="T69" s="73">
        <v>0.3</v>
      </c>
      <c r="U69" s="73">
        <f>IF(AND($Q69&gt;0,ISNUMBER($T69)),$Q69*$T69,0)</f>
        <v>0</v>
      </c>
      <c r="V69" s="68">
        <f>SUM(W69:AB69)</f>
        <v>2</v>
      </c>
      <c r="W69" s="68"/>
      <c r="X69" s="68">
        <v>1</v>
      </c>
      <c r="Y69" s="87">
        <v>1</v>
      </c>
      <c r="Z69" s="68"/>
      <c r="AA69" s="68"/>
      <c r="AB69" s="68"/>
      <c r="AC69" s="68"/>
      <c r="AD69" s="75">
        <f>SUM(AE69:AJ69)</f>
        <v>2</v>
      </c>
      <c r="AE69" s="76"/>
      <c r="AF69" s="76">
        <v>1</v>
      </c>
      <c r="AG69" s="76">
        <v>1</v>
      </c>
      <c r="AH69" s="76"/>
      <c r="AI69" s="76"/>
      <c r="AJ69" s="76"/>
      <c r="AK69" s="76"/>
      <c r="AL69" s="77">
        <f>IF((P69-SUM(AE69:AK69))&lt;0,0,P69-SUM(AE69:AK69))</f>
        <v>0</v>
      </c>
      <c r="AM69" s="77">
        <f>SUM(AO69:AT69)</f>
        <v>0</v>
      </c>
      <c r="AN69" s="72"/>
      <c r="AO69" s="72"/>
      <c r="AP69" s="72"/>
      <c r="AQ69" s="72"/>
      <c r="AR69" s="72"/>
      <c r="AS69" s="72"/>
      <c r="AT69" s="72"/>
      <c r="AU69" s="72"/>
      <c r="AV69" s="70"/>
      <c r="AW69" s="72"/>
      <c r="AX69" s="72"/>
    </row>
    <row r="70" spans="1:50" ht="15" customHeight="1">
      <c r="A70" s="92" t="s">
        <v>468</v>
      </c>
      <c r="B70" s="90" t="s">
        <v>345</v>
      </c>
      <c r="C70" s="69" t="s">
        <v>45</v>
      </c>
      <c r="D70" s="92" t="s">
        <v>359</v>
      </c>
      <c r="E70" s="92" t="s">
        <v>469</v>
      </c>
      <c r="F70" s="90">
        <v>2</v>
      </c>
      <c r="G70" s="92" t="s">
        <v>470</v>
      </c>
      <c r="H70" s="92" t="s">
        <v>471</v>
      </c>
      <c r="I70" s="92" t="s">
        <v>472</v>
      </c>
      <c r="J70" s="92"/>
      <c r="K70" s="72"/>
      <c r="L70" s="72">
        <v>1</v>
      </c>
      <c r="M70" s="72"/>
      <c r="N70" s="72"/>
      <c r="O70" s="92" t="s">
        <v>48</v>
      </c>
      <c r="P70" s="69">
        <v>2</v>
      </c>
      <c r="Q70" s="68">
        <f>MAX(0,$V70-$P70-$S70)</f>
        <v>0</v>
      </c>
      <c r="R70" s="92"/>
      <c r="S70" s="92"/>
      <c r="T70" s="92">
        <v>0.18</v>
      </c>
      <c r="U70" s="92">
        <f>IF(AND($Q70&gt;0,ISNUMBER($T70)),$Q70*$T70,0)</f>
        <v>0</v>
      </c>
      <c r="V70" s="68">
        <f>SUM(W70:AB70)</f>
        <v>0</v>
      </c>
      <c r="W70" s="68"/>
      <c r="X70" s="68"/>
      <c r="Y70" s="68"/>
      <c r="Z70" s="68"/>
      <c r="AA70" s="68"/>
      <c r="AB70" s="68"/>
      <c r="AC70" s="68"/>
      <c r="AD70" s="75">
        <f>SUM(AE70:AJ70)</f>
        <v>0</v>
      </c>
      <c r="AE70" s="76"/>
      <c r="AF70" s="76"/>
      <c r="AG70" s="76"/>
      <c r="AH70" s="76"/>
      <c r="AI70" s="76"/>
      <c r="AJ70" s="76"/>
      <c r="AK70" s="76"/>
      <c r="AL70" s="77">
        <f>IF((P70-SUM(AE70:AK70))&lt;0,0,P70-SUM(AE70:AK70))</f>
        <v>2</v>
      </c>
      <c r="AM70" s="77">
        <f>SUM(AO70:AT70)</f>
        <v>0</v>
      </c>
      <c r="AN70" s="85"/>
      <c r="AO70" s="85"/>
      <c r="AP70" s="72"/>
      <c r="AQ70" s="72"/>
      <c r="AR70" s="72"/>
      <c r="AS70" s="72"/>
      <c r="AT70" s="72"/>
      <c r="AU70" s="85"/>
      <c r="AV70" s="92"/>
      <c r="AW70" s="72"/>
      <c r="AX70" s="72"/>
    </row>
    <row r="71" spans="1:50" ht="15" customHeight="1">
      <c r="A71" s="70" t="s">
        <v>1274</v>
      </c>
      <c r="B71" s="68" t="s">
        <v>1114</v>
      </c>
      <c r="C71" s="69" t="s">
        <v>45</v>
      </c>
      <c r="D71" s="70" t="s">
        <v>64</v>
      </c>
      <c r="E71" s="70" t="s">
        <v>1189</v>
      </c>
      <c r="F71" s="68">
        <v>3</v>
      </c>
      <c r="G71" s="71" t="s">
        <v>125</v>
      </c>
      <c r="H71" s="71" t="s">
        <v>1275</v>
      </c>
      <c r="I71" s="71" t="s">
        <v>1276</v>
      </c>
      <c r="J71" s="71"/>
      <c r="K71" s="72"/>
      <c r="L71" s="72"/>
      <c r="M71" s="72"/>
      <c r="N71" s="72"/>
      <c r="O71" s="71" t="s">
        <v>48</v>
      </c>
      <c r="P71" s="69">
        <v>2</v>
      </c>
      <c r="Q71" s="68">
        <f>MAX(0,$V71-$P71-$S71)</f>
        <v>0</v>
      </c>
      <c r="R71" s="68"/>
      <c r="S71" s="68"/>
      <c r="T71" s="73">
        <v>0.24</v>
      </c>
      <c r="U71" s="73">
        <f>IF(AND($Q71&gt;0,ISNUMBER($T71)),$Q71*$T71,0)</f>
        <v>0</v>
      </c>
      <c r="V71" s="68">
        <f>SUM(W71:AB71)</f>
        <v>0</v>
      </c>
      <c r="W71" s="68"/>
      <c r="X71" s="68"/>
      <c r="Y71" s="68"/>
      <c r="Z71" s="68"/>
      <c r="AA71" s="68"/>
      <c r="AB71" s="68"/>
      <c r="AC71" s="68"/>
      <c r="AD71" s="75">
        <f>SUM(AE71:AJ71)</f>
        <v>0</v>
      </c>
      <c r="AE71" s="76"/>
      <c r="AF71" s="76"/>
      <c r="AG71" s="76"/>
      <c r="AH71" s="76"/>
      <c r="AI71" s="76"/>
      <c r="AJ71" s="76"/>
      <c r="AK71" s="76"/>
      <c r="AL71" s="77">
        <f>IF((P71-SUM(AE71:AK71))&lt;0,0,P71-SUM(AE71:AK71))</f>
        <v>2</v>
      </c>
      <c r="AM71" s="77">
        <f>SUM(AO71:AT71)</f>
        <v>0</v>
      </c>
      <c r="AN71" s="72"/>
      <c r="AO71" s="72"/>
      <c r="AP71" s="72"/>
      <c r="AQ71" s="72"/>
      <c r="AR71" s="72"/>
      <c r="AS71" s="72"/>
      <c r="AT71" s="72"/>
      <c r="AU71" s="72"/>
      <c r="AV71" s="70"/>
      <c r="AW71" s="72"/>
      <c r="AX71" s="72"/>
    </row>
    <row r="72" spans="1:50" ht="15" customHeight="1">
      <c r="A72" s="81" t="s">
        <v>1277</v>
      </c>
      <c r="B72" s="68" t="s">
        <v>1114</v>
      </c>
      <c r="C72" s="69" t="s">
        <v>45</v>
      </c>
      <c r="D72" s="70" t="s">
        <v>627</v>
      </c>
      <c r="E72" s="70" t="s">
        <v>1078</v>
      </c>
      <c r="F72" s="68">
        <v>0</v>
      </c>
      <c r="G72" s="71" t="s">
        <v>627</v>
      </c>
      <c r="H72" s="71" t="s">
        <v>1278</v>
      </c>
      <c r="I72" s="71"/>
      <c r="J72" s="71"/>
      <c r="K72" s="69"/>
      <c r="L72" s="69"/>
      <c r="M72" s="69"/>
      <c r="N72" s="69"/>
      <c r="O72" s="71" t="s">
        <v>402</v>
      </c>
      <c r="P72" s="69">
        <v>2</v>
      </c>
      <c r="Q72" s="68">
        <f>MAX(0,$V72-$P72-$S72)</f>
        <v>0</v>
      </c>
      <c r="R72" s="68"/>
      <c r="S72" s="68"/>
      <c r="T72" s="73">
        <v>0.1</v>
      </c>
      <c r="U72" s="73">
        <f>IF(AND($Q72&gt;0,ISNUMBER($T72)),$Q72*$T72,0)</f>
        <v>0</v>
      </c>
      <c r="V72" s="68">
        <f>SUM(W72:AB72)</f>
        <v>2</v>
      </c>
      <c r="W72" s="68"/>
      <c r="X72" s="68"/>
      <c r="Y72" s="82">
        <v>1</v>
      </c>
      <c r="Z72" s="82">
        <v>1</v>
      </c>
      <c r="AA72" s="68"/>
      <c r="AB72" s="68"/>
      <c r="AC72" s="68"/>
      <c r="AD72" s="75">
        <f>SUM(AE72:AJ72)</f>
        <v>1</v>
      </c>
      <c r="AE72" s="76"/>
      <c r="AF72" s="76"/>
      <c r="AG72" s="76"/>
      <c r="AH72" s="76">
        <v>1</v>
      </c>
      <c r="AI72" s="76"/>
      <c r="AJ72" s="76"/>
      <c r="AK72" s="76"/>
      <c r="AL72" s="77">
        <f>IF((P72-SUM(AE72:AK72))&lt;0,0,P72-SUM(AE72:AK72))</f>
        <v>1</v>
      </c>
      <c r="AM72" s="77">
        <f>SUM(AO72:AT72)</f>
        <v>0</v>
      </c>
      <c r="AN72" s="138" t="s">
        <v>81</v>
      </c>
      <c r="AO72" s="72"/>
      <c r="AP72" s="72"/>
      <c r="AQ72" s="72"/>
      <c r="AR72" s="72"/>
      <c r="AS72" s="72"/>
      <c r="AT72" s="72"/>
      <c r="AU72" s="28" t="s">
        <v>1279</v>
      </c>
      <c r="AV72" s="70"/>
      <c r="AW72" s="72"/>
      <c r="AX72" s="94" t="s">
        <v>1280</v>
      </c>
    </row>
    <row r="73" spans="1:50" ht="15" customHeight="1">
      <c r="A73" s="70" t="s">
        <v>163</v>
      </c>
      <c r="B73" s="68" t="s">
        <v>46</v>
      </c>
      <c r="C73" s="69" t="s">
        <v>45</v>
      </c>
      <c r="D73" s="70" t="s">
        <v>64</v>
      </c>
      <c r="E73" s="70" t="s">
        <v>164</v>
      </c>
      <c r="F73" s="68">
        <v>3</v>
      </c>
      <c r="G73" s="71" t="s">
        <v>165</v>
      </c>
      <c r="H73" s="71" t="s">
        <v>166</v>
      </c>
      <c r="I73" s="71" t="s">
        <v>167</v>
      </c>
      <c r="J73" s="71"/>
      <c r="K73" s="72"/>
      <c r="L73" s="72">
        <v>1</v>
      </c>
      <c r="M73" s="72"/>
      <c r="N73" s="72"/>
      <c r="O73" s="71" t="s">
        <v>136</v>
      </c>
      <c r="P73" s="69">
        <v>2</v>
      </c>
      <c r="Q73" s="68">
        <f>MAX(0,$V73-$P73-$S73)</f>
        <v>0</v>
      </c>
      <c r="R73" s="68"/>
      <c r="S73" s="68"/>
      <c r="T73" s="73">
        <v>0.12</v>
      </c>
      <c r="U73" s="73">
        <f>IF(AND($Q73&gt;0,ISNUMBER($T73)),$Q73*$T73,0)</f>
        <v>0</v>
      </c>
      <c r="V73" s="68">
        <f>SUM(W73:AB73)</f>
        <v>0</v>
      </c>
      <c r="W73" s="68"/>
      <c r="X73" s="68"/>
      <c r="Y73" s="68"/>
      <c r="Z73" s="68"/>
      <c r="AA73" s="68"/>
      <c r="AB73" s="68"/>
      <c r="AC73" s="68"/>
      <c r="AD73" s="75">
        <f>SUM(AE73:AJ73)</f>
        <v>0</v>
      </c>
      <c r="AE73" s="76"/>
      <c r="AF73" s="76"/>
      <c r="AG73" s="76"/>
      <c r="AH73" s="76"/>
      <c r="AI73" s="76"/>
      <c r="AJ73" s="76"/>
      <c r="AK73" s="76"/>
      <c r="AL73" s="77">
        <f>IF((P73-SUM(AE73:AK73))&lt;0,0,P73-SUM(AE73:AK73))</f>
        <v>2</v>
      </c>
      <c r="AM73" s="77">
        <f>SUM(AO73:AT73)</f>
        <v>0</v>
      </c>
      <c r="AN73" s="85"/>
      <c r="AO73" s="72"/>
      <c r="AP73" s="72"/>
      <c r="AQ73" s="72"/>
      <c r="AR73" s="129"/>
      <c r="AS73" s="72"/>
      <c r="AT73" s="85"/>
      <c r="AU73" s="85"/>
      <c r="AV73" s="70"/>
      <c r="AW73" s="72"/>
      <c r="AX73" s="72"/>
    </row>
    <row r="74" spans="1:50" ht="15" customHeight="1">
      <c r="A74" s="67" t="s">
        <v>1662</v>
      </c>
      <c r="B74" s="68" t="s">
        <v>1499</v>
      </c>
      <c r="C74" s="69" t="s">
        <v>45</v>
      </c>
      <c r="D74" s="70" t="s">
        <v>64</v>
      </c>
      <c r="E74" s="70" t="s">
        <v>1130</v>
      </c>
      <c r="F74" s="68">
        <v>3</v>
      </c>
      <c r="G74" s="71" t="s">
        <v>54</v>
      </c>
      <c r="H74" s="71" t="s">
        <v>1663</v>
      </c>
      <c r="I74" s="71"/>
      <c r="J74" s="71"/>
      <c r="K74" s="72"/>
      <c r="L74" s="72"/>
      <c r="M74" s="72"/>
      <c r="N74" s="72"/>
      <c r="O74" s="71" t="s">
        <v>284</v>
      </c>
      <c r="P74" s="69">
        <v>2</v>
      </c>
      <c r="Q74" s="68">
        <f>MAX(0,$V74-$P74-$S74)</f>
        <v>0</v>
      </c>
      <c r="R74" s="68"/>
      <c r="S74" s="68"/>
      <c r="T74" s="73">
        <v>2.0299999999999998</v>
      </c>
      <c r="U74" s="73">
        <f>IF(AND($Q74&gt;0,ISNUMBER($T74)),$Q74*$T74,0)</f>
        <v>0</v>
      </c>
      <c r="V74" s="68">
        <f>SUM(W74:AB74)</f>
        <v>0</v>
      </c>
      <c r="W74" s="68"/>
      <c r="X74" s="68"/>
      <c r="Y74" s="68"/>
      <c r="Z74" s="68"/>
      <c r="AA74" s="68"/>
      <c r="AB74" s="74"/>
      <c r="AC74" s="68"/>
      <c r="AD74" s="75">
        <f>SUM(AE74:AJ74)</f>
        <v>1</v>
      </c>
      <c r="AE74" s="76"/>
      <c r="AF74" s="76"/>
      <c r="AG74" s="76"/>
      <c r="AH74" s="76"/>
      <c r="AI74" s="76"/>
      <c r="AJ74" s="76">
        <v>1</v>
      </c>
      <c r="AK74" s="76"/>
      <c r="AL74" s="77">
        <f>IF((P74-SUM(AE74:AK74))&lt;0,0,P74-SUM(AE74:AK74))</f>
        <v>1</v>
      </c>
      <c r="AM74" s="77">
        <f>SUM(AO74:AT74)</f>
        <v>1</v>
      </c>
      <c r="AN74" s="78" t="s">
        <v>105</v>
      </c>
      <c r="AO74" s="72"/>
      <c r="AP74" s="72"/>
      <c r="AQ74" s="129"/>
      <c r="AR74" s="72"/>
      <c r="AS74" s="72"/>
      <c r="AT74" s="79">
        <v>1</v>
      </c>
      <c r="AU74" s="125" t="s">
        <v>1664</v>
      </c>
      <c r="AV74" s="70"/>
      <c r="AW74" s="72"/>
      <c r="AX74" s="72"/>
    </row>
    <row r="75" spans="1:50" ht="15" customHeight="1">
      <c r="A75" s="70" t="s">
        <v>1015</v>
      </c>
      <c r="B75" s="68" t="s">
        <v>919</v>
      </c>
      <c r="C75" s="69" t="s">
        <v>45</v>
      </c>
      <c r="D75" s="70" t="s">
        <v>627</v>
      </c>
      <c r="E75" s="70"/>
      <c r="F75" s="68">
        <v>0</v>
      </c>
      <c r="G75" s="71" t="s">
        <v>627</v>
      </c>
      <c r="H75" s="71" t="s">
        <v>964</v>
      </c>
      <c r="I75" s="71" t="s">
        <v>1016</v>
      </c>
      <c r="J75" s="71"/>
      <c r="K75" s="72"/>
      <c r="L75" s="72"/>
      <c r="M75" s="72"/>
      <c r="N75" s="72"/>
      <c r="O75" s="71" t="s">
        <v>869</v>
      </c>
      <c r="P75" s="69">
        <v>2</v>
      </c>
      <c r="Q75" s="68">
        <f>MAX(0,$V75-$P75-$S75)</f>
        <v>0</v>
      </c>
      <c r="R75" s="68"/>
      <c r="S75" s="68"/>
      <c r="T75" s="73">
        <v>0.39</v>
      </c>
      <c r="U75" s="73">
        <f>IF(AND($Q75&gt;0,ISNUMBER($T75)),$Q75*$T75,0)</f>
        <v>0</v>
      </c>
      <c r="V75" s="68">
        <f>SUM(W75:AB75)</f>
        <v>2</v>
      </c>
      <c r="W75" s="68"/>
      <c r="X75" s="68"/>
      <c r="Y75" s="68"/>
      <c r="Z75" s="68">
        <v>1</v>
      </c>
      <c r="AA75" s="68">
        <v>1</v>
      </c>
      <c r="AB75" s="68"/>
      <c r="AC75" s="68"/>
      <c r="AD75" s="75">
        <f>SUM(AE75:AJ75)</f>
        <v>2</v>
      </c>
      <c r="AE75" s="76"/>
      <c r="AF75" s="76"/>
      <c r="AG75" s="76"/>
      <c r="AH75" s="76">
        <v>1</v>
      </c>
      <c r="AI75" s="76">
        <v>1</v>
      </c>
      <c r="AJ75" s="76"/>
      <c r="AK75" s="76"/>
      <c r="AL75" s="77">
        <f>IF((P75-SUM(AE75:AK75))&lt;0,0,P75-SUM(AE75:AK75))</f>
        <v>0</v>
      </c>
      <c r="AM75" s="77">
        <f>SUM(AO75:AT75)</f>
        <v>0</v>
      </c>
      <c r="AN75" s="85"/>
      <c r="AO75" s="72"/>
      <c r="AP75" s="72"/>
      <c r="AQ75" s="72"/>
      <c r="AR75" s="72"/>
      <c r="AS75" s="72"/>
      <c r="AT75" s="72"/>
      <c r="AU75" s="72"/>
      <c r="AV75" s="70"/>
      <c r="AW75" s="72"/>
      <c r="AX75" s="72"/>
    </row>
    <row r="76" spans="1:50" ht="15" customHeight="1">
      <c r="A76" s="70" t="s">
        <v>2145</v>
      </c>
      <c r="B76" s="68" t="s">
        <v>1971</v>
      </c>
      <c r="C76" s="69" t="s">
        <v>45</v>
      </c>
      <c r="D76" s="70" t="s">
        <v>64</v>
      </c>
      <c r="E76" s="70" t="s">
        <v>637</v>
      </c>
      <c r="F76" s="68">
        <v>7</v>
      </c>
      <c r="G76" s="71" t="s">
        <v>54</v>
      </c>
      <c r="H76" s="71" t="s">
        <v>2146</v>
      </c>
      <c r="I76" s="71" t="s">
        <v>2147</v>
      </c>
      <c r="J76" s="71"/>
      <c r="K76" s="72"/>
      <c r="L76" s="72"/>
      <c r="M76" s="72"/>
      <c r="N76" s="72"/>
      <c r="O76" s="71" t="s">
        <v>48</v>
      </c>
      <c r="P76" s="69">
        <v>2</v>
      </c>
      <c r="Q76" s="68">
        <f>MAX(0,$V76-$P76-$S76)</f>
        <v>0</v>
      </c>
      <c r="R76" s="68"/>
      <c r="S76" s="68"/>
      <c r="T76" s="73">
        <v>0.11</v>
      </c>
      <c r="U76" s="73">
        <f>IF(AND($Q76&gt;0,ISNUMBER($T76)),$Q76*$T76,0)</f>
        <v>0</v>
      </c>
      <c r="V76" s="68">
        <f>SUM(W76:AB76)</f>
        <v>0</v>
      </c>
      <c r="W76" s="68"/>
      <c r="X76" s="68"/>
      <c r="Y76" s="68"/>
      <c r="Z76" s="68"/>
      <c r="AA76" s="68"/>
      <c r="AB76" s="68"/>
      <c r="AC76" s="68"/>
      <c r="AD76" s="75">
        <f>SUM(AE76:AJ76)</f>
        <v>1</v>
      </c>
      <c r="AE76" s="76"/>
      <c r="AF76" s="76"/>
      <c r="AG76" s="76"/>
      <c r="AH76" s="76"/>
      <c r="AI76" s="76">
        <v>1</v>
      </c>
      <c r="AJ76" s="76"/>
      <c r="AK76" s="76"/>
      <c r="AL76" s="77">
        <f>IF((P76-SUM(AE76:AK76))&lt;0,0,P76-SUM(AE76:AK76))</f>
        <v>1</v>
      </c>
      <c r="AM76" s="77">
        <f>SUM(AO76:AT76)</f>
        <v>1</v>
      </c>
      <c r="AN76" s="78" t="s">
        <v>105</v>
      </c>
      <c r="AO76" s="72"/>
      <c r="AP76" s="72"/>
      <c r="AQ76" s="72"/>
      <c r="AR76" s="72"/>
      <c r="AS76" s="79">
        <v>1</v>
      </c>
      <c r="AT76" s="72"/>
      <c r="AU76" s="31" t="s">
        <v>2148</v>
      </c>
      <c r="AV76" s="70"/>
      <c r="AW76" s="72"/>
      <c r="AX76" s="72"/>
    </row>
    <row r="77" spans="1:50" ht="15" customHeight="1">
      <c r="A77" s="70" t="s">
        <v>1685</v>
      </c>
      <c r="B77" s="68" t="s">
        <v>1499</v>
      </c>
      <c r="C77" s="69" t="s">
        <v>45</v>
      </c>
      <c r="D77" s="70" t="s">
        <v>123</v>
      </c>
      <c r="E77" s="70" t="s">
        <v>1531</v>
      </c>
      <c r="F77" s="68">
        <v>4</v>
      </c>
      <c r="G77" s="71" t="s">
        <v>1145</v>
      </c>
      <c r="H77" s="71" t="s">
        <v>1687</v>
      </c>
      <c r="I77" s="71"/>
      <c r="J77" s="71"/>
      <c r="K77" s="72"/>
      <c r="L77" s="72"/>
      <c r="M77" s="72"/>
      <c r="N77" s="72"/>
      <c r="O77" s="71" t="s">
        <v>1686</v>
      </c>
      <c r="P77" s="69">
        <v>2</v>
      </c>
      <c r="Q77" s="68">
        <f>MAX(0,$V77-$P77-$S77)</f>
        <v>0</v>
      </c>
      <c r="R77" s="68"/>
      <c r="S77" s="68"/>
      <c r="T77" s="73">
        <v>3.22</v>
      </c>
      <c r="U77" s="73">
        <f>IF(AND($Q77&gt;0,ISNUMBER($T77)),$Q77*$T77,0)</f>
        <v>0</v>
      </c>
      <c r="V77" s="68">
        <f>SUM(W77:AB77)</f>
        <v>1</v>
      </c>
      <c r="W77" s="68"/>
      <c r="X77" s="68"/>
      <c r="Y77" s="68"/>
      <c r="Z77" s="68"/>
      <c r="AA77" s="68"/>
      <c r="AB77" s="68">
        <v>1</v>
      </c>
      <c r="AC77" s="68"/>
      <c r="AD77" s="75">
        <f>SUM(AE77:AJ77)</f>
        <v>1</v>
      </c>
      <c r="AE77" s="76"/>
      <c r="AF77" s="76"/>
      <c r="AG77" s="76"/>
      <c r="AH77" s="76"/>
      <c r="AI77" s="76"/>
      <c r="AJ77" s="76">
        <v>1</v>
      </c>
      <c r="AK77" s="76"/>
      <c r="AL77" s="77">
        <f>IF((P77-SUM(AE77:AK77))&lt;0,0,P77-SUM(AE77:AK77))</f>
        <v>1</v>
      </c>
      <c r="AM77" s="77">
        <f>SUM(AO77:AT77)</f>
        <v>0</v>
      </c>
      <c r="AN77" s="72"/>
      <c r="AO77" s="72"/>
      <c r="AP77" s="72"/>
      <c r="AQ77" s="72"/>
      <c r="AR77" s="72"/>
      <c r="AS77" s="72"/>
      <c r="AT77" s="72"/>
      <c r="AU77" s="72"/>
      <c r="AV77" s="70"/>
      <c r="AW77" s="72"/>
      <c r="AX77" s="72"/>
    </row>
    <row r="78" spans="1:50" ht="15" customHeight="1">
      <c r="A78" s="70" t="s">
        <v>1690</v>
      </c>
      <c r="B78" s="68" t="s">
        <v>1499</v>
      </c>
      <c r="C78" s="69" t="s">
        <v>45</v>
      </c>
      <c r="D78" s="70" t="s">
        <v>47</v>
      </c>
      <c r="E78" s="70"/>
      <c r="F78" s="68">
        <v>2</v>
      </c>
      <c r="G78" s="71" t="s">
        <v>54</v>
      </c>
      <c r="H78" s="71" t="s">
        <v>1580</v>
      </c>
      <c r="I78" s="71"/>
      <c r="J78" s="71"/>
      <c r="K78" s="72"/>
      <c r="L78" s="72"/>
      <c r="M78" s="72"/>
      <c r="N78" s="72"/>
      <c r="O78" s="71" t="s">
        <v>1686</v>
      </c>
      <c r="P78" s="69">
        <v>2</v>
      </c>
      <c r="Q78" s="68">
        <f>MAX(0,$V78-$P78-$S78)</f>
        <v>0</v>
      </c>
      <c r="R78" s="68"/>
      <c r="S78" s="68"/>
      <c r="T78" s="73">
        <v>0.24</v>
      </c>
      <c r="U78" s="73">
        <f>IF(AND($Q78&gt;0,ISNUMBER($T78)),$Q78*$T78,0)</f>
        <v>0</v>
      </c>
      <c r="V78" s="68">
        <f>SUM(W78:AB78)</f>
        <v>1</v>
      </c>
      <c r="W78" s="68"/>
      <c r="X78" s="68"/>
      <c r="Y78" s="68"/>
      <c r="Z78" s="68"/>
      <c r="AA78" s="68"/>
      <c r="AB78" s="68">
        <v>1</v>
      </c>
      <c r="AC78" s="68"/>
      <c r="AD78" s="75">
        <f>SUM(AE78:AJ78)</f>
        <v>1</v>
      </c>
      <c r="AE78" s="76"/>
      <c r="AF78" s="76"/>
      <c r="AG78" s="76"/>
      <c r="AH78" s="76"/>
      <c r="AI78" s="76"/>
      <c r="AJ78" s="76">
        <v>1</v>
      </c>
      <c r="AK78" s="76"/>
      <c r="AL78" s="77">
        <f>IF((P78-SUM(AE78:AK78))&lt;0,0,P78-SUM(AE78:AK78))</f>
        <v>1</v>
      </c>
      <c r="AM78" s="77">
        <f>SUM(AO78:AT78)</f>
        <v>0</v>
      </c>
      <c r="AN78" s="85"/>
      <c r="AO78" s="85"/>
      <c r="AP78" s="72"/>
      <c r="AQ78" s="72"/>
      <c r="AR78" s="72"/>
      <c r="AS78" s="72"/>
      <c r="AT78" s="72"/>
      <c r="AU78" s="85"/>
      <c r="AV78" s="70"/>
      <c r="AW78" s="72"/>
      <c r="AX78" s="72"/>
    </row>
    <row r="79" spans="1:50" ht="15" customHeight="1">
      <c r="A79" s="70" t="s">
        <v>1691</v>
      </c>
      <c r="B79" s="68" t="s">
        <v>1499</v>
      </c>
      <c r="C79" s="69" t="s">
        <v>45</v>
      </c>
      <c r="D79" s="70" t="s">
        <v>64</v>
      </c>
      <c r="E79" s="70" t="s">
        <v>1692</v>
      </c>
      <c r="F79" s="68">
        <v>6</v>
      </c>
      <c r="G79" s="71" t="s">
        <v>165</v>
      </c>
      <c r="H79" s="71" t="s">
        <v>1693</v>
      </c>
      <c r="I79" s="71" t="s">
        <v>1694</v>
      </c>
      <c r="J79" s="71"/>
      <c r="K79" s="72"/>
      <c r="L79" s="72"/>
      <c r="M79" s="72"/>
      <c r="N79" s="72"/>
      <c r="O79" s="71" t="s">
        <v>48</v>
      </c>
      <c r="P79" s="69">
        <v>2</v>
      </c>
      <c r="Q79" s="68">
        <f>MAX(0,$V79-$P79-$S79)</f>
        <v>0</v>
      </c>
      <c r="R79" s="68"/>
      <c r="S79" s="68"/>
      <c r="T79" s="73">
        <v>0.14000000000000001</v>
      </c>
      <c r="U79" s="73">
        <f>IF(AND($Q79&gt;0,ISNUMBER($T79)),$Q79*$T79,0)</f>
        <v>0</v>
      </c>
      <c r="V79" s="68">
        <f>SUM(W79:AB79)</f>
        <v>0</v>
      </c>
      <c r="W79" s="68"/>
      <c r="X79" s="68"/>
      <c r="Y79" s="68"/>
      <c r="Z79" s="68"/>
      <c r="AA79" s="68"/>
      <c r="AB79" s="68"/>
      <c r="AC79" s="68"/>
      <c r="AD79" s="75">
        <f>SUM(AE79:AJ79)</f>
        <v>0</v>
      </c>
      <c r="AE79" s="76"/>
      <c r="AF79" s="76"/>
      <c r="AG79" s="76"/>
      <c r="AH79" s="76"/>
      <c r="AI79" s="76"/>
      <c r="AJ79" s="76"/>
      <c r="AK79" s="76"/>
      <c r="AL79" s="77">
        <f>IF((P79-SUM(AE79:AK79))&lt;0,0,P79-SUM(AE79:AK79))</f>
        <v>2</v>
      </c>
      <c r="AM79" s="77">
        <f>SUM(AO79:AT79)</f>
        <v>0</v>
      </c>
      <c r="AN79" s="72"/>
      <c r="AO79" s="72"/>
      <c r="AP79" s="72"/>
      <c r="AQ79" s="72"/>
      <c r="AR79" s="72"/>
      <c r="AS79" s="72"/>
      <c r="AT79" s="72"/>
      <c r="AU79" s="72"/>
      <c r="AV79" s="70"/>
      <c r="AW79" s="72"/>
      <c r="AX79" s="72"/>
    </row>
    <row r="80" spans="1:50" ht="15" customHeight="1">
      <c r="A80" s="81" t="s">
        <v>1348</v>
      </c>
      <c r="B80" s="68" t="s">
        <v>1114</v>
      </c>
      <c r="C80" s="69" t="s">
        <v>45</v>
      </c>
      <c r="D80" s="70" t="s">
        <v>627</v>
      </c>
      <c r="E80" s="70"/>
      <c r="F80" s="68">
        <v>0</v>
      </c>
      <c r="G80" s="71" t="s">
        <v>627</v>
      </c>
      <c r="H80" s="71" t="s">
        <v>1149</v>
      </c>
      <c r="I80" s="71"/>
      <c r="J80" s="71"/>
      <c r="K80" s="69"/>
      <c r="L80" s="69"/>
      <c r="M80" s="69"/>
      <c r="N80" s="69"/>
      <c r="O80" s="71" t="s">
        <v>449</v>
      </c>
      <c r="P80" s="69">
        <v>2</v>
      </c>
      <c r="Q80" s="68">
        <f>MAX(0,$V80-$P80-$S80)</f>
        <v>0</v>
      </c>
      <c r="R80" s="68"/>
      <c r="S80" s="68"/>
      <c r="T80" s="73">
        <v>0.12</v>
      </c>
      <c r="U80" s="73">
        <f>IF(AND($Q80&gt;0,ISNUMBER($T80)),$Q80*$T80,0)</f>
        <v>0</v>
      </c>
      <c r="V80" s="68">
        <f>SUM(W80:AB80)</f>
        <v>2</v>
      </c>
      <c r="W80" s="68"/>
      <c r="X80" s="82">
        <v>1</v>
      </c>
      <c r="Y80" s="82">
        <v>1</v>
      </c>
      <c r="Z80" s="68"/>
      <c r="AA80" s="68"/>
      <c r="AB80" s="68"/>
      <c r="AC80" s="68"/>
      <c r="AD80" s="75">
        <f>SUM(AE80:AJ80)</f>
        <v>1</v>
      </c>
      <c r="AE80" s="76"/>
      <c r="AF80" s="76">
        <v>1</v>
      </c>
      <c r="AG80" s="76"/>
      <c r="AH80" s="76"/>
      <c r="AI80" s="76"/>
      <c r="AJ80" s="76"/>
      <c r="AK80" s="76"/>
      <c r="AL80" s="77">
        <f>IF((P80-SUM(AE80:AK80))&lt;0,0,P80-SUM(AE80:AK80))</f>
        <v>1</v>
      </c>
      <c r="AM80" s="77">
        <f>SUM(AO80:AT80)</f>
        <v>0</v>
      </c>
      <c r="AN80" s="83" t="s">
        <v>81</v>
      </c>
      <c r="AO80" s="72"/>
      <c r="AP80" s="72"/>
      <c r="AQ80" s="72"/>
      <c r="AR80" s="72"/>
      <c r="AS80" s="72"/>
      <c r="AT80" s="72"/>
      <c r="AU80" s="28" t="s">
        <v>1349</v>
      </c>
      <c r="AV80" s="70"/>
      <c r="AW80" s="72"/>
      <c r="AX80" s="94" t="s">
        <v>1151</v>
      </c>
    </row>
    <row r="81" spans="1:50" ht="15" customHeight="1">
      <c r="A81" s="70" t="s">
        <v>2162</v>
      </c>
      <c r="B81" s="68" t="s">
        <v>1971</v>
      </c>
      <c r="C81" s="69" t="s">
        <v>45</v>
      </c>
      <c r="D81" s="70" t="s">
        <v>64</v>
      </c>
      <c r="E81" s="70" t="s">
        <v>2163</v>
      </c>
      <c r="F81" s="68">
        <v>3</v>
      </c>
      <c r="G81" s="71" t="s">
        <v>296</v>
      </c>
      <c r="H81" s="71" t="s">
        <v>2164</v>
      </c>
      <c r="I81" s="71" t="s">
        <v>2165</v>
      </c>
      <c r="J81" s="71"/>
      <c r="K81" s="72"/>
      <c r="L81" s="72"/>
      <c r="M81" s="72"/>
      <c r="N81" s="72"/>
      <c r="O81" s="71" t="s">
        <v>48</v>
      </c>
      <c r="P81" s="69">
        <v>2</v>
      </c>
      <c r="Q81" s="68">
        <f>MAX(0,$V81-$P81-$S81)</f>
        <v>0</v>
      </c>
      <c r="R81" s="68"/>
      <c r="S81" s="68"/>
      <c r="T81" s="73">
        <v>0.19</v>
      </c>
      <c r="U81" s="73">
        <f>IF(AND($Q81&gt;0,ISNUMBER($T81)),$Q81*$T81,0)</f>
        <v>0</v>
      </c>
      <c r="V81" s="68">
        <f>SUM(W81:AB81)</f>
        <v>0</v>
      </c>
      <c r="W81" s="68"/>
      <c r="X81" s="68"/>
      <c r="Y81" s="68"/>
      <c r="Z81" s="68"/>
      <c r="AA81" s="68"/>
      <c r="AB81" s="68"/>
      <c r="AC81" s="68"/>
      <c r="AD81" s="75">
        <f>SUM(AE81:AJ81)</f>
        <v>0</v>
      </c>
      <c r="AE81" s="76"/>
      <c r="AF81" s="76"/>
      <c r="AG81" s="76"/>
      <c r="AH81" s="76"/>
      <c r="AI81" s="76"/>
      <c r="AJ81" s="76"/>
      <c r="AK81" s="76"/>
      <c r="AL81" s="77">
        <f>IF((P81-SUM(AE81:AK81))&lt;0,0,P81-SUM(AE81:AK81))</f>
        <v>2</v>
      </c>
      <c r="AM81" s="77">
        <f>SUM(AO81:AT81)</f>
        <v>0</v>
      </c>
      <c r="AN81" s="129"/>
      <c r="AO81" s="72"/>
      <c r="AP81" s="72"/>
      <c r="AQ81" s="72"/>
      <c r="AR81" s="72"/>
      <c r="AS81" s="72"/>
      <c r="AT81" s="72"/>
      <c r="AU81" s="72"/>
      <c r="AV81" s="70"/>
      <c r="AW81" s="72"/>
      <c r="AX81" s="72"/>
    </row>
    <row r="82" spans="1:50" ht="15" customHeight="1">
      <c r="A82" s="92" t="s">
        <v>2172</v>
      </c>
      <c r="B82" s="90" t="s">
        <v>1971</v>
      </c>
      <c r="C82" s="69" t="s">
        <v>45</v>
      </c>
      <c r="D82" s="92" t="s">
        <v>47</v>
      </c>
      <c r="E82" s="92"/>
      <c r="F82" s="90">
        <v>1</v>
      </c>
      <c r="G82" s="92" t="s">
        <v>170</v>
      </c>
      <c r="H82" s="92" t="s">
        <v>2173</v>
      </c>
      <c r="I82" s="92" t="s">
        <v>2174</v>
      </c>
      <c r="J82" s="92"/>
      <c r="K82" s="72"/>
      <c r="L82" s="72"/>
      <c r="M82" s="72"/>
      <c r="N82" s="72"/>
      <c r="O82" s="92" t="s">
        <v>136</v>
      </c>
      <c r="P82" s="69">
        <v>2</v>
      </c>
      <c r="Q82" s="68">
        <f>MAX(0,$V82-$P82-$S82)</f>
        <v>0</v>
      </c>
      <c r="R82" s="92"/>
      <c r="S82" s="92"/>
      <c r="T82" s="92">
        <v>0.11</v>
      </c>
      <c r="U82" s="92">
        <f>IF(AND($Q82&gt;0,ISNUMBER($T82)),$Q82*$T82,0)</f>
        <v>0</v>
      </c>
      <c r="V82" s="68">
        <f>SUM(W82:AB82)</f>
        <v>0</v>
      </c>
      <c r="W82" s="90"/>
      <c r="X82" s="90"/>
      <c r="Y82" s="90"/>
      <c r="Z82" s="90"/>
      <c r="AA82" s="90"/>
      <c r="AB82" s="90"/>
      <c r="AC82" s="90"/>
      <c r="AD82" s="75">
        <f>SUM(AE82:AJ82)</f>
        <v>0</v>
      </c>
      <c r="AE82" s="76"/>
      <c r="AF82" s="76"/>
      <c r="AG82" s="76"/>
      <c r="AH82" s="76"/>
      <c r="AI82" s="76"/>
      <c r="AJ82" s="76"/>
      <c r="AK82" s="76"/>
      <c r="AL82" s="77">
        <f>IF((P82-SUM(AE82:AK82))&lt;0,0,P82-SUM(AE82:AK82))</f>
        <v>2</v>
      </c>
      <c r="AM82" s="77">
        <f>SUM(AO82:AT82)</f>
        <v>1</v>
      </c>
      <c r="AN82" s="80" t="s">
        <v>105</v>
      </c>
      <c r="AO82" s="72"/>
      <c r="AP82" s="72"/>
      <c r="AQ82" s="79">
        <v>1</v>
      </c>
      <c r="AR82" s="72"/>
      <c r="AS82" s="72"/>
      <c r="AT82" s="72"/>
      <c r="AU82" s="31" t="s">
        <v>2175</v>
      </c>
      <c r="AV82" s="92"/>
      <c r="AW82" s="72"/>
      <c r="AX82" s="72"/>
    </row>
    <row r="83" spans="1:50" ht="15" customHeight="1">
      <c r="A83" s="70" t="s">
        <v>212</v>
      </c>
      <c r="B83" s="68" t="s">
        <v>46</v>
      </c>
      <c r="C83" s="69" t="s">
        <v>45</v>
      </c>
      <c r="D83" s="70" t="s">
        <v>64</v>
      </c>
      <c r="E83" s="70" t="s">
        <v>213</v>
      </c>
      <c r="F83" s="68">
        <v>4</v>
      </c>
      <c r="G83" s="71" t="s">
        <v>49</v>
      </c>
      <c r="H83" s="71" t="s">
        <v>214</v>
      </c>
      <c r="I83" s="71" t="s">
        <v>215</v>
      </c>
      <c r="J83" s="71"/>
      <c r="K83" s="72"/>
      <c r="L83" s="72"/>
      <c r="M83" s="72"/>
      <c r="N83" s="72"/>
      <c r="O83" s="71" t="s">
        <v>48</v>
      </c>
      <c r="P83" s="69">
        <v>2</v>
      </c>
      <c r="Q83" s="68">
        <f>MAX(0,$V83-$P83-$S83)</f>
        <v>0</v>
      </c>
      <c r="R83" s="68"/>
      <c r="S83" s="68"/>
      <c r="T83" s="73">
        <v>0.22</v>
      </c>
      <c r="U83" s="73">
        <f>IF(AND($Q83&gt;0,ISNUMBER($T83)),$Q83*$T83,0)</f>
        <v>0</v>
      </c>
      <c r="V83" s="68">
        <f>SUM(W83:AB83)</f>
        <v>0</v>
      </c>
      <c r="W83" s="68"/>
      <c r="X83" s="68"/>
      <c r="Y83" s="68"/>
      <c r="Z83" s="68"/>
      <c r="AA83" s="68"/>
      <c r="AB83" s="68"/>
      <c r="AC83" s="68"/>
      <c r="AD83" s="75">
        <f>SUM(AE83:AJ83)</f>
        <v>0</v>
      </c>
      <c r="AE83" s="76"/>
      <c r="AF83" s="76"/>
      <c r="AG83" s="76"/>
      <c r="AH83" s="76"/>
      <c r="AI83" s="76"/>
      <c r="AJ83" s="76"/>
      <c r="AK83" s="76"/>
      <c r="AL83" s="77">
        <f>IF((P83-SUM(AE83:AK83))&lt;0,0,P83-SUM(AE83:AK83))</f>
        <v>2</v>
      </c>
      <c r="AM83" s="77">
        <f>SUM(AO83:AT83)</f>
        <v>0</v>
      </c>
      <c r="AN83" s="85"/>
      <c r="AO83" s="72"/>
      <c r="AP83" s="72"/>
      <c r="AQ83" s="72"/>
      <c r="AR83" s="72"/>
      <c r="AS83" s="72"/>
      <c r="AT83" s="85"/>
      <c r="AU83" s="85"/>
      <c r="AV83" s="70"/>
      <c r="AW83" s="72"/>
      <c r="AX83" s="72"/>
    </row>
    <row r="84" spans="1:50" ht="15" customHeight="1">
      <c r="A84" s="98" t="s">
        <v>2511</v>
      </c>
      <c r="B84" s="100" t="s">
        <v>1971</v>
      </c>
      <c r="C84" s="101" t="s">
        <v>45</v>
      </c>
      <c r="D84" s="98" t="s">
        <v>123</v>
      </c>
      <c r="E84" s="98" t="s">
        <v>2428</v>
      </c>
      <c r="F84" s="100">
        <v>3</v>
      </c>
      <c r="G84" s="98" t="s">
        <v>125</v>
      </c>
      <c r="H84" s="98" t="s">
        <v>2512</v>
      </c>
      <c r="I84" s="98" t="s">
        <v>2430</v>
      </c>
      <c r="J84" s="98"/>
      <c r="K84" s="99"/>
      <c r="L84" s="99">
        <v>1</v>
      </c>
      <c r="M84" s="99"/>
      <c r="N84" s="99"/>
      <c r="O84" s="98" t="s">
        <v>136</v>
      </c>
      <c r="P84" s="101">
        <v>2</v>
      </c>
      <c r="Q84" s="68">
        <f>MAX(0,$V84-$P84-$S84)</f>
        <v>0</v>
      </c>
      <c r="R84" s="98"/>
      <c r="S84" s="98"/>
      <c r="T84" s="98">
        <v>0.15</v>
      </c>
      <c r="U84" s="98">
        <f>IF(AND($Q84&gt;0,ISNUMBER($T84)),$Q84*$T84,0)</f>
        <v>0</v>
      </c>
      <c r="V84" s="68">
        <f>SUM(W84:AB84)</f>
        <v>0</v>
      </c>
      <c r="W84" s="100"/>
      <c r="X84" s="100"/>
      <c r="Y84" s="100"/>
      <c r="Z84" s="100"/>
      <c r="AA84" s="100"/>
      <c r="AB84" s="100"/>
      <c r="AC84" s="68"/>
      <c r="AD84" s="75">
        <f>SUM(AE84:AJ84)</f>
        <v>0</v>
      </c>
      <c r="AE84" s="102"/>
      <c r="AF84" s="102"/>
      <c r="AG84" s="102"/>
      <c r="AH84" s="102"/>
      <c r="AI84" s="102"/>
      <c r="AJ84" s="102"/>
      <c r="AK84" s="102"/>
      <c r="AL84" s="77">
        <f>IF((P84-SUM(AE84:AK84))&lt;0,0,P84-SUM(AE84:AK84))</f>
        <v>2</v>
      </c>
      <c r="AM84" s="77">
        <f>SUM(AO84:AT84)</f>
        <v>0</v>
      </c>
      <c r="AN84" s="99"/>
      <c r="AO84" s="99"/>
      <c r="AP84" s="99"/>
      <c r="AQ84" s="99"/>
      <c r="AR84" s="99"/>
      <c r="AS84" s="99"/>
      <c r="AT84" s="99"/>
      <c r="AU84" s="99"/>
      <c r="AV84" s="98"/>
      <c r="AW84" s="99"/>
      <c r="AX84" s="99"/>
    </row>
    <row r="85" spans="1:50" ht="15" customHeight="1">
      <c r="A85" s="86" t="s">
        <v>523</v>
      </c>
      <c r="B85" s="68" t="s">
        <v>345</v>
      </c>
      <c r="C85" s="69" t="s">
        <v>45</v>
      </c>
      <c r="D85" s="92" t="s">
        <v>175</v>
      </c>
      <c r="E85" s="92"/>
      <c r="F85" s="90">
        <v>2</v>
      </c>
      <c r="G85" s="92" t="s">
        <v>350</v>
      </c>
      <c r="H85" s="92" t="s">
        <v>525</v>
      </c>
      <c r="I85" s="92"/>
      <c r="J85" s="92"/>
      <c r="K85" s="72"/>
      <c r="L85" s="72"/>
      <c r="M85" s="72"/>
      <c r="N85" s="72"/>
      <c r="O85" s="92" t="s">
        <v>524</v>
      </c>
      <c r="P85" s="69">
        <v>2</v>
      </c>
      <c r="Q85" s="68">
        <f>MAX(0,$V85-$P85-$S85)</f>
        <v>0</v>
      </c>
      <c r="R85" s="92"/>
      <c r="S85" s="92"/>
      <c r="T85" s="92">
        <v>0.32</v>
      </c>
      <c r="U85" s="92">
        <f>IF(AND($Q85&gt;0,ISNUMBER($T85)),$Q85*$T85,0)</f>
        <v>0</v>
      </c>
      <c r="V85" s="68">
        <f>SUM(W85:AB85)</f>
        <v>2</v>
      </c>
      <c r="W85" s="90"/>
      <c r="X85" s="90"/>
      <c r="Y85" s="90"/>
      <c r="Z85" s="95">
        <v>1</v>
      </c>
      <c r="AA85" s="95">
        <v>1</v>
      </c>
      <c r="AB85" s="90"/>
      <c r="AC85" s="68"/>
      <c r="AD85" s="75">
        <f>SUM(AE85:AJ85)</f>
        <v>2</v>
      </c>
      <c r="AE85" s="76"/>
      <c r="AF85" s="76"/>
      <c r="AG85" s="76"/>
      <c r="AH85" s="76">
        <v>1</v>
      </c>
      <c r="AI85" s="76">
        <v>1</v>
      </c>
      <c r="AJ85" s="76"/>
      <c r="AK85" s="76"/>
      <c r="AL85" s="77">
        <f>IF((P85-SUM(AE85:AK85))&lt;0,0,P85-SUM(AE85:AK85))</f>
        <v>0</v>
      </c>
      <c r="AM85" s="77">
        <f>SUM(AO85:AT85)</f>
        <v>0</v>
      </c>
      <c r="AN85" s="129"/>
      <c r="AO85" s="72"/>
      <c r="AP85" s="72"/>
      <c r="AQ85" s="72"/>
      <c r="AR85" s="72"/>
      <c r="AS85" s="72"/>
      <c r="AT85" s="129"/>
      <c r="AU85" s="129"/>
      <c r="AV85" s="92"/>
      <c r="AW85" s="72"/>
      <c r="AX85" s="72"/>
    </row>
    <row r="86" spans="1:50" ht="15" customHeight="1">
      <c r="A86" s="70" t="s">
        <v>230</v>
      </c>
      <c r="B86" s="68" t="s">
        <v>46</v>
      </c>
      <c r="C86" s="69" t="s">
        <v>45</v>
      </c>
      <c r="D86" s="70" t="s">
        <v>64</v>
      </c>
      <c r="E86" s="70" t="s">
        <v>231</v>
      </c>
      <c r="F86" s="68">
        <v>3</v>
      </c>
      <c r="G86" s="71" t="s">
        <v>54</v>
      </c>
      <c r="H86" s="71" t="s">
        <v>233</v>
      </c>
      <c r="I86" s="71"/>
      <c r="J86" s="71"/>
      <c r="K86" s="72"/>
      <c r="L86" s="72"/>
      <c r="M86" s="72"/>
      <c r="N86" s="72"/>
      <c r="O86" s="71" t="s">
        <v>232</v>
      </c>
      <c r="P86" s="69">
        <v>2</v>
      </c>
      <c r="Q86" s="68">
        <f>MAX(0,$V86-$P86-$S86)</f>
        <v>0</v>
      </c>
      <c r="R86" s="68"/>
      <c r="S86" s="68"/>
      <c r="T86" s="73">
        <v>0.56999999999999995</v>
      </c>
      <c r="U86" s="73">
        <f>IF(AND($Q86&gt;0,ISNUMBER($T86)),$Q86*$T86,0)</f>
        <v>0</v>
      </c>
      <c r="V86" s="68">
        <f>SUM(W86:AB86)</f>
        <v>1</v>
      </c>
      <c r="W86" s="68"/>
      <c r="X86" s="68"/>
      <c r="Y86" s="68"/>
      <c r="Z86" s="68"/>
      <c r="AA86" s="68">
        <v>1</v>
      </c>
      <c r="AB86" s="68"/>
      <c r="AC86" s="68"/>
      <c r="AD86" s="75">
        <f>SUM(AE86:AJ86)</f>
        <v>1</v>
      </c>
      <c r="AE86" s="76"/>
      <c r="AF86" s="76"/>
      <c r="AG86" s="76"/>
      <c r="AH86" s="76"/>
      <c r="AI86" s="76">
        <v>1</v>
      </c>
      <c r="AJ86" s="76"/>
      <c r="AK86" s="76"/>
      <c r="AL86" s="77">
        <f>IF((P86-SUM(AE86:AK86))&lt;0,0,P86-SUM(AE86:AK86))</f>
        <v>1</v>
      </c>
      <c r="AM86" s="77">
        <f>SUM(AO86:AT86)</f>
        <v>0</v>
      </c>
      <c r="AN86" s="129"/>
      <c r="AO86" s="72"/>
      <c r="AP86" s="129"/>
      <c r="AQ86" s="72"/>
      <c r="AR86" s="72"/>
      <c r="AS86" s="72"/>
      <c r="AT86" s="72"/>
      <c r="AU86" s="129"/>
      <c r="AV86" s="70"/>
      <c r="AW86" s="72"/>
      <c r="AX86" s="72"/>
    </row>
    <row r="87" spans="1:50" ht="15" customHeight="1">
      <c r="A87" s="70" t="s">
        <v>1370</v>
      </c>
      <c r="B87" s="68" t="s">
        <v>1114</v>
      </c>
      <c r="C87" s="69" t="s">
        <v>45</v>
      </c>
      <c r="D87" s="70" t="s">
        <v>64</v>
      </c>
      <c r="E87" s="70" t="s">
        <v>1371</v>
      </c>
      <c r="F87" s="68">
        <v>2</v>
      </c>
      <c r="G87" s="71" t="s">
        <v>125</v>
      </c>
      <c r="H87" s="71" t="s">
        <v>1372</v>
      </c>
      <c r="I87" s="71" t="s">
        <v>1373</v>
      </c>
      <c r="J87" s="71"/>
      <c r="K87" s="72"/>
      <c r="L87" s="72"/>
      <c r="M87" s="72"/>
      <c r="N87" s="72"/>
      <c r="O87" s="71" t="s">
        <v>112</v>
      </c>
      <c r="P87" s="69">
        <v>2</v>
      </c>
      <c r="Q87" s="68">
        <f>MAX(0,$V87-$P87-$S87)</f>
        <v>0</v>
      </c>
      <c r="R87" s="68"/>
      <c r="S87" s="68"/>
      <c r="T87" s="73">
        <v>0.13</v>
      </c>
      <c r="U87" s="73">
        <f>IF(AND($Q87&gt;0,ISNUMBER($T87)),$Q87*$T87,0)</f>
        <v>0</v>
      </c>
      <c r="V87" s="68">
        <f>SUM(W87:AB87)</f>
        <v>0</v>
      </c>
      <c r="W87" s="68"/>
      <c r="X87" s="68"/>
      <c r="Y87" s="68"/>
      <c r="Z87" s="68"/>
      <c r="AA87" s="68"/>
      <c r="AB87" s="68"/>
      <c r="AC87" s="68"/>
      <c r="AD87" s="75">
        <f>SUM(AE87:AJ87)</f>
        <v>0</v>
      </c>
      <c r="AE87" s="76"/>
      <c r="AF87" s="76"/>
      <c r="AG87" s="76"/>
      <c r="AH87" s="76"/>
      <c r="AI87" s="76"/>
      <c r="AJ87" s="76"/>
      <c r="AK87" s="76"/>
      <c r="AL87" s="77">
        <f>IF((P87-SUM(AE87:AK87))&lt;0,0,P87-SUM(AE87:AK87))</f>
        <v>2</v>
      </c>
      <c r="AM87" s="77">
        <f>SUM(AO87:AT87)</f>
        <v>0</v>
      </c>
      <c r="AN87" s="72"/>
      <c r="AO87" s="72"/>
      <c r="AP87" s="72"/>
      <c r="AQ87" s="72"/>
      <c r="AR87" s="72"/>
      <c r="AS87" s="72"/>
      <c r="AT87" s="72"/>
      <c r="AU87" s="72"/>
      <c r="AV87" s="70"/>
      <c r="AW87" s="72"/>
      <c r="AX87" s="72"/>
    </row>
    <row r="88" spans="1:50" ht="15" customHeight="1">
      <c r="A88" s="70" t="s">
        <v>814</v>
      </c>
      <c r="B88" s="68" t="s">
        <v>636</v>
      </c>
      <c r="C88" s="69" t="s">
        <v>45</v>
      </c>
      <c r="D88" s="70" t="s">
        <v>64</v>
      </c>
      <c r="E88" s="70" t="s">
        <v>815</v>
      </c>
      <c r="F88" s="68">
        <v>1</v>
      </c>
      <c r="G88" s="71" t="s">
        <v>656</v>
      </c>
      <c r="H88" s="71" t="s">
        <v>816</v>
      </c>
      <c r="I88" s="71" t="s">
        <v>817</v>
      </c>
      <c r="J88" s="71"/>
      <c r="K88" s="72"/>
      <c r="L88" s="72"/>
      <c r="M88" s="72"/>
      <c r="N88" s="72"/>
      <c r="O88" s="71" t="s">
        <v>256</v>
      </c>
      <c r="P88" s="69">
        <v>2</v>
      </c>
      <c r="Q88" s="68">
        <f>MAX(0,$V88-$P88-$S88)</f>
        <v>0</v>
      </c>
      <c r="R88" s="68"/>
      <c r="S88" s="68"/>
      <c r="T88" s="73">
        <v>0.22</v>
      </c>
      <c r="U88" s="73">
        <f>IF(AND($Q88&gt;0,ISNUMBER($T88)),$Q88*$T88,0)</f>
        <v>0</v>
      </c>
      <c r="V88" s="68">
        <f>SUM(W88:AB88)</f>
        <v>1</v>
      </c>
      <c r="W88" s="68"/>
      <c r="X88" s="68"/>
      <c r="Y88" s="68"/>
      <c r="Z88" s="68">
        <v>1</v>
      </c>
      <c r="AA88" s="68"/>
      <c r="AB88" s="68"/>
      <c r="AC88" s="68"/>
      <c r="AD88" s="75">
        <f>SUM(AE88:AJ88)</f>
        <v>1</v>
      </c>
      <c r="AE88" s="76"/>
      <c r="AF88" s="76"/>
      <c r="AG88" s="76"/>
      <c r="AH88" s="76">
        <v>1</v>
      </c>
      <c r="AI88" s="76"/>
      <c r="AJ88" s="76"/>
      <c r="AK88" s="76"/>
      <c r="AL88" s="77">
        <f>IF((P88-SUM(AE88:AK88))&lt;0,0,P88-SUM(AE88:AK88))</f>
        <v>1</v>
      </c>
      <c r="AM88" s="77">
        <f>SUM(AO88:AT88)</f>
        <v>0</v>
      </c>
      <c r="AN88" s="72"/>
      <c r="AO88" s="72"/>
      <c r="AP88" s="72"/>
      <c r="AQ88" s="72"/>
      <c r="AR88" s="72"/>
      <c r="AS88" s="72"/>
      <c r="AT88" s="72"/>
      <c r="AU88" s="72"/>
      <c r="AV88" s="70"/>
      <c r="AW88" s="72"/>
      <c r="AX88" s="72"/>
    </row>
    <row r="89" spans="1:50" ht="15" customHeight="1">
      <c r="A89" s="70" t="s">
        <v>1374</v>
      </c>
      <c r="B89" s="68" t="s">
        <v>1114</v>
      </c>
      <c r="C89" s="69" t="s">
        <v>45</v>
      </c>
      <c r="D89" s="70" t="s">
        <v>64</v>
      </c>
      <c r="E89" s="70" t="s">
        <v>1375</v>
      </c>
      <c r="F89" s="68">
        <v>2</v>
      </c>
      <c r="G89" s="71" t="s">
        <v>54</v>
      </c>
      <c r="H89" s="71" t="s">
        <v>1376</v>
      </c>
      <c r="I89" s="71"/>
      <c r="J89" s="71"/>
      <c r="K89" s="72"/>
      <c r="L89" s="72">
        <v>1</v>
      </c>
      <c r="M89" s="72"/>
      <c r="N89" s="72"/>
      <c r="O89" s="71" t="s">
        <v>112</v>
      </c>
      <c r="P89" s="69">
        <v>2</v>
      </c>
      <c r="Q89" s="68">
        <f>MAX(0,$V89-$P89-$S89)</f>
        <v>0</v>
      </c>
      <c r="R89" s="68"/>
      <c r="S89" s="68"/>
      <c r="T89" s="73">
        <v>0.06</v>
      </c>
      <c r="U89" s="73">
        <f>IF(AND($Q89&gt;0,ISNUMBER($T89)),$Q89*$T89,0)</f>
        <v>0</v>
      </c>
      <c r="V89" s="68">
        <f>SUM(W89:AB89)</f>
        <v>0</v>
      </c>
      <c r="W89" s="68"/>
      <c r="X89" s="68"/>
      <c r="Y89" s="68"/>
      <c r="Z89" s="68"/>
      <c r="AA89" s="68"/>
      <c r="AB89" s="68"/>
      <c r="AC89" s="68"/>
      <c r="AD89" s="75">
        <f>SUM(AE89:AJ89)</f>
        <v>0</v>
      </c>
      <c r="AE89" s="76"/>
      <c r="AF89" s="76"/>
      <c r="AG89" s="76"/>
      <c r="AH89" s="76"/>
      <c r="AI89" s="76"/>
      <c r="AJ89" s="76"/>
      <c r="AK89" s="76"/>
      <c r="AL89" s="77">
        <f>IF((P89-SUM(AE89:AK89))&lt;0,0,P89-SUM(AE89:AK89))</f>
        <v>2</v>
      </c>
      <c r="AM89" s="77">
        <f>SUM(AO89:AT89)</f>
        <v>0</v>
      </c>
      <c r="AN89" s="72"/>
      <c r="AO89" s="72"/>
      <c r="AP89" s="72"/>
      <c r="AQ89" s="72"/>
      <c r="AR89" s="72"/>
      <c r="AS89" s="72"/>
      <c r="AT89" s="72"/>
      <c r="AU89" s="72"/>
      <c r="AV89" s="70"/>
      <c r="AW89" s="72"/>
      <c r="AX89" s="72"/>
    </row>
    <row r="90" spans="1:50" ht="15" customHeight="1">
      <c r="A90" s="70" t="s">
        <v>544</v>
      </c>
      <c r="B90" s="68" t="s">
        <v>345</v>
      </c>
      <c r="C90" s="69" t="s">
        <v>45</v>
      </c>
      <c r="D90" s="70" t="s">
        <v>175</v>
      </c>
      <c r="E90" s="70"/>
      <c r="F90" s="68">
        <v>2</v>
      </c>
      <c r="G90" s="71" t="s">
        <v>350</v>
      </c>
      <c r="H90" s="71" t="s">
        <v>351</v>
      </c>
      <c r="I90" s="71" t="s">
        <v>545</v>
      </c>
      <c r="J90" s="71"/>
      <c r="K90" s="72"/>
      <c r="L90" s="72"/>
      <c r="M90" s="72"/>
      <c r="N90" s="72"/>
      <c r="O90" s="71" t="s">
        <v>232</v>
      </c>
      <c r="P90" s="69">
        <v>2</v>
      </c>
      <c r="Q90" s="68">
        <f>MAX(0,$V90-$P90-$S90)</f>
        <v>0</v>
      </c>
      <c r="R90" s="68"/>
      <c r="S90" s="68"/>
      <c r="T90" s="73">
        <v>0.2</v>
      </c>
      <c r="U90" s="73">
        <f>IF(AND($Q90&gt;0,ISNUMBER($T90)),$Q90*$T90,0)</f>
        <v>0</v>
      </c>
      <c r="V90" s="68">
        <f>SUM(W90:AB90)</f>
        <v>0</v>
      </c>
      <c r="W90" s="68"/>
      <c r="X90" s="68"/>
      <c r="Y90" s="68"/>
      <c r="Z90" s="68"/>
      <c r="AA90" s="68"/>
      <c r="AB90" s="68"/>
      <c r="AC90" s="68"/>
      <c r="AD90" s="75">
        <f>SUM(AE90:AJ90)</f>
        <v>1</v>
      </c>
      <c r="AE90" s="76"/>
      <c r="AF90" s="76"/>
      <c r="AG90" s="76"/>
      <c r="AH90" s="76">
        <v>1</v>
      </c>
      <c r="AI90" s="76"/>
      <c r="AJ90" s="76"/>
      <c r="AK90" s="76"/>
      <c r="AL90" s="77">
        <f>IF((P90-SUM(AE90:AK90))&lt;0,0,P90-SUM(AE90:AK90))</f>
        <v>1</v>
      </c>
      <c r="AM90" s="77">
        <f>SUM(AO90:AT90)</f>
        <v>2</v>
      </c>
      <c r="AN90" s="80" t="s">
        <v>105</v>
      </c>
      <c r="AO90" s="72"/>
      <c r="AP90" s="72"/>
      <c r="AQ90" s="79">
        <v>1</v>
      </c>
      <c r="AR90" s="79">
        <v>1</v>
      </c>
      <c r="AS90" s="72"/>
      <c r="AT90" s="72"/>
      <c r="AU90" s="31" t="s">
        <v>546</v>
      </c>
      <c r="AV90" s="70"/>
      <c r="AW90" s="72"/>
      <c r="AX90" s="72"/>
    </row>
    <row r="91" spans="1:50" ht="15" customHeight="1">
      <c r="A91" s="92" t="s">
        <v>818</v>
      </c>
      <c r="B91" s="90" t="s">
        <v>636</v>
      </c>
      <c r="C91" s="69" t="s">
        <v>45</v>
      </c>
      <c r="D91" s="92" t="s">
        <v>72</v>
      </c>
      <c r="E91" s="92"/>
      <c r="F91" s="90">
        <v>2</v>
      </c>
      <c r="G91" s="92" t="s">
        <v>49</v>
      </c>
      <c r="H91" s="92" t="s">
        <v>819</v>
      </c>
      <c r="I91" s="92"/>
      <c r="J91" s="92"/>
      <c r="K91" s="72"/>
      <c r="L91" s="72"/>
      <c r="M91" s="72"/>
      <c r="N91" s="72"/>
      <c r="O91" s="92" t="s">
        <v>136</v>
      </c>
      <c r="P91" s="69">
        <v>2</v>
      </c>
      <c r="Q91" s="68">
        <f>MAX(0,$V91-$P91-$S91)</f>
        <v>0</v>
      </c>
      <c r="R91" s="92"/>
      <c r="S91" s="92"/>
      <c r="T91" s="92">
        <v>0.1</v>
      </c>
      <c r="U91" s="92">
        <f>IF(AND($Q91&gt;0,ISNUMBER($T91)),$Q91*$T91,0)</f>
        <v>0</v>
      </c>
      <c r="V91" s="68">
        <f>SUM(W91:AB91)</f>
        <v>0</v>
      </c>
      <c r="W91" s="68"/>
      <c r="X91" s="68"/>
      <c r="Y91" s="68"/>
      <c r="Z91" s="68"/>
      <c r="AA91" s="68"/>
      <c r="AB91" s="68"/>
      <c r="AC91" s="68"/>
      <c r="AD91" s="75">
        <f>SUM(AE91:AJ91)</f>
        <v>0</v>
      </c>
      <c r="AE91" s="76"/>
      <c r="AF91" s="76"/>
      <c r="AG91" s="76"/>
      <c r="AH91" s="76"/>
      <c r="AI91" s="76"/>
      <c r="AJ91" s="76"/>
      <c r="AK91" s="76"/>
      <c r="AL91" s="77">
        <f>IF((P91-SUM(AE91:AK91))&lt;0,0,P91-SUM(AE91:AK91))</f>
        <v>2</v>
      </c>
      <c r="AM91" s="77">
        <f>SUM(AO91:AT91)</f>
        <v>0</v>
      </c>
      <c r="AN91" s="72"/>
      <c r="AO91" s="72"/>
      <c r="AP91" s="72"/>
      <c r="AQ91" s="72"/>
      <c r="AR91" s="72"/>
      <c r="AS91" s="72"/>
      <c r="AT91" s="72"/>
      <c r="AU91" s="72"/>
      <c r="AV91" s="92"/>
      <c r="AW91" s="72"/>
      <c r="AX91" s="72"/>
    </row>
    <row r="92" spans="1:50" ht="15" customHeight="1">
      <c r="A92" s="92" t="s">
        <v>246</v>
      </c>
      <c r="B92" s="90" t="s">
        <v>46</v>
      </c>
      <c r="C92" s="69" t="s">
        <v>45</v>
      </c>
      <c r="D92" s="92" t="s">
        <v>47</v>
      </c>
      <c r="E92" s="92"/>
      <c r="F92" s="90">
        <v>3</v>
      </c>
      <c r="G92" s="92" t="s">
        <v>176</v>
      </c>
      <c r="H92" s="92" t="s">
        <v>247</v>
      </c>
      <c r="I92" s="92" t="s">
        <v>248</v>
      </c>
      <c r="J92" s="92"/>
      <c r="K92" s="72"/>
      <c r="L92" s="72"/>
      <c r="M92" s="72"/>
      <c r="N92" s="72"/>
      <c r="O92" s="92" t="s">
        <v>136</v>
      </c>
      <c r="P92" s="69">
        <v>2</v>
      </c>
      <c r="Q92" s="68">
        <f>MAX(0,$V92-$P92-$S92)</f>
        <v>0</v>
      </c>
      <c r="R92" s="92"/>
      <c r="S92" s="92"/>
      <c r="T92" s="92">
        <v>0.17</v>
      </c>
      <c r="U92" s="92">
        <f>IF(AND($Q92&gt;0,ISNUMBER($T92)),$Q92*$T92,0)</f>
        <v>0</v>
      </c>
      <c r="V92" s="68">
        <f>SUM(W92:AB92)</f>
        <v>0</v>
      </c>
      <c r="W92" s="90"/>
      <c r="X92" s="90"/>
      <c r="Y92" s="90"/>
      <c r="Z92" s="90"/>
      <c r="AA92" s="90"/>
      <c r="AB92" s="90"/>
      <c r="AC92" s="90"/>
      <c r="AD92" s="75">
        <f>SUM(AE92:AJ92)</f>
        <v>1</v>
      </c>
      <c r="AE92" s="76"/>
      <c r="AF92" s="76"/>
      <c r="AG92" s="76">
        <v>1</v>
      </c>
      <c r="AH92" s="76"/>
      <c r="AI92" s="76"/>
      <c r="AJ92" s="76"/>
      <c r="AK92" s="76"/>
      <c r="AL92" s="77">
        <f>IF((P92-SUM(AE92:AK92))&lt;0,0,P92-SUM(AE92:AK92))</f>
        <v>1</v>
      </c>
      <c r="AM92" s="77">
        <f>SUM(AO92:AT92)</f>
        <v>1</v>
      </c>
      <c r="AN92" s="80" t="s">
        <v>105</v>
      </c>
      <c r="AO92" s="72"/>
      <c r="AP92" s="72"/>
      <c r="AQ92" s="79">
        <v>1</v>
      </c>
      <c r="AR92" s="72"/>
      <c r="AS92" s="72"/>
      <c r="AT92" s="72"/>
      <c r="AU92" s="31" t="s">
        <v>249</v>
      </c>
      <c r="AV92" s="92"/>
      <c r="AW92" s="72"/>
      <c r="AX92" s="72"/>
    </row>
    <row r="93" spans="1:50" ht="15" customHeight="1">
      <c r="A93" s="70" t="s">
        <v>1751</v>
      </c>
      <c r="B93" s="68" t="s">
        <v>1499</v>
      </c>
      <c r="C93" s="69" t="s">
        <v>45</v>
      </c>
      <c r="D93" s="70" t="s">
        <v>175</v>
      </c>
      <c r="E93" s="70" t="s">
        <v>390</v>
      </c>
      <c r="F93" s="68">
        <v>2</v>
      </c>
      <c r="G93" s="71" t="s">
        <v>176</v>
      </c>
      <c r="H93" s="71" t="s">
        <v>1752</v>
      </c>
      <c r="I93" s="71" t="s">
        <v>1753</v>
      </c>
      <c r="J93" s="71"/>
      <c r="K93" s="72"/>
      <c r="L93" s="72"/>
      <c r="M93" s="72"/>
      <c r="N93" s="72"/>
      <c r="O93" s="71" t="s">
        <v>136</v>
      </c>
      <c r="P93" s="69">
        <v>2</v>
      </c>
      <c r="Q93" s="68">
        <f>MAX(0,$V93-$P93-$S93)</f>
        <v>0</v>
      </c>
      <c r="R93" s="68"/>
      <c r="S93" s="68"/>
      <c r="T93" s="73">
        <v>0.14000000000000001</v>
      </c>
      <c r="U93" s="73">
        <f>IF(AND($Q93&gt;0,ISNUMBER($T93)),$Q93*$T93,0)</f>
        <v>0</v>
      </c>
      <c r="V93" s="68">
        <f>SUM(W93:AB93)</f>
        <v>0</v>
      </c>
      <c r="W93" s="68"/>
      <c r="X93" s="68"/>
      <c r="Y93" s="68"/>
      <c r="Z93" s="68"/>
      <c r="AA93" s="68"/>
      <c r="AB93" s="68"/>
      <c r="AC93" s="68"/>
      <c r="AD93" s="75">
        <f>SUM(AE93:AJ93)</f>
        <v>0</v>
      </c>
      <c r="AE93" s="76"/>
      <c r="AF93" s="76"/>
      <c r="AG93" s="76"/>
      <c r="AH93" s="76"/>
      <c r="AI93" s="76"/>
      <c r="AJ93" s="76"/>
      <c r="AK93" s="76"/>
      <c r="AL93" s="77">
        <f>IF((P93-SUM(AE93:AK93))&lt;0,0,P93-SUM(AE93:AK93))</f>
        <v>2</v>
      </c>
      <c r="AM93" s="77">
        <f>SUM(AO93:AT93)</f>
        <v>0</v>
      </c>
      <c r="AN93" s="72"/>
      <c r="AO93" s="72"/>
      <c r="AP93" s="72"/>
      <c r="AQ93" s="72"/>
      <c r="AR93" s="72"/>
      <c r="AS93" s="72"/>
      <c r="AT93" s="72"/>
      <c r="AU93" s="72"/>
      <c r="AV93" s="70"/>
      <c r="AW93" s="72"/>
      <c r="AX93" s="72"/>
    </row>
    <row r="94" spans="1:50" ht="15" customHeight="1">
      <c r="A94" s="70" t="s">
        <v>1058</v>
      </c>
      <c r="B94" s="68" t="s">
        <v>919</v>
      </c>
      <c r="C94" s="69" t="s">
        <v>45</v>
      </c>
      <c r="D94" s="70" t="s">
        <v>627</v>
      </c>
      <c r="E94" s="70"/>
      <c r="F94" s="68">
        <v>0</v>
      </c>
      <c r="G94" s="71" t="s">
        <v>627</v>
      </c>
      <c r="H94" s="71" t="s">
        <v>1059</v>
      </c>
      <c r="I94" s="71" t="s">
        <v>941</v>
      </c>
      <c r="J94" s="71"/>
      <c r="K94" s="69"/>
      <c r="L94" s="69"/>
      <c r="M94" s="69"/>
      <c r="N94" s="69"/>
      <c r="O94" s="71" t="s">
        <v>977</v>
      </c>
      <c r="P94" s="69">
        <v>2</v>
      </c>
      <c r="Q94" s="68">
        <f>MAX(0,$V94-$P94-$S94)</f>
        <v>0</v>
      </c>
      <c r="R94" s="68"/>
      <c r="S94" s="68"/>
      <c r="T94" s="73">
        <v>3.58</v>
      </c>
      <c r="U94" s="73">
        <f>IF(AND($Q94&gt;0,ISNUMBER($T94)),$Q94*$T94,0)</f>
        <v>0</v>
      </c>
      <c r="V94" s="68">
        <f>SUM(W94:AB94)</f>
        <v>2</v>
      </c>
      <c r="W94" s="68">
        <v>1</v>
      </c>
      <c r="X94" s="68">
        <v>1</v>
      </c>
      <c r="Y94" s="68"/>
      <c r="Z94" s="68"/>
      <c r="AA94" s="68"/>
      <c r="AB94" s="68"/>
      <c r="AC94" s="68"/>
      <c r="AD94" s="75">
        <f>SUM(AE94:AJ94)</f>
        <v>2</v>
      </c>
      <c r="AE94" s="76">
        <v>1</v>
      </c>
      <c r="AF94" s="76">
        <v>1</v>
      </c>
      <c r="AG94" s="76"/>
      <c r="AH94" s="76"/>
      <c r="AI94" s="76"/>
      <c r="AJ94" s="76"/>
      <c r="AK94" s="76"/>
      <c r="AL94" s="77">
        <f>IF((P94-SUM(AE94:AK94))&lt;0,0,P94-SUM(AE94:AK94))</f>
        <v>0</v>
      </c>
      <c r="AM94" s="77">
        <f>SUM(AO94:AT94)</f>
        <v>0</v>
      </c>
      <c r="AN94" s="129"/>
      <c r="AO94" s="72"/>
      <c r="AP94" s="72"/>
      <c r="AQ94" s="72"/>
      <c r="AR94" s="72"/>
      <c r="AS94" s="72"/>
      <c r="AT94" s="72"/>
      <c r="AU94" s="72"/>
      <c r="AV94" s="70"/>
      <c r="AW94" s="72"/>
      <c r="AX94" s="72"/>
    </row>
    <row r="95" spans="1:50" ht="15" customHeight="1">
      <c r="A95" s="70" t="s">
        <v>2236</v>
      </c>
      <c r="B95" s="68" t="s">
        <v>1971</v>
      </c>
      <c r="C95" s="69" t="s">
        <v>45</v>
      </c>
      <c r="D95" s="70" t="s">
        <v>72</v>
      </c>
      <c r="E95" s="70"/>
      <c r="F95" s="68">
        <v>2</v>
      </c>
      <c r="G95" s="71" t="s">
        <v>438</v>
      </c>
      <c r="H95" s="71" t="s">
        <v>2237</v>
      </c>
      <c r="I95" s="71" t="s">
        <v>2238</v>
      </c>
      <c r="J95" s="71"/>
      <c r="K95" s="72"/>
      <c r="L95" s="72"/>
      <c r="M95" s="72"/>
      <c r="N95" s="72"/>
      <c r="O95" s="71" t="s">
        <v>48</v>
      </c>
      <c r="P95" s="69">
        <v>2</v>
      </c>
      <c r="Q95" s="68">
        <f>MAX(0,$V95-$P95-$S95)</f>
        <v>0</v>
      </c>
      <c r="R95" s="68"/>
      <c r="S95" s="68"/>
      <c r="T95" s="73">
        <v>0.22</v>
      </c>
      <c r="U95" s="73">
        <f>IF(AND($Q95&gt;0,ISNUMBER($T95)),$Q95*$T95,0)</f>
        <v>0</v>
      </c>
      <c r="V95" s="68">
        <f>SUM(W95:AB95)</f>
        <v>0</v>
      </c>
      <c r="W95" s="68"/>
      <c r="X95" s="68"/>
      <c r="Y95" s="68"/>
      <c r="Z95" s="68"/>
      <c r="AA95" s="68"/>
      <c r="AB95" s="68"/>
      <c r="AC95" s="68"/>
      <c r="AD95" s="75">
        <f>SUM(AE95:AJ95)</f>
        <v>0</v>
      </c>
      <c r="AE95" s="76"/>
      <c r="AF95" s="76"/>
      <c r="AG95" s="76"/>
      <c r="AH95" s="76"/>
      <c r="AI95" s="76"/>
      <c r="AJ95" s="76"/>
      <c r="AK95" s="76"/>
      <c r="AL95" s="77">
        <f>IF((P95-SUM(AE95:AK95))&lt;0,0,P95-SUM(AE95:AK95))</f>
        <v>2</v>
      </c>
      <c r="AM95" s="77">
        <f>SUM(AO95:AT95)</f>
        <v>0</v>
      </c>
      <c r="AN95" s="72"/>
      <c r="AO95" s="72"/>
      <c r="AP95" s="72"/>
      <c r="AQ95" s="72"/>
      <c r="AR95" s="72"/>
      <c r="AS95" s="72"/>
      <c r="AT95" s="72"/>
      <c r="AU95" s="72"/>
      <c r="AV95" s="70"/>
      <c r="AW95" s="72"/>
      <c r="AX95" s="72"/>
    </row>
    <row r="96" spans="1:50" ht="15" customHeight="1">
      <c r="A96" s="70" t="s">
        <v>1426</v>
      </c>
      <c r="B96" s="68" t="s">
        <v>1114</v>
      </c>
      <c r="C96" s="69" t="s">
        <v>45</v>
      </c>
      <c r="D96" s="70" t="s">
        <v>123</v>
      </c>
      <c r="E96" s="70" t="s">
        <v>1427</v>
      </c>
      <c r="F96" s="68">
        <v>5</v>
      </c>
      <c r="G96" s="71" t="s">
        <v>616</v>
      </c>
      <c r="H96" s="71" t="s">
        <v>1428</v>
      </c>
      <c r="I96" s="71" t="s">
        <v>1429</v>
      </c>
      <c r="J96" s="71"/>
      <c r="K96" s="69"/>
      <c r="L96" s="69"/>
      <c r="M96" s="69"/>
      <c r="N96" s="69"/>
      <c r="O96" s="71" t="s">
        <v>223</v>
      </c>
      <c r="P96" s="69">
        <v>2</v>
      </c>
      <c r="Q96" s="68">
        <f>MAX(0,$V96-$P96-$S96)</f>
        <v>0</v>
      </c>
      <c r="R96" s="68"/>
      <c r="S96" s="68"/>
      <c r="T96" s="73">
        <v>0.31</v>
      </c>
      <c r="U96" s="73">
        <f>IF(AND($Q96&gt;0,ISNUMBER($T96)),$Q96*$T96,0)</f>
        <v>0</v>
      </c>
      <c r="V96" s="68">
        <f>SUM(W96:AB96)</f>
        <v>1</v>
      </c>
      <c r="W96" s="68"/>
      <c r="X96" s="68">
        <v>1</v>
      </c>
      <c r="Y96" s="68"/>
      <c r="Z96" s="68"/>
      <c r="AA96" s="68"/>
      <c r="AB96" s="68"/>
      <c r="AC96" s="68"/>
      <c r="AD96" s="75">
        <f>SUM(AE96:AJ96)</f>
        <v>1</v>
      </c>
      <c r="AE96" s="76"/>
      <c r="AF96" s="76">
        <v>1</v>
      </c>
      <c r="AG96" s="76"/>
      <c r="AH96" s="76"/>
      <c r="AI96" s="76"/>
      <c r="AJ96" s="76"/>
      <c r="AK96" s="76"/>
      <c r="AL96" s="77">
        <f>IF((P96-SUM(AE96:AK96))&lt;0,0,P96-SUM(AE96:AK96))</f>
        <v>1</v>
      </c>
      <c r="AM96" s="77">
        <f>SUM(AO96:AT96)</f>
        <v>0</v>
      </c>
      <c r="AN96" s="72"/>
      <c r="AO96" s="72"/>
      <c r="AP96" s="72"/>
      <c r="AQ96" s="72"/>
      <c r="AR96" s="72"/>
      <c r="AS96" s="72"/>
      <c r="AT96" s="72"/>
      <c r="AU96" s="72"/>
      <c r="AV96" s="70"/>
      <c r="AW96" s="72"/>
      <c r="AX96" s="72"/>
    </row>
    <row r="97" spans="1:50" ht="15" customHeight="1">
      <c r="A97" s="86" t="s">
        <v>2242</v>
      </c>
      <c r="B97" s="68" t="s">
        <v>1971</v>
      </c>
      <c r="C97" s="69" t="s">
        <v>45</v>
      </c>
      <c r="D97" s="70" t="s">
        <v>72</v>
      </c>
      <c r="E97" s="70"/>
      <c r="F97" s="68">
        <v>3</v>
      </c>
      <c r="G97" s="71" t="s">
        <v>499</v>
      </c>
      <c r="H97" s="71" t="s">
        <v>2243</v>
      </c>
      <c r="I97" s="71" t="s">
        <v>2244</v>
      </c>
      <c r="J97" s="71"/>
      <c r="K97" s="72"/>
      <c r="L97" s="72"/>
      <c r="M97" s="72"/>
      <c r="N97" s="72"/>
      <c r="O97" s="71" t="s">
        <v>402</v>
      </c>
      <c r="P97" s="69">
        <v>2</v>
      </c>
      <c r="Q97" s="68">
        <f>MAX(0,$V97-$P97-$S97)</f>
        <v>0</v>
      </c>
      <c r="R97" s="68"/>
      <c r="S97" s="68"/>
      <c r="T97" s="73">
        <v>0.18</v>
      </c>
      <c r="U97" s="73">
        <f>IF(AND($Q97&gt;0,ISNUMBER($T97)),$Q97*$T97,0)</f>
        <v>0</v>
      </c>
      <c r="V97" s="68">
        <f>SUM(W97:AB97)</f>
        <v>2</v>
      </c>
      <c r="W97" s="68"/>
      <c r="X97" s="68"/>
      <c r="Y97" s="87">
        <v>1</v>
      </c>
      <c r="Z97" s="68"/>
      <c r="AA97" s="68">
        <v>1</v>
      </c>
      <c r="AB97" s="68"/>
      <c r="AC97" s="68"/>
      <c r="AD97" s="75">
        <f>SUM(AE97:AJ97)</f>
        <v>2</v>
      </c>
      <c r="AE97" s="76"/>
      <c r="AF97" s="76"/>
      <c r="AG97" s="76">
        <v>1</v>
      </c>
      <c r="AH97" s="76"/>
      <c r="AI97" s="76">
        <v>1</v>
      </c>
      <c r="AJ97" s="76"/>
      <c r="AK97" s="76"/>
      <c r="AL97" s="77">
        <f>IF((P97-SUM(AE97:AK97))&lt;0,0,P97-SUM(AE97:AK97))</f>
        <v>0</v>
      </c>
      <c r="AM97" s="77">
        <f>SUM(AO97:AT97)</f>
        <v>0</v>
      </c>
      <c r="AN97" s="72"/>
      <c r="AO97" s="72"/>
      <c r="AP97" s="72"/>
      <c r="AQ97" s="72"/>
      <c r="AR97" s="72"/>
      <c r="AS97" s="72"/>
      <c r="AT97" s="72"/>
      <c r="AU97" s="72"/>
      <c r="AV97" s="70"/>
      <c r="AW97" s="72"/>
      <c r="AX97" s="72"/>
    </row>
    <row r="98" spans="1:50" ht="15" customHeight="1">
      <c r="A98" s="81" t="s">
        <v>1434</v>
      </c>
      <c r="B98" s="68" t="s">
        <v>1114</v>
      </c>
      <c r="C98" s="69" t="s">
        <v>45</v>
      </c>
      <c r="D98" s="70" t="s">
        <v>627</v>
      </c>
      <c r="E98" s="70" t="s">
        <v>1078</v>
      </c>
      <c r="F98" s="68">
        <v>0</v>
      </c>
      <c r="G98" s="71" t="s">
        <v>627</v>
      </c>
      <c r="H98" s="71" t="s">
        <v>1435</v>
      </c>
      <c r="I98" s="71"/>
      <c r="J98" s="71"/>
      <c r="K98" s="69"/>
      <c r="L98" s="69"/>
      <c r="M98" s="69"/>
      <c r="N98" s="69"/>
      <c r="O98" s="71" t="s">
        <v>402</v>
      </c>
      <c r="P98" s="69">
        <v>2</v>
      </c>
      <c r="Q98" s="68">
        <f>MAX(0,$V98-$P98-$S98)</f>
        <v>0</v>
      </c>
      <c r="R98" s="68"/>
      <c r="S98" s="68"/>
      <c r="T98" s="73">
        <v>0.11</v>
      </c>
      <c r="U98" s="73">
        <f>IF(AND($Q98&gt;0,ISNUMBER($T98)),$Q98*$T98,0)</f>
        <v>0</v>
      </c>
      <c r="V98" s="68">
        <f>SUM(W98:AB98)</f>
        <v>2</v>
      </c>
      <c r="W98" s="68"/>
      <c r="X98" s="82">
        <v>1</v>
      </c>
      <c r="Y98" s="82">
        <v>1</v>
      </c>
      <c r="Z98" s="68"/>
      <c r="AA98" s="68"/>
      <c r="AB98" s="68"/>
      <c r="AC98" s="68"/>
      <c r="AD98" s="75">
        <f>SUM(AE98:AJ98)</f>
        <v>1</v>
      </c>
      <c r="AE98" s="76"/>
      <c r="AF98" s="76">
        <v>1</v>
      </c>
      <c r="AG98" s="76"/>
      <c r="AH98" s="76"/>
      <c r="AI98" s="76"/>
      <c r="AJ98" s="76"/>
      <c r="AK98" s="76"/>
      <c r="AL98" s="77">
        <f>IF((P98-SUM(AE98:AK98))&lt;0,0,P98-SUM(AE98:AK98))</f>
        <v>1</v>
      </c>
      <c r="AM98" s="77">
        <f>SUM(AO98:AT98)</f>
        <v>0</v>
      </c>
      <c r="AN98" s="88" t="s">
        <v>81</v>
      </c>
      <c r="AO98" s="72"/>
      <c r="AP98" s="85"/>
      <c r="AQ98" s="72"/>
      <c r="AR98" s="72"/>
      <c r="AS98" s="72"/>
      <c r="AT98" s="72"/>
      <c r="AU98" s="29" t="s">
        <v>1436</v>
      </c>
      <c r="AV98" s="70"/>
      <c r="AW98" s="72"/>
      <c r="AX98" s="94" t="s">
        <v>1280</v>
      </c>
    </row>
    <row r="99" spans="1:50" ht="15" customHeight="1">
      <c r="A99" s="86" t="s">
        <v>2260</v>
      </c>
      <c r="B99" s="68" t="s">
        <v>1971</v>
      </c>
      <c r="C99" s="69" t="s">
        <v>45</v>
      </c>
      <c r="D99" s="70" t="s">
        <v>47</v>
      </c>
      <c r="E99" s="70"/>
      <c r="F99" s="68">
        <v>3</v>
      </c>
      <c r="G99" s="71" t="s">
        <v>296</v>
      </c>
      <c r="H99" s="71" t="s">
        <v>2261</v>
      </c>
      <c r="I99" s="71" t="s">
        <v>2262</v>
      </c>
      <c r="J99" s="71" t="s">
        <v>2263</v>
      </c>
      <c r="K99" s="69"/>
      <c r="L99" s="69"/>
      <c r="M99" s="69"/>
      <c r="N99" s="69"/>
      <c r="O99" s="71" t="s">
        <v>495</v>
      </c>
      <c r="P99" s="69">
        <v>2</v>
      </c>
      <c r="Q99" s="68">
        <f>MAX(0,$V99-$P99-$S99)</f>
        <v>0</v>
      </c>
      <c r="R99" s="68"/>
      <c r="S99" s="68"/>
      <c r="T99" s="73">
        <v>0.39</v>
      </c>
      <c r="U99" s="73">
        <f>IF(AND($Q99&gt;0,ISNUMBER($T99)),$Q99*$T99,0)</f>
        <v>0</v>
      </c>
      <c r="V99" s="68">
        <f>SUM(W99:AB99)</f>
        <v>2</v>
      </c>
      <c r="W99" s="68">
        <v>1</v>
      </c>
      <c r="X99" s="68"/>
      <c r="Y99" s="68"/>
      <c r="Z99" s="68"/>
      <c r="AA99" s="87">
        <v>1</v>
      </c>
      <c r="AB99" s="68"/>
      <c r="AC99" s="68"/>
      <c r="AD99" s="75">
        <f>SUM(AE99:AJ99)</f>
        <v>2</v>
      </c>
      <c r="AE99" s="76">
        <v>1</v>
      </c>
      <c r="AF99" s="76"/>
      <c r="AG99" s="76"/>
      <c r="AH99" s="76"/>
      <c r="AI99" s="76">
        <v>1</v>
      </c>
      <c r="AJ99" s="76"/>
      <c r="AK99" s="76"/>
      <c r="AL99" s="77">
        <f>IF((P99-SUM(AE99:AK99))&lt;0,0,P99-SUM(AE99:AK99))</f>
        <v>0</v>
      </c>
      <c r="AM99" s="77">
        <f>SUM(AO99:AT99)</f>
        <v>0</v>
      </c>
      <c r="AN99" s="129"/>
      <c r="AO99" s="72"/>
      <c r="AP99" s="72"/>
      <c r="AQ99" s="72"/>
      <c r="AR99" s="72"/>
      <c r="AS99" s="72"/>
      <c r="AT99" s="72"/>
      <c r="AU99" s="72"/>
      <c r="AV99" s="70"/>
      <c r="AW99" s="72"/>
      <c r="AX99" s="72"/>
    </row>
    <row r="100" spans="1:50" ht="15" customHeight="1">
      <c r="A100" s="81" t="s">
        <v>1077</v>
      </c>
      <c r="B100" s="68" t="s">
        <v>919</v>
      </c>
      <c r="C100" s="69" t="s">
        <v>45</v>
      </c>
      <c r="D100" s="70" t="s">
        <v>627</v>
      </c>
      <c r="E100" s="70" t="s">
        <v>1078</v>
      </c>
      <c r="F100" s="68">
        <v>0</v>
      </c>
      <c r="G100" s="71" t="s">
        <v>627</v>
      </c>
      <c r="H100" s="71" t="s">
        <v>1010</v>
      </c>
      <c r="I100" s="71"/>
      <c r="J100" s="71"/>
      <c r="K100" s="69"/>
      <c r="L100" s="69"/>
      <c r="M100" s="69"/>
      <c r="N100" s="69"/>
      <c r="O100" s="71" t="s">
        <v>866</v>
      </c>
      <c r="P100" s="69">
        <v>2</v>
      </c>
      <c r="Q100" s="68">
        <f>MAX(0,$V100-$P100-$S100)</f>
        <v>0</v>
      </c>
      <c r="R100" s="68"/>
      <c r="S100" s="68"/>
      <c r="T100" s="73">
        <v>0.11</v>
      </c>
      <c r="U100" s="73">
        <f>IF(AND($Q100&gt;0,ISNUMBER($T100)),$Q100*$T100,0)</f>
        <v>0</v>
      </c>
      <c r="V100" s="68">
        <f>SUM(W100:AB100)</f>
        <v>1</v>
      </c>
      <c r="W100" s="68"/>
      <c r="X100" s="82">
        <v>1</v>
      </c>
      <c r="Y100" s="68"/>
      <c r="Z100" s="68"/>
      <c r="AA100" s="68"/>
      <c r="AB100" s="68"/>
      <c r="AC100" s="68"/>
      <c r="AD100" s="75">
        <f>SUM(AE100:AJ100)</f>
        <v>1</v>
      </c>
      <c r="AE100" s="76"/>
      <c r="AF100" s="76">
        <v>1</v>
      </c>
      <c r="AG100" s="76"/>
      <c r="AH100" s="76"/>
      <c r="AI100" s="76"/>
      <c r="AJ100" s="76"/>
      <c r="AK100" s="76"/>
      <c r="AL100" s="77">
        <f>IF((P100-SUM(AE100:AK100))&lt;0,0,P100-SUM(AE100:AK100))</f>
        <v>1</v>
      </c>
      <c r="AM100" s="77">
        <f>SUM(AO100:AT100)</f>
        <v>0</v>
      </c>
      <c r="AN100" s="83" t="s">
        <v>81</v>
      </c>
      <c r="AO100" s="72"/>
      <c r="AP100" s="72"/>
      <c r="AQ100" s="72"/>
      <c r="AR100" s="72"/>
      <c r="AS100" s="72"/>
      <c r="AT100" s="72"/>
      <c r="AU100" s="28" t="s">
        <v>1079</v>
      </c>
      <c r="AV100" s="70"/>
      <c r="AW100" s="72"/>
      <c r="AX100" s="94" t="s">
        <v>1080</v>
      </c>
    </row>
    <row r="101" spans="1:50" ht="15" customHeight="1">
      <c r="A101" s="86" t="s">
        <v>557</v>
      </c>
      <c r="B101" s="68" t="s">
        <v>345</v>
      </c>
      <c r="C101" s="69" t="s">
        <v>45</v>
      </c>
      <c r="D101" s="70" t="s">
        <v>175</v>
      </c>
      <c r="E101" s="70"/>
      <c r="F101" s="68">
        <v>2</v>
      </c>
      <c r="G101" s="71" t="s">
        <v>350</v>
      </c>
      <c r="H101" s="71" t="s">
        <v>558</v>
      </c>
      <c r="I101" s="71"/>
      <c r="J101" s="71"/>
      <c r="K101" s="72"/>
      <c r="L101" s="72"/>
      <c r="M101" s="72"/>
      <c r="N101" s="72"/>
      <c r="O101" s="71" t="s">
        <v>378</v>
      </c>
      <c r="P101" s="69">
        <v>2</v>
      </c>
      <c r="Q101" s="68">
        <f>MAX(0,$V101-$P101-$S101)</f>
        <v>0</v>
      </c>
      <c r="R101" s="68"/>
      <c r="S101" s="68"/>
      <c r="T101" s="73">
        <v>0.35</v>
      </c>
      <c r="U101" s="73">
        <f>IF(AND($Q101&gt;0,ISNUMBER($T101)),$Q101*$T101,0)</f>
        <v>0</v>
      </c>
      <c r="V101" s="68">
        <f>SUM(W101:AB101)</f>
        <v>2</v>
      </c>
      <c r="W101" s="68"/>
      <c r="X101" s="68">
        <v>1</v>
      </c>
      <c r="Y101" s="87">
        <v>1</v>
      </c>
      <c r="Z101" s="68"/>
      <c r="AA101" s="68"/>
      <c r="AB101" s="68"/>
      <c r="AC101" s="68"/>
      <c r="AD101" s="75">
        <f>SUM(AE101:AJ101)</f>
        <v>2</v>
      </c>
      <c r="AE101" s="76"/>
      <c r="AF101" s="76">
        <v>1</v>
      </c>
      <c r="AG101" s="76">
        <v>1</v>
      </c>
      <c r="AH101" s="76"/>
      <c r="AI101" s="76"/>
      <c r="AJ101" s="76"/>
      <c r="AK101" s="76"/>
      <c r="AL101" s="77">
        <f>IF((P101-SUM(AE101:AK101))&lt;0,0,P101-SUM(AE101:AK101))</f>
        <v>0</v>
      </c>
      <c r="AM101" s="77">
        <f>SUM(AO101:AT101)</f>
        <v>0</v>
      </c>
      <c r="AN101" s="72"/>
      <c r="AO101" s="72"/>
      <c r="AP101" s="72"/>
      <c r="AQ101" s="72"/>
      <c r="AR101" s="72"/>
      <c r="AS101" s="72"/>
      <c r="AT101" s="72"/>
      <c r="AU101" s="72"/>
      <c r="AV101" s="70"/>
      <c r="AW101" s="72"/>
      <c r="AX101" s="72"/>
    </row>
    <row r="102" spans="1:50" ht="15" customHeight="1">
      <c r="A102" s="70" t="s">
        <v>559</v>
      </c>
      <c r="B102" s="68" t="s">
        <v>345</v>
      </c>
      <c r="C102" s="69" t="s">
        <v>45</v>
      </c>
      <c r="D102" s="70" t="s">
        <v>175</v>
      </c>
      <c r="E102" s="70" t="s">
        <v>390</v>
      </c>
      <c r="F102" s="68">
        <v>1</v>
      </c>
      <c r="G102" s="71" t="s">
        <v>176</v>
      </c>
      <c r="H102" s="71" t="s">
        <v>560</v>
      </c>
      <c r="I102" s="71" t="s">
        <v>561</v>
      </c>
      <c r="J102" s="71"/>
      <c r="K102" s="69"/>
      <c r="L102" s="69"/>
      <c r="M102" s="69"/>
      <c r="N102" s="69"/>
      <c r="O102" s="71" t="s">
        <v>428</v>
      </c>
      <c r="P102" s="69">
        <v>2</v>
      </c>
      <c r="Q102" s="68">
        <f>MAX(0,$V102-$P102-$S102)</f>
        <v>0</v>
      </c>
      <c r="R102" s="68"/>
      <c r="S102" s="68"/>
      <c r="T102" s="73">
        <v>5.89</v>
      </c>
      <c r="U102" s="73">
        <f>IF(AND($Q102&gt;0,ISNUMBER($T102)),$Q102*$T102,0)</f>
        <v>0</v>
      </c>
      <c r="V102" s="68">
        <f>SUM(W102:AB102)</f>
        <v>2</v>
      </c>
      <c r="W102" s="68"/>
      <c r="X102" s="68"/>
      <c r="Y102" s="68"/>
      <c r="Z102" s="68"/>
      <c r="AA102" s="68">
        <v>1</v>
      </c>
      <c r="AB102" s="68">
        <v>1</v>
      </c>
      <c r="AC102" s="68"/>
      <c r="AD102" s="75">
        <f>SUM(AE102:AJ102)</f>
        <v>2</v>
      </c>
      <c r="AE102" s="76"/>
      <c r="AF102" s="76"/>
      <c r="AG102" s="76"/>
      <c r="AH102" s="76"/>
      <c r="AI102" s="76">
        <v>1</v>
      </c>
      <c r="AJ102" s="76">
        <v>1</v>
      </c>
      <c r="AK102" s="76"/>
      <c r="AL102" s="77">
        <f>IF((P102-SUM(AE102:AK102))&lt;0,0,P102-SUM(AE102:AK102))</f>
        <v>0</v>
      </c>
      <c r="AM102" s="77">
        <f>SUM(AO102:AT102)</f>
        <v>0</v>
      </c>
      <c r="AN102" s="72"/>
      <c r="AO102" s="72"/>
      <c r="AP102" s="72"/>
      <c r="AQ102" s="72"/>
      <c r="AR102" s="72"/>
      <c r="AS102" s="72"/>
      <c r="AT102" s="72"/>
      <c r="AU102" s="72"/>
      <c r="AV102" s="70"/>
      <c r="AW102" s="72"/>
      <c r="AX102" s="72"/>
    </row>
    <row r="103" spans="1:50" ht="15" customHeight="1">
      <c r="A103" s="70" t="s">
        <v>1937</v>
      </c>
      <c r="B103" s="68" t="s">
        <v>1831</v>
      </c>
      <c r="C103" s="69" t="s">
        <v>45</v>
      </c>
      <c r="D103" s="70" t="s">
        <v>72</v>
      </c>
      <c r="E103" s="70"/>
      <c r="F103" s="68">
        <v>3</v>
      </c>
      <c r="G103" s="71" t="s">
        <v>317</v>
      </c>
      <c r="H103" s="71" t="s">
        <v>1938</v>
      </c>
      <c r="I103" s="71"/>
      <c r="J103" s="71"/>
      <c r="K103" s="72"/>
      <c r="L103" s="72"/>
      <c r="M103" s="72"/>
      <c r="N103" s="72"/>
      <c r="O103" s="71" t="s">
        <v>415</v>
      </c>
      <c r="P103" s="69">
        <v>2</v>
      </c>
      <c r="Q103" s="68">
        <f>MAX(0,$V103-$P103-$S103)</f>
        <v>0</v>
      </c>
      <c r="R103" s="68"/>
      <c r="S103" s="68"/>
      <c r="T103" s="73">
        <v>0.28999999999999998</v>
      </c>
      <c r="U103" s="73">
        <f>IF(AND($Q103&gt;0,ISNUMBER($T103)),$Q103*$T103,0)</f>
        <v>0</v>
      </c>
      <c r="V103" s="68">
        <f>SUM(W103:AB103)</f>
        <v>1</v>
      </c>
      <c r="W103" s="68"/>
      <c r="X103" s="68"/>
      <c r="Y103" s="68">
        <v>1</v>
      </c>
      <c r="Z103" s="68"/>
      <c r="AA103" s="68"/>
      <c r="AB103" s="68"/>
      <c r="AC103" s="68"/>
      <c r="AD103" s="75">
        <f>SUM(AE103:AJ103)</f>
        <v>1</v>
      </c>
      <c r="AE103" s="76"/>
      <c r="AF103" s="76"/>
      <c r="AG103" s="76">
        <v>1</v>
      </c>
      <c r="AH103" s="76"/>
      <c r="AI103" s="76"/>
      <c r="AJ103" s="76"/>
      <c r="AK103" s="76"/>
      <c r="AL103" s="77">
        <f>IF((P103-SUM(AE103:AK103))&lt;0,0,P103-SUM(AE103:AK103))</f>
        <v>1</v>
      </c>
      <c r="AM103" s="77">
        <f>SUM(AO103:AT103)</f>
        <v>0</v>
      </c>
      <c r="AN103" s="72"/>
      <c r="AO103" s="72"/>
      <c r="AP103" s="72"/>
      <c r="AQ103" s="72"/>
      <c r="AR103" s="72"/>
      <c r="AS103" s="72"/>
      <c r="AT103" s="72"/>
      <c r="AU103" s="72"/>
      <c r="AV103" s="70"/>
      <c r="AW103" s="72"/>
      <c r="AX103" s="72"/>
    </row>
    <row r="104" spans="1:50" ht="15" customHeight="1">
      <c r="A104" s="98" t="s">
        <v>2526</v>
      </c>
      <c r="B104" s="100" t="s">
        <v>46</v>
      </c>
      <c r="C104" s="101" t="s">
        <v>45</v>
      </c>
      <c r="D104" s="98" t="s">
        <v>47</v>
      </c>
      <c r="E104" s="98"/>
      <c r="F104" s="100">
        <v>1</v>
      </c>
      <c r="G104" s="98" t="s">
        <v>49</v>
      </c>
      <c r="H104" s="98" t="s">
        <v>2422</v>
      </c>
      <c r="I104" s="98" t="s">
        <v>2527</v>
      </c>
      <c r="J104" s="98"/>
      <c r="K104" s="99"/>
      <c r="L104" s="99"/>
      <c r="M104" s="99"/>
      <c r="N104" s="99"/>
      <c r="O104" s="98" t="s">
        <v>136</v>
      </c>
      <c r="P104" s="101">
        <v>2</v>
      </c>
      <c r="Q104" s="68">
        <f>MAX(0,$V104-$P104-$S104)</f>
        <v>0</v>
      </c>
      <c r="R104" s="98"/>
      <c r="S104" s="98"/>
      <c r="T104" s="98">
        <v>0.13</v>
      </c>
      <c r="U104" s="98">
        <f>IF(AND($Q104&gt;0,ISNUMBER($T104)),$Q104*$T104,0)</f>
        <v>0</v>
      </c>
      <c r="V104" s="68">
        <f>SUM(W104:AB104)</f>
        <v>0</v>
      </c>
      <c r="W104" s="100"/>
      <c r="X104" s="100"/>
      <c r="Y104" s="100"/>
      <c r="Z104" s="100"/>
      <c r="AA104" s="100"/>
      <c r="AB104" s="100"/>
      <c r="AC104" s="68"/>
      <c r="AD104" s="75">
        <f>SUM(AE104:AJ104)</f>
        <v>0</v>
      </c>
      <c r="AE104" s="102"/>
      <c r="AF104" s="102"/>
      <c r="AG104" s="102"/>
      <c r="AH104" s="102"/>
      <c r="AI104" s="102"/>
      <c r="AJ104" s="102"/>
      <c r="AK104" s="102"/>
      <c r="AL104" s="77">
        <f>IF((P104-SUM(AE104:AK104))&lt;0,0,P104-SUM(AE104:AK104))</f>
        <v>2</v>
      </c>
      <c r="AM104" s="77">
        <f>SUM(AO104:AT104)</f>
        <v>0</v>
      </c>
      <c r="AN104" s="99"/>
      <c r="AO104" s="99"/>
      <c r="AP104" s="99"/>
      <c r="AQ104" s="99"/>
      <c r="AR104" s="99"/>
      <c r="AS104" s="99"/>
      <c r="AT104" s="99"/>
      <c r="AU104" s="99"/>
      <c r="AV104" s="98"/>
      <c r="AW104" s="99"/>
      <c r="AX104" s="99"/>
    </row>
    <row r="105" spans="1:50" ht="15" customHeight="1">
      <c r="A105" s="70" t="s">
        <v>2304</v>
      </c>
      <c r="B105" s="68" t="s">
        <v>1971</v>
      </c>
      <c r="C105" s="69" t="s">
        <v>45</v>
      </c>
      <c r="D105" s="70" t="s">
        <v>64</v>
      </c>
      <c r="E105" s="70" t="s">
        <v>2305</v>
      </c>
      <c r="F105" s="68">
        <v>6</v>
      </c>
      <c r="G105" s="71" t="s">
        <v>296</v>
      </c>
      <c r="H105" s="71" t="s">
        <v>2306</v>
      </c>
      <c r="I105" s="71" t="s">
        <v>2307</v>
      </c>
      <c r="J105" s="71"/>
      <c r="K105" s="69"/>
      <c r="L105" s="69"/>
      <c r="M105" s="69"/>
      <c r="N105" s="69"/>
      <c r="O105" s="71" t="s">
        <v>311</v>
      </c>
      <c r="P105" s="69">
        <v>2</v>
      </c>
      <c r="Q105" s="68">
        <f>MAX(0,$V105-$P105-$S105)</f>
        <v>0</v>
      </c>
      <c r="R105" s="68"/>
      <c r="S105" s="68"/>
      <c r="T105" s="73">
        <v>0.34</v>
      </c>
      <c r="U105" s="73">
        <f>IF(AND($Q105&gt;0,ISNUMBER($T105)),$Q105*$T105,0)</f>
        <v>0</v>
      </c>
      <c r="V105" s="68">
        <f>SUM(W105:AB105)</f>
        <v>2</v>
      </c>
      <c r="W105" s="68">
        <v>1</v>
      </c>
      <c r="X105" s="68"/>
      <c r="Y105" s="68"/>
      <c r="Z105" s="68">
        <v>1</v>
      </c>
      <c r="AA105" s="68"/>
      <c r="AB105" s="68"/>
      <c r="AC105" s="68"/>
      <c r="AD105" s="75">
        <f>SUM(AE105:AJ105)</f>
        <v>2</v>
      </c>
      <c r="AE105" s="76">
        <v>1</v>
      </c>
      <c r="AF105" s="76"/>
      <c r="AG105" s="76"/>
      <c r="AH105" s="76">
        <v>1</v>
      </c>
      <c r="AI105" s="76"/>
      <c r="AJ105" s="76"/>
      <c r="AK105" s="76"/>
      <c r="AL105" s="77">
        <f>IF((P105-SUM(AE105:AK105))&lt;0,0,P105-SUM(AE105:AK105))</f>
        <v>0</v>
      </c>
      <c r="AM105" s="77">
        <f>SUM(AO105:AT105)</f>
        <v>0</v>
      </c>
      <c r="AN105" s="72"/>
      <c r="AO105" s="72"/>
      <c r="AP105" s="72"/>
      <c r="AQ105" s="72"/>
      <c r="AR105" s="72"/>
      <c r="AS105" s="72"/>
      <c r="AT105" s="72"/>
      <c r="AU105" s="72"/>
      <c r="AV105" s="70"/>
      <c r="AW105" s="72"/>
      <c r="AX105" s="72"/>
    </row>
    <row r="106" spans="1:50" ht="15" customHeight="1">
      <c r="A106" s="70" t="s">
        <v>2308</v>
      </c>
      <c r="B106" s="68" t="s">
        <v>1971</v>
      </c>
      <c r="C106" s="69" t="s">
        <v>45</v>
      </c>
      <c r="D106" s="70" t="s">
        <v>64</v>
      </c>
      <c r="E106" s="70" t="s">
        <v>1407</v>
      </c>
      <c r="F106" s="68">
        <v>6</v>
      </c>
      <c r="G106" s="71" t="s">
        <v>125</v>
      </c>
      <c r="H106" s="71" t="s">
        <v>2309</v>
      </c>
      <c r="I106" s="71" t="s">
        <v>1195</v>
      </c>
      <c r="J106" s="71"/>
      <c r="K106" s="72"/>
      <c r="L106" s="72"/>
      <c r="M106" s="72"/>
      <c r="N106" s="72"/>
      <c r="O106" s="71" t="s">
        <v>48</v>
      </c>
      <c r="P106" s="69">
        <v>2</v>
      </c>
      <c r="Q106" s="68">
        <f>MAX(0,$V106-$P106-$S106)</f>
        <v>0</v>
      </c>
      <c r="R106" s="68"/>
      <c r="S106" s="68"/>
      <c r="T106" s="73">
        <v>0.16</v>
      </c>
      <c r="U106" s="73">
        <f>IF(AND($Q106&gt;0,ISNUMBER($T106)),$Q106*$T106,0)</f>
        <v>0</v>
      </c>
      <c r="V106" s="68">
        <f>SUM(W106:AB106)</f>
        <v>0</v>
      </c>
      <c r="W106" s="68"/>
      <c r="X106" s="68"/>
      <c r="Y106" s="68"/>
      <c r="Z106" s="68"/>
      <c r="AA106" s="68"/>
      <c r="AB106" s="68"/>
      <c r="AC106" s="68"/>
      <c r="AD106" s="75">
        <f>SUM(AE106:AJ106)</f>
        <v>0</v>
      </c>
      <c r="AE106" s="76"/>
      <c r="AF106" s="76"/>
      <c r="AG106" s="76"/>
      <c r="AH106" s="76"/>
      <c r="AI106" s="76"/>
      <c r="AJ106" s="76"/>
      <c r="AK106" s="76"/>
      <c r="AL106" s="77">
        <f>IF((P106-SUM(AE106:AK106))&lt;0,0,P106-SUM(AE106:AK106))</f>
        <v>2</v>
      </c>
      <c r="AM106" s="77">
        <f>SUM(AO106:AT106)</f>
        <v>0</v>
      </c>
      <c r="AN106" s="85"/>
      <c r="AO106" s="129"/>
      <c r="AP106" s="72"/>
      <c r="AQ106" s="85"/>
      <c r="AR106" s="72"/>
      <c r="AS106" s="72"/>
      <c r="AT106" s="72"/>
      <c r="AU106" s="85"/>
      <c r="AV106" s="70"/>
      <c r="AW106" s="72"/>
      <c r="AX106" s="72"/>
    </row>
    <row r="107" spans="1:50" ht="15" customHeight="1">
      <c r="A107" s="70" t="s">
        <v>1086</v>
      </c>
      <c r="B107" s="68" t="s">
        <v>919</v>
      </c>
      <c r="C107" s="69" t="s">
        <v>45</v>
      </c>
      <c r="D107" s="70" t="s">
        <v>627</v>
      </c>
      <c r="E107" s="70"/>
      <c r="F107" s="68">
        <v>0</v>
      </c>
      <c r="G107" s="71" t="s">
        <v>627</v>
      </c>
      <c r="H107" s="71" t="s">
        <v>938</v>
      </c>
      <c r="I107" s="71" t="s">
        <v>1087</v>
      </c>
      <c r="J107" s="71"/>
      <c r="K107" s="72"/>
      <c r="L107" s="72"/>
      <c r="M107" s="72"/>
      <c r="N107" s="72"/>
      <c r="O107" s="71" t="s">
        <v>259</v>
      </c>
      <c r="P107" s="69">
        <v>2</v>
      </c>
      <c r="Q107" s="68">
        <f>MAX(0,$V107-$P107-$S107)</f>
        <v>0</v>
      </c>
      <c r="R107" s="68"/>
      <c r="S107" s="68"/>
      <c r="T107" s="73">
        <v>0.36</v>
      </c>
      <c r="U107" s="73">
        <f>IF(AND($Q107&gt;0,ISNUMBER($T107)),$Q107*$T107,0)</f>
        <v>0</v>
      </c>
      <c r="V107" s="68">
        <f>SUM(W107:AB107)</f>
        <v>2</v>
      </c>
      <c r="W107" s="68"/>
      <c r="X107" s="68"/>
      <c r="Y107" s="68">
        <v>1</v>
      </c>
      <c r="Z107" s="68">
        <v>1</v>
      </c>
      <c r="AA107" s="68"/>
      <c r="AB107" s="68"/>
      <c r="AC107" s="68"/>
      <c r="AD107" s="75">
        <f>SUM(AE107:AJ107)</f>
        <v>2</v>
      </c>
      <c r="AE107" s="76"/>
      <c r="AF107" s="76"/>
      <c r="AG107" s="76">
        <v>1</v>
      </c>
      <c r="AH107" s="76">
        <v>1</v>
      </c>
      <c r="AI107" s="76"/>
      <c r="AJ107" s="76"/>
      <c r="AK107" s="76"/>
      <c r="AL107" s="77">
        <f>IF((P107-SUM(AE107:AK107))&lt;0,0,P107-SUM(AE107:AK107))</f>
        <v>0</v>
      </c>
      <c r="AM107" s="77">
        <f>SUM(AO107:AT107)</f>
        <v>0</v>
      </c>
      <c r="AN107" s="72"/>
      <c r="AO107" s="72"/>
      <c r="AP107" s="72"/>
      <c r="AQ107" s="72"/>
      <c r="AR107" s="72"/>
      <c r="AS107" s="72"/>
      <c r="AT107" s="72"/>
      <c r="AU107" s="72"/>
      <c r="AV107" s="70"/>
      <c r="AW107" s="72"/>
      <c r="AX107" s="72"/>
    </row>
    <row r="108" spans="1:50" ht="15" customHeight="1">
      <c r="A108" s="70" t="s">
        <v>2313</v>
      </c>
      <c r="B108" s="68" t="s">
        <v>1971</v>
      </c>
      <c r="C108" s="69" t="s">
        <v>45</v>
      </c>
      <c r="D108" s="70" t="s">
        <v>72</v>
      </c>
      <c r="E108" s="70"/>
      <c r="F108" s="68">
        <v>1</v>
      </c>
      <c r="G108" s="71" t="s">
        <v>49</v>
      </c>
      <c r="H108" s="71" t="s">
        <v>2195</v>
      </c>
      <c r="I108" s="71" t="s">
        <v>2314</v>
      </c>
      <c r="J108" s="71"/>
      <c r="K108" s="69"/>
      <c r="L108" s="69"/>
      <c r="M108" s="69"/>
      <c r="N108" s="69"/>
      <c r="O108" s="71" t="s">
        <v>271</v>
      </c>
      <c r="P108" s="69">
        <v>2</v>
      </c>
      <c r="Q108" s="68">
        <f>MAX(0,$V108-$P108-$S108)</f>
        <v>0</v>
      </c>
      <c r="R108" s="68" t="s">
        <v>57</v>
      </c>
      <c r="S108" s="68">
        <v>1</v>
      </c>
      <c r="T108" s="73">
        <v>1.47</v>
      </c>
      <c r="U108" s="73">
        <f>IF(AND($Q108&gt;0,ISNUMBER($T108)),$Q108*$T108,0)</f>
        <v>0</v>
      </c>
      <c r="V108" s="68">
        <f>SUM(W108:AB108)</f>
        <v>2</v>
      </c>
      <c r="W108" s="68">
        <v>1</v>
      </c>
      <c r="X108" s="68"/>
      <c r="Y108" s="68"/>
      <c r="Z108" s="68"/>
      <c r="AA108" s="68">
        <v>1</v>
      </c>
      <c r="AB108" s="68"/>
      <c r="AC108" s="68"/>
      <c r="AD108" s="75">
        <f>SUM(AE108:AJ108)</f>
        <v>2</v>
      </c>
      <c r="AE108" s="76">
        <v>1</v>
      </c>
      <c r="AF108" s="76"/>
      <c r="AG108" s="76"/>
      <c r="AH108" s="76"/>
      <c r="AI108" s="76">
        <v>1</v>
      </c>
      <c r="AJ108" s="76"/>
      <c r="AK108" s="76"/>
      <c r="AL108" s="77">
        <f>IF((P108-SUM(AE108:AK108))&lt;0,0,P108-SUM(AE108:AK108))</f>
        <v>0</v>
      </c>
      <c r="AM108" s="77">
        <f>SUM(AO108:AT108)</f>
        <v>0</v>
      </c>
      <c r="AN108" s="129"/>
      <c r="AO108" s="72"/>
      <c r="AP108" s="72"/>
      <c r="AQ108" s="129"/>
      <c r="AR108" s="72"/>
      <c r="AS108" s="72"/>
      <c r="AT108" s="72"/>
      <c r="AU108" s="129"/>
      <c r="AV108" s="70"/>
      <c r="AW108" s="72"/>
      <c r="AX108" s="72"/>
    </row>
    <row r="109" spans="1:50" ht="15" customHeight="1">
      <c r="A109" s="70" t="s">
        <v>1102</v>
      </c>
      <c r="B109" s="68" t="s">
        <v>919</v>
      </c>
      <c r="C109" s="69" t="s">
        <v>45</v>
      </c>
      <c r="D109" s="70" t="s">
        <v>627</v>
      </c>
      <c r="E109" s="70"/>
      <c r="F109" s="68">
        <v>0</v>
      </c>
      <c r="G109" s="71" t="s">
        <v>627</v>
      </c>
      <c r="H109" s="71" t="s">
        <v>975</v>
      </c>
      <c r="I109" s="71"/>
      <c r="J109" s="71"/>
      <c r="K109" s="69"/>
      <c r="L109" s="69"/>
      <c r="M109" s="69"/>
      <c r="N109" s="69"/>
      <c r="O109" s="71" t="s">
        <v>551</v>
      </c>
      <c r="P109" s="69">
        <v>2</v>
      </c>
      <c r="Q109" s="68">
        <f>MAX(0,$V109-$P109-$S109)</f>
        <v>0</v>
      </c>
      <c r="R109" s="68"/>
      <c r="S109" s="68"/>
      <c r="T109" s="73">
        <v>0.25</v>
      </c>
      <c r="U109" s="73">
        <f>IF(AND($Q109&gt;0,ISNUMBER($T109)),$Q109*$T109,0)</f>
        <v>0</v>
      </c>
      <c r="V109" s="68">
        <f>SUM(W109:AB109)</f>
        <v>2</v>
      </c>
      <c r="W109" s="68">
        <v>1</v>
      </c>
      <c r="X109" s="68">
        <v>1</v>
      </c>
      <c r="Y109" s="68"/>
      <c r="Z109" s="68"/>
      <c r="AA109" s="68"/>
      <c r="AB109" s="68"/>
      <c r="AC109" s="68"/>
      <c r="AD109" s="75">
        <f>SUM(AE109:AJ109)</f>
        <v>2</v>
      </c>
      <c r="AE109" s="76">
        <v>1</v>
      </c>
      <c r="AF109" s="76">
        <v>1</v>
      </c>
      <c r="AG109" s="76"/>
      <c r="AH109" s="76"/>
      <c r="AI109" s="76"/>
      <c r="AJ109" s="76"/>
      <c r="AK109" s="76"/>
      <c r="AL109" s="77">
        <f>IF((P109-SUM(AE109:AK109))&lt;0,0,P109-SUM(AE109:AK109))</f>
        <v>0</v>
      </c>
      <c r="AM109" s="77">
        <f>SUM(AO109:AT109)</f>
        <v>0</v>
      </c>
      <c r="AN109" s="129"/>
      <c r="AO109" s="72"/>
      <c r="AP109" s="72"/>
      <c r="AQ109" s="72"/>
      <c r="AR109" s="129"/>
      <c r="AS109" s="72"/>
      <c r="AT109" s="72"/>
      <c r="AU109" s="129"/>
      <c r="AV109" s="70"/>
      <c r="AW109" s="72"/>
      <c r="AX109" s="72"/>
    </row>
    <row r="110" spans="1:50" ht="15" customHeight="1">
      <c r="A110" s="67" t="s">
        <v>270</v>
      </c>
      <c r="B110" s="68" t="s">
        <v>46</v>
      </c>
      <c r="C110" s="69" t="s">
        <v>45</v>
      </c>
      <c r="D110" s="70" t="s">
        <v>72</v>
      </c>
      <c r="E110" s="70"/>
      <c r="F110" s="68">
        <v>2</v>
      </c>
      <c r="G110" s="71" t="s">
        <v>49</v>
      </c>
      <c r="H110" s="71" t="s">
        <v>272</v>
      </c>
      <c r="I110" s="71" t="s">
        <v>273</v>
      </c>
      <c r="J110" s="71"/>
      <c r="K110" s="72"/>
      <c r="L110" s="72"/>
      <c r="M110" s="72"/>
      <c r="N110" s="72"/>
      <c r="O110" s="71" t="s">
        <v>271</v>
      </c>
      <c r="P110" s="69">
        <v>2</v>
      </c>
      <c r="Q110" s="68">
        <f>MAX(0,$V110-$P110-$S110)</f>
        <v>0</v>
      </c>
      <c r="R110" s="68"/>
      <c r="S110" s="68"/>
      <c r="T110" s="73">
        <v>0.24</v>
      </c>
      <c r="U110" s="73">
        <f>IF(AND($Q110&gt;0,ISNUMBER($T110)),$Q110*$T110,0)</f>
        <v>0</v>
      </c>
      <c r="V110" s="68">
        <f>SUM(W110:AB110)</f>
        <v>0</v>
      </c>
      <c r="W110" s="68"/>
      <c r="X110" s="68"/>
      <c r="Y110" s="68"/>
      <c r="Z110" s="68"/>
      <c r="AA110" s="74"/>
      <c r="AB110" s="68"/>
      <c r="AC110" s="68"/>
      <c r="AD110" s="75">
        <f>SUM(AE110:AJ110)</f>
        <v>1</v>
      </c>
      <c r="AE110" s="76"/>
      <c r="AF110" s="76"/>
      <c r="AG110" s="76"/>
      <c r="AH110" s="76"/>
      <c r="AI110" s="76">
        <v>1</v>
      </c>
      <c r="AJ110" s="76"/>
      <c r="AK110" s="76"/>
      <c r="AL110" s="77">
        <f>IF((P110-SUM(AE110:AK110))&lt;0,0,P110-SUM(AE110:AK110))</f>
        <v>1</v>
      </c>
      <c r="AM110" s="77">
        <f>SUM(AO110:AT110)</f>
        <v>1</v>
      </c>
      <c r="AN110" s="140" t="s">
        <v>105</v>
      </c>
      <c r="AO110" s="72"/>
      <c r="AP110" s="72"/>
      <c r="AQ110" s="72"/>
      <c r="AR110" s="72"/>
      <c r="AS110" s="141">
        <v>1</v>
      </c>
      <c r="AT110" s="72"/>
      <c r="AU110" s="125" t="s">
        <v>274</v>
      </c>
      <c r="AV110" s="70"/>
      <c r="AW110" s="72"/>
      <c r="AX110" s="72"/>
    </row>
    <row r="111" spans="1:50" ht="15" customHeight="1">
      <c r="A111" s="81" t="s">
        <v>1462</v>
      </c>
      <c r="B111" s="68" t="s">
        <v>1114</v>
      </c>
      <c r="C111" s="69" t="s">
        <v>45</v>
      </c>
      <c r="D111" s="70" t="s">
        <v>627</v>
      </c>
      <c r="E111" s="70"/>
      <c r="F111" s="68">
        <v>0</v>
      </c>
      <c r="G111" s="71" t="s">
        <v>627</v>
      </c>
      <c r="H111" s="71" t="s">
        <v>1463</v>
      </c>
      <c r="I111" s="71"/>
      <c r="J111" s="71"/>
      <c r="K111" s="69"/>
      <c r="L111" s="69"/>
      <c r="M111" s="69"/>
      <c r="N111" s="69"/>
      <c r="O111" s="71" t="s">
        <v>740</v>
      </c>
      <c r="P111" s="69">
        <v>2</v>
      </c>
      <c r="Q111" s="68">
        <f>MAX(0,$V111-$P111-$S111)</f>
        <v>0</v>
      </c>
      <c r="R111" s="68"/>
      <c r="S111" s="68"/>
      <c r="T111" s="73">
        <v>0.1</v>
      </c>
      <c r="U111" s="73">
        <f>IF(AND($Q111&gt;0,ISNUMBER($T111)),$Q111*$T111,0)</f>
        <v>0</v>
      </c>
      <c r="V111" s="68">
        <f>SUM(W111:AB111)</f>
        <v>2</v>
      </c>
      <c r="W111" s="68"/>
      <c r="X111" s="82">
        <v>1</v>
      </c>
      <c r="Y111" s="82">
        <v>1</v>
      </c>
      <c r="Z111" s="68"/>
      <c r="AA111" s="68"/>
      <c r="AB111" s="68"/>
      <c r="AC111" s="68"/>
      <c r="AD111" s="75">
        <f>SUM(AE111:AJ111)</f>
        <v>0</v>
      </c>
      <c r="AE111" s="76"/>
      <c r="AF111" s="76"/>
      <c r="AG111" s="76"/>
      <c r="AH111" s="76"/>
      <c r="AI111" s="76"/>
      <c r="AJ111" s="76"/>
      <c r="AK111" s="76"/>
      <c r="AL111" s="77">
        <f>IF((P111-SUM(AE111:AK111))&lt;0,0,P111-SUM(AE111:AK111))</f>
        <v>2</v>
      </c>
      <c r="AM111" s="77">
        <f>SUM(AO111:AT111)</f>
        <v>0</v>
      </c>
      <c r="AN111" s="138" t="s">
        <v>81</v>
      </c>
      <c r="AO111" s="72"/>
      <c r="AP111" s="72"/>
      <c r="AQ111" s="72"/>
      <c r="AR111" s="72"/>
      <c r="AS111" s="72"/>
      <c r="AT111" s="72"/>
      <c r="AU111" s="28" t="s">
        <v>1464</v>
      </c>
      <c r="AV111" s="70"/>
      <c r="AW111" s="72"/>
      <c r="AX111" s="150" t="s">
        <v>1151</v>
      </c>
    </row>
    <row r="112" spans="1:50" ht="15" customHeight="1">
      <c r="A112" s="81" t="s">
        <v>1473</v>
      </c>
      <c r="B112" s="68" t="s">
        <v>1114</v>
      </c>
      <c r="C112" s="69" t="s">
        <v>45</v>
      </c>
      <c r="D112" s="70" t="s">
        <v>627</v>
      </c>
      <c r="E112" s="70"/>
      <c r="F112" s="68">
        <v>0</v>
      </c>
      <c r="G112" s="71" t="s">
        <v>627</v>
      </c>
      <c r="H112" s="71" t="s">
        <v>1435</v>
      </c>
      <c r="I112" s="71"/>
      <c r="J112" s="71"/>
      <c r="K112" s="69"/>
      <c r="L112" s="69"/>
      <c r="M112" s="69"/>
      <c r="N112" s="69"/>
      <c r="O112" s="71" t="s">
        <v>449</v>
      </c>
      <c r="P112" s="69">
        <v>2</v>
      </c>
      <c r="Q112" s="68">
        <f>MAX(0,$V112-$P112-$S112)</f>
        <v>0</v>
      </c>
      <c r="R112" s="68"/>
      <c r="S112" s="68"/>
      <c r="T112" s="73">
        <v>0.1</v>
      </c>
      <c r="U112" s="73">
        <f>IF(AND($Q112&gt;0,ISNUMBER($T112)),$Q112*$T112,0)</f>
        <v>0</v>
      </c>
      <c r="V112" s="68">
        <f>SUM(W112:AB112)</f>
        <v>2</v>
      </c>
      <c r="W112" s="68"/>
      <c r="X112" s="82">
        <v>1</v>
      </c>
      <c r="Y112" s="82">
        <v>1</v>
      </c>
      <c r="Z112" s="68"/>
      <c r="AA112" s="68"/>
      <c r="AB112" s="68"/>
      <c r="AC112" s="68"/>
      <c r="AD112" s="75">
        <f>SUM(AE112:AJ112)</f>
        <v>0</v>
      </c>
      <c r="AE112" s="76"/>
      <c r="AF112" s="76"/>
      <c r="AG112" s="76"/>
      <c r="AH112" s="76"/>
      <c r="AI112" s="76"/>
      <c r="AJ112" s="76"/>
      <c r="AK112" s="76"/>
      <c r="AL112" s="77">
        <f>IF((P112-SUM(AE112:AK112))&lt;0,0,P112-SUM(AE112:AK112))</f>
        <v>2</v>
      </c>
      <c r="AM112" s="77">
        <f>SUM(AO112:AT112)</f>
        <v>0</v>
      </c>
      <c r="AN112" s="83" t="s">
        <v>81</v>
      </c>
      <c r="AO112" s="72"/>
      <c r="AP112" s="72"/>
      <c r="AQ112" s="72"/>
      <c r="AR112" s="72"/>
      <c r="AS112" s="72"/>
      <c r="AT112" s="72"/>
      <c r="AU112" s="28" t="s">
        <v>1474</v>
      </c>
      <c r="AV112" s="70"/>
      <c r="AW112" s="72"/>
      <c r="AX112" s="94" t="s">
        <v>1151</v>
      </c>
    </row>
    <row r="113" spans="1:50" ht="15" customHeight="1">
      <c r="A113" s="67" t="s">
        <v>2548</v>
      </c>
      <c r="B113" s="100" t="s">
        <v>1831</v>
      </c>
      <c r="C113" s="101" t="s">
        <v>45</v>
      </c>
      <c r="D113" s="98" t="s">
        <v>72</v>
      </c>
      <c r="E113" s="98"/>
      <c r="F113" s="100">
        <v>4</v>
      </c>
      <c r="G113" s="98" t="s">
        <v>49</v>
      </c>
      <c r="H113" s="98" t="s">
        <v>2549</v>
      </c>
      <c r="I113" s="98" t="s">
        <v>2550</v>
      </c>
      <c r="J113" s="98"/>
      <c r="K113" s="99"/>
      <c r="L113" s="99">
        <v>1</v>
      </c>
      <c r="M113" s="99"/>
      <c r="N113" s="99"/>
      <c r="O113" s="98" t="s">
        <v>136</v>
      </c>
      <c r="P113" s="69">
        <v>2</v>
      </c>
      <c r="Q113" s="68">
        <f>MAX(0,$V113-$P113-$S113)</f>
        <v>0</v>
      </c>
      <c r="R113" s="98"/>
      <c r="S113" s="98"/>
      <c r="T113" s="98">
        <v>0.09</v>
      </c>
      <c r="U113" s="98">
        <f>IF(AND($Q113&gt;0,ISNUMBER($T113)),$Q113*$T113,0)</f>
        <v>0</v>
      </c>
      <c r="V113" s="68">
        <f>SUM(W113:AB113)</f>
        <v>0</v>
      </c>
      <c r="W113" s="98"/>
      <c r="X113" s="98"/>
      <c r="Y113" s="98"/>
      <c r="Z113" s="98"/>
      <c r="AA113" s="98"/>
      <c r="AB113" s="98"/>
      <c r="AC113" s="68"/>
      <c r="AD113" s="75">
        <f>SUM(AE113:AJ113)</f>
        <v>0</v>
      </c>
      <c r="AE113" s="103"/>
      <c r="AF113" s="103"/>
      <c r="AG113" s="103"/>
      <c r="AH113" s="103"/>
      <c r="AI113" s="103"/>
      <c r="AJ113" s="103"/>
      <c r="AK113" s="103"/>
      <c r="AL113" s="77">
        <f>IF((P113-SUM(AE113:AK113))&lt;0,0,P113-SUM(AE113:AK113))</f>
        <v>2</v>
      </c>
      <c r="AM113" s="77">
        <f>SUM(AO113:AT113)</f>
        <v>0</v>
      </c>
      <c r="AN113" s="99"/>
      <c r="AO113" s="99"/>
      <c r="AP113" s="99"/>
      <c r="AQ113" s="99"/>
      <c r="AR113" s="99"/>
      <c r="AS113" s="99"/>
      <c r="AT113" s="99"/>
      <c r="AU113" s="99"/>
      <c r="AV113" s="98"/>
      <c r="AW113" s="99"/>
      <c r="AX113" s="99"/>
    </row>
    <row r="114" spans="1:50" ht="15" customHeight="1">
      <c r="A114" s="70" t="s">
        <v>1958</v>
      </c>
      <c r="B114" s="68" t="s">
        <v>1831</v>
      </c>
      <c r="C114" s="69" t="s">
        <v>45</v>
      </c>
      <c r="D114" s="70" t="s">
        <v>72</v>
      </c>
      <c r="E114" s="70"/>
      <c r="F114" s="68">
        <v>5</v>
      </c>
      <c r="G114" s="71" t="s">
        <v>176</v>
      </c>
      <c r="H114" s="71" t="s">
        <v>1959</v>
      </c>
      <c r="I114" s="71" t="s">
        <v>1960</v>
      </c>
      <c r="J114" s="71"/>
      <c r="K114" s="72"/>
      <c r="L114" s="72"/>
      <c r="M114" s="72"/>
      <c r="N114" s="72"/>
      <c r="O114" s="71" t="s">
        <v>48</v>
      </c>
      <c r="P114" s="69">
        <v>2</v>
      </c>
      <c r="Q114" s="68">
        <f>MAX(0,$V114-$P114-$S114)</f>
        <v>0</v>
      </c>
      <c r="R114" s="68"/>
      <c r="S114" s="68"/>
      <c r="T114" s="73">
        <v>0.22</v>
      </c>
      <c r="U114" s="73">
        <f>IF(AND($Q114&gt;0,ISNUMBER($T114)),$Q114*$T114,0)</f>
        <v>0</v>
      </c>
      <c r="V114" s="68">
        <f>SUM(W114:AB114)</f>
        <v>0</v>
      </c>
      <c r="W114" s="68"/>
      <c r="X114" s="68"/>
      <c r="Y114" s="68"/>
      <c r="Z114" s="68"/>
      <c r="AA114" s="68"/>
      <c r="AB114" s="68"/>
      <c r="AC114" s="68"/>
      <c r="AD114" s="75">
        <f>SUM(AE114:AJ114)</f>
        <v>0</v>
      </c>
      <c r="AE114" s="76"/>
      <c r="AF114" s="76"/>
      <c r="AG114" s="76"/>
      <c r="AH114" s="76"/>
      <c r="AI114" s="76"/>
      <c r="AJ114" s="76"/>
      <c r="AK114" s="76"/>
      <c r="AL114" s="77">
        <f>IF((P114-SUM(AE114:AK114))&lt;0,0,P114-SUM(AE114:AK114))</f>
        <v>2</v>
      </c>
      <c r="AM114" s="77">
        <f>SUM(AO114:AT114)</f>
        <v>0</v>
      </c>
      <c r="AN114" s="85"/>
      <c r="AO114" s="72"/>
      <c r="AP114" s="72"/>
      <c r="AQ114" s="72"/>
      <c r="AR114" s="72"/>
      <c r="AS114" s="72"/>
      <c r="AT114" s="72"/>
      <c r="AU114" s="72"/>
      <c r="AV114" s="70"/>
      <c r="AW114" s="72"/>
      <c r="AX114" s="72"/>
    </row>
    <row r="115" spans="1:50" ht="15" customHeight="1">
      <c r="A115" s="67" t="s">
        <v>302</v>
      </c>
      <c r="B115" s="68" t="s">
        <v>46</v>
      </c>
      <c r="C115" s="69" t="s">
        <v>45</v>
      </c>
      <c r="D115" s="70" t="s">
        <v>64</v>
      </c>
      <c r="E115" s="70" t="s">
        <v>231</v>
      </c>
      <c r="F115" s="68">
        <v>2</v>
      </c>
      <c r="G115" s="71" t="s">
        <v>49</v>
      </c>
      <c r="H115" s="71" t="s">
        <v>304</v>
      </c>
      <c r="I115" s="71" t="s">
        <v>305</v>
      </c>
      <c r="J115" s="71"/>
      <c r="K115" s="72"/>
      <c r="L115" s="72"/>
      <c r="M115" s="72"/>
      <c r="N115" s="72"/>
      <c r="O115" s="71" t="s">
        <v>303</v>
      </c>
      <c r="P115" s="69">
        <v>2</v>
      </c>
      <c r="Q115" s="68">
        <f>MAX(0,$V115-$P115-$S115)</f>
        <v>0</v>
      </c>
      <c r="R115" s="68"/>
      <c r="S115" s="68"/>
      <c r="T115" s="73">
        <v>0.27</v>
      </c>
      <c r="U115" s="73">
        <f>IF(AND($Q115&gt;0,ISNUMBER($T115)),$Q115*$T115,0)</f>
        <v>0</v>
      </c>
      <c r="V115" s="68">
        <f>SUM(W115:AB115)</f>
        <v>0</v>
      </c>
      <c r="W115" s="68"/>
      <c r="X115" s="68"/>
      <c r="Y115" s="74"/>
      <c r="Z115" s="68"/>
      <c r="AA115" s="68"/>
      <c r="AB115" s="68"/>
      <c r="AC115" s="68"/>
      <c r="AD115" s="75">
        <f>SUM(AE115:AJ115)</f>
        <v>0</v>
      </c>
      <c r="AE115" s="76"/>
      <c r="AF115" s="76"/>
      <c r="AG115" s="76"/>
      <c r="AH115" s="76"/>
      <c r="AI115" s="76"/>
      <c r="AJ115" s="76"/>
      <c r="AK115" s="76"/>
      <c r="AL115" s="77">
        <f>IF((P115-SUM(AE115:AK115))&lt;0,0,P115-SUM(AE115:AK115))</f>
        <v>2</v>
      </c>
      <c r="AM115" s="77">
        <f>SUM(AO115:AT115)</f>
        <v>0</v>
      </c>
      <c r="AN115" s="72"/>
      <c r="AO115" s="72"/>
      <c r="AP115" s="72"/>
      <c r="AQ115" s="72"/>
      <c r="AR115" s="72"/>
      <c r="AS115" s="72"/>
      <c r="AT115" s="72"/>
      <c r="AU115" s="72"/>
      <c r="AV115" s="70"/>
      <c r="AW115" s="72"/>
      <c r="AX115" s="72"/>
    </row>
    <row r="116" spans="1:50" ht="15" customHeight="1">
      <c r="A116" s="67" t="s">
        <v>2347</v>
      </c>
      <c r="B116" s="68" t="s">
        <v>1971</v>
      </c>
      <c r="C116" s="69" t="s">
        <v>45</v>
      </c>
      <c r="D116" s="70" t="s">
        <v>123</v>
      </c>
      <c r="E116" s="70" t="s">
        <v>2348</v>
      </c>
      <c r="F116" s="68">
        <v>3</v>
      </c>
      <c r="G116" s="71" t="s">
        <v>1421</v>
      </c>
      <c r="H116" s="71" t="s">
        <v>2349</v>
      </c>
      <c r="I116" s="71" t="s">
        <v>2350</v>
      </c>
      <c r="J116" s="71" t="s">
        <v>2351</v>
      </c>
      <c r="K116" s="72"/>
      <c r="L116" s="72"/>
      <c r="M116" s="72"/>
      <c r="N116" s="72"/>
      <c r="O116" s="71" t="s">
        <v>607</v>
      </c>
      <c r="P116" s="69">
        <v>2</v>
      </c>
      <c r="Q116" s="68">
        <f>MAX(0,$V116-$P116-$S116)</f>
        <v>0</v>
      </c>
      <c r="R116" s="68"/>
      <c r="S116" s="68"/>
      <c r="T116" s="73">
        <v>1.7</v>
      </c>
      <c r="U116" s="73">
        <f>IF(AND($Q116&gt;0,ISNUMBER($T116)),$Q116*$T116,0)</f>
        <v>0</v>
      </c>
      <c r="V116" s="68">
        <f>SUM(W116:AB116)</f>
        <v>0</v>
      </c>
      <c r="W116" s="68"/>
      <c r="X116" s="68"/>
      <c r="Y116" s="68"/>
      <c r="Z116" s="68"/>
      <c r="AA116" s="74"/>
      <c r="AB116" s="68"/>
      <c r="AC116" s="68"/>
      <c r="AD116" s="75">
        <f>SUM(AE116:AJ116)</f>
        <v>1</v>
      </c>
      <c r="AE116" s="76"/>
      <c r="AF116" s="76"/>
      <c r="AG116" s="76"/>
      <c r="AH116" s="76">
        <v>1</v>
      </c>
      <c r="AI116" s="76"/>
      <c r="AJ116" s="76"/>
      <c r="AK116" s="76"/>
      <c r="AL116" s="77">
        <f>IF((P116-SUM(AE116:AK116))&lt;0,0,P116-SUM(AE116:AK116))</f>
        <v>1</v>
      </c>
      <c r="AM116" s="77">
        <f>SUM(AO116:AT116)</f>
        <v>1</v>
      </c>
      <c r="AN116" s="140" t="s">
        <v>105</v>
      </c>
      <c r="AO116" s="72"/>
      <c r="AP116" s="72"/>
      <c r="AQ116" s="72"/>
      <c r="AR116" s="79">
        <v>1</v>
      </c>
      <c r="AS116" s="72"/>
      <c r="AT116" s="72"/>
      <c r="AU116" s="31" t="s">
        <v>2352</v>
      </c>
      <c r="AV116" s="70"/>
      <c r="AW116" s="72"/>
      <c r="AX116" s="72"/>
    </row>
    <row r="117" spans="1:50" ht="15" customHeight="1">
      <c r="A117" s="70" t="s">
        <v>1963</v>
      </c>
      <c r="B117" s="68" t="s">
        <v>1831</v>
      </c>
      <c r="C117" s="69" t="s">
        <v>45</v>
      </c>
      <c r="D117" s="70" t="s">
        <v>64</v>
      </c>
      <c r="E117" s="70" t="s">
        <v>1964</v>
      </c>
      <c r="F117" s="68">
        <v>4</v>
      </c>
      <c r="G117" s="71" t="s">
        <v>317</v>
      </c>
      <c r="H117" s="71" t="s">
        <v>1965</v>
      </c>
      <c r="I117" s="71" t="s">
        <v>1966</v>
      </c>
      <c r="J117" s="71" t="s">
        <v>166</v>
      </c>
      <c r="K117" s="72"/>
      <c r="L117" s="72"/>
      <c r="M117" s="72"/>
      <c r="N117" s="72"/>
      <c r="O117" s="71" t="s">
        <v>662</v>
      </c>
      <c r="P117" s="69">
        <v>2</v>
      </c>
      <c r="Q117" s="68">
        <f>MAX(0,$V117-$P117-$S117)</f>
        <v>0</v>
      </c>
      <c r="R117" s="68"/>
      <c r="S117" s="68"/>
      <c r="T117" s="73">
        <v>1.94</v>
      </c>
      <c r="U117" s="73">
        <f>IF(AND($Q117&gt;0,ISNUMBER($T117)),$Q117*$T117,0)</f>
        <v>0</v>
      </c>
      <c r="V117" s="68">
        <f>SUM(W117:AB117)</f>
        <v>1</v>
      </c>
      <c r="W117" s="68"/>
      <c r="X117" s="68"/>
      <c r="Y117" s="68">
        <v>1</v>
      </c>
      <c r="Z117" s="68"/>
      <c r="AA117" s="68"/>
      <c r="AB117" s="68"/>
      <c r="AC117" s="68"/>
      <c r="AD117" s="75">
        <f>SUM(AE117:AJ117)</f>
        <v>1</v>
      </c>
      <c r="AE117" s="76"/>
      <c r="AF117" s="76"/>
      <c r="AG117" s="76">
        <v>1</v>
      </c>
      <c r="AH117" s="76"/>
      <c r="AI117" s="76"/>
      <c r="AJ117" s="76"/>
      <c r="AK117" s="76"/>
      <c r="AL117" s="77">
        <f>IF((P117-SUM(AE117:AK117))&lt;0,0,P117-SUM(AE117:AK117))</f>
        <v>1</v>
      </c>
      <c r="AM117" s="77">
        <f>SUM(AO117:AT117)</f>
        <v>0</v>
      </c>
      <c r="AN117" s="72"/>
      <c r="AO117" s="72"/>
      <c r="AP117" s="72"/>
      <c r="AQ117" s="72"/>
      <c r="AR117" s="72"/>
      <c r="AS117" s="72"/>
      <c r="AT117" s="72"/>
      <c r="AU117" s="72"/>
      <c r="AV117" s="70"/>
      <c r="AW117" s="72"/>
      <c r="AX117" s="72"/>
    </row>
    <row r="118" spans="1:50" ht="15" customHeight="1">
      <c r="A118" s="70" t="s">
        <v>2364</v>
      </c>
      <c r="B118" s="68" t="s">
        <v>1971</v>
      </c>
      <c r="C118" s="69" t="s">
        <v>45</v>
      </c>
      <c r="D118" s="70" t="s">
        <v>47</v>
      </c>
      <c r="E118" s="70"/>
      <c r="F118" s="68">
        <v>5</v>
      </c>
      <c r="G118" s="71" t="s">
        <v>117</v>
      </c>
      <c r="H118" s="71" t="s">
        <v>2365</v>
      </c>
      <c r="I118" s="71"/>
      <c r="J118" s="71"/>
      <c r="K118" s="72"/>
      <c r="L118" s="72"/>
      <c r="M118" s="72"/>
      <c r="N118" s="72"/>
      <c r="O118" s="71" t="s">
        <v>504</v>
      </c>
      <c r="P118" s="69">
        <v>2</v>
      </c>
      <c r="Q118" s="68">
        <f>MAX(0,$V118-$P118-$S118)</f>
        <v>0</v>
      </c>
      <c r="R118" s="68"/>
      <c r="S118" s="68"/>
      <c r="T118" s="73">
        <v>0.4</v>
      </c>
      <c r="U118" s="73">
        <f>IF(AND($Q118&gt;0,ISNUMBER($T118)),$Q118*$T118,0)</f>
        <v>0</v>
      </c>
      <c r="V118" s="68">
        <f>SUM(W118:AB118)</f>
        <v>1</v>
      </c>
      <c r="W118" s="68"/>
      <c r="X118" s="68"/>
      <c r="Y118" s="68"/>
      <c r="Z118" s="68">
        <v>1</v>
      </c>
      <c r="AA118" s="68"/>
      <c r="AB118" s="68"/>
      <c r="AC118" s="68"/>
      <c r="AD118" s="75">
        <f>SUM(AE118:AJ118)</f>
        <v>1</v>
      </c>
      <c r="AE118" s="76"/>
      <c r="AF118" s="76"/>
      <c r="AG118" s="76"/>
      <c r="AH118" s="76">
        <v>1</v>
      </c>
      <c r="AI118" s="76"/>
      <c r="AJ118" s="76"/>
      <c r="AK118" s="76"/>
      <c r="AL118" s="77">
        <f>IF((P118-SUM(AE118:AK118))&lt;0,0,P118-SUM(AE118:AK118))</f>
        <v>1</v>
      </c>
      <c r="AM118" s="77">
        <f>SUM(AO118:AT118)</f>
        <v>0</v>
      </c>
      <c r="AN118" s="85"/>
      <c r="AO118" s="72"/>
      <c r="AP118" s="72"/>
      <c r="AQ118" s="72"/>
      <c r="AR118" s="72"/>
      <c r="AS118" s="72"/>
      <c r="AT118" s="72"/>
      <c r="AU118" s="72"/>
      <c r="AV118" s="70"/>
      <c r="AW118" s="72"/>
      <c r="AX118" s="72"/>
    </row>
    <row r="119" spans="1:50" ht="15" customHeight="1">
      <c r="A119" s="70" t="s">
        <v>629</v>
      </c>
      <c r="B119" s="68" t="s">
        <v>345</v>
      </c>
      <c r="C119" s="69" t="s">
        <v>45</v>
      </c>
      <c r="D119" s="70" t="s">
        <v>359</v>
      </c>
      <c r="E119" s="70" t="s">
        <v>323</v>
      </c>
      <c r="F119" s="68">
        <v>3</v>
      </c>
      <c r="G119" s="71" t="s">
        <v>285</v>
      </c>
      <c r="H119" s="71" t="s">
        <v>630</v>
      </c>
      <c r="I119" s="71" t="s">
        <v>631</v>
      </c>
      <c r="J119" s="71"/>
      <c r="K119" s="72"/>
      <c r="L119" s="72"/>
      <c r="M119" s="72"/>
      <c r="N119" s="72"/>
      <c r="O119" s="71" t="s">
        <v>184</v>
      </c>
      <c r="P119" s="69">
        <v>2</v>
      </c>
      <c r="Q119" s="68">
        <f>MAX(0,$V119-$P119-$S119)</f>
        <v>0</v>
      </c>
      <c r="R119" s="68"/>
      <c r="S119" s="68"/>
      <c r="T119" s="73">
        <v>0.9</v>
      </c>
      <c r="U119" s="73">
        <f>IF(AND($Q119&gt;0,ISNUMBER($T119)),$Q119*$T119,0)</f>
        <v>0</v>
      </c>
      <c r="V119" s="68">
        <f>SUM(W119:AB119)</f>
        <v>1</v>
      </c>
      <c r="W119" s="68"/>
      <c r="X119" s="68"/>
      <c r="Y119" s="68"/>
      <c r="Z119" s="68">
        <v>1</v>
      </c>
      <c r="AA119" s="68"/>
      <c r="AB119" s="68"/>
      <c r="AC119" s="68"/>
      <c r="AD119" s="75">
        <f>SUM(AE119:AJ119)</f>
        <v>1</v>
      </c>
      <c r="AE119" s="76"/>
      <c r="AF119" s="76"/>
      <c r="AG119" s="76"/>
      <c r="AH119" s="76">
        <v>1</v>
      </c>
      <c r="AI119" s="76"/>
      <c r="AJ119" s="76"/>
      <c r="AK119" s="76"/>
      <c r="AL119" s="77">
        <f>IF((P119-SUM(AE119:AK119))&lt;0,0,P119-SUM(AE119:AK119))</f>
        <v>1</v>
      </c>
      <c r="AM119" s="77">
        <f>SUM(AO119:AT119)</f>
        <v>0</v>
      </c>
      <c r="AN119" s="72"/>
      <c r="AO119" s="72"/>
      <c r="AP119" s="72"/>
      <c r="AQ119" s="72"/>
      <c r="AR119" s="72"/>
      <c r="AS119" s="72"/>
      <c r="AT119" s="72"/>
      <c r="AU119" s="72"/>
      <c r="AV119" s="70"/>
      <c r="AW119" s="72"/>
      <c r="AX119" s="72"/>
    </row>
    <row r="120" spans="1:50" ht="15" customHeight="1">
      <c r="A120" s="70" t="s">
        <v>2366</v>
      </c>
      <c r="B120" s="68" t="s">
        <v>1971</v>
      </c>
      <c r="C120" s="69" t="s">
        <v>45</v>
      </c>
      <c r="D120" s="70" t="s">
        <v>64</v>
      </c>
      <c r="E120" s="70" t="s">
        <v>2367</v>
      </c>
      <c r="F120" s="68">
        <v>1</v>
      </c>
      <c r="G120" s="71" t="s">
        <v>392</v>
      </c>
      <c r="H120" s="71" t="s">
        <v>2368</v>
      </c>
      <c r="I120" s="71" t="s">
        <v>2369</v>
      </c>
      <c r="J120" s="71"/>
      <c r="K120" s="69"/>
      <c r="L120" s="69"/>
      <c r="M120" s="69"/>
      <c r="N120" s="69"/>
      <c r="O120" s="71" t="s">
        <v>888</v>
      </c>
      <c r="P120" s="69">
        <v>2</v>
      </c>
      <c r="Q120" s="68">
        <f>MAX(0,$V120-$P120-$S120)</f>
        <v>0</v>
      </c>
      <c r="R120" s="68"/>
      <c r="S120" s="68"/>
      <c r="T120" s="73">
        <v>2.0299999999999998</v>
      </c>
      <c r="U120" s="73">
        <f>IF(AND($Q120&gt;0,ISNUMBER($T120)),$Q120*$T120,0)</f>
        <v>0</v>
      </c>
      <c r="V120" s="68">
        <f>SUM(W120:AB120)</f>
        <v>0</v>
      </c>
      <c r="W120" s="68"/>
      <c r="X120" s="68"/>
      <c r="Y120" s="68"/>
      <c r="Z120" s="68"/>
      <c r="AA120" s="68"/>
      <c r="AB120" s="68"/>
      <c r="AC120" s="68"/>
      <c r="AD120" s="75">
        <f>SUM(AE120:AJ120)</f>
        <v>0</v>
      </c>
      <c r="AE120" s="76"/>
      <c r="AF120" s="76"/>
      <c r="AG120" s="76"/>
      <c r="AH120" s="76"/>
      <c r="AI120" s="76"/>
      <c r="AJ120" s="76"/>
      <c r="AK120" s="76"/>
      <c r="AL120" s="77">
        <f>IF((P120-SUM(AE120:AK120))&lt;0,0,P120-SUM(AE120:AK120))</f>
        <v>2</v>
      </c>
      <c r="AM120" s="77">
        <f>SUM(AO120:AT120)</f>
        <v>1</v>
      </c>
      <c r="AN120" s="78" t="s">
        <v>105</v>
      </c>
      <c r="AO120" s="72"/>
      <c r="AP120" s="79">
        <v>1</v>
      </c>
      <c r="AQ120" s="85"/>
      <c r="AR120" s="72"/>
      <c r="AS120" s="72"/>
      <c r="AT120" s="72"/>
      <c r="AU120" s="30" t="s">
        <v>2370</v>
      </c>
      <c r="AV120" s="70"/>
      <c r="AW120" s="72"/>
      <c r="AX120" s="72"/>
    </row>
    <row r="121" spans="1:50" ht="15" customHeight="1">
      <c r="A121" s="81" t="s">
        <v>2371</v>
      </c>
      <c r="B121" s="68" t="s">
        <v>1971</v>
      </c>
      <c r="C121" s="69" t="s">
        <v>45</v>
      </c>
      <c r="D121" s="70" t="s">
        <v>64</v>
      </c>
      <c r="E121" s="70" t="s">
        <v>77</v>
      </c>
      <c r="F121" s="68">
        <v>3</v>
      </c>
      <c r="G121" s="71" t="s">
        <v>176</v>
      </c>
      <c r="H121" s="71" t="s">
        <v>2372</v>
      </c>
      <c r="I121" s="71" t="s">
        <v>166</v>
      </c>
      <c r="J121" s="71"/>
      <c r="K121" s="72"/>
      <c r="L121" s="72"/>
      <c r="M121" s="72"/>
      <c r="N121" s="72"/>
      <c r="O121" s="71" t="s">
        <v>1122</v>
      </c>
      <c r="P121" s="69">
        <v>2</v>
      </c>
      <c r="Q121" s="68">
        <f>MAX(0,$V121-$P121-$S121)</f>
        <v>0</v>
      </c>
      <c r="R121" s="68"/>
      <c r="S121" s="68"/>
      <c r="T121" s="73">
        <v>3.81</v>
      </c>
      <c r="U121" s="73">
        <f>IF(AND($Q121&gt;0,ISNUMBER($T121)),$Q121*$T121,0)</f>
        <v>0</v>
      </c>
      <c r="V121" s="68">
        <f>SUM(W121:AB121)</f>
        <v>2</v>
      </c>
      <c r="W121" s="68"/>
      <c r="X121" s="68"/>
      <c r="Y121" s="68"/>
      <c r="Z121" s="82">
        <v>1</v>
      </c>
      <c r="AA121" s="68">
        <v>1</v>
      </c>
      <c r="AB121" s="68"/>
      <c r="AC121" s="68"/>
      <c r="AD121" s="75">
        <f>SUM(AE121:AJ121)</f>
        <v>2</v>
      </c>
      <c r="AE121" s="76"/>
      <c r="AF121" s="76"/>
      <c r="AG121" s="76"/>
      <c r="AH121" s="76">
        <v>1</v>
      </c>
      <c r="AI121" s="76">
        <v>1</v>
      </c>
      <c r="AJ121" s="76"/>
      <c r="AK121" s="76"/>
      <c r="AL121" s="77">
        <f>IF((P121-SUM(AE121:AK121))&lt;0,0,P121-SUM(AE121:AK121))</f>
        <v>0</v>
      </c>
      <c r="AM121" s="77">
        <f>SUM(AO121:AT121)</f>
        <v>0</v>
      </c>
      <c r="AN121" s="138" t="s">
        <v>81</v>
      </c>
      <c r="AO121" s="72"/>
      <c r="AP121" s="72"/>
      <c r="AQ121" s="72"/>
      <c r="AR121" s="72"/>
      <c r="AS121" s="72"/>
      <c r="AT121" s="72"/>
      <c r="AU121" s="28" t="s">
        <v>2373</v>
      </c>
      <c r="AV121" s="70"/>
      <c r="AW121" s="72"/>
      <c r="AX121" s="94" t="s">
        <v>2374</v>
      </c>
    </row>
    <row r="122" spans="1:50" ht="15" customHeight="1">
      <c r="A122" s="86" t="s">
        <v>905</v>
      </c>
      <c r="B122" s="68" t="s">
        <v>636</v>
      </c>
      <c r="C122" s="69" t="s">
        <v>45</v>
      </c>
      <c r="D122" s="70" t="s">
        <v>64</v>
      </c>
      <c r="E122" s="70" t="s">
        <v>775</v>
      </c>
      <c r="F122" s="68">
        <v>3</v>
      </c>
      <c r="G122" s="71" t="s">
        <v>392</v>
      </c>
      <c r="H122" s="71" t="s">
        <v>907</v>
      </c>
      <c r="I122" s="71"/>
      <c r="J122" s="71"/>
      <c r="K122" s="69"/>
      <c r="L122" s="69"/>
      <c r="M122" s="69"/>
      <c r="N122" s="69"/>
      <c r="O122" s="71" t="s">
        <v>906</v>
      </c>
      <c r="P122" s="69">
        <v>2</v>
      </c>
      <c r="Q122" s="68">
        <f>MAX(0,$V122-$P122-$S122)</f>
        <v>0</v>
      </c>
      <c r="R122" s="68"/>
      <c r="S122" s="68"/>
      <c r="T122" s="73">
        <v>0.26</v>
      </c>
      <c r="U122" s="73">
        <f>IF(AND($Q122&gt;0,ISNUMBER($T122)),$Q122*$T122,0)</f>
        <v>0</v>
      </c>
      <c r="V122" s="68">
        <f>SUM(W122:AB122)</f>
        <v>2</v>
      </c>
      <c r="W122" s="68"/>
      <c r="X122" s="68">
        <v>1</v>
      </c>
      <c r="Y122" s="68"/>
      <c r="Z122" s="87">
        <v>1</v>
      </c>
      <c r="AA122" s="68"/>
      <c r="AB122" s="68"/>
      <c r="AC122" s="68"/>
      <c r="AD122" s="75">
        <f>SUM(AE122:AJ122)</f>
        <v>2</v>
      </c>
      <c r="AE122" s="76"/>
      <c r="AF122" s="76">
        <v>1</v>
      </c>
      <c r="AG122" s="76"/>
      <c r="AH122" s="76">
        <v>1</v>
      </c>
      <c r="AI122" s="76"/>
      <c r="AJ122" s="76"/>
      <c r="AK122" s="76"/>
      <c r="AL122" s="77">
        <f>IF((P122-SUM(AE122:AK122))&lt;0,0,P122-SUM(AE122:AK122))</f>
        <v>0</v>
      </c>
      <c r="AM122" s="77">
        <f>SUM(AO122:AT122)</f>
        <v>0</v>
      </c>
      <c r="AN122" s="72"/>
      <c r="AO122" s="72"/>
      <c r="AP122" s="72"/>
      <c r="AQ122" s="72"/>
      <c r="AR122" s="72"/>
      <c r="AS122" s="72"/>
      <c r="AT122" s="72"/>
      <c r="AU122" s="72"/>
      <c r="AV122" s="70"/>
      <c r="AW122" s="72"/>
      <c r="AX122" s="72"/>
    </row>
    <row r="123" spans="1:50" ht="15" customHeight="1">
      <c r="A123" s="70" t="s">
        <v>2402</v>
      </c>
      <c r="B123" s="68" t="s">
        <v>1971</v>
      </c>
      <c r="C123" s="69" t="s">
        <v>45</v>
      </c>
      <c r="D123" s="70" t="s">
        <v>123</v>
      </c>
      <c r="E123" s="70" t="s">
        <v>2403</v>
      </c>
      <c r="F123" s="68">
        <v>8</v>
      </c>
      <c r="G123" s="71" t="s">
        <v>285</v>
      </c>
      <c r="H123" s="71" t="s">
        <v>2404</v>
      </c>
      <c r="I123" s="71" t="s">
        <v>2405</v>
      </c>
      <c r="J123" s="71"/>
      <c r="K123" s="72"/>
      <c r="L123" s="72"/>
      <c r="M123" s="72"/>
      <c r="N123" s="72"/>
      <c r="O123" s="71" t="s">
        <v>240</v>
      </c>
      <c r="P123" s="69">
        <v>2</v>
      </c>
      <c r="Q123" s="68">
        <f>MAX(0,$V123-$P123-$S123)</f>
        <v>0</v>
      </c>
      <c r="R123" s="68" t="s">
        <v>57</v>
      </c>
      <c r="S123" s="68">
        <v>1</v>
      </c>
      <c r="T123" s="73">
        <v>0.31</v>
      </c>
      <c r="U123" s="73">
        <f>IF(AND($Q123&gt;0,ISNUMBER($T123)),$Q123*$T123,0)</f>
        <v>0</v>
      </c>
      <c r="V123" s="68">
        <f>SUM(W123:AB123)</f>
        <v>0</v>
      </c>
      <c r="W123" s="68"/>
      <c r="X123" s="68"/>
      <c r="Y123" s="68"/>
      <c r="Z123" s="68"/>
      <c r="AA123" s="68"/>
      <c r="AB123" s="68"/>
      <c r="AC123" s="68"/>
      <c r="AD123" s="75">
        <f>SUM(AE123:AJ123)</f>
        <v>1</v>
      </c>
      <c r="AE123" s="76"/>
      <c r="AF123" s="76"/>
      <c r="AG123" s="76"/>
      <c r="AH123" s="76">
        <v>1</v>
      </c>
      <c r="AI123" s="76"/>
      <c r="AJ123" s="76"/>
      <c r="AK123" s="76"/>
      <c r="AL123" s="77">
        <f>IF((P123-SUM(AE123:AK123))&lt;0,0,P123-SUM(AE123:AK123))</f>
        <v>1</v>
      </c>
      <c r="AM123" s="77">
        <f>SUM(AO123:AT123)</f>
        <v>1</v>
      </c>
      <c r="AN123" s="80" t="s">
        <v>105</v>
      </c>
      <c r="AO123" s="72"/>
      <c r="AP123" s="72"/>
      <c r="AQ123" s="72"/>
      <c r="AR123" s="79">
        <v>1</v>
      </c>
      <c r="AS123" s="72"/>
      <c r="AT123" s="72"/>
      <c r="AU123" s="31" t="s">
        <v>2406</v>
      </c>
      <c r="AV123" s="70"/>
      <c r="AW123" s="72"/>
      <c r="AX123" s="72"/>
    </row>
    <row r="124" spans="1:50" ht="15" customHeight="1">
      <c r="A124" s="67" t="s">
        <v>1113</v>
      </c>
      <c r="B124" s="68" t="s">
        <v>1114</v>
      </c>
      <c r="C124" s="69" t="s">
        <v>45</v>
      </c>
      <c r="D124" s="70" t="s">
        <v>123</v>
      </c>
      <c r="E124" s="70" t="s">
        <v>1115</v>
      </c>
      <c r="F124" s="68">
        <v>2</v>
      </c>
      <c r="G124" s="71" t="s">
        <v>49</v>
      </c>
      <c r="H124" s="71" t="s">
        <v>1116</v>
      </c>
      <c r="I124" s="71" t="s">
        <v>215</v>
      </c>
      <c r="J124" s="71"/>
      <c r="K124" s="72"/>
      <c r="L124" s="72"/>
      <c r="M124" s="72"/>
      <c r="N124" s="72"/>
      <c r="O124" s="71" t="s">
        <v>48</v>
      </c>
      <c r="P124" s="69">
        <v>1</v>
      </c>
      <c r="Q124" s="68">
        <f>MAX(0,$V124-$P124-$S124)</f>
        <v>0</v>
      </c>
      <c r="R124" s="68"/>
      <c r="S124" s="68"/>
      <c r="T124" s="73">
        <v>0.38</v>
      </c>
      <c r="U124" s="73">
        <f>IF(AND($Q124&gt;0,ISNUMBER($T124)),$Q124*$T124,0)</f>
        <v>0</v>
      </c>
      <c r="V124" s="68">
        <f>SUM(W124:AB124)</f>
        <v>0</v>
      </c>
      <c r="W124" s="68"/>
      <c r="X124" s="68"/>
      <c r="Y124" s="74"/>
      <c r="Z124" s="68"/>
      <c r="AA124" s="68"/>
      <c r="AB124" s="68"/>
      <c r="AC124" s="68"/>
      <c r="AD124" s="75">
        <f>SUM(AE124:AJ124)</f>
        <v>0</v>
      </c>
      <c r="AE124" s="76"/>
      <c r="AF124" s="76"/>
      <c r="AG124" s="76"/>
      <c r="AH124" s="76"/>
      <c r="AI124" s="76"/>
      <c r="AJ124" s="76"/>
      <c r="AK124" s="76"/>
      <c r="AL124" s="77">
        <f>IF((P124-SUM(AE124:AK124))&lt;0,0,P124-SUM(AE124:AK124))</f>
        <v>1</v>
      </c>
      <c r="AM124" s="77">
        <f>SUM(AO124:AT124)</f>
        <v>0</v>
      </c>
      <c r="AN124" s="129"/>
      <c r="AO124" s="72"/>
      <c r="AP124" s="72"/>
      <c r="AQ124" s="72"/>
      <c r="AR124" s="72"/>
      <c r="AS124" s="72"/>
      <c r="AT124" s="72"/>
      <c r="AU124" s="72"/>
      <c r="AV124" s="70"/>
      <c r="AW124" s="72"/>
      <c r="AX124" s="72"/>
    </row>
    <row r="125" spans="1:50" ht="15" customHeight="1">
      <c r="A125" s="70" t="s">
        <v>1498</v>
      </c>
      <c r="B125" s="68" t="s">
        <v>1499</v>
      </c>
      <c r="C125" s="69" t="s">
        <v>45</v>
      </c>
      <c r="D125" s="70" t="s">
        <v>72</v>
      </c>
      <c r="E125" s="70"/>
      <c r="F125" s="68">
        <v>2</v>
      </c>
      <c r="G125" s="71" t="s">
        <v>49</v>
      </c>
      <c r="H125" s="71" t="s">
        <v>1501</v>
      </c>
      <c r="I125" s="71"/>
      <c r="J125" s="71"/>
      <c r="K125" s="72"/>
      <c r="L125" s="72"/>
      <c r="M125" s="72"/>
      <c r="N125" s="72"/>
      <c r="O125" s="71" t="s">
        <v>1500</v>
      </c>
      <c r="P125" s="69">
        <v>1</v>
      </c>
      <c r="Q125" s="68">
        <f>MAX(0,$V125-$P125-$S125)</f>
        <v>0</v>
      </c>
      <c r="R125" s="68"/>
      <c r="S125" s="68"/>
      <c r="T125" s="73">
        <v>0.34</v>
      </c>
      <c r="U125" s="73">
        <f>IF(AND($Q125&gt;0,ISNUMBER($T125)),$Q125*$T125,0)</f>
        <v>0</v>
      </c>
      <c r="V125" s="68">
        <f>SUM(W125:AB125)</f>
        <v>1</v>
      </c>
      <c r="W125" s="68"/>
      <c r="X125" s="68"/>
      <c r="Y125" s="68"/>
      <c r="Z125" s="68"/>
      <c r="AA125" s="68"/>
      <c r="AB125" s="68">
        <v>1</v>
      </c>
      <c r="AC125" s="68"/>
      <c r="AD125" s="75">
        <f>SUM(AE125:AJ125)</f>
        <v>1</v>
      </c>
      <c r="AE125" s="76"/>
      <c r="AF125" s="76"/>
      <c r="AG125" s="76"/>
      <c r="AH125" s="76"/>
      <c r="AI125" s="76"/>
      <c r="AJ125" s="76">
        <v>1</v>
      </c>
      <c r="AK125" s="76"/>
      <c r="AL125" s="77">
        <f>IF((P125-SUM(AE125:AK125))&lt;0,0,P125-SUM(AE125:AK125))</f>
        <v>0</v>
      </c>
      <c r="AM125" s="77">
        <f>SUM(AO125:AT125)</f>
        <v>0</v>
      </c>
      <c r="AN125" s="72"/>
      <c r="AO125" s="72"/>
      <c r="AP125" s="72"/>
      <c r="AQ125" s="72"/>
      <c r="AR125" s="72"/>
      <c r="AS125" s="72"/>
      <c r="AT125" s="72"/>
      <c r="AU125" s="72"/>
      <c r="AV125" s="70"/>
      <c r="AW125" s="72"/>
      <c r="AX125" s="72"/>
    </row>
    <row r="126" spans="1:50" ht="15" customHeight="1">
      <c r="A126" s="70" t="s">
        <v>918</v>
      </c>
      <c r="B126" s="68" t="s">
        <v>919</v>
      </c>
      <c r="C126" s="69" t="s">
        <v>45</v>
      </c>
      <c r="D126" s="70" t="s">
        <v>627</v>
      </c>
      <c r="E126" s="70"/>
      <c r="F126" s="68">
        <v>0</v>
      </c>
      <c r="G126" s="71" t="s">
        <v>627</v>
      </c>
      <c r="H126" s="71" t="s">
        <v>517</v>
      </c>
      <c r="I126" s="71" t="s">
        <v>920</v>
      </c>
      <c r="J126" s="71"/>
      <c r="K126" s="72"/>
      <c r="L126" s="72"/>
      <c r="M126" s="72"/>
      <c r="N126" s="72"/>
      <c r="O126" s="71" t="s">
        <v>576</v>
      </c>
      <c r="P126" s="69">
        <v>1</v>
      </c>
      <c r="Q126" s="68">
        <f>MAX(0,$V126-$P126-$S126)</f>
        <v>0</v>
      </c>
      <c r="R126" s="68"/>
      <c r="S126" s="68"/>
      <c r="T126" s="73">
        <v>0.4</v>
      </c>
      <c r="U126" s="73">
        <f>IF(AND($Q126&gt;0,ISNUMBER($T126)),$Q126*$T126,0)</f>
        <v>0</v>
      </c>
      <c r="V126" s="68">
        <f>SUM(W126:AB126)</f>
        <v>0</v>
      </c>
      <c r="W126" s="68"/>
      <c r="X126" s="68"/>
      <c r="Y126" s="68"/>
      <c r="Z126" s="68"/>
      <c r="AA126" s="68"/>
      <c r="AB126" s="68"/>
      <c r="AC126" s="68"/>
      <c r="AD126" s="75">
        <f>SUM(AE126:AJ126)</f>
        <v>0</v>
      </c>
      <c r="AE126" s="76"/>
      <c r="AF126" s="76"/>
      <c r="AG126" s="76"/>
      <c r="AH126" s="76"/>
      <c r="AI126" s="76"/>
      <c r="AJ126" s="76"/>
      <c r="AK126" s="76"/>
      <c r="AL126" s="77">
        <f>IF((P126-SUM(AE126:AK126))&lt;0,0,P126-SUM(AE126:AK126))</f>
        <v>1</v>
      </c>
      <c r="AM126" s="77">
        <f>SUM(AO126:AT126)</f>
        <v>0</v>
      </c>
      <c r="AN126" s="72"/>
      <c r="AO126" s="72"/>
      <c r="AP126" s="72"/>
      <c r="AQ126" s="72"/>
      <c r="AR126" s="72"/>
      <c r="AS126" s="72"/>
      <c r="AT126" s="72"/>
      <c r="AU126" s="72"/>
      <c r="AV126" s="70"/>
      <c r="AW126" s="72"/>
      <c r="AX126" s="72"/>
    </row>
    <row r="127" spans="1:50" ht="15" customHeight="1">
      <c r="A127" s="70" t="s">
        <v>1502</v>
      </c>
      <c r="B127" s="68" t="s">
        <v>1499</v>
      </c>
      <c r="C127" s="69" t="s">
        <v>45</v>
      </c>
      <c r="D127" s="70" t="s">
        <v>58</v>
      </c>
      <c r="E127" s="70" t="s">
        <v>748</v>
      </c>
      <c r="F127" s="68">
        <v>4</v>
      </c>
      <c r="G127" s="71" t="s">
        <v>1421</v>
      </c>
      <c r="H127" s="71" t="s">
        <v>1503</v>
      </c>
      <c r="I127" s="71" t="s">
        <v>1504</v>
      </c>
      <c r="J127" s="71" t="s">
        <v>1505</v>
      </c>
      <c r="K127" s="69"/>
      <c r="L127" s="69"/>
      <c r="M127" s="69"/>
      <c r="N127" s="69"/>
      <c r="O127" s="71" t="s">
        <v>334</v>
      </c>
      <c r="P127" s="69">
        <v>1</v>
      </c>
      <c r="Q127" s="68">
        <f>MAX(0,$V127-$P127-$S127)</f>
        <v>0</v>
      </c>
      <c r="R127" s="68"/>
      <c r="S127" s="68"/>
      <c r="T127" s="73">
        <v>0.37</v>
      </c>
      <c r="U127" s="73">
        <f>IF(AND($Q127&gt;0,ISNUMBER($T127)),$Q127*$T127,0)</f>
        <v>0</v>
      </c>
      <c r="V127" s="68">
        <f>SUM(W127:AB127)</f>
        <v>1</v>
      </c>
      <c r="W127" s="68">
        <v>1</v>
      </c>
      <c r="X127" s="68"/>
      <c r="Y127" s="68"/>
      <c r="Z127" s="68"/>
      <c r="AA127" s="68"/>
      <c r="AB127" s="68"/>
      <c r="AC127" s="68"/>
      <c r="AD127" s="75">
        <f>SUM(AE127:AJ127)</f>
        <v>1</v>
      </c>
      <c r="AE127" s="76">
        <v>1</v>
      </c>
      <c r="AF127" s="76"/>
      <c r="AG127" s="76"/>
      <c r="AH127" s="76"/>
      <c r="AI127" s="76"/>
      <c r="AJ127" s="76"/>
      <c r="AK127" s="76"/>
      <c r="AL127" s="77">
        <f>IF((P127-SUM(AE127:AK127))&lt;0,0,P127-SUM(AE127:AK127))</f>
        <v>0</v>
      </c>
      <c r="AM127" s="77">
        <f>SUM(AO127:AT127)</f>
        <v>0</v>
      </c>
      <c r="AN127" s="129"/>
      <c r="AO127" s="72"/>
      <c r="AP127" s="72"/>
      <c r="AQ127" s="72"/>
      <c r="AR127" s="72"/>
      <c r="AS127" s="72"/>
      <c r="AT127" s="72"/>
      <c r="AU127" s="72"/>
      <c r="AV127" s="70"/>
      <c r="AW127" s="72"/>
      <c r="AX127" s="72"/>
    </row>
    <row r="128" spans="1:50" ht="15" customHeight="1">
      <c r="A128" s="86" t="s">
        <v>348</v>
      </c>
      <c r="B128" s="68" t="s">
        <v>345</v>
      </c>
      <c r="C128" s="69" t="s">
        <v>45</v>
      </c>
      <c r="D128" s="70" t="s">
        <v>175</v>
      </c>
      <c r="E128" s="70"/>
      <c r="F128" s="68">
        <v>3</v>
      </c>
      <c r="G128" s="71" t="s">
        <v>350</v>
      </c>
      <c r="H128" s="71" t="s">
        <v>351</v>
      </c>
      <c r="I128" s="71" t="s">
        <v>352</v>
      </c>
      <c r="J128" s="71" t="s">
        <v>353</v>
      </c>
      <c r="K128" s="72"/>
      <c r="L128" s="72"/>
      <c r="M128" s="72"/>
      <c r="N128" s="72"/>
      <c r="O128" s="71" t="s">
        <v>349</v>
      </c>
      <c r="P128" s="69">
        <v>1</v>
      </c>
      <c r="Q128" s="68">
        <f>MAX(0,$V128-$P128-$S128)</f>
        <v>0</v>
      </c>
      <c r="R128" s="68"/>
      <c r="S128" s="68"/>
      <c r="T128" s="73">
        <v>0.51</v>
      </c>
      <c r="U128" s="73">
        <f>IF(AND($Q128&gt;0,ISNUMBER($T128)),$Q128*$T128,0)</f>
        <v>0</v>
      </c>
      <c r="V128" s="68">
        <f>SUM(W128:AB128)</f>
        <v>1</v>
      </c>
      <c r="W128" s="68"/>
      <c r="X128" s="68"/>
      <c r="Y128" s="87">
        <v>1</v>
      </c>
      <c r="Z128" s="68"/>
      <c r="AA128" s="68"/>
      <c r="AB128" s="68"/>
      <c r="AC128" s="68"/>
      <c r="AD128" s="75">
        <f>SUM(AE128:AJ128)</f>
        <v>1</v>
      </c>
      <c r="AE128" s="76"/>
      <c r="AF128" s="76"/>
      <c r="AG128" s="76">
        <v>1</v>
      </c>
      <c r="AH128" s="76"/>
      <c r="AI128" s="76"/>
      <c r="AJ128" s="76"/>
      <c r="AK128" s="76"/>
      <c r="AL128" s="77">
        <f>IF((P128-SUM(AE128:AK128))&lt;0,0,P128-SUM(AE128:AK128))</f>
        <v>0</v>
      </c>
      <c r="AM128" s="77">
        <f>SUM(AO128:AT128)</f>
        <v>0</v>
      </c>
      <c r="AN128" s="129"/>
      <c r="AO128" s="72"/>
      <c r="AP128" s="72"/>
      <c r="AQ128" s="129"/>
      <c r="AR128" s="129"/>
      <c r="AS128" s="72"/>
      <c r="AT128" s="72"/>
      <c r="AU128" s="129"/>
      <c r="AV128" s="70"/>
      <c r="AW128" s="72"/>
      <c r="AX128" s="72"/>
    </row>
    <row r="129" spans="1:50" ht="15" customHeight="1">
      <c r="A129" s="67" t="s">
        <v>1830</v>
      </c>
      <c r="B129" s="68" t="s">
        <v>1831</v>
      </c>
      <c r="C129" s="69" t="s">
        <v>45</v>
      </c>
      <c r="D129" s="70" t="s">
        <v>72</v>
      </c>
      <c r="E129" s="70"/>
      <c r="F129" s="68">
        <v>4</v>
      </c>
      <c r="G129" s="71" t="s">
        <v>1332</v>
      </c>
      <c r="H129" s="71" t="s">
        <v>1832</v>
      </c>
      <c r="I129" s="71"/>
      <c r="J129" s="71"/>
      <c r="K129" s="72"/>
      <c r="L129" s="72"/>
      <c r="M129" s="72"/>
      <c r="N129" s="72"/>
      <c r="O129" s="71" t="s">
        <v>866</v>
      </c>
      <c r="P129" s="69">
        <v>1</v>
      </c>
      <c r="Q129" s="68">
        <f>MAX(0,$V129-$P129-$S129)</f>
        <v>0</v>
      </c>
      <c r="R129" s="68" t="s">
        <v>57</v>
      </c>
      <c r="S129" s="68">
        <v>1</v>
      </c>
      <c r="T129" s="73">
        <v>0.62</v>
      </c>
      <c r="U129" s="73">
        <f>IF(AND($Q129&gt;0,ISNUMBER($T129)),$Q129*$T129,0)</f>
        <v>0</v>
      </c>
      <c r="V129" s="68">
        <f>SUM(W129:AB129)</f>
        <v>0</v>
      </c>
      <c r="W129" s="68"/>
      <c r="X129" s="74"/>
      <c r="Y129" s="68"/>
      <c r="Z129" s="68"/>
      <c r="AA129" s="68"/>
      <c r="AB129" s="68"/>
      <c r="AC129" s="68"/>
      <c r="AD129" s="75">
        <f>SUM(AE129:AJ129)</f>
        <v>0</v>
      </c>
      <c r="AE129" s="76"/>
      <c r="AF129" s="76"/>
      <c r="AG129" s="76"/>
      <c r="AH129" s="76"/>
      <c r="AI129" s="76"/>
      <c r="AJ129" s="76"/>
      <c r="AK129" s="76"/>
      <c r="AL129" s="77">
        <f>IF((P129-SUM(AE129:AK129))&lt;0,0,P129-SUM(AE129:AK129))</f>
        <v>1</v>
      </c>
      <c r="AM129" s="77">
        <f>SUM(AO129:AT129)</f>
        <v>0</v>
      </c>
      <c r="AN129" s="85"/>
      <c r="AO129" s="72"/>
      <c r="AP129" s="72"/>
      <c r="AQ129" s="72"/>
      <c r="AR129" s="72"/>
      <c r="AS129" s="72"/>
      <c r="AT129" s="72"/>
      <c r="AU129" s="72"/>
      <c r="AV129" s="70"/>
      <c r="AW129" s="72"/>
      <c r="AX129" s="72"/>
    </row>
    <row r="130" spans="1:50" ht="15" customHeight="1">
      <c r="A130" s="98" t="s">
        <v>2407</v>
      </c>
      <c r="B130" s="100" t="s">
        <v>1114</v>
      </c>
      <c r="C130" s="101" t="s">
        <v>45</v>
      </c>
      <c r="D130" s="98" t="s">
        <v>58</v>
      </c>
      <c r="E130" s="98"/>
      <c r="F130" s="100">
        <v>2</v>
      </c>
      <c r="G130" s="98" t="s">
        <v>530</v>
      </c>
      <c r="H130" s="98" t="s">
        <v>2408</v>
      </c>
      <c r="I130" s="98" t="s">
        <v>2409</v>
      </c>
      <c r="J130" s="98"/>
      <c r="K130" s="99"/>
      <c r="L130" s="99"/>
      <c r="M130" s="99"/>
      <c r="N130" s="99"/>
      <c r="O130" s="98" t="s">
        <v>112</v>
      </c>
      <c r="P130" s="101">
        <v>1</v>
      </c>
      <c r="Q130" s="68">
        <f>MAX(0,$V130-$P130-$S130)</f>
        <v>0</v>
      </c>
      <c r="R130" s="98"/>
      <c r="S130" s="98"/>
      <c r="T130" s="98">
        <v>0.28000000000000003</v>
      </c>
      <c r="U130" s="98">
        <f>IF(AND($Q130&gt;0,ISNUMBER($T130)),$Q130*$T130,0)</f>
        <v>0</v>
      </c>
      <c r="V130" s="68">
        <f>SUM(W130:AB130)</f>
        <v>0</v>
      </c>
      <c r="W130" s="100"/>
      <c r="X130" s="100"/>
      <c r="Y130" s="100"/>
      <c r="Z130" s="100"/>
      <c r="AA130" s="100"/>
      <c r="AB130" s="100"/>
      <c r="AC130" s="68"/>
      <c r="AD130" s="75">
        <f>SUM(AE130:AJ130)</f>
        <v>0</v>
      </c>
      <c r="AE130" s="102"/>
      <c r="AF130" s="102"/>
      <c r="AG130" s="102"/>
      <c r="AH130" s="102"/>
      <c r="AI130" s="102"/>
      <c r="AJ130" s="102"/>
      <c r="AK130" s="102"/>
      <c r="AL130" s="77">
        <f>IF((P130-SUM(AE130:AK130))&lt;0,0,P130-SUM(AE130:AK130))</f>
        <v>1</v>
      </c>
      <c r="AM130" s="77">
        <f>SUM(AO130:AT130)</f>
        <v>0</v>
      </c>
      <c r="AN130" s="127"/>
      <c r="AO130" s="99"/>
      <c r="AP130" s="99"/>
      <c r="AQ130" s="99"/>
      <c r="AR130" s="99"/>
      <c r="AS130" s="99"/>
      <c r="AT130" s="99"/>
      <c r="AU130" s="99"/>
      <c r="AV130" s="98"/>
      <c r="AW130" s="99"/>
      <c r="AX130" s="99"/>
    </row>
    <row r="131" spans="1:50" ht="15" customHeight="1">
      <c r="A131" s="70" t="s">
        <v>921</v>
      </c>
      <c r="B131" s="68" t="s">
        <v>919</v>
      </c>
      <c r="C131" s="69" t="s">
        <v>45</v>
      </c>
      <c r="D131" s="70" t="s">
        <v>627</v>
      </c>
      <c r="E131" s="70"/>
      <c r="F131" s="68">
        <v>0</v>
      </c>
      <c r="G131" s="71" t="s">
        <v>627</v>
      </c>
      <c r="H131" s="71" t="s">
        <v>922</v>
      </c>
      <c r="I131" s="71" t="s">
        <v>923</v>
      </c>
      <c r="J131" s="71"/>
      <c r="K131" s="72"/>
      <c r="L131" s="72">
        <v>1</v>
      </c>
      <c r="M131" s="72"/>
      <c r="N131" s="72"/>
      <c r="O131" s="71" t="s">
        <v>112</v>
      </c>
      <c r="P131" s="69">
        <v>1</v>
      </c>
      <c r="Q131" s="68">
        <f>MAX(0,$V131-$P131-$S131)</f>
        <v>0</v>
      </c>
      <c r="R131" s="68"/>
      <c r="S131" s="68"/>
      <c r="T131" s="73">
        <v>0.22</v>
      </c>
      <c r="U131" s="73">
        <f>IF(AND($Q131&gt;0,ISNUMBER($T131)),$Q131*$T131,0)</f>
        <v>0</v>
      </c>
      <c r="V131" s="68">
        <f>SUM(W131:AB131)</f>
        <v>0</v>
      </c>
      <c r="W131" s="68"/>
      <c r="X131" s="68"/>
      <c r="Y131" s="68"/>
      <c r="Z131" s="68"/>
      <c r="AA131" s="68"/>
      <c r="AB131" s="68"/>
      <c r="AC131" s="68"/>
      <c r="AD131" s="75">
        <f>SUM(AE131:AJ131)</f>
        <v>0</v>
      </c>
      <c r="AE131" s="76"/>
      <c r="AF131" s="76"/>
      <c r="AG131" s="76"/>
      <c r="AH131" s="76"/>
      <c r="AI131" s="76"/>
      <c r="AJ131" s="76"/>
      <c r="AK131" s="76"/>
      <c r="AL131" s="77">
        <f>IF((P131-SUM(AE131:AK131))&lt;0,0,P131-SUM(AE131:AK131))</f>
        <v>1</v>
      </c>
      <c r="AM131" s="77">
        <f>SUM(AO131:AT131)</f>
        <v>0</v>
      </c>
      <c r="AN131" s="129"/>
      <c r="AO131" s="72"/>
      <c r="AP131" s="72"/>
      <c r="AQ131" s="72"/>
      <c r="AR131" s="72"/>
      <c r="AS131" s="72"/>
      <c r="AT131" s="72"/>
      <c r="AU131" s="72"/>
      <c r="AV131" s="70"/>
      <c r="AW131" s="72"/>
      <c r="AX131" s="72"/>
    </row>
    <row r="132" spans="1:50" ht="15" customHeight="1">
      <c r="A132" s="70" t="s">
        <v>1506</v>
      </c>
      <c r="B132" s="68" t="s">
        <v>1499</v>
      </c>
      <c r="C132" s="69" t="s">
        <v>45</v>
      </c>
      <c r="D132" s="70" t="s">
        <v>64</v>
      </c>
      <c r="E132" s="70" t="s">
        <v>1507</v>
      </c>
      <c r="F132" s="68">
        <v>1</v>
      </c>
      <c r="G132" s="71" t="s">
        <v>438</v>
      </c>
      <c r="H132" s="71" t="s">
        <v>1508</v>
      </c>
      <c r="I132" s="71"/>
      <c r="J132" s="71"/>
      <c r="K132" s="72"/>
      <c r="L132" s="72"/>
      <c r="M132" s="72"/>
      <c r="N132" s="72"/>
      <c r="O132" s="71" t="s">
        <v>144</v>
      </c>
      <c r="P132" s="69">
        <v>1</v>
      </c>
      <c r="Q132" s="68">
        <f>MAX(0,$V132-$P132-$S132)</f>
        <v>0</v>
      </c>
      <c r="R132" s="68"/>
      <c r="S132" s="68"/>
      <c r="T132" s="73">
        <v>0.2</v>
      </c>
      <c r="U132" s="73">
        <f>IF(AND($Q132&gt;0,ISNUMBER($T132)),$Q132*$T132,0)</f>
        <v>0</v>
      </c>
      <c r="V132" s="68">
        <f>SUM(W132:AB132)</f>
        <v>0</v>
      </c>
      <c r="W132" s="68"/>
      <c r="X132" s="68"/>
      <c r="Y132" s="68"/>
      <c r="Z132" s="68"/>
      <c r="AA132" s="68"/>
      <c r="AB132" s="68"/>
      <c r="AC132" s="68"/>
      <c r="AD132" s="75">
        <f>SUM(AE132:AJ132)</f>
        <v>1</v>
      </c>
      <c r="AE132" s="76"/>
      <c r="AF132" s="76"/>
      <c r="AG132" s="76"/>
      <c r="AH132" s="76"/>
      <c r="AI132" s="76"/>
      <c r="AJ132" s="76">
        <v>1</v>
      </c>
      <c r="AK132" s="76"/>
      <c r="AL132" s="77">
        <f>IF((P132-SUM(AE132:AK132))&lt;0,0,P132-SUM(AE132:AK132))</f>
        <v>0</v>
      </c>
      <c r="AM132" s="77">
        <f>SUM(AO132:AT132)</f>
        <v>1</v>
      </c>
      <c r="AN132" s="78" t="s">
        <v>105</v>
      </c>
      <c r="AO132" s="72"/>
      <c r="AP132" s="72"/>
      <c r="AQ132" s="72"/>
      <c r="AR132" s="72"/>
      <c r="AS132" s="72"/>
      <c r="AT132" s="79">
        <v>1</v>
      </c>
      <c r="AU132" s="31" t="s">
        <v>1509</v>
      </c>
      <c r="AV132" s="70"/>
      <c r="AW132" s="72"/>
      <c r="AX132" s="72"/>
    </row>
    <row r="133" spans="1:50" ht="15" customHeight="1">
      <c r="A133" s="70" t="s">
        <v>1510</v>
      </c>
      <c r="B133" s="68" t="s">
        <v>1499</v>
      </c>
      <c r="C133" s="69" t="s">
        <v>45</v>
      </c>
      <c r="D133" s="70" t="s">
        <v>123</v>
      </c>
      <c r="E133" s="70" t="s">
        <v>1511</v>
      </c>
      <c r="F133" s="68">
        <v>4</v>
      </c>
      <c r="G133" s="71" t="s">
        <v>285</v>
      </c>
      <c r="H133" s="71" t="s">
        <v>1512</v>
      </c>
      <c r="I133" s="71" t="s">
        <v>1513</v>
      </c>
      <c r="J133" s="71" t="s">
        <v>1514</v>
      </c>
      <c r="K133" s="72"/>
      <c r="L133" s="72"/>
      <c r="M133" s="72"/>
      <c r="N133" s="72"/>
      <c r="O133" s="71" t="s">
        <v>101</v>
      </c>
      <c r="P133" s="69">
        <v>1</v>
      </c>
      <c r="Q133" s="68">
        <f>MAX(0,$V133-$P133-$S133)</f>
        <v>0</v>
      </c>
      <c r="R133" s="68"/>
      <c r="S133" s="68"/>
      <c r="T133" s="73">
        <v>0.39</v>
      </c>
      <c r="U133" s="73">
        <f>IF(AND($Q133&gt;0,ISNUMBER($T133)),$Q133*$T133,0)</f>
        <v>0</v>
      </c>
      <c r="V133" s="68">
        <f>SUM(W133:AB133)</f>
        <v>0</v>
      </c>
      <c r="W133" s="68"/>
      <c r="X133" s="68"/>
      <c r="Y133" s="68"/>
      <c r="Z133" s="68"/>
      <c r="AA133" s="68"/>
      <c r="AB133" s="68"/>
      <c r="AC133" s="68"/>
      <c r="AD133" s="75">
        <f>SUM(AE133:AJ133)</f>
        <v>1</v>
      </c>
      <c r="AE133" s="76"/>
      <c r="AF133" s="76"/>
      <c r="AG133" s="76"/>
      <c r="AH133" s="76"/>
      <c r="AI133" s="76"/>
      <c r="AJ133" s="76">
        <v>1</v>
      </c>
      <c r="AK133" s="76"/>
      <c r="AL133" s="77">
        <f>IF((P133-SUM(AE133:AK133))&lt;0,0,P133-SUM(AE133:AK133))</f>
        <v>0</v>
      </c>
      <c r="AM133" s="77">
        <f>SUM(AO133:AT133)</f>
        <v>1</v>
      </c>
      <c r="AN133" s="140" t="s">
        <v>105</v>
      </c>
      <c r="AO133" s="72"/>
      <c r="AP133" s="72"/>
      <c r="AQ133" s="72"/>
      <c r="AR133" s="72"/>
      <c r="AS133" s="72"/>
      <c r="AT133" s="79">
        <v>1</v>
      </c>
      <c r="AU133" s="31" t="s">
        <v>1515</v>
      </c>
      <c r="AV133" s="70"/>
      <c r="AW133" s="72"/>
      <c r="AX133" s="72"/>
    </row>
    <row r="134" spans="1:50" ht="15" customHeight="1">
      <c r="A134" s="70" t="s">
        <v>635</v>
      </c>
      <c r="B134" s="68" t="s">
        <v>636</v>
      </c>
      <c r="C134" s="69" t="s">
        <v>45</v>
      </c>
      <c r="D134" s="70" t="s">
        <v>64</v>
      </c>
      <c r="E134" s="70" t="s">
        <v>637</v>
      </c>
      <c r="F134" s="68">
        <v>6</v>
      </c>
      <c r="G134" s="71" t="s">
        <v>91</v>
      </c>
      <c r="H134" s="71" t="s">
        <v>638</v>
      </c>
      <c r="I134" s="71" t="s">
        <v>639</v>
      </c>
      <c r="J134" s="71"/>
      <c r="K134" s="69"/>
      <c r="L134" s="69"/>
      <c r="M134" s="69"/>
      <c r="N134" s="69"/>
      <c r="O134" s="71" t="s">
        <v>144</v>
      </c>
      <c r="P134" s="69">
        <v>1</v>
      </c>
      <c r="Q134" s="68">
        <f>MAX(0,$V134-$P134-$S134)</f>
        <v>0</v>
      </c>
      <c r="R134" s="68"/>
      <c r="S134" s="68"/>
      <c r="T134" s="73">
        <v>12.31</v>
      </c>
      <c r="U134" s="73">
        <f>IF(AND($Q134&gt;0,ISNUMBER($T134)),$Q134*$T134,0)</f>
        <v>0</v>
      </c>
      <c r="V134" s="68">
        <f>SUM(W134:AB134)</f>
        <v>1</v>
      </c>
      <c r="W134" s="68"/>
      <c r="X134" s="68">
        <v>1</v>
      </c>
      <c r="Y134" s="68"/>
      <c r="Z134" s="68"/>
      <c r="AA134" s="68"/>
      <c r="AB134" s="68"/>
      <c r="AC134" s="68"/>
      <c r="AD134" s="75">
        <f>SUM(AE134:AJ134)</f>
        <v>1</v>
      </c>
      <c r="AE134" s="76"/>
      <c r="AF134" s="76">
        <v>1</v>
      </c>
      <c r="AG134" s="76"/>
      <c r="AH134" s="76"/>
      <c r="AI134" s="76"/>
      <c r="AJ134" s="76"/>
      <c r="AK134" s="76"/>
      <c r="AL134" s="77">
        <f>IF((P134-SUM(AE134:AK134))&lt;0,0,P134-SUM(AE134:AK134))</f>
        <v>0</v>
      </c>
      <c r="AM134" s="77">
        <f>SUM(AO134:AT134)</f>
        <v>0</v>
      </c>
      <c r="AN134" s="129"/>
      <c r="AO134" s="72"/>
      <c r="AP134" s="72"/>
      <c r="AQ134" s="72"/>
      <c r="AR134" s="72"/>
      <c r="AS134" s="72"/>
      <c r="AT134" s="72"/>
      <c r="AU134" s="72"/>
      <c r="AV134" s="70"/>
      <c r="AW134" s="72"/>
      <c r="AX134" s="72"/>
    </row>
    <row r="135" spans="1:50" ht="15" customHeight="1">
      <c r="A135" s="86" t="s">
        <v>1970</v>
      </c>
      <c r="B135" s="68" t="s">
        <v>1971</v>
      </c>
      <c r="C135" s="69" t="s">
        <v>45</v>
      </c>
      <c r="D135" s="70" t="s">
        <v>64</v>
      </c>
      <c r="E135" s="70" t="s">
        <v>1972</v>
      </c>
      <c r="F135" s="68">
        <v>6</v>
      </c>
      <c r="G135" s="71" t="s">
        <v>296</v>
      </c>
      <c r="H135" s="71" t="s">
        <v>1974</v>
      </c>
      <c r="I135" s="71" t="s">
        <v>1975</v>
      </c>
      <c r="J135" s="71" t="s">
        <v>1166</v>
      </c>
      <c r="K135" s="72"/>
      <c r="L135" s="72"/>
      <c r="M135" s="72"/>
      <c r="N135" s="72"/>
      <c r="O135" s="71" t="s">
        <v>1973</v>
      </c>
      <c r="P135" s="69">
        <v>1</v>
      </c>
      <c r="Q135" s="68">
        <f>MAX(0,$V135-$P135-$S135)</f>
        <v>0</v>
      </c>
      <c r="R135" s="68"/>
      <c r="S135" s="68"/>
      <c r="T135" s="73">
        <v>0.38</v>
      </c>
      <c r="U135" s="73">
        <f>IF(AND($Q135&gt;0,ISNUMBER($T135)),$Q135*$T135,0)</f>
        <v>0</v>
      </c>
      <c r="V135" s="68">
        <f>SUM(W135:AB135)</f>
        <v>1</v>
      </c>
      <c r="W135" s="68"/>
      <c r="X135" s="68"/>
      <c r="Y135" s="68"/>
      <c r="Z135" s="68"/>
      <c r="AA135" s="87">
        <v>1</v>
      </c>
      <c r="AB135" s="68"/>
      <c r="AC135" s="68"/>
      <c r="AD135" s="75">
        <f>SUM(AE135:AJ135)</f>
        <v>1</v>
      </c>
      <c r="AE135" s="76"/>
      <c r="AF135" s="76"/>
      <c r="AG135" s="76"/>
      <c r="AH135" s="76"/>
      <c r="AI135" s="76">
        <v>1</v>
      </c>
      <c r="AJ135" s="76"/>
      <c r="AK135" s="76"/>
      <c r="AL135" s="77">
        <f>IF((P135-SUM(AE135:AK135))&lt;0,0,P135-SUM(AE135:AK135))</f>
        <v>0</v>
      </c>
      <c r="AM135" s="77">
        <f>SUM(AO135:AT135)</f>
        <v>0</v>
      </c>
      <c r="AN135" s="72"/>
      <c r="AO135" s="72"/>
      <c r="AP135" s="72"/>
      <c r="AQ135" s="72"/>
      <c r="AR135" s="72"/>
      <c r="AS135" s="72"/>
      <c r="AT135" s="72"/>
      <c r="AU135" s="72"/>
      <c r="AV135" s="70"/>
      <c r="AW135" s="72"/>
      <c r="AX135" s="72"/>
    </row>
    <row r="136" spans="1:50" ht="15" customHeight="1">
      <c r="A136" s="86" t="s">
        <v>1516</v>
      </c>
      <c r="B136" s="68" t="s">
        <v>1499</v>
      </c>
      <c r="C136" s="69" t="s">
        <v>45</v>
      </c>
      <c r="D136" s="70" t="s">
        <v>64</v>
      </c>
      <c r="E136" s="70" t="s">
        <v>1517</v>
      </c>
      <c r="F136" s="68">
        <v>4</v>
      </c>
      <c r="G136" s="71" t="s">
        <v>422</v>
      </c>
      <c r="H136" s="71" t="s">
        <v>1518</v>
      </c>
      <c r="I136" s="71"/>
      <c r="J136" s="71"/>
      <c r="K136" s="72"/>
      <c r="L136" s="72"/>
      <c r="M136" s="72"/>
      <c r="N136" s="72"/>
      <c r="O136" s="71" t="s">
        <v>1020</v>
      </c>
      <c r="P136" s="69">
        <v>1</v>
      </c>
      <c r="Q136" s="68">
        <f>MAX(0,$V136-$P136-$S136)</f>
        <v>0</v>
      </c>
      <c r="R136" s="68"/>
      <c r="S136" s="68"/>
      <c r="T136" s="73">
        <v>0.6</v>
      </c>
      <c r="U136" s="73">
        <f>IF(AND($Q136&gt;0,ISNUMBER($T136)),$Q136*$T136,0)</f>
        <v>0</v>
      </c>
      <c r="V136" s="68">
        <f>SUM(W136:AB136)</f>
        <v>1</v>
      </c>
      <c r="W136" s="68"/>
      <c r="X136" s="68"/>
      <c r="Y136" s="68"/>
      <c r="Z136" s="68"/>
      <c r="AA136" s="68"/>
      <c r="AB136" s="87">
        <v>1</v>
      </c>
      <c r="AC136" s="68"/>
      <c r="AD136" s="75">
        <f>SUM(AE136:AJ136)</f>
        <v>1</v>
      </c>
      <c r="AE136" s="76"/>
      <c r="AF136" s="76"/>
      <c r="AG136" s="76"/>
      <c r="AH136" s="76"/>
      <c r="AI136" s="76"/>
      <c r="AJ136" s="76">
        <v>1</v>
      </c>
      <c r="AK136" s="76"/>
      <c r="AL136" s="77">
        <f>IF((P136-SUM(AE136:AK136))&lt;0,0,P136-SUM(AE136:AK136))</f>
        <v>0</v>
      </c>
      <c r="AM136" s="77">
        <f>SUM(AO136:AT136)</f>
        <v>0</v>
      </c>
      <c r="AN136" s="129"/>
      <c r="AO136" s="72"/>
      <c r="AP136" s="72"/>
      <c r="AQ136" s="129"/>
      <c r="AR136" s="72"/>
      <c r="AS136" s="129"/>
      <c r="AT136" s="72"/>
      <c r="AU136" s="129"/>
      <c r="AV136" s="70"/>
      <c r="AW136" s="72"/>
      <c r="AX136" s="72"/>
    </row>
    <row r="137" spans="1:50" ht="15" customHeight="1">
      <c r="A137" s="81" t="s">
        <v>1125</v>
      </c>
      <c r="B137" s="68" t="s">
        <v>1114</v>
      </c>
      <c r="C137" s="69" t="s">
        <v>45</v>
      </c>
      <c r="D137" s="70" t="s">
        <v>72</v>
      </c>
      <c r="E137" s="70"/>
      <c r="F137" s="68">
        <v>3</v>
      </c>
      <c r="G137" s="71" t="s">
        <v>49</v>
      </c>
      <c r="H137" s="71" t="s">
        <v>1126</v>
      </c>
      <c r="I137" s="71" t="s">
        <v>1127</v>
      </c>
      <c r="J137" s="71"/>
      <c r="K137" s="72"/>
      <c r="L137" s="72"/>
      <c r="M137" s="72"/>
      <c r="N137" s="72"/>
      <c r="O137" s="71" t="s">
        <v>291</v>
      </c>
      <c r="P137" s="69">
        <v>1</v>
      </c>
      <c r="Q137" s="68">
        <f>MAX(0,$V137-$P137-$S137)</f>
        <v>1</v>
      </c>
      <c r="R137" s="68" t="s">
        <v>57</v>
      </c>
      <c r="S137" s="68">
        <v>1</v>
      </c>
      <c r="T137" s="73">
        <v>1.46</v>
      </c>
      <c r="U137" s="73">
        <f>IF(AND($Q137&gt;0,ISNUMBER($T137)),$Q137*$T137,0)</f>
        <v>1.46</v>
      </c>
      <c r="V137" s="68">
        <f>SUM(W137:AB137)</f>
        <v>3</v>
      </c>
      <c r="W137" s="68"/>
      <c r="X137" s="68"/>
      <c r="Y137" s="68">
        <v>1</v>
      </c>
      <c r="Z137" s="82">
        <v>1</v>
      </c>
      <c r="AA137" s="82">
        <v>1</v>
      </c>
      <c r="AB137" s="68"/>
      <c r="AC137" s="68"/>
      <c r="AD137" s="75">
        <f>SUM(AE137:AJ137)</f>
        <v>1</v>
      </c>
      <c r="AE137" s="76"/>
      <c r="AF137" s="76"/>
      <c r="AG137" s="76">
        <v>1</v>
      </c>
      <c r="AH137" s="76"/>
      <c r="AI137" s="76"/>
      <c r="AJ137" s="76"/>
      <c r="AK137" s="76"/>
      <c r="AL137" s="77">
        <f>IF((P137-SUM(AE137:AK137))&lt;0,0,P137-SUM(AE137:AK137))</f>
        <v>0</v>
      </c>
      <c r="AM137" s="77">
        <f>SUM(AO137:AT137)</f>
        <v>0</v>
      </c>
      <c r="AN137" s="88" t="s">
        <v>81</v>
      </c>
      <c r="AO137" s="72"/>
      <c r="AP137" s="72"/>
      <c r="AQ137" s="85"/>
      <c r="AR137" s="72"/>
      <c r="AS137" s="129"/>
      <c r="AT137" s="72"/>
      <c r="AU137" s="29" t="s">
        <v>1128</v>
      </c>
      <c r="AV137" s="70"/>
      <c r="AW137" s="72"/>
      <c r="AX137" s="84"/>
    </row>
    <row r="138" spans="1:50" ht="15" customHeight="1">
      <c r="A138" s="86" t="s">
        <v>1979</v>
      </c>
      <c r="B138" s="68" t="s">
        <v>1971</v>
      </c>
      <c r="C138" s="69" t="s">
        <v>45</v>
      </c>
      <c r="D138" s="70" t="s">
        <v>64</v>
      </c>
      <c r="E138" s="70" t="s">
        <v>243</v>
      </c>
      <c r="F138" s="68">
        <v>2</v>
      </c>
      <c r="G138" s="71" t="s">
        <v>433</v>
      </c>
      <c r="H138" s="71" t="s">
        <v>1980</v>
      </c>
      <c r="I138" s="71" t="s">
        <v>1981</v>
      </c>
      <c r="J138" s="71"/>
      <c r="K138" s="72"/>
      <c r="L138" s="72"/>
      <c r="M138" s="72"/>
      <c r="N138" s="72"/>
      <c r="O138" s="71" t="s">
        <v>1977</v>
      </c>
      <c r="P138" s="69">
        <v>1</v>
      </c>
      <c r="Q138" s="68">
        <f>MAX(0,$V138-$P138-$S138)</f>
        <v>0</v>
      </c>
      <c r="R138" s="68"/>
      <c r="S138" s="68"/>
      <c r="T138" s="73">
        <v>0.17</v>
      </c>
      <c r="U138" s="73">
        <f>IF(AND($Q138&gt;0,ISNUMBER($T138)),$Q138*$T138,0)</f>
        <v>0</v>
      </c>
      <c r="V138" s="68">
        <f>SUM(W138:AB138)</f>
        <v>1</v>
      </c>
      <c r="W138" s="68"/>
      <c r="X138" s="68"/>
      <c r="Y138" s="68"/>
      <c r="Z138" s="68"/>
      <c r="AA138" s="87">
        <v>1</v>
      </c>
      <c r="AB138" s="68"/>
      <c r="AC138" s="68"/>
      <c r="AD138" s="75">
        <f>SUM(AE138:AJ138)</f>
        <v>1</v>
      </c>
      <c r="AE138" s="76"/>
      <c r="AF138" s="76"/>
      <c r="AG138" s="76"/>
      <c r="AH138" s="76"/>
      <c r="AI138" s="76">
        <v>1</v>
      </c>
      <c r="AJ138" s="76"/>
      <c r="AK138" s="76"/>
      <c r="AL138" s="77">
        <f>IF((P138-SUM(AE138:AK138))&lt;0,0,P138-SUM(AE138:AK138))</f>
        <v>0</v>
      </c>
      <c r="AM138" s="77">
        <f>SUM(AO138:AT138)</f>
        <v>0</v>
      </c>
      <c r="AN138" s="72"/>
      <c r="AO138" s="72"/>
      <c r="AP138" s="72"/>
      <c r="AQ138" s="72"/>
      <c r="AR138" s="72"/>
      <c r="AS138" s="72"/>
      <c r="AT138" s="72"/>
      <c r="AU138" s="72"/>
      <c r="AV138" s="70"/>
      <c r="AW138" s="72"/>
      <c r="AX138" s="72"/>
    </row>
    <row r="139" spans="1:50" ht="15" customHeight="1">
      <c r="A139" s="67" t="s">
        <v>1982</v>
      </c>
      <c r="B139" s="68" t="s">
        <v>1971</v>
      </c>
      <c r="C139" s="69" t="s">
        <v>45</v>
      </c>
      <c r="D139" s="70" t="s">
        <v>123</v>
      </c>
      <c r="E139" s="70" t="s">
        <v>1520</v>
      </c>
      <c r="F139" s="68">
        <v>5</v>
      </c>
      <c r="G139" s="71" t="s">
        <v>91</v>
      </c>
      <c r="H139" s="71" t="s">
        <v>1983</v>
      </c>
      <c r="I139" s="71" t="s">
        <v>1984</v>
      </c>
      <c r="J139" s="71"/>
      <c r="K139" s="72"/>
      <c r="L139" s="72"/>
      <c r="M139" s="72"/>
      <c r="N139" s="72"/>
      <c r="O139" s="71" t="s">
        <v>419</v>
      </c>
      <c r="P139" s="69">
        <v>1</v>
      </c>
      <c r="Q139" s="68">
        <f>MAX(0,$V139-$P139-$S139)</f>
        <v>0</v>
      </c>
      <c r="R139" s="68"/>
      <c r="S139" s="68"/>
      <c r="T139" s="73">
        <v>0.31</v>
      </c>
      <c r="U139" s="73">
        <f>IF(AND($Q139&gt;0,ISNUMBER($T139)),$Q139*$T139,0)</f>
        <v>0</v>
      </c>
      <c r="V139" s="68">
        <f>SUM(W139:AB139)</f>
        <v>0</v>
      </c>
      <c r="W139" s="68"/>
      <c r="X139" s="68"/>
      <c r="Y139" s="68"/>
      <c r="Z139" s="68"/>
      <c r="AA139" s="74"/>
      <c r="AB139" s="68"/>
      <c r="AC139" s="68"/>
      <c r="AD139" s="75">
        <f>SUM(AE139:AJ139)</f>
        <v>0</v>
      </c>
      <c r="AE139" s="76"/>
      <c r="AF139" s="76"/>
      <c r="AG139" s="76"/>
      <c r="AH139" s="76"/>
      <c r="AI139" s="76"/>
      <c r="AJ139" s="76"/>
      <c r="AK139" s="76"/>
      <c r="AL139" s="77">
        <f>IF((P139-SUM(AE139:AK139))&lt;0,0,P139-SUM(AE139:AK139))</f>
        <v>1</v>
      </c>
      <c r="AM139" s="77">
        <f>SUM(AO139:AT139)</f>
        <v>1</v>
      </c>
      <c r="AN139" s="80" t="s">
        <v>105</v>
      </c>
      <c r="AO139" s="79">
        <v>1</v>
      </c>
      <c r="AP139" s="72"/>
      <c r="AQ139" s="72"/>
      <c r="AR139" s="72"/>
      <c r="AS139" s="72"/>
      <c r="AT139" s="72"/>
      <c r="AU139" s="31" t="s">
        <v>1985</v>
      </c>
      <c r="AV139" s="70"/>
      <c r="AW139" s="72"/>
      <c r="AX139" s="72"/>
    </row>
    <row r="140" spans="1:50" ht="15" customHeight="1">
      <c r="A140" s="70" t="s">
        <v>1133</v>
      </c>
      <c r="B140" s="68" t="s">
        <v>1114</v>
      </c>
      <c r="C140" s="69" t="s">
        <v>45</v>
      </c>
      <c r="D140" s="70" t="s">
        <v>123</v>
      </c>
      <c r="E140" s="70" t="s">
        <v>124</v>
      </c>
      <c r="F140" s="68">
        <v>2</v>
      </c>
      <c r="G140" s="71" t="s">
        <v>91</v>
      </c>
      <c r="H140" s="71" t="s">
        <v>1134</v>
      </c>
      <c r="I140" s="71"/>
      <c r="J140" s="71"/>
      <c r="K140" s="72"/>
      <c r="L140" s="72"/>
      <c r="M140" s="72"/>
      <c r="N140" s="72"/>
      <c r="O140" s="71" t="s">
        <v>101</v>
      </c>
      <c r="P140" s="69">
        <v>1</v>
      </c>
      <c r="Q140" s="68">
        <f>MAX(0,$V140-$P140-$S140)</f>
        <v>0</v>
      </c>
      <c r="R140" s="68"/>
      <c r="S140" s="68"/>
      <c r="T140" s="73">
        <v>0.33</v>
      </c>
      <c r="U140" s="73">
        <f>IF(AND($Q140&gt;0,ISNUMBER($T140)),$Q140*$T140,0)</f>
        <v>0</v>
      </c>
      <c r="V140" s="68">
        <f>SUM(W140:AB140)</f>
        <v>0</v>
      </c>
      <c r="W140" s="68"/>
      <c r="X140" s="68"/>
      <c r="Y140" s="68"/>
      <c r="Z140" s="68"/>
      <c r="AA140" s="68"/>
      <c r="AB140" s="68"/>
      <c r="AC140" s="68"/>
      <c r="AD140" s="75">
        <f>SUM(AE140:AJ140)</f>
        <v>0</v>
      </c>
      <c r="AE140" s="76"/>
      <c r="AF140" s="76"/>
      <c r="AG140" s="76"/>
      <c r="AH140" s="76"/>
      <c r="AI140" s="76"/>
      <c r="AJ140" s="76"/>
      <c r="AK140" s="76"/>
      <c r="AL140" s="77">
        <f>IF((P140-SUM(AE140:AK140))&lt;0,0,P140-SUM(AE140:AK140))</f>
        <v>1</v>
      </c>
      <c r="AM140" s="77">
        <f>SUM(AO140:AT140)</f>
        <v>0</v>
      </c>
      <c r="AN140" s="72"/>
      <c r="AO140" s="72"/>
      <c r="AP140" s="72"/>
      <c r="AQ140" s="72"/>
      <c r="AR140" s="72"/>
      <c r="AS140" s="72"/>
      <c r="AT140" s="72"/>
      <c r="AU140" s="72"/>
      <c r="AV140" s="70"/>
      <c r="AW140" s="72"/>
      <c r="AX140" s="72"/>
    </row>
    <row r="141" spans="1:50" ht="15" customHeight="1">
      <c r="A141" s="86" t="s">
        <v>645</v>
      </c>
      <c r="B141" s="68" t="s">
        <v>636</v>
      </c>
      <c r="C141" s="69" t="s">
        <v>45</v>
      </c>
      <c r="D141" s="70" t="s">
        <v>64</v>
      </c>
      <c r="E141" s="70" t="s">
        <v>646</v>
      </c>
      <c r="F141" s="68">
        <v>1</v>
      </c>
      <c r="G141" s="71" t="s">
        <v>392</v>
      </c>
      <c r="H141" s="71" t="s">
        <v>647</v>
      </c>
      <c r="I141" s="71" t="s">
        <v>648</v>
      </c>
      <c r="J141" s="71"/>
      <c r="K141" s="72"/>
      <c r="L141" s="72"/>
      <c r="M141" s="72"/>
      <c r="N141" s="72"/>
      <c r="O141" s="71" t="s">
        <v>90</v>
      </c>
      <c r="P141" s="69">
        <v>1</v>
      </c>
      <c r="Q141" s="68">
        <f>MAX(0,$V141-$P141-$S141)</f>
        <v>0</v>
      </c>
      <c r="R141" s="68" t="s">
        <v>57</v>
      </c>
      <c r="S141" s="68">
        <v>1</v>
      </c>
      <c r="T141" s="73">
        <v>0.23</v>
      </c>
      <c r="U141" s="73">
        <f>IF(AND($Q141&gt;0,ISNUMBER($T141)),$Q141*$T141,0)</f>
        <v>0</v>
      </c>
      <c r="V141" s="68">
        <f>SUM(W141:AB141)</f>
        <v>1</v>
      </c>
      <c r="W141" s="68"/>
      <c r="X141" s="68"/>
      <c r="Y141" s="68"/>
      <c r="Z141" s="87">
        <v>1</v>
      </c>
      <c r="AA141" s="68"/>
      <c r="AB141" s="68"/>
      <c r="AC141" s="68"/>
      <c r="AD141" s="75">
        <f>SUM(AE141:AJ141)</f>
        <v>1</v>
      </c>
      <c r="AE141" s="76"/>
      <c r="AF141" s="76"/>
      <c r="AG141" s="76"/>
      <c r="AH141" s="76">
        <v>1</v>
      </c>
      <c r="AI141" s="76"/>
      <c r="AJ141" s="76"/>
      <c r="AK141" s="76"/>
      <c r="AL141" s="77">
        <f>IF((P141-SUM(AE141:AK141))&lt;0,0,P141-SUM(AE141:AK141))</f>
        <v>0</v>
      </c>
      <c r="AM141" s="77">
        <f>SUM(AO141:AT141)</f>
        <v>0</v>
      </c>
      <c r="AN141" s="129"/>
      <c r="AO141" s="72"/>
      <c r="AP141" s="72"/>
      <c r="AQ141" s="129"/>
      <c r="AR141" s="72"/>
      <c r="AS141" s="72"/>
      <c r="AT141" s="72"/>
      <c r="AU141" s="129"/>
      <c r="AV141" s="70"/>
      <c r="AW141" s="72"/>
      <c r="AX141" s="72"/>
    </row>
    <row r="142" spans="1:50" ht="15" customHeight="1">
      <c r="A142" s="70" t="s">
        <v>1135</v>
      </c>
      <c r="B142" s="68" t="s">
        <v>1114</v>
      </c>
      <c r="C142" s="69" t="s">
        <v>45</v>
      </c>
      <c r="D142" s="70" t="s">
        <v>123</v>
      </c>
      <c r="E142" s="70" t="s">
        <v>1136</v>
      </c>
      <c r="F142" s="68">
        <v>4</v>
      </c>
      <c r="G142" s="71" t="s">
        <v>656</v>
      </c>
      <c r="H142" s="71" t="s">
        <v>1138</v>
      </c>
      <c r="I142" s="71" t="s">
        <v>1139</v>
      </c>
      <c r="J142" s="71"/>
      <c r="K142" s="72"/>
      <c r="L142" s="72"/>
      <c r="M142" s="72"/>
      <c r="N142" s="72"/>
      <c r="O142" s="71" t="s">
        <v>1137</v>
      </c>
      <c r="P142" s="69">
        <v>1</v>
      </c>
      <c r="Q142" s="68">
        <f>MAX(0,$V142-$P142-$S142)</f>
        <v>0</v>
      </c>
      <c r="R142" s="68"/>
      <c r="S142" s="68"/>
      <c r="T142" s="73">
        <v>4.3499999999999996</v>
      </c>
      <c r="U142" s="73">
        <f>IF(AND($Q142&gt;0,ISNUMBER($T142)),$Q142*$T142,0)</f>
        <v>0</v>
      </c>
      <c r="V142" s="68">
        <f>SUM(W142:AB142)</f>
        <v>0</v>
      </c>
      <c r="W142" s="68"/>
      <c r="X142" s="68"/>
      <c r="Y142" s="68"/>
      <c r="Z142" s="68"/>
      <c r="AA142" s="68"/>
      <c r="AB142" s="68"/>
      <c r="AC142" s="68"/>
      <c r="AD142" s="75">
        <f>SUM(AE142:AJ142)</f>
        <v>0</v>
      </c>
      <c r="AE142" s="76"/>
      <c r="AF142" s="76"/>
      <c r="AG142" s="76"/>
      <c r="AH142" s="76"/>
      <c r="AI142" s="76"/>
      <c r="AJ142" s="76"/>
      <c r="AK142" s="76"/>
      <c r="AL142" s="77">
        <f>IF((P142-SUM(AE142:AK142))&lt;0,0,P142-SUM(AE142:AK142))</f>
        <v>1</v>
      </c>
      <c r="AM142" s="77">
        <f>SUM(AO142:AT142)</f>
        <v>0</v>
      </c>
      <c r="AN142" s="85"/>
      <c r="AO142" s="72"/>
      <c r="AP142" s="72"/>
      <c r="AQ142" s="85"/>
      <c r="AR142" s="129"/>
      <c r="AS142" s="72"/>
      <c r="AT142" s="72"/>
      <c r="AU142" s="85"/>
      <c r="AV142" s="70"/>
      <c r="AW142" s="72"/>
      <c r="AX142" s="72"/>
    </row>
    <row r="143" spans="1:50" ht="15" customHeight="1">
      <c r="A143" s="70" t="s">
        <v>924</v>
      </c>
      <c r="B143" s="68" t="s">
        <v>919</v>
      </c>
      <c r="C143" s="69" t="s">
        <v>45</v>
      </c>
      <c r="D143" s="70" t="s">
        <v>627</v>
      </c>
      <c r="E143" s="70"/>
      <c r="F143" s="68">
        <v>0</v>
      </c>
      <c r="G143" s="71" t="s">
        <v>627</v>
      </c>
      <c r="H143" s="71" t="s">
        <v>925</v>
      </c>
      <c r="I143" s="71" t="s">
        <v>926</v>
      </c>
      <c r="J143" s="71"/>
      <c r="K143" s="72"/>
      <c r="L143" s="72"/>
      <c r="M143" s="72"/>
      <c r="N143" s="72"/>
      <c r="O143" s="71" t="s">
        <v>696</v>
      </c>
      <c r="P143" s="69">
        <v>1</v>
      </c>
      <c r="Q143" s="68">
        <f>MAX(0,$V143-$P143-$S143)</f>
        <v>0</v>
      </c>
      <c r="R143" s="68"/>
      <c r="S143" s="68"/>
      <c r="T143" s="73">
        <v>0.38</v>
      </c>
      <c r="U143" s="73">
        <f>IF(AND($Q143&gt;0,ISNUMBER($T143)),$Q143*$T143,0)</f>
        <v>0</v>
      </c>
      <c r="V143" s="68">
        <f>SUM(W143:AB143)</f>
        <v>1</v>
      </c>
      <c r="W143" s="68"/>
      <c r="X143" s="68"/>
      <c r="Y143" s="68">
        <v>1</v>
      </c>
      <c r="Z143" s="68"/>
      <c r="AA143" s="68"/>
      <c r="AB143" s="68"/>
      <c r="AC143" s="68"/>
      <c r="AD143" s="75">
        <f>SUM(AE143:AJ143)</f>
        <v>1</v>
      </c>
      <c r="AE143" s="76"/>
      <c r="AF143" s="76"/>
      <c r="AG143" s="76">
        <v>1</v>
      </c>
      <c r="AH143" s="76"/>
      <c r="AI143" s="76"/>
      <c r="AJ143" s="76"/>
      <c r="AK143" s="76"/>
      <c r="AL143" s="77">
        <f>IF((P143-SUM(AE143:AK143))&lt;0,0,P143-SUM(AE143:AK143))</f>
        <v>0</v>
      </c>
      <c r="AM143" s="77">
        <f>SUM(AO143:AT143)</f>
        <v>0</v>
      </c>
      <c r="AN143" s="85"/>
      <c r="AO143" s="72"/>
      <c r="AP143" s="72"/>
      <c r="AQ143" s="72"/>
      <c r="AR143" s="85"/>
      <c r="AS143" s="72"/>
      <c r="AT143" s="72"/>
      <c r="AU143" s="85"/>
      <c r="AV143" s="70"/>
      <c r="AW143" s="72"/>
      <c r="AX143" s="72"/>
    </row>
    <row r="144" spans="1:50" ht="15" customHeight="1">
      <c r="A144" s="70" t="s">
        <v>1989</v>
      </c>
      <c r="B144" s="68" t="s">
        <v>1971</v>
      </c>
      <c r="C144" s="69" t="s">
        <v>45</v>
      </c>
      <c r="D144" s="70" t="s">
        <v>175</v>
      </c>
      <c r="E144" s="70"/>
      <c r="F144" s="68">
        <v>3</v>
      </c>
      <c r="G144" s="71" t="s">
        <v>392</v>
      </c>
      <c r="H144" s="71" t="s">
        <v>1990</v>
      </c>
      <c r="I144" s="71" t="s">
        <v>1991</v>
      </c>
      <c r="J144" s="71"/>
      <c r="K144" s="69"/>
      <c r="L144" s="69"/>
      <c r="M144" s="69"/>
      <c r="N144" s="69"/>
      <c r="O144" s="71" t="s">
        <v>1083</v>
      </c>
      <c r="P144" s="69">
        <v>1</v>
      </c>
      <c r="Q144" s="68">
        <f>MAX(0,$V144-$P144-$S144)</f>
        <v>0</v>
      </c>
      <c r="R144" s="68"/>
      <c r="S144" s="68"/>
      <c r="T144" s="73">
        <v>1.18</v>
      </c>
      <c r="U144" s="73">
        <f>IF(AND($Q144&gt;0,ISNUMBER($T144)),$Q144*$T144,0)</f>
        <v>0</v>
      </c>
      <c r="V144" s="68">
        <f>SUM(W144:AB144)</f>
        <v>1</v>
      </c>
      <c r="W144" s="68">
        <v>1</v>
      </c>
      <c r="X144" s="68"/>
      <c r="Y144" s="68"/>
      <c r="Z144" s="68"/>
      <c r="AA144" s="68"/>
      <c r="AB144" s="68"/>
      <c r="AC144" s="68"/>
      <c r="AD144" s="75">
        <f>SUM(AE144:AJ144)</f>
        <v>1</v>
      </c>
      <c r="AE144" s="76">
        <v>1</v>
      </c>
      <c r="AF144" s="76"/>
      <c r="AG144" s="76"/>
      <c r="AH144" s="76"/>
      <c r="AI144" s="76"/>
      <c r="AJ144" s="76"/>
      <c r="AK144" s="76"/>
      <c r="AL144" s="77">
        <f>IF((P144-SUM(AE144:AK144))&lt;0,0,P144-SUM(AE144:AK144))</f>
        <v>0</v>
      </c>
      <c r="AM144" s="77">
        <f>SUM(AO144:AT144)</f>
        <v>0</v>
      </c>
      <c r="AN144" s="129"/>
      <c r="AO144" s="72"/>
      <c r="AP144" s="129"/>
      <c r="AQ144" s="72"/>
      <c r="AR144" s="72"/>
      <c r="AS144" s="72"/>
      <c r="AT144" s="72"/>
      <c r="AU144" s="129"/>
      <c r="AV144" s="70"/>
      <c r="AW144" s="72"/>
      <c r="AX144" s="72"/>
    </row>
    <row r="145" spans="1:50" ht="15" customHeight="1">
      <c r="A145" s="70" t="s">
        <v>358</v>
      </c>
      <c r="B145" s="68" t="s">
        <v>345</v>
      </c>
      <c r="C145" s="69" t="s">
        <v>45</v>
      </c>
      <c r="D145" s="70" t="s">
        <v>359</v>
      </c>
      <c r="E145" s="70" t="s">
        <v>360</v>
      </c>
      <c r="F145" s="68">
        <v>5</v>
      </c>
      <c r="G145" s="71" t="s">
        <v>49</v>
      </c>
      <c r="H145" s="71" t="s">
        <v>361</v>
      </c>
      <c r="I145" s="71" t="s">
        <v>362</v>
      </c>
      <c r="J145" s="71" t="s">
        <v>363</v>
      </c>
      <c r="K145" s="72"/>
      <c r="L145" s="72"/>
      <c r="M145" s="72"/>
      <c r="N145" s="72"/>
      <c r="O145" s="71" t="s">
        <v>180</v>
      </c>
      <c r="P145" s="69">
        <v>1</v>
      </c>
      <c r="Q145" s="68">
        <f>MAX(0,$V145-$P145-$S145)</f>
        <v>0</v>
      </c>
      <c r="R145" s="68" t="s">
        <v>57</v>
      </c>
      <c r="S145" s="68">
        <v>1</v>
      </c>
      <c r="T145" s="73">
        <v>0.32</v>
      </c>
      <c r="U145" s="73">
        <f>IF(AND($Q145&gt;0,ISNUMBER($T145)),$Q145*$T145,0)</f>
        <v>0</v>
      </c>
      <c r="V145" s="68">
        <f>SUM(W145:AB145)</f>
        <v>0</v>
      </c>
      <c r="W145" s="68"/>
      <c r="X145" s="68"/>
      <c r="Y145" s="68"/>
      <c r="Z145" s="68"/>
      <c r="AA145" s="68"/>
      <c r="AB145" s="68"/>
      <c r="AC145" s="68"/>
      <c r="AD145" s="75">
        <f>SUM(AE145:AJ145)</f>
        <v>0</v>
      </c>
      <c r="AE145" s="76"/>
      <c r="AF145" s="76"/>
      <c r="AG145" s="76"/>
      <c r="AH145" s="76"/>
      <c r="AI145" s="76"/>
      <c r="AJ145" s="76"/>
      <c r="AK145" s="76"/>
      <c r="AL145" s="77">
        <f>IF((P145-SUM(AE145:AK145))&lt;0,0,P145-SUM(AE145:AK145))</f>
        <v>1</v>
      </c>
      <c r="AM145" s="77">
        <f>SUM(AO145:AT145)</f>
        <v>0</v>
      </c>
      <c r="AN145" s="72"/>
      <c r="AO145" s="72"/>
      <c r="AP145" s="72"/>
      <c r="AQ145" s="72"/>
      <c r="AR145" s="72"/>
      <c r="AS145" s="72"/>
      <c r="AT145" s="72"/>
      <c r="AU145" s="72"/>
      <c r="AV145" s="70"/>
      <c r="AW145" s="72"/>
      <c r="AX145" s="72"/>
    </row>
    <row r="146" spans="1:50" ht="15" customHeight="1">
      <c r="A146" s="70" t="s">
        <v>1140</v>
      </c>
      <c r="B146" s="68" t="s">
        <v>1114</v>
      </c>
      <c r="C146" s="69" t="s">
        <v>45</v>
      </c>
      <c r="D146" s="70" t="s">
        <v>123</v>
      </c>
      <c r="E146" s="70" t="s">
        <v>124</v>
      </c>
      <c r="F146" s="68">
        <v>4</v>
      </c>
      <c r="G146" s="71" t="s">
        <v>530</v>
      </c>
      <c r="H146" s="71" t="s">
        <v>1141</v>
      </c>
      <c r="I146" s="71" t="s">
        <v>1142</v>
      </c>
      <c r="J146" s="71"/>
      <c r="K146" s="72"/>
      <c r="L146" s="72"/>
      <c r="M146" s="72"/>
      <c r="N146" s="72"/>
      <c r="O146" s="71" t="s">
        <v>101</v>
      </c>
      <c r="P146" s="69">
        <v>1</v>
      </c>
      <c r="Q146" s="68">
        <f>MAX(0,$V146-$P146-$S146)</f>
        <v>0</v>
      </c>
      <c r="R146" s="68"/>
      <c r="S146" s="68"/>
      <c r="T146" s="73">
        <v>0.25</v>
      </c>
      <c r="U146" s="73">
        <f>IF(AND($Q146&gt;0,ISNUMBER($T146)),$Q146*$T146,0)</f>
        <v>0</v>
      </c>
      <c r="V146" s="68">
        <f>SUM(W146:AB146)</f>
        <v>0</v>
      </c>
      <c r="W146" s="68"/>
      <c r="X146" s="68"/>
      <c r="Y146" s="68"/>
      <c r="Z146" s="68"/>
      <c r="AA146" s="68"/>
      <c r="AB146" s="68"/>
      <c r="AC146" s="68"/>
      <c r="AD146" s="75">
        <f>SUM(AE146:AJ146)</f>
        <v>0</v>
      </c>
      <c r="AE146" s="76"/>
      <c r="AF146" s="76"/>
      <c r="AG146" s="76"/>
      <c r="AH146" s="76"/>
      <c r="AI146" s="76"/>
      <c r="AJ146" s="76"/>
      <c r="AK146" s="76"/>
      <c r="AL146" s="77">
        <f>IF((P146-SUM(AE146:AK146))&lt;0,0,P146-SUM(AE146:AK146))</f>
        <v>1</v>
      </c>
      <c r="AM146" s="77">
        <f>SUM(AO146:AT146)</f>
        <v>0</v>
      </c>
      <c r="AN146" s="129"/>
      <c r="AO146" s="72"/>
      <c r="AP146" s="72"/>
      <c r="AQ146" s="129"/>
      <c r="AR146" s="129"/>
      <c r="AS146" s="72"/>
      <c r="AT146" s="72"/>
      <c r="AU146" s="129"/>
      <c r="AV146" s="70"/>
      <c r="AW146" s="72"/>
      <c r="AX146" s="72"/>
    </row>
    <row r="147" spans="1:50" ht="15" customHeight="1">
      <c r="A147" s="70" t="s">
        <v>364</v>
      </c>
      <c r="B147" s="68" t="s">
        <v>345</v>
      </c>
      <c r="C147" s="69" t="s">
        <v>45</v>
      </c>
      <c r="D147" s="70" t="s">
        <v>64</v>
      </c>
      <c r="E147" s="70" t="s">
        <v>365</v>
      </c>
      <c r="F147" s="68">
        <v>9</v>
      </c>
      <c r="G147" s="71" t="s">
        <v>366</v>
      </c>
      <c r="H147" s="71" t="s">
        <v>367</v>
      </c>
      <c r="I147" s="71" t="s">
        <v>368</v>
      </c>
      <c r="J147" s="71" t="s">
        <v>369</v>
      </c>
      <c r="K147" s="72"/>
      <c r="L147" s="72"/>
      <c r="M147" s="72"/>
      <c r="N147" s="72"/>
      <c r="O147" s="71" t="s">
        <v>232</v>
      </c>
      <c r="P147" s="69">
        <v>1</v>
      </c>
      <c r="Q147" s="68">
        <f>MAX(0,$V147-$P147-$S147)</f>
        <v>0</v>
      </c>
      <c r="R147" s="68" t="s">
        <v>57</v>
      </c>
      <c r="S147" s="68">
        <v>1</v>
      </c>
      <c r="T147" s="73">
        <v>0.46</v>
      </c>
      <c r="U147" s="73">
        <f>IF(AND($Q147&gt;0,ISNUMBER($T147)),$Q147*$T147,0)</f>
        <v>0</v>
      </c>
      <c r="V147" s="68">
        <f>SUM(W147:AB147)</f>
        <v>0</v>
      </c>
      <c r="W147" s="68"/>
      <c r="X147" s="68"/>
      <c r="Y147" s="68"/>
      <c r="Z147" s="68"/>
      <c r="AA147" s="68"/>
      <c r="AB147" s="68"/>
      <c r="AC147" s="68"/>
      <c r="AD147" s="75">
        <f>SUM(AE147:AJ147)</f>
        <v>0</v>
      </c>
      <c r="AE147" s="76"/>
      <c r="AF147" s="76"/>
      <c r="AG147" s="76"/>
      <c r="AH147" s="76"/>
      <c r="AI147" s="76"/>
      <c r="AJ147" s="76"/>
      <c r="AK147" s="76"/>
      <c r="AL147" s="77">
        <f>IF((P147-SUM(AE147:AK147))&lt;0,0,P147-SUM(AE147:AK147))</f>
        <v>1</v>
      </c>
      <c r="AM147" s="77">
        <f>SUM(AO147:AT147)</f>
        <v>0</v>
      </c>
      <c r="AN147" s="85"/>
      <c r="AO147" s="72"/>
      <c r="AP147" s="72"/>
      <c r="AQ147" s="72"/>
      <c r="AR147" s="85"/>
      <c r="AS147" s="72"/>
      <c r="AT147" s="72"/>
      <c r="AU147" s="85"/>
      <c r="AV147" s="70"/>
      <c r="AW147" s="72"/>
      <c r="AX147" s="129"/>
    </row>
    <row r="148" spans="1:50" ht="15" customHeight="1">
      <c r="A148" s="70" t="s">
        <v>927</v>
      </c>
      <c r="B148" s="68" t="s">
        <v>919</v>
      </c>
      <c r="C148" s="69" t="s">
        <v>45</v>
      </c>
      <c r="D148" s="70" t="s">
        <v>627</v>
      </c>
      <c r="E148" s="70"/>
      <c r="F148" s="68">
        <v>0</v>
      </c>
      <c r="G148" s="71" t="s">
        <v>627</v>
      </c>
      <c r="H148" s="71" t="s">
        <v>517</v>
      </c>
      <c r="I148" s="71" t="s">
        <v>929</v>
      </c>
      <c r="J148" s="71"/>
      <c r="K148" s="72"/>
      <c r="L148" s="72"/>
      <c r="M148" s="72"/>
      <c r="N148" s="72"/>
      <c r="O148" s="71" t="s">
        <v>928</v>
      </c>
      <c r="P148" s="69">
        <v>1</v>
      </c>
      <c r="Q148" s="68">
        <f>MAX(0,$V148-$P148-$S148)</f>
        <v>0</v>
      </c>
      <c r="R148" s="68" t="s">
        <v>57</v>
      </c>
      <c r="S148" s="68">
        <v>1</v>
      </c>
      <c r="T148" s="73">
        <v>0.25</v>
      </c>
      <c r="U148" s="73">
        <f>IF(AND($Q148&gt;0,ISNUMBER($T148)),$Q148*$T148,0)</f>
        <v>0</v>
      </c>
      <c r="V148" s="68">
        <f>SUM(W148:AB148)</f>
        <v>1</v>
      </c>
      <c r="W148" s="68"/>
      <c r="X148" s="68"/>
      <c r="Y148" s="68"/>
      <c r="Z148" s="68">
        <v>1</v>
      </c>
      <c r="AA148" s="68"/>
      <c r="AB148" s="68"/>
      <c r="AC148" s="68"/>
      <c r="AD148" s="75">
        <f>SUM(AE148:AJ148)</f>
        <v>1</v>
      </c>
      <c r="AE148" s="76"/>
      <c r="AF148" s="76"/>
      <c r="AG148" s="76"/>
      <c r="AH148" s="76">
        <v>1</v>
      </c>
      <c r="AI148" s="76"/>
      <c r="AJ148" s="76"/>
      <c r="AK148" s="76"/>
      <c r="AL148" s="77">
        <f>IF((P148-SUM(AE148:AK148))&lt;0,0,P148-SUM(AE148:AK148))</f>
        <v>0</v>
      </c>
      <c r="AM148" s="77">
        <f>SUM(AO148:AT148)</f>
        <v>0</v>
      </c>
      <c r="AN148" s="72"/>
      <c r="AO148" s="72"/>
      <c r="AP148" s="72"/>
      <c r="AQ148" s="72"/>
      <c r="AR148" s="72"/>
      <c r="AS148" s="72"/>
      <c r="AT148" s="72"/>
      <c r="AU148" s="72"/>
      <c r="AV148" s="70"/>
      <c r="AW148" s="72"/>
      <c r="AX148" s="72"/>
    </row>
    <row r="149" spans="1:50" ht="15" customHeight="1">
      <c r="A149" s="98" t="s">
        <v>2410</v>
      </c>
      <c r="B149" s="100" t="s">
        <v>1499</v>
      </c>
      <c r="C149" s="101" t="s">
        <v>45</v>
      </c>
      <c r="D149" s="98" t="s">
        <v>123</v>
      </c>
      <c r="E149" s="98" t="s">
        <v>1588</v>
      </c>
      <c r="F149" s="100">
        <v>2</v>
      </c>
      <c r="G149" s="98" t="s">
        <v>113</v>
      </c>
      <c r="H149" s="98" t="s">
        <v>2411</v>
      </c>
      <c r="I149" s="98" t="s">
        <v>2412</v>
      </c>
      <c r="J149" s="98" t="s">
        <v>2413</v>
      </c>
      <c r="K149" s="99"/>
      <c r="L149" s="99"/>
      <c r="M149" s="99"/>
      <c r="N149" s="99"/>
      <c r="O149" s="98" t="s">
        <v>48</v>
      </c>
      <c r="P149" s="101">
        <v>1</v>
      </c>
      <c r="Q149" s="68">
        <f>MAX(0,$V149-$P149-$S149)</f>
        <v>0</v>
      </c>
      <c r="R149" s="98"/>
      <c r="S149" s="98"/>
      <c r="T149" s="98">
        <v>0.8</v>
      </c>
      <c r="U149" s="98">
        <f>IF(AND($Q149&gt;0,ISNUMBER($T149)),$Q149*$T149,0)</f>
        <v>0</v>
      </c>
      <c r="V149" s="68">
        <f>SUM(W149:AB149)</f>
        <v>0</v>
      </c>
      <c r="W149" s="100"/>
      <c r="X149" s="100"/>
      <c r="Y149" s="100"/>
      <c r="Z149" s="100"/>
      <c r="AA149" s="100"/>
      <c r="AB149" s="100"/>
      <c r="AC149" s="68"/>
      <c r="AD149" s="75">
        <f>SUM(AE149:AJ149)</f>
        <v>0</v>
      </c>
      <c r="AE149" s="102"/>
      <c r="AF149" s="102"/>
      <c r="AG149" s="102"/>
      <c r="AH149" s="102"/>
      <c r="AI149" s="102"/>
      <c r="AJ149" s="102"/>
      <c r="AK149" s="102"/>
      <c r="AL149" s="77">
        <f>IF((P149-SUM(AE149:AK149))&lt;0,0,P149-SUM(AE149:AK149))</f>
        <v>1</v>
      </c>
      <c r="AM149" s="77">
        <f>SUM(AO149:AT149)</f>
        <v>0</v>
      </c>
      <c r="AN149" s="127"/>
      <c r="AO149" s="99"/>
      <c r="AP149" s="99"/>
      <c r="AQ149" s="99"/>
      <c r="AR149" s="99"/>
      <c r="AS149" s="99"/>
      <c r="AT149" s="127"/>
      <c r="AU149" s="127"/>
      <c r="AV149" s="98"/>
      <c r="AW149" s="99"/>
      <c r="AX149" s="99"/>
    </row>
    <row r="150" spans="1:50" ht="15" customHeight="1">
      <c r="A150" s="70" t="s">
        <v>649</v>
      </c>
      <c r="B150" s="68" t="s">
        <v>636</v>
      </c>
      <c r="C150" s="69" t="s">
        <v>45</v>
      </c>
      <c r="D150" s="70" t="s">
        <v>58</v>
      </c>
      <c r="E150" s="70"/>
      <c r="F150" s="68">
        <v>2</v>
      </c>
      <c r="G150" s="71" t="s">
        <v>264</v>
      </c>
      <c r="H150" s="71" t="s">
        <v>651</v>
      </c>
      <c r="I150" s="71" t="s">
        <v>652</v>
      </c>
      <c r="J150" s="71" t="s">
        <v>653</v>
      </c>
      <c r="K150" s="72"/>
      <c r="L150" s="72"/>
      <c r="M150" s="72"/>
      <c r="N150" s="72"/>
      <c r="O150" s="71" t="s">
        <v>650</v>
      </c>
      <c r="P150" s="69">
        <v>1</v>
      </c>
      <c r="Q150" s="68">
        <f>MAX(0,$V150-$P150-$S150)</f>
        <v>0</v>
      </c>
      <c r="R150" s="68" t="s">
        <v>57</v>
      </c>
      <c r="S150" s="68">
        <v>1</v>
      </c>
      <c r="T150" s="73">
        <v>0.72</v>
      </c>
      <c r="U150" s="73">
        <f>IF(AND($Q150&gt;0,ISNUMBER($T150)),$Q150*$T150,0)</f>
        <v>0</v>
      </c>
      <c r="V150" s="68">
        <f>SUM(W150:AB150)</f>
        <v>1</v>
      </c>
      <c r="W150" s="68"/>
      <c r="X150" s="68"/>
      <c r="Y150" s="68"/>
      <c r="Z150" s="68">
        <v>1</v>
      </c>
      <c r="AA150" s="68"/>
      <c r="AB150" s="68"/>
      <c r="AC150" s="68"/>
      <c r="AD150" s="75">
        <f>SUM(AE150:AJ150)</f>
        <v>0</v>
      </c>
      <c r="AE150" s="76"/>
      <c r="AF150" s="76"/>
      <c r="AG150" s="76"/>
      <c r="AH150" s="76"/>
      <c r="AI150" s="76"/>
      <c r="AJ150" s="76"/>
      <c r="AK150" s="76"/>
      <c r="AL150" s="77">
        <f>IF((P150-SUM(AE150:AK150))&lt;0,0,P150-SUM(AE150:AK150))</f>
        <v>1</v>
      </c>
      <c r="AM150" s="77">
        <f>SUM(AO150:AT150)</f>
        <v>0</v>
      </c>
      <c r="AN150" s="129"/>
      <c r="AO150" s="72"/>
      <c r="AP150" s="72"/>
      <c r="AQ150" s="72"/>
      <c r="AR150" s="72"/>
      <c r="AS150" s="72"/>
      <c r="AT150" s="72"/>
      <c r="AU150" s="72"/>
      <c r="AV150" s="70"/>
      <c r="AW150" s="72"/>
      <c r="AX150" s="72"/>
    </row>
    <row r="151" spans="1:50" ht="15" customHeight="1">
      <c r="A151" s="70" t="s">
        <v>373</v>
      </c>
      <c r="B151" s="68" t="s">
        <v>345</v>
      </c>
      <c r="C151" s="69" t="s">
        <v>45</v>
      </c>
      <c r="D151" s="70" t="s">
        <v>175</v>
      </c>
      <c r="E151" s="70"/>
      <c r="F151" s="68">
        <v>0</v>
      </c>
      <c r="G151" s="71" t="s">
        <v>350</v>
      </c>
      <c r="H151" s="71" t="s">
        <v>375</v>
      </c>
      <c r="I151" s="71" t="s">
        <v>376</v>
      </c>
      <c r="J151" s="71"/>
      <c r="K151" s="72"/>
      <c r="L151" s="72"/>
      <c r="M151" s="72"/>
      <c r="N151" s="72"/>
      <c r="O151" s="71" t="s">
        <v>374</v>
      </c>
      <c r="P151" s="69">
        <v>1</v>
      </c>
      <c r="Q151" s="68">
        <f>MAX(0,$V151-$P151-$S151)</f>
        <v>0</v>
      </c>
      <c r="R151" s="68"/>
      <c r="S151" s="68"/>
      <c r="T151" s="73">
        <v>0.24</v>
      </c>
      <c r="U151" s="73">
        <f>IF(AND($Q151&gt;0,ISNUMBER($T151)),$Q151*$T151,0)</f>
        <v>0</v>
      </c>
      <c r="V151" s="68">
        <f>SUM(W151:AB151)</f>
        <v>1</v>
      </c>
      <c r="W151" s="68"/>
      <c r="X151" s="68"/>
      <c r="Y151" s="68">
        <v>1</v>
      </c>
      <c r="Z151" s="68"/>
      <c r="AA151" s="68"/>
      <c r="AB151" s="68"/>
      <c r="AC151" s="68"/>
      <c r="AD151" s="75">
        <f>SUM(AE151:AJ151)</f>
        <v>1</v>
      </c>
      <c r="AE151" s="76"/>
      <c r="AF151" s="76"/>
      <c r="AG151" s="76">
        <v>1</v>
      </c>
      <c r="AH151" s="76"/>
      <c r="AI151" s="76"/>
      <c r="AJ151" s="76"/>
      <c r="AK151" s="76"/>
      <c r="AL151" s="77">
        <f>IF((P151-SUM(AE151:AK151))&lt;0,0,P151-SUM(AE151:AK151))</f>
        <v>0</v>
      </c>
      <c r="AM151" s="77">
        <f>SUM(AO151:AT151)</f>
        <v>0</v>
      </c>
      <c r="AN151" s="129"/>
      <c r="AO151" s="72"/>
      <c r="AP151" s="72"/>
      <c r="AQ151" s="72"/>
      <c r="AR151" s="72"/>
      <c r="AS151" s="72"/>
      <c r="AT151" s="72"/>
      <c r="AU151" s="72"/>
      <c r="AV151" s="70"/>
      <c r="AW151" s="72"/>
      <c r="AX151" s="72"/>
    </row>
    <row r="152" spans="1:50" ht="15" customHeight="1">
      <c r="A152" s="70" t="s">
        <v>1143</v>
      </c>
      <c r="B152" s="68" t="s">
        <v>1114</v>
      </c>
      <c r="C152" s="69" t="s">
        <v>45</v>
      </c>
      <c r="D152" s="70" t="s">
        <v>123</v>
      </c>
      <c r="E152" s="70" t="s">
        <v>1144</v>
      </c>
      <c r="F152" s="68">
        <v>4</v>
      </c>
      <c r="G152" s="71" t="s">
        <v>1145</v>
      </c>
      <c r="H152" s="71" t="s">
        <v>1146</v>
      </c>
      <c r="I152" s="71" t="s">
        <v>1147</v>
      </c>
      <c r="J152" s="71" t="s">
        <v>215</v>
      </c>
      <c r="K152" s="72"/>
      <c r="L152" s="72">
        <v>1</v>
      </c>
      <c r="M152" s="72"/>
      <c r="N152" s="72"/>
      <c r="O152" s="71" t="s">
        <v>928</v>
      </c>
      <c r="P152" s="69">
        <v>1</v>
      </c>
      <c r="Q152" s="68">
        <f>MAX(0,$V152-$P152-$S152)</f>
        <v>0</v>
      </c>
      <c r="R152" s="68"/>
      <c r="S152" s="68"/>
      <c r="T152" s="73">
        <v>29.43</v>
      </c>
      <c r="U152" s="73">
        <f>IF(AND($Q152&gt;0,ISNUMBER($T152)),$Q152*$T152,0)</f>
        <v>0</v>
      </c>
      <c r="V152" s="68">
        <f>SUM(W152:AB152)</f>
        <v>1</v>
      </c>
      <c r="W152" s="68"/>
      <c r="X152" s="68"/>
      <c r="Y152" s="68">
        <v>1</v>
      </c>
      <c r="Z152" s="68"/>
      <c r="AA152" s="68"/>
      <c r="AB152" s="68"/>
      <c r="AC152" s="68"/>
      <c r="AD152" s="75">
        <f>SUM(AE152:AJ152)</f>
        <v>1</v>
      </c>
      <c r="AE152" s="76"/>
      <c r="AF152" s="76"/>
      <c r="AG152" s="76">
        <v>1</v>
      </c>
      <c r="AH152" s="76"/>
      <c r="AI152" s="76"/>
      <c r="AJ152" s="76"/>
      <c r="AK152" s="76"/>
      <c r="AL152" s="77">
        <f>IF((P152-SUM(AE152:AK152))&lt;0,0,P152-SUM(AE152:AK152))</f>
        <v>0</v>
      </c>
      <c r="AM152" s="77">
        <f>SUM(AO152:AT152)</f>
        <v>0</v>
      </c>
      <c r="AN152" s="129"/>
      <c r="AO152" s="72"/>
      <c r="AP152" s="72"/>
      <c r="AQ152" s="129"/>
      <c r="AR152" s="72"/>
      <c r="AS152" s="72"/>
      <c r="AT152" s="129"/>
      <c r="AU152" s="129"/>
      <c r="AV152" s="70"/>
      <c r="AW152" s="72"/>
      <c r="AX152" s="72"/>
    </row>
    <row r="153" spans="1:50" ht="15" customHeight="1">
      <c r="A153" s="70" t="s">
        <v>1519</v>
      </c>
      <c r="B153" s="68" t="s">
        <v>1499</v>
      </c>
      <c r="C153" s="69" t="s">
        <v>45</v>
      </c>
      <c r="D153" s="70" t="s">
        <v>123</v>
      </c>
      <c r="E153" s="70" t="s">
        <v>1520</v>
      </c>
      <c r="F153" s="68">
        <v>4</v>
      </c>
      <c r="G153" s="71" t="s">
        <v>91</v>
      </c>
      <c r="H153" s="71" t="s">
        <v>1521</v>
      </c>
      <c r="I153" s="71" t="s">
        <v>1522</v>
      </c>
      <c r="J153" s="71" t="s">
        <v>1523</v>
      </c>
      <c r="K153" s="69"/>
      <c r="L153" s="69"/>
      <c r="M153" s="69"/>
      <c r="N153" s="69"/>
      <c r="O153" s="71" t="s">
        <v>419</v>
      </c>
      <c r="P153" s="69">
        <v>1</v>
      </c>
      <c r="Q153" s="68">
        <f>MAX(0,$V153-$P153-$S153)</f>
        <v>0</v>
      </c>
      <c r="R153" s="68"/>
      <c r="S153" s="68"/>
      <c r="T153" s="73">
        <v>0.41</v>
      </c>
      <c r="U153" s="73">
        <f>IF(AND($Q153&gt;0,ISNUMBER($T153)),$Q153*$T153,0)</f>
        <v>0</v>
      </c>
      <c r="V153" s="68">
        <f>SUM(W153:AB153)</f>
        <v>1</v>
      </c>
      <c r="W153" s="68">
        <v>1</v>
      </c>
      <c r="X153" s="68"/>
      <c r="Y153" s="68"/>
      <c r="Z153" s="68"/>
      <c r="AA153" s="68"/>
      <c r="AB153" s="68"/>
      <c r="AC153" s="68"/>
      <c r="AD153" s="75">
        <f>SUM(AE153:AJ153)</f>
        <v>1</v>
      </c>
      <c r="AE153" s="76">
        <v>1</v>
      </c>
      <c r="AF153" s="76"/>
      <c r="AG153" s="76"/>
      <c r="AH153" s="76"/>
      <c r="AI153" s="76"/>
      <c r="AJ153" s="76"/>
      <c r="AK153" s="76"/>
      <c r="AL153" s="77">
        <f>IF((P153-SUM(AE153:AK153))&lt;0,0,P153-SUM(AE153:AK153))</f>
        <v>0</v>
      </c>
      <c r="AM153" s="77">
        <f>SUM(AO153:AT153)</f>
        <v>0</v>
      </c>
      <c r="AN153" s="129"/>
      <c r="AO153" s="72"/>
      <c r="AP153" s="72"/>
      <c r="AQ153" s="72"/>
      <c r="AR153" s="129"/>
      <c r="AS153" s="72"/>
      <c r="AT153" s="72"/>
      <c r="AU153" s="129"/>
      <c r="AV153" s="70"/>
      <c r="AW153" s="72"/>
      <c r="AX153" s="72"/>
    </row>
    <row r="154" spans="1:50" ht="15" customHeight="1">
      <c r="A154" s="70" t="s">
        <v>1992</v>
      </c>
      <c r="B154" s="68" t="s">
        <v>1971</v>
      </c>
      <c r="C154" s="69" t="s">
        <v>45</v>
      </c>
      <c r="D154" s="70" t="s">
        <v>123</v>
      </c>
      <c r="E154" s="70" t="s">
        <v>1993</v>
      </c>
      <c r="F154" s="68">
        <v>3</v>
      </c>
      <c r="G154" s="71" t="s">
        <v>477</v>
      </c>
      <c r="H154" s="71" t="s">
        <v>1994</v>
      </c>
      <c r="I154" s="71" t="s">
        <v>1995</v>
      </c>
      <c r="J154" s="71" t="s">
        <v>1996</v>
      </c>
      <c r="K154" s="69"/>
      <c r="L154" s="69"/>
      <c r="M154" s="69"/>
      <c r="N154" s="69"/>
      <c r="O154" s="71" t="s">
        <v>334</v>
      </c>
      <c r="P154" s="69">
        <v>1</v>
      </c>
      <c r="Q154" s="68">
        <f>MAX(0,$V154-$P154-$S154)</f>
        <v>0</v>
      </c>
      <c r="R154" s="68"/>
      <c r="S154" s="68"/>
      <c r="T154" s="73">
        <v>0.2</v>
      </c>
      <c r="U154" s="73">
        <f>IF(AND($Q154&gt;0,ISNUMBER($T154)),$Q154*$T154,0)</f>
        <v>0</v>
      </c>
      <c r="V154" s="68">
        <f>SUM(W154:AB154)</f>
        <v>1</v>
      </c>
      <c r="W154" s="68">
        <v>1</v>
      </c>
      <c r="X154" s="68"/>
      <c r="Y154" s="68"/>
      <c r="Z154" s="68"/>
      <c r="AA154" s="68"/>
      <c r="AB154" s="68"/>
      <c r="AC154" s="68"/>
      <c r="AD154" s="75">
        <f>SUM(AE154:AJ154)</f>
        <v>1</v>
      </c>
      <c r="AE154" s="76">
        <v>1</v>
      </c>
      <c r="AF154" s="76"/>
      <c r="AG154" s="76"/>
      <c r="AH154" s="76"/>
      <c r="AI154" s="76"/>
      <c r="AJ154" s="76"/>
      <c r="AK154" s="76"/>
      <c r="AL154" s="77">
        <f>IF((P154-SUM(AE154:AK154))&lt;0,0,P154-SUM(AE154:AK154))</f>
        <v>0</v>
      </c>
      <c r="AM154" s="77">
        <f>SUM(AO154:AT154)</f>
        <v>0</v>
      </c>
      <c r="AN154" s="129"/>
      <c r="AO154" s="72"/>
      <c r="AP154" s="72"/>
      <c r="AQ154" s="129"/>
      <c r="AR154" s="72"/>
      <c r="AS154" s="129"/>
      <c r="AT154" s="72"/>
      <c r="AU154" s="129"/>
      <c r="AV154" s="70"/>
      <c r="AW154" s="72"/>
      <c r="AX154" s="72"/>
    </row>
    <row r="155" spans="1:50" ht="15" customHeight="1">
      <c r="A155" s="70" t="s">
        <v>44</v>
      </c>
      <c r="B155" s="68" t="s">
        <v>46</v>
      </c>
      <c r="C155" s="69" t="s">
        <v>45</v>
      </c>
      <c r="D155" s="70" t="s">
        <v>47</v>
      </c>
      <c r="E155" s="70"/>
      <c r="F155" s="68">
        <v>2</v>
      </c>
      <c r="G155" s="71" t="s">
        <v>49</v>
      </c>
      <c r="H155" s="71" t="s">
        <v>50</v>
      </c>
      <c r="I155" s="71" t="s">
        <v>51</v>
      </c>
      <c r="J155" s="71"/>
      <c r="K155" s="72"/>
      <c r="L155" s="72"/>
      <c r="M155" s="72"/>
      <c r="N155" s="72"/>
      <c r="O155" s="71" t="s">
        <v>48</v>
      </c>
      <c r="P155" s="69">
        <v>1</v>
      </c>
      <c r="Q155" s="68">
        <f>MAX(0,$V155-$P155-$S155)</f>
        <v>0</v>
      </c>
      <c r="R155" s="68"/>
      <c r="S155" s="68"/>
      <c r="T155" s="73">
        <v>0.15</v>
      </c>
      <c r="U155" s="73">
        <f>IF(AND($Q155&gt;0,ISNUMBER($T155)),$Q155*$T155,0)</f>
        <v>0</v>
      </c>
      <c r="V155" s="68">
        <f>SUM(W155:AB155)</f>
        <v>0</v>
      </c>
      <c r="W155" s="68"/>
      <c r="X155" s="68"/>
      <c r="Y155" s="68"/>
      <c r="Z155" s="68"/>
      <c r="AA155" s="68"/>
      <c r="AB155" s="68"/>
      <c r="AC155" s="68"/>
      <c r="AD155" s="75">
        <f>SUM(AE155:AJ155)</f>
        <v>0</v>
      </c>
      <c r="AE155" s="76"/>
      <c r="AF155" s="76"/>
      <c r="AG155" s="76"/>
      <c r="AH155" s="76"/>
      <c r="AI155" s="76"/>
      <c r="AJ155" s="76"/>
      <c r="AK155" s="76"/>
      <c r="AL155" s="77">
        <f>IF((P155-SUM(AE155:AK155))&lt;0,0,P155-SUM(AE155:AK155))</f>
        <v>1</v>
      </c>
      <c r="AM155" s="77">
        <f>SUM(AO155:AT155)</f>
        <v>0</v>
      </c>
      <c r="AN155" s="72"/>
      <c r="AO155" s="72"/>
      <c r="AP155" s="72"/>
      <c r="AQ155" s="72"/>
      <c r="AR155" s="72"/>
      <c r="AS155" s="72"/>
      <c r="AT155" s="72"/>
      <c r="AU155" s="72"/>
      <c r="AV155" s="70"/>
      <c r="AW155" s="72"/>
      <c r="AX155" s="72"/>
    </row>
    <row r="156" spans="1:50" ht="15" customHeight="1">
      <c r="A156" s="70" t="s">
        <v>52</v>
      </c>
      <c r="B156" s="68" t="s">
        <v>46</v>
      </c>
      <c r="C156" s="69" t="s">
        <v>45</v>
      </c>
      <c r="D156" s="70" t="s">
        <v>47</v>
      </c>
      <c r="E156" s="70"/>
      <c r="F156" s="68">
        <v>5</v>
      </c>
      <c r="G156" s="71" t="s">
        <v>54</v>
      </c>
      <c r="H156" s="71" t="s">
        <v>55</v>
      </c>
      <c r="I156" s="71"/>
      <c r="J156" s="71"/>
      <c r="K156" s="72"/>
      <c r="L156" s="72"/>
      <c r="M156" s="72"/>
      <c r="N156" s="72"/>
      <c r="O156" s="71" t="s">
        <v>53</v>
      </c>
      <c r="P156" s="69">
        <v>1</v>
      </c>
      <c r="Q156" s="68">
        <f>MAX(0,$V156-$P156-$S156)</f>
        <v>0</v>
      </c>
      <c r="R156" s="68"/>
      <c r="S156" s="68"/>
      <c r="T156" s="73">
        <v>0.39</v>
      </c>
      <c r="U156" s="73">
        <f>IF(AND($Q156&gt;0,ISNUMBER($T156)),$Q156*$T156,0)</f>
        <v>0</v>
      </c>
      <c r="V156" s="68">
        <f>SUM(W156:AB156)</f>
        <v>0</v>
      </c>
      <c r="W156" s="68"/>
      <c r="X156" s="68"/>
      <c r="Y156" s="68"/>
      <c r="Z156" s="68"/>
      <c r="AA156" s="68"/>
      <c r="AB156" s="68"/>
      <c r="AC156" s="68"/>
      <c r="AD156" s="75">
        <f>SUM(AE156:AJ156)</f>
        <v>0</v>
      </c>
      <c r="AE156" s="76"/>
      <c r="AF156" s="76"/>
      <c r="AG156" s="76"/>
      <c r="AH156" s="76"/>
      <c r="AI156" s="76"/>
      <c r="AJ156" s="76"/>
      <c r="AK156" s="76"/>
      <c r="AL156" s="77">
        <f>IF((P156-SUM(AE156:AK156))&lt;0,0,P156-SUM(AE156:AK156))</f>
        <v>1</v>
      </c>
      <c r="AM156" s="77">
        <f>SUM(AO156:AT156)</f>
        <v>0</v>
      </c>
      <c r="AN156" s="129"/>
      <c r="AO156" s="129"/>
      <c r="AP156" s="72"/>
      <c r="AQ156" s="72"/>
      <c r="AR156" s="72"/>
      <c r="AS156" s="72"/>
      <c r="AT156" s="72"/>
      <c r="AU156" s="129"/>
      <c r="AV156" s="70"/>
      <c r="AW156" s="72"/>
      <c r="AX156" s="72"/>
    </row>
    <row r="157" spans="1:50" ht="15" customHeight="1">
      <c r="A157" s="70" t="s">
        <v>930</v>
      </c>
      <c r="B157" s="68" t="s">
        <v>919</v>
      </c>
      <c r="C157" s="69" t="s">
        <v>45</v>
      </c>
      <c r="D157" s="70" t="s">
        <v>627</v>
      </c>
      <c r="E157" s="70"/>
      <c r="F157" s="68">
        <v>0</v>
      </c>
      <c r="G157" s="71" t="s">
        <v>627</v>
      </c>
      <c r="H157" s="71" t="s">
        <v>931</v>
      </c>
      <c r="I157" s="71" t="s">
        <v>932</v>
      </c>
      <c r="J157" s="71"/>
      <c r="K157" s="72"/>
      <c r="L157" s="72"/>
      <c r="M157" s="72"/>
      <c r="N157" s="72"/>
      <c r="O157" s="71" t="s">
        <v>378</v>
      </c>
      <c r="P157" s="69">
        <v>1</v>
      </c>
      <c r="Q157" s="68">
        <f>MAX(0,$V157-$P157-$S157)</f>
        <v>0</v>
      </c>
      <c r="R157" s="68" t="s">
        <v>57</v>
      </c>
      <c r="S157" s="68">
        <v>1</v>
      </c>
      <c r="T157" s="73">
        <v>0.32</v>
      </c>
      <c r="U157" s="73">
        <f>IF(AND($Q157&gt;0,ISNUMBER($T157)),$Q157*$T157,0)</f>
        <v>0</v>
      </c>
      <c r="V157" s="68">
        <f>SUM(W157:AB157)</f>
        <v>1</v>
      </c>
      <c r="W157" s="68"/>
      <c r="X157" s="68">
        <v>1</v>
      </c>
      <c r="Y157" s="68"/>
      <c r="Z157" s="68"/>
      <c r="AA157" s="68"/>
      <c r="AB157" s="68"/>
      <c r="AC157" s="68"/>
      <c r="AD157" s="75">
        <f>SUM(AE157:AJ157)</f>
        <v>1</v>
      </c>
      <c r="AE157" s="76"/>
      <c r="AF157" s="76">
        <v>1</v>
      </c>
      <c r="AG157" s="76"/>
      <c r="AH157" s="76"/>
      <c r="AI157" s="76"/>
      <c r="AJ157" s="76"/>
      <c r="AK157" s="76"/>
      <c r="AL157" s="77">
        <f>IF((P157-SUM(AE157:AK157))&lt;0,0,P157-SUM(AE157:AK157))</f>
        <v>0</v>
      </c>
      <c r="AM157" s="77">
        <f>SUM(AO157:AT157)</f>
        <v>0</v>
      </c>
      <c r="AN157" s="72"/>
      <c r="AO157" s="72"/>
      <c r="AP157" s="72"/>
      <c r="AQ157" s="72"/>
      <c r="AR157" s="72"/>
      <c r="AS157" s="72"/>
      <c r="AT157" s="72"/>
      <c r="AU157" s="72"/>
      <c r="AV157" s="70"/>
      <c r="AW157" s="72"/>
      <c r="AX157" s="72"/>
    </row>
    <row r="158" spans="1:50" ht="15" customHeight="1">
      <c r="A158" s="86" t="s">
        <v>377</v>
      </c>
      <c r="B158" s="68" t="s">
        <v>345</v>
      </c>
      <c r="C158" s="69" t="s">
        <v>45</v>
      </c>
      <c r="D158" s="70" t="s">
        <v>175</v>
      </c>
      <c r="E158" s="92"/>
      <c r="F158" s="68">
        <v>2</v>
      </c>
      <c r="G158" s="71" t="s">
        <v>350</v>
      </c>
      <c r="H158" s="71" t="s">
        <v>379</v>
      </c>
      <c r="I158" s="92"/>
      <c r="J158" s="92"/>
      <c r="K158" s="72"/>
      <c r="L158" s="72"/>
      <c r="M158" s="72"/>
      <c r="N158" s="72"/>
      <c r="O158" s="71" t="s">
        <v>378</v>
      </c>
      <c r="P158" s="69">
        <v>1</v>
      </c>
      <c r="Q158" s="68">
        <f>MAX(0,$V158-$P158-$S158)</f>
        <v>0</v>
      </c>
      <c r="R158" s="68" t="s">
        <v>57</v>
      </c>
      <c r="S158" s="68">
        <v>1</v>
      </c>
      <c r="T158" s="73">
        <v>0.3</v>
      </c>
      <c r="U158" s="73">
        <f>IF(AND($Q158&gt;0,ISNUMBER($T158)),$Q158*$T158,0)</f>
        <v>0</v>
      </c>
      <c r="V158" s="68">
        <f>SUM(W158:AB158)</f>
        <v>1</v>
      </c>
      <c r="W158" s="90"/>
      <c r="X158" s="90"/>
      <c r="Y158" s="95">
        <v>1</v>
      </c>
      <c r="Z158" s="90"/>
      <c r="AA158" s="90"/>
      <c r="AB158" s="90"/>
      <c r="AC158" s="90"/>
      <c r="AD158" s="75">
        <f>SUM(AE158:AJ158)</f>
        <v>1</v>
      </c>
      <c r="AE158" s="76"/>
      <c r="AF158" s="76"/>
      <c r="AG158" s="76">
        <v>1</v>
      </c>
      <c r="AH158" s="76"/>
      <c r="AI158" s="76"/>
      <c r="AJ158" s="76"/>
      <c r="AK158" s="76"/>
      <c r="AL158" s="77">
        <f>IF((P158-SUM(AE158:AK158))&lt;0,0,P158-SUM(AE158:AK158))</f>
        <v>0</v>
      </c>
      <c r="AM158" s="77">
        <f>SUM(AO158:AT158)</f>
        <v>0</v>
      </c>
      <c r="AN158" s="129"/>
      <c r="AO158" s="72"/>
      <c r="AP158" s="72"/>
      <c r="AQ158" s="72"/>
      <c r="AR158" s="72"/>
      <c r="AS158" s="72"/>
      <c r="AT158" s="72"/>
      <c r="AU158" s="72"/>
      <c r="AV158" s="92"/>
      <c r="AW158" s="72"/>
      <c r="AX158" s="72"/>
    </row>
    <row r="159" spans="1:50" ht="15" customHeight="1">
      <c r="A159" s="86" t="s">
        <v>380</v>
      </c>
      <c r="B159" s="68" t="s">
        <v>345</v>
      </c>
      <c r="C159" s="69" t="s">
        <v>45</v>
      </c>
      <c r="D159" s="70" t="s">
        <v>175</v>
      </c>
      <c r="E159" s="70"/>
      <c r="F159" s="68">
        <v>1</v>
      </c>
      <c r="G159" s="71" t="s">
        <v>113</v>
      </c>
      <c r="H159" s="71" t="s">
        <v>382</v>
      </c>
      <c r="I159" s="71" t="s">
        <v>383</v>
      </c>
      <c r="J159" s="71" t="s">
        <v>384</v>
      </c>
      <c r="K159" s="72"/>
      <c r="L159" s="72"/>
      <c r="M159" s="72"/>
      <c r="N159" s="72"/>
      <c r="O159" s="71" t="s">
        <v>381</v>
      </c>
      <c r="P159" s="69">
        <v>1</v>
      </c>
      <c r="Q159" s="68">
        <f>MAX(0,$V159-$P159-$S159)</f>
        <v>0</v>
      </c>
      <c r="R159" s="68"/>
      <c r="S159" s="68"/>
      <c r="T159" s="73">
        <v>0.27</v>
      </c>
      <c r="U159" s="73">
        <f>IF(AND($Q159&gt;0,ISNUMBER($T159)),$Q159*$T159,0)</f>
        <v>0</v>
      </c>
      <c r="V159" s="68">
        <f>SUM(W159:AB159)</f>
        <v>1</v>
      </c>
      <c r="W159" s="87">
        <v>1</v>
      </c>
      <c r="X159" s="68"/>
      <c r="Y159" s="68"/>
      <c r="Z159" s="68"/>
      <c r="AA159" s="68"/>
      <c r="AB159" s="68"/>
      <c r="AC159" s="68"/>
      <c r="AD159" s="75">
        <f>SUM(AE159:AJ159)</f>
        <v>1</v>
      </c>
      <c r="AE159" s="76">
        <v>1</v>
      </c>
      <c r="AF159" s="76"/>
      <c r="AG159" s="76"/>
      <c r="AH159" s="76"/>
      <c r="AI159" s="76"/>
      <c r="AJ159" s="76"/>
      <c r="AK159" s="76"/>
      <c r="AL159" s="77">
        <f>IF((P159-SUM(AE159:AK159))&lt;0,0,P159-SUM(AE159:AK159))</f>
        <v>0</v>
      </c>
      <c r="AM159" s="77">
        <f>SUM(AO159:AT159)</f>
        <v>0</v>
      </c>
      <c r="AN159" s="129"/>
      <c r="AO159" s="72"/>
      <c r="AP159" s="72"/>
      <c r="AQ159" s="72"/>
      <c r="AR159" s="72"/>
      <c r="AS159" s="72"/>
      <c r="AT159" s="72"/>
      <c r="AU159" s="72"/>
      <c r="AV159" s="70"/>
      <c r="AW159" s="72"/>
      <c r="AX159" s="72"/>
    </row>
    <row r="160" spans="1:50" ht="15" customHeight="1">
      <c r="A160" s="70" t="s">
        <v>1152</v>
      </c>
      <c r="B160" s="68" t="s">
        <v>1114</v>
      </c>
      <c r="C160" s="69" t="s">
        <v>45</v>
      </c>
      <c r="D160" s="70" t="s">
        <v>64</v>
      </c>
      <c r="E160" s="70" t="s">
        <v>1153</v>
      </c>
      <c r="F160" s="68">
        <v>5</v>
      </c>
      <c r="G160" s="71" t="s">
        <v>530</v>
      </c>
      <c r="H160" s="71" t="s">
        <v>1154</v>
      </c>
      <c r="I160" s="71" t="s">
        <v>1155</v>
      </c>
      <c r="J160" s="71" t="s">
        <v>1156</v>
      </c>
      <c r="K160" s="69"/>
      <c r="L160" s="69"/>
      <c r="M160" s="69"/>
      <c r="N160" s="69"/>
      <c r="O160" s="71" t="s">
        <v>1063</v>
      </c>
      <c r="P160" s="69">
        <v>1</v>
      </c>
      <c r="Q160" s="68">
        <f>MAX(0,$V160-$P160-$S160)</f>
        <v>0</v>
      </c>
      <c r="R160" s="68"/>
      <c r="S160" s="68"/>
      <c r="T160" s="73">
        <v>0.62</v>
      </c>
      <c r="U160" s="73">
        <f>IF(AND($Q160&gt;0,ISNUMBER($T160)),$Q160*$T160,0)</f>
        <v>0</v>
      </c>
      <c r="V160" s="68">
        <f>SUM(W160:AB160)</f>
        <v>1</v>
      </c>
      <c r="W160" s="68">
        <v>1</v>
      </c>
      <c r="X160" s="68"/>
      <c r="Y160" s="68"/>
      <c r="Z160" s="68"/>
      <c r="AA160" s="68"/>
      <c r="AB160" s="68"/>
      <c r="AC160" s="68"/>
      <c r="AD160" s="75">
        <f>SUM(AE160:AJ160)</f>
        <v>1</v>
      </c>
      <c r="AE160" s="76">
        <v>1</v>
      </c>
      <c r="AF160" s="76"/>
      <c r="AG160" s="76"/>
      <c r="AH160" s="76"/>
      <c r="AI160" s="76"/>
      <c r="AJ160" s="76"/>
      <c r="AK160" s="76"/>
      <c r="AL160" s="77">
        <f>IF((P160-SUM(AE160:AK160))&lt;0,0,P160-SUM(AE160:AK160))</f>
        <v>0</v>
      </c>
      <c r="AM160" s="77">
        <f>SUM(AO160:AT160)</f>
        <v>0</v>
      </c>
      <c r="AN160" s="129"/>
      <c r="AO160" s="72"/>
      <c r="AP160" s="72"/>
      <c r="AQ160" s="72"/>
      <c r="AR160" s="72"/>
      <c r="AS160" s="72"/>
      <c r="AT160" s="72"/>
      <c r="AU160" s="72"/>
      <c r="AV160" s="70"/>
      <c r="AW160" s="72"/>
      <c r="AX160" s="72"/>
    </row>
    <row r="161" spans="1:50" ht="15" customHeight="1">
      <c r="A161" s="70" t="s">
        <v>933</v>
      </c>
      <c r="B161" s="68" t="s">
        <v>919</v>
      </c>
      <c r="C161" s="69" t="s">
        <v>45</v>
      </c>
      <c r="D161" s="70" t="s">
        <v>627</v>
      </c>
      <c r="E161" s="70"/>
      <c r="F161" s="68">
        <v>0</v>
      </c>
      <c r="G161" s="71" t="s">
        <v>627</v>
      </c>
      <c r="H161" s="71" t="s">
        <v>517</v>
      </c>
      <c r="I161" s="71" t="s">
        <v>934</v>
      </c>
      <c r="J161" s="71"/>
      <c r="K161" s="69"/>
      <c r="L161" s="69"/>
      <c r="M161" s="69"/>
      <c r="N161" s="69"/>
      <c r="O161" s="71" t="s">
        <v>696</v>
      </c>
      <c r="P161" s="69">
        <v>1</v>
      </c>
      <c r="Q161" s="68">
        <f>MAX(0,$V161-$P161-$S161)</f>
        <v>0</v>
      </c>
      <c r="R161" s="68"/>
      <c r="S161" s="68"/>
      <c r="T161" s="73">
        <v>0.34</v>
      </c>
      <c r="U161" s="73">
        <f>IF(AND($Q161&gt;0,ISNUMBER($T161)),$Q161*$T161,0)</f>
        <v>0</v>
      </c>
      <c r="V161" s="68">
        <f>SUM(W161:AB161)</f>
        <v>1</v>
      </c>
      <c r="W161" s="68"/>
      <c r="X161" s="68">
        <v>1</v>
      </c>
      <c r="Y161" s="68"/>
      <c r="Z161" s="68"/>
      <c r="AA161" s="68"/>
      <c r="AB161" s="68"/>
      <c r="AC161" s="68"/>
      <c r="AD161" s="75">
        <f>SUM(AE161:AJ161)</f>
        <v>1</v>
      </c>
      <c r="AE161" s="76"/>
      <c r="AF161" s="76">
        <v>1</v>
      </c>
      <c r="AG161" s="76"/>
      <c r="AH161" s="76"/>
      <c r="AI161" s="76"/>
      <c r="AJ161" s="76"/>
      <c r="AK161" s="76"/>
      <c r="AL161" s="77">
        <f>IF((P161-SUM(AE161:AK161))&lt;0,0,P161-SUM(AE161:AK161))</f>
        <v>0</v>
      </c>
      <c r="AM161" s="77">
        <f>SUM(AO161:AT161)</f>
        <v>0</v>
      </c>
      <c r="AN161" s="129"/>
      <c r="AO161" s="129"/>
      <c r="AP161" s="72"/>
      <c r="AQ161" s="72"/>
      <c r="AR161" s="72"/>
      <c r="AS161" s="72"/>
      <c r="AT161" s="72"/>
      <c r="AU161" s="129"/>
      <c r="AV161" s="70"/>
      <c r="AW161" s="72"/>
      <c r="AX161" s="72"/>
    </row>
    <row r="162" spans="1:50" ht="15" customHeight="1">
      <c r="A162" s="98" t="s">
        <v>2418</v>
      </c>
      <c r="B162" s="100" t="s">
        <v>1114</v>
      </c>
      <c r="C162" s="101" t="s">
        <v>45</v>
      </c>
      <c r="D162" s="98" t="s">
        <v>123</v>
      </c>
      <c r="E162" s="98" t="s">
        <v>2419</v>
      </c>
      <c r="F162" s="100">
        <v>3</v>
      </c>
      <c r="G162" s="98" t="s">
        <v>170</v>
      </c>
      <c r="H162" s="98" t="s">
        <v>2420</v>
      </c>
      <c r="I162" s="98" t="s">
        <v>1191</v>
      </c>
      <c r="J162" s="98"/>
      <c r="K162" s="99"/>
      <c r="L162" s="99"/>
      <c r="M162" s="99"/>
      <c r="N162" s="99"/>
      <c r="O162" s="98" t="s">
        <v>136</v>
      </c>
      <c r="P162" s="101">
        <v>1</v>
      </c>
      <c r="Q162" s="68">
        <f>MAX(0,$V162-$P162-$S162)</f>
        <v>0</v>
      </c>
      <c r="R162" s="98"/>
      <c r="S162" s="98"/>
      <c r="T162" s="98">
        <v>0.2</v>
      </c>
      <c r="U162" s="98">
        <f>IF(AND($Q162&gt;0,ISNUMBER($T162)),$Q162*$T162,0)</f>
        <v>0</v>
      </c>
      <c r="V162" s="68">
        <f>SUM(W162:AB162)</f>
        <v>0</v>
      </c>
      <c r="W162" s="100"/>
      <c r="X162" s="100"/>
      <c r="Y162" s="100"/>
      <c r="Z162" s="100"/>
      <c r="AA162" s="100"/>
      <c r="AB162" s="100"/>
      <c r="AC162" s="68"/>
      <c r="AD162" s="75">
        <f>SUM(AE162:AJ162)</f>
        <v>0</v>
      </c>
      <c r="AE162" s="102"/>
      <c r="AF162" s="102"/>
      <c r="AG162" s="102"/>
      <c r="AH162" s="102"/>
      <c r="AI162" s="102"/>
      <c r="AJ162" s="102"/>
      <c r="AK162" s="102"/>
      <c r="AL162" s="77">
        <f>IF((P162-SUM(AE162:AK162))&lt;0,0,P162-SUM(AE162:AK162))</f>
        <v>1</v>
      </c>
      <c r="AM162" s="77">
        <f>SUM(AO162:AT162)</f>
        <v>0</v>
      </c>
      <c r="AN162" s="127"/>
      <c r="AO162" s="99"/>
      <c r="AP162" s="99"/>
      <c r="AQ162" s="99"/>
      <c r="AR162" s="99"/>
      <c r="AS162" s="99"/>
      <c r="AT162" s="99"/>
      <c r="AU162" s="99"/>
      <c r="AV162" s="98"/>
      <c r="AW162" s="99"/>
      <c r="AX162" s="99"/>
    </row>
    <row r="163" spans="1:50" ht="15" customHeight="1">
      <c r="A163" s="86" t="s">
        <v>1524</v>
      </c>
      <c r="B163" s="68" t="s">
        <v>1499</v>
      </c>
      <c r="C163" s="69" t="s">
        <v>45</v>
      </c>
      <c r="D163" s="70" t="s">
        <v>58</v>
      </c>
      <c r="E163" s="70"/>
      <c r="F163" s="68">
        <v>1</v>
      </c>
      <c r="G163" s="71" t="s">
        <v>98</v>
      </c>
      <c r="H163" s="71" t="s">
        <v>1526</v>
      </c>
      <c r="I163" s="71"/>
      <c r="J163" s="71"/>
      <c r="K163" s="72"/>
      <c r="L163" s="72"/>
      <c r="M163" s="72"/>
      <c r="N163" s="72"/>
      <c r="O163" s="71" t="s">
        <v>1525</v>
      </c>
      <c r="P163" s="69">
        <v>1</v>
      </c>
      <c r="Q163" s="68">
        <f>MAX(0,$V163-$P163-$S163)</f>
        <v>0</v>
      </c>
      <c r="R163" s="68"/>
      <c r="S163" s="68"/>
      <c r="T163" s="73">
        <v>0.31</v>
      </c>
      <c r="U163" s="73">
        <f>IF(AND($Q163&gt;0,ISNUMBER($T163)),$Q163*$T163,0)</f>
        <v>0</v>
      </c>
      <c r="V163" s="68">
        <f>SUM(W163:AB163)</f>
        <v>1</v>
      </c>
      <c r="W163" s="68"/>
      <c r="X163" s="68"/>
      <c r="Y163" s="68"/>
      <c r="Z163" s="68"/>
      <c r="AA163" s="68"/>
      <c r="AB163" s="87">
        <v>1</v>
      </c>
      <c r="AC163" s="68"/>
      <c r="AD163" s="75">
        <f>SUM(AE163:AJ163)</f>
        <v>1</v>
      </c>
      <c r="AE163" s="76"/>
      <c r="AF163" s="76"/>
      <c r="AG163" s="76"/>
      <c r="AH163" s="76"/>
      <c r="AI163" s="76"/>
      <c r="AJ163" s="76">
        <v>1</v>
      </c>
      <c r="AK163" s="76"/>
      <c r="AL163" s="77">
        <f>IF((P163-SUM(AE163:AK163))&lt;0,0,P163-SUM(AE163:AK163))</f>
        <v>0</v>
      </c>
      <c r="AM163" s="77">
        <f>SUM(AO163:AT163)</f>
        <v>0</v>
      </c>
      <c r="AN163" s="85"/>
      <c r="AO163" s="72"/>
      <c r="AP163" s="72"/>
      <c r="AQ163" s="72"/>
      <c r="AR163" s="72"/>
      <c r="AS163" s="72"/>
      <c r="AT163" s="72"/>
      <c r="AU163" s="72"/>
      <c r="AV163" s="70"/>
      <c r="AW163" s="72"/>
      <c r="AX163" s="72"/>
    </row>
    <row r="164" spans="1:50" ht="15" customHeight="1">
      <c r="A164" s="70" t="s">
        <v>56</v>
      </c>
      <c r="B164" s="68" t="s">
        <v>46</v>
      </c>
      <c r="C164" s="69" t="s">
        <v>45</v>
      </c>
      <c r="D164" s="70" t="s">
        <v>58</v>
      </c>
      <c r="E164" s="70"/>
      <c r="F164" s="68">
        <v>3</v>
      </c>
      <c r="G164" s="71" t="s">
        <v>60</v>
      </c>
      <c r="H164" s="71" t="s">
        <v>61</v>
      </c>
      <c r="I164" s="71" t="s">
        <v>62</v>
      </c>
      <c r="J164" s="71"/>
      <c r="K164" s="72"/>
      <c r="L164" s="72"/>
      <c r="M164" s="72"/>
      <c r="N164" s="72"/>
      <c r="O164" s="71" t="s">
        <v>59</v>
      </c>
      <c r="P164" s="69">
        <v>1</v>
      </c>
      <c r="Q164" s="68">
        <f>MAX(0,$V164-$P164-$S164)</f>
        <v>0</v>
      </c>
      <c r="R164" s="68" t="s">
        <v>57</v>
      </c>
      <c r="S164" s="68">
        <v>1</v>
      </c>
      <c r="T164" s="73">
        <v>0.36</v>
      </c>
      <c r="U164" s="73">
        <f>IF(AND($Q164&gt;0,ISNUMBER($T164)),$Q164*$T164,0)</f>
        <v>0</v>
      </c>
      <c r="V164" s="68">
        <f>SUM(W164:AB164)</f>
        <v>1</v>
      </c>
      <c r="W164" s="68"/>
      <c r="X164" s="68"/>
      <c r="Y164" s="68"/>
      <c r="Z164" s="68"/>
      <c r="AA164" s="68">
        <v>1</v>
      </c>
      <c r="AB164" s="68"/>
      <c r="AC164" s="68"/>
      <c r="AD164" s="75">
        <f>SUM(AE164:AJ164)</f>
        <v>1</v>
      </c>
      <c r="AE164" s="76"/>
      <c r="AF164" s="76"/>
      <c r="AG164" s="76"/>
      <c r="AH164" s="76"/>
      <c r="AI164" s="76">
        <v>1</v>
      </c>
      <c r="AJ164" s="76"/>
      <c r="AK164" s="76"/>
      <c r="AL164" s="77">
        <f>IF((P164-SUM(AE164:AK164))&lt;0,0,P164-SUM(AE164:AK164))</f>
        <v>0</v>
      </c>
      <c r="AM164" s="77">
        <f>SUM(AO164:AT164)</f>
        <v>0</v>
      </c>
      <c r="AN164" s="129"/>
      <c r="AO164" s="72"/>
      <c r="AP164" s="129"/>
      <c r="AQ164" s="72"/>
      <c r="AR164" s="72"/>
      <c r="AS164" s="72"/>
      <c r="AT164" s="72"/>
      <c r="AU164" s="129"/>
      <c r="AV164" s="70"/>
      <c r="AW164" s="72"/>
      <c r="AX164" s="72"/>
    </row>
    <row r="165" spans="1:50" ht="15" customHeight="1">
      <c r="A165" s="70" t="s">
        <v>935</v>
      </c>
      <c r="B165" s="68" t="s">
        <v>919</v>
      </c>
      <c r="C165" s="69" t="s">
        <v>45</v>
      </c>
      <c r="D165" s="70" t="s">
        <v>627</v>
      </c>
      <c r="E165" s="70"/>
      <c r="F165" s="68">
        <v>0</v>
      </c>
      <c r="G165" s="71" t="s">
        <v>627</v>
      </c>
      <c r="H165" s="71" t="s">
        <v>517</v>
      </c>
      <c r="I165" s="71" t="s">
        <v>936</v>
      </c>
      <c r="J165" s="71"/>
      <c r="K165" s="69"/>
      <c r="L165" s="69"/>
      <c r="M165" s="69"/>
      <c r="N165" s="69"/>
      <c r="O165" s="71" t="s">
        <v>235</v>
      </c>
      <c r="P165" s="69">
        <v>1</v>
      </c>
      <c r="Q165" s="68">
        <f>MAX(0,$V165-$P165-$S165)</f>
        <v>0</v>
      </c>
      <c r="R165" s="68"/>
      <c r="S165" s="68"/>
      <c r="T165" s="73">
        <v>0.34</v>
      </c>
      <c r="U165" s="73">
        <f>IF(AND($Q165&gt;0,ISNUMBER($T165)),$Q165*$T165,0)</f>
        <v>0</v>
      </c>
      <c r="V165" s="68">
        <f>SUM(W165:AB165)</f>
        <v>1</v>
      </c>
      <c r="W165" s="68">
        <v>1</v>
      </c>
      <c r="X165" s="68"/>
      <c r="Y165" s="68"/>
      <c r="Z165" s="68"/>
      <c r="AA165" s="68"/>
      <c r="AB165" s="68"/>
      <c r="AC165" s="68"/>
      <c r="AD165" s="75">
        <f>SUM(AE165:AJ165)</f>
        <v>1</v>
      </c>
      <c r="AE165" s="76">
        <v>1</v>
      </c>
      <c r="AF165" s="76"/>
      <c r="AG165" s="76"/>
      <c r="AH165" s="76"/>
      <c r="AI165" s="76"/>
      <c r="AJ165" s="76"/>
      <c r="AK165" s="76"/>
      <c r="AL165" s="77">
        <f>IF((P165-SUM(AE165:AK165))&lt;0,0,P165-SUM(AE165:AK165))</f>
        <v>0</v>
      </c>
      <c r="AM165" s="77">
        <f>SUM(AO165:AT165)</f>
        <v>0</v>
      </c>
      <c r="AN165" s="85"/>
      <c r="AO165" s="72"/>
      <c r="AP165" s="85"/>
      <c r="AQ165" s="72"/>
      <c r="AR165" s="72"/>
      <c r="AS165" s="72"/>
      <c r="AT165" s="129"/>
      <c r="AU165" s="85"/>
      <c r="AV165" s="70"/>
      <c r="AW165" s="72"/>
      <c r="AX165" s="72"/>
    </row>
    <row r="166" spans="1:50" ht="15" customHeight="1">
      <c r="A166" s="70" t="s">
        <v>1157</v>
      </c>
      <c r="B166" s="68" t="s">
        <v>1114</v>
      </c>
      <c r="C166" s="69" t="s">
        <v>45</v>
      </c>
      <c r="D166" s="70" t="s">
        <v>123</v>
      </c>
      <c r="E166" s="70" t="s">
        <v>124</v>
      </c>
      <c r="F166" s="68">
        <v>5</v>
      </c>
      <c r="G166" s="71" t="s">
        <v>530</v>
      </c>
      <c r="H166" s="71" t="s">
        <v>1158</v>
      </c>
      <c r="I166" s="71" t="s">
        <v>1142</v>
      </c>
      <c r="J166" s="71"/>
      <c r="K166" s="72"/>
      <c r="L166" s="72"/>
      <c r="M166" s="72"/>
      <c r="N166" s="72"/>
      <c r="O166" s="71" t="s">
        <v>101</v>
      </c>
      <c r="P166" s="69">
        <v>1</v>
      </c>
      <c r="Q166" s="68">
        <f>MAX(0,$V166-$P166-$S166)</f>
        <v>0</v>
      </c>
      <c r="R166" s="68"/>
      <c r="S166" s="68"/>
      <c r="T166" s="73">
        <v>0.39</v>
      </c>
      <c r="U166" s="73">
        <f>IF(AND($Q166&gt;0,ISNUMBER($T166)),$Q166*$T166,0)</f>
        <v>0</v>
      </c>
      <c r="V166" s="68">
        <f>SUM(W166:AB166)</f>
        <v>0</v>
      </c>
      <c r="W166" s="68"/>
      <c r="X166" s="68"/>
      <c r="Y166" s="68"/>
      <c r="Z166" s="68"/>
      <c r="AA166" s="68"/>
      <c r="AB166" s="68"/>
      <c r="AC166" s="68"/>
      <c r="AD166" s="75">
        <f>SUM(AE166:AJ166)</f>
        <v>0</v>
      </c>
      <c r="AE166" s="76"/>
      <c r="AF166" s="76"/>
      <c r="AG166" s="76"/>
      <c r="AH166" s="76"/>
      <c r="AI166" s="76"/>
      <c r="AJ166" s="76"/>
      <c r="AK166" s="76"/>
      <c r="AL166" s="77">
        <f>IF((P166-SUM(AE166:AK166))&lt;0,0,P166-SUM(AE166:AK166))</f>
        <v>1</v>
      </c>
      <c r="AM166" s="77">
        <f>SUM(AO166:AT166)</f>
        <v>0</v>
      </c>
      <c r="AN166" s="129"/>
      <c r="AO166" s="72"/>
      <c r="AP166" s="72"/>
      <c r="AQ166" s="72"/>
      <c r="AR166" s="72"/>
      <c r="AS166" s="72"/>
      <c r="AT166" s="72"/>
      <c r="AU166" s="72"/>
      <c r="AV166" s="70"/>
      <c r="AW166" s="72"/>
      <c r="AX166" s="72"/>
    </row>
    <row r="167" spans="1:50" ht="15" customHeight="1">
      <c r="A167" s="86" t="s">
        <v>1530</v>
      </c>
      <c r="B167" s="68" t="s">
        <v>1499</v>
      </c>
      <c r="C167" s="69" t="s">
        <v>45</v>
      </c>
      <c r="D167" s="70" t="s">
        <v>64</v>
      </c>
      <c r="E167" s="70" t="s">
        <v>1531</v>
      </c>
      <c r="F167" s="68">
        <v>4</v>
      </c>
      <c r="G167" s="71" t="s">
        <v>54</v>
      </c>
      <c r="H167" s="71" t="s">
        <v>1533</v>
      </c>
      <c r="I167" s="71"/>
      <c r="J167" s="71"/>
      <c r="K167" s="72"/>
      <c r="L167" s="72"/>
      <c r="M167" s="72"/>
      <c r="N167" s="72"/>
      <c r="O167" s="71" t="s">
        <v>1532</v>
      </c>
      <c r="P167" s="69">
        <v>1</v>
      </c>
      <c r="Q167" s="68">
        <f>MAX(0,$V167-$P167-$S167)</f>
        <v>0</v>
      </c>
      <c r="R167" s="68" t="s">
        <v>57</v>
      </c>
      <c r="S167" s="68">
        <v>1</v>
      </c>
      <c r="T167" s="73">
        <v>0.31</v>
      </c>
      <c r="U167" s="73">
        <f>IF(AND($Q167&gt;0,ISNUMBER($T167)),$Q167*$T167,0)</f>
        <v>0</v>
      </c>
      <c r="V167" s="68">
        <f>SUM(W167:AB167)</f>
        <v>1</v>
      </c>
      <c r="W167" s="68"/>
      <c r="X167" s="68"/>
      <c r="Y167" s="68"/>
      <c r="Z167" s="68"/>
      <c r="AA167" s="68"/>
      <c r="AB167" s="87">
        <v>1</v>
      </c>
      <c r="AC167" s="68"/>
      <c r="AD167" s="75">
        <f>SUM(AE167:AJ167)</f>
        <v>1</v>
      </c>
      <c r="AE167" s="76"/>
      <c r="AF167" s="76"/>
      <c r="AG167" s="76"/>
      <c r="AH167" s="76"/>
      <c r="AI167" s="76"/>
      <c r="AJ167" s="76">
        <v>1</v>
      </c>
      <c r="AK167" s="76"/>
      <c r="AL167" s="77">
        <f>IF((P167-SUM(AE167:AK167))&lt;0,0,P167-SUM(AE167:AK167))</f>
        <v>0</v>
      </c>
      <c r="AM167" s="77">
        <f>SUM(AO167:AT167)</f>
        <v>0</v>
      </c>
      <c r="AN167" s="72"/>
      <c r="AO167" s="72"/>
      <c r="AP167" s="72"/>
      <c r="AQ167" s="72"/>
      <c r="AR167" s="72"/>
      <c r="AS167" s="72"/>
      <c r="AT167" s="72"/>
      <c r="AU167" s="72"/>
      <c r="AV167" s="70"/>
      <c r="AW167" s="72"/>
      <c r="AX167" s="72"/>
    </row>
    <row r="168" spans="1:50" ht="15" customHeight="1">
      <c r="A168" s="67" t="s">
        <v>1159</v>
      </c>
      <c r="B168" s="68" t="s">
        <v>1114</v>
      </c>
      <c r="C168" s="69" t="s">
        <v>45</v>
      </c>
      <c r="D168" s="70" t="s">
        <v>64</v>
      </c>
      <c r="E168" s="70" t="s">
        <v>895</v>
      </c>
      <c r="F168" s="68">
        <v>7</v>
      </c>
      <c r="G168" s="71" t="s">
        <v>125</v>
      </c>
      <c r="H168" s="71" t="s">
        <v>1160</v>
      </c>
      <c r="I168" s="71"/>
      <c r="J168" s="71"/>
      <c r="K168" s="72"/>
      <c r="L168" s="72"/>
      <c r="M168" s="72"/>
      <c r="N168" s="72"/>
      <c r="O168" s="71" t="s">
        <v>108</v>
      </c>
      <c r="P168" s="69">
        <v>1</v>
      </c>
      <c r="Q168" s="68">
        <f>MAX(0,$V168-$P168-$S168)</f>
        <v>0</v>
      </c>
      <c r="R168" s="68"/>
      <c r="S168" s="68"/>
      <c r="T168" s="73">
        <v>0.25</v>
      </c>
      <c r="U168" s="73">
        <f>IF(AND($Q168&gt;0,ISNUMBER($T168)),$Q168*$T168,0)</f>
        <v>0</v>
      </c>
      <c r="V168" s="68">
        <f>SUM(W168:AB168)</f>
        <v>0</v>
      </c>
      <c r="W168" s="68"/>
      <c r="X168" s="68"/>
      <c r="Y168" s="68"/>
      <c r="Z168" s="74"/>
      <c r="AA168" s="68"/>
      <c r="AB168" s="68"/>
      <c r="AC168" s="68"/>
      <c r="AD168" s="75">
        <f>SUM(AE168:AJ168)</f>
        <v>1</v>
      </c>
      <c r="AE168" s="76"/>
      <c r="AF168" s="76"/>
      <c r="AG168" s="76"/>
      <c r="AH168" s="76">
        <v>1</v>
      </c>
      <c r="AI168" s="76"/>
      <c r="AJ168" s="76"/>
      <c r="AK168" s="76"/>
      <c r="AL168" s="77">
        <f>IF((P168-SUM(AE168:AK168))&lt;0,0,P168-SUM(AE168:AK168))</f>
        <v>0</v>
      </c>
      <c r="AM168" s="77">
        <f>SUM(AO168:AT168)</f>
        <v>1</v>
      </c>
      <c r="AN168" s="140" t="s">
        <v>105</v>
      </c>
      <c r="AO168" s="72"/>
      <c r="AP168" s="72"/>
      <c r="AQ168" s="72"/>
      <c r="AR168" s="79">
        <v>1</v>
      </c>
      <c r="AS168" s="72"/>
      <c r="AT168" s="72"/>
      <c r="AU168" s="31" t="s">
        <v>1161</v>
      </c>
      <c r="AV168" s="70"/>
      <c r="AW168" s="72"/>
      <c r="AX168" s="72"/>
    </row>
    <row r="169" spans="1:50" ht="15" customHeight="1">
      <c r="A169" s="70" t="s">
        <v>1162</v>
      </c>
      <c r="B169" s="68" t="s">
        <v>1114</v>
      </c>
      <c r="C169" s="69" t="s">
        <v>45</v>
      </c>
      <c r="D169" s="70" t="s">
        <v>123</v>
      </c>
      <c r="E169" s="70" t="s">
        <v>1163</v>
      </c>
      <c r="F169" s="68">
        <v>5</v>
      </c>
      <c r="G169" s="71" t="s">
        <v>170</v>
      </c>
      <c r="H169" s="71" t="s">
        <v>1164</v>
      </c>
      <c r="I169" s="71" t="s">
        <v>1165</v>
      </c>
      <c r="J169" s="71" t="s">
        <v>1166</v>
      </c>
      <c r="K169" s="72"/>
      <c r="L169" s="72"/>
      <c r="M169" s="72"/>
      <c r="N169" s="72"/>
      <c r="O169" s="71" t="s">
        <v>642</v>
      </c>
      <c r="P169" s="69">
        <v>1</v>
      </c>
      <c r="Q169" s="68">
        <f>MAX(0,$V169-$P169-$S169)</f>
        <v>0</v>
      </c>
      <c r="R169" s="68"/>
      <c r="S169" s="68"/>
      <c r="T169" s="73">
        <v>3.68</v>
      </c>
      <c r="U169" s="73">
        <f>IF(AND($Q169&gt;0,ISNUMBER($T169)),$Q169*$T169,0)</f>
        <v>0</v>
      </c>
      <c r="V169" s="68">
        <f>SUM(W169:AB169)</f>
        <v>1</v>
      </c>
      <c r="W169" s="68"/>
      <c r="X169" s="68"/>
      <c r="Y169" s="68"/>
      <c r="Z169" s="68">
        <v>1</v>
      </c>
      <c r="AA169" s="68"/>
      <c r="AB169" s="68"/>
      <c r="AC169" s="68"/>
      <c r="AD169" s="75">
        <f>SUM(AE169:AJ169)</f>
        <v>1</v>
      </c>
      <c r="AE169" s="76"/>
      <c r="AF169" s="76"/>
      <c r="AG169" s="76"/>
      <c r="AH169" s="76">
        <v>1</v>
      </c>
      <c r="AI169" s="76"/>
      <c r="AJ169" s="76"/>
      <c r="AK169" s="76"/>
      <c r="AL169" s="77">
        <f>IF((P169-SUM(AE169:AK169))&lt;0,0,P169-SUM(AE169:AK169))</f>
        <v>0</v>
      </c>
      <c r="AM169" s="77">
        <f>SUM(AO169:AT169)</f>
        <v>0</v>
      </c>
      <c r="AN169" s="129"/>
      <c r="AO169" s="72"/>
      <c r="AP169" s="72"/>
      <c r="AQ169" s="129"/>
      <c r="AR169" s="72"/>
      <c r="AS169" s="72"/>
      <c r="AT169" s="129"/>
      <c r="AU169" s="129"/>
      <c r="AV169" s="70"/>
      <c r="AW169" s="72"/>
      <c r="AX169" s="72"/>
    </row>
    <row r="170" spans="1:50" ht="15" customHeight="1">
      <c r="A170" s="70" t="s">
        <v>1534</v>
      </c>
      <c r="B170" s="68" t="s">
        <v>1499</v>
      </c>
      <c r="C170" s="69" t="s">
        <v>45</v>
      </c>
      <c r="D170" s="70" t="s">
        <v>72</v>
      </c>
      <c r="E170" s="70"/>
      <c r="F170" s="68">
        <v>4</v>
      </c>
      <c r="G170" s="71" t="s">
        <v>176</v>
      </c>
      <c r="H170" s="71" t="s">
        <v>1535</v>
      </c>
      <c r="I170" s="71"/>
      <c r="J170" s="71"/>
      <c r="K170" s="72"/>
      <c r="L170" s="72"/>
      <c r="M170" s="72"/>
      <c r="N170" s="72"/>
      <c r="O170" s="71" t="s">
        <v>611</v>
      </c>
      <c r="P170" s="69">
        <v>1</v>
      </c>
      <c r="Q170" s="68">
        <f>MAX(0,$V170-$P170-$S170)</f>
        <v>0</v>
      </c>
      <c r="R170" s="68" t="s">
        <v>57</v>
      </c>
      <c r="S170" s="68">
        <v>1</v>
      </c>
      <c r="T170" s="73">
        <v>0.45</v>
      </c>
      <c r="U170" s="73">
        <f>IF(AND($Q170&gt;0,ISNUMBER($T170)),$Q170*$T170,0)</f>
        <v>0</v>
      </c>
      <c r="V170" s="68">
        <f>SUM(W170:AB170)</f>
        <v>1</v>
      </c>
      <c r="W170" s="68">
        <v>1</v>
      </c>
      <c r="X170" s="68"/>
      <c r="Y170" s="68"/>
      <c r="Z170" s="68"/>
      <c r="AA170" s="68"/>
      <c r="AB170" s="68"/>
      <c r="AC170" s="68"/>
      <c r="AD170" s="75">
        <f>SUM(AE170:AJ170)</f>
        <v>1</v>
      </c>
      <c r="AE170" s="76">
        <v>1</v>
      </c>
      <c r="AF170" s="76"/>
      <c r="AG170" s="76"/>
      <c r="AH170" s="76"/>
      <c r="AI170" s="76"/>
      <c r="AJ170" s="76"/>
      <c r="AK170" s="76"/>
      <c r="AL170" s="77">
        <f>IF((P170-SUM(AE170:AK170))&lt;0,0,P170-SUM(AE170:AK170))</f>
        <v>0</v>
      </c>
      <c r="AM170" s="77">
        <f>SUM(AO170:AT170)</f>
        <v>0</v>
      </c>
      <c r="AN170" s="72"/>
      <c r="AO170" s="72"/>
      <c r="AP170" s="72"/>
      <c r="AQ170" s="72"/>
      <c r="AR170" s="72"/>
      <c r="AS170" s="72"/>
      <c r="AT170" s="72"/>
      <c r="AU170" s="72"/>
      <c r="AV170" s="70"/>
      <c r="AW170" s="72"/>
      <c r="AX170" s="72"/>
    </row>
    <row r="171" spans="1:50" ht="15" customHeight="1">
      <c r="A171" s="70" t="s">
        <v>1833</v>
      </c>
      <c r="B171" s="68" t="s">
        <v>1831</v>
      </c>
      <c r="C171" s="69" t="s">
        <v>45</v>
      </c>
      <c r="D171" s="70" t="s">
        <v>123</v>
      </c>
      <c r="E171" s="70" t="s">
        <v>1834</v>
      </c>
      <c r="F171" s="68">
        <v>3</v>
      </c>
      <c r="G171" s="71" t="s">
        <v>176</v>
      </c>
      <c r="H171" s="71" t="s">
        <v>1835</v>
      </c>
      <c r="I171" s="71" t="s">
        <v>1836</v>
      </c>
      <c r="J171" s="71"/>
      <c r="K171" s="69"/>
      <c r="L171" s="69"/>
      <c r="M171" s="69"/>
      <c r="N171" s="69"/>
      <c r="O171" s="71" t="s">
        <v>136</v>
      </c>
      <c r="P171" s="69">
        <v>1</v>
      </c>
      <c r="Q171" s="68">
        <f>MAX(0,$V171-$P171-$S171)</f>
        <v>0</v>
      </c>
      <c r="R171" s="68"/>
      <c r="S171" s="68"/>
      <c r="T171" s="73">
        <v>0.11</v>
      </c>
      <c r="U171" s="73">
        <f>IF(AND($Q171&gt;0,ISNUMBER($T171)),$Q171*$T171,0)</f>
        <v>0</v>
      </c>
      <c r="V171" s="68">
        <f>SUM(W171:AB171)</f>
        <v>1</v>
      </c>
      <c r="W171" s="68"/>
      <c r="X171" s="68">
        <v>1</v>
      </c>
      <c r="Y171" s="68"/>
      <c r="Z171" s="68"/>
      <c r="AA171" s="68"/>
      <c r="AB171" s="68"/>
      <c r="AC171" s="68"/>
      <c r="AD171" s="75">
        <f>SUM(AE171:AJ171)</f>
        <v>1</v>
      </c>
      <c r="AE171" s="76"/>
      <c r="AF171" s="76">
        <v>1</v>
      </c>
      <c r="AG171" s="76"/>
      <c r="AH171" s="76"/>
      <c r="AI171" s="76"/>
      <c r="AJ171" s="76"/>
      <c r="AK171" s="76"/>
      <c r="AL171" s="77">
        <f>IF((P171-SUM(AE171:AK171))&lt;0,0,P171-SUM(AE171:AK171))</f>
        <v>0</v>
      </c>
      <c r="AM171" s="77">
        <f>SUM(AO171:AT171)</f>
        <v>0</v>
      </c>
      <c r="AN171" s="72"/>
      <c r="AO171" s="72"/>
      <c r="AP171" s="72"/>
      <c r="AQ171" s="72"/>
      <c r="AR171" s="72"/>
      <c r="AS171" s="72"/>
      <c r="AT171" s="72"/>
      <c r="AU171" s="72"/>
      <c r="AV171" s="70"/>
      <c r="AW171" s="72"/>
      <c r="AX171" s="72"/>
    </row>
    <row r="172" spans="1:50" ht="15" customHeight="1">
      <c r="A172" s="98" t="s">
        <v>2421</v>
      </c>
      <c r="B172" s="100" t="s">
        <v>46</v>
      </c>
      <c r="C172" s="101" t="s">
        <v>45</v>
      </c>
      <c r="D172" s="98" t="s">
        <v>72</v>
      </c>
      <c r="E172" s="98"/>
      <c r="F172" s="100">
        <v>3</v>
      </c>
      <c r="G172" s="98" t="s">
        <v>49</v>
      </c>
      <c r="H172" s="98" t="s">
        <v>2422</v>
      </c>
      <c r="I172" s="98"/>
      <c r="J172" s="98"/>
      <c r="K172" s="99"/>
      <c r="L172" s="99"/>
      <c r="M172" s="99"/>
      <c r="N172" s="99"/>
      <c r="O172" s="98" t="s">
        <v>136</v>
      </c>
      <c r="P172" s="101">
        <v>1</v>
      </c>
      <c r="Q172" s="68">
        <f>MAX(0,$V172-$P172-$S172)</f>
        <v>0</v>
      </c>
      <c r="R172" s="98"/>
      <c r="S172" s="98"/>
      <c r="T172" s="98">
        <v>0.11</v>
      </c>
      <c r="U172" s="98">
        <f>IF(AND($Q172&gt;0,ISNUMBER($T172)),$Q172*$T172,0)</f>
        <v>0</v>
      </c>
      <c r="V172" s="68">
        <f>SUM(W172:AB172)</f>
        <v>0</v>
      </c>
      <c r="W172" s="100"/>
      <c r="X172" s="100"/>
      <c r="Y172" s="100"/>
      <c r="Z172" s="100"/>
      <c r="AA172" s="100"/>
      <c r="AB172" s="100"/>
      <c r="AC172" s="68"/>
      <c r="AD172" s="75">
        <f>SUM(AE172:AJ172)</f>
        <v>0</v>
      </c>
      <c r="AE172" s="102"/>
      <c r="AF172" s="102"/>
      <c r="AG172" s="102"/>
      <c r="AH172" s="102"/>
      <c r="AI172" s="102"/>
      <c r="AJ172" s="102"/>
      <c r="AK172" s="102"/>
      <c r="AL172" s="77">
        <f>IF((P172-SUM(AE172:AK172))&lt;0,0,P172-SUM(AE172:AK172))</f>
        <v>1</v>
      </c>
      <c r="AM172" s="77">
        <f>SUM(AO172:AT172)</f>
        <v>0</v>
      </c>
      <c r="AN172" s="99"/>
      <c r="AO172" s="99"/>
      <c r="AP172" s="99"/>
      <c r="AQ172" s="99"/>
      <c r="AR172" s="99"/>
      <c r="AS172" s="99"/>
      <c r="AT172" s="99"/>
      <c r="AU172" s="99"/>
      <c r="AV172" s="98"/>
      <c r="AW172" s="99"/>
      <c r="AX172" s="99"/>
    </row>
    <row r="173" spans="1:50" ht="15" customHeight="1">
      <c r="A173" s="70" t="s">
        <v>63</v>
      </c>
      <c r="B173" s="68" t="s">
        <v>46</v>
      </c>
      <c r="C173" s="69" t="s">
        <v>45</v>
      </c>
      <c r="D173" s="92" t="s">
        <v>64</v>
      </c>
      <c r="E173" s="92" t="s">
        <v>65</v>
      </c>
      <c r="F173" s="90">
        <v>1</v>
      </c>
      <c r="G173" s="92" t="s">
        <v>49</v>
      </c>
      <c r="H173" s="92" t="s">
        <v>66</v>
      </c>
      <c r="I173" s="92"/>
      <c r="J173" s="92"/>
      <c r="K173" s="72"/>
      <c r="L173" s="72"/>
      <c r="M173" s="72"/>
      <c r="N173" s="72"/>
      <c r="O173" s="92" t="s">
        <v>48</v>
      </c>
      <c r="P173" s="69">
        <v>1</v>
      </c>
      <c r="Q173" s="68">
        <f>MAX(0,$V173-$P173-$S173)</f>
        <v>0</v>
      </c>
      <c r="R173" s="92"/>
      <c r="S173" s="92"/>
      <c r="T173" s="92">
        <v>0.2</v>
      </c>
      <c r="U173" s="92">
        <f>IF(AND($Q173&gt;0,ISNUMBER($T173)),$Q173*$T173,0)</f>
        <v>0</v>
      </c>
      <c r="V173" s="68">
        <f>SUM(W173:AB173)</f>
        <v>0</v>
      </c>
      <c r="W173" s="90"/>
      <c r="X173" s="90"/>
      <c r="Y173" s="90"/>
      <c r="Z173" s="90"/>
      <c r="AA173" s="90"/>
      <c r="AB173" s="90"/>
      <c r="AC173" s="90"/>
      <c r="AD173" s="75">
        <f>SUM(AE173:AJ173)</f>
        <v>0</v>
      </c>
      <c r="AE173" s="76"/>
      <c r="AF173" s="76"/>
      <c r="AG173" s="76"/>
      <c r="AH173" s="76"/>
      <c r="AI173" s="76"/>
      <c r="AJ173" s="76"/>
      <c r="AK173" s="76"/>
      <c r="AL173" s="77">
        <f>IF((P173-SUM(AE173:AK173))&lt;0,0,P173-SUM(AE173:AK173))</f>
        <v>1</v>
      </c>
      <c r="AM173" s="77">
        <f>SUM(AO173:AT173)</f>
        <v>0</v>
      </c>
      <c r="AN173" s="129"/>
      <c r="AO173" s="129"/>
      <c r="AP173" s="72"/>
      <c r="AQ173" s="72"/>
      <c r="AR173" s="72"/>
      <c r="AS173" s="72"/>
      <c r="AT173" s="129"/>
      <c r="AU173" s="129"/>
      <c r="AV173" s="92"/>
      <c r="AW173" s="72"/>
      <c r="AX173" s="72"/>
    </row>
    <row r="174" spans="1:50" ht="15" customHeight="1">
      <c r="A174" s="70" t="s">
        <v>389</v>
      </c>
      <c r="B174" s="68" t="s">
        <v>345</v>
      </c>
      <c r="C174" s="69" t="s">
        <v>45</v>
      </c>
      <c r="D174" s="70" t="s">
        <v>89</v>
      </c>
      <c r="E174" s="70" t="s">
        <v>390</v>
      </c>
      <c r="F174" s="68">
        <v>3</v>
      </c>
      <c r="G174" s="71" t="s">
        <v>392</v>
      </c>
      <c r="H174" s="71" t="s">
        <v>393</v>
      </c>
      <c r="I174" s="71" t="s">
        <v>394</v>
      </c>
      <c r="J174" s="71" t="s">
        <v>395</v>
      </c>
      <c r="K174" s="72"/>
      <c r="L174" s="72"/>
      <c r="M174" s="72"/>
      <c r="N174" s="72"/>
      <c r="O174" s="71" t="s">
        <v>391</v>
      </c>
      <c r="P174" s="69">
        <v>1</v>
      </c>
      <c r="Q174" s="68">
        <f>MAX(0,$V174-$P174-$S174)</f>
        <v>0</v>
      </c>
      <c r="R174" s="68"/>
      <c r="S174" s="68"/>
      <c r="T174" s="73">
        <v>6.19</v>
      </c>
      <c r="U174" s="73">
        <f>IF(AND($Q174&gt;0,ISNUMBER($T174)),$Q174*$T174,0)</f>
        <v>0</v>
      </c>
      <c r="V174" s="68">
        <f>SUM(W174:AB174)</f>
        <v>1</v>
      </c>
      <c r="W174" s="68"/>
      <c r="X174" s="68"/>
      <c r="Y174" s="68">
        <v>1</v>
      </c>
      <c r="Z174" s="68"/>
      <c r="AA174" s="68"/>
      <c r="AB174" s="68"/>
      <c r="AC174" s="68"/>
      <c r="AD174" s="75">
        <f>SUM(AE174:AJ174)</f>
        <v>1</v>
      </c>
      <c r="AE174" s="76"/>
      <c r="AF174" s="76"/>
      <c r="AG174" s="76">
        <v>1</v>
      </c>
      <c r="AH174" s="76"/>
      <c r="AI174" s="76"/>
      <c r="AJ174" s="76"/>
      <c r="AK174" s="76"/>
      <c r="AL174" s="77">
        <f>IF((P174-SUM(AE174:AK174))&lt;0,0,P174-SUM(AE174:AK174))</f>
        <v>0</v>
      </c>
      <c r="AM174" s="77">
        <f>SUM(AO174:AT174)</f>
        <v>0</v>
      </c>
      <c r="AN174" s="72"/>
      <c r="AO174" s="72"/>
      <c r="AP174" s="72"/>
      <c r="AQ174" s="72"/>
      <c r="AR174" s="72"/>
      <c r="AS174" s="72"/>
      <c r="AT174" s="72"/>
      <c r="AU174" s="72"/>
      <c r="AV174" s="70"/>
      <c r="AW174" s="72"/>
      <c r="AX174" s="72"/>
    </row>
    <row r="175" spans="1:50" ht="15" customHeight="1">
      <c r="A175" s="67" t="s">
        <v>1536</v>
      </c>
      <c r="B175" s="68" t="s">
        <v>1499</v>
      </c>
      <c r="C175" s="69" t="s">
        <v>45</v>
      </c>
      <c r="D175" s="70" t="s">
        <v>47</v>
      </c>
      <c r="E175" s="70"/>
      <c r="F175" s="68">
        <v>9</v>
      </c>
      <c r="G175" s="71" t="s">
        <v>117</v>
      </c>
      <c r="H175" s="71" t="s">
        <v>1537</v>
      </c>
      <c r="I175" s="71" t="s">
        <v>1538</v>
      </c>
      <c r="J175" s="71"/>
      <c r="K175" s="72"/>
      <c r="L175" s="72"/>
      <c r="M175" s="72"/>
      <c r="N175" s="72"/>
      <c r="O175" s="71" t="s">
        <v>869</v>
      </c>
      <c r="P175" s="69">
        <v>1</v>
      </c>
      <c r="Q175" s="68">
        <f>MAX(0,$V175-$P175-$S175)</f>
        <v>0</v>
      </c>
      <c r="R175" s="68" t="s">
        <v>57</v>
      </c>
      <c r="S175" s="68">
        <v>1</v>
      </c>
      <c r="T175" s="73">
        <v>0.98</v>
      </c>
      <c r="U175" s="73">
        <f>IF(AND($Q175&gt;0,ISNUMBER($T175)),$Q175*$T175,0)</f>
        <v>0</v>
      </c>
      <c r="V175" s="68">
        <f>SUM(W175:AB175)</f>
        <v>0</v>
      </c>
      <c r="W175" s="68"/>
      <c r="X175" s="68"/>
      <c r="Y175" s="68"/>
      <c r="Z175" s="68"/>
      <c r="AA175" s="68"/>
      <c r="AB175" s="74"/>
      <c r="AC175" s="68"/>
      <c r="AD175" s="75">
        <f>SUM(AE175:AJ175)</f>
        <v>0</v>
      </c>
      <c r="AE175" s="76"/>
      <c r="AF175" s="76"/>
      <c r="AG175" s="76"/>
      <c r="AH175" s="76"/>
      <c r="AI175" s="76"/>
      <c r="AJ175" s="76"/>
      <c r="AK175" s="76"/>
      <c r="AL175" s="77">
        <f>IF((P175-SUM(AE175:AK175))&lt;0,0,P175-SUM(AE175:AK175))</f>
        <v>1</v>
      </c>
      <c r="AM175" s="77">
        <f>SUM(AO175:AT175)</f>
        <v>0</v>
      </c>
      <c r="AN175" s="72"/>
      <c r="AO175" s="72"/>
      <c r="AP175" s="72"/>
      <c r="AQ175" s="72"/>
      <c r="AR175" s="72"/>
      <c r="AS175" s="72"/>
      <c r="AT175" s="72"/>
      <c r="AU175" s="72"/>
      <c r="AV175" s="70"/>
      <c r="AW175" s="72"/>
      <c r="AX175" s="72"/>
    </row>
    <row r="176" spans="1:50" ht="15" customHeight="1">
      <c r="A176" s="86" t="s">
        <v>67</v>
      </c>
      <c r="B176" s="68" t="s">
        <v>46</v>
      </c>
      <c r="C176" s="69" t="s">
        <v>45</v>
      </c>
      <c r="D176" s="70" t="s">
        <v>64</v>
      </c>
      <c r="E176" s="70" t="s">
        <v>68</v>
      </c>
      <c r="F176" s="68">
        <v>2</v>
      </c>
      <c r="G176" s="71" t="s">
        <v>60</v>
      </c>
      <c r="H176" s="71" t="s">
        <v>70</v>
      </c>
      <c r="I176" s="71"/>
      <c r="J176" s="71"/>
      <c r="K176" s="72"/>
      <c r="L176" s="72"/>
      <c r="M176" s="72"/>
      <c r="N176" s="72"/>
      <c r="O176" s="71" t="s">
        <v>69</v>
      </c>
      <c r="P176" s="69">
        <v>1</v>
      </c>
      <c r="Q176" s="68">
        <f>MAX(0,$V176-$P176-$S176)</f>
        <v>0</v>
      </c>
      <c r="R176" s="68"/>
      <c r="S176" s="68"/>
      <c r="T176" s="73">
        <v>0.24</v>
      </c>
      <c r="U176" s="73">
        <f>IF(AND($Q176&gt;0,ISNUMBER($T176)),$Q176*$T176,0)</f>
        <v>0</v>
      </c>
      <c r="V176" s="68">
        <f>SUM(W176:AB176)</f>
        <v>1</v>
      </c>
      <c r="W176" s="68"/>
      <c r="X176" s="68"/>
      <c r="Y176" s="68"/>
      <c r="Z176" s="87">
        <v>1</v>
      </c>
      <c r="AA176" s="68"/>
      <c r="AB176" s="68"/>
      <c r="AC176" s="68"/>
      <c r="AD176" s="75">
        <f>SUM(AE176:AJ176)</f>
        <v>1</v>
      </c>
      <c r="AE176" s="76"/>
      <c r="AF176" s="76"/>
      <c r="AG176" s="76"/>
      <c r="AH176" s="76">
        <v>1</v>
      </c>
      <c r="AI176" s="76"/>
      <c r="AJ176" s="76"/>
      <c r="AK176" s="76"/>
      <c r="AL176" s="77">
        <f>IF((P176-SUM(AE176:AK176))&lt;0,0,P176-SUM(AE176:AK176))</f>
        <v>0</v>
      </c>
      <c r="AM176" s="77">
        <f>SUM(AO176:AT176)</f>
        <v>0</v>
      </c>
      <c r="AN176" s="129"/>
      <c r="AO176" s="72"/>
      <c r="AP176" s="72"/>
      <c r="AQ176" s="72"/>
      <c r="AR176" s="72"/>
      <c r="AS176" s="72"/>
      <c r="AT176" s="129"/>
      <c r="AU176" s="129"/>
      <c r="AV176" s="70"/>
      <c r="AW176" s="72"/>
      <c r="AX176" s="72"/>
    </row>
    <row r="177" spans="1:50" ht="15" customHeight="1">
      <c r="A177" s="70" t="s">
        <v>1837</v>
      </c>
      <c r="B177" s="68" t="s">
        <v>1831</v>
      </c>
      <c r="C177" s="69" t="s">
        <v>45</v>
      </c>
      <c r="D177" s="70" t="s">
        <v>1838</v>
      </c>
      <c r="E177" s="70" t="s">
        <v>1839</v>
      </c>
      <c r="F177" s="68">
        <v>5</v>
      </c>
      <c r="G177" s="71" t="s">
        <v>616</v>
      </c>
      <c r="H177" s="71" t="s">
        <v>1840</v>
      </c>
      <c r="I177" s="71" t="s">
        <v>1841</v>
      </c>
      <c r="J177" s="71"/>
      <c r="K177" s="72"/>
      <c r="L177" s="72"/>
      <c r="M177" s="72"/>
      <c r="N177" s="72"/>
      <c r="O177" s="71" t="s">
        <v>97</v>
      </c>
      <c r="P177" s="69">
        <v>1</v>
      </c>
      <c r="Q177" s="68">
        <f>MAX(0,$V177-$P177-$S177)</f>
        <v>0</v>
      </c>
      <c r="R177" s="68"/>
      <c r="S177" s="68"/>
      <c r="T177" s="73">
        <v>0.18</v>
      </c>
      <c r="U177" s="73">
        <f>IF(AND($Q177&gt;0,ISNUMBER($T177)),$Q177*$T177,0)</f>
        <v>0</v>
      </c>
      <c r="V177" s="68">
        <f>SUM(W177:AB177)</f>
        <v>0</v>
      </c>
      <c r="W177" s="68"/>
      <c r="X177" s="68"/>
      <c r="Y177" s="68"/>
      <c r="Z177" s="68"/>
      <c r="AA177" s="68"/>
      <c r="AB177" s="68"/>
      <c r="AC177" s="68"/>
      <c r="AD177" s="75">
        <f>SUM(AE177:AJ177)</f>
        <v>0</v>
      </c>
      <c r="AE177" s="76"/>
      <c r="AF177" s="76"/>
      <c r="AG177" s="76"/>
      <c r="AH177" s="76"/>
      <c r="AI177" s="76"/>
      <c r="AJ177" s="76"/>
      <c r="AK177" s="76"/>
      <c r="AL177" s="77">
        <f>IF((P177-SUM(AE177:AK177))&lt;0,0,P177-SUM(AE177:AK177))</f>
        <v>1</v>
      </c>
      <c r="AM177" s="77">
        <f>SUM(AO177:AT177)</f>
        <v>1</v>
      </c>
      <c r="AN177" s="140" t="s">
        <v>105</v>
      </c>
      <c r="AO177" s="72"/>
      <c r="AP177" s="79">
        <v>1</v>
      </c>
      <c r="AQ177" s="72"/>
      <c r="AR177" s="72"/>
      <c r="AS177" s="72"/>
      <c r="AT177" s="72"/>
      <c r="AU177" s="31" t="s">
        <v>1842</v>
      </c>
      <c r="AV177" s="70"/>
      <c r="AW177" s="72"/>
      <c r="AX177" s="72"/>
    </row>
    <row r="178" spans="1:50" ht="15" customHeight="1">
      <c r="A178" s="67" t="s">
        <v>1539</v>
      </c>
      <c r="B178" s="68" t="s">
        <v>1499</v>
      </c>
      <c r="C178" s="69" t="s">
        <v>45</v>
      </c>
      <c r="D178" s="70" t="s">
        <v>64</v>
      </c>
      <c r="E178" s="70" t="s">
        <v>77</v>
      </c>
      <c r="F178" s="68">
        <v>2</v>
      </c>
      <c r="G178" s="71" t="s">
        <v>125</v>
      </c>
      <c r="H178" s="71" t="s">
        <v>1540</v>
      </c>
      <c r="I178" s="71" t="s">
        <v>1541</v>
      </c>
      <c r="J178" s="71"/>
      <c r="K178" s="72"/>
      <c r="L178" s="72"/>
      <c r="M178" s="72"/>
      <c r="N178" s="72"/>
      <c r="O178" s="71" t="s">
        <v>263</v>
      </c>
      <c r="P178" s="69">
        <v>1</v>
      </c>
      <c r="Q178" s="68">
        <f>MAX(0,$V178-$P178-$S178)</f>
        <v>0</v>
      </c>
      <c r="R178" s="68"/>
      <c r="S178" s="68"/>
      <c r="T178" s="73">
        <v>0.35</v>
      </c>
      <c r="U178" s="73">
        <f>IF(AND($Q178&gt;0,ISNUMBER($T178)),$Q178*$T178,0)</f>
        <v>0</v>
      </c>
      <c r="V178" s="68">
        <f>SUM(W178:AB178)</f>
        <v>0</v>
      </c>
      <c r="W178" s="68"/>
      <c r="X178" s="68"/>
      <c r="Y178" s="68"/>
      <c r="Z178" s="68"/>
      <c r="AA178" s="68"/>
      <c r="AB178" s="68"/>
      <c r="AC178" s="68"/>
      <c r="AD178" s="75">
        <f>SUM(AE178:AJ178)</f>
        <v>0</v>
      </c>
      <c r="AE178" s="76"/>
      <c r="AF178" s="76"/>
      <c r="AG178" s="76"/>
      <c r="AH178" s="76"/>
      <c r="AI178" s="76"/>
      <c r="AJ178" s="76"/>
      <c r="AK178" s="76"/>
      <c r="AL178" s="77">
        <f>IF((P178-SUM(AE178:AK178))&lt;0,0,P178-SUM(AE178:AK178))</f>
        <v>1</v>
      </c>
      <c r="AM178" s="77">
        <f>SUM(AO178:AT178)</f>
        <v>0</v>
      </c>
      <c r="AN178" s="129"/>
      <c r="AO178" s="129"/>
      <c r="AP178" s="72"/>
      <c r="AQ178" s="72"/>
      <c r="AR178" s="72"/>
      <c r="AS178" s="72"/>
      <c r="AT178" s="72"/>
      <c r="AU178" s="129"/>
      <c r="AV178" s="70"/>
      <c r="AW178" s="72"/>
      <c r="AX178" s="72"/>
    </row>
    <row r="179" spans="1:50" ht="15" customHeight="1">
      <c r="A179" s="70" t="s">
        <v>1542</v>
      </c>
      <c r="B179" s="68" t="s">
        <v>1499</v>
      </c>
      <c r="C179" s="69" t="s">
        <v>45</v>
      </c>
      <c r="D179" s="70" t="s">
        <v>64</v>
      </c>
      <c r="E179" s="70" t="s">
        <v>1543</v>
      </c>
      <c r="F179" s="68">
        <v>3</v>
      </c>
      <c r="G179" s="71" t="s">
        <v>125</v>
      </c>
      <c r="H179" s="71" t="s">
        <v>1544</v>
      </c>
      <c r="I179" s="71"/>
      <c r="J179" s="71"/>
      <c r="K179" s="72"/>
      <c r="L179" s="72"/>
      <c r="M179" s="72"/>
      <c r="N179" s="72"/>
      <c r="O179" s="71" t="s">
        <v>112</v>
      </c>
      <c r="P179" s="69">
        <v>1</v>
      </c>
      <c r="Q179" s="68">
        <f>MAX(0,$V179-$P179-$S179)</f>
        <v>0</v>
      </c>
      <c r="R179" s="68"/>
      <c r="S179" s="68"/>
      <c r="T179" s="73">
        <v>0.12</v>
      </c>
      <c r="U179" s="73">
        <f>IF(AND($Q179&gt;0,ISNUMBER($T179)),$Q179*$T179,0)</f>
        <v>0</v>
      </c>
      <c r="V179" s="68">
        <f>SUM(W179:AB179)</f>
        <v>0</v>
      </c>
      <c r="W179" s="68"/>
      <c r="X179" s="68"/>
      <c r="Y179" s="68"/>
      <c r="Z179" s="68"/>
      <c r="AA179" s="68"/>
      <c r="AB179" s="68"/>
      <c r="AC179" s="68"/>
      <c r="AD179" s="75">
        <f>SUM(AE179:AJ179)</f>
        <v>0</v>
      </c>
      <c r="AE179" s="76"/>
      <c r="AF179" s="76"/>
      <c r="AG179" s="76"/>
      <c r="AH179" s="76"/>
      <c r="AI179" s="76"/>
      <c r="AJ179" s="76"/>
      <c r="AK179" s="76"/>
      <c r="AL179" s="77">
        <f>IF((P179-SUM(AE179:AK179))&lt;0,0,P179-SUM(AE179:AK179))</f>
        <v>1</v>
      </c>
      <c r="AM179" s="77">
        <f>SUM(AO179:AT179)</f>
        <v>0</v>
      </c>
      <c r="AN179" s="72"/>
      <c r="AO179" s="72"/>
      <c r="AP179" s="72"/>
      <c r="AQ179" s="72"/>
      <c r="AR179" s="72"/>
      <c r="AS179" s="72"/>
      <c r="AT179" s="72"/>
      <c r="AU179" s="72"/>
      <c r="AV179" s="70"/>
      <c r="AW179" s="72"/>
      <c r="AX179" s="72"/>
    </row>
    <row r="180" spans="1:50" ht="15" customHeight="1">
      <c r="A180" s="96" t="s">
        <v>1997</v>
      </c>
      <c r="B180" s="90" t="s">
        <v>1971</v>
      </c>
      <c r="C180" s="69" t="s">
        <v>45</v>
      </c>
      <c r="D180" s="92" t="s">
        <v>123</v>
      </c>
      <c r="E180" s="92" t="s">
        <v>1998</v>
      </c>
      <c r="F180" s="90">
        <v>1</v>
      </c>
      <c r="G180" s="92" t="s">
        <v>499</v>
      </c>
      <c r="H180" s="92" t="s">
        <v>1999</v>
      </c>
      <c r="I180" s="92" t="s">
        <v>2000</v>
      </c>
      <c r="J180" s="92"/>
      <c r="K180" s="72"/>
      <c r="L180" s="72"/>
      <c r="M180" s="72"/>
      <c r="N180" s="72"/>
      <c r="O180" s="92" t="s">
        <v>136</v>
      </c>
      <c r="P180" s="69">
        <v>1</v>
      </c>
      <c r="Q180" s="68">
        <f>MAX(0,$V180-$P180-$S180)</f>
        <v>0</v>
      </c>
      <c r="R180" s="92"/>
      <c r="S180" s="92"/>
      <c r="T180" s="92">
        <v>0.24</v>
      </c>
      <c r="U180" s="92">
        <f>IF(AND($Q180&gt;0,ISNUMBER($T180)),$Q180*$T180,0)</f>
        <v>0</v>
      </c>
      <c r="V180" s="68">
        <f>SUM(W180:AB180)</f>
        <v>1</v>
      </c>
      <c r="W180" s="68"/>
      <c r="X180" s="87">
        <v>1</v>
      </c>
      <c r="Y180" s="68"/>
      <c r="Z180" s="68"/>
      <c r="AA180" s="68"/>
      <c r="AB180" s="68"/>
      <c r="AC180" s="68"/>
      <c r="AD180" s="75">
        <f>SUM(AE180:AJ180)</f>
        <v>1</v>
      </c>
      <c r="AE180" s="76"/>
      <c r="AF180" s="76">
        <v>1</v>
      </c>
      <c r="AG180" s="76"/>
      <c r="AH180" s="76"/>
      <c r="AI180" s="76"/>
      <c r="AJ180" s="76"/>
      <c r="AK180" s="76"/>
      <c r="AL180" s="77">
        <f>IF((P180-SUM(AE180:AK180))&lt;0,0,P180-SUM(AE180:AK180))</f>
        <v>0</v>
      </c>
      <c r="AM180" s="77">
        <f>SUM(AO180:AT180)</f>
        <v>0</v>
      </c>
      <c r="AN180" s="129"/>
      <c r="AO180" s="72"/>
      <c r="AP180" s="72"/>
      <c r="AQ180" s="72"/>
      <c r="AR180" s="72"/>
      <c r="AS180" s="72"/>
      <c r="AT180" s="72"/>
      <c r="AU180" s="72"/>
      <c r="AV180" s="92"/>
      <c r="AW180" s="72"/>
      <c r="AX180" s="72"/>
    </row>
    <row r="181" spans="1:50" ht="15" customHeight="1">
      <c r="A181" s="70" t="s">
        <v>1169</v>
      </c>
      <c r="B181" s="68" t="s">
        <v>1114</v>
      </c>
      <c r="C181" s="69" t="s">
        <v>45</v>
      </c>
      <c r="D181" s="70" t="s">
        <v>64</v>
      </c>
      <c r="E181" s="70" t="s">
        <v>169</v>
      </c>
      <c r="F181" s="68">
        <v>2</v>
      </c>
      <c r="G181" s="71" t="s">
        <v>1170</v>
      </c>
      <c r="H181" s="71" t="s">
        <v>1171</v>
      </c>
      <c r="I181" s="71"/>
      <c r="J181" s="71"/>
      <c r="K181" s="72"/>
      <c r="L181" s="72"/>
      <c r="M181" s="72"/>
      <c r="N181" s="72"/>
      <c r="O181" s="71" t="s">
        <v>48</v>
      </c>
      <c r="P181" s="69">
        <v>1</v>
      </c>
      <c r="Q181" s="68">
        <f>MAX(0,$V181-$P181-$S181)</f>
        <v>0</v>
      </c>
      <c r="R181" s="68"/>
      <c r="S181" s="68"/>
      <c r="T181" s="73">
        <v>0.28000000000000003</v>
      </c>
      <c r="U181" s="73">
        <f>IF(AND($Q181&gt;0,ISNUMBER($T181)),$Q181*$T181,0)</f>
        <v>0</v>
      </c>
      <c r="V181" s="68">
        <f>SUM(W181:AB181)</f>
        <v>0</v>
      </c>
      <c r="W181" s="68"/>
      <c r="X181" s="68"/>
      <c r="Y181" s="68"/>
      <c r="Z181" s="68"/>
      <c r="AA181" s="68"/>
      <c r="AB181" s="68"/>
      <c r="AC181" s="68"/>
      <c r="AD181" s="75">
        <f>SUM(AE181:AJ181)</f>
        <v>1</v>
      </c>
      <c r="AE181" s="76"/>
      <c r="AF181" s="76"/>
      <c r="AG181" s="76"/>
      <c r="AH181" s="76"/>
      <c r="AI181" s="76">
        <v>1</v>
      </c>
      <c r="AJ181" s="76"/>
      <c r="AK181" s="76"/>
      <c r="AL181" s="77">
        <f>IF((P181-SUM(AE181:AK181))&lt;0,0,P181-SUM(AE181:AK181))</f>
        <v>0</v>
      </c>
      <c r="AM181" s="77">
        <f>SUM(AO181:AT181)</f>
        <v>1</v>
      </c>
      <c r="AN181" s="78" t="s">
        <v>105</v>
      </c>
      <c r="AO181" s="72"/>
      <c r="AP181" s="72"/>
      <c r="AQ181" s="129"/>
      <c r="AR181" s="72"/>
      <c r="AS181" s="79">
        <v>1</v>
      </c>
      <c r="AT181" s="129"/>
      <c r="AU181" s="125" t="s">
        <v>1172</v>
      </c>
      <c r="AV181" s="70"/>
      <c r="AW181" s="72"/>
      <c r="AX181" s="72"/>
    </row>
    <row r="182" spans="1:50" ht="15" customHeight="1">
      <c r="A182" s="86" t="s">
        <v>83</v>
      </c>
      <c r="B182" s="68" t="s">
        <v>46</v>
      </c>
      <c r="C182" s="69" t="s">
        <v>45</v>
      </c>
      <c r="D182" s="70" t="s">
        <v>84</v>
      </c>
      <c r="E182" s="70" t="s">
        <v>85</v>
      </c>
      <c r="F182" s="68">
        <v>3</v>
      </c>
      <c r="G182" s="71" t="s">
        <v>54</v>
      </c>
      <c r="H182" s="71" t="s">
        <v>86</v>
      </c>
      <c r="I182" s="71" t="s">
        <v>87</v>
      </c>
      <c r="J182" s="71"/>
      <c r="K182" s="72"/>
      <c r="L182" s="72"/>
      <c r="M182" s="72"/>
      <c r="N182" s="72"/>
      <c r="O182" s="71" t="s">
        <v>48</v>
      </c>
      <c r="P182" s="69">
        <v>1</v>
      </c>
      <c r="Q182" s="68">
        <f>MAX(0,$V182-$P182-$S182)</f>
        <v>0</v>
      </c>
      <c r="R182" s="68"/>
      <c r="S182" s="68"/>
      <c r="T182" s="73">
        <v>0.31</v>
      </c>
      <c r="U182" s="73">
        <f>IF(AND($Q182&gt;0,ISNUMBER($T182)),$Q182*$T182,0)</f>
        <v>0</v>
      </c>
      <c r="V182" s="68">
        <f>SUM(W182:AB182)</f>
        <v>1</v>
      </c>
      <c r="W182" s="68"/>
      <c r="X182" s="68"/>
      <c r="Y182" s="68"/>
      <c r="Z182" s="68"/>
      <c r="AA182" s="87">
        <v>1</v>
      </c>
      <c r="AB182" s="68"/>
      <c r="AC182" s="68"/>
      <c r="AD182" s="75">
        <f>SUM(AE182:AJ182)</f>
        <v>1</v>
      </c>
      <c r="AE182" s="76"/>
      <c r="AF182" s="76"/>
      <c r="AG182" s="76"/>
      <c r="AH182" s="76"/>
      <c r="AI182" s="76">
        <v>1</v>
      </c>
      <c r="AJ182" s="76"/>
      <c r="AK182" s="76"/>
      <c r="AL182" s="77">
        <f>IF((P182-SUM(AE182:AK182))&lt;0,0,P182-SUM(AE182:AK182))</f>
        <v>0</v>
      </c>
      <c r="AM182" s="77">
        <f>SUM(AO182:AT182)</f>
        <v>0</v>
      </c>
      <c r="AN182" s="85"/>
      <c r="AO182" s="72"/>
      <c r="AP182" s="72"/>
      <c r="AQ182" s="72"/>
      <c r="AR182" s="72"/>
      <c r="AS182" s="72"/>
      <c r="AT182" s="72"/>
      <c r="AU182" s="72"/>
      <c r="AV182" s="70"/>
      <c r="AW182" s="72"/>
      <c r="AX182" s="72"/>
    </row>
    <row r="183" spans="1:50" ht="15" customHeight="1">
      <c r="A183" s="70" t="s">
        <v>1173</v>
      </c>
      <c r="B183" s="68" t="s">
        <v>1114</v>
      </c>
      <c r="C183" s="69" t="s">
        <v>45</v>
      </c>
      <c r="D183" s="70" t="s">
        <v>64</v>
      </c>
      <c r="E183" s="70" t="s">
        <v>1174</v>
      </c>
      <c r="F183" s="68">
        <v>5</v>
      </c>
      <c r="G183" s="71" t="s">
        <v>49</v>
      </c>
      <c r="H183" s="71" t="s">
        <v>1175</v>
      </c>
      <c r="I183" s="71"/>
      <c r="J183" s="71"/>
      <c r="K183" s="72"/>
      <c r="L183" s="72"/>
      <c r="M183" s="72"/>
      <c r="N183" s="72"/>
      <c r="O183" s="71" t="s">
        <v>53</v>
      </c>
      <c r="P183" s="69">
        <v>1</v>
      </c>
      <c r="Q183" s="68">
        <f>MAX(0,$V183-$P183-$S183)</f>
        <v>0</v>
      </c>
      <c r="R183" s="68"/>
      <c r="S183" s="68"/>
      <c r="T183" s="73">
        <v>0.06</v>
      </c>
      <c r="U183" s="73">
        <f>IF(AND($Q183&gt;0,ISNUMBER($T183)),$Q183*$T183,0)</f>
        <v>0</v>
      </c>
      <c r="V183" s="68">
        <f>SUM(W183:AB183)</f>
        <v>0</v>
      </c>
      <c r="W183" s="68"/>
      <c r="X183" s="68"/>
      <c r="Y183" s="68"/>
      <c r="Z183" s="68"/>
      <c r="AA183" s="68"/>
      <c r="AB183" s="68"/>
      <c r="AC183" s="68"/>
      <c r="AD183" s="75">
        <f>SUM(AE183:AJ183)</f>
        <v>0</v>
      </c>
      <c r="AE183" s="76"/>
      <c r="AF183" s="76"/>
      <c r="AG183" s="76"/>
      <c r="AH183" s="76"/>
      <c r="AI183" s="76"/>
      <c r="AJ183" s="76"/>
      <c r="AK183" s="76"/>
      <c r="AL183" s="77">
        <f>IF((P183-SUM(AE183:AK183))&lt;0,0,P183-SUM(AE183:AK183))</f>
        <v>1</v>
      </c>
      <c r="AM183" s="77">
        <f>SUM(AO183:AT183)</f>
        <v>0</v>
      </c>
      <c r="AN183" s="72"/>
      <c r="AO183" s="72"/>
      <c r="AP183" s="72"/>
      <c r="AQ183" s="72"/>
      <c r="AR183" s="72"/>
      <c r="AS183" s="72"/>
      <c r="AT183" s="72"/>
      <c r="AU183" s="72"/>
      <c r="AV183" s="70"/>
      <c r="AW183" s="72"/>
      <c r="AX183" s="72"/>
    </row>
    <row r="184" spans="1:50" ht="15" customHeight="1">
      <c r="A184" s="98" t="s">
        <v>2427</v>
      </c>
      <c r="B184" s="100" t="s">
        <v>1499</v>
      </c>
      <c r="C184" s="101" t="s">
        <v>45</v>
      </c>
      <c r="D184" s="98" t="s">
        <v>123</v>
      </c>
      <c r="E184" s="98" t="s">
        <v>2428</v>
      </c>
      <c r="F184" s="100">
        <v>3</v>
      </c>
      <c r="G184" s="98" t="s">
        <v>125</v>
      </c>
      <c r="H184" s="98" t="s">
        <v>2429</v>
      </c>
      <c r="I184" s="98" t="s">
        <v>2430</v>
      </c>
      <c r="J184" s="98"/>
      <c r="K184" s="99"/>
      <c r="L184" s="99"/>
      <c r="M184" s="99"/>
      <c r="N184" s="99"/>
      <c r="O184" s="98" t="s">
        <v>136</v>
      </c>
      <c r="P184" s="101">
        <v>1</v>
      </c>
      <c r="Q184" s="68">
        <f>MAX(0,$V184-$P184-$S184)</f>
        <v>0</v>
      </c>
      <c r="R184" s="98"/>
      <c r="S184" s="98"/>
      <c r="T184" s="98">
        <v>0.2</v>
      </c>
      <c r="U184" s="98">
        <f>IF(AND($Q184&gt;0,ISNUMBER($T184)),$Q184*$T184,0)</f>
        <v>0</v>
      </c>
      <c r="V184" s="68">
        <f>SUM(W184:AB184)</f>
        <v>0</v>
      </c>
      <c r="W184" s="100"/>
      <c r="X184" s="100"/>
      <c r="Y184" s="100"/>
      <c r="Z184" s="100"/>
      <c r="AA184" s="100"/>
      <c r="AB184" s="100"/>
      <c r="AC184" s="68"/>
      <c r="AD184" s="75">
        <f>SUM(AE184:AJ184)</f>
        <v>0</v>
      </c>
      <c r="AE184" s="102"/>
      <c r="AF184" s="102"/>
      <c r="AG184" s="102"/>
      <c r="AH184" s="102"/>
      <c r="AI184" s="102"/>
      <c r="AJ184" s="102"/>
      <c r="AK184" s="102"/>
      <c r="AL184" s="77">
        <f>IF((P184-SUM(AE184:AK184))&lt;0,0,P184-SUM(AE184:AK184))</f>
        <v>1</v>
      </c>
      <c r="AM184" s="77">
        <f>SUM(AO184:AT184)</f>
        <v>0</v>
      </c>
      <c r="AN184" s="99"/>
      <c r="AO184" s="99"/>
      <c r="AP184" s="99"/>
      <c r="AQ184" s="99"/>
      <c r="AR184" s="99"/>
      <c r="AS184" s="99"/>
      <c r="AT184" s="99"/>
      <c r="AU184" s="99"/>
      <c r="AV184" s="98"/>
      <c r="AW184" s="99"/>
      <c r="AX184" s="99"/>
    </row>
    <row r="185" spans="1:50" ht="15" customHeight="1">
      <c r="A185" s="98" t="s">
        <v>2431</v>
      </c>
      <c r="B185" s="100" t="s">
        <v>1499</v>
      </c>
      <c r="C185" s="101" t="s">
        <v>45</v>
      </c>
      <c r="D185" s="98" t="s">
        <v>64</v>
      </c>
      <c r="E185" s="98" t="s">
        <v>268</v>
      </c>
      <c r="F185" s="100">
        <v>2</v>
      </c>
      <c r="G185" s="98" t="s">
        <v>54</v>
      </c>
      <c r="H185" s="98" t="s">
        <v>2432</v>
      </c>
      <c r="I185" s="98"/>
      <c r="J185" s="98"/>
      <c r="K185" s="99"/>
      <c r="L185" s="99"/>
      <c r="M185" s="99"/>
      <c r="N185" s="99"/>
      <c r="O185" s="98" t="s">
        <v>136</v>
      </c>
      <c r="P185" s="101">
        <v>1</v>
      </c>
      <c r="Q185" s="68">
        <f>MAX(0,$V185-$P185-$S185)</f>
        <v>0</v>
      </c>
      <c r="R185" s="98"/>
      <c r="S185" s="98"/>
      <c r="T185" s="98">
        <v>0.24</v>
      </c>
      <c r="U185" s="98">
        <f>IF(AND($Q185&gt;0,ISNUMBER($T185)),$Q185*$T185,0)</f>
        <v>0</v>
      </c>
      <c r="V185" s="68">
        <f>SUM(W185:AB185)</f>
        <v>0</v>
      </c>
      <c r="W185" s="100"/>
      <c r="X185" s="100"/>
      <c r="Y185" s="100"/>
      <c r="Z185" s="100"/>
      <c r="AA185" s="100"/>
      <c r="AB185" s="100"/>
      <c r="AC185" s="68"/>
      <c r="AD185" s="75">
        <f>SUM(AE185:AJ185)</f>
        <v>0</v>
      </c>
      <c r="AE185" s="102"/>
      <c r="AF185" s="102"/>
      <c r="AG185" s="102"/>
      <c r="AH185" s="102"/>
      <c r="AI185" s="102"/>
      <c r="AJ185" s="102"/>
      <c r="AK185" s="102"/>
      <c r="AL185" s="77">
        <f>IF((P185-SUM(AE185:AK185))&lt;0,0,P185-SUM(AE185:AK185))</f>
        <v>1</v>
      </c>
      <c r="AM185" s="77">
        <f>SUM(AO185:AT185)</f>
        <v>0</v>
      </c>
      <c r="AN185" s="99"/>
      <c r="AO185" s="99"/>
      <c r="AP185" s="99"/>
      <c r="AQ185" s="99"/>
      <c r="AR185" s="99"/>
      <c r="AS185" s="99"/>
      <c r="AT185" s="99"/>
      <c r="AU185" s="99"/>
      <c r="AV185" s="98"/>
      <c r="AW185" s="99"/>
      <c r="AX185" s="99"/>
    </row>
    <row r="186" spans="1:50" ht="15" customHeight="1">
      <c r="A186" s="67" t="s">
        <v>2433</v>
      </c>
      <c r="B186" s="100" t="s">
        <v>636</v>
      </c>
      <c r="C186" s="101" t="s">
        <v>45</v>
      </c>
      <c r="D186" s="98" t="s">
        <v>64</v>
      </c>
      <c r="E186" s="98" t="s">
        <v>775</v>
      </c>
      <c r="F186" s="100">
        <v>6</v>
      </c>
      <c r="G186" s="98" t="s">
        <v>1421</v>
      </c>
      <c r="H186" s="98" t="s">
        <v>2434</v>
      </c>
      <c r="I186" s="98" t="s">
        <v>2435</v>
      </c>
      <c r="J186" s="98"/>
      <c r="K186" s="99"/>
      <c r="L186" s="99"/>
      <c r="M186" s="99"/>
      <c r="N186" s="99"/>
      <c r="O186" s="98" t="s">
        <v>136</v>
      </c>
      <c r="P186" s="69">
        <v>1</v>
      </c>
      <c r="Q186" s="68">
        <f>MAX(0,$V186-$P186-$S186)</f>
        <v>0</v>
      </c>
      <c r="R186" s="98"/>
      <c r="S186" s="98"/>
      <c r="T186" s="98">
        <v>0.12</v>
      </c>
      <c r="U186" s="98">
        <f>IF(AND($Q186&gt;0,ISNUMBER($T186)),$Q186*$T186,0)</f>
        <v>0</v>
      </c>
      <c r="V186" s="68">
        <f>SUM(W186:AB186)</f>
        <v>0</v>
      </c>
      <c r="W186" s="98"/>
      <c r="X186" s="98"/>
      <c r="Y186" s="98"/>
      <c r="Z186" s="98"/>
      <c r="AA186" s="98"/>
      <c r="AB186" s="98"/>
      <c r="AC186" s="68"/>
      <c r="AD186" s="75">
        <f>SUM(AE186:AJ186)</f>
        <v>0</v>
      </c>
      <c r="AE186" s="103"/>
      <c r="AF186" s="103"/>
      <c r="AG186" s="103"/>
      <c r="AH186" s="103"/>
      <c r="AI186" s="103"/>
      <c r="AJ186" s="103"/>
      <c r="AK186" s="103"/>
      <c r="AL186" s="77">
        <f>IF((P186-SUM(AE186:AK186))&lt;0,0,P186-SUM(AE186:AK186))</f>
        <v>1</v>
      </c>
      <c r="AM186" s="77">
        <f>SUM(AO186:AT186)</f>
        <v>0</v>
      </c>
      <c r="AN186" s="127"/>
      <c r="AO186" s="99"/>
      <c r="AP186" s="99"/>
      <c r="AQ186" s="99"/>
      <c r="AR186" s="99"/>
      <c r="AS186" s="99"/>
      <c r="AT186" s="99"/>
      <c r="AU186" s="99"/>
      <c r="AV186" s="98"/>
      <c r="AW186" s="99"/>
      <c r="AX186" s="99"/>
    </row>
    <row r="187" spans="1:50" ht="15" customHeight="1">
      <c r="A187" s="70" t="s">
        <v>668</v>
      </c>
      <c r="B187" s="68" t="s">
        <v>636</v>
      </c>
      <c r="C187" s="69" t="s">
        <v>45</v>
      </c>
      <c r="D187" s="70" t="s">
        <v>64</v>
      </c>
      <c r="E187" s="70" t="s">
        <v>669</v>
      </c>
      <c r="F187" s="68">
        <v>2</v>
      </c>
      <c r="G187" s="71" t="s">
        <v>170</v>
      </c>
      <c r="H187" s="71" t="s">
        <v>670</v>
      </c>
      <c r="I187" s="71" t="s">
        <v>671</v>
      </c>
      <c r="J187" s="71"/>
      <c r="K187" s="72"/>
      <c r="L187" s="72"/>
      <c r="M187" s="72"/>
      <c r="N187" s="72"/>
      <c r="O187" s="71" t="s">
        <v>48</v>
      </c>
      <c r="P187" s="69">
        <v>1</v>
      </c>
      <c r="Q187" s="68">
        <f>MAX(0,$V187-$P187-$S187)</f>
        <v>0</v>
      </c>
      <c r="R187" s="68"/>
      <c r="S187" s="68"/>
      <c r="T187" s="73">
        <v>0.3</v>
      </c>
      <c r="U187" s="73">
        <f>IF(AND($Q187&gt;0,ISNUMBER($T187)),$Q187*$T187,0)</f>
        <v>0</v>
      </c>
      <c r="V187" s="68">
        <f>SUM(W187:AB187)</f>
        <v>0</v>
      </c>
      <c r="W187" s="68"/>
      <c r="X187" s="68"/>
      <c r="Y187" s="68"/>
      <c r="Z187" s="68"/>
      <c r="AA187" s="68"/>
      <c r="AB187" s="68"/>
      <c r="AC187" s="68"/>
      <c r="AD187" s="75">
        <f>SUM(AE187:AJ187)</f>
        <v>1</v>
      </c>
      <c r="AE187" s="76"/>
      <c r="AF187" s="76"/>
      <c r="AG187" s="76">
        <v>1</v>
      </c>
      <c r="AH187" s="76"/>
      <c r="AI187" s="76"/>
      <c r="AJ187" s="76"/>
      <c r="AK187" s="76"/>
      <c r="AL187" s="77">
        <f>IF((P187-SUM(AE187:AK187))&lt;0,0,P187-SUM(AE187:AK187))</f>
        <v>0</v>
      </c>
      <c r="AM187" s="77">
        <f>SUM(AO187:AT187)</f>
        <v>1</v>
      </c>
      <c r="AN187" s="80" t="s">
        <v>105</v>
      </c>
      <c r="AO187" s="72"/>
      <c r="AP187" s="72"/>
      <c r="AQ187" s="79">
        <v>1</v>
      </c>
      <c r="AR187" s="72"/>
      <c r="AS187" s="72"/>
      <c r="AT187" s="72"/>
      <c r="AU187" s="31" t="s">
        <v>672</v>
      </c>
      <c r="AV187" s="70"/>
      <c r="AW187" s="72"/>
      <c r="AX187" s="72"/>
    </row>
    <row r="188" spans="1:50" ht="15" customHeight="1">
      <c r="A188" s="70" t="s">
        <v>2001</v>
      </c>
      <c r="B188" s="68" t="s">
        <v>1971</v>
      </c>
      <c r="C188" s="69" t="s">
        <v>45</v>
      </c>
      <c r="D188" s="70" t="s">
        <v>359</v>
      </c>
      <c r="E188" s="70" t="s">
        <v>554</v>
      </c>
      <c r="F188" s="68">
        <v>5</v>
      </c>
      <c r="G188" s="71" t="s">
        <v>499</v>
      </c>
      <c r="H188" s="71" t="s">
        <v>2002</v>
      </c>
      <c r="I188" s="71" t="s">
        <v>2003</v>
      </c>
      <c r="J188" s="71" t="s">
        <v>2004</v>
      </c>
      <c r="K188" s="72"/>
      <c r="L188" s="72"/>
      <c r="M188" s="72"/>
      <c r="N188" s="72"/>
      <c r="O188" s="71" t="s">
        <v>1083</v>
      </c>
      <c r="P188" s="69">
        <v>1</v>
      </c>
      <c r="Q188" s="68">
        <f>MAX(0,$V188-$P188-$S188)</f>
        <v>0</v>
      </c>
      <c r="R188" s="68"/>
      <c r="S188" s="68"/>
      <c r="T188" s="73">
        <v>1.36</v>
      </c>
      <c r="U188" s="73">
        <f>IF(AND($Q188&gt;0,ISNUMBER($T188)),$Q188*$T188,0)</f>
        <v>0</v>
      </c>
      <c r="V188" s="68">
        <f>SUM(W188:AB188)</f>
        <v>0</v>
      </c>
      <c r="W188" s="68"/>
      <c r="X188" s="68"/>
      <c r="Y188" s="68"/>
      <c r="Z188" s="68"/>
      <c r="AA188" s="68"/>
      <c r="AB188" s="68"/>
      <c r="AC188" s="68"/>
      <c r="AD188" s="75">
        <f>SUM(AE188:AJ188)</f>
        <v>0</v>
      </c>
      <c r="AE188" s="76"/>
      <c r="AF188" s="76"/>
      <c r="AG188" s="76"/>
      <c r="AH188" s="76"/>
      <c r="AI188" s="76"/>
      <c r="AJ188" s="76"/>
      <c r="AK188" s="76"/>
      <c r="AL188" s="77">
        <f>IF((P188-SUM(AE188:AK188))&lt;0,0,P188-SUM(AE188:AK188))</f>
        <v>1</v>
      </c>
      <c r="AM188" s="77">
        <f>SUM(AO188:AT188)</f>
        <v>0</v>
      </c>
      <c r="AN188" s="72"/>
      <c r="AO188" s="72"/>
      <c r="AP188" s="72"/>
      <c r="AQ188" s="72"/>
      <c r="AR188" s="72"/>
      <c r="AS188" s="72"/>
      <c r="AT188" s="72"/>
      <c r="AU188" s="72"/>
      <c r="AV188" s="70"/>
      <c r="AW188" s="72"/>
      <c r="AX188" s="72"/>
    </row>
    <row r="189" spans="1:50" ht="15" customHeight="1">
      <c r="A189" s="70" t="s">
        <v>2007</v>
      </c>
      <c r="B189" s="68" t="s">
        <v>1971</v>
      </c>
      <c r="C189" s="69" t="s">
        <v>45</v>
      </c>
      <c r="D189" s="70" t="s">
        <v>64</v>
      </c>
      <c r="E189" s="70" t="s">
        <v>2008</v>
      </c>
      <c r="F189" s="68">
        <v>2</v>
      </c>
      <c r="G189" s="71" t="s">
        <v>499</v>
      </c>
      <c r="H189" s="71" t="s">
        <v>1408</v>
      </c>
      <c r="I189" s="71" t="s">
        <v>2009</v>
      </c>
      <c r="J189" s="71"/>
      <c r="K189" s="72"/>
      <c r="L189" s="72"/>
      <c r="M189" s="72"/>
      <c r="N189" s="72"/>
      <c r="O189" s="71" t="s">
        <v>48</v>
      </c>
      <c r="P189" s="69">
        <v>1</v>
      </c>
      <c r="Q189" s="68">
        <f>MAX(0,$V189-$P189-$S189)</f>
        <v>0</v>
      </c>
      <c r="R189" s="68"/>
      <c r="S189" s="68"/>
      <c r="T189" s="73">
        <v>0.16</v>
      </c>
      <c r="U189" s="73">
        <f>IF(AND($Q189&gt;0,ISNUMBER($T189)),$Q189*$T189,0)</f>
        <v>0</v>
      </c>
      <c r="V189" s="68">
        <f>SUM(W189:AB189)</f>
        <v>0</v>
      </c>
      <c r="W189" s="68"/>
      <c r="X189" s="68"/>
      <c r="Y189" s="68"/>
      <c r="Z189" s="68"/>
      <c r="AA189" s="68"/>
      <c r="AB189" s="68"/>
      <c r="AC189" s="68"/>
      <c r="AD189" s="75">
        <f>SUM(AE189:AJ189)</f>
        <v>0</v>
      </c>
      <c r="AE189" s="76"/>
      <c r="AF189" s="76"/>
      <c r="AG189" s="76"/>
      <c r="AH189" s="76"/>
      <c r="AI189" s="76"/>
      <c r="AJ189" s="76"/>
      <c r="AK189" s="76"/>
      <c r="AL189" s="77">
        <f>IF((P189-SUM(AE189:AK189))&lt;0,0,P189-SUM(AE189:AK189))</f>
        <v>1</v>
      </c>
      <c r="AM189" s="77">
        <f>SUM(AO189:AT189)</f>
        <v>0</v>
      </c>
      <c r="AN189" s="129"/>
      <c r="AO189" s="72"/>
      <c r="AP189" s="72"/>
      <c r="AQ189" s="72"/>
      <c r="AR189" s="72"/>
      <c r="AS189" s="72"/>
      <c r="AT189" s="72"/>
      <c r="AU189" s="72"/>
      <c r="AV189" s="70"/>
      <c r="AW189" s="72"/>
      <c r="AX189" s="72"/>
    </row>
    <row r="190" spans="1:50" ht="15" customHeight="1">
      <c r="A190" s="70" t="s">
        <v>946</v>
      </c>
      <c r="B190" s="68" t="s">
        <v>919</v>
      </c>
      <c r="C190" s="69" t="s">
        <v>45</v>
      </c>
      <c r="D190" s="70" t="s">
        <v>627</v>
      </c>
      <c r="E190" s="70"/>
      <c r="F190" s="68">
        <v>0</v>
      </c>
      <c r="G190" s="71" t="s">
        <v>627</v>
      </c>
      <c r="H190" s="71" t="s">
        <v>517</v>
      </c>
      <c r="I190" s="71" t="s">
        <v>947</v>
      </c>
      <c r="J190" s="71"/>
      <c r="K190" s="72"/>
      <c r="L190" s="72"/>
      <c r="M190" s="72"/>
      <c r="N190" s="72"/>
      <c r="O190" s="71" t="s">
        <v>581</v>
      </c>
      <c r="P190" s="69">
        <v>1</v>
      </c>
      <c r="Q190" s="68">
        <f>MAX(0,$V190-$P190-$S190)</f>
        <v>0</v>
      </c>
      <c r="R190" s="68" t="s">
        <v>57</v>
      </c>
      <c r="S190" s="68">
        <v>1</v>
      </c>
      <c r="T190" s="73">
        <v>0.39</v>
      </c>
      <c r="U190" s="73">
        <f>IF(AND($Q190&gt;0,ISNUMBER($T190)),$Q190*$T190,0)</f>
        <v>0</v>
      </c>
      <c r="V190" s="68">
        <f>SUM(W190:AB190)</f>
        <v>1</v>
      </c>
      <c r="W190" s="68"/>
      <c r="X190" s="68"/>
      <c r="Y190" s="68"/>
      <c r="Z190" s="68"/>
      <c r="AA190" s="68"/>
      <c r="AB190" s="68">
        <v>1</v>
      </c>
      <c r="AC190" s="68"/>
      <c r="AD190" s="75">
        <f>SUM(AE190:AJ190)</f>
        <v>1</v>
      </c>
      <c r="AE190" s="76"/>
      <c r="AF190" s="76"/>
      <c r="AG190" s="76"/>
      <c r="AH190" s="76"/>
      <c r="AI190" s="76"/>
      <c r="AJ190" s="76">
        <v>1</v>
      </c>
      <c r="AK190" s="76"/>
      <c r="AL190" s="77">
        <f>IF((P190-SUM(AE190:AK190))&lt;0,0,P190-SUM(AE190:AK190))</f>
        <v>0</v>
      </c>
      <c r="AM190" s="77">
        <f>SUM(AO190:AT190)</f>
        <v>0</v>
      </c>
      <c r="AN190" s="72"/>
      <c r="AO190" s="72"/>
      <c r="AP190" s="72"/>
      <c r="AQ190" s="72"/>
      <c r="AR190" s="72"/>
      <c r="AS190" s="72"/>
      <c r="AT190" s="72"/>
      <c r="AU190" s="72"/>
      <c r="AV190" s="70"/>
      <c r="AW190" s="72"/>
      <c r="AX190" s="72"/>
    </row>
    <row r="191" spans="1:50" ht="15" customHeight="1">
      <c r="A191" s="98" t="s">
        <v>2436</v>
      </c>
      <c r="B191" s="100" t="s">
        <v>1499</v>
      </c>
      <c r="C191" s="101" t="s">
        <v>45</v>
      </c>
      <c r="D191" s="98" t="s">
        <v>58</v>
      </c>
      <c r="E191" s="98" t="s">
        <v>1594</v>
      </c>
      <c r="F191" s="100">
        <v>4</v>
      </c>
      <c r="G191" s="98" t="s">
        <v>49</v>
      </c>
      <c r="H191" s="98" t="s">
        <v>2437</v>
      </c>
      <c r="I191" s="98" t="s">
        <v>2438</v>
      </c>
      <c r="J191" s="98" t="s">
        <v>2439</v>
      </c>
      <c r="K191" s="99"/>
      <c r="L191" s="99"/>
      <c r="M191" s="99"/>
      <c r="N191" s="99"/>
      <c r="O191" s="98" t="s">
        <v>136</v>
      </c>
      <c r="P191" s="101">
        <v>1</v>
      </c>
      <c r="Q191" s="68">
        <f>MAX(0,$V191-$P191-$S191)</f>
        <v>0</v>
      </c>
      <c r="R191" s="98"/>
      <c r="S191" s="98"/>
      <c r="T191" s="98">
        <v>0.18</v>
      </c>
      <c r="U191" s="98">
        <f>IF(AND($Q191&gt;0,ISNUMBER($T191)),$Q191*$T191,0)</f>
        <v>0</v>
      </c>
      <c r="V191" s="68">
        <f>SUM(W191:AB191)</f>
        <v>0</v>
      </c>
      <c r="W191" s="100"/>
      <c r="X191" s="100"/>
      <c r="Y191" s="100"/>
      <c r="Z191" s="100"/>
      <c r="AA191" s="100"/>
      <c r="AB191" s="100"/>
      <c r="AC191" s="68"/>
      <c r="AD191" s="75">
        <f>SUM(AE191:AJ191)</f>
        <v>0</v>
      </c>
      <c r="AE191" s="102"/>
      <c r="AF191" s="102"/>
      <c r="AG191" s="102"/>
      <c r="AH191" s="102"/>
      <c r="AI191" s="102"/>
      <c r="AJ191" s="102"/>
      <c r="AK191" s="102"/>
      <c r="AL191" s="77">
        <f>IF((P191-SUM(AE191:AK191))&lt;0,0,P191-SUM(AE191:AK191))</f>
        <v>1</v>
      </c>
      <c r="AM191" s="77">
        <f>SUM(AO191:AT191)</f>
        <v>0</v>
      </c>
      <c r="AN191" s="99"/>
      <c r="AO191" s="99"/>
      <c r="AP191" s="99"/>
      <c r="AQ191" s="99"/>
      <c r="AR191" s="99"/>
      <c r="AS191" s="99"/>
      <c r="AT191" s="99"/>
      <c r="AU191" s="99"/>
      <c r="AV191" s="98"/>
      <c r="AW191" s="99"/>
      <c r="AX191" s="99"/>
    </row>
    <row r="192" spans="1:50" ht="15" customHeight="1">
      <c r="A192" s="70" t="s">
        <v>1550</v>
      </c>
      <c r="B192" s="68" t="s">
        <v>1499</v>
      </c>
      <c r="C192" s="69" t="s">
        <v>45</v>
      </c>
      <c r="D192" s="70" t="s">
        <v>47</v>
      </c>
      <c r="E192" s="70"/>
      <c r="F192" s="68">
        <v>3</v>
      </c>
      <c r="G192" s="71" t="s">
        <v>165</v>
      </c>
      <c r="H192" s="71" t="s">
        <v>1551</v>
      </c>
      <c r="I192" s="71" t="s">
        <v>1552</v>
      </c>
      <c r="J192" s="71"/>
      <c r="K192" s="72"/>
      <c r="L192" s="72">
        <v>1</v>
      </c>
      <c r="M192" s="72"/>
      <c r="N192" s="72"/>
      <c r="O192" s="71" t="s">
        <v>48</v>
      </c>
      <c r="P192" s="69">
        <v>1</v>
      </c>
      <c r="Q192" s="68">
        <f>MAX(0,$V192-$P192-$S192)</f>
        <v>0</v>
      </c>
      <c r="R192" s="68"/>
      <c r="S192" s="68"/>
      <c r="T192" s="73">
        <v>0.22</v>
      </c>
      <c r="U192" s="73">
        <f>IF(AND($Q192&gt;0,ISNUMBER($T192)),$Q192*$T192,0)</f>
        <v>0</v>
      </c>
      <c r="V192" s="68">
        <f>SUM(W192:AB192)</f>
        <v>0</v>
      </c>
      <c r="W192" s="68"/>
      <c r="X192" s="68"/>
      <c r="Y192" s="68"/>
      <c r="Z192" s="68"/>
      <c r="AA192" s="68"/>
      <c r="AB192" s="68"/>
      <c r="AC192" s="68"/>
      <c r="AD192" s="75">
        <f>SUM(AE192:AJ192)</f>
        <v>0</v>
      </c>
      <c r="AE192" s="76"/>
      <c r="AF192" s="76"/>
      <c r="AG192" s="76"/>
      <c r="AH192" s="76"/>
      <c r="AI192" s="76"/>
      <c r="AJ192" s="76"/>
      <c r="AK192" s="76"/>
      <c r="AL192" s="77">
        <f>IF((P192-SUM(AE192:AK192))&lt;0,0,P192-SUM(AE192:AK192))</f>
        <v>1</v>
      </c>
      <c r="AM192" s="77">
        <f>SUM(AO192:AT192)</f>
        <v>0</v>
      </c>
      <c r="AN192" s="129"/>
      <c r="AO192" s="72"/>
      <c r="AP192" s="72"/>
      <c r="AQ192" s="129"/>
      <c r="AR192" s="72"/>
      <c r="AS192" s="72"/>
      <c r="AT192" s="72"/>
      <c r="AU192" s="129"/>
      <c r="AV192" s="70"/>
      <c r="AW192" s="72"/>
      <c r="AX192" s="72"/>
    </row>
    <row r="193" spans="1:50" ht="15" customHeight="1">
      <c r="A193" s="67" t="s">
        <v>396</v>
      </c>
      <c r="B193" s="68" t="s">
        <v>345</v>
      </c>
      <c r="C193" s="69" t="s">
        <v>45</v>
      </c>
      <c r="D193" s="70" t="s">
        <v>359</v>
      </c>
      <c r="E193" s="70" t="s">
        <v>397</v>
      </c>
      <c r="F193" s="68">
        <v>3</v>
      </c>
      <c r="G193" s="71" t="s">
        <v>392</v>
      </c>
      <c r="H193" s="71" t="s">
        <v>398</v>
      </c>
      <c r="I193" s="71" t="s">
        <v>399</v>
      </c>
      <c r="J193" s="71"/>
      <c r="K193" s="72"/>
      <c r="L193" s="72"/>
      <c r="M193" s="72"/>
      <c r="N193" s="72"/>
      <c r="O193" s="71" t="s">
        <v>251</v>
      </c>
      <c r="P193" s="69">
        <v>1</v>
      </c>
      <c r="Q193" s="68">
        <f>MAX(0,$V193-$P193-$S193)</f>
        <v>0</v>
      </c>
      <c r="R193" s="68"/>
      <c r="S193" s="68"/>
      <c r="T193" s="73">
        <v>0.28000000000000003</v>
      </c>
      <c r="U193" s="73">
        <f>IF(AND($Q193&gt;0,ISNUMBER($T193)),$Q193*$T193,0)</f>
        <v>0</v>
      </c>
      <c r="V193" s="68">
        <f>SUM(W193:AB193)</f>
        <v>0</v>
      </c>
      <c r="W193" s="68"/>
      <c r="X193" s="68"/>
      <c r="Y193" s="68"/>
      <c r="Z193" s="68"/>
      <c r="AA193" s="68"/>
      <c r="AB193" s="74"/>
      <c r="AC193" s="68"/>
      <c r="AD193" s="75">
        <f>SUM(AE193:AJ193)</f>
        <v>1</v>
      </c>
      <c r="AE193" s="76"/>
      <c r="AF193" s="76"/>
      <c r="AG193" s="76"/>
      <c r="AH193" s="76">
        <v>1</v>
      </c>
      <c r="AI193" s="76"/>
      <c r="AJ193" s="76"/>
      <c r="AK193" s="76"/>
      <c r="AL193" s="77">
        <f>IF((P193-SUM(AE193:AK193))&lt;0,0,P193-SUM(AE193:AK193))</f>
        <v>0</v>
      </c>
      <c r="AM193" s="77">
        <f>SUM(AO193:AT193)</f>
        <v>1</v>
      </c>
      <c r="AN193" s="80" t="s">
        <v>105</v>
      </c>
      <c r="AO193" s="72"/>
      <c r="AP193" s="72"/>
      <c r="AQ193" s="72"/>
      <c r="AR193" s="79">
        <v>1</v>
      </c>
      <c r="AS193" s="72"/>
      <c r="AT193" s="72"/>
      <c r="AU193" s="31" t="s">
        <v>400</v>
      </c>
      <c r="AV193" s="70"/>
      <c r="AW193" s="72"/>
      <c r="AX193" s="72"/>
    </row>
    <row r="194" spans="1:50" ht="15" customHeight="1">
      <c r="A194" s="70" t="s">
        <v>679</v>
      </c>
      <c r="B194" s="68" t="s">
        <v>636</v>
      </c>
      <c r="C194" s="69" t="s">
        <v>45</v>
      </c>
      <c r="D194" s="70" t="s">
        <v>64</v>
      </c>
      <c r="E194" s="70" t="s">
        <v>680</v>
      </c>
      <c r="F194" s="68">
        <v>7</v>
      </c>
      <c r="G194" s="71" t="s">
        <v>170</v>
      </c>
      <c r="H194" s="71" t="s">
        <v>681</v>
      </c>
      <c r="I194" s="71" t="s">
        <v>682</v>
      </c>
      <c r="J194" s="71"/>
      <c r="K194" s="72"/>
      <c r="L194" s="72"/>
      <c r="M194" s="72"/>
      <c r="N194" s="72"/>
      <c r="O194" s="71" t="s">
        <v>642</v>
      </c>
      <c r="P194" s="69">
        <v>1</v>
      </c>
      <c r="Q194" s="68">
        <f>MAX(0,$V194-$P194-$S194)</f>
        <v>0</v>
      </c>
      <c r="R194" s="68"/>
      <c r="S194" s="68"/>
      <c r="T194" s="73">
        <v>3.96</v>
      </c>
      <c r="U194" s="73">
        <f>IF(AND($Q194&gt;0,ISNUMBER($T194)),$Q194*$T194,0)</f>
        <v>0</v>
      </c>
      <c r="V194" s="68">
        <f>SUM(W194:AB194)</f>
        <v>1</v>
      </c>
      <c r="W194" s="68"/>
      <c r="X194" s="68"/>
      <c r="Y194" s="68"/>
      <c r="Z194" s="68">
        <v>1</v>
      </c>
      <c r="AA194" s="68"/>
      <c r="AB194" s="68"/>
      <c r="AC194" s="68"/>
      <c r="AD194" s="75">
        <f>SUM(AE194:AJ194)</f>
        <v>1</v>
      </c>
      <c r="AE194" s="76"/>
      <c r="AF194" s="76"/>
      <c r="AG194" s="76"/>
      <c r="AH194" s="76">
        <v>1</v>
      </c>
      <c r="AI194" s="76"/>
      <c r="AJ194" s="76"/>
      <c r="AK194" s="76"/>
      <c r="AL194" s="77">
        <f>IF((P194-SUM(AE194:AK194))&lt;0,0,P194-SUM(AE194:AK194))</f>
        <v>0</v>
      </c>
      <c r="AM194" s="77">
        <f>SUM(AO194:AT194)</f>
        <v>0</v>
      </c>
      <c r="AN194" s="129"/>
      <c r="AO194" s="72"/>
      <c r="AP194" s="72"/>
      <c r="AQ194" s="72"/>
      <c r="AR194" s="72"/>
      <c r="AS194" s="72"/>
      <c r="AT194" s="72"/>
      <c r="AU194" s="72"/>
      <c r="AV194" s="70"/>
      <c r="AW194" s="72"/>
      <c r="AX194" s="72"/>
    </row>
    <row r="195" spans="1:50" ht="15" customHeight="1">
      <c r="A195" s="70" t="s">
        <v>683</v>
      </c>
      <c r="B195" s="68" t="s">
        <v>636</v>
      </c>
      <c r="C195" s="69" t="s">
        <v>45</v>
      </c>
      <c r="D195" s="70" t="s">
        <v>64</v>
      </c>
      <c r="E195" s="70" t="s">
        <v>684</v>
      </c>
      <c r="F195" s="68">
        <v>3</v>
      </c>
      <c r="G195" s="71" t="s">
        <v>176</v>
      </c>
      <c r="H195" s="71" t="s">
        <v>545</v>
      </c>
      <c r="I195" s="71" t="s">
        <v>287</v>
      </c>
      <c r="J195" s="71"/>
      <c r="K195" s="72"/>
      <c r="L195" s="72"/>
      <c r="M195" s="72"/>
      <c r="N195" s="72"/>
      <c r="O195" s="71" t="s">
        <v>489</v>
      </c>
      <c r="P195" s="69">
        <v>1</v>
      </c>
      <c r="Q195" s="68">
        <f>MAX(0,$V195-$P195-$S195)</f>
        <v>0</v>
      </c>
      <c r="R195" s="68"/>
      <c r="S195" s="68"/>
      <c r="T195" s="73">
        <v>0.23</v>
      </c>
      <c r="U195" s="73">
        <f>IF(AND($Q195&gt;0,ISNUMBER($T195)),$Q195*$T195,0)</f>
        <v>0</v>
      </c>
      <c r="V195" s="68">
        <f>SUM(W195:AB195)</f>
        <v>1</v>
      </c>
      <c r="W195" s="68"/>
      <c r="X195" s="68"/>
      <c r="Y195" s="68"/>
      <c r="Z195" s="68">
        <v>1</v>
      </c>
      <c r="AA195" s="68"/>
      <c r="AB195" s="68"/>
      <c r="AC195" s="68"/>
      <c r="AD195" s="75">
        <f>SUM(AE195:AJ195)</f>
        <v>1</v>
      </c>
      <c r="AE195" s="76"/>
      <c r="AF195" s="76"/>
      <c r="AG195" s="76"/>
      <c r="AH195" s="76">
        <v>1</v>
      </c>
      <c r="AI195" s="76"/>
      <c r="AJ195" s="76"/>
      <c r="AK195" s="76"/>
      <c r="AL195" s="77">
        <f>IF((P195-SUM(AE195:AK195))&lt;0,0,P195-SUM(AE195:AK195))</f>
        <v>0</v>
      </c>
      <c r="AM195" s="77">
        <f>SUM(AO195:AT195)</f>
        <v>0</v>
      </c>
      <c r="AN195" s="72"/>
      <c r="AO195" s="72"/>
      <c r="AP195" s="72"/>
      <c r="AQ195" s="72"/>
      <c r="AR195" s="72"/>
      <c r="AS195" s="72"/>
      <c r="AT195" s="72"/>
      <c r="AU195" s="72"/>
      <c r="AV195" s="70"/>
      <c r="AW195" s="72"/>
      <c r="AX195" s="72"/>
    </row>
    <row r="196" spans="1:50" ht="15" customHeight="1">
      <c r="A196" s="70" t="s">
        <v>948</v>
      </c>
      <c r="B196" s="68" t="s">
        <v>919</v>
      </c>
      <c r="C196" s="69" t="s">
        <v>45</v>
      </c>
      <c r="D196" s="70" t="s">
        <v>627</v>
      </c>
      <c r="E196" s="70"/>
      <c r="F196" s="68">
        <v>0</v>
      </c>
      <c r="G196" s="71" t="s">
        <v>627</v>
      </c>
      <c r="H196" s="71" t="s">
        <v>949</v>
      </c>
      <c r="I196" s="71" t="s">
        <v>950</v>
      </c>
      <c r="J196" s="71"/>
      <c r="K196" s="72"/>
      <c r="L196" s="72"/>
      <c r="M196" s="72"/>
      <c r="N196" s="72"/>
      <c r="O196" s="71" t="s">
        <v>355</v>
      </c>
      <c r="P196" s="69">
        <v>1</v>
      </c>
      <c r="Q196" s="68">
        <f>MAX(0,$V196-$P196-$S196)</f>
        <v>0</v>
      </c>
      <c r="R196" s="68" t="s">
        <v>57</v>
      </c>
      <c r="S196" s="68">
        <v>1</v>
      </c>
      <c r="T196" s="73">
        <v>0.25</v>
      </c>
      <c r="U196" s="73">
        <f>IF(AND($Q196&gt;0,ISNUMBER($T196)),$Q196*$T196,0)</f>
        <v>0</v>
      </c>
      <c r="V196" s="68">
        <f>SUM(W196:AB196)</f>
        <v>1</v>
      </c>
      <c r="W196" s="68"/>
      <c r="X196" s="68"/>
      <c r="Y196" s="68"/>
      <c r="Z196" s="68"/>
      <c r="AA196" s="68">
        <v>1</v>
      </c>
      <c r="AB196" s="68"/>
      <c r="AC196" s="68"/>
      <c r="AD196" s="75">
        <f>SUM(AE196:AJ196)</f>
        <v>1</v>
      </c>
      <c r="AE196" s="76"/>
      <c r="AF196" s="76"/>
      <c r="AG196" s="76"/>
      <c r="AH196" s="76"/>
      <c r="AI196" s="76">
        <v>1</v>
      </c>
      <c r="AJ196" s="76"/>
      <c r="AK196" s="76"/>
      <c r="AL196" s="77">
        <f>IF((P196-SUM(AE196:AK196))&lt;0,0,P196-SUM(AE196:AK196))</f>
        <v>0</v>
      </c>
      <c r="AM196" s="77">
        <f>SUM(AO196:AT196)</f>
        <v>0</v>
      </c>
      <c r="AN196" s="129"/>
      <c r="AO196" s="72"/>
      <c r="AP196" s="72"/>
      <c r="AQ196" s="72"/>
      <c r="AR196" s="72"/>
      <c r="AS196" s="72"/>
      <c r="AT196" s="72"/>
      <c r="AU196" s="72"/>
      <c r="AV196" s="70"/>
      <c r="AW196" s="72"/>
      <c r="AX196" s="72"/>
    </row>
    <row r="197" spans="1:50" ht="15" customHeight="1">
      <c r="A197" s="70" t="s">
        <v>951</v>
      </c>
      <c r="B197" s="68" t="s">
        <v>919</v>
      </c>
      <c r="C197" s="69" t="s">
        <v>45</v>
      </c>
      <c r="D197" s="70" t="s">
        <v>627</v>
      </c>
      <c r="E197" s="70"/>
      <c r="F197" s="68">
        <v>0</v>
      </c>
      <c r="G197" s="71" t="s">
        <v>627</v>
      </c>
      <c r="H197" s="71" t="s">
        <v>952</v>
      </c>
      <c r="I197" s="71" t="s">
        <v>953</v>
      </c>
      <c r="J197" s="71"/>
      <c r="K197" s="72"/>
      <c r="L197" s="72"/>
      <c r="M197" s="72"/>
      <c r="N197" s="72"/>
      <c r="O197" s="71" t="s">
        <v>355</v>
      </c>
      <c r="P197" s="69">
        <v>1</v>
      </c>
      <c r="Q197" s="68">
        <f>MAX(0,$V197-$P197-$S197)</f>
        <v>0</v>
      </c>
      <c r="R197" s="68" t="s">
        <v>57</v>
      </c>
      <c r="S197" s="68">
        <v>1</v>
      </c>
      <c r="T197" s="73">
        <v>0.3</v>
      </c>
      <c r="U197" s="73">
        <f>IF(AND($Q197&gt;0,ISNUMBER($T197)),$Q197*$T197,0)</f>
        <v>0</v>
      </c>
      <c r="V197" s="68">
        <f>SUM(W197:AB197)</f>
        <v>1</v>
      </c>
      <c r="W197" s="68"/>
      <c r="X197" s="68"/>
      <c r="Y197" s="68"/>
      <c r="Z197" s="68"/>
      <c r="AA197" s="68"/>
      <c r="AB197" s="68">
        <v>1</v>
      </c>
      <c r="AC197" s="68"/>
      <c r="AD197" s="75">
        <f>SUM(AE197:AJ197)</f>
        <v>1</v>
      </c>
      <c r="AE197" s="76"/>
      <c r="AF197" s="76"/>
      <c r="AG197" s="76"/>
      <c r="AH197" s="76"/>
      <c r="AI197" s="76"/>
      <c r="AJ197" s="76">
        <v>1</v>
      </c>
      <c r="AK197" s="76"/>
      <c r="AL197" s="77">
        <f>IF((P197-SUM(AE197:AK197))&lt;0,0,P197-SUM(AE197:AK197))</f>
        <v>0</v>
      </c>
      <c r="AM197" s="77">
        <f>SUM(AO197:AT197)</f>
        <v>0</v>
      </c>
      <c r="AN197" s="129"/>
      <c r="AO197" s="72"/>
      <c r="AP197" s="72"/>
      <c r="AQ197" s="129"/>
      <c r="AR197" s="72"/>
      <c r="AS197" s="72"/>
      <c r="AT197" s="72"/>
      <c r="AU197" s="129"/>
      <c r="AV197" s="70"/>
      <c r="AW197" s="72"/>
      <c r="AX197" s="72"/>
    </row>
    <row r="198" spans="1:50" ht="15" customHeight="1">
      <c r="A198" s="70" t="s">
        <v>2013</v>
      </c>
      <c r="B198" s="68" t="s">
        <v>1971</v>
      </c>
      <c r="C198" s="69" t="s">
        <v>45</v>
      </c>
      <c r="D198" s="70" t="s">
        <v>64</v>
      </c>
      <c r="E198" s="70" t="s">
        <v>1130</v>
      </c>
      <c r="F198" s="68">
        <v>2</v>
      </c>
      <c r="G198" s="71" t="s">
        <v>675</v>
      </c>
      <c r="H198" s="71" t="s">
        <v>2014</v>
      </c>
      <c r="I198" s="71"/>
      <c r="J198" s="71"/>
      <c r="K198" s="72"/>
      <c r="L198" s="72"/>
      <c r="M198" s="72"/>
      <c r="N198" s="72"/>
      <c r="O198" s="71" t="s">
        <v>263</v>
      </c>
      <c r="P198" s="69">
        <v>1</v>
      </c>
      <c r="Q198" s="68">
        <f>MAX(0,$V198-$P198-$S198)</f>
        <v>0</v>
      </c>
      <c r="R198" s="68"/>
      <c r="S198" s="68"/>
      <c r="T198" s="73">
        <v>0.21</v>
      </c>
      <c r="U198" s="73">
        <f>IF(AND($Q198&gt;0,ISNUMBER($T198)),$Q198*$T198,0)</f>
        <v>0</v>
      </c>
      <c r="V198" s="68">
        <f>SUM(W198:AB198)</f>
        <v>0</v>
      </c>
      <c r="W198" s="68"/>
      <c r="X198" s="68"/>
      <c r="Y198" s="68"/>
      <c r="Z198" s="68"/>
      <c r="AA198" s="68"/>
      <c r="AB198" s="68"/>
      <c r="AC198" s="68"/>
      <c r="AD198" s="75">
        <f>SUM(AE198:AJ198)</f>
        <v>0</v>
      </c>
      <c r="AE198" s="76"/>
      <c r="AF198" s="76"/>
      <c r="AG198" s="76"/>
      <c r="AH198" s="76"/>
      <c r="AI198" s="76"/>
      <c r="AJ198" s="76"/>
      <c r="AK198" s="76"/>
      <c r="AL198" s="77">
        <f>IF((P198-SUM(AE198:AK198))&lt;0,0,P198-SUM(AE198:AK198))</f>
        <v>1</v>
      </c>
      <c r="AM198" s="77">
        <f>SUM(AO198:AT198)</f>
        <v>0</v>
      </c>
      <c r="AN198" s="85"/>
      <c r="AO198" s="72"/>
      <c r="AP198" s="72"/>
      <c r="AQ198" s="72"/>
      <c r="AR198" s="72"/>
      <c r="AS198" s="72"/>
      <c r="AT198" s="72"/>
      <c r="AU198" s="72"/>
      <c r="AV198" s="70"/>
      <c r="AW198" s="72"/>
      <c r="AX198" s="72"/>
    </row>
    <row r="199" spans="1:50" ht="15" customHeight="1">
      <c r="A199" s="70" t="s">
        <v>1556</v>
      </c>
      <c r="B199" s="68" t="s">
        <v>1499</v>
      </c>
      <c r="C199" s="69" t="s">
        <v>45</v>
      </c>
      <c r="D199" s="70" t="s">
        <v>47</v>
      </c>
      <c r="E199" s="70"/>
      <c r="F199" s="68">
        <v>2</v>
      </c>
      <c r="G199" s="71" t="s">
        <v>113</v>
      </c>
      <c r="H199" s="71" t="s">
        <v>1557</v>
      </c>
      <c r="I199" s="71"/>
      <c r="J199" s="71"/>
      <c r="K199" s="72"/>
      <c r="L199" s="72"/>
      <c r="M199" s="72"/>
      <c r="N199" s="72"/>
      <c r="O199" s="71" t="s">
        <v>346</v>
      </c>
      <c r="P199" s="69">
        <v>1</v>
      </c>
      <c r="Q199" s="68">
        <f>MAX(0,$V199-$P199-$S199)</f>
        <v>0</v>
      </c>
      <c r="R199" s="68"/>
      <c r="S199" s="68"/>
      <c r="T199" s="73">
        <v>0.27</v>
      </c>
      <c r="U199" s="73">
        <f>IF(AND($Q199&gt;0,ISNUMBER($T199)),$Q199*$T199,0)</f>
        <v>0</v>
      </c>
      <c r="V199" s="68">
        <f>SUM(W199:AB199)</f>
        <v>1</v>
      </c>
      <c r="W199" s="68">
        <v>1</v>
      </c>
      <c r="X199" s="68"/>
      <c r="Y199" s="68"/>
      <c r="Z199" s="68"/>
      <c r="AA199" s="68"/>
      <c r="AB199" s="68"/>
      <c r="AC199" s="68"/>
      <c r="AD199" s="75">
        <f>SUM(AE199:AJ199)</f>
        <v>1</v>
      </c>
      <c r="AE199" s="76">
        <v>1</v>
      </c>
      <c r="AF199" s="76"/>
      <c r="AG199" s="76"/>
      <c r="AH199" s="76"/>
      <c r="AI199" s="76"/>
      <c r="AJ199" s="76"/>
      <c r="AK199" s="76"/>
      <c r="AL199" s="77">
        <f>IF((P199-SUM(AE199:AK199))&lt;0,0,P199-SUM(AE199:AK199))</f>
        <v>0</v>
      </c>
      <c r="AM199" s="77">
        <f>SUM(AO199:AT199)</f>
        <v>0</v>
      </c>
      <c r="AN199" s="72"/>
      <c r="AO199" s="72"/>
      <c r="AP199" s="72"/>
      <c r="AQ199" s="72"/>
      <c r="AR199" s="72"/>
      <c r="AS199" s="72"/>
      <c r="AT199" s="72"/>
      <c r="AU199" s="72"/>
      <c r="AV199" s="70"/>
      <c r="AW199" s="72"/>
      <c r="AX199" s="72"/>
    </row>
    <row r="200" spans="1:50" ht="15" customHeight="1">
      <c r="A200" s="81" t="s">
        <v>954</v>
      </c>
      <c r="B200" s="68" t="s">
        <v>919</v>
      </c>
      <c r="C200" s="69" t="s">
        <v>45</v>
      </c>
      <c r="D200" s="70" t="s">
        <v>627</v>
      </c>
      <c r="E200" s="70"/>
      <c r="F200" s="68">
        <v>0</v>
      </c>
      <c r="G200" s="71" t="s">
        <v>627</v>
      </c>
      <c r="H200" s="71" t="s">
        <v>955</v>
      </c>
      <c r="I200" s="71"/>
      <c r="J200" s="71"/>
      <c r="K200" s="72"/>
      <c r="L200" s="72"/>
      <c r="M200" s="72"/>
      <c r="N200" s="72"/>
      <c r="O200" s="71" t="s">
        <v>235</v>
      </c>
      <c r="P200" s="69">
        <v>1</v>
      </c>
      <c r="Q200" s="68">
        <f>MAX(0,$V200-$P200-$S200)</f>
        <v>1</v>
      </c>
      <c r="R200" s="68" t="s">
        <v>57</v>
      </c>
      <c r="S200" s="68">
        <v>1</v>
      </c>
      <c r="T200" s="73">
        <v>0.71</v>
      </c>
      <c r="U200" s="73">
        <f>IF(AND($Q200&gt;0,ISNUMBER($T200)),$Q200*$T200,0)</f>
        <v>0.71</v>
      </c>
      <c r="V200" s="68">
        <f>SUM(W200:AB200)</f>
        <v>3</v>
      </c>
      <c r="W200" s="68"/>
      <c r="X200" s="68"/>
      <c r="Y200" s="82">
        <v>1</v>
      </c>
      <c r="Z200" s="68">
        <v>1</v>
      </c>
      <c r="AA200" s="82">
        <v>1</v>
      </c>
      <c r="AB200" s="68"/>
      <c r="AC200" s="68"/>
      <c r="AD200" s="75">
        <f>SUM(AE200:AJ200)</f>
        <v>1</v>
      </c>
      <c r="AE200" s="76"/>
      <c r="AF200" s="76"/>
      <c r="AG200" s="76"/>
      <c r="AH200" s="76">
        <v>1</v>
      </c>
      <c r="AI200" s="76"/>
      <c r="AJ200" s="76"/>
      <c r="AK200" s="76"/>
      <c r="AL200" s="77">
        <f>IF((P200-SUM(AE200:AK200))&lt;0,0,P200-SUM(AE200:AK200))</f>
        <v>0</v>
      </c>
      <c r="AM200" s="77">
        <f>SUM(AO200:AT200)</f>
        <v>0</v>
      </c>
      <c r="AN200" s="138" t="s">
        <v>81</v>
      </c>
      <c r="AO200" s="72"/>
      <c r="AP200" s="72"/>
      <c r="AQ200" s="72"/>
      <c r="AR200" s="72"/>
      <c r="AS200" s="72"/>
      <c r="AT200" s="72"/>
      <c r="AU200" s="28" t="s">
        <v>956</v>
      </c>
      <c r="AV200" s="70"/>
      <c r="AW200" s="72"/>
      <c r="AX200" s="84"/>
    </row>
    <row r="201" spans="1:50" ht="15" customHeight="1">
      <c r="A201" s="70" t="s">
        <v>2015</v>
      </c>
      <c r="B201" s="68" t="s">
        <v>1971</v>
      </c>
      <c r="C201" s="69" t="s">
        <v>45</v>
      </c>
      <c r="D201" s="70" t="s">
        <v>47</v>
      </c>
      <c r="E201" s="70"/>
      <c r="F201" s="68">
        <v>5</v>
      </c>
      <c r="G201" s="71" t="s">
        <v>117</v>
      </c>
      <c r="H201" s="71" t="s">
        <v>2016</v>
      </c>
      <c r="I201" s="71" t="s">
        <v>2017</v>
      </c>
      <c r="J201" s="71"/>
      <c r="K201" s="69"/>
      <c r="L201" s="69"/>
      <c r="M201" s="69"/>
      <c r="N201" s="69"/>
      <c r="O201" s="71" t="s">
        <v>334</v>
      </c>
      <c r="P201" s="69">
        <v>1</v>
      </c>
      <c r="Q201" s="68">
        <f>MAX(0,$V201-$P201-$S201)</f>
        <v>0</v>
      </c>
      <c r="R201" s="68"/>
      <c r="S201" s="68"/>
      <c r="T201" s="73">
        <v>0.3</v>
      </c>
      <c r="U201" s="73">
        <f>IF(AND($Q201&gt;0,ISNUMBER($T201)),$Q201*$T201,0)</f>
        <v>0</v>
      </c>
      <c r="V201" s="68">
        <f>SUM(W201:AB201)</f>
        <v>1</v>
      </c>
      <c r="W201" s="68">
        <v>1</v>
      </c>
      <c r="X201" s="68"/>
      <c r="Y201" s="68"/>
      <c r="Z201" s="68"/>
      <c r="AA201" s="68"/>
      <c r="AB201" s="68"/>
      <c r="AC201" s="68"/>
      <c r="AD201" s="75">
        <f>SUM(AE201:AJ201)</f>
        <v>1</v>
      </c>
      <c r="AE201" s="76">
        <v>1</v>
      </c>
      <c r="AF201" s="76"/>
      <c r="AG201" s="76"/>
      <c r="AH201" s="76"/>
      <c r="AI201" s="76"/>
      <c r="AJ201" s="76"/>
      <c r="AK201" s="76"/>
      <c r="AL201" s="77">
        <f>IF((P201-SUM(AE201:AK201))&lt;0,0,P201-SUM(AE201:AK201))</f>
        <v>0</v>
      </c>
      <c r="AM201" s="77">
        <f>SUM(AO201:AT201)</f>
        <v>0</v>
      </c>
      <c r="AN201" s="129"/>
      <c r="AO201" s="72"/>
      <c r="AP201" s="72"/>
      <c r="AQ201" s="129"/>
      <c r="AR201" s="72"/>
      <c r="AS201" s="72"/>
      <c r="AT201" s="72"/>
      <c r="AU201" s="129"/>
      <c r="AV201" s="70"/>
      <c r="AW201" s="72"/>
      <c r="AX201" s="72"/>
    </row>
    <row r="202" spans="1:50" ht="15" customHeight="1">
      <c r="A202" s="67" t="s">
        <v>100</v>
      </c>
      <c r="B202" s="68" t="s">
        <v>46</v>
      </c>
      <c r="C202" s="69" t="s">
        <v>45</v>
      </c>
      <c r="D202" s="70" t="s">
        <v>72</v>
      </c>
      <c r="E202" s="70"/>
      <c r="F202" s="68">
        <v>4</v>
      </c>
      <c r="G202" s="71" t="s">
        <v>49</v>
      </c>
      <c r="H202" s="71" t="s">
        <v>102</v>
      </c>
      <c r="I202" s="71" t="s">
        <v>103</v>
      </c>
      <c r="J202" s="71" t="s">
        <v>104</v>
      </c>
      <c r="K202" s="72"/>
      <c r="L202" s="72"/>
      <c r="M202" s="72"/>
      <c r="N202" s="72"/>
      <c r="O202" s="71" t="s">
        <v>101</v>
      </c>
      <c r="P202" s="69">
        <v>1</v>
      </c>
      <c r="Q202" s="68">
        <f>MAX(0,$V202-$P202-$S202)</f>
        <v>0</v>
      </c>
      <c r="R202" s="68"/>
      <c r="S202" s="68"/>
      <c r="T202" s="73">
        <v>0.31</v>
      </c>
      <c r="U202" s="73">
        <f>IF(AND($Q202&gt;0,ISNUMBER($T202)),$Q202*$T202,0)</f>
        <v>0</v>
      </c>
      <c r="V202" s="68">
        <f>SUM(W202:AB202)</f>
        <v>0</v>
      </c>
      <c r="W202" s="68"/>
      <c r="X202" s="68"/>
      <c r="Y202" s="68"/>
      <c r="Z202" s="68"/>
      <c r="AA202" s="74"/>
      <c r="AB202" s="68"/>
      <c r="AC202" s="68"/>
      <c r="AD202" s="75">
        <f>SUM(AE202:AJ202)</f>
        <v>1</v>
      </c>
      <c r="AE202" s="76"/>
      <c r="AF202" s="76"/>
      <c r="AG202" s="76"/>
      <c r="AH202" s="76">
        <v>1</v>
      </c>
      <c r="AI202" s="76"/>
      <c r="AJ202" s="76"/>
      <c r="AK202" s="76"/>
      <c r="AL202" s="77">
        <f>IF((P202-SUM(AE202:AK202))&lt;0,0,P202-SUM(AE202:AK202))</f>
        <v>0</v>
      </c>
      <c r="AM202" s="77">
        <f>SUM(AO202:AT202)</f>
        <v>1</v>
      </c>
      <c r="AN202" s="140" t="s">
        <v>105</v>
      </c>
      <c r="AO202" s="72"/>
      <c r="AP202" s="72"/>
      <c r="AQ202" s="129"/>
      <c r="AR202" s="141">
        <v>1</v>
      </c>
      <c r="AS202" s="72"/>
      <c r="AT202" s="72"/>
      <c r="AU202" s="125" t="s">
        <v>106</v>
      </c>
      <c r="AV202" s="70"/>
      <c r="AW202" s="72"/>
      <c r="AX202" s="72"/>
    </row>
    <row r="203" spans="1:50" ht="15" customHeight="1">
      <c r="A203" s="98" t="s">
        <v>2440</v>
      </c>
      <c r="B203" s="100" t="s">
        <v>345</v>
      </c>
      <c r="C203" s="101" t="s">
        <v>45</v>
      </c>
      <c r="D203" s="98" t="s">
        <v>64</v>
      </c>
      <c r="E203" s="98" t="s">
        <v>1189</v>
      </c>
      <c r="F203" s="100">
        <v>3</v>
      </c>
      <c r="G203" s="98" t="s">
        <v>470</v>
      </c>
      <c r="H203" s="98" t="s">
        <v>2441</v>
      </c>
      <c r="I203" s="98" t="s">
        <v>1190</v>
      </c>
      <c r="J203" s="98"/>
      <c r="K203" s="99"/>
      <c r="L203" s="99">
        <v>1</v>
      </c>
      <c r="M203" s="99"/>
      <c r="N203" s="99"/>
      <c r="O203" s="98" t="s">
        <v>48</v>
      </c>
      <c r="P203" s="101">
        <v>1</v>
      </c>
      <c r="Q203" s="68">
        <f>MAX(0,$V203-$P203-$S203)</f>
        <v>0</v>
      </c>
      <c r="R203" s="98"/>
      <c r="S203" s="98"/>
      <c r="T203" s="98">
        <v>0.28999999999999998</v>
      </c>
      <c r="U203" s="98">
        <f>IF(AND($Q203&gt;0,ISNUMBER($T203)),$Q203*$T203,0)</f>
        <v>0</v>
      </c>
      <c r="V203" s="68">
        <f>SUM(W203:AB203)</f>
        <v>0</v>
      </c>
      <c r="W203" s="100"/>
      <c r="X203" s="100"/>
      <c r="Y203" s="100"/>
      <c r="Z203" s="100"/>
      <c r="AA203" s="100"/>
      <c r="AB203" s="100"/>
      <c r="AC203" s="68"/>
      <c r="AD203" s="75">
        <f>SUM(AE203:AJ203)</f>
        <v>0</v>
      </c>
      <c r="AE203" s="102"/>
      <c r="AF203" s="102"/>
      <c r="AG203" s="102"/>
      <c r="AH203" s="102"/>
      <c r="AI203" s="102"/>
      <c r="AJ203" s="102"/>
      <c r="AK203" s="102"/>
      <c r="AL203" s="77">
        <f>IF((P203-SUM(AE203:AK203))&lt;0,0,P203-SUM(AE203:AK203))</f>
        <v>1</v>
      </c>
      <c r="AM203" s="77">
        <f>SUM(AO203:AT203)</f>
        <v>0</v>
      </c>
      <c r="AN203" s="99"/>
      <c r="AO203" s="99"/>
      <c r="AP203" s="99"/>
      <c r="AQ203" s="99"/>
      <c r="AR203" s="99"/>
      <c r="AS203" s="99"/>
      <c r="AT203" s="99"/>
      <c r="AU203" s="99"/>
      <c r="AV203" s="98"/>
      <c r="AW203" s="99"/>
      <c r="AX203" s="99"/>
    </row>
    <row r="204" spans="1:50" ht="15" customHeight="1">
      <c r="A204" s="70" t="s">
        <v>1563</v>
      </c>
      <c r="B204" s="68" t="s">
        <v>1499</v>
      </c>
      <c r="C204" s="69" t="s">
        <v>45</v>
      </c>
      <c r="D204" s="70" t="s">
        <v>72</v>
      </c>
      <c r="E204" s="70"/>
      <c r="F204" s="68">
        <v>3</v>
      </c>
      <c r="G204" s="71" t="s">
        <v>49</v>
      </c>
      <c r="H204" s="71" t="s">
        <v>1564</v>
      </c>
      <c r="I204" s="71"/>
      <c r="J204" s="71"/>
      <c r="K204" s="72"/>
      <c r="L204" s="72"/>
      <c r="M204" s="72"/>
      <c r="N204" s="72"/>
      <c r="O204" s="71" t="s">
        <v>961</v>
      </c>
      <c r="P204" s="69">
        <v>1</v>
      </c>
      <c r="Q204" s="68">
        <f>MAX(0,$V204-$P204-$S204)</f>
        <v>0</v>
      </c>
      <c r="R204" s="68" t="s">
        <v>57</v>
      </c>
      <c r="S204" s="68">
        <v>1</v>
      </c>
      <c r="T204" s="73">
        <v>0.34</v>
      </c>
      <c r="U204" s="73">
        <f>IF(AND($Q204&gt;0,ISNUMBER($T204)),$Q204*$T204,0)</f>
        <v>0</v>
      </c>
      <c r="V204" s="68">
        <f>SUM(W204:AB204)</f>
        <v>1</v>
      </c>
      <c r="W204" s="68"/>
      <c r="X204" s="68"/>
      <c r="Y204" s="68"/>
      <c r="Z204" s="68"/>
      <c r="AA204" s="68"/>
      <c r="AB204" s="68">
        <v>1</v>
      </c>
      <c r="AC204" s="68"/>
      <c r="AD204" s="75">
        <f>SUM(AE204:AJ204)</f>
        <v>1</v>
      </c>
      <c r="AE204" s="76"/>
      <c r="AF204" s="76"/>
      <c r="AG204" s="76"/>
      <c r="AH204" s="76"/>
      <c r="AI204" s="76"/>
      <c r="AJ204" s="76">
        <v>1</v>
      </c>
      <c r="AK204" s="76"/>
      <c r="AL204" s="77">
        <f>IF((P204-SUM(AE204:AK204))&lt;0,0,P204-SUM(AE204:AK204))</f>
        <v>0</v>
      </c>
      <c r="AM204" s="77">
        <f>SUM(AO204:AT204)</f>
        <v>0</v>
      </c>
      <c r="AN204" s="129"/>
      <c r="AO204" s="72"/>
      <c r="AP204" s="72"/>
      <c r="AQ204" s="72"/>
      <c r="AR204" s="129"/>
      <c r="AS204" s="72"/>
      <c r="AT204" s="72"/>
      <c r="AU204" s="129"/>
      <c r="AV204" s="70"/>
      <c r="AW204" s="72"/>
      <c r="AX204" s="72"/>
    </row>
    <row r="205" spans="1:50" ht="15" customHeight="1">
      <c r="A205" s="70" t="s">
        <v>2018</v>
      </c>
      <c r="B205" s="68" t="s">
        <v>1971</v>
      </c>
      <c r="C205" s="69" t="s">
        <v>45</v>
      </c>
      <c r="D205" s="70" t="s">
        <v>64</v>
      </c>
      <c r="E205" s="70" t="s">
        <v>2019</v>
      </c>
      <c r="F205" s="68">
        <v>2</v>
      </c>
      <c r="G205" s="71" t="s">
        <v>616</v>
      </c>
      <c r="H205" s="71" t="s">
        <v>2020</v>
      </c>
      <c r="I205" s="71"/>
      <c r="J205" s="71"/>
      <c r="K205" s="72"/>
      <c r="L205" s="72"/>
      <c r="M205" s="72"/>
      <c r="N205" s="72"/>
      <c r="O205" s="71" t="s">
        <v>355</v>
      </c>
      <c r="P205" s="69">
        <v>1</v>
      </c>
      <c r="Q205" s="68">
        <f>MAX(0,$V205-$P205-$S205)</f>
        <v>0</v>
      </c>
      <c r="R205" s="68" t="s">
        <v>57</v>
      </c>
      <c r="S205" s="68">
        <v>1</v>
      </c>
      <c r="T205" s="73">
        <v>0.31</v>
      </c>
      <c r="U205" s="73">
        <f>IF(AND($Q205&gt;0,ISNUMBER($T205)),$Q205*$T205,0)</f>
        <v>0</v>
      </c>
      <c r="V205" s="68">
        <f>SUM(W205:AB205)</f>
        <v>1</v>
      </c>
      <c r="W205" s="68"/>
      <c r="X205" s="68">
        <v>1</v>
      </c>
      <c r="Y205" s="68"/>
      <c r="Z205" s="68"/>
      <c r="AA205" s="68"/>
      <c r="AB205" s="68"/>
      <c r="AC205" s="68"/>
      <c r="AD205" s="75">
        <f>SUM(AE205:AJ205)</f>
        <v>1</v>
      </c>
      <c r="AE205" s="76"/>
      <c r="AF205" s="76">
        <v>1</v>
      </c>
      <c r="AG205" s="76"/>
      <c r="AH205" s="76"/>
      <c r="AI205" s="76"/>
      <c r="AJ205" s="76"/>
      <c r="AK205" s="76"/>
      <c r="AL205" s="77">
        <f>IF((P205-SUM(AE205:AK205))&lt;0,0,P205-SUM(AE205:AK205))</f>
        <v>0</v>
      </c>
      <c r="AM205" s="77">
        <f>SUM(AO205:AT205)</f>
        <v>0</v>
      </c>
      <c r="AN205" s="72"/>
      <c r="AO205" s="72"/>
      <c r="AP205" s="72"/>
      <c r="AQ205" s="72"/>
      <c r="AR205" s="72"/>
      <c r="AS205" s="72"/>
      <c r="AT205" s="72"/>
      <c r="AU205" s="72"/>
      <c r="AV205" s="70"/>
      <c r="AW205" s="72"/>
      <c r="AX205" s="72"/>
    </row>
    <row r="206" spans="1:50" ht="15" customHeight="1">
      <c r="A206" s="92" t="s">
        <v>1188</v>
      </c>
      <c r="B206" s="90" t="s">
        <v>1114</v>
      </c>
      <c r="C206" s="69" t="s">
        <v>45</v>
      </c>
      <c r="D206" s="92" t="s">
        <v>64</v>
      </c>
      <c r="E206" s="92" t="s">
        <v>1189</v>
      </c>
      <c r="F206" s="90">
        <v>4</v>
      </c>
      <c r="G206" s="92" t="s">
        <v>125</v>
      </c>
      <c r="H206" s="92" t="s">
        <v>1190</v>
      </c>
      <c r="I206" s="92" t="s">
        <v>1191</v>
      </c>
      <c r="J206" s="92"/>
      <c r="K206" s="72"/>
      <c r="L206" s="72"/>
      <c r="M206" s="72"/>
      <c r="N206" s="72"/>
      <c r="O206" s="92" t="s">
        <v>48</v>
      </c>
      <c r="P206" s="69">
        <v>1</v>
      </c>
      <c r="Q206" s="68">
        <f>MAX(0,$V206-$P206-$S206)</f>
        <v>0</v>
      </c>
      <c r="R206" s="92"/>
      <c r="S206" s="92"/>
      <c r="T206" s="92">
        <v>0.13</v>
      </c>
      <c r="U206" s="92">
        <f>IF(AND($Q206&gt;0,ISNUMBER($T206)),$Q206*$T206,0)</f>
        <v>0</v>
      </c>
      <c r="V206" s="68">
        <f>SUM(W206:AB206)</f>
        <v>0</v>
      </c>
      <c r="W206" s="68"/>
      <c r="X206" s="68"/>
      <c r="Y206" s="68"/>
      <c r="Z206" s="68"/>
      <c r="AA206" s="68"/>
      <c r="AB206" s="68"/>
      <c r="AC206" s="68"/>
      <c r="AD206" s="75">
        <f>SUM(AE206:AJ206)</f>
        <v>0</v>
      </c>
      <c r="AE206" s="76"/>
      <c r="AF206" s="76"/>
      <c r="AG206" s="76"/>
      <c r="AH206" s="76"/>
      <c r="AI206" s="76"/>
      <c r="AJ206" s="76"/>
      <c r="AK206" s="76"/>
      <c r="AL206" s="77">
        <f>IF((P206-SUM(AE206:AK206))&lt;0,0,P206-SUM(AE206:AK206))</f>
        <v>1</v>
      </c>
      <c r="AM206" s="77">
        <f>SUM(AO206:AT206)</f>
        <v>0</v>
      </c>
      <c r="AN206" s="72"/>
      <c r="AO206" s="72"/>
      <c r="AP206" s="72"/>
      <c r="AQ206" s="72"/>
      <c r="AR206" s="72"/>
      <c r="AS206" s="72"/>
      <c r="AT206" s="72"/>
      <c r="AU206" s="72"/>
      <c r="AV206" s="92"/>
      <c r="AW206" s="72"/>
      <c r="AX206" s="72"/>
    </row>
    <row r="207" spans="1:50" ht="15" customHeight="1">
      <c r="A207" s="70" t="s">
        <v>1192</v>
      </c>
      <c r="B207" s="68" t="s">
        <v>1114</v>
      </c>
      <c r="C207" s="69" t="s">
        <v>45</v>
      </c>
      <c r="D207" s="70" t="s">
        <v>123</v>
      </c>
      <c r="E207" s="70" t="s">
        <v>655</v>
      </c>
      <c r="F207" s="68">
        <v>5</v>
      </c>
      <c r="G207" s="71" t="s">
        <v>1145</v>
      </c>
      <c r="H207" s="71" t="s">
        <v>1193</v>
      </c>
      <c r="I207" s="71" t="s">
        <v>1194</v>
      </c>
      <c r="J207" s="71" t="s">
        <v>1195</v>
      </c>
      <c r="K207" s="72"/>
      <c r="L207" s="72"/>
      <c r="M207" s="72"/>
      <c r="N207" s="72"/>
      <c r="O207" s="71" t="s">
        <v>355</v>
      </c>
      <c r="P207" s="69">
        <v>1</v>
      </c>
      <c r="Q207" s="68">
        <f>MAX(0,$V207-$P207-$S207)</f>
        <v>0</v>
      </c>
      <c r="R207" s="68" t="s">
        <v>57</v>
      </c>
      <c r="S207" s="68">
        <v>1</v>
      </c>
      <c r="T207" s="73">
        <v>6.15</v>
      </c>
      <c r="U207" s="73">
        <f>IF(AND($Q207&gt;0,ISNUMBER($T207)),$Q207*$T207,0)</f>
        <v>0</v>
      </c>
      <c r="V207" s="68">
        <f>SUM(W207:AB207)</f>
        <v>1</v>
      </c>
      <c r="W207" s="68"/>
      <c r="X207" s="68">
        <v>1</v>
      </c>
      <c r="Y207" s="68"/>
      <c r="Z207" s="68"/>
      <c r="AA207" s="68"/>
      <c r="AB207" s="68"/>
      <c r="AC207" s="68"/>
      <c r="AD207" s="75">
        <f>SUM(AE207:AJ207)</f>
        <v>1</v>
      </c>
      <c r="AE207" s="76"/>
      <c r="AF207" s="76">
        <v>1</v>
      </c>
      <c r="AG207" s="76"/>
      <c r="AH207" s="76"/>
      <c r="AI207" s="76"/>
      <c r="AJ207" s="76"/>
      <c r="AK207" s="76"/>
      <c r="AL207" s="77">
        <f>IF((P207-SUM(AE207:AK207))&lt;0,0,P207-SUM(AE207:AK207))</f>
        <v>0</v>
      </c>
      <c r="AM207" s="77">
        <f>SUM(AO207:AT207)</f>
        <v>0</v>
      </c>
      <c r="AN207" s="129"/>
      <c r="AO207" s="72"/>
      <c r="AP207" s="72"/>
      <c r="AQ207" s="129"/>
      <c r="AR207" s="129"/>
      <c r="AS207" s="129"/>
      <c r="AT207" s="72"/>
      <c r="AU207" s="129"/>
      <c r="AV207" s="70"/>
      <c r="AW207" s="72"/>
      <c r="AX207" s="72"/>
    </row>
    <row r="208" spans="1:50" ht="15" customHeight="1">
      <c r="A208" s="86" t="s">
        <v>1565</v>
      </c>
      <c r="B208" s="68" t="s">
        <v>1499</v>
      </c>
      <c r="C208" s="69" t="s">
        <v>45</v>
      </c>
      <c r="D208" s="70" t="s">
        <v>47</v>
      </c>
      <c r="E208" s="70"/>
      <c r="F208" s="68">
        <v>1</v>
      </c>
      <c r="G208" s="71" t="s">
        <v>49</v>
      </c>
      <c r="H208" s="71" t="s">
        <v>1566</v>
      </c>
      <c r="I208" s="71" t="s">
        <v>1567</v>
      </c>
      <c r="J208" s="71"/>
      <c r="K208" s="72"/>
      <c r="L208" s="72"/>
      <c r="M208" s="72"/>
      <c r="N208" s="72"/>
      <c r="O208" s="71" t="s">
        <v>48</v>
      </c>
      <c r="P208" s="69">
        <v>1</v>
      </c>
      <c r="Q208" s="68">
        <f>MAX(0,$V208-$P208-$S208)</f>
        <v>0</v>
      </c>
      <c r="R208" s="68"/>
      <c r="S208" s="68"/>
      <c r="T208" s="73">
        <v>0.2</v>
      </c>
      <c r="U208" s="73">
        <f>IF(AND($Q208&gt;0,ISNUMBER($T208)),$Q208*$T208,0)</f>
        <v>0</v>
      </c>
      <c r="V208" s="68">
        <f>SUM(W208:AB208)</f>
        <v>1</v>
      </c>
      <c r="W208" s="68"/>
      <c r="X208" s="68"/>
      <c r="Y208" s="68"/>
      <c r="Z208" s="68"/>
      <c r="AA208" s="68"/>
      <c r="AB208" s="87">
        <v>1</v>
      </c>
      <c r="AC208" s="68"/>
      <c r="AD208" s="75">
        <f>SUM(AE208:AJ208)</f>
        <v>1</v>
      </c>
      <c r="AE208" s="76"/>
      <c r="AF208" s="76"/>
      <c r="AG208" s="76"/>
      <c r="AH208" s="76"/>
      <c r="AI208" s="76"/>
      <c r="AJ208" s="76">
        <v>1</v>
      </c>
      <c r="AK208" s="76"/>
      <c r="AL208" s="77">
        <f>IF((P208-SUM(AE208:AK208))&lt;0,0,P208-SUM(AE208:AK208))</f>
        <v>0</v>
      </c>
      <c r="AM208" s="77">
        <f>SUM(AO208:AT208)</f>
        <v>0</v>
      </c>
      <c r="AN208" s="72"/>
      <c r="AO208" s="72"/>
      <c r="AP208" s="72"/>
      <c r="AQ208" s="72"/>
      <c r="AR208" s="72"/>
      <c r="AS208" s="72"/>
      <c r="AT208" s="72"/>
      <c r="AU208" s="72"/>
      <c r="AV208" s="70"/>
      <c r="AW208" s="72"/>
      <c r="AX208" s="72"/>
    </row>
    <row r="209" spans="1:50" ht="15" customHeight="1">
      <c r="A209" s="70" t="s">
        <v>2023</v>
      </c>
      <c r="B209" s="68" t="s">
        <v>1971</v>
      </c>
      <c r="C209" s="69" t="s">
        <v>45</v>
      </c>
      <c r="D209" s="70" t="s">
        <v>64</v>
      </c>
      <c r="E209" s="70" t="s">
        <v>2024</v>
      </c>
      <c r="F209" s="68">
        <v>4</v>
      </c>
      <c r="G209" s="71" t="s">
        <v>438</v>
      </c>
      <c r="H209" s="71" t="s">
        <v>2025</v>
      </c>
      <c r="I209" s="71"/>
      <c r="J209" s="71"/>
      <c r="K209" s="72"/>
      <c r="L209" s="72"/>
      <c r="M209" s="72"/>
      <c r="N209" s="72"/>
      <c r="O209" s="71" t="s">
        <v>53</v>
      </c>
      <c r="P209" s="69">
        <v>1</v>
      </c>
      <c r="Q209" s="68">
        <f>MAX(0,$V209-$P209-$S209)</f>
        <v>0</v>
      </c>
      <c r="R209" s="68"/>
      <c r="S209" s="68"/>
      <c r="T209" s="73">
        <v>0.05</v>
      </c>
      <c r="U209" s="73">
        <f>IF(AND($Q209&gt;0,ISNUMBER($T209)),$Q209*$T209,0)</f>
        <v>0</v>
      </c>
      <c r="V209" s="68">
        <f>SUM(W209:AB209)</f>
        <v>0</v>
      </c>
      <c r="W209" s="68"/>
      <c r="X209" s="68"/>
      <c r="Y209" s="68"/>
      <c r="Z209" s="68"/>
      <c r="AA209" s="68"/>
      <c r="AB209" s="68"/>
      <c r="AC209" s="68"/>
      <c r="AD209" s="75">
        <f>SUM(AE209:AJ209)</f>
        <v>0</v>
      </c>
      <c r="AE209" s="76"/>
      <c r="AF209" s="76"/>
      <c r="AG209" s="76"/>
      <c r="AH209" s="76"/>
      <c r="AI209" s="76"/>
      <c r="AJ209" s="76"/>
      <c r="AK209" s="76"/>
      <c r="AL209" s="77">
        <f>IF((P209-SUM(AE209:AK209))&lt;0,0,P209-SUM(AE209:AK209))</f>
        <v>1</v>
      </c>
      <c r="AM209" s="77">
        <f>SUM(AO209:AT209)</f>
        <v>0</v>
      </c>
      <c r="AN209" s="72"/>
      <c r="AO209" s="72"/>
      <c r="AP209" s="72"/>
      <c r="AQ209" s="72"/>
      <c r="AR209" s="72"/>
      <c r="AS209" s="72"/>
      <c r="AT209" s="72"/>
      <c r="AU209" s="72"/>
      <c r="AV209" s="70"/>
      <c r="AW209" s="72"/>
      <c r="AX209" s="72"/>
    </row>
    <row r="210" spans="1:50" ht="15" customHeight="1">
      <c r="A210" s="86" t="s">
        <v>2026</v>
      </c>
      <c r="B210" s="68" t="s">
        <v>1971</v>
      </c>
      <c r="C210" s="69" t="s">
        <v>45</v>
      </c>
      <c r="D210" s="70" t="s">
        <v>84</v>
      </c>
      <c r="E210" s="70" t="s">
        <v>2027</v>
      </c>
      <c r="F210" s="68">
        <v>3</v>
      </c>
      <c r="G210" s="71" t="s">
        <v>54</v>
      </c>
      <c r="H210" s="71" t="s">
        <v>2028</v>
      </c>
      <c r="I210" s="71" t="s">
        <v>2029</v>
      </c>
      <c r="J210" s="71"/>
      <c r="K210" s="72"/>
      <c r="L210" s="72"/>
      <c r="M210" s="72"/>
      <c r="N210" s="72"/>
      <c r="O210" s="71" t="s">
        <v>48</v>
      </c>
      <c r="P210" s="69">
        <v>1</v>
      </c>
      <c r="Q210" s="68">
        <f>MAX(0,$V210-$P210-$S210)</f>
        <v>0</v>
      </c>
      <c r="R210" s="68"/>
      <c r="S210" s="68"/>
      <c r="T210" s="73">
        <v>0.22</v>
      </c>
      <c r="U210" s="73">
        <f>IF(AND($Q210&gt;0,ISNUMBER($T210)),$Q210*$T210,0)</f>
        <v>0</v>
      </c>
      <c r="V210" s="68">
        <f>SUM(W210:AB210)</f>
        <v>1</v>
      </c>
      <c r="W210" s="68"/>
      <c r="X210" s="68"/>
      <c r="Y210" s="68"/>
      <c r="Z210" s="68"/>
      <c r="AA210" s="87">
        <v>1</v>
      </c>
      <c r="AB210" s="68"/>
      <c r="AC210" s="68"/>
      <c r="AD210" s="75">
        <f>SUM(AE210:AJ210)</f>
        <v>1</v>
      </c>
      <c r="AE210" s="76"/>
      <c r="AF210" s="76"/>
      <c r="AG210" s="76"/>
      <c r="AH210" s="76"/>
      <c r="AI210" s="76">
        <v>1</v>
      </c>
      <c r="AJ210" s="76"/>
      <c r="AK210" s="76"/>
      <c r="AL210" s="77">
        <f>IF((P210-SUM(AE210:AK210))&lt;0,0,P210-SUM(AE210:AK210))</f>
        <v>0</v>
      </c>
      <c r="AM210" s="77">
        <f>SUM(AO210:AT210)</f>
        <v>0</v>
      </c>
      <c r="AN210" s="129"/>
      <c r="AO210" s="72"/>
      <c r="AP210" s="72"/>
      <c r="AQ210" s="72"/>
      <c r="AR210" s="72"/>
      <c r="AS210" s="72"/>
      <c r="AT210" s="72"/>
      <c r="AU210" s="72"/>
      <c r="AV210" s="70"/>
      <c r="AW210" s="72"/>
      <c r="AX210" s="72"/>
    </row>
    <row r="211" spans="1:50" ht="15" customHeight="1">
      <c r="A211" s="70" t="s">
        <v>2030</v>
      </c>
      <c r="B211" s="68" t="s">
        <v>1971</v>
      </c>
      <c r="C211" s="69" t="s">
        <v>45</v>
      </c>
      <c r="D211" s="70" t="s">
        <v>64</v>
      </c>
      <c r="E211" s="70" t="s">
        <v>2031</v>
      </c>
      <c r="F211" s="68">
        <v>3</v>
      </c>
      <c r="G211" s="71" t="s">
        <v>392</v>
      </c>
      <c r="H211" s="71" t="s">
        <v>2032</v>
      </c>
      <c r="I211" s="71" t="s">
        <v>2033</v>
      </c>
      <c r="J211" s="71"/>
      <c r="K211" s="72"/>
      <c r="L211" s="72"/>
      <c r="M211" s="72"/>
      <c r="N211" s="72"/>
      <c r="O211" s="71" t="s">
        <v>386</v>
      </c>
      <c r="P211" s="69">
        <v>1</v>
      </c>
      <c r="Q211" s="68">
        <f>MAX(0,$V211-$P211-$S211)</f>
        <v>0</v>
      </c>
      <c r="R211" s="68"/>
      <c r="S211" s="68"/>
      <c r="T211" s="73">
        <v>0.31</v>
      </c>
      <c r="U211" s="73">
        <f>IF(AND($Q211&gt;0,ISNUMBER($T211)),$Q211*$T211,0)</f>
        <v>0</v>
      </c>
      <c r="V211" s="68">
        <f>SUM(W211:AB211)</f>
        <v>0</v>
      </c>
      <c r="W211" s="68"/>
      <c r="X211" s="68"/>
      <c r="Y211" s="68"/>
      <c r="Z211" s="68"/>
      <c r="AA211" s="68"/>
      <c r="AB211" s="68"/>
      <c r="AC211" s="68"/>
      <c r="AD211" s="75">
        <f>SUM(AE211:AJ211)</f>
        <v>0</v>
      </c>
      <c r="AE211" s="76"/>
      <c r="AF211" s="76"/>
      <c r="AG211" s="76"/>
      <c r="AH211" s="76"/>
      <c r="AI211" s="76"/>
      <c r="AJ211" s="76"/>
      <c r="AK211" s="76"/>
      <c r="AL211" s="77">
        <f>IF((P211-SUM(AE211:AK211))&lt;0,0,P211-SUM(AE211:AK211))</f>
        <v>1</v>
      </c>
      <c r="AM211" s="77">
        <f>SUM(AO211:AT211)</f>
        <v>0</v>
      </c>
      <c r="AN211" s="129"/>
      <c r="AO211" s="72"/>
      <c r="AP211" s="72"/>
      <c r="AQ211" s="72"/>
      <c r="AR211" s="72"/>
      <c r="AS211" s="72"/>
      <c r="AT211" s="129"/>
      <c r="AU211" s="129"/>
      <c r="AV211" s="70"/>
      <c r="AW211" s="72"/>
      <c r="AX211" s="72"/>
    </row>
    <row r="212" spans="1:50" ht="15" customHeight="1">
      <c r="A212" s="70" t="s">
        <v>1196</v>
      </c>
      <c r="B212" s="68" t="s">
        <v>1114</v>
      </c>
      <c r="C212" s="69" t="s">
        <v>45</v>
      </c>
      <c r="D212" s="70" t="s">
        <v>64</v>
      </c>
      <c r="E212" s="70" t="s">
        <v>222</v>
      </c>
      <c r="F212" s="68">
        <v>2</v>
      </c>
      <c r="G212" s="71" t="s">
        <v>125</v>
      </c>
      <c r="H212" s="71" t="s">
        <v>1197</v>
      </c>
      <c r="I212" s="71" t="s">
        <v>1198</v>
      </c>
      <c r="J212" s="71"/>
      <c r="K212" s="72"/>
      <c r="L212" s="72"/>
      <c r="M212" s="72"/>
      <c r="N212" s="72"/>
      <c r="O212" s="71" t="s">
        <v>53</v>
      </c>
      <c r="P212" s="69">
        <v>1</v>
      </c>
      <c r="Q212" s="68">
        <f>MAX(0,$V212-$P212-$S212)</f>
        <v>0</v>
      </c>
      <c r="R212" s="68"/>
      <c r="S212" s="68"/>
      <c r="T212" s="73">
        <v>0.08</v>
      </c>
      <c r="U212" s="73">
        <f>IF(AND($Q212&gt;0,ISNUMBER($T212)),$Q212*$T212,0)</f>
        <v>0</v>
      </c>
      <c r="V212" s="68">
        <f>SUM(W212:AB212)</f>
        <v>0</v>
      </c>
      <c r="W212" s="68"/>
      <c r="X212" s="68"/>
      <c r="Y212" s="68"/>
      <c r="Z212" s="68"/>
      <c r="AA212" s="68"/>
      <c r="AB212" s="68"/>
      <c r="AC212" s="68"/>
      <c r="AD212" s="75">
        <f>SUM(AE212:AJ212)</f>
        <v>0</v>
      </c>
      <c r="AE212" s="76"/>
      <c r="AF212" s="76"/>
      <c r="AG212" s="76"/>
      <c r="AH212" s="76"/>
      <c r="AI212" s="76"/>
      <c r="AJ212" s="76"/>
      <c r="AK212" s="76"/>
      <c r="AL212" s="77">
        <f>IF((P212-SUM(AE212:AK212))&lt;0,0,P212-SUM(AE212:AK212))</f>
        <v>1</v>
      </c>
      <c r="AM212" s="77">
        <f>SUM(AO212:AT212)</f>
        <v>0</v>
      </c>
      <c r="AN212" s="129"/>
      <c r="AO212" s="72"/>
      <c r="AP212" s="129"/>
      <c r="AQ212" s="129"/>
      <c r="AR212" s="129"/>
      <c r="AS212" s="129"/>
      <c r="AT212" s="72"/>
      <c r="AU212" s="129"/>
      <c r="AV212" s="70"/>
      <c r="AW212" s="72"/>
      <c r="AX212" s="72"/>
    </row>
    <row r="213" spans="1:50" ht="15" customHeight="1">
      <c r="A213" s="70" t="s">
        <v>957</v>
      </c>
      <c r="B213" s="68" t="s">
        <v>919</v>
      </c>
      <c r="C213" s="69" t="s">
        <v>45</v>
      </c>
      <c r="D213" s="70" t="s">
        <v>627</v>
      </c>
      <c r="E213" s="70"/>
      <c r="F213" s="68">
        <v>0</v>
      </c>
      <c r="G213" s="71" t="s">
        <v>627</v>
      </c>
      <c r="H213" s="71" t="s">
        <v>958</v>
      </c>
      <c r="I213" s="71" t="s">
        <v>959</v>
      </c>
      <c r="J213" s="71"/>
      <c r="K213" s="69"/>
      <c r="L213" s="69"/>
      <c r="M213" s="69"/>
      <c r="N213" s="69"/>
      <c r="O213" s="71" t="s">
        <v>869</v>
      </c>
      <c r="P213" s="69">
        <v>1</v>
      </c>
      <c r="Q213" s="68">
        <f>MAX(0,$V213-$P213-$S213)</f>
        <v>0</v>
      </c>
      <c r="R213" s="68"/>
      <c r="S213" s="68"/>
      <c r="T213" s="73">
        <v>0.27</v>
      </c>
      <c r="U213" s="73">
        <f>IF(AND($Q213&gt;0,ISNUMBER($T213)),$Q213*$T213,0)</f>
        <v>0</v>
      </c>
      <c r="V213" s="68">
        <f>SUM(W213:AB213)</f>
        <v>1</v>
      </c>
      <c r="W213" s="68">
        <v>1</v>
      </c>
      <c r="X213" s="68"/>
      <c r="Y213" s="68"/>
      <c r="Z213" s="68"/>
      <c r="AA213" s="68"/>
      <c r="AB213" s="68"/>
      <c r="AC213" s="68"/>
      <c r="AD213" s="75">
        <f>SUM(AE213:AJ213)</f>
        <v>1</v>
      </c>
      <c r="AE213" s="76">
        <v>1</v>
      </c>
      <c r="AF213" s="76"/>
      <c r="AG213" s="76"/>
      <c r="AH213" s="76"/>
      <c r="AI213" s="76"/>
      <c r="AJ213" s="76"/>
      <c r="AK213" s="76"/>
      <c r="AL213" s="77">
        <f>IF((P213-SUM(AE213:AK213))&lt;0,0,P213-SUM(AE213:AK213))</f>
        <v>0</v>
      </c>
      <c r="AM213" s="77">
        <f>SUM(AO213:AT213)</f>
        <v>0</v>
      </c>
      <c r="AN213" s="129"/>
      <c r="AO213" s="72"/>
      <c r="AP213" s="72"/>
      <c r="AQ213" s="72"/>
      <c r="AR213" s="72"/>
      <c r="AS213" s="72"/>
      <c r="AT213" s="72"/>
      <c r="AU213" s="72"/>
      <c r="AV213" s="70"/>
      <c r="AW213" s="72"/>
      <c r="AX213" s="72"/>
    </row>
    <row r="214" spans="1:50" ht="15" customHeight="1">
      <c r="A214" s="70" t="s">
        <v>1199</v>
      </c>
      <c r="B214" s="68" t="s">
        <v>1114</v>
      </c>
      <c r="C214" s="69" t="s">
        <v>45</v>
      </c>
      <c r="D214" s="70" t="s">
        <v>64</v>
      </c>
      <c r="E214" s="70" t="s">
        <v>1200</v>
      </c>
      <c r="F214" s="68">
        <v>5</v>
      </c>
      <c r="G214" s="71" t="s">
        <v>176</v>
      </c>
      <c r="H214" s="71" t="s">
        <v>1201</v>
      </c>
      <c r="I214" s="71" t="s">
        <v>166</v>
      </c>
      <c r="J214" s="71"/>
      <c r="K214" s="69"/>
      <c r="L214" s="69"/>
      <c r="M214" s="69"/>
      <c r="N214" s="69"/>
      <c r="O214" s="71" t="s">
        <v>346</v>
      </c>
      <c r="P214" s="69">
        <v>1</v>
      </c>
      <c r="Q214" s="68">
        <f>MAX(0,$V214-$P214-$S214)</f>
        <v>0</v>
      </c>
      <c r="R214" s="68"/>
      <c r="S214" s="68"/>
      <c r="T214" s="73">
        <v>0.14000000000000001</v>
      </c>
      <c r="U214" s="73">
        <f>IF(AND($Q214&gt;0,ISNUMBER($T214)),$Q214*$T214,0)</f>
        <v>0</v>
      </c>
      <c r="V214" s="68">
        <f>SUM(W214:AB214)</f>
        <v>1</v>
      </c>
      <c r="W214" s="68"/>
      <c r="X214" s="68">
        <v>1</v>
      </c>
      <c r="Y214" s="68"/>
      <c r="Z214" s="68"/>
      <c r="AA214" s="68"/>
      <c r="AB214" s="68"/>
      <c r="AC214" s="68"/>
      <c r="AD214" s="75">
        <f>SUM(AE214:AJ214)</f>
        <v>1</v>
      </c>
      <c r="AE214" s="76"/>
      <c r="AF214" s="76">
        <v>1</v>
      </c>
      <c r="AG214" s="76"/>
      <c r="AH214" s="76"/>
      <c r="AI214" s="76"/>
      <c r="AJ214" s="76"/>
      <c r="AK214" s="76"/>
      <c r="AL214" s="77">
        <f>IF((P214-SUM(AE214:AK214))&lt;0,0,P214-SUM(AE214:AK214))</f>
        <v>0</v>
      </c>
      <c r="AM214" s="77">
        <f>SUM(AO214:AT214)</f>
        <v>0</v>
      </c>
      <c r="AN214" s="85"/>
      <c r="AO214" s="72"/>
      <c r="AP214" s="72"/>
      <c r="AQ214" s="72"/>
      <c r="AR214" s="72"/>
      <c r="AS214" s="72"/>
      <c r="AT214" s="85"/>
      <c r="AU214" s="85"/>
      <c r="AV214" s="70"/>
      <c r="AW214" s="72"/>
      <c r="AX214" s="129"/>
    </row>
    <row r="215" spans="1:50" ht="15" customHeight="1">
      <c r="A215" s="70" t="s">
        <v>2034</v>
      </c>
      <c r="B215" s="68" t="s">
        <v>1971</v>
      </c>
      <c r="C215" s="69" t="s">
        <v>45</v>
      </c>
      <c r="D215" s="70" t="s">
        <v>72</v>
      </c>
      <c r="E215" s="70"/>
      <c r="F215" s="68">
        <v>2</v>
      </c>
      <c r="G215" s="71" t="s">
        <v>49</v>
      </c>
      <c r="H215" s="71" t="s">
        <v>2035</v>
      </c>
      <c r="I215" s="71" t="s">
        <v>2036</v>
      </c>
      <c r="J215" s="71" t="s">
        <v>2037</v>
      </c>
      <c r="K215" s="72"/>
      <c r="L215" s="72"/>
      <c r="M215" s="72"/>
      <c r="N215" s="72"/>
      <c r="O215" s="71" t="s">
        <v>1469</v>
      </c>
      <c r="P215" s="69">
        <v>1</v>
      </c>
      <c r="Q215" s="68">
        <f>MAX(0,$V215-$P215-$S215)</f>
        <v>0</v>
      </c>
      <c r="R215" s="68"/>
      <c r="S215" s="68"/>
      <c r="T215" s="73">
        <v>0.28999999999999998</v>
      </c>
      <c r="U215" s="73">
        <f>IF(AND($Q215&gt;0,ISNUMBER($T215)),$Q215*$T215,0)</f>
        <v>0</v>
      </c>
      <c r="V215" s="68">
        <f>SUM(W215:AB215)</f>
        <v>0</v>
      </c>
      <c r="W215" s="68"/>
      <c r="X215" s="68"/>
      <c r="Y215" s="68"/>
      <c r="Z215" s="68"/>
      <c r="AA215" s="68"/>
      <c r="AB215" s="68"/>
      <c r="AC215" s="68"/>
      <c r="AD215" s="75">
        <f>SUM(AE215:AJ215)</f>
        <v>0</v>
      </c>
      <c r="AE215" s="76"/>
      <c r="AF215" s="76"/>
      <c r="AG215" s="76"/>
      <c r="AH215" s="76"/>
      <c r="AI215" s="76"/>
      <c r="AJ215" s="76"/>
      <c r="AK215" s="76"/>
      <c r="AL215" s="77">
        <f>IF((P215-SUM(AE215:AK215))&lt;0,0,P215-SUM(AE215:AK215))</f>
        <v>1</v>
      </c>
      <c r="AM215" s="77">
        <f>SUM(AO215:AT215)</f>
        <v>0</v>
      </c>
      <c r="AN215" s="85"/>
      <c r="AO215" s="72"/>
      <c r="AP215" s="85"/>
      <c r="AQ215" s="85"/>
      <c r="AR215" s="85"/>
      <c r="AS215" s="85"/>
      <c r="AT215" s="72"/>
      <c r="AU215" s="85"/>
      <c r="AV215" s="70"/>
      <c r="AW215" s="72"/>
      <c r="AX215" s="72"/>
    </row>
    <row r="216" spans="1:50" ht="15" customHeight="1">
      <c r="A216" s="70" t="s">
        <v>1202</v>
      </c>
      <c r="B216" s="68" t="s">
        <v>1114</v>
      </c>
      <c r="C216" s="69" t="s">
        <v>45</v>
      </c>
      <c r="D216" s="70" t="s">
        <v>64</v>
      </c>
      <c r="E216" s="70" t="s">
        <v>1203</v>
      </c>
      <c r="F216" s="68">
        <v>2</v>
      </c>
      <c r="G216" s="71" t="s">
        <v>392</v>
      </c>
      <c r="H216" s="71" t="s">
        <v>1204</v>
      </c>
      <c r="I216" s="71"/>
      <c r="J216" s="71"/>
      <c r="K216" s="69"/>
      <c r="L216" s="69"/>
      <c r="M216" s="69"/>
      <c r="N216" s="69"/>
      <c r="O216" s="71" t="s">
        <v>378</v>
      </c>
      <c r="P216" s="69">
        <v>1</v>
      </c>
      <c r="Q216" s="68">
        <f>MAX(0,$V216-$P216-$S216)</f>
        <v>0</v>
      </c>
      <c r="R216" s="68"/>
      <c r="S216" s="68"/>
      <c r="T216" s="73">
        <v>0.23</v>
      </c>
      <c r="U216" s="73">
        <f>IF(AND($Q216&gt;0,ISNUMBER($T216)),$Q216*$T216,0)</f>
        <v>0</v>
      </c>
      <c r="V216" s="68">
        <f>SUM(W216:AB216)</f>
        <v>1</v>
      </c>
      <c r="W216" s="68"/>
      <c r="X216" s="68">
        <v>1</v>
      </c>
      <c r="Y216" s="68"/>
      <c r="Z216" s="68"/>
      <c r="AA216" s="68"/>
      <c r="AB216" s="68"/>
      <c r="AC216" s="68"/>
      <c r="AD216" s="75">
        <f>SUM(AE216:AJ216)</f>
        <v>1</v>
      </c>
      <c r="AE216" s="76"/>
      <c r="AF216" s="76">
        <v>1</v>
      </c>
      <c r="AG216" s="76"/>
      <c r="AH216" s="76"/>
      <c r="AI216" s="76"/>
      <c r="AJ216" s="76"/>
      <c r="AK216" s="76"/>
      <c r="AL216" s="77">
        <f>IF((P216-SUM(AE216:AK216))&lt;0,0,P216-SUM(AE216:AK216))</f>
        <v>0</v>
      </c>
      <c r="AM216" s="77">
        <f>SUM(AO216:AT216)</f>
        <v>0</v>
      </c>
      <c r="AN216" s="129"/>
      <c r="AO216" s="72"/>
      <c r="AP216" s="72"/>
      <c r="AQ216" s="72"/>
      <c r="AR216" s="72"/>
      <c r="AS216" s="72"/>
      <c r="AT216" s="72"/>
      <c r="AU216" s="72"/>
      <c r="AV216" s="70"/>
      <c r="AW216" s="72"/>
      <c r="AX216" s="72"/>
    </row>
    <row r="217" spans="1:50" ht="15" customHeight="1">
      <c r="A217" s="70" t="s">
        <v>2038</v>
      </c>
      <c r="B217" s="68" t="s">
        <v>1971</v>
      </c>
      <c r="C217" s="69" t="s">
        <v>45</v>
      </c>
      <c r="D217" s="70" t="s">
        <v>47</v>
      </c>
      <c r="E217" s="70"/>
      <c r="F217" s="68">
        <v>3</v>
      </c>
      <c r="G217" s="71" t="s">
        <v>49</v>
      </c>
      <c r="H217" s="71" t="s">
        <v>2039</v>
      </c>
      <c r="I217" s="71" t="s">
        <v>2040</v>
      </c>
      <c r="J217" s="71"/>
      <c r="K217" s="72"/>
      <c r="L217" s="72"/>
      <c r="M217" s="72"/>
      <c r="N217" s="72"/>
      <c r="O217" s="71" t="s">
        <v>284</v>
      </c>
      <c r="P217" s="69">
        <v>1</v>
      </c>
      <c r="Q217" s="68">
        <f>MAX(0,$V217-$P217-$S217)</f>
        <v>0</v>
      </c>
      <c r="R217" s="68"/>
      <c r="S217" s="68"/>
      <c r="T217" s="73">
        <v>0.23</v>
      </c>
      <c r="U217" s="73">
        <f>IF(AND($Q217&gt;0,ISNUMBER($T217)),$Q217*$T217,0)</f>
        <v>0</v>
      </c>
      <c r="V217" s="68">
        <f>SUM(W217:AB217)</f>
        <v>1</v>
      </c>
      <c r="W217" s="68"/>
      <c r="X217" s="68"/>
      <c r="Y217" s="68"/>
      <c r="Z217" s="68">
        <v>1</v>
      </c>
      <c r="AA217" s="68"/>
      <c r="AB217" s="68"/>
      <c r="AC217" s="68"/>
      <c r="AD217" s="75">
        <f>SUM(AE217:AJ217)</f>
        <v>1</v>
      </c>
      <c r="AE217" s="76"/>
      <c r="AF217" s="76"/>
      <c r="AG217" s="76"/>
      <c r="AH217" s="76">
        <v>1</v>
      </c>
      <c r="AI217" s="76"/>
      <c r="AJ217" s="76"/>
      <c r="AK217" s="76"/>
      <c r="AL217" s="77">
        <f>IF((P217-SUM(AE217:AK217))&lt;0,0,P217-SUM(AE217:AK217))</f>
        <v>0</v>
      </c>
      <c r="AM217" s="77">
        <f>SUM(AO217:AT217)</f>
        <v>0</v>
      </c>
      <c r="AN217" s="72"/>
      <c r="AO217" s="72"/>
      <c r="AP217" s="72"/>
      <c r="AQ217" s="72"/>
      <c r="AR217" s="72"/>
      <c r="AS217" s="72"/>
      <c r="AT217" s="72"/>
      <c r="AU217" s="72"/>
      <c r="AV217" s="70"/>
      <c r="AW217" s="72"/>
      <c r="AX217" s="72"/>
    </row>
    <row r="218" spans="1:50" ht="15" customHeight="1">
      <c r="A218" s="70" t="s">
        <v>2041</v>
      </c>
      <c r="B218" s="68" t="s">
        <v>1971</v>
      </c>
      <c r="C218" s="69" t="s">
        <v>45</v>
      </c>
      <c r="D218" s="70" t="s">
        <v>64</v>
      </c>
      <c r="E218" s="70" t="s">
        <v>2042</v>
      </c>
      <c r="F218" s="68">
        <v>4</v>
      </c>
      <c r="G218" s="71" t="s">
        <v>54</v>
      </c>
      <c r="H218" s="71" t="s">
        <v>197</v>
      </c>
      <c r="I218" s="71" t="s">
        <v>2043</v>
      </c>
      <c r="J218" s="71" t="s">
        <v>2044</v>
      </c>
      <c r="K218" s="72"/>
      <c r="L218" s="72"/>
      <c r="M218" s="72"/>
      <c r="N218" s="72"/>
      <c r="O218" s="71" t="s">
        <v>1083</v>
      </c>
      <c r="P218" s="69">
        <v>1</v>
      </c>
      <c r="Q218" s="68">
        <f>MAX(0,$V218-$P218-$S218)</f>
        <v>0</v>
      </c>
      <c r="R218" s="68"/>
      <c r="S218" s="68"/>
      <c r="T218" s="73">
        <v>0.3</v>
      </c>
      <c r="U218" s="73">
        <f>IF(AND($Q218&gt;0,ISNUMBER($T218)),$Q218*$T218,0)</f>
        <v>0</v>
      </c>
      <c r="V218" s="68">
        <f>SUM(W218:AB218)</f>
        <v>1</v>
      </c>
      <c r="W218" s="68"/>
      <c r="X218" s="68"/>
      <c r="Y218" s="68"/>
      <c r="Z218" s="68"/>
      <c r="AA218" s="68">
        <v>1</v>
      </c>
      <c r="AB218" s="68"/>
      <c r="AC218" s="68"/>
      <c r="AD218" s="75">
        <f>SUM(AE218:AJ218)</f>
        <v>1</v>
      </c>
      <c r="AE218" s="76"/>
      <c r="AF218" s="76"/>
      <c r="AG218" s="76"/>
      <c r="AH218" s="76"/>
      <c r="AI218" s="76">
        <v>1</v>
      </c>
      <c r="AJ218" s="76"/>
      <c r="AK218" s="76"/>
      <c r="AL218" s="77">
        <f>IF((P218-SUM(AE218:AK218))&lt;0,0,P218-SUM(AE218:AK218))</f>
        <v>0</v>
      </c>
      <c r="AM218" s="77">
        <f>SUM(AO218:AT218)</f>
        <v>0</v>
      </c>
      <c r="AN218" s="129"/>
      <c r="AO218" s="72"/>
      <c r="AP218" s="129"/>
      <c r="AQ218" s="129"/>
      <c r="AR218" s="72"/>
      <c r="AS218" s="72"/>
      <c r="AT218" s="72"/>
      <c r="AU218" s="129"/>
      <c r="AV218" s="70"/>
      <c r="AW218" s="72"/>
      <c r="AX218" s="72"/>
    </row>
    <row r="219" spans="1:50" ht="15" customHeight="1">
      <c r="A219" s="67" t="s">
        <v>1568</v>
      </c>
      <c r="B219" s="68" t="s">
        <v>1499</v>
      </c>
      <c r="C219" s="69" t="s">
        <v>45</v>
      </c>
      <c r="D219" s="70" t="s">
        <v>72</v>
      </c>
      <c r="E219" s="70" t="s">
        <v>111</v>
      </c>
      <c r="F219" s="68">
        <v>2</v>
      </c>
      <c r="G219" s="71" t="s">
        <v>49</v>
      </c>
      <c r="H219" s="71" t="s">
        <v>1569</v>
      </c>
      <c r="I219" s="71" t="s">
        <v>1570</v>
      </c>
      <c r="J219" s="71"/>
      <c r="K219" s="72"/>
      <c r="L219" s="72"/>
      <c r="M219" s="72"/>
      <c r="N219" s="72"/>
      <c r="O219" s="71" t="s">
        <v>112</v>
      </c>
      <c r="P219" s="69">
        <v>1</v>
      </c>
      <c r="Q219" s="68">
        <f>MAX(0,$V219-$P219-$S219)</f>
        <v>0</v>
      </c>
      <c r="R219" s="68"/>
      <c r="S219" s="68"/>
      <c r="T219" s="73">
        <v>0.3</v>
      </c>
      <c r="U219" s="73">
        <f>IF(AND($Q219&gt;0,ISNUMBER($T219)),$Q219*$T219,0)</f>
        <v>0</v>
      </c>
      <c r="V219" s="68">
        <f>SUM(W219:AB219)</f>
        <v>0</v>
      </c>
      <c r="W219" s="68"/>
      <c r="X219" s="68"/>
      <c r="Y219" s="68"/>
      <c r="Z219" s="68"/>
      <c r="AA219" s="68"/>
      <c r="AB219" s="74"/>
      <c r="AC219" s="68"/>
      <c r="AD219" s="75">
        <f>SUM(AE219:AJ219)</f>
        <v>0</v>
      </c>
      <c r="AE219" s="76"/>
      <c r="AF219" s="76"/>
      <c r="AG219" s="76"/>
      <c r="AH219" s="76"/>
      <c r="AI219" s="76"/>
      <c r="AJ219" s="76"/>
      <c r="AK219" s="76"/>
      <c r="AL219" s="77">
        <f>IF((P219-SUM(AE219:AK219))&lt;0,0,P219-SUM(AE219:AK219))</f>
        <v>1</v>
      </c>
      <c r="AM219" s="77">
        <f>SUM(AO219:AT219)</f>
        <v>0</v>
      </c>
      <c r="AN219" s="129"/>
      <c r="AO219" s="72"/>
      <c r="AP219" s="72"/>
      <c r="AQ219" s="72"/>
      <c r="AR219" s="129"/>
      <c r="AS219" s="72"/>
      <c r="AT219" s="72"/>
      <c r="AU219" s="129"/>
      <c r="AV219" s="70"/>
      <c r="AW219" s="72"/>
      <c r="AX219" s="72"/>
    </row>
    <row r="220" spans="1:50" ht="15" customHeight="1">
      <c r="A220" s="81" t="s">
        <v>960</v>
      </c>
      <c r="B220" s="68" t="s">
        <v>919</v>
      </c>
      <c r="C220" s="69" t="s">
        <v>45</v>
      </c>
      <c r="D220" s="70" t="s">
        <v>627</v>
      </c>
      <c r="E220" s="70"/>
      <c r="F220" s="68">
        <v>0</v>
      </c>
      <c r="G220" s="71" t="s">
        <v>627</v>
      </c>
      <c r="H220" s="71" t="s">
        <v>356</v>
      </c>
      <c r="I220" s="71"/>
      <c r="J220" s="71"/>
      <c r="K220" s="69"/>
      <c r="L220" s="69"/>
      <c r="M220" s="69"/>
      <c r="N220" s="69"/>
      <c r="O220" s="71" t="s">
        <v>961</v>
      </c>
      <c r="P220" s="69">
        <v>1</v>
      </c>
      <c r="Q220" s="68">
        <f>MAX(0,$V220-$P220-$S220)</f>
        <v>4</v>
      </c>
      <c r="R220" s="68"/>
      <c r="S220" s="68"/>
      <c r="T220" s="73">
        <v>0.22</v>
      </c>
      <c r="U220" s="73">
        <f>IF(AND($Q220&gt;0,ISNUMBER($T220)),$Q220*$T220,0)</f>
        <v>0.88</v>
      </c>
      <c r="V220" s="68">
        <f>SUM(W220:AB220)</f>
        <v>5</v>
      </c>
      <c r="W220" s="68">
        <v>1</v>
      </c>
      <c r="X220" s="82">
        <v>1</v>
      </c>
      <c r="Y220" s="82">
        <v>1</v>
      </c>
      <c r="Z220" s="82">
        <v>1</v>
      </c>
      <c r="AA220" s="82">
        <v>1</v>
      </c>
      <c r="AB220" s="68"/>
      <c r="AC220" s="68"/>
      <c r="AD220" s="75">
        <f>SUM(AE220:AJ220)</f>
        <v>1</v>
      </c>
      <c r="AE220" s="76">
        <v>1</v>
      </c>
      <c r="AF220" s="76"/>
      <c r="AG220" s="76"/>
      <c r="AH220" s="76"/>
      <c r="AI220" s="76"/>
      <c r="AJ220" s="76"/>
      <c r="AK220" s="76"/>
      <c r="AL220" s="77">
        <f>IF((P220-SUM(AE220:AK220))&lt;0,0,P220-SUM(AE220:AK220))</f>
        <v>0</v>
      </c>
      <c r="AM220" s="77">
        <f>SUM(AO220:AT220)</f>
        <v>0</v>
      </c>
      <c r="AN220" s="138" t="s">
        <v>81</v>
      </c>
      <c r="AO220" s="72"/>
      <c r="AP220" s="72"/>
      <c r="AQ220" s="72"/>
      <c r="AR220" s="72"/>
      <c r="AS220" s="72"/>
      <c r="AT220" s="72"/>
      <c r="AU220" s="28" t="s">
        <v>962</v>
      </c>
      <c r="AV220" s="70"/>
      <c r="AW220" s="72"/>
      <c r="AX220" s="84"/>
    </row>
    <row r="221" spans="1:50" ht="15" customHeight="1">
      <c r="A221" s="86" t="s">
        <v>1574</v>
      </c>
      <c r="B221" s="68" t="s">
        <v>1499</v>
      </c>
      <c r="C221" s="69" t="s">
        <v>45</v>
      </c>
      <c r="D221" s="70" t="s">
        <v>64</v>
      </c>
      <c r="E221" s="70" t="s">
        <v>222</v>
      </c>
      <c r="F221" s="68">
        <v>2</v>
      </c>
      <c r="G221" s="71" t="s">
        <v>176</v>
      </c>
      <c r="H221" s="71" t="s">
        <v>1575</v>
      </c>
      <c r="I221" s="71" t="s">
        <v>1576</v>
      </c>
      <c r="J221" s="71"/>
      <c r="K221" s="72"/>
      <c r="L221" s="72"/>
      <c r="M221" s="72"/>
      <c r="N221" s="72"/>
      <c r="O221" s="71" t="s">
        <v>576</v>
      </c>
      <c r="P221" s="69">
        <v>1</v>
      </c>
      <c r="Q221" s="68">
        <f>MAX(0,$V221-$P221-$S221)</f>
        <v>0</v>
      </c>
      <c r="R221" s="68"/>
      <c r="S221" s="68"/>
      <c r="T221" s="73">
        <v>0.3</v>
      </c>
      <c r="U221" s="73">
        <f>IF(AND($Q221&gt;0,ISNUMBER($T221)),$Q221*$T221,0)</f>
        <v>0</v>
      </c>
      <c r="V221" s="68">
        <f>SUM(W221:AB221)</f>
        <v>0</v>
      </c>
      <c r="W221" s="87"/>
      <c r="X221" s="68"/>
      <c r="Y221" s="68"/>
      <c r="Z221" s="68"/>
      <c r="AA221" s="68"/>
      <c r="AB221" s="68"/>
      <c r="AC221" s="68"/>
      <c r="AD221" s="75">
        <f>SUM(AE221:AJ221)</f>
        <v>0</v>
      </c>
      <c r="AE221" s="76"/>
      <c r="AF221" s="76"/>
      <c r="AG221" s="76"/>
      <c r="AH221" s="76"/>
      <c r="AI221" s="76"/>
      <c r="AJ221" s="76"/>
      <c r="AK221" s="76"/>
      <c r="AL221" s="77">
        <f>IF((P221-SUM(AE221:AK221))&lt;0,0,P221-SUM(AE221:AK221))</f>
        <v>1</v>
      </c>
      <c r="AM221" s="77">
        <f>SUM(AO221:AT221)</f>
        <v>0</v>
      </c>
      <c r="AN221" s="129"/>
      <c r="AO221" s="72"/>
      <c r="AP221" s="72"/>
      <c r="AQ221" s="72"/>
      <c r="AR221" s="129"/>
      <c r="AS221" s="72"/>
      <c r="AT221" s="72"/>
      <c r="AU221" s="129"/>
      <c r="AV221" s="70"/>
      <c r="AW221" s="72"/>
      <c r="AX221" s="72"/>
    </row>
    <row r="222" spans="1:50" ht="15" customHeight="1">
      <c r="A222" s="86" t="s">
        <v>417</v>
      </c>
      <c r="B222" s="68" t="s">
        <v>345</v>
      </c>
      <c r="C222" s="69" t="s">
        <v>45</v>
      </c>
      <c r="D222" s="70" t="s">
        <v>359</v>
      </c>
      <c r="E222" s="70" t="s">
        <v>418</v>
      </c>
      <c r="F222" s="68">
        <v>2</v>
      </c>
      <c r="G222" s="71" t="s">
        <v>296</v>
      </c>
      <c r="H222" s="71" t="s">
        <v>420</v>
      </c>
      <c r="I222" s="71"/>
      <c r="J222" s="71"/>
      <c r="K222" s="72"/>
      <c r="L222" s="72"/>
      <c r="M222" s="72"/>
      <c r="N222" s="72"/>
      <c r="O222" s="71" t="s">
        <v>419</v>
      </c>
      <c r="P222" s="69">
        <v>1</v>
      </c>
      <c r="Q222" s="68">
        <f>MAX(0,$V222-$P222-$S222)</f>
        <v>0</v>
      </c>
      <c r="R222" s="68"/>
      <c r="S222" s="68"/>
      <c r="T222" s="73">
        <v>0.31</v>
      </c>
      <c r="U222" s="73">
        <f>IF(AND($Q222&gt;0,ISNUMBER($T222)),$Q222*$T222,0)</f>
        <v>0</v>
      </c>
      <c r="V222" s="68">
        <f>SUM(W222:AB222)</f>
        <v>1</v>
      </c>
      <c r="W222" s="87">
        <v>1</v>
      </c>
      <c r="X222" s="68"/>
      <c r="Y222" s="68"/>
      <c r="Z222" s="68"/>
      <c r="AA222" s="68"/>
      <c r="AB222" s="68"/>
      <c r="AC222" s="68"/>
      <c r="AD222" s="75">
        <f>SUM(AE222:AJ222)</f>
        <v>1</v>
      </c>
      <c r="AE222" s="76">
        <v>1</v>
      </c>
      <c r="AF222" s="76"/>
      <c r="AG222" s="76"/>
      <c r="AH222" s="76"/>
      <c r="AI222" s="76"/>
      <c r="AJ222" s="76"/>
      <c r="AK222" s="76"/>
      <c r="AL222" s="77">
        <f>IF((P222-SUM(AE222:AK222))&lt;0,0,P222-SUM(AE222:AK222))</f>
        <v>0</v>
      </c>
      <c r="AM222" s="77">
        <f>SUM(AO222:AT222)</f>
        <v>0</v>
      </c>
      <c r="AN222" s="72"/>
      <c r="AO222" s="72"/>
      <c r="AP222" s="72"/>
      <c r="AQ222" s="72"/>
      <c r="AR222" s="72"/>
      <c r="AS222" s="72"/>
      <c r="AT222" s="72"/>
      <c r="AU222" s="72"/>
      <c r="AV222" s="70"/>
      <c r="AW222" s="72"/>
      <c r="AX222" s="72"/>
    </row>
    <row r="223" spans="1:50" ht="15" customHeight="1">
      <c r="A223" s="70" t="s">
        <v>1209</v>
      </c>
      <c r="B223" s="68" t="s">
        <v>1114</v>
      </c>
      <c r="C223" s="69" t="s">
        <v>45</v>
      </c>
      <c r="D223" s="70" t="s">
        <v>64</v>
      </c>
      <c r="E223" s="70" t="s">
        <v>1210</v>
      </c>
      <c r="F223" s="68">
        <v>2</v>
      </c>
      <c r="G223" s="71" t="s">
        <v>60</v>
      </c>
      <c r="H223" s="71" t="s">
        <v>1211</v>
      </c>
      <c r="I223" s="71"/>
      <c r="J223" s="71"/>
      <c r="K223" s="72"/>
      <c r="L223" s="72"/>
      <c r="M223" s="72"/>
      <c r="N223" s="72"/>
      <c r="O223" s="71" t="s">
        <v>381</v>
      </c>
      <c r="P223" s="69">
        <v>1</v>
      </c>
      <c r="Q223" s="68">
        <f>MAX(0,$V223-$P223-$S223)</f>
        <v>0</v>
      </c>
      <c r="R223" s="68" t="s">
        <v>57</v>
      </c>
      <c r="S223" s="68">
        <v>1</v>
      </c>
      <c r="T223" s="73">
        <v>0.69</v>
      </c>
      <c r="U223" s="73">
        <f>IF(AND($Q223&gt;0,ISNUMBER($T223)),$Q223*$T223,0)</f>
        <v>0</v>
      </c>
      <c r="V223" s="68">
        <f>SUM(W223:AB223)</f>
        <v>1</v>
      </c>
      <c r="W223" s="68"/>
      <c r="X223" s="68"/>
      <c r="Y223" s="68"/>
      <c r="Z223" s="68"/>
      <c r="AA223" s="68">
        <v>1</v>
      </c>
      <c r="AB223" s="68"/>
      <c r="AC223" s="68"/>
      <c r="AD223" s="75">
        <f>SUM(AE223:AJ223)</f>
        <v>1</v>
      </c>
      <c r="AE223" s="76"/>
      <c r="AF223" s="76"/>
      <c r="AG223" s="76"/>
      <c r="AH223" s="76"/>
      <c r="AI223" s="76">
        <v>1</v>
      </c>
      <c r="AJ223" s="76"/>
      <c r="AK223" s="76"/>
      <c r="AL223" s="77">
        <f>IF((P223-SUM(AE223:AK223))&lt;0,0,P223-SUM(AE223:AK223))</f>
        <v>0</v>
      </c>
      <c r="AM223" s="77">
        <f>SUM(AO223:AT223)</f>
        <v>0</v>
      </c>
      <c r="AN223" s="85"/>
      <c r="AO223" s="72"/>
      <c r="AP223" s="129"/>
      <c r="AQ223" s="72"/>
      <c r="AR223" s="72"/>
      <c r="AS223" s="72"/>
      <c r="AT223" s="72"/>
      <c r="AU223" s="129"/>
      <c r="AV223" s="70"/>
      <c r="AW223" s="72"/>
      <c r="AX223" s="72"/>
    </row>
    <row r="224" spans="1:50" ht="15" customHeight="1">
      <c r="A224" s="70" t="s">
        <v>1846</v>
      </c>
      <c r="B224" s="68" t="s">
        <v>1831</v>
      </c>
      <c r="C224" s="69" t="s">
        <v>45</v>
      </c>
      <c r="D224" s="70" t="s">
        <v>72</v>
      </c>
      <c r="E224" s="70"/>
      <c r="F224" s="68">
        <v>2</v>
      </c>
      <c r="G224" s="71" t="s">
        <v>1332</v>
      </c>
      <c r="H224" s="71" t="s">
        <v>1847</v>
      </c>
      <c r="I224" s="71"/>
      <c r="J224" s="71"/>
      <c r="K224" s="69"/>
      <c r="L224" s="69"/>
      <c r="M224" s="69"/>
      <c r="N224" s="69"/>
      <c r="O224" s="71" t="s">
        <v>271</v>
      </c>
      <c r="P224" s="69">
        <v>1</v>
      </c>
      <c r="Q224" s="68">
        <f>MAX(0,$V224-$P224-$S224)</f>
        <v>0</v>
      </c>
      <c r="R224" s="68"/>
      <c r="S224" s="68"/>
      <c r="T224" s="73">
        <v>4</v>
      </c>
      <c r="U224" s="73">
        <f>IF(AND($Q224&gt;0,ISNUMBER($T224)),$Q224*$T224,0)</f>
        <v>0</v>
      </c>
      <c r="V224" s="68">
        <f>SUM(W224:AB224)</f>
        <v>1</v>
      </c>
      <c r="W224" s="68"/>
      <c r="X224" s="68">
        <v>1</v>
      </c>
      <c r="Y224" s="68"/>
      <c r="Z224" s="68"/>
      <c r="AA224" s="68"/>
      <c r="AB224" s="68"/>
      <c r="AC224" s="68"/>
      <c r="AD224" s="75">
        <f>SUM(AE224:AJ224)</f>
        <v>1</v>
      </c>
      <c r="AE224" s="76"/>
      <c r="AF224" s="76">
        <v>1</v>
      </c>
      <c r="AG224" s="76"/>
      <c r="AH224" s="76"/>
      <c r="AI224" s="76"/>
      <c r="AJ224" s="76"/>
      <c r="AK224" s="76"/>
      <c r="AL224" s="77">
        <f>IF((P224-SUM(AE224:AK224))&lt;0,0,P224-SUM(AE224:AK224))</f>
        <v>0</v>
      </c>
      <c r="AM224" s="77">
        <f>SUM(AO224:AT224)</f>
        <v>0</v>
      </c>
      <c r="AN224" s="129"/>
      <c r="AO224" s="72"/>
      <c r="AP224" s="72"/>
      <c r="AQ224" s="72"/>
      <c r="AR224" s="72"/>
      <c r="AS224" s="72"/>
      <c r="AT224" s="72"/>
      <c r="AU224" s="72"/>
      <c r="AV224" s="70"/>
      <c r="AW224" s="72"/>
      <c r="AX224" s="129"/>
    </row>
    <row r="225" spans="1:50" ht="15" customHeight="1">
      <c r="A225" s="70" t="s">
        <v>2045</v>
      </c>
      <c r="B225" s="68" t="s">
        <v>1971</v>
      </c>
      <c r="C225" s="69" t="s">
        <v>45</v>
      </c>
      <c r="D225" s="70" t="s">
        <v>64</v>
      </c>
      <c r="E225" s="70" t="s">
        <v>1130</v>
      </c>
      <c r="F225" s="68">
        <v>3</v>
      </c>
      <c r="G225" s="71" t="s">
        <v>125</v>
      </c>
      <c r="H225" s="71" t="s">
        <v>2046</v>
      </c>
      <c r="I225" s="71"/>
      <c r="J225" s="71"/>
      <c r="K225" s="72"/>
      <c r="L225" s="72"/>
      <c r="M225" s="72"/>
      <c r="N225" s="72"/>
      <c r="O225" s="71" t="s">
        <v>866</v>
      </c>
      <c r="P225" s="69">
        <v>1</v>
      </c>
      <c r="Q225" s="68">
        <f>MAX(0,$V225-$P225-$S225)</f>
        <v>0</v>
      </c>
      <c r="R225" s="68"/>
      <c r="S225" s="68"/>
      <c r="T225" s="73">
        <v>0.21</v>
      </c>
      <c r="U225" s="73">
        <f>IF(AND($Q225&gt;0,ISNUMBER($T225)),$Q225*$T225,0)</f>
        <v>0</v>
      </c>
      <c r="V225" s="68">
        <f>SUM(W225:AB225)</f>
        <v>0</v>
      </c>
      <c r="W225" s="68"/>
      <c r="X225" s="68"/>
      <c r="Y225" s="68"/>
      <c r="Z225" s="68"/>
      <c r="AA225" s="68"/>
      <c r="AB225" s="68"/>
      <c r="AC225" s="68"/>
      <c r="AD225" s="75">
        <f>SUM(AE225:AJ225)</f>
        <v>0</v>
      </c>
      <c r="AE225" s="76"/>
      <c r="AF225" s="76"/>
      <c r="AG225" s="76"/>
      <c r="AH225" s="76"/>
      <c r="AI225" s="76"/>
      <c r="AJ225" s="76"/>
      <c r="AK225" s="76"/>
      <c r="AL225" s="77">
        <f>IF((P225-SUM(AE225:AK225))&lt;0,0,P225-SUM(AE225:AK225))</f>
        <v>1</v>
      </c>
      <c r="AM225" s="77">
        <f>SUM(AO225:AT225)</f>
        <v>0</v>
      </c>
      <c r="AN225" s="72"/>
      <c r="AO225" s="72"/>
      <c r="AP225" s="72"/>
      <c r="AQ225" s="72"/>
      <c r="AR225" s="72"/>
      <c r="AS225" s="72"/>
      <c r="AT225" s="72"/>
      <c r="AU225" s="72"/>
      <c r="AV225" s="70"/>
      <c r="AW225" s="72"/>
      <c r="AX225" s="72"/>
    </row>
    <row r="226" spans="1:50" ht="15" customHeight="1">
      <c r="A226" s="70" t="s">
        <v>421</v>
      </c>
      <c r="B226" s="68" t="s">
        <v>345</v>
      </c>
      <c r="C226" s="69" t="s">
        <v>45</v>
      </c>
      <c r="D226" s="70" t="s">
        <v>359</v>
      </c>
      <c r="E226" s="70" t="s">
        <v>323</v>
      </c>
      <c r="F226" s="68">
        <v>2</v>
      </c>
      <c r="G226" s="71" t="s">
        <v>422</v>
      </c>
      <c r="H226" s="71" t="s">
        <v>423</v>
      </c>
      <c r="I226" s="71"/>
      <c r="J226" s="71"/>
      <c r="K226" s="72"/>
      <c r="L226" s="72"/>
      <c r="M226" s="72"/>
      <c r="N226" s="72"/>
      <c r="O226" s="71" t="s">
        <v>355</v>
      </c>
      <c r="P226" s="69">
        <v>1</v>
      </c>
      <c r="Q226" s="68">
        <f>MAX(0,$V226-$P226-$S226)</f>
        <v>0</v>
      </c>
      <c r="R226" s="68"/>
      <c r="S226" s="68"/>
      <c r="T226" s="73">
        <v>0.75</v>
      </c>
      <c r="U226" s="73">
        <f>IF(AND($Q226&gt;0,ISNUMBER($T226)),$Q226*$T226,0)</f>
        <v>0</v>
      </c>
      <c r="V226" s="68">
        <f>SUM(W226:AB226)</f>
        <v>1</v>
      </c>
      <c r="W226" s="68"/>
      <c r="X226" s="68"/>
      <c r="Y226" s="68"/>
      <c r="Z226" s="68">
        <v>1</v>
      </c>
      <c r="AA226" s="68"/>
      <c r="AB226" s="68"/>
      <c r="AC226" s="68"/>
      <c r="AD226" s="75">
        <f>SUM(AE226:AJ226)</f>
        <v>1</v>
      </c>
      <c r="AE226" s="76"/>
      <c r="AF226" s="76"/>
      <c r="AG226" s="76"/>
      <c r="AH226" s="76">
        <v>1</v>
      </c>
      <c r="AI226" s="76"/>
      <c r="AJ226" s="76"/>
      <c r="AK226" s="76"/>
      <c r="AL226" s="77">
        <f>IF((P226-SUM(AE226:AK226))&lt;0,0,P226-SUM(AE226:AK226))</f>
        <v>0</v>
      </c>
      <c r="AM226" s="77">
        <f>SUM(AO226:AT226)</f>
        <v>0</v>
      </c>
      <c r="AN226" s="72"/>
      <c r="AO226" s="72"/>
      <c r="AP226" s="72"/>
      <c r="AQ226" s="72"/>
      <c r="AR226" s="72"/>
      <c r="AS226" s="72"/>
      <c r="AT226" s="72"/>
      <c r="AU226" s="72"/>
      <c r="AV226" s="70"/>
      <c r="AW226" s="72"/>
      <c r="AX226" s="72"/>
    </row>
    <row r="227" spans="1:50" ht="15" customHeight="1">
      <c r="A227" s="70" t="s">
        <v>1212</v>
      </c>
      <c r="B227" s="68" t="s">
        <v>1114</v>
      </c>
      <c r="C227" s="69" t="s">
        <v>45</v>
      </c>
      <c r="D227" s="70" t="s">
        <v>64</v>
      </c>
      <c r="E227" s="70" t="s">
        <v>77</v>
      </c>
      <c r="F227" s="68">
        <v>2</v>
      </c>
      <c r="G227" s="71" t="s">
        <v>60</v>
      </c>
      <c r="H227" s="71" t="s">
        <v>1213</v>
      </c>
      <c r="I227" s="71"/>
      <c r="J227" s="71"/>
      <c r="K227" s="72"/>
      <c r="L227" s="72"/>
      <c r="M227" s="72"/>
      <c r="N227" s="72"/>
      <c r="O227" s="71" t="s">
        <v>90</v>
      </c>
      <c r="P227" s="69">
        <v>1</v>
      </c>
      <c r="Q227" s="68">
        <f>MAX(0,$V227-$P227-$S227)</f>
        <v>0</v>
      </c>
      <c r="R227" s="68" t="s">
        <v>57</v>
      </c>
      <c r="S227" s="68">
        <v>1</v>
      </c>
      <c r="T227" s="73">
        <v>1.68</v>
      </c>
      <c r="U227" s="73">
        <f>IF(AND($Q227&gt;0,ISNUMBER($T227)),$Q227*$T227,0)</f>
        <v>0</v>
      </c>
      <c r="V227" s="68">
        <f>SUM(W227:AB227)</f>
        <v>1</v>
      </c>
      <c r="W227" s="68"/>
      <c r="X227" s="68"/>
      <c r="Y227" s="68"/>
      <c r="Z227" s="68"/>
      <c r="AA227" s="68">
        <v>1</v>
      </c>
      <c r="AB227" s="68"/>
      <c r="AC227" s="68"/>
      <c r="AD227" s="75">
        <f>SUM(AE227:AJ227)</f>
        <v>1</v>
      </c>
      <c r="AE227" s="76"/>
      <c r="AF227" s="76"/>
      <c r="AG227" s="76"/>
      <c r="AH227" s="76"/>
      <c r="AI227" s="76">
        <v>1</v>
      </c>
      <c r="AJ227" s="76"/>
      <c r="AK227" s="76"/>
      <c r="AL227" s="77">
        <f>IF((P227-SUM(AE227:AK227))&lt;0,0,P227-SUM(AE227:AK227))</f>
        <v>0</v>
      </c>
      <c r="AM227" s="77">
        <f>SUM(AO227:AT227)</f>
        <v>0</v>
      </c>
      <c r="AN227" s="85"/>
      <c r="AO227" s="72"/>
      <c r="AP227" s="129"/>
      <c r="AQ227" s="129"/>
      <c r="AR227" s="129"/>
      <c r="AS227" s="72"/>
      <c r="AT227" s="72"/>
      <c r="AU227" s="129"/>
      <c r="AV227" s="70"/>
      <c r="AW227" s="72"/>
      <c r="AX227" s="72"/>
    </row>
    <row r="228" spans="1:50" ht="15" customHeight="1">
      <c r="A228" s="70" t="s">
        <v>685</v>
      </c>
      <c r="B228" s="68" t="s">
        <v>636</v>
      </c>
      <c r="C228" s="69" t="s">
        <v>45</v>
      </c>
      <c r="D228" s="70" t="s">
        <v>47</v>
      </c>
      <c r="E228" s="70"/>
      <c r="F228" s="68">
        <v>3</v>
      </c>
      <c r="G228" s="71" t="s">
        <v>392</v>
      </c>
      <c r="H228" s="71" t="s">
        <v>686</v>
      </c>
      <c r="I228" s="71"/>
      <c r="J228" s="71"/>
      <c r="K228" s="72"/>
      <c r="L228" s="72"/>
      <c r="M228" s="72"/>
      <c r="N228" s="72"/>
      <c r="O228" s="71" t="s">
        <v>311</v>
      </c>
      <c r="P228" s="69">
        <v>1</v>
      </c>
      <c r="Q228" s="68">
        <f>MAX(0,$V228-$P228-$S228)</f>
        <v>0</v>
      </c>
      <c r="R228" s="68" t="s">
        <v>57</v>
      </c>
      <c r="S228" s="68">
        <v>1</v>
      </c>
      <c r="T228" s="73">
        <v>0.36</v>
      </c>
      <c r="U228" s="73">
        <f>IF(AND($Q228&gt;0,ISNUMBER($T228)),$Q228*$T228,0)</f>
        <v>0</v>
      </c>
      <c r="V228" s="68">
        <f>SUM(W228:AB228)</f>
        <v>1</v>
      </c>
      <c r="W228" s="68"/>
      <c r="X228" s="68">
        <v>1</v>
      </c>
      <c r="Y228" s="68"/>
      <c r="Z228" s="68"/>
      <c r="AA228" s="68"/>
      <c r="AB228" s="68"/>
      <c r="AC228" s="68"/>
      <c r="AD228" s="75">
        <f>SUM(AE228:AJ228)</f>
        <v>1</v>
      </c>
      <c r="AE228" s="76"/>
      <c r="AF228" s="76">
        <v>1</v>
      </c>
      <c r="AG228" s="76"/>
      <c r="AH228" s="76"/>
      <c r="AI228" s="76"/>
      <c r="AJ228" s="76"/>
      <c r="AK228" s="76"/>
      <c r="AL228" s="77">
        <f>IF((P228-SUM(AE228:AK228))&lt;0,0,P228-SUM(AE228:AK228))</f>
        <v>0</v>
      </c>
      <c r="AM228" s="77">
        <f>SUM(AO228:AT228)</f>
        <v>0</v>
      </c>
      <c r="AN228" s="85"/>
      <c r="AO228" s="72"/>
      <c r="AP228" s="72"/>
      <c r="AQ228" s="72"/>
      <c r="AR228" s="72"/>
      <c r="AS228" s="72"/>
      <c r="AT228" s="72"/>
      <c r="AU228" s="72"/>
      <c r="AV228" s="70"/>
      <c r="AW228" s="72"/>
      <c r="AX228" s="85"/>
    </row>
    <row r="229" spans="1:50" ht="15" customHeight="1">
      <c r="A229" s="70" t="s">
        <v>2047</v>
      </c>
      <c r="B229" s="68" t="s">
        <v>1971</v>
      </c>
      <c r="C229" s="69" t="s">
        <v>45</v>
      </c>
      <c r="D229" s="70" t="s">
        <v>64</v>
      </c>
      <c r="E229" s="70" t="s">
        <v>2048</v>
      </c>
      <c r="F229" s="68">
        <v>1</v>
      </c>
      <c r="G229" s="71" t="s">
        <v>675</v>
      </c>
      <c r="H229" s="71" t="s">
        <v>2049</v>
      </c>
      <c r="I229" s="71" t="s">
        <v>2050</v>
      </c>
      <c r="J229" s="71"/>
      <c r="K229" s="72"/>
      <c r="L229" s="72"/>
      <c r="M229" s="72"/>
      <c r="N229" s="72"/>
      <c r="O229" s="71" t="s">
        <v>112</v>
      </c>
      <c r="P229" s="69">
        <v>1</v>
      </c>
      <c r="Q229" s="68">
        <f>MAX(0,$V229-$P229-$S229)</f>
        <v>0</v>
      </c>
      <c r="R229" s="68"/>
      <c r="S229" s="68"/>
      <c r="T229" s="73">
        <v>0.25</v>
      </c>
      <c r="U229" s="73">
        <f>IF(AND($Q229&gt;0,ISNUMBER($T229)),$Q229*$T229,0)</f>
        <v>0</v>
      </c>
      <c r="V229" s="68">
        <f>SUM(W229:AB229)</f>
        <v>0</v>
      </c>
      <c r="W229" s="68"/>
      <c r="X229" s="68"/>
      <c r="Y229" s="68"/>
      <c r="Z229" s="68"/>
      <c r="AA229" s="68"/>
      <c r="AB229" s="68"/>
      <c r="AC229" s="68"/>
      <c r="AD229" s="75">
        <f>SUM(AE229:AJ229)</f>
        <v>0</v>
      </c>
      <c r="AE229" s="76"/>
      <c r="AF229" s="76"/>
      <c r="AG229" s="76"/>
      <c r="AH229" s="76"/>
      <c r="AI229" s="76"/>
      <c r="AJ229" s="76"/>
      <c r="AK229" s="76"/>
      <c r="AL229" s="77">
        <f>IF((P229-SUM(AE229:AK229))&lt;0,0,P229-SUM(AE229:AK229))</f>
        <v>1</v>
      </c>
      <c r="AM229" s="77">
        <f>SUM(AO229:AT229)</f>
        <v>0</v>
      </c>
      <c r="AN229" s="129"/>
      <c r="AO229" s="72"/>
      <c r="AP229" s="72"/>
      <c r="AQ229" s="72"/>
      <c r="AR229" s="72"/>
      <c r="AS229" s="72"/>
      <c r="AT229" s="129"/>
      <c r="AU229" s="129"/>
      <c r="AV229" s="70"/>
      <c r="AW229" s="72"/>
      <c r="AX229" s="72"/>
    </row>
    <row r="230" spans="1:50" ht="15" customHeight="1">
      <c r="A230" s="86" t="s">
        <v>424</v>
      </c>
      <c r="B230" s="68" t="s">
        <v>345</v>
      </c>
      <c r="C230" s="69" t="s">
        <v>45</v>
      </c>
      <c r="D230" s="70" t="s">
        <v>175</v>
      </c>
      <c r="E230" s="70"/>
      <c r="F230" s="68">
        <v>1</v>
      </c>
      <c r="G230" s="71" t="s">
        <v>113</v>
      </c>
      <c r="H230" s="71" t="s">
        <v>425</v>
      </c>
      <c r="I230" s="71" t="s">
        <v>383</v>
      </c>
      <c r="J230" s="71" t="s">
        <v>426</v>
      </c>
      <c r="K230" s="72"/>
      <c r="L230" s="72"/>
      <c r="M230" s="72"/>
      <c r="N230" s="72"/>
      <c r="O230" s="71" t="s">
        <v>184</v>
      </c>
      <c r="P230" s="69">
        <v>1</v>
      </c>
      <c r="Q230" s="68">
        <f>MAX(0,$V230-$P230-$S230)</f>
        <v>0</v>
      </c>
      <c r="R230" s="68"/>
      <c r="S230" s="68"/>
      <c r="T230" s="73">
        <v>0.51</v>
      </c>
      <c r="U230" s="73">
        <f>IF(AND($Q230&gt;0,ISNUMBER($T230)),$Q230*$T230,0)</f>
        <v>0</v>
      </c>
      <c r="V230" s="68">
        <f>SUM(W230:AB230)</f>
        <v>1</v>
      </c>
      <c r="W230" s="87">
        <v>1</v>
      </c>
      <c r="X230" s="68"/>
      <c r="Y230" s="68"/>
      <c r="Z230" s="68"/>
      <c r="AA230" s="68"/>
      <c r="AB230" s="68"/>
      <c r="AC230" s="68"/>
      <c r="AD230" s="75">
        <f>SUM(AE230:AJ230)</f>
        <v>1</v>
      </c>
      <c r="AE230" s="76">
        <v>1</v>
      </c>
      <c r="AF230" s="76"/>
      <c r="AG230" s="76"/>
      <c r="AH230" s="76"/>
      <c r="AI230" s="76"/>
      <c r="AJ230" s="76"/>
      <c r="AK230" s="76"/>
      <c r="AL230" s="77">
        <f>IF((P230-SUM(AE230:AK230))&lt;0,0,P230-SUM(AE230:AK230))</f>
        <v>0</v>
      </c>
      <c r="AM230" s="77">
        <f>SUM(AO230:AT230)</f>
        <v>0</v>
      </c>
      <c r="AN230" s="72"/>
      <c r="AO230" s="72"/>
      <c r="AP230" s="72"/>
      <c r="AQ230" s="72"/>
      <c r="AR230" s="72"/>
      <c r="AS230" s="72"/>
      <c r="AT230" s="72"/>
      <c r="AU230" s="72"/>
      <c r="AV230" s="70"/>
      <c r="AW230" s="72"/>
      <c r="AX230" s="72"/>
    </row>
    <row r="231" spans="1:50" ht="15" customHeight="1">
      <c r="A231" s="70" t="s">
        <v>110</v>
      </c>
      <c r="B231" s="68" t="s">
        <v>46</v>
      </c>
      <c r="C231" s="69" t="s">
        <v>45</v>
      </c>
      <c r="D231" s="70" t="s">
        <v>47</v>
      </c>
      <c r="E231" s="70" t="s">
        <v>111</v>
      </c>
      <c r="F231" s="68">
        <v>2</v>
      </c>
      <c r="G231" s="71" t="s">
        <v>113</v>
      </c>
      <c r="H231" s="71" t="s">
        <v>114</v>
      </c>
      <c r="I231" s="71" t="s">
        <v>115</v>
      </c>
      <c r="J231" s="71"/>
      <c r="K231" s="72"/>
      <c r="L231" s="72"/>
      <c r="M231" s="72"/>
      <c r="N231" s="72"/>
      <c r="O231" s="71" t="s">
        <v>112</v>
      </c>
      <c r="P231" s="69">
        <v>1</v>
      </c>
      <c r="Q231" s="68">
        <f>MAX(0,$V231-$P231-$S231)</f>
        <v>0</v>
      </c>
      <c r="R231" s="68"/>
      <c r="S231" s="68"/>
      <c r="T231" s="73">
        <v>0.12</v>
      </c>
      <c r="U231" s="73">
        <f>IF(AND($Q231&gt;0,ISNUMBER($T231)),$Q231*$T231,0)</f>
        <v>0</v>
      </c>
      <c r="V231" s="68">
        <f>SUM(W231:AB231)</f>
        <v>0</v>
      </c>
      <c r="W231" s="68"/>
      <c r="X231" s="68"/>
      <c r="Y231" s="68"/>
      <c r="Z231" s="68"/>
      <c r="AA231" s="68"/>
      <c r="AB231" s="68"/>
      <c r="AC231" s="68"/>
      <c r="AD231" s="75">
        <f>SUM(AE231:AJ231)</f>
        <v>0</v>
      </c>
      <c r="AE231" s="76"/>
      <c r="AF231" s="76"/>
      <c r="AG231" s="76"/>
      <c r="AH231" s="76"/>
      <c r="AI231" s="76"/>
      <c r="AJ231" s="76"/>
      <c r="AK231" s="76"/>
      <c r="AL231" s="77">
        <f>IF((P231-SUM(AE231:AK231))&lt;0,0,P231-SUM(AE231:AK231))</f>
        <v>1</v>
      </c>
      <c r="AM231" s="77">
        <f>SUM(AO231:AT231)</f>
        <v>0</v>
      </c>
      <c r="AN231" s="85"/>
      <c r="AO231" s="72"/>
      <c r="AP231" s="85"/>
      <c r="AQ231" s="85"/>
      <c r="AR231" s="85"/>
      <c r="AS231" s="72"/>
      <c r="AT231" s="72"/>
      <c r="AU231" s="85"/>
      <c r="AV231" s="70"/>
      <c r="AW231" s="72"/>
      <c r="AX231" s="129"/>
    </row>
    <row r="232" spans="1:50" ht="15" customHeight="1">
      <c r="A232" s="70" t="s">
        <v>2051</v>
      </c>
      <c r="B232" s="68" t="s">
        <v>1971</v>
      </c>
      <c r="C232" s="69" t="s">
        <v>45</v>
      </c>
      <c r="D232" s="70" t="s">
        <v>123</v>
      </c>
      <c r="E232" s="70" t="s">
        <v>1449</v>
      </c>
      <c r="F232" s="68">
        <v>3</v>
      </c>
      <c r="G232" s="71" t="s">
        <v>902</v>
      </c>
      <c r="H232" s="71" t="s">
        <v>2052</v>
      </c>
      <c r="I232" s="71" t="s">
        <v>2053</v>
      </c>
      <c r="J232" s="71"/>
      <c r="K232" s="72"/>
      <c r="L232" s="72"/>
      <c r="M232" s="72"/>
      <c r="N232" s="72"/>
      <c r="O232" s="71" t="s">
        <v>1445</v>
      </c>
      <c r="P232" s="69">
        <v>1</v>
      </c>
      <c r="Q232" s="68">
        <f>MAX(0,$V232-$P232-$S232)</f>
        <v>0</v>
      </c>
      <c r="R232" s="68" t="s">
        <v>57</v>
      </c>
      <c r="S232" s="68">
        <v>1</v>
      </c>
      <c r="T232" s="73">
        <v>0.4</v>
      </c>
      <c r="U232" s="73">
        <f>IF(AND($Q232&gt;0,ISNUMBER($T232)),$Q232*$T232,0)</f>
        <v>0</v>
      </c>
      <c r="V232" s="68">
        <f>SUM(W232:AB232)</f>
        <v>0</v>
      </c>
      <c r="W232" s="68"/>
      <c r="X232" s="68"/>
      <c r="Y232" s="68"/>
      <c r="Z232" s="68"/>
      <c r="AA232" s="68"/>
      <c r="AB232" s="68"/>
      <c r="AC232" s="68"/>
      <c r="AD232" s="75">
        <f>SUM(AE232:AJ232)</f>
        <v>0</v>
      </c>
      <c r="AE232" s="76"/>
      <c r="AF232" s="76"/>
      <c r="AG232" s="76"/>
      <c r="AH232" s="76"/>
      <c r="AI232" s="76"/>
      <c r="AJ232" s="76"/>
      <c r="AK232" s="76"/>
      <c r="AL232" s="77">
        <f>IF((P232-SUM(AE232:AK232))&lt;0,0,P232-SUM(AE232:AK232))</f>
        <v>1</v>
      </c>
      <c r="AM232" s="77">
        <f>SUM(AO232:AT232)</f>
        <v>0</v>
      </c>
      <c r="AN232" s="72"/>
      <c r="AO232" s="72"/>
      <c r="AP232" s="72"/>
      <c r="AQ232" s="72"/>
      <c r="AR232" s="72"/>
      <c r="AS232" s="72"/>
      <c r="AT232" s="72"/>
      <c r="AU232" s="72"/>
      <c r="AV232" s="70"/>
      <c r="AW232" s="72"/>
      <c r="AX232" s="72"/>
    </row>
    <row r="233" spans="1:50" ht="15" customHeight="1">
      <c r="A233" s="70" t="s">
        <v>687</v>
      </c>
      <c r="B233" s="68" t="s">
        <v>636</v>
      </c>
      <c r="C233" s="69" t="s">
        <v>45</v>
      </c>
      <c r="D233" s="70" t="s">
        <v>64</v>
      </c>
      <c r="E233" s="70" t="s">
        <v>688</v>
      </c>
      <c r="F233" s="68">
        <v>3</v>
      </c>
      <c r="G233" s="71" t="s">
        <v>125</v>
      </c>
      <c r="H233" s="71" t="s">
        <v>689</v>
      </c>
      <c r="I233" s="71" t="s">
        <v>690</v>
      </c>
      <c r="J233" s="71"/>
      <c r="K233" s="72"/>
      <c r="L233" s="72"/>
      <c r="M233" s="72"/>
      <c r="N233" s="72"/>
      <c r="O233" s="71" t="s">
        <v>48</v>
      </c>
      <c r="P233" s="69">
        <v>1</v>
      </c>
      <c r="Q233" s="68">
        <f>MAX(0,$V233-$P233-$S233)</f>
        <v>0</v>
      </c>
      <c r="R233" s="68"/>
      <c r="S233" s="68"/>
      <c r="T233" s="73">
        <v>0.13</v>
      </c>
      <c r="U233" s="73">
        <f>IF(AND($Q233&gt;0,ISNUMBER($T233)),$Q233*$T233,0)</f>
        <v>0</v>
      </c>
      <c r="V233" s="68">
        <f>SUM(W233:AB233)</f>
        <v>0</v>
      </c>
      <c r="W233" s="68"/>
      <c r="X233" s="68"/>
      <c r="Y233" s="68"/>
      <c r="Z233" s="68"/>
      <c r="AA233" s="68"/>
      <c r="AB233" s="68"/>
      <c r="AC233" s="68"/>
      <c r="AD233" s="75">
        <f>SUM(AE233:AJ233)</f>
        <v>0</v>
      </c>
      <c r="AE233" s="76"/>
      <c r="AF233" s="76"/>
      <c r="AG233" s="76"/>
      <c r="AH233" s="76"/>
      <c r="AI233" s="76"/>
      <c r="AJ233" s="76"/>
      <c r="AK233" s="76"/>
      <c r="AL233" s="77">
        <f>IF((P233-SUM(AE233:AK233))&lt;0,0,P233-SUM(AE233:AK233))</f>
        <v>1</v>
      </c>
      <c r="AM233" s="77">
        <f>SUM(AO233:AT233)</f>
        <v>0</v>
      </c>
      <c r="AN233" s="85"/>
      <c r="AO233" s="72"/>
      <c r="AP233" s="129"/>
      <c r="AQ233" s="129"/>
      <c r="AR233" s="72"/>
      <c r="AS233" s="72"/>
      <c r="AT233" s="72"/>
      <c r="AU233" s="129"/>
      <c r="AV233" s="70"/>
      <c r="AW233" s="72"/>
      <c r="AX233" s="72"/>
    </row>
    <row r="234" spans="1:50" ht="15" customHeight="1">
      <c r="A234" s="67" t="s">
        <v>116</v>
      </c>
      <c r="B234" s="68" t="s">
        <v>46</v>
      </c>
      <c r="C234" s="69" t="s">
        <v>45</v>
      </c>
      <c r="D234" s="70" t="s">
        <v>47</v>
      </c>
      <c r="E234" s="70"/>
      <c r="F234" s="68">
        <v>2</v>
      </c>
      <c r="G234" s="71" t="s">
        <v>117</v>
      </c>
      <c r="H234" s="71" t="s">
        <v>118</v>
      </c>
      <c r="I234" s="71"/>
      <c r="J234" s="71"/>
      <c r="K234" s="72"/>
      <c r="L234" s="72"/>
      <c r="M234" s="72"/>
      <c r="N234" s="72"/>
      <c r="O234" s="71" t="s">
        <v>112</v>
      </c>
      <c r="P234" s="69">
        <v>1</v>
      </c>
      <c r="Q234" s="68">
        <f>MAX(0,$V234-$P234-$S234)</f>
        <v>0</v>
      </c>
      <c r="R234" s="68"/>
      <c r="S234" s="68"/>
      <c r="T234" s="73">
        <v>1.03</v>
      </c>
      <c r="U234" s="73">
        <f>IF(AND($Q234&gt;0,ISNUMBER($T234)),$Q234*$T234,0)</f>
        <v>0</v>
      </c>
      <c r="V234" s="68">
        <f>SUM(W234:AB234)</f>
        <v>0</v>
      </c>
      <c r="W234" s="68"/>
      <c r="X234" s="68"/>
      <c r="Y234" s="74"/>
      <c r="Z234" s="68"/>
      <c r="AA234" s="68"/>
      <c r="AB234" s="68"/>
      <c r="AC234" s="68"/>
      <c r="AD234" s="75">
        <f>SUM(AE234:AJ234)</f>
        <v>0</v>
      </c>
      <c r="AE234" s="76"/>
      <c r="AF234" s="76"/>
      <c r="AG234" s="76"/>
      <c r="AH234" s="76"/>
      <c r="AI234" s="76"/>
      <c r="AJ234" s="76"/>
      <c r="AK234" s="76"/>
      <c r="AL234" s="77">
        <f>IF((P234-SUM(AE234:AK234))&lt;0,0,P234-SUM(AE234:AK234))</f>
        <v>1</v>
      </c>
      <c r="AM234" s="77">
        <f>SUM(AO234:AT234)</f>
        <v>0</v>
      </c>
      <c r="AN234" s="72"/>
      <c r="AO234" s="72"/>
      <c r="AP234" s="72"/>
      <c r="AQ234" s="72"/>
      <c r="AR234" s="72"/>
      <c r="AS234" s="72"/>
      <c r="AT234" s="72"/>
      <c r="AU234" s="72"/>
      <c r="AV234" s="70"/>
      <c r="AW234" s="72"/>
      <c r="AX234" s="72"/>
    </row>
    <row r="235" spans="1:50" ht="15" customHeight="1">
      <c r="A235" s="70" t="s">
        <v>119</v>
      </c>
      <c r="B235" s="68" t="s">
        <v>46</v>
      </c>
      <c r="C235" s="69" t="s">
        <v>45</v>
      </c>
      <c r="D235" s="70" t="s">
        <v>72</v>
      </c>
      <c r="E235" s="70"/>
      <c r="F235" s="68">
        <v>2</v>
      </c>
      <c r="G235" s="71" t="s">
        <v>98</v>
      </c>
      <c r="H235" s="71" t="s">
        <v>121</v>
      </c>
      <c r="I235" s="71"/>
      <c r="J235" s="71"/>
      <c r="K235" s="72"/>
      <c r="L235" s="72"/>
      <c r="M235" s="72"/>
      <c r="N235" s="72"/>
      <c r="O235" s="71" t="s">
        <v>120</v>
      </c>
      <c r="P235" s="69">
        <v>1</v>
      </c>
      <c r="Q235" s="68">
        <f>MAX(0,$V235-$P235-$S235)</f>
        <v>0</v>
      </c>
      <c r="R235" s="68" t="s">
        <v>57</v>
      </c>
      <c r="S235" s="68">
        <v>1</v>
      </c>
      <c r="T235" s="73">
        <v>0.26</v>
      </c>
      <c r="U235" s="73">
        <f>IF(AND($Q235&gt;0,ISNUMBER($T235)),$Q235*$T235,0)</f>
        <v>0</v>
      </c>
      <c r="V235" s="68">
        <f>SUM(W235:AB235)</f>
        <v>1</v>
      </c>
      <c r="W235" s="68"/>
      <c r="X235" s="68"/>
      <c r="Y235" s="68"/>
      <c r="Z235" s="68"/>
      <c r="AA235" s="68">
        <v>1</v>
      </c>
      <c r="AB235" s="68"/>
      <c r="AC235" s="68"/>
      <c r="AD235" s="75">
        <f>SUM(AE235:AJ235)</f>
        <v>1</v>
      </c>
      <c r="AE235" s="76"/>
      <c r="AF235" s="76"/>
      <c r="AG235" s="76"/>
      <c r="AH235" s="76"/>
      <c r="AI235" s="76">
        <v>1</v>
      </c>
      <c r="AJ235" s="76"/>
      <c r="AK235" s="76"/>
      <c r="AL235" s="77">
        <f>IF((P235-SUM(AE235:AK235))&lt;0,0,P235-SUM(AE235:AK235))</f>
        <v>0</v>
      </c>
      <c r="AM235" s="77">
        <f>SUM(AO235:AT235)</f>
        <v>0</v>
      </c>
      <c r="AN235" s="85"/>
      <c r="AO235" s="72"/>
      <c r="AP235" s="72"/>
      <c r="AQ235" s="72"/>
      <c r="AR235" s="72"/>
      <c r="AS235" s="72"/>
      <c r="AT235" s="72"/>
      <c r="AU235" s="72"/>
      <c r="AV235" s="70"/>
      <c r="AW235" s="72"/>
      <c r="AX235" s="85"/>
    </row>
    <row r="236" spans="1:50" ht="15" customHeight="1">
      <c r="A236" s="70" t="s">
        <v>1218</v>
      </c>
      <c r="B236" s="68" t="s">
        <v>1114</v>
      </c>
      <c r="C236" s="69" t="s">
        <v>45</v>
      </c>
      <c r="D236" s="70" t="s">
        <v>64</v>
      </c>
      <c r="E236" s="70" t="s">
        <v>1219</v>
      </c>
      <c r="F236" s="68">
        <v>2</v>
      </c>
      <c r="G236" s="71" t="s">
        <v>530</v>
      </c>
      <c r="H236" s="71" t="s">
        <v>1220</v>
      </c>
      <c r="I236" s="71" t="s">
        <v>1221</v>
      </c>
      <c r="J236" s="71"/>
      <c r="K236" s="72"/>
      <c r="L236" s="72"/>
      <c r="M236" s="72"/>
      <c r="N236" s="72"/>
      <c r="O236" s="71" t="s">
        <v>48</v>
      </c>
      <c r="P236" s="69">
        <v>1</v>
      </c>
      <c r="Q236" s="68">
        <f>MAX(0,$V236-$P236-$S236)</f>
        <v>0</v>
      </c>
      <c r="R236" s="68"/>
      <c r="S236" s="68"/>
      <c r="T236" s="73">
        <v>0.25</v>
      </c>
      <c r="U236" s="73">
        <f>IF(AND($Q236&gt;0,ISNUMBER($T236)),$Q236*$T236,0)</f>
        <v>0</v>
      </c>
      <c r="V236" s="68">
        <f>SUM(W236:AB236)</f>
        <v>0</v>
      </c>
      <c r="W236" s="68"/>
      <c r="X236" s="68"/>
      <c r="Y236" s="68"/>
      <c r="Z236" s="68"/>
      <c r="AA236" s="68"/>
      <c r="AB236" s="68"/>
      <c r="AC236" s="68"/>
      <c r="AD236" s="75">
        <f>SUM(AE236:AJ236)</f>
        <v>0</v>
      </c>
      <c r="AE236" s="76"/>
      <c r="AF236" s="76"/>
      <c r="AG236" s="76"/>
      <c r="AH236" s="76"/>
      <c r="AI236" s="76"/>
      <c r="AJ236" s="76"/>
      <c r="AK236" s="76"/>
      <c r="AL236" s="77">
        <f>IF((P236-SUM(AE236:AK236))&lt;0,0,P236-SUM(AE236:AK236))</f>
        <v>1</v>
      </c>
      <c r="AM236" s="77">
        <f>SUM(AO236:AT236)</f>
        <v>0</v>
      </c>
      <c r="AN236" s="129"/>
      <c r="AO236" s="72"/>
      <c r="AP236" s="72"/>
      <c r="AQ236" s="72"/>
      <c r="AR236" s="72"/>
      <c r="AS236" s="72"/>
      <c r="AT236" s="72"/>
      <c r="AU236" s="72"/>
      <c r="AV236" s="70"/>
      <c r="AW236" s="72"/>
      <c r="AX236" s="72"/>
    </row>
    <row r="237" spans="1:50" ht="15" customHeight="1">
      <c r="A237" s="70" t="s">
        <v>1848</v>
      </c>
      <c r="B237" s="68" t="s">
        <v>1831</v>
      </c>
      <c r="C237" s="69" t="s">
        <v>45</v>
      </c>
      <c r="D237" s="70" t="s">
        <v>64</v>
      </c>
      <c r="E237" s="70" t="s">
        <v>1849</v>
      </c>
      <c r="F237" s="68">
        <v>5</v>
      </c>
      <c r="G237" s="71" t="s">
        <v>317</v>
      </c>
      <c r="H237" s="71" t="s">
        <v>1850</v>
      </c>
      <c r="I237" s="71"/>
      <c r="J237" s="71"/>
      <c r="K237" s="72"/>
      <c r="L237" s="72"/>
      <c r="M237" s="72"/>
      <c r="N237" s="72"/>
      <c r="O237" s="71" t="s">
        <v>928</v>
      </c>
      <c r="P237" s="69">
        <v>1</v>
      </c>
      <c r="Q237" s="68">
        <f>MAX(0,$V237-$P237-$S237)</f>
        <v>0</v>
      </c>
      <c r="R237" s="68" t="s">
        <v>57</v>
      </c>
      <c r="S237" s="68">
        <v>1</v>
      </c>
      <c r="T237" s="73">
        <v>0.28000000000000003</v>
      </c>
      <c r="U237" s="73">
        <f>IF(AND($Q237&gt;0,ISNUMBER($T237)),$Q237*$T237,0)</f>
        <v>0</v>
      </c>
      <c r="V237" s="68">
        <f>SUM(W237:AB237)</f>
        <v>1</v>
      </c>
      <c r="W237" s="68"/>
      <c r="X237" s="68"/>
      <c r="Y237" s="68">
        <v>1</v>
      </c>
      <c r="Z237" s="68"/>
      <c r="AA237" s="68"/>
      <c r="AB237" s="68"/>
      <c r="AC237" s="68"/>
      <c r="AD237" s="75">
        <f>SUM(AE237:AJ237)</f>
        <v>1</v>
      </c>
      <c r="AE237" s="76"/>
      <c r="AF237" s="76"/>
      <c r="AG237" s="76">
        <v>1</v>
      </c>
      <c r="AH237" s="76"/>
      <c r="AI237" s="76"/>
      <c r="AJ237" s="76"/>
      <c r="AK237" s="76"/>
      <c r="AL237" s="77">
        <f>IF((P237-SUM(AE237:AK237))&lt;0,0,P237-SUM(AE237:AK237))</f>
        <v>0</v>
      </c>
      <c r="AM237" s="77">
        <f>SUM(AO237:AT237)</f>
        <v>0</v>
      </c>
      <c r="AN237" s="85"/>
      <c r="AO237" s="72"/>
      <c r="AP237" s="85"/>
      <c r="AQ237" s="85"/>
      <c r="AR237" s="72"/>
      <c r="AS237" s="72"/>
      <c r="AT237" s="72"/>
      <c r="AU237" s="85"/>
      <c r="AV237" s="70"/>
      <c r="AW237" s="72"/>
      <c r="AX237" s="72"/>
    </row>
    <row r="238" spans="1:50" ht="15" customHeight="1">
      <c r="A238" s="70" t="s">
        <v>1222</v>
      </c>
      <c r="B238" s="68" t="s">
        <v>1114</v>
      </c>
      <c r="C238" s="69" t="s">
        <v>45</v>
      </c>
      <c r="D238" s="70" t="s">
        <v>64</v>
      </c>
      <c r="E238" s="70" t="s">
        <v>1223</v>
      </c>
      <c r="F238" s="68">
        <v>3</v>
      </c>
      <c r="G238" s="71" t="s">
        <v>49</v>
      </c>
      <c r="H238" s="71" t="s">
        <v>1224</v>
      </c>
      <c r="I238" s="71"/>
      <c r="J238" s="71"/>
      <c r="K238" s="69"/>
      <c r="L238" s="69"/>
      <c r="M238" s="69"/>
      <c r="N238" s="69"/>
      <c r="O238" s="71" t="s">
        <v>53</v>
      </c>
      <c r="P238" s="69">
        <v>1</v>
      </c>
      <c r="Q238" s="68">
        <f>MAX(0,$V238-$P238-$S238)</f>
        <v>0</v>
      </c>
      <c r="R238" s="68"/>
      <c r="S238" s="68"/>
      <c r="T238" s="73">
        <v>0.36</v>
      </c>
      <c r="U238" s="73">
        <f>IF(AND($Q238&gt;0,ISNUMBER($T238)),$Q238*$T238,0)</f>
        <v>0</v>
      </c>
      <c r="V238" s="68">
        <f>SUM(W238:AB238)</f>
        <v>1</v>
      </c>
      <c r="W238" s="68"/>
      <c r="X238" s="68">
        <v>1</v>
      </c>
      <c r="Y238" s="68"/>
      <c r="Z238" s="68"/>
      <c r="AA238" s="68"/>
      <c r="AB238" s="68"/>
      <c r="AC238" s="68"/>
      <c r="AD238" s="75">
        <f>SUM(AE238:AJ238)</f>
        <v>1</v>
      </c>
      <c r="AE238" s="76"/>
      <c r="AF238" s="76">
        <v>1</v>
      </c>
      <c r="AG238" s="76"/>
      <c r="AH238" s="76"/>
      <c r="AI238" s="76"/>
      <c r="AJ238" s="76"/>
      <c r="AK238" s="76"/>
      <c r="AL238" s="77">
        <f>IF((P238-SUM(AE238:AK238))&lt;0,0,P238-SUM(AE238:AK238))</f>
        <v>0</v>
      </c>
      <c r="AM238" s="77">
        <f>SUM(AO238:AT238)</f>
        <v>0</v>
      </c>
      <c r="AN238" s="72"/>
      <c r="AO238" s="72"/>
      <c r="AP238" s="72"/>
      <c r="AQ238" s="72"/>
      <c r="AR238" s="72"/>
      <c r="AS238" s="72"/>
      <c r="AT238" s="72"/>
      <c r="AU238" s="72"/>
      <c r="AV238" s="70"/>
      <c r="AW238" s="72"/>
      <c r="AX238" s="72"/>
    </row>
    <row r="239" spans="1:50" ht="15" customHeight="1">
      <c r="A239" s="70" t="s">
        <v>122</v>
      </c>
      <c r="B239" s="68" t="s">
        <v>46</v>
      </c>
      <c r="C239" s="69" t="s">
        <v>45</v>
      </c>
      <c r="D239" s="70" t="s">
        <v>123</v>
      </c>
      <c r="E239" s="70" t="s">
        <v>124</v>
      </c>
      <c r="F239" s="68">
        <v>2</v>
      </c>
      <c r="G239" s="71" t="s">
        <v>125</v>
      </c>
      <c r="H239" s="71" t="s">
        <v>126</v>
      </c>
      <c r="I239" s="71" t="s">
        <v>127</v>
      </c>
      <c r="J239" s="71"/>
      <c r="K239" s="72"/>
      <c r="L239" s="72"/>
      <c r="M239" s="72"/>
      <c r="N239" s="72"/>
      <c r="O239" s="71" t="s">
        <v>101</v>
      </c>
      <c r="P239" s="69">
        <v>1</v>
      </c>
      <c r="Q239" s="68">
        <f>MAX(0,$V239-$P239-$S239)</f>
        <v>0</v>
      </c>
      <c r="R239" s="68"/>
      <c r="S239" s="68"/>
      <c r="T239" s="73">
        <v>0.42</v>
      </c>
      <c r="U239" s="73">
        <f>IF(AND($Q239&gt;0,ISNUMBER($T239)),$Q239*$T239,0)</f>
        <v>0</v>
      </c>
      <c r="V239" s="68">
        <f>SUM(W239:AB239)</f>
        <v>0</v>
      </c>
      <c r="W239" s="68"/>
      <c r="X239" s="68"/>
      <c r="Y239" s="68"/>
      <c r="Z239" s="68"/>
      <c r="AA239" s="68"/>
      <c r="AB239" s="68"/>
      <c r="AC239" s="68"/>
      <c r="AD239" s="75">
        <f>SUM(AE239:AJ239)</f>
        <v>0</v>
      </c>
      <c r="AE239" s="76"/>
      <c r="AF239" s="76"/>
      <c r="AG239" s="76"/>
      <c r="AH239" s="76"/>
      <c r="AI239" s="76"/>
      <c r="AJ239" s="76"/>
      <c r="AK239" s="76"/>
      <c r="AL239" s="77">
        <f>IF((P239-SUM(AE239:AK239))&lt;0,0,P239-SUM(AE239:AK239))</f>
        <v>1</v>
      </c>
      <c r="AM239" s="77">
        <f>SUM(AO239:AT239)</f>
        <v>0</v>
      </c>
      <c r="AN239" s="72"/>
      <c r="AO239" s="72"/>
      <c r="AP239" s="72"/>
      <c r="AQ239" s="72"/>
      <c r="AR239" s="72"/>
      <c r="AS239" s="72"/>
      <c r="AT239" s="72"/>
      <c r="AU239" s="72"/>
      <c r="AV239" s="70"/>
      <c r="AW239" s="72"/>
      <c r="AX239" s="72"/>
    </row>
    <row r="240" spans="1:50" ht="15" customHeight="1">
      <c r="A240" s="86" t="s">
        <v>2055</v>
      </c>
      <c r="B240" s="68" t="s">
        <v>1971</v>
      </c>
      <c r="C240" s="69" t="s">
        <v>45</v>
      </c>
      <c r="D240" s="70" t="s">
        <v>72</v>
      </c>
      <c r="E240" s="70"/>
      <c r="F240" s="68">
        <v>2</v>
      </c>
      <c r="G240" s="71" t="s">
        <v>49</v>
      </c>
      <c r="H240" s="71" t="s">
        <v>2056</v>
      </c>
      <c r="I240" s="71" t="s">
        <v>2057</v>
      </c>
      <c r="J240" s="71"/>
      <c r="K240" s="72"/>
      <c r="L240" s="72"/>
      <c r="M240" s="72"/>
      <c r="N240" s="72"/>
      <c r="O240" s="71" t="s">
        <v>69</v>
      </c>
      <c r="P240" s="69">
        <v>1</v>
      </c>
      <c r="Q240" s="68">
        <f>MAX(0,$V240-$P240-$S240)</f>
        <v>0</v>
      </c>
      <c r="R240" s="68"/>
      <c r="S240" s="68"/>
      <c r="T240" s="73">
        <v>0.19</v>
      </c>
      <c r="U240" s="73">
        <f>IF(AND($Q240&gt;0,ISNUMBER($T240)),$Q240*$T240,0)</f>
        <v>0</v>
      </c>
      <c r="V240" s="68">
        <f>SUM(W240:AB240)</f>
        <v>1</v>
      </c>
      <c r="W240" s="68"/>
      <c r="X240" s="68"/>
      <c r="Y240" s="68"/>
      <c r="Z240" s="87">
        <v>1</v>
      </c>
      <c r="AA240" s="68"/>
      <c r="AB240" s="68"/>
      <c r="AC240" s="68"/>
      <c r="AD240" s="75">
        <f>SUM(AE240:AJ240)</f>
        <v>1</v>
      </c>
      <c r="AE240" s="76"/>
      <c r="AF240" s="76"/>
      <c r="AG240" s="76"/>
      <c r="AH240" s="76">
        <v>1</v>
      </c>
      <c r="AI240" s="76"/>
      <c r="AJ240" s="76"/>
      <c r="AK240" s="76"/>
      <c r="AL240" s="77">
        <f>IF((P240-SUM(AE240:AK240))&lt;0,0,P240-SUM(AE240:AK240))</f>
        <v>0</v>
      </c>
      <c r="AM240" s="77">
        <f>SUM(AO240:AT240)</f>
        <v>0</v>
      </c>
      <c r="AN240" s="85"/>
      <c r="AO240" s="72"/>
      <c r="AP240" s="72"/>
      <c r="AQ240" s="72"/>
      <c r="AR240" s="72"/>
      <c r="AS240" s="72"/>
      <c r="AT240" s="72"/>
      <c r="AU240" s="72"/>
      <c r="AV240" s="70"/>
      <c r="AW240" s="72"/>
      <c r="AX240" s="72"/>
    </row>
    <row r="241" spans="1:50" ht="15" customHeight="1">
      <c r="A241" s="70" t="s">
        <v>2058</v>
      </c>
      <c r="B241" s="68" t="s">
        <v>1971</v>
      </c>
      <c r="C241" s="69" t="s">
        <v>45</v>
      </c>
      <c r="D241" s="70" t="s">
        <v>72</v>
      </c>
      <c r="E241" s="70"/>
      <c r="F241" s="68">
        <v>2</v>
      </c>
      <c r="G241" s="71" t="s">
        <v>675</v>
      </c>
      <c r="H241" s="71" t="s">
        <v>2059</v>
      </c>
      <c r="I241" s="71"/>
      <c r="J241" s="71"/>
      <c r="K241" s="72"/>
      <c r="L241" s="72"/>
      <c r="M241" s="72"/>
      <c r="N241" s="72"/>
      <c r="O241" s="71" t="s">
        <v>271</v>
      </c>
      <c r="P241" s="69">
        <v>1</v>
      </c>
      <c r="Q241" s="68">
        <f>MAX(0,$V241-$P241-$S241)</f>
        <v>0</v>
      </c>
      <c r="R241" s="68"/>
      <c r="S241" s="68"/>
      <c r="T241" s="73">
        <v>0.1</v>
      </c>
      <c r="U241" s="73">
        <f>IF(AND($Q241&gt;0,ISNUMBER($T241)),$Q241*$T241,0)</f>
        <v>0</v>
      </c>
      <c r="V241" s="68">
        <f>SUM(W241:AB241)</f>
        <v>0</v>
      </c>
      <c r="W241" s="68"/>
      <c r="X241" s="68"/>
      <c r="Y241" s="68"/>
      <c r="Z241" s="68"/>
      <c r="AA241" s="68"/>
      <c r="AB241" s="68"/>
      <c r="AC241" s="68"/>
      <c r="AD241" s="75">
        <f>SUM(AE241:AJ241)</f>
        <v>0</v>
      </c>
      <c r="AE241" s="76"/>
      <c r="AF241" s="76"/>
      <c r="AG241" s="76"/>
      <c r="AH241" s="76"/>
      <c r="AI241" s="76"/>
      <c r="AJ241" s="76"/>
      <c r="AK241" s="76"/>
      <c r="AL241" s="77">
        <f>IF((P241-SUM(AE241:AK241))&lt;0,0,P241-SUM(AE241:AK241))</f>
        <v>1</v>
      </c>
      <c r="AM241" s="77">
        <f>SUM(AO241:AT241)</f>
        <v>0</v>
      </c>
      <c r="AN241" s="85"/>
      <c r="AO241" s="72"/>
      <c r="AP241" s="72"/>
      <c r="AQ241" s="72"/>
      <c r="AR241" s="72"/>
      <c r="AS241" s="72"/>
      <c r="AT241" s="72"/>
      <c r="AU241" s="72"/>
      <c r="AV241" s="70"/>
      <c r="AW241" s="72"/>
      <c r="AX241" s="72"/>
    </row>
    <row r="242" spans="1:50" ht="15" customHeight="1">
      <c r="A242" s="86" t="s">
        <v>968</v>
      </c>
      <c r="B242" s="68" t="s">
        <v>919</v>
      </c>
      <c r="C242" s="69" t="s">
        <v>45</v>
      </c>
      <c r="D242" s="70" t="s">
        <v>627</v>
      </c>
      <c r="E242" s="70"/>
      <c r="F242" s="68">
        <v>0</v>
      </c>
      <c r="G242" s="71" t="s">
        <v>627</v>
      </c>
      <c r="H242" s="71" t="s">
        <v>969</v>
      </c>
      <c r="I242" s="71" t="s">
        <v>939</v>
      </c>
      <c r="J242" s="71"/>
      <c r="K242" s="72"/>
      <c r="L242" s="72"/>
      <c r="M242" s="72"/>
      <c r="N242" s="72"/>
      <c r="O242" s="71" t="s">
        <v>740</v>
      </c>
      <c r="P242" s="69">
        <v>1</v>
      </c>
      <c r="Q242" s="68">
        <f>MAX(0,$V242-$P242-$S242)</f>
        <v>0</v>
      </c>
      <c r="R242" s="68"/>
      <c r="S242" s="68"/>
      <c r="T242" s="73">
        <v>0.28999999999999998</v>
      </c>
      <c r="U242" s="73">
        <f>IF(AND($Q242&gt;0,ISNUMBER($T242)),$Q242*$T242,0)</f>
        <v>0</v>
      </c>
      <c r="V242" s="68">
        <f>SUM(W242:AB242)</f>
        <v>1</v>
      </c>
      <c r="W242" s="68"/>
      <c r="X242" s="68"/>
      <c r="Y242" s="87">
        <v>1</v>
      </c>
      <c r="Z242" s="68"/>
      <c r="AA242" s="68"/>
      <c r="AB242" s="68"/>
      <c r="AC242" s="68"/>
      <c r="AD242" s="75">
        <f>SUM(AE242:AJ242)</f>
        <v>1</v>
      </c>
      <c r="AE242" s="76"/>
      <c r="AF242" s="76"/>
      <c r="AG242" s="76">
        <v>1</v>
      </c>
      <c r="AH242" s="76"/>
      <c r="AI242" s="76"/>
      <c r="AJ242" s="76"/>
      <c r="AK242" s="76"/>
      <c r="AL242" s="77">
        <f>IF((P242-SUM(AE242:AK242))&lt;0,0,P242-SUM(AE242:AK242))</f>
        <v>0</v>
      </c>
      <c r="AM242" s="77">
        <f>SUM(AO242:AT242)</f>
        <v>0</v>
      </c>
      <c r="AN242" s="72"/>
      <c r="AO242" s="72"/>
      <c r="AP242" s="72"/>
      <c r="AQ242" s="72"/>
      <c r="AR242" s="72"/>
      <c r="AS242" s="72"/>
      <c r="AT242" s="72"/>
      <c r="AU242" s="72"/>
      <c r="AV242" s="70"/>
      <c r="AW242" s="72"/>
      <c r="AX242" s="72"/>
    </row>
    <row r="243" spans="1:50" ht="15" customHeight="1">
      <c r="A243" s="67" t="s">
        <v>1851</v>
      </c>
      <c r="B243" s="68" t="s">
        <v>1831</v>
      </c>
      <c r="C243" s="69" t="s">
        <v>45</v>
      </c>
      <c r="D243" s="70" t="s">
        <v>72</v>
      </c>
      <c r="E243" s="70"/>
      <c r="F243" s="68">
        <v>2</v>
      </c>
      <c r="G243" s="71" t="s">
        <v>1332</v>
      </c>
      <c r="H243" s="71" t="s">
        <v>1853</v>
      </c>
      <c r="I243" s="71" t="s">
        <v>1854</v>
      </c>
      <c r="J243" s="71"/>
      <c r="K243" s="72"/>
      <c r="L243" s="72"/>
      <c r="M243" s="72"/>
      <c r="N243" s="72"/>
      <c r="O243" s="71" t="s">
        <v>1852</v>
      </c>
      <c r="P243" s="69">
        <v>1</v>
      </c>
      <c r="Q243" s="68">
        <f>MAX(0,$V243-$P243-$S243)</f>
        <v>0</v>
      </c>
      <c r="R243" s="68"/>
      <c r="S243" s="68"/>
      <c r="T243" s="73">
        <v>0.26</v>
      </c>
      <c r="U243" s="73">
        <f>IF(AND($Q243&gt;0,ISNUMBER($T243)),$Q243*$T243,0)</f>
        <v>0</v>
      </c>
      <c r="V243" s="68">
        <f>SUM(W243:AB243)</f>
        <v>0</v>
      </c>
      <c r="W243" s="68"/>
      <c r="X243" s="68"/>
      <c r="Y243" s="74"/>
      <c r="Z243" s="68"/>
      <c r="AA243" s="68"/>
      <c r="AB243" s="68"/>
      <c r="AC243" s="68"/>
      <c r="AD243" s="75">
        <f>SUM(AE243:AJ243)</f>
        <v>0</v>
      </c>
      <c r="AE243" s="76"/>
      <c r="AF243" s="76"/>
      <c r="AG243" s="76"/>
      <c r="AH243" s="76"/>
      <c r="AI243" s="76"/>
      <c r="AJ243" s="76"/>
      <c r="AK243" s="76"/>
      <c r="AL243" s="77">
        <f>IF((P243-SUM(AE243:AK243))&lt;0,0,P243-SUM(AE243:AK243))</f>
        <v>1</v>
      </c>
      <c r="AM243" s="77">
        <f>SUM(AO243:AT243)</f>
        <v>0</v>
      </c>
      <c r="AN243" s="129"/>
      <c r="AO243" s="72"/>
      <c r="AP243" s="72"/>
      <c r="AQ243" s="72"/>
      <c r="AR243" s="72"/>
      <c r="AS243" s="72"/>
      <c r="AT243" s="72"/>
      <c r="AU243" s="72"/>
      <c r="AV243" s="70"/>
      <c r="AW243" s="72"/>
      <c r="AX243" s="72"/>
    </row>
    <row r="244" spans="1:50" ht="15" customHeight="1">
      <c r="A244" s="98" t="s">
        <v>2442</v>
      </c>
      <c r="B244" s="100" t="s">
        <v>1499</v>
      </c>
      <c r="C244" s="101" t="s">
        <v>45</v>
      </c>
      <c r="D244" s="98" t="s">
        <v>123</v>
      </c>
      <c r="E244" s="98" t="s">
        <v>1582</v>
      </c>
      <c r="F244" s="100">
        <v>3</v>
      </c>
      <c r="G244" s="98" t="s">
        <v>392</v>
      </c>
      <c r="H244" s="98" t="s">
        <v>2443</v>
      </c>
      <c r="I244" s="98" t="s">
        <v>2444</v>
      </c>
      <c r="J244" s="98"/>
      <c r="K244" s="99"/>
      <c r="L244" s="99"/>
      <c r="M244" s="99"/>
      <c r="N244" s="99"/>
      <c r="O244" s="98" t="s">
        <v>136</v>
      </c>
      <c r="P244" s="101">
        <v>1</v>
      </c>
      <c r="Q244" s="68">
        <f>MAX(0,$V244-$P244-$S244)</f>
        <v>0</v>
      </c>
      <c r="R244" s="98"/>
      <c r="S244" s="98"/>
      <c r="T244" s="98">
        <v>0.17</v>
      </c>
      <c r="U244" s="98">
        <f>IF(AND($Q244&gt;0,ISNUMBER($T244)),$Q244*$T244,0)</f>
        <v>0</v>
      </c>
      <c r="V244" s="68">
        <f>SUM(W244:AB244)</f>
        <v>0</v>
      </c>
      <c r="W244" s="100"/>
      <c r="X244" s="100"/>
      <c r="Y244" s="100"/>
      <c r="Z244" s="100"/>
      <c r="AA244" s="100"/>
      <c r="AB244" s="100"/>
      <c r="AC244" s="68"/>
      <c r="AD244" s="75">
        <f>SUM(AE244:AJ244)</f>
        <v>0</v>
      </c>
      <c r="AE244" s="102"/>
      <c r="AF244" s="102"/>
      <c r="AG244" s="102"/>
      <c r="AH244" s="102"/>
      <c r="AI244" s="102"/>
      <c r="AJ244" s="102"/>
      <c r="AK244" s="102"/>
      <c r="AL244" s="77">
        <f>IF((P244-SUM(AE244:AK244))&lt;0,0,P244-SUM(AE244:AK244))</f>
        <v>1</v>
      </c>
      <c r="AM244" s="77">
        <f>SUM(AO244:AT244)</f>
        <v>0</v>
      </c>
      <c r="AN244" s="99"/>
      <c r="AO244" s="99"/>
      <c r="AP244" s="99"/>
      <c r="AQ244" s="99"/>
      <c r="AR244" s="99"/>
      <c r="AS244" s="99"/>
      <c r="AT244" s="99"/>
      <c r="AU244" s="99"/>
      <c r="AV244" s="98"/>
      <c r="AW244" s="99"/>
      <c r="AX244" s="99"/>
    </row>
    <row r="245" spans="1:50" ht="15" customHeight="1">
      <c r="A245" s="86" t="s">
        <v>1579</v>
      </c>
      <c r="B245" s="68" t="s">
        <v>1499</v>
      </c>
      <c r="C245" s="69" t="s">
        <v>45</v>
      </c>
      <c r="D245" s="70" t="s">
        <v>47</v>
      </c>
      <c r="E245" s="70"/>
      <c r="F245" s="68">
        <v>2</v>
      </c>
      <c r="G245" s="71" t="s">
        <v>54</v>
      </c>
      <c r="H245" s="71" t="s">
        <v>1580</v>
      </c>
      <c r="I245" s="71"/>
      <c r="J245" s="71"/>
      <c r="K245" s="72"/>
      <c r="L245" s="72"/>
      <c r="M245" s="72"/>
      <c r="N245" s="72"/>
      <c r="O245" s="71" t="s">
        <v>696</v>
      </c>
      <c r="P245" s="69">
        <v>1</v>
      </c>
      <c r="Q245" s="68">
        <f>MAX(0,$V245-$P245-$S245)</f>
        <v>0</v>
      </c>
      <c r="R245" s="68"/>
      <c r="S245" s="68"/>
      <c r="T245" s="73">
        <v>0.1</v>
      </c>
      <c r="U245" s="73">
        <f>IF(AND($Q245&gt;0,ISNUMBER($T245)),$Q245*$T245,0)</f>
        <v>0</v>
      </c>
      <c r="V245" s="68">
        <f>SUM(W245:AB245)</f>
        <v>1</v>
      </c>
      <c r="W245" s="68"/>
      <c r="X245" s="68"/>
      <c r="Y245" s="68"/>
      <c r="Z245" s="68"/>
      <c r="AA245" s="68"/>
      <c r="AB245" s="87">
        <v>1</v>
      </c>
      <c r="AC245" s="68"/>
      <c r="AD245" s="75">
        <f>SUM(AE245:AJ245)</f>
        <v>1</v>
      </c>
      <c r="AE245" s="76"/>
      <c r="AF245" s="76"/>
      <c r="AG245" s="76"/>
      <c r="AH245" s="76"/>
      <c r="AI245" s="76"/>
      <c r="AJ245" s="76">
        <v>1</v>
      </c>
      <c r="AK245" s="76"/>
      <c r="AL245" s="77">
        <f>IF((P245-SUM(AE245:AK245))&lt;0,0,P245-SUM(AE245:AK245))</f>
        <v>0</v>
      </c>
      <c r="AM245" s="77">
        <f>SUM(AO245:AT245)</f>
        <v>0</v>
      </c>
      <c r="AN245" s="72"/>
      <c r="AO245" s="72"/>
      <c r="AP245" s="72"/>
      <c r="AQ245" s="72"/>
      <c r="AR245" s="72"/>
      <c r="AS245" s="72"/>
      <c r="AT245" s="72"/>
      <c r="AU245" s="72"/>
      <c r="AV245" s="70"/>
      <c r="AW245" s="72"/>
      <c r="AX245" s="72"/>
    </row>
    <row r="246" spans="1:50" ht="15" customHeight="1">
      <c r="A246" s="70" t="s">
        <v>1229</v>
      </c>
      <c r="B246" s="68" t="s">
        <v>1114</v>
      </c>
      <c r="C246" s="69" t="s">
        <v>45</v>
      </c>
      <c r="D246" s="70" t="s">
        <v>123</v>
      </c>
      <c r="E246" s="70" t="s">
        <v>1136</v>
      </c>
      <c r="F246" s="68">
        <v>6</v>
      </c>
      <c r="G246" s="71" t="s">
        <v>285</v>
      </c>
      <c r="H246" s="71" t="s">
        <v>1230</v>
      </c>
      <c r="I246" s="71" t="s">
        <v>1231</v>
      </c>
      <c r="J246" s="71" t="s">
        <v>1166</v>
      </c>
      <c r="K246" s="72"/>
      <c r="L246" s="72"/>
      <c r="M246" s="72"/>
      <c r="N246" s="72"/>
      <c r="O246" s="71" t="s">
        <v>650</v>
      </c>
      <c r="P246" s="69">
        <v>1</v>
      </c>
      <c r="Q246" s="68">
        <f>MAX(0,$V246-$P246-$S246)</f>
        <v>0</v>
      </c>
      <c r="R246" s="68"/>
      <c r="S246" s="68"/>
      <c r="T246" s="73">
        <v>1.79</v>
      </c>
      <c r="U246" s="73">
        <f>IF(AND($Q246&gt;0,ISNUMBER($T246)),$Q246*$T246,0)</f>
        <v>0</v>
      </c>
      <c r="V246" s="68">
        <f>SUM(W246:AB246)</f>
        <v>1</v>
      </c>
      <c r="W246" s="68"/>
      <c r="X246" s="68"/>
      <c r="Y246" s="68"/>
      <c r="Z246" s="68">
        <v>1</v>
      </c>
      <c r="AA246" s="68"/>
      <c r="AB246" s="68"/>
      <c r="AC246" s="68"/>
      <c r="AD246" s="75">
        <f>SUM(AE246:AJ246)</f>
        <v>1</v>
      </c>
      <c r="AE246" s="76"/>
      <c r="AF246" s="76"/>
      <c r="AG246" s="76"/>
      <c r="AH246" s="76">
        <v>1</v>
      </c>
      <c r="AI246" s="76"/>
      <c r="AJ246" s="76"/>
      <c r="AK246" s="76"/>
      <c r="AL246" s="77">
        <f>IF((P246-SUM(AE246:AK246))&lt;0,0,P246-SUM(AE246:AK246))</f>
        <v>0</v>
      </c>
      <c r="AM246" s="77">
        <f>SUM(AO246:AT246)</f>
        <v>0</v>
      </c>
      <c r="AN246" s="129"/>
      <c r="AO246" s="72"/>
      <c r="AP246" s="72"/>
      <c r="AQ246" s="72"/>
      <c r="AR246" s="72"/>
      <c r="AS246" s="72"/>
      <c r="AT246" s="72"/>
      <c r="AU246" s="72"/>
      <c r="AV246" s="70"/>
      <c r="AW246" s="72"/>
      <c r="AX246" s="72"/>
    </row>
    <row r="247" spans="1:50" ht="15" customHeight="1">
      <c r="A247" s="92" t="s">
        <v>134</v>
      </c>
      <c r="B247" s="90" t="s">
        <v>46</v>
      </c>
      <c r="C247" s="69" t="s">
        <v>45</v>
      </c>
      <c r="D247" s="92" t="s">
        <v>64</v>
      </c>
      <c r="E247" s="92" t="s">
        <v>135</v>
      </c>
      <c r="F247" s="90">
        <v>5</v>
      </c>
      <c r="G247" s="92" t="s">
        <v>125</v>
      </c>
      <c r="H247" s="92" t="s">
        <v>137</v>
      </c>
      <c r="I247" s="92" t="s">
        <v>138</v>
      </c>
      <c r="J247" s="92"/>
      <c r="K247" s="72"/>
      <c r="L247" s="72"/>
      <c r="M247" s="72"/>
      <c r="N247" s="72"/>
      <c r="O247" s="92" t="s">
        <v>136</v>
      </c>
      <c r="P247" s="69">
        <v>1</v>
      </c>
      <c r="Q247" s="68">
        <f>MAX(0,$V247-$P247-$S247)</f>
        <v>0</v>
      </c>
      <c r="R247" s="92"/>
      <c r="S247" s="92"/>
      <c r="T247" s="92">
        <v>0.16</v>
      </c>
      <c r="U247" s="92">
        <f>IF(AND($Q247&gt;0,ISNUMBER($T247)),$Q247*$T247,0)</f>
        <v>0</v>
      </c>
      <c r="V247" s="68">
        <f>SUM(W247:AB247)</f>
        <v>0</v>
      </c>
      <c r="W247" s="68"/>
      <c r="X247" s="68"/>
      <c r="Y247" s="68"/>
      <c r="Z247" s="68"/>
      <c r="AA247" s="68"/>
      <c r="AB247" s="68"/>
      <c r="AC247" s="68"/>
      <c r="AD247" s="75">
        <f>SUM(AE247:AJ247)</f>
        <v>0</v>
      </c>
      <c r="AE247" s="76"/>
      <c r="AF247" s="76"/>
      <c r="AG247" s="76"/>
      <c r="AH247" s="76"/>
      <c r="AI247" s="76"/>
      <c r="AJ247" s="76"/>
      <c r="AK247" s="76"/>
      <c r="AL247" s="77">
        <f>IF((P247-SUM(AE247:AK247))&lt;0,0,P247-SUM(AE247:AK247))</f>
        <v>1</v>
      </c>
      <c r="AM247" s="77">
        <f>SUM(AO247:AT247)</f>
        <v>0</v>
      </c>
      <c r="AN247" s="129"/>
      <c r="AO247" s="72"/>
      <c r="AP247" s="72"/>
      <c r="AQ247" s="72"/>
      <c r="AR247" s="72"/>
      <c r="AS247" s="72"/>
      <c r="AT247" s="72"/>
      <c r="AU247" s="72"/>
      <c r="AV247" s="92"/>
      <c r="AW247" s="72"/>
      <c r="AX247" s="72"/>
    </row>
    <row r="248" spans="1:50" ht="15" customHeight="1">
      <c r="A248" s="67" t="s">
        <v>139</v>
      </c>
      <c r="B248" s="68" t="s">
        <v>46</v>
      </c>
      <c r="C248" s="69" t="s">
        <v>45</v>
      </c>
      <c r="D248" s="70" t="s">
        <v>58</v>
      </c>
      <c r="E248" s="70"/>
      <c r="F248" s="68">
        <v>2</v>
      </c>
      <c r="G248" s="71" t="s">
        <v>54</v>
      </c>
      <c r="H248" s="71" t="s">
        <v>140</v>
      </c>
      <c r="I248" s="71" t="s">
        <v>141</v>
      </c>
      <c r="J248" s="71"/>
      <c r="K248" s="72"/>
      <c r="L248" s="72"/>
      <c r="M248" s="72"/>
      <c r="N248" s="72"/>
      <c r="O248" s="71" t="s">
        <v>90</v>
      </c>
      <c r="P248" s="69">
        <v>1</v>
      </c>
      <c r="Q248" s="68">
        <f>MAX(0,$V248-$P248-$S248)</f>
        <v>0</v>
      </c>
      <c r="R248" s="68" t="s">
        <v>57</v>
      </c>
      <c r="S248" s="68">
        <v>1</v>
      </c>
      <c r="T248" s="73">
        <v>1.02</v>
      </c>
      <c r="U248" s="73">
        <f>IF(AND($Q248&gt;0,ISNUMBER($T248)),$Q248*$T248,0)</f>
        <v>0</v>
      </c>
      <c r="V248" s="68">
        <f>SUM(W248:AB248)</f>
        <v>0</v>
      </c>
      <c r="W248" s="68"/>
      <c r="X248" s="68"/>
      <c r="Y248" s="68"/>
      <c r="Z248" s="68"/>
      <c r="AA248" s="74"/>
      <c r="AB248" s="68"/>
      <c r="AC248" s="68"/>
      <c r="AD248" s="75">
        <f>SUM(AE248:AJ248)</f>
        <v>1</v>
      </c>
      <c r="AE248" s="76"/>
      <c r="AF248" s="76"/>
      <c r="AG248" s="76"/>
      <c r="AH248" s="76"/>
      <c r="AI248" s="76">
        <v>1</v>
      </c>
      <c r="AJ248" s="76"/>
      <c r="AK248" s="76"/>
      <c r="AL248" s="77">
        <f>IF((P248-SUM(AE248:AK248))&lt;0,0,P248-SUM(AE248:AK248))</f>
        <v>0</v>
      </c>
      <c r="AM248" s="77">
        <f>SUM(AO248:AT248)</f>
        <v>1</v>
      </c>
      <c r="AN248" s="140" t="s">
        <v>105</v>
      </c>
      <c r="AO248" s="72"/>
      <c r="AP248" s="72"/>
      <c r="AQ248" s="72"/>
      <c r="AR248" s="72"/>
      <c r="AS248" s="79">
        <v>1</v>
      </c>
      <c r="AT248" s="72"/>
      <c r="AU248" s="31" t="s">
        <v>142</v>
      </c>
      <c r="AV248" s="70"/>
      <c r="AW248" s="72"/>
      <c r="AX248" s="129"/>
    </row>
    <row r="249" spans="1:50" ht="15" customHeight="1">
      <c r="A249" s="70" t="s">
        <v>2062</v>
      </c>
      <c r="B249" s="68" t="s">
        <v>1971</v>
      </c>
      <c r="C249" s="69" t="s">
        <v>45</v>
      </c>
      <c r="D249" s="70" t="s">
        <v>64</v>
      </c>
      <c r="E249" s="70" t="s">
        <v>2063</v>
      </c>
      <c r="F249" s="68">
        <v>3</v>
      </c>
      <c r="G249" s="71" t="s">
        <v>438</v>
      </c>
      <c r="H249" s="71" t="s">
        <v>2064</v>
      </c>
      <c r="I249" s="71" t="s">
        <v>2065</v>
      </c>
      <c r="J249" s="71"/>
      <c r="K249" s="72"/>
      <c r="L249" s="72"/>
      <c r="M249" s="72"/>
      <c r="N249" s="72"/>
      <c r="O249" s="71" t="s">
        <v>284</v>
      </c>
      <c r="P249" s="69">
        <v>1</v>
      </c>
      <c r="Q249" s="68">
        <f>MAX(0,$V249-$P249-$S249)</f>
        <v>0</v>
      </c>
      <c r="R249" s="68"/>
      <c r="S249" s="68"/>
      <c r="T249" s="73">
        <v>0.1</v>
      </c>
      <c r="U249" s="73">
        <f>IF(AND($Q249&gt;0,ISNUMBER($T249)),$Q249*$T249,0)</f>
        <v>0</v>
      </c>
      <c r="V249" s="68">
        <f>SUM(W249:AB249)</f>
        <v>0</v>
      </c>
      <c r="W249" s="68"/>
      <c r="X249" s="68"/>
      <c r="Y249" s="68"/>
      <c r="Z249" s="68"/>
      <c r="AA249" s="68"/>
      <c r="AB249" s="68"/>
      <c r="AC249" s="68"/>
      <c r="AD249" s="75">
        <f>SUM(AE249:AJ249)</f>
        <v>0</v>
      </c>
      <c r="AE249" s="76"/>
      <c r="AF249" s="76"/>
      <c r="AG249" s="76"/>
      <c r="AH249" s="76"/>
      <c r="AI249" s="76"/>
      <c r="AJ249" s="76"/>
      <c r="AK249" s="76"/>
      <c r="AL249" s="77">
        <f>IF((P249-SUM(AE249:AK249))&lt;0,0,P249-SUM(AE249:AK249))</f>
        <v>1</v>
      </c>
      <c r="AM249" s="77">
        <f>SUM(AO249:AT249)</f>
        <v>0</v>
      </c>
      <c r="AN249" s="72"/>
      <c r="AO249" s="72"/>
      <c r="AP249" s="72"/>
      <c r="AQ249" s="72"/>
      <c r="AR249" s="72"/>
      <c r="AS249" s="72"/>
      <c r="AT249" s="72"/>
      <c r="AU249" s="72"/>
      <c r="AV249" s="70"/>
      <c r="AW249" s="72"/>
      <c r="AX249" s="72"/>
    </row>
    <row r="250" spans="1:50" ht="15" customHeight="1">
      <c r="A250" s="70" t="s">
        <v>970</v>
      </c>
      <c r="B250" s="68" t="s">
        <v>919</v>
      </c>
      <c r="C250" s="69" t="s">
        <v>45</v>
      </c>
      <c r="D250" s="70" t="s">
        <v>627</v>
      </c>
      <c r="E250" s="70"/>
      <c r="F250" s="68">
        <v>0</v>
      </c>
      <c r="G250" s="71" t="s">
        <v>627</v>
      </c>
      <c r="H250" s="71" t="s">
        <v>969</v>
      </c>
      <c r="I250" s="71" t="s">
        <v>971</v>
      </c>
      <c r="J250" s="71"/>
      <c r="K250" s="72"/>
      <c r="L250" s="72"/>
      <c r="M250" s="72"/>
      <c r="N250" s="72"/>
      <c r="O250" s="71" t="s">
        <v>259</v>
      </c>
      <c r="P250" s="69">
        <v>1</v>
      </c>
      <c r="Q250" s="68">
        <f>MAX(0,$V250-$P250-$S250)</f>
        <v>0</v>
      </c>
      <c r="R250" s="68"/>
      <c r="S250" s="68"/>
      <c r="T250" s="73">
        <v>1.2</v>
      </c>
      <c r="U250" s="73">
        <f>IF(AND($Q250&gt;0,ISNUMBER($T250)),$Q250*$T250,0)</f>
        <v>0</v>
      </c>
      <c r="V250" s="68">
        <f>SUM(W250:AB250)</f>
        <v>1</v>
      </c>
      <c r="W250" s="68"/>
      <c r="X250" s="68"/>
      <c r="Y250" s="68">
        <v>1</v>
      </c>
      <c r="Z250" s="68"/>
      <c r="AA250" s="68"/>
      <c r="AB250" s="68"/>
      <c r="AC250" s="68"/>
      <c r="AD250" s="75">
        <f>SUM(AE250:AJ250)</f>
        <v>1</v>
      </c>
      <c r="AE250" s="76"/>
      <c r="AF250" s="76"/>
      <c r="AG250" s="76">
        <v>1</v>
      </c>
      <c r="AH250" s="76"/>
      <c r="AI250" s="76"/>
      <c r="AJ250" s="76"/>
      <c r="AK250" s="76"/>
      <c r="AL250" s="77">
        <f>IF((P250-SUM(AE250:AK250))&lt;0,0,P250-SUM(AE250:AK250))</f>
        <v>0</v>
      </c>
      <c r="AM250" s="77">
        <f>SUM(AO250:AT250)</f>
        <v>0</v>
      </c>
      <c r="AN250" s="129"/>
      <c r="AO250" s="72"/>
      <c r="AP250" s="129"/>
      <c r="AQ250" s="72"/>
      <c r="AR250" s="72"/>
      <c r="AS250" s="72"/>
      <c r="AT250" s="72"/>
      <c r="AU250" s="129"/>
      <c r="AV250" s="70"/>
      <c r="AW250" s="72"/>
      <c r="AX250" s="72"/>
    </row>
    <row r="251" spans="1:50" ht="15" customHeight="1">
      <c r="A251" s="86" t="s">
        <v>2066</v>
      </c>
      <c r="B251" s="68" t="s">
        <v>1971</v>
      </c>
      <c r="C251" s="69" t="s">
        <v>45</v>
      </c>
      <c r="D251" s="70" t="s">
        <v>64</v>
      </c>
      <c r="E251" s="70" t="s">
        <v>684</v>
      </c>
      <c r="F251" s="68">
        <v>3</v>
      </c>
      <c r="G251" s="71" t="s">
        <v>125</v>
      </c>
      <c r="H251" s="71" t="s">
        <v>2068</v>
      </c>
      <c r="I251" s="71" t="s">
        <v>166</v>
      </c>
      <c r="J251" s="71"/>
      <c r="K251" s="72"/>
      <c r="L251" s="72"/>
      <c r="M251" s="72"/>
      <c r="N251" s="72"/>
      <c r="O251" s="71" t="s">
        <v>2067</v>
      </c>
      <c r="P251" s="69">
        <v>1</v>
      </c>
      <c r="Q251" s="68">
        <f>MAX(0,$V251-$P251-$S251)</f>
        <v>0</v>
      </c>
      <c r="R251" s="68"/>
      <c r="S251" s="68"/>
      <c r="T251" s="73">
        <v>2.8</v>
      </c>
      <c r="U251" s="73">
        <f>IF(AND($Q251&gt;0,ISNUMBER($T251)),$Q251*$T251,0)</f>
        <v>0</v>
      </c>
      <c r="V251" s="68">
        <f>SUM(W251:AB251)</f>
        <v>1</v>
      </c>
      <c r="W251" s="68"/>
      <c r="X251" s="68"/>
      <c r="Y251" s="68"/>
      <c r="Z251" s="87">
        <v>1</v>
      </c>
      <c r="AA251" s="68"/>
      <c r="AB251" s="68"/>
      <c r="AC251" s="68"/>
      <c r="AD251" s="75">
        <f>SUM(AE251:AJ251)</f>
        <v>1</v>
      </c>
      <c r="AE251" s="76"/>
      <c r="AF251" s="76"/>
      <c r="AG251" s="76"/>
      <c r="AH251" s="76">
        <v>1</v>
      </c>
      <c r="AI251" s="76"/>
      <c r="AJ251" s="76"/>
      <c r="AK251" s="76"/>
      <c r="AL251" s="77">
        <f>IF((P251-SUM(AE251:AK251))&lt;0,0,P251-SUM(AE251:AK251))</f>
        <v>0</v>
      </c>
      <c r="AM251" s="77">
        <f>SUM(AO251:AT251)</f>
        <v>0</v>
      </c>
      <c r="AN251" s="85"/>
      <c r="AO251" s="72"/>
      <c r="AP251" s="72"/>
      <c r="AQ251" s="72"/>
      <c r="AR251" s="72"/>
      <c r="AS251" s="72"/>
      <c r="AT251" s="129"/>
      <c r="AU251" s="129"/>
      <c r="AV251" s="70"/>
      <c r="AW251" s="72"/>
      <c r="AX251" s="72"/>
    </row>
    <row r="252" spans="1:50" ht="15" customHeight="1">
      <c r="A252" s="70" t="s">
        <v>1581</v>
      </c>
      <c r="B252" s="68" t="s">
        <v>1499</v>
      </c>
      <c r="C252" s="69" t="s">
        <v>45</v>
      </c>
      <c r="D252" s="70" t="s">
        <v>64</v>
      </c>
      <c r="E252" s="70" t="s">
        <v>1582</v>
      </c>
      <c r="F252" s="68">
        <v>1</v>
      </c>
      <c r="G252" s="71" t="s">
        <v>902</v>
      </c>
      <c r="H252" s="71" t="s">
        <v>1583</v>
      </c>
      <c r="I252" s="71" t="s">
        <v>1584</v>
      </c>
      <c r="J252" s="71"/>
      <c r="K252" s="72"/>
      <c r="L252" s="72"/>
      <c r="M252" s="72"/>
      <c r="N252" s="72"/>
      <c r="O252" s="71" t="s">
        <v>136</v>
      </c>
      <c r="P252" s="69">
        <v>1</v>
      </c>
      <c r="Q252" s="68">
        <f>MAX(0,$V252-$P252-$S252)</f>
        <v>0</v>
      </c>
      <c r="R252" s="68"/>
      <c r="S252" s="68"/>
      <c r="T252" s="73">
        <v>0.28000000000000003</v>
      </c>
      <c r="U252" s="73">
        <f>IF(AND($Q252&gt;0,ISNUMBER($T252)),$Q252*$T252,0)</f>
        <v>0</v>
      </c>
      <c r="V252" s="68">
        <f>SUM(W252:AB252)</f>
        <v>0</v>
      </c>
      <c r="W252" s="68"/>
      <c r="X252" s="68"/>
      <c r="Y252" s="68"/>
      <c r="Z252" s="68"/>
      <c r="AA252" s="68"/>
      <c r="AB252" s="68"/>
      <c r="AC252" s="68"/>
      <c r="AD252" s="75">
        <f>SUM(AE252:AJ252)</f>
        <v>0</v>
      </c>
      <c r="AE252" s="76"/>
      <c r="AF252" s="76"/>
      <c r="AG252" s="76"/>
      <c r="AH252" s="76"/>
      <c r="AI252" s="76"/>
      <c r="AJ252" s="76"/>
      <c r="AK252" s="76"/>
      <c r="AL252" s="77">
        <f>IF((P252-SUM(AE252:AK252))&lt;0,0,P252-SUM(AE252:AK252))</f>
        <v>1</v>
      </c>
      <c r="AM252" s="77">
        <f>SUM(AO252:AT252)</f>
        <v>0</v>
      </c>
      <c r="AN252" s="129"/>
      <c r="AO252" s="72"/>
      <c r="AP252" s="72"/>
      <c r="AQ252" s="129"/>
      <c r="AR252" s="129"/>
      <c r="AS252" s="129"/>
      <c r="AT252" s="72"/>
      <c r="AU252" s="129"/>
      <c r="AV252" s="70"/>
      <c r="AW252" s="72"/>
      <c r="AX252" s="72"/>
    </row>
    <row r="253" spans="1:50" ht="15" customHeight="1">
      <c r="A253" s="98" t="s">
        <v>2448</v>
      </c>
      <c r="B253" s="100" t="s">
        <v>1971</v>
      </c>
      <c r="C253" s="101" t="s">
        <v>45</v>
      </c>
      <c r="D253" s="98" t="s">
        <v>64</v>
      </c>
      <c r="E253" s="98" t="s">
        <v>2449</v>
      </c>
      <c r="F253" s="100">
        <v>5</v>
      </c>
      <c r="G253" s="98" t="s">
        <v>125</v>
      </c>
      <c r="H253" s="98" t="s">
        <v>2450</v>
      </c>
      <c r="I253" s="98" t="s">
        <v>197</v>
      </c>
      <c r="J253" s="98"/>
      <c r="K253" s="99"/>
      <c r="L253" s="99"/>
      <c r="M253" s="99"/>
      <c r="N253" s="99"/>
      <c r="O253" s="98" t="s">
        <v>136</v>
      </c>
      <c r="P253" s="101">
        <v>1</v>
      </c>
      <c r="Q253" s="68">
        <f>MAX(0,$V253-$P253-$S253)</f>
        <v>0</v>
      </c>
      <c r="R253" s="98"/>
      <c r="S253" s="98"/>
      <c r="T253" s="98">
        <v>0.14000000000000001</v>
      </c>
      <c r="U253" s="98">
        <f>IF(AND($Q253&gt;0,ISNUMBER($T253)),$Q253*$T253,0)</f>
        <v>0</v>
      </c>
      <c r="V253" s="68">
        <f>SUM(W253:AB253)</f>
        <v>0</v>
      </c>
      <c r="W253" s="100"/>
      <c r="X253" s="100"/>
      <c r="Y253" s="100"/>
      <c r="Z253" s="100"/>
      <c r="AA253" s="100"/>
      <c r="AB253" s="100"/>
      <c r="AC253" s="68"/>
      <c r="AD253" s="75">
        <f>SUM(AE253:AJ253)</f>
        <v>0</v>
      </c>
      <c r="AE253" s="102"/>
      <c r="AF253" s="102"/>
      <c r="AG253" s="102"/>
      <c r="AH253" s="102"/>
      <c r="AI253" s="102"/>
      <c r="AJ253" s="102"/>
      <c r="AK253" s="102"/>
      <c r="AL253" s="77">
        <f>IF((P253-SUM(AE253:AK253))&lt;0,0,P253-SUM(AE253:AK253))</f>
        <v>1</v>
      </c>
      <c r="AM253" s="77">
        <f>SUM(AO253:AT253)</f>
        <v>0</v>
      </c>
      <c r="AN253" s="27"/>
      <c r="AO253" s="99"/>
      <c r="AP253" s="99"/>
      <c r="AQ253" s="99"/>
      <c r="AR253" s="99"/>
      <c r="AS253" s="99"/>
      <c r="AT253" s="99"/>
      <c r="AU253" s="99"/>
      <c r="AV253" s="98"/>
      <c r="AW253" s="99"/>
      <c r="AX253" s="27"/>
    </row>
    <row r="254" spans="1:50" ht="15" customHeight="1">
      <c r="A254" s="86" t="s">
        <v>2073</v>
      </c>
      <c r="B254" s="68" t="s">
        <v>1971</v>
      </c>
      <c r="C254" s="69" t="s">
        <v>45</v>
      </c>
      <c r="D254" s="70" t="s">
        <v>64</v>
      </c>
      <c r="E254" s="70" t="s">
        <v>2074</v>
      </c>
      <c r="F254" s="68">
        <v>3</v>
      </c>
      <c r="G254" s="71" t="s">
        <v>49</v>
      </c>
      <c r="H254" s="71" t="s">
        <v>2075</v>
      </c>
      <c r="I254" s="71" t="s">
        <v>2076</v>
      </c>
      <c r="J254" s="71"/>
      <c r="K254" s="72"/>
      <c r="L254" s="72"/>
      <c r="M254" s="72"/>
      <c r="N254" s="72"/>
      <c r="O254" s="71" t="s">
        <v>112</v>
      </c>
      <c r="P254" s="69">
        <v>1</v>
      </c>
      <c r="Q254" s="68">
        <f>MAX(0,$V254-$P254-$S254)</f>
        <v>0</v>
      </c>
      <c r="R254" s="68"/>
      <c r="S254" s="68"/>
      <c r="T254" s="73">
        <v>0.18</v>
      </c>
      <c r="U254" s="73">
        <f>IF(AND($Q254&gt;0,ISNUMBER($T254)),$Q254*$T254,0)</f>
        <v>0</v>
      </c>
      <c r="V254" s="68">
        <f>SUM(W254:AB254)</f>
        <v>1</v>
      </c>
      <c r="W254" s="68"/>
      <c r="X254" s="68"/>
      <c r="Y254" s="68"/>
      <c r="Z254" s="68"/>
      <c r="AA254" s="87">
        <v>1</v>
      </c>
      <c r="AB254" s="68"/>
      <c r="AC254" s="68"/>
      <c r="AD254" s="75">
        <f>SUM(AE254:AJ254)</f>
        <v>1</v>
      </c>
      <c r="AE254" s="76"/>
      <c r="AF254" s="76"/>
      <c r="AG254" s="76"/>
      <c r="AH254" s="76"/>
      <c r="AI254" s="76">
        <v>1</v>
      </c>
      <c r="AJ254" s="76"/>
      <c r="AK254" s="76"/>
      <c r="AL254" s="77">
        <f>IF((P254-SUM(AE254:AK254))&lt;0,0,P254-SUM(AE254:AK254))</f>
        <v>0</v>
      </c>
      <c r="AM254" s="77">
        <f>SUM(AO254:AT254)</f>
        <v>0</v>
      </c>
      <c r="AN254" s="72"/>
      <c r="AO254" s="72"/>
      <c r="AP254" s="72"/>
      <c r="AQ254" s="72"/>
      <c r="AR254" s="72"/>
      <c r="AS254" s="72"/>
      <c r="AT254" s="72"/>
      <c r="AU254" s="72"/>
      <c r="AV254" s="70"/>
      <c r="AW254" s="72"/>
      <c r="AX254" s="72"/>
    </row>
    <row r="255" spans="1:50" ht="15" customHeight="1">
      <c r="A255" s="70" t="s">
        <v>1234</v>
      </c>
      <c r="B255" s="68" t="s">
        <v>1114</v>
      </c>
      <c r="C255" s="69" t="s">
        <v>45</v>
      </c>
      <c r="D255" s="70" t="s">
        <v>123</v>
      </c>
      <c r="E255" s="70" t="s">
        <v>1235</v>
      </c>
      <c r="F255" s="68">
        <v>2</v>
      </c>
      <c r="G255" s="71" t="s">
        <v>60</v>
      </c>
      <c r="H255" s="71" t="s">
        <v>1236</v>
      </c>
      <c r="I255" s="71" t="s">
        <v>1237</v>
      </c>
      <c r="J255" s="71" t="s">
        <v>1238</v>
      </c>
      <c r="K255" s="69"/>
      <c r="L255" s="69"/>
      <c r="M255" s="69"/>
      <c r="N255" s="69"/>
      <c r="O255" s="71" t="s">
        <v>69</v>
      </c>
      <c r="P255" s="69">
        <v>1</v>
      </c>
      <c r="Q255" s="68">
        <f>MAX(0,$V255-$P255-$S255)</f>
        <v>0</v>
      </c>
      <c r="R255" s="68"/>
      <c r="S255" s="68"/>
      <c r="T255" s="73">
        <v>3.11</v>
      </c>
      <c r="U255" s="73">
        <f>IF(AND($Q255&gt;0,ISNUMBER($T255)),$Q255*$T255,0)</f>
        <v>0</v>
      </c>
      <c r="V255" s="68">
        <f>SUM(W255:AB255)</f>
        <v>1</v>
      </c>
      <c r="W255" s="68"/>
      <c r="X255" s="68"/>
      <c r="Y255" s="68"/>
      <c r="Z255" s="68"/>
      <c r="AA255" s="68">
        <v>1</v>
      </c>
      <c r="AB255" s="68"/>
      <c r="AC255" s="68"/>
      <c r="AD255" s="75">
        <f>SUM(AE255:AJ255)</f>
        <v>1</v>
      </c>
      <c r="AE255" s="76"/>
      <c r="AF255" s="76"/>
      <c r="AG255" s="76"/>
      <c r="AH255" s="76"/>
      <c r="AI255" s="76">
        <v>1</v>
      </c>
      <c r="AJ255" s="76"/>
      <c r="AK255" s="76"/>
      <c r="AL255" s="77">
        <f>IF((P255-SUM(AE255:AK255))&lt;0,0,P255-SUM(AE255:AK255))</f>
        <v>0</v>
      </c>
      <c r="AM255" s="77">
        <f>SUM(AO255:AT255)</f>
        <v>0</v>
      </c>
      <c r="AN255" s="72"/>
      <c r="AO255" s="72"/>
      <c r="AP255" s="72"/>
      <c r="AQ255" s="72"/>
      <c r="AR255" s="72"/>
      <c r="AS255" s="72"/>
      <c r="AT255" s="72"/>
      <c r="AU255" s="72"/>
      <c r="AV255" s="70"/>
      <c r="AW255" s="72"/>
      <c r="AX255" s="72"/>
    </row>
    <row r="256" spans="1:50" ht="15" customHeight="1">
      <c r="A256" s="70" t="s">
        <v>694</v>
      </c>
      <c r="B256" s="68" t="s">
        <v>636</v>
      </c>
      <c r="C256" s="69" t="s">
        <v>45</v>
      </c>
      <c r="D256" s="70" t="s">
        <v>64</v>
      </c>
      <c r="E256" s="70" t="s">
        <v>695</v>
      </c>
      <c r="F256" s="68">
        <v>2</v>
      </c>
      <c r="G256" s="71" t="s">
        <v>176</v>
      </c>
      <c r="H256" s="71" t="s">
        <v>697</v>
      </c>
      <c r="I256" s="71"/>
      <c r="J256" s="71"/>
      <c r="K256" s="72"/>
      <c r="L256" s="72"/>
      <c r="M256" s="72"/>
      <c r="N256" s="72"/>
      <c r="O256" s="71" t="s">
        <v>696</v>
      </c>
      <c r="P256" s="69">
        <v>1</v>
      </c>
      <c r="Q256" s="68">
        <f>MAX(0,$V256-$P256-$S256)</f>
        <v>0</v>
      </c>
      <c r="R256" s="68"/>
      <c r="S256" s="68"/>
      <c r="T256" s="73">
        <v>0.1</v>
      </c>
      <c r="U256" s="73">
        <f>IF(AND($Q256&gt;0,ISNUMBER($T256)),$Q256*$T256,0)</f>
        <v>0</v>
      </c>
      <c r="V256" s="68">
        <f>SUM(W256:AB256)</f>
        <v>1</v>
      </c>
      <c r="W256" s="68"/>
      <c r="X256" s="68">
        <v>1</v>
      </c>
      <c r="Y256" s="68"/>
      <c r="Z256" s="68"/>
      <c r="AA256" s="68"/>
      <c r="AB256" s="68"/>
      <c r="AC256" s="68"/>
      <c r="AD256" s="75">
        <f>SUM(AE256:AJ256)</f>
        <v>1</v>
      </c>
      <c r="AE256" s="76"/>
      <c r="AF256" s="76">
        <v>1</v>
      </c>
      <c r="AG256" s="76"/>
      <c r="AH256" s="76"/>
      <c r="AI256" s="76"/>
      <c r="AJ256" s="76"/>
      <c r="AK256" s="76"/>
      <c r="AL256" s="77">
        <f>IF((P256-SUM(AE256:AK256))&lt;0,0,P256-SUM(AE256:AK256))</f>
        <v>0</v>
      </c>
      <c r="AM256" s="77">
        <f>SUM(AO256:AT256)</f>
        <v>0</v>
      </c>
      <c r="AN256" s="129"/>
      <c r="AO256" s="72"/>
      <c r="AP256" s="72"/>
      <c r="AQ256" s="72"/>
      <c r="AR256" s="72"/>
      <c r="AS256" s="72"/>
      <c r="AT256" s="72"/>
      <c r="AU256" s="72"/>
      <c r="AV256" s="70"/>
      <c r="AW256" s="72"/>
      <c r="AX256" s="129"/>
    </row>
    <row r="257" spans="1:50" ht="15" customHeight="1">
      <c r="A257" s="70" t="s">
        <v>972</v>
      </c>
      <c r="B257" s="68" t="s">
        <v>919</v>
      </c>
      <c r="C257" s="69" t="s">
        <v>45</v>
      </c>
      <c r="D257" s="70" t="s">
        <v>627</v>
      </c>
      <c r="E257" s="70"/>
      <c r="F257" s="68">
        <v>0</v>
      </c>
      <c r="G257" s="71" t="s">
        <v>627</v>
      </c>
      <c r="H257" s="71" t="s">
        <v>949</v>
      </c>
      <c r="I257" s="71" t="s">
        <v>926</v>
      </c>
      <c r="J257" s="71" t="s">
        <v>973</v>
      </c>
      <c r="K257" s="69"/>
      <c r="L257" s="69"/>
      <c r="M257" s="69"/>
      <c r="N257" s="69"/>
      <c r="O257" s="71" t="s">
        <v>303</v>
      </c>
      <c r="P257" s="69">
        <v>1</v>
      </c>
      <c r="Q257" s="68">
        <f>MAX(0,$V257-$P257-$S257)</f>
        <v>0</v>
      </c>
      <c r="R257" s="68"/>
      <c r="S257" s="68"/>
      <c r="T257" s="73">
        <v>6.41</v>
      </c>
      <c r="U257" s="73">
        <f>IF(AND($Q257&gt;0,ISNUMBER($T257)),$Q257*$T257,0)</f>
        <v>0</v>
      </c>
      <c r="V257" s="68">
        <f>SUM(W257:AB257)</f>
        <v>1</v>
      </c>
      <c r="W257" s="68">
        <v>1</v>
      </c>
      <c r="X257" s="68"/>
      <c r="Y257" s="68"/>
      <c r="Z257" s="68"/>
      <c r="AA257" s="68"/>
      <c r="AB257" s="68"/>
      <c r="AC257" s="68"/>
      <c r="AD257" s="75">
        <f>SUM(AE257:AJ257)</f>
        <v>1</v>
      </c>
      <c r="AE257" s="76">
        <v>1</v>
      </c>
      <c r="AF257" s="76"/>
      <c r="AG257" s="76"/>
      <c r="AH257" s="76"/>
      <c r="AI257" s="76"/>
      <c r="AJ257" s="76"/>
      <c r="AK257" s="76"/>
      <c r="AL257" s="77">
        <f>IF((P257-SUM(AE257:AK257))&lt;0,0,P257-SUM(AE257:AK257))</f>
        <v>0</v>
      </c>
      <c r="AM257" s="77">
        <f>SUM(AO257:AT257)</f>
        <v>0</v>
      </c>
      <c r="AN257" s="85"/>
      <c r="AO257" s="72"/>
      <c r="AP257" s="72"/>
      <c r="AQ257" s="85"/>
      <c r="AR257" s="85"/>
      <c r="AS257" s="85"/>
      <c r="AT257" s="72"/>
      <c r="AU257" s="85"/>
      <c r="AV257" s="70"/>
      <c r="AW257" s="72"/>
      <c r="AX257" s="72"/>
    </row>
    <row r="258" spans="1:50" ht="15" customHeight="1">
      <c r="A258" s="96" t="s">
        <v>1242</v>
      </c>
      <c r="B258" s="90" t="s">
        <v>1114</v>
      </c>
      <c r="C258" s="69" t="s">
        <v>45</v>
      </c>
      <c r="D258" s="92" t="s">
        <v>64</v>
      </c>
      <c r="E258" s="92" t="s">
        <v>1243</v>
      </c>
      <c r="F258" s="90">
        <v>6</v>
      </c>
      <c r="G258" s="92" t="s">
        <v>296</v>
      </c>
      <c r="H258" s="92" t="s">
        <v>1244</v>
      </c>
      <c r="I258" s="92" t="s">
        <v>1245</v>
      </c>
      <c r="J258" s="92" t="s">
        <v>1246</v>
      </c>
      <c r="K258" s="72"/>
      <c r="L258" s="72"/>
      <c r="M258" s="72"/>
      <c r="N258" s="72"/>
      <c r="O258" s="92" t="s">
        <v>48</v>
      </c>
      <c r="P258" s="69">
        <v>1</v>
      </c>
      <c r="Q258" s="68">
        <f>MAX(0,$V258-$P258-$S258)</f>
        <v>0</v>
      </c>
      <c r="R258" s="92"/>
      <c r="S258" s="92"/>
      <c r="T258" s="92">
        <v>0.9</v>
      </c>
      <c r="U258" s="92">
        <f>IF(AND($Q258&gt;0,ISNUMBER($T258)),$Q258*$T258,0)</f>
        <v>0</v>
      </c>
      <c r="V258" s="68">
        <f>SUM(W258:AB258)</f>
        <v>1</v>
      </c>
      <c r="W258" s="68"/>
      <c r="X258" s="68"/>
      <c r="Y258" s="68"/>
      <c r="Z258" s="68"/>
      <c r="AA258" s="87">
        <v>1</v>
      </c>
      <c r="AB258" s="68"/>
      <c r="AC258" s="68"/>
      <c r="AD258" s="75">
        <f>SUM(AE258:AJ258)</f>
        <v>1</v>
      </c>
      <c r="AE258" s="76"/>
      <c r="AF258" s="76"/>
      <c r="AG258" s="76"/>
      <c r="AH258" s="76"/>
      <c r="AI258" s="76">
        <v>1</v>
      </c>
      <c r="AJ258" s="76"/>
      <c r="AK258" s="76"/>
      <c r="AL258" s="77">
        <f>IF((P258-SUM(AE258:AK258))&lt;0,0,P258-SUM(AE258:AK258))</f>
        <v>0</v>
      </c>
      <c r="AM258" s="77">
        <f>SUM(AO258:AT258)</f>
        <v>0</v>
      </c>
      <c r="AN258" s="129"/>
      <c r="AO258" s="72"/>
      <c r="AP258" s="72"/>
      <c r="AQ258" s="72"/>
      <c r="AR258" s="72"/>
      <c r="AS258" s="72"/>
      <c r="AT258" s="72"/>
      <c r="AU258" s="72"/>
      <c r="AV258" s="92"/>
      <c r="AW258" s="72"/>
      <c r="AX258" s="72"/>
    </row>
    <row r="259" spans="1:50" ht="15" customHeight="1">
      <c r="A259" s="70" t="s">
        <v>1585</v>
      </c>
      <c r="B259" s="68" t="s">
        <v>1499</v>
      </c>
      <c r="C259" s="69" t="s">
        <v>45</v>
      </c>
      <c r="D259" s="70" t="s">
        <v>47</v>
      </c>
      <c r="E259" s="70"/>
      <c r="F259" s="68">
        <v>4</v>
      </c>
      <c r="G259" s="71" t="s">
        <v>54</v>
      </c>
      <c r="H259" s="71" t="s">
        <v>1580</v>
      </c>
      <c r="I259" s="71" t="s">
        <v>1586</v>
      </c>
      <c r="J259" s="71"/>
      <c r="K259" s="72"/>
      <c r="L259" s="72"/>
      <c r="M259" s="72"/>
      <c r="N259" s="72"/>
      <c r="O259" s="71" t="s">
        <v>541</v>
      </c>
      <c r="P259" s="69">
        <v>1</v>
      </c>
      <c r="Q259" s="68">
        <f>MAX(0,$V259-$P259-$S259)</f>
        <v>0</v>
      </c>
      <c r="R259" s="68" t="s">
        <v>57</v>
      </c>
      <c r="S259" s="68">
        <v>1</v>
      </c>
      <c r="T259" s="73">
        <v>0.15</v>
      </c>
      <c r="U259" s="73">
        <f>IF(AND($Q259&gt;0,ISNUMBER($T259)),$Q259*$T259,0)</f>
        <v>0</v>
      </c>
      <c r="V259" s="68">
        <f>SUM(W259:AB259)</f>
        <v>1</v>
      </c>
      <c r="W259" s="68"/>
      <c r="X259" s="68"/>
      <c r="Y259" s="68"/>
      <c r="Z259" s="68"/>
      <c r="AA259" s="68"/>
      <c r="AB259" s="68">
        <v>1</v>
      </c>
      <c r="AC259" s="68"/>
      <c r="AD259" s="75">
        <f>SUM(AE259:AJ259)</f>
        <v>1</v>
      </c>
      <c r="AE259" s="76"/>
      <c r="AF259" s="76"/>
      <c r="AG259" s="76"/>
      <c r="AH259" s="76"/>
      <c r="AI259" s="76"/>
      <c r="AJ259" s="76">
        <v>1</v>
      </c>
      <c r="AK259" s="76"/>
      <c r="AL259" s="77">
        <f>IF((P259-SUM(AE259:AK259))&lt;0,0,P259-SUM(AE259:AK259))</f>
        <v>0</v>
      </c>
      <c r="AM259" s="77">
        <f>SUM(AO259:AT259)</f>
        <v>0</v>
      </c>
      <c r="AN259" s="129"/>
      <c r="AO259" s="72"/>
      <c r="AP259" s="72"/>
      <c r="AQ259" s="72"/>
      <c r="AR259" s="72"/>
      <c r="AS259" s="72"/>
      <c r="AT259" s="72"/>
      <c r="AU259" s="72"/>
      <c r="AV259" s="70"/>
      <c r="AW259" s="72"/>
      <c r="AX259" s="129"/>
    </row>
    <row r="260" spans="1:50" ht="15" customHeight="1">
      <c r="A260" s="70" t="s">
        <v>448</v>
      </c>
      <c r="B260" s="68" t="s">
        <v>345</v>
      </c>
      <c r="C260" s="69" t="s">
        <v>45</v>
      </c>
      <c r="D260" s="70" t="s">
        <v>64</v>
      </c>
      <c r="E260" s="70" t="s">
        <v>365</v>
      </c>
      <c r="F260" s="68">
        <v>6</v>
      </c>
      <c r="G260" s="71" t="s">
        <v>125</v>
      </c>
      <c r="H260" s="71" t="s">
        <v>450</v>
      </c>
      <c r="I260" s="71" t="s">
        <v>451</v>
      </c>
      <c r="J260" s="71" t="s">
        <v>452</v>
      </c>
      <c r="K260" s="72"/>
      <c r="L260" s="72"/>
      <c r="M260" s="72"/>
      <c r="N260" s="72"/>
      <c r="O260" s="71" t="s">
        <v>449</v>
      </c>
      <c r="P260" s="69">
        <v>1</v>
      </c>
      <c r="Q260" s="68">
        <f>MAX(0,$V260-$P260-$S260)</f>
        <v>0</v>
      </c>
      <c r="R260" s="68"/>
      <c r="S260" s="68"/>
      <c r="T260" s="73">
        <v>0.33</v>
      </c>
      <c r="U260" s="73">
        <f>IF(AND($Q260&gt;0,ISNUMBER($T260)),$Q260*$T260,0)</f>
        <v>0</v>
      </c>
      <c r="V260" s="68">
        <f>SUM(W260:AB260)</f>
        <v>0</v>
      </c>
      <c r="W260" s="68"/>
      <c r="X260" s="68"/>
      <c r="Y260" s="68"/>
      <c r="Z260" s="68"/>
      <c r="AA260" s="68"/>
      <c r="AB260" s="68"/>
      <c r="AC260" s="68"/>
      <c r="AD260" s="75">
        <f>SUM(AE260:AJ260)</f>
        <v>0</v>
      </c>
      <c r="AE260" s="76"/>
      <c r="AF260" s="76"/>
      <c r="AG260" s="76"/>
      <c r="AH260" s="76"/>
      <c r="AI260" s="76"/>
      <c r="AJ260" s="76"/>
      <c r="AK260" s="76"/>
      <c r="AL260" s="77">
        <f>IF((P260-SUM(AE260:AK260))&lt;0,0,P260-SUM(AE260:AK260))</f>
        <v>1</v>
      </c>
      <c r="AM260" s="77">
        <f>SUM(AO260:AT260)</f>
        <v>0</v>
      </c>
      <c r="AN260" s="72"/>
      <c r="AO260" s="72"/>
      <c r="AP260" s="72"/>
      <c r="AQ260" s="72"/>
      <c r="AR260" s="72"/>
      <c r="AS260" s="72"/>
      <c r="AT260" s="72"/>
      <c r="AU260" s="72"/>
      <c r="AV260" s="70"/>
      <c r="AW260" s="72"/>
      <c r="AX260" s="72"/>
    </row>
    <row r="261" spans="1:50" ht="15" customHeight="1">
      <c r="A261" s="70" t="s">
        <v>2082</v>
      </c>
      <c r="B261" s="68" t="s">
        <v>1971</v>
      </c>
      <c r="C261" s="69" t="s">
        <v>45</v>
      </c>
      <c r="D261" s="70" t="s">
        <v>72</v>
      </c>
      <c r="E261" s="70"/>
      <c r="F261" s="68">
        <v>1</v>
      </c>
      <c r="G261" s="71" t="s">
        <v>616</v>
      </c>
      <c r="H261" s="71" t="s">
        <v>1364</v>
      </c>
      <c r="I261" s="71" t="s">
        <v>2083</v>
      </c>
      <c r="J261" s="71"/>
      <c r="K261" s="69"/>
      <c r="L261" s="69"/>
      <c r="M261" s="69"/>
      <c r="N261" s="69"/>
      <c r="O261" s="71" t="s">
        <v>97</v>
      </c>
      <c r="P261" s="69">
        <v>1</v>
      </c>
      <c r="Q261" s="68">
        <f>MAX(0,$V261-$P261-$S261)</f>
        <v>0</v>
      </c>
      <c r="R261" s="68"/>
      <c r="S261" s="68"/>
      <c r="T261" s="73">
        <v>5.2</v>
      </c>
      <c r="U261" s="73">
        <f>IF(AND($Q261&gt;0,ISNUMBER($T261)),$Q261*$T261,0)</f>
        <v>0</v>
      </c>
      <c r="V261" s="68">
        <f>SUM(W261:AB261)</f>
        <v>1</v>
      </c>
      <c r="W261" s="68"/>
      <c r="X261" s="68">
        <v>1</v>
      </c>
      <c r="Y261" s="68"/>
      <c r="Z261" s="68"/>
      <c r="AA261" s="68"/>
      <c r="AB261" s="68"/>
      <c r="AC261" s="68"/>
      <c r="AD261" s="75">
        <f>SUM(AE261:AJ261)</f>
        <v>1</v>
      </c>
      <c r="AE261" s="76"/>
      <c r="AF261" s="76">
        <v>1</v>
      </c>
      <c r="AG261" s="76"/>
      <c r="AH261" s="76"/>
      <c r="AI261" s="76"/>
      <c r="AJ261" s="76"/>
      <c r="AK261" s="76"/>
      <c r="AL261" s="77">
        <f>IF((P261-SUM(AE261:AK261))&lt;0,0,P261-SUM(AE261:AK261))</f>
        <v>0</v>
      </c>
      <c r="AM261" s="77">
        <f>SUM(AO261:AT261)</f>
        <v>0</v>
      </c>
      <c r="AN261" s="72"/>
      <c r="AO261" s="72"/>
      <c r="AP261" s="72"/>
      <c r="AQ261" s="72"/>
      <c r="AR261" s="72"/>
      <c r="AS261" s="72"/>
      <c r="AT261" s="72"/>
      <c r="AU261" s="72"/>
      <c r="AV261" s="70"/>
      <c r="AW261" s="72"/>
      <c r="AX261" s="72"/>
    </row>
    <row r="262" spans="1:50" ht="15" customHeight="1">
      <c r="A262" s="70" t="s">
        <v>698</v>
      </c>
      <c r="B262" s="68" t="s">
        <v>636</v>
      </c>
      <c r="C262" s="69" t="s">
        <v>45</v>
      </c>
      <c r="D262" s="70" t="s">
        <v>64</v>
      </c>
      <c r="E262" s="70" t="s">
        <v>222</v>
      </c>
      <c r="F262" s="68">
        <v>3</v>
      </c>
      <c r="G262" s="71" t="s">
        <v>296</v>
      </c>
      <c r="H262" s="71" t="s">
        <v>699</v>
      </c>
      <c r="I262" s="71"/>
      <c r="J262" s="71"/>
      <c r="K262" s="72"/>
      <c r="L262" s="72"/>
      <c r="M262" s="72"/>
      <c r="N262" s="72"/>
      <c r="O262" s="71" t="s">
        <v>217</v>
      </c>
      <c r="P262" s="69">
        <v>1</v>
      </c>
      <c r="Q262" s="68">
        <f>MAX(0,$V262-$P262-$S262)</f>
        <v>0</v>
      </c>
      <c r="R262" s="68"/>
      <c r="S262" s="68"/>
      <c r="T262" s="73">
        <v>2.52</v>
      </c>
      <c r="U262" s="73">
        <f>IF(AND($Q262&gt;0,ISNUMBER($T262)),$Q262*$T262,0)</f>
        <v>0</v>
      </c>
      <c r="V262" s="68">
        <f>SUM(W262:AB262)</f>
        <v>1</v>
      </c>
      <c r="W262" s="68"/>
      <c r="X262" s="68">
        <v>1</v>
      </c>
      <c r="Y262" s="68"/>
      <c r="Z262" s="68"/>
      <c r="AA262" s="68"/>
      <c r="AB262" s="68"/>
      <c r="AC262" s="68"/>
      <c r="AD262" s="75">
        <f>SUM(AE262:AJ262)</f>
        <v>1</v>
      </c>
      <c r="AE262" s="76"/>
      <c r="AF262" s="76">
        <v>1</v>
      </c>
      <c r="AG262" s="76"/>
      <c r="AH262" s="76"/>
      <c r="AI262" s="76"/>
      <c r="AJ262" s="76"/>
      <c r="AK262" s="76"/>
      <c r="AL262" s="77">
        <f>IF((P262-SUM(AE262:AK262))&lt;0,0,P262-SUM(AE262:AK262))</f>
        <v>0</v>
      </c>
      <c r="AM262" s="77">
        <f>SUM(AO262:AT262)</f>
        <v>0</v>
      </c>
      <c r="AN262" s="129"/>
      <c r="AO262" s="72"/>
      <c r="AP262" s="72"/>
      <c r="AQ262" s="72"/>
      <c r="AR262" s="72"/>
      <c r="AS262" s="72"/>
      <c r="AT262" s="129"/>
      <c r="AU262" s="129"/>
      <c r="AV262" s="70"/>
      <c r="AW262" s="72"/>
      <c r="AX262" s="72"/>
    </row>
    <row r="263" spans="1:50" ht="15" customHeight="1">
      <c r="A263" s="70" t="s">
        <v>453</v>
      </c>
      <c r="B263" s="68" t="s">
        <v>345</v>
      </c>
      <c r="C263" s="69" t="s">
        <v>45</v>
      </c>
      <c r="D263" s="70" t="s">
        <v>175</v>
      </c>
      <c r="E263" s="70"/>
      <c r="F263" s="68">
        <v>0</v>
      </c>
      <c r="G263" s="71" t="s">
        <v>350</v>
      </c>
      <c r="H263" s="71" t="s">
        <v>455</v>
      </c>
      <c r="I263" s="71" t="s">
        <v>456</v>
      </c>
      <c r="J263" s="71"/>
      <c r="K263" s="72"/>
      <c r="L263" s="72"/>
      <c r="M263" s="72"/>
      <c r="N263" s="72"/>
      <c r="O263" s="71" t="s">
        <v>454</v>
      </c>
      <c r="P263" s="69">
        <v>1</v>
      </c>
      <c r="Q263" s="68">
        <f>MAX(0,$V263-$P263-$S263)</f>
        <v>0</v>
      </c>
      <c r="R263" s="68" t="s">
        <v>57</v>
      </c>
      <c r="S263" s="68">
        <v>1</v>
      </c>
      <c r="T263" s="73">
        <v>0.28999999999999998</v>
      </c>
      <c r="U263" s="73">
        <f>IF(AND($Q263&gt;0,ISNUMBER($T263)),$Q263*$T263,0)</f>
        <v>0</v>
      </c>
      <c r="V263" s="68">
        <f>SUM(W263:AB263)</f>
        <v>1</v>
      </c>
      <c r="W263" s="68"/>
      <c r="X263" s="68"/>
      <c r="Y263" s="68">
        <v>1</v>
      </c>
      <c r="Z263" s="68"/>
      <c r="AA263" s="68"/>
      <c r="AB263" s="68"/>
      <c r="AC263" s="68"/>
      <c r="AD263" s="75">
        <f>SUM(AE263:AJ263)</f>
        <v>1</v>
      </c>
      <c r="AE263" s="76"/>
      <c r="AF263" s="76"/>
      <c r="AG263" s="76">
        <v>1</v>
      </c>
      <c r="AH263" s="76"/>
      <c r="AI263" s="76"/>
      <c r="AJ263" s="76"/>
      <c r="AK263" s="76"/>
      <c r="AL263" s="77">
        <f>IF((P263-SUM(AE263:AK263))&lt;0,0,P263-SUM(AE263:AK263))</f>
        <v>0</v>
      </c>
      <c r="AM263" s="77">
        <f>SUM(AO263:AT263)</f>
        <v>0</v>
      </c>
      <c r="AN263" s="129"/>
      <c r="AO263" s="72"/>
      <c r="AP263" s="129"/>
      <c r="AQ263" s="129"/>
      <c r="AR263" s="129"/>
      <c r="AS263" s="129"/>
      <c r="AT263" s="72"/>
      <c r="AU263" s="129"/>
      <c r="AV263" s="70"/>
      <c r="AW263" s="72"/>
      <c r="AX263" s="129"/>
    </row>
    <row r="264" spans="1:50" ht="15" customHeight="1">
      <c r="A264" s="70" t="s">
        <v>1247</v>
      </c>
      <c r="B264" s="68" t="s">
        <v>1114</v>
      </c>
      <c r="C264" s="69" t="s">
        <v>45</v>
      </c>
      <c r="D264" s="70" t="s">
        <v>123</v>
      </c>
      <c r="E264" s="70" t="s">
        <v>1248</v>
      </c>
      <c r="F264" s="68">
        <v>4</v>
      </c>
      <c r="G264" s="71" t="s">
        <v>296</v>
      </c>
      <c r="H264" s="71" t="s">
        <v>1249</v>
      </c>
      <c r="I264" s="71" t="s">
        <v>1250</v>
      </c>
      <c r="J264" s="71"/>
      <c r="K264" s="69"/>
      <c r="L264" s="69"/>
      <c r="M264" s="69"/>
      <c r="N264" s="69"/>
      <c r="O264" s="71" t="s">
        <v>334</v>
      </c>
      <c r="P264" s="69">
        <v>1</v>
      </c>
      <c r="Q264" s="68">
        <f>MAX(0,$V264-$P264-$S264)</f>
        <v>0</v>
      </c>
      <c r="R264" s="68"/>
      <c r="S264" s="68"/>
      <c r="T264" s="73">
        <v>0.77</v>
      </c>
      <c r="U264" s="73">
        <f>IF(AND($Q264&gt;0,ISNUMBER($T264)),$Q264*$T264,0)</f>
        <v>0</v>
      </c>
      <c r="V264" s="68">
        <f>SUM(W264:AB264)</f>
        <v>1</v>
      </c>
      <c r="W264" s="68">
        <v>1</v>
      </c>
      <c r="X264" s="68"/>
      <c r="Y264" s="68"/>
      <c r="Z264" s="68"/>
      <c r="AA264" s="68"/>
      <c r="AB264" s="68"/>
      <c r="AC264" s="68"/>
      <c r="AD264" s="75">
        <f>SUM(AE264:AJ264)</f>
        <v>1</v>
      </c>
      <c r="AE264" s="76">
        <v>1</v>
      </c>
      <c r="AF264" s="76"/>
      <c r="AG264" s="76"/>
      <c r="AH264" s="76"/>
      <c r="AI264" s="76"/>
      <c r="AJ264" s="76"/>
      <c r="AK264" s="76"/>
      <c r="AL264" s="77">
        <f>IF((P264-SUM(AE264:AK264))&lt;0,0,P264-SUM(AE264:AK264))</f>
        <v>0</v>
      </c>
      <c r="AM264" s="77">
        <f>SUM(AO264:AT264)</f>
        <v>0</v>
      </c>
      <c r="AN264" s="72"/>
      <c r="AO264" s="72"/>
      <c r="AP264" s="72"/>
      <c r="AQ264" s="72"/>
      <c r="AR264" s="72"/>
      <c r="AS264" s="72"/>
      <c r="AT264" s="72"/>
      <c r="AU264" s="72"/>
      <c r="AV264" s="70"/>
      <c r="AW264" s="72"/>
      <c r="AX264" s="72"/>
    </row>
    <row r="265" spans="1:50" ht="15" customHeight="1">
      <c r="A265" s="92" t="s">
        <v>1591</v>
      </c>
      <c r="B265" s="90" t="s">
        <v>1499</v>
      </c>
      <c r="C265" s="69" t="s">
        <v>45</v>
      </c>
      <c r="D265" s="92" t="s">
        <v>64</v>
      </c>
      <c r="E265" s="92" t="s">
        <v>1588</v>
      </c>
      <c r="F265" s="90">
        <v>2</v>
      </c>
      <c r="G265" s="92" t="s">
        <v>49</v>
      </c>
      <c r="H265" s="92" t="s">
        <v>1592</v>
      </c>
      <c r="I265" s="92"/>
      <c r="J265" s="92"/>
      <c r="K265" s="72"/>
      <c r="L265" s="72"/>
      <c r="M265" s="72"/>
      <c r="N265" s="72"/>
      <c r="O265" s="92" t="s">
        <v>48</v>
      </c>
      <c r="P265" s="69">
        <v>1</v>
      </c>
      <c r="Q265" s="68">
        <f>MAX(0,$V265-$P265-$S265)</f>
        <v>0</v>
      </c>
      <c r="R265" s="92"/>
      <c r="S265" s="92"/>
      <c r="T265" s="92">
        <v>0.17</v>
      </c>
      <c r="U265" s="92">
        <f>IF(AND($Q265&gt;0,ISNUMBER($T265)),$Q265*$T265,0)</f>
        <v>0</v>
      </c>
      <c r="V265" s="68">
        <f>SUM(W265:AB265)</f>
        <v>0</v>
      </c>
      <c r="W265" s="68"/>
      <c r="X265" s="68"/>
      <c r="Y265" s="68"/>
      <c r="Z265" s="68"/>
      <c r="AA265" s="68"/>
      <c r="AB265" s="68"/>
      <c r="AC265" s="68"/>
      <c r="AD265" s="75">
        <f>SUM(AE265:AJ265)</f>
        <v>0</v>
      </c>
      <c r="AE265" s="76"/>
      <c r="AF265" s="76"/>
      <c r="AG265" s="76"/>
      <c r="AH265" s="76"/>
      <c r="AI265" s="76"/>
      <c r="AJ265" s="76"/>
      <c r="AK265" s="76"/>
      <c r="AL265" s="77">
        <f>IF((P265-SUM(AE265:AK265))&lt;0,0,P265-SUM(AE265:AK265))</f>
        <v>1</v>
      </c>
      <c r="AM265" s="77">
        <f>SUM(AO265:AT265)</f>
        <v>0</v>
      </c>
      <c r="AN265" s="72"/>
      <c r="AO265" s="72"/>
      <c r="AP265" s="72"/>
      <c r="AQ265" s="72"/>
      <c r="AR265" s="72"/>
      <c r="AS265" s="72"/>
      <c r="AT265" s="72"/>
      <c r="AU265" s="72"/>
      <c r="AV265" s="92"/>
      <c r="AW265" s="72"/>
      <c r="AX265" s="72"/>
    </row>
    <row r="266" spans="1:50" ht="15" customHeight="1">
      <c r="A266" s="70" t="s">
        <v>978</v>
      </c>
      <c r="B266" s="68" t="s">
        <v>919</v>
      </c>
      <c r="C266" s="69" t="s">
        <v>45</v>
      </c>
      <c r="D266" s="70" t="s">
        <v>627</v>
      </c>
      <c r="E266" s="70"/>
      <c r="F266" s="68">
        <v>0</v>
      </c>
      <c r="G266" s="71" t="s">
        <v>627</v>
      </c>
      <c r="H266" s="71" t="s">
        <v>975</v>
      </c>
      <c r="I266" s="71" t="s">
        <v>979</v>
      </c>
      <c r="J266" s="71"/>
      <c r="K266" s="69"/>
      <c r="L266" s="69"/>
      <c r="M266" s="69"/>
      <c r="N266" s="69"/>
      <c r="O266" s="71" t="s">
        <v>355</v>
      </c>
      <c r="P266" s="69">
        <v>1</v>
      </c>
      <c r="Q266" s="68">
        <f>MAX(0,$V266-$P266-$S266)</f>
        <v>0</v>
      </c>
      <c r="R266" s="68"/>
      <c r="S266" s="68"/>
      <c r="T266" s="73">
        <v>1.05</v>
      </c>
      <c r="U266" s="73">
        <f>IF(AND($Q266&gt;0,ISNUMBER($T266)),$Q266*$T266,0)</f>
        <v>0</v>
      </c>
      <c r="V266" s="68">
        <f>SUM(W266:AB266)</f>
        <v>1</v>
      </c>
      <c r="W266" s="68">
        <v>1</v>
      </c>
      <c r="X266" s="68"/>
      <c r="Y266" s="68"/>
      <c r="Z266" s="68"/>
      <c r="AA266" s="68"/>
      <c r="AB266" s="68"/>
      <c r="AC266" s="68"/>
      <c r="AD266" s="75">
        <f>SUM(AE266:AJ266)</f>
        <v>1</v>
      </c>
      <c r="AE266" s="76">
        <v>1</v>
      </c>
      <c r="AF266" s="76"/>
      <c r="AG266" s="76"/>
      <c r="AH266" s="76"/>
      <c r="AI266" s="76"/>
      <c r="AJ266" s="76"/>
      <c r="AK266" s="76"/>
      <c r="AL266" s="77">
        <f>IF((P266-SUM(AE266:AK266))&lt;0,0,P266-SUM(AE266:AK266))</f>
        <v>0</v>
      </c>
      <c r="AM266" s="77">
        <f>SUM(AO266:AT266)</f>
        <v>0</v>
      </c>
      <c r="AN266" s="129"/>
      <c r="AO266" s="72"/>
      <c r="AP266" s="72"/>
      <c r="AQ266" s="72"/>
      <c r="AR266" s="72"/>
      <c r="AS266" s="72"/>
      <c r="AT266" s="72"/>
      <c r="AU266" s="72"/>
      <c r="AV266" s="70"/>
      <c r="AW266" s="72"/>
      <c r="AX266" s="72"/>
    </row>
    <row r="267" spans="1:50" ht="15" customHeight="1">
      <c r="A267" s="70" t="s">
        <v>1256</v>
      </c>
      <c r="B267" s="68" t="s">
        <v>1114</v>
      </c>
      <c r="C267" s="69" t="s">
        <v>45</v>
      </c>
      <c r="D267" s="70" t="s">
        <v>64</v>
      </c>
      <c r="E267" s="70" t="s">
        <v>1257</v>
      </c>
      <c r="F267" s="68">
        <v>3</v>
      </c>
      <c r="G267" s="71" t="s">
        <v>392</v>
      </c>
      <c r="H267" s="71" t="s">
        <v>1258</v>
      </c>
      <c r="I267" s="71" t="s">
        <v>1259</v>
      </c>
      <c r="J267" s="71"/>
      <c r="K267" s="69"/>
      <c r="L267" s="69"/>
      <c r="M267" s="69"/>
      <c r="N267" s="69"/>
      <c r="O267" s="71" t="s">
        <v>355</v>
      </c>
      <c r="P267" s="69">
        <v>1</v>
      </c>
      <c r="Q267" s="68">
        <f>MAX(0,$V267-$P267-$S267)</f>
        <v>0</v>
      </c>
      <c r="R267" s="68"/>
      <c r="S267" s="68"/>
      <c r="T267" s="73">
        <v>0.4</v>
      </c>
      <c r="U267" s="73">
        <f>IF(AND($Q267&gt;0,ISNUMBER($T267)),$Q267*$T267,0)</f>
        <v>0</v>
      </c>
      <c r="V267" s="68">
        <f>SUM(W267:AB267)</f>
        <v>1</v>
      </c>
      <c r="W267" s="68"/>
      <c r="X267" s="68">
        <v>1</v>
      </c>
      <c r="Y267" s="68"/>
      <c r="Z267" s="68"/>
      <c r="AA267" s="68"/>
      <c r="AB267" s="68"/>
      <c r="AC267" s="68"/>
      <c r="AD267" s="75">
        <f>SUM(AE267:AJ267)</f>
        <v>1</v>
      </c>
      <c r="AE267" s="76"/>
      <c r="AF267" s="76">
        <v>1</v>
      </c>
      <c r="AG267" s="76"/>
      <c r="AH267" s="76"/>
      <c r="AI267" s="76"/>
      <c r="AJ267" s="76"/>
      <c r="AK267" s="76"/>
      <c r="AL267" s="77">
        <f>IF((P267-SUM(AE267:AK267))&lt;0,0,P267-SUM(AE267:AK267))</f>
        <v>0</v>
      </c>
      <c r="AM267" s="77">
        <f>SUM(AO267:AT267)</f>
        <v>0</v>
      </c>
      <c r="AN267" s="129"/>
      <c r="AO267" s="72"/>
      <c r="AP267" s="72"/>
      <c r="AQ267" s="72"/>
      <c r="AR267" s="72"/>
      <c r="AS267" s="72"/>
      <c r="AT267" s="72"/>
      <c r="AU267" s="72"/>
      <c r="AV267" s="70"/>
      <c r="AW267" s="72"/>
      <c r="AX267" s="72"/>
    </row>
    <row r="268" spans="1:50" ht="15" customHeight="1">
      <c r="A268" s="70" t="s">
        <v>1863</v>
      </c>
      <c r="B268" s="68" t="s">
        <v>1831</v>
      </c>
      <c r="C268" s="69" t="s">
        <v>45</v>
      </c>
      <c r="D268" s="70" t="s">
        <v>64</v>
      </c>
      <c r="E268" s="70" t="s">
        <v>1486</v>
      </c>
      <c r="F268" s="68">
        <v>2</v>
      </c>
      <c r="G268" s="71" t="s">
        <v>49</v>
      </c>
      <c r="H268" s="71" t="s">
        <v>1864</v>
      </c>
      <c r="I268" s="71"/>
      <c r="J268" s="71"/>
      <c r="K268" s="72"/>
      <c r="L268" s="72"/>
      <c r="M268" s="72"/>
      <c r="N268" s="72"/>
      <c r="O268" s="71" t="s">
        <v>53</v>
      </c>
      <c r="P268" s="69">
        <v>1</v>
      </c>
      <c r="Q268" s="68">
        <f>MAX(0,$V268-$P268-$S268)</f>
        <v>0</v>
      </c>
      <c r="R268" s="68"/>
      <c r="S268" s="68"/>
      <c r="T268" s="73">
        <v>0.09</v>
      </c>
      <c r="U268" s="73">
        <f>IF(AND($Q268&gt;0,ISNUMBER($T268)),$Q268*$T268,0)</f>
        <v>0</v>
      </c>
      <c r="V268" s="68">
        <f>SUM(W268:AB268)</f>
        <v>0</v>
      </c>
      <c r="W268" s="68"/>
      <c r="X268" s="68"/>
      <c r="Y268" s="68"/>
      <c r="Z268" s="68"/>
      <c r="AA268" s="68"/>
      <c r="AB268" s="68"/>
      <c r="AC268" s="68"/>
      <c r="AD268" s="75">
        <f>SUM(AE268:AJ268)</f>
        <v>0</v>
      </c>
      <c r="AE268" s="76"/>
      <c r="AF268" s="76"/>
      <c r="AG268" s="76"/>
      <c r="AH268" s="76"/>
      <c r="AI268" s="76"/>
      <c r="AJ268" s="76"/>
      <c r="AK268" s="76"/>
      <c r="AL268" s="77">
        <f>IF((P268-SUM(AE268:AK268))&lt;0,0,P268-SUM(AE268:AK268))</f>
        <v>1</v>
      </c>
      <c r="AM268" s="77">
        <f>SUM(AO268:AT268)</f>
        <v>0</v>
      </c>
      <c r="AN268" s="129"/>
      <c r="AO268" s="72"/>
      <c r="AP268" s="72"/>
      <c r="AQ268" s="72"/>
      <c r="AR268" s="72"/>
      <c r="AS268" s="72"/>
      <c r="AT268" s="72"/>
      <c r="AU268" s="72"/>
      <c r="AV268" s="70"/>
      <c r="AW268" s="72"/>
      <c r="AX268" s="72"/>
    </row>
    <row r="269" spans="1:50" ht="15" customHeight="1">
      <c r="A269" s="86" t="s">
        <v>2090</v>
      </c>
      <c r="B269" s="68" t="s">
        <v>1971</v>
      </c>
      <c r="C269" s="69" t="s">
        <v>45</v>
      </c>
      <c r="D269" s="70" t="s">
        <v>58</v>
      </c>
      <c r="E269" s="70" t="s">
        <v>1594</v>
      </c>
      <c r="F269" s="68">
        <v>3</v>
      </c>
      <c r="G269" s="71" t="s">
        <v>117</v>
      </c>
      <c r="H269" s="71" t="s">
        <v>2091</v>
      </c>
      <c r="I269" s="71" t="s">
        <v>2092</v>
      </c>
      <c r="J269" s="71" t="s">
        <v>2093</v>
      </c>
      <c r="K269" s="72"/>
      <c r="L269" s="72"/>
      <c r="M269" s="72"/>
      <c r="N269" s="72"/>
      <c r="O269" s="71" t="s">
        <v>101</v>
      </c>
      <c r="P269" s="69">
        <v>1</v>
      </c>
      <c r="Q269" s="68">
        <f>MAX(0,$V269-$P269-$S269)</f>
        <v>0</v>
      </c>
      <c r="R269" s="68"/>
      <c r="S269" s="68"/>
      <c r="T269" s="73">
        <v>0.27</v>
      </c>
      <c r="U269" s="73">
        <f>IF(AND($Q269&gt;0,ISNUMBER($T269)),$Q269*$T269,0)</f>
        <v>0</v>
      </c>
      <c r="V269" s="68">
        <f>SUM(W269:AB269)</f>
        <v>1</v>
      </c>
      <c r="W269" s="68"/>
      <c r="X269" s="68"/>
      <c r="Y269" s="87">
        <v>1</v>
      </c>
      <c r="Z269" s="68"/>
      <c r="AA269" s="68"/>
      <c r="AB269" s="68"/>
      <c r="AC269" s="68"/>
      <c r="AD269" s="75">
        <f>SUM(AE269:AJ269)</f>
        <v>1</v>
      </c>
      <c r="AE269" s="76"/>
      <c r="AF269" s="76"/>
      <c r="AG269" s="76">
        <v>1</v>
      </c>
      <c r="AH269" s="76"/>
      <c r="AI269" s="76"/>
      <c r="AJ269" s="76"/>
      <c r="AK269" s="76"/>
      <c r="AL269" s="77">
        <f>IF((P269-SUM(AE269:AK269))&lt;0,0,P269-SUM(AE269:AK269))</f>
        <v>0</v>
      </c>
      <c r="AM269" s="77">
        <f>SUM(AO269:AT269)</f>
        <v>0</v>
      </c>
      <c r="AN269" s="129"/>
      <c r="AO269" s="72"/>
      <c r="AP269" s="72"/>
      <c r="AQ269" s="72"/>
      <c r="AR269" s="72"/>
      <c r="AS269" s="72"/>
      <c r="AT269" s="72"/>
      <c r="AU269" s="72"/>
      <c r="AV269" s="70"/>
      <c r="AW269" s="72"/>
      <c r="AX269" s="72"/>
    </row>
    <row r="270" spans="1:50" ht="15" customHeight="1">
      <c r="A270" s="70" t="s">
        <v>1599</v>
      </c>
      <c r="B270" s="68" t="s">
        <v>1499</v>
      </c>
      <c r="C270" s="69" t="s">
        <v>45</v>
      </c>
      <c r="D270" s="70" t="s">
        <v>64</v>
      </c>
      <c r="E270" s="70" t="s">
        <v>1600</v>
      </c>
      <c r="F270" s="68">
        <v>1</v>
      </c>
      <c r="G270" s="71" t="s">
        <v>1589</v>
      </c>
      <c r="H270" s="71" t="s">
        <v>1601</v>
      </c>
      <c r="I270" s="71" t="s">
        <v>1602</v>
      </c>
      <c r="J270" s="71"/>
      <c r="K270" s="72"/>
      <c r="L270" s="72"/>
      <c r="M270" s="72"/>
      <c r="N270" s="72"/>
      <c r="O270" s="71" t="s">
        <v>240</v>
      </c>
      <c r="P270" s="69">
        <v>1</v>
      </c>
      <c r="Q270" s="68">
        <f>MAX(0,$V270-$P270-$S270)</f>
        <v>0</v>
      </c>
      <c r="R270" s="68"/>
      <c r="S270" s="68"/>
      <c r="T270" s="73">
        <v>0.25</v>
      </c>
      <c r="U270" s="73">
        <f>IF(AND($Q270&gt;0,ISNUMBER($T270)),$Q270*$T270,0)</f>
        <v>0</v>
      </c>
      <c r="V270" s="68">
        <f>SUM(W270:AB270)</f>
        <v>1</v>
      </c>
      <c r="W270" s="68"/>
      <c r="X270" s="68"/>
      <c r="Y270" s="68"/>
      <c r="Z270" s="68"/>
      <c r="AA270" s="68"/>
      <c r="AB270" s="68">
        <v>1</v>
      </c>
      <c r="AC270" s="68"/>
      <c r="AD270" s="75">
        <f>SUM(AE270:AJ270)</f>
        <v>1</v>
      </c>
      <c r="AE270" s="76"/>
      <c r="AF270" s="76"/>
      <c r="AG270" s="76"/>
      <c r="AH270" s="76"/>
      <c r="AI270" s="76"/>
      <c r="AJ270" s="76">
        <v>1</v>
      </c>
      <c r="AK270" s="76"/>
      <c r="AL270" s="77">
        <f>IF((P270-SUM(AE270:AK270))&lt;0,0,P270-SUM(AE270:AK270))</f>
        <v>0</v>
      </c>
      <c r="AM270" s="77">
        <f>SUM(AO270:AT270)</f>
        <v>0</v>
      </c>
      <c r="AN270" s="129"/>
      <c r="AO270" s="72"/>
      <c r="AP270" s="72"/>
      <c r="AQ270" s="129"/>
      <c r="AR270" s="72"/>
      <c r="AS270" s="72"/>
      <c r="AT270" s="72"/>
      <c r="AU270" s="129"/>
      <c r="AV270" s="70"/>
      <c r="AW270" s="72"/>
      <c r="AX270" s="72"/>
    </row>
    <row r="271" spans="1:50" ht="15" customHeight="1">
      <c r="A271" s="98" t="s">
        <v>2451</v>
      </c>
      <c r="B271" s="100" t="s">
        <v>1971</v>
      </c>
      <c r="C271" s="101" t="s">
        <v>45</v>
      </c>
      <c r="D271" s="98" t="s">
        <v>72</v>
      </c>
      <c r="E271" s="98" t="s">
        <v>111</v>
      </c>
      <c r="F271" s="100">
        <v>3</v>
      </c>
      <c r="G271" s="98" t="s">
        <v>438</v>
      </c>
      <c r="H271" s="98" t="s">
        <v>2452</v>
      </c>
      <c r="I271" s="98"/>
      <c r="J271" s="98"/>
      <c r="K271" s="99"/>
      <c r="L271" s="99"/>
      <c r="M271" s="99"/>
      <c r="N271" s="99"/>
      <c r="O271" s="98" t="s">
        <v>112</v>
      </c>
      <c r="P271" s="101">
        <v>1</v>
      </c>
      <c r="Q271" s="68">
        <f>MAX(0,$V271-$P271-$S271)</f>
        <v>0</v>
      </c>
      <c r="R271" s="98"/>
      <c r="S271" s="98"/>
      <c r="T271" s="98">
        <v>0.2</v>
      </c>
      <c r="U271" s="98">
        <f>IF(AND($Q271&gt;0,ISNUMBER($T271)),$Q271*$T271,0)</f>
        <v>0</v>
      </c>
      <c r="V271" s="68">
        <f>SUM(W271:AB271)</f>
        <v>0</v>
      </c>
      <c r="W271" s="100"/>
      <c r="X271" s="100"/>
      <c r="Y271" s="100"/>
      <c r="Z271" s="100"/>
      <c r="AA271" s="100"/>
      <c r="AB271" s="100"/>
      <c r="AC271" s="68"/>
      <c r="AD271" s="75">
        <f>SUM(AE271:AJ271)</f>
        <v>0</v>
      </c>
      <c r="AE271" s="102"/>
      <c r="AF271" s="102"/>
      <c r="AG271" s="102"/>
      <c r="AH271" s="102"/>
      <c r="AI271" s="102"/>
      <c r="AJ271" s="102"/>
      <c r="AK271" s="102"/>
      <c r="AL271" s="77">
        <f>IF((P271-SUM(AE271:AK271))&lt;0,0,P271-SUM(AE271:AK271))</f>
        <v>1</v>
      </c>
      <c r="AM271" s="77">
        <f>SUM(AO271:AT271)</f>
        <v>0</v>
      </c>
      <c r="AN271" s="127"/>
      <c r="AO271" s="99"/>
      <c r="AP271" s="127"/>
      <c r="AQ271" s="127"/>
      <c r="AR271" s="127"/>
      <c r="AS271" s="99"/>
      <c r="AT271" s="99"/>
      <c r="AU271" s="127"/>
      <c r="AV271" s="98"/>
      <c r="AW271" s="99"/>
      <c r="AX271" s="99"/>
    </row>
    <row r="272" spans="1:50" ht="15" customHeight="1">
      <c r="A272" s="70" t="s">
        <v>703</v>
      </c>
      <c r="B272" s="68" t="s">
        <v>636</v>
      </c>
      <c r="C272" s="69" t="s">
        <v>45</v>
      </c>
      <c r="D272" s="70" t="s">
        <v>64</v>
      </c>
      <c r="E272" s="70" t="s">
        <v>659</v>
      </c>
      <c r="F272" s="68">
        <v>3</v>
      </c>
      <c r="G272" s="71" t="s">
        <v>392</v>
      </c>
      <c r="H272" s="71" t="s">
        <v>570</v>
      </c>
      <c r="I272" s="71"/>
      <c r="J272" s="71"/>
      <c r="K272" s="69"/>
      <c r="L272" s="69"/>
      <c r="M272" s="69"/>
      <c r="N272" s="69"/>
      <c r="O272" s="71" t="s">
        <v>704</v>
      </c>
      <c r="P272" s="69">
        <v>1</v>
      </c>
      <c r="Q272" s="68">
        <f>MAX(0,$V272-$P272-$S272)</f>
        <v>0</v>
      </c>
      <c r="R272" s="68"/>
      <c r="S272" s="68"/>
      <c r="T272" s="73">
        <v>0.22</v>
      </c>
      <c r="U272" s="73">
        <f>IF(AND($Q272&gt;0,ISNUMBER($T272)),$Q272*$T272,0)</f>
        <v>0</v>
      </c>
      <c r="V272" s="68">
        <f>SUM(W272:AB272)</f>
        <v>1</v>
      </c>
      <c r="W272" s="68"/>
      <c r="X272" s="68">
        <v>1</v>
      </c>
      <c r="Y272" s="68"/>
      <c r="Z272" s="68"/>
      <c r="AA272" s="68"/>
      <c r="AB272" s="68"/>
      <c r="AC272" s="68"/>
      <c r="AD272" s="75">
        <f>SUM(AE272:AJ272)</f>
        <v>1</v>
      </c>
      <c r="AE272" s="76"/>
      <c r="AF272" s="76">
        <v>1</v>
      </c>
      <c r="AG272" s="76"/>
      <c r="AH272" s="76"/>
      <c r="AI272" s="76"/>
      <c r="AJ272" s="76"/>
      <c r="AK272" s="76"/>
      <c r="AL272" s="77">
        <f>IF((P272-SUM(AE272:AK272))&lt;0,0,P272-SUM(AE272:AK272))</f>
        <v>0</v>
      </c>
      <c r="AM272" s="77">
        <f>SUM(AO272:AT272)</f>
        <v>0</v>
      </c>
      <c r="AN272" s="129"/>
      <c r="AO272" s="72"/>
      <c r="AP272" s="72"/>
      <c r="AQ272" s="72"/>
      <c r="AR272" s="72"/>
      <c r="AS272" s="72"/>
      <c r="AT272" s="72"/>
      <c r="AU272" s="72"/>
      <c r="AV272" s="70"/>
      <c r="AW272" s="72"/>
      <c r="AX272" s="129"/>
    </row>
    <row r="273" spans="1:50" ht="15" customHeight="1">
      <c r="A273" s="70" t="s">
        <v>705</v>
      </c>
      <c r="B273" s="68" t="s">
        <v>636</v>
      </c>
      <c r="C273" s="69" t="s">
        <v>45</v>
      </c>
      <c r="D273" s="70" t="s">
        <v>47</v>
      </c>
      <c r="E273" s="70"/>
      <c r="F273" s="68">
        <v>2</v>
      </c>
      <c r="G273" s="71" t="s">
        <v>392</v>
      </c>
      <c r="H273" s="71" t="s">
        <v>706</v>
      </c>
      <c r="I273" s="71"/>
      <c r="J273" s="71"/>
      <c r="K273" s="69"/>
      <c r="L273" s="69"/>
      <c r="M273" s="69"/>
      <c r="N273" s="69"/>
      <c r="O273" s="71" t="s">
        <v>489</v>
      </c>
      <c r="P273" s="69">
        <v>1</v>
      </c>
      <c r="Q273" s="68">
        <f>MAX(0,$V273-$P273-$S273)</f>
        <v>0</v>
      </c>
      <c r="R273" s="68"/>
      <c r="S273" s="68"/>
      <c r="T273" s="73">
        <v>0.48</v>
      </c>
      <c r="U273" s="73">
        <f>IF(AND($Q273&gt;0,ISNUMBER($T273)),$Q273*$T273,0)</f>
        <v>0</v>
      </c>
      <c r="V273" s="68">
        <f>SUM(W273:AB273)</f>
        <v>1</v>
      </c>
      <c r="W273" s="68"/>
      <c r="X273" s="68">
        <v>1</v>
      </c>
      <c r="Y273" s="68"/>
      <c r="Z273" s="68"/>
      <c r="AA273" s="68"/>
      <c r="AB273" s="68"/>
      <c r="AC273" s="68"/>
      <c r="AD273" s="75">
        <f>SUM(AE273:AJ273)</f>
        <v>1</v>
      </c>
      <c r="AE273" s="76"/>
      <c r="AF273" s="76">
        <v>1</v>
      </c>
      <c r="AG273" s="76"/>
      <c r="AH273" s="76"/>
      <c r="AI273" s="76"/>
      <c r="AJ273" s="76"/>
      <c r="AK273" s="76"/>
      <c r="AL273" s="77">
        <f>IF((P273-SUM(AE273:AK273))&lt;0,0,P273-SUM(AE273:AK273))</f>
        <v>0</v>
      </c>
      <c r="AM273" s="77">
        <f>SUM(AO273:AT273)</f>
        <v>0</v>
      </c>
      <c r="AN273" s="129"/>
      <c r="AO273" s="72"/>
      <c r="AP273" s="72"/>
      <c r="AQ273" s="72"/>
      <c r="AR273" s="129"/>
      <c r="AS273" s="72"/>
      <c r="AT273" s="72"/>
      <c r="AU273" s="129"/>
      <c r="AV273" s="70"/>
      <c r="AW273" s="72"/>
      <c r="AX273" s="72"/>
    </row>
    <row r="274" spans="1:50" ht="15" customHeight="1">
      <c r="A274" s="70" t="s">
        <v>2096</v>
      </c>
      <c r="B274" s="68" t="s">
        <v>1971</v>
      </c>
      <c r="C274" s="69" t="s">
        <v>45</v>
      </c>
      <c r="D274" s="70" t="s">
        <v>72</v>
      </c>
      <c r="E274" s="70"/>
      <c r="F274" s="68">
        <v>2</v>
      </c>
      <c r="G274" s="71" t="s">
        <v>49</v>
      </c>
      <c r="H274" s="71" t="s">
        <v>185</v>
      </c>
      <c r="I274" s="71" t="s">
        <v>2097</v>
      </c>
      <c r="J274" s="71"/>
      <c r="K274" s="72"/>
      <c r="L274" s="72"/>
      <c r="M274" s="72"/>
      <c r="N274" s="72"/>
      <c r="O274" s="71" t="s">
        <v>263</v>
      </c>
      <c r="P274" s="69">
        <v>1</v>
      </c>
      <c r="Q274" s="68">
        <f>MAX(0,$V274-$P274-$S274)</f>
        <v>0</v>
      </c>
      <c r="R274" s="68" t="s">
        <v>57</v>
      </c>
      <c r="S274" s="68">
        <v>1</v>
      </c>
      <c r="T274" s="73">
        <v>0.41</v>
      </c>
      <c r="U274" s="73">
        <f>IF(AND($Q274&gt;0,ISNUMBER($T274)),$Q274*$T274,0)</f>
        <v>0</v>
      </c>
      <c r="V274" s="68">
        <f>SUM(W274:AB274)</f>
        <v>1</v>
      </c>
      <c r="W274" s="68"/>
      <c r="X274" s="68"/>
      <c r="Y274" s="68"/>
      <c r="Z274" s="68">
        <v>1</v>
      </c>
      <c r="AA274" s="68"/>
      <c r="AB274" s="68"/>
      <c r="AC274" s="68"/>
      <c r="AD274" s="75">
        <f>SUM(AE274:AJ274)</f>
        <v>1</v>
      </c>
      <c r="AE274" s="76"/>
      <c r="AF274" s="76"/>
      <c r="AG274" s="76"/>
      <c r="AH274" s="76">
        <v>1</v>
      </c>
      <c r="AI274" s="76"/>
      <c r="AJ274" s="76"/>
      <c r="AK274" s="76"/>
      <c r="AL274" s="77">
        <f>IF((P274-SUM(AE274:AK274))&lt;0,0,P274-SUM(AE274:AK274))</f>
        <v>0</v>
      </c>
      <c r="AM274" s="77">
        <f>SUM(AO274:AT274)</f>
        <v>0</v>
      </c>
      <c r="AN274" s="129"/>
      <c r="AO274" s="72"/>
      <c r="AP274" s="72"/>
      <c r="AQ274" s="72"/>
      <c r="AR274" s="72"/>
      <c r="AS274" s="72"/>
      <c r="AT274" s="72"/>
      <c r="AU274" s="72"/>
      <c r="AV274" s="70"/>
      <c r="AW274" s="72"/>
      <c r="AX274" s="129"/>
    </row>
    <row r="275" spans="1:50" ht="15" customHeight="1">
      <c r="A275" s="70" t="s">
        <v>1603</v>
      </c>
      <c r="B275" s="68" t="s">
        <v>1499</v>
      </c>
      <c r="C275" s="69" t="s">
        <v>45</v>
      </c>
      <c r="D275" s="70" t="s">
        <v>47</v>
      </c>
      <c r="E275" s="70"/>
      <c r="F275" s="68">
        <v>3</v>
      </c>
      <c r="G275" s="71" t="s">
        <v>1589</v>
      </c>
      <c r="H275" s="71" t="s">
        <v>1604</v>
      </c>
      <c r="I275" s="71" t="s">
        <v>1605</v>
      </c>
      <c r="J275" s="71"/>
      <c r="K275" s="72"/>
      <c r="L275" s="72"/>
      <c r="M275" s="72"/>
      <c r="N275" s="72"/>
      <c r="O275" s="71" t="s">
        <v>334</v>
      </c>
      <c r="P275" s="69">
        <v>1</v>
      </c>
      <c r="Q275" s="68">
        <f>MAX(0,$V275-$P275-$S275)</f>
        <v>0</v>
      </c>
      <c r="R275" s="68"/>
      <c r="S275" s="68"/>
      <c r="T275" s="73">
        <v>0.21</v>
      </c>
      <c r="U275" s="73">
        <f>IF(AND($Q275&gt;0,ISNUMBER($T275)),$Q275*$T275,0)</f>
        <v>0</v>
      </c>
      <c r="V275" s="68">
        <f>SUM(W275:AB275)</f>
        <v>0</v>
      </c>
      <c r="W275" s="68"/>
      <c r="X275" s="68"/>
      <c r="Y275" s="68"/>
      <c r="Z275" s="68"/>
      <c r="AA275" s="68"/>
      <c r="AB275" s="68"/>
      <c r="AC275" s="68"/>
      <c r="AD275" s="75">
        <f>SUM(AE275:AJ275)</f>
        <v>0</v>
      </c>
      <c r="AE275" s="76"/>
      <c r="AF275" s="76"/>
      <c r="AG275" s="76"/>
      <c r="AH275" s="76"/>
      <c r="AI275" s="76"/>
      <c r="AJ275" s="76"/>
      <c r="AK275" s="76"/>
      <c r="AL275" s="77">
        <f>IF((P275-SUM(AE275:AK275))&lt;0,0,P275-SUM(AE275:AK275))</f>
        <v>1</v>
      </c>
      <c r="AM275" s="77">
        <f>SUM(AO275:AT275)</f>
        <v>0</v>
      </c>
      <c r="AN275" s="72"/>
      <c r="AO275" s="72"/>
      <c r="AP275" s="72"/>
      <c r="AQ275" s="72"/>
      <c r="AR275" s="72"/>
      <c r="AS275" s="72"/>
      <c r="AT275" s="72"/>
      <c r="AU275" s="72"/>
      <c r="AV275" s="70"/>
      <c r="AW275" s="72"/>
      <c r="AX275" s="72"/>
    </row>
    <row r="276" spans="1:50" ht="15" customHeight="1">
      <c r="A276" s="70" t="s">
        <v>1865</v>
      </c>
      <c r="B276" s="68" t="s">
        <v>1831</v>
      </c>
      <c r="C276" s="69" t="s">
        <v>45</v>
      </c>
      <c r="D276" s="70" t="s">
        <v>123</v>
      </c>
      <c r="E276" s="70" t="s">
        <v>1866</v>
      </c>
      <c r="F276" s="68">
        <v>2</v>
      </c>
      <c r="G276" s="71" t="s">
        <v>176</v>
      </c>
      <c r="H276" s="71" t="s">
        <v>1867</v>
      </c>
      <c r="I276" s="71" t="s">
        <v>1868</v>
      </c>
      <c r="J276" s="71"/>
      <c r="K276" s="72"/>
      <c r="L276" s="72"/>
      <c r="M276" s="72"/>
      <c r="N276" s="72"/>
      <c r="O276" s="71" t="s">
        <v>90</v>
      </c>
      <c r="P276" s="69">
        <v>1</v>
      </c>
      <c r="Q276" s="68">
        <f>MAX(0,$V276-$P276-$S276)</f>
        <v>0</v>
      </c>
      <c r="R276" s="68"/>
      <c r="S276" s="68"/>
      <c r="T276" s="73">
        <v>0.27</v>
      </c>
      <c r="U276" s="73">
        <f>IF(AND($Q276&gt;0,ISNUMBER($T276)),$Q276*$T276,0)</f>
        <v>0</v>
      </c>
      <c r="V276" s="68">
        <f>SUM(W276:AB276)</f>
        <v>1</v>
      </c>
      <c r="W276" s="68"/>
      <c r="X276" s="68">
        <v>1</v>
      </c>
      <c r="Y276" s="68"/>
      <c r="Z276" s="68"/>
      <c r="AA276" s="68"/>
      <c r="AB276" s="68"/>
      <c r="AC276" s="68"/>
      <c r="AD276" s="75">
        <f>SUM(AE276:AJ276)</f>
        <v>1</v>
      </c>
      <c r="AE276" s="76"/>
      <c r="AF276" s="76">
        <v>1</v>
      </c>
      <c r="AG276" s="76"/>
      <c r="AH276" s="76"/>
      <c r="AI276" s="76"/>
      <c r="AJ276" s="76"/>
      <c r="AK276" s="76"/>
      <c r="AL276" s="77">
        <f>IF((P276-SUM(AE276:AK276))&lt;0,0,P276-SUM(AE276:AK276))</f>
        <v>0</v>
      </c>
      <c r="AM276" s="77">
        <f>SUM(AO276:AT276)</f>
        <v>0</v>
      </c>
      <c r="AN276" s="129"/>
      <c r="AO276" s="72"/>
      <c r="AP276" s="129"/>
      <c r="AQ276" s="129"/>
      <c r="AR276" s="129"/>
      <c r="AS276" s="129"/>
      <c r="AT276" s="72"/>
      <c r="AU276" s="129"/>
      <c r="AV276" s="70"/>
      <c r="AW276" s="72"/>
      <c r="AX276" s="129"/>
    </row>
    <row r="277" spans="1:50" ht="15" customHeight="1">
      <c r="A277" s="70" t="s">
        <v>143</v>
      </c>
      <c r="B277" s="68" t="s">
        <v>46</v>
      </c>
      <c r="C277" s="69" t="s">
        <v>45</v>
      </c>
      <c r="D277" s="70" t="s">
        <v>47</v>
      </c>
      <c r="E277" s="70"/>
      <c r="F277" s="68">
        <v>2</v>
      </c>
      <c r="G277" s="71" t="s">
        <v>49</v>
      </c>
      <c r="H277" s="71" t="s">
        <v>145</v>
      </c>
      <c r="I277" s="71" t="s">
        <v>146</v>
      </c>
      <c r="J277" s="71"/>
      <c r="K277" s="72"/>
      <c r="L277" s="72"/>
      <c r="M277" s="72"/>
      <c r="N277" s="72"/>
      <c r="O277" s="71" t="s">
        <v>144</v>
      </c>
      <c r="P277" s="69">
        <v>1</v>
      </c>
      <c r="Q277" s="68">
        <f>MAX(0,$V277-$P277-$S277)</f>
        <v>0</v>
      </c>
      <c r="R277" s="68"/>
      <c r="S277" s="68"/>
      <c r="T277" s="73">
        <v>0.17</v>
      </c>
      <c r="U277" s="73">
        <f>IF(AND($Q277&gt;0,ISNUMBER($T277)),$Q277*$T277,0)</f>
        <v>0</v>
      </c>
      <c r="V277" s="68">
        <f>SUM(W277:AB277)</f>
        <v>0</v>
      </c>
      <c r="W277" s="68"/>
      <c r="X277" s="68"/>
      <c r="Y277" s="68"/>
      <c r="Z277" s="68"/>
      <c r="AA277" s="68"/>
      <c r="AB277" s="68"/>
      <c r="AC277" s="68"/>
      <c r="AD277" s="75">
        <f>SUM(AE277:AJ277)</f>
        <v>1</v>
      </c>
      <c r="AE277" s="76"/>
      <c r="AF277" s="76"/>
      <c r="AG277" s="76"/>
      <c r="AH277" s="76">
        <v>1</v>
      </c>
      <c r="AI277" s="76"/>
      <c r="AJ277" s="76"/>
      <c r="AK277" s="76"/>
      <c r="AL277" s="77">
        <f>IF((P277-SUM(AE277:AK277))&lt;0,0,P277-SUM(AE277:AK277))</f>
        <v>0</v>
      </c>
      <c r="AM277" s="77">
        <f>SUM(AO277:AT277)</f>
        <v>1</v>
      </c>
      <c r="AN277" s="78" t="s">
        <v>105</v>
      </c>
      <c r="AO277" s="72"/>
      <c r="AP277" s="72"/>
      <c r="AQ277" s="72"/>
      <c r="AR277" s="79">
        <v>1</v>
      </c>
      <c r="AS277" s="72"/>
      <c r="AT277" s="72"/>
      <c r="AU277" s="31" t="s">
        <v>147</v>
      </c>
      <c r="AV277" s="70"/>
      <c r="AW277" s="72"/>
      <c r="AX277" s="72"/>
    </row>
    <row r="278" spans="1:50" ht="15" customHeight="1">
      <c r="A278" s="92" t="s">
        <v>1263</v>
      </c>
      <c r="B278" s="90" t="s">
        <v>1114</v>
      </c>
      <c r="C278" s="69" t="s">
        <v>45</v>
      </c>
      <c r="D278" s="92" t="s">
        <v>64</v>
      </c>
      <c r="E278" s="92" t="s">
        <v>1189</v>
      </c>
      <c r="F278" s="90">
        <v>2</v>
      </c>
      <c r="G278" s="92" t="s">
        <v>125</v>
      </c>
      <c r="H278" s="92" t="s">
        <v>1190</v>
      </c>
      <c r="I278" s="92" t="s">
        <v>1264</v>
      </c>
      <c r="J278" s="92"/>
      <c r="K278" s="72"/>
      <c r="L278" s="72"/>
      <c r="M278" s="72"/>
      <c r="N278" s="72"/>
      <c r="O278" s="92" t="s">
        <v>48</v>
      </c>
      <c r="P278" s="69">
        <v>1</v>
      </c>
      <c r="Q278" s="68">
        <f>MAX(0,$V278-$P278-$S278)</f>
        <v>0</v>
      </c>
      <c r="R278" s="92"/>
      <c r="S278" s="92"/>
      <c r="T278" s="92">
        <v>0.13</v>
      </c>
      <c r="U278" s="92">
        <f>IF(AND($Q278&gt;0,ISNUMBER($T278)),$Q278*$T278,0)</f>
        <v>0</v>
      </c>
      <c r="V278" s="68">
        <f>SUM(W278:AB278)</f>
        <v>0</v>
      </c>
      <c r="W278" s="68"/>
      <c r="X278" s="68"/>
      <c r="Y278" s="68"/>
      <c r="Z278" s="68"/>
      <c r="AA278" s="68"/>
      <c r="AB278" s="68"/>
      <c r="AC278" s="68"/>
      <c r="AD278" s="75">
        <f>SUM(AE278:AJ278)</f>
        <v>0</v>
      </c>
      <c r="AE278" s="76"/>
      <c r="AF278" s="76"/>
      <c r="AG278" s="76"/>
      <c r="AH278" s="76"/>
      <c r="AI278" s="76"/>
      <c r="AJ278" s="76"/>
      <c r="AK278" s="76"/>
      <c r="AL278" s="77">
        <f>IF((P278-SUM(AE278:AK278))&lt;0,0,P278-SUM(AE278:AK278))</f>
        <v>1</v>
      </c>
      <c r="AM278" s="77">
        <f>SUM(AO278:AT278)</f>
        <v>0</v>
      </c>
      <c r="AN278" s="129"/>
      <c r="AO278" s="72"/>
      <c r="AP278" s="72"/>
      <c r="AQ278" s="72"/>
      <c r="AR278" s="72"/>
      <c r="AS278" s="72"/>
      <c r="AT278" s="129"/>
      <c r="AU278" s="129"/>
      <c r="AV278" s="92"/>
      <c r="AW278" s="72"/>
      <c r="AX278" s="72"/>
    </row>
    <row r="279" spans="1:50" ht="15" customHeight="1">
      <c r="A279" s="81" t="s">
        <v>460</v>
      </c>
      <c r="B279" s="68" t="s">
        <v>345</v>
      </c>
      <c r="C279" s="69" t="s">
        <v>45</v>
      </c>
      <c r="D279" s="70" t="s">
        <v>175</v>
      </c>
      <c r="E279" s="70"/>
      <c r="F279" s="68">
        <v>2</v>
      </c>
      <c r="G279" s="71" t="s">
        <v>350</v>
      </c>
      <c r="H279" s="71" t="s">
        <v>462</v>
      </c>
      <c r="I279" s="71"/>
      <c r="J279" s="71"/>
      <c r="K279" s="69"/>
      <c r="L279" s="69"/>
      <c r="M279" s="69"/>
      <c r="N279" s="69"/>
      <c r="O279" s="71" t="s">
        <v>461</v>
      </c>
      <c r="P279" s="69">
        <v>1</v>
      </c>
      <c r="Q279" s="68">
        <f>MAX(0,$V279-$P279-$S279)</f>
        <v>1</v>
      </c>
      <c r="R279" s="68"/>
      <c r="S279" s="68"/>
      <c r="T279" s="73">
        <v>0.85</v>
      </c>
      <c r="U279" s="73">
        <f>IF(AND($Q279&gt;0,ISNUMBER($T279)),$Q279*$T279,0)</f>
        <v>0.85</v>
      </c>
      <c r="V279" s="68">
        <f>SUM(W279:AB279)</f>
        <v>2</v>
      </c>
      <c r="W279" s="68">
        <v>1</v>
      </c>
      <c r="X279" s="68"/>
      <c r="Y279" s="82">
        <v>1</v>
      </c>
      <c r="Z279" s="68"/>
      <c r="AA279" s="68"/>
      <c r="AB279" s="68"/>
      <c r="AC279" s="68"/>
      <c r="AD279" s="75">
        <f>SUM(AE279:AJ279)</f>
        <v>1</v>
      </c>
      <c r="AE279" s="76">
        <v>1</v>
      </c>
      <c r="AF279" s="76"/>
      <c r="AG279" s="76"/>
      <c r="AH279" s="76"/>
      <c r="AI279" s="76"/>
      <c r="AJ279" s="76"/>
      <c r="AK279" s="76"/>
      <c r="AL279" s="77">
        <f>IF((P279-SUM(AE279:AK279))&lt;0,0,P279-SUM(AE279:AK279))</f>
        <v>0</v>
      </c>
      <c r="AM279" s="77">
        <f>SUM(AO279:AT279)</f>
        <v>0</v>
      </c>
      <c r="AN279" s="138" t="s">
        <v>81</v>
      </c>
      <c r="AO279" s="72"/>
      <c r="AP279" s="72"/>
      <c r="AQ279" s="72"/>
      <c r="AR279" s="72"/>
      <c r="AS279" s="129"/>
      <c r="AT279" s="72"/>
      <c r="AU279" s="142" t="s">
        <v>463</v>
      </c>
      <c r="AV279" s="70"/>
      <c r="AW279" s="72"/>
      <c r="AX279" s="84"/>
    </row>
    <row r="280" spans="1:50" ht="15" customHeight="1">
      <c r="A280" s="70" t="s">
        <v>1268</v>
      </c>
      <c r="B280" s="68" t="s">
        <v>1114</v>
      </c>
      <c r="C280" s="69" t="s">
        <v>45</v>
      </c>
      <c r="D280" s="70" t="s">
        <v>123</v>
      </c>
      <c r="E280" s="70" t="s">
        <v>722</v>
      </c>
      <c r="F280" s="68">
        <v>4</v>
      </c>
      <c r="G280" s="71" t="s">
        <v>1145</v>
      </c>
      <c r="H280" s="71" t="s">
        <v>1269</v>
      </c>
      <c r="I280" s="71" t="s">
        <v>1270</v>
      </c>
      <c r="J280" s="71" t="s">
        <v>1271</v>
      </c>
      <c r="K280" s="72"/>
      <c r="L280" s="72"/>
      <c r="M280" s="72"/>
      <c r="N280" s="72"/>
      <c r="O280" s="71" t="s">
        <v>642</v>
      </c>
      <c r="P280" s="69">
        <v>1</v>
      </c>
      <c r="Q280" s="68">
        <f>MAX(0,$V280-$P280-$S280)</f>
        <v>0</v>
      </c>
      <c r="R280" s="68"/>
      <c r="S280" s="68"/>
      <c r="T280" s="73">
        <v>3.05</v>
      </c>
      <c r="U280" s="73">
        <f>IF(AND($Q280&gt;0,ISNUMBER($T280)),$Q280*$T280,0)</f>
        <v>0</v>
      </c>
      <c r="V280" s="68">
        <f>SUM(W280:AB280)</f>
        <v>1</v>
      </c>
      <c r="W280" s="68"/>
      <c r="X280" s="68"/>
      <c r="Y280" s="68"/>
      <c r="Z280" s="68">
        <v>1</v>
      </c>
      <c r="AA280" s="68"/>
      <c r="AB280" s="68"/>
      <c r="AC280" s="68"/>
      <c r="AD280" s="75">
        <f>SUM(AE280:AJ280)</f>
        <v>1</v>
      </c>
      <c r="AE280" s="76"/>
      <c r="AF280" s="76"/>
      <c r="AG280" s="76"/>
      <c r="AH280" s="76">
        <v>1</v>
      </c>
      <c r="AI280" s="76"/>
      <c r="AJ280" s="76"/>
      <c r="AK280" s="76"/>
      <c r="AL280" s="77">
        <f>IF((P280-SUM(AE280:AK280))&lt;0,0,P280-SUM(AE280:AK280))</f>
        <v>0</v>
      </c>
      <c r="AM280" s="77">
        <f>SUM(AO280:AT280)</f>
        <v>0</v>
      </c>
      <c r="AN280" s="129"/>
      <c r="AO280" s="72"/>
      <c r="AP280" s="72"/>
      <c r="AQ280" s="72"/>
      <c r="AR280" s="72"/>
      <c r="AS280" s="129"/>
      <c r="AT280" s="72"/>
      <c r="AU280" s="129"/>
      <c r="AV280" s="70"/>
      <c r="AW280" s="72"/>
      <c r="AX280" s="72"/>
    </row>
    <row r="281" spans="1:50" ht="15" customHeight="1">
      <c r="A281" s="86" t="s">
        <v>464</v>
      </c>
      <c r="B281" s="68" t="s">
        <v>345</v>
      </c>
      <c r="C281" s="69" t="s">
        <v>45</v>
      </c>
      <c r="D281" s="70" t="s">
        <v>359</v>
      </c>
      <c r="E281" s="70" t="s">
        <v>465</v>
      </c>
      <c r="F281" s="68">
        <v>3</v>
      </c>
      <c r="G281" s="71" t="s">
        <v>91</v>
      </c>
      <c r="H281" s="71" t="s">
        <v>466</v>
      </c>
      <c r="I281" s="71" t="s">
        <v>467</v>
      </c>
      <c r="J281" s="71"/>
      <c r="K281" s="72"/>
      <c r="L281" s="72"/>
      <c r="M281" s="72"/>
      <c r="N281" s="72"/>
      <c r="O281" s="71" t="s">
        <v>346</v>
      </c>
      <c r="P281" s="69">
        <v>1</v>
      </c>
      <c r="Q281" s="68">
        <f>MAX(0,$V281-$P281-$S281)</f>
        <v>0</v>
      </c>
      <c r="R281" s="68"/>
      <c r="S281" s="68"/>
      <c r="T281" s="73">
        <v>0.28000000000000003</v>
      </c>
      <c r="U281" s="73">
        <f>IF(AND($Q281&gt;0,ISNUMBER($T281)),$Q281*$T281,0)</f>
        <v>0</v>
      </c>
      <c r="V281" s="68">
        <f>SUM(W281:AB281)</f>
        <v>1</v>
      </c>
      <c r="W281" s="68"/>
      <c r="X281" s="68"/>
      <c r="Y281" s="68"/>
      <c r="Z281" s="68"/>
      <c r="AA281" s="87">
        <v>1</v>
      </c>
      <c r="AB281" s="68"/>
      <c r="AC281" s="68"/>
      <c r="AD281" s="75">
        <f>SUM(AE281:AJ281)</f>
        <v>1</v>
      </c>
      <c r="AE281" s="76"/>
      <c r="AF281" s="76"/>
      <c r="AG281" s="76"/>
      <c r="AH281" s="76"/>
      <c r="AI281" s="76">
        <v>1</v>
      </c>
      <c r="AJ281" s="76"/>
      <c r="AK281" s="76"/>
      <c r="AL281" s="77">
        <f>IF((P281-SUM(AE281:AK281))&lt;0,0,P281-SUM(AE281:AK281))</f>
        <v>0</v>
      </c>
      <c r="AM281" s="77">
        <f>SUM(AO281:AT281)</f>
        <v>0</v>
      </c>
      <c r="AN281" s="72"/>
      <c r="AO281" s="72"/>
      <c r="AP281" s="72"/>
      <c r="AQ281" s="72"/>
      <c r="AR281" s="72"/>
      <c r="AS281" s="72"/>
      <c r="AT281" s="72"/>
      <c r="AU281" s="72"/>
      <c r="AV281" s="70"/>
      <c r="AW281" s="72"/>
      <c r="AX281" s="72"/>
    </row>
    <row r="282" spans="1:50" ht="15" customHeight="1">
      <c r="A282" s="98" t="s">
        <v>2453</v>
      </c>
      <c r="B282" s="100" t="s">
        <v>1499</v>
      </c>
      <c r="C282" s="101" t="s">
        <v>45</v>
      </c>
      <c r="D282" s="98" t="s">
        <v>64</v>
      </c>
      <c r="E282" s="98" t="s">
        <v>1130</v>
      </c>
      <c r="F282" s="100">
        <v>1</v>
      </c>
      <c r="G282" s="98" t="s">
        <v>125</v>
      </c>
      <c r="H282" s="98" t="s">
        <v>2454</v>
      </c>
      <c r="I282" s="98" t="s">
        <v>2455</v>
      </c>
      <c r="J282" s="98"/>
      <c r="K282" s="99"/>
      <c r="L282" s="99"/>
      <c r="M282" s="99"/>
      <c r="N282" s="99"/>
      <c r="O282" s="98" t="s">
        <v>112</v>
      </c>
      <c r="P282" s="101">
        <v>1</v>
      </c>
      <c r="Q282" s="68">
        <f>MAX(0,$V282-$P282-$S282)</f>
        <v>0</v>
      </c>
      <c r="R282" s="98"/>
      <c r="S282" s="98"/>
      <c r="T282" s="98">
        <v>0.18</v>
      </c>
      <c r="U282" s="98">
        <f>IF(AND($Q282&gt;0,ISNUMBER($T282)),$Q282*$T282,0)</f>
        <v>0</v>
      </c>
      <c r="V282" s="68">
        <f>SUM(W282:AB282)</f>
        <v>0</v>
      </c>
      <c r="W282" s="100"/>
      <c r="X282" s="100"/>
      <c r="Y282" s="100"/>
      <c r="Z282" s="100"/>
      <c r="AA282" s="100"/>
      <c r="AB282" s="100"/>
      <c r="AC282" s="68"/>
      <c r="AD282" s="75">
        <f>SUM(AE282:AJ282)</f>
        <v>0</v>
      </c>
      <c r="AE282" s="102"/>
      <c r="AF282" s="102"/>
      <c r="AG282" s="102"/>
      <c r="AH282" s="102"/>
      <c r="AI282" s="102"/>
      <c r="AJ282" s="102"/>
      <c r="AK282" s="102"/>
      <c r="AL282" s="77">
        <f>IF((P282-SUM(AE282:AK282))&lt;0,0,P282-SUM(AE282:AK282))</f>
        <v>1</v>
      </c>
      <c r="AM282" s="77">
        <f>SUM(AO282:AT282)</f>
        <v>0</v>
      </c>
      <c r="AN282" s="99"/>
      <c r="AO282" s="99"/>
      <c r="AP282" s="99"/>
      <c r="AQ282" s="99"/>
      <c r="AR282" s="99"/>
      <c r="AS282" s="99"/>
      <c r="AT282" s="99"/>
      <c r="AU282" s="99"/>
      <c r="AV282" s="98"/>
      <c r="AW282" s="99"/>
      <c r="AX282" s="99"/>
    </row>
    <row r="283" spans="1:50" ht="15" customHeight="1">
      <c r="A283" s="70" t="s">
        <v>1869</v>
      </c>
      <c r="B283" s="68" t="s">
        <v>1831</v>
      </c>
      <c r="C283" s="69" t="s">
        <v>45</v>
      </c>
      <c r="D283" s="70" t="s">
        <v>64</v>
      </c>
      <c r="E283" s="70" t="s">
        <v>1414</v>
      </c>
      <c r="F283" s="68">
        <v>3</v>
      </c>
      <c r="G283" s="71" t="s">
        <v>317</v>
      </c>
      <c r="H283" s="71" t="s">
        <v>1870</v>
      </c>
      <c r="I283" s="71"/>
      <c r="J283" s="71"/>
      <c r="K283" s="72"/>
      <c r="L283" s="72"/>
      <c r="M283" s="72"/>
      <c r="N283" s="72"/>
      <c r="O283" s="71" t="s">
        <v>90</v>
      </c>
      <c r="P283" s="69">
        <v>1</v>
      </c>
      <c r="Q283" s="68">
        <f>MAX(0,$V283-$P283-$S283)</f>
        <v>0</v>
      </c>
      <c r="R283" s="68"/>
      <c r="S283" s="68"/>
      <c r="T283" s="73">
        <v>3.49</v>
      </c>
      <c r="U283" s="73">
        <f>IF(AND($Q283&gt;0,ISNUMBER($T283)),$Q283*$T283,0)</f>
        <v>0</v>
      </c>
      <c r="V283" s="68">
        <f>SUM(W283:AB283)</f>
        <v>1</v>
      </c>
      <c r="W283" s="68"/>
      <c r="X283" s="68"/>
      <c r="Y283" s="68">
        <v>1</v>
      </c>
      <c r="Z283" s="68"/>
      <c r="AA283" s="68"/>
      <c r="AB283" s="68"/>
      <c r="AC283" s="68"/>
      <c r="AD283" s="75">
        <f>SUM(AE283:AJ283)</f>
        <v>1</v>
      </c>
      <c r="AE283" s="76"/>
      <c r="AF283" s="76"/>
      <c r="AG283" s="76">
        <v>1</v>
      </c>
      <c r="AH283" s="76"/>
      <c r="AI283" s="76"/>
      <c r="AJ283" s="76"/>
      <c r="AK283" s="76"/>
      <c r="AL283" s="77">
        <f>IF((P283-SUM(AE283:AK283))&lt;0,0,P283-SUM(AE283:AK283))</f>
        <v>0</v>
      </c>
      <c r="AM283" s="77">
        <f>SUM(AO283:AT283)</f>
        <v>0</v>
      </c>
      <c r="AN283" s="72"/>
      <c r="AO283" s="72"/>
      <c r="AP283" s="72"/>
      <c r="AQ283" s="72"/>
      <c r="AR283" s="72"/>
      <c r="AS283" s="72"/>
      <c r="AT283" s="72"/>
      <c r="AU283" s="72"/>
      <c r="AV283" s="70"/>
      <c r="AW283" s="72"/>
      <c r="AX283" s="72"/>
    </row>
    <row r="284" spans="1:50" ht="15" customHeight="1">
      <c r="A284" s="98" t="s">
        <v>2458</v>
      </c>
      <c r="B284" s="100" t="s">
        <v>636</v>
      </c>
      <c r="C284" s="101" t="s">
        <v>45</v>
      </c>
      <c r="D284" s="98" t="s">
        <v>64</v>
      </c>
      <c r="E284" s="98" t="s">
        <v>2459</v>
      </c>
      <c r="F284" s="100">
        <v>4</v>
      </c>
      <c r="G284" s="98" t="s">
        <v>170</v>
      </c>
      <c r="H284" s="98" t="s">
        <v>2460</v>
      </c>
      <c r="I284" s="98" t="s">
        <v>2461</v>
      </c>
      <c r="J284" s="98"/>
      <c r="K284" s="99"/>
      <c r="L284" s="99"/>
      <c r="M284" s="99"/>
      <c r="N284" s="99"/>
      <c r="O284" s="98" t="s">
        <v>112</v>
      </c>
      <c r="P284" s="69">
        <v>1</v>
      </c>
      <c r="Q284" s="68">
        <f>MAX(0,$V284-$P284-$S284)</f>
        <v>0</v>
      </c>
      <c r="R284" s="98"/>
      <c r="S284" s="98"/>
      <c r="T284" s="98">
        <v>0.11</v>
      </c>
      <c r="U284" s="98">
        <f>IF(AND($Q284&gt;0,ISNUMBER($T284)),$Q284*$T284,0)</f>
        <v>0</v>
      </c>
      <c r="V284" s="68">
        <f>SUM(W284:AB284)</f>
        <v>0</v>
      </c>
      <c r="W284" s="100"/>
      <c r="X284" s="100"/>
      <c r="Y284" s="100"/>
      <c r="Z284" s="100"/>
      <c r="AA284" s="100"/>
      <c r="AB284" s="100"/>
      <c r="AC284" s="68"/>
      <c r="AD284" s="75">
        <f>SUM(AE284:AJ284)</f>
        <v>0</v>
      </c>
      <c r="AE284" s="102"/>
      <c r="AF284" s="102"/>
      <c r="AG284" s="102"/>
      <c r="AH284" s="102"/>
      <c r="AI284" s="102"/>
      <c r="AJ284" s="102"/>
      <c r="AK284" s="102"/>
      <c r="AL284" s="77">
        <f>IF((P284-SUM(AE284:AK284))&lt;0,0,P284-SUM(AE284:AK284))</f>
        <v>1</v>
      </c>
      <c r="AM284" s="77">
        <f>SUM(AO284:AT284)</f>
        <v>0</v>
      </c>
      <c r="AN284" s="127"/>
      <c r="AO284" s="99"/>
      <c r="AP284" s="99"/>
      <c r="AQ284" s="99"/>
      <c r="AR284" s="99"/>
      <c r="AS284" s="99"/>
      <c r="AT284" s="99"/>
      <c r="AU284" s="99"/>
      <c r="AV284" s="98"/>
      <c r="AW284" s="99"/>
      <c r="AX284" s="127"/>
    </row>
    <row r="285" spans="1:50" ht="15" customHeight="1">
      <c r="A285" s="86" t="s">
        <v>987</v>
      </c>
      <c r="B285" s="68" t="s">
        <v>919</v>
      </c>
      <c r="C285" s="69" t="s">
        <v>45</v>
      </c>
      <c r="D285" s="70" t="s">
        <v>627</v>
      </c>
      <c r="E285" s="70"/>
      <c r="F285" s="68">
        <v>0</v>
      </c>
      <c r="G285" s="71" t="s">
        <v>627</v>
      </c>
      <c r="H285" s="71" t="s">
        <v>938</v>
      </c>
      <c r="I285" s="71" t="s">
        <v>988</v>
      </c>
      <c r="J285" s="71"/>
      <c r="K285" s="72"/>
      <c r="L285" s="72"/>
      <c r="M285" s="72"/>
      <c r="N285" s="72"/>
      <c r="O285" s="71" t="s">
        <v>291</v>
      </c>
      <c r="P285" s="69">
        <v>1</v>
      </c>
      <c r="Q285" s="68">
        <f>MAX(0,$V285-$P285-$S285)</f>
        <v>0</v>
      </c>
      <c r="R285" s="68"/>
      <c r="S285" s="68"/>
      <c r="T285" s="73">
        <v>0.33</v>
      </c>
      <c r="U285" s="73">
        <f>IF(AND($Q285&gt;0,ISNUMBER($T285)),$Q285*$T285,0)</f>
        <v>0</v>
      </c>
      <c r="V285" s="68">
        <f>SUM(W285:AB285)</f>
        <v>1</v>
      </c>
      <c r="W285" s="68"/>
      <c r="X285" s="68"/>
      <c r="Y285" s="68"/>
      <c r="Z285" s="87">
        <v>1</v>
      </c>
      <c r="AA285" s="68"/>
      <c r="AB285" s="68"/>
      <c r="AC285" s="68"/>
      <c r="AD285" s="75">
        <f>SUM(AE285:AJ285)</f>
        <v>1</v>
      </c>
      <c r="AE285" s="76"/>
      <c r="AF285" s="76"/>
      <c r="AG285" s="76"/>
      <c r="AH285" s="76">
        <v>1</v>
      </c>
      <c r="AI285" s="76"/>
      <c r="AJ285" s="76"/>
      <c r="AK285" s="76"/>
      <c r="AL285" s="77">
        <f>IF((P285-SUM(AE285:AK285))&lt;0,0,P285-SUM(AE285:AK285))</f>
        <v>0</v>
      </c>
      <c r="AM285" s="77">
        <f>SUM(AO285:AT285)</f>
        <v>0</v>
      </c>
      <c r="AN285" s="129"/>
      <c r="AO285" s="72"/>
      <c r="AP285" s="72"/>
      <c r="AQ285" s="129"/>
      <c r="AR285" s="129"/>
      <c r="AS285" s="129"/>
      <c r="AT285" s="72"/>
      <c r="AU285" s="129"/>
      <c r="AV285" s="70"/>
      <c r="AW285" s="72"/>
      <c r="AX285" s="72"/>
    </row>
    <row r="286" spans="1:50" ht="15" customHeight="1">
      <c r="A286" s="86" t="s">
        <v>1610</v>
      </c>
      <c r="B286" s="68" t="s">
        <v>1499</v>
      </c>
      <c r="C286" s="69" t="s">
        <v>45</v>
      </c>
      <c r="D286" s="70" t="s">
        <v>64</v>
      </c>
      <c r="E286" s="70" t="s">
        <v>1531</v>
      </c>
      <c r="F286" s="68">
        <v>1</v>
      </c>
      <c r="G286" s="71" t="s">
        <v>530</v>
      </c>
      <c r="H286" s="71" t="s">
        <v>1611</v>
      </c>
      <c r="I286" s="71"/>
      <c r="J286" s="71"/>
      <c r="K286" s="72"/>
      <c r="L286" s="72"/>
      <c r="M286" s="72"/>
      <c r="N286" s="72"/>
      <c r="O286" s="71" t="s">
        <v>866</v>
      </c>
      <c r="P286" s="69">
        <v>1</v>
      </c>
      <c r="Q286" s="68">
        <f>MAX(0,$V286-$P286-$S286)</f>
        <v>0</v>
      </c>
      <c r="R286" s="68"/>
      <c r="S286" s="68"/>
      <c r="T286" s="73">
        <v>0.17</v>
      </c>
      <c r="U286" s="73">
        <f>IF(AND($Q286&gt;0,ISNUMBER($T286)),$Q286*$T286,0)</f>
        <v>0</v>
      </c>
      <c r="V286" s="68">
        <f>SUM(W286:AB286)</f>
        <v>1</v>
      </c>
      <c r="W286" s="68"/>
      <c r="X286" s="68"/>
      <c r="Y286" s="68"/>
      <c r="Z286" s="68"/>
      <c r="AA286" s="68"/>
      <c r="AB286" s="87">
        <v>1</v>
      </c>
      <c r="AC286" s="68"/>
      <c r="AD286" s="75">
        <f>SUM(AE286:AJ286)</f>
        <v>1</v>
      </c>
      <c r="AE286" s="76"/>
      <c r="AF286" s="76"/>
      <c r="AG286" s="76"/>
      <c r="AH286" s="76"/>
      <c r="AI286" s="76"/>
      <c r="AJ286" s="76">
        <v>1</v>
      </c>
      <c r="AK286" s="76"/>
      <c r="AL286" s="77">
        <f>IF((P286-SUM(AE286:AK286))&lt;0,0,P286-SUM(AE286:AK286))</f>
        <v>0</v>
      </c>
      <c r="AM286" s="77">
        <f>SUM(AO286:AT286)</f>
        <v>0</v>
      </c>
      <c r="AN286" s="129"/>
      <c r="AO286" s="72"/>
      <c r="AP286" s="72"/>
      <c r="AQ286" s="72"/>
      <c r="AR286" s="129"/>
      <c r="AS286" s="72"/>
      <c r="AT286" s="72"/>
      <c r="AU286" s="129"/>
      <c r="AV286" s="70"/>
      <c r="AW286" s="72"/>
      <c r="AX286" s="72"/>
    </row>
    <row r="287" spans="1:50" ht="15" customHeight="1">
      <c r="A287" s="70" t="s">
        <v>1272</v>
      </c>
      <c r="B287" s="68" t="s">
        <v>1114</v>
      </c>
      <c r="C287" s="69" t="s">
        <v>45</v>
      </c>
      <c r="D287" s="70" t="s">
        <v>72</v>
      </c>
      <c r="E287" s="70"/>
      <c r="F287" s="68">
        <v>2</v>
      </c>
      <c r="G287" s="71" t="s">
        <v>49</v>
      </c>
      <c r="H287" s="71" t="s">
        <v>1273</v>
      </c>
      <c r="I287" s="71"/>
      <c r="J287" s="71"/>
      <c r="K287" s="72"/>
      <c r="L287" s="72"/>
      <c r="M287" s="72"/>
      <c r="N287" s="72"/>
      <c r="O287" s="71" t="s">
        <v>576</v>
      </c>
      <c r="P287" s="69">
        <v>1</v>
      </c>
      <c r="Q287" s="68">
        <f>MAX(0,$V287-$P287-$S287)</f>
        <v>0</v>
      </c>
      <c r="R287" s="68"/>
      <c r="S287" s="68"/>
      <c r="T287" s="73">
        <v>0.33</v>
      </c>
      <c r="U287" s="73">
        <f>IF(AND($Q287&gt;0,ISNUMBER($T287)),$Q287*$T287,0)</f>
        <v>0</v>
      </c>
      <c r="V287" s="68">
        <f>SUM(W287:AB287)</f>
        <v>1</v>
      </c>
      <c r="W287" s="68"/>
      <c r="X287" s="68"/>
      <c r="Y287" s="68"/>
      <c r="Z287" s="68"/>
      <c r="AA287" s="68">
        <v>1</v>
      </c>
      <c r="AB287" s="68"/>
      <c r="AC287" s="68"/>
      <c r="AD287" s="75">
        <f>SUM(AE287:AJ287)</f>
        <v>1</v>
      </c>
      <c r="AE287" s="76"/>
      <c r="AF287" s="76"/>
      <c r="AG287" s="76"/>
      <c r="AH287" s="76"/>
      <c r="AI287" s="76">
        <v>1</v>
      </c>
      <c r="AJ287" s="76"/>
      <c r="AK287" s="76"/>
      <c r="AL287" s="77">
        <f>IF((P287-SUM(AE287:AK287))&lt;0,0,P287-SUM(AE287:AK287))</f>
        <v>0</v>
      </c>
      <c r="AM287" s="77">
        <f>SUM(AO287:AT287)</f>
        <v>0</v>
      </c>
      <c r="AN287" s="85"/>
      <c r="AO287" s="72"/>
      <c r="AP287" s="72"/>
      <c r="AQ287" s="72"/>
      <c r="AR287" s="72"/>
      <c r="AS287" s="72"/>
      <c r="AT287" s="72"/>
      <c r="AU287" s="72"/>
      <c r="AV287" s="70"/>
      <c r="AW287" s="72"/>
      <c r="AX287" s="72"/>
    </row>
    <row r="288" spans="1:50" ht="15" customHeight="1">
      <c r="A288" s="70" t="s">
        <v>715</v>
      </c>
      <c r="B288" s="68" t="s">
        <v>636</v>
      </c>
      <c r="C288" s="69" t="s">
        <v>45</v>
      </c>
      <c r="D288" s="70" t="s">
        <v>314</v>
      </c>
      <c r="E288" s="70" t="s">
        <v>716</v>
      </c>
      <c r="F288" s="68">
        <v>5</v>
      </c>
      <c r="G288" s="71" t="s">
        <v>392</v>
      </c>
      <c r="H288" s="71" t="s">
        <v>718</v>
      </c>
      <c r="I288" s="71" t="s">
        <v>719</v>
      </c>
      <c r="J288" s="71" t="s">
        <v>720</v>
      </c>
      <c r="K288" s="72"/>
      <c r="L288" s="72"/>
      <c r="M288" s="72"/>
      <c r="N288" s="72"/>
      <c r="O288" s="71" t="s">
        <v>717</v>
      </c>
      <c r="P288" s="69">
        <v>1</v>
      </c>
      <c r="Q288" s="68">
        <f>MAX(0,$V288-$P288-$S288)</f>
        <v>0</v>
      </c>
      <c r="R288" s="68"/>
      <c r="S288" s="68"/>
      <c r="T288" s="73">
        <v>4.47</v>
      </c>
      <c r="U288" s="73">
        <f>IF(AND($Q288&gt;0,ISNUMBER($T288)),$Q288*$T288,0)</f>
        <v>0</v>
      </c>
      <c r="V288" s="68">
        <f>SUM(W288:AB288)</f>
        <v>1</v>
      </c>
      <c r="W288" s="68"/>
      <c r="X288" s="68"/>
      <c r="Y288" s="68"/>
      <c r="Z288" s="68">
        <v>1</v>
      </c>
      <c r="AA288" s="68"/>
      <c r="AB288" s="68"/>
      <c r="AC288" s="68"/>
      <c r="AD288" s="75">
        <f>SUM(AE288:AJ288)</f>
        <v>1</v>
      </c>
      <c r="AE288" s="76"/>
      <c r="AF288" s="76"/>
      <c r="AG288" s="76"/>
      <c r="AH288" s="76">
        <v>1</v>
      </c>
      <c r="AI288" s="76"/>
      <c r="AJ288" s="76"/>
      <c r="AK288" s="76"/>
      <c r="AL288" s="77">
        <f>IF((P288-SUM(AE288:AK288))&lt;0,0,P288-SUM(AE288:AK288))</f>
        <v>0</v>
      </c>
      <c r="AM288" s="77">
        <f>SUM(AO288:AT288)</f>
        <v>0</v>
      </c>
      <c r="AN288" s="129"/>
      <c r="AO288" s="72"/>
      <c r="AP288" s="72"/>
      <c r="AQ288" s="72"/>
      <c r="AR288" s="72"/>
      <c r="AS288" s="129"/>
      <c r="AT288" s="72"/>
      <c r="AU288" s="129"/>
      <c r="AV288" s="70"/>
      <c r="AW288" s="72"/>
      <c r="AX288" s="72"/>
    </row>
    <row r="289" spans="1:50" ht="15" customHeight="1">
      <c r="A289" s="70" t="s">
        <v>2100</v>
      </c>
      <c r="B289" s="68" t="s">
        <v>1971</v>
      </c>
      <c r="C289" s="69" t="s">
        <v>45</v>
      </c>
      <c r="D289" s="70" t="s">
        <v>64</v>
      </c>
      <c r="E289" s="70" t="s">
        <v>243</v>
      </c>
      <c r="F289" s="68">
        <v>3</v>
      </c>
      <c r="G289" s="71" t="s">
        <v>499</v>
      </c>
      <c r="H289" s="71" t="s">
        <v>2101</v>
      </c>
      <c r="I289" s="71" t="s">
        <v>2102</v>
      </c>
      <c r="J289" s="71"/>
      <c r="K289" s="72"/>
      <c r="L289" s="72"/>
      <c r="M289" s="72"/>
      <c r="N289" s="72"/>
      <c r="O289" s="71" t="s">
        <v>866</v>
      </c>
      <c r="P289" s="69">
        <v>1</v>
      </c>
      <c r="Q289" s="68">
        <f>MAX(0,$V289-$P289-$S289)</f>
        <v>0</v>
      </c>
      <c r="R289" s="68" t="s">
        <v>57</v>
      </c>
      <c r="S289" s="68">
        <v>1</v>
      </c>
      <c r="T289" s="73">
        <v>0.2</v>
      </c>
      <c r="U289" s="73">
        <f>IF(AND($Q289&gt;0,ISNUMBER($T289)),$Q289*$T289,0)</f>
        <v>0</v>
      </c>
      <c r="V289" s="68">
        <f>SUM(W289:AB289)</f>
        <v>0</v>
      </c>
      <c r="W289" s="68"/>
      <c r="X289" s="68"/>
      <c r="Y289" s="68"/>
      <c r="Z289" s="68"/>
      <c r="AA289" s="68"/>
      <c r="AB289" s="68"/>
      <c r="AC289" s="68"/>
      <c r="AD289" s="75">
        <f>SUM(AE289:AJ289)</f>
        <v>0</v>
      </c>
      <c r="AE289" s="76"/>
      <c r="AF289" s="76"/>
      <c r="AG289" s="76"/>
      <c r="AH289" s="76"/>
      <c r="AI289" s="76"/>
      <c r="AJ289" s="76"/>
      <c r="AK289" s="76"/>
      <c r="AL289" s="77">
        <f>IF((P289-SUM(AE289:AK289))&lt;0,0,P289-SUM(AE289:AK289))</f>
        <v>1</v>
      </c>
      <c r="AM289" s="77">
        <f>SUM(AO289:AT289)</f>
        <v>0</v>
      </c>
      <c r="AN289" s="72"/>
      <c r="AO289" s="72"/>
      <c r="AP289" s="72"/>
      <c r="AQ289" s="72"/>
      <c r="AR289" s="72"/>
      <c r="AS289" s="72"/>
      <c r="AT289" s="72"/>
      <c r="AU289" s="72"/>
      <c r="AV289" s="70"/>
      <c r="AW289" s="72"/>
      <c r="AX289" s="72"/>
    </row>
    <row r="290" spans="1:50" ht="15" customHeight="1">
      <c r="A290" s="70" t="s">
        <v>1875</v>
      </c>
      <c r="B290" s="68" t="s">
        <v>1831</v>
      </c>
      <c r="C290" s="69" t="s">
        <v>45</v>
      </c>
      <c r="D290" s="70" t="s">
        <v>72</v>
      </c>
      <c r="E290" s="70"/>
      <c r="F290" s="68">
        <v>4</v>
      </c>
      <c r="G290" s="71" t="s">
        <v>1332</v>
      </c>
      <c r="H290" s="71" t="s">
        <v>1876</v>
      </c>
      <c r="I290" s="71"/>
      <c r="J290" s="71"/>
      <c r="K290" s="72"/>
      <c r="L290" s="72"/>
      <c r="M290" s="72"/>
      <c r="N290" s="72"/>
      <c r="O290" s="71" t="s">
        <v>156</v>
      </c>
      <c r="P290" s="69">
        <v>1</v>
      </c>
      <c r="Q290" s="68">
        <f>MAX(0,$V290-$P290-$S290)</f>
        <v>0</v>
      </c>
      <c r="R290" s="68"/>
      <c r="S290" s="68"/>
      <c r="T290" s="73">
        <v>0.34</v>
      </c>
      <c r="U290" s="73">
        <f>IF(AND($Q290&gt;0,ISNUMBER($T290)),$Q290*$T290,0)</f>
        <v>0</v>
      </c>
      <c r="V290" s="68">
        <f>SUM(W290:AB290)</f>
        <v>1</v>
      </c>
      <c r="W290" s="68"/>
      <c r="X290" s="68"/>
      <c r="Y290" s="68">
        <v>1</v>
      </c>
      <c r="Z290" s="68"/>
      <c r="AA290" s="68"/>
      <c r="AB290" s="68"/>
      <c r="AC290" s="68"/>
      <c r="AD290" s="75">
        <f>SUM(AE290:AJ290)</f>
        <v>1</v>
      </c>
      <c r="AE290" s="76"/>
      <c r="AF290" s="76"/>
      <c r="AG290" s="76">
        <v>1</v>
      </c>
      <c r="AH290" s="76"/>
      <c r="AI290" s="76"/>
      <c r="AJ290" s="76"/>
      <c r="AK290" s="76"/>
      <c r="AL290" s="77">
        <f>IF((P290-SUM(AE290:AK290))&lt;0,0,P290-SUM(AE290:AK290))</f>
        <v>0</v>
      </c>
      <c r="AM290" s="77">
        <f>SUM(AO290:AT290)</f>
        <v>0</v>
      </c>
      <c r="AN290" s="72"/>
      <c r="AO290" s="72"/>
      <c r="AP290" s="72"/>
      <c r="AQ290" s="72"/>
      <c r="AR290" s="72"/>
      <c r="AS290" s="72"/>
      <c r="AT290" s="72"/>
      <c r="AU290" s="72"/>
      <c r="AV290" s="70"/>
      <c r="AW290" s="72"/>
      <c r="AX290" s="72"/>
    </row>
    <row r="291" spans="1:50" ht="15" customHeight="1">
      <c r="A291" s="70" t="s">
        <v>989</v>
      </c>
      <c r="B291" s="68" t="s">
        <v>919</v>
      </c>
      <c r="C291" s="69" t="s">
        <v>45</v>
      </c>
      <c r="D291" s="70" t="s">
        <v>627</v>
      </c>
      <c r="E291" s="70"/>
      <c r="F291" s="68">
        <v>0</v>
      </c>
      <c r="G291" s="71" t="s">
        <v>627</v>
      </c>
      <c r="H291" s="71" t="s">
        <v>958</v>
      </c>
      <c r="I291" s="71" t="s">
        <v>990</v>
      </c>
      <c r="J291" s="71"/>
      <c r="K291" s="69"/>
      <c r="L291" s="69"/>
      <c r="M291" s="69"/>
      <c r="N291" s="69"/>
      <c r="O291" s="71" t="s">
        <v>576</v>
      </c>
      <c r="P291" s="69">
        <v>1</v>
      </c>
      <c r="Q291" s="68">
        <f>MAX(0,$V291-$P291-$S291)</f>
        <v>0</v>
      </c>
      <c r="R291" s="68"/>
      <c r="S291" s="68"/>
      <c r="T291" s="73">
        <v>0.22</v>
      </c>
      <c r="U291" s="73">
        <f>IF(AND($Q291&gt;0,ISNUMBER($T291)),$Q291*$T291,0)</f>
        <v>0</v>
      </c>
      <c r="V291" s="68">
        <f>SUM(W291:AB291)</f>
        <v>1</v>
      </c>
      <c r="W291" s="68">
        <v>1</v>
      </c>
      <c r="X291" s="68"/>
      <c r="Y291" s="68"/>
      <c r="Z291" s="68"/>
      <c r="AA291" s="68"/>
      <c r="AB291" s="68"/>
      <c r="AC291" s="68"/>
      <c r="AD291" s="75">
        <f>SUM(AE291:AJ291)</f>
        <v>1</v>
      </c>
      <c r="AE291" s="76">
        <v>1</v>
      </c>
      <c r="AF291" s="76"/>
      <c r="AG291" s="76"/>
      <c r="AH291" s="76"/>
      <c r="AI291" s="76"/>
      <c r="AJ291" s="76"/>
      <c r="AK291" s="76"/>
      <c r="AL291" s="77">
        <f>IF((P291-SUM(AE291:AK291))&lt;0,0,P291-SUM(AE291:AK291))</f>
        <v>0</v>
      </c>
      <c r="AM291" s="77">
        <f>SUM(AO291:AT291)</f>
        <v>0</v>
      </c>
      <c r="AN291" s="129"/>
      <c r="AO291" s="72"/>
      <c r="AP291" s="72"/>
      <c r="AQ291" s="72"/>
      <c r="AR291" s="72"/>
      <c r="AS291" s="72"/>
      <c r="AT291" s="72"/>
      <c r="AU291" s="72"/>
      <c r="AV291" s="70"/>
      <c r="AW291" s="72"/>
      <c r="AX291" s="72"/>
    </row>
    <row r="292" spans="1:50" ht="15" customHeight="1">
      <c r="A292" s="67" t="s">
        <v>2462</v>
      </c>
      <c r="B292" s="100" t="s">
        <v>1831</v>
      </c>
      <c r="C292" s="101" t="s">
        <v>45</v>
      </c>
      <c r="D292" s="98" t="s">
        <v>123</v>
      </c>
      <c r="E292" s="98" t="s">
        <v>2463</v>
      </c>
      <c r="F292" s="100">
        <v>5</v>
      </c>
      <c r="G292" s="98" t="s">
        <v>176</v>
      </c>
      <c r="H292" s="98" t="s">
        <v>2464</v>
      </c>
      <c r="I292" s="98" t="s">
        <v>2465</v>
      </c>
      <c r="J292" s="98"/>
      <c r="K292" s="99"/>
      <c r="L292" s="99"/>
      <c r="M292" s="99"/>
      <c r="N292" s="99"/>
      <c r="O292" s="98" t="s">
        <v>136</v>
      </c>
      <c r="P292" s="69">
        <v>1</v>
      </c>
      <c r="Q292" s="68">
        <f>MAX(0,$V292-$P292-$S292)</f>
        <v>0</v>
      </c>
      <c r="R292" s="98"/>
      <c r="S292" s="98"/>
      <c r="T292" s="98">
        <v>0.11</v>
      </c>
      <c r="U292" s="98">
        <f>IF(AND($Q292&gt;0,ISNUMBER($T292)),$Q292*$T292,0)</f>
        <v>0</v>
      </c>
      <c r="V292" s="68">
        <f>SUM(W292:AB292)</f>
        <v>0</v>
      </c>
      <c r="W292" s="98"/>
      <c r="X292" s="98"/>
      <c r="Y292" s="98"/>
      <c r="Z292" s="98"/>
      <c r="AA292" s="98"/>
      <c r="AB292" s="98"/>
      <c r="AC292" s="68"/>
      <c r="AD292" s="75">
        <f>SUM(AE292:AJ292)</f>
        <v>0</v>
      </c>
      <c r="AE292" s="103"/>
      <c r="AF292" s="103"/>
      <c r="AG292" s="103"/>
      <c r="AH292" s="103"/>
      <c r="AI292" s="103"/>
      <c r="AJ292" s="103"/>
      <c r="AK292" s="103"/>
      <c r="AL292" s="77">
        <f>IF((P292-SUM(AE292:AK292))&lt;0,0,P292-SUM(AE292:AK292))</f>
        <v>1</v>
      </c>
      <c r="AM292" s="77">
        <f>SUM(AO292:AT292)</f>
        <v>0</v>
      </c>
      <c r="AN292" s="99"/>
      <c r="AO292" s="99"/>
      <c r="AP292" s="99"/>
      <c r="AQ292" s="99"/>
      <c r="AR292" s="99"/>
      <c r="AS292" s="99"/>
      <c r="AT292" s="99"/>
      <c r="AU292" s="99"/>
      <c r="AV292" s="98"/>
      <c r="AW292" s="99"/>
      <c r="AX292" s="99"/>
    </row>
    <row r="293" spans="1:50" ht="15" customHeight="1">
      <c r="A293" s="98" t="s">
        <v>2466</v>
      </c>
      <c r="B293" s="100" t="s">
        <v>46</v>
      </c>
      <c r="C293" s="101" t="s">
        <v>45</v>
      </c>
      <c r="D293" s="98" t="s">
        <v>47</v>
      </c>
      <c r="E293" s="98"/>
      <c r="F293" s="100">
        <v>4</v>
      </c>
      <c r="G293" s="98" t="s">
        <v>296</v>
      </c>
      <c r="H293" s="98" t="s">
        <v>2467</v>
      </c>
      <c r="I293" s="98" t="s">
        <v>2468</v>
      </c>
      <c r="J293" s="98"/>
      <c r="K293" s="99"/>
      <c r="L293" s="99"/>
      <c r="M293" s="99"/>
      <c r="N293" s="99"/>
      <c r="O293" s="98" t="s">
        <v>136</v>
      </c>
      <c r="P293" s="101">
        <v>1</v>
      </c>
      <c r="Q293" s="68">
        <f>MAX(0,$V293-$P293-$S293)</f>
        <v>0</v>
      </c>
      <c r="R293" s="98"/>
      <c r="S293" s="98"/>
      <c r="T293" s="98">
        <v>0.19</v>
      </c>
      <c r="U293" s="98">
        <f>IF(AND($Q293&gt;0,ISNUMBER($T293)),$Q293*$T293,0)</f>
        <v>0</v>
      </c>
      <c r="V293" s="68">
        <f>SUM(W293:AB293)</f>
        <v>0</v>
      </c>
      <c r="W293" s="100"/>
      <c r="X293" s="100"/>
      <c r="Y293" s="100"/>
      <c r="Z293" s="100"/>
      <c r="AA293" s="100"/>
      <c r="AB293" s="100"/>
      <c r="AC293" s="68"/>
      <c r="AD293" s="75">
        <f>SUM(AE293:AJ293)</f>
        <v>0</v>
      </c>
      <c r="AE293" s="102"/>
      <c r="AF293" s="102"/>
      <c r="AG293" s="102"/>
      <c r="AH293" s="102"/>
      <c r="AI293" s="102"/>
      <c r="AJ293" s="102"/>
      <c r="AK293" s="102"/>
      <c r="AL293" s="77">
        <f>IF((P293-SUM(AE293:AK293))&lt;0,0,P293-SUM(AE293:AK293))</f>
        <v>1</v>
      </c>
      <c r="AM293" s="77">
        <f>SUM(AO293:AT293)</f>
        <v>0</v>
      </c>
      <c r="AN293" s="99"/>
      <c r="AO293" s="99"/>
      <c r="AP293" s="99"/>
      <c r="AQ293" s="99"/>
      <c r="AR293" s="99"/>
      <c r="AS293" s="99"/>
      <c r="AT293" s="99"/>
      <c r="AU293" s="99"/>
      <c r="AV293" s="98"/>
      <c r="AW293" s="99"/>
      <c r="AX293" s="99"/>
    </row>
    <row r="294" spans="1:50" ht="15" customHeight="1">
      <c r="A294" s="70" t="s">
        <v>2105</v>
      </c>
      <c r="B294" s="68" t="s">
        <v>1971</v>
      </c>
      <c r="C294" s="69" t="s">
        <v>45</v>
      </c>
      <c r="D294" s="70" t="s">
        <v>72</v>
      </c>
      <c r="E294" s="70"/>
      <c r="F294" s="68">
        <v>3</v>
      </c>
      <c r="G294" s="71" t="s">
        <v>49</v>
      </c>
      <c r="H294" s="71" t="s">
        <v>2106</v>
      </c>
      <c r="I294" s="71" t="s">
        <v>2107</v>
      </c>
      <c r="J294" s="71"/>
      <c r="K294" s="72"/>
      <c r="L294" s="72"/>
      <c r="M294" s="72"/>
      <c r="N294" s="72"/>
      <c r="O294" s="71" t="s">
        <v>97</v>
      </c>
      <c r="P294" s="69">
        <v>1</v>
      </c>
      <c r="Q294" s="68">
        <f>MAX(0,$V294-$P294-$S294)</f>
        <v>0</v>
      </c>
      <c r="R294" s="68" t="s">
        <v>57</v>
      </c>
      <c r="S294" s="68">
        <v>1</v>
      </c>
      <c r="T294" s="73">
        <v>0.85</v>
      </c>
      <c r="U294" s="73">
        <f>IF(AND($Q294&gt;0,ISNUMBER($T294)),$Q294*$T294,0)</f>
        <v>0</v>
      </c>
      <c r="V294" s="68">
        <f>SUM(W294:AB294)</f>
        <v>1</v>
      </c>
      <c r="W294" s="68">
        <v>1</v>
      </c>
      <c r="X294" s="68"/>
      <c r="Y294" s="68"/>
      <c r="Z294" s="68"/>
      <c r="AA294" s="68"/>
      <c r="AB294" s="68"/>
      <c r="AC294" s="68"/>
      <c r="AD294" s="75">
        <f>SUM(AE294:AJ294)</f>
        <v>1</v>
      </c>
      <c r="AE294" s="76">
        <v>1</v>
      </c>
      <c r="AF294" s="76"/>
      <c r="AG294" s="76"/>
      <c r="AH294" s="76"/>
      <c r="AI294" s="76"/>
      <c r="AJ294" s="76"/>
      <c r="AK294" s="76"/>
      <c r="AL294" s="77">
        <f>IF((P294-SUM(AE294:AK294))&lt;0,0,P294-SUM(AE294:AK294))</f>
        <v>0</v>
      </c>
      <c r="AM294" s="77">
        <f>SUM(AO294:AT294)</f>
        <v>0</v>
      </c>
      <c r="AN294" s="85"/>
      <c r="AO294" s="72"/>
      <c r="AP294" s="72"/>
      <c r="AQ294" s="72"/>
      <c r="AR294" s="85"/>
      <c r="AS294" s="72"/>
      <c r="AT294" s="72"/>
      <c r="AU294" s="85"/>
      <c r="AV294" s="70"/>
      <c r="AW294" s="72"/>
      <c r="AX294" s="72"/>
    </row>
    <row r="295" spans="1:50" ht="15" customHeight="1">
      <c r="A295" s="86" t="s">
        <v>473</v>
      </c>
      <c r="B295" s="68" t="s">
        <v>345</v>
      </c>
      <c r="C295" s="69" t="s">
        <v>45</v>
      </c>
      <c r="D295" s="70" t="s">
        <v>175</v>
      </c>
      <c r="E295" s="70"/>
      <c r="F295" s="68">
        <v>2</v>
      </c>
      <c r="G295" s="71" t="s">
        <v>54</v>
      </c>
      <c r="H295" s="71" t="s">
        <v>474</v>
      </c>
      <c r="I295" s="71"/>
      <c r="J295" s="71"/>
      <c r="K295" s="72"/>
      <c r="L295" s="72"/>
      <c r="M295" s="72"/>
      <c r="N295" s="72"/>
      <c r="O295" s="71" t="s">
        <v>428</v>
      </c>
      <c r="P295" s="69">
        <v>1</v>
      </c>
      <c r="Q295" s="68">
        <f>MAX(0,$V295-$P295-$S295)</f>
        <v>0</v>
      </c>
      <c r="R295" s="68" t="s">
        <v>57</v>
      </c>
      <c r="S295" s="68">
        <v>1</v>
      </c>
      <c r="T295" s="73">
        <v>3.47</v>
      </c>
      <c r="U295" s="73">
        <f>IF(AND($Q295&gt;0,ISNUMBER($T295)),$Q295*$T295,0)</f>
        <v>0</v>
      </c>
      <c r="V295" s="68">
        <f>SUM(W295:AB295)</f>
        <v>1</v>
      </c>
      <c r="W295" s="68"/>
      <c r="X295" s="68"/>
      <c r="Y295" s="68"/>
      <c r="Z295" s="68"/>
      <c r="AA295" s="87">
        <v>1</v>
      </c>
      <c r="AB295" s="68"/>
      <c r="AC295" s="68"/>
      <c r="AD295" s="75">
        <f>SUM(AE295:AJ295)</f>
        <v>1</v>
      </c>
      <c r="AE295" s="76"/>
      <c r="AF295" s="76"/>
      <c r="AG295" s="76"/>
      <c r="AH295" s="76"/>
      <c r="AI295" s="76">
        <v>1</v>
      </c>
      <c r="AJ295" s="76"/>
      <c r="AK295" s="76"/>
      <c r="AL295" s="77">
        <f>IF((P295-SUM(AE295:AK295))&lt;0,0,P295-SUM(AE295:AK295))</f>
        <v>0</v>
      </c>
      <c r="AM295" s="77">
        <f>SUM(AO295:AT295)</f>
        <v>0</v>
      </c>
      <c r="AN295" s="72"/>
      <c r="AO295" s="72"/>
      <c r="AP295" s="72"/>
      <c r="AQ295" s="72"/>
      <c r="AR295" s="72"/>
      <c r="AS295" s="72"/>
      <c r="AT295" s="72"/>
      <c r="AU295" s="72"/>
      <c r="AV295" s="70"/>
      <c r="AW295" s="72"/>
      <c r="AX295" s="72"/>
    </row>
    <row r="296" spans="1:50" ht="15" customHeight="1">
      <c r="A296" s="92" t="s">
        <v>1612</v>
      </c>
      <c r="B296" s="90" t="s">
        <v>1499</v>
      </c>
      <c r="C296" s="69" t="s">
        <v>45</v>
      </c>
      <c r="D296" s="92" t="s">
        <v>175</v>
      </c>
      <c r="E296" s="92"/>
      <c r="F296" s="90">
        <v>4</v>
      </c>
      <c r="G296" s="92" t="s">
        <v>1421</v>
      </c>
      <c r="H296" s="92" t="s">
        <v>1613</v>
      </c>
      <c r="I296" s="92"/>
      <c r="J296" s="92"/>
      <c r="K296" s="72"/>
      <c r="L296" s="72"/>
      <c r="M296" s="72"/>
      <c r="N296" s="72"/>
      <c r="O296" s="92" t="s">
        <v>136</v>
      </c>
      <c r="P296" s="69">
        <v>1</v>
      </c>
      <c r="Q296" s="68">
        <f>MAX(0,$V296-$P296-$S296)</f>
        <v>0</v>
      </c>
      <c r="R296" s="92"/>
      <c r="S296" s="92"/>
      <c r="T296" s="92">
        <v>0.28999999999999998</v>
      </c>
      <c r="U296" s="92">
        <f>IF(AND($Q296&gt;0,ISNUMBER($T296)),$Q296*$T296,0)</f>
        <v>0</v>
      </c>
      <c r="V296" s="68">
        <f>SUM(W296:AB296)</f>
        <v>0</v>
      </c>
      <c r="W296" s="90"/>
      <c r="X296" s="90"/>
      <c r="Y296" s="90"/>
      <c r="Z296" s="90"/>
      <c r="AA296" s="90"/>
      <c r="AB296" s="90"/>
      <c r="AC296" s="90"/>
      <c r="AD296" s="75">
        <f>SUM(AE296:AJ296)</f>
        <v>0</v>
      </c>
      <c r="AE296" s="76"/>
      <c r="AF296" s="76"/>
      <c r="AG296" s="76"/>
      <c r="AH296" s="76"/>
      <c r="AI296" s="76"/>
      <c r="AJ296" s="76"/>
      <c r="AK296" s="76"/>
      <c r="AL296" s="77">
        <f>IF((P296-SUM(AE296:AK296))&lt;0,0,P296-SUM(AE296:AK296))</f>
        <v>1</v>
      </c>
      <c r="AM296" s="77">
        <f>SUM(AO296:AT296)</f>
        <v>0</v>
      </c>
      <c r="AN296" s="72"/>
      <c r="AO296" s="72"/>
      <c r="AP296" s="72"/>
      <c r="AQ296" s="72"/>
      <c r="AR296" s="72"/>
      <c r="AS296" s="72"/>
      <c r="AT296" s="72"/>
      <c r="AU296" s="72"/>
      <c r="AV296" s="92"/>
      <c r="AW296" s="72"/>
      <c r="AX296" s="72"/>
    </row>
    <row r="297" spans="1:50" ht="15" customHeight="1">
      <c r="A297" s="70" t="s">
        <v>1614</v>
      </c>
      <c r="B297" s="68" t="s">
        <v>1499</v>
      </c>
      <c r="C297" s="69" t="s">
        <v>45</v>
      </c>
      <c r="D297" s="70" t="s">
        <v>64</v>
      </c>
      <c r="E297" s="70" t="s">
        <v>722</v>
      </c>
      <c r="F297" s="68">
        <v>4</v>
      </c>
      <c r="G297" s="71" t="s">
        <v>285</v>
      </c>
      <c r="H297" s="71" t="s">
        <v>1615</v>
      </c>
      <c r="I297" s="71" t="s">
        <v>1616</v>
      </c>
      <c r="J297" s="71"/>
      <c r="K297" s="72"/>
      <c r="L297" s="72"/>
      <c r="M297" s="72"/>
      <c r="N297" s="72"/>
      <c r="O297" s="71" t="s">
        <v>53</v>
      </c>
      <c r="P297" s="69">
        <v>1</v>
      </c>
      <c r="Q297" s="68">
        <f>MAX(0,$V297-$P297-$S297)</f>
        <v>0</v>
      </c>
      <c r="R297" s="68"/>
      <c r="S297" s="68"/>
      <c r="T297" s="73">
        <v>0.15</v>
      </c>
      <c r="U297" s="73">
        <f>IF(AND($Q297&gt;0,ISNUMBER($T297)),$Q297*$T297,0)</f>
        <v>0</v>
      </c>
      <c r="V297" s="68">
        <f>SUM(W297:AB297)</f>
        <v>0</v>
      </c>
      <c r="W297" s="68"/>
      <c r="X297" s="68"/>
      <c r="Y297" s="68"/>
      <c r="Z297" s="68"/>
      <c r="AA297" s="68"/>
      <c r="AB297" s="68"/>
      <c r="AC297" s="68"/>
      <c r="AD297" s="75">
        <f>SUM(AE297:AJ297)</f>
        <v>0</v>
      </c>
      <c r="AE297" s="76"/>
      <c r="AF297" s="76"/>
      <c r="AG297" s="76"/>
      <c r="AH297" s="76"/>
      <c r="AI297" s="76"/>
      <c r="AJ297" s="76"/>
      <c r="AK297" s="76"/>
      <c r="AL297" s="77">
        <f>IF((P297-SUM(AE297:AK297))&lt;0,0,P297-SUM(AE297:AK297))</f>
        <v>1</v>
      </c>
      <c r="AM297" s="77">
        <f>SUM(AO297:AT297)</f>
        <v>0</v>
      </c>
      <c r="AN297" s="85"/>
      <c r="AO297" s="72"/>
      <c r="AP297" s="72"/>
      <c r="AQ297" s="72"/>
      <c r="AR297" s="72"/>
      <c r="AS297" s="85"/>
      <c r="AT297" s="72"/>
      <c r="AU297" s="85"/>
      <c r="AV297" s="70"/>
      <c r="AW297" s="72"/>
      <c r="AX297" s="72"/>
    </row>
    <row r="298" spans="1:50" ht="15" customHeight="1">
      <c r="A298" s="70" t="s">
        <v>475</v>
      </c>
      <c r="B298" s="68" t="s">
        <v>345</v>
      </c>
      <c r="C298" s="69" t="s">
        <v>45</v>
      </c>
      <c r="D298" s="70" t="s">
        <v>175</v>
      </c>
      <c r="E298" s="70"/>
      <c r="F298" s="68">
        <v>1</v>
      </c>
      <c r="G298" s="71" t="s">
        <v>477</v>
      </c>
      <c r="H298" s="71" t="s">
        <v>478</v>
      </c>
      <c r="I298" s="71" t="s">
        <v>479</v>
      </c>
      <c r="J298" s="71"/>
      <c r="K298" s="69"/>
      <c r="L298" s="69"/>
      <c r="M298" s="69"/>
      <c r="N298" s="69"/>
      <c r="O298" s="71" t="s">
        <v>476</v>
      </c>
      <c r="P298" s="69">
        <v>1</v>
      </c>
      <c r="Q298" s="68">
        <f>MAX(0,$V298-$P298-$S298)</f>
        <v>0</v>
      </c>
      <c r="R298" s="68"/>
      <c r="S298" s="68"/>
      <c r="T298" s="73">
        <v>4.1500000000000004</v>
      </c>
      <c r="U298" s="73">
        <f>IF(AND($Q298&gt;0,ISNUMBER($T298)),$Q298*$T298,0)</f>
        <v>0</v>
      </c>
      <c r="V298" s="68">
        <f>SUM(W298:AB298)</f>
        <v>1</v>
      </c>
      <c r="W298" s="68">
        <v>1</v>
      </c>
      <c r="X298" s="68"/>
      <c r="Y298" s="68"/>
      <c r="Z298" s="68"/>
      <c r="AA298" s="68"/>
      <c r="AB298" s="68"/>
      <c r="AC298" s="68"/>
      <c r="AD298" s="75">
        <f>SUM(AE298:AJ298)</f>
        <v>1</v>
      </c>
      <c r="AE298" s="76">
        <v>1</v>
      </c>
      <c r="AF298" s="76"/>
      <c r="AG298" s="76"/>
      <c r="AH298" s="76"/>
      <c r="AI298" s="76"/>
      <c r="AJ298" s="76"/>
      <c r="AK298" s="76"/>
      <c r="AL298" s="77">
        <f>IF((P298-SUM(AE298:AK298))&lt;0,0,P298-SUM(AE298:AK298))</f>
        <v>0</v>
      </c>
      <c r="AM298" s="77">
        <f>SUM(AO298:AT298)</f>
        <v>0</v>
      </c>
      <c r="AN298" s="72"/>
      <c r="AO298" s="72"/>
      <c r="AP298" s="72"/>
      <c r="AQ298" s="72"/>
      <c r="AR298" s="72"/>
      <c r="AS298" s="72"/>
      <c r="AT298" s="72"/>
      <c r="AU298" s="72"/>
      <c r="AV298" s="70"/>
      <c r="AW298" s="72"/>
      <c r="AX298" s="72"/>
    </row>
    <row r="299" spans="1:50" ht="15" customHeight="1">
      <c r="A299" s="98" t="s">
        <v>2469</v>
      </c>
      <c r="B299" s="100" t="s">
        <v>1831</v>
      </c>
      <c r="C299" s="101" t="s">
        <v>45</v>
      </c>
      <c r="D299" s="98" t="s">
        <v>64</v>
      </c>
      <c r="E299" s="98" t="s">
        <v>1849</v>
      </c>
      <c r="F299" s="100">
        <v>6</v>
      </c>
      <c r="G299" s="98" t="s">
        <v>285</v>
      </c>
      <c r="H299" s="98" t="s">
        <v>2470</v>
      </c>
      <c r="I299" s="98" t="s">
        <v>2471</v>
      </c>
      <c r="J299" s="98"/>
      <c r="K299" s="99"/>
      <c r="L299" s="99"/>
      <c r="M299" s="99"/>
      <c r="N299" s="99"/>
      <c r="O299" s="98" t="s">
        <v>112</v>
      </c>
      <c r="P299" s="101">
        <v>1</v>
      </c>
      <c r="Q299" s="68">
        <f>MAX(0,$V299-$P299-$S299)</f>
        <v>0</v>
      </c>
      <c r="R299" s="98"/>
      <c r="S299" s="98"/>
      <c r="T299" s="98">
        <v>0.11</v>
      </c>
      <c r="U299" s="98">
        <f>IF(AND($Q299&gt;0,ISNUMBER($T299)),$Q299*$T299,0)</f>
        <v>0</v>
      </c>
      <c r="V299" s="68">
        <f>SUM(W299:AB299)</f>
        <v>0</v>
      </c>
      <c r="W299" s="100"/>
      <c r="X299" s="100"/>
      <c r="Y299" s="100"/>
      <c r="Z299" s="100"/>
      <c r="AA299" s="100"/>
      <c r="AB299" s="100"/>
      <c r="AC299" s="68"/>
      <c r="AD299" s="75">
        <f>SUM(AE299:AJ299)</f>
        <v>0</v>
      </c>
      <c r="AE299" s="102"/>
      <c r="AF299" s="102"/>
      <c r="AG299" s="102"/>
      <c r="AH299" s="102"/>
      <c r="AI299" s="102"/>
      <c r="AJ299" s="102"/>
      <c r="AK299" s="102"/>
      <c r="AL299" s="77">
        <f>IF((P299-SUM(AE299:AK299))&lt;0,0,P299-SUM(AE299:AK299))</f>
        <v>1</v>
      </c>
      <c r="AM299" s="77">
        <f>SUM(AO299:AT299)</f>
        <v>0</v>
      </c>
      <c r="AN299" s="127"/>
      <c r="AO299" s="99"/>
      <c r="AP299" s="99"/>
      <c r="AQ299" s="99"/>
      <c r="AR299" s="127"/>
      <c r="AS299" s="99"/>
      <c r="AT299" s="99"/>
      <c r="AU299" s="127"/>
      <c r="AV299" s="98"/>
      <c r="AW299" s="99"/>
      <c r="AX299" s="99"/>
    </row>
    <row r="300" spans="1:50" ht="15" customHeight="1">
      <c r="A300" s="70" t="s">
        <v>725</v>
      </c>
      <c r="B300" s="68" t="s">
        <v>636</v>
      </c>
      <c r="C300" s="69" t="s">
        <v>45</v>
      </c>
      <c r="D300" s="70" t="s">
        <v>58</v>
      </c>
      <c r="E300" s="70" t="s">
        <v>726</v>
      </c>
      <c r="F300" s="68">
        <v>3</v>
      </c>
      <c r="G300" s="71" t="s">
        <v>438</v>
      </c>
      <c r="H300" s="71" t="s">
        <v>727</v>
      </c>
      <c r="I300" s="71" t="s">
        <v>728</v>
      </c>
      <c r="J300" s="71"/>
      <c r="K300" s="72"/>
      <c r="L300" s="72"/>
      <c r="M300" s="72"/>
      <c r="N300" s="72"/>
      <c r="O300" s="71" t="s">
        <v>48</v>
      </c>
      <c r="P300" s="69">
        <v>1</v>
      </c>
      <c r="Q300" s="68">
        <f>MAX(0,$V300-$P300-$S300)</f>
        <v>0</v>
      </c>
      <c r="R300" s="68"/>
      <c r="S300" s="68"/>
      <c r="T300" s="73">
        <v>0.13</v>
      </c>
      <c r="U300" s="73">
        <f>IF(AND($Q300&gt;0,ISNUMBER($T300)),$Q300*$T300,0)</f>
        <v>0</v>
      </c>
      <c r="V300" s="68">
        <f>SUM(W300:AB300)</f>
        <v>0</v>
      </c>
      <c r="W300" s="68"/>
      <c r="X300" s="68"/>
      <c r="Y300" s="68"/>
      <c r="Z300" s="68"/>
      <c r="AA300" s="68"/>
      <c r="AB300" s="68"/>
      <c r="AC300" s="68"/>
      <c r="AD300" s="75">
        <f>SUM(AE300:AJ300)</f>
        <v>0</v>
      </c>
      <c r="AE300" s="76"/>
      <c r="AF300" s="76"/>
      <c r="AG300" s="76"/>
      <c r="AH300" s="76"/>
      <c r="AI300" s="76"/>
      <c r="AJ300" s="76"/>
      <c r="AK300" s="76"/>
      <c r="AL300" s="77">
        <f>IF((P300-SUM(AE300:AK300))&lt;0,0,P300-SUM(AE300:AK300))</f>
        <v>1</v>
      </c>
      <c r="AM300" s="77">
        <f>SUM(AO300:AT300)</f>
        <v>0</v>
      </c>
      <c r="AN300" s="85"/>
      <c r="AO300" s="72"/>
      <c r="AP300" s="72"/>
      <c r="AQ300" s="72"/>
      <c r="AR300" s="72"/>
      <c r="AS300" s="72"/>
      <c r="AT300" s="72"/>
      <c r="AU300" s="72"/>
      <c r="AV300" s="70"/>
      <c r="AW300" s="72"/>
      <c r="AX300" s="72"/>
    </row>
    <row r="301" spans="1:50" ht="15" customHeight="1">
      <c r="A301" s="70" t="s">
        <v>991</v>
      </c>
      <c r="B301" s="68" t="s">
        <v>919</v>
      </c>
      <c r="C301" s="69" t="s">
        <v>45</v>
      </c>
      <c r="D301" s="70" t="s">
        <v>627</v>
      </c>
      <c r="E301" s="70"/>
      <c r="F301" s="68">
        <v>0</v>
      </c>
      <c r="G301" s="71" t="s">
        <v>627</v>
      </c>
      <c r="H301" s="71" t="s">
        <v>992</v>
      </c>
      <c r="I301" s="71" t="s">
        <v>993</v>
      </c>
      <c r="J301" s="71"/>
      <c r="K301" s="72"/>
      <c r="L301" s="72"/>
      <c r="M301" s="72"/>
      <c r="N301" s="72"/>
      <c r="O301" s="71" t="s">
        <v>259</v>
      </c>
      <c r="P301" s="69">
        <v>1</v>
      </c>
      <c r="Q301" s="68">
        <f>MAX(0,$V301-$P301-$S301)</f>
        <v>0</v>
      </c>
      <c r="R301" s="68" t="s">
        <v>57</v>
      </c>
      <c r="S301" s="68">
        <v>1</v>
      </c>
      <c r="T301" s="73">
        <v>0.32</v>
      </c>
      <c r="U301" s="73">
        <f>IF(AND($Q301&gt;0,ISNUMBER($T301)),$Q301*$T301,0)</f>
        <v>0</v>
      </c>
      <c r="V301" s="68">
        <f>SUM(W301:AB301)</f>
        <v>1</v>
      </c>
      <c r="W301" s="68"/>
      <c r="X301" s="68">
        <v>1</v>
      </c>
      <c r="Y301" s="68"/>
      <c r="Z301" s="68"/>
      <c r="AA301" s="68"/>
      <c r="AB301" s="68"/>
      <c r="AC301" s="68"/>
      <c r="AD301" s="75">
        <f>SUM(AE301:AJ301)</f>
        <v>1</v>
      </c>
      <c r="AE301" s="76"/>
      <c r="AF301" s="76">
        <v>1</v>
      </c>
      <c r="AG301" s="76"/>
      <c r="AH301" s="76"/>
      <c r="AI301" s="76"/>
      <c r="AJ301" s="76"/>
      <c r="AK301" s="76"/>
      <c r="AL301" s="77">
        <f>IF((P301-SUM(AE301:AK301))&lt;0,0,P301-SUM(AE301:AK301))</f>
        <v>0</v>
      </c>
      <c r="AM301" s="77">
        <f>SUM(AO301:AT301)</f>
        <v>0</v>
      </c>
      <c r="AN301" s="72"/>
      <c r="AO301" s="72"/>
      <c r="AP301" s="72"/>
      <c r="AQ301" s="72"/>
      <c r="AR301" s="72"/>
      <c r="AS301" s="72"/>
      <c r="AT301" s="72"/>
      <c r="AU301" s="72"/>
      <c r="AV301" s="70"/>
      <c r="AW301" s="72"/>
      <c r="AX301" s="72"/>
    </row>
    <row r="302" spans="1:50" ht="15" customHeight="1">
      <c r="A302" s="70" t="s">
        <v>1877</v>
      </c>
      <c r="B302" s="68" t="s">
        <v>1831</v>
      </c>
      <c r="C302" s="69" t="s">
        <v>45</v>
      </c>
      <c r="D302" s="70" t="s">
        <v>64</v>
      </c>
      <c r="E302" s="70" t="s">
        <v>1878</v>
      </c>
      <c r="F302" s="68">
        <v>2</v>
      </c>
      <c r="G302" s="71" t="s">
        <v>438</v>
      </c>
      <c r="H302" s="71" t="s">
        <v>1879</v>
      </c>
      <c r="I302" s="71"/>
      <c r="J302" s="71"/>
      <c r="K302" s="72"/>
      <c r="L302" s="72"/>
      <c r="M302" s="72"/>
      <c r="N302" s="72"/>
      <c r="O302" s="71" t="s">
        <v>48</v>
      </c>
      <c r="P302" s="69">
        <v>1</v>
      </c>
      <c r="Q302" s="68">
        <f>MAX(0,$V302-$P302-$S302)</f>
        <v>0</v>
      </c>
      <c r="R302" s="68"/>
      <c r="S302" s="68"/>
      <c r="T302" s="73">
        <v>0.23</v>
      </c>
      <c r="U302" s="73">
        <f>IF(AND($Q302&gt;0,ISNUMBER($T302)),$Q302*$T302,0)</f>
        <v>0</v>
      </c>
      <c r="V302" s="68">
        <f>SUM(W302:AB302)</f>
        <v>0</v>
      </c>
      <c r="W302" s="68"/>
      <c r="X302" s="68"/>
      <c r="Y302" s="68"/>
      <c r="Z302" s="68"/>
      <c r="AA302" s="68"/>
      <c r="AB302" s="68"/>
      <c r="AC302" s="68"/>
      <c r="AD302" s="75">
        <f>SUM(AE302:AJ302)</f>
        <v>0</v>
      </c>
      <c r="AE302" s="76"/>
      <c r="AF302" s="76"/>
      <c r="AG302" s="76"/>
      <c r="AH302" s="76"/>
      <c r="AI302" s="76"/>
      <c r="AJ302" s="76"/>
      <c r="AK302" s="76"/>
      <c r="AL302" s="77">
        <f>IF((P302-SUM(AE302:AK302))&lt;0,0,P302-SUM(AE302:AK302))</f>
        <v>1</v>
      </c>
      <c r="AM302" s="77">
        <f>SUM(AO302:AT302)</f>
        <v>0</v>
      </c>
      <c r="AN302" s="129"/>
      <c r="AO302" s="72"/>
      <c r="AP302" s="72"/>
      <c r="AQ302" s="72"/>
      <c r="AR302" s="72"/>
      <c r="AS302" s="129"/>
      <c r="AT302" s="72"/>
      <c r="AU302" s="129"/>
      <c r="AV302" s="70"/>
      <c r="AW302" s="72"/>
      <c r="AX302" s="72"/>
    </row>
    <row r="303" spans="1:50" ht="15" customHeight="1">
      <c r="A303" s="70" t="s">
        <v>1880</v>
      </c>
      <c r="B303" s="68" t="s">
        <v>1831</v>
      </c>
      <c r="C303" s="69" t="s">
        <v>45</v>
      </c>
      <c r="D303" s="70" t="s">
        <v>64</v>
      </c>
      <c r="E303" s="70" t="s">
        <v>1486</v>
      </c>
      <c r="F303" s="68">
        <v>3</v>
      </c>
      <c r="G303" s="71" t="s">
        <v>125</v>
      </c>
      <c r="H303" s="71" t="s">
        <v>1881</v>
      </c>
      <c r="I303" s="71" t="s">
        <v>1882</v>
      </c>
      <c r="J303" s="71"/>
      <c r="K303" s="72"/>
      <c r="L303" s="72"/>
      <c r="M303" s="72"/>
      <c r="N303" s="72"/>
      <c r="O303" s="71" t="s">
        <v>48</v>
      </c>
      <c r="P303" s="69">
        <v>1</v>
      </c>
      <c r="Q303" s="68">
        <f>MAX(0,$V303-$P303-$S303)</f>
        <v>0</v>
      </c>
      <c r="R303" s="68"/>
      <c r="S303" s="68"/>
      <c r="T303" s="73">
        <v>0.24</v>
      </c>
      <c r="U303" s="73">
        <f>IF(AND($Q303&gt;0,ISNUMBER($T303)),$Q303*$T303,0)</f>
        <v>0</v>
      </c>
      <c r="V303" s="68">
        <f>SUM(W303:AB303)</f>
        <v>0</v>
      </c>
      <c r="W303" s="68"/>
      <c r="X303" s="68"/>
      <c r="Y303" s="68"/>
      <c r="Z303" s="68"/>
      <c r="AA303" s="68"/>
      <c r="AB303" s="68"/>
      <c r="AC303" s="68"/>
      <c r="AD303" s="75">
        <f>SUM(AE303:AJ303)</f>
        <v>0</v>
      </c>
      <c r="AE303" s="76"/>
      <c r="AF303" s="76"/>
      <c r="AG303" s="76"/>
      <c r="AH303" s="76"/>
      <c r="AI303" s="76"/>
      <c r="AJ303" s="76"/>
      <c r="AK303" s="76"/>
      <c r="AL303" s="77">
        <f>IF((P303-SUM(AE303:AK303))&lt;0,0,P303-SUM(AE303:AK303))</f>
        <v>1</v>
      </c>
      <c r="AM303" s="77">
        <f>SUM(AO303:AT303)</f>
        <v>0</v>
      </c>
      <c r="AN303" s="72"/>
      <c r="AO303" s="72"/>
      <c r="AP303" s="72"/>
      <c r="AQ303" s="72"/>
      <c r="AR303" s="72"/>
      <c r="AS303" s="72"/>
      <c r="AT303" s="72"/>
      <c r="AU303" s="72"/>
      <c r="AV303" s="70"/>
      <c r="AW303" s="72"/>
      <c r="AX303" s="72"/>
    </row>
    <row r="304" spans="1:50" ht="15" customHeight="1">
      <c r="A304" s="98" t="s">
        <v>2472</v>
      </c>
      <c r="B304" s="100" t="s">
        <v>1971</v>
      </c>
      <c r="C304" s="101" t="s">
        <v>45</v>
      </c>
      <c r="D304" s="98" t="s">
        <v>64</v>
      </c>
      <c r="E304" s="98" t="s">
        <v>2473</v>
      </c>
      <c r="F304" s="100">
        <v>3</v>
      </c>
      <c r="G304" s="98" t="s">
        <v>125</v>
      </c>
      <c r="H304" s="98" t="s">
        <v>197</v>
      </c>
      <c r="I304" s="98" t="s">
        <v>2474</v>
      </c>
      <c r="J304" s="98"/>
      <c r="K304" s="99"/>
      <c r="L304" s="99">
        <v>1</v>
      </c>
      <c r="M304" s="99"/>
      <c r="N304" s="99"/>
      <c r="O304" s="98" t="s">
        <v>112</v>
      </c>
      <c r="P304" s="101">
        <v>1</v>
      </c>
      <c r="Q304" s="68">
        <f>MAX(0,$V304-$P304-$S304)</f>
        <v>0</v>
      </c>
      <c r="R304" s="98"/>
      <c r="S304" s="98"/>
      <c r="T304" s="98">
        <v>0.14000000000000001</v>
      </c>
      <c r="U304" s="98">
        <f>IF(AND($Q304&gt;0,ISNUMBER($T304)),$Q304*$T304,0)</f>
        <v>0</v>
      </c>
      <c r="V304" s="68">
        <f>SUM(W304:AB304)</f>
        <v>0</v>
      </c>
      <c r="W304" s="100"/>
      <c r="X304" s="100"/>
      <c r="Y304" s="100"/>
      <c r="Z304" s="100"/>
      <c r="AA304" s="100"/>
      <c r="AB304" s="100"/>
      <c r="AC304" s="68"/>
      <c r="AD304" s="75">
        <f>SUM(AE304:AJ304)</f>
        <v>0</v>
      </c>
      <c r="AE304" s="102"/>
      <c r="AF304" s="102"/>
      <c r="AG304" s="102"/>
      <c r="AH304" s="102"/>
      <c r="AI304" s="102"/>
      <c r="AJ304" s="102"/>
      <c r="AK304" s="102"/>
      <c r="AL304" s="77">
        <f>IF((P304-SUM(AE304:AK304))&lt;0,0,P304-SUM(AE304:AK304))</f>
        <v>1</v>
      </c>
      <c r="AM304" s="77">
        <f>SUM(AO304:AT304)</f>
        <v>0</v>
      </c>
      <c r="AN304" s="99"/>
      <c r="AO304" s="99"/>
      <c r="AP304" s="99"/>
      <c r="AQ304" s="99"/>
      <c r="AR304" s="99"/>
      <c r="AS304" s="99"/>
      <c r="AT304" s="99"/>
      <c r="AU304" s="99"/>
      <c r="AV304" s="98"/>
      <c r="AW304" s="99"/>
      <c r="AX304" s="99"/>
    </row>
    <row r="305" spans="1:50" ht="15" customHeight="1">
      <c r="A305" s="70" t="s">
        <v>994</v>
      </c>
      <c r="B305" s="68" t="s">
        <v>919</v>
      </c>
      <c r="C305" s="69" t="s">
        <v>45</v>
      </c>
      <c r="D305" s="70" t="s">
        <v>627</v>
      </c>
      <c r="E305" s="70" t="s">
        <v>995</v>
      </c>
      <c r="F305" s="68">
        <v>0</v>
      </c>
      <c r="G305" s="71" t="s">
        <v>627</v>
      </c>
      <c r="H305" s="71" t="s">
        <v>958</v>
      </c>
      <c r="I305" s="71" t="s">
        <v>926</v>
      </c>
      <c r="J305" s="71" t="s">
        <v>997</v>
      </c>
      <c r="K305" s="69"/>
      <c r="L305" s="69"/>
      <c r="M305" s="69"/>
      <c r="N305" s="69"/>
      <c r="O305" s="71" t="s">
        <v>996</v>
      </c>
      <c r="P305" s="69">
        <v>1</v>
      </c>
      <c r="Q305" s="68">
        <f>MAX(0,$V305-$P305-$S305)</f>
        <v>0</v>
      </c>
      <c r="R305" s="68"/>
      <c r="S305" s="68"/>
      <c r="T305" s="73">
        <v>0.26</v>
      </c>
      <c r="U305" s="73">
        <f>IF(AND($Q305&gt;0,ISNUMBER($T305)),$Q305*$T305,0)</f>
        <v>0</v>
      </c>
      <c r="V305" s="68">
        <f>SUM(W305:AB305)</f>
        <v>1</v>
      </c>
      <c r="W305" s="68">
        <v>1</v>
      </c>
      <c r="X305" s="68"/>
      <c r="Y305" s="68"/>
      <c r="Z305" s="68"/>
      <c r="AA305" s="68"/>
      <c r="AB305" s="68"/>
      <c r="AC305" s="68"/>
      <c r="AD305" s="75">
        <f>SUM(AE305:AJ305)</f>
        <v>1</v>
      </c>
      <c r="AE305" s="76">
        <v>1</v>
      </c>
      <c r="AF305" s="76"/>
      <c r="AG305" s="76"/>
      <c r="AH305" s="76"/>
      <c r="AI305" s="76"/>
      <c r="AJ305" s="76"/>
      <c r="AK305" s="76"/>
      <c r="AL305" s="77">
        <f>IF((P305-SUM(AE305:AK305))&lt;0,0,P305-SUM(AE305:AK305))</f>
        <v>0</v>
      </c>
      <c r="AM305" s="77">
        <f>SUM(AO305:AT305)</f>
        <v>0</v>
      </c>
      <c r="AN305" s="129"/>
      <c r="AO305" s="129"/>
      <c r="AP305" s="72"/>
      <c r="AQ305" s="72"/>
      <c r="AR305" s="72"/>
      <c r="AS305" s="72"/>
      <c r="AT305" s="72"/>
      <c r="AU305" s="129"/>
      <c r="AV305" s="70"/>
      <c r="AW305" s="72"/>
      <c r="AX305" s="72"/>
    </row>
    <row r="306" spans="1:50" ht="15" customHeight="1">
      <c r="A306" s="98" t="s">
        <v>2475</v>
      </c>
      <c r="B306" s="100" t="s">
        <v>1499</v>
      </c>
      <c r="C306" s="101" t="s">
        <v>45</v>
      </c>
      <c r="D306" s="98" t="s">
        <v>123</v>
      </c>
      <c r="E306" s="98" t="s">
        <v>1582</v>
      </c>
      <c r="F306" s="100">
        <v>4</v>
      </c>
      <c r="G306" s="98" t="s">
        <v>392</v>
      </c>
      <c r="H306" s="98" t="s">
        <v>2476</v>
      </c>
      <c r="I306" s="98" t="s">
        <v>2477</v>
      </c>
      <c r="J306" s="98"/>
      <c r="K306" s="99"/>
      <c r="L306" s="99"/>
      <c r="M306" s="99"/>
      <c r="N306" s="99"/>
      <c r="O306" s="98" t="s">
        <v>136</v>
      </c>
      <c r="P306" s="101">
        <v>1</v>
      </c>
      <c r="Q306" s="68">
        <f>MAX(0,$V306-$P306-$S306)</f>
        <v>0</v>
      </c>
      <c r="R306" s="98"/>
      <c r="S306" s="98"/>
      <c r="T306" s="98">
        <v>0.25</v>
      </c>
      <c r="U306" s="98">
        <f>IF(AND($Q306&gt;0,ISNUMBER($T306)),$Q306*$T306,0)</f>
        <v>0</v>
      </c>
      <c r="V306" s="68">
        <f>SUM(W306:AB306)</f>
        <v>0</v>
      </c>
      <c r="W306" s="100"/>
      <c r="X306" s="100"/>
      <c r="Y306" s="100"/>
      <c r="Z306" s="100"/>
      <c r="AA306" s="100"/>
      <c r="AB306" s="100"/>
      <c r="AC306" s="68"/>
      <c r="AD306" s="75">
        <f>SUM(AE306:AJ306)</f>
        <v>0</v>
      </c>
      <c r="AE306" s="102"/>
      <c r="AF306" s="102"/>
      <c r="AG306" s="102"/>
      <c r="AH306" s="102"/>
      <c r="AI306" s="102"/>
      <c r="AJ306" s="102"/>
      <c r="AK306" s="102"/>
      <c r="AL306" s="77">
        <f>IF((P306-SUM(AE306:AK306))&lt;0,0,P306-SUM(AE306:AK306))</f>
        <v>1</v>
      </c>
      <c r="AM306" s="77">
        <f>SUM(AO306:AT306)</f>
        <v>0</v>
      </c>
      <c r="AN306" s="99"/>
      <c r="AO306" s="99"/>
      <c r="AP306" s="99"/>
      <c r="AQ306" s="99"/>
      <c r="AR306" s="99"/>
      <c r="AS306" s="99"/>
      <c r="AT306" s="99"/>
      <c r="AU306" s="99"/>
      <c r="AV306" s="98"/>
      <c r="AW306" s="99"/>
      <c r="AX306" s="99"/>
    </row>
    <row r="307" spans="1:50" ht="15" customHeight="1">
      <c r="A307" s="70" t="s">
        <v>151</v>
      </c>
      <c r="B307" s="68" t="s">
        <v>46</v>
      </c>
      <c r="C307" s="69" t="s">
        <v>45</v>
      </c>
      <c r="D307" s="70" t="s">
        <v>64</v>
      </c>
      <c r="E307" s="70" t="s">
        <v>152</v>
      </c>
      <c r="F307" s="68">
        <v>5</v>
      </c>
      <c r="G307" s="71" t="s">
        <v>49</v>
      </c>
      <c r="H307" s="71" t="s">
        <v>153</v>
      </c>
      <c r="I307" s="71" t="s">
        <v>154</v>
      </c>
      <c r="J307" s="71"/>
      <c r="K307" s="72"/>
      <c r="L307" s="72"/>
      <c r="M307" s="72"/>
      <c r="N307" s="72"/>
      <c r="O307" s="71" t="s">
        <v>48</v>
      </c>
      <c r="P307" s="69">
        <v>1</v>
      </c>
      <c r="Q307" s="68">
        <f>MAX(0,$V307-$P307-$S307)</f>
        <v>0</v>
      </c>
      <c r="R307" s="68"/>
      <c r="S307" s="68"/>
      <c r="T307" s="73">
        <v>0.3</v>
      </c>
      <c r="U307" s="73">
        <f>IF(AND($Q307&gt;0,ISNUMBER($T307)),$Q307*$T307,0)</f>
        <v>0</v>
      </c>
      <c r="V307" s="68">
        <f>SUM(W307:AB307)</f>
        <v>0</v>
      </c>
      <c r="W307" s="68"/>
      <c r="X307" s="68"/>
      <c r="Y307" s="68"/>
      <c r="Z307" s="68"/>
      <c r="AA307" s="68"/>
      <c r="AB307" s="68"/>
      <c r="AC307" s="68"/>
      <c r="AD307" s="75">
        <f>SUM(AE307:AJ307)</f>
        <v>0</v>
      </c>
      <c r="AE307" s="76"/>
      <c r="AF307" s="76"/>
      <c r="AG307" s="76"/>
      <c r="AH307" s="76"/>
      <c r="AI307" s="76"/>
      <c r="AJ307" s="76"/>
      <c r="AK307" s="76"/>
      <c r="AL307" s="77">
        <f>IF((P307-SUM(AE307:AK307))&lt;0,0,P307-SUM(AE307:AK307))</f>
        <v>1</v>
      </c>
      <c r="AM307" s="77">
        <f>SUM(AO307:AT307)</f>
        <v>0</v>
      </c>
      <c r="AN307" s="72"/>
      <c r="AO307" s="72"/>
      <c r="AP307" s="72"/>
      <c r="AQ307" s="72"/>
      <c r="AR307" s="72"/>
      <c r="AS307" s="72"/>
      <c r="AT307" s="72"/>
      <c r="AU307" s="72"/>
      <c r="AV307" s="70"/>
      <c r="AW307" s="72"/>
      <c r="AX307" s="72"/>
    </row>
    <row r="308" spans="1:50" ht="15" customHeight="1">
      <c r="A308" s="70" t="s">
        <v>155</v>
      </c>
      <c r="B308" s="68" t="s">
        <v>46</v>
      </c>
      <c r="C308" s="69" t="s">
        <v>45</v>
      </c>
      <c r="D308" s="70" t="s">
        <v>72</v>
      </c>
      <c r="E308" s="70"/>
      <c r="F308" s="68">
        <v>2</v>
      </c>
      <c r="G308" s="71" t="s">
        <v>49</v>
      </c>
      <c r="H308" s="71" t="s">
        <v>157</v>
      </c>
      <c r="I308" s="71"/>
      <c r="J308" s="71"/>
      <c r="K308" s="72"/>
      <c r="L308" s="72"/>
      <c r="M308" s="72"/>
      <c r="N308" s="72"/>
      <c r="O308" s="71" t="s">
        <v>156</v>
      </c>
      <c r="P308" s="69">
        <v>1</v>
      </c>
      <c r="Q308" s="68">
        <f>MAX(0,$V308-$P308-$S308)</f>
        <v>0</v>
      </c>
      <c r="R308" s="68"/>
      <c r="S308" s="68"/>
      <c r="T308" s="73">
        <v>0.56999999999999995</v>
      </c>
      <c r="U308" s="73">
        <f>IF(AND($Q308&gt;0,ISNUMBER($T308)),$Q308*$T308,0)</f>
        <v>0</v>
      </c>
      <c r="V308" s="68">
        <f>SUM(W308:AB308)</f>
        <v>1</v>
      </c>
      <c r="W308" s="68"/>
      <c r="X308" s="68"/>
      <c r="Y308" s="68">
        <v>1</v>
      </c>
      <c r="Z308" s="68"/>
      <c r="AA308" s="68"/>
      <c r="AB308" s="68"/>
      <c r="AC308" s="68"/>
      <c r="AD308" s="75">
        <f>SUM(AE308:AJ308)</f>
        <v>1</v>
      </c>
      <c r="AE308" s="76"/>
      <c r="AF308" s="76"/>
      <c r="AG308" s="76">
        <v>1</v>
      </c>
      <c r="AH308" s="76"/>
      <c r="AI308" s="76"/>
      <c r="AJ308" s="76"/>
      <c r="AK308" s="76"/>
      <c r="AL308" s="77">
        <f>IF((P308-SUM(AE308:AK308))&lt;0,0,P308-SUM(AE308:AK308))</f>
        <v>0</v>
      </c>
      <c r="AM308" s="77">
        <f>SUM(AO308:AT308)</f>
        <v>0</v>
      </c>
      <c r="AN308" s="72"/>
      <c r="AO308" s="72"/>
      <c r="AP308" s="72"/>
      <c r="AQ308" s="72"/>
      <c r="AR308" s="72"/>
      <c r="AS308" s="72"/>
      <c r="AT308" s="72"/>
      <c r="AU308" s="72"/>
      <c r="AV308" s="70"/>
      <c r="AW308" s="72"/>
      <c r="AX308" s="72"/>
    </row>
    <row r="309" spans="1:50" ht="15" customHeight="1">
      <c r="A309" s="70" t="s">
        <v>1617</v>
      </c>
      <c r="B309" s="68" t="s">
        <v>1499</v>
      </c>
      <c r="C309" s="69" t="s">
        <v>45</v>
      </c>
      <c r="D309" s="70" t="s">
        <v>58</v>
      </c>
      <c r="E309" s="70"/>
      <c r="F309" s="68">
        <v>2</v>
      </c>
      <c r="G309" s="71" t="s">
        <v>98</v>
      </c>
      <c r="H309" s="71" t="s">
        <v>1618</v>
      </c>
      <c r="I309" s="71"/>
      <c r="J309" s="71"/>
      <c r="K309" s="72"/>
      <c r="L309" s="72"/>
      <c r="M309" s="72"/>
      <c r="N309" s="72"/>
      <c r="O309" s="71" t="s">
        <v>548</v>
      </c>
      <c r="P309" s="69">
        <v>1</v>
      </c>
      <c r="Q309" s="68">
        <f>MAX(0,$V309-$P309-$S309)</f>
        <v>0</v>
      </c>
      <c r="R309" s="68" t="s">
        <v>57</v>
      </c>
      <c r="S309" s="68">
        <v>1</v>
      </c>
      <c r="T309" s="73">
        <v>2.85</v>
      </c>
      <c r="U309" s="73">
        <f>IF(AND($Q309&gt;0,ISNUMBER($T309)),$Q309*$T309,0)</f>
        <v>0</v>
      </c>
      <c r="V309" s="68">
        <f>SUM(W309:AB309)</f>
        <v>1</v>
      </c>
      <c r="W309" s="68"/>
      <c r="X309" s="68"/>
      <c r="Y309" s="68"/>
      <c r="Z309" s="68"/>
      <c r="AA309" s="68"/>
      <c r="AB309" s="68">
        <v>1</v>
      </c>
      <c r="AC309" s="68"/>
      <c r="AD309" s="75">
        <f>SUM(AE309:AJ309)</f>
        <v>1</v>
      </c>
      <c r="AE309" s="76"/>
      <c r="AF309" s="76"/>
      <c r="AG309" s="76"/>
      <c r="AH309" s="76"/>
      <c r="AI309" s="76"/>
      <c r="AJ309" s="76">
        <v>1</v>
      </c>
      <c r="AK309" s="76"/>
      <c r="AL309" s="77">
        <f>IF((P309-SUM(AE309:AK309))&lt;0,0,P309-SUM(AE309:AK309))</f>
        <v>0</v>
      </c>
      <c r="AM309" s="77">
        <f>SUM(AO309:AT309)</f>
        <v>0</v>
      </c>
      <c r="AN309" s="129"/>
      <c r="AO309" s="72"/>
      <c r="AP309" s="72"/>
      <c r="AQ309" s="72"/>
      <c r="AR309" s="72"/>
      <c r="AS309" s="72"/>
      <c r="AT309" s="72"/>
      <c r="AU309" s="72"/>
      <c r="AV309" s="70"/>
      <c r="AW309" s="72"/>
      <c r="AX309" s="72"/>
    </row>
    <row r="310" spans="1:50" ht="15" customHeight="1">
      <c r="A310" s="86" t="s">
        <v>1621</v>
      </c>
      <c r="B310" s="68" t="s">
        <v>1499</v>
      </c>
      <c r="C310" s="69" t="s">
        <v>45</v>
      </c>
      <c r="D310" s="70" t="s">
        <v>47</v>
      </c>
      <c r="E310" s="70"/>
      <c r="F310" s="68">
        <v>3</v>
      </c>
      <c r="G310" s="71" t="s">
        <v>54</v>
      </c>
      <c r="H310" s="71" t="s">
        <v>1622</v>
      </c>
      <c r="I310" s="71"/>
      <c r="J310" s="71"/>
      <c r="K310" s="72"/>
      <c r="L310" s="72"/>
      <c r="M310" s="72"/>
      <c r="N310" s="72"/>
      <c r="O310" s="71" t="s">
        <v>53</v>
      </c>
      <c r="P310" s="69">
        <v>1</v>
      </c>
      <c r="Q310" s="68">
        <f>MAX(0,$V310-$P310-$S310)</f>
        <v>0</v>
      </c>
      <c r="R310" s="68"/>
      <c r="S310" s="68"/>
      <c r="T310" s="73">
        <v>0.11</v>
      </c>
      <c r="U310" s="73">
        <f>IF(AND($Q310&gt;0,ISNUMBER($T310)),$Q310*$T310,0)</f>
        <v>0</v>
      </c>
      <c r="V310" s="68">
        <f>SUM(W310:AB310)</f>
        <v>1</v>
      </c>
      <c r="W310" s="68"/>
      <c r="X310" s="68"/>
      <c r="Y310" s="68"/>
      <c r="Z310" s="68"/>
      <c r="AA310" s="68"/>
      <c r="AB310" s="87">
        <v>1</v>
      </c>
      <c r="AC310" s="68"/>
      <c r="AD310" s="75">
        <f>SUM(AE310:AJ310)</f>
        <v>1</v>
      </c>
      <c r="AE310" s="76"/>
      <c r="AF310" s="76"/>
      <c r="AG310" s="76"/>
      <c r="AH310" s="76"/>
      <c r="AI310" s="76"/>
      <c r="AJ310" s="76">
        <v>1</v>
      </c>
      <c r="AK310" s="76"/>
      <c r="AL310" s="77">
        <f>IF((P310-SUM(AE310:AK310))&lt;0,0,P310-SUM(AE310:AK310))</f>
        <v>0</v>
      </c>
      <c r="AM310" s="77">
        <f>SUM(AO310:AT310)</f>
        <v>0</v>
      </c>
      <c r="AN310" s="72"/>
      <c r="AO310" s="72"/>
      <c r="AP310" s="72"/>
      <c r="AQ310" s="72"/>
      <c r="AR310" s="72"/>
      <c r="AS310" s="72"/>
      <c r="AT310" s="72"/>
      <c r="AU310" s="72"/>
      <c r="AV310" s="70"/>
      <c r="AW310" s="72"/>
      <c r="AX310" s="72"/>
    </row>
    <row r="311" spans="1:50" ht="15" customHeight="1">
      <c r="A311" s="70" t="s">
        <v>1623</v>
      </c>
      <c r="B311" s="68" t="s">
        <v>1499</v>
      </c>
      <c r="C311" s="69" t="s">
        <v>45</v>
      </c>
      <c r="D311" s="70" t="s">
        <v>64</v>
      </c>
      <c r="E311" s="70" t="s">
        <v>1572</v>
      </c>
      <c r="F311" s="68">
        <v>2</v>
      </c>
      <c r="G311" s="71" t="s">
        <v>54</v>
      </c>
      <c r="H311" s="71" t="s">
        <v>1624</v>
      </c>
      <c r="I311" s="71"/>
      <c r="J311" s="71"/>
      <c r="K311" s="72"/>
      <c r="L311" s="72"/>
      <c r="M311" s="72"/>
      <c r="N311" s="72"/>
      <c r="O311" s="71" t="s">
        <v>1137</v>
      </c>
      <c r="P311" s="69">
        <v>1</v>
      </c>
      <c r="Q311" s="68">
        <f>MAX(0,$V311-$P311-$S311)</f>
        <v>0</v>
      </c>
      <c r="R311" s="68" t="s">
        <v>57</v>
      </c>
      <c r="S311" s="68">
        <v>1</v>
      </c>
      <c r="T311" s="73">
        <v>0.39</v>
      </c>
      <c r="U311" s="73">
        <f>IF(AND($Q311&gt;0,ISNUMBER($T311)),$Q311*$T311,0)</f>
        <v>0</v>
      </c>
      <c r="V311" s="68">
        <f>SUM(W311:AB311)</f>
        <v>1</v>
      </c>
      <c r="W311" s="68"/>
      <c r="X311" s="68"/>
      <c r="Y311" s="68"/>
      <c r="Z311" s="68"/>
      <c r="AA311" s="68"/>
      <c r="AB311" s="68">
        <v>1</v>
      </c>
      <c r="AC311" s="68"/>
      <c r="AD311" s="75">
        <f>SUM(AE311:AJ311)</f>
        <v>1</v>
      </c>
      <c r="AE311" s="76"/>
      <c r="AF311" s="76"/>
      <c r="AG311" s="76"/>
      <c r="AH311" s="76"/>
      <c r="AI311" s="76"/>
      <c r="AJ311" s="76">
        <v>1</v>
      </c>
      <c r="AK311" s="76"/>
      <c r="AL311" s="77">
        <f>IF((P311-SUM(AE311:AK311))&lt;0,0,P311-SUM(AE311:AK311))</f>
        <v>0</v>
      </c>
      <c r="AM311" s="77">
        <f>SUM(AO311:AT311)</f>
        <v>0</v>
      </c>
      <c r="AN311" s="129"/>
      <c r="AO311" s="72"/>
      <c r="AP311" s="72"/>
      <c r="AQ311" s="72"/>
      <c r="AR311" s="72"/>
      <c r="AS311" s="72"/>
      <c r="AT311" s="72"/>
      <c r="AU311" s="72"/>
      <c r="AV311" s="70"/>
      <c r="AW311" s="72"/>
      <c r="AX311" s="72"/>
    </row>
    <row r="312" spans="1:50" ht="15" customHeight="1">
      <c r="A312" s="70" t="s">
        <v>1627</v>
      </c>
      <c r="B312" s="68" t="s">
        <v>1499</v>
      </c>
      <c r="C312" s="69" t="s">
        <v>45</v>
      </c>
      <c r="D312" s="70" t="s">
        <v>64</v>
      </c>
      <c r="E312" s="70" t="s">
        <v>85</v>
      </c>
      <c r="F312" s="68">
        <v>3</v>
      </c>
      <c r="G312" s="71" t="s">
        <v>555</v>
      </c>
      <c r="H312" s="71" t="s">
        <v>1629</v>
      </c>
      <c r="I312" s="71"/>
      <c r="J312" s="71"/>
      <c r="K312" s="72"/>
      <c r="L312" s="72"/>
      <c r="M312" s="72"/>
      <c r="N312" s="72"/>
      <c r="O312" s="71" t="s">
        <v>1628</v>
      </c>
      <c r="P312" s="69">
        <v>1</v>
      </c>
      <c r="Q312" s="68">
        <f>MAX(0,$V312-$P312-$S312)</f>
        <v>0</v>
      </c>
      <c r="R312" s="68" t="s">
        <v>57</v>
      </c>
      <c r="S312" s="68">
        <v>1</v>
      </c>
      <c r="T312" s="73">
        <v>0.32</v>
      </c>
      <c r="U312" s="73">
        <f>IF(AND($Q312&gt;0,ISNUMBER($T312)),$Q312*$T312,0)</f>
        <v>0</v>
      </c>
      <c r="V312" s="68">
        <f>SUM(W312:AB312)</f>
        <v>1</v>
      </c>
      <c r="W312" s="68"/>
      <c r="X312" s="68"/>
      <c r="Y312" s="68"/>
      <c r="Z312" s="68"/>
      <c r="AA312" s="68"/>
      <c r="AB312" s="68">
        <v>1</v>
      </c>
      <c r="AC312" s="68"/>
      <c r="AD312" s="75">
        <f>SUM(AE312:AJ312)</f>
        <v>1</v>
      </c>
      <c r="AE312" s="76"/>
      <c r="AF312" s="76"/>
      <c r="AG312" s="76"/>
      <c r="AH312" s="76"/>
      <c r="AI312" s="76"/>
      <c r="AJ312" s="76">
        <v>1</v>
      </c>
      <c r="AK312" s="76"/>
      <c r="AL312" s="77">
        <f>IF((P312-SUM(AE312:AK312))&lt;0,0,P312-SUM(AE312:AK312))</f>
        <v>0</v>
      </c>
      <c r="AM312" s="77">
        <f>SUM(AO312:AT312)</f>
        <v>0</v>
      </c>
      <c r="AN312" s="72"/>
      <c r="AO312" s="72"/>
      <c r="AP312" s="72"/>
      <c r="AQ312" s="72"/>
      <c r="AR312" s="72"/>
      <c r="AS312" s="72"/>
      <c r="AT312" s="72"/>
      <c r="AU312" s="72"/>
      <c r="AV312" s="70"/>
      <c r="AW312" s="72"/>
      <c r="AX312" s="72"/>
    </row>
    <row r="313" spans="1:50" ht="15" customHeight="1">
      <c r="A313" s="67" t="s">
        <v>1641</v>
      </c>
      <c r="B313" s="68" t="s">
        <v>1499</v>
      </c>
      <c r="C313" s="69" t="s">
        <v>45</v>
      </c>
      <c r="D313" s="70" t="s">
        <v>47</v>
      </c>
      <c r="E313" s="70"/>
      <c r="F313" s="68">
        <v>5</v>
      </c>
      <c r="G313" s="71" t="s">
        <v>54</v>
      </c>
      <c r="H313" s="71" t="s">
        <v>1642</v>
      </c>
      <c r="I313" s="71"/>
      <c r="J313" s="71"/>
      <c r="K313" s="72"/>
      <c r="L313" s="72"/>
      <c r="M313" s="72"/>
      <c r="N313" s="72"/>
      <c r="O313" s="71" t="s">
        <v>402</v>
      </c>
      <c r="P313" s="69">
        <v>1</v>
      </c>
      <c r="Q313" s="68">
        <f>MAX(0,$V313-$P313-$S313)</f>
        <v>0</v>
      </c>
      <c r="R313" s="68"/>
      <c r="S313" s="68"/>
      <c r="T313" s="73">
        <v>0.36</v>
      </c>
      <c r="U313" s="73">
        <f>IF(AND($Q313&gt;0,ISNUMBER($T313)),$Q313*$T313,0)</f>
        <v>0</v>
      </c>
      <c r="V313" s="68">
        <f>SUM(W313:AB313)</f>
        <v>0</v>
      </c>
      <c r="W313" s="68"/>
      <c r="X313" s="68"/>
      <c r="Y313" s="68"/>
      <c r="Z313" s="68"/>
      <c r="AA313" s="68"/>
      <c r="AB313" s="74"/>
      <c r="AC313" s="68"/>
      <c r="AD313" s="75">
        <f>SUM(AE313:AJ313)</f>
        <v>1</v>
      </c>
      <c r="AE313" s="76"/>
      <c r="AF313" s="76"/>
      <c r="AG313" s="76"/>
      <c r="AH313" s="76"/>
      <c r="AI313" s="76"/>
      <c r="AJ313" s="76">
        <v>1</v>
      </c>
      <c r="AK313" s="76"/>
      <c r="AL313" s="77">
        <f>IF((P313-SUM(AE313:AK313))&lt;0,0,P313-SUM(AE313:AK313))</f>
        <v>0</v>
      </c>
      <c r="AM313" s="77">
        <f>SUM(AO313:AT313)</f>
        <v>1</v>
      </c>
      <c r="AN313" s="139" t="s">
        <v>105</v>
      </c>
      <c r="AO313" s="72"/>
      <c r="AP313" s="72"/>
      <c r="AQ313" s="129"/>
      <c r="AR313" s="72"/>
      <c r="AS313" s="72"/>
      <c r="AT313" s="93">
        <v>1</v>
      </c>
      <c r="AU313" s="125" t="s">
        <v>1643</v>
      </c>
      <c r="AV313" s="70"/>
      <c r="AW313" s="72"/>
      <c r="AX313" s="72"/>
    </row>
    <row r="314" spans="1:50" ht="15" customHeight="1">
      <c r="A314" s="70" t="s">
        <v>1647</v>
      </c>
      <c r="B314" s="68" t="s">
        <v>1499</v>
      </c>
      <c r="C314" s="69" t="s">
        <v>45</v>
      </c>
      <c r="D314" s="70" t="s">
        <v>64</v>
      </c>
      <c r="E314" s="70" t="s">
        <v>85</v>
      </c>
      <c r="F314" s="68">
        <v>4</v>
      </c>
      <c r="G314" s="71" t="s">
        <v>555</v>
      </c>
      <c r="H314" s="71" t="s">
        <v>1648</v>
      </c>
      <c r="I314" s="71" t="s">
        <v>1649</v>
      </c>
      <c r="J314" s="71"/>
      <c r="K314" s="72"/>
      <c r="L314" s="72"/>
      <c r="M314" s="72"/>
      <c r="N314" s="72"/>
      <c r="O314" s="71" t="s">
        <v>235</v>
      </c>
      <c r="P314" s="69">
        <v>1</v>
      </c>
      <c r="Q314" s="68">
        <f>MAX(0,$V314-$P314-$S314)</f>
        <v>0</v>
      </c>
      <c r="R314" s="68" t="s">
        <v>57</v>
      </c>
      <c r="S314" s="68">
        <v>1</v>
      </c>
      <c r="T314" s="73">
        <v>0.99</v>
      </c>
      <c r="U314" s="73">
        <f>IF(AND($Q314&gt;0,ISNUMBER($T314)),$Q314*$T314,0)</f>
        <v>0</v>
      </c>
      <c r="V314" s="68">
        <f>SUM(W314:AB314)</f>
        <v>1</v>
      </c>
      <c r="W314" s="68"/>
      <c r="X314" s="68"/>
      <c r="Y314" s="68"/>
      <c r="Z314" s="68"/>
      <c r="AA314" s="68"/>
      <c r="AB314" s="68">
        <v>1</v>
      </c>
      <c r="AC314" s="68"/>
      <c r="AD314" s="75">
        <f>SUM(AE314:AJ314)</f>
        <v>1</v>
      </c>
      <c r="AE314" s="76"/>
      <c r="AF314" s="76"/>
      <c r="AG314" s="76"/>
      <c r="AH314" s="76"/>
      <c r="AI314" s="76"/>
      <c r="AJ314" s="76">
        <v>1</v>
      </c>
      <c r="AK314" s="76"/>
      <c r="AL314" s="77">
        <f>IF((P314-SUM(AE314:AK314))&lt;0,0,P314-SUM(AE314:AK314))</f>
        <v>0</v>
      </c>
      <c r="AM314" s="77">
        <f>SUM(AO314:AT314)</f>
        <v>0</v>
      </c>
      <c r="AN314" s="129"/>
      <c r="AO314" s="72"/>
      <c r="AP314" s="72"/>
      <c r="AQ314" s="129"/>
      <c r="AR314" s="72"/>
      <c r="AS314" s="72"/>
      <c r="AT314" s="72"/>
      <c r="AU314" s="129"/>
      <c r="AV314" s="70"/>
      <c r="AW314" s="72"/>
      <c r="AX314" s="72"/>
    </row>
    <row r="315" spans="1:50" ht="15" customHeight="1">
      <c r="A315" s="70" t="s">
        <v>1652</v>
      </c>
      <c r="B315" s="68" t="s">
        <v>1499</v>
      </c>
      <c r="C315" s="69" t="s">
        <v>45</v>
      </c>
      <c r="D315" s="70" t="s">
        <v>64</v>
      </c>
      <c r="E315" s="70" t="s">
        <v>1531</v>
      </c>
      <c r="F315" s="68">
        <v>3</v>
      </c>
      <c r="G315" s="71" t="s">
        <v>902</v>
      </c>
      <c r="H315" s="71" t="s">
        <v>1653</v>
      </c>
      <c r="I315" s="71" t="s">
        <v>1654</v>
      </c>
      <c r="J315" s="71"/>
      <c r="K315" s="72"/>
      <c r="L315" s="72"/>
      <c r="M315" s="72"/>
      <c r="N315" s="72"/>
      <c r="O315" s="71" t="s">
        <v>711</v>
      </c>
      <c r="P315" s="69">
        <v>1</v>
      </c>
      <c r="Q315" s="68">
        <f>MAX(0,$V315-$P315-$S315)</f>
        <v>0</v>
      </c>
      <c r="R315" s="68" t="s">
        <v>57</v>
      </c>
      <c r="S315" s="68">
        <v>1</v>
      </c>
      <c r="T315" s="73">
        <v>1.1399999999999999</v>
      </c>
      <c r="U315" s="73">
        <f>IF(AND($Q315&gt;0,ISNUMBER($T315)),$Q315*$T315,0)</f>
        <v>0</v>
      </c>
      <c r="V315" s="68">
        <f>SUM(W315:AB315)</f>
        <v>1</v>
      </c>
      <c r="W315" s="68"/>
      <c r="X315" s="68"/>
      <c r="Y315" s="68"/>
      <c r="Z315" s="68"/>
      <c r="AA315" s="68"/>
      <c r="AB315" s="68">
        <v>1</v>
      </c>
      <c r="AC315" s="68"/>
      <c r="AD315" s="75">
        <f>SUM(AE315:AJ315)</f>
        <v>1</v>
      </c>
      <c r="AE315" s="76"/>
      <c r="AF315" s="76"/>
      <c r="AG315" s="76"/>
      <c r="AH315" s="76"/>
      <c r="AI315" s="76"/>
      <c r="AJ315" s="76">
        <v>1</v>
      </c>
      <c r="AK315" s="76"/>
      <c r="AL315" s="77">
        <f>IF((P315-SUM(AE315:AK315))&lt;0,0,P315-SUM(AE315:AK315))</f>
        <v>0</v>
      </c>
      <c r="AM315" s="77">
        <f>SUM(AO315:AT315)</f>
        <v>0</v>
      </c>
      <c r="AN315" s="72"/>
      <c r="AO315" s="72"/>
      <c r="AP315" s="72"/>
      <c r="AQ315" s="72"/>
      <c r="AR315" s="72"/>
      <c r="AS315" s="72"/>
      <c r="AT315" s="72"/>
      <c r="AU315" s="72"/>
      <c r="AV315" s="70"/>
      <c r="AW315" s="72"/>
      <c r="AX315" s="72"/>
    </row>
    <row r="316" spans="1:50" ht="15" customHeight="1">
      <c r="A316" s="92" t="s">
        <v>1001</v>
      </c>
      <c r="B316" s="90" t="s">
        <v>919</v>
      </c>
      <c r="C316" s="69" t="s">
        <v>45</v>
      </c>
      <c r="D316" s="70" t="s">
        <v>627</v>
      </c>
      <c r="E316" s="92"/>
      <c r="F316" s="90">
        <v>0</v>
      </c>
      <c r="G316" s="92" t="s">
        <v>627</v>
      </c>
      <c r="H316" s="92" t="s">
        <v>1002</v>
      </c>
      <c r="I316" s="92" t="s">
        <v>926</v>
      </c>
      <c r="J316" s="92" t="s">
        <v>1003</v>
      </c>
      <c r="K316" s="72"/>
      <c r="L316" s="72">
        <v>1</v>
      </c>
      <c r="M316" s="72"/>
      <c r="N316" s="72"/>
      <c r="O316" s="92" t="s">
        <v>136</v>
      </c>
      <c r="P316" s="69">
        <v>1</v>
      </c>
      <c r="Q316" s="68">
        <f>MAX(0,$V316-$P316-$S316)</f>
        <v>0</v>
      </c>
      <c r="R316" s="92"/>
      <c r="S316" s="92"/>
      <c r="T316" s="92">
        <v>0.14000000000000001</v>
      </c>
      <c r="U316" s="92">
        <f>IF(AND($Q316&gt;0,ISNUMBER($T316)),$Q316*$T316,0)</f>
        <v>0</v>
      </c>
      <c r="V316" s="68">
        <f>SUM(W316:AB316)</f>
        <v>0</v>
      </c>
      <c r="W316" s="68"/>
      <c r="X316" s="68"/>
      <c r="Y316" s="68"/>
      <c r="Z316" s="68"/>
      <c r="AA316" s="68"/>
      <c r="AB316" s="68"/>
      <c r="AC316" s="68"/>
      <c r="AD316" s="75">
        <f>SUM(AE316:AJ316)</f>
        <v>0</v>
      </c>
      <c r="AE316" s="76"/>
      <c r="AF316" s="76"/>
      <c r="AG316" s="76"/>
      <c r="AH316" s="76"/>
      <c r="AI316" s="76"/>
      <c r="AJ316" s="76"/>
      <c r="AK316" s="76"/>
      <c r="AL316" s="77">
        <f>IF((P316-SUM(AE316:AK316))&lt;0,0,P316-SUM(AE316:AK316))</f>
        <v>1</v>
      </c>
      <c r="AM316" s="77">
        <f>SUM(AO316:AT316)</f>
        <v>0</v>
      </c>
      <c r="AN316" s="72"/>
      <c r="AO316" s="72"/>
      <c r="AP316" s="72"/>
      <c r="AQ316" s="72"/>
      <c r="AR316" s="72"/>
      <c r="AS316" s="72"/>
      <c r="AT316" s="72"/>
      <c r="AU316" s="72"/>
      <c r="AV316" s="92"/>
      <c r="AW316" s="72"/>
      <c r="AX316" s="72"/>
    </row>
    <row r="317" spans="1:50" ht="15" customHeight="1">
      <c r="A317" s="70" t="s">
        <v>485</v>
      </c>
      <c r="B317" s="68" t="s">
        <v>345</v>
      </c>
      <c r="C317" s="69" t="s">
        <v>45</v>
      </c>
      <c r="D317" s="70" t="s">
        <v>175</v>
      </c>
      <c r="E317" s="70" t="s">
        <v>390</v>
      </c>
      <c r="F317" s="68">
        <v>2</v>
      </c>
      <c r="G317" s="71" t="s">
        <v>54</v>
      </c>
      <c r="H317" s="71" t="s">
        <v>394</v>
      </c>
      <c r="I317" s="71" t="s">
        <v>487</v>
      </c>
      <c r="J317" s="71"/>
      <c r="K317" s="72"/>
      <c r="L317" s="72">
        <v>1</v>
      </c>
      <c r="M317" s="72"/>
      <c r="N317" s="72"/>
      <c r="O317" s="71" t="s">
        <v>486</v>
      </c>
      <c r="P317" s="69">
        <v>1</v>
      </c>
      <c r="Q317" s="68">
        <f>MAX(0,$V317-$P317-$S317)</f>
        <v>0</v>
      </c>
      <c r="R317" s="68"/>
      <c r="S317" s="68"/>
      <c r="T317" s="73">
        <v>0.21</v>
      </c>
      <c r="U317" s="73">
        <f>IF(AND($Q317&gt;0,ISNUMBER($T317)),$Q317*$T317,0)</f>
        <v>0</v>
      </c>
      <c r="V317" s="68">
        <f>SUM(W317:AB317)</f>
        <v>0</v>
      </c>
      <c r="W317" s="68"/>
      <c r="X317" s="68"/>
      <c r="Y317" s="68"/>
      <c r="Z317" s="68"/>
      <c r="AA317" s="68"/>
      <c r="AB317" s="68"/>
      <c r="AC317" s="68"/>
      <c r="AD317" s="75">
        <f>SUM(AE317:AJ317)</f>
        <v>0</v>
      </c>
      <c r="AE317" s="76"/>
      <c r="AF317" s="76"/>
      <c r="AG317" s="76"/>
      <c r="AH317" s="76"/>
      <c r="AI317" s="76"/>
      <c r="AJ317" s="76"/>
      <c r="AK317" s="76"/>
      <c r="AL317" s="77">
        <f>IF((P317-SUM(AE317:AK317))&lt;0,0,P317-SUM(AE317:AK317))</f>
        <v>1</v>
      </c>
      <c r="AM317" s="77">
        <f>SUM(AO317:AT317)</f>
        <v>0</v>
      </c>
      <c r="AN317" s="129"/>
      <c r="AO317" s="72"/>
      <c r="AP317" s="72"/>
      <c r="AQ317" s="72"/>
      <c r="AR317" s="72"/>
      <c r="AS317" s="72"/>
      <c r="AT317" s="72"/>
      <c r="AU317" s="72"/>
      <c r="AV317" s="70"/>
      <c r="AW317" s="72"/>
      <c r="AX317" s="72"/>
    </row>
    <row r="318" spans="1:50" ht="15" customHeight="1">
      <c r="A318" s="86" t="s">
        <v>488</v>
      </c>
      <c r="B318" s="68" t="s">
        <v>345</v>
      </c>
      <c r="C318" s="69" t="s">
        <v>45</v>
      </c>
      <c r="D318" s="92" t="s">
        <v>175</v>
      </c>
      <c r="E318" s="92"/>
      <c r="F318" s="90">
        <v>2</v>
      </c>
      <c r="G318" s="92" t="s">
        <v>350</v>
      </c>
      <c r="H318" s="92" t="s">
        <v>490</v>
      </c>
      <c r="I318" s="92"/>
      <c r="J318" s="92"/>
      <c r="K318" s="72"/>
      <c r="L318" s="72"/>
      <c r="M318" s="72"/>
      <c r="N318" s="72"/>
      <c r="O318" s="92" t="s">
        <v>489</v>
      </c>
      <c r="P318" s="69">
        <v>1</v>
      </c>
      <c r="Q318" s="68">
        <f>MAX(0,$V318-$P318-$S318)</f>
        <v>0</v>
      </c>
      <c r="R318" s="92"/>
      <c r="S318" s="92"/>
      <c r="T318" s="92">
        <v>0.36</v>
      </c>
      <c r="U318" s="92">
        <f>IF(AND($Q318&gt;0,ISNUMBER($T318)),$Q318*$T318,0)</f>
        <v>0</v>
      </c>
      <c r="V318" s="68">
        <f>SUM(W318:AB318)</f>
        <v>1</v>
      </c>
      <c r="W318" s="90"/>
      <c r="X318" s="90"/>
      <c r="Y318" s="90"/>
      <c r="Z318" s="95">
        <v>1</v>
      </c>
      <c r="AA318" s="90"/>
      <c r="AB318" s="90"/>
      <c r="AC318" s="90"/>
      <c r="AD318" s="75">
        <f>SUM(AE318:AJ318)</f>
        <v>1</v>
      </c>
      <c r="AE318" s="76"/>
      <c r="AF318" s="76"/>
      <c r="AG318" s="76"/>
      <c r="AH318" s="76">
        <v>1</v>
      </c>
      <c r="AI318" s="76"/>
      <c r="AJ318" s="76"/>
      <c r="AK318" s="76"/>
      <c r="AL318" s="77">
        <f>IF((P318-SUM(AE318:AK318))&lt;0,0,P318-SUM(AE318:AK318))</f>
        <v>0</v>
      </c>
      <c r="AM318" s="77">
        <f>SUM(AO318:AT318)</f>
        <v>0</v>
      </c>
      <c r="AN318" s="72"/>
      <c r="AO318" s="72"/>
      <c r="AP318" s="72"/>
      <c r="AQ318" s="72"/>
      <c r="AR318" s="72"/>
      <c r="AS318" s="72"/>
      <c r="AT318" s="72"/>
      <c r="AU318" s="72"/>
      <c r="AV318" s="92"/>
      <c r="AW318" s="72"/>
      <c r="AX318" s="72"/>
    </row>
    <row r="319" spans="1:50" ht="15" customHeight="1">
      <c r="A319" s="70" t="s">
        <v>158</v>
      </c>
      <c r="B319" s="68" t="s">
        <v>46</v>
      </c>
      <c r="C319" s="69" t="s">
        <v>45</v>
      </c>
      <c r="D319" s="70" t="s">
        <v>123</v>
      </c>
      <c r="E319" s="70" t="s">
        <v>159</v>
      </c>
      <c r="F319" s="68">
        <v>2</v>
      </c>
      <c r="G319" s="71" t="s">
        <v>91</v>
      </c>
      <c r="H319" s="71" t="s">
        <v>160</v>
      </c>
      <c r="I319" s="71" t="s">
        <v>161</v>
      </c>
      <c r="J319" s="71"/>
      <c r="K319" s="72"/>
      <c r="L319" s="72"/>
      <c r="M319" s="72"/>
      <c r="N319" s="72"/>
      <c r="O319" s="71" t="s">
        <v>136</v>
      </c>
      <c r="P319" s="69">
        <v>1</v>
      </c>
      <c r="Q319" s="68">
        <f>MAX(0,$V319-$P319-$S319)</f>
        <v>0</v>
      </c>
      <c r="R319" s="68"/>
      <c r="S319" s="68"/>
      <c r="T319" s="73">
        <v>2.52</v>
      </c>
      <c r="U319" s="73">
        <f>IF(AND($Q319&gt;0,ISNUMBER($T319)),$Q319*$T319,0)</f>
        <v>0</v>
      </c>
      <c r="V319" s="68">
        <f>SUM(W319:AB319)</f>
        <v>0</v>
      </c>
      <c r="W319" s="68"/>
      <c r="X319" s="68"/>
      <c r="Y319" s="68"/>
      <c r="Z319" s="68"/>
      <c r="AA319" s="68"/>
      <c r="AB319" s="68"/>
      <c r="AC319" s="68"/>
      <c r="AD319" s="75">
        <f>SUM(AE319:AJ319)</f>
        <v>1</v>
      </c>
      <c r="AE319" s="76"/>
      <c r="AF319" s="76"/>
      <c r="AG319" s="76">
        <v>1</v>
      </c>
      <c r="AH319" s="76"/>
      <c r="AI319" s="76"/>
      <c r="AJ319" s="76"/>
      <c r="AK319" s="76"/>
      <c r="AL319" s="77">
        <f>IF((P319-SUM(AE319:AK319))&lt;0,0,P319-SUM(AE319:AK319))</f>
        <v>0</v>
      </c>
      <c r="AM319" s="77">
        <f>SUM(AO319:AT319)</f>
        <v>1</v>
      </c>
      <c r="AN319" s="140" t="s">
        <v>105</v>
      </c>
      <c r="AO319" s="72"/>
      <c r="AP319" s="72"/>
      <c r="AQ319" s="79">
        <v>1</v>
      </c>
      <c r="AR319" s="72"/>
      <c r="AS319" s="72"/>
      <c r="AT319" s="129"/>
      <c r="AU319" s="125" t="s">
        <v>162</v>
      </c>
      <c r="AV319" s="70"/>
      <c r="AW319" s="72"/>
      <c r="AX319" s="72"/>
    </row>
    <row r="320" spans="1:50" ht="15" customHeight="1">
      <c r="A320" s="67" t="s">
        <v>1883</v>
      </c>
      <c r="B320" s="68" t="s">
        <v>1831</v>
      </c>
      <c r="C320" s="69" t="s">
        <v>45</v>
      </c>
      <c r="D320" s="70" t="s">
        <v>123</v>
      </c>
      <c r="E320" s="70" t="s">
        <v>825</v>
      </c>
      <c r="F320" s="68">
        <v>1</v>
      </c>
      <c r="G320" s="71" t="s">
        <v>113</v>
      </c>
      <c r="H320" s="71" t="s">
        <v>1884</v>
      </c>
      <c r="I320" s="71" t="s">
        <v>1885</v>
      </c>
      <c r="J320" s="71"/>
      <c r="K320" s="69"/>
      <c r="L320" s="69"/>
      <c r="M320" s="69"/>
      <c r="N320" s="69"/>
      <c r="O320" s="71" t="s">
        <v>112</v>
      </c>
      <c r="P320" s="69">
        <v>1</v>
      </c>
      <c r="Q320" s="68">
        <f>MAX(0,$V320-$P320-$S320)</f>
        <v>0</v>
      </c>
      <c r="R320" s="68"/>
      <c r="S320" s="68"/>
      <c r="T320" s="73">
        <v>0.3</v>
      </c>
      <c r="U320" s="73">
        <f>IF(AND($Q320&gt;0,ISNUMBER($T320)),$Q320*$T320,0)</f>
        <v>0</v>
      </c>
      <c r="V320" s="68">
        <f>SUM(W320:AB320)</f>
        <v>0</v>
      </c>
      <c r="W320" s="68"/>
      <c r="X320" s="74"/>
      <c r="Y320" s="68"/>
      <c r="Z320" s="68"/>
      <c r="AA320" s="68"/>
      <c r="AB320" s="68"/>
      <c r="AC320" s="68"/>
      <c r="AD320" s="75">
        <f>SUM(AE320:AJ320)</f>
        <v>0</v>
      </c>
      <c r="AE320" s="76"/>
      <c r="AF320" s="76"/>
      <c r="AG320" s="76"/>
      <c r="AH320" s="76"/>
      <c r="AI320" s="76"/>
      <c r="AJ320" s="76"/>
      <c r="AK320" s="76"/>
      <c r="AL320" s="77">
        <f>IF((P320-SUM(AE320:AK320))&lt;0,0,P320-SUM(AE320:AK320))</f>
        <v>1</v>
      </c>
      <c r="AM320" s="77">
        <f>SUM(AO320:AT320)</f>
        <v>0</v>
      </c>
      <c r="AN320" s="72"/>
      <c r="AO320" s="72"/>
      <c r="AP320" s="72"/>
      <c r="AQ320" s="72"/>
      <c r="AR320" s="72"/>
      <c r="AS320" s="72"/>
      <c r="AT320" s="72"/>
      <c r="AU320" s="72"/>
      <c r="AV320" s="70"/>
      <c r="AW320" s="72"/>
      <c r="AX320" s="72"/>
    </row>
    <row r="321" spans="1:50" ht="15" customHeight="1">
      <c r="A321" s="70" t="s">
        <v>2108</v>
      </c>
      <c r="B321" s="68" t="s">
        <v>1971</v>
      </c>
      <c r="C321" s="69" t="s">
        <v>45</v>
      </c>
      <c r="D321" s="70" t="s">
        <v>64</v>
      </c>
      <c r="E321" s="70" t="s">
        <v>684</v>
      </c>
      <c r="F321" s="68">
        <v>2</v>
      </c>
      <c r="G321" s="71" t="s">
        <v>317</v>
      </c>
      <c r="H321" s="71" t="s">
        <v>2109</v>
      </c>
      <c r="I321" s="71" t="s">
        <v>166</v>
      </c>
      <c r="J321" s="71"/>
      <c r="K321" s="72"/>
      <c r="L321" s="72"/>
      <c r="M321" s="72"/>
      <c r="N321" s="72"/>
      <c r="O321" s="71" t="s">
        <v>90</v>
      </c>
      <c r="P321" s="69">
        <v>1</v>
      </c>
      <c r="Q321" s="68">
        <f>MAX(0,$V321-$P321-$S321)</f>
        <v>0</v>
      </c>
      <c r="R321" s="68" t="s">
        <v>57</v>
      </c>
      <c r="S321" s="68">
        <v>1</v>
      </c>
      <c r="T321" s="73">
        <v>0.19</v>
      </c>
      <c r="U321" s="73">
        <f>IF(AND($Q321&gt;0,ISNUMBER($T321)),$Q321*$T321,0)</f>
        <v>0</v>
      </c>
      <c r="V321" s="68">
        <f>SUM(W321:AB321)</f>
        <v>1</v>
      </c>
      <c r="W321" s="68"/>
      <c r="X321" s="68"/>
      <c r="Y321" s="68">
        <v>1</v>
      </c>
      <c r="Z321" s="68"/>
      <c r="AA321" s="68"/>
      <c r="AB321" s="68"/>
      <c r="AC321" s="68"/>
      <c r="AD321" s="75">
        <f>SUM(AE321:AJ321)</f>
        <v>1</v>
      </c>
      <c r="AE321" s="76"/>
      <c r="AF321" s="76"/>
      <c r="AG321" s="76">
        <v>1</v>
      </c>
      <c r="AH321" s="76"/>
      <c r="AI321" s="76"/>
      <c r="AJ321" s="76"/>
      <c r="AK321" s="76"/>
      <c r="AL321" s="77">
        <f>IF((P321-SUM(AE321:AK321))&lt;0,0,P321-SUM(AE321:AK321))</f>
        <v>0</v>
      </c>
      <c r="AM321" s="77">
        <f>SUM(AO321:AT321)</f>
        <v>0</v>
      </c>
      <c r="AN321" s="72"/>
      <c r="AO321" s="72"/>
      <c r="AP321" s="72"/>
      <c r="AQ321" s="72"/>
      <c r="AR321" s="72"/>
      <c r="AS321" s="72"/>
      <c r="AT321" s="72"/>
      <c r="AU321" s="72"/>
      <c r="AV321" s="70"/>
      <c r="AW321" s="72"/>
      <c r="AX321" s="72"/>
    </row>
    <row r="322" spans="1:50" ht="15" customHeight="1">
      <c r="A322" s="70" t="s">
        <v>729</v>
      </c>
      <c r="B322" s="68" t="s">
        <v>636</v>
      </c>
      <c r="C322" s="69" t="s">
        <v>45</v>
      </c>
      <c r="D322" s="70" t="s">
        <v>64</v>
      </c>
      <c r="E322" s="70" t="s">
        <v>730</v>
      </c>
      <c r="F322" s="68">
        <v>3</v>
      </c>
      <c r="G322" s="71" t="s">
        <v>433</v>
      </c>
      <c r="H322" s="71" t="s">
        <v>731</v>
      </c>
      <c r="I322" s="71"/>
      <c r="J322" s="71"/>
      <c r="K322" s="72"/>
      <c r="L322" s="72"/>
      <c r="M322" s="72"/>
      <c r="N322" s="72"/>
      <c r="O322" s="71" t="s">
        <v>303</v>
      </c>
      <c r="P322" s="69">
        <v>1</v>
      </c>
      <c r="Q322" s="68">
        <f>MAX(0,$V322-$P322-$S322)</f>
        <v>0</v>
      </c>
      <c r="R322" s="68"/>
      <c r="S322" s="68"/>
      <c r="T322" s="73">
        <v>0.1</v>
      </c>
      <c r="U322" s="73">
        <f>IF(AND($Q322&gt;0,ISNUMBER($T322)),$Q322*$T322,0)</f>
        <v>0</v>
      </c>
      <c r="V322" s="68">
        <f>SUM(W322:AB322)</f>
        <v>0</v>
      </c>
      <c r="W322" s="68"/>
      <c r="X322" s="68"/>
      <c r="Y322" s="68"/>
      <c r="Z322" s="68"/>
      <c r="AA322" s="68"/>
      <c r="AB322" s="68"/>
      <c r="AC322" s="68"/>
      <c r="AD322" s="75">
        <f>SUM(AE322:AJ322)</f>
        <v>0</v>
      </c>
      <c r="AE322" s="76"/>
      <c r="AF322" s="76"/>
      <c r="AG322" s="76"/>
      <c r="AH322" s="76"/>
      <c r="AI322" s="76"/>
      <c r="AJ322" s="76"/>
      <c r="AK322" s="76"/>
      <c r="AL322" s="77">
        <f>IF((P322-SUM(AE322:AK322))&lt;0,0,P322-SUM(AE322:AK322))</f>
        <v>1</v>
      </c>
      <c r="AM322" s="77">
        <f>SUM(AO322:AT322)</f>
        <v>0</v>
      </c>
      <c r="AN322" s="85"/>
      <c r="AO322" s="72"/>
      <c r="AP322" s="72"/>
      <c r="AQ322" s="72"/>
      <c r="AR322" s="72"/>
      <c r="AS322" s="72"/>
      <c r="AT322" s="72"/>
      <c r="AU322" s="72"/>
      <c r="AV322" s="70"/>
      <c r="AW322" s="72"/>
      <c r="AX322" s="72"/>
    </row>
    <row r="323" spans="1:50" ht="15" customHeight="1">
      <c r="A323" s="70" t="s">
        <v>1657</v>
      </c>
      <c r="B323" s="68" t="s">
        <v>1499</v>
      </c>
      <c r="C323" s="69" t="s">
        <v>45</v>
      </c>
      <c r="D323" s="70" t="s">
        <v>64</v>
      </c>
      <c r="E323" s="70" t="s">
        <v>1658</v>
      </c>
      <c r="F323" s="68">
        <v>2</v>
      </c>
      <c r="G323" s="71" t="s">
        <v>113</v>
      </c>
      <c r="H323" s="71" t="s">
        <v>1659</v>
      </c>
      <c r="I323" s="71"/>
      <c r="J323" s="71"/>
      <c r="K323" s="72"/>
      <c r="L323" s="72">
        <v>1</v>
      </c>
      <c r="M323" s="72"/>
      <c r="N323" s="72"/>
      <c r="O323" s="71" t="s">
        <v>48</v>
      </c>
      <c r="P323" s="69">
        <v>1</v>
      </c>
      <c r="Q323" s="68">
        <f>MAX(0,$V323-$P323-$S323)</f>
        <v>0</v>
      </c>
      <c r="R323" s="68"/>
      <c r="S323" s="68"/>
      <c r="T323" s="73">
        <v>0.28000000000000003</v>
      </c>
      <c r="U323" s="73">
        <f>IF(AND($Q323&gt;0,ISNUMBER($T323)),$Q323*$T323,0)</f>
        <v>0</v>
      </c>
      <c r="V323" s="68">
        <f>SUM(W323:AB323)</f>
        <v>0</v>
      </c>
      <c r="W323" s="68"/>
      <c r="X323" s="68"/>
      <c r="Y323" s="68"/>
      <c r="Z323" s="68"/>
      <c r="AA323" s="68"/>
      <c r="AB323" s="68"/>
      <c r="AC323" s="68"/>
      <c r="AD323" s="75">
        <f>SUM(AE323:AJ323)</f>
        <v>0</v>
      </c>
      <c r="AE323" s="76"/>
      <c r="AF323" s="76"/>
      <c r="AG323" s="76"/>
      <c r="AH323" s="76"/>
      <c r="AI323" s="76"/>
      <c r="AJ323" s="76"/>
      <c r="AK323" s="76"/>
      <c r="AL323" s="77">
        <f>IF((P323-SUM(AE323:AK323))&lt;0,0,P323-SUM(AE323:AK323))</f>
        <v>1</v>
      </c>
      <c r="AM323" s="77">
        <f>SUM(AO323:AT323)</f>
        <v>0</v>
      </c>
      <c r="AN323" s="72"/>
      <c r="AO323" s="72"/>
      <c r="AP323" s="72"/>
      <c r="AQ323" s="72"/>
      <c r="AR323" s="72"/>
      <c r="AS323" s="72"/>
      <c r="AT323" s="72"/>
      <c r="AU323" s="72"/>
      <c r="AV323" s="70"/>
      <c r="AW323" s="72"/>
      <c r="AX323" s="72"/>
    </row>
    <row r="324" spans="1:50" ht="15" customHeight="1">
      <c r="A324" s="70" t="s">
        <v>2110</v>
      </c>
      <c r="B324" s="68" t="s">
        <v>1971</v>
      </c>
      <c r="C324" s="69" t="s">
        <v>45</v>
      </c>
      <c r="D324" s="70" t="s">
        <v>64</v>
      </c>
      <c r="E324" s="70" t="s">
        <v>2111</v>
      </c>
      <c r="F324" s="68">
        <v>3</v>
      </c>
      <c r="G324" s="71" t="s">
        <v>499</v>
      </c>
      <c r="H324" s="71" t="s">
        <v>689</v>
      </c>
      <c r="I324" s="71" t="s">
        <v>2112</v>
      </c>
      <c r="J324" s="71"/>
      <c r="K324" s="72"/>
      <c r="L324" s="72"/>
      <c r="M324" s="72"/>
      <c r="N324" s="72"/>
      <c r="O324" s="71" t="s">
        <v>120</v>
      </c>
      <c r="P324" s="69">
        <v>1</v>
      </c>
      <c r="Q324" s="68">
        <f>MAX(0,$V324-$P324-$S324)</f>
        <v>0</v>
      </c>
      <c r="R324" s="68"/>
      <c r="S324" s="68"/>
      <c r="T324" s="73">
        <v>0.61</v>
      </c>
      <c r="U324" s="73">
        <f>IF(AND($Q324&gt;0,ISNUMBER($T324)),$Q324*$T324,0)</f>
        <v>0</v>
      </c>
      <c r="V324" s="68">
        <f>SUM(W324:AB324)</f>
        <v>1</v>
      </c>
      <c r="W324" s="68"/>
      <c r="X324" s="68"/>
      <c r="Y324" s="68"/>
      <c r="Z324" s="68">
        <v>1</v>
      </c>
      <c r="AA324" s="68"/>
      <c r="AB324" s="68"/>
      <c r="AC324" s="68"/>
      <c r="AD324" s="75">
        <f>SUM(AE324:AJ324)</f>
        <v>1</v>
      </c>
      <c r="AE324" s="76"/>
      <c r="AF324" s="76"/>
      <c r="AG324" s="76"/>
      <c r="AH324" s="76">
        <v>1</v>
      </c>
      <c r="AI324" s="76"/>
      <c r="AJ324" s="76"/>
      <c r="AK324" s="76"/>
      <c r="AL324" s="77">
        <f>IF((P324-SUM(AE324:AK324))&lt;0,0,P324-SUM(AE324:AK324))</f>
        <v>0</v>
      </c>
      <c r="AM324" s="77">
        <f>SUM(AO324:AT324)</f>
        <v>0</v>
      </c>
      <c r="AN324" s="85"/>
      <c r="AO324" s="72"/>
      <c r="AP324" s="72"/>
      <c r="AQ324" s="72"/>
      <c r="AR324" s="129"/>
      <c r="AS324" s="72"/>
      <c r="AT324" s="85"/>
      <c r="AU324" s="85"/>
      <c r="AV324" s="70"/>
      <c r="AW324" s="72"/>
      <c r="AX324" s="72"/>
    </row>
    <row r="325" spans="1:50" ht="15" customHeight="1">
      <c r="A325" s="70" t="s">
        <v>2113</v>
      </c>
      <c r="B325" s="68" t="s">
        <v>1971</v>
      </c>
      <c r="C325" s="69" t="s">
        <v>45</v>
      </c>
      <c r="D325" s="70" t="s">
        <v>64</v>
      </c>
      <c r="E325" s="70" t="s">
        <v>680</v>
      </c>
      <c r="F325" s="68">
        <v>5</v>
      </c>
      <c r="G325" s="71" t="s">
        <v>296</v>
      </c>
      <c r="H325" s="71" t="s">
        <v>2114</v>
      </c>
      <c r="I325" s="71" t="s">
        <v>2115</v>
      </c>
      <c r="J325" s="71"/>
      <c r="K325" s="72"/>
      <c r="L325" s="72"/>
      <c r="M325" s="72"/>
      <c r="N325" s="72"/>
      <c r="O325" s="71" t="s">
        <v>391</v>
      </c>
      <c r="P325" s="69">
        <v>1</v>
      </c>
      <c r="Q325" s="68">
        <f>MAX(0,$V325-$P325-$S325)</f>
        <v>0</v>
      </c>
      <c r="R325" s="68"/>
      <c r="S325" s="68"/>
      <c r="T325" s="73">
        <v>0.3</v>
      </c>
      <c r="U325" s="73">
        <f>IF(AND($Q325&gt;0,ISNUMBER($T325)),$Q325*$T325,0)</f>
        <v>0</v>
      </c>
      <c r="V325" s="68">
        <f>SUM(W325:AB325)</f>
        <v>1</v>
      </c>
      <c r="W325" s="68"/>
      <c r="X325" s="68"/>
      <c r="Y325" s="68">
        <v>1</v>
      </c>
      <c r="Z325" s="68"/>
      <c r="AA325" s="68"/>
      <c r="AB325" s="68"/>
      <c r="AC325" s="68"/>
      <c r="AD325" s="75">
        <f>SUM(AE325:AJ325)</f>
        <v>1</v>
      </c>
      <c r="AE325" s="76"/>
      <c r="AF325" s="76"/>
      <c r="AG325" s="76">
        <v>1</v>
      </c>
      <c r="AH325" s="76"/>
      <c r="AI325" s="76"/>
      <c r="AJ325" s="76"/>
      <c r="AK325" s="76"/>
      <c r="AL325" s="77">
        <f>IF((P325-SUM(AE325:AK325))&lt;0,0,P325-SUM(AE325:AK325))</f>
        <v>0</v>
      </c>
      <c r="AM325" s="77">
        <f>SUM(AO325:AT325)</f>
        <v>0</v>
      </c>
      <c r="AN325" s="72"/>
      <c r="AO325" s="72"/>
      <c r="AP325" s="72"/>
      <c r="AQ325" s="72"/>
      <c r="AR325" s="72"/>
      <c r="AS325" s="72"/>
      <c r="AT325" s="72"/>
      <c r="AU325" s="72"/>
      <c r="AV325" s="70"/>
      <c r="AW325" s="72"/>
      <c r="AX325" s="72"/>
    </row>
    <row r="326" spans="1:50" ht="15" customHeight="1">
      <c r="A326" s="70" t="s">
        <v>2116</v>
      </c>
      <c r="B326" s="68" t="s">
        <v>1971</v>
      </c>
      <c r="C326" s="69" t="s">
        <v>45</v>
      </c>
      <c r="D326" s="70" t="s">
        <v>175</v>
      </c>
      <c r="E326" s="70"/>
      <c r="F326" s="68">
        <v>2</v>
      </c>
      <c r="G326" s="71" t="s">
        <v>499</v>
      </c>
      <c r="H326" s="71" t="s">
        <v>2117</v>
      </c>
      <c r="I326" s="71"/>
      <c r="J326" s="71"/>
      <c r="K326" s="72"/>
      <c r="L326" s="72"/>
      <c r="M326" s="72"/>
      <c r="N326" s="72"/>
      <c r="O326" s="71" t="s">
        <v>101</v>
      </c>
      <c r="P326" s="69">
        <v>1</v>
      </c>
      <c r="Q326" s="68">
        <f>MAX(0,$V326-$P326-$S326)</f>
        <v>0</v>
      </c>
      <c r="R326" s="68"/>
      <c r="S326" s="68"/>
      <c r="T326" s="73">
        <v>0.33</v>
      </c>
      <c r="U326" s="73">
        <f>IF(AND($Q326&gt;0,ISNUMBER($T326)),$Q326*$T326,0)</f>
        <v>0</v>
      </c>
      <c r="V326" s="68">
        <f>SUM(W326:AB326)</f>
        <v>0</v>
      </c>
      <c r="W326" s="68"/>
      <c r="X326" s="68"/>
      <c r="Y326" s="68"/>
      <c r="Z326" s="68"/>
      <c r="AA326" s="68"/>
      <c r="AB326" s="68"/>
      <c r="AC326" s="68"/>
      <c r="AD326" s="75">
        <f>SUM(AE326:AJ326)</f>
        <v>0</v>
      </c>
      <c r="AE326" s="76"/>
      <c r="AF326" s="76"/>
      <c r="AG326" s="76"/>
      <c r="AH326" s="76"/>
      <c r="AI326" s="76"/>
      <c r="AJ326" s="76"/>
      <c r="AK326" s="76"/>
      <c r="AL326" s="77">
        <f>IF((P326-SUM(AE326:AK326))&lt;0,0,P326-SUM(AE326:AK326))</f>
        <v>1</v>
      </c>
      <c r="AM326" s="77">
        <f>SUM(AO326:AT326)</f>
        <v>0</v>
      </c>
      <c r="AN326" s="72"/>
      <c r="AO326" s="72"/>
      <c r="AP326" s="72"/>
      <c r="AQ326" s="72"/>
      <c r="AR326" s="72"/>
      <c r="AS326" s="72"/>
      <c r="AT326" s="72"/>
      <c r="AU326" s="72"/>
      <c r="AV326" s="70"/>
      <c r="AW326" s="72"/>
      <c r="AX326" s="72"/>
    </row>
    <row r="327" spans="1:50" ht="15" customHeight="1">
      <c r="A327" s="70" t="s">
        <v>174</v>
      </c>
      <c r="B327" s="68" t="s">
        <v>46</v>
      </c>
      <c r="C327" s="69" t="s">
        <v>45</v>
      </c>
      <c r="D327" s="70" t="s">
        <v>175</v>
      </c>
      <c r="E327" s="70"/>
      <c r="F327" s="68">
        <v>2</v>
      </c>
      <c r="G327" s="71" t="s">
        <v>176</v>
      </c>
      <c r="H327" s="71" t="s">
        <v>177</v>
      </c>
      <c r="I327" s="71" t="s">
        <v>178</v>
      </c>
      <c r="J327" s="71"/>
      <c r="K327" s="72"/>
      <c r="L327" s="72"/>
      <c r="M327" s="72"/>
      <c r="N327" s="72"/>
      <c r="O327" s="71" t="s">
        <v>101</v>
      </c>
      <c r="P327" s="69">
        <v>1</v>
      </c>
      <c r="Q327" s="68">
        <f>MAX(0,$V327-$P327-$S327)</f>
        <v>0</v>
      </c>
      <c r="R327" s="68"/>
      <c r="S327" s="68"/>
      <c r="T327" s="73">
        <v>0.18</v>
      </c>
      <c r="U327" s="73">
        <f>IF(AND($Q327&gt;0,ISNUMBER($T327)),$Q327*$T327,0)</f>
        <v>0</v>
      </c>
      <c r="V327" s="68">
        <f>SUM(W327:AB327)</f>
        <v>0</v>
      </c>
      <c r="W327" s="68"/>
      <c r="X327" s="68"/>
      <c r="Y327" s="68"/>
      <c r="Z327" s="68"/>
      <c r="AA327" s="68"/>
      <c r="AB327" s="68"/>
      <c r="AC327" s="68"/>
      <c r="AD327" s="75">
        <f>SUM(AE327:AJ327)</f>
        <v>0</v>
      </c>
      <c r="AE327" s="76"/>
      <c r="AF327" s="76"/>
      <c r="AG327" s="76"/>
      <c r="AH327" s="76"/>
      <c r="AI327" s="76"/>
      <c r="AJ327" s="76"/>
      <c r="AK327" s="76"/>
      <c r="AL327" s="77">
        <f>IF((P327-SUM(AE327:AK327))&lt;0,0,P327-SUM(AE327:AK327))</f>
        <v>1</v>
      </c>
      <c r="AM327" s="77">
        <f>SUM(AO327:AT327)</f>
        <v>0</v>
      </c>
      <c r="AN327" s="72"/>
      <c r="AO327" s="72"/>
      <c r="AP327" s="72"/>
      <c r="AQ327" s="72"/>
      <c r="AR327" s="72"/>
      <c r="AS327" s="72"/>
      <c r="AT327" s="72"/>
      <c r="AU327" s="72"/>
      <c r="AV327" s="70"/>
      <c r="AW327" s="72"/>
      <c r="AX327" s="72"/>
    </row>
    <row r="328" spans="1:50" ht="15" customHeight="1">
      <c r="A328" s="70" t="s">
        <v>1281</v>
      </c>
      <c r="B328" s="68" t="s">
        <v>1114</v>
      </c>
      <c r="C328" s="69" t="s">
        <v>45</v>
      </c>
      <c r="D328" s="70" t="s">
        <v>58</v>
      </c>
      <c r="E328" s="70"/>
      <c r="F328" s="68">
        <v>2</v>
      </c>
      <c r="G328" s="71" t="s">
        <v>54</v>
      </c>
      <c r="H328" s="71" t="s">
        <v>1283</v>
      </c>
      <c r="I328" s="71" t="s">
        <v>1284</v>
      </c>
      <c r="J328" s="71"/>
      <c r="K328" s="72"/>
      <c r="L328" s="72"/>
      <c r="M328" s="72"/>
      <c r="N328" s="72"/>
      <c r="O328" s="71" t="s">
        <v>1282</v>
      </c>
      <c r="P328" s="69">
        <v>1</v>
      </c>
      <c r="Q328" s="68">
        <f>MAX(0,$V328-$P328-$S328)</f>
        <v>0</v>
      </c>
      <c r="R328" s="68" t="s">
        <v>57</v>
      </c>
      <c r="S328" s="68">
        <v>1</v>
      </c>
      <c r="T328" s="73">
        <v>0.32</v>
      </c>
      <c r="U328" s="73">
        <f>IF(AND($Q328&gt;0,ISNUMBER($T328)),$Q328*$T328,0)</f>
        <v>0</v>
      </c>
      <c r="V328" s="68">
        <f>SUM(W328:AB328)</f>
        <v>1</v>
      </c>
      <c r="W328" s="68"/>
      <c r="X328" s="68"/>
      <c r="Y328" s="68"/>
      <c r="Z328" s="68"/>
      <c r="AA328" s="68">
        <v>1</v>
      </c>
      <c r="AB328" s="68"/>
      <c r="AC328" s="68"/>
      <c r="AD328" s="75">
        <f>SUM(AE328:AJ328)</f>
        <v>1</v>
      </c>
      <c r="AE328" s="76"/>
      <c r="AF328" s="76"/>
      <c r="AG328" s="76"/>
      <c r="AH328" s="76"/>
      <c r="AI328" s="76">
        <v>1</v>
      </c>
      <c r="AJ328" s="76"/>
      <c r="AK328" s="76"/>
      <c r="AL328" s="77">
        <f>IF((P328-SUM(AE328:AK328))&lt;0,0,P328-SUM(AE328:AK328))</f>
        <v>0</v>
      </c>
      <c r="AM328" s="77">
        <f>SUM(AO328:AT328)</f>
        <v>0</v>
      </c>
      <c r="AN328" s="72"/>
      <c r="AO328" s="72"/>
      <c r="AP328" s="72"/>
      <c r="AQ328" s="72"/>
      <c r="AR328" s="72"/>
      <c r="AS328" s="72"/>
      <c r="AT328" s="72"/>
      <c r="AU328" s="72"/>
      <c r="AV328" s="70"/>
      <c r="AW328" s="72"/>
      <c r="AX328" s="72"/>
    </row>
    <row r="329" spans="1:50" ht="15" customHeight="1">
      <c r="A329" s="70" t="s">
        <v>1009</v>
      </c>
      <c r="B329" s="68" t="s">
        <v>919</v>
      </c>
      <c r="C329" s="69" t="s">
        <v>45</v>
      </c>
      <c r="D329" s="70" t="s">
        <v>627</v>
      </c>
      <c r="E329" s="70"/>
      <c r="F329" s="68">
        <v>0</v>
      </c>
      <c r="G329" s="71" t="s">
        <v>627</v>
      </c>
      <c r="H329" s="71" t="s">
        <v>1010</v>
      </c>
      <c r="I329" s="71" t="s">
        <v>1011</v>
      </c>
      <c r="J329" s="71"/>
      <c r="K329" s="69"/>
      <c r="L329" s="69"/>
      <c r="M329" s="69"/>
      <c r="N329" s="69"/>
      <c r="O329" s="71" t="s">
        <v>869</v>
      </c>
      <c r="P329" s="69">
        <v>1</v>
      </c>
      <c r="Q329" s="68">
        <f>MAX(0,$V329-$P329-$S329)</f>
        <v>0</v>
      </c>
      <c r="R329" s="68"/>
      <c r="S329" s="68"/>
      <c r="T329" s="73">
        <v>0.3</v>
      </c>
      <c r="U329" s="73">
        <f>IF(AND($Q329&gt;0,ISNUMBER($T329)),$Q329*$T329,0)</f>
        <v>0</v>
      </c>
      <c r="V329" s="68">
        <f>SUM(W329:AB329)</f>
        <v>1</v>
      </c>
      <c r="W329" s="68"/>
      <c r="X329" s="68">
        <v>1</v>
      </c>
      <c r="Y329" s="68"/>
      <c r="Z329" s="68"/>
      <c r="AA329" s="68"/>
      <c r="AB329" s="68"/>
      <c r="AC329" s="68"/>
      <c r="AD329" s="75">
        <f>SUM(AE329:AJ329)</f>
        <v>1</v>
      </c>
      <c r="AE329" s="76"/>
      <c r="AF329" s="76">
        <v>1</v>
      </c>
      <c r="AG329" s="76"/>
      <c r="AH329" s="76"/>
      <c r="AI329" s="76"/>
      <c r="AJ329" s="76"/>
      <c r="AK329" s="76"/>
      <c r="AL329" s="77">
        <f>IF((P329-SUM(AE329:AK329))&lt;0,0,P329-SUM(AE329:AK329))</f>
        <v>0</v>
      </c>
      <c r="AM329" s="77">
        <f>SUM(AO329:AT329)</f>
        <v>0</v>
      </c>
      <c r="AN329" s="72"/>
      <c r="AO329" s="72"/>
      <c r="AP329" s="72"/>
      <c r="AQ329" s="72"/>
      <c r="AR329" s="72"/>
      <c r="AS329" s="72"/>
      <c r="AT329" s="72"/>
      <c r="AU329" s="72"/>
      <c r="AV329" s="70"/>
      <c r="AW329" s="72"/>
      <c r="AX329" s="72"/>
    </row>
    <row r="330" spans="1:50" ht="15" customHeight="1">
      <c r="A330" s="70" t="s">
        <v>1285</v>
      </c>
      <c r="B330" s="68" t="s">
        <v>1114</v>
      </c>
      <c r="C330" s="69" t="s">
        <v>45</v>
      </c>
      <c r="D330" s="70" t="s">
        <v>123</v>
      </c>
      <c r="E330" s="70" t="s">
        <v>1286</v>
      </c>
      <c r="F330" s="68">
        <v>5</v>
      </c>
      <c r="G330" s="71" t="s">
        <v>530</v>
      </c>
      <c r="H330" s="71" t="s">
        <v>1287</v>
      </c>
      <c r="I330" s="71" t="s">
        <v>1288</v>
      </c>
      <c r="J330" s="71"/>
      <c r="K330" s="69"/>
      <c r="L330" s="69"/>
      <c r="M330" s="69"/>
      <c r="N330" s="69"/>
      <c r="O330" s="71" t="s">
        <v>576</v>
      </c>
      <c r="P330" s="69">
        <v>1</v>
      </c>
      <c r="Q330" s="68">
        <f>MAX(0,$V330-$P330-$S330)</f>
        <v>0</v>
      </c>
      <c r="R330" s="68"/>
      <c r="S330" s="68"/>
      <c r="T330" s="73">
        <v>0.27</v>
      </c>
      <c r="U330" s="73">
        <f>IF(AND($Q330&gt;0,ISNUMBER($T330)),$Q330*$T330,0)</f>
        <v>0</v>
      </c>
      <c r="V330" s="68">
        <f>SUM(W330:AB330)</f>
        <v>1</v>
      </c>
      <c r="W330" s="68">
        <v>1</v>
      </c>
      <c r="X330" s="68"/>
      <c r="Y330" s="68"/>
      <c r="Z330" s="68"/>
      <c r="AA330" s="68"/>
      <c r="AB330" s="68"/>
      <c r="AC330" s="68"/>
      <c r="AD330" s="75">
        <f>SUM(AE330:AJ330)</f>
        <v>1</v>
      </c>
      <c r="AE330" s="76">
        <v>1</v>
      </c>
      <c r="AF330" s="76"/>
      <c r="AG330" s="76"/>
      <c r="AH330" s="76"/>
      <c r="AI330" s="76"/>
      <c r="AJ330" s="76"/>
      <c r="AK330" s="76"/>
      <c r="AL330" s="77">
        <f>IF((P330-SUM(AE330:AK330))&lt;0,0,P330-SUM(AE330:AK330))</f>
        <v>0</v>
      </c>
      <c r="AM330" s="77">
        <f>SUM(AO330:AT330)</f>
        <v>0</v>
      </c>
      <c r="AN330" s="72"/>
      <c r="AO330" s="72"/>
      <c r="AP330" s="72"/>
      <c r="AQ330" s="72"/>
      <c r="AR330" s="72"/>
      <c r="AS330" s="72"/>
      <c r="AT330" s="72"/>
      <c r="AU330" s="72"/>
      <c r="AV330" s="70"/>
      <c r="AW330" s="72"/>
      <c r="AX330" s="72"/>
    </row>
    <row r="331" spans="1:50" ht="15" customHeight="1">
      <c r="A331" s="86" t="s">
        <v>1668</v>
      </c>
      <c r="B331" s="68" t="s">
        <v>1499</v>
      </c>
      <c r="C331" s="69" t="s">
        <v>45</v>
      </c>
      <c r="D331" s="70" t="s">
        <v>47</v>
      </c>
      <c r="E331" s="70"/>
      <c r="F331" s="68">
        <v>3</v>
      </c>
      <c r="G331" s="71" t="s">
        <v>54</v>
      </c>
      <c r="H331" s="71" t="s">
        <v>1669</v>
      </c>
      <c r="I331" s="71"/>
      <c r="J331" s="71"/>
      <c r="K331" s="72"/>
      <c r="L331" s="72"/>
      <c r="M331" s="72"/>
      <c r="N331" s="72"/>
      <c r="O331" s="71" t="s">
        <v>740</v>
      </c>
      <c r="P331" s="69">
        <v>1</v>
      </c>
      <c r="Q331" s="68">
        <f>MAX(0,$V331-$P331-$S331)</f>
        <v>0</v>
      </c>
      <c r="R331" s="68" t="s">
        <v>57</v>
      </c>
      <c r="S331" s="68">
        <v>1</v>
      </c>
      <c r="T331" s="73">
        <v>0.45</v>
      </c>
      <c r="U331" s="73">
        <f>IF(AND($Q331&gt;0,ISNUMBER($T331)),$Q331*$T331,0)</f>
        <v>0</v>
      </c>
      <c r="V331" s="68">
        <f>SUM(W331:AB331)</f>
        <v>1</v>
      </c>
      <c r="W331" s="68"/>
      <c r="X331" s="68"/>
      <c r="Y331" s="68"/>
      <c r="Z331" s="68"/>
      <c r="AA331" s="68"/>
      <c r="AB331" s="87">
        <v>1</v>
      </c>
      <c r="AC331" s="68"/>
      <c r="AD331" s="75">
        <f>SUM(AE331:AJ331)</f>
        <v>1</v>
      </c>
      <c r="AE331" s="76"/>
      <c r="AF331" s="76"/>
      <c r="AG331" s="76"/>
      <c r="AH331" s="76"/>
      <c r="AI331" s="76"/>
      <c r="AJ331" s="76">
        <v>1</v>
      </c>
      <c r="AK331" s="76"/>
      <c r="AL331" s="77">
        <f>IF((P331-SUM(AE331:AK331))&lt;0,0,P331-SUM(AE331:AK331))</f>
        <v>0</v>
      </c>
      <c r="AM331" s="77">
        <f>SUM(AO331:AT331)</f>
        <v>0</v>
      </c>
      <c r="AN331" s="72"/>
      <c r="AO331" s="72"/>
      <c r="AP331" s="72"/>
      <c r="AQ331" s="72"/>
      <c r="AR331" s="72"/>
      <c r="AS331" s="72"/>
      <c r="AT331" s="72"/>
      <c r="AU331" s="72"/>
      <c r="AV331" s="70"/>
      <c r="AW331" s="72"/>
      <c r="AX331" s="72"/>
    </row>
    <row r="332" spans="1:50" ht="15" customHeight="1">
      <c r="A332" s="70" t="s">
        <v>1289</v>
      </c>
      <c r="B332" s="68" t="s">
        <v>1114</v>
      </c>
      <c r="C332" s="69" t="s">
        <v>45</v>
      </c>
      <c r="D332" s="70" t="s">
        <v>314</v>
      </c>
      <c r="E332" s="70" t="s">
        <v>1290</v>
      </c>
      <c r="F332" s="68">
        <v>3</v>
      </c>
      <c r="G332" s="71" t="s">
        <v>264</v>
      </c>
      <c r="H332" s="71" t="s">
        <v>1269</v>
      </c>
      <c r="I332" s="71" t="s">
        <v>1291</v>
      </c>
      <c r="J332" s="71"/>
      <c r="K332" s="72"/>
      <c r="L332" s="72"/>
      <c r="M332" s="72"/>
      <c r="N332" s="72"/>
      <c r="O332" s="71" t="s">
        <v>90</v>
      </c>
      <c r="P332" s="69">
        <v>1</v>
      </c>
      <c r="Q332" s="68">
        <f>MAX(0,$V332-$P332-$S332)</f>
        <v>0</v>
      </c>
      <c r="R332" s="68" t="s">
        <v>57</v>
      </c>
      <c r="S332" s="68">
        <v>1</v>
      </c>
      <c r="T332" s="73">
        <v>0.46</v>
      </c>
      <c r="U332" s="73">
        <f>IF(AND($Q332&gt;0,ISNUMBER($T332)),$Q332*$T332,0)</f>
        <v>0</v>
      </c>
      <c r="V332" s="68">
        <f>SUM(W332:AB332)</f>
        <v>1</v>
      </c>
      <c r="W332" s="68"/>
      <c r="X332" s="68"/>
      <c r="Y332" s="68"/>
      <c r="Z332" s="68">
        <v>1</v>
      </c>
      <c r="AA332" s="68"/>
      <c r="AB332" s="68"/>
      <c r="AC332" s="68"/>
      <c r="AD332" s="75">
        <f>SUM(AE332:AJ332)</f>
        <v>1</v>
      </c>
      <c r="AE332" s="76"/>
      <c r="AF332" s="76"/>
      <c r="AG332" s="76"/>
      <c r="AH332" s="76">
        <v>1</v>
      </c>
      <c r="AI332" s="76"/>
      <c r="AJ332" s="76"/>
      <c r="AK332" s="76"/>
      <c r="AL332" s="77">
        <f>IF((P332-SUM(AE332:AK332))&lt;0,0,P332-SUM(AE332:AK332))</f>
        <v>0</v>
      </c>
      <c r="AM332" s="77">
        <f>SUM(AO332:AT332)</f>
        <v>0</v>
      </c>
      <c r="AN332" s="129"/>
      <c r="AO332" s="72"/>
      <c r="AP332" s="72"/>
      <c r="AQ332" s="72"/>
      <c r="AR332" s="72"/>
      <c r="AS332" s="72"/>
      <c r="AT332" s="72"/>
      <c r="AU332" s="72"/>
      <c r="AV332" s="70"/>
      <c r="AW332" s="72"/>
      <c r="AX332" s="72"/>
    </row>
    <row r="333" spans="1:50" ht="15" customHeight="1">
      <c r="A333" s="70" t="s">
        <v>491</v>
      </c>
      <c r="B333" s="68" t="s">
        <v>345</v>
      </c>
      <c r="C333" s="69" t="s">
        <v>45</v>
      </c>
      <c r="D333" s="70" t="s">
        <v>175</v>
      </c>
      <c r="E333" s="70"/>
      <c r="F333" s="68">
        <v>2</v>
      </c>
      <c r="G333" s="71" t="s">
        <v>176</v>
      </c>
      <c r="H333" s="71" t="s">
        <v>492</v>
      </c>
      <c r="I333" s="71"/>
      <c r="J333" s="71"/>
      <c r="K333" s="72"/>
      <c r="L333" s="72"/>
      <c r="M333" s="72"/>
      <c r="N333" s="72"/>
      <c r="O333" s="71" t="s">
        <v>156</v>
      </c>
      <c r="P333" s="69">
        <v>1</v>
      </c>
      <c r="Q333" s="68">
        <f>MAX(0,$V333-$P333-$S333)</f>
        <v>0</v>
      </c>
      <c r="R333" s="68" t="s">
        <v>57</v>
      </c>
      <c r="S333" s="68">
        <v>1</v>
      </c>
      <c r="T333" s="73">
        <v>1.45</v>
      </c>
      <c r="U333" s="73">
        <f>IF(AND($Q333&gt;0,ISNUMBER($T333)),$Q333*$T333,0)</f>
        <v>0</v>
      </c>
      <c r="V333" s="68">
        <f>SUM(W333:AB333)</f>
        <v>0</v>
      </c>
      <c r="W333" s="68"/>
      <c r="X333" s="68"/>
      <c r="Y333" s="68"/>
      <c r="Z333" s="68"/>
      <c r="AA333" s="68"/>
      <c r="AB333" s="68"/>
      <c r="AC333" s="68"/>
      <c r="AD333" s="75">
        <f>SUM(AE333:AJ333)</f>
        <v>1</v>
      </c>
      <c r="AE333" s="76"/>
      <c r="AF333" s="76"/>
      <c r="AG333" s="76"/>
      <c r="AH333" s="76"/>
      <c r="AI333" s="76"/>
      <c r="AJ333" s="76">
        <v>1</v>
      </c>
      <c r="AK333" s="76"/>
      <c r="AL333" s="77">
        <f>IF((P333-SUM(AE333:AK333))&lt;0,0,P333-SUM(AE333:AK333))</f>
        <v>0</v>
      </c>
      <c r="AM333" s="77">
        <f>SUM(AO333:AT333)</f>
        <v>1</v>
      </c>
      <c r="AN333" s="80" t="s">
        <v>105</v>
      </c>
      <c r="AO333" s="72"/>
      <c r="AP333" s="72"/>
      <c r="AQ333" s="72"/>
      <c r="AR333" s="72"/>
      <c r="AS333" s="72"/>
      <c r="AT333" s="79">
        <v>1</v>
      </c>
      <c r="AU333" s="31" t="s">
        <v>493</v>
      </c>
      <c r="AV333" s="70"/>
      <c r="AW333" s="72"/>
      <c r="AX333" s="72"/>
    </row>
    <row r="334" spans="1:50" ht="15" customHeight="1">
      <c r="A334" s="86" t="s">
        <v>1292</v>
      </c>
      <c r="B334" s="68" t="s">
        <v>1114</v>
      </c>
      <c r="C334" s="69" t="s">
        <v>45</v>
      </c>
      <c r="D334" s="70" t="s">
        <v>123</v>
      </c>
      <c r="E334" s="70" t="s">
        <v>1293</v>
      </c>
      <c r="F334" s="68">
        <v>5</v>
      </c>
      <c r="G334" s="71" t="s">
        <v>433</v>
      </c>
      <c r="H334" s="71" t="s">
        <v>1294</v>
      </c>
      <c r="I334" s="71" t="s">
        <v>1295</v>
      </c>
      <c r="J334" s="71"/>
      <c r="K334" s="72"/>
      <c r="L334" s="72"/>
      <c r="M334" s="72"/>
      <c r="N334" s="72"/>
      <c r="O334" s="71" t="s">
        <v>928</v>
      </c>
      <c r="P334" s="69">
        <v>1</v>
      </c>
      <c r="Q334" s="68">
        <f>MAX(0,$V334-$P334-$S334)</f>
        <v>0</v>
      </c>
      <c r="R334" s="68"/>
      <c r="S334" s="68"/>
      <c r="T334" s="73">
        <v>0.43</v>
      </c>
      <c r="U334" s="73">
        <f>IF(AND($Q334&gt;0,ISNUMBER($T334)),$Q334*$T334,0)</f>
        <v>0</v>
      </c>
      <c r="V334" s="68">
        <f>SUM(W334:AB334)</f>
        <v>1</v>
      </c>
      <c r="W334" s="68"/>
      <c r="X334" s="68"/>
      <c r="Y334" s="68"/>
      <c r="Z334" s="87">
        <v>1</v>
      </c>
      <c r="AA334" s="68"/>
      <c r="AB334" s="68"/>
      <c r="AC334" s="68"/>
      <c r="AD334" s="75">
        <f>SUM(AE334:AJ334)</f>
        <v>1</v>
      </c>
      <c r="AE334" s="76"/>
      <c r="AF334" s="76"/>
      <c r="AG334" s="76"/>
      <c r="AH334" s="76">
        <v>1</v>
      </c>
      <c r="AI334" s="76"/>
      <c r="AJ334" s="76"/>
      <c r="AK334" s="76"/>
      <c r="AL334" s="77">
        <f>IF((P334-SUM(AE334:AK334))&lt;0,0,P334-SUM(AE334:AK334))</f>
        <v>0</v>
      </c>
      <c r="AM334" s="77">
        <f>SUM(AO334:AT334)</f>
        <v>0</v>
      </c>
      <c r="AN334" s="129"/>
      <c r="AO334" s="72"/>
      <c r="AP334" s="72"/>
      <c r="AQ334" s="72"/>
      <c r="AR334" s="72"/>
      <c r="AS334" s="72"/>
      <c r="AT334" s="72"/>
      <c r="AU334" s="72"/>
      <c r="AV334" s="70"/>
      <c r="AW334" s="72"/>
      <c r="AX334" s="72"/>
    </row>
    <row r="335" spans="1:50" ht="15" customHeight="1">
      <c r="A335" s="70" t="s">
        <v>1670</v>
      </c>
      <c r="B335" s="68" t="s">
        <v>1499</v>
      </c>
      <c r="C335" s="69" t="s">
        <v>45</v>
      </c>
      <c r="D335" s="70" t="s">
        <v>58</v>
      </c>
      <c r="E335" s="70"/>
      <c r="F335" s="68">
        <v>2</v>
      </c>
      <c r="G335" s="71" t="s">
        <v>1589</v>
      </c>
      <c r="H335" s="71" t="s">
        <v>1671</v>
      </c>
      <c r="I335" s="71"/>
      <c r="J335" s="71"/>
      <c r="K335" s="72"/>
      <c r="L335" s="72"/>
      <c r="M335" s="72"/>
      <c r="N335" s="72"/>
      <c r="O335" s="71" t="s">
        <v>650</v>
      </c>
      <c r="P335" s="69">
        <v>1</v>
      </c>
      <c r="Q335" s="68">
        <f>MAX(0,$V335-$P335-$S335)</f>
        <v>0</v>
      </c>
      <c r="R335" s="68" t="s">
        <v>57</v>
      </c>
      <c r="S335" s="68">
        <v>1</v>
      </c>
      <c r="T335" s="73">
        <v>2.1</v>
      </c>
      <c r="U335" s="73">
        <f>IF(AND($Q335&gt;0,ISNUMBER($T335)),$Q335*$T335,0)</f>
        <v>0</v>
      </c>
      <c r="V335" s="68">
        <f>SUM(W335:AB335)</f>
        <v>1</v>
      </c>
      <c r="W335" s="68"/>
      <c r="X335" s="68"/>
      <c r="Y335" s="68"/>
      <c r="Z335" s="68"/>
      <c r="AA335" s="68"/>
      <c r="AB335" s="68">
        <v>1</v>
      </c>
      <c r="AC335" s="68"/>
      <c r="AD335" s="75">
        <f>SUM(AE335:AJ335)</f>
        <v>1</v>
      </c>
      <c r="AE335" s="76"/>
      <c r="AF335" s="76"/>
      <c r="AG335" s="76"/>
      <c r="AH335" s="76"/>
      <c r="AI335" s="76"/>
      <c r="AJ335" s="76">
        <v>1</v>
      </c>
      <c r="AK335" s="76"/>
      <c r="AL335" s="77">
        <f>IF((P335-SUM(AE335:AK335))&lt;0,0,P335-SUM(AE335:AK335))</f>
        <v>0</v>
      </c>
      <c r="AM335" s="77">
        <f>SUM(AO335:AT335)</f>
        <v>0</v>
      </c>
      <c r="AN335" s="72"/>
      <c r="AO335" s="72"/>
      <c r="AP335" s="72"/>
      <c r="AQ335" s="72"/>
      <c r="AR335" s="72"/>
      <c r="AS335" s="72"/>
      <c r="AT335" s="72"/>
      <c r="AU335" s="72"/>
      <c r="AV335" s="70"/>
      <c r="AW335" s="72"/>
      <c r="AX335" s="72"/>
    </row>
    <row r="336" spans="1:50" ht="15" customHeight="1">
      <c r="A336" s="86" t="s">
        <v>2120</v>
      </c>
      <c r="B336" s="68" t="s">
        <v>1971</v>
      </c>
      <c r="C336" s="69" t="s">
        <v>45</v>
      </c>
      <c r="D336" s="70" t="s">
        <v>64</v>
      </c>
      <c r="E336" s="70" t="s">
        <v>243</v>
      </c>
      <c r="F336" s="68">
        <v>2</v>
      </c>
      <c r="G336" s="71" t="s">
        <v>433</v>
      </c>
      <c r="H336" s="71" t="s">
        <v>2121</v>
      </c>
      <c r="I336" s="71"/>
      <c r="J336" s="71"/>
      <c r="K336" s="72"/>
      <c r="L336" s="72"/>
      <c r="M336" s="72"/>
      <c r="N336" s="72"/>
      <c r="O336" s="71" t="s">
        <v>53</v>
      </c>
      <c r="P336" s="69">
        <v>1</v>
      </c>
      <c r="Q336" s="68">
        <f>MAX(0,$V336-$P336-$S336)</f>
        <v>0</v>
      </c>
      <c r="R336" s="68"/>
      <c r="S336" s="68"/>
      <c r="T336" s="73">
        <v>0.32</v>
      </c>
      <c r="U336" s="73">
        <f>IF(AND($Q336&gt;0,ISNUMBER($T336)),$Q336*$T336,0)</f>
        <v>0</v>
      </c>
      <c r="V336" s="68">
        <f>SUM(W336:AB336)</f>
        <v>1</v>
      </c>
      <c r="W336" s="68"/>
      <c r="X336" s="68"/>
      <c r="Y336" s="68"/>
      <c r="Z336" s="68"/>
      <c r="AA336" s="87">
        <v>1</v>
      </c>
      <c r="AB336" s="68"/>
      <c r="AC336" s="68"/>
      <c r="AD336" s="75">
        <f>SUM(AE336:AJ336)</f>
        <v>1</v>
      </c>
      <c r="AE336" s="76"/>
      <c r="AF336" s="76"/>
      <c r="AG336" s="76"/>
      <c r="AH336" s="76"/>
      <c r="AI336" s="76">
        <v>1</v>
      </c>
      <c r="AJ336" s="76"/>
      <c r="AK336" s="76"/>
      <c r="AL336" s="77">
        <f>IF((P336-SUM(AE336:AK336))&lt;0,0,P336-SUM(AE336:AK336))</f>
        <v>0</v>
      </c>
      <c r="AM336" s="77">
        <f>SUM(AO336:AT336)</f>
        <v>0</v>
      </c>
      <c r="AN336" s="129"/>
      <c r="AO336" s="72"/>
      <c r="AP336" s="72"/>
      <c r="AQ336" s="72"/>
      <c r="AR336" s="72"/>
      <c r="AS336" s="129"/>
      <c r="AT336" s="72"/>
      <c r="AU336" s="129"/>
      <c r="AV336" s="70"/>
      <c r="AW336" s="72"/>
      <c r="AX336" s="72"/>
    </row>
    <row r="337" spans="1:50" ht="15" customHeight="1">
      <c r="A337" s="70" t="s">
        <v>2122</v>
      </c>
      <c r="B337" s="68" t="s">
        <v>1971</v>
      </c>
      <c r="C337" s="69" t="s">
        <v>45</v>
      </c>
      <c r="D337" s="70" t="s">
        <v>64</v>
      </c>
      <c r="E337" s="70" t="s">
        <v>2123</v>
      </c>
      <c r="F337" s="68">
        <v>4</v>
      </c>
      <c r="G337" s="71" t="s">
        <v>125</v>
      </c>
      <c r="H337" s="71" t="s">
        <v>801</v>
      </c>
      <c r="I337" s="71"/>
      <c r="J337" s="71"/>
      <c r="K337" s="72"/>
      <c r="L337" s="72"/>
      <c r="M337" s="72"/>
      <c r="N337" s="72"/>
      <c r="O337" s="71" t="s">
        <v>591</v>
      </c>
      <c r="P337" s="69">
        <v>1</v>
      </c>
      <c r="Q337" s="68">
        <f>MAX(0,$V337-$P337-$S337)</f>
        <v>0</v>
      </c>
      <c r="R337" s="68"/>
      <c r="S337" s="68"/>
      <c r="T337" s="73">
        <v>0.38</v>
      </c>
      <c r="U337" s="73">
        <f>IF(AND($Q337&gt;0,ISNUMBER($T337)),$Q337*$T337,0)</f>
        <v>0</v>
      </c>
      <c r="V337" s="68">
        <f>SUM(W337:AB337)</f>
        <v>1</v>
      </c>
      <c r="W337" s="68"/>
      <c r="X337" s="68"/>
      <c r="Y337" s="68"/>
      <c r="Z337" s="68">
        <v>1</v>
      </c>
      <c r="AA337" s="68"/>
      <c r="AB337" s="68"/>
      <c r="AC337" s="68"/>
      <c r="AD337" s="75">
        <f>SUM(AE337:AJ337)</f>
        <v>1</v>
      </c>
      <c r="AE337" s="76"/>
      <c r="AF337" s="76"/>
      <c r="AG337" s="76"/>
      <c r="AH337" s="76">
        <v>1</v>
      </c>
      <c r="AI337" s="76"/>
      <c r="AJ337" s="76"/>
      <c r="AK337" s="76"/>
      <c r="AL337" s="77">
        <f>IF((P337-SUM(AE337:AK337))&lt;0,0,P337-SUM(AE337:AK337))</f>
        <v>0</v>
      </c>
      <c r="AM337" s="77">
        <f>SUM(AO337:AT337)</f>
        <v>0</v>
      </c>
      <c r="AN337" s="72"/>
      <c r="AO337" s="72"/>
      <c r="AP337" s="72"/>
      <c r="AQ337" s="72"/>
      <c r="AR337" s="72"/>
      <c r="AS337" s="72"/>
      <c r="AT337" s="72"/>
      <c r="AU337" s="72"/>
      <c r="AV337" s="70"/>
      <c r="AW337" s="72"/>
      <c r="AX337" s="72"/>
    </row>
    <row r="338" spans="1:50" ht="15" customHeight="1">
      <c r="A338" s="86" t="s">
        <v>1296</v>
      </c>
      <c r="B338" s="68" t="s">
        <v>1114</v>
      </c>
      <c r="C338" s="69" t="s">
        <v>45</v>
      </c>
      <c r="D338" s="70" t="s">
        <v>64</v>
      </c>
      <c r="E338" s="70" t="s">
        <v>1297</v>
      </c>
      <c r="F338" s="68">
        <v>3</v>
      </c>
      <c r="G338" s="71" t="s">
        <v>60</v>
      </c>
      <c r="H338" s="71" t="s">
        <v>1298</v>
      </c>
      <c r="I338" s="71" t="s">
        <v>215</v>
      </c>
      <c r="J338" s="71"/>
      <c r="K338" s="72"/>
      <c r="L338" s="72"/>
      <c r="M338" s="72"/>
      <c r="N338" s="72"/>
      <c r="O338" s="71" t="s">
        <v>307</v>
      </c>
      <c r="P338" s="69">
        <v>1</v>
      </c>
      <c r="Q338" s="68">
        <f>MAX(0,$V338-$P338-$S338)</f>
        <v>0</v>
      </c>
      <c r="R338" s="68"/>
      <c r="S338" s="68"/>
      <c r="T338" s="73">
        <v>0.33</v>
      </c>
      <c r="U338" s="73">
        <f>IF(AND($Q338&gt;0,ISNUMBER($T338)),$Q338*$T338,0)</f>
        <v>0</v>
      </c>
      <c r="V338" s="68">
        <f>SUM(W338:AB338)</f>
        <v>1</v>
      </c>
      <c r="W338" s="68"/>
      <c r="X338" s="68"/>
      <c r="Y338" s="68"/>
      <c r="Z338" s="68"/>
      <c r="AA338" s="87">
        <v>1</v>
      </c>
      <c r="AB338" s="68"/>
      <c r="AC338" s="68"/>
      <c r="AD338" s="75">
        <f>SUM(AE338:AJ338)</f>
        <v>1</v>
      </c>
      <c r="AE338" s="76"/>
      <c r="AF338" s="76"/>
      <c r="AG338" s="76"/>
      <c r="AH338" s="76"/>
      <c r="AI338" s="76">
        <v>1</v>
      </c>
      <c r="AJ338" s="76"/>
      <c r="AK338" s="76"/>
      <c r="AL338" s="77">
        <f>IF((P338-SUM(AE338:AK338))&lt;0,0,P338-SUM(AE338:AK338))</f>
        <v>0</v>
      </c>
      <c r="AM338" s="77">
        <f>SUM(AO338:AT338)</f>
        <v>0</v>
      </c>
      <c r="AN338" s="85"/>
      <c r="AO338" s="72"/>
      <c r="AP338" s="72"/>
      <c r="AQ338" s="72"/>
      <c r="AR338" s="72"/>
      <c r="AS338" s="72"/>
      <c r="AT338" s="72"/>
      <c r="AU338" s="72"/>
      <c r="AV338" s="70"/>
      <c r="AW338" s="72"/>
      <c r="AX338" s="72"/>
    </row>
    <row r="339" spans="1:50" ht="15" customHeight="1">
      <c r="A339" s="70" t="s">
        <v>1888</v>
      </c>
      <c r="B339" s="68" t="s">
        <v>1831</v>
      </c>
      <c r="C339" s="69" t="s">
        <v>45</v>
      </c>
      <c r="D339" s="70" t="s">
        <v>58</v>
      </c>
      <c r="E339" s="70"/>
      <c r="F339" s="68">
        <v>5</v>
      </c>
      <c r="G339" s="71" t="s">
        <v>317</v>
      </c>
      <c r="H339" s="71" t="s">
        <v>1889</v>
      </c>
      <c r="I339" s="71"/>
      <c r="J339" s="71"/>
      <c r="K339" s="72"/>
      <c r="L339" s="72"/>
      <c r="M339" s="72"/>
      <c r="N339" s="72"/>
      <c r="O339" s="71" t="s">
        <v>415</v>
      </c>
      <c r="P339" s="69">
        <v>1</v>
      </c>
      <c r="Q339" s="68">
        <f>MAX(0,$V339-$P339-$S339)</f>
        <v>0</v>
      </c>
      <c r="R339" s="68" t="s">
        <v>57</v>
      </c>
      <c r="S339" s="68">
        <v>1</v>
      </c>
      <c r="T339" s="73">
        <v>3.66</v>
      </c>
      <c r="U339" s="73">
        <f>IF(AND($Q339&gt;0,ISNUMBER($T339)),$Q339*$T339,0)</f>
        <v>0</v>
      </c>
      <c r="V339" s="68">
        <f>SUM(W339:AB339)</f>
        <v>1</v>
      </c>
      <c r="W339" s="68"/>
      <c r="X339" s="68"/>
      <c r="Y339" s="68">
        <v>1</v>
      </c>
      <c r="Z339" s="68"/>
      <c r="AA339" s="68"/>
      <c r="AB339" s="68"/>
      <c r="AC339" s="68"/>
      <c r="AD339" s="75">
        <f>SUM(AE339:AJ339)</f>
        <v>1</v>
      </c>
      <c r="AE339" s="76"/>
      <c r="AF339" s="76"/>
      <c r="AG339" s="76">
        <v>1</v>
      </c>
      <c r="AH339" s="76"/>
      <c r="AI339" s="76"/>
      <c r="AJ339" s="76"/>
      <c r="AK339" s="76"/>
      <c r="AL339" s="77">
        <f>IF((P339-SUM(AE339:AK339))&lt;0,0,P339-SUM(AE339:AK339))</f>
        <v>0</v>
      </c>
      <c r="AM339" s="77">
        <f>SUM(AO339:AT339)</f>
        <v>0</v>
      </c>
      <c r="AN339" s="72"/>
      <c r="AO339" s="72"/>
      <c r="AP339" s="72"/>
      <c r="AQ339" s="72"/>
      <c r="AR339" s="72"/>
      <c r="AS339" s="72"/>
      <c r="AT339" s="72"/>
      <c r="AU339" s="72"/>
      <c r="AV339" s="70"/>
      <c r="AW339" s="72"/>
      <c r="AX339" s="72"/>
    </row>
    <row r="340" spans="1:50" ht="15" customHeight="1">
      <c r="A340" s="67" t="s">
        <v>752</v>
      </c>
      <c r="B340" s="68" t="s">
        <v>636</v>
      </c>
      <c r="C340" s="69" t="s">
        <v>45</v>
      </c>
      <c r="D340" s="70" t="s">
        <v>72</v>
      </c>
      <c r="E340" s="70"/>
      <c r="F340" s="68">
        <v>3</v>
      </c>
      <c r="G340" s="71" t="s">
        <v>499</v>
      </c>
      <c r="H340" s="71" t="s">
        <v>753</v>
      </c>
      <c r="I340" s="71" t="s">
        <v>754</v>
      </c>
      <c r="J340" s="71"/>
      <c r="K340" s="72"/>
      <c r="L340" s="72"/>
      <c r="M340" s="72"/>
      <c r="N340" s="72"/>
      <c r="O340" s="71" t="s">
        <v>650</v>
      </c>
      <c r="P340" s="69">
        <v>1</v>
      </c>
      <c r="Q340" s="68">
        <f>MAX(0,$V340-$P340-$S340)</f>
        <v>0</v>
      </c>
      <c r="R340" s="68" t="s">
        <v>57</v>
      </c>
      <c r="S340" s="68">
        <v>1</v>
      </c>
      <c r="T340" s="73">
        <v>0.42</v>
      </c>
      <c r="U340" s="73">
        <f>IF(AND($Q340&gt;0,ISNUMBER($T340)),$Q340*$T340,0)</f>
        <v>0</v>
      </c>
      <c r="V340" s="68">
        <f>SUM(W340:AB340)</f>
        <v>0</v>
      </c>
      <c r="W340" s="68"/>
      <c r="X340" s="68"/>
      <c r="Y340" s="68"/>
      <c r="Z340" s="74"/>
      <c r="AA340" s="68"/>
      <c r="AB340" s="68"/>
      <c r="AC340" s="68"/>
      <c r="AD340" s="75">
        <f>SUM(AE340:AJ340)</f>
        <v>0</v>
      </c>
      <c r="AE340" s="76"/>
      <c r="AF340" s="76"/>
      <c r="AG340" s="76"/>
      <c r="AH340" s="76"/>
      <c r="AI340" s="76"/>
      <c r="AJ340" s="76"/>
      <c r="AK340" s="76"/>
      <c r="AL340" s="77">
        <f>IF((P340-SUM(AE340:AK340))&lt;0,0,P340-SUM(AE340:AK340))</f>
        <v>1</v>
      </c>
      <c r="AM340" s="77">
        <f>SUM(AO340:AT340)</f>
        <v>1</v>
      </c>
      <c r="AN340" s="140" t="s">
        <v>105</v>
      </c>
      <c r="AO340" s="72"/>
      <c r="AP340" s="72"/>
      <c r="AQ340" s="79">
        <v>1</v>
      </c>
      <c r="AR340" s="72"/>
      <c r="AS340" s="72"/>
      <c r="AT340" s="72"/>
      <c r="AU340" s="31" t="s">
        <v>755</v>
      </c>
      <c r="AV340" s="70"/>
      <c r="AW340" s="72"/>
      <c r="AX340" s="72"/>
    </row>
    <row r="341" spans="1:50" ht="15" customHeight="1">
      <c r="A341" s="70" t="s">
        <v>2127</v>
      </c>
      <c r="B341" s="68" t="s">
        <v>1971</v>
      </c>
      <c r="C341" s="69" t="s">
        <v>45</v>
      </c>
      <c r="D341" s="70" t="s">
        <v>58</v>
      </c>
      <c r="E341" s="70"/>
      <c r="F341" s="68">
        <v>2</v>
      </c>
      <c r="G341" s="71" t="s">
        <v>530</v>
      </c>
      <c r="H341" s="71" t="s">
        <v>2128</v>
      </c>
      <c r="I341" s="71" t="s">
        <v>2129</v>
      </c>
      <c r="J341" s="71"/>
      <c r="K341" s="72"/>
      <c r="L341" s="72"/>
      <c r="M341" s="72"/>
      <c r="N341" s="72"/>
      <c r="O341" s="71" t="s">
        <v>869</v>
      </c>
      <c r="P341" s="69">
        <v>1</v>
      </c>
      <c r="Q341" s="68">
        <f>MAX(0,$V341-$P341-$S341)</f>
        <v>0</v>
      </c>
      <c r="R341" s="68"/>
      <c r="S341" s="68"/>
      <c r="T341" s="73">
        <v>0.28999999999999998</v>
      </c>
      <c r="U341" s="73">
        <f>IF(AND($Q341&gt;0,ISNUMBER($T341)),$Q341*$T341,0)</f>
        <v>0</v>
      </c>
      <c r="V341" s="68">
        <f>SUM(W341:AB341)</f>
        <v>1</v>
      </c>
      <c r="W341" s="68"/>
      <c r="X341" s="68"/>
      <c r="Y341" s="68"/>
      <c r="Z341" s="68"/>
      <c r="AA341" s="68">
        <v>1</v>
      </c>
      <c r="AB341" s="68"/>
      <c r="AC341" s="68"/>
      <c r="AD341" s="75">
        <f>SUM(AE341:AJ341)</f>
        <v>1</v>
      </c>
      <c r="AE341" s="76"/>
      <c r="AF341" s="76"/>
      <c r="AG341" s="76"/>
      <c r="AH341" s="76"/>
      <c r="AI341" s="76">
        <v>1</v>
      </c>
      <c r="AJ341" s="76"/>
      <c r="AK341" s="76"/>
      <c r="AL341" s="77">
        <f>IF((P341-SUM(AE341:AK341))&lt;0,0,P341-SUM(AE341:AK341))</f>
        <v>0</v>
      </c>
      <c r="AM341" s="77">
        <f>SUM(AO341:AT341)</f>
        <v>0</v>
      </c>
      <c r="AN341" s="72"/>
      <c r="AO341" s="72"/>
      <c r="AP341" s="72"/>
      <c r="AQ341" s="72"/>
      <c r="AR341" s="72"/>
      <c r="AS341" s="72"/>
      <c r="AT341" s="72"/>
      <c r="AU341" s="72"/>
      <c r="AV341" s="70"/>
      <c r="AW341" s="72"/>
      <c r="AX341" s="72"/>
    </row>
    <row r="342" spans="1:50" ht="15" customHeight="1">
      <c r="A342" s="70" t="s">
        <v>1890</v>
      </c>
      <c r="B342" s="68" t="s">
        <v>1831</v>
      </c>
      <c r="C342" s="69" t="s">
        <v>45</v>
      </c>
      <c r="D342" s="70" t="s">
        <v>58</v>
      </c>
      <c r="E342" s="70"/>
      <c r="F342" s="68">
        <v>3</v>
      </c>
      <c r="G342" s="71" t="s">
        <v>91</v>
      </c>
      <c r="H342" s="71" t="s">
        <v>1891</v>
      </c>
      <c r="I342" s="71" t="s">
        <v>1892</v>
      </c>
      <c r="J342" s="71"/>
      <c r="K342" s="72"/>
      <c r="L342" s="72"/>
      <c r="M342" s="72"/>
      <c r="N342" s="72"/>
      <c r="O342" s="71" t="s">
        <v>790</v>
      </c>
      <c r="P342" s="69">
        <v>1</v>
      </c>
      <c r="Q342" s="68">
        <f>MAX(0,$V342-$P342-$S342)</f>
        <v>0</v>
      </c>
      <c r="R342" s="68"/>
      <c r="S342" s="68"/>
      <c r="T342" s="73">
        <v>3.68</v>
      </c>
      <c r="U342" s="73">
        <f>IF(AND($Q342&gt;0,ISNUMBER($T342)),$Q342*$T342,0)</f>
        <v>0</v>
      </c>
      <c r="V342" s="68">
        <f>SUM(W342:AB342)</f>
        <v>1</v>
      </c>
      <c r="W342" s="68"/>
      <c r="X342" s="68">
        <v>1</v>
      </c>
      <c r="Y342" s="68"/>
      <c r="Z342" s="68"/>
      <c r="AA342" s="68"/>
      <c r="AB342" s="68"/>
      <c r="AC342" s="68"/>
      <c r="AD342" s="75">
        <f>SUM(AE342:AJ342)</f>
        <v>1</v>
      </c>
      <c r="AE342" s="76"/>
      <c r="AF342" s="76">
        <v>1</v>
      </c>
      <c r="AG342" s="76"/>
      <c r="AH342" s="76"/>
      <c r="AI342" s="76"/>
      <c r="AJ342" s="76"/>
      <c r="AK342" s="76"/>
      <c r="AL342" s="77">
        <f>IF((P342-SUM(AE342:AK342))&lt;0,0,P342-SUM(AE342:AK342))</f>
        <v>0</v>
      </c>
      <c r="AM342" s="77">
        <f>SUM(AO342:AT342)</f>
        <v>0</v>
      </c>
      <c r="AN342" s="129"/>
      <c r="AO342" s="72"/>
      <c r="AP342" s="72"/>
      <c r="AQ342" s="72"/>
      <c r="AR342" s="72"/>
      <c r="AS342" s="129"/>
      <c r="AT342" s="72"/>
      <c r="AU342" s="129"/>
      <c r="AV342" s="70"/>
      <c r="AW342" s="72"/>
      <c r="AX342" s="129"/>
    </row>
    <row r="343" spans="1:50" ht="15" customHeight="1">
      <c r="A343" s="70" t="s">
        <v>2130</v>
      </c>
      <c r="B343" s="68" t="s">
        <v>1971</v>
      </c>
      <c r="C343" s="69" t="s">
        <v>45</v>
      </c>
      <c r="D343" s="70" t="s">
        <v>359</v>
      </c>
      <c r="E343" s="70" t="s">
        <v>2131</v>
      </c>
      <c r="F343" s="68">
        <v>5</v>
      </c>
      <c r="G343" s="71" t="s">
        <v>296</v>
      </c>
      <c r="H343" s="71" t="s">
        <v>2132</v>
      </c>
      <c r="I343" s="71"/>
      <c r="J343" s="71"/>
      <c r="K343" s="72"/>
      <c r="L343" s="72"/>
      <c r="M343" s="72"/>
      <c r="N343" s="72"/>
      <c r="O343" s="71" t="s">
        <v>2067</v>
      </c>
      <c r="P343" s="69">
        <v>1</v>
      </c>
      <c r="Q343" s="68">
        <f>MAX(0,$V343-$P343-$S343)</f>
        <v>0</v>
      </c>
      <c r="R343" s="68"/>
      <c r="S343" s="68"/>
      <c r="T343" s="73">
        <v>0.89</v>
      </c>
      <c r="U343" s="73">
        <f>IF(AND($Q343&gt;0,ISNUMBER($T343)),$Q343*$T343,0)</f>
        <v>0</v>
      </c>
      <c r="V343" s="68">
        <f>SUM(W343:AB343)</f>
        <v>0</v>
      </c>
      <c r="W343" s="68"/>
      <c r="X343" s="68"/>
      <c r="Y343" s="68"/>
      <c r="Z343" s="68"/>
      <c r="AA343" s="68"/>
      <c r="AB343" s="68"/>
      <c r="AC343" s="68"/>
      <c r="AD343" s="75">
        <f>SUM(AE343:AJ343)</f>
        <v>0</v>
      </c>
      <c r="AE343" s="76"/>
      <c r="AF343" s="76"/>
      <c r="AG343" s="76"/>
      <c r="AH343" s="76"/>
      <c r="AI343" s="76"/>
      <c r="AJ343" s="76"/>
      <c r="AK343" s="76"/>
      <c r="AL343" s="77">
        <f>IF((P343-SUM(AE343:AK343))&lt;0,0,P343-SUM(AE343:AK343))</f>
        <v>1</v>
      </c>
      <c r="AM343" s="77">
        <f>SUM(AO343:AT343)</f>
        <v>0</v>
      </c>
      <c r="AN343" s="72"/>
      <c r="AO343" s="72"/>
      <c r="AP343" s="72"/>
      <c r="AQ343" s="72"/>
      <c r="AR343" s="72"/>
      <c r="AS343" s="72"/>
      <c r="AT343" s="72"/>
      <c r="AU343" s="72"/>
      <c r="AV343" s="70"/>
      <c r="AW343" s="72"/>
      <c r="AX343" s="72"/>
    </row>
    <row r="344" spans="1:50" ht="15" customHeight="1">
      <c r="A344" s="67" t="s">
        <v>756</v>
      </c>
      <c r="B344" s="68" t="s">
        <v>636</v>
      </c>
      <c r="C344" s="69" t="s">
        <v>45</v>
      </c>
      <c r="D344" s="70" t="s">
        <v>64</v>
      </c>
      <c r="E344" s="70" t="s">
        <v>283</v>
      </c>
      <c r="F344" s="68">
        <v>1</v>
      </c>
      <c r="G344" s="71" t="s">
        <v>433</v>
      </c>
      <c r="H344" s="71" t="s">
        <v>757</v>
      </c>
      <c r="I344" s="71" t="s">
        <v>287</v>
      </c>
      <c r="J344" s="71"/>
      <c r="K344" s="72"/>
      <c r="L344" s="72"/>
      <c r="M344" s="72"/>
      <c r="N344" s="72"/>
      <c r="O344" s="71" t="s">
        <v>227</v>
      </c>
      <c r="P344" s="69">
        <v>1</v>
      </c>
      <c r="Q344" s="68">
        <f>MAX(0,$V344-$P344-$S344)</f>
        <v>0</v>
      </c>
      <c r="R344" s="68"/>
      <c r="S344" s="68"/>
      <c r="T344" s="73">
        <v>0.24</v>
      </c>
      <c r="U344" s="73">
        <f>IF(AND($Q344&gt;0,ISNUMBER($T344)),$Q344*$T344,0)</f>
        <v>0</v>
      </c>
      <c r="V344" s="68">
        <f>SUM(W344:AB344)</f>
        <v>0</v>
      </c>
      <c r="W344" s="68"/>
      <c r="X344" s="68"/>
      <c r="Y344" s="68"/>
      <c r="Z344" s="74"/>
      <c r="AA344" s="68"/>
      <c r="AB344" s="68"/>
      <c r="AC344" s="68"/>
      <c r="AD344" s="75">
        <f>SUM(AE344:AJ344)</f>
        <v>1</v>
      </c>
      <c r="AE344" s="76"/>
      <c r="AF344" s="76"/>
      <c r="AG344" s="76"/>
      <c r="AH344" s="76">
        <v>1</v>
      </c>
      <c r="AI344" s="76"/>
      <c r="AJ344" s="76"/>
      <c r="AK344" s="76"/>
      <c r="AL344" s="77">
        <f>IF((P344-SUM(AE344:AK344))&lt;0,0,P344-SUM(AE344:AK344))</f>
        <v>0</v>
      </c>
      <c r="AM344" s="77">
        <f>SUM(AO344:AT344)</f>
        <v>1</v>
      </c>
      <c r="AN344" s="139" t="s">
        <v>105</v>
      </c>
      <c r="AO344" s="72"/>
      <c r="AP344" s="72"/>
      <c r="AQ344" s="72"/>
      <c r="AR344" s="93">
        <v>1</v>
      </c>
      <c r="AS344" s="129"/>
      <c r="AT344" s="72"/>
      <c r="AU344" s="125" t="s">
        <v>758</v>
      </c>
      <c r="AV344" s="70"/>
      <c r="AW344" s="72"/>
      <c r="AX344" s="72"/>
    </row>
    <row r="345" spans="1:50" ht="15" customHeight="1">
      <c r="A345" s="67" t="s">
        <v>1303</v>
      </c>
      <c r="B345" s="68" t="s">
        <v>1114</v>
      </c>
      <c r="C345" s="69" t="s">
        <v>45</v>
      </c>
      <c r="D345" s="70" t="s">
        <v>64</v>
      </c>
      <c r="E345" s="70" t="s">
        <v>815</v>
      </c>
      <c r="F345" s="68">
        <v>4</v>
      </c>
      <c r="G345" s="71" t="s">
        <v>176</v>
      </c>
      <c r="H345" s="71" t="s">
        <v>545</v>
      </c>
      <c r="I345" s="71"/>
      <c r="J345" s="71"/>
      <c r="K345" s="69"/>
      <c r="L345" s="69"/>
      <c r="M345" s="69"/>
      <c r="N345" s="69"/>
      <c r="O345" s="71" t="s">
        <v>235</v>
      </c>
      <c r="P345" s="69">
        <v>1</v>
      </c>
      <c r="Q345" s="68">
        <f>MAX(0,$V345-$P345-$S345)</f>
        <v>0</v>
      </c>
      <c r="R345" s="68"/>
      <c r="S345" s="68"/>
      <c r="T345" s="73">
        <v>0.28999999999999998</v>
      </c>
      <c r="U345" s="73">
        <f>IF(AND($Q345&gt;0,ISNUMBER($T345)),$Q345*$T345,0)</f>
        <v>0</v>
      </c>
      <c r="V345" s="68">
        <f>SUM(W345:AB345)</f>
        <v>0</v>
      </c>
      <c r="W345" s="68"/>
      <c r="X345" s="74"/>
      <c r="Y345" s="68"/>
      <c r="Z345" s="68"/>
      <c r="AA345" s="68"/>
      <c r="AB345" s="68"/>
      <c r="AC345" s="68"/>
      <c r="AD345" s="75">
        <f>SUM(AE345:AJ345)</f>
        <v>0</v>
      </c>
      <c r="AE345" s="76"/>
      <c r="AF345" s="76"/>
      <c r="AG345" s="76"/>
      <c r="AH345" s="76"/>
      <c r="AI345" s="76"/>
      <c r="AJ345" s="76"/>
      <c r="AK345" s="76"/>
      <c r="AL345" s="77">
        <f>IF((P345-SUM(AE345:AK345))&lt;0,0,P345-SUM(AE345:AK345))</f>
        <v>1</v>
      </c>
      <c r="AM345" s="77">
        <f>SUM(AO345:AT345)</f>
        <v>0</v>
      </c>
      <c r="AN345" s="72"/>
      <c r="AO345" s="72"/>
      <c r="AP345" s="72"/>
      <c r="AQ345" s="72"/>
      <c r="AR345" s="72"/>
      <c r="AS345" s="72"/>
      <c r="AT345" s="72"/>
      <c r="AU345" s="72"/>
      <c r="AV345" s="70"/>
      <c r="AW345" s="72"/>
      <c r="AX345" s="72"/>
    </row>
    <row r="346" spans="1:50" ht="15" customHeight="1">
      <c r="A346" s="70" t="s">
        <v>1307</v>
      </c>
      <c r="B346" s="68" t="s">
        <v>1114</v>
      </c>
      <c r="C346" s="69" t="s">
        <v>45</v>
      </c>
      <c r="D346" s="70" t="s">
        <v>123</v>
      </c>
      <c r="E346" s="70" t="s">
        <v>1305</v>
      </c>
      <c r="F346" s="68">
        <v>3</v>
      </c>
      <c r="G346" s="71" t="s">
        <v>125</v>
      </c>
      <c r="H346" s="71" t="s">
        <v>1308</v>
      </c>
      <c r="I346" s="71" t="s">
        <v>1309</v>
      </c>
      <c r="J346" s="71"/>
      <c r="K346" s="72"/>
      <c r="L346" s="72"/>
      <c r="M346" s="72"/>
      <c r="N346" s="72"/>
      <c r="O346" s="71" t="s">
        <v>386</v>
      </c>
      <c r="P346" s="69">
        <v>1</v>
      </c>
      <c r="Q346" s="68">
        <f>MAX(0,$V346-$P346-$S346)</f>
        <v>0</v>
      </c>
      <c r="R346" s="68"/>
      <c r="S346" s="68"/>
      <c r="T346" s="73">
        <v>6.03</v>
      </c>
      <c r="U346" s="73">
        <f>IF(AND($Q346&gt;0,ISNUMBER($T346)),$Q346*$T346,0)</f>
        <v>0</v>
      </c>
      <c r="V346" s="68">
        <f>SUM(W346:AB346)</f>
        <v>1</v>
      </c>
      <c r="W346" s="68"/>
      <c r="X346" s="68"/>
      <c r="Y346" s="68"/>
      <c r="Z346" s="68"/>
      <c r="AA346" s="68">
        <v>1</v>
      </c>
      <c r="AB346" s="68"/>
      <c r="AC346" s="68"/>
      <c r="AD346" s="75">
        <f>SUM(AE346:AJ346)</f>
        <v>1</v>
      </c>
      <c r="AE346" s="76"/>
      <c r="AF346" s="76"/>
      <c r="AG346" s="76"/>
      <c r="AH346" s="76"/>
      <c r="AI346" s="76">
        <v>1</v>
      </c>
      <c r="AJ346" s="76"/>
      <c r="AK346" s="76"/>
      <c r="AL346" s="77">
        <f>IF((P346-SUM(AE346:AK346))&lt;0,0,P346-SUM(AE346:AK346))</f>
        <v>0</v>
      </c>
      <c r="AM346" s="77">
        <f>SUM(AO346:AT346)</f>
        <v>0</v>
      </c>
      <c r="AN346" s="72"/>
      <c r="AO346" s="72"/>
      <c r="AP346" s="72"/>
      <c r="AQ346" s="72"/>
      <c r="AR346" s="72"/>
      <c r="AS346" s="72"/>
      <c r="AT346" s="72"/>
      <c r="AU346" s="72"/>
      <c r="AV346" s="70"/>
      <c r="AW346" s="72"/>
      <c r="AX346" s="72"/>
    </row>
    <row r="347" spans="1:50" ht="15" customHeight="1">
      <c r="A347" s="70" t="s">
        <v>2133</v>
      </c>
      <c r="B347" s="68" t="s">
        <v>1971</v>
      </c>
      <c r="C347" s="69" t="s">
        <v>45</v>
      </c>
      <c r="D347" s="70" t="s">
        <v>64</v>
      </c>
      <c r="E347" s="70" t="s">
        <v>684</v>
      </c>
      <c r="F347" s="68">
        <v>2</v>
      </c>
      <c r="G347" s="71" t="s">
        <v>675</v>
      </c>
      <c r="H347" s="71" t="s">
        <v>2134</v>
      </c>
      <c r="I347" s="71"/>
      <c r="J347" s="71"/>
      <c r="K347" s="69"/>
      <c r="L347" s="69"/>
      <c r="M347" s="69"/>
      <c r="N347" s="69"/>
      <c r="O347" s="71" t="s">
        <v>761</v>
      </c>
      <c r="P347" s="69">
        <v>1</v>
      </c>
      <c r="Q347" s="68">
        <f>MAX(0,$V347-$P347-$S347)</f>
        <v>0</v>
      </c>
      <c r="R347" s="68"/>
      <c r="S347" s="68"/>
      <c r="T347" s="73">
        <v>0.2</v>
      </c>
      <c r="U347" s="73">
        <f>IF(AND($Q347&gt;0,ISNUMBER($T347)),$Q347*$T347,0)</f>
        <v>0</v>
      </c>
      <c r="V347" s="68">
        <f>SUM(W347:AB347)</f>
        <v>1</v>
      </c>
      <c r="W347" s="68"/>
      <c r="X347" s="68">
        <v>1</v>
      </c>
      <c r="Y347" s="68"/>
      <c r="Z347" s="68"/>
      <c r="AA347" s="68"/>
      <c r="AB347" s="68"/>
      <c r="AC347" s="68"/>
      <c r="AD347" s="75">
        <f>SUM(AE347:AJ347)</f>
        <v>1</v>
      </c>
      <c r="AE347" s="76"/>
      <c r="AF347" s="76">
        <v>1</v>
      </c>
      <c r="AG347" s="76"/>
      <c r="AH347" s="76"/>
      <c r="AI347" s="76"/>
      <c r="AJ347" s="76"/>
      <c r="AK347" s="76"/>
      <c r="AL347" s="77">
        <f>IF((P347-SUM(AE347:AK347))&lt;0,0,P347-SUM(AE347:AK347))</f>
        <v>0</v>
      </c>
      <c r="AM347" s="77">
        <f>SUM(AO347:AT347)</f>
        <v>0</v>
      </c>
      <c r="AN347" s="72"/>
      <c r="AO347" s="72"/>
      <c r="AP347" s="72"/>
      <c r="AQ347" s="72"/>
      <c r="AR347" s="72"/>
      <c r="AS347" s="72"/>
      <c r="AT347" s="72"/>
      <c r="AU347" s="72"/>
      <c r="AV347" s="70"/>
      <c r="AW347" s="72"/>
      <c r="AX347" s="72"/>
    </row>
    <row r="348" spans="1:50" ht="15" customHeight="1">
      <c r="A348" s="70" t="s">
        <v>2136</v>
      </c>
      <c r="B348" s="68" t="s">
        <v>1971</v>
      </c>
      <c r="C348" s="69" t="s">
        <v>45</v>
      </c>
      <c r="D348" s="70" t="s">
        <v>64</v>
      </c>
      <c r="E348" s="70" t="s">
        <v>2137</v>
      </c>
      <c r="F348" s="68">
        <v>5</v>
      </c>
      <c r="G348" s="71" t="s">
        <v>296</v>
      </c>
      <c r="H348" s="71" t="s">
        <v>2139</v>
      </c>
      <c r="I348" s="71" t="s">
        <v>2140</v>
      </c>
      <c r="J348" s="71" t="s">
        <v>2141</v>
      </c>
      <c r="K348" s="69"/>
      <c r="L348" s="69"/>
      <c r="M348" s="69"/>
      <c r="N348" s="69"/>
      <c r="O348" s="71" t="s">
        <v>2138</v>
      </c>
      <c r="P348" s="69">
        <v>1</v>
      </c>
      <c r="Q348" s="68">
        <f>MAX(0,$V348-$P348-$S348)</f>
        <v>0</v>
      </c>
      <c r="R348" s="68"/>
      <c r="S348" s="68"/>
      <c r="T348" s="73">
        <v>0.33</v>
      </c>
      <c r="U348" s="73">
        <f>IF(AND($Q348&gt;0,ISNUMBER($T348)),$Q348*$T348,0)</f>
        <v>0</v>
      </c>
      <c r="V348" s="68">
        <f>SUM(W348:AB348)</f>
        <v>1</v>
      </c>
      <c r="W348" s="68">
        <v>1</v>
      </c>
      <c r="X348" s="68"/>
      <c r="Y348" s="68"/>
      <c r="Z348" s="68"/>
      <c r="AA348" s="68"/>
      <c r="AB348" s="68"/>
      <c r="AC348" s="68"/>
      <c r="AD348" s="75">
        <f>SUM(AE348:AJ348)</f>
        <v>1</v>
      </c>
      <c r="AE348" s="76">
        <v>1</v>
      </c>
      <c r="AF348" s="76"/>
      <c r="AG348" s="76"/>
      <c r="AH348" s="76"/>
      <c r="AI348" s="76"/>
      <c r="AJ348" s="76"/>
      <c r="AK348" s="76"/>
      <c r="AL348" s="77">
        <f>IF((P348-SUM(AE348:AK348))&lt;0,0,P348-SUM(AE348:AK348))</f>
        <v>0</v>
      </c>
      <c r="AM348" s="77">
        <f>SUM(AO348:AT348)</f>
        <v>0</v>
      </c>
      <c r="AN348" s="72"/>
      <c r="AO348" s="72"/>
      <c r="AP348" s="72"/>
      <c r="AQ348" s="72"/>
      <c r="AR348" s="72"/>
      <c r="AS348" s="72"/>
      <c r="AT348" s="72"/>
      <c r="AU348" s="72"/>
      <c r="AV348" s="70"/>
      <c r="AW348" s="72"/>
      <c r="AX348" s="72"/>
    </row>
    <row r="349" spans="1:50" ht="15" customHeight="1">
      <c r="A349" s="70" t="s">
        <v>1017</v>
      </c>
      <c r="B349" s="68" t="s">
        <v>919</v>
      </c>
      <c r="C349" s="69" t="s">
        <v>45</v>
      </c>
      <c r="D349" s="70" t="s">
        <v>627</v>
      </c>
      <c r="E349" s="70"/>
      <c r="F349" s="68">
        <v>0</v>
      </c>
      <c r="G349" s="71" t="s">
        <v>317</v>
      </c>
      <c r="H349" s="71" t="s">
        <v>517</v>
      </c>
      <c r="I349" s="71" t="s">
        <v>1018</v>
      </c>
      <c r="J349" s="71"/>
      <c r="K349" s="72"/>
      <c r="L349" s="72"/>
      <c r="M349" s="72"/>
      <c r="N349" s="72"/>
      <c r="O349" s="71" t="s">
        <v>90</v>
      </c>
      <c r="P349" s="69">
        <v>1</v>
      </c>
      <c r="Q349" s="68">
        <f>MAX(0,$V349-$P349-$S349)</f>
        <v>0</v>
      </c>
      <c r="R349" s="68"/>
      <c r="S349" s="68"/>
      <c r="T349" s="73">
        <v>2.5499999999999998</v>
      </c>
      <c r="U349" s="73">
        <f>IF(AND($Q349&gt;0,ISNUMBER($T349)),$Q349*$T349,0)</f>
        <v>0</v>
      </c>
      <c r="V349" s="68">
        <f>SUM(W349:AB349)</f>
        <v>1</v>
      </c>
      <c r="W349" s="68"/>
      <c r="X349" s="68"/>
      <c r="Y349" s="68">
        <v>1</v>
      </c>
      <c r="Z349" s="68"/>
      <c r="AA349" s="68"/>
      <c r="AB349" s="68"/>
      <c r="AC349" s="68"/>
      <c r="AD349" s="75">
        <f>SUM(AE349:AJ349)</f>
        <v>1</v>
      </c>
      <c r="AE349" s="76"/>
      <c r="AF349" s="76"/>
      <c r="AG349" s="76">
        <v>1</v>
      </c>
      <c r="AH349" s="76"/>
      <c r="AI349" s="76"/>
      <c r="AJ349" s="76"/>
      <c r="AK349" s="76"/>
      <c r="AL349" s="77">
        <f>IF((P349-SUM(AE349:AK349))&lt;0,0,P349-SUM(AE349:AK349))</f>
        <v>0</v>
      </c>
      <c r="AM349" s="77">
        <f>SUM(AO349:AT349)</f>
        <v>0</v>
      </c>
      <c r="AN349" s="129"/>
      <c r="AO349" s="72"/>
      <c r="AP349" s="72"/>
      <c r="AQ349" s="72"/>
      <c r="AR349" s="72"/>
      <c r="AS349" s="72"/>
      <c r="AT349" s="72"/>
      <c r="AU349" s="72"/>
      <c r="AV349" s="70"/>
      <c r="AW349" s="72"/>
      <c r="AX349" s="72"/>
    </row>
    <row r="350" spans="1:50" ht="15" customHeight="1">
      <c r="A350" s="86" t="s">
        <v>2142</v>
      </c>
      <c r="B350" s="68" t="s">
        <v>1971</v>
      </c>
      <c r="C350" s="69" t="s">
        <v>45</v>
      </c>
      <c r="D350" s="70" t="s">
        <v>64</v>
      </c>
      <c r="E350" s="70" t="s">
        <v>1130</v>
      </c>
      <c r="F350" s="68">
        <v>4</v>
      </c>
      <c r="G350" s="71" t="s">
        <v>91</v>
      </c>
      <c r="H350" s="71" t="s">
        <v>2143</v>
      </c>
      <c r="I350" s="71" t="s">
        <v>2144</v>
      </c>
      <c r="J350" s="71"/>
      <c r="K350" s="72"/>
      <c r="L350" s="72"/>
      <c r="M350" s="72"/>
      <c r="N350" s="72"/>
      <c r="O350" s="71" t="s">
        <v>210</v>
      </c>
      <c r="P350" s="69">
        <v>1</v>
      </c>
      <c r="Q350" s="68">
        <f>MAX(0,$V350-$P350-$S350)</f>
        <v>0</v>
      </c>
      <c r="R350" s="68" t="s">
        <v>57</v>
      </c>
      <c r="S350" s="68">
        <v>1</v>
      </c>
      <c r="T350" s="73">
        <v>0.56999999999999995</v>
      </c>
      <c r="U350" s="73">
        <f>IF(AND($Q350&gt;0,ISNUMBER($T350)),$Q350*$T350,0)</f>
        <v>0</v>
      </c>
      <c r="V350" s="68">
        <f>SUM(W350:AB350)</f>
        <v>1</v>
      </c>
      <c r="W350" s="68"/>
      <c r="X350" s="68"/>
      <c r="Y350" s="68"/>
      <c r="Z350" s="68"/>
      <c r="AA350" s="87">
        <v>1</v>
      </c>
      <c r="AB350" s="68"/>
      <c r="AC350" s="68"/>
      <c r="AD350" s="75">
        <f>SUM(AE350:AJ350)</f>
        <v>1</v>
      </c>
      <c r="AE350" s="76"/>
      <c r="AF350" s="76"/>
      <c r="AG350" s="76"/>
      <c r="AH350" s="76"/>
      <c r="AI350" s="76">
        <v>1</v>
      </c>
      <c r="AJ350" s="76"/>
      <c r="AK350" s="76"/>
      <c r="AL350" s="77">
        <f>IF((P350-SUM(AE350:AK350))&lt;0,0,P350-SUM(AE350:AK350))</f>
        <v>0</v>
      </c>
      <c r="AM350" s="77">
        <f>SUM(AO350:AT350)</f>
        <v>0</v>
      </c>
      <c r="AN350" s="72"/>
      <c r="AO350" s="72"/>
      <c r="AP350" s="72"/>
      <c r="AQ350" s="72"/>
      <c r="AR350" s="72"/>
      <c r="AS350" s="72"/>
      <c r="AT350" s="72"/>
      <c r="AU350" s="72"/>
      <c r="AV350" s="70"/>
      <c r="AW350" s="72"/>
      <c r="AX350" s="72"/>
    </row>
    <row r="351" spans="1:50" ht="15" customHeight="1">
      <c r="A351" s="70" t="s">
        <v>1679</v>
      </c>
      <c r="B351" s="68" t="s">
        <v>1499</v>
      </c>
      <c r="C351" s="69" t="s">
        <v>45</v>
      </c>
      <c r="D351" s="70" t="s">
        <v>1680</v>
      </c>
      <c r="E351" s="70"/>
      <c r="F351" s="68">
        <v>0</v>
      </c>
      <c r="G351" s="71" t="s">
        <v>627</v>
      </c>
      <c r="H351" s="71" t="s">
        <v>517</v>
      </c>
      <c r="I351" s="71" t="s">
        <v>1681</v>
      </c>
      <c r="J351" s="71"/>
      <c r="K351" s="72"/>
      <c r="L351" s="72"/>
      <c r="M351" s="72"/>
      <c r="N351" s="72"/>
      <c r="O351" s="71" t="s">
        <v>541</v>
      </c>
      <c r="P351" s="69">
        <v>1</v>
      </c>
      <c r="Q351" s="68">
        <f>MAX(0,$V351-$P351-$S351)</f>
        <v>0</v>
      </c>
      <c r="R351" s="68" t="s">
        <v>57</v>
      </c>
      <c r="S351" s="68">
        <v>1</v>
      </c>
      <c r="T351" s="73">
        <v>0.36</v>
      </c>
      <c r="U351" s="73">
        <f>IF(AND($Q351&gt;0,ISNUMBER($T351)),$Q351*$T351,0)</f>
        <v>0</v>
      </c>
      <c r="V351" s="68">
        <f>SUM(W351:AB351)</f>
        <v>1</v>
      </c>
      <c r="W351" s="68"/>
      <c r="X351" s="68"/>
      <c r="Y351" s="68"/>
      <c r="Z351" s="68"/>
      <c r="AA351" s="68"/>
      <c r="AB351" s="68">
        <v>1</v>
      </c>
      <c r="AC351" s="68"/>
      <c r="AD351" s="75">
        <f>SUM(AE351:AJ351)</f>
        <v>1</v>
      </c>
      <c r="AE351" s="76"/>
      <c r="AF351" s="76"/>
      <c r="AG351" s="76"/>
      <c r="AH351" s="76"/>
      <c r="AI351" s="76"/>
      <c r="AJ351" s="76">
        <v>1</v>
      </c>
      <c r="AK351" s="76"/>
      <c r="AL351" s="77">
        <f>IF((P351-SUM(AE351:AK351))&lt;0,0,P351-SUM(AE351:AK351))</f>
        <v>0</v>
      </c>
      <c r="AM351" s="77">
        <f>SUM(AO351:AT351)</f>
        <v>0</v>
      </c>
      <c r="AN351" s="85"/>
      <c r="AO351" s="72"/>
      <c r="AP351" s="72"/>
      <c r="AQ351" s="72"/>
      <c r="AR351" s="72"/>
      <c r="AS351" s="85"/>
      <c r="AT351" s="72"/>
      <c r="AU351" s="85"/>
      <c r="AV351" s="70"/>
      <c r="AW351" s="72"/>
      <c r="AX351" s="72"/>
    </row>
    <row r="352" spans="1:50" ht="15" customHeight="1">
      <c r="A352" s="98" t="s">
        <v>2481</v>
      </c>
      <c r="B352" s="100" t="s">
        <v>1499</v>
      </c>
      <c r="C352" s="101" t="s">
        <v>45</v>
      </c>
      <c r="D352" s="98" t="s">
        <v>2482</v>
      </c>
      <c r="E352" s="98" t="s">
        <v>637</v>
      </c>
      <c r="F352" s="100">
        <v>4</v>
      </c>
      <c r="G352" s="98" t="s">
        <v>1901</v>
      </c>
      <c r="H352" s="98" t="s">
        <v>2483</v>
      </c>
      <c r="I352" s="98" t="s">
        <v>2484</v>
      </c>
      <c r="J352" s="98"/>
      <c r="K352" s="99"/>
      <c r="L352" s="99"/>
      <c r="M352" s="99"/>
      <c r="N352" s="99"/>
      <c r="O352" s="98" t="s">
        <v>48</v>
      </c>
      <c r="P352" s="101">
        <v>1</v>
      </c>
      <c r="Q352" s="68">
        <f>MAX(0,$V352-$P352-$S352)</f>
        <v>0</v>
      </c>
      <c r="R352" s="98"/>
      <c r="S352" s="98"/>
      <c r="T352" s="98">
        <v>0.26</v>
      </c>
      <c r="U352" s="98">
        <f>IF(AND($Q352&gt;0,ISNUMBER($T352)),$Q352*$T352,0)</f>
        <v>0</v>
      </c>
      <c r="V352" s="68">
        <f>SUM(W352:AB352)</f>
        <v>0</v>
      </c>
      <c r="W352" s="100"/>
      <c r="X352" s="100"/>
      <c r="Y352" s="100"/>
      <c r="Z352" s="100"/>
      <c r="AA352" s="100"/>
      <c r="AB352" s="100"/>
      <c r="AC352" s="68"/>
      <c r="AD352" s="75">
        <f>SUM(AE352:AJ352)</f>
        <v>0</v>
      </c>
      <c r="AE352" s="102"/>
      <c r="AF352" s="102"/>
      <c r="AG352" s="102"/>
      <c r="AH352" s="102"/>
      <c r="AI352" s="102"/>
      <c r="AJ352" s="102"/>
      <c r="AK352" s="102"/>
      <c r="AL352" s="77">
        <f>IF((P352-SUM(AE352:AK352))&lt;0,0,P352-SUM(AE352:AK352))</f>
        <v>1</v>
      </c>
      <c r="AM352" s="77">
        <f>SUM(AO352:AT352)</f>
        <v>0</v>
      </c>
      <c r="AN352" s="99"/>
      <c r="AO352" s="99"/>
      <c r="AP352" s="99"/>
      <c r="AQ352" s="99"/>
      <c r="AR352" s="99"/>
      <c r="AS352" s="99"/>
      <c r="AT352" s="99"/>
      <c r="AU352" s="99"/>
      <c r="AV352" s="98"/>
      <c r="AW352" s="99"/>
      <c r="AX352" s="99"/>
    </row>
    <row r="353" spans="1:50" ht="15" customHeight="1">
      <c r="A353" s="67" t="s">
        <v>1310</v>
      </c>
      <c r="B353" s="68" t="s">
        <v>1114</v>
      </c>
      <c r="C353" s="69" t="s">
        <v>45</v>
      </c>
      <c r="D353" s="70" t="s">
        <v>47</v>
      </c>
      <c r="E353" s="70"/>
      <c r="F353" s="68">
        <v>2</v>
      </c>
      <c r="G353" s="71" t="s">
        <v>54</v>
      </c>
      <c r="H353" s="71" t="s">
        <v>1311</v>
      </c>
      <c r="I353" s="71"/>
      <c r="J353" s="71"/>
      <c r="K353" s="72"/>
      <c r="L353" s="72"/>
      <c r="M353" s="72"/>
      <c r="N353" s="72"/>
      <c r="O353" s="71" t="s">
        <v>740</v>
      </c>
      <c r="P353" s="69">
        <v>1</v>
      </c>
      <c r="Q353" s="68">
        <f>MAX(0,$V353-$P353-$S353)</f>
        <v>0</v>
      </c>
      <c r="R353" s="68"/>
      <c r="S353" s="68"/>
      <c r="T353" s="73">
        <v>0.11</v>
      </c>
      <c r="U353" s="73">
        <f>IF(AND($Q353&gt;0,ISNUMBER($T353)),$Q353*$T353,0)</f>
        <v>0</v>
      </c>
      <c r="V353" s="68">
        <f>SUM(W353:AB353)</f>
        <v>0</v>
      </c>
      <c r="W353" s="68"/>
      <c r="X353" s="68"/>
      <c r="Y353" s="68"/>
      <c r="Z353" s="74"/>
      <c r="AA353" s="68"/>
      <c r="AB353" s="68"/>
      <c r="AC353" s="68"/>
      <c r="AD353" s="75">
        <f>SUM(AE353:AJ353)</f>
        <v>0</v>
      </c>
      <c r="AE353" s="76"/>
      <c r="AF353" s="76"/>
      <c r="AG353" s="76"/>
      <c r="AH353" s="76"/>
      <c r="AI353" s="76"/>
      <c r="AJ353" s="76"/>
      <c r="AK353" s="76"/>
      <c r="AL353" s="77">
        <f>IF((P353-SUM(AE353:AK353))&lt;0,0,P353-SUM(AE353:AK353))</f>
        <v>1</v>
      </c>
      <c r="AM353" s="77">
        <f>SUM(AO353:AT353)</f>
        <v>0</v>
      </c>
      <c r="AN353" s="72"/>
      <c r="AO353" s="72"/>
      <c r="AP353" s="72"/>
      <c r="AQ353" s="72"/>
      <c r="AR353" s="72"/>
      <c r="AS353" s="72"/>
      <c r="AT353" s="72"/>
      <c r="AU353" s="72"/>
      <c r="AV353" s="70"/>
      <c r="AW353" s="72"/>
      <c r="AX353" s="72"/>
    </row>
    <row r="354" spans="1:50" ht="15" customHeight="1">
      <c r="A354" s="70" t="s">
        <v>1316</v>
      </c>
      <c r="B354" s="68" t="s">
        <v>1114</v>
      </c>
      <c r="C354" s="69" t="s">
        <v>45</v>
      </c>
      <c r="D354" s="70" t="s">
        <v>123</v>
      </c>
      <c r="E354" s="70" t="s">
        <v>192</v>
      </c>
      <c r="F354" s="68">
        <v>2</v>
      </c>
      <c r="G354" s="71" t="s">
        <v>91</v>
      </c>
      <c r="H354" s="71" t="s">
        <v>1317</v>
      </c>
      <c r="I354" s="71" t="s">
        <v>1318</v>
      </c>
      <c r="J354" s="71" t="s">
        <v>1319</v>
      </c>
      <c r="K354" s="69"/>
      <c r="L354" s="69"/>
      <c r="M354" s="69"/>
      <c r="N354" s="69"/>
      <c r="O354" s="71" t="s">
        <v>981</v>
      </c>
      <c r="P354" s="69">
        <v>1</v>
      </c>
      <c r="Q354" s="68">
        <f>MAX(0,$V354-$P354-$S354)</f>
        <v>0</v>
      </c>
      <c r="R354" s="68"/>
      <c r="S354" s="68"/>
      <c r="T354" s="73">
        <v>0.17</v>
      </c>
      <c r="U354" s="73">
        <f>IF(AND($Q354&gt;0,ISNUMBER($T354)),$Q354*$T354,0)</f>
        <v>0</v>
      </c>
      <c r="V354" s="68">
        <f>SUM(W354:AB354)</f>
        <v>1</v>
      </c>
      <c r="W354" s="68">
        <v>1</v>
      </c>
      <c r="X354" s="68"/>
      <c r="Y354" s="68"/>
      <c r="Z354" s="68"/>
      <c r="AA354" s="68"/>
      <c r="AB354" s="68"/>
      <c r="AC354" s="68"/>
      <c r="AD354" s="75">
        <f>SUM(AE354:AJ354)</f>
        <v>1</v>
      </c>
      <c r="AE354" s="76">
        <v>1</v>
      </c>
      <c r="AF354" s="76"/>
      <c r="AG354" s="76"/>
      <c r="AH354" s="76"/>
      <c r="AI354" s="76"/>
      <c r="AJ354" s="76"/>
      <c r="AK354" s="76"/>
      <c r="AL354" s="77">
        <f>IF((P354-SUM(AE354:AK354))&lt;0,0,P354-SUM(AE354:AK354))</f>
        <v>0</v>
      </c>
      <c r="AM354" s="77">
        <f>SUM(AO354:AT354)</f>
        <v>0</v>
      </c>
      <c r="AN354" s="129"/>
      <c r="AO354" s="72"/>
      <c r="AP354" s="72"/>
      <c r="AQ354" s="72"/>
      <c r="AR354" s="72"/>
      <c r="AS354" s="72"/>
      <c r="AT354" s="72"/>
      <c r="AU354" s="72"/>
      <c r="AV354" s="70"/>
      <c r="AW354" s="72"/>
      <c r="AX354" s="72"/>
    </row>
    <row r="355" spans="1:50" ht="15" customHeight="1">
      <c r="A355" s="70" t="s">
        <v>1320</v>
      </c>
      <c r="B355" s="68" t="s">
        <v>1114</v>
      </c>
      <c r="C355" s="69" t="s">
        <v>45</v>
      </c>
      <c r="D355" s="70" t="s">
        <v>64</v>
      </c>
      <c r="E355" s="70" t="s">
        <v>1321</v>
      </c>
      <c r="F355" s="68">
        <v>3</v>
      </c>
      <c r="G355" s="71" t="s">
        <v>675</v>
      </c>
      <c r="H355" s="71" t="s">
        <v>1322</v>
      </c>
      <c r="I355" s="71"/>
      <c r="J355" s="71"/>
      <c r="K355" s="72"/>
      <c r="L355" s="72"/>
      <c r="M355" s="72"/>
      <c r="N355" s="72"/>
      <c r="O355" s="71" t="s">
        <v>256</v>
      </c>
      <c r="P355" s="69">
        <v>1</v>
      </c>
      <c r="Q355" s="68">
        <f>MAX(0,$V355-$P355-$S355)</f>
        <v>0</v>
      </c>
      <c r="R355" s="68" t="s">
        <v>57</v>
      </c>
      <c r="S355" s="68">
        <v>1</v>
      </c>
      <c r="T355" s="73">
        <v>0.42</v>
      </c>
      <c r="U355" s="73">
        <f>IF(AND($Q355&gt;0,ISNUMBER($T355)),$Q355*$T355,0)</f>
        <v>0</v>
      </c>
      <c r="V355" s="68">
        <f>SUM(W355:AB355)</f>
        <v>1</v>
      </c>
      <c r="W355" s="68"/>
      <c r="X355" s="68">
        <v>1</v>
      </c>
      <c r="Y355" s="68"/>
      <c r="Z355" s="68"/>
      <c r="AA355" s="68"/>
      <c r="AB355" s="68"/>
      <c r="AC355" s="68"/>
      <c r="AD355" s="75">
        <f>SUM(AE355:AJ355)</f>
        <v>1</v>
      </c>
      <c r="AE355" s="76"/>
      <c r="AF355" s="76">
        <v>1</v>
      </c>
      <c r="AG355" s="76"/>
      <c r="AH355" s="76"/>
      <c r="AI355" s="76"/>
      <c r="AJ355" s="76"/>
      <c r="AK355" s="76"/>
      <c r="AL355" s="77">
        <f>IF((P355-SUM(AE355:AK355))&lt;0,0,P355-SUM(AE355:AK355))</f>
        <v>0</v>
      </c>
      <c r="AM355" s="77">
        <f>SUM(AO355:AT355)</f>
        <v>0</v>
      </c>
      <c r="AN355" s="129"/>
      <c r="AO355" s="72"/>
      <c r="AP355" s="72"/>
      <c r="AQ355" s="72"/>
      <c r="AR355" s="72"/>
      <c r="AS355" s="72"/>
      <c r="AT355" s="129"/>
      <c r="AU355" s="129"/>
      <c r="AV355" s="70"/>
      <c r="AW355" s="72"/>
      <c r="AX355" s="72"/>
    </row>
    <row r="356" spans="1:50" ht="15" customHeight="1">
      <c r="A356" s="70" t="s">
        <v>2149</v>
      </c>
      <c r="B356" s="68" t="s">
        <v>1971</v>
      </c>
      <c r="C356" s="69" t="s">
        <v>45</v>
      </c>
      <c r="D356" s="70" t="s">
        <v>64</v>
      </c>
      <c r="E356" s="70" t="s">
        <v>1449</v>
      </c>
      <c r="F356" s="68">
        <v>5</v>
      </c>
      <c r="G356" s="71" t="s">
        <v>438</v>
      </c>
      <c r="H356" s="71" t="s">
        <v>2150</v>
      </c>
      <c r="I356" s="71" t="s">
        <v>2151</v>
      </c>
      <c r="J356" s="71"/>
      <c r="K356" s="72"/>
      <c r="L356" s="72"/>
      <c r="M356" s="72"/>
      <c r="N356" s="72"/>
      <c r="O356" s="71" t="s">
        <v>97</v>
      </c>
      <c r="P356" s="69">
        <v>1</v>
      </c>
      <c r="Q356" s="68">
        <f>MAX(0,$V356-$P356-$S356)</f>
        <v>0</v>
      </c>
      <c r="R356" s="68"/>
      <c r="S356" s="68"/>
      <c r="T356" s="73">
        <v>0.05</v>
      </c>
      <c r="U356" s="73">
        <f>IF(AND($Q356&gt;0,ISNUMBER($T356)),$Q356*$T356,0)</f>
        <v>0</v>
      </c>
      <c r="V356" s="68">
        <f>SUM(W356:AB356)</f>
        <v>0</v>
      </c>
      <c r="W356" s="68"/>
      <c r="X356" s="68"/>
      <c r="Y356" s="68"/>
      <c r="Z356" s="68"/>
      <c r="AA356" s="68"/>
      <c r="AB356" s="68"/>
      <c r="AC356" s="68"/>
      <c r="AD356" s="75">
        <f>SUM(AE356:AJ356)</f>
        <v>0</v>
      </c>
      <c r="AE356" s="76"/>
      <c r="AF356" s="76"/>
      <c r="AG356" s="76"/>
      <c r="AH356" s="76"/>
      <c r="AI356" s="76"/>
      <c r="AJ356" s="76"/>
      <c r="AK356" s="76"/>
      <c r="AL356" s="77">
        <f>IF((P356-SUM(AE356:AK356))&lt;0,0,P356-SUM(AE356:AK356))</f>
        <v>1</v>
      </c>
      <c r="AM356" s="77">
        <f>SUM(AO356:AT356)</f>
        <v>0</v>
      </c>
      <c r="AN356" s="129"/>
      <c r="AO356" s="72"/>
      <c r="AP356" s="72"/>
      <c r="AQ356" s="72"/>
      <c r="AR356" s="72"/>
      <c r="AS356" s="72"/>
      <c r="AT356" s="129"/>
      <c r="AU356" s="129"/>
      <c r="AV356" s="70"/>
      <c r="AW356" s="72"/>
      <c r="AX356" s="72"/>
    </row>
    <row r="357" spans="1:50" ht="15" customHeight="1">
      <c r="A357" s="70" t="s">
        <v>2152</v>
      </c>
      <c r="B357" s="68" t="s">
        <v>1971</v>
      </c>
      <c r="C357" s="69" t="s">
        <v>45</v>
      </c>
      <c r="D357" s="70" t="s">
        <v>64</v>
      </c>
      <c r="E357" s="70" t="s">
        <v>1449</v>
      </c>
      <c r="F357" s="68">
        <v>2</v>
      </c>
      <c r="G357" s="71" t="s">
        <v>392</v>
      </c>
      <c r="H357" s="71" t="s">
        <v>1328</v>
      </c>
      <c r="I357" s="71" t="s">
        <v>2153</v>
      </c>
      <c r="J357" s="71"/>
      <c r="K357" s="69"/>
      <c r="L357" s="69"/>
      <c r="M357" s="69"/>
      <c r="N357" s="69"/>
      <c r="O357" s="71" t="s">
        <v>696</v>
      </c>
      <c r="P357" s="69">
        <v>1</v>
      </c>
      <c r="Q357" s="68">
        <f>MAX(0,$V357-$P357-$S357)</f>
        <v>0</v>
      </c>
      <c r="R357" s="68"/>
      <c r="S357" s="68"/>
      <c r="T357" s="73">
        <v>4.3</v>
      </c>
      <c r="U357" s="73">
        <f>IF(AND($Q357&gt;0,ISNUMBER($T357)),$Q357*$T357,0)</f>
        <v>0</v>
      </c>
      <c r="V357" s="68">
        <f>SUM(W357:AB357)</f>
        <v>1</v>
      </c>
      <c r="W357" s="68">
        <v>1</v>
      </c>
      <c r="X357" s="68"/>
      <c r="Y357" s="68"/>
      <c r="Z357" s="68"/>
      <c r="AA357" s="68"/>
      <c r="AB357" s="68"/>
      <c r="AC357" s="68"/>
      <c r="AD357" s="75">
        <f>SUM(AE357:AJ357)</f>
        <v>1</v>
      </c>
      <c r="AE357" s="76">
        <v>1</v>
      </c>
      <c r="AF357" s="76"/>
      <c r="AG357" s="76"/>
      <c r="AH357" s="76"/>
      <c r="AI357" s="76"/>
      <c r="AJ357" s="76"/>
      <c r="AK357" s="76"/>
      <c r="AL357" s="77">
        <f>IF((P357-SUM(AE357:AK357))&lt;0,0,P357-SUM(AE357:AK357))</f>
        <v>0</v>
      </c>
      <c r="AM357" s="77">
        <f>SUM(AO357:AT357)</f>
        <v>0</v>
      </c>
      <c r="AN357" s="72"/>
      <c r="AO357" s="72"/>
      <c r="AP357" s="72"/>
      <c r="AQ357" s="72"/>
      <c r="AR357" s="72"/>
      <c r="AS357" s="72"/>
      <c r="AT357" s="72"/>
      <c r="AU357" s="72"/>
      <c r="AV357" s="70"/>
      <c r="AW357" s="72"/>
      <c r="AX357" s="72"/>
    </row>
    <row r="358" spans="1:50" ht="15" customHeight="1">
      <c r="A358" s="70" t="s">
        <v>2154</v>
      </c>
      <c r="B358" s="68" t="s">
        <v>1971</v>
      </c>
      <c r="C358" s="69" t="s">
        <v>45</v>
      </c>
      <c r="D358" s="70" t="s">
        <v>64</v>
      </c>
      <c r="E358" s="70" t="s">
        <v>2155</v>
      </c>
      <c r="F358" s="68">
        <v>4</v>
      </c>
      <c r="G358" s="71" t="s">
        <v>392</v>
      </c>
      <c r="H358" s="71" t="s">
        <v>2156</v>
      </c>
      <c r="I358" s="71"/>
      <c r="J358" s="71"/>
      <c r="K358" s="72"/>
      <c r="L358" s="72"/>
      <c r="M358" s="72"/>
      <c r="N358" s="72"/>
      <c r="O358" s="71" t="s">
        <v>303</v>
      </c>
      <c r="P358" s="69">
        <v>1</v>
      </c>
      <c r="Q358" s="68">
        <f>MAX(0,$V358-$P358-$S358)</f>
        <v>0</v>
      </c>
      <c r="R358" s="68"/>
      <c r="S358" s="68"/>
      <c r="T358" s="73">
        <v>0.22</v>
      </c>
      <c r="U358" s="73">
        <f>IF(AND($Q358&gt;0,ISNUMBER($T358)),$Q358*$T358,0)</f>
        <v>0</v>
      </c>
      <c r="V358" s="68">
        <f>SUM(W358:AB358)</f>
        <v>0</v>
      </c>
      <c r="W358" s="68"/>
      <c r="X358" s="68"/>
      <c r="Y358" s="68"/>
      <c r="Z358" s="68"/>
      <c r="AA358" s="68"/>
      <c r="AB358" s="68"/>
      <c r="AC358" s="68"/>
      <c r="AD358" s="75">
        <f>SUM(AE358:AJ358)</f>
        <v>0</v>
      </c>
      <c r="AE358" s="76"/>
      <c r="AF358" s="76"/>
      <c r="AG358" s="76"/>
      <c r="AH358" s="76"/>
      <c r="AI358" s="76"/>
      <c r="AJ358" s="76"/>
      <c r="AK358" s="76"/>
      <c r="AL358" s="77">
        <f>IF((P358-SUM(AE358:AK358))&lt;0,0,P358-SUM(AE358:AK358))</f>
        <v>1</v>
      </c>
      <c r="AM358" s="77">
        <f>SUM(AO358:AT358)</f>
        <v>0</v>
      </c>
      <c r="AN358" s="72"/>
      <c r="AO358" s="72"/>
      <c r="AP358" s="72"/>
      <c r="AQ358" s="72"/>
      <c r="AR358" s="72"/>
      <c r="AS358" s="72"/>
      <c r="AT358" s="72"/>
      <c r="AU358" s="72"/>
      <c r="AV358" s="70"/>
      <c r="AW358" s="72"/>
      <c r="AX358" s="72"/>
    </row>
    <row r="359" spans="1:50" ht="15" customHeight="1">
      <c r="A359" s="70" t="s">
        <v>1688</v>
      </c>
      <c r="B359" s="68" t="s">
        <v>1499</v>
      </c>
      <c r="C359" s="69" t="s">
        <v>45</v>
      </c>
      <c r="D359" s="70" t="s">
        <v>123</v>
      </c>
      <c r="E359" s="70" t="s">
        <v>85</v>
      </c>
      <c r="F359" s="68">
        <v>3</v>
      </c>
      <c r="G359" s="71" t="s">
        <v>54</v>
      </c>
      <c r="H359" s="71" t="s">
        <v>1689</v>
      </c>
      <c r="I359" s="71"/>
      <c r="J359" s="71"/>
      <c r="K359" s="72"/>
      <c r="L359" s="72"/>
      <c r="M359" s="72"/>
      <c r="N359" s="72"/>
      <c r="O359" s="71" t="s">
        <v>90</v>
      </c>
      <c r="P359" s="69">
        <v>1</v>
      </c>
      <c r="Q359" s="68">
        <f>MAX(0,$V359-$P359-$S359)</f>
        <v>0</v>
      </c>
      <c r="R359" s="68"/>
      <c r="S359" s="68"/>
      <c r="T359" s="73">
        <v>2.63</v>
      </c>
      <c r="U359" s="73">
        <f>IF(AND($Q359&gt;0,ISNUMBER($T359)),$Q359*$T359,0)</f>
        <v>0</v>
      </c>
      <c r="V359" s="68">
        <f>SUM(W359:AB359)</f>
        <v>1</v>
      </c>
      <c r="W359" s="68"/>
      <c r="X359" s="68"/>
      <c r="Y359" s="68"/>
      <c r="Z359" s="68"/>
      <c r="AA359" s="68"/>
      <c r="AB359" s="68">
        <v>1</v>
      </c>
      <c r="AC359" s="68"/>
      <c r="AD359" s="75">
        <f>SUM(AE359:AJ359)</f>
        <v>1</v>
      </c>
      <c r="AE359" s="76"/>
      <c r="AF359" s="76"/>
      <c r="AG359" s="76"/>
      <c r="AH359" s="76"/>
      <c r="AI359" s="76"/>
      <c r="AJ359" s="76">
        <v>1</v>
      </c>
      <c r="AK359" s="76"/>
      <c r="AL359" s="77">
        <f>IF((P359-SUM(AE359:AK359))&lt;0,0,P359-SUM(AE359:AK359))</f>
        <v>0</v>
      </c>
      <c r="AM359" s="77">
        <f>SUM(AO359:AT359)</f>
        <v>0</v>
      </c>
      <c r="AN359" s="72"/>
      <c r="AO359" s="72"/>
      <c r="AP359" s="72"/>
      <c r="AQ359" s="72"/>
      <c r="AR359" s="72"/>
      <c r="AS359" s="72"/>
      <c r="AT359" s="72"/>
      <c r="AU359" s="72"/>
      <c r="AV359" s="70"/>
      <c r="AW359" s="72"/>
      <c r="AX359" s="72"/>
    </row>
    <row r="360" spans="1:50" ht="15" customHeight="1">
      <c r="A360" s="70" t="s">
        <v>763</v>
      </c>
      <c r="B360" s="68" t="s">
        <v>636</v>
      </c>
      <c r="C360" s="69" t="s">
        <v>45</v>
      </c>
      <c r="D360" s="70" t="s">
        <v>276</v>
      </c>
      <c r="E360" s="70" t="s">
        <v>764</v>
      </c>
      <c r="F360" s="68">
        <v>4</v>
      </c>
      <c r="G360" s="71" t="s">
        <v>392</v>
      </c>
      <c r="H360" s="71" t="s">
        <v>765</v>
      </c>
      <c r="I360" s="71" t="s">
        <v>766</v>
      </c>
      <c r="J360" s="71"/>
      <c r="K360" s="72"/>
      <c r="L360" s="72"/>
      <c r="M360" s="72"/>
      <c r="N360" s="72"/>
      <c r="O360" s="71" t="s">
        <v>112</v>
      </c>
      <c r="P360" s="69">
        <v>1</v>
      </c>
      <c r="Q360" s="68">
        <f>MAX(0,$V360-$P360-$S360)</f>
        <v>0</v>
      </c>
      <c r="R360" s="68"/>
      <c r="S360" s="68"/>
      <c r="T360" s="73">
        <v>0.34</v>
      </c>
      <c r="U360" s="73">
        <f>IF(AND($Q360&gt;0,ISNUMBER($T360)),$Q360*$T360,0)</f>
        <v>0</v>
      </c>
      <c r="V360" s="68">
        <f>SUM(W360:AB360)</f>
        <v>0</v>
      </c>
      <c r="W360" s="68"/>
      <c r="X360" s="68"/>
      <c r="Y360" s="68"/>
      <c r="Z360" s="68"/>
      <c r="AA360" s="68"/>
      <c r="AB360" s="68"/>
      <c r="AC360" s="68"/>
      <c r="AD360" s="75">
        <f>SUM(AE360:AJ360)</f>
        <v>0</v>
      </c>
      <c r="AE360" s="76"/>
      <c r="AF360" s="76"/>
      <c r="AG360" s="76"/>
      <c r="AH360" s="76"/>
      <c r="AI360" s="76"/>
      <c r="AJ360" s="76"/>
      <c r="AK360" s="76"/>
      <c r="AL360" s="77">
        <f>IF((P360-SUM(AE360:AK360))&lt;0,0,P360-SUM(AE360:AK360))</f>
        <v>1</v>
      </c>
      <c r="AM360" s="77">
        <f>SUM(AO360:AT360)</f>
        <v>0</v>
      </c>
      <c r="AN360" s="72"/>
      <c r="AO360" s="72"/>
      <c r="AP360" s="72"/>
      <c r="AQ360" s="72"/>
      <c r="AR360" s="72"/>
      <c r="AS360" s="72"/>
      <c r="AT360" s="72"/>
      <c r="AU360" s="72"/>
      <c r="AV360" s="70"/>
      <c r="AW360" s="72"/>
      <c r="AX360" s="72"/>
    </row>
    <row r="361" spans="1:50" ht="15" customHeight="1">
      <c r="A361" s="70" t="s">
        <v>1695</v>
      </c>
      <c r="B361" s="68" t="s">
        <v>1499</v>
      </c>
      <c r="C361" s="69" t="s">
        <v>45</v>
      </c>
      <c r="D361" s="70" t="s">
        <v>123</v>
      </c>
      <c r="E361" s="70" t="s">
        <v>1696</v>
      </c>
      <c r="F361" s="68">
        <v>3</v>
      </c>
      <c r="G361" s="71" t="s">
        <v>1421</v>
      </c>
      <c r="H361" s="71" t="s">
        <v>1249</v>
      </c>
      <c r="I361" s="71" t="s">
        <v>1697</v>
      </c>
      <c r="J361" s="71" t="s">
        <v>1698</v>
      </c>
      <c r="K361" s="69"/>
      <c r="L361" s="69"/>
      <c r="M361" s="69"/>
      <c r="N361" s="69"/>
      <c r="O361" s="71" t="s">
        <v>1083</v>
      </c>
      <c r="P361" s="69">
        <v>1</v>
      </c>
      <c r="Q361" s="68">
        <f>MAX(0,$V361-$P361-$S361)</f>
        <v>0</v>
      </c>
      <c r="R361" s="68"/>
      <c r="S361" s="68"/>
      <c r="T361" s="73">
        <v>0.3</v>
      </c>
      <c r="U361" s="73">
        <f>IF(AND($Q361&gt;0,ISNUMBER($T361)),$Q361*$T361,0)</f>
        <v>0</v>
      </c>
      <c r="V361" s="68">
        <f>SUM(W361:AB361)</f>
        <v>1</v>
      </c>
      <c r="W361" s="68">
        <v>1</v>
      </c>
      <c r="X361" s="68"/>
      <c r="Y361" s="68"/>
      <c r="Z361" s="68"/>
      <c r="AA361" s="68"/>
      <c r="AB361" s="68"/>
      <c r="AC361" s="68"/>
      <c r="AD361" s="75">
        <f>SUM(AE361:AJ361)</f>
        <v>1</v>
      </c>
      <c r="AE361" s="76">
        <v>1</v>
      </c>
      <c r="AF361" s="76"/>
      <c r="AG361" s="76"/>
      <c r="AH361" s="76"/>
      <c r="AI361" s="76"/>
      <c r="AJ361" s="76"/>
      <c r="AK361" s="76"/>
      <c r="AL361" s="77">
        <f>IF((P361-SUM(AE361:AK361))&lt;0,0,P361-SUM(AE361:AK361))</f>
        <v>0</v>
      </c>
      <c r="AM361" s="77">
        <f>SUM(AO361:AT361)</f>
        <v>0</v>
      </c>
      <c r="AN361" s="72"/>
      <c r="AO361" s="72"/>
      <c r="AP361" s="72"/>
      <c r="AQ361" s="72"/>
      <c r="AR361" s="72"/>
      <c r="AS361" s="72"/>
      <c r="AT361" s="72"/>
      <c r="AU361" s="72"/>
      <c r="AV361" s="70"/>
      <c r="AW361" s="72"/>
      <c r="AX361" s="72"/>
    </row>
    <row r="362" spans="1:50" ht="15" customHeight="1">
      <c r="A362" s="67" t="s">
        <v>2485</v>
      </c>
      <c r="B362" s="100" t="s">
        <v>919</v>
      </c>
      <c r="C362" s="101" t="s">
        <v>45</v>
      </c>
      <c r="D362" s="98" t="s">
        <v>627</v>
      </c>
      <c r="E362" s="98"/>
      <c r="F362" s="100">
        <v>0</v>
      </c>
      <c r="G362" s="98" t="s">
        <v>627</v>
      </c>
      <c r="H362" s="98" t="s">
        <v>992</v>
      </c>
      <c r="I362" s="98" t="s">
        <v>926</v>
      </c>
      <c r="J362" s="98" t="s">
        <v>2486</v>
      </c>
      <c r="K362" s="99"/>
      <c r="L362" s="99"/>
      <c r="M362" s="99"/>
      <c r="N362" s="99"/>
      <c r="O362" s="98" t="s">
        <v>136</v>
      </c>
      <c r="P362" s="69">
        <v>1</v>
      </c>
      <c r="Q362" s="68">
        <f>MAX(0,$V362-$P362-$S362)</f>
        <v>0</v>
      </c>
      <c r="R362" s="98"/>
      <c r="S362" s="98"/>
      <c r="T362" s="98">
        <v>0.17</v>
      </c>
      <c r="U362" s="98">
        <f>IF(AND($Q362&gt;0,ISNUMBER($T362)),$Q362*$T362,0)</f>
        <v>0</v>
      </c>
      <c r="V362" s="68">
        <f>SUM(W362:AB362)</f>
        <v>0</v>
      </c>
      <c r="W362" s="98"/>
      <c r="X362" s="98"/>
      <c r="Y362" s="98"/>
      <c r="Z362" s="98"/>
      <c r="AA362" s="98"/>
      <c r="AB362" s="98"/>
      <c r="AC362" s="68"/>
      <c r="AD362" s="75">
        <f>SUM(AE362:AJ362)</f>
        <v>0</v>
      </c>
      <c r="AE362" s="103"/>
      <c r="AF362" s="103"/>
      <c r="AG362" s="103"/>
      <c r="AH362" s="103"/>
      <c r="AI362" s="103"/>
      <c r="AJ362" s="103"/>
      <c r="AK362" s="103"/>
      <c r="AL362" s="77">
        <f>IF((P362-SUM(AE362:AK362))&lt;0,0,P362-SUM(AE362:AK362))</f>
        <v>1</v>
      </c>
      <c r="AM362" s="77">
        <f>SUM(AO362:AT362)</f>
        <v>0</v>
      </c>
      <c r="AN362" s="99"/>
      <c r="AO362" s="99"/>
      <c r="AP362" s="99"/>
      <c r="AQ362" s="99"/>
      <c r="AR362" s="99"/>
      <c r="AS362" s="99"/>
      <c r="AT362" s="99"/>
      <c r="AU362" s="99"/>
      <c r="AV362" s="98"/>
      <c r="AW362" s="99"/>
      <c r="AX362" s="99"/>
    </row>
    <row r="363" spans="1:50" ht="15" customHeight="1">
      <c r="A363" s="70" t="s">
        <v>2157</v>
      </c>
      <c r="B363" s="68" t="s">
        <v>1971</v>
      </c>
      <c r="C363" s="69" t="s">
        <v>45</v>
      </c>
      <c r="D363" s="70" t="s">
        <v>64</v>
      </c>
      <c r="E363" s="70" t="s">
        <v>1200</v>
      </c>
      <c r="F363" s="68">
        <v>1</v>
      </c>
      <c r="G363" s="71" t="s">
        <v>54</v>
      </c>
      <c r="H363" s="71" t="s">
        <v>2158</v>
      </c>
      <c r="I363" s="71" t="s">
        <v>2159</v>
      </c>
      <c r="J363" s="71"/>
      <c r="K363" s="72"/>
      <c r="L363" s="72"/>
      <c r="M363" s="72"/>
      <c r="N363" s="72"/>
      <c r="O363" s="71" t="s">
        <v>136</v>
      </c>
      <c r="P363" s="69">
        <v>1</v>
      </c>
      <c r="Q363" s="68">
        <f>MAX(0,$V363-$P363-$S363)</f>
        <v>0</v>
      </c>
      <c r="R363" s="68"/>
      <c r="S363" s="68"/>
      <c r="T363" s="73">
        <v>0.11</v>
      </c>
      <c r="U363" s="73">
        <f>IF(AND($Q363&gt;0,ISNUMBER($T363)),$Q363*$T363,0)</f>
        <v>0</v>
      </c>
      <c r="V363" s="68">
        <f>SUM(W363:AB363)</f>
        <v>0</v>
      </c>
      <c r="W363" s="68"/>
      <c r="X363" s="68"/>
      <c r="Y363" s="68"/>
      <c r="Z363" s="68"/>
      <c r="AA363" s="68"/>
      <c r="AB363" s="68"/>
      <c r="AC363" s="68"/>
      <c r="AD363" s="75">
        <f>SUM(AE363:AJ363)</f>
        <v>0</v>
      </c>
      <c r="AE363" s="76"/>
      <c r="AF363" s="76"/>
      <c r="AG363" s="76"/>
      <c r="AH363" s="76"/>
      <c r="AI363" s="76"/>
      <c r="AJ363" s="76"/>
      <c r="AK363" s="76"/>
      <c r="AL363" s="77">
        <f>IF((P363-SUM(AE363:AK363))&lt;0,0,P363-SUM(AE363:AK363))</f>
        <v>1</v>
      </c>
      <c r="AM363" s="77">
        <f>SUM(AO363:AT363)</f>
        <v>0</v>
      </c>
      <c r="AN363" s="72"/>
      <c r="AO363" s="72"/>
      <c r="AP363" s="72"/>
      <c r="AQ363" s="72"/>
      <c r="AR363" s="72"/>
      <c r="AS363" s="72"/>
      <c r="AT363" s="72"/>
      <c r="AU363" s="72"/>
      <c r="AV363" s="70"/>
      <c r="AW363" s="72"/>
      <c r="AX363" s="72"/>
    </row>
    <row r="364" spans="1:50" ht="15" customHeight="1">
      <c r="A364" s="98" t="s">
        <v>2487</v>
      </c>
      <c r="B364" s="100" t="s">
        <v>1971</v>
      </c>
      <c r="C364" s="101" t="s">
        <v>45</v>
      </c>
      <c r="D364" s="98" t="s">
        <v>64</v>
      </c>
      <c r="E364" s="98" t="s">
        <v>1894</v>
      </c>
      <c r="F364" s="100">
        <v>4</v>
      </c>
      <c r="G364" s="98" t="s">
        <v>438</v>
      </c>
      <c r="H364" s="98" t="s">
        <v>2488</v>
      </c>
      <c r="I364" s="98"/>
      <c r="J364" s="98"/>
      <c r="K364" s="99"/>
      <c r="L364" s="99"/>
      <c r="M364" s="99"/>
      <c r="N364" s="99"/>
      <c r="O364" s="98" t="s">
        <v>136</v>
      </c>
      <c r="P364" s="101">
        <v>1</v>
      </c>
      <c r="Q364" s="68">
        <f>MAX(0,$V364-$P364-$S364)</f>
        <v>0</v>
      </c>
      <c r="R364" s="98"/>
      <c r="S364" s="98"/>
      <c r="T364" s="98">
        <v>7.0000000000000007E-2</v>
      </c>
      <c r="U364" s="98">
        <f>IF(AND($Q364&gt;0,ISNUMBER($T364)),$Q364*$T364,0)</f>
        <v>0</v>
      </c>
      <c r="V364" s="68">
        <f>SUM(W364:AB364)</f>
        <v>0</v>
      </c>
      <c r="W364" s="100"/>
      <c r="X364" s="100"/>
      <c r="Y364" s="100"/>
      <c r="Z364" s="100"/>
      <c r="AA364" s="100"/>
      <c r="AB364" s="100"/>
      <c r="AC364" s="68"/>
      <c r="AD364" s="75">
        <f>SUM(AE364:AJ364)</f>
        <v>0</v>
      </c>
      <c r="AE364" s="102"/>
      <c r="AF364" s="102"/>
      <c r="AG364" s="102"/>
      <c r="AH364" s="102"/>
      <c r="AI364" s="102"/>
      <c r="AJ364" s="102"/>
      <c r="AK364" s="102"/>
      <c r="AL364" s="77">
        <f>IF((P364-SUM(AE364:AK364))&lt;0,0,P364-SUM(AE364:AK364))</f>
        <v>1</v>
      </c>
      <c r="AM364" s="77">
        <f>SUM(AO364:AT364)</f>
        <v>0</v>
      </c>
      <c r="AN364" s="99"/>
      <c r="AO364" s="99"/>
      <c r="AP364" s="99"/>
      <c r="AQ364" s="99"/>
      <c r="AR364" s="99"/>
      <c r="AS364" s="99"/>
      <c r="AT364" s="99"/>
      <c r="AU364" s="99"/>
      <c r="AV364" s="98"/>
      <c r="AW364" s="99"/>
      <c r="AX364" s="99"/>
    </row>
    <row r="365" spans="1:50" ht="15" customHeight="1">
      <c r="A365" s="67" t="s">
        <v>2489</v>
      </c>
      <c r="B365" s="100" t="s">
        <v>1114</v>
      </c>
      <c r="C365" s="101" t="s">
        <v>45</v>
      </c>
      <c r="D365" s="98" t="s">
        <v>64</v>
      </c>
      <c r="E365" s="98" t="s">
        <v>800</v>
      </c>
      <c r="F365" s="100">
        <v>5</v>
      </c>
      <c r="G365" s="98" t="s">
        <v>285</v>
      </c>
      <c r="H365" s="98" t="s">
        <v>2490</v>
      </c>
      <c r="I365" s="98"/>
      <c r="J365" s="98"/>
      <c r="K365" s="99"/>
      <c r="L365" s="99"/>
      <c r="M365" s="99"/>
      <c r="N365" s="99"/>
      <c r="O365" s="98" t="s">
        <v>136</v>
      </c>
      <c r="P365" s="69">
        <v>1</v>
      </c>
      <c r="Q365" s="68">
        <f>MAX(0,$V365-$P365-$S365)</f>
        <v>0</v>
      </c>
      <c r="R365" s="98"/>
      <c r="S365" s="98"/>
      <c r="T365" s="98">
        <v>1.1000000000000001</v>
      </c>
      <c r="U365" s="98">
        <f>IF(AND($Q365&gt;0,ISNUMBER($T365)),$Q365*$T365,0)</f>
        <v>0</v>
      </c>
      <c r="V365" s="68">
        <f>SUM(W365:AB365)</f>
        <v>0</v>
      </c>
      <c r="W365" s="98"/>
      <c r="X365" s="98"/>
      <c r="Y365" s="98"/>
      <c r="Z365" s="98"/>
      <c r="AA365" s="98"/>
      <c r="AB365" s="98"/>
      <c r="AC365" s="68"/>
      <c r="AD365" s="75">
        <f>SUM(AE365:AJ365)</f>
        <v>0</v>
      </c>
      <c r="AE365" s="103"/>
      <c r="AF365" s="103"/>
      <c r="AG365" s="103"/>
      <c r="AH365" s="103"/>
      <c r="AI365" s="103"/>
      <c r="AJ365" s="103"/>
      <c r="AK365" s="103"/>
      <c r="AL365" s="77">
        <f>IF((P365-SUM(AE365:AK365))&lt;0,0,P365-SUM(AE365:AK365))</f>
        <v>1</v>
      </c>
      <c r="AM365" s="77">
        <f>SUM(AO365:AT365)</f>
        <v>0</v>
      </c>
      <c r="AN365" s="127"/>
      <c r="AO365" s="99"/>
      <c r="AP365" s="99"/>
      <c r="AQ365" s="99"/>
      <c r="AR365" s="99"/>
      <c r="AS365" s="99"/>
      <c r="AT365" s="127"/>
      <c r="AU365" s="127"/>
      <c r="AV365" s="98"/>
      <c r="AW365" s="99"/>
      <c r="AX365" s="99"/>
    </row>
    <row r="366" spans="1:50" ht="15" customHeight="1">
      <c r="A366" s="70" t="s">
        <v>1699</v>
      </c>
      <c r="B366" s="68" t="s">
        <v>1499</v>
      </c>
      <c r="C366" s="69" t="s">
        <v>45</v>
      </c>
      <c r="D366" s="70" t="s">
        <v>64</v>
      </c>
      <c r="E366" s="70" t="s">
        <v>149</v>
      </c>
      <c r="F366" s="68">
        <v>3</v>
      </c>
      <c r="G366" s="71" t="s">
        <v>54</v>
      </c>
      <c r="H366" s="71" t="s">
        <v>1700</v>
      </c>
      <c r="I366" s="71" t="s">
        <v>1701</v>
      </c>
      <c r="J366" s="71"/>
      <c r="K366" s="72"/>
      <c r="L366" s="72"/>
      <c r="M366" s="72"/>
      <c r="N366" s="72"/>
      <c r="O366" s="71" t="s">
        <v>256</v>
      </c>
      <c r="P366" s="69">
        <v>1</v>
      </c>
      <c r="Q366" s="68">
        <f>MAX(0,$V366-$P366-$S366)</f>
        <v>0</v>
      </c>
      <c r="R366" s="68" t="s">
        <v>57</v>
      </c>
      <c r="S366" s="68">
        <v>1</v>
      </c>
      <c r="T366" s="73">
        <v>0.35</v>
      </c>
      <c r="U366" s="73">
        <f>IF(AND($Q366&gt;0,ISNUMBER($T366)),$Q366*$T366,0)</f>
        <v>0</v>
      </c>
      <c r="V366" s="68">
        <f>SUM(W366:AB366)</f>
        <v>1</v>
      </c>
      <c r="W366" s="68"/>
      <c r="X366" s="68"/>
      <c r="Y366" s="68"/>
      <c r="Z366" s="68"/>
      <c r="AA366" s="68"/>
      <c r="AB366" s="68">
        <v>1</v>
      </c>
      <c r="AC366" s="68"/>
      <c r="AD366" s="75">
        <f>SUM(AE366:AJ366)</f>
        <v>1</v>
      </c>
      <c r="AE366" s="76"/>
      <c r="AF366" s="76"/>
      <c r="AG366" s="76"/>
      <c r="AH366" s="76"/>
      <c r="AI366" s="76"/>
      <c r="AJ366" s="76">
        <v>1</v>
      </c>
      <c r="AK366" s="76"/>
      <c r="AL366" s="77">
        <f>IF((P366-SUM(AE366:AK366))&lt;0,0,P366-SUM(AE366:AK366))</f>
        <v>0</v>
      </c>
      <c r="AM366" s="77">
        <f>SUM(AO366:AT366)</f>
        <v>0</v>
      </c>
      <c r="AN366" s="129"/>
      <c r="AO366" s="72"/>
      <c r="AP366" s="72"/>
      <c r="AQ366" s="72"/>
      <c r="AR366" s="72"/>
      <c r="AS366" s="72"/>
      <c r="AT366" s="129"/>
      <c r="AU366" s="129"/>
      <c r="AV366" s="70"/>
      <c r="AW366" s="72"/>
      <c r="AX366" s="72"/>
    </row>
    <row r="367" spans="1:50" ht="15" customHeight="1">
      <c r="A367" s="86" t="s">
        <v>183</v>
      </c>
      <c r="B367" s="68" t="s">
        <v>46</v>
      </c>
      <c r="C367" s="69" t="s">
        <v>45</v>
      </c>
      <c r="D367" s="70" t="s">
        <v>72</v>
      </c>
      <c r="E367" s="70"/>
      <c r="F367" s="68">
        <v>4</v>
      </c>
      <c r="G367" s="71" t="s">
        <v>49</v>
      </c>
      <c r="H367" s="71" t="s">
        <v>185</v>
      </c>
      <c r="I367" s="71" t="s">
        <v>186</v>
      </c>
      <c r="J367" s="71"/>
      <c r="K367" s="72"/>
      <c r="L367" s="72"/>
      <c r="M367" s="72"/>
      <c r="N367" s="72"/>
      <c r="O367" s="71" t="s">
        <v>184</v>
      </c>
      <c r="P367" s="69">
        <v>1</v>
      </c>
      <c r="Q367" s="68">
        <f>MAX(0,$V367-$P367-$S367)</f>
        <v>0</v>
      </c>
      <c r="R367" s="68"/>
      <c r="S367" s="68"/>
      <c r="T367" s="73">
        <v>0.25</v>
      </c>
      <c r="U367" s="73">
        <f>IF(AND($Q367&gt;0,ISNUMBER($T367)),$Q367*$T367,0)</f>
        <v>0</v>
      </c>
      <c r="V367" s="68">
        <f>SUM(W367:AB367)</f>
        <v>1</v>
      </c>
      <c r="W367" s="68"/>
      <c r="X367" s="68"/>
      <c r="Y367" s="68"/>
      <c r="Z367" s="68"/>
      <c r="AA367" s="87">
        <v>1</v>
      </c>
      <c r="AB367" s="68"/>
      <c r="AC367" s="68"/>
      <c r="AD367" s="75">
        <f>SUM(AE367:AJ367)</f>
        <v>1</v>
      </c>
      <c r="AE367" s="76"/>
      <c r="AF367" s="76"/>
      <c r="AG367" s="76"/>
      <c r="AH367" s="76"/>
      <c r="AI367" s="76">
        <v>1</v>
      </c>
      <c r="AJ367" s="76"/>
      <c r="AK367" s="76"/>
      <c r="AL367" s="77">
        <f>IF((P367-SUM(AE367:AK367))&lt;0,0,P367-SUM(AE367:AK367))</f>
        <v>0</v>
      </c>
      <c r="AM367" s="77">
        <f>SUM(AO367:AT367)</f>
        <v>0</v>
      </c>
      <c r="AN367" s="129"/>
      <c r="AO367" s="72"/>
      <c r="AP367" s="72"/>
      <c r="AQ367" s="72"/>
      <c r="AR367" s="72"/>
      <c r="AS367" s="72"/>
      <c r="AT367" s="72"/>
      <c r="AU367" s="72"/>
      <c r="AV367" s="70"/>
      <c r="AW367" s="72"/>
      <c r="AX367" s="72"/>
    </row>
    <row r="368" spans="1:50" ht="15" customHeight="1">
      <c r="A368" s="70" t="s">
        <v>1702</v>
      </c>
      <c r="B368" s="68" t="s">
        <v>1499</v>
      </c>
      <c r="C368" s="69" t="s">
        <v>45</v>
      </c>
      <c r="D368" s="70" t="s">
        <v>47</v>
      </c>
      <c r="E368" s="70"/>
      <c r="F368" s="68">
        <v>3</v>
      </c>
      <c r="G368" s="71" t="s">
        <v>176</v>
      </c>
      <c r="H368" s="71" t="s">
        <v>1703</v>
      </c>
      <c r="I368" s="71" t="s">
        <v>1704</v>
      </c>
      <c r="J368" s="71"/>
      <c r="K368" s="72"/>
      <c r="L368" s="72"/>
      <c r="M368" s="72"/>
      <c r="N368" s="72"/>
      <c r="O368" s="71" t="s">
        <v>53</v>
      </c>
      <c r="P368" s="69">
        <v>1</v>
      </c>
      <c r="Q368" s="68">
        <f>MAX(0,$V368-$P368-$S368)</f>
        <v>0</v>
      </c>
      <c r="R368" s="68" t="s">
        <v>57</v>
      </c>
      <c r="S368" s="68">
        <v>1</v>
      </c>
      <c r="T368" s="73">
        <v>0.38</v>
      </c>
      <c r="U368" s="73">
        <f>IF(AND($Q368&gt;0,ISNUMBER($T368)),$Q368*$T368,0)</f>
        <v>0</v>
      </c>
      <c r="V368" s="68">
        <f>SUM(W368:AB368)</f>
        <v>1</v>
      </c>
      <c r="W368" s="68"/>
      <c r="X368" s="68"/>
      <c r="Y368" s="68"/>
      <c r="Z368" s="68"/>
      <c r="AA368" s="68"/>
      <c r="AB368" s="68">
        <v>1</v>
      </c>
      <c r="AC368" s="68"/>
      <c r="AD368" s="75">
        <f>SUM(AE368:AJ368)</f>
        <v>1</v>
      </c>
      <c r="AE368" s="76"/>
      <c r="AF368" s="76"/>
      <c r="AG368" s="76"/>
      <c r="AH368" s="76"/>
      <c r="AI368" s="76"/>
      <c r="AJ368" s="76">
        <v>1</v>
      </c>
      <c r="AK368" s="76"/>
      <c r="AL368" s="77">
        <f>IF((P368-SUM(AE368:AK368))&lt;0,0,P368-SUM(AE368:AK368))</f>
        <v>0</v>
      </c>
      <c r="AM368" s="77">
        <f>SUM(AO368:AT368)</f>
        <v>0</v>
      </c>
      <c r="AN368" s="72"/>
      <c r="AO368" s="72"/>
      <c r="AP368" s="72"/>
      <c r="AQ368" s="72"/>
      <c r="AR368" s="72"/>
      <c r="AS368" s="72"/>
      <c r="AT368" s="72"/>
      <c r="AU368" s="72"/>
      <c r="AV368" s="70"/>
      <c r="AW368" s="72"/>
      <c r="AX368" s="72"/>
    </row>
    <row r="369" spans="1:50" ht="15" customHeight="1">
      <c r="A369" s="70" t="s">
        <v>1323</v>
      </c>
      <c r="B369" s="68" t="s">
        <v>1114</v>
      </c>
      <c r="C369" s="69" t="s">
        <v>45</v>
      </c>
      <c r="D369" s="70" t="s">
        <v>47</v>
      </c>
      <c r="E369" s="70"/>
      <c r="F369" s="68">
        <v>3</v>
      </c>
      <c r="G369" s="71" t="s">
        <v>54</v>
      </c>
      <c r="H369" s="71" t="s">
        <v>1324</v>
      </c>
      <c r="I369" s="71" t="s">
        <v>1325</v>
      </c>
      <c r="J369" s="71"/>
      <c r="K369" s="72"/>
      <c r="L369" s="72"/>
      <c r="M369" s="72"/>
      <c r="N369" s="72"/>
      <c r="O369" s="71" t="s">
        <v>1107</v>
      </c>
      <c r="P369" s="69">
        <v>1</v>
      </c>
      <c r="Q369" s="68">
        <f>MAX(0,$V369-$P369-$S369)</f>
        <v>0</v>
      </c>
      <c r="R369" s="68"/>
      <c r="S369" s="68"/>
      <c r="T369" s="73">
        <v>0.32</v>
      </c>
      <c r="U369" s="73">
        <f>IF(AND($Q369&gt;0,ISNUMBER($T369)),$Q369*$T369,0)</f>
        <v>0</v>
      </c>
      <c r="V369" s="68">
        <f>SUM(W369:AB369)</f>
        <v>1</v>
      </c>
      <c r="W369" s="68"/>
      <c r="X369" s="68"/>
      <c r="Y369" s="68"/>
      <c r="Z369" s="68"/>
      <c r="AA369" s="95">
        <v>1</v>
      </c>
      <c r="AB369" s="90"/>
      <c r="AC369" s="90"/>
      <c r="AD369" s="75">
        <f>SUM(AE369:AJ369)</f>
        <v>1</v>
      </c>
      <c r="AE369" s="76"/>
      <c r="AF369" s="76"/>
      <c r="AG369" s="76"/>
      <c r="AH369" s="76"/>
      <c r="AI369" s="76">
        <v>1</v>
      </c>
      <c r="AJ369" s="76"/>
      <c r="AK369" s="76"/>
      <c r="AL369" s="77">
        <f>IF((P369-SUM(AE369:AK369))&lt;0,0,P369-SUM(AE369:AK369))</f>
        <v>0</v>
      </c>
      <c r="AM369" s="77">
        <f>SUM(AO369:AT369)</f>
        <v>0</v>
      </c>
      <c r="AN369" s="72"/>
      <c r="AO369" s="72"/>
      <c r="AP369" s="72"/>
      <c r="AQ369" s="72"/>
      <c r="AR369" s="72"/>
      <c r="AS369" s="72"/>
      <c r="AT369" s="72"/>
      <c r="AU369" s="72"/>
      <c r="AV369" s="70"/>
      <c r="AW369" s="72"/>
      <c r="AX369" s="72"/>
    </row>
    <row r="370" spans="1:50" ht="15" customHeight="1">
      <c r="A370" s="98" t="s">
        <v>2491</v>
      </c>
      <c r="B370" s="100" t="s">
        <v>636</v>
      </c>
      <c r="C370" s="101" t="s">
        <v>45</v>
      </c>
      <c r="D370" s="98" t="s">
        <v>64</v>
      </c>
      <c r="E370" s="98" t="s">
        <v>800</v>
      </c>
      <c r="F370" s="100">
        <v>3</v>
      </c>
      <c r="G370" s="98" t="s">
        <v>125</v>
      </c>
      <c r="H370" s="98" t="s">
        <v>2492</v>
      </c>
      <c r="I370" s="98" t="s">
        <v>2226</v>
      </c>
      <c r="J370" s="98"/>
      <c r="K370" s="99"/>
      <c r="L370" s="99"/>
      <c r="M370" s="99"/>
      <c r="N370" s="99"/>
      <c r="O370" s="98" t="s">
        <v>136</v>
      </c>
      <c r="P370" s="69">
        <v>1</v>
      </c>
      <c r="Q370" s="68">
        <f>MAX(0,$V370-$P370-$S370)</f>
        <v>0</v>
      </c>
      <c r="R370" s="98"/>
      <c r="S370" s="98"/>
      <c r="T370" s="98">
        <v>0.18</v>
      </c>
      <c r="U370" s="98">
        <f>IF(AND($Q370&gt;0,ISNUMBER($T370)),$Q370*$T370,0)</f>
        <v>0</v>
      </c>
      <c r="V370" s="68">
        <f>SUM(W370:AB370)</f>
        <v>0</v>
      </c>
      <c r="W370" s="100"/>
      <c r="X370" s="100"/>
      <c r="Y370" s="100"/>
      <c r="Z370" s="100"/>
      <c r="AA370" s="100"/>
      <c r="AB370" s="100"/>
      <c r="AC370" s="68"/>
      <c r="AD370" s="75">
        <f>SUM(AE370:AJ370)</f>
        <v>0</v>
      </c>
      <c r="AE370" s="102"/>
      <c r="AF370" s="102"/>
      <c r="AG370" s="102"/>
      <c r="AH370" s="102"/>
      <c r="AI370" s="102"/>
      <c r="AJ370" s="102"/>
      <c r="AK370" s="102"/>
      <c r="AL370" s="77">
        <f>IF((P370-SUM(AE370:AK370))&lt;0,0,P370-SUM(AE370:AK370))</f>
        <v>1</v>
      </c>
      <c r="AM370" s="77">
        <f>SUM(AO370:AT370)</f>
        <v>0</v>
      </c>
      <c r="AN370" s="99"/>
      <c r="AO370" s="99"/>
      <c r="AP370" s="99"/>
      <c r="AQ370" s="99"/>
      <c r="AR370" s="99"/>
      <c r="AS370" s="99"/>
      <c r="AT370" s="99"/>
      <c r="AU370" s="99"/>
      <c r="AV370" s="98"/>
      <c r="AW370" s="99"/>
      <c r="AX370" s="99"/>
    </row>
    <row r="371" spans="1:50" ht="15" customHeight="1">
      <c r="A371" s="70" t="s">
        <v>767</v>
      </c>
      <c r="B371" s="68" t="s">
        <v>636</v>
      </c>
      <c r="C371" s="69" t="s">
        <v>45</v>
      </c>
      <c r="D371" s="70" t="s">
        <v>64</v>
      </c>
      <c r="E371" s="70" t="s">
        <v>659</v>
      </c>
      <c r="F371" s="68">
        <v>1</v>
      </c>
      <c r="G371" s="71" t="s">
        <v>392</v>
      </c>
      <c r="H371" s="71" t="s">
        <v>768</v>
      </c>
      <c r="I371" s="71"/>
      <c r="J371" s="71"/>
      <c r="K371" s="72"/>
      <c r="L371" s="72"/>
      <c r="M371" s="72"/>
      <c r="N371" s="72"/>
      <c r="O371" s="71" t="s">
        <v>271</v>
      </c>
      <c r="P371" s="69">
        <v>1</v>
      </c>
      <c r="Q371" s="68">
        <f>MAX(0,$V371-$P371-$S371)</f>
        <v>0</v>
      </c>
      <c r="R371" s="68"/>
      <c r="S371" s="68"/>
      <c r="T371" s="73">
        <v>0.27</v>
      </c>
      <c r="U371" s="73">
        <f>IF(AND($Q371&gt;0,ISNUMBER($T371)),$Q371*$T371,0)</f>
        <v>0</v>
      </c>
      <c r="V371" s="68">
        <f>SUM(W371:AB371)</f>
        <v>1</v>
      </c>
      <c r="W371" s="68"/>
      <c r="X371" s="68">
        <v>1</v>
      </c>
      <c r="Y371" s="68"/>
      <c r="Z371" s="68"/>
      <c r="AA371" s="68"/>
      <c r="AB371" s="68"/>
      <c r="AC371" s="68"/>
      <c r="AD371" s="75">
        <f>SUM(AE371:AJ371)</f>
        <v>1</v>
      </c>
      <c r="AE371" s="76"/>
      <c r="AF371" s="76">
        <v>1</v>
      </c>
      <c r="AG371" s="76"/>
      <c r="AH371" s="76"/>
      <c r="AI371" s="76"/>
      <c r="AJ371" s="76"/>
      <c r="AK371" s="76"/>
      <c r="AL371" s="77">
        <f>IF((P371-SUM(AE371:AK371))&lt;0,0,P371-SUM(AE371:AK371))</f>
        <v>0</v>
      </c>
      <c r="AM371" s="77">
        <f>SUM(AO371:AT371)</f>
        <v>0</v>
      </c>
      <c r="AN371" s="85"/>
      <c r="AO371" s="72"/>
      <c r="AP371" s="72"/>
      <c r="AQ371" s="72"/>
      <c r="AR371" s="72"/>
      <c r="AS371" s="72"/>
      <c r="AT371" s="72"/>
      <c r="AU371" s="72"/>
      <c r="AV371" s="70"/>
      <c r="AW371" s="72"/>
      <c r="AX371" s="129"/>
    </row>
    <row r="372" spans="1:50" ht="15" customHeight="1">
      <c r="A372" s="70" t="s">
        <v>187</v>
      </c>
      <c r="B372" s="68" t="s">
        <v>46</v>
      </c>
      <c r="C372" s="69" t="s">
        <v>45</v>
      </c>
      <c r="D372" s="70" t="s">
        <v>72</v>
      </c>
      <c r="E372" s="70"/>
      <c r="F372" s="68">
        <v>2</v>
      </c>
      <c r="G372" s="71" t="s">
        <v>49</v>
      </c>
      <c r="H372" s="71" t="s">
        <v>189</v>
      </c>
      <c r="I372" s="71" t="s">
        <v>190</v>
      </c>
      <c r="J372" s="71"/>
      <c r="K372" s="72"/>
      <c r="L372" s="72"/>
      <c r="M372" s="72"/>
      <c r="N372" s="72"/>
      <c r="O372" s="71" t="s">
        <v>188</v>
      </c>
      <c r="P372" s="69">
        <v>1</v>
      </c>
      <c r="Q372" s="68">
        <f>MAX(0,$V372-$P372-$S372)</f>
        <v>0</v>
      </c>
      <c r="R372" s="68"/>
      <c r="S372" s="68"/>
      <c r="T372" s="73">
        <v>0.25</v>
      </c>
      <c r="U372" s="73">
        <f>IF(AND($Q372&gt;0,ISNUMBER($T372)),$Q372*$T372,0)</f>
        <v>0</v>
      </c>
      <c r="V372" s="68">
        <f>SUM(W372:AB372)</f>
        <v>1</v>
      </c>
      <c r="W372" s="68"/>
      <c r="X372" s="68"/>
      <c r="Y372" s="68">
        <v>1</v>
      </c>
      <c r="Z372" s="68"/>
      <c r="AA372" s="68"/>
      <c r="AB372" s="68"/>
      <c r="AC372" s="68"/>
      <c r="AD372" s="75">
        <f>SUM(AE372:AJ372)</f>
        <v>1</v>
      </c>
      <c r="AE372" s="76"/>
      <c r="AF372" s="76"/>
      <c r="AG372" s="76">
        <v>1</v>
      </c>
      <c r="AH372" s="76"/>
      <c r="AI372" s="76"/>
      <c r="AJ372" s="76"/>
      <c r="AK372" s="76"/>
      <c r="AL372" s="77">
        <f>IF((P372-SUM(AE372:AK372))&lt;0,0,P372-SUM(AE372:AK372))</f>
        <v>0</v>
      </c>
      <c r="AM372" s="77">
        <f>SUM(AO372:AT372)</f>
        <v>0</v>
      </c>
      <c r="AN372" s="72"/>
      <c r="AO372" s="72"/>
      <c r="AP372" s="72"/>
      <c r="AQ372" s="72"/>
      <c r="AR372" s="72"/>
      <c r="AS372" s="72"/>
      <c r="AT372" s="72"/>
      <c r="AU372" s="72"/>
      <c r="AV372" s="70"/>
      <c r="AW372" s="72"/>
      <c r="AX372" s="72"/>
    </row>
    <row r="373" spans="1:50" ht="15" customHeight="1">
      <c r="A373" s="70" t="s">
        <v>1326</v>
      </c>
      <c r="B373" s="68" t="s">
        <v>1114</v>
      </c>
      <c r="C373" s="69" t="s">
        <v>45</v>
      </c>
      <c r="D373" s="70" t="s">
        <v>64</v>
      </c>
      <c r="E373" s="70" t="s">
        <v>1327</v>
      </c>
      <c r="F373" s="68">
        <v>3</v>
      </c>
      <c r="G373" s="71" t="s">
        <v>296</v>
      </c>
      <c r="H373" s="71" t="s">
        <v>1328</v>
      </c>
      <c r="I373" s="71" t="s">
        <v>1329</v>
      </c>
      <c r="J373" s="71" t="s">
        <v>1330</v>
      </c>
      <c r="K373" s="69"/>
      <c r="L373" s="69"/>
      <c r="M373" s="69"/>
      <c r="N373" s="69"/>
      <c r="O373" s="71" t="s">
        <v>334</v>
      </c>
      <c r="P373" s="69">
        <v>1</v>
      </c>
      <c r="Q373" s="68">
        <f>MAX(0,$V373-$P373-$S373)</f>
        <v>0</v>
      </c>
      <c r="R373" s="68"/>
      <c r="S373" s="68"/>
      <c r="T373" s="73">
        <v>0.27</v>
      </c>
      <c r="U373" s="73">
        <f>IF(AND($Q373&gt;0,ISNUMBER($T373)),$Q373*$T373,0)</f>
        <v>0</v>
      </c>
      <c r="V373" s="68">
        <f>SUM(W373:AB373)</f>
        <v>1</v>
      </c>
      <c r="W373" s="68">
        <v>1</v>
      </c>
      <c r="X373" s="68"/>
      <c r="Y373" s="68"/>
      <c r="Z373" s="68"/>
      <c r="AA373" s="68"/>
      <c r="AB373" s="68"/>
      <c r="AC373" s="68"/>
      <c r="AD373" s="75">
        <f>SUM(AE373:AJ373)</f>
        <v>1</v>
      </c>
      <c r="AE373" s="76">
        <v>1</v>
      </c>
      <c r="AF373" s="76"/>
      <c r="AG373" s="76"/>
      <c r="AH373" s="76"/>
      <c r="AI373" s="76"/>
      <c r="AJ373" s="76"/>
      <c r="AK373" s="76"/>
      <c r="AL373" s="77">
        <f>IF((P373-SUM(AE373:AK373))&lt;0,0,P373-SUM(AE373:AK373))</f>
        <v>0</v>
      </c>
      <c r="AM373" s="77">
        <f>SUM(AO373:AT373)</f>
        <v>0</v>
      </c>
      <c r="AN373" s="85"/>
      <c r="AO373" s="72"/>
      <c r="AP373" s="72"/>
      <c r="AQ373" s="72"/>
      <c r="AR373" s="72"/>
      <c r="AS373" s="72"/>
      <c r="AT373" s="85"/>
      <c r="AU373" s="85"/>
      <c r="AV373" s="70"/>
      <c r="AW373" s="72"/>
      <c r="AX373" s="72"/>
    </row>
    <row r="374" spans="1:50" ht="15" customHeight="1">
      <c r="A374" s="70" t="s">
        <v>1026</v>
      </c>
      <c r="B374" s="68" t="s">
        <v>919</v>
      </c>
      <c r="C374" s="69" t="s">
        <v>45</v>
      </c>
      <c r="D374" s="70" t="s">
        <v>627</v>
      </c>
      <c r="E374" s="70"/>
      <c r="F374" s="68">
        <v>0</v>
      </c>
      <c r="G374" s="71" t="s">
        <v>627</v>
      </c>
      <c r="H374" s="71" t="s">
        <v>958</v>
      </c>
      <c r="I374" s="71" t="s">
        <v>926</v>
      </c>
      <c r="J374" s="71" t="s">
        <v>1027</v>
      </c>
      <c r="K374" s="69"/>
      <c r="L374" s="69"/>
      <c r="M374" s="69"/>
      <c r="N374" s="69"/>
      <c r="O374" s="71" t="s">
        <v>576</v>
      </c>
      <c r="P374" s="69">
        <v>1</v>
      </c>
      <c r="Q374" s="68">
        <f>MAX(0,$V374-$P374-$S374)</f>
        <v>0</v>
      </c>
      <c r="R374" s="68"/>
      <c r="S374" s="68"/>
      <c r="T374" s="73">
        <v>0.22</v>
      </c>
      <c r="U374" s="73">
        <f>IF(AND($Q374&gt;0,ISNUMBER($T374)),$Q374*$T374,0)</f>
        <v>0</v>
      </c>
      <c r="V374" s="68">
        <f>SUM(W374:AB374)</f>
        <v>1</v>
      </c>
      <c r="W374" s="68">
        <v>1</v>
      </c>
      <c r="X374" s="68"/>
      <c r="Y374" s="68"/>
      <c r="Z374" s="68"/>
      <c r="AA374" s="68"/>
      <c r="AB374" s="68"/>
      <c r="AC374" s="68"/>
      <c r="AD374" s="75">
        <f>SUM(AE374:AJ374)</f>
        <v>1</v>
      </c>
      <c r="AE374" s="76">
        <v>1</v>
      </c>
      <c r="AF374" s="76"/>
      <c r="AG374" s="76"/>
      <c r="AH374" s="76"/>
      <c r="AI374" s="76"/>
      <c r="AJ374" s="76"/>
      <c r="AK374" s="76"/>
      <c r="AL374" s="77">
        <f>IF((P374-SUM(AE374:AK374))&lt;0,0,P374-SUM(AE374:AK374))</f>
        <v>0</v>
      </c>
      <c r="AM374" s="77">
        <f>SUM(AO374:AT374)</f>
        <v>0</v>
      </c>
      <c r="AN374" s="72"/>
      <c r="AO374" s="72"/>
      <c r="AP374" s="72"/>
      <c r="AQ374" s="72"/>
      <c r="AR374" s="72"/>
      <c r="AS374" s="72"/>
      <c r="AT374" s="72"/>
      <c r="AU374" s="72"/>
      <c r="AV374" s="70"/>
      <c r="AW374" s="72"/>
      <c r="AX374" s="72"/>
    </row>
    <row r="375" spans="1:50" ht="15" customHeight="1">
      <c r="A375" s="86" t="s">
        <v>1331</v>
      </c>
      <c r="B375" s="68" t="s">
        <v>1114</v>
      </c>
      <c r="C375" s="69" t="s">
        <v>45</v>
      </c>
      <c r="D375" s="70" t="s">
        <v>72</v>
      </c>
      <c r="E375" s="70"/>
      <c r="F375" s="68">
        <v>2</v>
      </c>
      <c r="G375" s="71" t="s">
        <v>1332</v>
      </c>
      <c r="H375" s="71" t="s">
        <v>1333</v>
      </c>
      <c r="I375" s="71" t="s">
        <v>1334</v>
      </c>
      <c r="J375" s="71" t="s">
        <v>1335</v>
      </c>
      <c r="K375" s="72"/>
      <c r="L375" s="72"/>
      <c r="M375" s="72"/>
      <c r="N375" s="72"/>
      <c r="O375" s="71" t="s">
        <v>981</v>
      </c>
      <c r="P375" s="69">
        <v>1</v>
      </c>
      <c r="Q375" s="68">
        <f>MAX(0,$V375-$P375-$S375)</f>
        <v>0</v>
      </c>
      <c r="R375" s="68"/>
      <c r="S375" s="68"/>
      <c r="T375" s="73">
        <v>0.25</v>
      </c>
      <c r="U375" s="73">
        <f>IF(AND($Q375&gt;0,ISNUMBER($T375)),$Q375*$T375,0)</f>
        <v>0</v>
      </c>
      <c r="V375" s="68">
        <f>SUM(W375:AB375)</f>
        <v>1</v>
      </c>
      <c r="W375" s="87">
        <v>1</v>
      </c>
      <c r="X375" s="68"/>
      <c r="Y375" s="68"/>
      <c r="Z375" s="68"/>
      <c r="AA375" s="68"/>
      <c r="AB375" s="68"/>
      <c r="AC375" s="68"/>
      <c r="AD375" s="75">
        <f>SUM(AE375:AJ375)</f>
        <v>1</v>
      </c>
      <c r="AE375" s="76">
        <v>1</v>
      </c>
      <c r="AF375" s="76"/>
      <c r="AG375" s="76"/>
      <c r="AH375" s="76"/>
      <c r="AI375" s="76"/>
      <c r="AJ375" s="76"/>
      <c r="AK375" s="76"/>
      <c r="AL375" s="77">
        <f>IF((P375-SUM(AE375:AK375))&lt;0,0,P375-SUM(AE375:AK375))</f>
        <v>0</v>
      </c>
      <c r="AM375" s="77">
        <f>SUM(AO375:AT375)</f>
        <v>0</v>
      </c>
      <c r="AN375" s="72"/>
      <c r="AO375" s="72"/>
      <c r="AP375" s="72"/>
      <c r="AQ375" s="72"/>
      <c r="AR375" s="72"/>
      <c r="AS375" s="72"/>
      <c r="AT375" s="72"/>
      <c r="AU375" s="72"/>
      <c r="AV375" s="70"/>
      <c r="AW375" s="72"/>
      <c r="AX375" s="72"/>
    </row>
    <row r="376" spans="1:50" ht="15" customHeight="1">
      <c r="A376" s="70" t="s">
        <v>1341</v>
      </c>
      <c r="B376" s="68" t="s">
        <v>1114</v>
      </c>
      <c r="C376" s="69" t="s">
        <v>45</v>
      </c>
      <c r="D376" s="70" t="s">
        <v>58</v>
      </c>
      <c r="E376" s="70"/>
      <c r="F376" s="68">
        <v>2</v>
      </c>
      <c r="G376" s="71" t="s">
        <v>91</v>
      </c>
      <c r="H376" s="71" t="s">
        <v>1342</v>
      </c>
      <c r="I376" s="71" t="s">
        <v>1343</v>
      </c>
      <c r="J376" s="71"/>
      <c r="K376" s="72"/>
      <c r="L376" s="72"/>
      <c r="M376" s="72"/>
      <c r="N376" s="72"/>
      <c r="O376" s="71" t="s">
        <v>576</v>
      </c>
      <c r="P376" s="69">
        <v>1</v>
      </c>
      <c r="Q376" s="68">
        <f>MAX(0,$V376-$P376-$S376)</f>
        <v>0</v>
      </c>
      <c r="R376" s="68"/>
      <c r="S376" s="68"/>
      <c r="T376" s="73">
        <v>0.21</v>
      </c>
      <c r="U376" s="73">
        <f>IF(AND($Q376&gt;0,ISNUMBER($T376)),$Q376*$T376,0)</f>
        <v>0</v>
      </c>
      <c r="V376" s="68">
        <f>SUM(W376:AB376)</f>
        <v>1</v>
      </c>
      <c r="W376" s="68">
        <v>1</v>
      </c>
      <c r="X376" s="68"/>
      <c r="Y376" s="68"/>
      <c r="Z376" s="68"/>
      <c r="AA376" s="68"/>
      <c r="AB376" s="68"/>
      <c r="AC376" s="68"/>
      <c r="AD376" s="75">
        <f>SUM(AE376:AJ376)</f>
        <v>1</v>
      </c>
      <c r="AE376" s="76">
        <v>1</v>
      </c>
      <c r="AF376" s="76"/>
      <c r="AG376" s="76"/>
      <c r="AH376" s="76"/>
      <c r="AI376" s="76"/>
      <c r="AJ376" s="76"/>
      <c r="AK376" s="76"/>
      <c r="AL376" s="77">
        <f>IF((P376-SUM(AE376:AK376))&lt;0,0,P376-SUM(AE376:AK376))</f>
        <v>0</v>
      </c>
      <c r="AM376" s="77">
        <f>SUM(AO376:AT376)</f>
        <v>0</v>
      </c>
      <c r="AN376" s="129"/>
      <c r="AO376" s="72"/>
      <c r="AP376" s="72"/>
      <c r="AQ376" s="72"/>
      <c r="AR376" s="72"/>
      <c r="AS376" s="72"/>
      <c r="AT376" s="129"/>
      <c r="AU376" s="129"/>
      <c r="AV376" s="70"/>
      <c r="AW376" s="72"/>
      <c r="AX376" s="72"/>
    </row>
    <row r="377" spans="1:50" ht="15" customHeight="1">
      <c r="A377" s="70" t="s">
        <v>1028</v>
      </c>
      <c r="B377" s="68" t="s">
        <v>919</v>
      </c>
      <c r="C377" s="69" t="s">
        <v>45</v>
      </c>
      <c r="D377" s="70" t="s">
        <v>627</v>
      </c>
      <c r="E377" s="70"/>
      <c r="F377" s="68">
        <v>0</v>
      </c>
      <c r="G377" s="71" t="s">
        <v>392</v>
      </c>
      <c r="H377" s="71" t="s">
        <v>1029</v>
      </c>
      <c r="I377" s="71" t="s">
        <v>1030</v>
      </c>
      <c r="J377" s="71"/>
      <c r="K377" s="72"/>
      <c r="L377" s="72"/>
      <c r="M377" s="72"/>
      <c r="N377" s="72"/>
      <c r="O377" s="71" t="s">
        <v>381</v>
      </c>
      <c r="P377" s="69">
        <v>1</v>
      </c>
      <c r="Q377" s="68">
        <f>MAX(0,$V377-$P377-$S377)</f>
        <v>0</v>
      </c>
      <c r="R377" s="68"/>
      <c r="S377" s="68"/>
      <c r="T377" s="73">
        <v>2.63</v>
      </c>
      <c r="U377" s="73">
        <f>IF(AND($Q377&gt;0,ISNUMBER($T377)),$Q377*$T377,0)</f>
        <v>0</v>
      </c>
      <c r="V377" s="68">
        <f>SUM(W377:AB377)</f>
        <v>1</v>
      </c>
      <c r="W377" s="68"/>
      <c r="X377" s="68"/>
      <c r="Y377" s="68">
        <v>1</v>
      </c>
      <c r="Z377" s="68"/>
      <c r="AA377" s="68"/>
      <c r="AB377" s="68"/>
      <c r="AC377" s="68"/>
      <c r="AD377" s="75">
        <f>SUM(AE377:AJ377)</f>
        <v>1</v>
      </c>
      <c r="AE377" s="76"/>
      <c r="AF377" s="76"/>
      <c r="AG377" s="76">
        <v>1</v>
      </c>
      <c r="AH377" s="76"/>
      <c r="AI377" s="76"/>
      <c r="AJ377" s="76"/>
      <c r="AK377" s="76"/>
      <c r="AL377" s="77">
        <f>IF((P377-SUM(AE377:AK377))&lt;0,0,P377-SUM(AE377:AK377))</f>
        <v>0</v>
      </c>
      <c r="AM377" s="77">
        <f>SUM(AO377:AT377)</f>
        <v>0</v>
      </c>
      <c r="AN377" s="129"/>
      <c r="AO377" s="72"/>
      <c r="AP377" s="72"/>
      <c r="AQ377" s="72"/>
      <c r="AR377" s="72"/>
      <c r="AS377" s="72"/>
      <c r="AT377" s="72"/>
      <c r="AU377" s="72"/>
      <c r="AV377" s="70"/>
      <c r="AW377" s="72"/>
      <c r="AX377" s="72"/>
    </row>
    <row r="378" spans="1:50" ht="15" customHeight="1">
      <c r="A378" s="70" t="s">
        <v>1893</v>
      </c>
      <c r="B378" s="68" t="s">
        <v>1831</v>
      </c>
      <c r="C378" s="69" t="s">
        <v>45</v>
      </c>
      <c r="D378" s="70" t="s">
        <v>64</v>
      </c>
      <c r="E378" s="70" t="s">
        <v>1894</v>
      </c>
      <c r="F378" s="68">
        <v>3</v>
      </c>
      <c r="G378" s="71" t="s">
        <v>555</v>
      </c>
      <c r="H378" s="71" t="s">
        <v>1895</v>
      </c>
      <c r="I378" s="71" t="s">
        <v>1896</v>
      </c>
      <c r="J378" s="71"/>
      <c r="K378" s="72"/>
      <c r="L378" s="72"/>
      <c r="M378" s="72"/>
      <c r="N378" s="72"/>
      <c r="O378" s="71" t="s">
        <v>101</v>
      </c>
      <c r="P378" s="69">
        <v>1</v>
      </c>
      <c r="Q378" s="68">
        <f>MAX(0,$V378-$P378-$S378)</f>
        <v>0</v>
      </c>
      <c r="R378" s="68"/>
      <c r="S378" s="68"/>
      <c r="T378" s="73">
        <v>0.25</v>
      </c>
      <c r="U378" s="73">
        <f>IF(AND($Q378&gt;0,ISNUMBER($T378)),$Q378*$T378,0)</f>
        <v>0</v>
      </c>
      <c r="V378" s="68">
        <f>SUM(W378:AB378)</f>
        <v>0</v>
      </c>
      <c r="W378" s="68"/>
      <c r="X378" s="68"/>
      <c r="Y378" s="68"/>
      <c r="Z378" s="68"/>
      <c r="AA378" s="68"/>
      <c r="AB378" s="68"/>
      <c r="AC378" s="68"/>
      <c r="AD378" s="75">
        <f>SUM(AE378:AJ378)</f>
        <v>0</v>
      </c>
      <c r="AE378" s="76"/>
      <c r="AF378" s="76"/>
      <c r="AG378" s="76"/>
      <c r="AH378" s="76"/>
      <c r="AI378" s="76"/>
      <c r="AJ378" s="76"/>
      <c r="AK378" s="76"/>
      <c r="AL378" s="77">
        <f>IF((P378-SUM(AE378:AK378))&lt;0,0,P378-SUM(AE378:AK378))</f>
        <v>1</v>
      </c>
      <c r="AM378" s="77">
        <f>SUM(AO378:AT378)</f>
        <v>0</v>
      </c>
      <c r="AN378" s="72"/>
      <c r="AO378" s="72"/>
      <c r="AP378" s="72"/>
      <c r="AQ378" s="72"/>
      <c r="AR378" s="72"/>
      <c r="AS378" s="72"/>
      <c r="AT378" s="72"/>
      <c r="AU378" s="72"/>
      <c r="AV378" s="70"/>
      <c r="AW378" s="72"/>
      <c r="AX378" s="72"/>
    </row>
    <row r="379" spans="1:50" ht="15" customHeight="1">
      <c r="A379" s="98" t="s">
        <v>2493</v>
      </c>
      <c r="B379" s="100" t="s">
        <v>636</v>
      </c>
      <c r="C379" s="101" t="s">
        <v>45</v>
      </c>
      <c r="D379" s="98" t="s">
        <v>64</v>
      </c>
      <c r="E379" s="98" t="s">
        <v>637</v>
      </c>
      <c r="F379" s="100">
        <v>4</v>
      </c>
      <c r="G379" s="98" t="s">
        <v>433</v>
      </c>
      <c r="H379" s="98" t="s">
        <v>723</v>
      </c>
      <c r="I379" s="98" t="s">
        <v>2494</v>
      </c>
      <c r="J379" s="98"/>
      <c r="K379" s="99"/>
      <c r="L379" s="99"/>
      <c r="M379" s="99"/>
      <c r="N379" s="99"/>
      <c r="O379" s="98" t="s">
        <v>48</v>
      </c>
      <c r="P379" s="101">
        <v>1</v>
      </c>
      <c r="Q379" s="68">
        <f>MAX(0,$V379-$P379-$S379)</f>
        <v>0</v>
      </c>
      <c r="R379" s="98"/>
      <c r="S379" s="98"/>
      <c r="T379" s="98">
        <v>0.13</v>
      </c>
      <c r="U379" s="98">
        <f>IF(AND($Q379&gt;0,ISNUMBER($T379)),$Q379*$T379,0)</f>
        <v>0</v>
      </c>
      <c r="V379" s="68">
        <f>SUM(W379:AB379)</f>
        <v>0</v>
      </c>
      <c r="W379" s="100"/>
      <c r="X379" s="100"/>
      <c r="Y379" s="100"/>
      <c r="Z379" s="100"/>
      <c r="AA379" s="100"/>
      <c r="AB379" s="100"/>
      <c r="AC379" s="68"/>
      <c r="AD379" s="75">
        <f>SUM(AE379:AJ379)</f>
        <v>0</v>
      </c>
      <c r="AE379" s="102"/>
      <c r="AF379" s="102"/>
      <c r="AG379" s="102"/>
      <c r="AH379" s="102"/>
      <c r="AI379" s="102"/>
      <c r="AJ379" s="102"/>
      <c r="AK379" s="102"/>
      <c r="AL379" s="77">
        <f>IF((P379-SUM(AE379:AK379))&lt;0,0,P379-SUM(AE379:AK379))</f>
        <v>1</v>
      </c>
      <c r="AM379" s="77">
        <f>SUM(AO379:AT379)</f>
        <v>0</v>
      </c>
      <c r="AN379" s="99"/>
      <c r="AO379" s="99"/>
      <c r="AP379" s="99"/>
      <c r="AQ379" s="99"/>
      <c r="AR379" s="99"/>
      <c r="AS379" s="99"/>
      <c r="AT379" s="99"/>
      <c r="AU379" s="99"/>
      <c r="AV379" s="98"/>
      <c r="AW379" s="99"/>
      <c r="AX379" s="99"/>
    </row>
    <row r="380" spans="1:50" ht="15" customHeight="1">
      <c r="A380" s="70" t="s">
        <v>769</v>
      </c>
      <c r="B380" s="68" t="s">
        <v>636</v>
      </c>
      <c r="C380" s="69" t="s">
        <v>45</v>
      </c>
      <c r="D380" s="70" t="s">
        <v>64</v>
      </c>
      <c r="E380" s="70" t="s">
        <v>770</v>
      </c>
      <c r="F380" s="68">
        <v>2</v>
      </c>
      <c r="G380" s="71" t="s">
        <v>392</v>
      </c>
      <c r="H380" s="71" t="s">
        <v>771</v>
      </c>
      <c r="I380" s="71" t="s">
        <v>772</v>
      </c>
      <c r="J380" s="71"/>
      <c r="K380" s="72"/>
      <c r="L380" s="72"/>
      <c r="M380" s="72"/>
      <c r="N380" s="72"/>
      <c r="O380" s="71" t="s">
        <v>48</v>
      </c>
      <c r="P380" s="69">
        <v>1</v>
      </c>
      <c r="Q380" s="68">
        <f>MAX(0,$V380-$P380-$S380)</f>
        <v>0</v>
      </c>
      <c r="R380" s="68"/>
      <c r="S380" s="68"/>
      <c r="T380" s="73">
        <v>0.25</v>
      </c>
      <c r="U380" s="73">
        <f>IF(AND($Q380&gt;0,ISNUMBER($T380)),$Q380*$T380,0)</f>
        <v>0</v>
      </c>
      <c r="V380" s="68">
        <f>SUM(W380:AB380)</f>
        <v>0</v>
      </c>
      <c r="W380" s="68"/>
      <c r="X380" s="68"/>
      <c r="Y380" s="68"/>
      <c r="Z380" s="68"/>
      <c r="AA380" s="68"/>
      <c r="AB380" s="68"/>
      <c r="AC380" s="68"/>
      <c r="AD380" s="75">
        <f>SUM(AE380:AJ380)</f>
        <v>1</v>
      </c>
      <c r="AE380" s="76"/>
      <c r="AF380" s="76"/>
      <c r="AG380" s="76"/>
      <c r="AH380" s="76">
        <v>1</v>
      </c>
      <c r="AI380" s="76"/>
      <c r="AJ380" s="76"/>
      <c r="AK380" s="76"/>
      <c r="AL380" s="77">
        <f>IF((P380-SUM(AE380:AK380))&lt;0,0,P380-SUM(AE380:AK380))</f>
        <v>0</v>
      </c>
      <c r="AM380" s="77">
        <f>SUM(AO380:AT380)</f>
        <v>1</v>
      </c>
      <c r="AN380" s="80" t="s">
        <v>105</v>
      </c>
      <c r="AO380" s="72"/>
      <c r="AP380" s="72"/>
      <c r="AQ380" s="72"/>
      <c r="AR380" s="79">
        <v>1</v>
      </c>
      <c r="AS380" s="72"/>
      <c r="AT380" s="72"/>
      <c r="AU380" s="31" t="s">
        <v>773</v>
      </c>
      <c r="AV380" s="70"/>
      <c r="AW380" s="72"/>
      <c r="AX380" s="72"/>
    </row>
    <row r="381" spans="1:50" ht="15" customHeight="1">
      <c r="A381" s="70" t="s">
        <v>2160</v>
      </c>
      <c r="B381" s="68" t="s">
        <v>1971</v>
      </c>
      <c r="C381" s="69" t="s">
        <v>45</v>
      </c>
      <c r="D381" s="70" t="s">
        <v>72</v>
      </c>
      <c r="E381" s="70"/>
      <c r="F381" s="68">
        <v>3</v>
      </c>
      <c r="G381" s="71" t="s">
        <v>49</v>
      </c>
      <c r="H381" s="71" t="s">
        <v>2161</v>
      </c>
      <c r="I381" s="71"/>
      <c r="J381" s="71"/>
      <c r="K381" s="72"/>
      <c r="L381" s="72"/>
      <c r="M381" s="72"/>
      <c r="N381" s="72"/>
      <c r="O381" s="71" t="s">
        <v>188</v>
      </c>
      <c r="P381" s="69">
        <v>1</v>
      </c>
      <c r="Q381" s="68">
        <f>MAX(0,$V381-$P381-$S381)</f>
        <v>0</v>
      </c>
      <c r="R381" s="68"/>
      <c r="S381" s="68"/>
      <c r="T381" s="73">
        <v>0.22</v>
      </c>
      <c r="U381" s="73">
        <f>IF(AND($Q381&gt;0,ISNUMBER($T381)),$Q381*$T381,0)</f>
        <v>0</v>
      </c>
      <c r="V381" s="68">
        <f>SUM(W381:AB381)</f>
        <v>0</v>
      </c>
      <c r="W381" s="68"/>
      <c r="X381" s="68"/>
      <c r="Y381" s="68"/>
      <c r="Z381" s="68"/>
      <c r="AA381" s="68"/>
      <c r="AB381" s="68"/>
      <c r="AC381" s="68"/>
      <c r="AD381" s="75">
        <f>SUM(AE381:AJ381)</f>
        <v>0</v>
      </c>
      <c r="AE381" s="76"/>
      <c r="AF381" s="76"/>
      <c r="AG381" s="76"/>
      <c r="AH381" s="76"/>
      <c r="AI381" s="76"/>
      <c r="AJ381" s="76"/>
      <c r="AK381" s="76"/>
      <c r="AL381" s="77">
        <f>IF((P381-SUM(AE381:AK381))&lt;0,0,P381-SUM(AE381:AK381))</f>
        <v>1</v>
      </c>
      <c r="AM381" s="77">
        <f>SUM(AO381:AT381)</f>
        <v>0</v>
      </c>
      <c r="AN381" s="72"/>
      <c r="AO381" s="72"/>
      <c r="AP381" s="72"/>
      <c r="AQ381" s="72"/>
      <c r="AR381" s="72"/>
      <c r="AS381" s="72"/>
      <c r="AT381" s="72"/>
      <c r="AU381" s="72"/>
      <c r="AV381" s="70"/>
      <c r="AW381" s="72"/>
      <c r="AX381" s="72"/>
    </row>
    <row r="382" spans="1:50" ht="15" customHeight="1">
      <c r="A382" s="70" t="s">
        <v>1897</v>
      </c>
      <c r="B382" s="68" t="s">
        <v>1831</v>
      </c>
      <c r="C382" s="69" t="s">
        <v>45</v>
      </c>
      <c r="D382" s="70" t="s">
        <v>64</v>
      </c>
      <c r="E382" s="70" t="s">
        <v>1898</v>
      </c>
      <c r="F382" s="68">
        <v>3</v>
      </c>
      <c r="G382" s="71" t="s">
        <v>49</v>
      </c>
      <c r="H382" s="71" t="s">
        <v>1899</v>
      </c>
      <c r="I382" s="71"/>
      <c r="J382" s="71"/>
      <c r="K382" s="69"/>
      <c r="L382" s="69"/>
      <c r="M382" s="69"/>
      <c r="N382" s="69"/>
      <c r="O382" s="71" t="s">
        <v>1645</v>
      </c>
      <c r="P382" s="69">
        <v>1</v>
      </c>
      <c r="Q382" s="68">
        <f>MAX(0,$V382-$P382-$S382)</f>
        <v>0</v>
      </c>
      <c r="R382" s="68"/>
      <c r="S382" s="68"/>
      <c r="T382" s="73">
        <v>0.08</v>
      </c>
      <c r="U382" s="73">
        <f>IF(AND($Q382&gt;0,ISNUMBER($T382)),$Q382*$T382,0)</f>
        <v>0</v>
      </c>
      <c r="V382" s="68">
        <f>SUM(W382:AB382)</f>
        <v>1</v>
      </c>
      <c r="W382" s="68"/>
      <c r="X382" s="68">
        <v>1</v>
      </c>
      <c r="Y382" s="68"/>
      <c r="Z382" s="68"/>
      <c r="AA382" s="68"/>
      <c r="AB382" s="68"/>
      <c r="AC382" s="68"/>
      <c r="AD382" s="75">
        <f>SUM(AE382:AJ382)</f>
        <v>1</v>
      </c>
      <c r="AE382" s="76"/>
      <c r="AF382" s="76">
        <v>1</v>
      </c>
      <c r="AG382" s="76"/>
      <c r="AH382" s="76"/>
      <c r="AI382" s="76"/>
      <c r="AJ382" s="76"/>
      <c r="AK382" s="76"/>
      <c r="AL382" s="77">
        <f>IF((P382-SUM(AE382:AK382))&lt;0,0,P382-SUM(AE382:AK382))</f>
        <v>0</v>
      </c>
      <c r="AM382" s="77">
        <f>SUM(AO382:AT382)</f>
        <v>0</v>
      </c>
      <c r="AN382" s="72"/>
      <c r="AO382" s="72"/>
      <c r="AP382" s="72"/>
      <c r="AQ382" s="72"/>
      <c r="AR382" s="72"/>
      <c r="AS382" s="72"/>
      <c r="AT382" s="72"/>
      <c r="AU382" s="72"/>
      <c r="AV382" s="70"/>
      <c r="AW382" s="72"/>
      <c r="AX382" s="72"/>
    </row>
    <row r="383" spans="1:50" ht="15" customHeight="1">
      <c r="A383" s="67" t="s">
        <v>1344</v>
      </c>
      <c r="B383" s="68" t="s">
        <v>1114</v>
      </c>
      <c r="C383" s="69" t="s">
        <v>45</v>
      </c>
      <c r="D383" s="70" t="s">
        <v>123</v>
      </c>
      <c r="E383" s="70" t="s">
        <v>1345</v>
      </c>
      <c r="F383" s="68">
        <v>5</v>
      </c>
      <c r="G383" s="71" t="s">
        <v>91</v>
      </c>
      <c r="H383" s="71" t="s">
        <v>1346</v>
      </c>
      <c r="I383" s="71" t="s">
        <v>1347</v>
      </c>
      <c r="J383" s="71"/>
      <c r="K383" s="72"/>
      <c r="L383" s="72"/>
      <c r="M383" s="72"/>
      <c r="N383" s="72"/>
      <c r="O383" s="71" t="s">
        <v>48</v>
      </c>
      <c r="P383" s="69">
        <v>1</v>
      </c>
      <c r="Q383" s="68">
        <f>MAX(0,$V383-$P383-$S383)</f>
        <v>0</v>
      </c>
      <c r="R383" s="68"/>
      <c r="S383" s="68"/>
      <c r="T383" s="73">
        <v>0.4</v>
      </c>
      <c r="U383" s="73">
        <f>IF(AND($Q383&gt;0,ISNUMBER($T383)),$Q383*$T383,0)</f>
        <v>0</v>
      </c>
      <c r="V383" s="68">
        <f>SUM(W383:AB383)</f>
        <v>0</v>
      </c>
      <c r="W383" s="68"/>
      <c r="X383" s="68"/>
      <c r="Y383" s="74"/>
      <c r="Z383" s="68"/>
      <c r="AA383" s="68"/>
      <c r="AB383" s="68"/>
      <c r="AC383" s="68"/>
      <c r="AD383" s="75">
        <f>SUM(AE383:AJ383)</f>
        <v>0</v>
      </c>
      <c r="AE383" s="76"/>
      <c r="AF383" s="76"/>
      <c r="AG383" s="76"/>
      <c r="AH383" s="76"/>
      <c r="AI383" s="76"/>
      <c r="AJ383" s="76"/>
      <c r="AK383" s="76"/>
      <c r="AL383" s="77">
        <f>IF((P383-SUM(AE383:AK383))&lt;0,0,P383-SUM(AE383:AK383))</f>
        <v>1</v>
      </c>
      <c r="AM383" s="77">
        <f>SUM(AO383:AT383)</f>
        <v>0</v>
      </c>
      <c r="AN383" s="72"/>
      <c r="AO383" s="72"/>
      <c r="AP383" s="72"/>
      <c r="AQ383" s="72"/>
      <c r="AR383" s="72"/>
      <c r="AS383" s="72"/>
      <c r="AT383" s="72"/>
      <c r="AU383" s="72"/>
      <c r="AV383" s="70"/>
      <c r="AW383" s="72"/>
      <c r="AX383" s="72"/>
    </row>
    <row r="384" spans="1:50" ht="15" customHeight="1">
      <c r="A384" s="70" t="s">
        <v>1705</v>
      </c>
      <c r="B384" s="68" t="s">
        <v>1499</v>
      </c>
      <c r="C384" s="69" t="s">
        <v>45</v>
      </c>
      <c r="D384" s="70" t="s">
        <v>72</v>
      </c>
      <c r="E384" s="70"/>
      <c r="F384" s="68">
        <v>3</v>
      </c>
      <c r="G384" s="71" t="s">
        <v>1589</v>
      </c>
      <c r="H384" s="71" t="s">
        <v>1706</v>
      </c>
      <c r="I384" s="71"/>
      <c r="J384" s="71"/>
      <c r="K384" s="72"/>
      <c r="L384" s="72"/>
      <c r="M384" s="72"/>
      <c r="N384" s="72"/>
      <c r="O384" s="71" t="s">
        <v>866</v>
      </c>
      <c r="P384" s="69">
        <v>1</v>
      </c>
      <c r="Q384" s="68">
        <f>MAX(0,$V384-$P384-$S384)</f>
        <v>0</v>
      </c>
      <c r="R384" s="68"/>
      <c r="S384" s="68"/>
      <c r="T384" s="73">
        <v>0.22</v>
      </c>
      <c r="U384" s="73">
        <f>IF(AND($Q384&gt;0,ISNUMBER($T384)),$Q384*$T384,0)</f>
        <v>0</v>
      </c>
      <c r="V384" s="68">
        <f>SUM(W384:AB384)</f>
        <v>1</v>
      </c>
      <c r="W384" s="68"/>
      <c r="X384" s="68"/>
      <c r="Y384" s="68"/>
      <c r="Z384" s="68"/>
      <c r="AA384" s="68"/>
      <c r="AB384" s="68">
        <v>1</v>
      </c>
      <c r="AC384" s="68"/>
      <c r="AD384" s="75">
        <f>SUM(AE384:AJ384)</f>
        <v>1</v>
      </c>
      <c r="AE384" s="76"/>
      <c r="AF384" s="76"/>
      <c r="AG384" s="76"/>
      <c r="AH384" s="76"/>
      <c r="AI384" s="76"/>
      <c r="AJ384" s="76">
        <v>1</v>
      </c>
      <c r="AK384" s="76"/>
      <c r="AL384" s="77">
        <f>IF((P384-SUM(AE384:AK384))&lt;0,0,P384-SUM(AE384:AK384))</f>
        <v>0</v>
      </c>
      <c r="AM384" s="77">
        <f>SUM(AO384:AT384)</f>
        <v>0</v>
      </c>
      <c r="AN384" s="129"/>
      <c r="AO384" s="72"/>
      <c r="AP384" s="72"/>
      <c r="AQ384" s="72"/>
      <c r="AR384" s="129"/>
      <c r="AS384" s="72"/>
      <c r="AT384" s="72"/>
      <c r="AU384" s="129"/>
      <c r="AV384" s="70"/>
      <c r="AW384" s="72"/>
      <c r="AX384" s="72"/>
    </row>
    <row r="385" spans="1:50" ht="15" customHeight="1">
      <c r="A385" s="70" t="s">
        <v>777</v>
      </c>
      <c r="B385" s="68" t="s">
        <v>636</v>
      </c>
      <c r="C385" s="69" t="s">
        <v>45</v>
      </c>
      <c r="D385" s="70" t="s">
        <v>64</v>
      </c>
      <c r="E385" s="70" t="s">
        <v>778</v>
      </c>
      <c r="F385" s="68">
        <v>5</v>
      </c>
      <c r="G385" s="71" t="s">
        <v>125</v>
      </c>
      <c r="H385" s="71" t="s">
        <v>779</v>
      </c>
      <c r="I385" s="71" t="s">
        <v>780</v>
      </c>
      <c r="J385" s="71"/>
      <c r="K385" s="72"/>
      <c r="L385" s="72"/>
      <c r="M385" s="72"/>
      <c r="N385" s="72"/>
      <c r="O385" s="71" t="s">
        <v>740</v>
      </c>
      <c r="P385" s="69">
        <v>1</v>
      </c>
      <c r="Q385" s="68">
        <f>MAX(0,$V385-$P385-$S385)</f>
        <v>0</v>
      </c>
      <c r="R385" s="68"/>
      <c r="S385" s="68"/>
      <c r="T385" s="73">
        <v>0.15</v>
      </c>
      <c r="U385" s="73">
        <f>IF(AND($Q385&gt;0,ISNUMBER($T385)),$Q385*$T385,0)</f>
        <v>0</v>
      </c>
      <c r="V385" s="68">
        <f>SUM(W385:AB385)</f>
        <v>0</v>
      </c>
      <c r="W385" s="68"/>
      <c r="X385" s="68"/>
      <c r="Y385" s="68"/>
      <c r="Z385" s="68"/>
      <c r="AA385" s="68"/>
      <c r="AB385" s="68"/>
      <c r="AC385" s="68"/>
      <c r="AD385" s="75">
        <f>SUM(AE385:AJ385)</f>
        <v>0</v>
      </c>
      <c r="AE385" s="76"/>
      <c r="AF385" s="76"/>
      <c r="AG385" s="76"/>
      <c r="AH385" s="76"/>
      <c r="AI385" s="76"/>
      <c r="AJ385" s="76"/>
      <c r="AK385" s="76"/>
      <c r="AL385" s="77">
        <f>IF((P385-SUM(AE385:AK385))&lt;0,0,P385-SUM(AE385:AK385))</f>
        <v>1</v>
      </c>
      <c r="AM385" s="77">
        <f>SUM(AO385:AT385)</f>
        <v>0</v>
      </c>
      <c r="AN385" s="129"/>
      <c r="AO385" s="72"/>
      <c r="AP385" s="72"/>
      <c r="AQ385" s="72"/>
      <c r="AR385" s="72"/>
      <c r="AS385" s="72"/>
      <c r="AT385" s="129"/>
      <c r="AU385" s="129"/>
      <c r="AV385" s="70"/>
      <c r="AW385" s="72"/>
      <c r="AX385" s="72"/>
    </row>
    <row r="386" spans="1:50" ht="15" customHeight="1">
      <c r="A386" s="70" t="s">
        <v>1350</v>
      </c>
      <c r="B386" s="68" t="s">
        <v>1114</v>
      </c>
      <c r="C386" s="69" t="s">
        <v>45</v>
      </c>
      <c r="D386" s="70" t="s">
        <v>64</v>
      </c>
      <c r="E386" s="70" t="s">
        <v>1351</v>
      </c>
      <c r="F386" s="68">
        <v>2</v>
      </c>
      <c r="G386" s="71" t="s">
        <v>317</v>
      </c>
      <c r="H386" s="71" t="s">
        <v>1352</v>
      </c>
      <c r="I386" s="71" t="s">
        <v>1353</v>
      </c>
      <c r="J386" s="71"/>
      <c r="K386" s="72"/>
      <c r="L386" s="72"/>
      <c r="M386" s="72"/>
      <c r="N386" s="72"/>
      <c r="O386" s="71" t="s">
        <v>90</v>
      </c>
      <c r="P386" s="69">
        <v>1</v>
      </c>
      <c r="Q386" s="68">
        <f>MAX(0,$V386-$P386-$S386)</f>
        <v>0</v>
      </c>
      <c r="R386" s="68"/>
      <c r="S386" s="68"/>
      <c r="T386" s="73">
        <v>0.24</v>
      </c>
      <c r="U386" s="73">
        <f>IF(AND($Q386&gt;0,ISNUMBER($T386)),$Q386*$T386,0)</f>
        <v>0</v>
      </c>
      <c r="V386" s="68">
        <f>SUM(W386:AB386)</f>
        <v>1</v>
      </c>
      <c r="W386" s="68"/>
      <c r="X386" s="68"/>
      <c r="Y386" s="68">
        <v>1</v>
      </c>
      <c r="Z386" s="68"/>
      <c r="AA386" s="68"/>
      <c r="AB386" s="68"/>
      <c r="AC386" s="68"/>
      <c r="AD386" s="75">
        <f>SUM(AE386:AJ386)</f>
        <v>1</v>
      </c>
      <c r="AE386" s="76"/>
      <c r="AF386" s="76"/>
      <c r="AG386" s="76">
        <v>1</v>
      </c>
      <c r="AH386" s="76"/>
      <c r="AI386" s="76"/>
      <c r="AJ386" s="76"/>
      <c r="AK386" s="76"/>
      <c r="AL386" s="77">
        <f>IF((P386-SUM(AE386:AK386))&lt;0,0,P386-SUM(AE386:AK386))</f>
        <v>0</v>
      </c>
      <c r="AM386" s="77">
        <f>SUM(AO386:AT386)</f>
        <v>0</v>
      </c>
      <c r="AN386" s="129"/>
      <c r="AO386" s="129"/>
      <c r="AP386" s="72"/>
      <c r="AQ386" s="72"/>
      <c r="AR386" s="72"/>
      <c r="AS386" s="72"/>
      <c r="AT386" s="72"/>
      <c r="AU386" s="129"/>
      <c r="AV386" s="70"/>
      <c r="AW386" s="72"/>
      <c r="AX386" s="72"/>
    </row>
    <row r="387" spans="1:50" ht="15" customHeight="1">
      <c r="A387" s="70" t="s">
        <v>781</v>
      </c>
      <c r="B387" s="68" t="s">
        <v>636</v>
      </c>
      <c r="C387" s="69" t="s">
        <v>45</v>
      </c>
      <c r="D387" s="70" t="s">
        <v>72</v>
      </c>
      <c r="E387" s="70"/>
      <c r="F387" s="68">
        <v>2</v>
      </c>
      <c r="G387" s="71" t="s">
        <v>165</v>
      </c>
      <c r="H387" s="71" t="s">
        <v>782</v>
      </c>
      <c r="I387" s="71"/>
      <c r="J387" s="71"/>
      <c r="K387" s="72"/>
      <c r="L387" s="72"/>
      <c r="M387" s="72"/>
      <c r="N387" s="72"/>
      <c r="O387" s="71" t="s">
        <v>48</v>
      </c>
      <c r="P387" s="69">
        <v>1</v>
      </c>
      <c r="Q387" s="68">
        <f>MAX(0,$V387-$P387-$S387)</f>
        <v>0</v>
      </c>
      <c r="R387" s="68"/>
      <c r="S387" s="68"/>
      <c r="T387" s="73">
        <v>0.28999999999999998</v>
      </c>
      <c r="U387" s="73">
        <f>IF(AND($Q387&gt;0,ISNUMBER($T387)),$Q387*$T387,0)</f>
        <v>0</v>
      </c>
      <c r="V387" s="68">
        <f>SUM(W387:AB387)</f>
        <v>0</v>
      </c>
      <c r="W387" s="68"/>
      <c r="X387" s="68"/>
      <c r="Y387" s="68"/>
      <c r="Z387" s="68"/>
      <c r="AA387" s="68"/>
      <c r="AB387" s="68"/>
      <c r="AC387" s="68"/>
      <c r="AD387" s="75">
        <f>SUM(AE387:AJ387)</f>
        <v>0</v>
      </c>
      <c r="AE387" s="76"/>
      <c r="AF387" s="76"/>
      <c r="AG387" s="76"/>
      <c r="AH387" s="76"/>
      <c r="AI387" s="76"/>
      <c r="AJ387" s="76"/>
      <c r="AK387" s="76"/>
      <c r="AL387" s="77">
        <f>IF((P387-SUM(AE387:AK387))&lt;0,0,P387-SUM(AE387:AK387))</f>
        <v>1</v>
      </c>
      <c r="AM387" s="77">
        <f>SUM(AO387:AT387)</f>
        <v>0</v>
      </c>
      <c r="AN387" s="129"/>
      <c r="AO387" s="72"/>
      <c r="AP387" s="72"/>
      <c r="AQ387" s="72"/>
      <c r="AR387" s="72"/>
      <c r="AS387" s="72"/>
      <c r="AT387" s="72"/>
      <c r="AU387" s="72"/>
      <c r="AV387" s="70"/>
      <c r="AW387" s="72"/>
      <c r="AX387" s="72"/>
    </row>
    <row r="388" spans="1:50" ht="15" customHeight="1">
      <c r="A388" s="70" t="s">
        <v>783</v>
      </c>
      <c r="B388" s="68" t="s">
        <v>636</v>
      </c>
      <c r="C388" s="69" t="s">
        <v>45</v>
      </c>
      <c r="D388" s="70" t="s">
        <v>47</v>
      </c>
      <c r="E388" s="70"/>
      <c r="F388" s="68">
        <v>4</v>
      </c>
      <c r="G388" s="71" t="s">
        <v>392</v>
      </c>
      <c r="H388" s="71" t="s">
        <v>784</v>
      </c>
      <c r="I388" s="71" t="s">
        <v>785</v>
      </c>
      <c r="J388" s="71"/>
      <c r="K388" s="72"/>
      <c r="L388" s="72"/>
      <c r="M388" s="72"/>
      <c r="N388" s="72"/>
      <c r="O388" s="71" t="s">
        <v>59</v>
      </c>
      <c r="P388" s="69">
        <v>1</v>
      </c>
      <c r="Q388" s="68">
        <f>MAX(0,$V388-$P388-$S388)</f>
        <v>0</v>
      </c>
      <c r="R388" s="68" t="s">
        <v>57</v>
      </c>
      <c r="S388" s="68">
        <v>1</v>
      </c>
      <c r="T388" s="73">
        <v>0.36</v>
      </c>
      <c r="U388" s="73">
        <f>IF(AND($Q388&gt;0,ISNUMBER($T388)),$Q388*$T388,0)</f>
        <v>0</v>
      </c>
      <c r="V388" s="68">
        <f>SUM(W388:AB388)</f>
        <v>0</v>
      </c>
      <c r="W388" s="68"/>
      <c r="X388" s="68"/>
      <c r="Y388" s="68"/>
      <c r="Z388" s="68"/>
      <c r="AA388" s="68"/>
      <c r="AB388" s="68"/>
      <c r="AC388" s="68"/>
      <c r="AD388" s="75">
        <f>SUM(AE388:AJ388)</f>
        <v>0</v>
      </c>
      <c r="AE388" s="76"/>
      <c r="AF388" s="76"/>
      <c r="AG388" s="76"/>
      <c r="AH388" s="76"/>
      <c r="AI388" s="76"/>
      <c r="AJ388" s="76"/>
      <c r="AK388" s="76"/>
      <c r="AL388" s="77">
        <f>IF((P388-SUM(AE388:AK388))&lt;0,0,P388-SUM(AE388:AK388))</f>
        <v>1</v>
      </c>
      <c r="AM388" s="77">
        <f>SUM(AO388:AT388)</f>
        <v>0</v>
      </c>
      <c r="AN388" s="72"/>
      <c r="AO388" s="72"/>
      <c r="AP388" s="72"/>
      <c r="AQ388" s="72"/>
      <c r="AR388" s="72"/>
      <c r="AS388" s="72"/>
      <c r="AT388" s="72"/>
      <c r="AU388" s="72"/>
      <c r="AV388" s="70"/>
      <c r="AW388" s="72"/>
      <c r="AX388" s="72"/>
    </row>
    <row r="389" spans="1:50" ht="15" customHeight="1">
      <c r="A389" s="67" t="s">
        <v>511</v>
      </c>
      <c r="B389" s="68" t="s">
        <v>345</v>
      </c>
      <c r="C389" s="69" t="s">
        <v>45</v>
      </c>
      <c r="D389" s="70" t="s">
        <v>359</v>
      </c>
      <c r="E389" s="70" t="s">
        <v>418</v>
      </c>
      <c r="F389" s="68">
        <v>2</v>
      </c>
      <c r="G389" s="71" t="s">
        <v>350</v>
      </c>
      <c r="H389" s="71" t="s">
        <v>512</v>
      </c>
      <c r="I389" s="71"/>
      <c r="J389" s="71"/>
      <c r="K389" s="72"/>
      <c r="L389" s="72"/>
      <c r="M389" s="72"/>
      <c r="N389" s="72"/>
      <c r="O389" s="71" t="s">
        <v>129</v>
      </c>
      <c r="P389" s="69">
        <v>1</v>
      </c>
      <c r="Q389" s="68">
        <f>MAX(0,$V389-$P389-$S389)</f>
        <v>0</v>
      </c>
      <c r="R389" s="68"/>
      <c r="S389" s="68"/>
      <c r="T389" s="73">
        <v>0.27</v>
      </c>
      <c r="U389" s="73">
        <f>IF(AND($Q389&gt;0,ISNUMBER($T389)),$Q389*$T389,0)</f>
        <v>0</v>
      </c>
      <c r="V389" s="68">
        <f>SUM(W389:AB389)</f>
        <v>0</v>
      </c>
      <c r="W389" s="68"/>
      <c r="X389" s="68"/>
      <c r="Y389" s="68"/>
      <c r="Z389" s="68"/>
      <c r="AA389" s="68"/>
      <c r="AB389" s="74"/>
      <c r="AC389" s="68"/>
      <c r="AD389" s="75">
        <f>SUM(AE389:AJ389)</f>
        <v>0</v>
      </c>
      <c r="AE389" s="76"/>
      <c r="AF389" s="76"/>
      <c r="AG389" s="76"/>
      <c r="AH389" s="76"/>
      <c r="AI389" s="76"/>
      <c r="AJ389" s="76"/>
      <c r="AK389" s="76"/>
      <c r="AL389" s="77">
        <f>IF((P389-SUM(AE389:AK389))&lt;0,0,P389-SUM(AE389:AK389))</f>
        <v>1</v>
      </c>
      <c r="AM389" s="77">
        <f>SUM(AO389:AT389)</f>
        <v>1</v>
      </c>
      <c r="AN389" s="140" t="s">
        <v>105</v>
      </c>
      <c r="AO389" s="79">
        <v>1</v>
      </c>
      <c r="AP389" s="72"/>
      <c r="AQ389" s="72"/>
      <c r="AR389" s="72"/>
      <c r="AS389" s="72"/>
      <c r="AT389" s="129"/>
      <c r="AU389" s="125" t="s">
        <v>513</v>
      </c>
      <c r="AV389" s="70"/>
      <c r="AW389" s="72"/>
      <c r="AX389" s="72"/>
    </row>
    <row r="390" spans="1:50" ht="15" customHeight="1">
      <c r="A390" s="67" t="s">
        <v>2169</v>
      </c>
      <c r="B390" s="68" t="s">
        <v>1971</v>
      </c>
      <c r="C390" s="69" t="s">
        <v>45</v>
      </c>
      <c r="D390" s="70" t="s">
        <v>64</v>
      </c>
      <c r="E390" s="70" t="s">
        <v>243</v>
      </c>
      <c r="F390" s="68">
        <v>3</v>
      </c>
      <c r="G390" s="71" t="s">
        <v>54</v>
      </c>
      <c r="H390" s="71" t="s">
        <v>2170</v>
      </c>
      <c r="I390" s="71"/>
      <c r="J390" s="71"/>
      <c r="K390" s="72"/>
      <c r="L390" s="72"/>
      <c r="M390" s="72"/>
      <c r="N390" s="72"/>
      <c r="O390" s="71" t="s">
        <v>53</v>
      </c>
      <c r="P390" s="69">
        <v>1</v>
      </c>
      <c r="Q390" s="68">
        <f>MAX(0,$V390-$P390-$S390)</f>
        <v>0</v>
      </c>
      <c r="R390" s="68"/>
      <c r="S390" s="68"/>
      <c r="T390" s="73">
        <v>0.33</v>
      </c>
      <c r="U390" s="73">
        <f>IF(AND($Q390&gt;0,ISNUMBER($T390)),$Q390*$T390,0)</f>
        <v>0</v>
      </c>
      <c r="V390" s="68">
        <f>SUM(W390:AB390)</f>
        <v>0</v>
      </c>
      <c r="W390" s="68"/>
      <c r="X390" s="68"/>
      <c r="Y390" s="68"/>
      <c r="Z390" s="68"/>
      <c r="AA390" s="74"/>
      <c r="AB390" s="68"/>
      <c r="AC390" s="68"/>
      <c r="AD390" s="75">
        <f>SUM(AE390:AJ390)</f>
        <v>1</v>
      </c>
      <c r="AE390" s="76"/>
      <c r="AF390" s="76"/>
      <c r="AG390" s="76"/>
      <c r="AH390" s="76"/>
      <c r="AI390" s="76">
        <v>1</v>
      </c>
      <c r="AJ390" s="76"/>
      <c r="AK390" s="76"/>
      <c r="AL390" s="77">
        <f>IF((P390-SUM(AE390:AK390))&lt;0,0,P390-SUM(AE390:AK390))</f>
        <v>0</v>
      </c>
      <c r="AM390" s="77">
        <f>SUM(AO390:AT390)</f>
        <v>1</v>
      </c>
      <c r="AN390" s="80" t="s">
        <v>105</v>
      </c>
      <c r="AO390" s="72"/>
      <c r="AP390" s="72"/>
      <c r="AQ390" s="72"/>
      <c r="AR390" s="72"/>
      <c r="AS390" s="79">
        <v>1</v>
      </c>
      <c r="AT390" s="72"/>
      <c r="AU390" s="31" t="s">
        <v>2171</v>
      </c>
      <c r="AV390" s="70"/>
      <c r="AW390" s="72"/>
      <c r="AX390" s="72"/>
    </row>
    <row r="391" spans="1:50" ht="15" customHeight="1">
      <c r="A391" s="92" t="s">
        <v>786</v>
      </c>
      <c r="B391" s="90" t="s">
        <v>636</v>
      </c>
      <c r="C391" s="69" t="s">
        <v>45</v>
      </c>
      <c r="D391" s="92" t="s">
        <v>64</v>
      </c>
      <c r="E391" s="92" t="s">
        <v>787</v>
      </c>
      <c r="F391" s="90">
        <v>3</v>
      </c>
      <c r="G391" s="92" t="s">
        <v>125</v>
      </c>
      <c r="H391" s="92" t="s">
        <v>788</v>
      </c>
      <c r="I391" s="92"/>
      <c r="J391" s="92"/>
      <c r="K391" s="72"/>
      <c r="L391" s="72">
        <v>1</v>
      </c>
      <c r="M391" s="72"/>
      <c r="N391" s="72"/>
      <c r="O391" s="92" t="s">
        <v>136</v>
      </c>
      <c r="P391" s="69">
        <v>1</v>
      </c>
      <c r="Q391" s="68">
        <f>MAX(0,$V391-$P391-$S391)</f>
        <v>0</v>
      </c>
      <c r="R391" s="92"/>
      <c r="S391" s="92"/>
      <c r="T391" s="92">
        <v>0.19</v>
      </c>
      <c r="U391" s="92">
        <f>IF(AND($Q391&gt;0,ISNUMBER($T391)),$Q391*$T391,0)</f>
        <v>0</v>
      </c>
      <c r="V391" s="68">
        <f>SUM(W391:AB391)</f>
        <v>0</v>
      </c>
      <c r="W391" s="90"/>
      <c r="X391" s="90"/>
      <c r="Y391" s="90"/>
      <c r="Z391" s="90"/>
      <c r="AA391" s="90"/>
      <c r="AB391" s="90"/>
      <c r="AC391" s="90"/>
      <c r="AD391" s="75">
        <f>SUM(AE391:AJ391)</f>
        <v>0</v>
      </c>
      <c r="AE391" s="76"/>
      <c r="AF391" s="76"/>
      <c r="AG391" s="76"/>
      <c r="AH391" s="76"/>
      <c r="AI391" s="76"/>
      <c r="AJ391" s="76"/>
      <c r="AK391" s="76"/>
      <c r="AL391" s="77">
        <f>IF((P391-SUM(AE391:AK391))&lt;0,0,P391-SUM(AE391:AK391))</f>
        <v>1</v>
      </c>
      <c r="AM391" s="77">
        <f>SUM(AO391:AT391)</f>
        <v>0</v>
      </c>
      <c r="AN391" s="72"/>
      <c r="AO391" s="72"/>
      <c r="AP391" s="72"/>
      <c r="AQ391" s="72"/>
      <c r="AR391" s="72"/>
      <c r="AS391" s="72"/>
      <c r="AT391" s="72"/>
      <c r="AU391" s="72"/>
      <c r="AV391" s="92"/>
      <c r="AW391" s="72"/>
      <c r="AX391" s="72"/>
    </row>
    <row r="392" spans="1:50" ht="15" customHeight="1">
      <c r="A392" s="67" t="s">
        <v>200</v>
      </c>
      <c r="B392" s="68" t="s">
        <v>46</v>
      </c>
      <c r="C392" s="69" t="s">
        <v>45</v>
      </c>
      <c r="D392" s="70" t="s">
        <v>72</v>
      </c>
      <c r="E392" s="70"/>
      <c r="F392" s="68">
        <v>1</v>
      </c>
      <c r="G392" s="71" t="s">
        <v>49</v>
      </c>
      <c r="H392" s="71" t="s">
        <v>202</v>
      </c>
      <c r="I392" s="71" t="s">
        <v>203</v>
      </c>
      <c r="J392" s="71"/>
      <c r="K392" s="72"/>
      <c r="L392" s="72"/>
      <c r="M392" s="72"/>
      <c r="N392" s="72"/>
      <c r="O392" s="71" t="s">
        <v>201</v>
      </c>
      <c r="P392" s="69">
        <v>1</v>
      </c>
      <c r="Q392" s="68">
        <f>MAX(0,$V392-$P392-$S392)</f>
        <v>0</v>
      </c>
      <c r="R392" s="68"/>
      <c r="S392" s="68"/>
      <c r="T392" s="73">
        <v>0.13</v>
      </c>
      <c r="U392" s="73">
        <f>IF(AND($Q392&gt;0,ISNUMBER($T392)),$Q392*$T392,0)</f>
        <v>0</v>
      </c>
      <c r="V392" s="68">
        <f>SUM(W392:AB392)</f>
        <v>0</v>
      </c>
      <c r="W392" s="68"/>
      <c r="X392" s="68"/>
      <c r="Y392" s="74"/>
      <c r="Z392" s="68"/>
      <c r="AA392" s="68"/>
      <c r="AB392" s="68"/>
      <c r="AC392" s="68"/>
      <c r="AD392" s="75">
        <f>SUM(AE392:AJ392)</f>
        <v>0</v>
      </c>
      <c r="AE392" s="76"/>
      <c r="AF392" s="76"/>
      <c r="AG392" s="76"/>
      <c r="AH392" s="76"/>
      <c r="AI392" s="76"/>
      <c r="AJ392" s="76"/>
      <c r="AK392" s="76"/>
      <c r="AL392" s="77">
        <f>IF((P392-SUM(AE392:AK392))&lt;0,0,P392-SUM(AE392:AK392))</f>
        <v>1</v>
      </c>
      <c r="AM392" s="77">
        <f>SUM(AO392:AT392)</f>
        <v>0</v>
      </c>
      <c r="AN392" s="129"/>
      <c r="AO392" s="72"/>
      <c r="AP392" s="72"/>
      <c r="AQ392" s="72"/>
      <c r="AR392" s="72"/>
      <c r="AS392" s="72"/>
      <c r="AT392" s="72"/>
      <c r="AU392" s="72"/>
      <c r="AV392" s="70"/>
      <c r="AW392" s="72"/>
      <c r="AX392" s="72"/>
    </row>
    <row r="393" spans="1:50" ht="15" customHeight="1">
      <c r="A393" s="70" t="s">
        <v>1900</v>
      </c>
      <c r="B393" s="68" t="s">
        <v>1831</v>
      </c>
      <c r="C393" s="69" t="s">
        <v>45</v>
      </c>
      <c r="D393" s="70" t="s">
        <v>72</v>
      </c>
      <c r="E393" s="70"/>
      <c r="F393" s="68">
        <v>6</v>
      </c>
      <c r="G393" s="71" t="s">
        <v>1901</v>
      </c>
      <c r="H393" s="71" t="s">
        <v>1902</v>
      </c>
      <c r="I393" s="71"/>
      <c r="J393" s="71"/>
      <c r="K393" s="72"/>
      <c r="L393" s="72"/>
      <c r="M393" s="72"/>
      <c r="N393" s="72"/>
      <c r="O393" s="71" t="s">
        <v>48</v>
      </c>
      <c r="P393" s="69">
        <v>1</v>
      </c>
      <c r="Q393" s="68">
        <f>MAX(0,$V393-$P393-$S393)</f>
        <v>0</v>
      </c>
      <c r="R393" s="68"/>
      <c r="S393" s="68"/>
      <c r="T393" s="73">
        <v>1.75</v>
      </c>
      <c r="U393" s="73">
        <f>IF(AND($Q393&gt;0,ISNUMBER($T393)),$Q393*$T393,0)</f>
        <v>0</v>
      </c>
      <c r="V393" s="68">
        <f>SUM(W393:AB393)</f>
        <v>0</v>
      </c>
      <c r="W393" s="68"/>
      <c r="X393" s="68"/>
      <c r="Y393" s="68"/>
      <c r="Z393" s="68"/>
      <c r="AA393" s="68"/>
      <c r="AB393" s="68"/>
      <c r="AC393" s="68"/>
      <c r="AD393" s="75">
        <f>SUM(AE393:AJ393)</f>
        <v>0</v>
      </c>
      <c r="AE393" s="76"/>
      <c r="AF393" s="76"/>
      <c r="AG393" s="76"/>
      <c r="AH393" s="76"/>
      <c r="AI393" s="76"/>
      <c r="AJ393" s="76"/>
      <c r="AK393" s="76"/>
      <c r="AL393" s="77">
        <f>IF((P393-SUM(AE393:AK393))&lt;0,0,P393-SUM(AE393:AK393))</f>
        <v>1</v>
      </c>
      <c r="AM393" s="77">
        <f>SUM(AO393:AT393)</f>
        <v>0</v>
      </c>
      <c r="AN393" s="129"/>
      <c r="AO393" s="72"/>
      <c r="AP393" s="72"/>
      <c r="AQ393" s="72"/>
      <c r="AR393" s="72"/>
      <c r="AS393" s="72"/>
      <c r="AT393" s="72"/>
      <c r="AU393" s="72"/>
      <c r="AV393" s="70"/>
      <c r="AW393" s="72"/>
      <c r="AX393" s="72"/>
    </row>
    <row r="394" spans="1:50" ht="15" customHeight="1">
      <c r="A394" s="70" t="s">
        <v>1360</v>
      </c>
      <c r="B394" s="68" t="s">
        <v>1114</v>
      </c>
      <c r="C394" s="69" t="s">
        <v>45</v>
      </c>
      <c r="D394" s="70" t="s">
        <v>64</v>
      </c>
      <c r="E394" s="70" t="s">
        <v>1361</v>
      </c>
      <c r="F394" s="68">
        <v>2</v>
      </c>
      <c r="G394" s="71" t="s">
        <v>616</v>
      </c>
      <c r="H394" s="71" t="s">
        <v>1362</v>
      </c>
      <c r="I394" s="71"/>
      <c r="J394" s="71"/>
      <c r="K394" s="72"/>
      <c r="L394" s="72"/>
      <c r="M394" s="72"/>
      <c r="N394" s="72"/>
      <c r="O394" s="71" t="s">
        <v>704</v>
      </c>
      <c r="P394" s="69">
        <v>1</v>
      </c>
      <c r="Q394" s="68">
        <f>MAX(0,$V394-$P394-$S394)</f>
        <v>0</v>
      </c>
      <c r="R394" s="68"/>
      <c r="S394" s="68"/>
      <c r="T394" s="73">
        <v>0.23</v>
      </c>
      <c r="U394" s="73">
        <f>IF(AND($Q394&gt;0,ISNUMBER($T394)),$Q394*$T394,0)</f>
        <v>0</v>
      </c>
      <c r="V394" s="68">
        <f>SUM(W394:AB394)</f>
        <v>1</v>
      </c>
      <c r="W394" s="68"/>
      <c r="X394" s="68">
        <v>1</v>
      </c>
      <c r="Y394" s="68"/>
      <c r="Z394" s="68"/>
      <c r="AA394" s="68"/>
      <c r="AB394" s="68"/>
      <c r="AC394" s="68"/>
      <c r="AD394" s="75">
        <f>SUM(AE394:AJ394)</f>
        <v>1</v>
      </c>
      <c r="AE394" s="76"/>
      <c r="AF394" s="76">
        <v>1</v>
      </c>
      <c r="AG394" s="76"/>
      <c r="AH394" s="76"/>
      <c r="AI394" s="76"/>
      <c r="AJ394" s="76"/>
      <c r="AK394" s="76"/>
      <c r="AL394" s="77">
        <f>IF((P394-SUM(AE394:AK394))&lt;0,0,P394-SUM(AE394:AK394))</f>
        <v>0</v>
      </c>
      <c r="AM394" s="77">
        <f>SUM(AO394:AT394)</f>
        <v>0</v>
      </c>
      <c r="AN394" s="72"/>
      <c r="AO394" s="72"/>
      <c r="AP394" s="72"/>
      <c r="AQ394" s="72"/>
      <c r="AR394" s="72"/>
      <c r="AS394" s="72"/>
      <c r="AT394" s="72"/>
      <c r="AU394" s="72"/>
      <c r="AV394" s="70"/>
      <c r="AW394" s="72"/>
      <c r="AX394" s="72"/>
    </row>
    <row r="395" spans="1:50" ht="15" customHeight="1">
      <c r="A395" s="70" t="s">
        <v>1034</v>
      </c>
      <c r="B395" s="68" t="s">
        <v>919</v>
      </c>
      <c r="C395" s="69" t="s">
        <v>45</v>
      </c>
      <c r="D395" s="70" t="s">
        <v>627</v>
      </c>
      <c r="E395" s="70" t="s">
        <v>1035</v>
      </c>
      <c r="F395" s="68">
        <v>0</v>
      </c>
      <c r="G395" s="71" t="s">
        <v>627</v>
      </c>
      <c r="H395" s="71" t="s">
        <v>949</v>
      </c>
      <c r="I395" s="71" t="s">
        <v>926</v>
      </c>
      <c r="J395" s="71" t="s">
        <v>1036</v>
      </c>
      <c r="K395" s="69"/>
      <c r="L395" s="69"/>
      <c r="M395" s="69"/>
      <c r="N395" s="69"/>
      <c r="O395" s="71" t="s">
        <v>704</v>
      </c>
      <c r="P395" s="69">
        <v>1</v>
      </c>
      <c r="Q395" s="68">
        <f>MAX(0,$V395-$P395-$S395)</f>
        <v>0</v>
      </c>
      <c r="R395" s="68"/>
      <c r="S395" s="68"/>
      <c r="T395" s="73">
        <v>0.27</v>
      </c>
      <c r="U395" s="73">
        <f>IF(AND($Q395&gt;0,ISNUMBER($T395)),$Q395*$T395,0)</f>
        <v>0</v>
      </c>
      <c r="V395" s="68">
        <f>SUM(W395:AB395)</f>
        <v>1</v>
      </c>
      <c r="W395" s="68">
        <v>1</v>
      </c>
      <c r="X395" s="68"/>
      <c r="Y395" s="68"/>
      <c r="Z395" s="68"/>
      <c r="AA395" s="68"/>
      <c r="AB395" s="68"/>
      <c r="AC395" s="68"/>
      <c r="AD395" s="75">
        <f>SUM(AE395:AJ395)</f>
        <v>1</v>
      </c>
      <c r="AE395" s="76">
        <v>1</v>
      </c>
      <c r="AF395" s="76"/>
      <c r="AG395" s="76"/>
      <c r="AH395" s="76"/>
      <c r="AI395" s="76"/>
      <c r="AJ395" s="76"/>
      <c r="AK395" s="76"/>
      <c r="AL395" s="77">
        <f>IF((P395-SUM(AE395:AK395))&lt;0,0,P395-SUM(AE395:AK395))</f>
        <v>0</v>
      </c>
      <c r="AM395" s="77">
        <f>SUM(AO395:AT395)</f>
        <v>0</v>
      </c>
      <c r="AN395" s="129"/>
      <c r="AO395" s="72"/>
      <c r="AP395" s="72"/>
      <c r="AQ395" s="72"/>
      <c r="AR395" s="72"/>
      <c r="AS395" s="72"/>
      <c r="AT395" s="129"/>
      <c r="AU395" s="129"/>
      <c r="AV395" s="70"/>
      <c r="AW395" s="72"/>
      <c r="AX395" s="72"/>
    </row>
    <row r="396" spans="1:50" ht="15" customHeight="1">
      <c r="A396" s="86" t="s">
        <v>1711</v>
      </c>
      <c r="B396" s="68" t="s">
        <v>1499</v>
      </c>
      <c r="C396" s="69" t="s">
        <v>45</v>
      </c>
      <c r="D396" s="70" t="s">
        <v>64</v>
      </c>
      <c r="E396" s="70" t="s">
        <v>1531</v>
      </c>
      <c r="F396" s="68">
        <v>2</v>
      </c>
      <c r="G396" s="71" t="s">
        <v>54</v>
      </c>
      <c r="H396" s="71" t="s">
        <v>1712</v>
      </c>
      <c r="I396" s="71" t="s">
        <v>1713</v>
      </c>
      <c r="J396" s="71"/>
      <c r="K396" s="72"/>
      <c r="L396" s="72"/>
      <c r="M396" s="72"/>
      <c r="N396" s="72"/>
      <c r="O396" s="71" t="s">
        <v>541</v>
      </c>
      <c r="P396" s="69">
        <v>1</v>
      </c>
      <c r="Q396" s="68">
        <f>MAX(0,$V396-$P396-$S396)</f>
        <v>0</v>
      </c>
      <c r="R396" s="68" t="s">
        <v>57</v>
      </c>
      <c r="S396" s="68">
        <v>1</v>
      </c>
      <c r="T396" s="73">
        <v>0.34</v>
      </c>
      <c r="U396" s="73">
        <f>IF(AND($Q396&gt;0,ISNUMBER($T396)),$Q396*$T396,0)</f>
        <v>0</v>
      </c>
      <c r="V396" s="68">
        <f>SUM(W396:AB396)</f>
        <v>1</v>
      </c>
      <c r="W396" s="68"/>
      <c r="X396" s="68"/>
      <c r="Y396" s="68"/>
      <c r="Z396" s="68"/>
      <c r="AA396" s="68"/>
      <c r="AB396" s="87">
        <v>1</v>
      </c>
      <c r="AC396" s="68"/>
      <c r="AD396" s="75">
        <f>SUM(AE396:AJ396)</f>
        <v>1</v>
      </c>
      <c r="AE396" s="76"/>
      <c r="AF396" s="76"/>
      <c r="AG396" s="76"/>
      <c r="AH396" s="76"/>
      <c r="AI396" s="76"/>
      <c r="AJ396" s="76">
        <v>1</v>
      </c>
      <c r="AK396" s="76"/>
      <c r="AL396" s="77">
        <f>IF((P396-SUM(AE396:AK396))&lt;0,0,P396-SUM(AE396:AK396))</f>
        <v>0</v>
      </c>
      <c r="AM396" s="77">
        <f>SUM(AO396:AT396)</f>
        <v>0</v>
      </c>
      <c r="AN396" s="72"/>
      <c r="AO396" s="72"/>
      <c r="AP396" s="72"/>
      <c r="AQ396" s="72"/>
      <c r="AR396" s="72"/>
      <c r="AS396" s="72"/>
      <c r="AT396" s="72"/>
      <c r="AU396" s="72"/>
      <c r="AV396" s="70"/>
      <c r="AW396" s="72"/>
      <c r="AX396" s="72"/>
    </row>
    <row r="397" spans="1:50" ht="15" customHeight="1">
      <c r="A397" s="70" t="s">
        <v>1717</v>
      </c>
      <c r="B397" s="68" t="s">
        <v>1499</v>
      </c>
      <c r="C397" s="69" t="s">
        <v>45</v>
      </c>
      <c r="D397" s="70" t="s">
        <v>47</v>
      </c>
      <c r="E397" s="70"/>
      <c r="F397" s="68">
        <v>3</v>
      </c>
      <c r="G397" s="71" t="s">
        <v>165</v>
      </c>
      <c r="H397" s="71" t="s">
        <v>1718</v>
      </c>
      <c r="I397" s="71" t="s">
        <v>1719</v>
      </c>
      <c r="J397" s="71"/>
      <c r="K397" s="72"/>
      <c r="L397" s="72">
        <v>1</v>
      </c>
      <c r="M397" s="72"/>
      <c r="N397" s="72"/>
      <c r="O397" s="71" t="s">
        <v>101</v>
      </c>
      <c r="P397" s="69">
        <v>1</v>
      </c>
      <c r="Q397" s="68">
        <f>MAX(0,$V397-$P397-$S397)</f>
        <v>0</v>
      </c>
      <c r="R397" s="68"/>
      <c r="S397" s="68"/>
      <c r="T397" s="73">
        <v>0.24</v>
      </c>
      <c r="U397" s="73">
        <f>IF(AND($Q397&gt;0,ISNUMBER($T397)),$Q397*$T397,0)</f>
        <v>0</v>
      </c>
      <c r="V397" s="68">
        <f>SUM(W397:AB397)</f>
        <v>0</v>
      </c>
      <c r="W397" s="68"/>
      <c r="X397" s="68"/>
      <c r="Y397" s="68"/>
      <c r="Z397" s="68"/>
      <c r="AA397" s="68"/>
      <c r="AB397" s="68"/>
      <c r="AC397" s="68"/>
      <c r="AD397" s="75">
        <f>SUM(AE397:AJ397)</f>
        <v>0</v>
      </c>
      <c r="AE397" s="76"/>
      <c r="AF397" s="76"/>
      <c r="AG397" s="76"/>
      <c r="AH397" s="76"/>
      <c r="AI397" s="76"/>
      <c r="AJ397" s="76"/>
      <c r="AK397" s="76"/>
      <c r="AL397" s="77">
        <f>IF((P397-SUM(AE397:AK397))&lt;0,0,P397-SUM(AE397:AK397))</f>
        <v>1</v>
      </c>
      <c r="AM397" s="77">
        <f>SUM(AO397:AT397)</f>
        <v>0</v>
      </c>
      <c r="AN397" s="129"/>
      <c r="AO397" s="72"/>
      <c r="AP397" s="72"/>
      <c r="AQ397" s="72"/>
      <c r="AR397" s="72"/>
      <c r="AS397" s="72"/>
      <c r="AT397" s="72"/>
      <c r="AU397" s="72"/>
      <c r="AV397" s="70"/>
      <c r="AW397" s="72"/>
      <c r="AX397" s="72"/>
    </row>
    <row r="398" spans="1:50" ht="15" customHeight="1">
      <c r="A398" s="70" t="s">
        <v>2176</v>
      </c>
      <c r="B398" s="68" t="s">
        <v>1971</v>
      </c>
      <c r="C398" s="69" t="s">
        <v>45</v>
      </c>
      <c r="D398" s="70" t="s">
        <v>58</v>
      </c>
      <c r="E398" s="70"/>
      <c r="F398" s="68">
        <v>3</v>
      </c>
      <c r="G398" s="71" t="s">
        <v>2177</v>
      </c>
      <c r="H398" s="71" t="s">
        <v>2178</v>
      </c>
      <c r="I398" s="71"/>
      <c r="J398" s="71"/>
      <c r="K398" s="72"/>
      <c r="L398" s="72"/>
      <c r="M398" s="72"/>
      <c r="N398" s="72"/>
      <c r="O398" s="71" t="s">
        <v>1083</v>
      </c>
      <c r="P398" s="69">
        <v>1</v>
      </c>
      <c r="Q398" s="68">
        <f>MAX(0,$V398-$P398-$S398)</f>
        <v>0</v>
      </c>
      <c r="R398" s="68"/>
      <c r="S398" s="68"/>
      <c r="T398" s="73">
        <v>0.96</v>
      </c>
      <c r="U398" s="73">
        <f>IF(AND($Q398&gt;0,ISNUMBER($T398)),$Q398*$T398,0)</f>
        <v>0</v>
      </c>
      <c r="V398" s="68">
        <f>SUM(W398:AB398)</f>
        <v>0</v>
      </c>
      <c r="W398" s="68"/>
      <c r="X398" s="68"/>
      <c r="Y398" s="68"/>
      <c r="Z398" s="68"/>
      <c r="AA398" s="68"/>
      <c r="AB398" s="68"/>
      <c r="AC398" s="68"/>
      <c r="AD398" s="75">
        <f>SUM(AE398:AJ398)</f>
        <v>1</v>
      </c>
      <c r="AE398" s="76"/>
      <c r="AF398" s="76"/>
      <c r="AG398" s="76"/>
      <c r="AH398" s="76"/>
      <c r="AI398" s="76">
        <v>1</v>
      </c>
      <c r="AJ398" s="76"/>
      <c r="AK398" s="76"/>
      <c r="AL398" s="77">
        <f>IF((P398-SUM(AE398:AK398))&lt;0,0,P398-SUM(AE398:AK398))</f>
        <v>0</v>
      </c>
      <c r="AM398" s="77">
        <f>SUM(AO398:AT398)</f>
        <v>1</v>
      </c>
      <c r="AN398" s="97" t="s">
        <v>105</v>
      </c>
      <c r="AO398" s="72"/>
      <c r="AP398" s="72"/>
      <c r="AQ398" s="72"/>
      <c r="AR398" s="72"/>
      <c r="AS398" s="93">
        <v>1</v>
      </c>
      <c r="AT398" s="72"/>
      <c r="AU398" s="31" t="s">
        <v>2179</v>
      </c>
      <c r="AV398" s="70"/>
      <c r="AW398" s="72"/>
      <c r="AX398" s="72"/>
    </row>
    <row r="399" spans="1:50" ht="15" customHeight="1">
      <c r="A399" s="70" t="s">
        <v>2180</v>
      </c>
      <c r="B399" s="68" t="s">
        <v>1971</v>
      </c>
      <c r="C399" s="69" t="s">
        <v>45</v>
      </c>
      <c r="D399" s="70" t="s">
        <v>64</v>
      </c>
      <c r="E399" s="70" t="s">
        <v>1407</v>
      </c>
      <c r="F399" s="68">
        <v>3</v>
      </c>
      <c r="G399" s="71" t="s">
        <v>176</v>
      </c>
      <c r="H399" s="71" t="s">
        <v>2181</v>
      </c>
      <c r="I399" s="71" t="s">
        <v>2182</v>
      </c>
      <c r="J399" s="71"/>
      <c r="K399" s="72"/>
      <c r="L399" s="72"/>
      <c r="M399" s="72"/>
      <c r="N399" s="72"/>
      <c r="O399" s="71" t="s">
        <v>48</v>
      </c>
      <c r="P399" s="69">
        <v>1</v>
      </c>
      <c r="Q399" s="68">
        <f>MAX(0,$V399-$P399-$S399)</f>
        <v>0</v>
      </c>
      <c r="R399" s="68"/>
      <c r="S399" s="68"/>
      <c r="T399" s="73">
        <v>0.19</v>
      </c>
      <c r="U399" s="73">
        <f>IF(AND($Q399&gt;0,ISNUMBER($T399)),$Q399*$T399,0)</f>
        <v>0</v>
      </c>
      <c r="V399" s="68">
        <f>SUM(W399:AB399)</f>
        <v>0</v>
      </c>
      <c r="W399" s="68"/>
      <c r="X399" s="68"/>
      <c r="Y399" s="68"/>
      <c r="Z399" s="68"/>
      <c r="AA399" s="68"/>
      <c r="AB399" s="68"/>
      <c r="AC399" s="68"/>
      <c r="AD399" s="75">
        <f>SUM(AE399:AJ399)</f>
        <v>0</v>
      </c>
      <c r="AE399" s="76"/>
      <c r="AF399" s="76"/>
      <c r="AG399" s="76"/>
      <c r="AH399" s="76"/>
      <c r="AI399" s="76"/>
      <c r="AJ399" s="76"/>
      <c r="AK399" s="76"/>
      <c r="AL399" s="77">
        <f>IF((P399-SUM(AE399:AK399))&lt;0,0,P399-SUM(AE399:AK399))</f>
        <v>1</v>
      </c>
      <c r="AM399" s="77">
        <f>SUM(AO399:AT399)</f>
        <v>0</v>
      </c>
      <c r="AN399" s="72"/>
      <c r="AO399" s="72"/>
      <c r="AP399" s="72"/>
      <c r="AQ399" s="72"/>
      <c r="AR399" s="72"/>
      <c r="AS399" s="72"/>
      <c r="AT399" s="72"/>
      <c r="AU399" s="72"/>
      <c r="AV399" s="70"/>
      <c r="AW399" s="72"/>
      <c r="AX399" s="72"/>
    </row>
    <row r="400" spans="1:50" ht="15" customHeight="1">
      <c r="A400" s="70" t="s">
        <v>2183</v>
      </c>
      <c r="B400" s="68" t="s">
        <v>1971</v>
      </c>
      <c r="C400" s="69" t="s">
        <v>45</v>
      </c>
      <c r="D400" s="70" t="s">
        <v>64</v>
      </c>
      <c r="E400" s="70" t="s">
        <v>2111</v>
      </c>
      <c r="F400" s="68">
        <v>8</v>
      </c>
      <c r="G400" s="71" t="s">
        <v>285</v>
      </c>
      <c r="H400" s="71" t="s">
        <v>166</v>
      </c>
      <c r="I400" s="71" t="s">
        <v>2185</v>
      </c>
      <c r="J400" s="71"/>
      <c r="K400" s="69"/>
      <c r="L400" s="69"/>
      <c r="M400" s="69"/>
      <c r="N400" s="69"/>
      <c r="O400" s="71" t="s">
        <v>2184</v>
      </c>
      <c r="P400" s="69">
        <v>1</v>
      </c>
      <c r="Q400" s="68">
        <f>MAX(0,$V400-$P400-$S400)</f>
        <v>0</v>
      </c>
      <c r="R400" s="68"/>
      <c r="S400" s="68"/>
      <c r="T400" s="73">
        <v>9.57</v>
      </c>
      <c r="U400" s="73">
        <f>IF(AND($Q400&gt;0,ISNUMBER($T400)),$Q400*$T400,0)</f>
        <v>0</v>
      </c>
      <c r="V400" s="68">
        <f>SUM(W400:AB400)</f>
        <v>1</v>
      </c>
      <c r="W400" s="68">
        <v>1</v>
      </c>
      <c r="X400" s="68"/>
      <c r="Y400" s="68"/>
      <c r="Z400" s="68"/>
      <c r="AA400" s="68"/>
      <c r="AB400" s="68"/>
      <c r="AC400" s="68"/>
      <c r="AD400" s="75">
        <f>SUM(AE400:AJ400)</f>
        <v>1</v>
      </c>
      <c r="AE400" s="76">
        <v>1</v>
      </c>
      <c r="AF400" s="76"/>
      <c r="AG400" s="76"/>
      <c r="AH400" s="76"/>
      <c r="AI400" s="76"/>
      <c r="AJ400" s="76"/>
      <c r="AK400" s="76"/>
      <c r="AL400" s="77">
        <f>IF((P400-SUM(AE400:AK400))&lt;0,0,P400-SUM(AE400:AK400))</f>
        <v>0</v>
      </c>
      <c r="AM400" s="77">
        <f>SUM(AO400:AT400)</f>
        <v>0</v>
      </c>
      <c r="AN400" s="72"/>
      <c r="AO400" s="72"/>
      <c r="AP400" s="72"/>
      <c r="AQ400" s="72"/>
      <c r="AR400" s="72"/>
      <c r="AS400" s="72"/>
      <c r="AT400" s="72"/>
      <c r="AU400" s="72"/>
      <c r="AV400" s="70"/>
      <c r="AW400" s="72"/>
      <c r="AX400" s="72"/>
    </row>
    <row r="401" spans="1:50" ht="15" customHeight="1">
      <c r="A401" s="70" t="s">
        <v>1366</v>
      </c>
      <c r="B401" s="68" t="s">
        <v>1114</v>
      </c>
      <c r="C401" s="69" t="s">
        <v>45</v>
      </c>
      <c r="D401" s="70" t="s">
        <v>72</v>
      </c>
      <c r="E401" s="70"/>
      <c r="F401" s="68">
        <v>3</v>
      </c>
      <c r="G401" s="71" t="s">
        <v>49</v>
      </c>
      <c r="H401" s="71" t="s">
        <v>1367</v>
      </c>
      <c r="I401" s="71"/>
      <c r="J401" s="71"/>
      <c r="K401" s="72"/>
      <c r="L401" s="72"/>
      <c r="M401" s="72"/>
      <c r="N401" s="72"/>
      <c r="O401" s="71" t="s">
        <v>524</v>
      </c>
      <c r="P401" s="69">
        <v>1</v>
      </c>
      <c r="Q401" s="68">
        <f>MAX(0,$V401-$P401-$S401)</f>
        <v>0</v>
      </c>
      <c r="R401" s="68"/>
      <c r="S401" s="68"/>
      <c r="T401" s="73">
        <v>0.18</v>
      </c>
      <c r="U401" s="73">
        <f>IF(AND($Q401&gt;0,ISNUMBER($T401)),$Q401*$T401,0)</f>
        <v>0</v>
      </c>
      <c r="V401" s="68">
        <f>SUM(W401:AB401)</f>
        <v>1</v>
      </c>
      <c r="W401" s="68"/>
      <c r="X401" s="68"/>
      <c r="Y401" s="68">
        <v>1</v>
      </c>
      <c r="Z401" s="68"/>
      <c r="AA401" s="68"/>
      <c r="AB401" s="68"/>
      <c r="AC401" s="68"/>
      <c r="AD401" s="75">
        <f>SUM(AE401:AJ401)</f>
        <v>1</v>
      </c>
      <c r="AE401" s="76"/>
      <c r="AF401" s="76"/>
      <c r="AG401" s="76">
        <v>1</v>
      </c>
      <c r="AH401" s="76"/>
      <c r="AI401" s="76"/>
      <c r="AJ401" s="76"/>
      <c r="AK401" s="76"/>
      <c r="AL401" s="77">
        <f>IF((P401-SUM(AE401:AK401))&lt;0,0,P401-SUM(AE401:AK401))</f>
        <v>0</v>
      </c>
      <c r="AM401" s="77">
        <f>SUM(AO401:AT401)</f>
        <v>0</v>
      </c>
      <c r="AN401" s="72"/>
      <c r="AO401" s="72"/>
      <c r="AP401" s="72"/>
      <c r="AQ401" s="72"/>
      <c r="AR401" s="72"/>
      <c r="AS401" s="72"/>
      <c r="AT401" s="72"/>
      <c r="AU401" s="72"/>
      <c r="AV401" s="70"/>
      <c r="AW401" s="72"/>
      <c r="AX401" s="72"/>
    </row>
    <row r="402" spans="1:50" ht="15" customHeight="1">
      <c r="A402" s="70" t="s">
        <v>789</v>
      </c>
      <c r="B402" s="68" t="s">
        <v>636</v>
      </c>
      <c r="C402" s="69" t="s">
        <v>45</v>
      </c>
      <c r="D402" s="70" t="s">
        <v>47</v>
      </c>
      <c r="E402" s="70"/>
      <c r="F402" s="68">
        <v>2</v>
      </c>
      <c r="G402" s="71" t="s">
        <v>165</v>
      </c>
      <c r="H402" s="71" t="s">
        <v>791</v>
      </c>
      <c r="I402" s="71"/>
      <c r="J402" s="71"/>
      <c r="K402" s="72"/>
      <c r="L402" s="72"/>
      <c r="M402" s="72"/>
      <c r="N402" s="72"/>
      <c r="O402" s="71" t="s">
        <v>790</v>
      </c>
      <c r="P402" s="69">
        <v>1</v>
      </c>
      <c r="Q402" s="68">
        <f>MAX(0,$V402-$P402-$S402)</f>
        <v>0</v>
      </c>
      <c r="R402" s="68"/>
      <c r="S402" s="68"/>
      <c r="T402" s="73">
        <v>0.3</v>
      </c>
      <c r="U402" s="73">
        <f>IF(AND($Q402&gt;0,ISNUMBER($T402)),$Q402*$T402,0)</f>
        <v>0</v>
      </c>
      <c r="V402" s="68">
        <f>SUM(W402:AB402)</f>
        <v>0</v>
      </c>
      <c r="W402" s="68"/>
      <c r="X402" s="68"/>
      <c r="Y402" s="68"/>
      <c r="Z402" s="68"/>
      <c r="AA402" s="68"/>
      <c r="AB402" s="68"/>
      <c r="AC402" s="68"/>
      <c r="AD402" s="75">
        <f>SUM(AE402:AJ402)</f>
        <v>0</v>
      </c>
      <c r="AE402" s="76"/>
      <c r="AF402" s="76"/>
      <c r="AG402" s="76"/>
      <c r="AH402" s="76"/>
      <c r="AI402" s="76"/>
      <c r="AJ402" s="76"/>
      <c r="AK402" s="76"/>
      <c r="AL402" s="77">
        <f>IF((P402-SUM(AE402:AK402))&lt;0,0,P402-SUM(AE402:AK402))</f>
        <v>1</v>
      </c>
      <c r="AM402" s="77">
        <f>SUM(AO402:AT402)</f>
        <v>0</v>
      </c>
      <c r="AN402" s="85"/>
      <c r="AO402" s="72"/>
      <c r="AP402" s="72"/>
      <c r="AQ402" s="72"/>
      <c r="AR402" s="72"/>
      <c r="AS402" s="72"/>
      <c r="AT402" s="85"/>
      <c r="AU402" s="85"/>
      <c r="AV402" s="70"/>
      <c r="AW402" s="72"/>
      <c r="AX402" s="72"/>
    </row>
    <row r="403" spans="1:50" ht="15" customHeight="1">
      <c r="A403" s="70" t="s">
        <v>1903</v>
      </c>
      <c r="B403" s="68" t="s">
        <v>1831</v>
      </c>
      <c r="C403" s="69" t="s">
        <v>45</v>
      </c>
      <c r="D403" s="70" t="s">
        <v>64</v>
      </c>
      <c r="E403" s="70" t="s">
        <v>637</v>
      </c>
      <c r="F403" s="68">
        <v>5</v>
      </c>
      <c r="G403" s="71" t="s">
        <v>176</v>
      </c>
      <c r="H403" s="71" t="s">
        <v>1904</v>
      </c>
      <c r="I403" s="71" t="s">
        <v>1905</v>
      </c>
      <c r="J403" s="71" t="s">
        <v>166</v>
      </c>
      <c r="K403" s="72"/>
      <c r="L403" s="72"/>
      <c r="M403" s="72"/>
      <c r="N403" s="72"/>
      <c r="O403" s="71" t="s">
        <v>596</v>
      </c>
      <c r="P403" s="69">
        <v>1</v>
      </c>
      <c r="Q403" s="68">
        <f>MAX(0,$V403-$P403-$S403)</f>
        <v>0</v>
      </c>
      <c r="R403" s="68" t="s">
        <v>57</v>
      </c>
      <c r="S403" s="68">
        <v>1</v>
      </c>
      <c r="T403" s="73">
        <v>0.32</v>
      </c>
      <c r="U403" s="73">
        <f>IF(AND($Q403&gt;0,ISNUMBER($T403)),$Q403*$T403,0)</f>
        <v>0</v>
      </c>
      <c r="V403" s="68">
        <f>SUM(W403:AB403)</f>
        <v>1</v>
      </c>
      <c r="W403" s="68"/>
      <c r="X403" s="68">
        <v>1</v>
      </c>
      <c r="Y403" s="68"/>
      <c r="Z403" s="68"/>
      <c r="AA403" s="68"/>
      <c r="AB403" s="68"/>
      <c r="AC403" s="68"/>
      <c r="AD403" s="75">
        <f>SUM(AE403:AJ403)</f>
        <v>1</v>
      </c>
      <c r="AE403" s="76"/>
      <c r="AF403" s="76">
        <v>1</v>
      </c>
      <c r="AG403" s="76"/>
      <c r="AH403" s="76"/>
      <c r="AI403" s="76"/>
      <c r="AJ403" s="76"/>
      <c r="AK403" s="76"/>
      <c r="AL403" s="77">
        <f>IF((P403-SUM(AE403:AK403))&lt;0,0,P403-SUM(AE403:AK403))</f>
        <v>0</v>
      </c>
      <c r="AM403" s="77">
        <f>SUM(AO403:AT403)</f>
        <v>0</v>
      </c>
      <c r="AN403" s="85"/>
      <c r="AO403" s="72"/>
      <c r="AP403" s="72"/>
      <c r="AQ403" s="72"/>
      <c r="AR403" s="72"/>
      <c r="AS403" s="72"/>
      <c r="AT403" s="85"/>
      <c r="AU403" s="85"/>
      <c r="AV403" s="70"/>
      <c r="AW403" s="72"/>
      <c r="AX403" s="72"/>
    </row>
    <row r="404" spans="1:50" ht="15" customHeight="1">
      <c r="A404" s="86" t="s">
        <v>519</v>
      </c>
      <c r="B404" s="68" t="s">
        <v>345</v>
      </c>
      <c r="C404" s="69" t="s">
        <v>45</v>
      </c>
      <c r="D404" s="70" t="s">
        <v>359</v>
      </c>
      <c r="E404" s="70" t="s">
        <v>520</v>
      </c>
      <c r="F404" s="68">
        <v>7</v>
      </c>
      <c r="G404" s="71" t="s">
        <v>54</v>
      </c>
      <c r="H404" s="71" t="s">
        <v>521</v>
      </c>
      <c r="I404" s="71" t="s">
        <v>522</v>
      </c>
      <c r="J404" s="71"/>
      <c r="K404" s="72"/>
      <c r="L404" s="72"/>
      <c r="M404" s="72"/>
      <c r="N404" s="72"/>
      <c r="O404" s="71" t="s">
        <v>415</v>
      </c>
      <c r="P404" s="69">
        <v>1</v>
      </c>
      <c r="Q404" s="68">
        <f>MAX(0,$V404-$P404-$S404)</f>
        <v>0</v>
      </c>
      <c r="R404" s="68" t="s">
        <v>57</v>
      </c>
      <c r="S404" s="68">
        <v>1</v>
      </c>
      <c r="T404" s="73">
        <v>0.36</v>
      </c>
      <c r="U404" s="73">
        <f>IF(AND($Q404&gt;0,ISNUMBER($T404)),$Q404*$T404,0)</f>
        <v>0</v>
      </c>
      <c r="V404" s="68">
        <f>SUM(W404:AB404)</f>
        <v>1</v>
      </c>
      <c r="W404" s="68"/>
      <c r="X404" s="68"/>
      <c r="Y404" s="68"/>
      <c r="Z404" s="68"/>
      <c r="AA404" s="87">
        <v>1</v>
      </c>
      <c r="AB404" s="68"/>
      <c r="AC404" s="68"/>
      <c r="AD404" s="75">
        <f>SUM(AE404:AJ404)</f>
        <v>1</v>
      </c>
      <c r="AE404" s="76"/>
      <c r="AF404" s="76"/>
      <c r="AG404" s="76"/>
      <c r="AH404" s="76"/>
      <c r="AI404" s="76">
        <v>1</v>
      </c>
      <c r="AJ404" s="76"/>
      <c r="AK404" s="76"/>
      <c r="AL404" s="77">
        <f>IF((P404-SUM(AE404:AK404))&lt;0,0,P404-SUM(AE404:AK404))</f>
        <v>0</v>
      </c>
      <c r="AM404" s="77">
        <f>SUM(AO404:AT404)</f>
        <v>0</v>
      </c>
      <c r="AN404" s="85"/>
      <c r="AO404" s="72"/>
      <c r="AP404" s="72"/>
      <c r="AQ404" s="72"/>
      <c r="AR404" s="72"/>
      <c r="AS404" s="72"/>
      <c r="AT404" s="72"/>
      <c r="AU404" s="72"/>
      <c r="AV404" s="70"/>
      <c r="AW404" s="72"/>
      <c r="AX404" s="72"/>
    </row>
    <row r="405" spans="1:50" ht="15" customHeight="1">
      <c r="A405" s="70" t="s">
        <v>1039</v>
      </c>
      <c r="B405" s="68" t="s">
        <v>919</v>
      </c>
      <c r="C405" s="69" t="s">
        <v>45</v>
      </c>
      <c r="D405" s="70" t="s">
        <v>627</v>
      </c>
      <c r="E405" s="70"/>
      <c r="F405" s="68">
        <v>0</v>
      </c>
      <c r="G405" s="71" t="s">
        <v>470</v>
      </c>
      <c r="H405" s="71" t="s">
        <v>517</v>
      </c>
      <c r="I405" s="71" t="s">
        <v>1040</v>
      </c>
      <c r="J405" s="71"/>
      <c r="K405" s="72"/>
      <c r="L405" s="72"/>
      <c r="M405" s="72"/>
      <c r="N405" s="72"/>
      <c r="O405" s="71" t="s">
        <v>717</v>
      </c>
      <c r="P405" s="69">
        <v>1</v>
      </c>
      <c r="Q405" s="68">
        <f>MAX(0,$V405-$P405-$S405)</f>
        <v>0</v>
      </c>
      <c r="R405" s="68"/>
      <c r="S405" s="68"/>
      <c r="T405" s="73">
        <v>0.28999999999999998</v>
      </c>
      <c r="U405" s="73">
        <f>IF(AND($Q405&gt;0,ISNUMBER($T405)),$Q405*$T405,0)</f>
        <v>0</v>
      </c>
      <c r="V405" s="68">
        <f>SUM(W405:AB405)</f>
        <v>1</v>
      </c>
      <c r="W405" s="68"/>
      <c r="X405" s="68"/>
      <c r="Y405" s="68"/>
      <c r="Z405" s="68">
        <v>1</v>
      </c>
      <c r="AA405" s="68"/>
      <c r="AB405" s="68"/>
      <c r="AC405" s="68"/>
      <c r="AD405" s="75">
        <f>SUM(AE405:AJ405)</f>
        <v>1</v>
      </c>
      <c r="AE405" s="76"/>
      <c r="AF405" s="76"/>
      <c r="AG405" s="76"/>
      <c r="AH405" s="76">
        <v>1</v>
      </c>
      <c r="AI405" s="76"/>
      <c r="AJ405" s="76"/>
      <c r="AK405" s="76"/>
      <c r="AL405" s="77">
        <f>IF((P405-SUM(AE405:AK405))&lt;0,0,P405-SUM(AE405:AK405))</f>
        <v>0</v>
      </c>
      <c r="AM405" s="77">
        <f>SUM(AO405:AT405)</f>
        <v>0</v>
      </c>
      <c r="AN405" s="72"/>
      <c r="AO405" s="72"/>
      <c r="AP405" s="72"/>
      <c r="AQ405" s="72"/>
      <c r="AR405" s="72"/>
      <c r="AS405" s="72"/>
      <c r="AT405" s="72"/>
      <c r="AU405" s="72"/>
      <c r="AV405" s="70"/>
      <c r="AW405" s="72"/>
      <c r="AX405" s="72"/>
    </row>
    <row r="406" spans="1:50" ht="15" customHeight="1">
      <c r="A406" s="70" t="s">
        <v>208</v>
      </c>
      <c r="B406" s="68" t="s">
        <v>46</v>
      </c>
      <c r="C406" s="69" t="s">
        <v>45</v>
      </c>
      <c r="D406" s="70" t="s">
        <v>64</v>
      </c>
      <c r="E406" s="70" t="s">
        <v>209</v>
      </c>
      <c r="F406" s="68">
        <v>3</v>
      </c>
      <c r="G406" s="71" t="s">
        <v>60</v>
      </c>
      <c r="H406" s="71" t="s">
        <v>211</v>
      </c>
      <c r="I406" s="71"/>
      <c r="J406" s="71"/>
      <c r="K406" s="72"/>
      <c r="L406" s="72"/>
      <c r="M406" s="72"/>
      <c r="N406" s="72"/>
      <c r="O406" s="71" t="s">
        <v>210</v>
      </c>
      <c r="P406" s="69">
        <v>1</v>
      </c>
      <c r="Q406" s="68">
        <f>MAX(0,$V406-$P406-$S406)</f>
        <v>0</v>
      </c>
      <c r="R406" s="68" t="s">
        <v>57</v>
      </c>
      <c r="S406" s="68">
        <v>1</v>
      </c>
      <c r="T406" s="73">
        <v>0.31</v>
      </c>
      <c r="U406" s="73">
        <f>IF(AND($Q406&gt;0,ISNUMBER($T406)),$Q406*$T406,0)</f>
        <v>0</v>
      </c>
      <c r="V406" s="68">
        <f>SUM(W406:AB406)</f>
        <v>1</v>
      </c>
      <c r="W406" s="68"/>
      <c r="X406" s="68"/>
      <c r="Y406" s="68"/>
      <c r="Z406" s="68"/>
      <c r="AA406" s="68">
        <v>1</v>
      </c>
      <c r="AB406" s="68"/>
      <c r="AC406" s="68"/>
      <c r="AD406" s="75">
        <f>SUM(AE406:AJ406)</f>
        <v>1</v>
      </c>
      <c r="AE406" s="76"/>
      <c r="AF406" s="76"/>
      <c r="AG406" s="76"/>
      <c r="AH406" s="76"/>
      <c r="AI406" s="76">
        <v>1</v>
      </c>
      <c r="AJ406" s="76"/>
      <c r="AK406" s="76"/>
      <c r="AL406" s="77">
        <f>IF((P406-SUM(AE406:AK406))&lt;0,0,P406-SUM(AE406:AK406))</f>
        <v>0</v>
      </c>
      <c r="AM406" s="77">
        <f>SUM(AO406:AT406)</f>
        <v>0</v>
      </c>
      <c r="AN406" s="72"/>
      <c r="AO406" s="72"/>
      <c r="AP406" s="72"/>
      <c r="AQ406" s="72"/>
      <c r="AR406" s="72"/>
      <c r="AS406" s="72"/>
      <c r="AT406" s="72"/>
      <c r="AU406" s="72"/>
      <c r="AV406" s="70"/>
      <c r="AW406" s="72"/>
      <c r="AX406" s="72"/>
    </row>
    <row r="407" spans="1:50" ht="15" customHeight="1">
      <c r="A407" s="70" t="s">
        <v>1723</v>
      </c>
      <c r="B407" s="68" t="s">
        <v>1499</v>
      </c>
      <c r="C407" s="69" t="s">
        <v>45</v>
      </c>
      <c r="D407" s="70" t="s">
        <v>64</v>
      </c>
      <c r="E407" s="70" t="s">
        <v>1724</v>
      </c>
      <c r="F407" s="68">
        <v>3</v>
      </c>
      <c r="G407" s="71" t="s">
        <v>1725</v>
      </c>
      <c r="H407" s="71" t="s">
        <v>1726</v>
      </c>
      <c r="I407" s="71" t="s">
        <v>1727</v>
      </c>
      <c r="J407" s="71"/>
      <c r="K407" s="72"/>
      <c r="L407" s="72"/>
      <c r="M407" s="72"/>
      <c r="N407" s="72"/>
      <c r="O407" s="71" t="s">
        <v>334</v>
      </c>
      <c r="P407" s="69">
        <v>1</v>
      </c>
      <c r="Q407" s="68">
        <f>MAX(0,$V407-$P407-$S407)</f>
        <v>0</v>
      </c>
      <c r="R407" s="68"/>
      <c r="S407" s="68"/>
      <c r="T407" s="73">
        <v>1.69</v>
      </c>
      <c r="U407" s="73">
        <f>IF(AND($Q407&gt;0,ISNUMBER($T407)),$Q407*$T407,0)</f>
        <v>0</v>
      </c>
      <c r="V407" s="68">
        <f>SUM(W407:AB407)</f>
        <v>1</v>
      </c>
      <c r="W407" s="68"/>
      <c r="X407" s="68"/>
      <c r="Y407" s="68"/>
      <c r="Z407" s="68"/>
      <c r="AA407" s="68"/>
      <c r="AB407" s="68">
        <v>1</v>
      </c>
      <c r="AC407" s="68"/>
      <c r="AD407" s="75">
        <f>SUM(AE407:AJ407)</f>
        <v>1</v>
      </c>
      <c r="AE407" s="76"/>
      <c r="AF407" s="76"/>
      <c r="AG407" s="76"/>
      <c r="AH407" s="76"/>
      <c r="AI407" s="76"/>
      <c r="AJ407" s="76">
        <v>1</v>
      </c>
      <c r="AK407" s="76"/>
      <c r="AL407" s="77">
        <f>IF((P407-SUM(AE407:AK407))&lt;0,0,P407-SUM(AE407:AK407))</f>
        <v>0</v>
      </c>
      <c r="AM407" s="77">
        <f>SUM(AO407:AT407)</f>
        <v>0</v>
      </c>
      <c r="AN407" s="72"/>
      <c r="AO407" s="72"/>
      <c r="AP407" s="72"/>
      <c r="AQ407" s="72"/>
      <c r="AR407" s="72"/>
      <c r="AS407" s="72"/>
      <c r="AT407" s="72"/>
      <c r="AU407" s="72"/>
      <c r="AV407" s="70"/>
      <c r="AW407" s="72"/>
      <c r="AX407" s="72"/>
    </row>
    <row r="408" spans="1:50" ht="15" customHeight="1">
      <c r="A408" s="86" t="s">
        <v>1041</v>
      </c>
      <c r="B408" s="68" t="s">
        <v>919</v>
      </c>
      <c r="C408" s="69" t="s">
        <v>45</v>
      </c>
      <c r="D408" s="70" t="s">
        <v>627</v>
      </c>
      <c r="E408" s="70"/>
      <c r="F408" s="68">
        <v>0</v>
      </c>
      <c r="G408" s="71" t="s">
        <v>627</v>
      </c>
      <c r="H408" s="71" t="s">
        <v>517</v>
      </c>
      <c r="I408" s="71" t="s">
        <v>1042</v>
      </c>
      <c r="J408" s="71"/>
      <c r="K408" s="72"/>
      <c r="L408" s="72"/>
      <c r="M408" s="72"/>
      <c r="N408" s="72"/>
      <c r="O408" s="71" t="s">
        <v>696</v>
      </c>
      <c r="P408" s="69">
        <v>1</v>
      </c>
      <c r="Q408" s="68">
        <f>MAX(0,$V408-$P408-$S408)</f>
        <v>0</v>
      </c>
      <c r="R408" s="68"/>
      <c r="S408" s="68"/>
      <c r="T408" s="73">
        <v>0.36</v>
      </c>
      <c r="U408" s="73">
        <f>IF(AND($Q408&gt;0,ISNUMBER($T408)),$Q408*$T408,0)</f>
        <v>0</v>
      </c>
      <c r="V408" s="68">
        <f>SUM(W408:AB408)</f>
        <v>1</v>
      </c>
      <c r="W408" s="87">
        <v>1</v>
      </c>
      <c r="X408" s="68"/>
      <c r="Y408" s="68"/>
      <c r="Z408" s="68"/>
      <c r="AA408" s="68"/>
      <c r="AB408" s="68"/>
      <c r="AC408" s="68"/>
      <c r="AD408" s="75">
        <f>SUM(AE408:AJ408)</f>
        <v>1</v>
      </c>
      <c r="AE408" s="76">
        <v>1</v>
      </c>
      <c r="AF408" s="76"/>
      <c r="AG408" s="76"/>
      <c r="AH408" s="76"/>
      <c r="AI408" s="76"/>
      <c r="AJ408" s="76"/>
      <c r="AK408" s="76"/>
      <c r="AL408" s="77">
        <f>IF((P408-SUM(AE408:AK408))&lt;0,0,P408-SUM(AE408:AK408))</f>
        <v>0</v>
      </c>
      <c r="AM408" s="77">
        <f>SUM(AO408:AT408)</f>
        <v>0</v>
      </c>
      <c r="AN408" s="72"/>
      <c r="AO408" s="72"/>
      <c r="AP408" s="72"/>
      <c r="AQ408" s="72"/>
      <c r="AR408" s="72"/>
      <c r="AS408" s="72"/>
      <c r="AT408" s="72"/>
      <c r="AU408" s="72"/>
      <c r="AV408" s="70"/>
      <c r="AW408" s="72"/>
      <c r="AX408" s="72"/>
    </row>
    <row r="409" spans="1:50" ht="15" customHeight="1">
      <c r="A409" s="70" t="s">
        <v>1906</v>
      </c>
      <c r="B409" s="68" t="s">
        <v>1831</v>
      </c>
      <c r="C409" s="69" t="s">
        <v>45</v>
      </c>
      <c r="D409" s="70" t="s">
        <v>72</v>
      </c>
      <c r="E409" s="70"/>
      <c r="F409" s="68">
        <v>2</v>
      </c>
      <c r="G409" s="71" t="s">
        <v>1332</v>
      </c>
      <c r="H409" s="71" t="s">
        <v>1907</v>
      </c>
      <c r="I409" s="71"/>
      <c r="J409" s="71"/>
      <c r="K409" s="69"/>
      <c r="L409" s="69"/>
      <c r="M409" s="69"/>
      <c r="N409" s="69"/>
      <c r="O409" s="71" t="s">
        <v>591</v>
      </c>
      <c r="P409" s="69">
        <v>1</v>
      </c>
      <c r="Q409" s="68">
        <f>MAX(0,$V409-$P409-$S409)</f>
        <v>0</v>
      </c>
      <c r="R409" s="68"/>
      <c r="S409" s="68"/>
      <c r="T409" s="73">
        <v>0.23</v>
      </c>
      <c r="U409" s="73">
        <f>IF(AND($Q409&gt;0,ISNUMBER($T409)),$Q409*$T409,0)</f>
        <v>0</v>
      </c>
      <c r="V409" s="68">
        <f>SUM(W409:AB409)</f>
        <v>1</v>
      </c>
      <c r="W409" s="68"/>
      <c r="X409" s="68">
        <v>1</v>
      </c>
      <c r="Y409" s="68"/>
      <c r="Z409" s="68"/>
      <c r="AA409" s="68"/>
      <c r="AB409" s="68"/>
      <c r="AC409" s="68"/>
      <c r="AD409" s="75">
        <f>SUM(AE409:AJ409)</f>
        <v>1</v>
      </c>
      <c r="AE409" s="76"/>
      <c r="AF409" s="76">
        <v>1</v>
      </c>
      <c r="AG409" s="76"/>
      <c r="AH409" s="76"/>
      <c r="AI409" s="76"/>
      <c r="AJ409" s="76"/>
      <c r="AK409" s="76"/>
      <c r="AL409" s="77">
        <f>IF((P409-SUM(AE409:AK409))&lt;0,0,P409-SUM(AE409:AK409))</f>
        <v>0</v>
      </c>
      <c r="AM409" s="77">
        <f>SUM(AO409:AT409)</f>
        <v>0</v>
      </c>
      <c r="AN409" s="72"/>
      <c r="AO409" s="72"/>
      <c r="AP409" s="72"/>
      <c r="AQ409" s="72"/>
      <c r="AR409" s="72"/>
      <c r="AS409" s="72"/>
      <c r="AT409" s="72"/>
      <c r="AU409" s="72"/>
      <c r="AV409" s="70"/>
      <c r="AW409" s="72"/>
      <c r="AX409" s="72"/>
    </row>
    <row r="410" spans="1:50" ht="15" customHeight="1">
      <c r="A410" s="70" t="s">
        <v>1043</v>
      </c>
      <c r="B410" s="68" t="s">
        <v>919</v>
      </c>
      <c r="C410" s="69" t="s">
        <v>45</v>
      </c>
      <c r="D410" s="70" t="s">
        <v>627</v>
      </c>
      <c r="E410" s="70"/>
      <c r="F410" s="68">
        <v>0</v>
      </c>
      <c r="G410" s="71" t="s">
        <v>627</v>
      </c>
      <c r="H410" s="71" t="s">
        <v>1045</v>
      </c>
      <c r="I410" s="71" t="s">
        <v>926</v>
      </c>
      <c r="J410" s="71" t="s">
        <v>1046</v>
      </c>
      <c r="K410" s="69"/>
      <c r="L410" s="69">
        <v>1</v>
      </c>
      <c r="M410" s="69"/>
      <c r="N410" s="69"/>
      <c r="O410" s="71" t="s">
        <v>1044</v>
      </c>
      <c r="P410" s="69">
        <v>1</v>
      </c>
      <c r="Q410" s="68">
        <f>MAX(0,$V410-$P410-$S410)</f>
        <v>0</v>
      </c>
      <c r="R410" s="68"/>
      <c r="S410" s="68"/>
      <c r="T410" s="73">
        <v>0.26</v>
      </c>
      <c r="U410" s="73">
        <f>IF(AND($Q410&gt;0,ISNUMBER($T410)),$Q410*$T410,0)</f>
        <v>0</v>
      </c>
      <c r="V410" s="68">
        <f>SUM(W410:AB410)</f>
        <v>0</v>
      </c>
      <c r="W410" s="68"/>
      <c r="X410" s="68"/>
      <c r="Y410" s="68"/>
      <c r="Z410" s="68"/>
      <c r="AA410" s="68"/>
      <c r="AB410" s="68"/>
      <c r="AC410" s="68"/>
      <c r="AD410" s="75">
        <f>SUM(AE410:AJ410)</f>
        <v>0</v>
      </c>
      <c r="AE410" s="76"/>
      <c r="AF410" s="76"/>
      <c r="AG410" s="76"/>
      <c r="AH410" s="76"/>
      <c r="AI410" s="76"/>
      <c r="AJ410" s="76"/>
      <c r="AK410" s="76"/>
      <c r="AL410" s="77">
        <f>IF((P410-SUM(AE410:AK410))&lt;0,0,P410-SUM(AE410:AK410))</f>
        <v>1</v>
      </c>
      <c r="AM410" s="77">
        <f>SUM(AO410:AT410)</f>
        <v>0</v>
      </c>
      <c r="AN410" s="85"/>
      <c r="AO410" s="72"/>
      <c r="AP410" s="72"/>
      <c r="AQ410" s="72"/>
      <c r="AR410" s="72"/>
      <c r="AS410" s="72"/>
      <c r="AT410" s="72"/>
      <c r="AU410" s="72"/>
      <c r="AV410" s="70"/>
      <c r="AW410" s="72"/>
      <c r="AX410" s="72"/>
    </row>
    <row r="411" spans="1:50" ht="15" customHeight="1">
      <c r="A411" s="67" t="s">
        <v>2498</v>
      </c>
      <c r="B411" s="100" t="s">
        <v>1114</v>
      </c>
      <c r="C411" s="101" t="s">
        <v>45</v>
      </c>
      <c r="D411" s="98" t="s">
        <v>123</v>
      </c>
      <c r="E411" s="98" t="s">
        <v>2428</v>
      </c>
      <c r="F411" s="100">
        <v>2</v>
      </c>
      <c r="G411" s="98" t="s">
        <v>438</v>
      </c>
      <c r="H411" s="98" t="s">
        <v>2499</v>
      </c>
      <c r="I411" s="98"/>
      <c r="J411" s="98"/>
      <c r="K411" s="99"/>
      <c r="L411" s="99"/>
      <c r="M411" s="99"/>
      <c r="N411" s="99"/>
      <c r="O411" s="98" t="s">
        <v>136</v>
      </c>
      <c r="P411" s="69">
        <v>1</v>
      </c>
      <c r="Q411" s="68">
        <f>MAX(0,$V411-$P411-$S411)</f>
        <v>0</v>
      </c>
      <c r="R411" s="98"/>
      <c r="S411" s="98"/>
      <c r="T411" s="98">
        <v>0.14000000000000001</v>
      </c>
      <c r="U411" s="98">
        <f>IF(AND($Q411&gt;0,ISNUMBER($T411)),$Q411*$T411,0)</f>
        <v>0</v>
      </c>
      <c r="V411" s="68">
        <f>SUM(W411:AB411)</f>
        <v>0</v>
      </c>
      <c r="W411" s="98"/>
      <c r="X411" s="98"/>
      <c r="Y411" s="98"/>
      <c r="Z411" s="98"/>
      <c r="AA411" s="98"/>
      <c r="AB411" s="98"/>
      <c r="AC411" s="68"/>
      <c r="AD411" s="75">
        <f>SUM(AE411:AJ411)</f>
        <v>0</v>
      </c>
      <c r="AE411" s="103"/>
      <c r="AF411" s="103"/>
      <c r="AG411" s="103"/>
      <c r="AH411" s="103"/>
      <c r="AI411" s="103"/>
      <c r="AJ411" s="103"/>
      <c r="AK411" s="103"/>
      <c r="AL411" s="77">
        <f>IF((P411-SUM(AE411:AK411))&lt;0,0,P411-SUM(AE411:AK411))</f>
        <v>1</v>
      </c>
      <c r="AM411" s="77">
        <f>SUM(AO411:AT411)</f>
        <v>0</v>
      </c>
      <c r="AN411" s="127"/>
      <c r="AO411" s="99"/>
      <c r="AP411" s="99"/>
      <c r="AQ411" s="99"/>
      <c r="AR411" s="99"/>
      <c r="AS411" s="99"/>
      <c r="AT411" s="99"/>
      <c r="AU411" s="99"/>
      <c r="AV411" s="98"/>
      <c r="AW411" s="99"/>
      <c r="AX411" s="99"/>
    </row>
    <row r="412" spans="1:50" ht="15" customHeight="1">
      <c r="A412" s="98" t="s">
        <v>2500</v>
      </c>
      <c r="B412" s="100" t="s">
        <v>46</v>
      </c>
      <c r="C412" s="101" t="s">
        <v>45</v>
      </c>
      <c r="D412" s="98" t="s">
        <v>276</v>
      </c>
      <c r="E412" s="98" t="s">
        <v>764</v>
      </c>
      <c r="F412" s="100">
        <v>1</v>
      </c>
      <c r="G412" s="98" t="s">
        <v>60</v>
      </c>
      <c r="H412" s="98" t="s">
        <v>2501</v>
      </c>
      <c r="I412" s="98" t="s">
        <v>2502</v>
      </c>
      <c r="J412" s="98"/>
      <c r="K412" s="99"/>
      <c r="L412" s="99"/>
      <c r="M412" s="99"/>
      <c r="N412" s="99"/>
      <c r="O412" s="98" t="s">
        <v>112</v>
      </c>
      <c r="P412" s="101">
        <v>1</v>
      </c>
      <c r="Q412" s="68">
        <f>MAX(0,$V412-$P412-$S412)</f>
        <v>0</v>
      </c>
      <c r="R412" s="98"/>
      <c r="S412" s="98"/>
      <c r="T412" s="98">
        <v>0.31</v>
      </c>
      <c r="U412" s="98">
        <f>IF(AND($Q412&gt;0,ISNUMBER($T412)),$Q412*$T412,0)</f>
        <v>0</v>
      </c>
      <c r="V412" s="68">
        <f>SUM(W412:AB412)</f>
        <v>0</v>
      </c>
      <c r="W412" s="100"/>
      <c r="X412" s="100"/>
      <c r="Y412" s="100"/>
      <c r="Z412" s="100"/>
      <c r="AA412" s="100"/>
      <c r="AB412" s="100"/>
      <c r="AC412" s="68"/>
      <c r="AD412" s="75">
        <f>SUM(AE412:AJ412)</f>
        <v>0</v>
      </c>
      <c r="AE412" s="102"/>
      <c r="AF412" s="102"/>
      <c r="AG412" s="102"/>
      <c r="AH412" s="102"/>
      <c r="AI412" s="102"/>
      <c r="AJ412" s="102"/>
      <c r="AK412" s="102"/>
      <c r="AL412" s="77">
        <f>IF((P412-SUM(AE412:AK412))&lt;0,0,P412-SUM(AE412:AK412))</f>
        <v>1</v>
      </c>
      <c r="AM412" s="77">
        <f>SUM(AO412:AT412)</f>
        <v>0</v>
      </c>
      <c r="AN412" s="99"/>
      <c r="AO412" s="99"/>
      <c r="AP412" s="99"/>
      <c r="AQ412" s="99"/>
      <c r="AR412" s="99"/>
      <c r="AS412" s="99"/>
      <c r="AT412" s="99"/>
      <c r="AU412" s="99"/>
      <c r="AV412" s="98"/>
      <c r="AW412" s="99"/>
      <c r="AX412" s="99"/>
    </row>
    <row r="413" spans="1:50" ht="15" customHeight="1">
      <c r="A413" s="86" t="s">
        <v>2186</v>
      </c>
      <c r="B413" s="68" t="s">
        <v>1971</v>
      </c>
      <c r="C413" s="69" t="s">
        <v>45</v>
      </c>
      <c r="D413" s="70" t="s">
        <v>2187</v>
      </c>
      <c r="E413" s="70" t="s">
        <v>2188</v>
      </c>
      <c r="F413" s="68">
        <v>2</v>
      </c>
      <c r="G413" s="71" t="s">
        <v>433</v>
      </c>
      <c r="H413" s="71" t="s">
        <v>2189</v>
      </c>
      <c r="I413" s="71"/>
      <c r="J413" s="71"/>
      <c r="K413" s="72"/>
      <c r="L413" s="72"/>
      <c r="M413" s="72"/>
      <c r="N413" s="72"/>
      <c r="O413" s="71" t="s">
        <v>132</v>
      </c>
      <c r="P413" s="69">
        <v>1</v>
      </c>
      <c r="Q413" s="68">
        <f>MAX(0,$V413-$P413-$S413)</f>
        <v>0</v>
      </c>
      <c r="R413" s="68" t="s">
        <v>57</v>
      </c>
      <c r="S413" s="68">
        <v>1</v>
      </c>
      <c r="T413" s="73">
        <v>0.27</v>
      </c>
      <c r="U413" s="73">
        <f>IF(AND($Q413&gt;0,ISNUMBER($T413)),$Q413*$T413,0)</f>
        <v>0</v>
      </c>
      <c r="V413" s="68">
        <f>SUM(W413:AB413)</f>
        <v>1</v>
      </c>
      <c r="W413" s="68"/>
      <c r="X413" s="68"/>
      <c r="Y413" s="68"/>
      <c r="Z413" s="87">
        <v>1</v>
      </c>
      <c r="AA413" s="68"/>
      <c r="AB413" s="68"/>
      <c r="AC413" s="68"/>
      <c r="AD413" s="75">
        <f>SUM(AE413:AJ413)</f>
        <v>1</v>
      </c>
      <c r="AE413" s="76"/>
      <c r="AF413" s="76"/>
      <c r="AG413" s="76"/>
      <c r="AH413" s="76">
        <v>1</v>
      </c>
      <c r="AI413" s="76"/>
      <c r="AJ413" s="76"/>
      <c r="AK413" s="76"/>
      <c r="AL413" s="77">
        <f>IF((P413-SUM(AE413:AK413))&lt;0,0,P413-SUM(AE413:AK413))</f>
        <v>0</v>
      </c>
      <c r="AM413" s="77">
        <f>SUM(AO413:AT413)</f>
        <v>0</v>
      </c>
      <c r="AN413" s="72"/>
      <c r="AO413" s="72"/>
      <c r="AP413" s="72"/>
      <c r="AQ413" s="72"/>
      <c r="AR413" s="72"/>
      <c r="AS413" s="72"/>
      <c r="AT413" s="72"/>
      <c r="AU413" s="72"/>
      <c r="AV413" s="70"/>
      <c r="AW413" s="72"/>
      <c r="AX413" s="72"/>
    </row>
    <row r="414" spans="1:50" ht="15" customHeight="1">
      <c r="A414" s="86" t="s">
        <v>1908</v>
      </c>
      <c r="B414" s="68" t="s">
        <v>1831</v>
      </c>
      <c r="C414" s="69" t="s">
        <v>45</v>
      </c>
      <c r="D414" s="70" t="s">
        <v>72</v>
      </c>
      <c r="E414" s="70" t="s">
        <v>111</v>
      </c>
      <c r="F414" s="68">
        <v>1</v>
      </c>
      <c r="G414" s="71" t="s">
        <v>499</v>
      </c>
      <c r="H414" s="71" t="s">
        <v>1909</v>
      </c>
      <c r="I414" s="71" t="s">
        <v>1910</v>
      </c>
      <c r="J414" s="71"/>
      <c r="K414" s="72"/>
      <c r="L414" s="72"/>
      <c r="M414" s="72"/>
      <c r="N414" s="72"/>
      <c r="O414" s="71" t="s">
        <v>112</v>
      </c>
      <c r="P414" s="69">
        <v>1</v>
      </c>
      <c r="Q414" s="68">
        <f>MAX(0,$V414-$P414-$S414)</f>
        <v>0</v>
      </c>
      <c r="R414" s="68"/>
      <c r="S414" s="68"/>
      <c r="T414" s="73">
        <v>0.26</v>
      </c>
      <c r="U414" s="73">
        <f>IF(AND($Q414&gt;0,ISNUMBER($T414)),$Q414*$T414,0)</f>
        <v>0</v>
      </c>
      <c r="V414" s="68">
        <f>SUM(W414:AB414)</f>
        <v>1</v>
      </c>
      <c r="W414" s="68"/>
      <c r="X414" s="68"/>
      <c r="Y414" s="87">
        <v>1</v>
      </c>
      <c r="Z414" s="68"/>
      <c r="AA414" s="68"/>
      <c r="AB414" s="68"/>
      <c r="AC414" s="68"/>
      <c r="AD414" s="75">
        <f>SUM(AE414:AJ414)</f>
        <v>1</v>
      </c>
      <c r="AE414" s="76"/>
      <c r="AF414" s="76"/>
      <c r="AG414" s="76">
        <v>1</v>
      </c>
      <c r="AH414" s="76"/>
      <c r="AI414" s="76"/>
      <c r="AJ414" s="76"/>
      <c r="AK414" s="76"/>
      <c r="AL414" s="77">
        <f>IF((P414-SUM(AE414:AK414))&lt;0,0,P414-SUM(AE414:AK414))</f>
        <v>0</v>
      </c>
      <c r="AM414" s="77">
        <f>SUM(AO414:AT414)</f>
        <v>0</v>
      </c>
      <c r="AN414" s="129"/>
      <c r="AO414" s="72"/>
      <c r="AP414" s="72"/>
      <c r="AQ414" s="72"/>
      <c r="AR414" s="72"/>
      <c r="AS414" s="72"/>
      <c r="AT414" s="72"/>
      <c r="AU414" s="72"/>
      <c r="AV414" s="70"/>
      <c r="AW414" s="72"/>
      <c r="AX414" s="72"/>
    </row>
    <row r="415" spans="1:50" ht="15" customHeight="1">
      <c r="A415" s="67" t="s">
        <v>2190</v>
      </c>
      <c r="B415" s="68" t="s">
        <v>1971</v>
      </c>
      <c r="C415" s="69" t="s">
        <v>45</v>
      </c>
      <c r="D415" s="70" t="s">
        <v>123</v>
      </c>
      <c r="E415" s="70" t="s">
        <v>1130</v>
      </c>
      <c r="F415" s="68">
        <v>4</v>
      </c>
      <c r="G415" s="71" t="s">
        <v>125</v>
      </c>
      <c r="H415" s="71" t="s">
        <v>2191</v>
      </c>
      <c r="I415" s="71"/>
      <c r="J415" s="71"/>
      <c r="K415" s="72"/>
      <c r="L415" s="72"/>
      <c r="M415" s="72"/>
      <c r="N415" s="72"/>
      <c r="O415" s="71" t="s">
        <v>291</v>
      </c>
      <c r="P415" s="69">
        <v>1</v>
      </c>
      <c r="Q415" s="68">
        <f>MAX(0,$V415-$P415-$S415)</f>
        <v>0</v>
      </c>
      <c r="R415" s="68" t="s">
        <v>57</v>
      </c>
      <c r="S415" s="68">
        <v>1</v>
      </c>
      <c r="T415" s="73">
        <v>1.03</v>
      </c>
      <c r="U415" s="73">
        <f>IF(AND($Q415&gt;0,ISNUMBER($T415)),$Q415*$T415,0)</f>
        <v>0</v>
      </c>
      <c r="V415" s="68">
        <f>SUM(W415:AB415)</f>
        <v>0</v>
      </c>
      <c r="W415" s="68"/>
      <c r="X415" s="68"/>
      <c r="Y415" s="68"/>
      <c r="Z415" s="68"/>
      <c r="AA415" s="74"/>
      <c r="AB415" s="68"/>
      <c r="AC415" s="68"/>
      <c r="AD415" s="75">
        <f>SUM(AE415:AJ415)</f>
        <v>0</v>
      </c>
      <c r="AE415" s="76"/>
      <c r="AF415" s="76"/>
      <c r="AG415" s="76"/>
      <c r="AH415" s="76"/>
      <c r="AI415" s="76"/>
      <c r="AJ415" s="76"/>
      <c r="AK415" s="76"/>
      <c r="AL415" s="77">
        <f>IF((P415-SUM(AE415:AK415))&lt;0,0,P415-SUM(AE415:AK415))</f>
        <v>1</v>
      </c>
      <c r="AM415" s="77">
        <f>SUM(AO415:AT415)</f>
        <v>0</v>
      </c>
      <c r="AN415" s="85"/>
      <c r="AO415" s="72"/>
      <c r="AP415" s="72"/>
      <c r="AQ415" s="72"/>
      <c r="AR415" s="72"/>
      <c r="AS415" s="72"/>
      <c r="AT415" s="72"/>
      <c r="AU415" s="72"/>
      <c r="AV415" s="70"/>
      <c r="AW415" s="72"/>
      <c r="AX415" s="72"/>
    </row>
    <row r="416" spans="1:50" ht="15" customHeight="1">
      <c r="A416" s="70" t="s">
        <v>1728</v>
      </c>
      <c r="B416" s="68" t="s">
        <v>1499</v>
      </c>
      <c r="C416" s="69" t="s">
        <v>45</v>
      </c>
      <c r="D416" s="70" t="s">
        <v>64</v>
      </c>
      <c r="E416" s="70" t="s">
        <v>1174</v>
      </c>
      <c r="F416" s="68">
        <v>4</v>
      </c>
      <c r="G416" s="71" t="s">
        <v>422</v>
      </c>
      <c r="H416" s="71" t="s">
        <v>1729</v>
      </c>
      <c r="I416" s="71"/>
      <c r="J416" s="71"/>
      <c r="K416" s="72"/>
      <c r="L416" s="72"/>
      <c r="M416" s="72"/>
      <c r="N416" s="72"/>
      <c r="O416" s="71" t="s">
        <v>1525</v>
      </c>
      <c r="P416" s="69">
        <v>1</v>
      </c>
      <c r="Q416" s="68">
        <f>MAX(0,$V416-$P416-$S416)</f>
        <v>0</v>
      </c>
      <c r="R416" s="68" t="s">
        <v>57</v>
      </c>
      <c r="S416" s="68">
        <v>1</v>
      </c>
      <c r="T416" s="73">
        <v>0.35</v>
      </c>
      <c r="U416" s="73">
        <f>IF(AND($Q416&gt;0,ISNUMBER($T416)),$Q416*$T416,0)</f>
        <v>0</v>
      </c>
      <c r="V416" s="68">
        <f>SUM(W416:AB416)</f>
        <v>1</v>
      </c>
      <c r="W416" s="68"/>
      <c r="X416" s="68"/>
      <c r="Y416" s="68"/>
      <c r="Z416" s="68"/>
      <c r="AA416" s="68"/>
      <c r="AB416" s="68">
        <v>1</v>
      </c>
      <c r="AC416" s="68"/>
      <c r="AD416" s="75">
        <f>SUM(AE416:AJ416)</f>
        <v>1</v>
      </c>
      <c r="AE416" s="76"/>
      <c r="AF416" s="76"/>
      <c r="AG416" s="76"/>
      <c r="AH416" s="76"/>
      <c r="AI416" s="76"/>
      <c r="AJ416" s="76">
        <v>1</v>
      </c>
      <c r="AK416" s="76"/>
      <c r="AL416" s="77">
        <f>IF((P416-SUM(AE416:AK416))&lt;0,0,P416-SUM(AE416:AK416))</f>
        <v>0</v>
      </c>
      <c r="AM416" s="77">
        <f>SUM(AO416:AT416)</f>
        <v>0</v>
      </c>
      <c r="AN416" s="129"/>
      <c r="AO416" s="72"/>
      <c r="AP416" s="72"/>
      <c r="AQ416" s="72"/>
      <c r="AR416" s="72"/>
      <c r="AS416" s="72"/>
      <c r="AT416" s="129"/>
      <c r="AU416" s="129"/>
      <c r="AV416" s="70"/>
      <c r="AW416" s="72"/>
      <c r="AX416" s="72"/>
    </row>
    <row r="417" spans="1:50" ht="15" customHeight="1">
      <c r="A417" s="67" t="s">
        <v>2506</v>
      </c>
      <c r="B417" s="100" t="s">
        <v>636</v>
      </c>
      <c r="C417" s="101" t="s">
        <v>45</v>
      </c>
      <c r="D417" s="98" t="s">
        <v>64</v>
      </c>
      <c r="E417" s="98" t="s">
        <v>2415</v>
      </c>
      <c r="F417" s="100">
        <v>6</v>
      </c>
      <c r="G417" s="98" t="s">
        <v>285</v>
      </c>
      <c r="H417" s="98" t="s">
        <v>2507</v>
      </c>
      <c r="I417" s="98" t="s">
        <v>2508</v>
      </c>
      <c r="J417" s="98"/>
      <c r="K417" s="99"/>
      <c r="L417" s="99"/>
      <c r="M417" s="99"/>
      <c r="N417" s="99"/>
      <c r="O417" s="98" t="s">
        <v>136</v>
      </c>
      <c r="P417" s="69">
        <v>1</v>
      </c>
      <c r="Q417" s="68">
        <f>MAX(0,$V417-$P417-$S417)</f>
        <v>0</v>
      </c>
      <c r="R417" s="98"/>
      <c r="S417" s="98"/>
      <c r="T417" s="98">
        <v>0.13</v>
      </c>
      <c r="U417" s="98">
        <f>IF(AND($Q417&gt;0,ISNUMBER($T417)),$Q417*$T417,0)</f>
        <v>0</v>
      </c>
      <c r="V417" s="68">
        <f>SUM(W417:AB417)</f>
        <v>0</v>
      </c>
      <c r="W417" s="98"/>
      <c r="X417" s="98"/>
      <c r="Y417" s="98"/>
      <c r="Z417" s="98"/>
      <c r="AA417" s="98"/>
      <c r="AB417" s="98"/>
      <c r="AC417" s="68"/>
      <c r="AD417" s="75">
        <f>SUM(AE417:AJ417)</f>
        <v>0</v>
      </c>
      <c r="AE417" s="103"/>
      <c r="AF417" s="103"/>
      <c r="AG417" s="103"/>
      <c r="AH417" s="103"/>
      <c r="AI417" s="103"/>
      <c r="AJ417" s="103"/>
      <c r="AK417" s="103"/>
      <c r="AL417" s="77">
        <f>IF((P417-SUM(AE417:AK417))&lt;0,0,P417-SUM(AE417:AK417))</f>
        <v>1</v>
      </c>
      <c r="AM417" s="77">
        <f>SUM(AO417:AT417)</f>
        <v>0</v>
      </c>
      <c r="AN417" s="127"/>
      <c r="AO417" s="99"/>
      <c r="AP417" s="99"/>
      <c r="AQ417" s="99"/>
      <c r="AR417" s="99"/>
      <c r="AS417" s="99"/>
      <c r="AT417" s="99"/>
      <c r="AU417" s="99"/>
      <c r="AV417" s="98"/>
      <c r="AW417" s="99"/>
      <c r="AX417" s="99"/>
    </row>
    <row r="418" spans="1:50" ht="15" customHeight="1">
      <c r="A418" s="104" t="s">
        <v>1911</v>
      </c>
      <c r="B418" s="90" t="s">
        <v>1831</v>
      </c>
      <c r="C418" s="69" t="s">
        <v>45</v>
      </c>
      <c r="D418" s="92" t="s">
        <v>58</v>
      </c>
      <c r="E418" s="92" t="s">
        <v>1594</v>
      </c>
      <c r="F418" s="90">
        <v>3</v>
      </c>
      <c r="G418" s="92" t="s">
        <v>499</v>
      </c>
      <c r="H418" s="92" t="s">
        <v>1912</v>
      </c>
      <c r="I418" s="92" t="s">
        <v>1913</v>
      </c>
      <c r="J418" s="92" t="s">
        <v>1914</v>
      </c>
      <c r="K418" s="72"/>
      <c r="L418" s="72"/>
      <c r="M418" s="72"/>
      <c r="N418" s="72"/>
      <c r="O418" s="92" t="s">
        <v>136</v>
      </c>
      <c r="P418" s="69">
        <v>1</v>
      </c>
      <c r="Q418" s="68">
        <f>MAX(0,$V418-$P418-$S418)</f>
        <v>0</v>
      </c>
      <c r="R418" s="92"/>
      <c r="S418" s="92"/>
      <c r="T418" s="92">
        <v>0.2</v>
      </c>
      <c r="U418" s="92">
        <f>IF(AND($Q418&gt;0,ISNUMBER($T418)),$Q418*$T418,0)</f>
        <v>0</v>
      </c>
      <c r="V418" s="68">
        <f>SUM(W418:AB418)</f>
        <v>0</v>
      </c>
      <c r="W418" s="90"/>
      <c r="X418" s="90"/>
      <c r="Y418" s="105"/>
      <c r="Z418" s="90"/>
      <c r="AA418" s="90"/>
      <c r="AB418" s="90"/>
      <c r="AC418" s="90"/>
      <c r="AD418" s="75">
        <f>SUM(AE418:AJ418)</f>
        <v>0</v>
      </c>
      <c r="AE418" s="76"/>
      <c r="AF418" s="76"/>
      <c r="AG418" s="76"/>
      <c r="AH418" s="76"/>
      <c r="AI418" s="76"/>
      <c r="AJ418" s="76"/>
      <c r="AK418" s="76"/>
      <c r="AL418" s="77">
        <f>IF((P418-SUM(AE418:AK418))&lt;0,0,P418-SUM(AE418:AK418))</f>
        <v>1</v>
      </c>
      <c r="AM418" s="77">
        <f>SUM(AO418:AT418)</f>
        <v>0</v>
      </c>
      <c r="AN418" s="129"/>
      <c r="AO418" s="72"/>
      <c r="AP418" s="72"/>
      <c r="AQ418" s="72"/>
      <c r="AR418" s="72"/>
      <c r="AS418" s="72"/>
      <c r="AT418" s="129"/>
      <c r="AU418" s="129"/>
      <c r="AV418" s="92"/>
      <c r="AW418" s="72"/>
      <c r="AX418" s="72"/>
    </row>
    <row r="419" spans="1:50" ht="15" customHeight="1">
      <c r="A419" s="70" t="s">
        <v>795</v>
      </c>
      <c r="B419" s="68" t="s">
        <v>636</v>
      </c>
      <c r="C419" s="69" t="s">
        <v>45</v>
      </c>
      <c r="D419" s="70" t="s">
        <v>58</v>
      </c>
      <c r="E419" s="70" t="s">
        <v>726</v>
      </c>
      <c r="F419" s="68">
        <v>2</v>
      </c>
      <c r="G419" s="71" t="s">
        <v>170</v>
      </c>
      <c r="H419" s="71" t="s">
        <v>796</v>
      </c>
      <c r="I419" s="71" t="s">
        <v>797</v>
      </c>
      <c r="J419" s="71"/>
      <c r="K419" s="72"/>
      <c r="L419" s="72"/>
      <c r="M419" s="72"/>
      <c r="N419" s="72"/>
      <c r="O419" s="71" t="s">
        <v>251</v>
      </c>
      <c r="P419" s="69">
        <v>1</v>
      </c>
      <c r="Q419" s="68">
        <f>MAX(0,$V419-$P419-$S419)</f>
        <v>0</v>
      </c>
      <c r="R419" s="68"/>
      <c r="S419" s="68"/>
      <c r="T419" s="73">
        <v>0.15</v>
      </c>
      <c r="U419" s="73">
        <f>IF(AND($Q419&gt;0,ISNUMBER($T419)),$Q419*$T419,0)</f>
        <v>0</v>
      </c>
      <c r="V419" s="68">
        <f>SUM(W419:AB419)</f>
        <v>0</v>
      </c>
      <c r="W419" s="68"/>
      <c r="X419" s="68"/>
      <c r="Y419" s="68"/>
      <c r="Z419" s="68"/>
      <c r="AA419" s="68"/>
      <c r="AB419" s="68"/>
      <c r="AC419" s="68"/>
      <c r="AD419" s="75">
        <f>SUM(AE419:AJ419)</f>
        <v>1</v>
      </c>
      <c r="AE419" s="76"/>
      <c r="AF419" s="76"/>
      <c r="AG419" s="76">
        <v>1</v>
      </c>
      <c r="AH419" s="76"/>
      <c r="AI419" s="76"/>
      <c r="AJ419" s="76"/>
      <c r="AK419" s="76"/>
      <c r="AL419" s="77">
        <f>IF((P419-SUM(AE419:AK419))&lt;0,0,P419-SUM(AE419:AK419))</f>
        <v>0</v>
      </c>
      <c r="AM419" s="77">
        <f>SUM(AO419:AT419)</f>
        <v>1</v>
      </c>
      <c r="AN419" s="80" t="s">
        <v>105</v>
      </c>
      <c r="AO419" s="72"/>
      <c r="AP419" s="72"/>
      <c r="AQ419" s="79">
        <v>1</v>
      </c>
      <c r="AR419" s="72"/>
      <c r="AS419" s="72"/>
      <c r="AT419" s="72"/>
      <c r="AU419" s="31" t="s">
        <v>798</v>
      </c>
      <c r="AV419" s="70"/>
      <c r="AW419" s="72"/>
      <c r="AX419" s="72"/>
    </row>
    <row r="420" spans="1:50" ht="15" customHeight="1">
      <c r="A420" s="92" t="s">
        <v>799</v>
      </c>
      <c r="B420" s="90" t="s">
        <v>636</v>
      </c>
      <c r="C420" s="69" t="s">
        <v>45</v>
      </c>
      <c r="D420" s="92" t="s">
        <v>64</v>
      </c>
      <c r="E420" s="92" t="s">
        <v>800</v>
      </c>
      <c r="F420" s="90">
        <v>4</v>
      </c>
      <c r="G420" s="92" t="s">
        <v>125</v>
      </c>
      <c r="H420" s="92" t="s">
        <v>801</v>
      </c>
      <c r="I420" s="92"/>
      <c r="J420" s="92"/>
      <c r="K420" s="72"/>
      <c r="L420" s="72"/>
      <c r="M420" s="72"/>
      <c r="N420" s="72"/>
      <c r="O420" s="92" t="s">
        <v>136</v>
      </c>
      <c r="P420" s="69">
        <v>1</v>
      </c>
      <c r="Q420" s="68">
        <f>MAX(0,$V420-$P420-$S420)</f>
        <v>0</v>
      </c>
      <c r="R420" s="92"/>
      <c r="S420" s="92"/>
      <c r="T420" s="92">
        <v>0.15</v>
      </c>
      <c r="U420" s="92">
        <f>IF(AND($Q420&gt;0,ISNUMBER($T420)),$Q420*$T420,0)</f>
        <v>0</v>
      </c>
      <c r="V420" s="68">
        <f>SUM(W420:AB420)</f>
        <v>0</v>
      </c>
      <c r="W420" s="90"/>
      <c r="X420" s="90"/>
      <c r="Y420" s="90"/>
      <c r="Z420" s="90"/>
      <c r="AA420" s="90"/>
      <c r="AB420" s="90"/>
      <c r="AC420" s="90"/>
      <c r="AD420" s="75">
        <f>SUM(AE420:AJ420)</f>
        <v>0</v>
      </c>
      <c r="AE420" s="76"/>
      <c r="AF420" s="76"/>
      <c r="AG420" s="76"/>
      <c r="AH420" s="76"/>
      <c r="AI420" s="76"/>
      <c r="AJ420" s="76"/>
      <c r="AK420" s="76"/>
      <c r="AL420" s="77">
        <f>IF((P420-SUM(AE420:AK420))&lt;0,0,P420-SUM(AE420:AK420))</f>
        <v>1</v>
      </c>
      <c r="AM420" s="77">
        <f>SUM(AO420:AT420)</f>
        <v>0</v>
      </c>
      <c r="AN420" s="72"/>
      <c r="AO420" s="72"/>
      <c r="AP420" s="72"/>
      <c r="AQ420" s="72"/>
      <c r="AR420" s="72"/>
      <c r="AS420" s="72"/>
      <c r="AT420" s="72"/>
      <c r="AU420" s="72"/>
      <c r="AV420" s="92"/>
      <c r="AW420" s="72"/>
      <c r="AX420" s="72"/>
    </row>
    <row r="421" spans="1:50" ht="15" customHeight="1">
      <c r="A421" s="70" t="s">
        <v>1047</v>
      </c>
      <c r="B421" s="68" t="s">
        <v>919</v>
      </c>
      <c r="C421" s="69" t="s">
        <v>45</v>
      </c>
      <c r="D421" s="70" t="s">
        <v>627</v>
      </c>
      <c r="E421" s="70"/>
      <c r="F421" s="68">
        <v>0</v>
      </c>
      <c r="G421" s="71" t="s">
        <v>627</v>
      </c>
      <c r="H421" s="71" t="s">
        <v>1048</v>
      </c>
      <c r="I421" s="71" t="s">
        <v>932</v>
      </c>
      <c r="J421" s="71"/>
      <c r="K421" s="72"/>
      <c r="L421" s="72"/>
      <c r="M421" s="72"/>
      <c r="N421" s="72"/>
      <c r="O421" s="71" t="s">
        <v>524</v>
      </c>
      <c r="P421" s="69">
        <v>1</v>
      </c>
      <c r="Q421" s="68">
        <f>MAX(0,$V421-$P421-$S421)</f>
        <v>0</v>
      </c>
      <c r="R421" s="68" t="s">
        <v>57</v>
      </c>
      <c r="S421" s="68">
        <v>1</v>
      </c>
      <c r="T421" s="73">
        <v>0.27</v>
      </c>
      <c r="U421" s="73">
        <f>IF(AND($Q421&gt;0,ISNUMBER($T421)),$Q421*$T421,0)</f>
        <v>0</v>
      </c>
      <c r="V421" s="68">
        <f>SUM(W421:AB421)</f>
        <v>1</v>
      </c>
      <c r="W421" s="68"/>
      <c r="X421" s="68"/>
      <c r="Y421" s="68"/>
      <c r="Z421" s="68"/>
      <c r="AA421" s="68">
        <v>1</v>
      </c>
      <c r="AB421" s="68"/>
      <c r="AC421" s="68"/>
      <c r="AD421" s="75">
        <f>SUM(AE421:AJ421)</f>
        <v>1</v>
      </c>
      <c r="AE421" s="76"/>
      <c r="AF421" s="76"/>
      <c r="AG421" s="76"/>
      <c r="AH421" s="76"/>
      <c r="AI421" s="76">
        <v>1</v>
      </c>
      <c r="AJ421" s="76"/>
      <c r="AK421" s="76"/>
      <c r="AL421" s="77">
        <f>IF((P421-SUM(AE421:AK421))&lt;0,0,P421-SUM(AE421:AK421))</f>
        <v>0</v>
      </c>
      <c r="AM421" s="77">
        <f>SUM(AO421:AT421)</f>
        <v>0</v>
      </c>
      <c r="AN421" s="129"/>
      <c r="AO421" s="72"/>
      <c r="AP421" s="72"/>
      <c r="AQ421" s="72"/>
      <c r="AR421" s="72"/>
      <c r="AS421" s="72"/>
      <c r="AT421" s="72"/>
      <c r="AU421" s="72"/>
      <c r="AV421" s="70"/>
      <c r="AW421" s="72"/>
      <c r="AX421" s="72"/>
    </row>
    <row r="422" spans="1:50" ht="15" customHeight="1">
      <c r="A422" s="81" t="s">
        <v>1368</v>
      </c>
      <c r="B422" s="68" t="s">
        <v>1114</v>
      </c>
      <c r="C422" s="69" t="s">
        <v>45</v>
      </c>
      <c r="D422" s="70" t="s">
        <v>627</v>
      </c>
      <c r="E422" s="70" t="s">
        <v>1078</v>
      </c>
      <c r="F422" s="68">
        <v>0</v>
      </c>
      <c r="G422" s="71" t="s">
        <v>627</v>
      </c>
      <c r="H422" s="71" t="s">
        <v>1369</v>
      </c>
      <c r="I422" s="71"/>
      <c r="J422" s="71"/>
      <c r="K422" s="69"/>
      <c r="L422" s="69"/>
      <c r="M422" s="69"/>
      <c r="N422" s="69"/>
      <c r="O422" s="71" t="s">
        <v>866</v>
      </c>
      <c r="P422" s="69">
        <v>1</v>
      </c>
      <c r="Q422" s="68">
        <f>MAX(0,$V422-$P422-$S422)</f>
        <v>0</v>
      </c>
      <c r="R422" s="68"/>
      <c r="S422" s="68"/>
      <c r="T422" s="73">
        <v>0.13</v>
      </c>
      <c r="U422" s="73">
        <f>IF(AND($Q422&gt;0,ISNUMBER($T422)),$Q422*$T422,0)</f>
        <v>0</v>
      </c>
      <c r="V422" s="68">
        <f>SUM(W422:AB422)</f>
        <v>1</v>
      </c>
      <c r="W422" s="68"/>
      <c r="X422" s="68"/>
      <c r="Y422" s="82">
        <v>1</v>
      </c>
      <c r="Z422" s="68"/>
      <c r="AA422" s="68"/>
      <c r="AB422" s="68"/>
      <c r="AC422" s="68"/>
      <c r="AD422" s="75">
        <f>SUM(AE422:AJ422)</f>
        <v>0</v>
      </c>
      <c r="AE422" s="76"/>
      <c r="AF422" s="76"/>
      <c r="AG422" s="76"/>
      <c r="AH422" s="76"/>
      <c r="AI422" s="76"/>
      <c r="AJ422" s="76"/>
      <c r="AK422" s="76"/>
      <c r="AL422" s="77">
        <f>IF((P422-SUM(AE422:AK422))&lt;0,0,P422-SUM(AE422:AK422))</f>
        <v>1</v>
      </c>
      <c r="AM422" s="77">
        <f>SUM(AO422:AT422)</f>
        <v>0</v>
      </c>
      <c r="AN422" s="138" t="s">
        <v>81</v>
      </c>
      <c r="AO422" s="72"/>
      <c r="AP422" s="72"/>
      <c r="AQ422" s="129"/>
      <c r="AR422" s="72"/>
      <c r="AS422" s="72"/>
      <c r="AT422" s="72"/>
      <c r="AU422" s="142" t="s">
        <v>1007</v>
      </c>
      <c r="AV422" s="70"/>
      <c r="AW422" s="72"/>
      <c r="AX422" s="94" t="s">
        <v>1008</v>
      </c>
    </row>
    <row r="423" spans="1:50" ht="15" customHeight="1">
      <c r="A423" s="70" t="s">
        <v>1730</v>
      </c>
      <c r="B423" s="68" t="s">
        <v>1499</v>
      </c>
      <c r="C423" s="69" t="s">
        <v>45</v>
      </c>
      <c r="D423" s="70" t="s">
        <v>58</v>
      </c>
      <c r="E423" s="70"/>
      <c r="F423" s="68">
        <v>4</v>
      </c>
      <c r="G423" s="71" t="s">
        <v>1421</v>
      </c>
      <c r="H423" s="71" t="s">
        <v>1731</v>
      </c>
      <c r="I423" s="71" t="s">
        <v>1732</v>
      </c>
      <c r="J423" s="71" t="s">
        <v>1733</v>
      </c>
      <c r="K423" s="72"/>
      <c r="L423" s="72"/>
      <c r="M423" s="72"/>
      <c r="N423" s="72"/>
      <c r="O423" s="71" t="s">
        <v>860</v>
      </c>
      <c r="P423" s="69">
        <v>1</v>
      </c>
      <c r="Q423" s="68">
        <f>MAX(0,$V423-$P423-$S423)</f>
        <v>0</v>
      </c>
      <c r="R423" s="68" t="s">
        <v>57</v>
      </c>
      <c r="S423" s="68">
        <v>1</v>
      </c>
      <c r="T423" s="73">
        <v>0.28000000000000003</v>
      </c>
      <c r="U423" s="73">
        <f>IF(AND($Q423&gt;0,ISNUMBER($T423)),$Q423*$T423,0)</f>
        <v>0</v>
      </c>
      <c r="V423" s="68">
        <f>SUM(W423:AB423)</f>
        <v>1</v>
      </c>
      <c r="W423" s="68"/>
      <c r="X423" s="68"/>
      <c r="Y423" s="68"/>
      <c r="Z423" s="68"/>
      <c r="AA423" s="68"/>
      <c r="AB423" s="68">
        <v>1</v>
      </c>
      <c r="AC423" s="68"/>
      <c r="AD423" s="75">
        <f>SUM(AE423:AJ423)</f>
        <v>1</v>
      </c>
      <c r="AE423" s="76"/>
      <c r="AF423" s="76"/>
      <c r="AG423" s="76"/>
      <c r="AH423" s="76"/>
      <c r="AI423" s="76"/>
      <c r="AJ423" s="76">
        <v>1</v>
      </c>
      <c r="AK423" s="76"/>
      <c r="AL423" s="77">
        <f>IF((P423-SUM(AE423:AK423))&lt;0,0,P423-SUM(AE423:AK423))</f>
        <v>0</v>
      </c>
      <c r="AM423" s="77">
        <f>SUM(AO423:AT423)</f>
        <v>0</v>
      </c>
      <c r="AN423" s="72"/>
      <c r="AO423" s="72"/>
      <c r="AP423" s="72"/>
      <c r="AQ423" s="72"/>
      <c r="AR423" s="72"/>
      <c r="AS423" s="72"/>
      <c r="AT423" s="72"/>
      <c r="AU423" s="72"/>
      <c r="AV423" s="70"/>
      <c r="AW423" s="72"/>
      <c r="AX423" s="72"/>
    </row>
    <row r="424" spans="1:50" ht="15" customHeight="1">
      <c r="A424" s="67" t="s">
        <v>226</v>
      </c>
      <c r="B424" s="68" t="s">
        <v>46</v>
      </c>
      <c r="C424" s="69" t="s">
        <v>45</v>
      </c>
      <c r="D424" s="70" t="s">
        <v>47</v>
      </c>
      <c r="E424" s="70"/>
      <c r="F424" s="68">
        <v>3</v>
      </c>
      <c r="G424" s="71" t="s">
        <v>176</v>
      </c>
      <c r="H424" s="71" t="s">
        <v>228</v>
      </c>
      <c r="I424" s="71"/>
      <c r="J424" s="71"/>
      <c r="K424" s="72"/>
      <c r="L424" s="72"/>
      <c r="M424" s="72"/>
      <c r="N424" s="72"/>
      <c r="O424" s="71" t="s">
        <v>227</v>
      </c>
      <c r="P424" s="69">
        <v>1</v>
      </c>
      <c r="Q424" s="68">
        <f>MAX(0,$V424-$P424-$S424)</f>
        <v>0</v>
      </c>
      <c r="R424" s="68"/>
      <c r="S424" s="68"/>
      <c r="T424" s="73">
        <v>0.27</v>
      </c>
      <c r="U424" s="73">
        <f>IF(AND($Q424&gt;0,ISNUMBER($T424)),$Q424*$T424,0)</f>
        <v>0</v>
      </c>
      <c r="V424" s="68">
        <f>SUM(W424:AB424)</f>
        <v>0</v>
      </c>
      <c r="W424" s="68"/>
      <c r="X424" s="68"/>
      <c r="Y424" s="68"/>
      <c r="Z424" s="74"/>
      <c r="AA424" s="68"/>
      <c r="AB424" s="68"/>
      <c r="AC424" s="68"/>
      <c r="AD424" s="75">
        <f>SUM(AE424:AJ424)</f>
        <v>1</v>
      </c>
      <c r="AE424" s="76"/>
      <c r="AF424" s="76"/>
      <c r="AG424" s="76">
        <v>1</v>
      </c>
      <c r="AH424" s="76"/>
      <c r="AI424" s="76"/>
      <c r="AJ424" s="76"/>
      <c r="AK424" s="76"/>
      <c r="AL424" s="77">
        <f>IF((P424-SUM(AE424:AK424))&lt;0,0,P424-SUM(AE424:AK424))</f>
        <v>0</v>
      </c>
      <c r="AM424" s="77">
        <f>SUM(AO424:AT424)</f>
        <v>1</v>
      </c>
      <c r="AN424" s="140" t="s">
        <v>105</v>
      </c>
      <c r="AO424" s="72"/>
      <c r="AP424" s="72"/>
      <c r="AQ424" s="79">
        <v>1</v>
      </c>
      <c r="AR424" s="72"/>
      <c r="AS424" s="72"/>
      <c r="AT424" s="72"/>
      <c r="AU424" s="31" t="s">
        <v>229</v>
      </c>
      <c r="AV424" s="70"/>
      <c r="AW424" s="72"/>
      <c r="AX424" s="72"/>
    </row>
    <row r="425" spans="1:50" ht="15" customHeight="1">
      <c r="A425" s="70" t="s">
        <v>528</v>
      </c>
      <c r="B425" s="68" t="s">
        <v>345</v>
      </c>
      <c r="C425" s="69" t="s">
        <v>45</v>
      </c>
      <c r="D425" s="70" t="s">
        <v>175</v>
      </c>
      <c r="E425" s="70"/>
      <c r="F425" s="68">
        <v>3</v>
      </c>
      <c r="G425" s="71" t="s">
        <v>530</v>
      </c>
      <c r="H425" s="71" t="s">
        <v>531</v>
      </c>
      <c r="I425" s="71" t="s">
        <v>351</v>
      </c>
      <c r="J425" s="71"/>
      <c r="K425" s="72"/>
      <c r="L425" s="72"/>
      <c r="M425" s="72"/>
      <c r="N425" s="72"/>
      <c r="O425" s="71" t="s">
        <v>529</v>
      </c>
      <c r="P425" s="69">
        <v>1</v>
      </c>
      <c r="Q425" s="68">
        <f>MAX(0,$V425-$P425-$S425)</f>
        <v>0</v>
      </c>
      <c r="R425" s="68"/>
      <c r="S425" s="68"/>
      <c r="T425" s="73">
        <v>2.52</v>
      </c>
      <c r="U425" s="73">
        <f>IF(AND($Q425&gt;0,ISNUMBER($T425)),$Q425*$T425,0)</f>
        <v>0</v>
      </c>
      <c r="V425" s="68">
        <f>SUM(W425:AB425)</f>
        <v>1</v>
      </c>
      <c r="W425" s="68"/>
      <c r="X425" s="68"/>
      <c r="Y425" s="68"/>
      <c r="Z425" s="68"/>
      <c r="AA425" s="68"/>
      <c r="AB425" s="68">
        <v>1</v>
      </c>
      <c r="AC425" s="68"/>
      <c r="AD425" s="75">
        <f>SUM(AE425:AJ425)</f>
        <v>1</v>
      </c>
      <c r="AE425" s="76"/>
      <c r="AF425" s="76"/>
      <c r="AG425" s="76"/>
      <c r="AH425" s="76"/>
      <c r="AI425" s="76"/>
      <c r="AJ425" s="76">
        <v>1</v>
      </c>
      <c r="AK425" s="76"/>
      <c r="AL425" s="77">
        <f>IF((P425-SUM(AE425:AK425))&lt;0,0,P425-SUM(AE425:AK425))</f>
        <v>0</v>
      </c>
      <c r="AM425" s="77">
        <f>SUM(AO425:AT425)</f>
        <v>0</v>
      </c>
      <c r="AN425" s="72"/>
      <c r="AO425" s="72"/>
      <c r="AP425" s="72"/>
      <c r="AQ425" s="72"/>
      <c r="AR425" s="72"/>
      <c r="AS425" s="72"/>
      <c r="AT425" s="72"/>
      <c r="AU425" s="72"/>
      <c r="AV425" s="70"/>
      <c r="AW425" s="72"/>
      <c r="AX425" s="72"/>
    </row>
    <row r="426" spans="1:50" ht="15" customHeight="1">
      <c r="A426" s="70" t="s">
        <v>1049</v>
      </c>
      <c r="B426" s="68" t="s">
        <v>919</v>
      </c>
      <c r="C426" s="69" t="s">
        <v>45</v>
      </c>
      <c r="D426" s="70" t="s">
        <v>627</v>
      </c>
      <c r="E426" s="70"/>
      <c r="F426" s="68">
        <v>0</v>
      </c>
      <c r="G426" s="71" t="s">
        <v>627</v>
      </c>
      <c r="H426" s="71" t="s">
        <v>1051</v>
      </c>
      <c r="I426" s="71" t="s">
        <v>1052</v>
      </c>
      <c r="J426" s="71"/>
      <c r="K426" s="72"/>
      <c r="L426" s="72"/>
      <c r="M426" s="72"/>
      <c r="N426" s="72"/>
      <c r="O426" s="71" t="s">
        <v>1050</v>
      </c>
      <c r="P426" s="69">
        <v>1</v>
      </c>
      <c r="Q426" s="68">
        <f>MAX(0,$V426-$P426-$S426)</f>
        <v>0</v>
      </c>
      <c r="R426" s="68"/>
      <c r="S426" s="68"/>
      <c r="T426" s="73">
        <v>0.22</v>
      </c>
      <c r="U426" s="73">
        <f>IF(AND($Q426&gt;0,ISNUMBER($T426)),$Q426*$T426,0)</f>
        <v>0</v>
      </c>
      <c r="V426" s="68">
        <f>SUM(W426:AB426)</f>
        <v>1</v>
      </c>
      <c r="W426" s="68"/>
      <c r="X426" s="68"/>
      <c r="Y426" s="68"/>
      <c r="Z426" s="68">
        <v>1</v>
      </c>
      <c r="AA426" s="68"/>
      <c r="AB426" s="68"/>
      <c r="AC426" s="68"/>
      <c r="AD426" s="75">
        <f>SUM(AE426:AJ426)</f>
        <v>1</v>
      </c>
      <c r="AE426" s="76"/>
      <c r="AF426" s="76"/>
      <c r="AG426" s="76"/>
      <c r="AH426" s="76">
        <v>1</v>
      </c>
      <c r="AI426" s="76"/>
      <c r="AJ426" s="76"/>
      <c r="AK426" s="76"/>
      <c r="AL426" s="77">
        <f>IF((P426-SUM(AE426:AK426))&lt;0,0,P426-SUM(AE426:AK426))</f>
        <v>0</v>
      </c>
      <c r="AM426" s="77">
        <f>SUM(AO426:AT426)</f>
        <v>0</v>
      </c>
      <c r="AN426" s="129"/>
      <c r="AO426" s="72"/>
      <c r="AP426" s="72"/>
      <c r="AQ426" s="72"/>
      <c r="AR426" s="72"/>
      <c r="AS426" s="72"/>
      <c r="AT426" s="72"/>
      <c r="AU426" s="72"/>
      <c r="AV426" s="70"/>
      <c r="AW426" s="72"/>
      <c r="AX426" s="72"/>
    </row>
    <row r="427" spans="1:50" ht="15" customHeight="1">
      <c r="A427" s="70" t="s">
        <v>2194</v>
      </c>
      <c r="B427" s="68" t="s">
        <v>1971</v>
      </c>
      <c r="C427" s="69" t="s">
        <v>45</v>
      </c>
      <c r="D427" s="70" t="s">
        <v>72</v>
      </c>
      <c r="E427" s="70"/>
      <c r="F427" s="68">
        <v>1</v>
      </c>
      <c r="G427" s="71" t="s">
        <v>49</v>
      </c>
      <c r="H427" s="71" t="s">
        <v>2195</v>
      </c>
      <c r="I427" s="71" t="s">
        <v>2196</v>
      </c>
      <c r="J427" s="71"/>
      <c r="K427" s="69"/>
      <c r="L427" s="69"/>
      <c r="M427" s="69"/>
      <c r="N427" s="69"/>
      <c r="O427" s="71" t="s">
        <v>977</v>
      </c>
      <c r="P427" s="69">
        <v>1</v>
      </c>
      <c r="Q427" s="68">
        <f>MAX(0,$V427-$P427-$S427)</f>
        <v>0</v>
      </c>
      <c r="R427" s="68"/>
      <c r="S427" s="68"/>
      <c r="T427" s="73">
        <v>1.38</v>
      </c>
      <c r="U427" s="73">
        <f>IF(AND($Q427&gt;0,ISNUMBER($T427)),$Q427*$T427,0)</f>
        <v>0</v>
      </c>
      <c r="V427" s="68">
        <f>SUM(W427:AB427)</f>
        <v>1</v>
      </c>
      <c r="W427" s="68">
        <v>1</v>
      </c>
      <c r="X427" s="68"/>
      <c r="Y427" s="68"/>
      <c r="Z427" s="68"/>
      <c r="AA427" s="68"/>
      <c r="AB427" s="68"/>
      <c r="AC427" s="68"/>
      <c r="AD427" s="75">
        <f>SUM(AE427:AJ427)</f>
        <v>1</v>
      </c>
      <c r="AE427" s="76">
        <v>1</v>
      </c>
      <c r="AF427" s="76"/>
      <c r="AG427" s="76"/>
      <c r="AH427" s="76"/>
      <c r="AI427" s="76"/>
      <c r="AJ427" s="76"/>
      <c r="AK427" s="76"/>
      <c r="AL427" s="77">
        <f>IF((P427-SUM(AE427:AK427))&lt;0,0,P427-SUM(AE427:AK427))</f>
        <v>0</v>
      </c>
      <c r="AM427" s="77">
        <f>SUM(AO427:AT427)</f>
        <v>0</v>
      </c>
      <c r="AN427" s="72"/>
      <c r="AO427" s="72"/>
      <c r="AP427" s="72"/>
      <c r="AQ427" s="72"/>
      <c r="AR427" s="72"/>
      <c r="AS427" s="72"/>
      <c r="AT427" s="72"/>
      <c r="AU427" s="72"/>
      <c r="AV427" s="70"/>
      <c r="AW427" s="72"/>
      <c r="AX427" s="72"/>
    </row>
    <row r="428" spans="1:50" ht="15" customHeight="1">
      <c r="A428" s="70" t="s">
        <v>1915</v>
      </c>
      <c r="B428" s="68" t="s">
        <v>1831</v>
      </c>
      <c r="C428" s="69" t="s">
        <v>45</v>
      </c>
      <c r="D428" s="70" t="s">
        <v>64</v>
      </c>
      <c r="E428" s="70" t="s">
        <v>1916</v>
      </c>
      <c r="F428" s="68">
        <v>5</v>
      </c>
      <c r="G428" s="71" t="s">
        <v>392</v>
      </c>
      <c r="H428" s="71" t="s">
        <v>1917</v>
      </c>
      <c r="I428" s="71" t="s">
        <v>166</v>
      </c>
      <c r="J428" s="71"/>
      <c r="K428" s="72"/>
      <c r="L428" s="72"/>
      <c r="M428" s="72"/>
      <c r="N428" s="72"/>
      <c r="O428" s="71" t="s">
        <v>624</v>
      </c>
      <c r="P428" s="69">
        <v>1</v>
      </c>
      <c r="Q428" s="68">
        <f>MAX(0,$V428-$P428-$S428)</f>
        <v>0</v>
      </c>
      <c r="R428" s="68" t="s">
        <v>57</v>
      </c>
      <c r="S428" s="68">
        <v>1</v>
      </c>
      <c r="T428" s="73">
        <v>0.27</v>
      </c>
      <c r="U428" s="73">
        <f>IF(AND($Q428&gt;0,ISNUMBER($T428)),$Q428*$T428,0)</f>
        <v>0</v>
      </c>
      <c r="V428" s="68">
        <f>SUM(W428:AB428)</f>
        <v>1</v>
      </c>
      <c r="W428" s="68"/>
      <c r="X428" s="68">
        <v>1</v>
      </c>
      <c r="Y428" s="68"/>
      <c r="Z428" s="68"/>
      <c r="AA428" s="68"/>
      <c r="AB428" s="68"/>
      <c r="AC428" s="68"/>
      <c r="AD428" s="75">
        <f>SUM(AE428:AJ428)</f>
        <v>1</v>
      </c>
      <c r="AE428" s="76"/>
      <c r="AF428" s="76">
        <v>1</v>
      </c>
      <c r="AG428" s="76"/>
      <c r="AH428" s="76"/>
      <c r="AI428" s="76"/>
      <c r="AJ428" s="76"/>
      <c r="AK428" s="76"/>
      <c r="AL428" s="77">
        <f>IF((P428-SUM(AE428:AK428))&lt;0,0,P428-SUM(AE428:AK428))</f>
        <v>0</v>
      </c>
      <c r="AM428" s="77">
        <f>SUM(AO428:AT428)</f>
        <v>0</v>
      </c>
      <c r="AN428" s="129"/>
      <c r="AO428" s="72"/>
      <c r="AP428" s="72"/>
      <c r="AQ428" s="72"/>
      <c r="AR428" s="72"/>
      <c r="AS428" s="72"/>
      <c r="AT428" s="72"/>
      <c r="AU428" s="72"/>
      <c r="AV428" s="70"/>
      <c r="AW428" s="72"/>
      <c r="AX428" s="72"/>
    </row>
    <row r="429" spans="1:50" ht="15" customHeight="1">
      <c r="A429" s="86" t="s">
        <v>532</v>
      </c>
      <c r="B429" s="68" t="s">
        <v>345</v>
      </c>
      <c r="C429" s="69" t="s">
        <v>45</v>
      </c>
      <c r="D429" s="70" t="s">
        <v>175</v>
      </c>
      <c r="E429" s="70"/>
      <c r="F429" s="68">
        <v>2</v>
      </c>
      <c r="G429" s="71" t="s">
        <v>477</v>
      </c>
      <c r="H429" s="71" t="s">
        <v>533</v>
      </c>
      <c r="I429" s="71" t="s">
        <v>534</v>
      </c>
      <c r="J429" s="71"/>
      <c r="K429" s="72"/>
      <c r="L429" s="72"/>
      <c r="M429" s="72"/>
      <c r="N429" s="72"/>
      <c r="O429" s="71" t="s">
        <v>346</v>
      </c>
      <c r="P429" s="69">
        <v>1</v>
      </c>
      <c r="Q429" s="68">
        <f>MAX(0,$V429-$P429-$S429)</f>
        <v>0</v>
      </c>
      <c r="R429" s="68"/>
      <c r="S429" s="68"/>
      <c r="T429" s="73">
        <v>0.28999999999999998</v>
      </c>
      <c r="U429" s="73">
        <f>IF(AND($Q429&gt;0,ISNUMBER($T429)),$Q429*$T429,0)</f>
        <v>0</v>
      </c>
      <c r="V429" s="68">
        <f>SUM(W429:AB429)</f>
        <v>1</v>
      </c>
      <c r="W429" s="87">
        <v>1</v>
      </c>
      <c r="X429" s="68"/>
      <c r="Y429" s="68"/>
      <c r="Z429" s="68"/>
      <c r="AA429" s="68"/>
      <c r="AB429" s="68"/>
      <c r="AC429" s="68"/>
      <c r="AD429" s="75">
        <f>SUM(AE429:AJ429)</f>
        <v>1</v>
      </c>
      <c r="AE429" s="76">
        <v>1</v>
      </c>
      <c r="AF429" s="76"/>
      <c r="AG429" s="76"/>
      <c r="AH429" s="76"/>
      <c r="AI429" s="76"/>
      <c r="AJ429" s="76"/>
      <c r="AK429" s="76"/>
      <c r="AL429" s="77">
        <f>IF((P429-SUM(AE429:AK429))&lt;0,0,P429-SUM(AE429:AK429))</f>
        <v>0</v>
      </c>
      <c r="AM429" s="77">
        <f>SUM(AO429:AT429)</f>
        <v>0</v>
      </c>
      <c r="AN429" s="129"/>
      <c r="AO429" s="72"/>
      <c r="AP429" s="72"/>
      <c r="AQ429" s="129"/>
      <c r="AR429" s="129"/>
      <c r="AS429" s="72"/>
      <c r="AT429" s="72"/>
      <c r="AU429" s="129"/>
      <c r="AV429" s="70"/>
      <c r="AW429" s="72"/>
      <c r="AX429" s="72"/>
    </row>
    <row r="430" spans="1:50" ht="15" customHeight="1">
      <c r="A430" s="86" t="s">
        <v>811</v>
      </c>
      <c r="B430" s="68" t="s">
        <v>636</v>
      </c>
      <c r="C430" s="69" t="s">
        <v>45</v>
      </c>
      <c r="D430" s="70" t="s">
        <v>64</v>
      </c>
      <c r="E430" s="70" t="s">
        <v>812</v>
      </c>
      <c r="F430" s="68">
        <v>5</v>
      </c>
      <c r="G430" s="71" t="s">
        <v>317</v>
      </c>
      <c r="H430" s="71" t="s">
        <v>813</v>
      </c>
      <c r="I430" s="71"/>
      <c r="J430" s="71"/>
      <c r="K430" s="72"/>
      <c r="L430" s="72"/>
      <c r="M430" s="72"/>
      <c r="N430" s="72"/>
      <c r="O430" s="71" t="s">
        <v>156</v>
      </c>
      <c r="P430" s="69">
        <v>1</v>
      </c>
      <c r="Q430" s="68">
        <f>MAX(0,$V430-$P430-$S430)</f>
        <v>0</v>
      </c>
      <c r="R430" s="68"/>
      <c r="S430" s="68"/>
      <c r="T430" s="73">
        <v>0.22</v>
      </c>
      <c r="U430" s="73">
        <f>IF(AND($Q430&gt;0,ISNUMBER($T430)),$Q430*$T430,0)</f>
        <v>0</v>
      </c>
      <c r="V430" s="68">
        <f>SUM(W430:AB430)</f>
        <v>1</v>
      </c>
      <c r="W430" s="68"/>
      <c r="X430" s="68"/>
      <c r="Y430" s="87">
        <v>1</v>
      </c>
      <c r="Z430" s="68"/>
      <c r="AA430" s="68"/>
      <c r="AB430" s="68"/>
      <c r="AC430" s="68"/>
      <c r="AD430" s="75">
        <f>SUM(AE430:AJ430)</f>
        <v>1</v>
      </c>
      <c r="AE430" s="76"/>
      <c r="AF430" s="76"/>
      <c r="AG430" s="76">
        <v>1</v>
      </c>
      <c r="AH430" s="76"/>
      <c r="AI430" s="76"/>
      <c r="AJ430" s="76"/>
      <c r="AK430" s="76"/>
      <c r="AL430" s="77">
        <f>IF((P430-SUM(AE430:AK430))&lt;0,0,P430-SUM(AE430:AK430))</f>
        <v>0</v>
      </c>
      <c r="AM430" s="77">
        <f>SUM(AO430:AT430)</f>
        <v>0</v>
      </c>
      <c r="AN430" s="72"/>
      <c r="AO430" s="72"/>
      <c r="AP430" s="72"/>
      <c r="AQ430" s="72"/>
      <c r="AR430" s="72"/>
      <c r="AS430" s="72"/>
      <c r="AT430" s="72"/>
      <c r="AU430" s="72"/>
      <c r="AV430" s="70"/>
      <c r="AW430" s="72"/>
      <c r="AX430" s="72"/>
    </row>
    <row r="431" spans="1:50" ht="15" customHeight="1">
      <c r="A431" s="70" t="s">
        <v>1377</v>
      </c>
      <c r="B431" s="68" t="s">
        <v>1114</v>
      </c>
      <c r="C431" s="69" t="s">
        <v>45</v>
      </c>
      <c r="D431" s="70" t="s">
        <v>64</v>
      </c>
      <c r="E431" s="70" t="s">
        <v>1189</v>
      </c>
      <c r="F431" s="68">
        <v>3</v>
      </c>
      <c r="G431" s="71" t="s">
        <v>433</v>
      </c>
      <c r="H431" s="71" t="s">
        <v>1378</v>
      </c>
      <c r="I431" s="71" t="s">
        <v>215</v>
      </c>
      <c r="J431" s="71"/>
      <c r="K431" s="72"/>
      <c r="L431" s="72"/>
      <c r="M431" s="72"/>
      <c r="N431" s="72"/>
      <c r="O431" s="71" t="s">
        <v>48</v>
      </c>
      <c r="P431" s="69">
        <v>1</v>
      </c>
      <c r="Q431" s="68">
        <f>MAX(0,$V431-$P431-$S431)</f>
        <v>0</v>
      </c>
      <c r="R431" s="68"/>
      <c r="S431" s="68"/>
      <c r="T431" s="73">
        <v>0.13</v>
      </c>
      <c r="U431" s="73">
        <f>IF(AND($Q431&gt;0,ISNUMBER($T431)),$Q431*$T431,0)</f>
        <v>0</v>
      </c>
      <c r="V431" s="68">
        <f>SUM(W431:AB431)</f>
        <v>0</v>
      </c>
      <c r="W431" s="68"/>
      <c r="X431" s="68"/>
      <c r="Y431" s="68"/>
      <c r="Z431" s="68"/>
      <c r="AA431" s="68"/>
      <c r="AB431" s="68"/>
      <c r="AC431" s="68"/>
      <c r="AD431" s="75">
        <f>SUM(AE431:AJ431)</f>
        <v>1</v>
      </c>
      <c r="AE431" s="76"/>
      <c r="AF431" s="76"/>
      <c r="AG431" s="76"/>
      <c r="AH431" s="76"/>
      <c r="AI431" s="76">
        <v>1</v>
      </c>
      <c r="AJ431" s="76"/>
      <c r="AK431" s="76"/>
      <c r="AL431" s="77">
        <f>IF((P431-SUM(AE431:AK431))&lt;0,0,P431-SUM(AE431:AK431))</f>
        <v>0</v>
      </c>
      <c r="AM431" s="77">
        <f>SUM(AO431:AT431)</f>
        <v>1</v>
      </c>
      <c r="AN431" s="80" t="s">
        <v>105</v>
      </c>
      <c r="AO431" s="72"/>
      <c r="AP431" s="72"/>
      <c r="AQ431" s="72"/>
      <c r="AR431" s="72"/>
      <c r="AS431" s="79">
        <v>1</v>
      </c>
      <c r="AT431" s="72"/>
      <c r="AU431" s="31" t="s">
        <v>1379</v>
      </c>
      <c r="AV431" s="70"/>
      <c r="AW431" s="72"/>
      <c r="AX431" s="72"/>
    </row>
    <row r="432" spans="1:50" ht="15" customHeight="1">
      <c r="A432" s="70" t="s">
        <v>2199</v>
      </c>
      <c r="B432" s="68" t="s">
        <v>1971</v>
      </c>
      <c r="C432" s="69" t="s">
        <v>45</v>
      </c>
      <c r="D432" s="70" t="s">
        <v>58</v>
      </c>
      <c r="E432" s="70"/>
      <c r="F432" s="68">
        <v>5</v>
      </c>
      <c r="G432" s="71" t="s">
        <v>296</v>
      </c>
      <c r="H432" s="71" t="s">
        <v>2200</v>
      </c>
      <c r="I432" s="71" t="s">
        <v>2201</v>
      </c>
      <c r="J432" s="71"/>
      <c r="K432" s="69"/>
      <c r="L432" s="69"/>
      <c r="M432" s="69"/>
      <c r="N432" s="69"/>
      <c r="O432" s="71" t="s">
        <v>981</v>
      </c>
      <c r="P432" s="69">
        <v>1</v>
      </c>
      <c r="Q432" s="68">
        <f>MAX(0,$V432-$P432-$S432)</f>
        <v>0</v>
      </c>
      <c r="R432" s="68"/>
      <c r="S432" s="68"/>
      <c r="T432" s="73">
        <v>0.22</v>
      </c>
      <c r="U432" s="73">
        <f>IF(AND($Q432&gt;0,ISNUMBER($T432)),$Q432*$T432,0)</f>
        <v>0</v>
      </c>
      <c r="V432" s="68">
        <f>SUM(W432:AB432)</f>
        <v>1</v>
      </c>
      <c r="W432" s="68">
        <v>1</v>
      </c>
      <c r="X432" s="68"/>
      <c r="Y432" s="68"/>
      <c r="Z432" s="68"/>
      <c r="AA432" s="68"/>
      <c r="AB432" s="68"/>
      <c r="AC432" s="68"/>
      <c r="AD432" s="75">
        <f>SUM(AE432:AJ432)</f>
        <v>1</v>
      </c>
      <c r="AE432" s="76">
        <v>1</v>
      </c>
      <c r="AF432" s="76"/>
      <c r="AG432" s="76"/>
      <c r="AH432" s="76"/>
      <c r="AI432" s="76"/>
      <c r="AJ432" s="76"/>
      <c r="AK432" s="76"/>
      <c r="AL432" s="77">
        <f>IF((P432-SUM(AE432:AK432))&lt;0,0,P432-SUM(AE432:AK432))</f>
        <v>0</v>
      </c>
      <c r="AM432" s="77">
        <f>SUM(AO432:AT432)</f>
        <v>0</v>
      </c>
      <c r="AN432" s="72"/>
      <c r="AO432" s="72"/>
      <c r="AP432" s="72"/>
      <c r="AQ432" s="72"/>
      <c r="AR432" s="72"/>
      <c r="AS432" s="72"/>
      <c r="AT432" s="72"/>
      <c r="AU432" s="72"/>
      <c r="AV432" s="70"/>
      <c r="AW432" s="72"/>
      <c r="AX432" s="72"/>
    </row>
    <row r="433" spans="1:50" ht="15" customHeight="1">
      <c r="A433" s="86" t="s">
        <v>2202</v>
      </c>
      <c r="B433" s="68" t="s">
        <v>1971</v>
      </c>
      <c r="C433" s="69" t="s">
        <v>45</v>
      </c>
      <c r="D433" s="70" t="s">
        <v>47</v>
      </c>
      <c r="E433" s="70"/>
      <c r="F433" s="68">
        <v>5</v>
      </c>
      <c r="G433" s="71" t="s">
        <v>117</v>
      </c>
      <c r="H433" s="71" t="s">
        <v>2203</v>
      </c>
      <c r="I433" s="71" t="s">
        <v>2204</v>
      </c>
      <c r="J433" s="71"/>
      <c r="K433" s="72"/>
      <c r="L433" s="72"/>
      <c r="M433" s="72"/>
      <c r="N433" s="72"/>
      <c r="O433" s="71" t="s">
        <v>1083</v>
      </c>
      <c r="P433" s="69">
        <v>1</v>
      </c>
      <c r="Q433" s="68">
        <f>MAX(0,$V433-$P433-$S433)</f>
        <v>0</v>
      </c>
      <c r="R433" s="68" t="s">
        <v>57</v>
      </c>
      <c r="S433" s="68">
        <v>1</v>
      </c>
      <c r="T433" s="73">
        <v>0.22</v>
      </c>
      <c r="U433" s="73">
        <f>IF(AND($Q433&gt;0,ISNUMBER($T433)),$Q433*$T433,0)</f>
        <v>0</v>
      </c>
      <c r="V433" s="68">
        <f>SUM(W433:AB433)</f>
        <v>1</v>
      </c>
      <c r="W433" s="68"/>
      <c r="X433" s="68"/>
      <c r="Y433" s="68"/>
      <c r="Z433" s="68"/>
      <c r="AA433" s="87">
        <v>1</v>
      </c>
      <c r="AB433" s="68"/>
      <c r="AC433" s="68"/>
      <c r="AD433" s="75">
        <f>SUM(AE433:AJ433)</f>
        <v>1</v>
      </c>
      <c r="AE433" s="76"/>
      <c r="AF433" s="76"/>
      <c r="AG433" s="76"/>
      <c r="AH433" s="76"/>
      <c r="AI433" s="76">
        <v>1</v>
      </c>
      <c r="AJ433" s="76"/>
      <c r="AK433" s="76"/>
      <c r="AL433" s="77">
        <f>IF((P433-SUM(AE433:AK433))&lt;0,0,P433-SUM(AE433:AK433))</f>
        <v>0</v>
      </c>
      <c r="AM433" s="77">
        <f>SUM(AO433:AT433)</f>
        <v>0</v>
      </c>
      <c r="AN433" s="85"/>
      <c r="AO433" s="72"/>
      <c r="AP433" s="72"/>
      <c r="AQ433" s="72"/>
      <c r="AR433" s="72"/>
      <c r="AS433" s="72"/>
      <c r="AT433" s="72"/>
      <c r="AU433" s="72"/>
      <c r="AV433" s="70"/>
      <c r="AW433" s="72"/>
      <c r="AX433" s="72"/>
    </row>
    <row r="434" spans="1:50" ht="15" customHeight="1">
      <c r="A434" s="67" t="s">
        <v>2205</v>
      </c>
      <c r="B434" s="68" t="s">
        <v>1971</v>
      </c>
      <c r="C434" s="69" t="s">
        <v>45</v>
      </c>
      <c r="D434" s="70" t="s">
        <v>64</v>
      </c>
      <c r="E434" s="70" t="s">
        <v>680</v>
      </c>
      <c r="F434" s="68">
        <v>6</v>
      </c>
      <c r="G434" s="71" t="s">
        <v>49</v>
      </c>
      <c r="H434" s="71" t="s">
        <v>2206</v>
      </c>
      <c r="I434" s="71" t="s">
        <v>166</v>
      </c>
      <c r="J434" s="71" t="s">
        <v>2207</v>
      </c>
      <c r="K434" s="72"/>
      <c r="L434" s="72"/>
      <c r="M434" s="72"/>
      <c r="N434" s="72"/>
      <c r="O434" s="71" t="s">
        <v>642</v>
      </c>
      <c r="P434" s="69">
        <v>1</v>
      </c>
      <c r="Q434" s="68">
        <f>MAX(0,$V434-$P434-$S434)</f>
        <v>0</v>
      </c>
      <c r="R434" s="68"/>
      <c r="S434" s="68"/>
      <c r="T434" s="73">
        <v>0.26</v>
      </c>
      <c r="U434" s="73">
        <f>IF(AND($Q434&gt;0,ISNUMBER($T434)),$Q434*$T434,0)</f>
        <v>0</v>
      </c>
      <c r="V434" s="68">
        <f>SUM(W434:AB434)</f>
        <v>0</v>
      </c>
      <c r="W434" s="68"/>
      <c r="X434" s="68"/>
      <c r="Y434" s="68"/>
      <c r="Z434" s="74"/>
      <c r="AA434" s="68"/>
      <c r="AB434" s="68"/>
      <c r="AC434" s="68"/>
      <c r="AD434" s="75">
        <f>SUM(AE434:AJ434)</f>
        <v>0</v>
      </c>
      <c r="AE434" s="76"/>
      <c r="AF434" s="76"/>
      <c r="AG434" s="76"/>
      <c r="AH434" s="76"/>
      <c r="AI434" s="76"/>
      <c r="AJ434" s="76"/>
      <c r="AK434" s="76"/>
      <c r="AL434" s="77">
        <f>IF((P434-SUM(AE434:AK434))&lt;0,0,P434-SUM(AE434:AK434))</f>
        <v>1</v>
      </c>
      <c r="AM434" s="77">
        <f>SUM(AO434:AT434)</f>
        <v>0</v>
      </c>
      <c r="AN434" s="72"/>
      <c r="AO434" s="72"/>
      <c r="AP434" s="72"/>
      <c r="AQ434" s="72"/>
      <c r="AR434" s="72"/>
      <c r="AS434" s="72"/>
      <c r="AT434" s="72"/>
      <c r="AU434" s="72"/>
      <c r="AV434" s="70"/>
      <c r="AW434" s="72"/>
      <c r="AX434" s="72"/>
    </row>
    <row r="435" spans="1:50" ht="15" customHeight="1">
      <c r="A435" s="70" t="s">
        <v>1740</v>
      </c>
      <c r="B435" s="68" t="s">
        <v>1499</v>
      </c>
      <c r="C435" s="69" t="s">
        <v>45</v>
      </c>
      <c r="D435" s="70" t="s">
        <v>1741</v>
      </c>
      <c r="E435" s="70" t="s">
        <v>606</v>
      </c>
      <c r="F435" s="68">
        <v>4</v>
      </c>
      <c r="G435" s="71" t="s">
        <v>1589</v>
      </c>
      <c r="H435" s="71" t="s">
        <v>1742</v>
      </c>
      <c r="I435" s="71" t="s">
        <v>1743</v>
      </c>
      <c r="J435" s="71" t="s">
        <v>1744</v>
      </c>
      <c r="K435" s="72"/>
      <c r="L435" s="72"/>
      <c r="M435" s="72"/>
      <c r="N435" s="72"/>
      <c r="O435" s="71" t="s">
        <v>251</v>
      </c>
      <c r="P435" s="69">
        <v>1</v>
      </c>
      <c r="Q435" s="68">
        <f>MAX(0,$V435-$P435-$S435)</f>
        <v>0</v>
      </c>
      <c r="R435" s="68"/>
      <c r="S435" s="68"/>
      <c r="T435" s="73">
        <v>31.48</v>
      </c>
      <c r="U435" s="73">
        <f>IF(AND($Q435&gt;0,ISNUMBER($T435)),$Q435*$T435,0)</f>
        <v>0</v>
      </c>
      <c r="V435" s="68">
        <f>SUM(W435:AB435)</f>
        <v>1</v>
      </c>
      <c r="W435" s="68"/>
      <c r="X435" s="68"/>
      <c r="Y435" s="68"/>
      <c r="Z435" s="68"/>
      <c r="AA435" s="68"/>
      <c r="AB435" s="68">
        <v>1</v>
      </c>
      <c r="AC435" s="68"/>
      <c r="AD435" s="75">
        <f>SUM(AE435:AJ435)</f>
        <v>1</v>
      </c>
      <c r="AE435" s="76"/>
      <c r="AF435" s="76"/>
      <c r="AG435" s="76"/>
      <c r="AH435" s="76"/>
      <c r="AI435" s="76"/>
      <c r="AJ435" s="76">
        <v>1</v>
      </c>
      <c r="AK435" s="76"/>
      <c r="AL435" s="77">
        <f>IF((P435-SUM(AE435:AK435))&lt;0,0,P435-SUM(AE435:AK435))</f>
        <v>0</v>
      </c>
      <c r="AM435" s="77">
        <f>SUM(AO435:AT435)</f>
        <v>0</v>
      </c>
      <c r="AN435" s="85"/>
      <c r="AO435" s="72"/>
      <c r="AP435" s="129"/>
      <c r="AQ435" s="72"/>
      <c r="AR435" s="72"/>
      <c r="AS435" s="72"/>
      <c r="AT435" s="85"/>
      <c r="AU435" s="85"/>
      <c r="AV435" s="70"/>
      <c r="AW435" s="72"/>
      <c r="AX435" s="72"/>
    </row>
    <row r="436" spans="1:50" ht="15" customHeight="1">
      <c r="A436" s="70" t="s">
        <v>1384</v>
      </c>
      <c r="B436" s="68" t="s">
        <v>1114</v>
      </c>
      <c r="C436" s="69" t="s">
        <v>45</v>
      </c>
      <c r="D436" s="70" t="s">
        <v>72</v>
      </c>
      <c r="E436" s="70"/>
      <c r="F436" s="68">
        <v>3</v>
      </c>
      <c r="G436" s="71" t="s">
        <v>49</v>
      </c>
      <c r="H436" s="71" t="s">
        <v>1385</v>
      </c>
      <c r="I436" s="71"/>
      <c r="J436" s="71"/>
      <c r="K436" s="72"/>
      <c r="L436" s="72"/>
      <c r="M436" s="72"/>
      <c r="N436" s="72"/>
      <c r="O436" s="71" t="s">
        <v>489</v>
      </c>
      <c r="P436" s="69">
        <v>1</v>
      </c>
      <c r="Q436" s="68">
        <f>MAX(0,$V436-$P436-$S436)</f>
        <v>0</v>
      </c>
      <c r="R436" s="68"/>
      <c r="S436" s="68"/>
      <c r="T436" s="73">
        <v>0.34</v>
      </c>
      <c r="U436" s="73">
        <f>IF(AND($Q436&gt;0,ISNUMBER($T436)),$Q436*$T436,0)</f>
        <v>0</v>
      </c>
      <c r="V436" s="68">
        <f>SUM(W436:AB436)</f>
        <v>1</v>
      </c>
      <c r="W436" s="68"/>
      <c r="X436" s="68"/>
      <c r="Y436" s="68"/>
      <c r="Z436" s="68">
        <v>1</v>
      </c>
      <c r="AA436" s="68"/>
      <c r="AB436" s="68"/>
      <c r="AC436" s="68"/>
      <c r="AD436" s="75">
        <f>SUM(AE436:AJ436)</f>
        <v>1</v>
      </c>
      <c r="AE436" s="76"/>
      <c r="AF436" s="76"/>
      <c r="AG436" s="76"/>
      <c r="AH436" s="76">
        <v>1</v>
      </c>
      <c r="AI436" s="76"/>
      <c r="AJ436" s="76"/>
      <c r="AK436" s="76"/>
      <c r="AL436" s="77">
        <f>IF((P436-SUM(AE436:AK436))&lt;0,0,P436-SUM(AE436:AK436))</f>
        <v>0</v>
      </c>
      <c r="AM436" s="77">
        <f>SUM(AO436:AT436)</f>
        <v>0</v>
      </c>
      <c r="AN436" s="72"/>
      <c r="AO436" s="72"/>
      <c r="AP436" s="72"/>
      <c r="AQ436" s="72"/>
      <c r="AR436" s="72"/>
      <c r="AS436" s="72"/>
      <c r="AT436" s="72"/>
      <c r="AU436" s="72"/>
      <c r="AV436" s="70"/>
      <c r="AW436" s="72"/>
      <c r="AX436" s="72"/>
    </row>
    <row r="437" spans="1:50" ht="15" customHeight="1">
      <c r="A437" s="70" t="s">
        <v>1748</v>
      </c>
      <c r="B437" s="68" t="s">
        <v>1499</v>
      </c>
      <c r="C437" s="69" t="s">
        <v>45</v>
      </c>
      <c r="D437" s="70" t="s">
        <v>58</v>
      </c>
      <c r="E437" s="70"/>
      <c r="F437" s="68">
        <v>1</v>
      </c>
      <c r="G437" s="71" t="s">
        <v>530</v>
      </c>
      <c r="H437" s="71" t="s">
        <v>1749</v>
      </c>
      <c r="I437" s="71" t="s">
        <v>1750</v>
      </c>
      <c r="J437" s="71"/>
      <c r="K437" s="72"/>
      <c r="L437" s="72"/>
      <c r="M437" s="72"/>
      <c r="N437" s="72"/>
      <c r="O437" s="71" t="s">
        <v>454</v>
      </c>
      <c r="P437" s="69">
        <v>1</v>
      </c>
      <c r="Q437" s="68">
        <f>MAX(0,$V437-$P437-$S437)</f>
        <v>0</v>
      </c>
      <c r="R437" s="68" t="s">
        <v>57</v>
      </c>
      <c r="S437" s="68">
        <v>1</v>
      </c>
      <c r="T437" s="73">
        <v>1.84</v>
      </c>
      <c r="U437" s="73">
        <f>IF(AND($Q437&gt;0,ISNUMBER($T437)),$Q437*$T437,0)</f>
        <v>0</v>
      </c>
      <c r="V437" s="68">
        <f>SUM(W437:AB437)</f>
        <v>1</v>
      </c>
      <c r="W437" s="68"/>
      <c r="X437" s="68"/>
      <c r="Y437" s="68"/>
      <c r="Z437" s="68"/>
      <c r="AA437" s="68"/>
      <c r="AB437" s="68">
        <v>1</v>
      </c>
      <c r="AC437" s="68"/>
      <c r="AD437" s="75">
        <f>SUM(AE437:AJ437)</f>
        <v>1</v>
      </c>
      <c r="AE437" s="76"/>
      <c r="AF437" s="76"/>
      <c r="AG437" s="76"/>
      <c r="AH437" s="76"/>
      <c r="AI437" s="76"/>
      <c r="AJ437" s="76">
        <v>1</v>
      </c>
      <c r="AK437" s="76"/>
      <c r="AL437" s="77">
        <f>IF((P437-SUM(AE437:AK437))&lt;0,0,P437-SUM(AE437:AK437))</f>
        <v>0</v>
      </c>
      <c r="AM437" s="77">
        <f>SUM(AO437:AT437)</f>
        <v>0</v>
      </c>
      <c r="AN437" s="72"/>
      <c r="AO437" s="72"/>
      <c r="AP437" s="72"/>
      <c r="AQ437" s="72"/>
      <c r="AR437" s="72"/>
      <c r="AS437" s="72"/>
      <c r="AT437" s="72"/>
      <c r="AU437" s="72"/>
      <c r="AV437" s="70"/>
      <c r="AW437" s="72"/>
      <c r="AX437" s="72"/>
    </row>
    <row r="438" spans="1:50" ht="15" customHeight="1">
      <c r="A438" s="70" t="s">
        <v>1386</v>
      </c>
      <c r="B438" s="68" t="s">
        <v>1114</v>
      </c>
      <c r="C438" s="69" t="s">
        <v>45</v>
      </c>
      <c r="D438" s="70" t="s">
        <v>314</v>
      </c>
      <c r="E438" s="70" t="s">
        <v>1387</v>
      </c>
      <c r="F438" s="68">
        <v>5</v>
      </c>
      <c r="G438" s="71" t="s">
        <v>91</v>
      </c>
      <c r="H438" s="71" t="s">
        <v>1388</v>
      </c>
      <c r="I438" s="71" t="s">
        <v>1389</v>
      </c>
      <c r="J438" s="71" t="s">
        <v>1390</v>
      </c>
      <c r="K438" s="72"/>
      <c r="L438" s="72"/>
      <c r="M438" s="72"/>
      <c r="N438" s="72"/>
      <c r="O438" s="71" t="s">
        <v>1131</v>
      </c>
      <c r="P438" s="69">
        <v>1</v>
      </c>
      <c r="Q438" s="68">
        <f>MAX(0,$V438-$P438-$S438)</f>
        <v>0</v>
      </c>
      <c r="R438" s="68" t="s">
        <v>57</v>
      </c>
      <c r="S438" s="68">
        <v>1</v>
      </c>
      <c r="T438" s="73">
        <v>1.99</v>
      </c>
      <c r="U438" s="73">
        <f>IF(AND($Q438&gt;0,ISNUMBER($T438)),$Q438*$T438,0)</f>
        <v>0</v>
      </c>
      <c r="V438" s="68">
        <f>SUM(W438:AB438)</f>
        <v>1</v>
      </c>
      <c r="W438" s="68">
        <v>1</v>
      </c>
      <c r="X438" s="68"/>
      <c r="Y438" s="68"/>
      <c r="Z438" s="68"/>
      <c r="AA438" s="68"/>
      <c r="AB438" s="68"/>
      <c r="AC438" s="68"/>
      <c r="AD438" s="75">
        <f>SUM(AE438:AJ438)</f>
        <v>1</v>
      </c>
      <c r="AE438" s="76">
        <v>1</v>
      </c>
      <c r="AF438" s="76"/>
      <c r="AG438" s="76"/>
      <c r="AH438" s="76"/>
      <c r="AI438" s="76"/>
      <c r="AJ438" s="76"/>
      <c r="AK438" s="76"/>
      <c r="AL438" s="77">
        <f>IF((P438-SUM(AE438:AK438))&lt;0,0,P438-SUM(AE438:AK438))</f>
        <v>0</v>
      </c>
      <c r="AM438" s="77">
        <f>SUM(AO438:AT438)</f>
        <v>0</v>
      </c>
      <c r="AN438" s="129"/>
      <c r="AO438" s="72"/>
      <c r="AP438" s="72"/>
      <c r="AQ438" s="72"/>
      <c r="AR438" s="72"/>
      <c r="AS438" s="72"/>
      <c r="AT438" s="72"/>
      <c r="AU438" s="72"/>
      <c r="AV438" s="70"/>
      <c r="AW438" s="72"/>
      <c r="AX438" s="72"/>
    </row>
    <row r="439" spans="1:50" ht="15" customHeight="1">
      <c r="A439" s="70" t="s">
        <v>1391</v>
      </c>
      <c r="B439" s="68" t="s">
        <v>1114</v>
      </c>
      <c r="C439" s="69" t="s">
        <v>45</v>
      </c>
      <c r="D439" s="70" t="s">
        <v>123</v>
      </c>
      <c r="E439" s="70" t="s">
        <v>1392</v>
      </c>
      <c r="F439" s="68">
        <v>5</v>
      </c>
      <c r="G439" s="71" t="s">
        <v>54</v>
      </c>
      <c r="H439" s="71" t="s">
        <v>1393</v>
      </c>
      <c r="I439" s="71" t="s">
        <v>1394</v>
      </c>
      <c r="J439" s="71"/>
      <c r="K439" s="69"/>
      <c r="L439" s="69"/>
      <c r="M439" s="69"/>
      <c r="N439" s="69"/>
      <c r="O439" s="71" t="s">
        <v>576</v>
      </c>
      <c r="P439" s="69">
        <v>1</v>
      </c>
      <c r="Q439" s="68">
        <f>MAX(0,$V439-$P439-$S439)</f>
        <v>0</v>
      </c>
      <c r="R439" s="68"/>
      <c r="S439" s="68"/>
      <c r="T439" s="73">
        <v>0.23</v>
      </c>
      <c r="U439" s="73">
        <f>IF(AND($Q439&gt;0,ISNUMBER($T439)),$Q439*$T439,0)</f>
        <v>0</v>
      </c>
      <c r="V439" s="68">
        <f>SUM(W439:AB439)</f>
        <v>1</v>
      </c>
      <c r="W439" s="68">
        <v>1</v>
      </c>
      <c r="X439" s="68"/>
      <c r="Y439" s="68"/>
      <c r="Z439" s="68"/>
      <c r="AA439" s="68"/>
      <c r="AB439" s="68"/>
      <c r="AC439" s="68"/>
      <c r="AD439" s="75">
        <f>SUM(AE439:AJ439)</f>
        <v>1</v>
      </c>
      <c r="AE439" s="76">
        <v>1</v>
      </c>
      <c r="AF439" s="76"/>
      <c r="AG439" s="76"/>
      <c r="AH439" s="76"/>
      <c r="AI439" s="76"/>
      <c r="AJ439" s="76"/>
      <c r="AK439" s="76"/>
      <c r="AL439" s="77">
        <f>IF((P439-SUM(AE439:AK439))&lt;0,0,P439-SUM(AE439:AK439))</f>
        <v>0</v>
      </c>
      <c r="AM439" s="77">
        <f>SUM(AO439:AT439)</f>
        <v>0</v>
      </c>
      <c r="AN439" s="129"/>
      <c r="AO439" s="72"/>
      <c r="AP439" s="129"/>
      <c r="AQ439" s="72"/>
      <c r="AR439" s="72"/>
      <c r="AS439" s="72"/>
      <c r="AT439" s="72"/>
      <c r="AU439" s="129"/>
      <c r="AV439" s="70"/>
      <c r="AW439" s="72"/>
      <c r="AX439" s="72"/>
    </row>
    <row r="440" spans="1:50" ht="15" customHeight="1">
      <c r="A440" s="70" t="s">
        <v>1395</v>
      </c>
      <c r="B440" s="68" t="s">
        <v>1114</v>
      </c>
      <c r="C440" s="69" t="s">
        <v>45</v>
      </c>
      <c r="D440" s="70" t="s">
        <v>314</v>
      </c>
      <c r="E440" s="70" t="s">
        <v>1387</v>
      </c>
      <c r="F440" s="68">
        <v>4</v>
      </c>
      <c r="G440" s="71" t="s">
        <v>54</v>
      </c>
      <c r="H440" s="71" t="s">
        <v>1394</v>
      </c>
      <c r="I440" s="71" t="s">
        <v>1396</v>
      </c>
      <c r="J440" s="71" t="s">
        <v>1397</v>
      </c>
      <c r="K440" s="69"/>
      <c r="L440" s="69"/>
      <c r="M440" s="69"/>
      <c r="N440" s="69"/>
      <c r="O440" s="71" t="s">
        <v>334</v>
      </c>
      <c r="P440" s="69">
        <v>1</v>
      </c>
      <c r="Q440" s="68">
        <f>MAX(0,$V440-$P440-$S440)</f>
        <v>0</v>
      </c>
      <c r="R440" s="68"/>
      <c r="S440" s="68"/>
      <c r="T440" s="73">
        <v>0.64</v>
      </c>
      <c r="U440" s="73">
        <f>IF(AND($Q440&gt;0,ISNUMBER($T440)),$Q440*$T440,0)</f>
        <v>0</v>
      </c>
      <c r="V440" s="68">
        <f>SUM(W440:AB440)</f>
        <v>1</v>
      </c>
      <c r="W440" s="68">
        <v>1</v>
      </c>
      <c r="X440" s="68"/>
      <c r="Y440" s="68"/>
      <c r="Z440" s="68"/>
      <c r="AA440" s="68"/>
      <c r="AB440" s="68"/>
      <c r="AC440" s="68"/>
      <c r="AD440" s="75">
        <f>SUM(AE440:AJ440)</f>
        <v>1</v>
      </c>
      <c r="AE440" s="76">
        <v>1</v>
      </c>
      <c r="AF440" s="76"/>
      <c r="AG440" s="76"/>
      <c r="AH440" s="76"/>
      <c r="AI440" s="76"/>
      <c r="AJ440" s="76"/>
      <c r="AK440" s="76"/>
      <c r="AL440" s="77">
        <f>IF((P440-SUM(AE440:AK440))&lt;0,0,P440-SUM(AE440:AK440))</f>
        <v>0</v>
      </c>
      <c r="AM440" s="77">
        <f>SUM(AO440:AT440)</f>
        <v>0</v>
      </c>
      <c r="AN440" s="72"/>
      <c r="AO440" s="72"/>
      <c r="AP440" s="72"/>
      <c r="AQ440" s="72"/>
      <c r="AR440" s="72"/>
      <c r="AS440" s="72"/>
      <c r="AT440" s="72"/>
      <c r="AU440" s="72"/>
      <c r="AV440" s="70"/>
      <c r="AW440" s="72"/>
      <c r="AX440" s="72"/>
    </row>
    <row r="441" spans="1:50" ht="15" customHeight="1">
      <c r="A441" s="70" t="s">
        <v>1398</v>
      </c>
      <c r="B441" s="68" t="s">
        <v>1114</v>
      </c>
      <c r="C441" s="69" t="s">
        <v>45</v>
      </c>
      <c r="D441" s="70" t="s">
        <v>123</v>
      </c>
      <c r="E441" s="70" t="s">
        <v>1392</v>
      </c>
      <c r="F441" s="68">
        <v>5</v>
      </c>
      <c r="G441" s="71" t="s">
        <v>1145</v>
      </c>
      <c r="H441" s="71" t="s">
        <v>1399</v>
      </c>
      <c r="I441" s="71" t="s">
        <v>1400</v>
      </c>
      <c r="J441" s="71" t="s">
        <v>1401</v>
      </c>
      <c r="K441" s="69"/>
      <c r="L441" s="69"/>
      <c r="M441" s="69"/>
      <c r="N441" s="69"/>
      <c r="O441" s="71" t="s">
        <v>201</v>
      </c>
      <c r="P441" s="69">
        <v>1</v>
      </c>
      <c r="Q441" s="68">
        <f>MAX(0,$V441-$P441-$S441)</f>
        <v>0</v>
      </c>
      <c r="R441" s="68"/>
      <c r="S441" s="68"/>
      <c r="T441" s="73">
        <v>0.18</v>
      </c>
      <c r="U441" s="73">
        <f>IF(AND($Q441&gt;0,ISNUMBER($T441)),$Q441*$T441,0)</f>
        <v>0</v>
      </c>
      <c r="V441" s="68">
        <f>SUM(W441:AB441)</f>
        <v>1</v>
      </c>
      <c r="W441" s="68">
        <v>1</v>
      </c>
      <c r="X441" s="68"/>
      <c r="Y441" s="68"/>
      <c r="Z441" s="68"/>
      <c r="AA441" s="68"/>
      <c r="AB441" s="68"/>
      <c r="AC441" s="68"/>
      <c r="AD441" s="75">
        <f>SUM(AE441:AJ441)</f>
        <v>1</v>
      </c>
      <c r="AE441" s="76">
        <v>1</v>
      </c>
      <c r="AF441" s="76"/>
      <c r="AG441" s="76"/>
      <c r="AH441" s="76"/>
      <c r="AI441" s="76"/>
      <c r="AJ441" s="76"/>
      <c r="AK441" s="76"/>
      <c r="AL441" s="77">
        <f>IF((P441-SUM(AE441:AK441))&lt;0,0,P441-SUM(AE441:AK441))</f>
        <v>0</v>
      </c>
      <c r="AM441" s="77">
        <f>SUM(AO441:AT441)</f>
        <v>0</v>
      </c>
      <c r="AN441" s="72"/>
      <c r="AO441" s="72"/>
      <c r="AP441" s="72"/>
      <c r="AQ441" s="72"/>
      <c r="AR441" s="72"/>
      <c r="AS441" s="72"/>
      <c r="AT441" s="72"/>
      <c r="AU441" s="72"/>
      <c r="AV441" s="70"/>
      <c r="AW441" s="72"/>
      <c r="AX441" s="72"/>
    </row>
    <row r="442" spans="1:50" ht="15" customHeight="1">
      <c r="A442" s="70" t="s">
        <v>1056</v>
      </c>
      <c r="B442" s="68" t="s">
        <v>919</v>
      </c>
      <c r="C442" s="69" t="s">
        <v>45</v>
      </c>
      <c r="D442" s="70" t="s">
        <v>627</v>
      </c>
      <c r="E442" s="70" t="s">
        <v>995</v>
      </c>
      <c r="F442" s="68">
        <v>0</v>
      </c>
      <c r="G442" s="71" t="s">
        <v>627</v>
      </c>
      <c r="H442" s="71" t="s">
        <v>958</v>
      </c>
      <c r="I442" s="71" t="s">
        <v>1057</v>
      </c>
      <c r="J442" s="71"/>
      <c r="K442" s="69"/>
      <c r="L442" s="69"/>
      <c r="M442" s="69"/>
      <c r="N442" s="69"/>
      <c r="O442" s="71" t="s">
        <v>996</v>
      </c>
      <c r="P442" s="69">
        <v>1</v>
      </c>
      <c r="Q442" s="68">
        <f>MAX(0,$V442-$P442-$S442)</f>
        <v>0</v>
      </c>
      <c r="R442" s="68"/>
      <c r="S442" s="68"/>
      <c r="T442" s="73">
        <v>0.4</v>
      </c>
      <c r="U442" s="73">
        <f>IF(AND($Q442&gt;0,ISNUMBER($T442)),$Q442*$T442,0)</f>
        <v>0</v>
      </c>
      <c r="V442" s="68">
        <f>SUM(W442:AB442)</f>
        <v>1</v>
      </c>
      <c r="W442" s="68">
        <v>1</v>
      </c>
      <c r="X442" s="68"/>
      <c r="Y442" s="68"/>
      <c r="Z442" s="68"/>
      <c r="AA442" s="68"/>
      <c r="AB442" s="68"/>
      <c r="AC442" s="68"/>
      <c r="AD442" s="75">
        <f>SUM(AE442:AJ442)</f>
        <v>1</v>
      </c>
      <c r="AE442" s="76">
        <v>1</v>
      </c>
      <c r="AF442" s="76"/>
      <c r="AG442" s="76"/>
      <c r="AH442" s="76"/>
      <c r="AI442" s="76"/>
      <c r="AJ442" s="76"/>
      <c r="AK442" s="76"/>
      <c r="AL442" s="77">
        <f>IF((P442-SUM(AE442:AK442))&lt;0,0,P442-SUM(AE442:AK442))</f>
        <v>0</v>
      </c>
      <c r="AM442" s="77">
        <f>SUM(AO442:AT442)</f>
        <v>0</v>
      </c>
      <c r="AN442" s="72"/>
      <c r="AO442" s="72"/>
      <c r="AP442" s="72"/>
      <c r="AQ442" s="72"/>
      <c r="AR442" s="72"/>
      <c r="AS442" s="72"/>
      <c r="AT442" s="72"/>
      <c r="AU442" s="72"/>
      <c r="AV442" s="70"/>
      <c r="AW442" s="72"/>
      <c r="AX442" s="72"/>
    </row>
    <row r="443" spans="1:50" ht="15" customHeight="1">
      <c r="A443" s="70" t="s">
        <v>1754</v>
      </c>
      <c r="B443" s="68" t="s">
        <v>1499</v>
      </c>
      <c r="C443" s="69" t="s">
        <v>45</v>
      </c>
      <c r="D443" s="70" t="s">
        <v>58</v>
      </c>
      <c r="E443" s="70"/>
      <c r="F443" s="68">
        <v>3</v>
      </c>
      <c r="G443" s="71" t="s">
        <v>1589</v>
      </c>
      <c r="H443" s="71" t="s">
        <v>1755</v>
      </c>
      <c r="I443" s="71"/>
      <c r="J443" s="71"/>
      <c r="K443" s="72"/>
      <c r="L443" s="72"/>
      <c r="M443" s="72"/>
      <c r="N443" s="72"/>
      <c r="O443" s="71" t="s">
        <v>232</v>
      </c>
      <c r="P443" s="69">
        <v>1</v>
      </c>
      <c r="Q443" s="68">
        <f>MAX(0,$V443-$P443-$S443)</f>
        <v>0</v>
      </c>
      <c r="R443" s="68"/>
      <c r="S443" s="68"/>
      <c r="T443" s="73">
        <v>0.3</v>
      </c>
      <c r="U443" s="73">
        <f>IF(AND($Q443&gt;0,ISNUMBER($T443)),$Q443*$T443,0)</f>
        <v>0</v>
      </c>
      <c r="V443" s="68">
        <f>SUM(W443:AB443)</f>
        <v>1</v>
      </c>
      <c r="W443" s="68"/>
      <c r="X443" s="68"/>
      <c r="Y443" s="68"/>
      <c r="Z443" s="68"/>
      <c r="AA443" s="68"/>
      <c r="AB443" s="68">
        <v>1</v>
      </c>
      <c r="AC443" s="68"/>
      <c r="AD443" s="75">
        <f>SUM(AE443:AJ443)</f>
        <v>1</v>
      </c>
      <c r="AE443" s="76"/>
      <c r="AF443" s="76"/>
      <c r="AG443" s="76"/>
      <c r="AH443" s="76"/>
      <c r="AI443" s="76"/>
      <c r="AJ443" s="76">
        <v>1</v>
      </c>
      <c r="AK443" s="76"/>
      <c r="AL443" s="77">
        <f>IF((P443-SUM(AE443:AK443))&lt;0,0,P443-SUM(AE443:AK443))</f>
        <v>0</v>
      </c>
      <c r="AM443" s="77">
        <f>SUM(AO443:AT443)</f>
        <v>0</v>
      </c>
      <c r="AN443" s="72"/>
      <c r="AO443" s="72"/>
      <c r="AP443" s="72"/>
      <c r="AQ443" s="72"/>
      <c r="AR443" s="72"/>
      <c r="AS443" s="72"/>
      <c r="AT443" s="72"/>
      <c r="AU443" s="72"/>
      <c r="AV443" s="70"/>
      <c r="AW443" s="72"/>
      <c r="AX443" s="72"/>
    </row>
    <row r="444" spans="1:50" ht="15" customHeight="1">
      <c r="A444" s="70" t="s">
        <v>2208</v>
      </c>
      <c r="B444" s="68" t="s">
        <v>1971</v>
      </c>
      <c r="C444" s="69" t="s">
        <v>45</v>
      </c>
      <c r="D444" s="70" t="s">
        <v>72</v>
      </c>
      <c r="E444" s="70"/>
      <c r="F444" s="68">
        <v>2</v>
      </c>
      <c r="G444" s="71" t="s">
        <v>54</v>
      </c>
      <c r="H444" s="71" t="s">
        <v>2209</v>
      </c>
      <c r="I444" s="71"/>
      <c r="J444" s="71"/>
      <c r="K444" s="72"/>
      <c r="L444" s="72"/>
      <c r="M444" s="72"/>
      <c r="N444" s="72"/>
      <c r="O444" s="71" t="s">
        <v>324</v>
      </c>
      <c r="P444" s="69">
        <v>1</v>
      </c>
      <c r="Q444" s="68">
        <f>MAX(0,$V444-$P444-$S444)</f>
        <v>0</v>
      </c>
      <c r="R444" s="68"/>
      <c r="S444" s="68"/>
      <c r="T444" s="73">
        <v>0.28000000000000003</v>
      </c>
      <c r="U444" s="73">
        <f>IF(AND($Q444&gt;0,ISNUMBER($T444)),$Q444*$T444,0)</f>
        <v>0</v>
      </c>
      <c r="V444" s="68">
        <f>SUM(W444:AB444)</f>
        <v>1</v>
      </c>
      <c r="W444" s="68"/>
      <c r="X444" s="68"/>
      <c r="Y444" s="68"/>
      <c r="Z444" s="68"/>
      <c r="AA444" s="68">
        <v>1</v>
      </c>
      <c r="AB444" s="68"/>
      <c r="AC444" s="68"/>
      <c r="AD444" s="75">
        <f>SUM(AE444:AJ444)</f>
        <v>1</v>
      </c>
      <c r="AE444" s="76"/>
      <c r="AF444" s="76"/>
      <c r="AG444" s="76"/>
      <c r="AH444" s="76"/>
      <c r="AI444" s="76">
        <v>1</v>
      </c>
      <c r="AJ444" s="76"/>
      <c r="AK444" s="76"/>
      <c r="AL444" s="77">
        <f>IF((P444-SUM(AE444:AK444))&lt;0,0,P444-SUM(AE444:AK444))</f>
        <v>0</v>
      </c>
      <c r="AM444" s="77">
        <f>SUM(AO444:AT444)</f>
        <v>0</v>
      </c>
      <c r="AN444" s="129"/>
      <c r="AO444" s="72"/>
      <c r="AP444" s="72"/>
      <c r="AQ444" s="72"/>
      <c r="AR444" s="72"/>
      <c r="AS444" s="72"/>
      <c r="AT444" s="72"/>
      <c r="AU444" s="72"/>
      <c r="AV444" s="70"/>
      <c r="AW444" s="72"/>
      <c r="AX444" s="72"/>
    </row>
    <row r="445" spans="1:50" ht="15" customHeight="1">
      <c r="A445" s="70" t="s">
        <v>2210</v>
      </c>
      <c r="B445" s="68" t="s">
        <v>1971</v>
      </c>
      <c r="C445" s="69" t="s">
        <v>45</v>
      </c>
      <c r="D445" s="70" t="s">
        <v>72</v>
      </c>
      <c r="E445" s="70"/>
      <c r="F445" s="68">
        <v>2</v>
      </c>
      <c r="G445" s="71" t="s">
        <v>296</v>
      </c>
      <c r="H445" s="71" t="s">
        <v>2211</v>
      </c>
      <c r="I445" s="71"/>
      <c r="J445" s="71"/>
      <c r="K445" s="72"/>
      <c r="L445" s="72"/>
      <c r="M445" s="72"/>
      <c r="N445" s="72"/>
      <c r="O445" s="71" t="s">
        <v>860</v>
      </c>
      <c r="P445" s="69">
        <v>1</v>
      </c>
      <c r="Q445" s="68">
        <f>MAX(0,$V445-$P445-$S445)</f>
        <v>0</v>
      </c>
      <c r="R445" s="68"/>
      <c r="S445" s="68"/>
      <c r="T445" s="73">
        <v>0.33</v>
      </c>
      <c r="U445" s="73">
        <f>IF(AND($Q445&gt;0,ISNUMBER($T445)),$Q445*$T445,0)</f>
        <v>0</v>
      </c>
      <c r="V445" s="68">
        <f>SUM(W445:AB445)</f>
        <v>1</v>
      </c>
      <c r="W445" s="68">
        <v>1</v>
      </c>
      <c r="X445" s="68"/>
      <c r="Y445" s="68"/>
      <c r="Z445" s="68"/>
      <c r="AA445" s="68"/>
      <c r="AB445" s="68"/>
      <c r="AC445" s="68"/>
      <c r="AD445" s="75">
        <f>SUM(AE445:AJ445)</f>
        <v>1</v>
      </c>
      <c r="AE445" s="76">
        <v>1</v>
      </c>
      <c r="AF445" s="76"/>
      <c r="AG445" s="76"/>
      <c r="AH445" s="76"/>
      <c r="AI445" s="76"/>
      <c r="AJ445" s="76"/>
      <c r="AK445" s="76"/>
      <c r="AL445" s="77">
        <f>IF((P445-SUM(AE445:AK445))&lt;0,0,P445-SUM(AE445:AK445))</f>
        <v>0</v>
      </c>
      <c r="AM445" s="77">
        <f>SUM(AO445:AT445)</f>
        <v>0</v>
      </c>
      <c r="AN445" s="129"/>
      <c r="AO445" s="72"/>
      <c r="AP445" s="72"/>
      <c r="AQ445" s="72"/>
      <c r="AR445" s="72"/>
      <c r="AS445" s="72"/>
      <c r="AT445" s="72"/>
      <c r="AU445" s="72"/>
      <c r="AV445" s="70"/>
      <c r="AW445" s="72"/>
      <c r="AX445" s="72"/>
    </row>
    <row r="446" spans="1:50" ht="15" customHeight="1">
      <c r="A446" s="67" t="s">
        <v>1402</v>
      </c>
      <c r="B446" s="68" t="s">
        <v>1114</v>
      </c>
      <c r="C446" s="69" t="s">
        <v>45</v>
      </c>
      <c r="D446" s="70" t="s">
        <v>123</v>
      </c>
      <c r="E446" s="70" t="s">
        <v>124</v>
      </c>
      <c r="F446" s="68">
        <v>3</v>
      </c>
      <c r="G446" s="71" t="s">
        <v>54</v>
      </c>
      <c r="H446" s="71" t="s">
        <v>1403</v>
      </c>
      <c r="I446" s="71" t="s">
        <v>1404</v>
      </c>
      <c r="J446" s="71" t="s">
        <v>1405</v>
      </c>
      <c r="K446" s="72"/>
      <c r="L446" s="72"/>
      <c r="M446" s="72"/>
      <c r="N446" s="72"/>
      <c r="O446" s="71" t="s">
        <v>101</v>
      </c>
      <c r="P446" s="69">
        <v>1</v>
      </c>
      <c r="Q446" s="68">
        <f>MAX(0,$V446-$P446-$S446)</f>
        <v>0</v>
      </c>
      <c r="R446" s="68"/>
      <c r="S446" s="68"/>
      <c r="T446" s="73">
        <v>0.35</v>
      </c>
      <c r="U446" s="73">
        <f>IF(AND($Q446&gt;0,ISNUMBER($T446)),$Q446*$T446,0)</f>
        <v>0</v>
      </c>
      <c r="V446" s="68">
        <f>SUM(W446:AB446)</f>
        <v>0</v>
      </c>
      <c r="W446" s="68"/>
      <c r="X446" s="68"/>
      <c r="Y446" s="74"/>
      <c r="Z446" s="68"/>
      <c r="AA446" s="68"/>
      <c r="AB446" s="68"/>
      <c r="AC446" s="68"/>
      <c r="AD446" s="75">
        <f>SUM(AE446:AJ446)</f>
        <v>0</v>
      </c>
      <c r="AE446" s="76"/>
      <c r="AF446" s="76"/>
      <c r="AG446" s="76"/>
      <c r="AH446" s="76"/>
      <c r="AI446" s="76"/>
      <c r="AJ446" s="76"/>
      <c r="AK446" s="76"/>
      <c r="AL446" s="77">
        <f>IF((P446-SUM(AE446:AK446))&lt;0,0,P446-SUM(AE446:AK446))</f>
        <v>1</v>
      </c>
      <c r="AM446" s="77">
        <f>SUM(AO446:AT446)</f>
        <v>0</v>
      </c>
      <c r="AN446" s="72"/>
      <c r="AO446" s="72"/>
      <c r="AP446" s="72"/>
      <c r="AQ446" s="72"/>
      <c r="AR446" s="72"/>
      <c r="AS446" s="72"/>
      <c r="AT446" s="72"/>
      <c r="AU446" s="72"/>
      <c r="AV446" s="70"/>
      <c r="AW446" s="72"/>
      <c r="AX446" s="72"/>
    </row>
    <row r="447" spans="1:50" ht="15" customHeight="1">
      <c r="A447" s="98" t="s">
        <v>2515</v>
      </c>
      <c r="B447" s="100" t="s">
        <v>46</v>
      </c>
      <c r="C447" s="101" t="s">
        <v>45</v>
      </c>
      <c r="D447" s="98" t="s">
        <v>64</v>
      </c>
      <c r="E447" s="98" t="s">
        <v>2516</v>
      </c>
      <c r="F447" s="100">
        <v>2</v>
      </c>
      <c r="G447" s="98" t="s">
        <v>125</v>
      </c>
      <c r="H447" s="98" t="s">
        <v>723</v>
      </c>
      <c r="I447" s="98" t="s">
        <v>2517</v>
      </c>
      <c r="J447" s="98"/>
      <c r="K447" s="99"/>
      <c r="L447" s="99"/>
      <c r="M447" s="99"/>
      <c r="N447" s="99"/>
      <c r="O447" s="98" t="s">
        <v>136</v>
      </c>
      <c r="P447" s="101">
        <v>1</v>
      </c>
      <c r="Q447" s="68">
        <f>MAX(0,$V447-$P447-$S447)</f>
        <v>0</v>
      </c>
      <c r="R447" s="98"/>
      <c r="S447" s="98"/>
      <c r="T447" s="98">
        <v>0.18</v>
      </c>
      <c r="U447" s="98">
        <f>IF(AND($Q447&gt;0,ISNUMBER($T447)),$Q447*$T447,0)</f>
        <v>0</v>
      </c>
      <c r="V447" s="68">
        <f>SUM(W447:AB447)</f>
        <v>0</v>
      </c>
      <c r="W447" s="100"/>
      <c r="X447" s="100"/>
      <c r="Y447" s="100"/>
      <c r="Z447" s="100"/>
      <c r="AA447" s="100"/>
      <c r="AB447" s="100"/>
      <c r="AC447" s="68"/>
      <c r="AD447" s="75">
        <f>SUM(AE447:AJ447)</f>
        <v>0</v>
      </c>
      <c r="AE447" s="102"/>
      <c r="AF447" s="102"/>
      <c r="AG447" s="102"/>
      <c r="AH447" s="102"/>
      <c r="AI447" s="102"/>
      <c r="AJ447" s="102"/>
      <c r="AK447" s="102"/>
      <c r="AL447" s="77">
        <f>IF((P447-SUM(AE447:AK447))&lt;0,0,P447-SUM(AE447:AK447))</f>
        <v>1</v>
      </c>
      <c r="AM447" s="77">
        <f>SUM(AO447:AT447)</f>
        <v>0</v>
      </c>
      <c r="AN447" s="99"/>
      <c r="AO447" s="99"/>
      <c r="AP447" s="99"/>
      <c r="AQ447" s="99"/>
      <c r="AR447" s="99"/>
      <c r="AS447" s="99"/>
      <c r="AT447" s="99"/>
      <c r="AU447" s="99"/>
      <c r="AV447" s="98"/>
      <c r="AW447" s="99"/>
      <c r="AX447" s="99"/>
    </row>
    <row r="448" spans="1:50" ht="15" customHeight="1">
      <c r="A448" s="70" t="s">
        <v>250</v>
      </c>
      <c r="B448" s="68" t="s">
        <v>46</v>
      </c>
      <c r="C448" s="69" t="s">
        <v>45</v>
      </c>
      <c r="D448" s="70" t="s">
        <v>47</v>
      </c>
      <c r="E448" s="70"/>
      <c r="F448" s="68">
        <v>3</v>
      </c>
      <c r="G448" s="71" t="s">
        <v>176</v>
      </c>
      <c r="H448" s="71" t="s">
        <v>252</v>
      </c>
      <c r="I448" s="71" t="s">
        <v>253</v>
      </c>
      <c r="J448" s="71"/>
      <c r="K448" s="72"/>
      <c r="L448" s="72"/>
      <c r="M448" s="72"/>
      <c r="N448" s="72"/>
      <c r="O448" s="71" t="s">
        <v>251</v>
      </c>
      <c r="P448" s="69">
        <v>1</v>
      </c>
      <c r="Q448" s="68">
        <f>MAX(0,$V448-$P448-$S448)</f>
        <v>0</v>
      </c>
      <c r="R448" s="68" t="s">
        <v>57</v>
      </c>
      <c r="S448" s="68">
        <v>1</v>
      </c>
      <c r="T448" s="73">
        <v>0.32</v>
      </c>
      <c r="U448" s="73">
        <f>IF(AND($Q448&gt;0,ISNUMBER($T448)),$Q448*$T448,0)</f>
        <v>0</v>
      </c>
      <c r="V448" s="68">
        <f>SUM(W448:AB448)</f>
        <v>0</v>
      </c>
      <c r="W448" s="68"/>
      <c r="X448" s="68"/>
      <c r="Y448" s="68"/>
      <c r="Z448" s="68"/>
      <c r="AA448" s="68"/>
      <c r="AB448" s="68"/>
      <c r="AC448" s="68"/>
      <c r="AD448" s="75">
        <f>SUM(AE448:AJ448)</f>
        <v>1</v>
      </c>
      <c r="AE448" s="76"/>
      <c r="AF448" s="76"/>
      <c r="AG448" s="76"/>
      <c r="AH448" s="76"/>
      <c r="AI448" s="76">
        <v>1</v>
      </c>
      <c r="AJ448" s="76"/>
      <c r="AK448" s="76"/>
      <c r="AL448" s="77">
        <f>IF((P448-SUM(AE448:AK448))&lt;0,0,P448-SUM(AE448:AK448))</f>
        <v>0</v>
      </c>
      <c r="AM448" s="77">
        <f>SUM(AO448:AT448)</f>
        <v>1</v>
      </c>
      <c r="AN448" s="80" t="s">
        <v>105</v>
      </c>
      <c r="AO448" s="72"/>
      <c r="AP448" s="72"/>
      <c r="AQ448" s="72"/>
      <c r="AR448" s="72"/>
      <c r="AS448" s="79">
        <v>1</v>
      </c>
      <c r="AT448" s="72"/>
      <c r="AU448" s="31" t="s">
        <v>254</v>
      </c>
      <c r="AV448" s="70"/>
      <c r="AW448" s="72"/>
      <c r="AX448" s="72"/>
    </row>
    <row r="449" spans="1:50" ht="15" customHeight="1">
      <c r="A449" s="86" t="s">
        <v>1406</v>
      </c>
      <c r="B449" s="68" t="s">
        <v>1114</v>
      </c>
      <c r="C449" s="69" t="s">
        <v>45</v>
      </c>
      <c r="D449" s="70" t="s">
        <v>64</v>
      </c>
      <c r="E449" s="70" t="s">
        <v>1407</v>
      </c>
      <c r="F449" s="68">
        <v>4</v>
      </c>
      <c r="G449" s="71" t="s">
        <v>366</v>
      </c>
      <c r="H449" s="71" t="s">
        <v>1408</v>
      </c>
      <c r="I449" s="71" t="s">
        <v>1409</v>
      </c>
      <c r="J449" s="71"/>
      <c r="K449" s="72"/>
      <c r="L449" s="72"/>
      <c r="M449" s="72"/>
      <c r="N449" s="72"/>
      <c r="O449" s="71" t="s">
        <v>48</v>
      </c>
      <c r="P449" s="69">
        <v>1</v>
      </c>
      <c r="Q449" s="68">
        <f>MAX(0,$V449-$P449-$S449)</f>
        <v>0</v>
      </c>
      <c r="R449" s="68"/>
      <c r="S449" s="68"/>
      <c r="T449" s="73">
        <v>0.24</v>
      </c>
      <c r="U449" s="73">
        <f>IF(AND($Q449&gt;0,ISNUMBER($T449)),$Q449*$T449,0)</f>
        <v>0</v>
      </c>
      <c r="V449" s="68">
        <f>SUM(W449:AB449)</f>
        <v>1</v>
      </c>
      <c r="W449" s="68"/>
      <c r="X449" s="68"/>
      <c r="Y449" s="87">
        <v>1</v>
      </c>
      <c r="Z449" s="68"/>
      <c r="AA449" s="68"/>
      <c r="AB449" s="68"/>
      <c r="AC449" s="68"/>
      <c r="AD449" s="75">
        <f>SUM(AE449:AJ449)</f>
        <v>1</v>
      </c>
      <c r="AE449" s="76"/>
      <c r="AF449" s="76"/>
      <c r="AG449" s="76">
        <v>1</v>
      </c>
      <c r="AH449" s="76"/>
      <c r="AI449" s="76"/>
      <c r="AJ449" s="76"/>
      <c r="AK449" s="76"/>
      <c r="AL449" s="77">
        <f>IF((P449-SUM(AE449:AK449))&lt;0,0,P449-SUM(AE449:AK449))</f>
        <v>0</v>
      </c>
      <c r="AM449" s="77">
        <f>SUM(AO449:AT449)</f>
        <v>0</v>
      </c>
      <c r="AN449" s="129"/>
      <c r="AO449" s="72"/>
      <c r="AP449" s="72"/>
      <c r="AQ449" s="72"/>
      <c r="AR449" s="72"/>
      <c r="AS449" s="129"/>
      <c r="AT449" s="72"/>
      <c r="AU449" s="129"/>
      <c r="AV449" s="70"/>
      <c r="AW449" s="72"/>
      <c r="AX449" s="72"/>
    </row>
    <row r="450" spans="1:50" ht="15" customHeight="1">
      <c r="A450" s="70" t="s">
        <v>824</v>
      </c>
      <c r="B450" s="68" t="s">
        <v>636</v>
      </c>
      <c r="C450" s="69" t="s">
        <v>45</v>
      </c>
      <c r="D450" s="70" t="s">
        <v>64</v>
      </c>
      <c r="E450" s="70" t="s">
        <v>825</v>
      </c>
      <c r="F450" s="68">
        <v>2</v>
      </c>
      <c r="G450" s="71" t="s">
        <v>170</v>
      </c>
      <c r="H450" s="71" t="s">
        <v>826</v>
      </c>
      <c r="I450" s="71" t="s">
        <v>827</v>
      </c>
      <c r="J450" s="71"/>
      <c r="K450" s="72"/>
      <c r="L450" s="72"/>
      <c r="M450" s="72"/>
      <c r="N450" s="72"/>
      <c r="O450" s="71" t="s">
        <v>112</v>
      </c>
      <c r="P450" s="69">
        <v>1</v>
      </c>
      <c r="Q450" s="68">
        <f>MAX(0,$V450-$P450-$S450)</f>
        <v>0</v>
      </c>
      <c r="R450" s="68"/>
      <c r="S450" s="68"/>
      <c r="T450" s="73">
        <v>0.08</v>
      </c>
      <c r="U450" s="73">
        <f>IF(AND($Q450&gt;0,ISNUMBER($T450)),$Q450*$T450,0)</f>
        <v>0</v>
      </c>
      <c r="V450" s="68">
        <f>SUM(W450:AB450)</f>
        <v>0</v>
      </c>
      <c r="W450" s="68"/>
      <c r="X450" s="68"/>
      <c r="Y450" s="68"/>
      <c r="Z450" s="68"/>
      <c r="AA450" s="68"/>
      <c r="AB450" s="68"/>
      <c r="AC450" s="68"/>
      <c r="AD450" s="75">
        <f>SUM(AE450:AJ450)</f>
        <v>0</v>
      </c>
      <c r="AE450" s="76"/>
      <c r="AF450" s="76"/>
      <c r="AG450" s="76"/>
      <c r="AH450" s="76"/>
      <c r="AI450" s="76"/>
      <c r="AJ450" s="76"/>
      <c r="AK450" s="76"/>
      <c r="AL450" s="77">
        <f>IF((P450-SUM(AE450:AK450))&lt;0,0,P450-SUM(AE450:AK450))</f>
        <v>1</v>
      </c>
      <c r="AM450" s="77">
        <f>SUM(AO450:AT450)</f>
        <v>0</v>
      </c>
      <c r="AN450" s="72"/>
      <c r="AO450" s="72"/>
      <c r="AP450" s="72"/>
      <c r="AQ450" s="72"/>
      <c r="AR450" s="72"/>
      <c r="AS450" s="72"/>
      <c r="AT450" s="72"/>
      <c r="AU450" s="72"/>
      <c r="AV450" s="70"/>
      <c r="AW450" s="72"/>
      <c r="AX450" s="72"/>
    </row>
    <row r="451" spans="1:50" ht="15" customHeight="1">
      <c r="A451" s="70" t="s">
        <v>1761</v>
      </c>
      <c r="B451" s="68" t="s">
        <v>1499</v>
      </c>
      <c r="C451" s="69" t="s">
        <v>45</v>
      </c>
      <c r="D451" s="70" t="s">
        <v>72</v>
      </c>
      <c r="E451" s="70"/>
      <c r="F451" s="68">
        <v>2</v>
      </c>
      <c r="G451" s="71" t="s">
        <v>438</v>
      </c>
      <c r="H451" s="71" t="s">
        <v>1762</v>
      </c>
      <c r="I451" s="71" t="s">
        <v>1763</v>
      </c>
      <c r="J451" s="71"/>
      <c r="K451" s="72"/>
      <c r="L451" s="72"/>
      <c r="M451" s="72"/>
      <c r="N451" s="72"/>
      <c r="O451" s="71" t="s">
        <v>48</v>
      </c>
      <c r="P451" s="69">
        <v>1</v>
      </c>
      <c r="Q451" s="68">
        <f>MAX(0,$V451-$P451-$S451)</f>
        <v>0</v>
      </c>
      <c r="R451" s="68"/>
      <c r="S451" s="68"/>
      <c r="T451" s="73">
        <v>0.27</v>
      </c>
      <c r="U451" s="73">
        <f>IF(AND($Q451&gt;0,ISNUMBER($T451)),$Q451*$T451,0)</f>
        <v>0</v>
      </c>
      <c r="V451" s="68">
        <f>SUM(W451:AB451)</f>
        <v>0</v>
      </c>
      <c r="W451" s="68"/>
      <c r="X451" s="68"/>
      <c r="Y451" s="68"/>
      <c r="Z451" s="68"/>
      <c r="AA451" s="68"/>
      <c r="AB451" s="68"/>
      <c r="AC451" s="68"/>
      <c r="AD451" s="75">
        <f>SUM(AE451:AJ451)</f>
        <v>0</v>
      </c>
      <c r="AE451" s="76"/>
      <c r="AF451" s="76"/>
      <c r="AG451" s="76"/>
      <c r="AH451" s="76"/>
      <c r="AI451" s="76"/>
      <c r="AJ451" s="76"/>
      <c r="AK451" s="76"/>
      <c r="AL451" s="77">
        <f>IF((P451-SUM(AE451:AK451))&lt;0,0,P451-SUM(AE451:AK451))</f>
        <v>1</v>
      </c>
      <c r="AM451" s="77">
        <f>SUM(AO451:AT451)</f>
        <v>0</v>
      </c>
      <c r="AN451" s="72"/>
      <c r="AO451" s="72"/>
      <c r="AP451" s="72"/>
      <c r="AQ451" s="72"/>
      <c r="AR451" s="72"/>
      <c r="AS451" s="72"/>
      <c r="AT451" s="72"/>
      <c r="AU451" s="72"/>
      <c r="AV451" s="70"/>
      <c r="AW451" s="72"/>
      <c r="AX451" s="72"/>
    </row>
    <row r="452" spans="1:50" ht="15" customHeight="1">
      <c r="A452" s="70" t="s">
        <v>828</v>
      </c>
      <c r="B452" s="68" t="s">
        <v>636</v>
      </c>
      <c r="C452" s="69" t="s">
        <v>45</v>
      </c>
      <c r="D452" s="70" t="s">
        <v>64</v>
      </c>
      <c r="E452" s="70" t="s">
        <v>695</v>
      </c>
      <c r="F452" s="68">
        <v>3</v>
      </c>
      <c r="G452" s="71" t="s">
        <v>675</v>
      </c>
      <c r="H452" s="71" t="s">
        <v>829</v>
      </c>
      <c r="I452" s="71"/>
      <c r="J452" s="71"/>
      <c r="K452" s="69"/>
      <c r="L452" s="69"/>
      <c r="M452" s="69"/>
      <c r="N452" s="69"/>
      <c r="O452" s="71" t="s">
        <v>329</v>
      </c>
      <c r="P452" s="69">
        <v>1</v>
      </c>
      <c r="Q452" s="68">
        <f>MAX(0,$V452-$P452-$S452)</f>
        <v>0</v>
      </c>
      <c r="R452" s="68"/>
      <c r="S452" s="68"/>
      <c r="T452" s="73">
        <v>0.35</v>
      </c>
      <c r="U452" s="73">
        <f>IF(AND($Q452&gt;0,ISNUMBER($T452)),$Q452*$T452,0)</f>
        <v>0</v>
      </c>
      <c r="V452" s="68">
        <f>SUM(W452:AB452)</f>
        <v>1</v>
      </c>
      <c r="W452" s="68"/>
      <c r="X452" s="68">
        <v>1</v>
      </c>
      <c r="Y452" s="68"/>
      <c r="Z452" s="68"/>
      <c r="AA452" s="68"/>
      <c r="AB452" s="68"/>
      <c r="AC452" s="68"/>
      <c r="AD452" s="75">
        <f>SUM(AE452:AJ452)</f>
        <v>1</v>
      </c>
      <c r="AE452" s="76"/>
      <c r="AF452" s="76">
        <v>1</v>
      </c>
      <c r="AG452" s="76"/>
      <c r="AH452" s="76"/>
      <c r="AI452" s="76"/>
      <c r="AJ452" s="76"/>
      <c r="AK452" s="76"/>
      <c r="AL452" s="77">
        <f>IF((P452-SUM(AE452:AK452))&lt;0,0,P452-SUM(AE452:AK452))</f>
        <v>0</v>
      </c>
      <c r="AM452" s="77">
        <f>SUM(AO452:AT452)</f>
        <v>0</v>
      </c>
      <c r="AN452" s="72"/>
      <c r="AO452" s="72"/>
      <c r="AP452" s="72"/>
      <c r="AQ452" s="72"/>
      <c r="AR452" s="72"/>
      <c r="AS452" s="72"/>
      <c r="AT452" s="72"/>
      <c r="AU452" s="72"/>
      <c r="AV452" s="70"/>
      <c r="AW452" s="72"/>
      <c r="AX452" s="72"/>
    </row>
    <row r="453" spans="1:50" ht="15" customHeight="1">
      <c r="A453" s="70" t="s">
        <v>1410</v>
      </c>
      <c r="B453" s="68" t="s">
        <v>1114</v>
      </c>
      <c r="C453" s="69" t="s">
        <v>45</v>
      </c>
      <c r="D453" s="70" t="s">
        <v>47</v>
      </c>
      <c r="E453" s="70"/>
      <c r="F453" s="68">
        <v>4</v>
      </c>
      <c r="G453" s="71" t="s">
        <v>296</v>
      </c>
      <c r="H453" s="71" t="s">
        <v>1411</v>
      </c>
      <c r="I453" s="71" t="s">
        <v>1412</v>
      </c>
      <c r="J453" s="71"/>
      <c r="K453" s="72"/>
      <c r="L453" s="72"/>
      <c r="M453" s="72"/>
      <c r="N453" s="72"/>
      <c r="O453" s="71" t="s">
        <v>576</v>
      </c>
      <c r="P453" s="69">
        <v>1</v>
      </c>
      <c r="Q453" s="68">
        <f>MAX(0,$V453-$P453-$S453)</f>
        <v>0</v>
      </c>
      <c r="R453" s="68"/>
      <c r="S453" s="68"/>
      <c r="T453" s="73">
        <v>0.11</v>
      </c>
      <c r="U453" s="73">
        <f>IF(AND($Q453&gt;0,ISNUMBER($T453)),$Q453*$T453,0)</f>
        <v>0</v>
      </c>
      <c r="V453" s="68">
        <f>SUM(W453:AB453)</f>
        <v>1</v>
      </c>
      <c r="W453" s="68">
        <v>1</v>
      </c>
      <c r="X453" s="68"/>
      <c r="Y453" s="68"/>
      <c r="Z453" s="68"/>
      <c r="AA453" s="68"/>
      <c r="AB453" s="68"/>
      <c r="AC453" s="68"/>
      <c r="AD453" s="75">
        <f>SUM(AE453:AJ453)</f>
        <v>1</v>
      </c>
      <c r="AE453" s="76">
        <v>1</v>
      </c>
      <c r="AF453" s="76"/>
      <c r="AG453" s="76"/>
      <c r="AH453" s="76"/>
      <c r="AI453" s="76"/>
      <c r="AJ453" s="76"/>
      <c r="AK453" s="76"/>
      <c r="AL453" s="77">
        <f>IF((P453-SUM(AE453:AK453))&lt;0,0,P453-SUM(AE453:AK453))</f>
        <v>0</v>
      </c>
      <c r="AM453" s="77">
        <f>SUM(AO453:AT453)</f>
        <v>0</v>
      </c>
      <c r="AN453" s="129"/>
      <c r="AO453" s="72"/>
      <c r="AP453" s="72"/>
      <c r="AQ453" s="72"/>
      <c r="AR453" s="72"/>
      <c r="AS453" s="72"/>
      <c r="AT453" s="72"/>
      <c r="AU453" s="72"/>
      <c r="AV453" s="70"/>
      <c r="AW453" s="72"/>
      <c r="AX453" s="72"/>
    </row>
    <row r="454" spans="1:50" ht="15" customHeight="1">
      <c r="A454" s="86" t="s">
        <v>1413</v>
      </c>
      <c r="B454" s="68" t="s">
        <v>1114</v>
      </c>
      <c r="C454" s="69" t="s">
        <v>45</v>
      </c>
      <c r="D454" s="70" t="s">
        <v>64</v>
      </c>
      <c r="E454" s="70" t="s">
        <v>1414</v>
      </c>
      <c r="F454" s="68">
        <v>3</v>
      </c>
      <c r="G454" s="71" t="s">
        <v>49</v>
      </c>
      <c r="H454" s="71" t="s">
        <v>1415</v>
      </c>
      <c r="I454" s="71" t="s">
        <v>1416</v>
      </c>
      <c r="J454" s="71"/>
      <c r="K454" s="69"/>
      <c r="L454" s="69"/>
      <c r="M454" s="69"/>
      <c r="N454" s="69"/>
      <c r="O454" s="71" t="s">
        <v>449</v>
      </c>
      <c r="P454" s="69">
        <v>1</v>
      </c>
      <c r="Q454" s="68">
        <f>MAX(0,$V454-$P454-$S454)</f>
        <v>0</v>
      </c>
      <c r="R454" s="68"/>
      <c r="S454" s="68"/>
      <c r="T454" s="73">
        <v>0.5</v>
      </c>
      <c r="U454" s="73">
        <f>IF(AND($Q454&gt;0,ISNUMBER($T454)),$Q454*$T454,0)</f>
        <v>0</v>
      </c>
      <c r="V454" s="68">
        <f>SUM(W454:AB454)</f>
        <v>1</v>
      </c>
      <c r="W454" s="68"/>
      <c r="X454" s="87">
        <v>1</v>
      </c>
      <c r="Y454" s="68"/>
      <c r="Z454" s="68"/>
      <c r="AA454" s="68"/>
      <c r="AB454" s="68"/>
      <c r="AC454" s="68"/>
      <c r="AD454" s="75">
        <f>SUM(AE454:AJ454)</f>
        <v>1</v>
      </c>
      <c r="AE454" s="76"/>
      <c r="AF454" s="76">
        <v>1</v>
      </c>
      <c r="AG454" s="76"/>
      <c r="AH454" s="76"/>
      <c r="AI454" s="76"/>
      <c r="AJ454" s="76"/>
      <c r="AK454" s="76"/>
      <c r="AL454" s="77">
        <f>IF((P454-SUM(AE454:AK454))&lt;0,0,P454-SUM(AE454:AK454))</f>
        <v>0</v>
      </c>
      <c r="AM454" s="77">
        <f>SUM(AO454:AT454)</f>
        <v>0</v>
      </c>
      <c r="AN454" s="129"/>
      <c r="AO454" s="72"/>
      <c r="AP454" s="72"/>
      <c r="AQ454" s="72"/>
      <c r="AR454" s="72"/>
      <c r="AS454" s="129"/>
      <c r="AT454" s="72"/>
      <c r="AU454" s="129"/>
      <c r="AV454" s="70"/>
      <c r="AW454" s="72"/>
      <c r="AX454" s="72"/>
    </row>
    <row r="455" spans="1:50" ht="15" customHeight="1">
      <c r="A455" s="86" t="s">
        <v>1764</v>
      </c>
      <c r="B455" s="68" t="s">
        <v>1499</v>
      </c>
      <c r="C455" s="69" t="s">
        <v>45</v>
      </c>
      <c r="D455" s="70" t="s">
        <v>64</v>
      </c>
      <c r="E455" s="70" t="s">
        <v>1765</v>
      </c>
      <c r="F455" s="68">
        <v>2</v>
      </c>
      <c r="G455" s="71" t="s">
        <v>91</v>
      </c>
      <c r="H455" s="71" t="s">
        <v>1328</v>
      </c>
      <c r="I455" s="71" t="s">
        <v>1766</v>
      </c>
      <c r="J455" s="71"/>
      <c r="K455" s="72"/>
      <c r="L455" s="72"/>
      <c r="M455" s="72"/>
      <c r="N455" s="72"/>
      <c r="O455" s="71" t="s">
        <v>334</v>
      </c>
      <c r="P455" s="69">
        <v>1</v>
      </c>
      <c r="Q455" s="68">
        <f>MAX(0,$V455-$P455-$S455)</f>
        <v>0</v>
      </c>
      <c r="R455" s="68"/>
      <c r="S455" s="68"/>
      <c r="T455" s="73">
        <v>0.24</v>
      </c>
      <c r="U455" s="73">
        <f>IF(AND($Q455&gt;0,ISNUMBER($T455)),$Q455*$T455,0)</f>
        <v>0</v>
      </c>
      <c r="V455" s="68">
        <f>SUM(W455:AB455)</f>
        <v>0</v>
      </c>
      <c r="W455" s="87"/>
      <c r="X455" s="68"/>
      <c r="Y455" s="68"/>
      <c r="Z455" s="68"/>
      <c r="AA455" s="68"/>
      <c r="AB455" s="68"/>
      <c r="AC455" s="68"/>
      <c r="AD455" s="75">
        <f>SUM(AE455:AJ455)</f>
        <v>0</v>
      </c>
      <c r="AE455" s="76"/>
      <c r="AF455" s="76"/>
      <c r="AG455" s="76"/>
      <c r="AH455" s="76"/>
      <c r="AI455" s="76"/>
      <c r="AJ455" s="76"/>
      <c r="AK455" s="76"/>
      <c r="AL455" s="77">
        <f>IF((P455-SUM(AE455:AK455))&lt;0,0,P455-SUM(AE455:AK455))</f>
        <v>1</v>
      </c>
      <c r="AM455" s="77">
        <f>SUM(AO455:AT455)</f>
        <v>0</v>
      </c>
      <c r="AN455" s="129"/>
      <c r="AO455" s="72"/>
      <c r="AP455" s="72"/>
      <c r="AQ455" s="72"/>
      <c r="AR455" s="72"/>
      <c r="AS455" s="72"/>
      <c r="AT455" s="129"/>
      <c r="AU455" s="129"/>
      <c r="AV455" s="70"/>
      <c r="AW455" s="72"/>
      <c r="AX455" s="72"/>
    </row>
    <row r="456" spans="1:50" ht="15" customHeight="1">
      <c r="A456" s="70" t="s">
        <v>2215</v>
      </c>
      <c r="B456" s="68" t="s">
        <v>1971</v>
      </c>
      <c r="C456" s="69" t="s">
        <v>45</v>
      </c>
      <c r="D456" s="70" t="s">
        <v>64</v>
      </c>
      <c r="E456" s="70" t="s">
        <v>669</v>
      </c>
      <c r="F456" s="68">
        <v>3</v>
      </c>
      <c r="G456" s="71" t="s">
        <v>170</v>
      </c>
      <c r="H456" s="71" t="s">
        <v>1408</v>
      </c>
      <c r="I456" s="71" t="s">
        <v>2216</v>
      </c>
      <c r="J456" s="71"/>
      <c r="K456" s="72"/>
      <c r="L456" s="72"/>
      <c r="M456" s="72"/>
      <c r="N456" s="72"/>
      <c r="O456" s="71" t="s">
        <v>48</v>
      </c>
      <c r="P456" s="69">
        <v>1</v>
      </c>
      <c r="Q456" s="68">
        <f>MAX(0,$V456-$P456-$S456)</f>
        <v>0</v>
      </c>
      <c r="R456" s="68"/>
      <c r="S456" s="68"/>
      <c r="T456" s="73">
        <v>0.08</v>
      </c>
      <c r="U456" s="73">
        <f>IF(AND($Q456&gt;0,ISNUMBER($T456)),$Q456*$T456,0)</f>
        <v>0</v>
      </c>
      <c r="V456" s="68">
        <f>SUM(W456:AB456)</f>
        <v>0</v>
      </c>
      <c r="W456" s="68"/>
      <c r="X456" s="68"/>
      <c r="Y456" s="68"/>
      <c r="Z456" s="68"/>
      <c r="AA456" s="68"/>
      <c r="AB456" s="68"/>
      <c r="AC456" s="68"/>
      <c r="AD456" s="75">
        <f>SUM(AE456:AJ456)</f>
        <v>0</v>
      </c>
      <c r="AE456" s="76"/>
      <c r="AF456" s="76"/>
      <c r="AG456" s="76"/>
      <c r="AH456" s="76"/>
      <c r="AI456" s="76"/>
      <c r="AJ456" s="76"/>
      <c r="AK456" s="76"/>
      <c r="AL456" s="77">
        <f>IF((P456-SUM(AE456:AK456))&lt;0,0,P456-SUM(AE456:AK456))</f>
        <v>1</v>
      </c>
      <c r="AM456" s="77">
        <f>SUM(AO456:AT456)</f>
        <v>0</v>
      </c>
      <c r="AN456" s="72"/>
      <c r="AO456" s="72"/>
      <c r="AP456" s="72"/>
      <c r="AQ456" s="72"/>
      <c r="AR456" s="72"/>
      <c r="AS456" s="72"/>
      <c r="AT456" s="72"/>
      <c r="AU456" s="72"/>
      <c r="AV456" s="70"/>
      <c r="AW456" s="72"/>
      <c r="AX456" s="72"/>
    </row>
    <row r="457" spans="1:50" ht="15" customHeight="1">
      <c r="A457" s="70" t="s">
        <v>2217</v>
      </c>
      <c r="B457" s="68" t="s">
        <v>1971</v>
      </c>
      <c r="C457" s="69" t="s">
        <v>45</v>
      </c>
      <c r="D457" s="70" t="s">
        <v>64</v>
      </c>
      <c r="E457" s="70" t="s">
        <v>1480</v>
      </c>
      <c r="F457" s="68">
        <v>2</v>
      </c>
      <c r="G457" s="71" t="s">
        <v>477</v>
      </c>
      <c r="H457" s="71" t="s">
        <v>166</v>
      </c>
      <c r="I457" s="71" t="s">
        <v>2218</v>
      </c>
      <c r="J457" s="71"/>
      <c r="K457" s="69"/>
      <c r="L457" s="69"/>
      <c r="M457" s="69"/>
      <c r="N457" s="69"/>
      <c r="O457" s="71" t="s">
        <v>1137</v>
      </c>
      <c r="P457" s="69">
        <v>1</v>
      </c>
      <c r="Q457" s="68">
        <f>MAX(0,$V457-$P457-$S457)</f>
        <v>0</v>
      </c>
      <c r="R457" s="68"/>
      <c r="S457" s="68"/>
      <c r="T457" s="73">
        <v>0.28999999999999998</v>
      </c>
      <c r="U457" s="73">
        <f>IF(AND($Q457&gt;0,ISNUMBER($T457)),$Q457*$T457,0)</f>
        <v>0</v>
      </c>
      <c r="V457" s="68">
        <f>SUM(W457:AB457)</f>
        <v>0</v>
      </c>
      <c r="W457" s="68"/>
      <c r="X457" s="68"/>
      <c r="Y457" s="68"/>
      <c r="Z457" s="68"/>
      <c r="AA457" s="68"/>
      <c r="AB457" s="68"/>
      <c r="AC457" s="68"/>
      <c r="AD457" s="75">
        <f>SUM(AE457:AJ457)</f>
        <v>0</v>
      </c>
      <c r="AE457" s="76"/>
      <c r="AF457" s="76"/>
      <c r="AG457" s="76"/>
      <c r="AH457" s="76"/>
      <c r="AI457" s="76"/>
      <c r="AJ457" s="76"/>
      <c r="AK457" s="76"/>
      <c r="AL457" s="77">
        <f>IF((P457-SUM(AE457:AK457))&lt;0,0,P457-SUM(AE457:AK457))</f>
        <v>1</v>
      </c>
      <c r="AM457" s="77">
        <f>SUM(AO457:AT457)</f>
        <v>0</v>
      </c>
      <c r="AN457" s="72"/>
      <c r="AO457" s="72"/>
      <c r="AP457" s="72"/>
      <c r="AQ457" s="72"/>
      <c r="AR457" s="72"/>
      <c r="AS457" s="72"/>
      <c r="AT457" s="72"/>
      <c r="AU457" s="72"/>
      <c r="AV457" s="70"/>
      <c r="AW457" s="72"/>
      <c r="AX457" s="72"/>
    </row>
    <row r="458" spans="1:50" ht="15" customHeight="1">
      <c r="A458" s="70" t="s">
        <v>2219</v>
      </c>
      <c r="B458" s="68" t="s">
        <v>1971</v>
      </c>
      <c r="C458" s="69" t="s">
        <v>45</v>
      </c>
      <c r="D458" s="70" t="s">
        <v>72</v>
      </c>
      <c r="E458" s="70"/>
      <c r="F458" s="68">
        <v>2</v>
      </c>
      <c r="G458" s="71" t="s">
        <v>49</v>
      </c>
      <c r="H458" s="71" t="s">
        <v>2220</v>
      </c>
      <c r="I458" s="71"/>
      <c r="J458" s="71"/>
      <c r="K458" s="72"/>
      <c r="L458" s="72"/>
      <c r="M458" s="72"/>
      <c r="N458" s="72"/>
      <c r="O458" s="71" t="s">
        <v>529</v>
      </c>
      <c r="P458" s="69">
        <v>1</v>
      </c>
      <c r="Q458" s="68">
        <f>MAX(0,$V458-$P458-$S458)</f>
        <v>0</v>
      </c>
      <c r="R458" s="68"/>
      <c r="S458" s="68"/>
      <c r="T458" s="73">
        <v>0.15</v>
      </c>
      <c r="U458" s="73">
        <f>IF(AND($Q458&gt;0,ISNUMBER($T458)),$Q458*$T458,0)</f>
        <v>0</v>
      </c>
      <c r="V458" s="68">
        <f>SUM(W458:AB458)</f>
        <v>1</v>
      </c>
      <c r="W458" s="68"/>
      <c r="X458" s="68"/>
      <c r="Y458" s="68">
        <v>1</v>
      </c>
      <c r="Z458" s="68"/>
      <c r="AA458" s="68"/>
      <c r="AB458" s="68"/>
      <c r="AC458" s="68"/>
      <c r="AD458" s="75">
        <f>SUM(AE458:AJ458)</f>
        <v>1</v>
      </c>
      <c r="AE458" s="76"/>
      <c r="AF458" s="76"/>
      <c r="AG458" s="76">
        <v>1</v>
      </c>
      <c r="AH458" s="76"/>
      <c r="AI458" s="76"/>
      <c r="AJ458" s="76"/>
      <c r="AK458" s="76"/>
      <c r="AL458" s="77">
        <f>IF((P458-SUM(AE458:AK458))&lt;0,0,P458-SUM(AE458:AK458))</f>
        <v>0</v>
      </c>
      <c r="AM458" s="77">
        <f>SUM(AO458:AT458)</f>
        <v>0</v>
      </c>
      <c r="AN458" s="72"/>
      <c r="AO458" s="72"/>
      <c r="AP458" s="72"/>
      <c r="AQ458" s="72"/>
      <c r="AR458" s="72"/>
      <c r="AS458" s="72"/>
      <c r="AT458" s="72"/>
      <c r="AU458" s="72"/>
      <c r="AV458" s="70"/>
      <c r="AW458" s="72"/>
      <c r="AX458" s="72"/>
    </row>
    <row r="459" spans="1:50" ht="15" customHeight="1">
      <c r="A459" s="70" t="s">
        <v>2229</v>
      </c>
      <c r="B459" s="68" t="s">
        <v>1971</v>
      </c>
      <c r="C459" s="69" t="s">
        <v>45</v>
      </c>
      <c r="D459" s="70" t="s">
        <v>72</v>
      </c>
      <c r="E459" s="70"/>
      <c r="F459" s="68">
        <v>4</v>
      </c>
      <c r="G459" s="71" t="s">
        <v>675</v>
      </c>
      <c r="H459" s="71" t="s">
        <v>2230</v>
      </c>
      <c r="I459" s="71" t="s">
        <v>2231</v>
      </c>
      <c r="J459" s="71"/>
      <c r="K459" s="69"/>
      <c r="L459" s="69"/>
      <c r="M459" s="69"/>
      <c r="N459" s="69"/>
      <c r="O459" s="71" t="s">
        <v>541</v>
      </c>
      <c r="P459" s="69">
        <v>1</v>
      </c>
      <c r="Q459" s="68">
        <f>MAX(0,$V459-$P459-$S459)</f>
        <v>0</v>
      </c>
      <c r="R459" s="68"/>
      <c r="S459" s="68"/>
      <c r="T459" s="73">
        <v>0.3</v>
      </c>
      <c r="U459" s="73">
        <f>IF(AND($Q459&gt;0,ISNUMBER($T459)),$Q459*$T459,0)</f>
        <v>0</v>
      </c>
      <c r="V459" s="68">
        <f>SUM(W459:AB459)</f>
        <v>1</v>
      </c>
      <c r="W459" s="68">
        <v>1</v>
      </c>
      <c r="X459" s="68"/>
      <c r="Y459" s="68"/>
      <c r="Z459" s="68"/>
      <c r="AA459" s="68"/>
      <c r="AB459" s="68"/>
      <c r="AC459" s="68"/>
      <c r="AD459" s="75">
        <f>SUM(AE459:AJ459)</f>
        <v>1</v>
      </c>
      <c r="AE459" s="76">
        <v>1</v>
      </c>
      <c r="AF459" s="76"/>
      <c r="AG459" s="76"/>
      <c r="AH459" s="76"/>
      <c r="AI459" s="76"/>
      <c r="AJ459" s="76"/>
      <c r="AK459" s="76"/>
      <c r="AL459" s="77">
        <f>IF((P459-SUM(AE459:AK459))&lt;0,0,P459-SUM(AE459:AK459))</f>
        <v>0</v>
      </c>
      <c r="AM459" s="77">
        <f>SUM(AO459:AT459)</f>
        <v>0</v>
      </c>
      <c r="AN459" s="72"/>
      <c r="AO459" s="72"/>
      <c r="AP459" s="72"/>
      <c r="AQ459" s="72"/>
      <c r="AR459" s="72"/>
      <c r="AS459" s="72"/>
      <c r="AT459" s="72"/>
      <c r="AU459" s="72"/>
      <c r="AV459" s="70"/>
      <c r="AW459" s="72"/>
      <c r="AX459" s="72"/>
    </row>
    <row r="460" spans="1:50" ht="15" customHeight="1">
      <c r="A460" s="67" t="s">
        <v>2232</v>
      </c>
      <c r="B460" s="68" t="s">
        <v>1971</v>
      </c>
      <c r="C460" s="69" t="s">
        <v>45</v>
      </c>
      <c r="D460" s="70" t="s">
        <v>64</v>
      </c>
      <c r="E460" s="70" t="s">
        <v>2233</v>
      </c>
      <c r="F460" s="68">
        <v>4</v>
      </c>
      <c r="G460" s="71" t="s">
        <v>433</v>
      </c>
      <c r="H460" s="71" t="s">
        <v>2234</v>
      </c>
      <c r="I460" s="71" t="s">
        <v>2235</v>
      </c>
      <c r="J460" s="71"/>
      <c r="K460" s="72"/>
      <c r="L460" s="72"/>
      <c r="M460" s="72"/>
      <c r="N460" s="72"/>
      <c r="O460" s="71" t="s">
        <v>1686</v>
      </c>
      <c r="P460" s="69">
        <v>1</v>
      </c>
      <c r="Q460" s="68">
        <f>MAX(0,$V460-$P460-$S460)</f>
        <v>0</v>
      </c>
      <c r="R460" s="68"/>
      <c r="S460" s="68"/>
      <c r="T460" s="73">
        <v>2.09</v>
      </c>
      <c r="U460" s="73">
        <f>IF(AND($Q460&gt;0,ISNUMBER($T460)),$Q460*$T460,0)</f>
        <v>0</v>
      </c>
      <c r="V460" s="68">
        <f>SUM(W460:AB460)</f>
        <v>0</v>
      </c>
      <c r="W460" s="68"/>
      <c r="X460" s="68"/>
      <c r="Y460" s="68"/>
      <c r="Z460" s="74"/>
      <c r="AA460" s="68"/>
      <c r="AB460" s="68"/>
      <c r="AC460" s="68"/>
      <c r="AD460" s="75">
        <f>SUM(AE460:AJ460)</f>
        <v>0</v>
      </c>
      <c r="AE460" s="76"/>
      <c r="AF460" s="76"/>
      <c r="AG460" s="76"/>
      <c r="AH460" s="76"/>
      <c r="AI460" s="76"/>
      <c r="AJ460" s="76"/>
      <c r="AK460" s="76"/>
      <c r="AL460" s="77">
        <f>IF((P460-SUM(AE460:AK460))&lt;0,0,P460-SUM(AE460:AK460))</f>
        <v>1</v>
      </c>
      <c r="AM460" s="77">
        <f>SUM(AO460:AT460)</f>
        <v>0</v>
      </c>
      <c r="AN460" s="72"/>
      <c r="AO460" s="72"/>
      <c r="AP460" s="72"/>
      <c r="AQ460" s="72"/>
      <c r="AR460" s="72"/>
      <c r="AS460" s="72"/>
      <c r="AT460" s="72"/>
      <c r="AU460" s="72"/>
      <c r="AV460" s="70"/>
      <c r="AW460" s="72"/>
      <c r="AX460" s="72"/>
    </row>
    <row r="461" spans="1:50" ht="15" customHeight="1">
      <c r="A461" s="98" t="s">
        <v>2518</v>
      </c>
      <c r="B461" s="100" t="s">
        <v>1831</v>
      </c>
      <c r="C461" s="101" t="s">
        <v>45</v>
      </c>
      <c r="D461" s="98" t="s">
        <v>64</v>
      </c>
      <c r="E461" s="98" t="s">
        <v>2519</v>
      </c>
      <c r="F461" s="100">
        <v>3</v>
      </c>
      <c r="G461" s="98" t="s">
        <v>1332</v>
      </c>
      <c r="H461" s="98" t="s">
        <v>2520</v>
      </c>
      <c r="I461" s="98"/>
      <c r="J461" s="98"/>
      <c r="K461" s="99"/>
      <c r="L461" s="99"/>
      <c r="M461" s="99"/>
      <c r="N461" s="99"/>
      <c r="O461" s="98" t="s">
        <v>48</v>
      </c>
      <c r="P461" s="101">
        <v>1</v>
      </c>
      <c r="Q461" s="68">
        <f>MAX(0,$V461-$P461-$S461)</f>
        <v>0</v>
      </c>
      <c r="R461" s="98"/>
      <c r="S461" s="98"/>
      <c r="T461" s="98">
        <v>0.23</v>
      </c>
      <c r="U461" s="98">
        <f>IF(AND($Q461&gt;0,ISNUMBER($T461)),$Q461*$T461,0)</f>
        <v>0</v>
      </c>
      <c r="V461" s="68">
        <f>SUM(W461:AB461)</f>
        <v>0</v>
      </c>
      <c r="W461" s="100"/>
      <c r="X461" s="100"/>
      <c r="Y461" s="100"/>
      <c r="Z461" s="100"/>
      <c r="AA461" s="100"/>
      <c r="AB461" s="100"/>
      <c r="AC461" s="68"/>
      <c r="AD461" s="75">
        <f>SUM(AE461:AJ461)</f>
        <v>0</v>
      </c>
      <c r="AE461" s="102"/>
      <c r="AF461" s="102"/>
      <c r="AG461" s="102"/>
      <c r="AH461" s="102"/>
      <c r="AI461" s="102"/>
      <c r="AJ461" s="102"/>
      <c r="AK461" s="102"/>
      <c r="AL461" s="77">
        <f>IF((P461-SUM(AE461:AK461))&lt;0,0,P461-SUM(AE461:AK461))</f>
        <v>1</v>
      </c>
      <c r="AM461" s="77">
        <f>SUM(AO461:AT461)</f>
        <v>0</v>
      </c>
      <c r="AN461" s="27"/>
      <c r="AO461" s="99"/>
      <c r="AP461" s="99"/>
      <c r="AQ461" s="99"/>
      <c r="AR461" s="99"/>
      <c r="AS461" s="99"/>
      <c r="AT461" s="99"/>
      <c r="AU461" s="99"/>
      <c r="AV461" s="98"/>
      <c r="AW461" s="99"/>
      <c r="AX461" s="99"/>
    </row>
    <row r="462" spans="1:50" ht="15" customHeight="1">
      <c r="A462" s="86" t="s">
        <v>1417</v>
      </c>
      <c r="B462" s="68" t="s">
        <v>1114</v>
      </c>
      <c r="C462" s="69" t="s">
        <v>45</v>
      </c>
      <c r="D462" s="70" t="s">
        <v>47</v>
      </c>
      <c r="E462" s="70"/>
      <c r="F462" s="68">
        <v>2</v>
      </c>
      <c r="G462" s="71" t="s">
        <v>49</v>
      </c>
      <c r="H462" s="71" t="s">
        <v>1418</v>
      </c>
      <c r="I462" s="71" t="s">
        <v>1419</v>
      </c>
      <c r="J462" s="71"/>
      <c r="K462" s="72"/>
      <c r="L462" s="72"/>
      <c r="M462" s="72"/>
      <c r="N462" s="72"/>
      <c r="O462" s="71" t="s">
        <v>576</v>
      </c>
      <c r="P462" s="69">
        <v>1</v>
      </c>
      <c r="Q462" s="68">
        <f>MAX(0,$V462-$P462-$S462)</f>
        <v>0</v>
      </c>
      <c r="R462" s="68"/>
      <c r="S462" s="68"/>
      <c r="T462" s="73">
        <v>0.21</v>
      </c>
      <c r="U462" s="73">
        <f>IF(AND($Q462&gt;0,ISNUMBER($T462)),$Q462*$T462,0)</f>
        <v>0</v>
      </c>
      <c r="V462" s="68">
        <f>SUM(W462:AB462)</f>
        <v>0</v>
      </c>
      <c r="W462" s="87"/>
      <c r="X462" s="68"/>
      <c r="Y462" s="68"/>
      <c r="Z462" s="68"/>
      <c r="AA462" s="68"/>
      <c r="AB462" s="68"/>
      <c r="AC462" s="68"/>
      <c r="AD462" s="75">
        <f>SUM(AE462:AJ462)</f>
        <v>0</v>
      </c>
      <c r="AE462" s="76"/>
      <c r="AF462" s="76"/>
      <c r="AG462" s="76"/>
      <c r="AH462" s="76"/>
      <c r="AI462" s="76"/>
      <c r="AJ462" s="76"/>
      <c r="AK462" s="76"/>
      <c r="AL462" s="77">
        <f>IF((P462-SUM(AE462:AK462))&lt;0,0,P462-SUM(AE462:AK462))</f>
        <v>1</v>
      </c>
      <c r="AM462" s="77">
        <f>SUM(AO462:AT462)</f>
        <v>0</v>
      </c>
      <c r="AN462" s="72"/>
      <c r="AO462" s="72"/>
      <c r="AP462" s="72"/>
      <c r="AQ462" s="72"/>
      <c r="AR462" s="72"/>
      <c r="AS462" s="72"/>
      <c r="AT462" s="72"/>
      <c r="AU462" s="72"/>
      <c r="AV462" s="70"/>
      <c r="AW462" s="72"/>
      <c r="AX462" s="72"/>
    </row>
    <row r="463" spans="1:50" ht="15" customHeight="1">
      <c r="A463" s="67" t="s">
        <v>255</v>
      </c>
      <c r="B463" s="68" t="s">
        <v>46</v>
      </c>
      <c r="C463" s="69" t="s">
        <v>45</v>
      </c>
      <c r="D463" s="70" t="s">
        <v>47</v>
      </c>
      <c r="E463" s="70"/>
      <c r="F463" s="68">
        <v>4</v>
      </c>
      <c r="G463" s="71" t="s">
        <v>117</v>
      </c>
      <c r="H463" s="71" t="s">
        <v>257</v>
      </c>
      <c r="I463" s="71"/>
      <c r="J463" s="71"/>
      <c r="K463" s="72"/>
      <c r="L463" s="72"/>
      <c r="M463" s="72"/>
      <c r="N463" s="72"/>
      <c r="O463" s="71" t="s">
        <v>256</v>
      </c>
      <c r="P463" s="69">
        <v>1</v>
      </c>
      <c r="Q463" s="68">
        <f>MAX(0,$V463-$P463-$S463)</f>
        <v>0</v>
      </c>
      <c r="R463" s="68"/>
      <c r="S463" s="68"/>
      <c r="T463" s="73">
        <v>0.28000000000000003</v>
      </c>
      <c r="U463" s="73">
        <f>IF(AND($Q463&gt;0,ISNUMBER($T463)),$Q463*$T463,0)</f>
        <v>0</v>
      </c>
      <c r="V463" s="68">
        <f>SUM(W463:AB463)</f>
        <v>0</v>
      </c>
      <c r="W463" s="68"/>
      <c r="X463" s="68"/>
      <c r="Y463" s="68"/>
      <c r="Z463" s="74"/>
      <c r="AA463" s="68"/>
      <c r="AB463" s="68"/>
      <c r="AC463" s="68"/>
      <c r="AD463" s="75">
        <f>SUM(AE463:AJ463)</f>
        <v>0</v>
      </c>
      <c r="AE463" s="76"/>
      <c r="AF463" s="76"/>
      <c r="AG463" s="76"/>
      <c r="AH463" s="76"/>
      <c r="AI463" s="76"/>
      <c r="AJ463" s="76"/>
      <c r="AK463" s="76"/>
      <c r="AL463" s="77">
        <f>IF((P463-SUM(AE463:AK463))&lt;0,0,P463-SUM(AE463:AK463))</f>
        <v>1</v>
      </c>
      <c r="AM463" s="77">
        <f>SUM(AO463:AT463)</f>
        <v>0</v>
      </c>
      <c r="AN463" s="72"/>
      <c r="AO463" s="72"/>
      <c r="AP463" s="72"/>
      <c r="AQ463" s="72"/>
      <c r="AR463" s="72"/>
      <c r="AS463" s="72"/>
      <c r="AT463" s="72"/>
      <c r="AU463" s="72"/>
      <c r="AV463" s="70"/>
      <c r="AW463" s="72"/>
      <c r="AX463" s="72"/>
    </row>
    <row r="464" spans="1:50" ht="15" customHeight="1">
      <c r="A464" s="70" t="s">
        <v>1423</v>
      </c>
      <c r="B464" s="68" t="s">
        <v>1114</v>
      </c>
      <c r="C464" s="69" t="s">
        <v>45</v>
      </c>
      <c r="D464" s="70" t="s">
        <v>175</v>
      </c>
      <c r="E464" s="70" t="s">
        <v>563</v>
      </c>
      <c r="F464" s="68">
        <v>2</v>
      </c>
      <c r="G464" s="71" t="s">
        <v>54</v>
      </c>
      <c r="H464" s="71" t="s">
        <v>1424</v>
      </c>
      <c r="I464" s="71" t="s">
        <v>1425</v>
      </c>
      <c r="J464" s="71"/>
      <c r="K464" s="72"/>
      <c r="L464" s="72">
        <v>1</v>
      </c>
      <c r="M464" s="72"/>
      <c r="N464" s="72"/>
      <c r="O464" s="71" t="s">
        <v>1044</v>
      </c>
      <c r="P464" s="69">
        <v>1</v>
      </c>
      <c r="Q464" s="68">
        <f>MAX(0,$V464-$P464-$S464)</f>
        <v>0</v>
      </c>
      <c r="R464" s="68"/>
      <c r="S464" s="68"/>
      <c r="T464" s="73">
        <v>0.19</v>
      </c>
      <c r="U464" s="73">
        <f>IF(AND($Q464&gt;0,ISNUMBER($T464)),$Q464*$T464,0)</f>
        <v>0</v>
      </c>
      <c r="V464" s="68">
        <f>SUM(W464:AB464)</f>
        <v>0</v>
      </c>
      <c r="W464" s="68"/>
      <c r="X464" s="68"/>
      <c r="Y464" s="68"/>
      <c r="Z464" s="68"/>
      <c r="AA464" s="68"/>
      <c r="AB464" s="68"/>
      <c r="AC464" s="68"/>
      <c r="AD464" s="75">
        <f>SUM(AE464:AJ464)</f>
        <v>0</v>
      </c>
      <c r="AE464" s="76"/>
      <c r="AF464" s="76"/>
      <c r="AG464" s="76"/>
      <c r="AH464" s="76"/>
      <c r="AI464" s="76"/>
      <c r="AJ464" s="76"/>
      <c r="AK464" s="76"/>
      <c r="AL464" s="77">
        <f>IF((P464-SUM(AE464:AK464))&lt;0,0,P464-SUM(AE464:AK464))</f>
        <v>1</v>
      </c>
      <c r="AM464" s="77">
        <f>SUM(AO464:AT464)</f>
        <v>0</v>
      </c>
      <c r="AN464" s="129"/>
      <c r="AO464" s="72"/>
      <c r="AP464" s="72"/>
      <c r="AQ464" s="72"/>
      <c r="AR464" s="72"/>
      <c r="AS464" s="129"/>
      <c r="AT464" s="72"/>
      <c r="AU464" s="129"/>
      <c r="AV464" s="70"/>
      <c r="AW464" s="72"/>
      <c r="AX464" s="72"/>
    </row>
    <row r="465" spans="1:50" ht="15" customHeight="1">
      <c r="A465" s="70" t="s">
        <v>1060</v>
      </c>
      <c r="B465" s="68" t="s">
        <v>919</v>
      </c>
      <c r="C465" s="69" t="s">
        <v>45</v>
      </c>
      <c r="D465" s="70" t="s">
        <v>627</v>
      </c>
      <c r="E465" s="70"/>
      <c r="F465" s="68">
        <v>0</v>
      </c>
      <c r="G465" s="71" t="s">
        <v>627</v>
      </c>
      <c r="H465" s="71" t="s">
        <v>1061</v>
      </c>
      <c r="I465" s="71" t="s">
        <v>939</v>
      </c>
      <c r="J465" s="71"/>
      <c r="K465" s="72"/>
      <c r="L465" s="72"/>
      <c r="M465" s="72"/>
      <c r="N465" s="72"/>
      <c r="O465" s="71" t="s">
        <v>740</v>
      </c>
      <c r="P465" s="69">
        <v>1</v>
      </c>
      <c r="Q465" s="68">
        <f>MAX(0,$V465-$P465-$S465)</f>
        <v>0</v>
      </c>
      <c r="R465" s="68"/>
      <c r="S465" s="68"/>
      <c r="T465" s="73">
        <v>0.12</v>
      </c>
      <c r="U465" s="73">
        <f>IF(AND($Q465&gt;0,ISNUMBER($T465)),$Q465*$T465,0)</f>
        <v>0</v>
      </c>
      <c r="V465" s="68">
        <f>SUM(W465:AB465)</f>
        <v>0</v>
      </c>
      <c r="W465" s="68"/>
      <c r="X465" s="68"/>
      <c r="Y465" s="68"/>
      <c r="Z465" s="68"/>
      <c r="AA465" s="68"/>
      <c r="AB465" s="68"/>
      <c r="AC465" s="68"/>
      <c r="AD465" s="75">
        <f>SUM(AE465:AJ465)</f>
        <v>0</v>
      </c>
      <c r="AE465" s="76"/>
      <c r="AF465" s="76"/>
      <c r="AG465" s="76"/>
      <c r="AH465" s="76"/>
      <c r="AI465" s="76"/>
      <c r="AJ465" s="76"/>
      <c r="AK465" s="76"/>
      <c r="AL465" s="77">
        <f>IF((P465-SUM(AE465:AK465))&lt;0,0,P465-SUM(AE465:AK465))</f>
        <v>1</v>
      </c>
      <c r="AM465" s="77">
        <f>SUM(AO465:AT465)</f>
        <v>0</v>
      </c>
      <c r="AN465" s="129"/>
      <c r="AO465" s="72"/>
      <c r="AP465" s="129"/>
      <c r="AQ465" s="72"/>
      <c r="AR465" s="72"/>
      <c r="AS465" s="72"/>
      <c r="AT465" s="72"/>
      <c r="AU465" s="129"/>
      <c r="AV465" s="70"/>
      <c r="AW465" s="72"/>
      <c r="AX465" s="72"/>
    </row>
    <row r="466" spans="1:50" ht="15" customHeight="1">
      <c r="A466" s="70" t="s">
        <v>1062</v>
      </c>
      <c r="B466" s="68" t="s">
        <v>919</v>
      </c>
      <c r="C466" s="69" t="s">
        <v>45</v>
      </c>
      <c r="D466" s="70" t="s">
        <v>627</v>
      </c>
      <c r="E466" s="70"/>
      <c r="F466" s="68">
        <v>0</v>
      </c>
      <c r="G466" s="71" t="s">
        <v>627</v>
      </c>
      <c r="H466" s="71" t="s">
        <v>517</v>
      </c>
      <c r="I466" s="71" t="s">
        <v>1064</v>
      </c>
      <c r="J466" s="71"/>
      <c r="K466" s="69"/>
      <c r="L466" s="69"/>
      <c r="M466" s="69"/>
      <c r="N466" s="69"/>
      <c r="O466" s="71" t="s">
        <v>1063</v>
      </c>
      <c r="P466" s="69">
        <v>1</v>
      </c>
      <c r="Q466" s="68">
        <f>MAX(0,$V466-$P466-$S466)</f>
        <v>0</v>
      </c>
      <c r="R466" s="68"/>
      <c r="S466" s="68"/>
      <c r="T466" s="73">
        <v>0.3</v>
      </c>
      <c r="U466" s="73">
        <f>IF(AND($Q466&gt;0,ISNUMBER($T466)),$Q466*$T466,0)</f>
        <v>0</v>
      </c>
      <c r="V466" s="68">
        <f>SUM(W466:AB466)</f>
        <v>1</v>
      </c>
      <c r="W466" s="68">
        <v>1</v>
      </c>
      <c r="X466" s="68"/>
      <c r="Y466" s="68"/>
      <c r="Z466" s="68"/>
      <c r="AA466" s="68"/>
      <c r="AB466" s="68"/>
      <c r="AC466" s="68"/>
      <c r="AD466" s="75">
        <f>SUM(AE466:AJ466)</f>
        <v>1</v>
      </c>
      <c r="AE466" s="76">
        <v>1</v>
      </c>
      <c r="AF466" s="76"/>
      <c r="AG466" s="76"/>
      <c r="AH466" s="76"/>
      <c r="AI466" s="76"/>
      <c r="AJ466" s="76"/>
      <c r="AK466" s="76"/>
      <c r="AL466" s="77">
        <f>IF((P466-SUM(AE466:AK466))&lt;0,0,P466-SUM(AE466:AK466))</f>
        <v>0</v>
      </c>
      <c r="AM466" s="77">
        <f>SUM(AO466:AT466)</f>
        <v>0</v>
      </c>
      <c r="AN466" s="129"/>
      <c r="AO466" s="72"/>
      <c r="AP466" s="72"/>
      <c r="AQ466" s="72"/>
      <c r="AR466" s="72"/>
      <c r="AS466" s="129"/>
      <c r="AT466" s="129"/>
      <c r="AU466" s="129"/>
      <c r="AV466" s="70"/>
      <c r="AW466" s="72"/>
      <c r="AX466" s="72"/>
    </row>
    <row r="467" spans="1:50" ht="15" customHeight="1">
      <c r="A467" s="70" t="s">
        <v>1065</v>
      </c>
      <c r="B467" s="68" t="s">
        <v>919</v>
      </c>
      <c r="C467" s="69" t="s">
        <v>45</v>
      </c>
      <c r="D467" s="70" t="s">
        <v>627</v>
      </c>
      <c r="E467" s="70" t="s">
        <v>995</v>
      </c>
      <c r="F467" s="68">
        <v>0</v>
      </c>
      <c r="G467" s="71" t="s">
        <v>627</v>
      </c>
      <c r="H467" s="71" t="s">
        <v>958</v>
      </c>
      <c r="I467" s="71" t="s">
        <v>926</v>
      </c>
      <c r="J467" s="71"/>
      <c r="K467" s="69"/>
      <c r="L467" s="69"/>
      <c r="M467" s="69"/>
      <c r="N467" s="69"/>
      <c r="O467" s="71" t="s">
        <v>69</v>
      </c>
      <c r="P467" s="69">
        <v>1</v>
      </c>
      <c r="Q467" s="68">
        <f>MAX(0,$V467-$P467-$S467)</f>
        <v>0</v>
      </c>
      <c r="R467" s="68"/>
      <c r="S467" s="68"/>
      <c r="T467" s="73">
        <v>0.28000000000000003</v>
      </c>
      <c r="U467" s="73">
        <f>IF(AND($Q467&gt;0,ISNUMBER($T467)),$Q467*$T467,0)</f>
        <v>0</v>
      </c>
      <c r="V467" s="68">
        <f>SUM(W467:AB467)</f>
        <v>1</v>
      </c>
      <c r="W467" s="68">
        <v>1</v>
      </c>
      <c r="X467" s="68"/>
      <c r="Y467" s="68"/>
      <c r="Z467" s="68"/>
      <c r="AA467" s="68"/>
      <c r="AB467" s="68"/>
      <c r="AC467" s="68"/>
      <c r="AD467" s="75">
        <f>SUM(AE467:AJ467)</f>
        <v>1</v>
      </c>
      <c r="AE467" s="76">
        <v>1</v>
      </c>
      <c r="AF467" s="76"/>
      <c r="AG467" s="76"/>
      <c r="AH467" s="76"/>
      <c r="AI467" s="76"/>
      <c r="AJ467" s="76"/>
      <c r="AK467" s="76"/>
      <c r="AL467" s="77">
        <f>IF((P467-SUM(AE467:AK467))&lt;0,0,P467-SUM(AE467:AK467))</f>
        <v>0</v>
      </c>
      <c r="AM467" s="77">
        <f>SUM(AO467:AT467)</f>
        <v>0</v>
      </c>
      <c r="AN467" s="129"/>
      <c r="AO467" s="129"/>
      <c r="AP467" s="72"/>
      <c r="AQ467" s="72"/>
      <c r="AR467" s="72"/>
      <c r="AS467" s="72"/>
      <c r="AT467" s="72"/>
      <c r="AU467" s="129"/>
      <c r="AV467" s="70"/>
      <c r="AW467" s="72"/>
      <c r="AX467" s="72"/>
    </row>
    <row r="468" spans="1:50" ht="15" customHeight="1">
      <c r="A468" s="70" t="s">
        <v>2245</v>
      </c>
      <c r="B468" s="68" t="s">
        <v>1971</v>
      </c>
      <c r="C468" s="69" t="s">
        <v>45</v>
      </c>
      <c r="D468" s="70" t="s">
        <v>359</v>
      </c>
      <c r="E468" s="70" t="s">
        <v>418</v>
      </c>
      <c r="F468" s="68">
        <v>8</v>
      </c>
      <c r="G468" s="71" t="s">
        <v>285</v>
      </c>
      <c r="H468" s="71" t="s">
        <v>2247</v>
      </c>
      <c r="I468" s="71" t="s">
        <v>2248</v>
      </c>
      <c r="J468" s="71"/>
      <c r="K468" s="72"/>
      <c r="L468" s="72"/>
      <c r="M468" s="72"/>
      <c r="N468" s="72"/>
      <c r="O468" s="71" t="s">
        <v>2246</v>
      </c>
      <c r="P468" s="69">
        <v>1</v>
      </c>
      <c r="Q468" s="68">
        <f>MAX(0,$V468-$P468-$S468)</f>
        <v>0</v>
      </c>
      <c r="R468" s="68"/>
      <c r="S468" s="68"/>
      <c r="T468" s="73">
        <v>0.73</v>
      </c>
      <c r="U468" s="73">
        <f>IF(AND($Q468&gt;0,ISNUMBER($T468)),$Q468*$T468,0)</f>
        <v>0</v>
      </c>
      <c r="V468" s="68">
        <f>SUM(W468:AB468)</f>
        <v>0</v>
      </c>
      <c r="W468" s="68"/>
      <c r="X468" s="68"/>
      <c r="Y468" s="68"/>
      <c r="Z468" s="68"/>
      <c r="AA468" s="68"/>
      <c r="AB468" s="68"/>
      <c r="AC468" s="68"/>
      <c r="AD468" s="75">
        <f>SUM(AE468:AJ468)</f>
        <v>0</v>
      </c>
      <c r="AE468" s="76"/>
      <c r="AF468" s="76"/>
      <c r="AG468" s="76"/>
      <c r="AH468" s="76"/>
      <c r="AI468" s="76"/>
      <c r="AJ468" s="76"/>
      <c r="AK468" s="76"/>
      <c r="AL468" s="77">
        <f>IF((P468-SUM(AE468:AK468))&lt;0,0,P468-SUM(AE468:AK468))</f>
        <v>1</v>
      </c>
      <c r="AM468" s="77">
        <f>SUM(AO468:AT468)</f>
        <v>0</v>
      </c>
      <c r="AN468" s="85"/>
      <c r="AO468" s="72"/>
      <c r="AP468" s="72"/>
      <c r="AQ468" s="72"/>
      <c r="AR468" s="72"/>
      <c r="AS468" s="72"/>
      <c r="AT468" s="129"/>
      <c r="AU468" s="129"/>
      <c r="AV468" s="70"/>
      <c r="AW468" s="72"/>
      <c r="AX468" s="72"/>
    </row>
    <row r="469" spans="1:50" ht="15" customHeight="1">
      <c r="A469" s="70" t="s">
        <v>1066</v>
      </c>
      <c r="B469" s="68" t="s">
        <v>919</v>
      </c>
      <c r="C469" s="69" t="s">
        <v>45</v>
      </c>
      <c r="D469" s="70" t="s">
        <v>627</v>
      </c>
      <c r="E469" s="70"/>
      <c r="F469" s="68">
        <v>0</v>
      </c>
      <c r="G469" s="71" t="s">
        <v>627</v>
      </c>
      <c r="H469" s="71" t="s">
        <v>1067</v>
      </c>
      <c r="I469" s="71" t="s">
        <v>926</v>
      </c>
      <c r="J469" s="71"/>
      <c r="K469" s="72"/>
      <c r="L469" s="72"/>
      <c r="M469" s="72"/>
      <c r="N469" s="72"/>
      <c r="O469" s="71" t="s">
        <v>740</v>
      </c>
      <c r="P469" s="69">
        <v>1</v>
      </c>
      <c r="Q469" s="68">
        <f>MAX(0,$V469-$P469-$S469)</f>
        <v>0</v>
      </c>
      <c r="R469" s="68" t="s">
        <v>57</v>
      </c>
      <c r="S469" s="68">
        <v>1</v>
      </c>
      <c r="T469" s="73">
        <v>0.39</v>
      </c>
      <c r="U469" s="73">
        <f>IF(AND($Q469&gt;0,ISNUMBER($T469)),$Q469*$T469,0)</f>
        <v>0</v>
      </c>
      <c r="V469" s="68">
        <f>SUM(W469:AB469)</f>
        <v>1</v>
      </c>
      <c r="W469" s="68"/>
      <c r="X469" s="68"/>
      <c r="Y469" s="68"/>
      <c r="Z469" s="68">
        <v>1</v>
      </c>
      <c r="AA469" s="68"/>
      <c r="AB469" s="68"/>
      <c r="AC469" s="68"/>
      <c r="AD469" s="75">
        <f>SUM(AE469:AJ469)</f>
        <v>1</v>
      </c>
      <c r="AE469" s="76"/>
      <c r="AF469" s="76"/>
      <c r="AG469" s="76"/>
      <c r="AH469" s="76">
        <v>1</v>
      </c>
      <c r="AI469" s="76"/>
      <c r="AJ469" s="76"/>
      <c r="AK469" s="76"/>
      <c r="AL469" s="77">
        <f>IF((P469-SUM(AE469:AK469))&lt;0,0,P469-SUM(AE469:AK469))</f>
        <v>0</v>
      </c>
      <c r="AM469" s="77">
        <f>SUM(AO469:AT469)</f>
        <v>0</v>
      </c>
      <c r="AN469" s="129"/>
      <c r="AO469" s="72"/>
      <c r="AP469" s="129"/>
      <c r="AQ469" s="72"/>
      <c r="AR469" s="72"/>
      <c r="AS469" s="72"/>
      <c r="AT469" s="72"/>
      <c r="AU469" s="129"/>
      <c r="AV469" s="70"/>
      <c r="AW469" s="72"/>
      <c r="AX469" s="72"/>
    </row>
    <row r="470" spans="1:50" ht="15" customHeight="1">
      <c r="A470" s="86" t="s">
        <v>1430</v>
      </c>
      <c r="B470" s="68" t="s">
        <v>1114</v>
      </c>
      <c r="C470" s="69" t="s">
        <v>45</v>
      </c>
      <c r="D470" s="70" t="s">
        <v>123</v>
      </c>
      <c r="E470" s="70" t="s">
        <v>1206</v>
      </c>
      <c r="F470" s="68">
        <v>5</v>
      </c>
      <c r="G470" s="71" t="s">
        <v>1421</v>
      </c>
      <c r="H470" s="71" t="s">
        <v>1431</v>
      </c>
      <c r="I470" s="71" t="s">
        <v>1432</v>
      </c>
      <c r="J470" s="71" t="s">
        <v>1433</v>
      </c>
      <c r="K470" s="72"/>
      <c r="L470" s="72"/>
      <c r="M470" s="72"/>
      <c r="N470" s="72"/>
      <c r="O470" s="71" t="s">
        <v>1063</v>
      </c>
      <c r="P470" s="69">
        <v>1</v>
      </c>
      <c r="Q470" s="68">
        <f>MAX(0,$V470-$P470-$S470)</f>
        <v>0</v>
      </c>
      <c r="R470" s="68"/>
      <c r="S470" s="68"/>
      <c r="T470" s="73">
        <v>6.74</v>
      </c>
      <c r="U470" s="73">
        <f>IF(AND($Q470&gt;0,ISNUMBER($T470)),$Q470*$T470,0)</f>
        <v>0</v>
      </c>
      <c r="V470" s="68">
        <f>SUM(W470:AB470)</f>
        <v>1</v>
      </c>
      <c r="W470" s="68"/>
      <c r="X470" s="68"/>
      <c r="Y470" s="68"/>
      <c r="Z470" s="87">
        <v>1</v>
      </c>
      <c r="AA470" s="68"/>
      <c r="AB470" s="68"/>
      <c r="AC470" s="68"/>
      <c r="AD470" s="75">
        <f>SUM(AE470:AJ470)</f>
        <v>1</v>
      </c>
      <c r="AE470" s="76"/>
      <c r="AF470" s="76"/>
      <c r="AG470" s="76"/>
      <c r="AH470" s="76">
        <v>1</v>
      </c>
      <c r="AI470" s="76"/>
      <c r="AJ470" s="76"/>
      <c r="AK470" s="76"/>
      <c r="AL470" s="77">
        <f>IF((P470-SUM(AE470:AK470))&lt;0,0,P470-SUM(AE470:AK470))</f>
        <v>0</v>
      </c>
      <c r="AM470" s="77">
        <f>SUM(AO470:AT470)</f>
        <v>0</v>
      </c>
      <c r="AN470" s="129"/>
      <c r="AO470" s="72"/>
      <c r="AP470" s="72"/>
      <c r="AQ470" s="72"/>
      <c r="AR470" s="72"/>
      <c r="AS470" s="72"/>
      <c r="AT470" s="72"/>
      <c r="AU470" s="72"/>
      <c r="AV470" s="70"/>
      <c r="AW470" s="72"/>
      <c r="AX470" s="72"/>
    </row>
    <row r="471" spans="1:50" ht="15" customHeight="1">
      <c r="A471" s="70" t="s">
        <v>834</v>
      </c>
      <c r="B471" s="68" t="s">
        <v>636</v>
      </c>
      <c r="C471" s="69" t="s">
        <v>45</v>
      </c>
      <c r="D471" s="70" t="s">
        <v>64</v>
      </c>
      <c r="E471" s="70" t="s">
        <v>835</v>
      </c>
      <c r="F471" s="68">
        <v>2</v>
      </c>
      <c r="G471" s="71" t="s">
        <v>165</v>
      </c>
      <c r="H471" s="71" t="s">
        <v>836</v>
      </c>
      <c r="I471" s="71"/>
      <c r="J471" s="71"/>
      <c r="K471" s="69"/>
      <c r="L471" s="69"/>
      <c r="M471" s="69"/>
      <c r="N471" s="69"/>
      <c r="O471" s="71" t="s">
        <v>374</v>
      </c>
      <c r="P471" s="69">
        <v>1</v>
      </c>
      <c r="Q471" s="68">
        <f>MAX(0,$V471-$P471-$S471)</f>
        <v>0</v>
      </c>
      <c r="R471" s="68"/>
      <c r="S471" s="68"/>
      <c r="T471" s="73">
        <v>0.23</v>
      </c>
      <c r="U471" s="73">
        <f>IF(AND($Q471&gt;0,ISNUMBER($T471)),$Q471*$T471,0)</f>
        <v>0</v>
      </c>
      <c r="V471" s="68">
        <f>SUM(W471:AB471)</f>
        <v>1</v>
      </c>
      <c r="W471" s="68"/>
      <c r="X471" s="68">
        <v>1</v>
      </c>
      <c r="Y471" s="68"/>
      <c r="Z471" s="68"/>
      <c r="AA471" s="68"/>
      <c r="AB471" s="68"/>
      <c r="AC471" s="68"/>
      <c r="AD471" s="75">
        <f>SUM(AE471:AJ471)</f>
        <v>1</v>
      </c>
      <c r="AE471" s="76"/>
      <c r="AF471" s="76">
        <v>1</v>
      </c>
      <c r="AG471" s="76"/>
      <c r="AH471" s="76"/>
      <c r="AI471" s="76"/>
      <c r="AJ471" s="76"/>
      <c r="AK471" s="76"/>
      <c r="AL471" s="77">
        <f>IF((P471-SUM(AE471:AK471))&lt;0,0,P471-SUM(AE471:AK471))</f>
        <v>0</v>
      </c>
      <c r="AM471" s="77">
        <f>SUM(AO471:AT471)</f>
        <v>0</v>
      </c>
      <c r="AN471" s="72"/>
      <c r="AO471" s="72"/>
      <c r="AP471" s="72"/>
      <c r="AQ471" s="72"/>
      <c r="AR471" s="72"/>
      <c r="AS471" s="72"/>
      <c r="AT471" s="72"/>
      <c r="AU471" s="72"/>
      <c r="AV471" s="70"/>
      <c r="AW471" s="72"/>
      <c r="AX471" s="72"/>
    </row>
    <row r="472" spans="1:50" ht="15" customHeight="1">
      <c r="A472" s="86" t="s">
        <v>1068</v>
      </c>
      <c r="B472" s="68" t="s">
        <v>919</v>
      </c>
      <c r="C472" s="69" t="s">
        <v>45</v>
      </c>
      <c r="D472" s="70" t="s">
        <v>627</v>
      </c>
      <c r="E472" s="70"/>
      <c r="F472" s="68">
        <v>0</v>
      </c>
      <c r="G472" s="71" t="s">
        <v>627</v>
      </c>
      <c r="H472" s="71" t="s">
        <v>964</v>
      </c>
      <c r="I472" s="71" t="s">
        <v>939</v>
      </c>
      <c r="J472" s="71"/>
      <c r="K472" s="72"/>
      <c r="L472" s="72"/>
      <c r="M472" s="72"/>
      <c r="N472" s="72"/>
      <c r="O472" s="71" t="s">
        <v>740</v>
      </c>
      <c r="P472" s="69">
        <v>1</v>
      </c>
      <c r="Q472" s="68">
        <f>MAX(0,$V472-$P472-$S472)</f>
        <v>0</v>
      </c>
      <c r="R472" s="68"/>
      <c r="S472" s="68"/>
      <c r="T472" s="73">
        <v>0.23</v>
      </c>
      <c r="U472" s="73">
        <f>IF(AND($Q472&gt;0,ISNUMBER($T472)),$Q472*$T472,0)</f>
        <v>0</v>
      </c>
      <c r="V472" s="68">
        <f>SUM(W472:AB472)</f>
        <v>1</v>
      </c>
      <c r="W472" s="68"/>
      <c r="X472" s="68"/>
      <c r="Y472" s="68"/>
      <c r="Z472" s="68"/>
      <c r="AA472" s="87">
        <v>1</v>
      </c>
      <c r="AB472" s="68"/>
      <c r="AC472" s="68"/>
      <c r="AD472" s="75">
        <f>SUM(AE472:AJ472)</f>
        <v>1</v>
      </c>
      <c r="AE472" s="76"/>
      <c r="AF472" s="76"/>
      <c r="AG472" s="76"/>
      <c r="AH472" s="76"/>
      <c r="AI472" s="76">
        <v>1</v>
      </c>
      <c r="AJ472" s="76"/>
      <c r="AK472" s="76"/>
      <c r="AL472" s="77">
        <f>IF((P472-SUM(AE472:AK472))&lt;0,0,P472-SUM(AE472:AK472))</f>
        <v>0</v>
      </c>
      <c r="AM472" s="77">
        <f>SUM(AO472:AT472)</f>
        <v>0</v>
      </c>
      <c r="AN472" s="129"/>
      <c r="AO472" s="129"/>
      <c r="AP472" s="72"/>
      <c r="AQ472" s="72"/>
      <c r="AR472" s="72"/>
      <c r="AS472" s="72"/>
      <c r="AT472" s="72"/>
      <c r="AU472" s="129"/>
      <c r="AV472" s="70"/>
      <c r="AW472" s="72"/>
      <c r="AX472" s="72"/>
    </row>
    <row r="473" spans="1:50" ht="15" customHeight="1">
      <c r="A473" s="70" t="s">
        <v>1069</v>
      </c>
      <c r="B473" s="68" t="s">
        <v>919</v>
      </c>
      <c r="C473" s="69" t="s">
        <v>45</v>
      </c>
      <c r="D473" s="70" t="s">
        <v>627</v>
      </c>
      <c r="E473" s="70"/>
      <c r="F473" s="68">
        <v>0</v>
      </c>
      <c r="G473" s="71" t="s">
        <v>627</v>
      </c>
      <c r="H473" s="71" t="s">
        <v>1070</v>
      </c>
      <c r="I473" s="71" t="s">
        <v>926</v>
      </c>
      <c r="J473" s="71"/>
      <c r="K473" s="72"/>
      <c r="L473" s="72"/>
      <c r="M473" s="72"/>
      <c r="N473" s="72"/>
      <c r="O473" s="71" t="s">
        <v>696</v>
      </c>
      <c r="P473" s="69">
        <v>1</v>
      </c>
      <c r="Q473" s="68">
        <f>MAX(0,$V473-$P473-$S473)</f>
        <v>0</v>
      </c>
      <c r="R473" s="68" t="s">
        <v>57</v>
      </c>
      <c r="S473" s="68">
        <v>1</v>
      </c>
      <c r="T473" s="73">
        <v>0.37</v>
      </c>
      <c r="U473" s="73">
        <f>IF(AND($Q473&gt;0,ISNUMBER($T473)),$Q473*$T473,0)</f>
        <v>0</v>
      </c>
      <c r="V473" s="68">
        <f>SUM(W473:AB473)</f>
        <v>1</v>
      </c>
      <c r="W473" s="68"/>
      <c r="X473" s="68">
        <v>1</v>
      </c>
      <c r="Y473" s="68"/>
      <c r="Z473" s="68"/>
      <c r="AA473" s="68"/>
      <c r="AB473" s="68"/>
      <c r="AC473" s="68"/>
      <c r="AD473" s="75">
        <f>SUM(AE473:AJ473)</f>
        <v>1</v>
      </c>
      <c r="AE473" s="76"/>
      <c r="AF473" s="76">
        <v>1</v>
      </c>
      <c r="AG473" s="76"/>
      <c r="AH473" s="76"/>
      <c r="AI473" s="76"/>
      <c r="AJ473" s="76"/>
      <c r="AK473" s="76"/>
      <c r="AL473" s="77">
        <f>IF((P473-SUM(AE473:AK473))&lt;0,0,P473-SUM(AE473:AK473))</f>
        <v>0</v>
      </c>
      <c r="AM473" s="77">
        <f>SUM(AO473:AT473)</f>
        <v>0</v>
      </c>
      <c r="AN473" s="72"/>
      <c r="AO473" s="72"/>
      <c r="AP473" s="72"/>
      <c r="AQ473" s="72"/>
      <c r="AR473" s="72"/>
      <c r="AS473" s="72"/>
      <c r="AT473" s="72"/>
      <c r="AU473" s="72"/>
      <c r="AV473" s="70"/>
      <c r="AW473" s="72"/>
      <c r="AX473" s="72"/>
    </row>
    <row r="474" spans="1:50" ht="15" customHeight="1">
      <c r="A474" s="70" t="s">
        <v>2249</v>
      </c>
      <c r="B474" s="68" t="s">
        <v>1971</v>
      </c>
      <c r="C474" s="69" t="s">
        <v>45</v>
      </c>
      <c r="D474" s="70" t="s">
        <v>47</v>
      </c>
      <c r="E474" s="70"/>
      <c r="F474" s="68">
        <v>3</v>
      </c>
      <c r="G474" s="71" t="s">
        <v>176</v>
      </c>
      <c r="H474" s="71" t="s">
        <v>2250</v>
      </c>
      <c r="I474" s="71"/>
      <c r="J474" s="71"/>
      <c r="K474" s="72"/>
      <c r="L474" s="72"/>
      <c r="M474" s="72"/>
      <c r="N474" s="72"/>
      <c r="O474" s="71" t="s">
        <v>576</v>
      </c>
      <c r="P474" s="69">
        <v>1</v>
      </c>
      <c r="Q474" s="68">
        <f>MAX(0,$V474-$P474-$S474)</f>
        <v>0</v>
      </c>
      <c r="R474" s="68"/>
      <c r="S474" s="68"/>
      <c r="T474" s="73">
        <v>0.26</v>
      </c>
      <c r="U474" s="73">
        <f>IF(AND($Q474&gt;0,ISNUMBER($T474)),$Q474*$T474,0)</f>
        <v>0</v>
      </c>
      <c r="V474" s="68">
        <f>SUM(W474:AB474)</f>
        <v>0</v>
      </c>
      <c r="W474" s="68"/>
      <c r="X474" s="68"/>
      <c r="Y474" s="68"/>
      <c r="Z474" s="68"/>
      <c r="AA474" s="68"/>
      <c r="AB474" s="68"/>
      <c r="AC474" s="68"/>
      <c r="AD474" s="75">
        <f>SUM(AE474:AJ474)</f>
        <v>1</v>
      </c>
      <c r="AE474" s="76"/>
      <c r="AF474" s="76"/>
      <c r="AG474" s="76"/>
      <c r="AH474" s="76"/>
      <c r="AI474" s="76">
        <v>1</v>
      </c>
      <c r="AJ474" s="76"/>
      <c r="AK474" s="76"/>
      <c r="AL474" s="77">
        <f>IF((P474-SUM(AE474:AK474))&lt;0,0,P474-SUM(AE474:AK474))</f>
        <v>0</v>
      </c>
      <c r="AM474" s="77">
        <f>SUM(AO474:AT474)</f>
        <v>1</v>
      </c>
      <c r="AN474" s="80" t="s">
        <v>105</v>
      </c>
      <c r="AO474" s="72"/>
      <c r="AP474" s="72"/>
      <c r="AQ474" s="72"/>
      <c r="AR474" s="72"/>
      <c r="AS474" s="79">
        <v>1</v>
      </c>
      <c r="AT474" s="72"/>
      <c r="AU474" s="31" t="s">
        <v>2251</v>
      </c>
      <c r="AV474" s="70"/>
      <c r="AW474" s="72"/>
      <c r="AX474" s="72"/>
    </row>
    <row r="475" spans="1:50" ht="15" customHeight="1">
      <c r="A475" s="70" t="s">
        <v>1771</v>
      </c>
      <c r="B475" s="68" t="s">
        <v>1499</v>
      </c>
      <c r="C475" s="69" t="s">
        <v>45</v>
      </c>
      <c r="D475" s="70" t="s">
        <v>47</v>
      </c>
      <c r="E475" s="70"/>
      <c r="F475" s="68">
        <v>3</v>
      </c>
      <c r="G475" s="71" t="s">
        <v>176</v>
      </c>
      <c r="H475" s="71" t="s">
        <v>1772</v>
      </c>
      <c r="I475" s="71" t="s">
        <v>1773</v>
      </c>
      <c r="J475" s="71"/>
      <c r="K475" s="69"/>
      <c r="L475" s="69"/>
      <c r="M475" s="69"/>
      <c r="N475" s="69"/>
      <c r="O475" s="71" t="s">
        <v>486</v>
      </c>
      <c r="P475" s="69">
        <v>1</v>
      </c>
      <c r="Q475" s="68">
        <f>MAX(0,$V475-$P475-$S475)</f>
        <v>0</v>
      </c>
      <c r="R475" s="68"/>
      <c r="S475" s="68"/>
      <c r="T475" s="73">
        <v>0.22</v>
      </c>
      <c r="U475" s="73">
        <f>IF(AND($Q475&gt;0,ISNUMBER($T475)),$Q475*$T475,0)</f>
        <v>0</v>
      </c>
      <c r="V475" s="68">
        <f>SUM(W475:AB475)</f>
        <v>1</v>
      </c>
      <c r="W475" s="68">
        <v>1</v>
      </c>
      <c r="X475" s="68"/>
      <c r="Y475" s="68"/>
      <c r="Z475" s="68"/>
      <c r="AA475" s="68"/>
      <c r="AB475" s="68"/>
      <c r="AC475" s="68"/>
      <c r="AD475" s="75">
        <f>SUM(AE475:AJ475)</f>
        <v>1</v>
      </c>
      <c r="AE475" s="76">
        <v>1</v>
      </c>
      <c r="AF475" s="76"/>
      <c r="AG475" s="76"/>
      <c r="AH475" s="76"/>
      <c r="AI475" s="76"/>
      <c r="AJ475" s="76"/>
      <c r="AK475" s="76"/>
      <c r="AL475" s="77">
        <f>IF((P475-SUM(AE475:AK475))&lt;0,0,P475-SUM(AE475:AK475))</f>
        <v>0</v>
      </c>
      <c r="AM475" s="77">
        <f>SUM(AO475:AT475)</f>
        <v>0</v>
      </c>
      <c r="AN475" s="72"/>
      <c r="AO475" s="72"/>
      <c r="AP475" s="72"/>
      <c r="AQ475" s="72"/>
      <c r="AR475" s="72"/>
      <c r="AS475" s="72"/>
      <c r="AT475" s="72"/>
      <c r="AU475" s="72"/>
      <c r="AV475" s="70"/>
      <c r="AW475" s="72"/>
      <c r="AX475" s="72"/>
    </row>
    <row r="476" spans="1:50" ht="15" customHeight="1">
      <c r="A476" s="86" t="s">
        <v>550</v>
      </c>
      <c r="B476" s="68" t="s">
        <v>345</v>
      </c>
      <c r="C476" s="69" t="s">
        <v>45</v>
      </c>
      <c r="D476" s="92" t="s">
        <v>175</v>
      </c>
      <c r="E476" s="92"/>
      <c r="F476" s="90">
        <v>2</v>
      </c>
      <c r="G476" s="92" t="s">
        <v>350</v>
      </c>
      <c r="H476" s="92" t="s">
        <v>552</v>
      </c>
      <c r="I476" s="92"/>
      <c r="J476" s="92"/>
      <c r="K476" s="72"/>
      <c r="L476" s="72"/>
      <c r="M476" s="72"/>
      <c r="N476" s="72"/>
      <c r="O476" s="92" t="s">
        <v>551</v>
      </c>
      <c r="P476" s="69">
        <v>1</v>
      </c>
      <c r="Q476" s="68">
        <f>MAX(0,$V476-$P476-$S476)</f>
        <v>0</v>
      </c>
      <c r="R476" s="92"/>
      <c r="S476" s="92"/>
      <c r="T476" s="92">
        <v>0.44</v>
      </c>
      <c r="U476" s="92">
        <f>IF(AND($Q476&gt;0,ISNUMBER($T476)),$Q476*$T476,0)</f>
        <v>0</v>
      </c>
      <c r="V476" s="68">
        <f>SUM(W476:AB476)</f>
        <v>1</v>
      </c>
      <c r="W476" s="90"/>
      <c r="X476" s="90"/>
      <c r="Y476" s="90"/>
      <c r="Z476" s="95">
        <v>1</v>
      </c>
      <c r="AA476" s="90"/>
      <c r="AB476" s="90"/>
      <c r="AC476" s="90"/>
      <c r="AD476" s="75">
        <f>SUM(AE476:AJ476)</f>
        <v>1</v>
      </c>
      <c r="AE476" s="76"/>
      <c r="AF476" s="76"/>
      <c r="AG476" s="76"/>
      <c r="AH476" s="76">
        <v>1</v>
      </c>
      <c r="AI476" s="76"/>
      <c r="AJ476" s="76"/>
      <c r="AK476" s="76"/>
      <c r="AL476" s="77">
        <f>IF((P476-SUM(AE476:AK476))&lt;0,0,P476-SUM(AE476:AK476))</f>
        <v>0</v>
      </c>
      <c r="AM476" s="77">
        <f>SUM(AO476:AT476)</f>
        <v>0</v>
      </c>
      <c r="AN476" s="85"/>
      <c r="AO476" s="72"/>
      <c r="AP476" s="72"/>
      <c r="AQ476" s="72"/>
      <c r="AR476" s="72"/>
      <c r="AS476" s="72"/>
      <c r="AT476" s="72"/>
      <c r="AU476" s="72"/>
      <c r="AV476" s="92"/>
      <c r="AW476" s="72"/>
      <c r="AX476" s="72"/>
    </row>
    <row r="477" spans="1:50" ht="15" customHeight="1">
      <c r="A477" s="70" t="s">
        <v>2252</v>
      </c>
      <c r="B477" s="68" t="s">
        <v>1971</v>
      </c>
      <c r="C477" s="69" t="s">
        <v>45</v>
      </c>
      <c r="D477" s="70" t="s">
        <v>64</v>
      </c>
      <c r="E477" s="70" t="s">
        <v>1480</v>
      </c>
      <c r="F477" s="68">
        <v>2</v>
      </c>
      <c r="G477" s="71" t="s">
        <v>499</v>
      </c>
      <c r="H477" s="71" t="s">
        <v>166</v>
      </c>
      <c r="I477" s="71" t="s">
        <v>2253</v>
      </c>
      <c r="J477" s="71"/>
      <c r="K477" s="69"/>
      <c r="L477" s="69"/>
      <c r="M477" s="69"/>
      <c r="N477" s="69"/>
      <c r="O477" s="71" t="s">
        <v>284</v>
      </c>
      <c r="P477" s="69">
        <v>1</v>
      </c>
      <c r="Q477" s="68">
        <f>MAX(0,$V477-$P477-$S477)</f>
        <v>0</v>
      </c>
      <c r="R477" s="68"/>
      <c r="S477" s="68"/>
      <c r="T477" s="73">
        <v>0.4</v>
      </c>
      <c r="U477" s="73">
        <f>IF(AND($Q477&gt;0,ISNUMBER($T477)),$Q477*$T477,0)</f>
        <v>0</v>
      </c>
      <c r="V477" s="68">
        <f>SUM(W477:AB477)</f>
        <v>1</v>
      </c>
      <c r="W477" s="68">
        <v>1</v>
      </c>
      <c r="X477" s="68"/>
      <c r="Y477" s="68"/>
      <c r="Z477" s="68"/>
      <c r="AA477" s="68"/>
      <c r="AB477" s="68"/>
      <c r="AC477" s="68"/>
      <c r="AD477" s="75">
        <f>SUM(AE477:AJ477)</f>
        <v>1</v>
      </c>
      <c r="AE477" s="76">
        <v>1</v>
      </c>
      <c r="AF477" s="76"/>
      <c r="AG477" s="76"/>
      <c r="AH477" s="76"/>
      <c r="AI477" s="76"/>
      <c r="AJ477" s="76"/>
      <c r="AK477" s="76"/>
      <c r="AL477" s="77">
        <f>IF((P477-SUM(AE477:AK477))&lt;0,0,P477-SUM(AE477:AK477))</f>
        <v>0</v>
      </c>
      <c r="AM477" s="77">
        <f>SUM(AO477:AT477)</f>
        <v>0</v>
      </c>
      <c r="AN477" s="129"/>
      <c r="AO477" s="129"/>
      <c r="AP477" s="72"/>
      <c r="AQ477" s="72"/>
      <c r="AR477" s="72"/>
      <c r="AS477" s="72"/>
      <c r="AT477" s="72"/>
      <c r="AU477" s="129"/>
      <c r="AV477" s="70"/>
      <c r="AW477" s="72"/>
      <c r="AX477" s="72"/>
    </row>
    <row r="478" spans="1:50" ht="15" customHeight="1">
      <c r="A478" s="70" t="s">
        <v>1437</v>
      </c>
      <c r="B478" s="68" t="s">
        <v>1114</v>
      </c>
      <c r="C478" s="69" t="s">
        <v>45</v>
      </c>
      <c r="D478" s="70" t="s">
        <v>64</v>
      </c>
      <c r="E478" s="70" t="s">
        <v>1438</v>
      </c>
      <c r="F478" s="68">
        <v>4</v>
      </c>
      <c r="G478" s="71" t="s">
        <v>165</v>
      </c>
      <c r="H478" s="71" t="s">
        <v>1095</v>
      </c>
      <c r="I478" s="71"/>
      <c r="J478" s="71"/>
      <c r="K478" s="72"/>
      <c r="L478" s="72"/>
      <c r="M478" s="72"/>
      <c r="N478" s="72"/>
      <c r="O478" s="71" t="s">
        <v>53</v>
      </c>
      <c r="P478" s="69">
        <v>1</v>
      </c>
      <c r="Q478" s="68">
        <f>MAX(0,$V478-$P478-$S478)</f>
        <v>0</v>
      </c>
      <c r="R478" s="68"/>
      <c r="S478" s="68"/>
      <c r="T478" s="73">
        <v>0.08</v>
      </c>
      <c r="U478" s="73">
        <f>IF(AND($Q478&gt;0,ISNUMBER($T478)),$Q478*$T478,0)</f>
        <v>0</v>
      </c>
      <c r="V478" s="68">
        <f>SUM(W478:AB478)</f>
        <v>0</v>
      </c>
      <c r="W478" s="68"/>
      <c r="X478" s="68"/>
      <c r="Y478" s="68"/>
      <c r="Z478" s="68"/>
      <c r="AA478" s="68"/>
      <c r="AB478" s="68"/>
      <c r="AC478" s="68"/>
      <c r="AD478" s="75">
        <f>SUM(AE478:AJ478)</f>
        <v>0</v>
      </c>
      <c r="AE478" s="76"/>
      <c r="AF478" s="76"/>
      <c r="AG478" s="76"/>
      <c r="AH478" s="76"/>
      <c r="AI478" s="76"/>
      <c r="AJ478" s="76"/>
      <c r="AK478" s="76"/>
      <c r="AL478" s="77">
        <f>IF((P478-SUM(AE478:AK478))&lt;0,0,P478-SUM(AE478:AK478))</f>
        <v>1</v>
      </c>
      <c r="AM478" s="77">
        <f>SUM(AO478:AT478)</f>
        <v>0</v>
      </c>
      <c r="AN478" s="85"/>
      <c r="AO478" s="72"/>
      <c r="AP478" s="72"/>
      <c r="AQ478" s="72"/>
      <c r="AR478" s="72"/>
      <c r="AS478" s="72"/>
      <c r="AT478" s="85"/>
      <c r="AU478" s="85"/>
      <c r="AV478" s="70"/>
      <c r="AW478" s="72"/>
      <c r="AX478" s="72"/>
    </row>
    <row r="479" spans="1:50" ht="15" customHeight="1">
      <c r="A479" s="111" t="s">
        <v>2254</v>
      </c>
      <c r="B479" s="110" t="s">
        <v>1971</v>
      </c>
      <c r="C479" s="69" t="s">
        <v>45</v>
      </c>
      <c r="D479" s="111" t="s">
        <v>64</v>
      </c>
      <c r="E479" s="111" t="s">
        <v>1444</v>
      </c>
      <c r="F479" s="130">
        <v>4</v>
      </c>
      <c r="G479" s="133" t="s">
        <v>296</v>
      </c>
      <c r="H479" s="133" t="s">
        <v>166</v>
      </c>
      <c r="I479" s="133" t="s">
        <v>2255</v>
      </c>
      <c r="J479" s="133" t="s">
        <v>2256</v>
      </c>
      <c r="K479" s="69"/>
      <c r="L479" s="69"/>
      <c r="M479" s="69"/>
      <c r="N479" s="69"/>
      <c r="O479" s="133" t="s">
        <v>69</v>
      </c>
      <c r="P479" s="69">
        <v>1</v>
      </c>
      <c r="Q479" s="68">
        <f>MAX(0,$V479-$P479-$S479)</f>
        <v>0</v>
      </c>
      <c r="R479" s="130"/>
      <c r="S479" s="130"/>
      <c r="T479" s="134">
        <v>0.56999999999999995</v>
      </c>
      <c r="U479" s="73">
        <f>IF(AND($Q479&gt;0,ISNUMBER($T479)),$Q479*$T479,0)</f>
        <v>0</v>
      </c>
      <c r="V479" s="68">
        <f>SUM(W479:AB479)</f>
        <v>1</v>
      </c>
      <c r="W479" s="130">
        <v>1</v>
      </c>
      <c r="X479" s="130"/>
      <c r="Y479" s="130"/>
      <c r="Z479" s="130"/>
      <c r="AA479" s="130"/>
      <c r="AB479" s="130"/>
      <c r="AC479" s="68"/>
      <c r="AD479" s="75">
        <f>SUM(AE479:AJ479)</f>
        <v>1</v>
      </c>
      <c r="AE479" s="76">
        <v>1</v>
      </c>
      <c r="AF479" s="76"/>
      <c r="AG479" s="76"/>
      <c r="AH479" s="76"/>
      <c r="AI479" s="76"/>
      <c r="AJ479" s="76"/>
      <c r="AK479" s="76"/>
      <c r="AL479" s="77">
        <f>IF((P479-SUM(AE479:AK479))&lt;0,0,P479-SUM(AE479:AK479))</f>
        <v>0</v>
      </c>
      <c r="AM479" s="77">
        <f>SUM(AO479:AT479)</f>
        <v>0</v>
      </c>
      <c r="AN479" s="72"/>
      <c r="AO479" s="72"/>
      <c r="AP479" s="72"/>
      <c r="AQ479" s="72"/>
      <c r="AR479" s="72"/>
      <c r="AS479" s="72"/>
      <c r="AT479" s="72"/>
      <c r="AU479" s="72"/>
      <c r="AV479" s="125"/>
      <c r="AW479" s="72"/>
      <c r="AX479" s="72"/>
    </row>
    <row r="480" spans="1:50" ht="15" customHeight="1">
      <c r="A480" s="111" t="s">
        <v>2257</v>
      </c>
      <c r="B480" s="110" t="s">
        <v>1971</v>
      </c>
      <c r="C480" s="69" t="s">
        <v>45</v>
      </c>
      <c r="D480" s="111" t="s">
        <v>72</v>
      </c>
      <c r="E480" s="115"/>
      <c r="F480" s="132">
        <v>4</v>
      </c>
      <c r="G480" s="129" t="s">
        <v>117</v>
      </c>
      <c r="H480" s="129" t="s">
        <v>2258</v>
      </c>
      <c r="I480" s="129" t="s">
        <v>2259</v>
      </c>
      <c r="J480" s="129"/>
      <c r="K480" s="72"/>
      <c r="L480" s="72"/>
      <c r="M480" s="72"/>
      <c r="N480" s="72"/>
      <c r="O480" s="129" t="s">
        <v>108</v>
      </c>
      <c r="P480" s="69">
        <v>1</v>
      </c>
      <c r="Q480" s="110">
        <f>MAX(0,$V480-$P480-$S480)</f>
        <v>0</v>
      </c>
      <c r="R480" s="129"/>
      <c r="S480" s="129"/>
      <c r="T480" s="129">
        <v>0.56999999999999995</v>
      </c>
      <c r="U480" s="115">
        <f>IF(AND($Q480&gt;0,ISNUMBER($T480)),$Q480*$T480,0)</f>
        <v>0</v>
      </c>
      <c r="V480" s="68">
        <f>SUM(W480:AB480)</f>
        <v>0</v>
      </c>
      <c r="W480" s="132"/>
      <c r="X480" s="132"/>
      <c r="Y480" s="132"/>
      <c r="Z480" s="132"/>
      <c r="AA480" s="132"/>
      <c r="AB480" s="132"/>
      <c r="AC480" s="90"/>
      <c r="AD480" s="75">
        <f>SUM(AE480:AJ480)</f>
        <v>0</v>
      </c>
      <c r="AE480" s="76"/>
      <c r="AF480" s="76"/>
      <c r="AG480" s="76"/>
      <c r="AH480" s="76"/>
      <c r="AI480" s="76"/>
      <c r="AJ480" s="76"/>
      <c r="AK480" s="76"/>
      <c r="AL480" s="77">
        <f>IF((P480-SUM(AE480:AK480))&lt;0,0,P480-SUM(AE480:AK480))</f>
        <v>1</v>
      </c>
      <c r="AM480" s="77">
        <f>SUM(AO480:AT480)</f>
        <v>0</v>
      </c>
      <c r="AN480" s="72"/>
      <c r="AO480" s="72"/>
      <c r="AP480" s="72"/>
      <c r="AQ480" s="72"/>
      <c r="AR480" s="72"/>
      <c r="AS480" s="72"/>
      <c r="AT480" s="72"/>
      <c r="AU480" s="72"/>
      <c r="AV480" s="129"/>
      <c r="AW480" s="72"/>
      <c r="AX480" s="72"/>
    </row>
    <row r="481" spans="1:50" ht="15" customHeight="1">
      <c r="A481" s="111" t="s">
        <v>1439</v>
      </c>
      <c r="B481" s="110" t="s">
        <v>1114</v>
      </c>
      <c r="C481" s="69" t="s">
        <v>45</v>
      </c>
      <c r="D481" s="111" t="s">
        <v>123</v>
      </c>
      <c r="E481" s="111" t="s">
        <v>1136</v>
      </c>
      <c r="F481" s="130">
        <v>5</v>
      </c>
      <c r="G481" s="133" t="s">
        <v>1145</v>
      </c>
      <c r="H481" s="133" t="s">
        <v>1440</v>
      </c>
      <c r="I481" s="133" t="s">
        <v>1441</v>
      </c>
      <c r="J481" s="133" t="s">
        <v>1442</v>
      </c>
      <c r="K481" s="72"/>
      <c r="L481" s="72"/>
      <c r="M481" s="72"/>
      <c r="N481" s="72"/>
      <c r="O481" s="133" t="s">
        <v>576</v>
      </c>
      <c r="P481" s="69">
        <v>1</v>
      </c>
      <c r="Q481" s="110">
        <f>MAX(0,$V481-$P481-$S481)</f>
        <v>0</v>
      </c>
      <c r="R481" s="130"/>
      <c r="S481" s="130"/>
      <c r="T481" s="134">
        <v>0.34</v>
      </c>
      <c r="U481" s="114">
        <f>IF(AND($Q481&gt;0,ISNUMBER($T481)),$Q481*$T481,0)</f>
        <v>0</v>
      </c>
      <c r="V481" s="68">
        <f>SUM(W481:AB481)</f>
        <v>1</v>
      </c>
      <c r="W481" s="130"/>
      <c r="X481" s="130"/>
      <c r="Y481" s="130"/>
      <c r="Z481" s="130"/>
      <c r="AA481" s="130">
        <v>1</v>
      </c>
      <c r="AB481" s="130"/>
      <c r="AC481" s="68"/>
      <c r="AD481" s="75">
        <f>SUM(AE481:AJ481)</f>
        <v>1</v>
      </c>
      <c r="AE481" s="76"/>
      <c r="AF481" s="76"/>
      <c r="AG481" s="76"/>
      <c r="AH481" s="76"/>
      <c r="AI481" s="76">
        <v>1</v>
      </c>
      <c r="AJ481" s="76"/>
      <c r="AK481" s="76"/>
      <c r="AL481" s="77">
        <f>IF((P481-SUM(AE481:AK481))&lt;0,0,P481-SUM(AE481:AK481))</f>
        <v>0</v>
      </c>
      <c r="AM481" s="77">
        <f>SUM(AO481:AT481)</f>
        <v>0</v>
      </c>
      <c r="AN481" s="72"/>
      <c r="AO481" s="72"/>
      <c r="AP481" s="72"/>
      <c r="AQ481" s="72"/>
      <c r="AR481" s="72"/>
      <c r="AS481" s="72"/>
      <c r="AT481" s="72"/>
      <c r="AU481" s="72"/>
      <c r="AV481" s="125"/>
      <c r="AW481" s="72"/>
      <c r="AX481" s="72"/>
    </row>
    <row r="482" spans="1:50" ht="15" customHeight="1">
      <c r="A482" s="111" t="s">
        <v>1443</v>
      </c>
      <c r="B482" s="110" t="s">
        <v>1114</v>
      </c>
      <c r="C482" s="69" t="s">
        <v>45</v>
      </c>
      <c r="D482" s="111" t="s">
        <v>123</v>
      </c>
      <c r="E482" s="111" t="s">
        <v>1444</v>
      </c>
      <c r="F482" s="130">
        <v>4</v>
      </c>
      <c r="G482" s="133" t="s">
        <v>499</v>
      </c>
      <c r="H482" s="133" t="s">
        <v>1446</v>
      </c>
      <c r="I482" s="133" t="s">
        <v>1447</v>
      </c>
      <c r="J482" s="133"/>
      <c r="K482" s="72"/>
      <c r="L482" s="72"/>
      <c r="M482" s="72"/>
      <c r="N482" s="72"/>
      <c r="O482" s="133" t="s">
        <v>1445</v>
      </c>
      <c r="P482" s="69">
        <v>1</v>
      </c>
      <c r="Q482" s="110">
        <f>MAX(0,$V482-$P482-$S482)</f>
        <v>0</v>
      </c>
      <c r="R482" s="130"/>
      <c r="S482" s="130"/>
      <c r="T482" s="134">
        <v>1.1599999999999999</v>
      </c>
      <c r="U482" s="114">
        <f>IF(AND($Q482&gt;0,ISNUMBER($T482)),$Q482*$T482,0)</f>
        <v>0</v>
      </c>
      <c r="V482" s="68">
        <f>SUM(W482:AB482)</f>
        <v>1</v>
      </c>
      <c r="W482" s="130"/>
      <c r="X482" s="130"/>
      <c r="Y482" s="130"/>
      <c r="Z482" s="130">
        <v>1</v>
      </c>
      <c r="AA482" s="130"/>
      <c r="AB482" s="130"/>
      <c r="AC482" s="68"/>
      <c r="AD482" s="75">
        <f>SUM(AE482:AJ482)</f>
        <v>1</v>
      </c>
      <c r="AE482" s="76"/>
      <c r="AF482" s="76"/>
      <c r="AG482" s="76"/>
      <c r="AH482" s="76">
        <v>1</v>
      </c>
      <c r="AI482" s="76"/>
      <c r="AJ482" s="76"/>
      <c r="AK482" s="76"/>
      <c r="AL482" s="77">
        <f>IF((P482-SUM(AE482:AK482))&lt;0,0,P482-SUM(AE482:AK482))</f>
        <v>0</v>
      </c>
      <c r="AM482" s="77">
        <f>SUM(AO482:AT482)</f>
        <v>0</v>
      </c>
      <c r="AN482" s="72"/>
      <c r="AO482" s="72"/>
      <c r="AP482" s="72"/>
      <c r="AQ482" s="72"/>
      <c r="AR482" s="72"/>
      <c r="AS482" s="72"/>
      <c r="AT482" s="72"/>
      <c r="AU482" s="72"/>
      <c r="AV482" s="125"/>
      <c r="AW482" s="72"/>
      <c r="AX482" s="72"/>
    </row>
    <row r="483" spans="1:50" ht="15" customHeight="1">
      <c r="A483" s="106" t="s">
        <v>837</v>
      </c>
      <c r="B483" s="110" t="s">
        <v>636</v>
      </c>
      <c r="C483" s="69" t="s">
        <v>45</v>
      </c>
      <c r="D483" s="111" t="s">
        <v>72</v>
      </c>
      <c r="E483" s="111"/>
      <c r="F483" s="130">
        <v>2</v>
      </c>
      <c r="G483" s="133" t="s">
        <v>499</v>
      </c>
      <c r="H483" s="133" t="s">
        <v>838</v>
      </c>
      <c r="I483" s="133" t="s">
        <v>839</v>
      </c>
      <c r="J483" s="133"/>
      <c r="K483" s="69"/>
      <c r="L483" s="69"/>
      <c r="M483" s="69"/>
      <c r="N483" s="69"/>
      <c r="O483" s="133" t="s">
        <v>78</v>
      </c>
      <c r="P483" s="69">
        <v>1</v>
      </c>
      <c r="Q483" s="110">
        <f>MAX(0,$V483-$P483-$S483)</f>
        <v>0</v>
      </c>
      <c r="R483" s="130"/>
      <c r="S483" s="130"/>
      <c r="T483" s="134">
        <v>0.19</v>
      </c>
      <c r="U483" s="114">
        <f>IF(AND($Q483&gt;0,ISNUMBER($T483)),$Q483*$T483,0)</f>
        <v>0</v>
      </c>
      <c r="V483" s="68">
        <f>SUM(W483:AB483)</f>
        <v>0</v>
      </c>
      <c r="W483" s="130"/>
      <c r="X483" s="137"/>
      <c r="Y483" s="130"/>
      <c r="Z483" s="130"/>
      <c r="AA483" s="130"/>
      <c r="AB483" s="130"/>
      <c r="AC483" s="68"/>
      <c r="AD483" s="75">
        <f>SUM(AE483:AJ483)</f>
        <v>1</v>
      </c>
      <c r="AE483" s="76"/>
      <c r="AF483" s="76">
        <v>1</v>
      </c>
      <c r="AG483" s="76"/>
      <c r="AH483" s="76"/>
      <c r="AI483" s="76"/>
      <c r="AJ483" s="76"/>
      <c r="AK483" s="76"/>
      <c r="AL483" s="77">
        <f>IF((P483-SUM(AE483:AK483))&lt;0,0,P483-SUM(AE483:AK483))</f>
        <v>0</v>
      </c>
      <c r="AM483" s="77">
        <f>SUM(AO483:AT483)</f>
        <v>1</v>
      </c>
      <c r="AN483" s="140" t="s">
        <v>105</v>
      </c>
      <c r="AO483" s="72"/>
      <c r="AP483" s="141">
        <v>1</v>
      </c>
      <c r="AQ483" s="129"/>
      <c r="AR483" s="129"/>
      <c r="AS483" s="72"/>
      <c r="AT483" s="72"/>
      <c r="AU483" s="125" t="s">
        <v>840</v>
      </c>
      <c r="AV483" s="125"/>
      <c r="AW483" s="72"/>
      <c r="AX483" s="72"/>
    </row>
    <row r="484" spans="1:50" ht="15" customHeight="1">
      <c r="A484" s="111" t="s">
        <v>553</v>
      </c>
      <c r="B484" s="110" t="s">
        <v>345</v>
      </c>
      <c r="C484" s="69" t="s">
        <v>45</v>
      </c>
      <c r="D484" s="111" t="s">
        <v>359</v>
      </c>
      <c r="E484" s="111" t="s">
        <v>554</v>
      </c>
      <c r="F484" s="130">
        <v>4</v>
      </c>
      <c r="G484" s="133" t="s">
        <v>555</v>
      </c>
      <c r="H484" s="133" t="s">
        <v>325</v>
      </c>
      <c r="I484" s="133" t="s">
        <v>556</v>
      </c>
      <c r="J484" s="133"/>
      <c r="K484" s="72"/>
      <c r="L484" s="72"/>
      <c r="M484" s="72"/>
      <c r="N484" s="72"/>
      <c r="O484" s="133" t="s">
        <v>69</v>
      </c>
      <c r="P484" s="69">
        <v>1</v>
      </c>
      <c r="Q484" s="110">
        <f>MAX(0,$V484-$P484-$S484)</f>
        <v>0</v>
      </c>
      <c r="R484" s="130"/>
      <c r="S484" s="130"/>
      <c r="T484" s="134">
        <v>0.35</v>
      </c>
      <c r="U484" s="114">
        <f>IF(AND($Q484&gt;0,ISNUMBER($T484)),$Q484*$T484,0)</f>
        <v>0</v>
      </c>
      <c r="V484" s="68">
        <f>SUM(W484:AB484)</f>
        <v>1</v>
      </c>
      <c r="W484" s="130"/>
      <c r="X484" s="130"/>
      <c r="Y484" s="130"/>
      <c r="Z484" s="130">
        <v>1</v>
      </c>
      <c r="AA484" s="130"/>
      <c r="AB484" s="130"/>
      <c r="AC484" s="68"/>
      <c r="AD484" s="75">
        <f>SUM(AE484:AJ484)</f>
        <v>1</v>
      </c>
      <c r="AE484" s="76"/>
      <c r="AF484" s="76"/>
      <c r="AG484" s="76"/>
      <c r="AH484" s="76">
        <v>1</v>
      </c>
      <c r="AI484" s="76"/>
      <c r="AJ484" s="76"/>
      <c r="AK484" s="76"/>
      <c r="AL484" s="77">
        <f>IF((P484-SUM(AE484:AK484))&lt;0,0,P484-SUM(AE484:AK484))</f>
        <v>0</v>
      </c>
      <c r="AM484" s="77">
        <f>SUM(AO484:AT484)</f>
        <v>0</v>
      </c>
      <c r="AN484" s="72"/>
      <c r="AO484" s="72"/>
      <c r="AP484" s="72"/>
      <c r="AQ484" s="72"/>
      <c r="AR484" s="72"/>
      <c r="AS484" s="72"/>
      <c r="AT484" s="72"/>
      <c r="AU484" s="72"/>
      <c r="AV484" s="125"/>
      <c r="AW484" s="72"/>
      <c r="AX484" s="72"/>
    </row>
    <row r="485" spans="1:50" ht="15" customHeight="1">
      <c r="A485" s="111" t="s">
        <v>1930</v>
      </c>
      <c r="B485" s="110" t="s">
        <v>1831</v>
      </c>
      <c r="C485" s="69" t="s">
        <v>45</v>
      </c>
      <c r="D485" s="111" t="s">
        <v>64</v>
      </c>
      <c r="E485" s="111" t="s">
        <v>637</v>
      </c>
      <c r="F485" s="130">
        <v>6</v>
      </c>
      <c r="G485" s="133" t="s">
        <v>176</v>
      </c>
      <c r="H485" s="133" t="s">
        <v>1931</v>
      </c>
      <c r="I485" s="133"/>
      <c r="J485" s="133"/>
      <c r="K485" s="69"/>
      <c r="L485" s="69"/>
      <c r="M485" s="69"/>
      <c r="N485" s="69"/>
      <c r="O485" s="133" t="s">
        <v>48</v>
      </c>
      <c r="P485" s="69">
        <v>1</v>
      </c>
      <c r="Q485" s="110">
        <f>MAX(0,$V485-$P485-$S485)</f>
        <v>0</v>
      </c>
      <c r="R485" s="130"/>
      <c r="S485" s="130"/>
      <c r="T485" s="134">
        <v>0.26</v>
      </c>
      <c r="U485" s="114">
        <f>IF(AND($Q485&gt;0,ISNUMBER($T485)),$Q485*$T485,0)</f>
        <v>0</v>
      </c>
      <c r="V485" s="68">
        <f>SUM(W485:AB485)</f>
        <v>1</v>
      </c>
      <c r="W485" s="130"/>
      <c r="X485" s="130">
        <v>1</v>
      </c>
      <c r="Y485" s="130"/>
      <c r="Z485" s="130"/>
      <c r="AA485" s="130"/>
      <c r="AB485" s="130"/>
      <c r="AC485" s="68"/>
      <c r="AD485" s="75">
        <f>SUM(AE485:AJ485)</f>
        <v>1</v>
      </c>
      <c r="AE485" s="76"/>
      <c r="AF485" s="76">
        <v>1</v>
      </c>
      <c r="AG485" s="76"/>
      <c r="AH485" s="76"/>
      <c r="AI485" s="76"/>
      <c r="AJ485" s="76"/>
      <c r="AK485" s="76"/>
      <c r="AL485" s="77">
        <f>IF((P485-SUM(AE485:AK485))&lt;0,0,P485-SUM(AE485:AK485))</f>
        <v>0</v>
      </c>
      <c r="AM485" s="77">
        <f>SUM(AO485:AT485)</f>
        <v>0</v>
      </c>
      <c r="AN485" s="72"/>
      <c r="AO485" s="72"/>
      <c r="AP485" s="72"/>
      <c r="AQ485" s="72"/>
      <c r="AR485" s="72"/>
      <c r="AS485" s="72"/>
      <c r="AT485" s="72"/>
      <c r="AU485" s="72"/>
      <c r="AV485" s="125"/>
      <c r="AW485" s="72"/>
      <c r="AX485" s="72"/>
    </row>
    <row r="486" spans="1:50" ht="15" customHeight="1">
      <c r="A486" s="111" t="s">
        <v>2264</v>
      </c>
      <c r="B486" s="110" t="s">
        <v>1971</v>
      </c>
      <c r="C486" s="69" t="s">
        <v>45</v>
      </c>
      <c r="D486" s="111" t="s">
        <v>64</v>
      </c>
      <c r="E486" s="111" t="s">
        <v>2163</v>
      </c>
      <c r="F486" s="130">
        <v>4</v>
      </c>
      <c r="G486" s="133" t="s">
        <v>165</v>
      </c>
      <c r="H486" s="133" t="s">
        <v>2265</v>
      </c>
      <c r="I486" s="133" t="s">
        <v>166</v>
      </c>
      <c r="J486" s="133"/>
      <c r="K486" s="72"/>
      <c r="L486" s="72"/>
      <c r="M486" s="72"/>
      <c r="N486" s="72"/>
      <c r="O486" s="133" t="s">
        <v>48</v>
      </c>
      <c r="P486" s="69">
        <v>1</v>
      </c>
      <c r="Q486" s="110">
        <f>MAX(0,$V486-$P486-$S486)</f>
        <v>0</v>
      </c>
      <c r="R486" s="130"/>
      <c r="S486" s="130"/>
      <c r="T486" s="134">
        <v>0.11</v>
      </c>
      <c r="U486" s="114">
        <f>IF(AND($Q486&gt;0,ISNUMBER($T486)),$Q486*$T486,0)</f>
        <v>0</v>
      </c>
      <c r="V486" s="68">
        <f>SUM(W486:AB486)</f>
        <v>0</v>
      </c>
      <c r="W486" s="130"/>
      <c r="X486" s="130"/>
      <c r="Y486" s="130"/>
      <c r="Z486" s="130"/>
      <c r="AA486" s="130"/>
      <c r="AB486" s="130"/>
      <c r="AC486" s="68"/>
      <c r="AD486" s="75">
        <f>SUM(AE486:AJ486)</f>
        <v>0</v>
      </c>
      <c r="AE486" s="76"/>
      <c r="AF486" s="76"/>
      <c r="AG486" s="76"/>
      <c r="AH486" s="76"/>
      <c r="AI486" s="76"/>
      <c r="AJ486" s="76"/>
      <c r="AK486" s="76"/>
      <c r="AL486" s="77">
        <f>IF((P486-SUM(AE486:AK486))&lt;0,0,P486-SUM(AE486:AK486))</f>
        <v>1</v>
      </c>
      <c r="AM486" s="77">
        <f>SUM(AO486:AT486)</f>
        <v>0</v>
      </c>
      <c r="AN486" s="129"/>
      <c r="AO486" s="72"/>
      <c r="AP486" s="72"/>
      <c r="AQ486" s="72"/>
      <c r="AR486" s="72"/>
      <c r="AS486" s="129"/>
      <c r="AT486" s="72"/>
      <c r="AU486" s="129"/>
      <c r="AV486" s="125"/>
      <c r="AW486" s="72"/>
      <c r="AX486" s="72"/>
    </row>
    <row r="487" spans="1:50" ht="15" customHeight="1">
      <c r="A487" s="111" t="s">
        <v>1932</v>
      </c>
      <c r="B487" s="110" t="s">
        <v>1831</v>
      </c>
      <c r="C487" s="69" t="s">
        <v>45</v>
      </c>
      <c r="D487" s="111" t="s">
        <v>64</v>
      </c>
      <c r="E487" s="111" t="s">
        <v>1916</v>
      </c>
      <c r="F487" s="130">
        <v>1</v>
      </c>
      <c r="G487" s="133" t="s">
        <v>616</v>
      </c>
      <c r="H487" s="133" t="s">
        <v>197</v>
      </c>
      <c r="I487" s="133" t="s">
        <v>1933</v>
      </c>
      <c r="J487" s="133"/>
      <c r="K487" s="72"/>
      <c r="L487" s="72"/>
      <c r="M487" s="72"/>
      <c r="N487" s="72"/>
      <c r="O487" s="133" t="s">
        <v>1645</v>
      </c>
      <c r="P487" s="69">
        <v>1</v>
      </c>
      <c r="Q487" s="110">
        <f>MAX(0,$V487-$P487-$S487)</f>
        <v>0</v>
      </c>
      <c r="R487" s="130"/>
      <c r="S487" s="130"/>
      <c r="T487" s="134">
        <v>0.23</v>
      </c>
      <c r="U487" s="114">
        <f>IF(AND($Q487&gt;0,ISNUMBER($T487)),$Q487*$T487,0)</f>
        <v>0</v>
      </c>
      <c r="V487" s="68">
        <f>SUM(W487:AB487)</f>
        <v>1</v>
      </c>
      <c r="W487" s="130"/>
      <c r="X487" s="130">
        <v>1</v>
      </c>
      <c r="Y487" s="130"/>
      <c r="Z487" s="130"/>
      <c r="AA487" s="130"/>
      <c r="AB487" s="130"/>
      <c r="AC487" s="68"/>
      <c r="AD487" s="75">
        <f>SUM(AE487:AJ487)</f>
        <v>1</v>
      </c>
      <c r="AE487" s="76"/>
      <c r="AF487" s="76">
        <v>1</v>
      </c>
      <c r="AG487" s="76"/>
      <c r="AH487" s="76"/>
      <c r="AI487" s="76"/>
      <c r="AJ487" s="76"/>
      <c r="AK487" s="76"/>
      <c r="AL487" s="77">
        <f>IF((P487-SUM(AE487:AK487))&lt;0,0,P487-SUM(AE487:AK487))</f>
        <v>0</v>
      </c>
      <c r="AM487" s="77">
        <f>SUM(AO487:AT487)</f>
        <v>0</v>
      </c>
      <c r="AN487" s="72"/>
      <c r="AO487" s="72"/>
      <c r="AP487" s="72"/>
      <c r="AQ487" s="72"/>
      <c r="AR487" s="72"/>
      <c r="AS487" s="72"/>
      <c r="AT487" s="72"/>
      <c r="AU487" s="72"/>
      <c r="AV487" s="125"/>
      <c r="AW487" s="72"/>
      <c r="AX487" s="72"/>
    </row>
    <row r="488" spans="1:50" ht="15" customHeight="1">
      <c r="A488" s="111" t="s">
        <v>1448</v>
      </c>
      <c r="B488" s="110" t="s">
        <v>1114</v>
      </c>
      <c r="C488" s="69" t="s">
        <v>45</v>
      </c>
      <c r="D488" s="111" t="s">
        <v>123</v>
      </c>
      <c r="E488" s="111" t="s">
        <v>1449</v>
      </c>
      <c r="F488" s="130">
        <v>4</v>
      </c>
      <c r="G488" s="133" t="s">
        <v>1450</v>
      </c>
      <c r="H488" s="133" t="s">
        <v>1451</v>
      </c>
      <c r="I488" s="133" t="s">
        <v>1295</v>
      </c>
      <c r="J488" s="133"/>
      <c r="K488" s="72"/>
      <c r="L488" s="72"/>
      <c r="M488" s="72"/>
      <c r="N488" s="72"/>
      <c r="O488" s="133" t="s">
        <v>928</v>
      </c>
      <c r="P488" s="69">
        <v>1</v>
      </c>
      <c r="Q488" s="110">
        <f>MAX(0,$V488-$P488-$S488)</f>
        <v>0</v>
      </c>
      <c r="R488" s="130"/>
      <c r="S488" s="130"/>
      <c r="T488" s="134">
        <v>0.28000000000000003</v>
      </c>
      <c r="U488" s="114">
        <f>IF(AND($Q488&gt;0,ISNUMBER($T488)),$Q488*$T488,0)</f>
        <v>0</v>
      </c>
      <c r="V488" s="68">
        <f>SUM(W488:AB488)</f>
        <v>1</v>
      </c>
      <c r="W488" s="130"/>
      <c r="X488" s="130"/>
      <c r="Y488" s="130"/>
      <c r="Z488" s="130">
        <v>1</v>
      </c>
      <c r="AA488" s="130"/>
      <c r="AB488" s="130"/>
      <c r="AC488" s="68"/>
      <c r="AD488" s="75">
        <f>SUM(AE488:AJ488)</f>
        <v>1</v>
      </c>
      <c r="AE488" s="76"/>
      <c r="AF488" s="76"/>
      <c r="AG488" s="76"/>
      <c r="AH488" s="76">
        <v>1</v>
      </c>
      <c r="AI488" s="76"/>
      <c r="AJ488" s="76"/>
      <c r="AK488" s="76"/>
      <c r="AL488" s="77">
        <f>IF((P488-SUM(AE488:AK488))&lt;0,0,P488-SUM(AE488:AK488))</f>
        <v>0</v>
      </c>
      <c r="AM488" s="77">
        <f>SUM(AO488:AT488)</f>
        <v>0</v>
      </c>
      <c r="AN488" s="72"/>
      <c r="AO488" s="72"/>
      <c r="AP488" s="72"/>
      <c r="AQ488" s="72"/>
      <c r="AR488" s="72"/>
      <c r="AS488" s="72"/>
      <c r="AT488" s="72"/>
      <c r="AU488" s="72"/>
      <c r="AV488" s="125"/>
      <c r="AW488" s="72"/>
      <c r="AX488" s="72"/>
    </row>
    <row r="489" spans="1:50" ht="15" customHeight="1">
      <c r="A489" s="106" t="s">
        <v>1776</v>
      </c>
      <c r="B489" s="110" t="s">
        <v>1499</v>
      </c>
      <c r="C489" s="69" t="s">
        <v>45</v>
      </c>
      <c r="D489" s="111" t="s">
        <v>72</v>
      </c>
      <c r="E489" s="111"/>
      <c r="F489" s="130">
        <v>2</v>
      </c>
      <c r="G489" s="133" t="s">
        <v>675</v>
      </c>
      <c r="H489" s="133" t="s">
        <v>1777</v>
      </c>
      <c r="I489" s="133" t="s">
        <v>1778</v>
      </c>
      <c r="J489" s="133" t="s">
        <v>1779</v>
      </c>
      <c r="K489" s="72"/>
      <c r="L489" s="72"/>
      <c r="M489" s="72"/>
      <c r="N489" s="72"/>
      <c r="O489" s="133" t="s">
        <v>443</v>
      </c>
      <c r="P489" s="69">
        <v>1</v>
      </c>
      <c r="Q489" s="110">
        <f>MAX(0,$V489-$P489-$S489)</f>
        <v>0</v>
      </c>
      <c r="R489" s="130"/>
      <c r="S489" s="130"/>
      <c r="T489" s="134">
        <v>0.3</v>
      </c>
      <c r="U489" s="114">
        <f>IF(AND($Q489&gt;0,ISNUMBER($T489)),$Q489*$T489,0)</f>
        <v>0</v>
      </c>
      <c r="V489" s="68">
        <f>SUM(W489:AB489)</f>
        <v>0</v>
      </c>
      <c r="W489" s="130"/>
      <c r="X489" s="130"/>
      <c r="Y489" s="130"/>
      <c r="Z489" s="130"/>
      <c r="AA489" s="130"/>
      <c r="AB489" s="137"/>
      <c r="AC489" s="68"/>
      <c r="AD489" s="75">
        <f>SUM(AE489:AJ489)</f>
        <v>0</v>
      </c>
      <c r="AE489" s="76"/>
      <c r="AF489" s="76"/>
      <c r="AG489" s="76"/>
      <c r="AH489" s="76"/>
      <c r="AI489" s="76"/>
      <c r="AJ489" s="76"/>
      <c r="AK489" s="76"/>
      <c r="AL489" s="77">
        <f>IF((P489-SUM(AE489:AK489))&lt;0,0,P489-SUM(AE489:AK489))</f>
        <v>1</v>
      </c>
      <c r="AM489" s="77">
        <f>SUM(AO489:AT489)</f>
        <v>0</v>
      </c>
      <c r="AN489" s="85"/>
      <c r="AO489" s="72"/>
      <c r="AP489" s="85"/>
      <c r="AQ489" s="129"/>
      <c r="AR489" s="72"/>
      <c r="AS489" s="72"/>
      <c r="AT489" s="72"/>
      <c r="AU489" s="85"/>
      <c r="AV489" s="125"/>
      <c r="AW489" s="72"/>
      <c r="AX489" s="72"/>
    </row>
    <row r="490" spans="1:50" ht="15" customHeight="1">
      <c r="A490" s="111" t="s">
        <v>1780</v>
      </c>
      <c r="B490" s="110" t="s">
        <v>1499</v>
      </c>
      <c r="C490" s="69" t="s">
        <v>45</v>
      </c>
      <c r="D490" s="111" t="s">
        <v>64</v>
      </c>
      <c r="E490" s="111" t="s">
        <v>85</v>
      </c>
      <c r="F490" s="130">
        <v>5</v>
      </c>
      <c r="G490" s="133" t="s">
        <v>54</v>
      </c>
      <c r="H490" s="133" t="s">
        <v>1781</v>
      </c>
      <c r="I490" s="133" t="s">
        <v>1782</v>
      </c>
      <c r="J490" s="133"/>
      <c r="K490" s="72"/>
      <c r="L490" s="72"/>
      <c r="M490" s="72"/>
      <c r="N490" s="72"/>
      <c r="O490" s="133" t="s">
        <v>711</v>
      </c>
      <c r="P490" s="69">
        <v>1</v>
      </c>
      <c r="Q490" s="110">
        <f>MAX(0,$V490-$P490-$S490)</f>
        <v>0</v>
      </c>
      <c r="R490" s="130" t="s">
        <v>57</v>
      </c>
      <c r="S490" s="130">
        <v>1</v>
      </c>
      <c r="T490" s="134">
        <v>0.27</v>
      </c>
      <c r="U490" s="114">
        <f>IF(AND($Q490&gt;0,ISNUMBER($T490)),$Q490*$T490,0)</f>
        <v>0</v>
      </c>
      <c r="V490" s="68">
        <f>SUM(W490:AB490)</f>
        <v>1</v>
      </c>
      <c r="W490" s="130"/>
      <c r="X490" s="130"/>
      <c r="Y490" s="130"/>
      <c r="Z490" s="130"/>
      <c r="AA490" s="130"/>
      <c r="AB490" s="130">
        <v>1</v>
      </c>
      <c r="AC490" s="68"/>
      <c r="AD490" s="75">
        <f>SUM(AE490:AJ490)</f>
        <v>1</v>
      </c>
      <c r="AE490" s="76"/>
      <c r="AF490" s="76"/>
      <c r="AG490" s="76"/>
      <c r="AH490" s="76"/>
      <c r="AI490" s="76"/>
      <c r="AJ490" s="76">
        <v>1</v>
      </c>
      <c r="AK490" s="76"/>
      <c r="AL490" s="77">
        <f>IF((P490-SUM(AE490:AK490))&lt;0,0,P490-SUM(AE490:AK490))</f>
        <v>0</v>
      </c>
      <c r="AM490" s="77">
        <f>SUM(AO490:AT490)</f>
        <v>0</v>
      </c>
      <c r="AN490" s="85"/>
      <c r="AO490" s="72"/>
      <c r="AP490" s="72"/>
      <c r="AQ490" s="72"/>
      <c r="AR490" s="72"/>
      <c r="AS490" s="72"/>
      <c r="AT490" s="72"/>
      <c r="AU490" s="72"/>
      <c r="AV490" s="125"/>
      <c r="AW490" s="72"/>
      <c r="AX490" s="72"/>
    </row>
    <row r="491" spans="1:50" ht="15" customHeight="1">
      <c r="A491" s="106" t="s">
        <v>1934</v>
      </c>
      <c r="B491" s="110" t="s">
        <v>1831</v>
      </c>
      <c r="C491" s="69" t="s">
        <v>45</v>
      </c>
      <c r="D491" s="111" t="s">
        <v>72</v>
      </c>
      <c r="E491" s="111"/>
      <c r="F491" s="130">
        <v>2</v>
      </c>
      <c r="G491" s="133" t="s">
        <v>616</v>
      </c>
      <c r="H491" s="133" t="s">
        <v>1364</v>
      </c>
      <c r="I491" s="133" t="s">
        <v>1935</v>
      </c>
      <c r="J491" s="133"/>
      <c r="K491" s="69"/>
      <c r="L491" s="69"/>
      <c r="M491" s="69"/>
      <c r="N491" s="69"/>
      <c r="O491" s="133" t="s">
        <v>108</v>
      </c>
      <c r="P491" s="69">
        <v>1</v>
      </c>
      <c r="Q491" s="110">
        <f>MAX(0,$V491-$P491-$S491)</f>
        <v>0</v>
      </c>
      <c r="R491" s="130"/>
      <c r="S491" s="130"/>
      <c r="T491" s="134">
        <v>0.23</v>
      </c>
      <c r="U491" s="114">
        <f>IF(AND($Q491&gt;0,ISNUMBER($T491)),$Q491*$T491,0)</f>
        <v>0</v>
      </c>
      <c r="V491" s="68">
        <f>SUM(W491:AB491)</f>
        <v>0</v>
      </c>
      <c r="W491" s="130"/>
      <c r="X491" s="137"/>
      <c r="Y491" s="130"/>
      <c r="Z491" s="130"/>
      <c r="AA491" s="130"/>
      <c r="AB491" s="130"/>
      <c r="AC491" s="68"/>
      <c r="AD491" s="75">
        <f>SUM(AE491:AJ491)</f>
        <v>1</v>
      </c>
      <c r="AE491" s="76"/>
      <c r="AF491" s="76">
        <v>1</v>
      </c>
      <c r="AG491" s="76"/>
      <c r="AH491" s="76"/>
      <c r="AI491" s="76"/>
      <c r="AJ491" s="76"/>
      <c r="AK491" s="76"/>
      <c r="AL491" s="77">
        <f>IF((P491-SUM(AE491:AK491))&lt;0,0,P491-SUM(AE491:AK491))</f>
        <v>0</v>
      </c>
      <c r="AM491" s="77">
        <f>SUM(AO491:AT491)</f>
        <v>1</v>
      </c>
      <c r="AN491" s="80" t="s">
        <v>105</v>
      </c>
      <c r="AO491" s="72"/>
      <c r="AP491" s="79">
        <v>1</v>
      </c>
      <c r="AQ491" s="72"/>
      <c r="AR491" s="72"/>
      <c r="AS491" s="72"/>
      <c r="AT491" s="72"/>
      <c r="AU491" s="31" t="s">
        <v>1936</v>
      </c>
      <c r="AV491" s="125"/>
      <c r="AW491" s="72"/>
      <c r="AX491" s="72"/>
    </row>
    <row r="492" spans="1:50" ht="15" customHeight="1">
      <c r="A492" s="111" t="s">
        <v>1787</v>
      </c>
      <c r="B492" s="110" t="s">
        <v>1499</v>
      </c>
      <c r="C492" s="69" t="s">
        <v>45</v>
      </c>
      <c r="D492" s="111" t="s">
        <v>64</v>
      </c>
      <c r="E492" s="111" t="s">
        <v>85</v>
      </c>
      <c r="F492" s="130">
        <v>1</v>
      </c>
      <c r="G492" s="133" t="s">
        <v>98</v>
      </c>
      <c r="H492" s="133" t="s">
        <v>1788</v>
      </c>
      <c r="I492" s="133"/>
      <c r="J492" s="133"/>
      <c r="K492" s="72"/>
      <c r="L492" s="72"/>
      <c r="M492" s="72"/>
      <c r="N492" s="72"/>
      <c r="O492" s="133" t="s">
        <v>888</v>
      </c>
      <c r="P492" s="69">
        <v>1</v>
      </c>
      <c r="Q492" s="110">
        <f>MAX(0,$V492-$P492-$S492)</f>
        <v>0</v>
      </c>
      <c r="R492" s="130" t="s">
        <v>57</v>
      </c>
      <c r="S492" s="130">
        <v>1</v>
      </c>
      <c r="T492" s="134">
        <v>0.37</v>
      </c>
      <c r="U492" s="114">
        <f>IF(AND($Q492&gt;0,ISNUMBER($T492)),$Q492*$T492,0)</f>
        <v>0</v>
      </c>
      <c r="V492" s="68">
        <f>SUM(W492:AB492)</f>
        <v>1</v>
      </c>
      <c r="W492" s="130"/>
      <c r="X492" s="130"/>
      <c r="Y492" s="130"/>
      <c r="Z492" s="130"/>
      <c r="AA492" s="130"/>
      <c r="AB492" s="130">
        <v>1</v>
      </c>
      <c r="AC492" s="68"/>
      <c r="AD492" s="75">
        <f>SUM(AE492:AJ492)</f>
        <v>1</v>
      </c>
      <c r="AE492" s="76"/>
      <c r="AF492" s="76"/>
      <c r="AG492" s="76"/>
      <c r="AH492" s="76"/>
      <c r="AI492" s="76"/>
      <c r="AJ492" s="76">
        <v>1</v>
      </c>
      <c r="AK492" s="76"/>
      <c r="AL492" s="77">
        <f>IF((P492-SUM(AE492:AK492))&lt;0,0,P492-SUM(AE492:AK492))</f>
        <v>0</v>
      </c>
      <c r="AM492" s="77">
        <f>SUM(AO492:AT492)</f>
        <v>0</v>
      </c>
      <c r="AN492" s="129"/>
      <c r="AO492" s="72"/>
      <c r="AP492" s="129"/>
      <c r="AQ492" s="72"/>
      <c r="AR492" s="72"/>
      <c r="AS492" s="72"/>
      <c r="AT492" s="72"/>
      <c r="AU492" s="129"/>
      <c r="AV492" s="125"/>
      <c r="AW492" s="72"/>
      <c r="AX492" s="72"/>
    </row>
    <row r="493" spans="1:50" ht="15" customHeight="1">
      <c r="A493" s="111" t="s">
        <v>2272</v>
      </c>
      <c r="B493" s="110" t="s">
        <v>1971</v>
      </c>
      <c r="C493" s="69" t="s">
        <v>45</v>
      </c>
      <c r="D493" s="111" t="s">
        <v>64</v>
      </c>
      <c r="E493" s="111" t="s">
        <v>2273</v>
      </c>
      <c r="F493" s="130">
        <v>3</v>
      </c>
      <c r="G493" s="133" t="s">
        <v>49</v>
      </c>
      <c r="H493" s="133" t="s">
        <v>2274</v>
      </c>
      <c r="I493" s="133" t="s">
        <v>2275</v>
      </c>
      <c r="J493" s="133"/>
      <c r="K493" s="69"/>
      <c r="L493" s="69"/>
      <c r="M493" s="69"/>
      <c r="N493" s="69"/>
      <c r="O493" s="133" t="s">
        <v>144</v>
      </c>
      <c r="P493" s="69">
        <v>1</v>
      </c>
      <c r="Q493" s="110">
        <f>MAX(0,$V493-$P493-$S493)</f>
        <v>0</v>
      </c>
      <c r="R493" s="130"/>
      <c r="S493" s="130"/>
      <c r="T493" s="134">
        <v>0.33</v>
      </c>
      <c r="U493" s="114">
        <f>IF(AND($Q493&gt;0,ISNUMBER($T493)),$Q493*$T493,0)</f>
        <v>0</v>
      </c>
      <c r="V493" s="68">
        <f>SUM(W493:AB493)</f>
        <v>1</v>
      </c>
      <c r="W493" s="130">
        <v>1</v>
      </c>
      <c r="X493" s="130"/>
      <c r="Y493" s="130"/>
      <c r="Z493" s="130"/>
      <c r="AA493" s="130"/>
      <c r="AB493" s="130"/>
      <c r="AC493" s="68"/>
      <c r="AD493" s="75">
        <f>SUM(AE493:AJ493)</f>
        <v>1</v>
      </c>
      <c r="AE493" s="76">
        <v>1</v>
      </c>
      <c r="AF493" s="76"/>
      <c r="AG493" s="76"/>
      <c r="AH493" s="76"/>
      <c r="AI493" s="76"/>
      <c r="AJ493" s="76"/>
      <c r="AK493" s="76"/>
      <c r="AL493" s="77">
        <f>IF((P493-SUM(AE493:AK493))&lt;0,0,P493-SUM(AE493:AK493))</f>
        <v>0</v>
      </c>
      <c r="AM493" s="77">
        <f>SUM(AO493:AT493)</f>
        <v>0</v>
      </c>
      <c r="AN493" s="72"/>
      <c r="AO493" s="72"/>
      <c r="AP493" s="72"/>
      <c r="AQ493" s="72"/>
      <c r="AR493" s="72"/>
      <c r="AS493" s="72"/>
      <c r="AT493" s="72"/>
      <c r="AU493" s="72"/>
      <c r="AV493" s="125"/>
      <c r="AW493" s="72"/>
      <c r="AX493" s="72"/>
    </row>
    <row r="494" spans="1:50" ht="15" customHeight="1">
      <c r="A494" s="111" t="s">
        <v>841</v>
      </c>
      <c r="B494" s="110" t="s">
        <v>636</v>
      </c>
      <c r="C494" s="69" t="s">
        <v>45</v>
      </c>
      <c r="D494" s="111" t="s">
        <v>47</v>
      </c>
      <c r="E494" s="111"/>
      <c r="F494" s="130">
        <v>4</v>
      </c>
      <c r="G494" s="133" t="s">
        <v>392</v>
      </c>
      <c r="H494" s="133" t="s">
        <v>843</v>
      </c>
      <c r="I494" s="133"/>
      <c r="J494" s="133"/>
      <c r="K494" s="69"/>
      <c r="L494" s="69"/>
      <c r="M494" s="69"/>
      <c r="N494" s="69"/>
      <c r="O494" s="133" t="s">
        <v>842</v>
      </c>
      <c r="P494" s="69">
        <v>1</v>
      </c>
      <c r="Q494" s="110">
        <f>MAX(0,$V494-$P494-$S494)</f>
        <v>0</v>
      </c>
      <c r="R494" s="130"/>
      <c r="S494" s="130"/>
      <c r="T494" s="134">
        <v>1.06</v>
      </c>
      <c r="U494" s="114">
        <f>IF(AND($Q494&gt;0,ISNUMBER($T494)),$Q494*$T494,0)</f>
        <v>0</v>
      </c>
      <c r="V494" s="68">
        <f>SUM(W494:AB494)</f>
        <v>1</v>
      </c>
      <c r="W494" s="130"/>
      <c r="X494" s="130">
        <v>1</v>
      </c>
      <c r="Y494" s="130"/>
      <c r="Z494" s="130"/>
      <c r="AA494" s="130"/>
      <c r="AB494" s="130"/>
      <c r="AC494" s="68"/>
      <c r="AD494" s="75">
        <f>SUM(AE494:AJ494)</f>
        <v>1</v>
      </c>
      <c r="AE494" s="76"/>
      <c r="AF494" s="76">
        <v>1</v>
      </c>
      <c r="AG494" s="76"/>
      <c r="AH494" s="76"/>
      <c r="AI494" s="76"/>
      <c r="AJ494" s="76"/>
      <c r="AK494" s="76"/>
      <c r="AL494" s="77">
        <f>IF((P494-SUM(AE494:AK494))&lt;0,0,P494-SUM(AE494:AK494))</f>
        <v>0</v>
      </c>
      <c r="AM494" s="77">
        <f>SUM(AO494:AT494)</f>
        <v>0</v>
      </c>
      <c r="AN494" s="85"/>
      <c r="AO494" s="72"/>
      <c r="AP494" s="129"/>
      <c r="AQ494" s="72"/>
      <c r="AR494" s="72"/>
      <c r="AS494" s="72"/>
      <c r="AT494" s="72"/>
      <c r="AU494" s="129"/>
      <c r="AV494" s="125"/>
      <c r="AW494" s="72"/>
      <c r="AX494" s="72"/>
    </row>
    <row r="495" spans="1:50" ht="15" customHeight="1">
      <c r="A495" s="111" t="s">
        <v>2276</v>
      </c>
      <c r="B495" s="110" t="s">
        <v>1971</v>
      </c>
      <c r="C495" s="69" t="s">
        <v>45</v>
      </c>
      <c r="D495" s="111" t="s">
        <v>47</v>
      </c>
      <c r="E495" s="111"/>
      <c r="F495" s="130">
        <v>3</v>
      </c>
      <c r="G495" s="133" t="s">
        <v>117</v>
      </c>
      <c r="H495" s="133" t="s">
        <v>2277</v>
      </c>
      <c r="I495" s="133"/>
      <c r="J495" s="133"/>
      <c r="K495" s="72"/>
      <c r="L495" s="72"/>
      <c r="M495" s="72"/>
      <c r="N495" s="72"/>
      <c r="O495" s="133" t="s">
        <v>240</v>
      </c>
      <c r="P495" s="69">
        <v>1</v>
      </c>
      <c r="Q495" s="110">
        <f>MAX(0,$V495-$P495-$S495)</f>
        <v>0</v>
      </c>
      <c r="R495" s="130"/>
      <c r="S495" s="130"/>
      <c r="T495" s="134">
        <v>0.13</v>
      </c>
      <c r="U495" s="114">
        <f>IF(AND($Q495&gt;0,ISNUMBER($T495)),$Q495*$T495,0)</f>
        <v>0</v>
      </c>
      <c r="V495" s="68">
        <f>SUM(W495:AB495)</f>
        <v>1</v>
      </c>
      <c r="W495" s="130"/>
      <c r="X495" s="130"/>
      <c r="Y495" s="130"/>
      <c r="Z495" s="130">
        <v>1</v>
      </c>
      <c r="AA495" s="130"/>
      <c r="AB495" s="130"/>
      <c r="AC495" s="68"/>
      <c r="AD495" s="75">
        <f>SUM(AE495:AJ495)</f>
        <v>1</v>
      </c>
      <c r="AE495" s="76"/>
      <c r="AF495" s="76"/>
      <c r="AG495" s="76"/>
      <c r="AH495" s="76">
        <v>1</v>
      </c>
      <c r="AI495" s="76"/>
      <c r="AJ495" s="76"/>
      <c r="AK495" s="76"/>
      <c r="AL495" s="77">
        <f>IF((P495-SUM(AE495:AK495))&lt;0,0,P495-SUM(AE495:AK495))</f>
        <v>0</v>
      </c>
      <c r="AM495" s="77">
        <f>SUM(AO495:AT495)</f>
        <v>0</v>
      </c>
      <c r="AN495" s="129"/>
      <c r="AO495" s="72"/>
      <c r="AP495" s="72"/>
      <c r="AQ495" s="72"/>
      <c r="AR495" s="72"/>
      <c r="AS495" s="129"/>
      <c r="AT495" s="72"/>
      <c r="AU495" s="129"/>
      <c r="AV495" s="125"/>
      <c r="AW495" s="72"/>
      <c r="AX495" s="72"/>
    </row>
    <row r="496" spans="1:50" ht="15" customHeight="1">
      <c r="A496" s="109" t="s">
        <v>562</v>
      </c>
      <c r="B496" s="110" t="s">
        <v>345</v>
      </c>
      <c r="C496" s="69" t="s">
        <v>45</v>
      </c>
      <c r="D496" s="111" t="s">
        <v>175</v>
      </c>
      <c r="E496" s="111" t="s">
        <v>563</v>
      </c>
      <c r="F496" s="130">
        <v>2</v>
      </c>
      <c r="G496" s="133" t="s">
        <v>113</v>
      </c>
      <c r="H496" s="133" t="s">
        <v>564</v>
      </c>
      <c r="I496" s="133" t="s">
        <v>565</v>
      </c>
      <c r="J496" s="133"/>
      <c r="K496" s="72"/>
      <c r="L496" s="72"/>
      <c r="M496" s="72"/>
      <c r="N496" s="72"/>
      <c r="O496" s="133" t="s">
        <v>346</v>
      </c>
      <c r="P496" s="69">
        <v>1</v>
      </c>
      <c r="Q496" s="110">
        <f>MAX(0,$V496-$P496-$S496)</f>
        <v>0</v>
      </c>
      <c r="R496" s="130"/>
      <c r="S496" s="130"/>
      <c r="T496" s="134">
        <v>1.71</v>
      </c>
      <c r="U496" s="114">
        <f>IF(AND($Q496&gt;0,ISNUMBER($T496)),$Q496*$T496,0)</f>
        <v>0</v>
      </c>
      <c r="V496" s="68">
        <f>SUM(W496:AB496)</f>
        <v>1</v>
      </c>
      <c r="W496" s="130"/>
      <c r="X496" s="130"/>
      <c r="Y496" s="130"/>
      <c r="Z496" s="130"/>
      <c r="AA496" s="135">
        <v>1</v>
      </c>
      <c r="AB496" s="130"/>
      <c r="AC496" s="68"/>
      <c r="AD496" s="75">
        <f>SUM(AE496:AJ496)</f>
        <v>1</v>
      </c>
      <c r="AE496" s="76"/>
      <c r="AF496" s="76"/>
      <c r="AG496" s="76"/>
      <c r="AH496" s="76"/>
      <c r="AI496" s="76">
        <v>1</v>
      </c>
      <c r="AJ496" s="76"/>
      <c r="AK496" s="76"/>
      <c r="AL496" s="77">
        <f>IF((P496-SUM(AE496:AK496))&lt;0,0,P496-SUM(AE496:AK496))</f>
        <v>0</v>
      </c>
      <c r="AM496" s="77">
        <f>SUM(AO496:AT496)</f>
        <v>0</v>
      </c>
      <c r="AN496" s="72"/>
      <c r="AO496" s="72"/>
      <c r="AP496" s="72"/>
      <c r="AQ496" s="72"/>
      <c r="AR496" s="72"/>
      <c r="AS496" s="72"/>
      <c r="AT496" s="72"/>
      <c r="AU496" s="72"/>
      <c r="AV496" s="125"/>
      <c r="AW496" s="72"/>
      <c r="AX496" s="72"/>
    </row>
    <row r="497" spans="1:50" ht="15" customHeight="1">
      <c r="A497" s="117" t="s">
        <v>566</v>
      </c>
      <c r="B497" s="110" t="s">
        <v>345</v>
      </c>
      <c r="C497" s="69" t="s">
        <v>45</v>
      </c>
      <c r="D497" s="111" t="s">
        <v>175</v>
      </c>
      <c r="E497" s="111"/>
      <c r="F497" s="130">
        <v>1</v>
      </c>
      <c r="G497" s="133" t="s">
        <v>350</v>
      </c>
      <c r="H497" s="133" t="s">
        <v>567</v>
      </c>
      <c r="I497" s="133"/>
      <c r="J497" s="133"/>
      <c r="K497" s="69"/>
      <c r="L497" s="69"/>
      <c r="M497" s="69"/>
      <c r="N497" s="69"/>
      <c r="O497" s="133" t="s">
        <v>271</v>
      </c>
      <c r="P497" s="69">
        <v>1</v>
      </c>
      <c r="Q497" s="110">
        <f>MAX(0,$V497-$P497-$S497)</f>
        <v>2</v>
      </c>
      <c r="R497" s="130" t="s">
        <v>515</v>
      </c>
      <c r="S497" s="130">
        <v>2</v>
      </c>
      <c r="T497" s="134">
        <v>1.45</v>
      </c>
      <c r="U497" s="114">
        <f>IF(AND($Q497&gt;0,ISNUMBER($T497)),$Q497*$T497,0)</f>
        <v>2.9</v>
      </c>
      <c r="V497" s="68">
        <f>SUM(W497:AB497)</f>
        <v>5</v>
      </c>
      <c r="W497" s="136"/>
      <c r="X497" s="130">
        <v>1</v>
      </c>
      <c r="Y497" s="136">
        <v>1</v>
      </c>
      <c r="Z497" s="136">
        <v>1</v>
      </c>
      <c r="AA497" s="136">
        <v>1</v>
      </c>
      <c r="AB497" s="136">
        <v>1</v>
      </c>
      <c r="AC497" s="68"/>
      <c r="AD497" s="75">
        <f>SUM(AE497:AJ497)</f>
        <v>1</v>
      </c>
      <c r="AE497" s="76"/>
      <c r="AF497" s="76">
        <v>1</v>
      </c>
      <c r="AG497" s="76"/>
      <c r="AH497" s="76"/>
      <c r="AI497" s="76"/>
      <c r="AJ497" s="76"/>
      <c r="AK497" s="76"/>
      <c r="AL497" s="77">
        <f>IF((P497-SUM(AE497:AK497))&lt;0,0,P497-SUM(AE497:AK497))</f>
        <v>0</v>
      </c>
      <c r="AM497" s="77">
        <f>SUM(AO497:AT497)</f>
        <v>0</v>
      </c>
      <c r="AN497" s="138" t="s">
        <v>81</v>
      </c>
      <c r="AO497" s="72"/>
      <c r="AP497" s="72"/>
      <c r="AQ497" s="72"/>
      <c r="AR497" s="72"/>
      <c r="AS497" s="72"/>
      <c r="AT497" s="72"/>
      <c r="AU497" s="28" t="s">
        <v>568</v>
      </c>
      <c r="AV497" s="125"/>
      <c r="AW497" s="72"/>
      <c r="AX497" s="84"/>
    </row>
    <row r="498" spans="1:50" ht="15" customHeight="1">
      <c r="A498" s="111" t="s">
        <v>844</v>
      </c>
      <c r="B498" s="110" t="s">
        <v>636</v>
      </c>
      <c r="C498" s="69" t="s">
        <v>45</v>
      </c>
      <c r="D498" s="111" t="s">
        <v>58</v>
      </c>
      <c r="E498" s="111" t="s">
        <v>726</v>
      </c>
      <c r="F498" s="130">
        <v>3</v>
      </c>
      <c r="G498" s="133" t="s">
        <v>49</v>
      </c>
      <c r="H498" s="133" t="s">
        <v>845</v>
      </c>
      <c r="I498" s="133"/>
      <c r="J498" s="133"/>
      <c r="K498" s="69"/>
      <c r="L498" s="69"/>
      <c r="M498" s="69"/>
      <c r="N498" s="69"/>
      <c r="O498" s="133" t="s">
        <v>717</v>
      </c>
      <c r="P498" s="69">
        <v>1</v>
      </c>
      <c r="Q498" s="110">
        <f>MAX(0,$V498-$P498-$S498)</f>
        <v>0</v>
      </c>
      <c r="R498" s="130"/>
      <c r="S498" s="130"/>
      <c r="T498" s="134">
        <v>5.79</v>
      </c>
      <c r="U498" s="114">
        <f>IF(AND($Q498&gt;0,ISNUMBER($T498)),$Q498*$T498,0)</f>
        <v>0</v>
      </c>
      <c r="V498" s="68">
        <f>SUM(W498:AB498)</f>
        <v>1</v>
      </c>
      <c r="W498" s="130"/>
      <c r="X498" s="130">
        <v>1</v>
      </c>
      <c r="Y498" s="130"/>
      <c r="Z498" s="130"/>
      <c r="AA498" s="130"/>
      <c r="AB498" s="130"/>
      <c r="AC498" s="68"/>
      <c r="AD498" s="75">
        <f>SUM(AE498:AJ498)</f>
        <v>1</v>
      </c>
      <c r="AE498" s="76"/>
      <c r="AF498" s="76">
        <v>1</v>
      </c>
      <c r="AG498" s="76"/>
      <c r="AH498" s="76"/>
      <c r="AI498" s="76"/>
      <c r="AJ498" s="76"/>
      <c r="AK498" s="76"/>
      <c r="AL498" s="77">
        <f>IF((P498-SUM(AE498:AK498))&lt;0,0,P498-SUM(AE498:AK498))</f>
        <v>0</v>
      </c>
      <c r="AM498" s="77">
        <f>SUM(AO498:AT498)</f>
        <v>0</v>
      </c>
      <c r="AN498" s="129"/>
      <c r="AO498" s="72"/>
      <c r="AP498" s="72"/>
      <c r="AQ498" s="72"/>
      <c r="AR498" s="72"/>
      <c r="AS498" s="129"/>
      <c r="AT498" s="72"/>
      <c r="AU498" s="129"/>
      <c r="AV498" s="125"/>
      <c r="AW498" s="72"/>
      <c r="AX498" s="72"/>
    </row>
    <row r="499" spans="1:50" ht="15" customHeight="1">
      <c r="A499" s="111" t="s">
        <v>571</v>
      </c>
      <c r="B499" s="110" t="s">
        <v>345</v>
      </c>
      <c r="C499" s="69" t="s">
        <v>45</v>
      </c>
      <c r="D499" s="111" t="s">
        <v>359</v>
      </c>
      <c r="E499" s="111" t="s">
        <v>572</v>
      </c>
      <c r="F499" s="130">
        <v>6</v>
      </c>
      <c r="G499" s="133" t="s">
        <v>499</v>
      </c>
      <c r="H499" s="133" t="s">
        <v>573</v>
      </c>
      <c r="I499" s="133" t="s">
        <v>574</v>
      </c>
      <c r="J499" s="133"/>
      <c r="K499" s="72"/>
      <c r="L499" s="72"/>
      <c r="M499" s="72"/>
      <c r="N499" s="72"/>
      <c r="O499" s="133" t="s">
        <v>329</v>
      </c>
      <c r="P499" s="69">
        <v>1</v>
      </c>
      <c r="Q499" s="110">
        <f>MAX(0,$V499-$P499-$S499)</f>
        <v>0</v>
      </c>
      <c r="R499" s="130"/>
      <c r="S499" s="130"/>
      <c r="T499" s="134">
        <v>0.89</v>
      </c>
      <c r="U499" s="114">
        <f>IF(AND($Q499&gt;0,ISNUMBER($T499)),$Q499*$T499,0)</f>
        <v>0</v>
      </c>
      <c r="V499" s="68">
        <f>SUM(W499:AB499)</f>
        <v>1</v>
      </c>
      <c r="W499" s="130"/>
      <c r="X499" s="130"/>
      <c r="Y499" s="130"/>
      <c r="Z499" s="130">
        <v>1</v>
      </c>
      <c r="AA499" s="130"/>
      <c r="AB499" s="130"/>
      <c r="AC499" s="68"/>
      <c r="AD499" s="75">
        <f>SUM(AE499:AJ499)</f>
        <v>1</v>
      </c>
      <c r="AE499" s="76"/>
      <c r="AF499" s="76"/>
      <c r="AG499" s="76"/>
      <c r="AH499" s="76">
        <v>1</v>
      </c>
      <c r="AI499" s="76"/>
      <c r="AJ499" s="76"/>
      <c r="AK499" s="76"/>
      <c r="AL499" s="77">
        <f>IF((P499-SUM(AE499:AK499))&lt;0,0,P499-SUM(AE499:AK499))</f>
        <v>0</v>
      </c>
      <c r="AM499" s="77">
        <f>SUM(AO499:AT499)</f>
        <v>0</v>
      </c>
      <c r="AN499" s="129"/>
      <c r="AO499" s="72"/>
      <c r="AP499" s="72"/>
      <c r="AQ499" s="72"/>
      <c r="AR499" s="129"/>
      <c r="AS499" s="72"/>
      <c r="AT499" s="72"/>
      <c r="AU499" s="129"/>
      <c r="AV499" s="125"/>
      <c r="AW499" s="72"/>
      <c r="AX499" s="72"/>
    </row>
    <row r="500" spans="1:50" ht="15" customHeight="1">
      <c r="A500" s="111" t="s">
        <v>1452</v>
      </c>
      <c r="B500" s="110" t="s">
        <v>1114</v>
      </c>
      <c r="C500" s="69" t="s">
        <v>45</v>
      </c>
      <c r="D500" s="111" t="s">
        <v>64</v>
      </c>
      <c r="E500" s="111" t="s">
        <v>684</v>
      </c>
      <c r="F500" s="130">
        <v>3</v>
      </c>
      <c r="G500" s="133" t="s">
        <v>616</v>
      </c>
      <c r="H500" s="133" t="s">
        <v>1453</v>
      </c>
      <c r="I500" s="133" t="s">
        <v>1454</v>
      </c>
      <c r="J500" s="133"/>
      <c r="K500" s="72"/>
      <c r="L500" s="72"/>
      <c r="M500" s="72"/>
      <c r="N500" s="72"/>
      <c r="O500" s="133" t="s">
        <v>97</v>
      </c>
      <c r="P500" s="69">
        <v>1</v>
      </c>
      <c r="Q500" s="110">
        <f>MAX(0,$V500-$P500-$S500)</f>
        <v>0</v>
      </c>
      <c r="R500" s="130" t="s">
        <v>57</v>
      </c>
      <c r="S500" s="130">
        <v>1</v>
      </c>
      <c r="T500" s="134">
        <v>1.93</v>
      </c>
      <c r="U500" s="114">
        <f>IF(AND($Q500&gt;0,ISNUMBER($T500)),$Q500*$T500,0)</f>
        <v>0</v>
      </c>
      <c r="V500" s="68">
        <f>SUM(W500:AB500)</f>
        <v>1</v>
      </c>
      <c r="W500" s="130"/>
      <c r="X500" s="130">
        <v>1</v>
      </c>
      <c r="Y500" s="130"/>
      <c r="Z500" s="130"/>
      <c r="AA500" s="130"/>
      <c r="AB500" s="130"/>
      <c r="AC500" s="68"/>
      <c r="AD500" s="75">
        <f>SUM(AE500:AJ500)</f>
        <v>1</v>
      </c>
      <c r="AE500" s="76"/>
      <c r="AF500" s="76">
        <v>1</v>
      </c>
      <c r="AG500" s="76"/>
      <c r="AH500" s="76"/>
      <c r="AI500" s="76"/>
      <c r="AJ500" s="76"/>
      <c r="AK500" s="76"/>
      <c r="AL500" s="77">
        <f>IF((P500-SUM(AE500:AK500))&lt;0,0,P500-SUM(AE500:AK500))</f>
        <v>0</v>
      </c>
      <c r="AM500" s="77">
        <f>SUM(AO500:AT500)</f>
        <v>0</v>
      </c>
      <c r="AN500" s="129"/>
      <c r="AO500" s="72"/>
      <c r="AP500" s="72"/>
      <c r="AQ500" s="72"/>
      <c r="AR500" s="72"/>
      <c r="AS500" s="129"/>
      <c r="AT500" s="72"/>
      <c r="AU500" s="129"/>
      <c r="AV500" s="125"/>
      <c r="AW500" s="72"/>
      <c r="AX500" s="72"/>
    </row>
    <row r="501" spans="1:50" ht="15" customHeight="1">
      <c r="A501" s="109" t="s">
        <v>1789</v>
      </c>
      <c r="B501" s="110" t="s">
        <v>1499</v>
      </c>
      <c r="C501" s="69" t="s">
        <v>45</v>
      </c>
      <c r="D501" s="111" t="s">
        <v>64</v>
      </c>
      <c r="E501" s="111" t="s">
        <v>1531</v>
      </c>
      <c r="F501" s="130">
        <v>4</v>
      </c>
      <c r="G501" s="133" t="s">
        <v>54</v>
      </c>
      <c r="H501" s="133" t="s">
        <v>1790</v>
      </c>
      <c r="I501" s="133"/>
      <c r="J501" s="133"/>
      <c r="K501" s="72"/>
      <c r="L501" s="72"/>
      <c r="M501" s="72"/>
      <c r="N501" s="72"/>
      <c r="O501" s="133" t="s">
        <v>48</v>
      </c>
      <c r="P501" s="69">
        <v>1</v>
      </c>
      <c r="Q501" s="110">
        <f>MAX(0,$V501-$P501-$S501)</f>
        <v>0</v>
      </c>
      <c r="R501" s="130"/>
      <c r="S501" s="130"/>
      <c r="T501" s="134">
        <v>0.28000000000000003</v>
      </c>
      <c r="U501" s="114">
        <f>IF(AND($Q501&gt;0,ISNUMBER($T501)),$Q501*$T501,0)</f>
        <v>0</v>
      </c>
      <c r="V501" s="68">
        <f>SUM(W501:AB501)</f>
        <v>1</v>
      </c>
      <c r="W501" s="130"/>
      <c r="X501" s="130"/>
      <c r="Y501" s="130"/>
      <c r="Z501" s="130"/>
      <c r="AA501" s="130"/>
      <c r="AB501" s="135">
        <v>1</v>
      </c>
      <c r="AC501" s="68"/>
      <c r="AD501" s="75">
        <f>SUM(AE501:AJ501)</f>
        <v>1</v>
      </c>
      <c r="AE501" s="76"/>
      <c r="AF501" s="76"/>
      <c r="AG501" s="76"/>
      <c r="AH501" s="76"/>
      <c r="AI501" s="76"/>
      <c r="AJ501" s="76">
        <v>1</v>
      </c>
      <c r="AK501" s="76"/>
      <c r="AL501" s="77">
        <f>IF((P501-SUM(AE501:AK501))&lt;0,0,P501-SUM(AE501:AK501))</f>
        <v>0</v>
      </c>
      <c r="AM501" s="77">
        <f>SUM(AO501:AT501)</f>
        <v>0</v>
      </c>
      <c r="AN501" s="129"/>
      <c r="AO501" s="72"/>
      <c r="AP501" s="72"/>
      <c r="AQ501" s="129"/>
      <c r="AR501" s="72"/>
      <c r="AS501" s="72"/>
      <c r="AT501" s="72"/>
      <c r="AU501" s="129"/>
      <c r="AV501" s="125"/>
      <c r="AW501" s="72"/>
      <c r="AX501" s="72"/>
    </row>
    <row r="502" spans="1:50" ht="15" customHeight="1">
      <c r="A502" s="111" t="s">
        <v>2285</v>
      </c>
      <c r="B502" s="110" t="s">
        <v>1971</v>
      </c>
      <c r="C502" s="69" t="s">
        <v>45</v>
      </c>
      <c r="D502" s="111" t="s">
        <v>47</v>
      </c>
      <c r="E502" s="111"/>
      <c r="F502" s="130">
        <v>6</v>
      </c>
      <c r="G502" s="133" t="s">
        <v>54</v>
      </c>
      <c r="H502" s="133" t="s">
        <v>2286</v>
      </c>
      <c r="I502" s="133"/>
      <c r="J502" s="133"/>
      <c r="K502" s="72"/>
      <c r="L502" s="72"/>
      <c r="M502" s="72"/>
      <c r="N502" s="72"/>
      <c r="O502" s="133" t="s">
        <v>704</v>
      </c>
      <c r="P502" s="69">
        <v>1</v>
      </c>
      <c r="Q502" s="110">
        <f>MAX(0,$V502-$P502-$S502)</f>
        <v>0</v>
      </c>
      <c r="R502" s="130"/>
      <c r="S502" s="130"/>
      <c r="T502" s="134">
        <v>0.33</v>
      </c>
      <c r="U502" s="114">
        <f>IF(AND($Q502&gt;0,ISNUMBER($T502)),$Q502*$T502,0)</f>
        <v>0</v>
      </c>
      <c r="V502" s="68">
        <f>SUM(W502:AB502)</f>
        <v>1</v>
      </c>
      <c r="W502" s="130"/>
      <c r="X502" s="130"/>
      <c r="Y502" s="130"/>
      <c r="Z502" s="130"/>
      <c r="AA502" s="130">
        <v>1</v>
      </c>
      <c r="AB502" s="130"/>
      <c r="AC502" s="68"/>
      <c r="AD502" s="75">
        <f>SUM(AE502:AJ502)</f>
        <v>1</v>
      </c>
      <c r="AE502" s="76"/>
      <c r="AF502" s="76"/>
      <c r="AG502" s="76"/>
      <c r="AH502" s="76"/>
      <c r="AI502" s="76">
        <v>1</v>
      </c>
      <c r="AJ502" s="76"/>
      <c r="AK502" s="76"/>
      <c r="AL502" s="77">
        <f>IF((P502-SUM(AE502:AK502))&lt;0,0,P502-SUM(AE502:AK502))</f>
        <v>0</v>
      </c>
      <c r="AM502" s="77">
        <f>SUM(AO502:AT502)</f>
        <v>0</v>
      </c>
      <c r="AN502" s="72"/>
      <c r="AO502" s="72"/>
      <c r="AP502" s="72"/>
      <c r="AQ502" s="72"/>
      <c r="AR502" s="72"/>
      <c r="AS502" s="72"/>
      <c r="AT502" s="72"/>
      <c r="AU502" s="72"/>
      <c r="AV502" s="125"/>
      <c r="AW502" s="72"/>
      <c r="AX502" s="72"/>
    </row>
    <row r="503" spans="1:50" ht="15" customHeight="1">
      <c r="A503" s="106" t="s">
        <v>2287</v>
      </c>
      <c r="B503" s="110" t="s">
        <v>1971</v>
      </c>
      <c r="C503" s="69" t="s">
        <v>45</v>
      </c>
      <c r="D503" s="111" t="s">
        <v>58</v>
      </c>
      <c r="E503" s="111" t="s">
        <v>726</v>
      </c>
      <c r="F503" s="130">
        <v>2</v>
      </c>
      <c r="G503" s="133" t="s">
        <v>49</v>
      </c>
      <c r="H503" s="133" t="s">
        <v>2288</v>
      </c>
      <c r="I503" s="133" t="s">
        <v>2289</v>
      </c>
      <c r="J503" s="133"/>
      <c r="K503" s="72"/>
      <c r="L503" s="72"/>
      <c r="M503" s="72"/>
      <c r="N503" s="72"/>
      <c r="O503" s="133" t="s">
        <v>48</v>
      </c>
      <c r="P503" s="69">
        <v>1</v>
      </c>
      <c r="Q503" s="110">
        <f>MAX(0,$V503-$P503-$S503)</f>
        <v>0</v>
      </c>
      <c r="R503" s="130"/>
      <c r="S503" s="130"/>
      <c r="T503" s="134">
        <v>0.16</v>
      </c>
      <c r="U503" s="114">
        <f>IF(AND($Q503&gt;0,ISNUMBER($T503)),$Q503*$T503,0)</f>
        <v>0</v>
      </c>
      <c r="V503" s="68">
        <f>SUM(W503:AB503)</f>
        <v>0</v>
      </c>
      <c r="W503" s="130"/>
      <c r="X503" s="130"/>
      <c r="Y503" s="137"/>
      <c r="Z503" s="130"/>
      <c r="AA503" s="130"/>
      <c r="AB503" s="130"/>
      <c r="AC503" s="68"/>
      <c r="AD503" s="75">
        <f>SUM(AE503:AJ503)</f>
        <v>0</v>
      </c>
      <c r="AE503" s="76"/>
      <c r="AF503" s="76"/>
      <c r="AG503" s="76"/>
      <c r="AH503" s="76"/>
      <c r="AI503" s="76"/>
      <c r="AJ503" s="76"/>
      <c r="AK503" s="76"/>
      <c r="AL503" s="77">
        <f>IF((P503-SUM(AE503:AK503))&lt;0,0,P503-SUM(AE503:AK503))</f>
        <v>1</v>
      </c>
      <c r="AM503" s="77">
        <f>SUM(AO503:AT503)</f>
        <v>0</v>
      </c>
      <c r="AN503" s="129"/>
      <c r="AO503" s="72"/>
      <c r="AP503" s="72"/>
      <c r="AQ503" s="72"/>
      <c r="AR503" s="129"/>
      <c r="AS503" s="72"/>
      <c r="AT503" s="72"/>
      <c r="AU503" s="129"/>
      <c r="AV503" s="125"/>
      <c r="AW503" s="72"/>
      <c r="AX503" s="72"/>
    </row>
    <row r="504" spans="1:50" ht="15" customHeight="1">
      <c r="A504" s="111" t="s">
        <v>1791</v>
      </c>
      <c r="B504" s="110" t="s">
        <v>1499</v>
      </c>
      <c r="C504" s="69" t="s">
        <v>45</v>
      </c>
      <c r="D504" s="111" t="s">
        <v>64</v>
      </c>
      <c r="E504" s="111" t="s">
        <v>1696</v>
      </c>
      <c r="F504" s="130">
        <v>3</v>
      </c>
      <c r="G504" s="133" t="s">
        <v>91</v>
      </c>
      <c r="H504" s="133" t="s">
        <v>1792</v>
      </c>
      <c r="I504" s="133" t="s">
        <v>1793</v>
      </c>
      <c r="J504" s="133"/>
      <c r="K504" s="69"/>
      <c r="L504" s="69"/>
      <c r="M504" s="69"/>
      <c r="N504" s="69"/>
      <c r="O504" s="133" t="s">
        <v>334</v>
      </c>
      <c r="P504" s="69">
        <v>1</v>
      </c>
      <c r="Q504" s="110">
        <f>MAX(0,$V504-$P504-$S504)</f>
        <v>0</v>
      </c>
      <c r="R504" s="130"/>
      <c r="S504" s="130"/>
      <c r="T504" s="134">
        <v>0.17</v>
      </c>
      <c r="U504" s="114">
        <f>IF(AND($Q504&gt;0,ISNUMBER($T504)),$Q504*$T504,0)</f>
        <v>0</v>
      </c>
      <c r="V504" s="68">
        <f>SUM(W504:AB504)</f>
        <v>1</v>
      </c>
      <c r="W504" s="130">
        <v>1</v>
      </c>
      <c r="X504" s="130"/>
      <c r="Y504" s="130"/>
      <c r="Z504" s="130"/>
      <c r="AA504" s="130"/>
      <c r="AB504" s="130"/>
      <c r="AC504" s="68"/>
      <c r="AD504" s="75">
        <f>SUM(AE504:AJ504)</f>
        <v>1</v>
      </c>
      <c r="AE504" s="76">
        <v>1</v>
      </c>
      <c r="AF504" s="76"/>
      <c r="AG504" s="76"/>
      <c r="AH504" s="76"/>
      <c r="AI504" s="76"/>
      <c r="AJ504" s="76"/>
      <c r="AK504" s="76"/>
      <c r="AL504" s="77">
        <f>IF((P504-SUM(AE504:AK504))&lt;0,0,P504-SUM(AE504:AK504))</f>
        <v>0</v>
      </c>
      <c r="AM504" s="77">
        <f>SUM(AO504:AT504)</f>
        <v>0</v>
      </c>
      <c r="AN504" s="129"/>
      <c r="AO504" s="72"/>
      <c r="AP504" s="72"/>
      <c r="AQ504" s="72"/>
      <c r="AR504" s="72"/>
      <c r="AS504" s="129"/>
      <c r="AT504" s="72"/>
      <c r="AU504" s="129"/>
      <c r="AV504" s="125"/>
      <c r="AW504" s="72"/>
      <c r="AX504" s="72"/>
    </row>
    <row r="505" spans="1:50" ht="15" customHeight="1">
      <c r="A505" s="106" t="s">
        <v>1794</v>
      </c>
      <c r="B505" s="110" t="s">
        <v>1499</v>
      </c>
      <c r="C505" s="69" t="s">
        <v>45</v>
      </c>
      <c r="D505" s="111" t="s">
        <v>123</v>
      </c>
      <c r="E505" s="111" t="s">
        <v>1721</v>
      </c>
      <c r="F505" s="130">
        <v>3</v>
      </c>
      <c r="G505" s="133" t="s">
        <v>54</v>
      </c>
      <c r="H505" s="133" t="s">
        <v>1249</v>
      </c>
      <c r="I505" s="133" t="s">
        <v>1795</v>
      </c>
      <c r="J505" s="133" t="s">
        <v>1796</v>
      </c>
      <c r="K505" s="72"/>
      <c r="L505" s="72"/>
      <c r="M505" s="72"/>
      <c r="N505" s="72"/>
      <c r="O505" s="133" t="s">
        <v>69</v>
      </c>
      <c r="P505" s="69">
        <v>1</v>
      </c>
      <c r="Q505" s="110">
        <f>MAX(0,$V505-$P505-$S505)</f>
        <v>0</v>
      </c>
      <c r="R505" s="130"/>
      <c r="S505" s="130"/>
      <c r="T505" s="134">
        <v>0.67</v>
      </c>
      <c r="U505" s="114">
        <f>IF(AND($Q505&gt;0,ISNUMBER($T505)),$Q505*$T505,0)</f>
        <v>0</v>
      </c>
      <c r="V505" s="68">
        <f>SUM(W505:AB505)</f>
        <v>0</v>
      </c>
      <c r="W505" s="130"/>
      <c r="X505" s="130"/>
      <c r="Y505" s="130"/>
      <c r="Z505" s="130"/>
      <c r="AA505" s="130"/>
      <c r="AB505" s="137"/>
      <c r="AC505" s="68"/>
      <c r="AD505" s="75">
        <f>SUM(AE505:AJ505)</f>
        <v>1</v>
      </c>
      <c r="AE505" s="76"/>
      <c r="AF505" s="76"/>
      <c r="AG505" s="76"/>
      <c r="AH505" s="76"/>
      <c r="AI505" s="76"/>
      <c r="AJ505" s="76">
        <v>1</v>
      </c>
      <c r="AK505" s="76"/>
      <c r="AL505" s="77">
        <f>IF((P505-SUM(AE505:AK505))&lt;0,0,P505-SUM(AE505:AK505))</f>
        <v>0</v>
      </c>
      <c r="AM505" s="77">
        <f>SUM(AO505:AT505)</f>
        <v>1</v>
      </c>
      <c r="AN505" s="140" t="s">
        <v>105</v>
      </c>
      <c r="AO505" s="72"/>
      <c r="AP505" s="72"/>
      <c r="AQ505" s="129"/>
      <c r="AR505" s="72"/>
      <c r="AS505" s="72"/>
      <c r="AT505" s="79">
        <v>1</v>
      </c>
      <c r="AU505" s="125" t="s">
        <v>1797</v>
      </c>
      <c r="AV505" s="125"/>
      <c r="AW505" s="72"/>
      <c r="AX505" s="72"/>
    </row>
    <row r="506" spans="1:50" ht="15" customHeight="1">
      <c r="A506" s="111" t="s">
        <v>1798</v>
      </c>
      <c r="B506" s="110" t="s">
        <v>1499</v>
      </c>
      <c r="C506" s="69" t="s">
        <v>45</v>
      </c>
      <c r="D506" s="111" t="s">
        <v>123</v>
      </c>
      <c r="E506" s="111" t="s">
        <v>85</v>
      </c>
      <c r="F506" s="130">
        <v>3</v>
      </c>
      <c r="G506" s="133" t="s">
        <v>296</v>
      </c>
      <c r="H506" s="133" t="s">
        <v>1799</v>
      </c>
      <c r="I506" s="133"/>
      <c r="J506" s="133"/>
      <c r="K506" s="69"/>
      <c r="L506" s="69"/>
      <c r="M506" s="69"/>
      <c r="N506" s="69"/>
      <c r="O506" s="133" t="s">
        <v>504</v>
      </c>
      <c r="P506" s="69">
        <v>1</v>
      </c>
      <c r="Q506" s="110">
        <f>MAX(0,$V506-$P506-$S506)</f>
        <v>0</v>
      </c>
      <c r="R506" s="130"/>
      <c r="S506" s="130"/>
      <c r="T506" s="134">
        <v>0.3</v>
      </c>
      <c r="U506" s="114">
        <f>IF(AND($Q506&gt;0,ISNUMBER($T506)),$Q506*$T506,0)</f>
        <v>0</v>
      </c>
      <c r="V506" s="68">
        <f>SUM(W506:AB506)</f>
        <v>0</v>
      </c>
      <c r="W506" s="130"/>
      <c r="X506" s="130"/>
      <c r="Y506" s="130"/>
      <c r="Z506" s="130"/>
      <c r="AA506" s="130"/>
      <c r="AB506" s="130"/>
      <c r="AC506" s="68"/>
      <c r="AD506" s="75">
        <f>SUM(AE506:AJ506)</f>
        <v>0</v>
      </c>
      <c r="AE506" s="76"/>
      <c r="AF506" s="76"/>
      <c r="AG506" s="76"/>
      <c r="AH506" s="76"/>
      <c r="AI506" s="76"/>
      <c r="AJ506" s="76"/>
      <c r="AK506" s="76"/>
      <c r="AL506" s="77">
        <f>IF((P506-SUM(AE506:AK506))&lt;0,0,P506-SUM(AE506:AK506))</f>
        <v>1</v>
      </c>
      <c r="AM506" s="77">
        <f>SUM(AO506:AT506)</f>
        <v>0</v>
      </c>
      <c r="AN506" s="72"/>
      <c r="AO506" s="72"/>
      <c r="AP506" s="72"/>
      <c r="AQ506" s="72"/>
      <c r="AR506" s="72"/>
      <c r="AS506" s="72"/>
      <c r="AT506" s="72"/>
      <c r="AU506" s="72"/>
      <c r="AV506" s="125"/>
      <c r="AW506" s="72"/>
      <c r="AX506" s="72"/>
    </row>
    <row r="507" spans="1:50" ht="15" customHeight="1">
      <c r="A507" s="111" t="s">
        <v>1800</v>
      </c>
      <c r="B507" s="110" t="s">
        <v>1499</v>
      </c>
      <c r="C507" s="69" t="s">
        <v>45</v>
      </c>
      <c r="D507" s="111" t="s">
        <v>123</v>
      </c>
      <c r="E507" s="111" t="s">
        <v>85</v>
      </c>
      <c r="F507" s="130">
        <v>3</v>
      </c>
      <c r="G507" s="133" t="s">
        <v>296</v>
      </c>
      <c r="H507" s="133" t="s">
        <v>1801</v>
      </c>
      <c r="I507" s="133"/>
      <c r="J507" s="133"/>
      <c r="K507" s="69"/>
      <c r="L507" s="69"/>
      <c r="M507" s="69"/>
      <c r="N507" s="69"/>
      <c r="O507" s="133" t="s">
        <v>1445</v>
      </c>
      <c r="P507" s="69">
        <v>1</v>
      </c>
      <c r="Q507" s="110">
        <f>MAX(0,$V507-$P507-$S507)</f>
        <v>0</v>
      </c>
      <c r="R507" s="130"/>
      <c r="S507" s="130"/>
      <c r="T507" s="134">
        <v>1.37</v>
      </c>
      <c r="U507" s="114">
        <f>IF(AND($Q507&gt;0,ISNUMBER($T507)),$Q507*$T507,0)</f>
        <v>0</v>
      </c>
      <c r="V507" s="68">
        <f>SUM(W507:AB507)</f>
        <v>1</v>
      </c>
      <c r="W507" s="130">
        <v>1</v>
      </c>
      <c r="X507" s="130"/>
      <c r="Y507" s="130"/>
      <c r="Z507" s="130"/>
      <c r="AA507" s="130"/>
      <c r="AB507" s="130"/>
      <c r="AC507" s="68"/>
      <c r="AD507" s="75">
        <f>SUM(AE507:AJ507)</f>
        <v>1</v>
      </c>
      <c r="AE507" s="76">
        <v>1</v>
      </c>
      <c r="AF507" s="76"/>
      <c r="AG507" s="76"/>
      <c r="AH507" s="76"/>
      <c r="AI507" s="76"/>
      <c r="AJ507" s="76"/>
      <c r="AK507" s="76"/>
      <c r="AL507" s="77">
        <f>IF((P507-SUM(AE507:AK507))&lt;0,0,P507-SUM(AE507:AK507))</f>
        <v>0</v>
      </c>
      <c r="AM507" s="77">
        <f>SUM(AO507:AT507)</f>
        <v>0</v>
      </c>
      <c r="AN507" s="129"/>
      <c r="AO507" s="72"/>
      <c r="AP507" s="72"/>
      <c r="AQ507" s="72"/>
      <c r="AR507" s="72"/>
      <c r="AS507" s="72"/>
      <c r="AT507" s="72"/>
      <c r="AU507" s="72"/>
      <c r="AV507" s="125"/>
      <c r="AW507" s="72"/>
      <c r="AX507" s="72"/>
    </row>
    <row r="508" spans="1:50" ht="15" customHeight="1">
      <c r="A508" s="109" t="s">
        <v>2290</v>
      </c>
      <c r="B508" s="110" t="s">
        <v>1971</v>
      </c>
      <c r="C508" s="69" t="s">
        <v>45</v>
      </c>
      <c r="D508" s="111" t="s">
        <v>175</v>
      </c>
      <c r="E508" s="111"/>
      <c r="F508" s="130">
        <v>2</v>
      </c>
      <c r="G508" s="133" t="s">
        <v>54</v>
      </c>
      <c r="H508" s="133" t="s">
        <v>2292</v>
      </c>
      <c r="I508" s="133" t="s">
        <v>2293</v>
      </c>
      <c r="J508" s="133" t="s">
        <v>2294</v>
      </c>
      <c r="K508" s="72"/>
      <c r="L508" s="72"/>
      <c r="M508" s="72"/>
      <c r="N508" s="72"/>
      <c r="O508" s="133" t="s">
        <v>2291</v>
      </c>
      <c r="P508" s="69">
        <v>1</v>
      </c>
      <c r="Q508" s="110">
        <f>MAX(0,$V508-$P508-$S508)</f>
        <v>0</v>
      </c>
      <c r="R508" s="130"/>
      <c r="S508" s="130"/>
      <c r="T508" s="134">
        <v>0.44</v>
      </c>
      <c r="U508" s="114">
        <f>IF(AND($Q508&gt;0,ISNUMBER($T508)),$Q508*$T508,0)</f>
        <v>0</v>
      </c>
      <c r="V508" s="68">
        <f>SUM(W508:AB508)</f>
        <v>1</v>
      </c>
      <c r="W508" s="130"/>
      <c r="X508" s="130"/>
      <c r="Y508" s="130"/>
      <c r="Z508" s="130"/>
      <c r="AA508" s="135">
        <v>1</v>
      </c>
      <c r="AB508" s="130"/>
      <c r="AC508" s="68"/>
      <c r="AD508" s="75">
        <f>SUM(AE508:AJ508)</f>
        <v>1</v>
      </c>
      <c r="AE508" s="76"/>
      <c r="AF508" s="76"/>
      <c r="AG508" s="76"/>
      <c r="AH508" s="76"/>
      <c r="AI508" s="76">
        <v>1</v>
      </c>
      <c r="AJ508" s="76"/>
      <c r="AK508" s="76"/>
      <c r="AL508" s="77">
        <f>IF((P508-SUM(AE508:AK508))&lt;0,0,P508-SUM(AE508:AK508))</f>
        <v>0</v>
      </c>
      <c r="AM508" s="77">
        <f>SUM(AO508:AT508)</f>
        <v>0</v>
      </c>
      <c r="AN508" s="129"/>
      <c r="AO508" s="72"/>
      <c r="AP508" s="72"/>
      <c r="AQ508" s="72"/>
      <c r="AR508" s="72"/>
      <c r="AS508" s="72"/>
      <c r="AT508" s="129"/>
      <c r="AU508" s="129"/>
      <c r="AV508" s="125"/>
      <c r="AW508" s="72"/>
      <c r="AX508" s="72"/>
    </row>
    <row r="509" spans="1:50" ht="15" customHeight="1">
      <c r="A509" s="108" t="s">
        <v>2523</v>
      </c>
      <c r="B509" s="107" t="s">
        <v>345</v>
      </c>
      <c r="C509" s="101" t="s">
        <v>45</v>
      </c>
      <c r="D509" s="108" t="s">
        <v>175</v>
      </c>
      <c r="E509" s="108" t="s">
        <v>390</v>
      </c>
      <c r="F509" s="131">
        <v>2</v>
      </c>
      <c r="G509" s="127" t="s">
        <v>54</v>
      </c>
      <c r="H509" s="127" t="s">
        <v>2524</v>
      </c>
      <c r="I509" s="127" t="s">
        <v>2525</v>
      </c>
      <c r="J509" s="127"/>
      <c r="K509" s="99"/>
      <c r="L509" s="99"/>
      <c r="M509" s="99"/>
      <c r="N509" s="99"/>
      <c r="O509" s="127" t="s">
        <v>48</v>
      </c>
      <c r="P509" s="69">
        <v>1</v>
      </c>
      <c r="Q509" s="110">
        <f>MAX(0,$V509-$P509-$S509)</f>
        <v>0</v>
      </c>
      <c r="R509" s="127"/>
      <c r="S509" s="127"/>
      <c r="T509" s="127">
        <v>0.23</v>
      </c>
      <c r="U509" s="108">
        <f>IF(AND($Q509&gt;0,ISNUMBER($T509)),$Q509*$T509,0)</f>
        <v>0</v>
      </c>
      <c r="V509" s="68">
        <f>SUM(W509:AB509)</f>
        <v>0</v>
      </c>
      <c r="W509" s="131"/>
      <c r="X509" s="131"/>
      <c r="Y509" s="131"/>
      <c r="Z509" s="131"/>
      <c r="AA509" s="131"/>
      <c r="AB509" s="131"/>
      <c r="AC509" s="68"/>
      <c r="AD509" s="75">
        <f>SUM(AE509:AJ509)</f>
        <v>0</v>
      </c>
      <c r="AE509" s="102"/>
      <c r="AF509" s="102"/>
      <c r="AG509" s="102"/>
      <c r="AH509" s="102"/>
      <c r="AI509" s="102"/>
      <c r="AJ509" s="102"/>
      <c r="AK509" s="102"/>
      <c r="AL509" s="77">
        <f>IF((P509-SUM(AE509:AK509))&lt;0,0,P509-SUM(AE509:AK509))</f>
        <v>1</v>
      </c>
      <c r="AM509" s="77">
        <f>SUM(AO509:AT509)</f>
        <v>0</v>
      </c>
      <c r="AN509" s="127"/>
      <c r="AO509" s="99"/>
      <c r="AP509" s="99"/>
      <c r="AQ509" s="99"/>
      <c r="AR509" s="99"/>
      <c r="AS509" s="127"/>
      <c r="AT509" s="99"/>
      <c r="AU509" s="127"/>
      <c r="AV509" s="127"/>
      <c r="AW509" s="99"/>
      <c r="AX509" s="99"/>
    </row>
    <row r="510" spans="1:50" ht="15" customHeight="1">
      <c r="A510" s="148" t="s">
        <v>2297</v>
      </c>
      <c r="B510" s="116" t="s">
        <v>1971</v>
      </c>
      <c r="C510" s="69" t="s">
        <v>45</v>
      </c>
      <c r="D510" s="115" t="s">
        <v>72</v>
      </c>
      <c r="E510" s="115"/>
      <c r="F510" s="132">
        <v>2</v>
      </c>
      <c r="G510" s="129" t="s">
        <v>49</v>
      </c>
      <c r="H510" s="129" t="s">
        <v>2298</v>
      </c>
      <c r="I510" s="129" t="s">
        <v>2299</v>
      </c>
      <c r="J510" s="129"/>
      <c r="K510" s="72"/>
      <c r="L510" s="72"/>
      <c r="M510" s="72"/>
      <c r="N510" s="72"/>
      <c r="O510" s="129" t="s">
        <v>136</v>
      </c>
      <c r="P510" s="69">
        <v>1</v>
      </c>
      <c r="Q510" s="110">
        <f>MAX(0,$V510-$P510-$S510)</f>
        <v>0</v>
      </c>
      <c r="R510" s="129"/>
      <c r="S510" s="129"/>
      <c r="T510" s="129">
        <v>0.18</v>
      </c>
      <c r="U510" s="115">
        <f>IF(AND($Q510&gt;0,ISNUMBER($T510)),$Q510*$T510,0)</f>
        <v>0</v>
      </c>
      <c r="V510" s="68">
        <f>SUM(W510:AB510)</f>
        <v>0</v>
      </c>
      <c r="W510" s="132"/>
      <c r="X510" s="132"/>
      <c r="Y510" s="132"/>
      <c r="Z510" s="132"/>
      <c r="AA510" s="149"/>
      <c r="AB510" s="132"/>
      <c r="AC510" s="90"/>
      <c r="AD510" s="75">
        <f>SUM(AE510:AJ510)</f>
        <v>0</v>
      </c>
      <c r="AE510" s="76"/>
      <c r="AF510" s="76"/>
      <c r="AG510" s="76"/>
      <c r="AH510" s="76"/>
      <c r="AI510" s="76"/>
      <c r="AJ510" s="76"/>
      <c r="AK510" s="76"/>
      <c r="AL510" s="77">
        <f>IF((P510-SUM(AE510:AK510))&lt;0,0,P510-SUM(AE510:AK510))</f>
        <v>1</v>
      </c>
      <c r="AM510" s="77">
        <f>SUM(AO510:AT510)</f>
        <v>1</v>
      </c>
      <c r="AN510" s="80" t="s">
        <v>105</v>
      </c>
      <c r="AO510" s="79">
        <v>1</v>
      </c>
      <c r="AP510" s="72"/>
      <c r="AQ510" s="72"/>
      <c r="AR510" s="72"/>
      <c r="AS510" s="72"/>
      <c r="AT510" s="72"/>
      <c r="AU510" s="31" t="s">
        <v>2300</v>
      </c>
      <c r="AV510" s="129"/>
      <c r="AW510" s="72"/>
      <c r="AX510" s="72"/>
    </row>
    <row r="511" spans="1:50" ht="15" customHeight="1">
      <c r="A511" s="111" t="s">
        <v>2301</v>
      </c>
      <c r="B511" s="110" t="s">
        <v>1971</v>
      </c>
      <c r="C511" s="69" t="s">
        <v>45</v>
      </c>
      <c r="D511" s="111" t="s">
        <v>64</v>
      </c>
      <c r="E511" s="111" t="s">
        <v>2302</v>
      </c>
      <c r="F511" s="130">
        <v>3</v>
      </c>
      <c r="G511" s="133" t="s">
        <v>499</v>
      </c>
      <c r="H511" s="133" t="s">
        <v>2226</v>
      </c>
      <c r="I511" s="133" t="s">
        <v>197</v>
      </c>
      <c r="J511" s="133" t="s">
        <v>1933</v>
      </c>
      <c r="K511" s="72"/>
      <c r="L511" s="72"/>
      <c r="M511" s="72"/>
      <c r="N511" s="72"/>
      <c r="O511" s="133" t="s">
        <v>2303</v>
      </c>
      <c r="P511" s="69">
        <v>1</v>
      </c>
      <c r="Q511" s="110">
        <f>MAX(0,$V511-$P511-$S511)</f>
        <v>0</v>
      </c>
      <c r="R511" s="130"/>
      <c r="S511" s="130"/>
      <c r="T511" s="134">
        <v>0.11</v>
      </c>
      <c r="U511" s="114">
        <f>IF(AND($Q511&gt;0,ISNUMBER($T511)),$Q511*$T511,0)</f>
        <v>0</v>
      </c>
      <c r="V511" s="68">
        <f>SUM(W511:AB511)</f>
        <v>1</v>
      </c>
      <c r="W511" s="130"/>
      <c r="X511" s="130">
        <v>1</v>
      </c>
      <c r="Y511" s="130"/>
      <c r="Z511" s="130"/>
      <c r="AA511" s="130"/>
      <c r="AB511" s="130"/>
      <c r="AC511" s="68"/>
      <c r="AD511" s="75">
        <f>SUM(AE511:AJ511)</f>
        <v>1</v>
      </c>
      <c r="AE511" s="76"/>
      <c r="AF511" s="76">
        <v>1</v>
      </c>
      <c r="AG511" s="76"/>
      <c r="AH511" s="76"/>
      <c r="AI511" s="76"/>
      <c r="AJ511" s="76"/>
      <c r="AK511" s="76"/>
      <c r="AL511" s="77">
        <f>IF((P511-SUM(AE511:AK511))&lt;0,0,P511-SUM(AE511:AK511))</f>
        <v>0</v>
      </c>
      <c r="AM511" s="77">
        <f>SUM(AO511:AT511)</f>
        <v>0</v>
      </c>
      <c r="AN511" s="129"/>
      <c r="AO511" s="72"/>
      <c r="AP511" s="72"/>
      <c r="AQ511" s="72"/>
      <c r="AR511" s="72"/>
      <c r="AS511" s="129"/>
      <c r="AT511" s="72"/>
      <c r="AU511" s="129"/>
      <c r="AV511" s="125"/>
      <c r="AW511" s="72"/>
      <c r="AX511" s="129"/>
    </row>
    <row r="512" spans="1:50" ht="15" customHeight="1">
      <c r="A512" s="111" t="s">
        <v>846</v>
      </c>
      <c r="B512" s="110" t="s">
        <v>636</v>
      </c>
      <c r="C512" s="69" t="s">
        <v>45</v>
      </c>
      <c r="D512" s="111" t="s">
        <v>72</v>
      </c>
      <c r="E512" s="111"/>
      <c r="F512" s="130">
        <v>1</v>
      </c>
      <c r="G512" s="133" t="s">
        <v>170</v>
      </c>
      <c r="H512" s="133" t="s">
        <v>847</v>
      </c>
      <c r="I512" s="133"/>
      <c r="J512" s="133"/>
      <c r="K512" s="72"/>
      <c r="L512" s="72"/>
      <c r="M512" s="72"/>
      <c r="N512" s="72"/>
      <c r="O512" s="133" t="s">
        <v>53</v>
      </c>
      <c r="P512" s="69">
        <v>1</v>
      </c>
      <c r="Q512" s="110">
        <f>MAX(0,$V512-$P512-$S512)</f>
        <v>0</v>
      </c>
      <c r="R512" s="130"/>
      <c r="S512" s="130"/>
      <c r="T512" s="134">
        <v>0.12</v>
      </c>
      <c r="U512" s="114">
        <f>IF(AND($Q512&gt;0,ISNUMBER($T512)),$Q512*$T512,0)</f>
        <v>0</v>
      </c>
      <c r="V512" s="68">
        <f>SUM(W512:AB512)</f>
        <v>0</v>
      </c>
      <c r="W512" s="130"/>
      <c r="X512" s="130"/>
      <c r="Y512" s="130"/>
      <c r="Z512" s="130"/>
      <c r="AA512" s="130"/>
      <c r="AB512" s="130"/>
      <c r="AC512" s="68"/>
      <c r="AD512" s="75">
        <f>SUM(AE512:AJ512)</f>
        <v>0</v>
      </c>
      <c r="AE512" s="76"/>
      <c r="AF512" s="76"/>
      <c r="AG512" s="76"/>
      <c r="AH512" s="76"/>
      <c r="AI512" s="76"/>
      <c r="AJ512" s="76"/>
      <c r="AK512" s="76"/>
      <c r="AL512" s="77">
        <f>IF((P512-SUM(AE512:AK512))&lt;0,0,P512-SUM(AE512:AK512))</f>
        <v>1</v>
      </c>
      <c r="AM512" s="77">
        <f>SUM(AO512:AT512)</f>
        <v>0</v>
      </c>
      <c r="AN512" s="72"/>
      <c r="AO512" s="72"/>
      <c r="AP512" s="72"/>
      <c r="AQ512" s="72"/>
      <c r="AR512" s="72"/>
      <c r="AS512" s="72"/>
      <c r="AT512" s="72"/>
      <c r="AU512" s="72"/>
      <c r="AV512" s="125"/>
      <c r="AW512" s="72"/>
      <c r="AX512" s="72"/>
    </row>
    <row r="513" spans="1:50" ht="15" customHeight="1">
      <c r="A513" s="111" t="s">
        <v>267</v>
      </c>
      <c r="B513" s="110" t="s">
        <v>46</v>
      </c>
      <c r="C513" s="69" t="s">
        <v>45</v>
      </c>
      <c r="D513" s="111" t="s">
        <v>64</v>
      </c>
      <c r="E513" s="111" t="s">
        <v>268</v>
      </c>
      <c r="F513" s="130">
        <v>2</v>
      </c>
      <c r="G513" s="133" t="s">
        <v>113</v>
      </c>
      <c r="H513" s="133" t="s">
        <v>269</v>
      </c>
      <c r="I513" s="133"/>
      <c r="J513" s="133"/>
      <c r="K513" s="72"/>
      <c r="L513" s="72"/>
      <c r="M513" s="72"/>
      <c r="N513" s="72"/>
      <c r="O513" s="133" t="s">
        <v>136</v>
      </c>
      <c r="P513" s="69">
        <v>1</v>
      </c>
      <c r="Q513" s="110">
        <f>MAX(0,$V513-$P513-$S513)</f>
        <v>0</v>
      </c>
      <c r="R513" s="130"/>
      <c r="S513" s="130"/>
      <c r="T513" s="134">
        <v>0.15</v>
      </c>
      <c r="U513" s="114">
        <f>IF(AND($Q513&gt;0,ISNUMBER($T513)),$Q513*$T513,0)</f>
        <v>0</v>
      </c>
      <c r="V513" s="68">
        <f>SUM(W513:AB513)</f>
        <v>0</v>
      </c>
      <c r="W513" s="130"/>
      <c r="X513" s="130"/>
      <c r="Y513" s="130"/>
      <c r="Z513" s="130"/>
      <c r="AA513" s="130"/>
      <c r="AB513" s="130"/>
      <c r="AC513" s="68"/>
      <c r="AD513" s="75">
        <f>SUM(AE513:AJ513)</f>
        <v>0</v>
      </c>
      <c r="AE513" s="76"/>
      <c r="AF513" s="76"/>
      <c r="AG513" s="76"/>
      <c r="AH513" s="76"/>
      <c r="AI513" s="76"/>
      <c r="AJ513" s="76"/>
      <c r="AK513" s="76"/>
      <c r="AL513" s="77">
        <f>IF((P513-SUM(AE513:AK513))&lt;0,0,P513-SUM(AE513:AK513))</f>
        <v>1</v>
      </c>
      <c r="AM513" s="77">
        <f>SUM(AO513:AT513)</f>
        <v>0</v>
      </c>
      <c r="AN513" s="72"/>
      <c r="AO513" s="72"/>
      <c r="AP513" s="72"/>
      <c r="AQ513" s="72"/>
      <c r="AR513" s="72"/>
      <c r="AS513" s="72"/>
      <c r="AT513" s="72"/>
      <c r="AU513" s="72"/>
      <c r="AV513" s="125"/>
      <c r="AW513" s="72"/>
      <c r="AX513" s="72"/>
    </row>
    <row r="514" spans="1:50" ht="15" customHeight="1">
      <c r="A514" s="111" t="s">
        <v>1939</v>
      </c>
      <c r="B514" s="110" t="s">
        <v>1831</v>
      </c>
      <c r="C514" s="69" t="s">
        <v>45</v>
      </c>
      <c r="D514" s="111" t="s">
        <v>64</v>
      </c>
      <c r="E514" s="111" t="s">
        <v>637</v>
      </c>
      <c r="F514" s="130">
        <v>5</v>
      </c>
      <c r="G514" s="133" t="s">
        <v>470</v>
      </c>
      <c r="H514" s="133" t="s">
        <v>1940</v>
      </c>
      <c r="I514" s="133" t="s">
        <v>1941</v>
      </c>
      <c r="J514" s="133"/>
      <c r="K514" s="72"/>
      <c r="L514" s="72"/>
      <c r="M514" s="72"/>
      <c r="N514" s="72"/>
      <c r="O514" s="133" t="s">
        <v>48</v>
      </c>
      <c r="P514" s="69">
        <v>1</v>
      </c>
      <c r="Q514" s="110">
        <f>MAX(0,$V514-$P514-$S514)</f>
        <v>0</v>
      </c>
      <c r="R514" s="130"/>
      <c r="S514" s="130"/>
      <c r="T514" s="134">
        <v>0.09</v>
      </c>
      <c r="U514" s="114">
        <f>IF(AND($Q514&gt;0,ISNUMBER($T514)),$Q514*$T514,0)</f>
        <v>0</v>
      </c>
      <c r="V514" s="68">
        <f>SUM(W514:AB514)</f>
        <v>0</v>
      </c>
      <c r="W514" s="130"/>
      <c r="X514" s="130"/>
      <c r="Y514" s="130"/>
      <c r="Z514" s="130"/>
      <c r="AA514" s="130"/>
      <c r="AB514" s="130"/>
      <c r="AC514" s="68"/>
      <c r="AD514" s="75">
        <f>SUM(AE514:AJ514)</f>
        <v>0</v>
      </c>
      <c r="AE514" s="76"/>
      <c r="AF514" s="76"/>
      <c r="AG514" s="76"/>
      <c r="AH514" s="76"/>
      <c r="AI514" s="76"/>
      <c r="AJ514" s="76"/>
      <c r="AK514" s="76"/>
      <c r="AL514" s="77">
        <f>IF((P514-SUM(AE514:AK514))&lt;0,0,P514-SUM(AE514:AK514))</f>
        <v>1</v>
      </c>
      <c r="AM514" s="77">
        <f>SUM(AO514:AT514)</f>
        <v>0</v>
      </c>
      <c r="AN514" s="85"/>
      <c r="AO514" s="72"/>
      <c r="AP514" s="72"/>
      <c r="AQ514" s="85"/>
      <c r="AR514" s="72"/>
      <c r="AS514" s="129"/>
      <c r="AT514" s="72"/>
      <c r="AU514" s="85"/>
      <c r="AV514" s="125"/>
      <c r="AW514" s="72"/>
      <c r="AX514" s="72"/>
    </row>
    <row r="515" spans="1:50" ht="15" customHeight="1">
      <c r="A515" s="109" t="s">
        <v>575</v>
      </c>
      <c r="B515" s="110" t="s">
        <v>345</v>
      </c>
      <c r="C515" s="69" t="s">
        <v>45</v>
      </c>
      <c r="D515" s="111" t="s">
        <v>175</v>
      </c>
      <c r="E515" s="111"/>
      <c r="F515" s="130">
        <v>3</v>
      </c>
      <c r="G515" s="133" t="s">
        <v>350</v>
      </c>
      <c r="H515" s="133" t="s">
        <v>577</v>
      </c>
      <c r="I515" s="133" t="s">
        <v>578</v>
      </c>
      <c r="J515" s="133" t="s">
        <v>579</v>
      </c>
      <c r="K515" s="72"/>
      <c r="L515" s="72"/>
      <c r="M515" s="72"/>
      <c r="N515" s="72"/>
      <c r="O515" s="133" t="s">
        <v>576</v>
      </c>
      <c r="P515" s="69">
        <v>1</v>
      </c>
      <c r="Q515" s="110">
        <f>MAX(0,$V515-$P515-$S515)</f>
        <v>0</v>
      </c>
      <c r="R515" s="130" t="s">
        <v>57</v>
      </c>
      <c r="S515" s="130">
        <v>1</v>
      </c>
      <c r="T515" s="134">
        <v>0.41</v>
      </c>
      <c r="U515" s="114">
        <f>IF(AND($Q515&gt;0,ISNUMBER($T515)),$Q515*$T515,0)</f>
        <v>0</v>
      </c>
      <c r="V515" s="68">
        <f>SUM(W515:AB515)</f>
        <v>1</v>
      </c>
      <c r="W515" s="130"/>
      <c r="X515" s="130"/>
      <c r="Y515" s="135">
        <v>1</v>
      </c>
      <c r="Z515" s="130"/>
      <c r="AA515" s="130"/>
      <c r="AB515" s="130"/>
      <c r="AC515" s="68"/>
      <c r="AD515" s="75">
        <f>SUM(AE515:AJ515)</f>
        <v>1</v>
      </c>
      <c r="AE515" s="76"/>
      <c r="AF515" s="76"/>
      <c r="AG515" s="76">
        <v>1</v>
      </c>
      <c r="AH515" s="76"/>
      <c r="AI515" s="76"/>
      <c r="AJ515" s="76"/>
      <c r="AK515" s="76"/>
      <c r="AL515" s="77">
        <f>IF((P515-SUM(AE515:AK515))&lt;0,0,P515-SUM(AE515:AK515))</f>
        <v>0</v>
      </c>
      <c r="AM515" s="77">
        <f>SUM(AO515:AT515)</f>
        <v>0</v>
      </c>
      <c r="AN515" s="72"/>
      <c r="AO515" s="72"/>
      <c r="AP515" s="72"/>
      <c r="AQ515" s="72"/>
      <c r="AR515" s="72"/>
      <c r="AS515" s="72"/>
      <c r="AT515" s="72"/>
      <c r="AU515" s="72"/>
      <c r="AV515" s="125"/>
      <c r="AW515" s="72"/>
      <c r="AX515" s="72"/>
    </row>
    <row r="516" spans="1:50" ht="15" customHeight="1">
      <c r="A516" s="111" t="s">
        <v>1082</v>
      </c>
      <c r="B516" s="110" t="s">
        <v>919</v>
      </c>
      <c r="C516" s="69" t="s">
        <v>45</v>
      </c>
      <c r="D516" s="111" t="s">
        <v>627</v>
      </c>
      <c r="E516" s="111"/>
      <c r="F516" s="130">
        <v>0</v>
      </c>
      <c r="G516" s="133" t="s">
        <v>627</v>
      </c>
      <c r="H516" s="133" t="s">
        <v>517</v>
      </c>
      <c r="I516" s="133" t="s">
        <v>1084</v>
      </c>
      <c r="J516" s="133" t="s">
        <v>1085</v>
      </c>
      <c r="K516" s="72"/>
      <c r="L516" s="72"/>
      <c r="M516" s="72"/>
      <c r="N516" s="72"/>
      <c r="O516" s="133" t="s">
        <v>1083</v>
      </c>
      <c r="P516" s="69">
        <v>1</v>
      </c>
      <c r="Q516" s="110">
        <f>MAX(0,$V516-$P516-$S516)</f>
        <v>0</v>
      </c>
      <c r="R516" s="130"/>
      <c r="S516" s="130"/>
      <c r="T516" s="134">
        <v>0.23</v>
      </c>
      <c r="U516" s="114">
        <f>IF(AND($Q516&gt;0,ISNUMBER($T516)),$Q516*$T516,0)</f>
        <v>0</v>
      </c>
      <c r="V516" s="68">
        <f>SUM(W516:AB516)</f>
        <v>0</v>
      </c>
      <c r="W516" s="130"/>
      <c r="X516" s="130"/>
      <c r="Y516" s="130"/>
      <c r="Z516" s="130"/>
      <c r="AA516" s="130"/>
      <c r="AB516" s="130"/>
      <c r="AC516" s="68"/>
      <c r="AD516" s="75">
        <f>SUM(AE516:AJ516)</f>
        <v>0</v>
      </c>
      <c r="AE516" s="76"/>
      <c r="AF516" s="76"/>
      <c r="AG516" s="76"/>
      <c r="AH516" s="76"/>
      <c r="AI516" s="76"/>
      <c r="AJ516" s="76"/>
      <c r="AK516" s="76"/>
      <c r="AL516" s="77">
        <f>IF((P516-SUM(AE516:AK516))&lt;0,0,P516-SUM(AE516:AK516))</f>
        <v>1</v>
      </c>
      <c r="AM516" s="77">
        <f>SUM(AO516:AT516)</f>
        <v>0</v>
      </c>
      <c r="AN516" s="129"/>
      <c r="AO516" s="72"/>
      <c r="AP516" s="72"/>
      <c r="AQ516" s="72"/>
      <c r="AR516" s="72"/>
      <c r="AS516" s="129"/>
      <c r="AT516" s="72"/>
      <c r="AU516" s="129"/>
      <c r="AV516" s="125"/>
      <c r="AW516" s="72"/>
      <c r="AX516" s="72"/>
    </row>
    <row r="517" spans="1:50" ht="15" customHeight="1">
      <c r="A517" s="115" t="s">
        <v>1942</v>
      </c>
      <c r="B517" s="116" t="s">
        <v>1831</v>
      </c>
      <c r="C517" s="69" t="s">
        <v>45</v>
      </c>
      <c r="D517" s="115" t="s">
        <v>64</v>
      </c>
      <c r="E517" s="115" t="s">
        <v>1943</v>
      </c>
      <c r="F517" s="132">
        <v>2</v>
      </c>
      <c r="G517" s="129" t="s">
        <v>176</v>
      </c>
      <c r="H517" s="129" t="s">
        <v>1944</v>
      </c>
      <c r="I517" s="129"/>
      <c r="J517" s="129"/>
      <c r="K517" s="72"/>
      <c r="L517" s="72"/>
      <c r="M517" s="72"/>
      <c r="N517" s="72"/>
      <c r="O517" s="129" t="s">
        <v>48</v>
      </c>
      <c r="P517" s="69">
        <v>1</v>
      </c>
      <c r="Q517" s="110">
        <f>MAX(0,$V517-$P517-$S517)</f>
        <v>0</v>
      </c>
      <c r="R517" s="129"/>
      <c r="S517" s="129"/>
      <c r="T517" s="129">
        <v>7.0000000000000007E-2</v>
      </c>
      <c r="U517" s="115">
        <f>IF(AND($Q517&gt;0,ISNUMBER($T517)),$Q517*$T517,0)</f>
        <v>0</v>
      </c>
      <c r="V517" s="68">
        <f>SUM(W517:AB517)</f>
        <v>0</v>
      </c>
      <c r="W517" s="130"/>
      <c r="X517" s="130"/>
      <c r="Y517" s="130"/>
      <c r="Z517" s="130"/>
      <c r="AA517" s="130"/>
      <c r="AB517" s="130"/>
      <c r="AC517" s="68"/>
      <c r="AD517" s="75">
        <f>SUM(AE517:AJ517)</f>
        <v>0</v>
      </c>
      <c r="AE517" s="76"/>
      <c r="AF517" s="76"/>
      <c r="AG517" s="76"/>
      <c r="AH517" s="76"/>
      <c r="AI517" s="76"/>
      <c r="AJ517" s="76"/>
      <c r="AK517" s="76"/>
      <c r="AL517" s="77">
        <f>IF((P517-SUM(AE517:AK517))&lt;0,0,P517-SUM(AE517:AK517))</f>
        <v>1</v>
      </c>
      <c r="AM517" s="77">
        <f>SUM(AO517:AT517)</f>
        <v>0</v>
      </c>
      <c r="AN517" s="72"/>
      <c r="AO517" s="72"/>
      <c r="AP517" s="72"/>
      <c r="AQ517" s="72"/>
      <c r="AR517" s="72"/>
      <c r="AS517" s="72"/>
      <c r="AT517" s="72"/>
      <c r="AU517" s="72"/>
      <c r="AV517" s="129"/>
      <c r="AW517" s="72"/>
      <c r="AX517" s="72"/>
    </row>
    <row r="518" spans="1:50" ht="15" customHeight="1">
      <c r="A518" s="111" t="s">
        <v>1088</v>
      </c>
      <c r="B518" s="110" t="s">
        <v>919</v>
      </c>
      <c r="C518" s="69" t="s">
        <v>45</v>
      </c>
      <c r="D518" s="111" t="s">
        <v>627</v>
      </c>
      <c r="E518" s="111"/>
      <c r="F518" s="130">
        <v>0</v>
      </c>
      <c r="G518" s="133" t="s">
        <v>627</v>
      </c>
      <c r="H518" s="133" t="s">
        <v>1090</v>
      </c>
      <c r="I518" s="133"/>
      <c r="J518" s="133"/>
      <c r="K518" s="69"/>
      <c r="L518" s="69"/>
      <c r="M518" s="69"/>
      <c r="N518" s="69"/>
      <c r="O518" s="133" t="s">
        <v>1089</v>
      </c>
      <c r="P518" s="69">
        <v>1</v>
      </c>
      <c r="Q518" s="110">
        <f>MAX(0,$V518-$P518-$S518)</f>
        <v>0</v>
      </c>
      <c r="R518" s="130"/>
      <c r="S518" s="130"/>
      <c r="T518" s="134">
        <v>0.28999999999999998</v>
      </c>
      <c r="U518" s="114">
        <f>IF(AND($Q518&gt;0,ISNUMBER($T518)),$Q518*$T518,0)</f>
        <v>0</v>
      </c>
      <c r="V518" s="68">
        <f>SUM(W518:AB518)</f>
        <v>1</v>
      </c>
      <c r="W518" s="130">
        <v>1</v>
      </c>
      <c r="X518" s="130"/>
      <c r="Y518" s="130"/>
      <c r="Z518" s="130"/>
      <c r="AA518" s="130"/>
      <c r="AB518" s="130"/>
      <c r="AC518" s="68"/>
      <c r="AD518" s="75">
        <f>SUM(AE518:AJ518)</f>
        <v>1</v>
      </c>
      <c r="AE518" s="76">
        <v>1</v>
      </c>
      <c r="AF518" s="76"/>
      <c r="AG518" s="76"/>
      <c r="AH518" s="76"/>
      <c r="AI518" s="76"/>
      <c r="AJ518" s="76"/>
      <c r="AK518" s="76"/>
      <c r="AL518" s="77">
        <f>IF((P518-SUM(AE518:AK518))&lt;0,0,P518-SUM(AE518:AK518))</f>
        <v>0</v>
      </c>
      <c r="AM518" s="77">
        <f>SUM(AO518:AT518)</f>
        <v>0</v>
      </c>
      <c r="AN518" s="72"/>
      <c r="AO518" s="72"/>
      <c r="AP518" s="72"/>
      <c r="AQ518" s="72"/>
      <c r="AR518" s="72"/>
      <c r="AS518" s="72"/>
      <c r="AT518" s="72"/>
      <c r="AU518" s="72"/>
      <c r="AV518" s="125"/>
      <c r="AW518" s="72"/>
      <c r="AX518" s="72"/>
    </row>
    <row r="519" spans="1:50" ht="15" customHeight="1">
      <c r="A519" s="111" t="s">
        <v>848</v>
      </c>
      <c r="B519" s="110" t="s">
        <v>636</v>
      </c>
      <c r="C519" s="69" t="s">
        <v>45</v>
      </c>
      <c r="D519" s="111" t="s">
        <v>64</v>
      </c>
      <c r="E519" s="111" t="s">
        <v>849</v>
      </c>
      <c r="F519" s="130">
        <v>2</v>
      </c>
      <c r="G519" s="133" t="s">
        <v>438</v>
      </c>
      <c r="H519" s="133" t="s">
        <v>850</v>
      </c>
      <c r="I519" s="133"/>
      <c r="J519" s="133"/>
      <c r="K519" s="72"/>
      <c r="L519" s="72"/>
      <c r="M519" s="72"/>
      <c r="N519" s="72"/>
      <c r="O519" s="133" t="s">
        <v>48</v>
      </c>
      <c r="P519" s="69">
        <v>1</v>
      </c>
      <c r="Q519" s="110">
        <f>MAX(0,$V519-$P519-$S519)</f>
        <v>0</v>
      </c>
      <c r="R519" s="130"/>
      <c r="S519" s="130"/>
      <c r="T519" s="134">
        <v>7.0000000000000007E-2</v>
      </c>
      <c r="U519" s="114">
        <f>IF(AND($Q519&gt;0,ISNUMBER($T519)),$Q519*$T519,0)</f>
        <v>0</v>
      </c>
      <c r="V519" s="68">
        <f>SUM(W519:AB519)</f>
        <v>0</v>
      </c>
      <c r="W519" s="130"/>
      <c r="X519" s="130"/>
      <c r="Y519" s="130"/>
      <c r="Z519" s="130"/>
      <c r="AA519" s="130"/>
      <c r="AB519" s="130"/>
      <c r="AC519" s="68"/>
      <c r="AD519" s="75">
        <f>SUM(AE519:AJ519)</f>
        <v>0</v>
      </c>
      <c r="AE519" s="76"/>
      <c r="AF519" s="76"/>
      <c r="AG519" s="76"/>
      <c r="AH519" s="76"/>
      <c r="AI519" s="76"/>
      <c r="AJ519" s="76"/>
      <c r="AK519" s="76"/>
      <c r="AL519" s="77">
        <f>IF((P519-SUM(AE519:AK519))&lt;0,0,P519-SUM(AE519:AK519))</f>
        <v>1</v>
      </c>
      <c r="AM519" s="77">
        <f>SUM(AO519:AT519)</f>
        <v>0</v>
      </c>
      <c r="AN519" s="85"/>
      <c r="AO519" s="72"/>
      <c r="AP519" s="85"/>
      <c r="AQ519" s="72"/>
      <c r="AR519" s="72"/>
      <c r="AS519" s="72"/>
      <c r="AT519" s="72"/>
      <c r="AU519" s="85"/>
      <c r="AV519" s="125"/>
      <c r="AW519" s="72"/>
      <c r="AX519" s="72"/>
    </row>
    <row r="520" spans="1:50" ht="15" customHeight="1">
      <c r="A520" s="108" t="s">
        <v>2528</v>
      </c>
      <c r="B520" s="107" t="s">
        <v>46</v>
      </c>
      <c r="C520" s="101" t="s">
        <v>45</v>
      </c>
      <c r="D520" s="108" t="s">
        <v>58</v>
      </c>
      <c r="E520" s="108" t="s">
        <v>726</v>
      </c>
      <c r="F520" s="131">
        <v>3</v>
      </c>
      <c r="G520" s="127" t="s">
        <v>49</v>
      </c>
      <c r="H520" s="127" t="s">
        <v>2529</v>
      </c>
      <c r="I520" s="127" t="s">
        <v>2530</v>
      </c>
      <c r="J520" s="127"/>
      <c r="K520" s="99"/>
      <c r="L520" s="99"/>
      <c r="M520" s="99"/>
      <c r="N520" s="99"/>
      <c r="O520" s="127" t="s">
        <v>112</v>
      </c>
      <c r="P520" s="101">
        <v>1</v>
      </c>
      <c r="Q520" s="110">
        <f>MAX(0,$V520-$P520-$S520)</f>
        <v>0</v>
      </c>
      <c r="R520" s="127"/>
      <c r="S520" s="127"/>
      <c r="T520" s="127">
        <v>0.16</v>
      </c>
      <c r="U520" s="108">
        <f>IF(AND($Q520&gt;0,ISNUMBER($T520)),$Q520*$T520,0)</f>
        <v>0</v>
      </c>
      <c r="V520" s="68">
        <f>SUM(W520:AB520)</f>
        <v>0</v>
      </c>
      <c r="W520" s="131"/>
      <c r="X520" s="131"/>
      <c r="Y520" s="131"/>
      <c r="Z520" s="131"/>
      <c r="AA520" s="131"/>
      <c r="AB520" s="131"/>
      <c r="AC520" s="68"/>
      <c r="AD520" s="75">
        <f>SUM(AE520:AJ520)</f>
        <v>0</v>
      </c>
      <c r="AE520" s="102"/>
      <c r="AF520" s="102"/>
      <c r="AG520" s="102"/>
      <c r="AH520" s="102"/>
      <c r="AI520" s="102"/>
      <c r="AJ520" s="102"/>
      <c r="AK520" s="102"/>
      <c r="AL520" s="77">
        <f>IF((P520-SUM(AE520:AK520))&lt;0,0,P520-SUM(AE520:AK520))</f>
        <v>1</v>
      </c>
      <c r="AM520" s="77">
        <f>SUM(AO520:AT520)</f>
        <v>0</v>
      </c>
      <c r="AN520" s="99"/>
      <c r="AO520" s="99"/>
      <c r="AP520" s="99"/>
      <c r="AQ520" s="99"/>
      <c r="AR520" s="99"/>
      <c r="AS520" s="99"/>
      <c r="AT520" s="99"/>
      <c r="AU520" s="99"/>
      <c r="AV520" s="127"/>
      <c r="AW520" s="99"/>
      <c r="AX520" s="99"/>
    </row>
    <row r="521" spans="1:50" ht="15" customHeight="1">
      <c r="A521" s="111" t="s">
        <v>580</v>
      </c>
      <c r="B521" s="110" t="s">
        <v>345</v>
      </c>
      <c r="C521" s="69" t="s">
        <v>45</v>
      </c>
      <c r="D521" s="111" t="s">
        <v>175</v>
      </c>
      <c r="E521" s="111" t="s">
        <v>390</v>
      </c>
      <c r="F521" s="130">
        <v>2</v>
      </c>
      <c r="G521" s="133" t="s">
        <v>499</v>
      </c>
      <c r="H521" s="133" t="s">
        <v>582</v>
      </c>
      <c r="I521" s="133" t="s">
        <v>583</v>
      </c>
      <c r="J521" s="133"/>
      <c r="K521" s="72"/>
      <c r="L521" s="72"/>
      <c r="M521" s="72"/>
      <c r="N521" s="72"/>
      <c r="O521" s="133" t="s">
        <v>581</v>
      </c>
      <c r="P521" s="69">
        <v>1</v>
      </c>
      <c r="Q521" s="110">
        <f>MAX(0,$V521-$P521-$S521)</f>
        <v>0</v>
      </c>
      <c r="R521" s="130"/>
      <c r="S521" s="130"/>
      <c r="T521" s="134">
        <v>2.2999999999999998</v>
      </c>
      <c r="U521" s="114">
        <f>IF(AND($Q521&gt;0,ISNUMBER($T521)),$Q521*$T521,0)</f>
        <v>0</v>
      </c>
      <c r="V521" s="68">
        <f>SUM(W521:AB521)</f>
        <v>1</v>
      </c>
      <c r="W521" s="130"/>
      <c r="X521" s="130"/>
      <c r="Y521" s="130"/>
      <c r="Z521" s="130"/>
      <c r="AA521" s="130"/>
      <c r="AB521" s="130">
        <v>1</v>
      </c>
      <c r="AC521" s="68"/>
      <c r="AD521" s="75">
        <f>SUM(AE521:AJ521)</f>
        <v>1</v>
      </c>
      <c r="AE521" s="76"/>
      <c r="AF521" s="76"/>
      <c r="AG521" s="76"/>
      <c r="AH521" s="76"/>
      <c r="AI521" s="76"/>
      <c r="AJ521" s="76">
        <v>1</v>
      </c>
      <c r="AK521" s="76"/>
      <c r="AL521" s="77">
        <f>IF((P521-SUM(AE521:AK521))&lt;0,0,P521-SUM(AE521:AK521))</f>
        <v>0</v>
      </c>
      <c r="AM521" s="77">
        <f>SUM(AO521:AT521)</f>
        <v>0</v>
      </c>
      <c r="AN521" s="72"/>
      <c r="AO521" s="72"/>
      <c r="AP521" s="72"/>
      <c r="AQ521" s="72"/>
      <c r="AR521" s="72"/>
      <c r="AS521" s="72"/>
      <c r="AT521" s="72"/>
      <c r="AU521" s="72"/>
      <c r="AV521" s="125"/>
      <c r="AW521" s="72"/>
      <c r="AX521" s="72"/>
    </row>
    <row r="522" spans="1:50" ht="15" customHeight="1">
      <c r="A522" s="111" t="s">
        <v>851</v>
      </c>
      <c r="B522" s="110" t="s">
        <v>636</v>
      </c>
      <c r="C522" s="69" t="s">
        <v>45</v>
      </c>
      <c r="D522" s="111" t="s">
        <v>64</v>
      </c>
      <c r="E522" s="111" t="s">
        <v>852</v>
      </c>
      <c r="F522" s="130">
        <v>3</v>
      </c>
      <c r="G522" s="133" t="s">
        <v>433</v>
      </c>
      <c r="H522" s="133" t="s">
        <v>466</v>
      </c>
      <c r="I522" s="133"/>
      <c r="J522" s="133"/>
      <c r="K522" s="72"/>
      <c r="L522" s="72"/>
      <c r="M522" s="72"/>
      <c r="N522" s="72"/>
      <c r="O522" s="133" t="s">
        <v>53</v>
      </c>
      <c r="P522" s="69">
        <v>1</v>
      </c>
      <c r="Q522" s="110">
        <f>MAX(0,$V522-$P522-$S522)</f>
        <v>0</v>
      </c>
      <c r="R522" s="130"/>
      <c r="S522" s="130"/>
      <c r="T522" s="134">
        <v>0.04</v>
      </c>
      <c r="U522" s="114">
        <f>IF(AND($Q522&gt;0,ISNUMBER($T522)),$Q522*$T522,0)</f>
        <v>0</v>
      </c>
      <c r="V522" s="68">
        <f>SUM(W522:AB522)</f>
        <v>0</v>
      </c>
      <c r="W522" s="130"/>
      <c r="X522" s="130"/>
      <c r="Y522" s="130"/>
      <c r="Z522" s="130"/>
      <c r="AA522" s="130"/>
      <c r="AB522" s="130"/>
      <c r="AC522" s="68"/>
      <c r="AD522" s="75">
        <f>SUM(AE522:AJ522)</f>
        <v>0</v>
      </c>
      <c r="AE522" s="76"/>
      <c r="AF522" s="76"/>
      <c r="AG522" s="76"/>
      <c r="AH522" s="76"/>
      <c r="AI522" s="76"/>
      <c r="AJ522" s="76"/>
      <c r="AK522" s="76"/>
      <c r="AL522" s="77">
        <f>IF((P522-SUM(AE522:AK522))&lt;0,0,P522-SUM(AE522:AK522))</f>
        <v>1</v>
      </c>
      <c r="AM522" s="77">
        <f>SUM(AO522:AT522)</f>
        <v>0</v>
      </c>
      <c r="AN522" s="129"/>
      <c r="AO522" s="129"/>
      <c r="AP522" s="72"/>
      <c r="AQ522" s="72"/>
      <c r="AR522" s="72"/>
      <c r="AS522" s="72"/>
      <c r="AT522" s="72"/>
      <c r="AU522" s="129"/>
      <c r="AV522" s="125"/>
      <c r="AW522" s="72"/>
      <c r="AX522" s="72"/>
    </row>
    <row r="523" spans="1:50" ht="15" customHeight="1">
      <c r="A523" s="111" t="s">
        <v>853</v>
      </c>
      <c r="B523" s="110" t="s">
        <v>636</v>
      </c>
      <c r="C523" s="69" t="s">
        <v>45</v>
      </c>
      <c r="D523" s="111" t="s">
        <v>64</v>
      </c>
      <c r="E523" s="111" t="s">
        <v>283</v>
      </c>
      <c r="F523" s="77">
        <v>2</v>
      </c>
      <c r="G523" s="112" t="s">
        <v>656</v>
      </c>
      <c r="H523" s="112" t="s">
        <v>351</v>
      </c>
      <c r="I523" s="112" t="s">
        <v>854</v>
      </c>
      <c r="J523" s="112"/>
      <c r="K523" s="72"/>
      <c r="L523" s="72"/>
      <c r="M523" s="72"/>
      <c r="N523" s="72"/>
      <c r="O523" s="112" t="s">
        <v>251</v>
      </c>
      <c r="P523" s="69">
        <v>1</v>
      </c>
      <c r="Q523" s="110">
        <f>MAX(0,$V523-$P523-$S523)</f>
        <v>0</v>
      </c>
      <c r="R523" s="77"/>
      <c r="S523" s="77"/>
      <c r="T523" s="113">
        <v>0.99</v>
      </c>
      <c r="U523" s="114">
        <f>IF(AND($Q523&gt;0,ISNUMBER($T523)),$Q523*$T523,0)</f>
        <v>0</v>
      </c>
      <c r="V523" s="68">
        <f>SUM(W523:AB523)</f>
        <v>1</v>
      </c>
      <c r="W523" s="77"/>
      <c r="X523" s="77"/>
      <c r="Y523" s="77"/>
      <c r="Z523" s="77">
        <v>1</v>
      </c>
      <c r="AA523" s="77"/>
      <c r="AB523" s="77"/>
      <c r="AC523" s="68"/>
      <c r="AD523" s="75">
        <f>SUM(AE523:AJ523)</f>
        <v>1</v>
      </c>
      <c r="AE523" s="76"/>
      <c r="AF523" s="76"/>
      <c r="AG523" s="76"/>
      <c r="AH523" s="76">
        <v>1</v>
      </c>
      <c r="AI523" s="76"/>
      <c r="AJ523" s="76"/>
      <c r="AK523" s="76"/>
      <c r="AL523" s="77">
        <f>IF((P523-SUM(AE523:AK523))&lt;0,0,P523-SUM(AE523:AK523))</f>
        <v>0</v>
      </c>
      <c r="AM523" s="77">
        <f>SUM(AO523:AT523)</f>
        <v>0</v>
      </c>
      <c r="AN523" s="129"/>
      <c r="AO523" s="72"/>
      <c r="AP523" s="72"/>
      <c r="AQ523" s="72"/>
      <c r="AR523" s="129"/>
      <c r="AS523" s="72"/>
      <c r="AT523" s="72"/>
      <c r="AU523" s="129"/>
      <c r="AV523" s="31"/>
      <c r="AW523" s="72"/>
      <c r="AX523" s="72"/>
    </row>
    <row r="524" spans="1:50" ht="15" customHeight="1">
      <c r="A524" s="111" t="s">
        <v>855</v>
      </c>
      <c r="B524" s="110" t="s">
        <v>636</v>
      </c>
      <c r="C524" s="69" t="s">
        <v>45</v>
      </c>
      <c r="D524" s="111" t="s">
        <v>64</v>
      </c>
      <c r="E524" s="111" t="s">
        <v>856</v>
      </c>
      <c r="F524" s="77">
        <v>2</v>
      </c>
      <c r="G524" s="112" t="s">
        <v>392</v>
      </c>
      <c r="H524" s="112" t="s">
        <v>857</v>
      </c>
      <c r="I524" s="112"/>
      <c r="J524" s="112"/>
      <c r="K524" s="69"/>
      <c r="L524" s="69"/>
      <c r="M524" s="69"/>
      <c r="N524" s="69"/>
      <c r="O524" s="112" t="s">
        <v>311</v>
      </c>
      <c r="P524" s="69">
        <v>1</v>
      </c>
      <c r="Q524" s="110">
        <f>MAX(0,$V524-$P524-$S524)</f>
        <v>0</v>
      </c>
      <c r="R524" s="77"/>
      <c r="S524" s="77"/>
      <c r="T524" s="113">
        <v>0.31</v>
      </c>
      <c r="U524" s="114">
        <f>IF(AND($Q524&gt;0,ISNUMBER($T524)),$Q524*$T524,0)</f>
        <v>0</v>
      </c>
      <c r="V524" s="68">
        <f>SUM(W524:AB524)</f>
        <v>1</v>
      </c>
      <c r="W524" s="77"/>
      <c r="X524" s="77">
        <v>1</v>
      </c>
      <c r="Y524" s="77"/>
      <c r="Z524" s="77"/>
      <c r="AA524" s="77"/>
      <c r="AB524" s="77"/>
      <c r="AC524" s="68"/>
      <c r="AD524" s="75">
        <f>SUM(AE524:AJ524)</f>
        <v>1</v>
      </c>
      <c r="AE524" s="76"/>
      <c r="AF524" s="76">
        <v>1</v>
      </c>
      <c r="AG524" s="76"/>
      <c r="AH524" s="76"/>
      <c r="AI524" s="76"/>
      <c r="AJ524" s="76"/>
      <c r="AK524" s="76"/>
      <c r="AL524" s="77">
        <f>IF((P524-SUM(AE524:AK524))&lt;0,0,P524-SUM(AE524:AK524))</f>
        <v>0</v>
      </c>
      <c r="AM524" s="77">
        <f>SUM(AO524:AT524)</f>
        <v>0</v>
      </c>
      <c r="AN524" s="72"/>
      <c r="AO524" s="72"/>
      <c r="AP524" s="72"/>
      <c r="AQ524" s="72"/>
      <c r="AR524" s="72"/>
      <c r="AS524" s="72"/>
      <c r="AT524" s="72"/>
      <c r="AU524" s="72"/>
      <c r="AV524" s="31"/>
      <c r="AW524" s="72"/>
      <c r="AX524" s="72"/>
    </row>
    <row r="525" spans="1:50" ht="15" customHeight="1">
      <c r="A525" s="111" t="s">
        <v>1457</v>
      </c>
      <c r="B525" s="110" t="s">
        <v>1114</v>
      </c>
      <c r="C525" s="69" t="s">
        <v>45</v>
      </c>
      <c r="D525" s="111" t="s">
        <v>123</v>
      </c>
      <c r="E525" s="111" t="s">
        <v>1458</v>
      </c>
      <c r="F525" s="130">
        <v>5</v>
      </c>
      <c r="G525" s="133" t="s">
        <v>176</v>
      </c>
      <c r="H525" s="133" t="s">
        <v>1459</v>
      </c>
      <c r="I525" s="133"/>
      <c r="J525" s="133"/>
      <c r="K525" s="72"/>
      <c r="L525" s="72"/>
      <c r="M525" s="72"/>
      <c r="N525" s="72"/>
      <c r="O525" s="133" t="s">
        <v>1445</v>
      </c>
      <c r="P525" s="69">
        <v>1</v>
      </c>
      <c r="Q525" s="110">
        <f>MAX(0,$V525-$P525-$S525)</f>
        <v>0</v>
      </c>
      <c r="R525" s="130"/>
      <c r="S525" s="130"/>
      <c r="T525" s="134">
        <v>0.15</v>
      </c>
      <c r="U525" s="114">
        <f>IF(AND($Q525&gt;0,ISNUMBER($T525)),$Q525*$T525,0)</f>
        <v>0</v>
      </c>
      <c r="V525" s="68">
        <f>SUM(W525:AB525)</f>
        <v>1</v>
      </c>
      <c r="W525" s="130"/>
      <c r="X525" s="130">
        <v>1</v>
      </c>
      <c r="Y525" s="130"/>
      <c r="Z525" s="130"/>
      <c r="AA525" s="130"/>
      <c r="AB525" s="130"/>
      <c r="AC525" s="68"/>
      <c r="AD525" s="75">
        <f>SUM(AE525:AJ525)</f>
        <v>1</v>
      </c>
      <c r="AE525" s="76"/>
      <c r="AF525" s="76">
        <v>1</v>
      </c>
      <c r="AG525" s="76"/>
      <c r="AH525" s="76"/>
      <c r="AI525" s="76"/>
      <c r="AJ525" s="76"/>
      <c r="AK525" s="76"/>
      <c r="AL525" s="77">
        <f>IF((P525-SUM(AE525:AK525))&lt;0,0,P525-SUM(AE525:AK525))</f>
        <v>0</v>
      </c>
      <c r="AM525" s="77">
        <f>SUM(AO525:AT525)</f>
        <v>0</v>
      </c>
      <c r="AN525" s="129"/>
      <c r="AO525" s="72"/>
      <c r="AP525" s="72"/>
      <c r="AQ525" s="72"/>
      <c r="AR525" s="72"/>
      <c r="AS525" s="72"/>
      <c r="AT525" s="72"/>
      <c r="AU525" s="72"/>
      <c r="AV525" s="125"/>
      <c r="AW525" s="72"/>
      <c r="AX525" s="129"/>
    </row>
    <row r="526" spans="1:50" ht="15" customHeight="1">
      <c r="A526" s="111" t="s">
        <v>1945</v>
      </c>
      <c r="B526" s="110" t="s">
        <v>1831</v>
      </c>
      <c r="C526" s="69" t="s">
        <v>45</v>
      </c>
      <c r="D526" s="111" t="s">
        <v>123</v>
      </c>
      <c r="E526" s="111" t="s">
        <v>1946</v>
      </c>
      <c r="F526" s="130">
        <v>4</v>
      </c>
      <c r="G526" s="133" t="s">
        <v>317</v>
      </c>
      <c r="H526" s="133" t="s">
        <v>1947</v>
      </c>
      <c r="I526" s="133" t="s">
        <v>1948</v>
      </c>
      <c r="J526" s="133" t="s">
        <v>166</v>
      </c>
      <c r="K526" s="72"/>
      <c r="L526" s="72"/>
      <c r="M526" s="72"/>
      <c r="N526" s="72"/>
      <c r="O526" s="133" t="s">
        <v>180</v>
      </c>
      <c r="P526" s="69">
        <v>1</v>
      </c>
      <c r="Q526" s="110">
        <f>MAX(0,$V526-$P526-$S526)</f>
        <v>0</v>
      </c>
      <c r="R526" s="130" t="s">
        <v>57</v>
      </c>
      <c r="S526" s="130">
        <v>1</v>
      </c>
      <c r="T526" s="134">
        <v>1.47</v>
      </c>
      <c r="U526" s="114">
        <f>IF(AND($Q526&gt;0,ISNUMBER($T526)),$Q526*$T526,0)</f>
        <v>0</v>
      </c>
      <c r="V526" s="68">
        <f>SUM(W526:AB526)</f>
        <v>1</v>
      </c>
      <c r="W526" s="130"/>
      <c r="X526" s="130"/>
      <c r="Y526" s="130">
        <v>1</v>
      </c>
      <c r="Z526" s="130"/>
      <c r="AA526" s="130"/>
      <c r="AB526" s="130"/>
      <c r="AC526" s="68"/>
      <c r="AD526" s="75">
        <f>SUM(AE526:AJ526)</f>
        <v>1</v>
      </c>
      <c r="AE526" s="76"/>
      <c r="AF526" s="76"/>
      <c r="AG526" s="76">
        <v>1</v>
      </c>
      <c r="AH526" s="76"/>
      <c r="AI526" s="76"/>
      <c r="AJ526" s="76"/>
      <c r="AK526" s="76"/>
      <c r="AL526" s="77">
        <f>IF((P526-SUM(AE526:AK526))&lt;0,0,P526-SUM(AE526:AK526))</f>
        <v>0</v>
      </c>
      <c r="AM526" s="77">
        <f>SUM(AO526:AT526)</f>
        <v>0</v>
      </c>
      <c r="AN526" s="129"/>
      <c r="AO526" s="72"/>
      <c r="AP526" s="72"/>
      <c r="AQ526" s="72"/>
      <c r="AR526" s="72"/>
      <c r="AS526" s="72"/>
      <c r="AT526" s="72"/>
      <c r="AU526" s="72"/>
      <c r="AV526" s="125"/>
      <c r="AW526" s="72"/>
      <c r="AX526" s="72"/>
    </row>
    <row r="527" spans="1:50" ht="15" customHeight="1">
      <c r="A527" s="111" t="s">
        <v>1094</v>
      </c>
      <c r="B527" s="110" t="s">
        <v>919</v>
      </c>
      <c r="C527" s="69" t="s">
        <v>45</v>
      </c>
      <c r="D527" s="111" t="s">
        <v>627</v>
      </c>
      <c r="E527" s="111"/>
      <c r="F527" s="130">
        <v>0</v>
      </c>
      <c r="G527" s="133" t="s">
        <v>627</v>
      </c>
      <c r="H527" s="133" t="s">
        <v>992</v>
      </c>
      <c r="I527" s="133" t="s">
        <v>1095</v>
      </c>
      <c r="J527" s="133"/>
      <c r="K527" s="69"/>
      <c r="L527" s="69"/>
      <c r="M527" s="69"/>
      <c r="N527" s="69"/>
      <c r="O527" s="133" t="s">
        <v>374</v>
      </c>
      <c r="P527" s="69">
        <v>1</v>
      </c>
      <c r="Q527" s="110">
        <f>MAX(0,$V527-$P527-$S527)</f>
        <v>0</v>
      </c>
      <c r="R527" s="130"/>
      <c r="S527" s="130"/>
      <c r="T527" s="134">
        <v>0.27</v>
      </c>
      <c r="U527" s="114">
        <f>IF(AND($Q527&gt;0,ISNUMBER($T527)),$Q527*$T527,0)</f>
        <v>0</v>
      </c>
      <c r="V527" s="68">
        <f>SUM(W527:AB527)</f>
        <v>1</v>
      </c>
      <c r="W527" s="130"/>
      <c r="X527" s="130">
        <v>1</v>
      </c>
      <c r="Y527" s="130"/>
      <c r="Z527" s="130"/>
      <c r="AA527" s="130"/>
      <c r="AB527" s="130"/>
      <c r="AC527" s="68"/>
      <c r="AD527" s="75">
        <f>SUM(AE527:AJ527)</f>
        <v>1</v>
      </c>
      <c r="AE527" s="76"/>
      <c r="AF527" s="76">
        <v>1</v>
      </c>
      <c r="AG527" s="76"/>
      <c r="AH527" s="76"/>
      <c r="AI527" s="76"/>
      <c r="AJ527" s="76"/>
      <c r="AK527" s="76"/>
      <c r="AL527" s="77">
        <f>IF((P527-SUM(AE527:AK527))&lt;0,0,P527-SUM(AE527:AK527))</f>
        <v>0</v>
      </c>
      <c r="AM527" s="77">
        <f>SUM(AO527:AT527)</f>
        <v>0</v>
      </c>
      <c r="AN527" s="129"/>
      <c r="AO527" s="72"/>
      <c r="AP527" s="72"/>
      <c r="AQ527" s="72"/>
      <c r="AR527" s="129"/>
      <c r="AS527" s="72"/>
      <c r="AT527" s="72"/>
      <c r="AU527" s="129"/>
      <c r="AV527" s="125"/>
      <c r="AW527" s="72"/>
      <c r="AX527" s="72"/>
    </row>
    <row r="528" spans="1:50" ht="15" customHeight="1">
      <c r="A528" s="111" t="s">
        <v>1096</v>
      </c>
      <c r="B528" s="110" t="s">
        <v>919</v>
      </c>
      <c r="C528" s="69" t="s">
        <v>45</v>
      </c>
      <c r="D528" s="111" t="s">
        <v>627</v>
      </c>
      <c r="E528" s="111"/>
      <c r="F528" s="130">
        <v>0</v>
      </c>
      <c r="G528" s="133" t="s">
        <v>627</v>
      </c>
      <c r="H528" s="133" t="s">
        <v>964</v>
      </c>
      <c r="I528" s="133" t="s">
        <v>1097</v>
      </c>
      <c r="J528" s="133"/>
      <c r="K528" s="72"/>
      <c r="L528" s="72"/>
      <c r="M528" s="72"/>
      <c r="N528" s="72"/>
      <c r="O528" s="133" t="s">
        <v>251</v>
      </c>
      <c r="P528" s="69">
        <v>1</v>
      </c>
      <c r="Q528" s="110">
        <f>MAX(0,$V528-$P528-$S528)</f>
        <v>0</v>
      </c>
      <c r="R528" s="130"/>
      <c r="S528" s="130"/>
      <c r="T528" s="134">
        <v>0.35</v>
      </c>
      <c r="U528" s="114">
        <f>IF(AND($Q528&gt;0,ISNUMBER($T528)),$Q528*$T528,0)</f>
        <v>0</v>
      </c>
      <c r="V528" s="68">
        <f>SUM(W528:AB528)</f>
        <v>1</v>
      </c>
      <c r="W528" s="130"/>
      <c r="X528" s="130"/>
      <c r="Y528" s="130">
        <v>1</v>
      </c>
      <c r="Z528" s="130"/>
      <c r="AA528" s="130"/>
      <c r="AB528" s="130"/>
      <c r="AC528" s="68"/>
      <c r="AD528" s="75">
        <f>SUM(AE528:AJ528)</f>
        <v>1</v>
      </c>
      <c r="AE528" s="76"/>
      <c r="AF528" s="76"/>
      <c r="AG528" s="76">
        <v>1</v>
      </c>
      <c r="AH528" s="76"/>
      <c r="AI528" s="76"/>
      <c r="AJ528" s="76"/>
      <c r="AK528" s="76"/>
      <c r="AL528" s="77">
        <f>IF((P528-SUM(AE528:AK528))&lt;0,0,P528-SUM(AE528:AK528))</f>
        <v>0</v>
      </c>
      <c r="AM528" s="77">
        <f>SUM(AO528:AT528)</f>
        <v>0</v>
      </c>
      <c r="AN528" s="129"/>
      <c r="AO528" s="72"/>
      <c r="AP528" s="72"/>
      <c r="AQ528" s="72"/>
      <c r="AR528" s="72"/>
      <c r="AS528" s="72"/>
      <c r="AT528" s="72"/>
      <c r="AU528" s="72"/>
      <c r="AV528" s="125"/>
      <c r="AW528" s="72"/>
      <c r="AX528" s="129"/>
    </row>
    <row r="529" spans="1:50" ht="15" customHeight="1">
      <c r="A529" s="111" t="s">
        <v>1098</v>
      </c>
      <c r="B529" s="110" t="s">
        <v>919</v>
      </c>
      <c r="C529" s="69" t="s">
        <v>45</v>
      </c>
      <c r="D529" s="111" t="s">
        <v>627</v>
      </c>
      <c r="E529" s="111"/>
      <c r="F529" s="130">
        <v>0</v>
      </c>
      <c r="G529" s="133" t="s">
        <v>627</v>
      </c>
      <c r="H529" s="133" t="s">
        <v>1099</v>
      </c>
      <c r="I529" s="133"/>
      <c r="J529" s="133"/>
      <c r="K529" s="72"/>
      <c r="L529" s="72"/>
      <c r="M529" s="72"/>
      <c r="N529" s="72"/>
      <c r="O529" s="133" t="s">
        <v>711</v>
      </c>
      <c r="P529" s="69">
        <v>1</v>
      </c>
      <c r="Q529" s="110">
        <f>MAX(0,$V529-$P529-$S529)</f>
        <v>0</v>
      </c>
      <c r="R529" s="130" t="s">
        <v>57</v>
      </c>
      <c r="S529" s="130">
        <v>1</v>
      </c>
      <c r="T529" s="134">
        <v>0.27</v>
      </c>
      <c r="U529" s="114">
        <f>IF(AND($Q529&gt;0,ISNUMBER($T529)),$Q529*$T529,0)</f>
        <v>0</v>
      </c>
      <c r="V529" s="68">
        <f>SUM(W529:AB529)</f>
        <v>0</v>
      </c>
      <c r="W529" s="130"/>
      <c r="X529" s="130"/>
      <c r="Y529" s="130"/>
      <c r="Z529" s="130"/>
      <c r="AA529" s="130"/>
      <c r="AB529" s="130"/>
      <c r="AC529" s="68"/>
      <c r="AD529" s="75">
        <f>SUM(AE529:AJ529)</f>
        <v>0</v>
      </c>
      <c r="AE529" s="76"/>
      <c r="AF529" s="76"/>
      <c r="AG529" s="76"/>
      <c r="AH529" s="76"/>
      <c r="AI529" s="76"/>
      <c r="AJ529" s="76"/>
      <c r="AK529" s="76"/>
      <c r="AL529" s="77">
        <f>IF((P529-SUM(AE529:AK529))&lt;0,0,P529-SUM(AE529:AK529))</f>
        <v>1</v>
      </c>
      <c r="AM529" s="77">
        <f>SUM(AO529:AT529)</f>
        <v>0</v>
      </c>
      <c r="AN529" s="129"/>
      <c r="AO529" s="72"/>
      <c r="AP529" s="129"/>
      <c r="AQ529" s="129"/>
      <c r="AR529" s="72"/>
      <c r="AS529" s="72"/>
      <c r="AT529" s="72"/>
      <c r="AU529" s="129"/>
      <c r="AV529" s="125"/>
      <c r="AW529" s="72"/>
      <c r="AX529" s="72"/>
    </row>
    <row r="530" spans="1:50" ht="15" customHeight="1">
      <c r="A530" s="111" t="s">
        <v>1100</v>
      </c>
      <c r="B530" s="110" t="s">
        <v>919</v>
      </c>
      <c r="C530" s="69" t="s">
        <v>45</v>
      </c>
      <c r="D530" s="111" t="s">
        <v>627</v>
      </c>
      <c r="E530" s="111"/>
      <c r="F530" s="130">
        <v>0</v>
      </c>
      <c r="G530" s="133" t="s">
        <v>627</v>
      </c>
      <c r="H530" s="133" t="s">
        <v>958</v>
      </c>
      <c r="I530" s="133" t="s">
        <v>926</v>
      </c>
      <c r="J530" s="133" t="s">
        <v>1101</v>
      </c>
      <c r="K530" s="69"/>
      <c r="L530" s="69"/>
      <c r="M530" s="69"/>
      <c r="N530" s="69"/>
      <c r="O530" s="133" t="s">
        <v>251</v>
      </c>
      <c r="P530" s="69">
        <v>1</v>
      </c>
      <c r="Q530" s="110">
        <f>MAX(0,$V530-$P530-$S530)</f>
        <v>0</v>
      </c>
      <c r="R530" s="130"/>
      <c r="S530" s="130"/>
      <c r="T530" s="134">
        <v>0.31</v>
      </c>
      <c r="U530" s="114">
        <f>IF(AND($Q530&gt;0,ISNUMBER($T530)),$Q530*$T530,0)</f>
        <v>0</v>
      </c>
      <c r="V530" s="68">
        <f>SUM(W530:AB530)</f>
        <v>1</v>
      </c>
      <c r="W530" s="130">
        <v>1</v>
      </c>
      <c r="X530" s="130"/>
      <c r="Y530" s="130"/>
      <c r="Z530" s="130"/>
      <c r="AA530" s="130"/>
      <c r="AB530" s="130"/>
      <c r="AC530" s="68"/>
      <c r="AD530" s="75">
        <f>SUM(AE530:AJ530)</f>
        <v>1</v>
      </c>
      <c r="AE530" s="76">
        <v>1</v>
      </c>
      <c r="AF530" s="76"/>
      <c r="AG530" s="76"/>
      <c r="AH530" s="76"/>
      <c r="AI530" s="76"/>
      <c r="AJ530" s="76"/>
      <c r="AK530" s="76"/>
      <c r="AL530" s="77">
        <f>IF((P530-SUM(AE530:AK530))&lt;0,0,P530-SUM(AE530:AK530))</f>
        <v>0</v>
      </c>
      <c r="AM530" s="77">
        <f>SUM(AO530:AT530)</f>
        <v>0</v>
      </c>
      <c r="AN530" s="129"/>
      <c r="AO530" s="72"/>
      <c r="AP530" s="72"/>
      <c r="AQ530" s="72"/>
      <c r="AR530" s="72"/>
      <c r="AS530" s="72"/>
      <c r="AT530" s="72"/>
      <c r="AU530" s="72"/>
      <c r="AV530" s="125"/>
      <c r="AW530" s="72"/>
      <c r="AX530" s="72"/>
    </row>
    <row r="531" spans="1:50" ht="15" customHeight="1">
      <c r="A531" s="111" t="s">
        <v>1802</v>
      </c>
      <c r="B531" s="110" t="s">
        <v>1499</v>
      </c>
      <c r="C531" s="69" t="s">
        <v>45</v>
      </c>
      <c r="D531" s="111" t="s">
        <v>47</v>
      </c>
      <c r="E531" s="111"/>
      <c r="F531" s="130">
        <v>1</v>
      </c>
      <c r="G531" s="133" t="s">
        <v>54</v>
      </c>
      <c r="H531" s="133" t="s">
        <v>1803</v>
      </c>
      <c r="I531" s="133" t="s">
        <v>1804</v>
      </c>
      <c r="J531" s="133"/>
      <c r="K531" s="72"/>
      <c r="L531" s="72"/>
      <c r="M531" s="72"/>
      <c r="N531" s="72"/>
      <c r="O531" s="133" t="s">
        <v>223</v>
      </c>
      <c r="P531" s="69">
        <v>1</v>
      </c>
      <c r="Q531" s="110">
        <f>MAX(0,$V531-$P531-$S531)</f>
        <v>0</v>
      </c>
      <c r="R531" s="130"/>
      <c r="S531" s="130"/>
      <c r="T531" s="134">
        <v>0.32</v>
      </c>
      <c r="U531" s="114">
        <f>IF(AND($Q531&gt;0,ISNUMBER($T531)),$Q531*$T531,0)</f>
        <v>0</v>
      </c>
      <c r="V531" s="68">
        <f>SUM(W531:AB531)</f>
        <v>0</v>
      </c>
      <c r="W531" s="130"/>
      <c r="X531" s="130"/>
      <c r="Y531" s="130"/>
      <c r="Z531" s="130"/>
      <c r="AA531" s="130"/>
      <c r="AB531" s="130"/>
      <c r="AC531" s="68"/>
      <c r="AD531" s="75">
        <f>SUM(AE531:AJ531)</f>
        <v>0</v>
      </c>
      <c r="AE531" s="76"/>
      <c r="AF531" s="76"/>
      <c r="AG531" s="76"/>
      <c r="AH531" s="76"/>
      <c r="AI531" s="76"/>
      <c r="AJ531" s="76"/>
      <c r="AK531" s="76"/>
      <c r="AL531" s="77">
        <f>IF((P531-SUM(AE531:AK531))&lt;0,0,P531-SUM(AE531:AK531))</f>
        <v>1</v>
      </c>
      <c r="AM531" s="77">
        <f>SUM(AO531:AT531)</f>
        <v>0</v>
      </c>
      <c r="AN531" s="72"/>
      <c r="AO531" s="72"/>
      <c r="AP531" s="72"/>
      <c r="AQ531" s="72"/>
      <c r="AR531" s="72"/>
      <c r="AS531" s="72"/>
      <c r="AT531" s="72"/>
      <c r="AU531" s="72"/>
      <c r="AV531" s="125"/>
      <c r="AW531" s="72"/>
      <c r="AX531" s="72"/>
    </row>
    <row r="532" spans="1:50" ht="15" customHeight="1">
      <c r="A532" s="111" t="s">
        <v>858</v>
      </c>
      <c r="B532" s="110" t="s">
        <v>636</v>
      </c>
      <c r="C532" s="69" t="s">
        <v>45</v>
      </c>
      <c r="D532" s="111" t="s">
        <v>64</v>
      </c>
      <c r="E532" s="111" t="s">
        <v>859</v>
      </c>
      <c r="F532" s="130">
        <v>4</v>
      </c>
      <c r="G532" s="133" t="s">
        <v>499</v>
      </c>
      <c r="H532" s="133" t="s">
        <v>861</v>
      </c>
      <c r="I532" s="133"/>
      <c r="J532" s="133"/>
      <c r="K532" s="69"/>
      <c r="L532" s="69"/>
      <c r="M532" s="69"/>
      <c r="N532" s="69"/>
      <c r="O532" s="133" t="s">
        <v>860</v>
      </c>
      <c r="P532" s="69">
        <v>1</v>
      </c>
      <c r="Q532" s="110">
        <f>MAX(0,$V532-$P532-$S532)</f>
        <v>0</v>
      </c>
      <c r="R532" s="130"/>
      <c r="S532" s="130"/>
      <c r="T532" s="134">
        <v>0.96</v>
      </c>
      <c r="U532" s="114">
        <f>IF(AND($Q532&gt;0,ISNUMBER($T532)),$Q532*$T532,0)</f>
        <v>0</v>
      </c>
      <c r="V532" s="68">
        <f>SUM(W532:AB532)</f>
        <v>1</v>
      </c>
      <c r="W532" s="130"/>
      <c r="X532" s="130">
        <v>1</v>
      </c>
      <c r="Y532" s="130"/>
      <c r="Z532" s="130"/>
      <c r="AA532" s="130"/>
      <c r="AB532" s="130"/>
      <c r="AC532" s="68"/>
      <c r="AD532" s="75">
        <f>SUM(AE532:AJ532)</f>
        <v>1</v>
      </c>
      <c r="AE532" s="76"/>
      <c r="AF532" s="76">
        <v>1</v>
      </c>
      <c r="AG532" s="76"/>
      <c r="AH532" s="76"/>
      <c r="AI532" s="76"/>
      <c r="AJ532" s="76"/>
      <c r="AK532" s="76"/>
      <c r="AL532" s="77">
        <f>IF((P532-SUM(AE532:AK532))&lt;0,0,P532-SUM(AE532:AK532))</f>
        <v>0</v>
      </c>
      <c r="AM532" s="77">
        <f>SUM(AO532:AT532)</f>
        <v>0</v>
      </c>
      <c r="AN532" s="129"/>
      <c r="AO532" s="72"/>
      <c r="AP532" s="72"/>
      <c r="AQ532" s="72"/>
      <c r="AR532" s="72"/>
      <c r="AS532" s="72"/>
      <c r="AT532" s="72"/>
      <c r="AU532" s="72"/>
      <c r="AV532" s="125"/>
      <c r="AW532" s="72"/>
      <c r="AX532" s="129"/>
    </row>
    <row r="533" spans="1:50" ht="15" customHeight="1">
      <c r="A533" s="111" t="s">
        <v>2317</v>
      </c>
      <c r="B533" s="110" t="s">
        <v>1971</v>
      </c>
      <c r="C533" s="69" t="s">
        <v>45</v>
      </c>
      <c r="D533" s="111" t="s">
        <v>123</v>
      </c>
      <c r="E533" s="111" t="s">
        <v>2042</v>
      </c>
      <c r="F533" s="130">
        <v>4</v>
      </c>
      <c r="G533" s="133" t="s">
        <v>296</v>
      </c>
      <c r="H533" s="133" t="s">
        <v>166</v>
      </c>
      <c r="I533" s="133" t="s">
        <v>2318</v>
      </c>
      <c r="J533" s="133"/>
      <c r="K533" s="69"/>
      <c r="L533" s="69"/>
      <c r="M533" s="69"/>
      <c r="N533" s="69"/>
      <c r="O533" s="133" t="s">
        <v>1445</v>
      </c>
      <c r="P533" s="69">
        <v>1</v>
      </c>
      <c r="Q533" s="110">
        <f>MAX(0,$V533-$P533-$S533)</f>
        <v>0</v>
      </c>
      <c r="R533" s="130"/>
      <c r="S533" s="130"/>
      <c r="T533" s="134">
        <v>0.28999999999999998</v>
      </c>
      <c r="U533" s="114">
        <f>IF(AND($Q533&gt;0,ISNUMBER($T533)),$Q533*$T533,0)</f>
        <v>0</v>
      </c>
      <c r="V533" s="68">
        <f>SUM(W533:AB533)</f>
        <v>1</v>
      </c>
      <c r="W533" s="130">
        <v>1</v>
      </c>
      <c r="X533" s="130"/>
      <c r="Y533" s="130"/>
      <c r="Z533" s="130"/>
      <c r="AA533" s="130"/>
      <c r="AB533" s="130"/>
      <c r="AC533" s="68"/>
      <c r="AD533" s="75">
        <f>SUM(AE533:AJ533)</f>
        <v>1</v>
      </c>
      <c r="AE533" s="76">
        <v>1</v>
      </c>
      <c r="AF533" s="76"/>
      <c r="AG533" s="76"/>
      <c r="AH533" s="76"/>
      <c r="AI533" s="76"/>
      <c r="AJ533" s="76"/>
      <c r="AK533" s="76"/>
      <c r="AL533" s="77">
        <f>IF((P533-SUM(AE533:AK533))&lt;0,0,P533-SUM(AE533:AK533))</f>
        <v>0</v>
      </c>
      <c r="AM533" s="77">
        <f>SUM(AO533:AT533)</f>
        <v>0</v>
      </c>
      <c r="AN533" s="129"/>
      <c r="AO533" s="72"/>
      <c r="AP533" s="72"/>
      <c r="AQ533" s="72"/>
      <c r="AR533" s="129"/>
      <c r="AS533" s="72"/>
      <c r="AT533" s="72"/>
      <c r="AU533" s="129"/>
      <c r="AV533" s="125"/>
      <c r="AW533" s="72"/>
      <c r="AX533" s="72"/>
    </row>
    <row r="534" spans="1:50" ht="15" customHeight="1">
      <c r="A534" s="111" t="s">
        <v>1952</v>
      </c>
      <c r="B534" s="110" t="s">
        <v>1831</v>
      </c>
      <c r="C534" s="69" t="s">
        <v>45</v>
      </c>
      <c r="D534" s="111" t="s">
        <v>47</v>
      </c>
      <c r="E534" s="111"/>
      <c r="F534" s="130">
        <v>4</v>
      </c>
      <c r="G534" s="133" t="s">
        <v>317</v>
      </c>
      <c r="H534" s="133" t="s">
        <v>1953</v>
      </c>
      <c r="I534" s="133" t="s">
        <v>1954</v>
      </c>
      <c r="J534" s="133"/>
      <c r="K534" s="72"/>
      <c r="L534" s="72"/>
      <c r="M534" s="72"/>
      <c r="N534" s="72"/>
      <c r="O534" s="133" t="s">
        <v>662</v>
      </c>
      <c r="P534" s="69">
        <v>1</v>
      </c>
      <c r="Q534" s="110">
        <f>MAX(0,$V534-$P534-$S534)</f>
        <v>0</v>
      </c>
      <c r="R534" s="130"/>
      <c r="S534" s="130"/>
      <c r="T534" s="134">
        <v>0.27</v>
      </c>
      <c r="U534" s="114">
        <f>IF(AND($Q534&gt;0,ISNUMBER($T534)),$Q534*$T534,0)</f>
        <v>0</v>
      </c>
      <c r="V534" s="68">
        <f>SUM(W534:AB534)</f>
        <v>1</v>
      </c>
      <c r="W534" s="130"/>
      <c r="X534" s="130"/>
      <c r="Y534" s="130">
        <v>1</v>
      </c>
      <c r="Z534" s="130"/>
      <c r="AA534" s="130"/>
      <c r="AB534" s="130"/>
      <c r="AC534" s="68"/>
      <c r="AD534" s="75">
        <f>SUM(AE534:AJ534)</f>
        <v>1</v>
      </c>
      <c r="AE534" s="76"/>
      <c r="AF534" s="76"/>
      <c r="AG534" s="76">
        <v>1</v>
      </c>
      <c r="AH534" s="76"/>
      <c r="AI534" s="76"/>
      <c r="AJ534" s="76"/>
      <c r="AK534" s="76"/>
      <c r="AL534" s="77">
        <f>IF((P534-SUM(AE534:AK534))&lt;0,0,P534-SUM(AE534:AK534))</f>
        <v>0</v>
      </c>
      <c r="AM534" s="77">
        <f>SUM(AO534:AT534)</f>
        <v>0</v>
      </c>
      <c r="AN534" s="129"/>
      <c r="AO534" s="72"/>
      <c r="AP534" s="72"/>
      <c r="AQ534" s="72"/>
      <c r="AR534" s="129"/>
      <c r="AS534" s="72"/>
      <c r="AT534" s="72"/>
      <c r="AU534" s="129"/>
      <c r="AV534" s="125"/>
      <c r="AW534" s="72"/>
      <c r="AX534" s="72"/>
    </row>
    <row r="535" spans="1:50" ht="15" customHeight="1">
      <c r="A535" s="108" t="s">
        <v>2531</v>
      </c>
      <c r="B535" s="131" t="s">
        <v>345</v>
      </c>
      <c r="C535" s="101" t="s">
        <v>45</v>
      </c>
      <c r="D535" s="127" t="s">
        <v>89</v>
      </c>
      <c r="E535" s="127" t="s">
        <v>390</v>
      </c>
      <c r="F535" s="131">
        <v>3</v>
      </c>
      <c r="G535" s="127" t="s">
        <v>49</v>
      </c>
      <c r="H535" s="127" t="s">
        <v>2532</v>
      </c>
      <c r="I535" s="127" t="s">
        <v>2533</v>
      </c>
      <c r="J535" s="127" t="s">
        <v>2226</v>
      </c>
      <c r="K535" s="99"/>
      <c r="L535" s="99"/>
      <c r="M535" s="99"/>
      <c r="N535" s="99"/>
      <c r="O535" s="127" t="s">
        <v>136</v>
      </c>
      <c r="P535" s="101">
        <v>1</v>
      </c>
      <c r="Q535" s="130">
        <f>MAX(0,$V535-$P535-$S535)</f>
        <v>0</v>
      </c>
      <c r="R535" s="127"/>
      <c r="S535" s="127"/>
      <c r="T535" s="127">
        <v>0.15</v>
      </c>
      <c r="U535" s="127">
        <f>IF(AND($Q535&gt;0,ISNUMBER($T535)),$Q535*$T535,0)</f>
        <v>0</v>
      </c>
      <c r="V535" s="68">
        <f>SUM(W535:AB535)</f>
        <v>0</v>
      </c>
      <c r="W535" s="131"/>
      <c r="X535" s="131"/>
      <c r="Y535" s="131"/>
      <c r="Z535" s="131"/>
      <c r="AA535" s="131"/>
      <c r="AB535" s="131"/>
      <c r="AC535" s="130"/>
      <c r="AD535" s="75">
        <f>SUM(AE535:AJ535)</f>
        <v>0</v>
      </c>
      <c r="AE535" s="102"/>
      <c r="AF535" s="102"/>
      <c r="AG535" s="102"/>
      <c r="AH535" s="102"/>
      <c r="AI535" s="102"/>
      <c r="AJ535" s="102"/>
      <c r="AK535" s="102"/>
      <c r="AL535" s="77">
        <f>IF((P535-SUM(AE535:AK535))&lt;0,0,P535-SUM(AE535:AK535))</f>
        <v>1</v>
      </c>
      <c r="AM535" s="77">
        <f>SUM(AO535:AT535)</f>
        <v>0</v>
      </c>
      <c r="AN535" s="127"/>
      <c r="AO535" s="99"/>
      <c r="AP535" s="99"/>
      <c r="AQ535" s="99"/>
      <c r="AR535" s="99"/>
      <c r="AS535" s="127"/>
      <c r="AT535" s="99"/>
      <c r="AU535" s="127"/>
      <c r="AV535" s="127"/>
      <c r="AW535" s="99"/>
      <c r="AX535" s="127"/>
    </row>
    <row r="536" spans="1:50" ht="15" customHeight="1">
      <c r="A536" s="111" t="s">
        <v>2319</v>
      </c>
      <c r="B536" s="130" t="s">
        <v>1971</v>
      </c>
      <c r="C536" s="69" t="s">
        <v>45</v>
      </c>
      <c r="D536" s="125" t="s">
        <v>314</v>
      </c>
      <c r="E536" s="125"/>
      <c r="F536" s="130">
        <v>6</v>
      </c>
      <c r="G536" s="133" t="s">
        <v>616</v>
      </c>
      <c r="H536" s="133" t="s">
        <v>2320</v>
      </c>
      <c r="I536" s="133" t="s">
        <v>2321</v>
      </c>
      <c r="J536" s="133" t="s">
        <v>2322</v>
      </c>
      <c r="K536" s="69"/>
      <c r="L536" s="69"/>
      <c r="M536" s="69"/>
      <c r="N536" s="69"/>
      <c r="O536" s="133" t="s">
        <v>180</v>
      </c>
      <c r="P536" s="69">
        <v>1</v>
      </c>
      <c r="Q536" s="130">
        <f>MAX(0,$V536-$P536-$S536)</f>
        <v>0</v>
      </c>
      <c r="R536" s="130"/>
      <c r="S536" s="130"/>
      <c r="T536" s="134">
        <v>1.1299999999999999</v>
      </c>
      <c r="U536" s="134">
        <f>IF(AND($Q536&gt;0,ISNUMBER($T536)),$Q536*$T536,0)</f>
        <v>0</v>
      </c>
      <c r="V536" s="68">
        <f>SUM(W536:AB536)</f>
        <v>1</v>
      </c>
      <c r="W536" s="130"/>
      <c r="X536" s="130">
        <v>1</v>
      </c>
      <c r="Y536" s="130"/>
      <c r="Z536" s="130"/>
      <c r="AA536" s="130"/>
      <c r="AB536" s="130"/>
      <c r="AC536" s="130"/>
      <c r="AD536" s="75">
        <f>SUM(AE536:AJ536)</f>
        <v>1</v>
      </c>
      <c r="AE536" s="76"/>
      <c r="AF536" s="76">
        <v>1</v>
      </c>
      <c r="AG536" s="76"/>
      <c r="AH536" s="76"/>
      <c r="AI536" s="76"/>
      <c r="AJ536" s="76"/>
      <c r="AK536" s="76"/>
      <c r="AL536" s="77">
        <f>IF((P536-SUM(AE536:AK536))&lt;0,0,P536-SUM(AE536:AK536))</f>
        <v>0</v>
      </c>
      <c r="AM536" s="77">
        <f>SUM(AO536:AT536)</f>
        <v>0</v>
      </c>
      <c r="AN536" s="129"/>
      <c r="AO536" s="72"/>
      <c r="AP536" s="72"/>
      <c r="AQ536" s="72"/>
      <c r="AR536" s="129"/>
      <c r="AS536" s="72"/>
      <c r="AT536" s="72"/>
      <c r="AU536" s="129"/>
      <c r="AV536" s="125"/>
      <c r="AW536" s="72"/>
      <c r="AX536" s="129"/>
    </row>
    <row r="537" spans="1:50" ht="15" customHeight="1">
      <c r="A537" s="108" t="s">
        <v>2534</v>
      </c>
      <c r="B537" s="131" t="s">
        <v>1499</v>
      </c>
      <c r="C537" s="101" t="s">
        <v>45</v>
      </c>
      <c r="D537" s="127" t="s">
        <v>58</v>
      </c>
      <c r="E537" s="127" t="s">
        <v>1594</v>
      </c>
      <c r="F537" s="131">
        <v>3</v>
      </c>
      <c r="G537" s="127" t="s">
        <v>392</v>
      </c>
      <c r="H537" s="127" t="s">
        <v>2535</v>
      </c>
      <c r="I537" s="127" t="s">
        <v>2536</v>
      </c>
      <c r="J537" s="127"/>
      <c r="K537" s="99"/>
      <c r="L537" s="99"/>
      <c r="M537" s="99"/>
      <c r="N537" s="99"/>
      <c r="O537" s="127" t="s">
        <v>136</v>
      </c>
      <c r="P537" s="101">
        <v>1</v>
      </c>
      <c r="Q537" s="130">
        <f>MAX(0,$V537-$P537-$S537)</f>
        <v>0</v>
      </c>
      <c r="R537" s="127"/>
      <c r="S537" s="127"/>
      <c r="T537" s="127">
        <v>0.3</v>
      </c>
      <c r="U537" s="127">
        <f>IF(AND($Q537&gt;0,ISNUMBER($T537)),$Q537*$T537,0)</f>
        <v>0</v>
      </c>
      <c r="V537" s="68">
        <f>SUM(W537:AB537)</f>
        <v>0</v>
      </c>
      <c r="W537" s="131"/>
      <c r="X537" s="131"/>
      <c r="Y537" s="131"/>
      <c r="Z537" s="131"/>
      <c r="AA537" s="131"/>
      <c r="AB537" s="131"/>
      <c r="AC537" s="130"/>
      <c r="AD537" s="75">
        <f>SUM(AE537:AJ537)</f>
        <v>0</v>
      </c>
      <c r="AE537" s="102"/>
      <c r="AF537" s="102"/>
      <c r="AG537" s="102"/>
      <c r="AH537" s="102"/>
      <c r="AI537" s="102"/>
      <c r="AJ537" s="102"/>
      <c r="AK537" s="102"/>
      <c r="AL537" s="77">
        <f>IF((P537-SUM(AE537:AK537))&lt;0,0,P537-SUM(AE537:AK537))</f>
        <v>1</v>
      </c>
      <c r="AM537" s="77">
        <f>SUM(AO537:AT537)</f>
        <v>0</v>
      </c>
      <c r="AN537" s="127"/>
      <c r="AO537" s="99"/>
      <c r="AP537" s="99"/>
      <c r="AQ537" s="99"/>
      <c r="AR537" s="99"/>
      <c r="AS537" s="99"/>
      <c r="AT537" s="99"/>
      <c r="AU537" s="99"/>
      <c r="AV537" s="127"/>
      <c r="AW537" s="99"/>
      <c r="AX537" s="127"/>
    </row>
    <row r="538" spans="1:50" ht="15" customHeight="1">
      <c r="A538" s="111" t="s">
        <v>2323</v>
      </c>
      <c r="B538" s="130" t="s">
        <v>1971</v>
      </c>
      <c r="C538" s="69" t="s">
        <v>45</v>
      </c>
      <c r="D538" s="125" t="s">
        <v>58</v>
      </c>
      <c r="E538" s="125" t="s">
        <v>1594</v>
      </c>
      <c r="F538" s="130">
        <v>3</v>
      </c>
      <c r="G538" s="133" t="s">
        <v>296</v>
      </c>
      <c r="H538" s="133" t="s">
        <v>2324</v>
      </c>
      <c r="I538" s="133" t="s">
        <v>2325</v>
      </c>
      <c r="J538" s="133" t="s">
        <v>2326</v>
      </c>
      <c r="K538" s="72"/>
      <c r="L538" s="72"/>
      <c r="M538" s="72"/>
      <c r="N538" s="72"/>
      <c r="O538" s="133" t="s">
        <v>419</v>
      </c>
      <c r="P538" s="69">
        <v>1</v>
      </c>
      <c r="Q538" s="130">
        <f>MAX(0,$V538-$P538-$S538)</f>
        <v>0</v>
      </c>
      <c r="R538" s="130"/>
      <c r="S538" s="130"/>
      <c r="T538" s="134">
        <v>0.56999999999999995</v>
      </c>
      <c r="U538" s="134">
        <f>IF(AND($Q538&gt;0,ISNUMBER($T538)),$Q538*$T538,0)</f>
        <v>0</v>
      </c>
      <c r="V538" s="68">
        <f>SUM(W538:AB538)</f>
        <v>1</v>
      </c>
      <c r="W538" s="130"/>
      <c r="X538" s="130"/>
      <c r="Y538" s="130">
        <v>1</v>
      </c>
      <c r="Z538" s="130"/>
      <c r="AA538" s="130"/>
      <c r="AB538" s="130"/>
      <c r="AC538" s="130"/>
      <c r="AD538" s="75">
        <f>SUM(AE538:AJ538)</f>
        <v>1</v>
      </c>
      <c r="AE538" s="76"/>
      <c r="AF538" s="76"/>
      <c r="AG538" s="76">
        <v>1</v>
      </c>
      <c r="AH538" s="76"/>
      <c r="AI538" s="76"/>
      <c r="AJ538" s="76"/>
      <c r="AK538" s="76"/>
      <c r="AL538" s="77">
        <f>IF((P538-SUM(AE538:AK538))&lt;0,0,P538-SUM(AE538:AK538))</f>
        <v>0</v>
      </c>
      <c r="AM538" s="77">
        <f>SUM(AO538:AT538)</f>
        <v>0</v>
      </c>
      <c r="AN538" s="129"/>
      <c r="AO538" s="72"/>
      <c r="AP538" s="72"/>
      <c r="AQ538" s="72"/>
      <c r="AR538" s="72"/>
      <c r="AS538" s="72"/>
      <c r="AT538" s="72"/>
      <c r="AU538" s="72"/>
      <c r="AV538" s="125"/>
      <c r="AW538" s="72"/>
      <c r="AX538" s="129"/>
    </row>
    <row r="539" spans="1:50" ht="15" customHeight="1">
      <c r="A539" s="111" t="s">
        <v>278</v>
      </c>
      <c r="B539" s="130" t="s">
        <v>46</v>
      </c>
      <c r="C539" s="69" t="s">
        <v>45</v>
      </c>
      <c r="D539" s="125" t="s">
        <v>64</v>
      </c>
      <c r="E539" s="125" t="s">
        <v>279</v>
      </c>
      <c r="F539" s="130">
        <v>1</v>
      </c>
      <c r="G539" s="133" t="s">
        <v>280</v>
      </c>
      <c r="H539" s="133" t="s">
        <v>281</v>
      </c>
      <c r="I539" s="133" t="s">
        <v>215</v>
      </c>
      <c r="J539" s="133"/>
      <c r="K539" s="72"/>
      <c r="L539" s="72"/>
      <c r="M539" s="72"/>
      <c r="N539" s="72"/>
      <c r="O539" s="133" t="s">
        <v>53</v>
      </c>
      <c r="P539" s="69">
        <v>1</v>
      </c>
      <c r="Q539" s="130">
        <f>MAX(0,$V539-$P539-$S539)</f>
        <v>0</v>
      </c>
      <c r="R539" s="130"/>
      <c r="S539" s="130"/>
      <c r="T539" s="134">
        <v>0.14000000000000001</v>
      </c>
      <c r="U539" s="134">
        <f>IF(AND($Q539&gt;0,ISNUMBER($T539)),$Q539*$T539,0)</f>
        <v>0</v>
      </c>
      <c r="V539" s="68">
        <f>SUM(W539:AB539)</f>
        <v>0</v>
      </c>
      <c r="W539" s="130"/>
      <c r="X539" s="130"/>
      <c r="Y539" s="130"/>
      <c r="Z539" s="130"/>
      <c r="AA539" s="130"/>
      <c r="AB539" s="130"/>
      <c r="AC539" s="130"/>
      <c r="AD539" s="75">
        <f>SUM(AE539:AJ539)</f>
        <v>0</v>
      </c>
      <c r="AE539" s="76"/>
      <c r="AF539" s="76"/>
      <c r="AG539" s="76"/>
      <c r="AH539" s="76"/>
      <c r="AI539" s="76"/>
      <c r="AJ539" s="76"/>
      <c r="AK539" s="76"/>
      <c r="AL539" s="77">
        <f>IF((P539-SUM(AE539:AK539))&lt;0,0,P539-SUM(AE539:AK539))</f>
        <v>1</v>
      </c>
      <c r="AM539" s="77">
        <f>SUM(AO539:AT539)</f>
        <v>0</v>
      </c>
      <c r="AN539" s="85"/>
      <c r="AO539" s="72"/>
      <c r="AP539" s="72"/>
      <c r="AQ539" s="72"/>
      <c r="AR539" s="72"/>
      <c r="AS539" s="85"/>
      <c r="AT539" s="72"/>
      <c r="AU539" s="85"/>
      <c r="AV539" s="125"/>
      <c r="AW539" s="72"/>
      <c r="AX539" s="129"/>
    </row>
    <row r="540" spans="1:50" ht="15" customHeight="1">
      <c r="A540" s="108" t="s">
        <v>2537</v>
      </c>
      <c r="B540" s="131" t="s">
        <v>1971</v>
      </c>
      <c r="C540" s="101" t="s">
        <v>45</v>
      </c>
      <c r="D540" s="127" t="s">
        <v>72</v>
      </c>
      <c r="E540" s="127"/>
      <c r="F540" s="131">
        <v>4</v>
      </c>
      <c r="G540" s="127" t="s">
        <v>438</v>
      </c>
      <c r="H540" s="127" t="s">
        <v>2538</v>
      </c>
      <c r="I540" s="127" t="s">
        <v>2539</v>
      </c>
      <c r="J540" s="127"/>
      <c r="K540" s="99"/>
      <c r="L540" s="99">
        <v>1</v>
      </c>
      <c r="M540" s="99"/>
      <c r="N540" s="99"/>
      <c r="O540" s="127" t="s">
        <v>136</v>
      </c>
      <c r="P540" s="101">
        <v>1</v>
      </c>
      <c r="Q540" s="130">
        <f>MAX(0,$V540-$P540-$S540)</f>
        <v>0</v>
      </c>
      <c r="R540" s="127"/>
      <c r="S540" s="127"/>
      <c r="T540" s="127">
        <v>0.11</v>
      </c>
      <c r="U540" s="127">
        <f>IF(AND($Q540&gt;0,ISNUMBER($T540)),$Q540*$T540,0)</f>
        <v>0</v>
      </c>
      <c r="V540" s="68">
        <f>SUM(W540:AB540)</f>
        <v>0</v>
      </c>
      <c r="W540" s="131"/>
      <c r="X540" s="131"/>
      <c r="Y540" s="131"/>
      <c r="Z540" s="131"/>
      <c r="AA540" s="131"/>
      <c r="AB540" s="131"/>
      <c r="AC540" s="130"/>
      <c r="AD540" s="75">
        <f>SUM(AE540:AJ540)</f>
        <v>0</v>
      </c>
      <c r="AE540" s="102"/>
      <c r="AF540" s="102"/>
      <c r="AG540" s="102"/>
      <c r="AH540" s="102"/>
      <c r="AI540" s="102"/>
      <c r="AJ540" s="102"/>
      <c r="AK540" s="102"/>
      <c r="AL540" s="77">
        <f>IF((P540-SUM(AE540:AK540))&lt;0,0,P540-SUM(AE540:AK540))</f>
        <v>1</v>
      </c>
      <c r="AM540" s="77">
        <f>SUM(AO540:AT540)</f>
        <v>0</v>
      </c>
      <c r="AN540" s="127"/>
      <c r="AO540" s="99"/>
      <c r="AP540" s="127"/>
      <c r="AQ540" s="99"/>
      <c r="AR540" s="99"/>
      <c r="AS540" s="99"/>
      <c r="AT540" s="99"/>
      <c r="AU540" s="127"/>
      <c r="AV540" s="127"/>
      <c r="AW540" s="99"/>
      <c r="AX540" s="127"/>
    </row>
    <row r="541" spans="1:50" ht="15" customHeight="1">
      <c r="A541" s="111" t="s">
        <v>588</v>
      </c>
      <c r="B541" s="130" t="s">
        <v>345</v>
      </c>
      <c r="C541" s="69" t="s">
        <v>45</v>
      </c>
      <c r="D541" s="125" t="s">
        <v>589</v>
      </c>
      <c r="E541" s="125" t="s">
        <v>590</v>
      </c>
      <c r="F541" s="130">
        <v>2</v>
      </c>
      <c r="G541" s="133" t="s">
        <v>91</v>
      </c>
      <c r="H541" s="133" t="s">
        <v>592</v>
      </c>
      <c r="I541" s="133" t="s">
        <v>593</v>
      </c>
      <c r="J541" s="133" t="s">
        <v>594</v>
      </c>
      <c r="K541" s="72"/>
      <c r="L541" s="72"/>
      <c r="M541" s="72"/>
      <c r="N541" s="72"/>
      <c r="O541" s="133" t="s">
        <v>591</v>
      </c>
      <c r="P541" s="69">
        <v>1</v>
      </c>
      <c r="Q541" s="130">
        <f>MAX(0,$V541-$P541-$S541)</f>
        <v>0</v>
      </c>
      <c r="R541" s="130"/>
      <c r="S541" s="130"/>
      <c r="T541" s="134">
        <v>8.73</v>
      </c>
      <c r="U541" s="134">
        <f>IF(AND($Q541&gt;0,ISNUMBER($T541)),$Q541*$T541,0)</f>
        <v>0</v>
      </c>
      <c r="V541" s="68">
        <f>SUM(W541:AB541)</f>
        <v>1</v>
      </c>
      <c r="W541" s="130"/>
      <c r="X541" s="130"/>
      <c r="Y541" s="130"/>
      <c r="Z541" s="130"/>
      <c r="AA541" s="130"/>
      <c r="AB541" s="130">
        <v>1</v>
      </c>
      <c r="AC541" s="130"/>
      <c r="AD541" s="75">
        <f>SUM(AE541:AJ541)</f>
        <v>1</v>
      </c>
      <c r="AE541" s="76"/>
      <c r="AF541" s="76"/>
      <c r="AG541" s="76"/>
      <c r="AH541" s="76"/>
      <c r="AI541" s="76"/>
      <c r="AJ541" s="76">
        <v>1</v>
      </c>
      <c r="AK541" s="76"/>
      <c r="AL541" s="77">
        <f>IF((P541-SUM(AE541:AK541))&lt;0,0,P541-SUM(AE541:AK541))</f>
        <v>0</v>
      </c>
      <c r="AM541" s="77">
        <f>SUM(AO541:AT541)</f>
        <v>0</v>
      </c>
      <c r="AN541" s="129"/>
      <c r="AO541" s="72"/>
      <c r="AP541" s="72"/>
      <c r="AQ541" s="72"/>
      <c r="AR541" s="72"/>
      <c r="AS541" s="72"/>
      <c r="AT541" s="72"/>
      <c r="AU541" s="72"/>
      <c r="AV541" s="125"/>
      <c r="AW541" s="72"/>
      <c r="AX541" s="129"/>
    </row>
    <row r="542" spans="1:50" ht="15" customHeight="1">
      <c r="A542" s="108" t="s">
        <v>2540</v>
      </c>
      <c r="B542" s="131" t="s">
        <v>1971</v>
      </c>
      <c r="C542" s="101" t="s">
        <v>45</v>
      </c>
      <c r="D542" s="127" t="s">
        <v>64</v>
      </c>
      <c r="E542" s="127" t="s">
        <v>2541</v>
      </c>
      <c r="F542" s="131">
        <v>4</v>
      </c>
      <c r="G542" s="127" t="s">
        <v>530</v>
      </c>
      <c r="H542" s="127" t="s">
        <v>2542</v>
      </c>
      <c r="I542" s="127"/>
      <c r="J542" s="127"/>
      <c r="K542" s="99"/>
      <c r="L542" s="99"/>
      <c r="M542" s="99"/>
      <c r="N542" s="99"/>
      <c r="O542" s="127" t="s">
        <v>48</v>
      </c>
      <c r="P542" s="101">
        <v>1</v>
      </c>
      <c r="Q542" s="130">
        <f>MAX(0,$V542-$P542-$S542)</f>
        <v>0</v>
      </c>
      <c r="R542" s="127"/>
      <c r="S542" s="127"/>
      <c r="T542" s="127">
        <v>0.16</v>
      </c>
      <c r="U542" s="127">
        <f>IF(AND($Q542&gt;0,ISNUMBER($T542)),$Q542*$T542,0)</f>
        <v>0</v>
      </c>
      <c r="V542" s="68">
        <f>SUM(W542:AB542)</f>
        <v>0</v>
      </c>
      <c r="W542" s="131"/>
      <c r="X542" s="131"/>
      <c r="Y542" s="131"/>
      <c r="Z542" s="131"/>
      <c r="AA542" s="131"/>
      <c r="AB542" s="131"/>
      <c r="AC542" s="130"/>
      <c r="AD542" s="75">
        <f>SUM(AE542:AJ542)</f>
        <v>0</v>
      </c>
      <c r="AE542" s="102"/>
      <c r="AF542" s="102"/>
      <c r="AG542" s="102"/>
      <c r="AH542" s="102"/>
      <c r="AI542" s="102"/>
      <c r="AJ542" s="102"/>
      <c r="AK542" s="102"/>
      <c r="AL542" s="77">
        <f>IF((P542-SUM(AE542:AK542))&lt;0,0,P542-SUM(AE542:AK542))</f>
        <v>1</v>
      </c>
      <c r="AM542" s="77">
        <f>SUM(AO542:AT542)</f>
        <v>0</v>
      </c>
      <c r="AN542" s="99"/>
      <c r="AO542" s="99"/>
      <c r="AP542" s="99"/>
      <c r="AQ542" s="99"/>
      <c r="AR542" s="99"/>
      <c r="AS542" s="99"/>
      <c r="AT542" s="99"/>
      <c r="AU542" s="99"/>
      <c r="AV542" s="127"/>
      <c r="AW542" s="99"/>
      <c r="AX542" s="99"/>
    </row>
    <row r="543" spans="1:50" ht="15" customHeight="1">
      <c r="A543" s="111" t="s">
        <v>595</v>
      </c>
      <c r="B543" s="130" t="s">
        <v>345</v>
      </c>
      <c r="C543" s="69" t="s">
        <v>45</v>
      </c>
      <c r="D543" s="125" t="s">
        <v>175</v>
      </c>
      <c r="E543" s="125"/>
      <c r="F543" s="130">
        <v>3</v>
      </c>
      <c r="G543" s="133" t="s">
        <v>422</v>
      </c>
      <c r="H543" s="133" t="s">
        <v>597</v>
      </c>
      <c r="I543" s="133" t="s">
        <v>598</v>
      </c>
      <c r="J543" s="133"/>
      <c r="K543" s="72"/>
      <c r="L543" s="72"/>
      <c r="M543" s="72"/>
      <c r="N543" s="72"/>
      <c r="O543" s="133" t="s">
        <v>596</v>
      </c>
      <c r="P543" s="69">
        <v>1</v>
      </c>
      <c r="Q543" s="130">
        <f>MAX(0,$V543-$P543-$S543)</f>
        <v>0</v>
      </c>
      <c r="R543" s="130"/>
      <c r="S543" s="130"/>
      <c r="T543" s="134">
        <v>14.61</v>
      </c>
      <c r="U543" s="134">
        <f>IF(AND($Q543&gt;0,ISNUMBER($T543)),$Q543*$T543,0)</f>
        <v>0</v>
      </c>
      <c r="V543" s="68">
        <f>SUM(W543:AB543)</f>
        <v>1</v>
      </c>
      <c r="W543" s="130"/>
      <c r="X543" s="130"/>
      <c r="Y543" s="130"/>
      <c r="Z543" s="130"/>
      <c r="AA543" s="130"/>
      <c r="AB543" s="130">
        <v>1</v>
      </c>
      <c r="AC543" s="130"/>
      <c r="AD543" s="75">
        <f>SUM(AE543:AJ543)</f>
        <v>1</v>
      </c>
      <c r="AE543" s="76"/>
      <c r="AF543" s="76"/>
      <c r="AG543" s="76"/>
      <c r="AH543" s="76"/>
      <c r="AI543" s="76"/>
      <c r="AJ543" s="76">
        <v>1</v>
      </c>
      <c r="AK543" s="76"/>
      <c r="AL543" s="77">
        <f>IF((P543-SUM(AE543:AK543))&lt;0,0,P543-SUM(AE543:AK543))</f>
        <v>0</v>
      </c>
      <c r="AM543" s="77">
        <f>SUM(AO543:AT543)</f>
        <v>0</v>
      </c>
      <c r="AN543" s="129"/>
      <c r="AO543" s="72"/>
      <c r="AP543" s="72"/>
      <c r="AQ543" s="72"/>
      <c r="AR543" s="72"/>
      <c r="AS543" s="72"/>
      <c r="AT543" s="72"/>
      <c r="AU543" s="72"/>
      <c r="AV543" s="125"/>
      <c r="AW543" s="72"/>
      <c r="AX543" s="72"/>
    </row>
    <row r="544" spans="1:50" ht="15" customHeight="1">
      <c r="A544" s="106" t="s">
        <v>2543</v>
      </c>
      <c r="B544" s="131" t="s">
        <v>1831</v>
      </c>
      <c r="C544" s="101" t="s">
        <v>45</v>
      </c>
      <c r="D544" s="127" t="s">
        <v>72</v>
      </c>
      <c r="E544" s="127"/>
      <c r="F544" s="131">
        <v>6</v>
      </c>
      <c r="G544" s="127" t="s">
        <v>1332</v>
      </c>
      <c r="H544" s="127" t="s">
        <v>2544</v>
      </c>
      <c r="I544" s="127" t="s">
        <v>2545</v>
      </c>
      <c r="J544" s="127"/>
      <c r="K544" s="99"/>
      <c r="L544" s="99"/>
      <c r="M544" s="99"/>
      <c r="N544" s="99"/>
      <c r="O544" s="127" t="s">
        <v>136</v>
      </c>
      <c r="P544" s="69">
        <v>1</v>
      </c>
      <c r="Q544" s="130">
        <f>MAX(0,$V544-$P544-$S544)</f>
        <v>0</v>
      </c>
      <c r="R544" s="127"/>
      <c r="S544" s="127"/>
      <c r="T544" s="127">
        <v>0.22</v>
      </c>
      <c r="U544" s="127">
        <f>IF(AND($Q544&gt;0,ISNUMBER($T544)),$Q544*$T544,0)</f>
        <v>0</v>
      </c>
      <c r="V544" s="68">
        <f>SUM(W544:AB544)</f>
        <v>0</v>
      </c>
      <c r="W544" s="127"/>
      <c r="X544" s="127"/>
      <c r="Y544" s="127"/>
      <c r="Z544" s="127"/>
      <c r="AA544" s="127"/>
      <c r="AB544" s="127"/>
      <c r="AC544" s="130"/>
      <c r="AD544" s="75">
        <f>SUM(AE544:AJ544)</f>
        <v>0</v>
      </c>
      <c r="AE544" s="103"/>
      <c r="AF544" s="103"/>
      <c r="AG544" s="103"/>
      <c r="AH544" s="103"/>
      <c r="AI544" s="103"/>
      <c r="AJ544" s="103"/>
      <c r="AK544" s="103"/>
      <c r="AL544" s="77">
        <f>IF((P544-SUM(AE544:AK544))&lt;0,0,P544-SUM(AE544:AK544))</f>
        <v>1</v>
      </c>
      <c r="AM544" s="77">
        <f>SUM(AO544:AT544)</f>
        <v>0</v>
      </c>
      <c r="AN544" s="127"/>
      <c r="AO544" s="127"/>
      <c r="AP544" s="99"/>
      <c r="AQ544" s="99"/>
      <c r="AR544" s="99"/>
      <c r="AS544" s="99"/>
      <c r="AT544" s="99"/>
      <c r="AU544" s="127"/>
      <c r="AV544" s="127"/>
      <c r="AW544" s="99"/>
      <c r="AX544" s="127"/>
    </row>
    <row r="545" spans="1:50" ht="15" customHeight="1">
      <c r="A545" s="109" t="s">
        <v>1805</v>
      </c>
      <c r="B545" s="130" t="s">
        <v>1499</v>
      </c>
      <c r="C545" s="69" t="s">
        <v>45</v>
      </c>
      <c r="D545" s="125" t="s">
        <v>72</v>
      </c>
      <c r="E545" s="125"/>
      <c r="F545" s="130">
        <v>2</v>
      </c>
      <c r="G545" s="133" t="s">
        <v>176</v>
      </c>
      <c r="H545" s="133" t="s">
        <v>1772</v>
      </c>
      <c r="I545" s="133" t="s">
        <v>1806</v>
      </c>
      <c r="J545" s="133"/>
      <c r="K545" s="72"/>
      <c r="L545" s="72"/>
      <c r="M545" s="72"/>
      <c r="N545" s="72"/>
      <c r="O545" s="133" t="s">
        <v>355</v>
      </c>
      <c r="P545" s="69">
        <v>1</v>
      </c>
      <c r="Q545" s="130">
        <f>MAX(0,$V545-$P545-$S545)</f>
        <v>0</v>
      </c>
      <c r="R545" s="130"/>
      <c r="S545" s="130"/>
      <c r="T545" s="134">
        <v>0.3</v>
      </c>
      <c r="U545" s="134">
        <f>IF(AND($Q545&gt;0,ISNUMBER($T545)),$Q545*$T545,0)</f>
        <v>0</v>
      </c>
      <c r="V545" s="68">
        <f>SUM(W545:AB545)</f>
        <v>1</v>
      </c>
      <c r="W545" s="130"/>
      <c r="X545" s="130"/>
      <c r="Y545" s="130"/>
      <c r="Z545" s="130"/>
      <c r="AA545" s="130"/>
      <c r="AB545" s="135">
        <v>1</v>
      </c>
      <c r="AC545" s="130"/>
      <c r="AD545" s="75">
        <f>SUM(AE545:AJ545)</f>
        <v>1</v>
      </c>
      <c r="AE545" s="76"/>
      <c r="AF545" s="76"/>
      <c r="AG545" s="76"/>
      <c r="AH545" s="76"/>
      <c r="AI545" s="76"/>
      <c r="AJ545" s="76">
        <v>1</v>
      </c>
      <c r="AK545" s="76"/>
      <c r="AL545" s="77">
        <f>IF((P545-SUM(AE545:AK545))&lt;0,0,P545-SUM(AE545:AK545))</f>
        <v>0</v>
      </c>
      <c r="AM545" s="77">
        <f>SUM(AO545:AT545)</f>
        <v>0</v>
      </c>
      <c r="AN545" s="129"/>
      <c r="AO545" s="72"/>
      <c r="AP545" s="72"/>
      <c r="AQ545" s="72"/>
      <c r="AR545" s="129"/>
      <c r="AS545" s="72"/>
      <c r="AT545" s="72"/>
      <c r="AU545" s="129"/>
      <c r="AV545" s="125"/>
      <c r="AW545" s="72"/>
      <c r="AX545" s="129"/>
    </row>
    <row r="546" spans="1:50" ht="15" customHeight="1">
      <c r="A546" s="111" t="s">
        <v>1465</v>
      </c>
      <c r="B546" s="130" t="s">
        <v>1114</v>
      </c>
      <c r="C546" s="69" t="s">
        <v>45</v>
      </c>
      <c r="D546" s="125" t="s">
        <v>47</v>
      </c>
      <c r="E546" s="125"/>
      <c r="F546" s="130">
        <v>2</v>
      </c>
      <c r="G546" s="133" t="s">
        <v>176</v>
      </c>
      <c r="H546" s="133" t="s">
        <v>1466</v>
      </c>
      <c r="I546" s="133" t="s">
        <v>1467</v>
      </c>
      <c r="J546" s="133"/>
      <c r="K546" s="72"/>
      <c r="L546" s="72"/>
      <c r="M546" s="72"/>
      <c r="N546" s="72"/>
      <c r="O546" s="133" t="s">
        <v>576</v>
      </c>
      <c r="P546" s="69">
        <v>1</v>
      </c>
      <c r="Q546" s="130">
        <f>MAX(0,$V546-$P546-$S546)</f>
        <v>0</v>
      </c>
      <c r="R546" s="130" t="s">
        <v>57</v>
      </c>
      <c r="S546" s="130">
        <v>1</v>
      </c>
      <c r="T546" s="134">
        <v>0.39</v>
      </c>
      <c r="U546" s="134">
        <f>IF(AND($Q546&gt;0,ISNUMBER($T546)),$Q546*$T546,0)</f>
        <v>0</v>
      </c>
      <c r="V546" s="68">
        <f>SUM(W546:AB546)</f>
        <v>1</v>
      </c>
      <c r="W546" s="130">
        <v>1</v>
      </c>
      <c r="X546" s="130"/>
      <c r="Y546" s="130"/>
      <c r="Z546" s="130"/>
      <c r="AA546" s="130"/>
      <c r="AB546" s="130"/>
      <c r="AC546" s="130"/>
      <c r="AD546" s="75">
        <f>SUM(AE546:AJ546)</f>
        <v>1</v>
      </c>
      <c r="AE546" s="76">
        <v>1</v>
      </c>
      <c r="AF546" s="76"/>
      <c r="AG546" s="76"/>
      <c r="AH546" s="76"/>
      <c r="AI546" s="76"/>
      <c r="AJ546" s="76"/>
      <c r="AK546" s="76"/>
      <c r="AL546" s="77">
        <f>IF((P546-SUM(AE546:AK546))&lt;0,0,P546-SUM(AE546:AK546))</f>
        <v>0</v>
      </c>
      <c r="AM546" s="77">
        <f>SUM(AO546:AT546)</f>
        <v>0</v>
      </c>
      <c r="AN546" s="72"/>
      <c r="AO546" s="72"/>
      <c r="AP546" s="72"/>
      <c r="AQ546" s="72"/>
      <c r="AR546" s="72"/>
      <c r="AS546" s="72"/>
      <c r="AT546" s="72"/>
      <c r="AU546" s="72"/>
      <c r="AV546" s="125"/>
      <c r="AW546" s="72"/>
      <c r="AX546" s="72"/>
    </row>
    <row r="547" spans="1:50" ht="15" customHeight="1">
      <c r="A547" s="111" t="s">
        <v>599</v>
      </c>
      <c r="B547" s="130" t="s">
        <v>345</v>
      </c>
      <c r="C547" s="69" t="s">
        <v>45</v>
      </c>
      <c r="D547" s="125" t="s">
        <v>175</v>
      </c>
      <c r="E547" s="125"/>
      <c r="F547" s="130">
        <v>2</v>
      </c>
      <c r="G547" s="133" t="s">
        <v>317</v>
      </c>
      <c r="H547" s="133" t="s">
        <v>600</v>
      </c>
      <c r="I547" s="133"/>
      <c r="J547" s="133"/>
      <c r="K547" s="72"/>
      <c r="L547" s="72"/>
      <c r="M547" s="72"/>
      <c r="N547" s="72"/>
      <c r="O547" s="133" t="s">
        <v>415</v>
      </c>
      <c r="P547" s="69">
        <v>1</v>
      </c>
      <c r="Q547" s="130">
        <f>MAX(0,$V547-$P547-$S547)</f>
        <v>0</v>
      </c>
      <c r="R547" s="130" t="s">
        <v>57</v>
      </c>
      <c r="S547" s="130">
        <v>1</v>
      </c>
      <c r="T547" s="134">
        <v>1.2</v>
      </c>
      <c r="U547" s="134">
        <f>IF(AND($Q547&gt;0,ISNUMBER($T547)),$Q547*$T547,0)</f>
        <v>0</v>
      </c>
      <c r="V547" s="68">
        <f>SUM(W547:AB547)</f>
        <v>1</v>
      </c>
      <c r="W547" s="130"/>
      <c r="X547" s="130"/>
      <c r="Y547" s="130">
        <v>1</v>
      </c>
      <c r="Z547" s="130"/>
      <c r="AA547" s="130"/>
      <c r="AB547" s="130"/>
      <c r="AC547" s="130"/>
      <c r="AD547" s="75">
        <f>SUM(AE547:AJ547)</f>
        <v>1</v>
      </c>
      <c r="AE547" s="76"/>
      <c r="AF547" s="76"/>
      <c r="AG547" s="76">
        <v>1</v>
      </c>
      <c r="AH547" s="76"/>
      <c r="AI547" s="76"/>
      <c r="AJ547" s="76"/>
      <c r="AK547" s="76"/>
      <c r="AL547" s="77">
        <f>IF((P547-SUM(AE547:AK547))&lt;0,0,P547-SUM(AE547:AK547))</f>
        <v>0</v>
      </c>
      <c r="AM547" s="77">
        <f>SUM(AO547:AT547)</f>
        <v>0</v>
      </c>
      <c r="AN547" s="129"/>
      <c r="AO547" s="72"/>
      <c r="AP547" s="72"/>
      <c r="AQ547" s="72"/>
      <c r="AR547" s="72"/>
      <c r="AS547" s="72"/>
      <c r="AT547" s="72"/>
      <c r="AU547" s="72"/>
      <c r="AV547" s="125"/>
      <c r="AW547" s="72"/>
      <c r="AX547" s="72"/>
    </row>
    <row r="548" spans="1:50" ht="15" customHeight="1">
      <c r="A548" s="106" t="s">
        <v>2546</v>
      </c>
      <c r="B548" s="131" t="s">
        <v>345</v>
      </c>
      <c r="C548" s="101" t="s">
        <v>45</v>
      </c>
      <c r="D548" s="127" t="s">
        <v>89</v>
      </c>
      <c r="E548" s="127"/>
      <c r="F548" s="131">
        <v>2</v>
      </c>
      <c r="G548" s="127" t="s">
        <v>470</v>
      </c>
      <c r="H548" s="127" t="s">
        <v>2441</v>
      </c>
      <c r="I548" s="127" t="s">
        <v>2547</v>
      </c>
      <c r="J548" s="127"/>
      <c r="K548" s="99"/>
      <c r="L548" s="99"/>
      <c r="M548" s="99"/>
      <c r="N548" s="99"/>
      <c r="O548" s="127" t="s">
        <v>136</v>
      </c>
      <c r="P548" s="69">
        <v>1</v>
      </c>
      <c r="Q548" s="130">
        <f>MAX(0,$V548-$P548-$S548)</f>
        <v>0</v>
      </c>
      <c r="R548" s="127"/>
      <c r="S548" s="127"/>
      <c r="T548" s="127">
        <v>0.21</v>
      </c>
      <c r="U548" s="127">
        <f>IF(AND($Q548&gt;0,ISNUMBER($T548)),$Q548*$T548,0)</f>
        <v>0</v>
      </c>
      <c r="V548" s="68">
        <f>SUM(W548:AB548)</f>
        <v>0</v>
      </c>
      <c r="W548" s="127"/>
      <c r="X548" s="127"/>
      <c r="Y548" s="127"/>
      <c r="Z548" s="127"/>
      <c r="AA548" s="127"/>
      <c r="AB548" s="127"/>
      <c r="AC548" s="130"/>
      <c r="AD548" s="75">
        <f>SUM(AE548:AJ548)</f>
        <v>0</v>
      </c>
      <c r="AE548" s="103"/>
      <c r="AF548" s="103"/>
      <c r="AG548" s="103"/>
      <c r="AH548" s="103"/>
      <c r="AI548" s="103"/>
      <c r="AJ548" s="103"/>
      <c r="AK548" s="103"/>
      <c r="AL548" s="77">
        <f>IF((P548-SUM(AE548:AK548))&lt;0,0,P548-SUM(AE548:AK548))</f>
        <v>1</v>
      </c>
      <c r="AM548" s="77">
        <f>SUM(AO548:AT548)</f>
        <v>0</v>
      </c>
      <c r="AN548" s="99"/>
      <c r="AO548" s="99"/>
      <c r="AP548" s="99"/>
      <c r="AQ548" s="99"/>
      <c r="AR548" s="99"/>
      <c r="AS548" s="99"/>
      <c r="AT548" s="99"/>
      <c r="AU548" s="99"/>
      <c r="AV548" s="127"/>
      <c r="AW548" s="99"/>
      <c r="AX548" s="99"/>
    </row>
    <row r="549" spans="1:50" ht="15" customHeight="1">
      <c r="A549" s="111" t="s">
        <v>1955</v>
      </c>
      <c r="B549" s="130" t="s">
        <v>1831</v>
      </c>
      <c r="C549" s="69" t="s">
        <v>45</v>
      </c>
      <c r="D549" s="125" t="s">
        <v>64</v>
      </c>
      <c r="E549" s="125" t="s">
        <v>1956</v>
      </c>
      <c r="F549" s="130">
        <v>2</v>
      </c>
      <c r="G549" s="133" t="s">
        <v>317</v>
      </c>
      <c r="H549" s="133" t="s">
        <v>1957</v>
      </c>
      <c r="I549" s="133" t="s">
        <v>166</v>
      </c>
      <c r="J549" s="133"/>
      <c r="K549" s="72"/>
      <c r="L549" s="72"/>
      <c r="M549" s="72"/>
      <c r="N549" s="72"/>
      <c r="O549" s="133" t="s">
        <v>415</v>
      </c>
      <c r="P549" s="69">
        <v>1</v>
      </c>
      <c r="Q549" s="130">
        <f>MAX(0,$V549-$P549-$S549)</f>
        <v>0</v>
      </c>
      <c r="R549" s="130"/>
      <c r="S549" s="130"/>
      <c r="T549" s="134">
        <v>0.21</v>
      </c>
      <c r="U549" s="134">
        <f>IF(AND($Q549&gt;0,ISNUMBER($T549)),$Q549*$T549,0)</f>
        <v>0</v>
      </c>
      <c r="V549" s="68">
        <f>SUM(W549:AB549)</f>
        <v>1</v>
      </c>
      <c r="W549" s="130"/>
      <c r="X549" s="130"/>
      <c r="Y549" s="130">
        <v>1</v>
      </c>
      <c r="Z549" s="130"/>
      <c r="AA549" s="130"/>
      <c r="AB549" s="130"/>
      <c r="AC549" s="130"/>
      <c r="AD549" s="75">
        <f>SUM(AE549:AJ549)</f>
        <v>1</v>
      </c>
      <c r="AE549" s="76"/>
      <c r="AF549" s="76"/>
      <c r="AG549" s="76">
        <v>1</v>
      </c>
      <c r="AH549" s="76"/>
      <c r="AI549" s="76"/>
      <c r="AJ549" s="76"/>
      <c r="AK549" s="76"/>
      <c r="AL549" s="77">
        <f>IF((P549-SUM(AE549:AK549))&lt;0,0,P549-SUM(AE549:AK549))</f>
        <v>0</v>
      </c>
      <c r="AM549" s="77">
        <f>SUM(AO549:AT549)</f>
        <v>0</v>
      </c>
      <c r="AN549" s="129"/>
      <c r="AO549" s="72"/>
      <c r="AP549" s="72"/>
      <c r="AQ549" s="72"/>
      <c r="AR549" s="129"/>
      <c r="AS549" s="72"/>
      <c r="AT549" s="72"/>
      <c r="AU549" s="129"/>
      <c r="AV549" s="125"/>
      <c r="AW549" s="72"/>
      <c r="AX549" s="72"/>
    </row>
    <row r="550" spans="1:50" ht="15" customHeight="1">
      <c r="A550" s="115" t="s">
        <v>1807</v>
      </c>
      <c r="B550" s="132" t="s">
        <v>1499</v>
      </c>
      <c r="C550" s="69" t="s">
        <v>45</v>
      </c>
      <c r="D550" s="129" t="s">
        <v>47</v>
      </c>
      <c r="E550" s="129"/>
      <c r="F550" s="132">
        <v>1</v>
      </c>
      <c r="G550" s="129" t="s">
        <v>54</v>
      </c>
      <c r="H550" s="129" t="s">
        <v>1808</v>
      </c>
      <c r="I550" s="129" t="s">
        <v>1809</v>
      </c>
      <c r="J550" s="129"/>
      <c r="K550" s="72"/>
      <c r="L550" s="72"/>
      <c r="M550" s="72"/>
      <c r="N550" s="72"/>
      <c r="O550" s="129" t="s">
        <v>136</v>
      </c>
      <c r="P550" s="69">
        <v>1</v>
      </c>
      <c r="Q550" s="130">
        <f>MAX(0,$V550-$P550-$S550)</f>
        <v>0</v>
      </c>
      <c r="R550" s="129"/>
      <c r="S550" s="129"/>
      <c r="T550" s="129">
        <v>0.2</v>
      </c>
      <c r="U550" s="129">
        <f>IF(AND($Q550&gt;0,ISNUMBER($T550)),$Q550*$T550,0)</f>
        <v>0</v>
      </c>
      <c r="V550" s="68">
        <f>SUM(W550:AB550)</f>
        <v>0</v>
      </c>
      <c r="W550" s="132"/>
      <c r="X550" s="132"/>
      <c r="Y550" s="132"/>
      <c r="Z550" s="132"/>
      <c r="AA550" s="132"/>
      <c r="AB550" s="132"/>
      <c r="AC550" s="132"/>
      <c r="AD550" s="75">
        <f>SUM(AE550:AJ550)</f>
        <v>0</v>
      </c>
      <c r="AE550" s="76"/>
      <c r="AF550" s="76"/>
      <c r="AG550" s="76"/>
      <c r="AH550" s="76"/>
      <c r="AI550" s="76"/>
      <c r="AJ550" s="76"/>
      <c r="AK550" s="76"/>
      <c r="AL550" s="77">
        <f>IF((P550-SUM(AE550:AK550))&lt;0,0,P550-SUM(AE550:AK550))</f>
        <v>1</v>
      </c>
      <c r="AM550" s="77">
        <f>SUM(AO550:AT550)</f>
        <v>0</v>
      </c>
      <c r="AN550" s="129"/>
      <c r="AO550" s="72"/>
      <c r="AP550" s="72"/>
      <c r="AQ550" s="72"/>
      <c r="AR550" s="72"/>
      <c r="AS550" s="72"/>
      <c r="AT550" s="72"/>
      <c r="AU550" s="72"/>
      <c r="AV550" s="129"/>
      <c r="AW550" s="72"/>
      <c r="AX550" s="72"/>
    </row>
    <row r="551" spans="1:50" ht="15" customHeight="1">
      <c r="A551" s="111" t="s">
        <v>1468</v>
      </c>
      <c r="B551" s="130" t="s">
        <v>1114</v>
      </c>
      <c r="C551" s="69" t="s">
        <v>45</v>
      </c>
      <c r="D551" s="125" t="s">
        <v>123</v>
      </c>
      <c r="E551" s="125" t="s">
        <v>722</v>
      </c>
      <c r="F551" s="130">
        <v>3</v>
      </c>
      <c r="G551" s="133" t="s">
        <v>317</v>
      </c>
      <c r="H551" s="133" t="s">
        <v>1470</v>
      </c>
      <c r="I551" s="133" t="s">
        <v>1471</v>
      </c>
      <c r="J551" s="133"/>
      <c r="K551" s="72"/>
      <c r="L551" s="72"/>
      <c r="M551" s="72"/>
      <c r="N551" s="72"/>
      <c r="O551" s="133" t="s">
        <v>1469</v>
      </c>
      <c r="P551" s="69">
        <v>1</v>
      </c>
      <c r="Q551" s="130">
        <f>MAX(0,$V551-$P551-$S551)</f>
        <v>0</v>
      </c>
      <c r="R551" s="130"/>
      <c r="S551" s="130"/>
      <c r="T551" s="134">
        <v>2.65</v>
      </c>
      <c r="U551" s="134">
        <f>IF(AND($Q551&gt;0,ISNUMBER($T551)),$Q551*$T551,0)</f>
        <v>0</v>
      </c>
      <c r="V551" s="68">
        <f>SUM(W551:AB551)</f>
        <v>1</v>
      </c>
      <c r="W551" s="130"/>
      <c r="X551" s="130"/>
      <c r="Y551" s="130">
        <v>1</v>
      </c>
      <c r="Z551" s="130"/>
      <c r="AA551" s="130"/>
      <c r="AB551" s="130"/>
      <c r="AC551" s="130"/>
      <c r="AD551" s="75">
        <f>SUM(AE551:AJ551)</f>
        <v>1</v>
      </c>
      <c r="AE551" s="76"/>
      <c r="AF551" s="76"/>
      <c r="AG551" s="76">
        <v>1</v>
      </c>
      <c r="AH551" s="76"/>
      <c r="AI551" s="76"/>
      <c r="AJ551" s="76"/>
      <c r="AK551" s="76"/>
      <c r="AL551" s="77">
        <f>IF((P551-SUM(AE551:AK551))&lt;0,0,P551-SUM(AE551:AK551))</f>
        <v>0</v>
      </c>
      <c r="AM551" s="77">
        <f>SUM(AO551:AT551)</f>
        <v>0</v>
      </c>
      <c r="AN551" s="129"/>
      <c r="AO551" s="72"/>
      <c r="AP551" s="72"/>
      <c r="AQ551" s="72"/>
      <c r="AR551" s="72"/>
      <c r="AS551" s="72"/>
      <c r="AT551" s="72"/>
      <c r="AU551" s="72"/>
      <c r="AV551" s="125"/>
      <c r="AW551" s="72"/>
      <c r="AX551" s="72"/>
    </row>
    <row r="552" spans="1:50" ht="15" customHeight="1">
      <c r="A552" s="111" t="s">
        <v>1103</v>
      </c>
      <c r="B552" s="130" t="s">
        <v>919</v>
      </c>
      <c r="C552" s="69" t="s">
        <v>45</v>
      </c>
      <c r="D552" s="125" t="s">
        <v>627</v>
      </c>
      <c r="E552" s="125"/>
      <c r="F552" s="130">
        <v>0</v>
      </c>
      <c r="G552" s="133" t="s">
        <v>627</v>
      </c>
      <c r="H552" s="133" t="s">
        <v>1061</v>
      </c>
      <c r="I552" s="133"/>
      <c r="J552" s="133"/>
      <c r="K552" s="72"/>
      <c r="L552" s="72"/>
      <c r="M552" s="72"/>
      <c r="N552" s="72"/>
      <c r="O552" s="133" t="s">
        <v>449</v>
      </c>
      <c r="P552" s="69">
        <v>1</v>
      </c>
      <c r="Q552" s="130">
        <f>MAX(0,$V552-$P552-$S552)</f>
        <v>0</v>
      </c>
      <c r="R552" s="130"/>
      <c r="S552" s="130"/>
      <c r="T552" s="134">
        <v>0.08</v>
      </c>
      <c r="U552" s="134">
        <f>IF(AND($Q552&gt;0,ISNUMBER($T552)),$Q552*$T552,0)</f>
        <v>0</v>
      </c>
      <c r="V552" s="68">
        <f>SUM(W552:AB552)</f>
        <v>0</v>
      </c>
      <c r="W552" s="130"/>
      <c r="X552" s="130"/>
      <c r="Y552" s="130"/>
      <c r="Z552" s="130"/>
      <c r="AA552" s="130"/>
      <c r="AB552" s="130"/>
      <c r="AC552" s="130"/>
      <c r="AD552" s="75">
        <f>SUM(AE552:AJ552)</f>
        <v>0</v>
      </c>
      <c r="AE552" s="76"/>
      <c r="AF552" s="76"/>
      <c r="AG552" s="76"/>
      <c r="AH552" s="76"/>
      <c r="AI552" s="76"/>
      <c r="AJ552" s="76"/>
      <c r="AK552" s="76"/>
      <c r="AL552" s="77">
        <f>IF((P552-SUM(AE552:AK552))&lt;0,0,P552-SUM(AE552:AK552))</f>
        <v>1</v>
      </c>
      <c r="AM552" s="77">
        <f>SUM(AO552:AT552)</f>
        <v>0</v>
      </c>
      <c r="AN552" s="72"/>
      <c r="AO552" s="72"/>
      <c r="AP552" s="72"/>
      <c r="AQ552" s="72"/>
      <c r="AR552" s="72"/>
      <c r="AS552" s="72"/>
      <c r="AT552" s="72"/>
      <c r="AU552" s="72"/>
      <c r="AV552" s="125"/>
      <c r="AW552" s="72"/>
      <c r="AX552" s="72"/>
    </row>
    <row r="553" spans="1:50" ht="15" customHeight="1">
      <c r="A553" s="111" t="s">
        <v>2327</v>
      </c>
      <c r="B553" s="130" t="s">
        <v>1971</v>
      </c>
      <c r="C553" s="69" t="s">
        <v>45</v>
      </c>
      <c r="D553" s="125" t="s">
        <v>64</v>
      </c>
      <c r="E553" s="125" t="s">
        <v>669</v>
      </c>
      <c r="F553" s="130">
        <v>2</v>
      </c>
      <c r="G553" s="133" t="s">
        <v>438</v>
      </c>
      <c r="H553" s="133" t="s">
        <v>2328</v>
      </c>
      <c r="I553" s="133"/>
      <c r="J553" s="133"/>
      <c r="K553" s="72"/>
      <c r="L553" s="72"/>
      <c r="M553" s="72"/>
      <c r="N553" s="72"/>
      <c r="O553" s="133" t="s">
        <v>48</v>
      </c>
      <c r="P553" s="69">
        <v>1</v>
      </c>
      <c r="Q553" s="130">
        <f>MAX(0,$V553-$P553-$S553)</f>
        <v>0</v>
      </c>
      <c r="R553" s="130"/>
      <c r="S553" s="130"/>
      <c r="T553" s="134">
        <v>0.1</v>
      </c>
      <c r="U553" s="134">
        <f>IF(AND($Q553&gt;0,ISNUMBER($T553)),$Q553*$T553,0)</f>
        <v>0</v>
      </c>
      <c r="V553" s="68">
        <f>SUM(W553:AB553)</f>
        <v>0</v>
      </c>
      <c r="W553" s="130"/>
      <c r="X553" s="130"/>
      <c r="Y553" s="130"/>
      <c r="Z553" s="130"/>
      <c r="AA553" s="130"/>
      <c r="AB553" s="130"/>
      <c r="AC553" s="130"/>
      <c r="AD553" s="75">
        <f>SUM(AE553:AJ553)</f>
        <v>0</v>
      </c>
      <c r="AE553" s="76"/>
      <c r="AF553" s="76"/>
      <c r="AG553" s="76"/>
      <c r="AH553" s="76"/>
      <c r="AI553" s="76"/>
      <c r="AJ553" s="76"/>
      <c r="AK553" s="76"/>
      <c r="AL553" s="77">
        <f>IF((P553-SUM(AE553:AK553))&lt;0,0,P553-SUM(AE553:AK553))</f>
        <v>1</v>
      </c>
      <c r="AM553" s="77">
        <f>SUM(AO553:AT553)</f>
        <v>0</v>
      </c>
      <c r="AN553" s="129"/>
      <c r="AO553" s="72"/>
      <c r="AP553" s="72"/>
      <c r="AQ553" s="72"/>
      <c r="AR553" s="72"/>
      <c r="AS553" s="72"/>
      <c r="AT553" s="72"/>
      <c r="AU553" s="72"/>
      <c r="AV553" s="125"/>
      <c r="AW553" s="72"/>
      <c r="AX553" s="72"/>
    </row>
    <row r="554" spans="1:50" ht="15" customHeight="1">
      <c r="A554" s="70" t="s">
        <v>862</v>
      </c>
      <c r="B554" s="68" t="s">
        <v>636</v>
      </c>
      <c r="C554" s="69" t="s">
        <v>45</v>
      </c>
      <c r="D554" s="70" t="s">
        <v>64</v>
      </c>
      <c r="E554" s="70" t="s">
        <v>775</v>
      </c>
      <c r="F554" s="68">
        <v>3</v>
      </c>
      <c r="G554" s="71" t="s">
        <v>392</v>
      </c>
      <c r="H554" s="71" t="s">
        <v>864</v>
      </c>
      <c r="I554" s="71"/>
      <c r="J554" s="71"/>
      <c r="K554" s="69"/>
      <c r="L554" s="69"/>
      <c r="M554" s="69"/>
      <c r="N554" s="69"/>
      <c r="O554" s="71" t="s">
        <v>863</v>
      </c>
      <c r="P554" s="69">
        <v>1</v>
      </c>
      <c r="Q554" s="68">
        <f>MAX(0,$V554-$P554-$S554)</f>
        <v>0</v>
      </c>
      <c r="R554" s="68"/>
      <c r="S554" s="68"/>
      <c r="T554" s="73">
        <v>4.33</v>
      </c>
      <c r="U554" s="73">
        <f>IF(AND($Q554&gt;0,ISNUMBER($T554)),$Q554*$T554,0)</f>
        <v>0</v>
      </c>
      <c r="V554" s="68">
        <f>SUM(W554:AB554)</f>
        <v>1</v>
      </c>
      <c r="W554" s="68"/>
      <c r="X554" s="68">
        <v>1</v>
      </c>
      <c r="Y554" s="68"/>
      <c r="Z554" s="68"/>
      <c r="AA554" s="68"/>
      <c r="AB554" s="68"/>
      <c r="AC554" s="68"/>
      <c r="AD554" s="75">
        <f>SUM(AE554:AJ554)</f>
        <v>1</v>
      </c>
      <c r="AE554" s="76"/>
      <c r="AF554" s="76">
        <v>1</v>
      </c>
      <c r="AG554" s="76"/>
      <c r="AH554" s="76"/>
      <c r="AI554" s="76"/>
      <c r="AJ554" s="76"/>
      <c r="AK554" s="76"/>
      <c r="AL554" s="77">
        <f>IF((P554-SUM(AE554:AK554))&lt;0,0,P554-SUM(AE554:AK554))</f>
        <v>0</v>
      </c>
      <c r="AM554" s="77">
        <f>SUM(AO554:AT554)</f>
        <v>0</v>
      </c>
      <c r="AN554" s="129"/>
      <c r="AO554" s="72"/>
      <c r="AP554" s="72"/>
      <c r="AQ554" s="72"/>
      <c r="AR554" s="72"/>
      <c r="AS554" s="72"/>
      <c r="AT554" s="72"/>
      <c r="AU554" s="72"/>
      <c r="AV554" s="70"/>
      <c r="AW554" s="72"/>
      <c r="AX554" s="72"/>
    </row>
    <row r="555" spans="1:50" ht="15" customHeight="1">
      <c r="A555" s="86" t="s">
        <v>2329</v>
      </c>
      <c r="B555" s="68" t="s">
        <v>1971</v>
      </c>
      <c r="C555" s="69" t="s">
        <v>45</v>
      </c>
      <c r="D555" s="70" t="s">
        <v>64</v>
      </c>
      <c r="E555" s="70" t="s">
        <v>1130</v>
      </c>
      <c r="F555" s="68">
        <v>2</v>
      </c>
      <c r="G555" s="71" t="s">
        <v>2177</v>
      </c>
      <c r="H555" s="71" t="s">
        <v>2330</v>
      </c>
      <c r="I555" s="71" t="s">
        <v>2061</v>
      </c>
      <c r="J555" s="71"/>
      <c r="K555" s="72"/>
      <c r="L555" s="72"/>
      <c r="M555" s="72"/>
      <c r="N555" s="72"/>
      <c r="O555" s="71" t="s">
        <v>53</v>
      </c>
      <c r="P555" s="69">
        <v>1</v>
      </c>
      <c r="Q555" s="68">
        <f>MAX(0,$V555-$P555-$S555)</f>
        <v>0</v>
      </c>
      <c r="R555" s="68" t="s">
        <v>57</v>
      </c>
      <c r="S555" s="68">
        <v>1</v>
      </c>
      <c r="T555" s="73">
        <v>0.35</v>
      </c>
      <c r="U555" s="73">
        <f>IF(AND($Q555&gt;0,ISNUMBER($T555)),$Q555*$T555,0)</f>
        <v>0</v>
      </c>
      <c r="V555" s="68">
        <f>SUM(W555:AB555)</f>
        <v>1</v>
      </c>
      <c r="W555" s="68"/>
      <c r="X555" s="68"/>
      <c r="Y555" s="68"/>
      <c r="Z555" s="68"/>
      <c r="AA555" s="87">
        <v>1</v>
      </c>
      <c r="AB555" s="68"/>
      <c r="AC555" s="68"/>
      <c r="AD555" s="75">
        <f>SUM(AE555:AJ555)</f>
        <v>1</v>
      </c>
      <c r="AE555" s="76"/>
      <c r="AF555" s="76"/>
      <c r="AG555" s="76"/>
      <c r="AH555" s="76"/>
      <c r="AI555" s="76">
        <v>1</v>
      </c>
      <c r="AJ555" s="76"/>
      <c r="AK555" s="76"/>
      <c r="AL555" s="77">
        <f>IF((P555-SUM(AE555:AK555))&lt;0,0,P555-SUM(AE555:AK555))</f>
        <v>0</v>
      </c>
      <c r="AM555" s="77">
        <f>SUM(AO555:AT555)</f>
        <v>0</v>
      </c>
      <c r="AN555" s="129"/>
      <c r="AO555" s="72"/>
      <c r="AP555" s="72"/>
      <c r="AQ555" s="72"/>
      <c r="AR555" s="72"/>
      <c r="AS555" s="72"/>
      <c r="AT555" s="72"/>
      <c r="AU555" s="72"/>
      <c r="AV555" s="70"/>
      <c r="AW555" s="72"/>
      <c r="AX555" s="72"/>
    </row>
    <row r="556" spans="1:50" ht="15" customHeight="1">
      <c r="A556" s="70" t="s">
        <v>2331</v>
      </c>
      <c r="B556" s="68" t="s">
        <v>1971</v>
      </c>
      <c r="C556" s="69" t="s">
        <v>45</v>
      </c>
      <c r="D556" s="70" t="s">
        <v>58</v>
      </c>
      <c r="E556" s="70"/>
      <c r="F556" s="68">
        <v>3</v>
      </c>
      <c r="G556" s="71" t="s">
        <v>176</v>
      </c>
      <c r="H556" s="71" t="s">
        <v>2333</v>
      </c>
      <c r="I556" s="71"/>
      <c r="J556" s="71"/>
      <c r="K556" s="69"/>
      <c r="L556" s="69"/>
      <c r="M556" s="69"/>
      <c r="N556" s="69"/>
      <c r="O556" s="71" t="s">
        <v>2332</v>
      </c>
      <c r="P556" s="69">
        <v>1</v>
      </c>
      <c r="Q556" s="68">
        <f>MAX(0,$V556-$P556-$S556)</f>
        <v>0</v>
      </c>
      <c r="R556" s="68"/>
      <c r="S556" s="68"/>
      <c r="T556" s="73">
        <v>1.07</v>
      </c>
      <c r="U556" s="73">
        <f>IF(AND($Q556&gt;0,ISNUMBER($T556)),$Q556*$T556,0)</f>
        <v>0</v>
      </c>
      <c r="V556" s="68">
        <f>SUM(W556:AB556)</f>
        <v>1</v>
      </c>
      <c r="W556" s="68">
        <v>1</v>
      </c>
      <c r="X556" s="68"/>
      <c r="Y556" s="68"/>
      <c r="Z556" s="68"/>
      <c r="AA556" s="68"/>
      <c r="AB556" s="68"/>
      <c r="AC556" s="68"/>
      <c r="AD556" s="75">
        <f>SUM(AE556:AJ556)</f>
        <v>1</v>
      </c>
      <c r="AE556" s="76">
        <v>1</v>
      </c>
      <c r="AF556" s="76"/>
      <c r="AG556" s="76"/>
      <c r="AH556" s="76"/>
      <c r="AI556" s="76"/>
      <c r="AJ556" s="76"/>
      <c r="AK556" s="76"/>
      <c r="AL556" s="77">
        <f>IF((P556-SUM(AE556:AK556))&lt;0,0,P556-SUM(AE556:AK556))</f>
        <v>0</v>
      </c>
      <c r="AM556" s="77">
        <f>SUM(AO556:AT556)</f>
        <v>0</v>
      </c>
      <c r="AN556" s="129"/>
      <c r="AO556" s="72"/>
      <c r="AP556" s="72"/>
      <c r="AQ556" s="129"/>
      <c r="AR556" s="72"/>
      <c r="AS556" s="72"/>
      <c r="AT556" s="129"/>
      <c r="AU556" s="129"/>
      <c r="AV556" s="70"/>
      <c r="AW556" s="72"/>
      <c r="AX556" s="72"/>
    </row>
    <row r="557" spans="1:50" ht="15" customHeight="1">
      <c r="A557" s="86" t="s">
        <v>601</v>
      </c>
      <c r="B557" s="68" t="s">
        <v>345</v>
      </c>
      <c r="C557" s="69" t="s">
        <v>45</v>
      </c>
      <c r="D557" s="70" t="s">
        <v>175</v>
      </c>
      <c r="E557" s="70" t="s">
        <v>602</v>
      </c>
      <c r="F557" s="68">
        <v>2</v>
      </c>
      <c r="G557" s="71" t="s">
        <v>176</v>
      </c>
      <c r="H557" s="71" t="s">
        <v>603</v>
      </c>
      <c r="I557" s="71" t="s">
        <v>604</v>
      </c>
      <c r="J557" s="71"/>
      <c r="K557" s="72"/>
      <c r="L557" s="72"/>
      <c r="M557" s="72"/>
      <c r="N557" s="72"/>
      <c r="O557" s="71" t="s">
        <v>355</v>
      </c>
      <c r="P557" s="69">
        <v>1</v>
      </c>
      <c r="Q557" s="68">
        <f>MAX(0,$V557-$P557-$S557)</f>
        <v>0</v>
      </c>
      <c r="R557" s="68"/>
      <c r="S557" s="68"/>
      <c r="T557" s="73">
        <v>0.28000000000000003</v>
      </c>
      <c r="U557" s="73">
        <f>IF(AND($Q557&gt;0,ISNUMBER($T557)),$Q557*$T557,0)</f>
        <v>0</v>
      </c>
      <c r="V557" s="68">
        <f>SUM(W557:AB557)</f>
        <v>1</v>
      </c>
      <c r="W557" s="68"/>
      <c r="X557" s="68"/>
      <c r="Y557" s="87">
        <v>1</v>
      </c>
      <c r="Z557" s="68"/>
      <c r="AA557" s="68"/>
      <c r="AB557" s="68"/>
      <c r="AC557" s="68"/>
      <c r="AD557" s="75">
        <f>SUM(AE557:AJ557)</f>
        <v>1</v>
      </c>
      <c r="AE557" s="76"/>
      <c r="AF557" s="76"/>
      <c r="AG557" s="76">
        <v>1</v>
      </c>
      <c r="AH557" s="76"/>
      <c r="AI557" s="76"/>
      <c r="AJ557" s="76"/>
      <c r="AK557" s="76"/>
      <c r="AL557" s="77">
        <f>IF((P557-SUM(AE557:AK557))&lt;0,0,P557-SUM(AE557:AK557))</f>
        <v>0</v>
      </c>
      <c r="AM557" s="77">
        <f>SUM(AO557:AT557)</f>
        <v>0</v>
      </c>
      <c r="AN557" s="129"/>
      <c r="AO557" s="72"/>
      <c r="AP557" s="72"/>
      <c r="AQ557" s="72"/>
      <c r="AR557" s="72"/>
      <c r="AS557" s="72"/>
      <c r="AT557" s="72"/>
      <c r="AU557" s="72"/>
      <c r="AV557" s="70"/>
      <c r="AW557" s="72"/>
      <c r="AX557" s="72"/>
    </row>
    <row r="558" spans="1:50" ht="15" customHeight="1">
      <c r="A558" s="67" t="s">
        <v>865</v>
      </c>
      <c r="B558" s="68" t="s">
        <v>636</v>
      </c>
      <c r="C558" s="69" t="s">
        <v>45</v>
      </c>
      <c r="D558" s="70" t="s">
        <v>72</v>
      </c>
      <c r="E558" s="70"/>
      <c r="F558" s="68">
        <v>2</v>
      </c>
      <c r="G558" s="71" t="s">
        <v>438</v>
      </c>
      <c r="H558" s="71" t="s">
        <v>867</v>
      </c>
      <c r="I558" s="71"/>
      <c r="J558" s="71"/>
      <c r="K558" s="72"/>
      <c r="L558" s="72"/>
      <c r="M558" s="72"/>
      <c r="N558" s="72"/>
      <c r="O558" s="71" t="s">
        <v>866</v>
      </c>
      <c r="P558" s="69">
        <v>1</v>
      </c>
      <c r="Q558" s="68">
        <f>MAX(0,$V558-$P558-$S558)</f>
        <v>0</v>
      </c>
      <c r="R558" s="68"/>
      <c r="S558" s="68"/>
      <c r="T558" s="73">
        <v>0.28000000000000003</v>
      </c>
      <c r="U558" s="73">
        <f>IF(AND($Q558&gt;0,ISNUMBER($T558)),$Q558*$T558,0)</f>
        <v>0</v>
      </c>
      <c r="V558" s="68">
        <f>SUM(W558:AB558)</f>
        <v>0</v>
      </c>
      <c r="W558" s="68"/>
      <c r="X558" s="68"/>
      <c r="Y558" s="68"/>
      <c r="Z558" s="74"/>
      <c r="AA558" s="68"/>
      <c r="AB558" s="68"/>
      <c r="AC558" s="68"/>
      <c r="AD558" s="75">
        <f>SUM(AE558:AJ558)</f>
        <v>0</v>
      </c>
      <c r="AE558" s="76"/>
      <c r="AF558" s="76"/>
      <c r="AG558" s="76"/>
      <c r="AH558" s="76"/>
      <c r="AI558" s="76"/>
      <c r="AJ558" s="76"/>
      <c r="AK558" s="76"/>
      <c r="AL558" s="77">
        <f>IF((P558-SUM(AE558:AK558))&lt;0,0,P558-SUM(AE558:AK558))</f>
        <v>1</v>
      </c>
      <c r="AM558" s="77">
        <f>SUM(AO558:AT558)</f>
        <v>0</v>
      </c>
      <c r="AN558" s="129"/>
      <c r="AO558" s="72"/>
      <c r="AP558" s="72"/>
      <c r="AQ558" s="72"/>
      <c r="AR558" s="72"/>
      <c r="AS558" s="72"/>
      <c r="AT558" s="72"/>
      <c r="AU558" s="72"/>
      <c r="AV558" s="70"/>
      <c r="AW558" s="72"/>
      <c r="AX558" s="72"/>
    </row>
    <row r="559" spans="1:50" ht="15" customHeight="1">
      <c r="A559" s="70" t="s">
        <v>2334</v>
      </c>
      <c r="B559" s="68" t="s">
        <v>1971</v>
      </c>
      <c r="C559" s="69" t="s">
        <v>45</v>
      </c>
      <c r="D559" s="70" t="s">
        <v>47</v>
      </c>
      <c r="E559" s="70"/>
      <c r="F559" s="68">
        <v>5</v>
      </c>
      <c r="G559" s="71" t="s">
        <v>117</v>
      </c>
      <c r="H559" s="71" t="s">
        <v>2335</v>
      </c>
      <c r="I559" s="71" t="s">
        <v>2336</v>
      </c>
      <c r="J559" s="71"/>
      <c r="K559" s="72"/>
      <c r="L559" s="72"/>
      <c r="M559" s="72"/>
      <c r="N559" s="72"/>
      <c r="O559" s="71" t="s">
        <v>585</v>
      </c>
      <c r="P559" s="69">
        <v>1</v>
      </c>
      <c r="Q559" s="68">
        <f>MAX(0,$V559-$P559-$S559)</f>
        <v>0</v>
      </c>
      <c r="R559" s="68"/>
      <c r="S559" s="68"/>
      <c r="T559" s="73">
        <v>0.25</v>
      </c>
      <c r="U559" s="73">
        <f>IF(AND($Q559&gt;0,ISNUMBER($T559)),$Q559*$T559,0)</f>
        <v>0</v>
      </c>
      <c r="V559" s="68">
        <f>SUM(W559:AB559)</f>
        <v>1</v>
      </c>
      <c r="W559" s="68"/>
      <c r="X559" s="68"/>
      <c r="Y559" s="68">
        <v>1</v>
      </c>
      <c r="Z559" s="68"/>
      <c r="AA559" s="68"/>
      <c r="AB559" s="68"/>
      <c r="AC559" s="68"/>
      <c r="AD559" s="75">
        <f>SUM(AE559:AJ559)</f>
        <v>1</v>
      </c>
      <c r="AE559" s="76"/>
      <c r="AF559" s="76"/>
      <c r="AG559" s="76">
        <v>1</v>
      </c>
      <c r="AH559" s="76"/>
      <c r="AI559" s="76"/>
      <c r="AJ559" s="76"/>
      <c r="AK559" s="76"/>
      <c r="AL559" s="77">
        <f>IF((P559-SUM(AE559:AK559))&lt;0,0,P559-SUM(AE559:AK559))</f>
        <v>0</v>
      </c>
      <c r="AM559" s="77">
        <f>SUM(AO559:AT559)</f>
        <v>0</v>
      </c>
      <c r="AN559" s="129"/>
      <c r="AO559" s="72"/>
      <c r="AP559" s="72"/>
      <c r="AQ559" s="72"/>
      <c r="AR559" s="72"/>
      <c r="AS559" s="72"/>
      <c r="AT559" s="72"/>
      <c r="AU559" s="72"/>
      <c r="AV559" s="70"/>
      <c r="AW559" s="72"/>
      <c r="AX559" s="72"/>
    </row>
    <row r="560" spans="1:50" ht="15" customHeight="1">
      <c r="A560" s="81" t="s">
        <v>282</v>
      </c>
      <c r="B560" s="68" t="s">
        <v>46</v>
      </c>
      <c r="C560" s="69" t="s">
        <v>45</v>
      </c>
      <c r="D560" s="70" t="s">
        <v>64</v>
      </c>
      <c r="E560" s="70" t="s">
        <v>283</v>
      </c>
      <c r="F560" s="68">
        <v>4</v>
      </c>
      <c r="G560" s="71" t="s">
        <v>285</v>
      </c>
      <c r="H560" s="71" t="s">
        <v>286</v>
      </c>
      <c r="I560" s="71" t="s">
        <v>287</v>
      </c>
      <c r="J560" s="71"/>
      <c r="K560" s="69"/>
      <c r="L560" s="69"/>
      <c r="M560" s="69"/>
      <c r="N560" s="69"/>
      <c r="O560" s="71" t="s">
        <v>284</v>
      </c>
      <c r="P560" s="69">
        <v>1</v>
      </c>
      <c r="Q560" s="68">
        <f>MAX(0,$V560-$P560-$S560)</f>
        <v>0</v>
      </c>
      <c r="R560" s="68"/>
      <c r="S560" s="68"/>
      <c r="T560" s="73">
        <v>2.94</v>
      </c>
      <c r="U560" s="73">
        <f>IF(AND($Q560&gt;0,ISNUMBER($T560)),$Q560*$T560,0)</f>
        <v>0</v>
      </c>
      <c r="V560" s="68">
        <f>SUM(W560:AB560)</f>
        <v>1</v>
      </c>
      <c r="W560" s="68"/>
      <c r="X560" s="68"/>
      <c r="Y560" s="68"/>
      <c r="Z560" s="82">
        <v>1</v>
      </c>
      <c r="AA560" s="68"/>
      <c r="AB560" s="68"/>
      <c r="AC560" s="68"/>
      <c r="AD560" s="75">
        <f>SUM(AE560:AJ560)</f>
        <v>1</v>
      </c>
      <c r="AE560" s="76"/>
      <c r="AF560" s="76"/>
      <c r="AG560" s="76"/>
      <c r="AH560" s="76">
        <v>1</v>
      </c>
      <c r="AI560" s="76"/>
      <c r="AJ560" s="76"/>
      <c r="AK560" s="76"/>
      <c r="AL560" s="77">
        <f>IF((P560-SUM(AE560:AK560))&lt;0,0,P560-SUM(AE560:AK560))</f>
        <v>0</v>
      </c>
      <c r="AM560" s="77">
        <f>SUM(AO560:AT560)</f>
        <v>0</v>
      </c>
      <c r="AN560" s="138" t="s">
        <v>81</v>
      </c>
      <c r="AO560" s="72"/>
      <c r="AP560" s="129"/>
      <c r="AQ560" s="72"/>
      <c r="AR560" s="72"/>
      <c r="AS560" s="72"/>
      <c r="AT560" s="72"/>
      <c r="AU560" s="142" t="s">
        <v>288</v>
      </c>
      <c r="AV560" s="70"/>
      <c r="AW560" s="72"/>
      <c r="AX560" s="94" t="s">
        <v>289</v>
      </c>
    </row>
    <row r="561" spans="1:50" ht="15" customHeight="1">
      <c r="A561" s="70" t="s">
        <v>868</v>
      </c>
      <c r="B561" s="68" t="s">
        <v>636</v>
      </c>
      <c r="C561" s="69" t="s">
        <v>45</v>
      </c>
      <c r="D561" s="70" t="s">
        <v>64</v>
      </c>
      <c r="E561" s="70" t="s">
        <v>283</v>
      </c>
      <c r="F561" s="68">
        <v>4</v>
      </c>
      <c r="G561" s="71" t="s">
        <v>433</v>
      </c>
      <c r="H561" s="71" t="s">
        <v>870</v>
      </c>
      <c r="I561" s="71"/>
      <c r="J561" s="71"/>
      <c r="K561" s="72"/>
      <c r="L561" s="72"/>
      <c r="M561" s="72"/>
      <c r="N561" s="72"/>
      <c r="O561" s="71" t="s">
        <v>869</v>
      </c>
      <c r="P561" s="69">
        <v>1</v>
      </c>
      <c r="Q561" s="68">
        <f>MAX(0,$V561-$P561-$S561)</f>
        <v>0</v>
      </c>
      <c r="R561" s="68"/>
      <c r="S561" s="68"/>
      <c r="T561" s="73">
        <v>0.63</v>
      </c>
      <c r="U561" s="73">
        <f>IF(AND($Q561&gt;0,ISNUMBER($T561)),$Q561*$T561,0)</f>
        <v>0</v>
      </c>
      <c r="V561" s="68">
        <f>SUM(W561:AB561)</f>
        <v>1</v>
      </c>
      <c r="W561" s="68"/>
      <c r="X561" s="68"/>
      <c r="Y561" s="68"/>
      <c r="Z561" s="68">
        <v>1</v>
      </c>
      <c r="AA561" s="68"/>
      <c r="AB561" s="68"/>
      <c r="AC561" s="68"/>
      <c r="AD561" s="75">
        <f>SUM(AE561:AJ561)</f>
        <v>1</v>
      </c>
      <c r="AE561" s="76"/>
      <c r="AF561" s="76"/>
      <c r="AG561" s="76"/>
      <c r="AH561" s="76">
        <v>1</v>
      </c>
      <c r="AI561" s="76"/>
      <c r="AJ561" s="76"/>
      <c r="AK561" s="76"/>
      <c r="AL561" s="77">
        <f>IF((P561-SUM(AE561:AK561))&lt;0,0,P561-SUM(AE561:AK561))</f>
        <v>0</v>
      </c>
      <c r="AM561" s="77">
        <f>SUM(AO561:AT561)</f>
        <v>0</v>
      </c>
      <c r="AN561" s="72"/>
      <c r="AO561" s="72"/>
      <c r="AP561" s="72"/>
      <c r="AQ561" s="72"/>
      <c r="AR561" s="72"/>
      <c r="AS561" s="72"/>
      <c r="AT561" s="72"/>
      <c r="AU561" s="72"/>
      <c r="AV561" s="70"/>
      <c r="AW561" s="72"/>
      <c r="AX561" s="72"/>
    </row>
    <row r="562" spans="1:50" ht="15" customHeight="1">
      <c r="A562" s="86" t="s">
        <v>871</v>
      </c>
      <c r="B562" s="68" t="s">
        <v>636</v>
      </c>
      <c r="C562" s="69" t="s">
        <v>45</v>
      </c>
      <c r="D562" s="70" t="s">
        <v>58</v>
      </c>
      <c r="E562" s="70" t="s">
        <v>726</v>
      </c>
      <c r="F562" s="68">
        <v>3</v>
      </c>
      <c r="G562" s="71" t="s">
        <v>264</v>
      </c>
      <c r="H562" s="71" t="s">
        <v>872</v>
      </c>
      <c r="I562" s="71" t="s">
        <v>873</v>
      </c>
      <c r="J562" s="71"/>
      <c r="K562" s="72"/>
      <c r="L562" s="72"/>
      <c r="M562" s="72"/>
      <c r="N562" s="72"/>
      <c r="O562" s="71" t="s">
        <v>97</v>
      </c>
      <c r="P562" s="69">
        <v>1</v>
      </c>
      <c r="Q562" s="68">
        <f>MAX(0,$V562-$P562-$S562)</f>
        <v>0</v>
      </c>
      <c r="R562" s="68"/>
      <c r="S562" s="68"/>
      <c r="T562" s="73">
        <v>0.19</v>
      </c>
      <c r="U562" s="73">
        <f>IF(AND($Q562&gt;0,ISNUMBER($T562)),$Q562*$T562,0)</f>
        <v>0</v>
      </c>
      <c r="V562" s="68">
        <f>SUM(W562:AB562)</f>
        <v>1</v>
      </c>
      <c r="W562" s="68"/>
      <c r="X562" s="68"/>
      <c r="Y562" s="68"/>
      <c r="Z562" s="87">
        <v>1</v>
      </c>
      <c r="AA562" s="68"/>
      <c r="AB562" s="68"/>
      <c r="AC562" s="68"/>
      <c r="AD562" s="75">
        <f>SUM(AE562:AJ562)</f>
        <v>1</v>
      </c>
      <c r="AE562" s="76"/>
      <c r="AF562" s="76"/>
      <c r="AG562" s="76"/>
      <c r="AH562" s="76">
        <v>1</v>
      </c>
      <c r="AI562" s="76"/>
      <c r="AJ562" s="76"/>
      <c r="AK562" s="76"/>
      <c r="AL562" s="77">
        <f>IF((P562-SUM(AE562:AK562))&lt;0,0,P562-SUM(AE562:AK562))</f>
        <v>0</v>
      </c>
      <c r="AM562" s="77">
        <f>SUM(AO562:AT562)</f>
        <v>0</v>
      </c>
      <c r="AN562" s="85"/>
      <c r="AO562" s="72"/>
      <c r="AP562" s="72"/>
      <c r="AQ562" s="72"/>
      <c r="AR562" s="72"/>
      <c r="AS562" s="85"/>
      <c r="AT562" s="72"/>
      <c r="AU562" s="85"/>
      <c r="AV562" s="70"/>
      <c r="AW562" s="72"/>
      <c r="AX562" s="72"/>
    </row>
    <row r="563" spans="1:50" ht="15" customHeight="1">
      <c r="A563" s="67" t="s">
        <v>290</v>
      </c>
      <c r="B563" s="68" t="s">
        <v>46</v>
      </c>
      <c r="C563" s="69" t="s">
        <v>45</v>
      </c>
      <c r="D563" s="70" t="s">
        <v>58</v>
      </c>
      <c r="E563" s="70"/>
      <c r="F563" s="68">
        <v>4</v>
      </c>
      <c r="G563" s="71" t="s">
        <v>285</v>
      </c>
      <c r="H563" s="71" t="s">
        <v>292</v>
      </c>
      <c r="I563" s="71" t="s">
        <v>293</v>
      </c>
      <c r="J563" s="71" t="s">
        <v>294</v>
      </c>
      <c r="K563" s="72"/>
      <c r="L563" s="72"/>
      <c r="M563" s="72"/>
      <c r="N563" s="72"/>
      <c r="O563" s="71" t="s">
        <v>291</v>
      </c>
      <c r="P563" s="69">
        <v>1</v>
      </c>
      <c r="Q563" s="68">
        <f>MAX(0,$V563-$P563-$S563)</f>
        <v>0</v>
      </c>
      <c r="R563" s="68"/>
      <c r="S563" s="68"/>
      <c r="T563" s="73">
        <v>0.21</v>
      </c>
      <c r="U563" s="73">
        <f>IF(AND($Q563&gt;0,ISNUMBER($T563)),$Q563*$T563,0)</f>
        <v>0</v>
      </c>
      <c r="V563" s="68">
        <f>SUM(W563:AB563)</f>
        <v>0</v>
      </c>
      <c r="W563" s="68"/>
      <c r="X563" s="68"/>
      <c r="Y563" s="68"/>
      <c r="Z563" s="74"/>
      <c r="AA563" s="68"/>
      <c r="AB563" s="68"/>
      <c r="AC563" s="68"/>
      <c r="AD563" s="75">
        <f>SUM(AE563:AJ563)</f>
        <v>0</v>
      </c>
      <c r="AE563" s="76"/>
      <c r="AF563" s="76"/>
      <c r="AG563" s="76"/>
      <c r="AH563" s="76"/>
      <c r="AI563" s="76"/>
      <c r="AJ563" s="76"/>
      <c r="AK563" s="76"/>
      <c r="AL563" s="77">
        <f>IF((P563-SUM(AE563:AK563))&lt;0,0,P563-SUM(AE563:AK563))</f>
        <v>1</v>
      </c>
      <c r="AM563" s="77">
        <f>SUM(AO563:AT563)</f>
        <v>0</v>
      </c>
      <c r="AN563" s="72"/>
      <c r="AO563" s="72"/>
      <c r="AP563" s="72"/>
      <c r="AQ563" s="72"/>
      <c r="AR563" s="72"/>
      <c r="AS563" s="72"/>
      <c r="AT563" s="72"/>
      <c r="AU563" s="72"/>
      <c r="AV563" s="70"/>
      <c r="AW563" s="72"/>
      <c r="AX563" s="72"/>
    </row>
    <row r="564" spans="1:50" ht="15" customHeight="1">
      <c r="A564" s="70" t="s">
        <v>1104</v>
      </c>
      <c r="B564" s="68" t="s">
        <v>919</v>
      </c>
      <c r="C564" s="69" t="s">
        <v>45</v>
      </c>
      <c r="D564" s="70" t="s">
        <v>627</v>
      </c>
      <c r="E564" s="70" t="s">
        <v>995</v>
      </c>
      <c r="F564" s="68">
        <v>0</v>
      </c>
      <c r="G564" s="71" t="s">
        <v>627</v>
      </c>
      <c r="H564" s="71" t="s">
        <v>958</v>
      </c>
      <c r="I564" s="71" t="s">
        <v>1105</v>
      </c>
      <c r="J564" s="71"/>
      <c r="K564" s="69"/>
      <c r="L564" s="69"/>
      <c r="M564" s="69"/>
      <c r="N564" s="69"/>
      <c r="O564" s="71" t="s">
        <v>334</v>
      </c>
      <c r="P564" s="69">
        <v>1</v>
      </c>
      <c r="Q564" s="68">
        <f>MAX(0,$V564-$P564-$S564)</f>
        <v>0</v>
      </c>
      <c r="R564" s="68"/>
      <c r="S564" s="68"/>
      <c r="T564" s="73">
        <v>5.38</v>
      </c>
      <c r="U564" s="73">
        <f>IF(AND($Q564&gt;0,ISNUMBER($T564)),$Q564*$T564,0)</f>
        <v>0</v>
      </c>
      <c r="V564" s="68">
        <f>SUM(W564:AB564)</f>
        <v>1</v>
      </c>
      <c r="W564" s="68">
        <v>1</v>
      </c>
      <c r="X564" s="68"/>
      <c r="Y564" s="68"/>
      <c r="Z564" s="68"/>
      <c r="AA564" s="68"/>
      <c r="AB564" s="68"/>
      <c r="AC564" s="68"/>
      <c r="AD564" s="75">
        <f>SUM(AE564:AJ564)</f>
        <v>1</v>
      </c>
      <c r="AE564" s="76">
        <v>1</v>
      </c>
      <c r="AF564" s="76"/>
      <c r="AG564" s="76"/>
      <c r="AH564" s="76"/>
      <c r="AI564" s="76"/>
      <c r="AJ564" s="76"/>
      <c r="AK564" s="76"/>
      <c r="AL564" s="77">
        <f>IF((P564-SUM(AE564:AK564))&lt;0,0,P564-SUM(AE564:AK564))</f>
        <v>0</v>
      </c>
      <c r="AM564" s="77">
        <f>SUM(AO564:AT564)</f>
        <v>0</v>
      </c>
      <c r="AN564" s="72"/>
      <c r="AO564" s="72"/>
      <c r="AP564" s="72"/>
      <c r="AQ564" s="72"/>
      <c r="AR564" s="72"/>
      <c r="AS564" s="72"/>
      <c r="AT564" s="72"/>
      <c r="AU564" s="72"/>
      <c r="AV564" s="70"/>
      <c r="AW564" s="72"/>
      <c r="AX564" s="72"/>
    </row>
    <row r="565" spans="1:50" ht="15" customHeight="1">
      <c r="A565" s="86" t="s">
        <v>1810</v>
      </c>
      <c r="B565" s="68" t="s">
        <v>1499</v>
      </c>
      <c r="C565" s="69" t="s">
        <v>45</v>
      </c>
      <c r="D565" s="70" t="s">
        <v>72</v>
      </c>
      <c r="E565" s="70"/>
      <c r="F565" s="68">
        <v>3</v>
      </c>
      <c r="G565" s="71" t="s">
        <v>1589</v>
      </c>
      <c r="H565" s="71" t="s">
        <v>1811</v>
      </c>
      <c r="I565" s="71" t="s">
        <v>1812</v>
      </c>
      <c r="J565" s="71"/>
      <c r="K565" s="72"/>
      <c r="L565" s="72"/>
      <c r="M565" s="72"/>
      <c r="N565" s="72"/>
      <c r="O565" s="71" t="s">
        <v>48</v>
      </c>
      <c r="P565" s="69">
        <v>1</v>
      </c>
      <c r="Q565" s="68">
        <f>MAX(0,$V565-$P565-$S565)</f>
        <v>0</v>
      </c>
      <c r="R565" s="68"/>
      <c r="S565" s="68"/>
      <c r="T565" s="73">
        <v>0.15</v>
      </c>
      <c r="U565" s="73">
        <f>IF(AND($Q565&gt;0,ISNUMBER($T565)),$Q565*$T565,0)</f>
        <v>0</v>
      </c>
      <c r="V565" s="68">
        <f>SUM(W565:AB565)</f>
        <v>1</v>
      </c>
      <c r="W565" s="68"/>
      <c r="X565" s="68"/>
      <c r="Y565" s="68"/>
      <c r="Z565" s="68"/>
      <c r="AA565" s="68"/>
      <c r="AB565" s="87">
        <v>1</v>
      </c>
      <c r="AC565" s="68"/>
      <c r="AD565" s="75">
        <f>SUM(AE565:AJ565)</f>
        <v>1</v>
      </c>
      <c r="AE565" s="76"/>
      <c r="AF565" s="76"/>
      <c r="AG565" s="76"/>
      <c r="AH565" s="76"/>
      <c r="AI565" s="76"/>
      <c r="AJ565" s="76">
        <v>1</v>
      </c>
      <c r="AK565" s="76"/>
      <c r="AL565" s="77">
        <f>IF((P565-SUM(AE565:AK565))&lt;0,0,P565-SUM(AE565:AK565))</f>
        <v>0</v>
      </c>
      <c r="AM565" s="77">
        <f>SUM(AO565:AT565)</f>
        <v>0</v>
      </c>
      <c r="AN565" s="72"/>
      <c r="AO565" s="72"/>
      <c r="AP565" s="72"/>
      <c r="AQ565" s="72"/>
      <c r="AR565" s="72"/>
      <c r="AS565" s="72"/>
      <c r="AT565" s="72"/>
      <c r="AU565" s="72"/>
      <c r="AV565" s="70"/>
      <c r="AW565" s="72"/>
      <c r="AX565" s="72"/>
    </row>
    <row r="566" spans="1:50" ht="15" customHeight="1">
      <c r="A566" s="70" t="s">
        <v>605</v>
      </c>
      <c r="B566" s="68" t="s">
        <v>345</v>
      </c>
      <c r="C566" s="69" t="s">
        <v>45</v>
      </c>
      <c r="D566" s="70" t="s">
        <v>123</v>
      </c>
      <c r="E566" s="70" t="s">
        <v>606</v>
      </c>
      <c r="F566" s="68">
        <v>5</v>
      </c>
      <c r="G566" s="71" t="s">
        <v>392</v>
      </c>
      <c r="H566" s="71" t="s">
        <v>166</v>
      </c>
      <c r="I566" s="71" t="s">
        <v>608</v>
      </c>
      <c r="J566" s="71" t="s">
        <v>609</v>
      </c>
      <c r="K566" s="72"/>
      <c r="L566" s="72">
        <v>1</v>
      </c>
      <c r="M566" s="72"/>
      <c r="N566" s="72"/>
      <c r="O566" s="71" t="s">
        <v>607</v>
      </c>
      <c r="P566" s="69">
        <v>1</v>
      </c>
      <c r="Q566" s="68">
        <f>MAX(0,$V566-$P566-$S566)</f>
        <v>0</v>
      </c>
      <c r="R566" s="68"/>
      <c r="S566" s="68"/>
      <c r="T566" s="73">
        <v>1.26</v>
      </c>
      <c r="U566" s="73">
        <f>IF(AND($Q566&gt;0,ISNUMBER($T566)),$Q566*$T566,0)</f>
        <v>0</v>
      </c>
      <c r="V566" s="68">
        <f>SUM(W566:AB566)</f>
        <v>0</v>
      </c>
      <c r="W566" s="68"/>
      <c r="X566" s="68"/>
      <c r="Y566" s="68"/>
      <c r="Z566" s="68"/>
      <c r="AA566" s="68"/>
      <c r="AB566" s="68"/>
      <c r="AC566" s="68"/>
      <c r="AD566" s="75">
        <f>SUM(AE566:AJ566)</f>
        <v>0</v>
      </c>
      <c r="AE566" s="76"/>
      <c r="AF566" s="76"/>
      <c r="AG566" s="76"/>
      <c r="AH566" s="76"/>
      <c r="AI566" s="76"/>
      <c r="AJ566" s="76"/>
      <c r="AK566" s="76"/>
      <c r="AL566" s="77">
        <f>IF((P566-SUM(AE566:AK566))&lt;0,0,P566-SUM(AE566:AK566))</f>
        <v>1</v>
      </c>
      <c r="AM566" s="77">
        <f>SUM(AO566:AT566)</f>
        <v>0</v>
      </c>
      <c r="AN566" s="72"/>
      <c r="AO566" s="72"/>
      <c r="AP566" s="72"/>
      <c r="AQ566" s="72"/>
      <c r="AR566" s="72"/>
      <c r="AS566" s="72"/>
      <c r="AT566" s="72"/>
      <c r="AU566" s="72"/>
      <c r="AV566" s="70"/>
      <c r="AW566" s="72"/>
      <c r="AX566" s="72"/>
    </row>
    <row r="567" spans="1:50" ht="15" customHeight="1">
      <c r="A567" s="70" t="s">
        <v>295</v>
      </c>
      <c r="B567" s="68" t="s">
        <v>46</v>
      </c>
      <c r="C567" s="69" t="s">
        <v>45</v>
      </c>
      <c r="D567" s="70" t="s">
        <v>72</v>
      </c>
      <c r="E567" s="70"/>
      <c r="F567" s="68">
        <v>2</v>
      </c>
      <c r="G567" s="71" t="s">
        <v>296</v>
      </c>
      <c r="H567" s="71" t="s">
        <v>297</v>
      </c>
      <c r="I567" s="71" t="s">
        <v>298</v>
      </c>
      <c r="J567" s="71"/>
      <c r="K567" s="72"/>
      <c r="L567" s="72"/>
      <c r="M567" s="72"/>
      <c r="N567" s="72"/>
      <c r="O567" s="71" t="s">
        <v>48</v>
      </c>
      <c r="P567" s="69">
        <v>1</v>
      </c>
      <c r="Q567" s="68">
        <f>MAX(0,$V567-$P567-$S567)</f>
        <v>0</v>
      </c>
      <c r="R567" s="68"/>
      <c r="S567" s="68"/>
      <c r="T567" s="73">
        <v>0.25</v>
      </c>
      <c r="U567" s="73">
        <f>IF(AND($Q567&gt;0,ISNUMBER($T567)),$Q567*$T567,0)</f>
        <v>0</v>
      </c>
      <c r="V567" s="68">
        <f>SUM(W567:AB567)</f>
        <v>0</v>
      </c>
      <c r="W567" s="68"/>
      <c r="X567" s="68"/>
      <c r="Y567" s="68"/>
      <c r="Z567" s="68"/>
      <c r="AA567" s="68"/>
      <c r="AB567" s="68"/>
      <c r="AC567" s="68"/>
      <c r="AD567" s="75">
        <f>SUM(AE567:AJ567)</f>
        <v>0</v>
      </c>
      <c r="AE567" s="76"/>
      <c r="AF567" s="76"/>
      <c r="AG567" s="76"/>
      <c r="AH567" s="76"/>
      <c r="AI567" s="76"/>
      <c r="AJ567" s="76"/>
      <c r="AK567" s="76"/>
      <c r="AL567" s="77">
        <f>IF((P567-SUM(AE567:AK567))&lt;0,0,P567-SUM(AE567:AK567))</f>
        <v>1</v>
      </c>
      <c r="AM567" s="77">
        <f>SUM(AO567:AT567)</f>
        <v>0</v>
      </c>
      <c r="AN567" s="85"/>
      <c r="AO567" s="72"/>
      <c r="AP567" s="85"/>
      <c r="AQ567" s="72"/>
      <c r="AR567" s="72"/>
      <c r="AS567" s="72"/>
      <c r="AT567" s="72"/>
      <c r="AU567" s="85"/>
      <c r="AV567" s="70"/>
      <c r="AW567" s="72"/>
      <c r="AX567" s="72"/>
    </row>
    <row r="568" spans="1:50" ht="15" customHeight="1">
      <c r="A568" s="70" t="s">
        <v>299</v>
      </c>
      <c r="B568" s="68" t="s">
        <v>46</v>
      </c>
      <c r="C568" s="69" t="s">
        <v>45</v>
      </c>
      <c r="D568" s="70" t="s">
        <v>72</v>
      </c>
      <c r="E568" s="70"/>
      <c r="F568" s="68">
        <v>3</v>
      </c>
      <c r="G568" s="71" t="s">
        <v>49</v>
      </c>
      <c r="H568" s="71" t="s">
        <v>300</v>
      </c>
      <c r="I568" s="71" t="s">
        <v>301</v>
      </c>
      <c r="J568" s="71"/>
      <c r="K568" s="72"/>
      <c r="L568" s="72"/>
      <c r="M568" s="72"/>
      <c r="N568" s="72"/>
      <c r="O568" s="71" t="s">
        <v>53</v>
      </c>
      <c r="P568" s="69">
        <v>1</v>
      </c>
      <c r="Q568" s="68">
        <f>MAX(0,$V568-$P568-$S568)</f>
        <v>0</v>
      </c>
      <c r="R568" s="68"/>
      <c r="S568" s="68"/>
      <c r="T568" s="73">
        <v>0.19</v>
      </c>
      <c r="U568" s="73">
        <f>IF(AND($Q568&gt;0,ISNUMBER($T568)),$Q568*$T568,0)</f>
        <v>0</v>
      </c>
      <c r="V568" s="68">
        <f>SUM(W568:AB568)</f>
        <v>0</v>
      </c>
      <c r="W568" s="68"/>
      <c r="X568" s="68"/>
      <c r="Y568" s="68"/>
      <c r="Z568" s="68"/>
      <c r="AA568" s="68"/>
      <c r="AB568" s="68"/>
      <c r="AC568" s="68"/>
      <c r="AD568" s="75">
        <f>SUM(AE568:AJ568)</f>
        <v>0</v>
      </c>
      <c r="AE568" s="76"/>
      <c r="AF568" s="76"/>
      <c r="AG568" s="76"/>
      <c r="AH568" s="76"/>
      <c r="AI568" s="76"/>
      <c r="AJ568" s="76"/>
      <c r="AK568" s="76"/>
      <c r="AL568" s="77">
        <f>IF((P568-SUM(AE568:AK568))&lt;0,0,P568-SUM(AE568:AK568))</f>
        <v>1</v>
      </c>
      <c r="AM568" s="77">
        <f>SUM(AO568:AT568)</f>
        <v>0</v>
      </c>
      <c r="AN568" s="72"/>
      <c r="AO568" s="72"/>
      <c r="AP568" s="72"/>
      <c r="AQ568" s="72"/>
      <c r="AR568" s="72"/>
      <c r="AS568" s="72"/>
      <c r="AT568" s="72"/>
      <c r="AU568" s="72"/>
      <c r="AV568" s="70"/>
      <c r="AW568" s="72"/>
      <c r="AX568" s="72"/>
    </row>
    <row r="569" spans="1:50" ht="15" customHeight="1">
      <c r="A569" s="70" t="s">
        <v>876</v>
      </c>
      <c r="B569" s="68" t="s">
        <v>636</v>
      </c>
      <c r="C569" s="69" t="s">
        <v>45</v>
      </c>
      <c r="D569" s="70" t="s">
        <v>72</v>
      </c>
      <c r="E569" s="70"/>
      <c r="F569" s="68">
        <v>3</v>
      </c>
      <c r="G569" s="71" t="s">
        <v>49</v>
      </c>
      <c r="H569" s="71" t="s">
        <v>877</v>
      </c>
      <c r="I569" s="71" t="s">
        <v>878</v>
      </c>
      <c r="J569" s="71" t="s">
        <v>879</v>
      </c>
      <c r="K569" s="72"/>
      <c r="L569" s="72"/>
      <c r="M569" s="72"/>
      <c r="N569" s="72"/>
      <c r="O569" s="71" t="s">
        <v>48</v>
      </c>
      <c r="P569" s="69">
        <v>1</v>
      </c>
      <c r="Q569" s="68">
        <f>MAX(0,$V569-$P569-$S569)</f>
        <v>0</v>
      </c>
      <c r="R569" s="68"/>
      <c r="S569" s="68"/>
      <c r="T569" s="73">
        <v>0.17</v>
      </c>
      <c r="U569" s="73">
        <f>IF(AND($Q569&gt;0,ISNUMBER($T569)),$Q569*$T569,0)</f>
        <v>0</v>
      </c>
      <c r="V569" s="68">
        <f>SUM(W569:AB569)</f>
        <v>0</v>
      </c>
      <c r="W569" s="68"/>
      <c r="X569" s="68"/>
      <c r="Y569" s="68"/>
      <c r="Z569" s="68"/>
      <c r="AA569" s="68"/>
      <c r="AB569" s="68"/>
      <c r="AC569" s="68"/>
      <c r="AD569" s="75">
        <f>SUM(AE569:AJ569)</f>
        <v>0</v>
      </c>
      <c r="AE569" s="76"/>
      <c r="AF569" s="76"/>
      <c r="AG569" s="76"/>
      <c r="AH569" s="76"/>
      <c r="AI569" s="76"/>
      <c r="AJ569" s="76"/>
      <c r="AK569" s="76"/>
      <c r="AL569" s="77">
        <f>IF((P569-SUM(AE569:AK569))&lt;0,0,P569-SUM(AE569:AK569))</f>
        <v>1</v>
      </c>
      <c r="AM569" s="77">
        <f>SUM(AO569:AT569)</f>
        <v>0</v>
      </c>
      <c r="AN569" s="72"/>
      <c r="AO569" s="72"/>
      <c r="AP569" s="72"/>
      <c r="AQ569" s="72"/>
      <c r="AR569" s="72"/>
      <c r="AS569" s="72"/>
      <c r="AT569" s="72"/>
      <c r="AU569" s="72"/>
      <c r="AV569" s="70"/>
      <c r="AW569" s="72"/>
      <c r="AX569" s="72"/>
    </row>
    <row r="570" spans="1:50" ht="15" customHeight="1">
      <c r="A570" s="70" t="s">
        <v>1818</v>
      </c>
      <c r="B570" s="68" t="s">
        <v>1499</v>
      </c>
      <c r="C570" s="69" t="s">
        <v>45</v>
      </c>
      <c r="D570" s="70" t="s">
        <v>58</v>
      </c>
      <c r="E570" s="70"/>
      <c r="F570" s="68">
        <v>3</v>
      </c>
      <c r="G570" s="71" t="s">
        <v>1421</v>
      </c>
      <c r="H570" s="71" t="s">
        <v>1819</v>
      </c>
      <c r="I570" s="71" t="s">
        <v>1820</v>
      </c>
      <c r="J570" s="71"/>
      <c r="K570" s="69"/>
      <c r="L570" s="69"/>
      <c r="M570" s="69"/>
      <c r="N570" s="69"/>
      <c r="O570" s="71" t="s">
        <v>144</v>
      </c>
      <c r="P570" s="69">
        <v>1</v>
      </c>
      <c r="Q570" s="68">
        <f>MAX(0,$V570-$P570-$S570)</f>
        <v>0</v>
      </c>
      <c r="R570" s="68"/>
      <c r="S570" s="68"/>
      <c r="T570" s="73">
        <v>4.1100000000000003</v>
      </c>
      <c r="U570" s="73">
        <f>IF(AND($Q570&gt;0,ISNUMBER($T570)),$Q570*$T570,0)</f>
        <v>0</v>
      </c>
      <c r="V570" s="68">
        <f>SUM(W570:AB570)</f>
        <v>1</v>
      </c>
      <c r="W570" s="68">
        <v>1</v>
      </c>
      <c r="X570" s="68"/>
      <c r="Y570" s="68"/>
      <c r="Z570" s="68"/>
      <c r="AA570" s="68"/>
      <c r="AB570" s="68"/>
      <c r="AC570" s="68"/>
      <c r="AD570" s="75">
        <f>SUM(AE570:AJ570)</f>
        <v>1</v>
      </c>
      <c r="AE570" s="76">
        <v>1</v>
      </c>
      <c r="AF570" s="76"/>
      <c r="AG570" s="76"/>
      <c r="AH570" s="76"/>
      <c r="AI570" s="76"/>
      <c r="AJ570" s="76"/>
      <c r="AK570" s="76"/>
      <c r="AL570" s="77">
        <f>IF((P570-SUM(AE570:AK570))&lt;0,0,P570-SUM(AE570:AK570))</f>
        <v>0</v>
      </c>
      <c r="AM570" s="77">
        <f>SUM(AO570:AT570)</f>
        <v>0</v>
      </c>
      <c r="AN570" s="129"/>
      <c r="AO570" s="72"/>
      <c r="AP570" s="72"/>
      <c r="AQ570" s="72"/>
      <c r="AR570" s="72"/>
      <c r="AS570" s="72"/>
      <c r="AT570" s="129"/>
      <c r="AU570" s="129"/>
      <c r="AV570" s="70"/>
      <c r="AW570" s="72"/>
      <c r="AX570" s="72"/>
    </row>
    <row r="571" spans="1:50" ht="15" customHeight="1">
      <c r="A571" s="70" t="s">
        <v>1821</v>
      </c>
      <c r="B571" s="68" t="s">
        <v>1499</v>
      </c>
      <c r="C571" s="69" t="s">
        <v>45</v>
      </c>
      <c r="D571" s="70" t="s">
        <v>47</v>
      </c>
      <c r="E571" s="70"/>
      <c r="F571" s="68">
        <v>1</v>
      </c>
      <c r="G571" s="71" t="s">
        <v>675</v>
      </c>
      <c r="H571" s="71" t="s">
        <v>1822</v>
      </c>
      <c r="I571" s="71" t="s">
        <v>1823</v>
      </c>
      <c r="J571" s="71"/>
      <c r="K571" s="72"/>
      <c r="L571" s="72"/>
      <c r="M571" s="72"/>
      <c r="N571" s="72"/>
      <c r="O571" s="71" t="s">
        <v>402</v>
      </c>
      <c r="P571" s="69">
        <v>1</v>
      </c>
      <c r="Q571" s="68">
        <f>MAX(0,$V571-$P571-$S571)</f>
        <v>0</v>
      </c>
      <c r="R571" s="68" t="s">
        <v>57</v>
      </c>
      <c r="S571" s="68">
        <v>1</v>
      </c>
      <c r="T571" s="73">
        <v>1.51</v>
      </c>
      <c r="U571" s="73">
        <f>IF(AND($Q571&gt;0,ISNUMBER($T571)),$Q571*$T571,0)</f>
        <v>0</v>
      </c>
      <c r="V571" s="68">
        <f>SUM(W571:AB571)</f>
        <v>1</v>
      </c>
      <c r="W571" s="68"/>
      <c r="X571" s="68"/>
      <c r="Y571" s="68"/>
      <c r="Z571" s="68"/>
      <c r="AA571" s="68"/>
      <c r="AB571" s="68">
        <v>1</v>
      </c>
      <c r="AC571" s="68"/>
      <c r="AD571" s="75">
        <f>SUM(AE571:AJ571)</f>
        <v>1</v>
      </c>
      <c r="AE571" s="76"/>
      <c r="AF571" s="76"/>
      <c r="AG571" s="76"/>
      <c r="AH571" s="76"/>
      <c r="AI571" s="76"/>
      <c r="AJ571" s="76">
        <v>1</v>
      </c>
      <c r="AK571" s="76"/>
      <c r="AL571" s="77">
        <f>IF((P571-SUM(AE571:AK571))&lt;0,0,P571-SUM(AE571:AK571))</f>
        <v>0</v>
      </c>
      <c r="AM571" s="77">
        <f>SUM(AO571:AT571)</f>
        <v>0</v>
      </c>
      <c r="AN571" s="85"/>
      <c r="AO571" s="85"/>
      <c r="AP571" s="72"/>
      <c r="AQ571" s="72"/>
      <c r="AR571" s="72"/>
      <c r="AS571" s="72"/>
      <c r="AT571" s="72"/>
      <c r="AU571" s="85"/>
      <c r="AV571" s="70"/>
      <c r="AW571" s="72"/>
      <c r="AX571" s="72"/>
    </row>
    <row r="572" spans="1:50" ht="15" customHeight="1">
      <c r="A572" s="67" t="s">
        <v>2343</v>
      </c>
      <c r="B572" s="68" t="s">
        <v>1971</v>
      </c>
      <c r="C572" s="69" t="s">
        <v>45</v>
      </c>
      <c r="D572" s="70" t="s">
        <v>64</v>
      </c>
      <c r="E572" s="70" t="s">
        <v>2111</v>
      </c>
      <c r="F572" s="68">
        <v>3</v>
      </c>
      <c r="G572" s="71" t="s">
        <v>530</v>
      </c>
      <c r="H572" s="71" t="s">
        <v>166</v>
      </c>
      <c r="I572" s="71" t="s">
        <v>2344</v>
      </c>
      <c r="J572" s="71" t="s">
        <v>2345</v>
      </c>
      <c r="K572" s="72"/>
      <c r="L572" s="72"/>
      <c r="M572" s="72"/>
      <c r="N572" s="72"/>
      <c r="O572" s="71" t="s">
        <v>334</v>
      </c>
      <c r="P572" s="69">
        <v>1</v>
      </c>
      <c r="Q572" s="68">
        <f>MAX(0,$V572-$P572-$S572)</f>
        <v>0</v>
      </c>
      <c r="R572" s="68"/>
      <c r="S572" s="68"/>
      <c r="T572" s="73">
        <v>0.28000000000000003</v>
      </c>
      <c r="U572" s="73">
        <f>IF(AND($Q572&gt;0,ISNUMBER($T572)),$Q572*$T572,0)</f>
        <v>0</v>
      </c>
      <c r="V572" s="68">
        <f>SUM(W572:AB572)</f>
        <v>0</v>
      </c>
      <c r="W572" s="68"/>
      <c r="X572" s="68"/>
      <c r="Y572" s="68"/>
      <c r="Z572" s="68"/>
      <c r="AA572" s="74"/>
      <c r="AB572" s="68"/>
      <c r="AC572" s="68"/>
      <c r="AD572" s="75">
        <f>SUM(AE572:AJ572)</f>
        <v>0</v>
      </c>
      <c r="AE572" s="76"/>
      <c r="AF572" s="76"/>
      <c r="AG572" s="76"/>
      <c r="AH572" s="76"/>
      <c r="AI572" s="76"/>
      <c r="AJ572" s="76"/>
      <c r="AK572" s="76"/>
      <c r="AL572" s="77">
        <f>IF((P572-SUM(AE572:AK572))&lt;0,0,P572-SUM(AE572:AK572))</f>
        <v>1</v>
      </c>
      <c r="AM572" s="77">
        <f>SUM(AO572:AT572)</f>
        <v>1</v>
      </c>
      <c r="AN572" s="80" t="s">
        <v>105</v>
      </c>
      <c r="AO572" s="79">
        <v>1</v>
      </c>
      <c r="AP572" s="72"/>
      <c r="AQ572" s="72"/>
      <c r="AR572" s="72"/>
      <c r="AS572" s="72"/>
      <c r="AT572" s="72"/>
      <c r="AU572" s="31" t="s">
        <v>2346</v>
      </c>
      <c r="AV572" s="70"/>
      <c r="AW572" s="72"/>
      <c r="AX572" s="72"/>
    </row>
    <row r="573" spans="1:50" ht="15" customHeight="1">
      <c r="A573" s="70" t="s">
        <v>1106</v>
      </c>
      <c r="B573" s="68" t="s">
        <v>919</v>
      </c>
      <c r="C573" s="69" t="s">
        <v>45</v>
      </c>
      <c r="D573" s="70" t="s">
        <v>627</v>
      </c>
      <c r="E573" s="70"/>
      <c r="F573" s="68">
        <v>0</v>
      </c>
      <c r="G573" s="71" t="s">
        <v>627</v>
      </c>
      <c r="H573" s="71" t="s">
        <v>517</v>
      </c>
      <c r="I573" s="71" t="s">
        <v>1108</v>
      </c>
      <c r="J573" s="71"/>
      <c r="K573" s="72"/>
      <c r="L573" s="72"/>
      <c r="M573" s="72"/>
      <c r="N573" s="72"/>
      <c r="O573" s="71" t="s">
        <v>1107</v>
      </c>
      <c r="P573" s="69">
        <v>1</v>
      </c>
      <c r="Q573" s="68">
        <f>MAX(0,$V573-$P573-$S573)</f>
        <v>0</v>
      </c>
      <c r="R573" s="68" t="s">
        <v>57</v>
      </c>
      <c r="S573" s="68">
        <v>1</v>
      </c>
      <c r="T573" s="73">
        <v>0.76</v>
      </c>
      <c r="U573" s="73">
        <f>IF(AND($Q573&gt;0,ISNUMBER($T573)),$Q573*$T573,0)</f>
        <v>0</v>
      </c>
      <c r="V573" s="68">
        <f>SUM(W573:AB573)</f>
        <v>1</v>
      </c>
      <c r="W573" s="68"/>
      <c r="X573" s="68"/>
      <c r="Y573" s="68"/>
      <c r="Z573" s="68"/>
      <c r="AA573" s="68">
        <v>1</v>
      </c>
      <c r="AB573" s="68"/>
      <c r="AC573" s="68"/>
      <c r="AD573" s="75">
        <f>SUM(AE573:AJ573)</f>
        <v>1</v>
      </c>
      <c r="AE573" s="76"/>
      <c r="AF573" s="76"/>
      <c r="AG573" s="76"/>
      <c r="AH573" s="76"/>
      <c r="AI573" s="76">
        <v>1</v>
      </c>
      <c r="AJ573" s="76"/>
      <c r="AK573" s="76"/>
      <c r="AL573" s="77">
        <f>IF((P573-SUM(AE573:AK573))&lt;0,0,P573-SUM(AE573:AK573))</f>
        <v>0</v>
      </c>
      <c r="AM573" s="77">
        <f>SUM(AO573:AT573)</f>
        <v>0</v>
      </c>
      <c r="AN573" s="72"/>
      <c r="AO573" s="72"/>
      <c r="AP573" s="72"/>
      <c r="AQ573" s="72"/>
      <c r="AR573" s="72"/>
      <c r="AS573" s="72"/>
      <c r="AT573" s="72"/>
      <c r="AU573" s="72"/>
      <c r="AV573" s="70"/>
      <c r="AW573" s="72"/>
      <c r="AX573" s="72"/>
    </row>
    <row r="574" spans="1:50" ht="15" customHeight="1">
      <c r="A574" s="86" t="s">
        <v>1479</v>
      </c>
      <c r="B574" s="68" t="s">
        <v>1114</v>
      </c>
      <c r="C574" s="69" t="s">
        <v>45</v>
      </c>
      <c r="D574" s="70" t="s">
        <v>64</v>
      </c>
      <c r="E574" s="70" t="s">
        <v>1480</v>
      </c>
      <c r="F574" s="68">
        <v>3</v>
      </c>
      <c r="G574" s="71" t="s">
        <v>296</v>
      </c>
      <c r="H574" s="71" t="s">
        <v>1481</v>
      </c>
      <c r="I574" s="71" t="s">
        <v>1482</v>
      </c>
      <c r="J574" s="71"/>
      <c r="K574" s="72"/>
      <c r="L574" s="72"/>
      <c r="M574" s="72"/>
      <c r="N574" s="72"/>
      <c r="O574" s="71" t="s">
        <v>576</v>
      </c>
      <c r="P574" s="69">
        <v>1</v>
      </c>
      <c r="Q574" s="68">
        <f>MAX(0,$V574-$P574-$S574)</f>
        <v>0</v>
      </c>
      <c r="R574" s="68"/>
      <c r="S574" s="68"/>
      <c r="T574" s="73">
        <v>0.22</v>
      </c>
      <c r="U574" s="73">
        <f>IF(AND($Q574&gt;0,ISNUMBER($T574)),$Q574*$T574,0)</f>
        <v>0</v>
      </c>
      <c r="V574" s="68">
        <f>SUM(W574:AB574)</f>
        <v>1</v>
      </c>
      <c r="W574" s="87">
        <v>1</v>
      </c>
      <c r="X574" s="68"/>
      <c r="Y574" s="68"/>
      <c r="Z574" s="68"/>
      <c r="AA574" s="68"/>
      <c r="AB574" s="68"/>
      <c r="AC574" s="68"/>
      <c r="AD574" s="75">
        <f>SUM(AE574:AJ574)</f>
        <v>1</v>
      </c>
      <c r="AE574" s="76">
        <v>1</v>
      </c>
      <c r="AF574" s="76"/>
      <c r="AG574" s="76"/>
      <c r="AH574" s="76"/>
      <c r="AI574" s="76"/>
      <c r="AJ574" s="76"/>
      <c r="AK574" s="76"/>
      <c r="AL574" s="77">
        <f>IF((P574-SUM(AE574:AK574))&lt;0,0,P574-SUM(AE574:AK574))</f>
        <v>0</v>
      </c>
      <c r="AM574" s="77">
        <f>SUM(AO574:AT574)</f>
        <v>0</v>
      </c>
      <c r="AN574" s="72"/>
      <c r="AO574" s="72"/>
      <c r="AP574" s="72"/>
      <c r="AQ574" s="72"/>
      <c r="AR574" s="72"/>
      <c r="AS574" s="72"/>
      <c r="AT574" s="72"/>
      <c r="AU574" s="72"/>
      <c r="AV574" s="70"/>
      <c r="AW574" s="72"/>
      <c r="AX574" s="72"/>
    </row>
    <row r="575" spans="1:50" ht="15" customHeight="1">
      <c r="A575" s="70" t="s">
        <v>306</v>
      </c>
      <c r="B575" s="68" t="s">
        <v>46</v>
      </c>
      <c r="C575" s="69" t="s">
        <v>45</v>
      </c>
      <c r="D575" s="70" t="s">
        <v>72</v>
      </c>
      <c r="E575" s="70"/>
      <c r="F575" s="68">
        <v>1</v>
      </c>
      <c r="G575" s="71" t="s">
        <v>98</v>
      </c>
      <c r="H575" s="71" t="s">
        <v>308</v>
      </c>
      <c r="I575" s="71"/>
      <c r="J575" s="71"/>
      <c r="K575" s="72"/>
      <c r="L575" s="72"/>
      <c r="M575" s="72"/>
      <c r="N575" s="72"/>
      <c r="O575" s="71" t="s">
        <v>307</v>
      </c>
      <c r="P575" s="69">
        <v>1</v>
      </c>
      <c r="Q575" s="68">
        <f>MAX(0,$V575-$P575-$S575)</f>
        <v>0</v>
      </c>
      <c r="R575" s="68" t="s">
        <v>57</v>
      </c>
      <c r="S575" s="68">
        <v>1</v>
      </c>
      <c r="T575" s="73">
        <v>0.39</v>
      </c>
      <c r="U575" s="73">
        <f>IF(AND($Q575&gt;0,ISNUMBER($T575)),$Q575*$T575,0)</f>
        <v>0</v>
      </c>
      <c r="V575" s="68">
        <f>SUM(W575:AB575)</f>
        <v>1</v>
      </c>
      <c r="W575" s="68"/>
      <c r="X575" s="68"/>
      <c r="Y575" s="68"/>
      <c r="Z575" s="68"/>
      <c r="AA575" s="68">
        <v>1</v>
      </c>
      <c r="AB575" s="68"/>
      <c r="AC575" s="68"/>
      <c r="AD575" s="75">
        <f>SUM(AE575:AJ575)</f>
        <v>1</v>
      </c>
      <c r="AE575" s="76"/>
      <c r="AF575" s="76"/>
      <c r="AG575" s="76"/>
      <c r="AH575" s="76"/>
      <c r="AI575" s="76">
        <v>1</v>
      </c>
      <c r="AJ575" s="76"/>
      <c r="AK575" s="76"/>
      <c r="AL575" s="77">
        <f>IF((P575-SUM(AE575:AK575))&lt;0,0,P575-SUM(AE575:AK575))</f>
        <v>0</v>
      </c>
      <c r="AM575" s="77">
        <f>SUM(AO575:AT575)</f>
        <v>0</v>
      </c>
      <c r="AN575" s="129"/>
      <c r="AO575" s="72"/>
      <c r="AP575" s="72"/>
      <c r="AQ575" s="72"/>
      <c r="AR575" s="72"/>
      <c r="AS575" s="72"/>
      <c r="AT575" s="72"/>
      <c r="AU575" s="72"/>
      <c r="AV575" s="70"/>
      <c r="AW575" s="72"/>
      <c r="AX575" s="72"/>
    </row>
    <row r="576" spans="1:50" ht="15" customHeight="1">
      <c r="A576" s="70" t="s">
        <v>1483</v>
      </c>
      <c r="B576" s="68" t="s">
        <v>1114</v>
      </c>
      <c r="C576" s="69" t="s">
        <v>45</v>
      </c>
      <c r="D576" s="70" t="s">
        <v>47</v>
      </c>
      <c r="E576" s="70"/>
      <c r="F576" s="68">
        <v>3</v>
      </c>
      <c r="G576" s="71" t="s">
        <v>49</v>
      </c>
      <c r="H576" s="71" t="s">
        <v>1484</v>
      </c>
      <c r="I576" s="71"/>
      <c r="J576" s="71"/>
      <c r="K576" s="72"/>
      <c r="L576" s="72"/>
      <c r="M576" s="72"/>
      <c r="N576" s="72"/>
      <c r="O576" s="71" t="s">
        <v>235</v>
      </c>
      <c r="P576" s="69">
        <v>1</v>
      </c>
      <c r="Q576" s="68">
        <f>MAX(0,$V576-$P576-$S576)</f>
        <v>0</v>
      </c>
      <c r="R576" s="68"/>
      <c r="S576" s="68"/>
      <c r="T576" s="73">
        <v>0.76</v>
      </c>
      <c r="U576" s="73">
        <f>IF(AND($Q576&gt;0,ISNUMBER($T576)),$Q576*$T576,0)</f>
        <v>0</v>
      </c>
      <c r="V576" s="68">
        <f>SUM(W576:AB576)</f>
        <v>1</v>
      </c>
      <c r="W576" s="68"/>
      <c r="X576" s="68"/>
      <c r="Y576" s="68"/>
      <c r="Z576" s="68">
        <v>1</v>
      </c>
      <c r="AA576" s="68"/>
      <c r="AB576" s="68"/>
      <c r="AC576" s="68"/>
      <c r="AD576" s="75">
        <f>SUM(AE576:AJ576)</f>
        <v>1</v>
      </c>
      <c r="AE576" s="76"/>
      <c r="AF576" s="76"/>
      <c r="AG576" s="76"/>
      <c r="AH576" s="76">
        <v>1</v>
      </c>
      <c r="AI576" s="76"/>
      <c r="AJ576" s="76"/>
      <c r="AK576" s="76"/>
      <c r="AL576" s="77">
        <f>IF((P576-SUM(AE576:AK576))&lt;0,0,P576-SUM(AE576:AK576))</f>
        <v>0</v>
      </c>
      <c r="AM576" s="77">
        <f>SUM(AO576:AT576)</f>
        <v>0</v>
      </c>
      <c r="AN576" s="72"/>
      <c r="AO576" s="72"/>
      <c r="AP576" s="72"/>
      <c r="AQ576" s="72"/>
      <c r="AR576" s="72"/>
      <c r="AS576" s="72"/>
      <c r="AT576" s="72"/>
      <c r="AU576" s="72"/>
      <c r="AV576" s="70"/>
      <c r="AW576" s="72"/>
      <c r="AX576" s="72"/>
    </row>
    <row r="577" spans="1:50" ht="15" customHeight="1">
      <c r="A577" s="70" t="s">
        <v>309</v>
      </c>
      <c r="B577" s="68" t="s">
        <v>46</v>
      </c>
      <c r="C577" s="69" t="s">
        <v>45</v>
      </c>
      <c r="D577" s="70" t="s">
        <v>64</v>
      </c>
      <c r="E577" s="70" t="s">
        <v>310</v>
      </c>
      <c r="F577" s="68">
        <v>1</v>
      </c>
      <c r="G577" s="71" t="s">
        <v>98</v>
      </c>
      <c r="H577" s="71" t="s">
        <v>312</v>
      </c>
      <c r="I577" s="71"/>
      <c r="J577" s="71"/>
      <c r="K577" s="72"/>
      <c r="L577" s="72"/>
      <c r="M577" s="72"/>
      <c r="N577" s="72"/>
      <c r="O577" s="71" t="s">
        <v>311</v>
      </c>
      <c r="P577" s="69">
        <v>1</v>
      </c>
      <c r="Q577" s="68">
        <f>MAX(0,$V577-$P577-$S577)</f>
        <v>0</v>
      </c>
      <c r="R577" s="68" t="s">
        <v>57</v>
      </c>
      <c r="S577" s="68">
        <v>1</v>
      </c>
      <c r="T577" s="73">
        <v>0.41</v>
      </c>
      <c r="U577" s="73">
        <f>IF(AND($Q577&gt;0,ISNUMBER($T577)),$Q577*$T577,0)</f>
        <v>0</v>
      </c>
      <c r="V577" s="68">
        <f>SUM(W577:AB577)</f>
        <v>1</v>
      </c>
      <c r="W577" s="68"/>
      <c r="X577" s="68"/>
      <c r="Y577" s="68"/>
      <c r="Z577" s="68"/>
      <c r="AA577" s="68">
        <v>1</v>
      </c>
      <c r="AB577" s="68"/>
      <c r="AC577" s="68"/>
      <c r="AD577" s="75">
        <f>SUM(AE577:AJ577)</f>
        <v>1</v>
      </c>
      <c r="AE577" s="76"/>
      <c r="AF577" s="76"/>
      <c r="AG577" s="76"/>
      <c r="AH577" s="76"/>
      <c r="AI577" s="76">
        <v>1</v>
      </c>
      <c r="AJ577" s="76"/>
      <c r="AK577" s="76"/>
      <c r="AL577" s="77">
        <f>IF((P577-SUM(AE577:AK577))&lt;0,0,P577-SUM(AE577:AK577))</f>
        <v>0</v>
      </c>
      <c r="AM577" s="77">
        <f>SUM(AO577:AT577)</f>
        <v>0</v>
      </c>
      <c r="AN577" s="72"/>
      <c r="AO577" s="72"/>
      <c r="AP577" s="72"/>
      <c r="AQ577" s="72"/>
      <c r="AR577" s="72"/>
      <c r="AS577" s="72"/>
      <c r="AT577" s="72"/>
      <c r="AU577" s="72"/>
      <c r="AV577" s="70"/>
      <c r="AW577" s="72"/>
      <c r="AX577" s="72"/>
    </row>
    <row r="578" spans="1:50" ht="15" customHeight="1">
      <c r="A578" s="86" t="s">
        <v>1824</v>
      </c>
      <c r="B578" s="68" t="s">
        <v>1499</v>
      </c>
      <c r="C578" s="69" t="s">
        <v>45</v>
      </c>
      <c r="D578" s="70" t="s">
        <v>64</v>
      </c>
      <c r="E578" s="70" t="s">
        <v>77</v>
      </c>
      <c r="F578" s="68">
        <v>1</v>
      </c>
      <c r="G578" s="71" t="s">
        <v>1589</v>
      </c>
      <c r="H578" s="71" t="s">
        <v>1825</v>
      </c>
      <c r="I578" s="71" t="s">
        <v>1826</v>
      </c>
      <c r="J578" s="71"/>
      <c r="K578" s="72"/>
      <c r="L578" s="72"/>
      <c r="M578" s="72"/>
      <c r="N578" s="72"/>
      <c r="O578" s="71" t="s">
        <v>1122</v>
      </c>
      <c r="P578" s="69">
        <v>1</v>
      </c>
      <c r="Q578" s="68">
        <f>MAX(0,$V578-$P578-$S578)</f>
        <v>0</v>
      </c>
      <c r="R578" s="68"/>
      <c r="S578" s="68"/>
      <c r="T578" s="73">
        <v>0.33</v>
      </c>
      <c r="U578" s="73">
        <f>IF(AND($Q578&gt;0,ISNUMBER($T578)),$Q578*$T578,0)</f>
        <v>0</v>
      </c>
      <c r="V578" s="68">
        <f>SUM(W578:AB578)</f>
        <v>1</v>
      </c>
      <c r="W578" s="68"/>
      <c r="X578" s="68"/>
      <c r="Y578" s="68"/>
      <c r="Z578" s="68"/>
      <c r="AA578" s="68"/>
      <c r="AB578" s="87">
        <v>1</v>
      </c>
      <c r="AC578" s="68"/>
      <c r="AD578" s="75">
        <f>SUM(AE578:AJ578)</f>
        <v>1</v>
      </c>
      <c r="AE578" s="76"/>
      <c r="AF578" s="76"/>
      <c r="AG578" s="76"/>
      <c r="AH578" s="76"/>
      <c r="AI578" s="76"/>
      <c r="AJ578" s="76">
        <v>1</v>
      </c>
      <c r="AK578" s="76"/>
      <c r="AL578" s="77">
        <f>IF((P578-SUM(AE578:AK578))&lt;0,0,P578-SUM(AE578:AK578))</f>
        <v>0</v>
      </c>
      <c r="AM578" s="77">
        <f>SUM(AO578:AT578)</f>
        <v>0</v>
      </c>
      <c r="AN578" s="129"/>
      <c r="AO578" s="72"/>
      <c r="AP578" s="72"/>
      <c r="AQ578" s="72"/>
      <c r="AR578" s="72"/>
      <c r="AS578" s="72"/>
      <c r="AT578" s="72"/>
      <c r="AU578" s="72"/>
      <c r="AV578" s="70"/>
      <c r="AW578" s="72"/>
      <c r="AX578" s="72"/>
    </row>
    <row r="579" spans="1:50" ht="15" customHeight="1">
      <c r="A579" s="70" t="s">
        <v>1485</v>
      </c>
      <c r="B579" s="68" t="s">
        <v>1114</v>
      </c>
      <c r="C579" s="69" t="s">
        <v>45</v>
      </c>
      <c r="D579" s="70" t="s">
        <v>64</v>
      </c>
      <c r="E579" s="70" t="s">
        <v>1486</v>
      </c>
      <c r="F579" s="68">
        <v>3</v>
      </c>
      <c r="G579" s="71" t="s">
        <v>176</v>
      </c>
      <c r="H579" s="71" t="s">
        <v>1487</v>
      </c>
      <c r="I579" s="71"/>
      <c r="J579" s="71"/>
      <c r="K579" s="72"/>
      <c r="L579" s="72"/>
      <c r="M579" s="72"/>
      <c r="N579" s="72"/>
      <c r="O579" s="71" t="s">
        <v>48</v>
      </c>
      <c r="P579" s="69">
        <v>1</v>
      </c>
      <c r="Q579" s="68">
        <f>MAX(0,$V579-$P579-$S579)</f>
        <v>0</v>
      </c>
      <c r="R579" s="68"/>
      <c r="S579" s="68"/>
      <c r="T579" s="73">
        <v>0.31</v>
      </c>
      <c r="U579" s="73">
        <f>IF(AND($Q579&gt;0,ISNUMBER($T579)),$Q579*$T579,0)</f>
        <v>0</v>
      </c>
      <c r="V579" s="68">
        <f>SUM(W579:AB579)</f>
        <v>0</v>
      </c>
      <c r="W579" s="68"/>
      <c r="X579" s="68"/>
      <c r="Y579" s="68"/>
      <c r="Z579" s="68"/>
      <c r="AA579" s="68"/>
      <c r="AB579" s="68"/>
      <c r="AC579" s="68"/>
      <c r="AD579" s="75">
        <f>SUM(AE579:AJ579)</f>
        <v>0</v>
      </c>
      <c r="AE579" s="76"/>
      <c r="AF579" s="76"/>
      <c r="AG579" s="76"/>
      <c r="AH579" s="76"/>
      <c r="AI579" s="76"/>
      <c r="AJ579" s="76"/>
      <c r="AK579" s="76"/>
      <c r="AL579" s="77">
        <f>IF((P579-SUM(AE579:AK579))&lt;0,0,P579-SUM(AE579:AK579))</f>
        <v>1</v>
      </c>
      <c r="AM579" s="77">
        <f>SUM(AO579:AT579)</f>
        <v>0</v>
      </c>
      <c r="AN579" s="72"/>
      <c r="AO579" s="72"/>
      <c r="AP579" s="72"/>
      <c r="AQ579" s="72"/>
      <c r="AR579" s="72"/>
      <c r="AS579" s="72"/>
      <c r="AT579" s="72"/>
      <c r="AU579" s="72"/>
      <c r="AV579" s="70"/>
      <c r="AW579" s="72"/>
      <c r="AX579" s="72"/>
    </row>
    <row r="580" spans="1:50" ht="15" customHeight="1">
      <c r="A580" s="67" t="s">
        <v>615</v>
      </c>
      <c r="B580" s="68" t="s">
        <v>345</v>
      </c>
      <c r="C580" s="69" t="s">
        <v>45</v>
      </c>
      <c r="D580" s="70" t="s">
        <v>175</v>
      </c>
      <c r="E580" s="70"/>
      <c r="F580" s="68">
        <v>1</v>
      </c>
      <c r="G580" s="71" t="s">
        <v>616</v>
      </c>
      <c r="H580" s="71" t="s">
        <v>617</v>
      </c>
      <c r="I580" s="71"/>
      <c r="J580" s="71"/>
      <c r="K580" s="72"/>
      <c r="L580" s="72"/>
      <c r="M580" s="72"/>
      <c r="N580" s="72"/>
      <c r="O580" s="71" t="s">
        <v>489</v>
      </c>
      <c r="P580" s="69">
        <v>1</v>
      </c>
      <c r="Q580" s="68">
        <f>MAX(0,$V580-$P580-$S580)</f>
        <v>0</v>
      </c>
      <c r="R580" s="68" t="s">
        <v>57</v>
      </c>
      <c r="S580" s="68">
        <v>1</v>
      </c>
      <c r="T580" s="73">
        <v>0.28000000000000003</v>
      </c>
      <c r="U580" s="73">
        <f>IF(AND($Q580&gt;0,ISNUMBER($T580)),$Q580*$T580,0)</f>
        <v>0</v>
      </c>
      <c r="V580" s="68">
        <f>SUM(W580:AB580)</f>
        <v>0</v>
      </c>
      <c r="W580" s="68"/>
      <c r="X580" s="74"/>
      <c r="Y580" s="68"/>
      <c r="Z580" s="68"/>
      <c r="AA580" s="68"/>
      <c r="AB580" s="68"/>
      <c r="AC580" s="68"/>
      <c r="AD580" s="75">
        <f>SUM(AE580:AJ580)</f>
        <v>1</v>
      </c>
      <c r="AE580" s="76"/>
      <c r="AF580" s="76">
        <v>1</v>
      </c>
      <c r="AG580" s="76"/>
      <c r="AH580" s="76"/>
      <c r="AI580" s="76"/>
      <c r="AJ580" s="76"/>
      <c r="AK580" s="76"/>
      <c r="AL580" s="77">
        <f>IF((P580-SUM(AE580:AK580))&lt;0,0,P580-SUM(AE580:AK580))</f>
        <v>0</v>
      </c>
      <c r="AM580" s="77">
        <f>SUM(AO580:AT580)</f>
        <v>1</v>
      </c>
      <c r="AN580" s="80" t="s">
        <v>105</v>
      </c>
      <c r="AO580" s="72" t="s">
        <v>618</v>
      </c>
      <c r="AP580" s="79">
        <v>1</v>
      </c>
      <c r="AQ580" s="72"/>
      <c r="AR580" s="72"/>
      <c r="AS580" s="72"/>
      <c r="AT580" s="72"/>
      <c r="AU580" s="31" t="s">
        <v>619</v>
      </c>
      <c r="AV580" s="70"/>
      <c r="AW580" s="72"/>
      <c r="AX580" s="72"/>
    </row>
    <row r="581" spans="1:50" ht="15" customHeight="1">
      <c r="A581" s="70" t="s">
        <v>2353</v>
      </c>
      <c r="B581" s="68" t="s">
        <v>1971</v>
      </c>
      <c r="C581" s="69" t="s">
        <v>45</v>
      </c>
      <c r="D581" s="70" t="s">
        <v>64</v>
      </c>
      <c r="E581" s="70" t="s">
        <v>2302</v>
      </c>
      <c r="F581" s="68">
        <v>4</v>
      </c>
      <c r="G581" s="71" t="s">
        <v>656</v>
      </c>
      <c r="H581" s="71" t="s">
        <v>2354</v>
      </c>
      <c r="I581" s="71" t="s">
        <v>2355</v>
      </c>
      <c r="J581" s="71"/>
      <c r="K581" s="72"/>
      <c r="L581" s="72"/>
      <c r="M581" s="72"/>
      <c r="N581" s="72"/>
      <c r="O581" s="71" t="s">
        <v>378</v>
      </c>
      <c r="P581" s="69">
        <v>1</v>
      </c>
      <c r="Q581" s="68">
        <f>MAX(0,$V581-$P581-$S581)</f>
        <v>0</v>
      </c>
      <c r="R581" s="68"/>
      <c r="S581" s="68"/>
      <c r="T581" s="73">
        <v>0.28999999999999998</v>
      </c>
      <c r="U581" s="73">
        <f>IF(AND($Q581&gt;0,ISNUMBER($T581)),$Q581*$T581,0)</f>
        <v>0</v>
      </c>
      <c r="V581" s="68">
        <f>SUM(W581:AB581)</f>
        <v>1</v>
      </c>
      <c r="W581" s="68"/>
      <c r="X581" s="68"/>
      <c r="Y581" s="68"/>
      <c r="Z581" s="68">
        <v>1</v>
      </c>
      <c r="AA581" s="68"/>
      <c r="AB581" s="68"/>
      <c r="AC581" s="68"/>
      <c r="AD581" s="75">
        <f>SUM(AE581:AJ581)</f>
        <v>1</v>
      </c>
      <c r="AE581" s="76"/>
      <c r="AF581" s="76"/>
      <c r="AG581" s="76"/>
      <c r="AH581" s="76">
        <v>1</v>
      </c>
      <c r="AI581" s="76"/>
      <c r="AJ581" s="76"/>
      <c r="AK581" s="76"/>
      <c r="AL581" s="77">
        <f>IF((P581-SUM(AE581:AK581))&lt;0,0,P581-SUM(AE581:AK581))</f>
        <v>0</v>
      </c>
      <c r="AM581" s="77">
        <f>SUM(AO581:AT581)</f>
        <v>0</v>
      </c>
      <c r="AN581" s="129"/>
      <c r="AO581" s="129"/>
      <c r="AP581" s="72"/>
      <c r="AQ581" s="72"/>
      <c r="AR581" s="72"/>
      <c r="AS581" s="72"/>
      <c r="AT581" s="72"/>
      <c r="AU581" s="129"/>
      <c r="AV581" s="70"/>
      <c r="AW581" s="72"/>
      <c r="AX581" s="72"/>
    </row>
    <row r="582" spans="1:50" ht="15" customHeight="1">
      <c r="A582" s="70" t="s">
        <v>620</v>
      </c>
      <c r="B582" s="68" t="s">
        <v>345</v>
      </c>
      <c r="C582" s="69" t="s">
        <v>45</v>
      </c>
      <c r="D582" s="70" t="s">
        <v>359</v>
      </c>
      <c r="E582" s="70" t="s">
        <v>554</v>
      </c>
      <c r="F582" s="68">
        <v>1</v>
      </c>
      <c r="G582" s="71" t="s">
        <v>264</v>
      </c>
      <c r="H582" s="71" t="s">
        <v>621</v>
      </c>
      <c r="I582" s="71" t="s">
        <v>622</v>
      </c>
      <c r="J582" s="71"/>
      <c r="K582" s="72"/>
      <c r="L582" s="72"/>
      <c r="M582" s="72"/>
      <c r="N582" s="72"/>
      <c r="O582" s="71" t="s">
        <v>69</v>
      </c>
      <c r="P582" s="69">
        <v>1</v>
      </c>
      <c r="Q582" s="68">
        <f>MAX(0,$V582-$P582-$S582)</f>
        <v>0</v>
      </c>
      <c r="R582" s="68"/>
      <c r="S582" s="68"/>
      <c r="T582" s="73">
        <v>0.23</v>
      </c>
      <c r="U582" s="73">
        <f>IF(AND($Q582&gt;0,ISNUMBER($T582)),$Q582*$T582,0)</f>
        <v>0</v>
      </c>
      <c r="V582" s="68">
        <f>SUM(W582:AB582)</f>
        <v>1</v>
      </c>
      <c r="W582" s="68"/>
      <c r="X582" s="68"/>
      <c r="Y582" s="68"/>
      <c r="Z582" s="68">
        <v>1</v>
      </c>
      <c r="AA582" s="68"/>
      <c r="AB582" s="68"/>
      <c r="AC582" s="68"/>
      <c r="AD582" s="75">
        <f>SUM(AE582:AJ582)</f>
        <v>1</v>
      </c>
      <c r="AE582" s="76"/>
      <c r="AF582" s="76"/>
      <c r="AG582" s="76"/>
      <c r="AH582" s="76">
        <v>1</v>
      </c>
      <c r="AI582" s="76"/>
      <c r="AJ582" s="76"/>
      <c r="AK582" s="76"/>
      <c r="AL582" s="77">
        <f>IF((P582-SUM(AE582:AK582))&lt;0,0,P582-SUM(AE582:AK582))</f>
        <v>0</v>
      </c>
      <c r="AM582" s="77">
        <f>SUM(AO582:AT582)</f>
        <v>0</v>
      </c>
      <c r="AN582" s="72"/>
      <c r="AO582" s="72"/>
      <c r="AP582" s="72"/>
      <c r="AQ582" s="72"/>
      <c r="AR582" s="72"/>
      <c r="AS582" s="72"/>
      <c r="AT582" s="72"/>
      <c r="AU582" s="72"/>
      <c r="AV582" s="70"/>
      <c r="AW582" s="72"/>
      <c r="AX582" s="72"/>
    </row>
    <row r="583" spans="1:50" ht="15" customHeight="1">
      <c r="A583" s="70" t="s">
        <v>327</v>
      </c>
      <c r="B583" s="68" t="s">
        <v>46</v>
      </c>
      <c r="C583" s="69" t="s">
        <v>45</v>
      </c>
      <c r="D583" s="70" t="s">
        <v>64</v>
      </c>
      <c r="E583" s="70" t="s">
        <v>328</v>
      </c>
      <c r="F583" s="68">
        <v>3</v>
      </c>
      <c r="G583" s="71" t="s">
        <v>264</v>
      </c>
      <c r="H583" s="71" t="s">
        <v>330</v>
      </c>
      <c r="I583" s="71" t="s">
        <v>331</v>
      </c>
      <c r="J583" s="71" t="s">
        <v>287</v>
      </c>
      <c r="K583" s="72"/>
      <c r="L583" s="72"/>
      <c r="M583" s="72"/>
      <c r="N583" s="72"/>
      <c r="O583" s="71" t="s">
        <v>329</v>
      </c>
      <c r="P583" s="69">
        <v>1</v>
      </c>
      <c r="Q583" s="68">
        <f>MAX(0,$V583-$P583-$S583)</f>
        <v>0</v>
      </c>
      <c r="R583" s="68"/>
      <c r="S583" s="68"/>
      <c r="T583" s="73">
        <v>0.24</v>
      </c>
      <c r="U583" s="73">
        <f>IF(AND($Q583&gt;0,ISNUMBER($T583)),$Q583*$T583,0)</f>
        <v>0</v>
      </c>
      <c r="V583" s="68">
        <f>SUM(W583:AB583)</f>
        <v>1</v>
      </c>
      <c r="W583" s="68"/>
      <c r="X583" s="68"/>
      <c r="Y583" s="68"/>
      <c r="Z583" s="68">
        <v>1</v>
      </c>
      <c r="AA583" s="68"/>
      <c r="AB583" s="68"/>
      <c r="AC583" s="68"/>
      <c r="AD583" s="75">
        <f>SUM(AE583:AJ583)</f>
        <v>1</v>
      </c>
      <c r="AE583" s="76"/>
      <c r="AF583" s="76"/>
      <c r="AG583" s="76"/>
      <c r="AH583" s="76">
        <v>1</v>
      </c>
      <c r="AI583" s="76"/>
      <c r="AJ583" s="76"/>
      <c r="AK583" s="76"/>
      <c r="AL583" s="77">
        <f>IF((P583-SUM(AE583:AK583))&lt;0,0,P583-SUM(AE583:AK583))</f>
        <v>0</v>
      </c>
      <c r="AM583" s="77">
        <f>SUM(AO583:AT583)</f>
        <v>0</v>
      </c>
      <c r="AN583" s="72"/>
      <c r="AO583" s="72"/>
      <c r="AP583" s="72"/>
      <c r="AQ583" s="72"/>
      <c r="AR583" s="72"/>
      <c r="AS583" s="72"/>
      <c r="AT583" s="72"/>
      <c r="AU583" s="72"/>
      <c r="AV583" s="70"/>
      <c r="AW583" s="72"/>
      <c r="AX583" s="72"/>
    </row>
    <row r="584" spans="1:50" ht="15" customHeight="1">
      <c r="A584" s="86" t="s">
        <v>887</v>
      </c>
      <c r="B584" s="68" t="s">
        <v>636</v>
      </c>
      <c r="C584" s="69" t="s">
        <v>45</v>
      </c>
      <c r="D584" s="70" t="s">
        <v>64</v>
      </c>
      <c r="E584" s="70" t="s">
        <v>323</v>
      </c>
      <c r="F584" s="68">
        <v>2</v>
      </c>
      <c r="G584" s="71" t="s">
        <v>176</v>
      </c>
      <c r="H584" s="71" t="s">
        <v>889</v>
      </c>
      <c r="I584" s="71"/>
      <c r="J584" s="71"/>
      <c r="K584" s="72"/>
      <c r="L584" s="72"/>
      <c r="M584" s="72"/>
      <c r="N584" s="72"/>
      <c r="O584" s="71" t="s">
        <v>888</v>
      </c>
      <c r="P584" s="69">
        <v>1</v>
      </c>
      <c r="Q584" s="68">
        <f>MAX(0,$V584-$P584-$S584)</f>
        <v>0</v>
      </c>
      <c r="R584" s="68"/>
      <c r="S584" s="68"/>
      <c r="T584" s="73">
        <v>0.26</v>
      </c>
      <c r="U584" s="73">
        <f>IF(AND($Q584&gt;0,ISNUMBER($T584)),$Q584*$T584,0)</f>
        <v>0</v>
      </c>
      <c r="V584" s="68">
        <f>SUM(W584:AB584)</f>
        <v>1</v>
      </c>
      <c r="W584" s="68"/>
      <c r="X584" s="68"/>
      <c r="Y584" s="68"/>
      <c r="Z584" s="87">
        <v>1</v>
      </c>
      <c r="AA584" s="68"/>
      <c r="AB584" s="68"/>
      <c r="AC584" s="68"/>
      <c r="AD584" s="75">
        <f>SUM(AE584:AJ584)</f>
        <v>1</v>
      </c>
      <c r="AE584" s="76"/>
      <c r="AF584" s="76"/>
      <c r="AG584" s="76"/>
      <c r="AH584" s="76">
        <v>1</v>
      </c>
      <c r="AI584" s="76"/>
      <c r="AJ584" s="76"/>
      <c r="AK584" s="76"/>
      <c r="AL584" s="77">
        <f>IF((P584-SUM(AE584:AK584))&lt;0,0,P584-SUM(AE584:AK584))</f>
        <v>0</v>
      </c>
      <c r="AM584" s="77">
        <f>SUM(AO584:AT584)</f>
        <v>0</v>
      </c>
      <c r="AN584" s="129"/>
      <c r="AO584" s="72"/>
      <c r="AP584" s="72"/>
      <c r="AQ584" s="72"/>
      <c r="AR584" s="72"/>
      <c r="AS584" s="129"/>
      <c r="AT584" s="72"/>
      <c r="AU584" s="129"/>
      <c r="AV584" s="70"/>
      <c r="AW584" s="72"/>
      <c r="AX584" s="72"/>
    </row>
    <row r="585" spans="1:50" ht="15" customHeight="1">
      <c r="A585" s="70" t="s">
        <v>2358</v>
      </c>
      <c r="B585" s="68" t="s">
        <v>1971</v>
      </c>
      <c r="C585" s="69" t="s">
        <v>45</v>
      </c>
      <c r="D585" s="70" t="s">
        <v>64</v>
      </c>
      <c r="E585" s="70" t="s">
        <v>323</v>
      </c>
      <c r="F585" s="68">
        <v>3</v>
      </c>
      <c r="G585" s="71" t="s">
        <v>170</v>
      </c>
      <c r="H585" s="71" t="s">
        <v>2359</v>
      </c>
      <c r="I585" s="71" t="s">
        <v>2360</v>
      </c>
      <c r="J585" s="71"/>
      <c r="K585" s="72"/>
      <c r="L585" s="72"/>
      <c r="M585" s="72"/>
      <c r="N585" s="72"/>
      <c r="O585" s="71" t="s">
        <v>449</v>
      </c>
      <c r="P585" s="69">
        <v>1</v>
      </c>
      <c r="Q585" s="68">
        <f>MAX(0,$V585-$P585-$S585)</f>
        <v>0</v>
      </c>
      <c r="R585" s="68"/>
      <c r="S585" s="68"/>
      <c r="T585" s="73">
        <v>0.1</v>
      </c>
      <c r="U585" s="73">
        <f>IF(AND($Q585&gt;0,ISNUMBER($T585)),$Q585*$T585,0)</f>
        <v>0</v>
      </c>
      <c r="V585" s="68">
        <f>SUM(W585:AB585)</f>
        <v>1</v>
      </c>
      <c r="W585" s="68"/>
      <c r="X585" s="68"/>
      <c r="Y585" s="68">
        <v>1</v>
      </c>
      <c r="Z585" s="68"/>
      <c r="AA585" s="68"/>
      <c r="AB585" s="68"/>
      <c r="AC585" s="68"/>
      <c r="AD585" s="75">
        <f>SUM(AE585:AJ585)</f>
        <v>1</v>
      </c>
      <c r="AE585" s="76"/>
      <c r="AF585" s="76"/>
      <c r="AG585" s="76">
        <v>1</v>
      </c>
      <c r="AH585" s="76"/>
      <c r="AI585" s="76"/>
      <c r="AJ585" s="76"/>
      <c r="AK585" s="76"/>
      <c r="AL585" s="77">
        <f>IF((P585-SUM(AE585:AK585))&lt;0,0,P585-SUM(AE585:AK585))</f>
        <v>0</v>
      </c>
      <c r="AM585" s="77">
        <f>SUM(AO585:AT585)</f>
        <v>0</v>
      </c>
      <c r="AN585" s="72"/>
      <c r="AO585" s="72"/>
      <c r="AP585" s="72"/>
      <c r="AQ585" s="72"/>
      <c r="AR585" s="72"/>
      <c r="AS585" s="72"/>
      <c r="AT585" s="72"/>
      <c r="AU585" s="72"/>
      <c r="AV585" s="70"/>
      <c r="AW585" s="72"/>
      <c r="AX585" s="72"/>
    </row>
    <row r="586" spans="1:50" ht="15" customHeight="1">
      <c r="A586" s="70" t="s">
        <v>1967</v>
      </c>
      <c r="B586" s="68" t="s">
        <v>1831</v>
      </c>
      <c r="C586" s="69" t="s">
        <v>45</v>
      </c>
      <c r="D586" s="70" t="s">
        <v>64</v>
      </c>
      <c r="E586" s="70" t="s">
        <v>1968</v>
      </c>
      <c r="F586" s="68">
        <v>4</v>
      </c>
      <c r="G586" s="71" t="s">
        <v>49</v>
      </c>
      <c r="H586" s="71" t="s">
        <v>1969</v>
      </c>
      <c r="I586" s="71"/>
      <c r="J586" s="71"/>
      <c r="K586" s="72"/>
      <c r="L586" s="72"/>
      <c r="M586" s="72"/>
      <c r="N586" s="72"/>
      <c r="O586" s="71" t="s">
        <v>48</v>
      </c>
      <c r="P586" s="69">
        <v>1</v>
      </c>
      <c r="Q586" s="68">
        <f>MAX(0,$V586-$P586-$S586)</f>
        <v>0</v>
      </c>
      <c r="R586" s="68"/>
      <c r="S586" s="68"/>
      <c r="T586" s="73">
        <v>0.08</v>
      </c>
      <c r="U586" s="73">
        <f>IF(AND($Q586&gt;0,ISNUMBER($T586)),$Q586*$T586,0)</f>
        <v>0</v>
      </c>
      <c r="V586" s="68">
        <f>SUM(W586:AB586)</f>
        <v>0</v>
      </c>
      <c r="W586" s="68"/>
      <c r="X586" s="68"/>
      <c r="Y586" s="68"/>
      <c r="Z586" s="68"/>
      <c r="AA586" s="68"/>
      <c r="AB586" s="68"/>
      <c r="AC586" s="68"/>
      <c r="AD586" s="75">
        <f>SUM(AE586:AJ586)</f>
        <v>0</v>
      </c>
      <c r="AE586" s="76"/>
      <c r="AF586" s="76"/>
      <c r="AG586" s="76"/>
      <c r="AH586" s="76"/>
      <c r="AI586" s="76"/>
      <c r="AJ586" s="76"/>
      <c r="AK586" s="76"/>
      <c r="AL586" s="77">
        <f>IF((P586-SUM(AE586:AK586))&lt;0,0,P586-SUM(AE586:AK586))</f>
        <v>1</v>
      </c>
      <c r="AM586" s="77">
        <f>SUM(AO586:AT586)</f>
        <v>0</v>
      </c>
      <c r="AN586" s="129"/>
      <c r="AO586" s="72"/>
      <c r="AP586" s="72"/>
      <c r="AQ586" s="72"/>
      <c r="AR586" s="72"/>
      <c r="AS586" s="72"/>
      <c r="AT586" s="129"/>
      <c r="AU586" s="129"/>
      <c r="AV586" s="70"/>
      <c r="AW586" s="72"/>
      <c r="AX586" s="72"/>
    </row>
    <row r="587" spans="1:50" ht="15" customHeight="1">
      <c r="A587" s="98" t="s">
        <v>2554</v>
      </c>
      <c r="B587" s="100" t="s">
        <v>1499</v>
      </c>
      <c r="C587" s="101" t="s">
        <v>45</v>
      </c>
      <c r="D587" s="98" t="s">
        <v>64</v>
      </c>
      <c r="E587" s="98" t="s">
        <v>2555</v>
      </c>
      <c r="F587" s="100">
        <v>4</v>
      </c>
      <c r="G587" s="98" t="s">
        <v>422</v>
      </c>
      <c r="H587" s="98" t="s">
        <v>2556</v>
      </c>
      <c r="I587" s="98" t="s">
        <v>1540</v>
      </c>
      <c r="J587" s="98"/>
      <c r="K587" s="99"/>
      <c r="L587" s="99"/>
      <c r="M587" s="99"/>
      <c r="N587" s="99"/>
      <c r="O587" s="98" t="s">
        <v>112</v>
      </c>
      <c r="P587" s="101">
        <v>1</v>
      </c>
      <c r="Q587" s="68">
        <f>MAX(0,$V587-$P587-$S587)</f>
        <v>0</v>
      </c>
      <c r="R587" s="98"/>
      <c r="S587" s="98"/>
      <c r="T587" s="98">
        <v>0.27</v>
      </c>
      <c r="U587" s="98">
        <f>IF(AND($Q587&gt;0,ISNUMBER($T587)),$Q587*$T587,0)</f>
        <v>0</v>
      </c>
      <c r="V587" s="68">
        <f>SUM(W587:AB587)</f>
        <v>0</v>
      </c>
      <c r="W587" s="100"/>
      <c r="X587" s="100"/>
      <c r="Y587" s="100"/>
      <c r="Z587" s="100"/>
      <c r="AA587" s="100"/>
      <c r="AB587" s="100"/>
      <c r="AC587" s="68"/>
      <c r="AD587" s="75">
        <f>SUM(AE587:AJ587)</f>
        <v>0</v>
      </c>
      <c r="AE587" s="102"/>
      <c r="AF587" s="102"/>
      <c r="AG587" s="102"/>
      <c r="AH587" s="102"/>
      <c r="AI587" s="102"/>
      <c r="AJ587" s="102"/>
      <c r="AK587" s="102"/>
      <c r="AL587" s="77">
        <f>IF((P587-SUM(AE587:AK587))&lt;0,0,P587-SUM(AE587:AK587))</f>
        <v>1</v>
      </c>
      <c r="AM587" s="77">
        <f>SUM(AO587:AT587)</f>
        <v>0</v>
      </c>
      <c r="AN587" s="127"/>
      <c r="AO587" s="99"/>
      <c r="AP587" s="99"/>
      <c r="AQ587" s="99"/>
      <c r="AR587" s="99"/>
      <c r="AS587" s="99"/>
      <c r="AT587" s="99"/>
      <c r="AU587" s="99"/>
      <c r="AV587" s="98"/>
      <c r="AW587" s="99"/>
      <c r="AX587" s="99"/>
    </row>
    <row r="588" spans="1:50" ht="15" customHeight="1">
      <c r="A588" s="70" t="s">
        <v>1492</v>
      </c>
      <c r="B588" s="68" t="s">
        <v>1114</v>
      </c>
      <c r="C588" s="69" t="s">
        <v>45</v>
      </c>
      <c r="D588" s="70" t="s">
        <v>64</v>
      </c>
      <c r="E588" s="70" t="s">
        <v>637</v>
      </c>
      <c r="F588" s="68">
        <v>5</v>
      </c>
      <c r="G588" s="71" t="s">
        <v>176</v>
      </c>
      <c r="H588" s="71" t="s">
        <v>1493</v>
      </c>
      <c r="I588" s="71" t="s">
        <v>1494</v>
      </c>
      <c r="J588" s="71"/>
      <c r="K588" s="69"/>
      <c r="L588" s="69"/>
      <c r="M588" s="69"/>
      <c r="N588" s="69"/>
      <c r="O588" s="71" t="s">
        <v>863</v>
      </c>
      <c r="P588" s="69">
        <v>1</v>
      </c>
      <c r="Q588" s="68">
        <f>MAX(0,$V588-$P588-$S588)</f>
        <v>0</v>
      </c>
      <c r="R588" s="68"/>
      <c r="S588" s="68"/>
      <c r="T588" s="73">
        <v>0.28999999999999998</v>
      </c>
      <c r="U588" s="73">
        <f>IF(AND($Q588&gt;0,ISNUMBER($T588)),$Q588*$T588,0)</f>
        <v>0</v>
      </c>
      <c r="V588" s="68">
        <f>SUM(W588:AB588)</f>
        <v>1</v>
      </c>
      <c r="W588" s="68"/>
      <c r="X588" s="68">
        <v>1</v>
      </c>
      <c r="Y588" s="68"/>
      <c r="Z588" s="68"/>
      <c r="AA588" s="68"/>
      <c r="AB588" s="68"/>
      <c r="AC588" s="68"/>
      <c r="AD588" s="75">
        <f>SUM(AE588:AJ588)</f>
        <v>1</v>
      </c>
      <c r="AE588" s="76"/>
      <c r="AF588" s="76">
        <v>1</v>
      </c>
      <c r="AG588" s="76"/>
      <c r="AH588" s="76"/>
      <c r="AI588" s="76"/>
      <c r="AJ588" s="76"/>
      <c r="AK588" s="76"/>
      <c r="AL588" s="77">
        <f>IF((P588-SUM(AE588:AK588))&lt;0,0,P588-SUM(AE588:AK588))</f>
        <v>0</v>
      </c>
      <c r="AM588" s="77">
        <f>SUM(AO588:AT588)</f>
        <v>0</v>
      </c>
      <c r="AN588" s="72"/>
      <c r="AO588" s="72"/>
      <c r="AP588" s="72"/>
      <c r="AQ588" s="72"/>
      <c r="AR588" s="72"/>
      <c r="AS588" s="72"/>
      <c r="AT588" s="72"/>
      <c r="AU588" s="72"/>
      <c r="AV588" s="70"/>
      <c r="AW588" s="72"/>
      <c r="AX588" s="72"/>
    </row>
    <row r="589" spans="1:50" ht="15" customHeight="1">
      <c r="A589" s="70" t="s">
        <v>894</v>
      </c>
      <c r="B589" s="68" t="s">
        <v>636</v>
      </c>
      <c r="C589" s="69" t="s">
        <v>45</v>
      </c>
      <c r="D589" s="70" t="s">
        <v>64</v>
      </c>
      <c r="E589" s="70" t="s">
        <v>895</v>
      </c>
      <c r="F589" s="68">
        <v>3</v>
      </c>
      <c r="G589" s="71" t="s">
        <v>392</v>
      </c>
      <c r="H589" s="71" t="s">
        <v>896</v>
      </c>
      <c r="I589" s="71" t="s">
        <v>897</v>
      </c>
      <c r="J589" s="71"/>
      <c r="K589" s="72"/>
      <c r="L589" s="72"/>
      <c r="M589" s="72"/>
      <c r="N589" s="72"/>
      <c r="O589" s="71" t="s">
        <v>240</v>
      </c>
      <c r="P589" s="69">
        <v>1</v>
      </c>
      <c r="Q589" s="68">
        <f>MAX(0,$V589-$P589-$S589)</f>
        <v>0</v>
      </c>
      <c r="R589" s="68"/>
      <c r="S589" s="68"/>
      <c r="T589" s="73">
        <v>3.98</v>
      </c>
      <c r="U589" s="73">
        <f>IF(AND($Q589&gt;0,ISNUMBER($T589)),$Q589*$T589,0)</f>
        <v>0</v>
      </c>
      <c r="V589" s="68">
        <f>SUM(W589:AB589)</f>
        <v>0</v>
      </c>
      <c r="W589" s="68"/>
      <c r="X589" s="68"/>
      <c r="Y589" s="68"/>
      <c r="Z589" s="68"/>
      <c r="AA589" s="68"/>
      <c r="AB589" s="68"/>
      <c r="AC589" s="68"/>
      <c r="AD589" s="75">
        <f>SUM(AE589:AJ589)</f>
        <v>0</v>
      </c>
      <c r="AE589" s="76"/>
      <c r="AF589" s="76"/>
      <c r="AG589" s="76"/>
      <c r="AH589" s="76"/>
      <c r="AI589" s="76"/>
      <c r="AJ589" s="76"/>
      <c r="AK589" s="76"/>
      <c r="AL589" s="77">
        <f>IF((P589-SUM(AE589:AK589))&lt;0,0,P589-SUM(AE589:AK589))</f>
        <v>1</v>
      </c>
      <c r="AM589" s="77">
        <f>SUM(AO589:AT589)</f>
        <v>0</v>
      </c>
      <c r="AN589" s="72"/>
      <c r="AO589" s="72"/>
      <c r="AP589" s="72"/>
      <c r="AQ589" s="72"/>
      <c r="AR589" s="72"/>
      <c r="AS589" s="72"/>
      <c r="AT589" s="72"/>
      <c r="AU589" s="72"/>
      <c r="AV589" s="70"/>
      <c r="AW589" s="72"/>
      <c r="AX589" s="72"/>
    </row>
    <row r="590" spans="1:50" ht="15" customHeight="1">
      <c r="A590" s="67" t="s">
        <v>2375</v>
      </c>
      <c r="B590" s="68" t="s">
        <v>1971</v>
      </c>
      <c r="C590" s="69" t="s">
        <v>45</v>
      </c>
      <c r="D590" s="70" t="s">
        <v>64</v>
      </c>
      <c r="E590" s="70" t="s">
        <v>2111</v>
      </c>
      <c r="F590" s="68">
        <v>2</v>
      </c>
      <c r="G590" s="71" t="s">
        <v>49</v>
      </c>
      <c r="H590" s="71" t="s">
        <v>2376</v>
      </c>
      <c r="I590" s="71" t="s">
        <v>2377</v>
      </c>
      <c r="J590" s="71" t="s">
        <v>2378</v>
      </c>
      <c r="K590" s="69"/>
      <c r="L590" s="69"/>
      <c r="M590" s="69"/>
      <c r="N590" s="69"/>
      <c r="O590" s="71" t="s">
        <v>443</v>
      </c>
      <c r="P590" s="69">
        <v>1</v>
      </c>
      <c r="Q590" s="68">
        <f>MAX(0,$V590-$P590-$S590)</f>
        <v>0</v>
      </c>
      <c r="R590" s="68"/>
      <c r="S590" s="68"/>
      <c r="T590" s="73">
        <v>0.23</v>
      </c>
      <c r="U590" s="73">
        <f>IF(AND($Q590&gt;0,ISNUMBER($T590)),$Q590*$T590,0)</f>
        <v>0</v>
      </c>
      <c r="V590" s="68">
        <f>SUM(W590:AB590)</f>
        <v>0</v>
      </c>
      <c r="W590" s="68"/>
      <c r="X590" s="74"/>
      <c r="Y590" s="68"/>
      <c r="Z590" s="68"/>
      <c r="AA590" s="68"/>
      <c r="AB590" s="68"/>
      <c r="AC590" s="68"/>
      <c r="AD590" s="75">
        <f>SUM(AE590:AJ590)</f>
        <v>0</v>
      </c>
      <c r="AE590" s="76"/>
      <c r="AF590" s="76"/>
      <c r="AG590" s="76"/>
      <c r="AH590" s="76"/>
      <c r="AI590" s="76"/>
      <c r="AJ590" s="76"/>
      <c r="AK590" s="76"/>
      <c r="AL590" s="77">
        <f>IF((P590-SUM(AE590:AK590))&lt;0,0,P590-SUM(AE590:AK590))</f>
        <v>1</v>
      </c>
      <c r="AM590" s="77">
        <f>SUM(AO590:AT590)</f>
        <v>0</v>
      </c>
      <c r="AN590" s="129"/>
      <c r="AO590" s="72"/>
      <c r="AP590" s="72"/>
      <c r="AQ590" s="72"/>
      <c r="AR590" s="129"/>
      <c r="AS590" s="72"/>
      <c r="AT590" s="72"/>
      <c r="AU590" s="129"/>
      <c r="AV590" s="70"/>
      <c r="AW590" s="72"/>
      <c r="AX590" s="72"/>
    </row>
    <row r="591" spans="1:50" ht="15" customHeight="1">
      <c r="A591" s="70" t="s">
        <v>2381</v>
      </c>
      <c r="B591" s="68" t="s">
        <v>1971</v>
      </c>
      <c r="C591" s="69" t="s">
        <v>45</v>
      </c>
      <c r="D591" s="70" t="s">
        <v>64</v>
      </c>
      <c r="E591" s="70" t="s">
        <v>2382</v>
      </c>
      <c r="F591" s="68">
        <v>3</v>
      </c>
      <c r="G591" s="71" t="s">
        <v>438</v>
      </c>
      <c r="H591" s="71" t="s">
        <v>2383</v>
      </c>
      <c r="I591" s="71"/>
      <c r="J591" s="71"/>
      <c r="K591" s="72"/>
      <c r="L591" s="72"/>
      <c r="M591" s="72"/>
      <c r="N591" s="72"/>
      <c r="O591" s="71" t="s">
        <v>2281</v>
      </c>
      <c r="P591" s="69">
        <v>1</v>
      </c>
      <c r="Q591" s="68">
        <f>MAX(0,$V591-$P591-$S591)</f>
        <v>0</v>
      </c>
      <c r="R591" s="68"/>
      <c r="S591" s="68"/>
      <c r="T591" s="73">
        <v>0.09</v>
      </c>
      <c r="U591" s="73">
        <f>IF(AND($Q591&gt;0,ISNUMBER($T591)),$Q591*$T591,0)</f>
        <v>0</v>
      </c>
      <c r="V591" s="68">
        <f>SUM(W591:AB591)</f>
        <v>0</v>
      </c>
      <c r="W591" s="68"/>
      <c r="X591" s="68"/>
      <c r="Y591" s="68"/>
      <c r="Z591" s="68"/>
      <c r="AA591" s="68"/>
      <c r="AB591" s="68"/>
      <c r="AC591" s="68"/>
      <c r="AD591" s="75">
        <f>SUM(AE591:AJ591)</f>
        <v>0</v>
      </c>
      <c r="AE591" s="76"/>
      <c r="AF591" s="76"/>
      <c r="AG591" s="76"/>
      <c r="AH591" s="76"/>
      <c r="AI591" s="76"/>
      <c r="AJ591" s="76"/>
      <c r="AK591" s="76"/>
      <c r="AL591" s="77">
        <f>IF((P591-SUM(AE591:AK591))&lt;0,0,P591-SUM(AE591:AK591))</f>
        <v>1</v>
      </c>
      <c r="AM591" s="77">
        <f>SUM(AO591:AT591)</f>
        <v>0</v>
      </c>
      <c r="AN591" s="129"/>
      <c r="AO591" s="72"/>
      <c r="AP591" s="72"/>
      <c r="AQ591" s="72"/>
      <c r="AR591" s="72"/>
      <c r="AS591" s="129"/>
      <c r="AT591" s="72"/>
      <c r="AU591" s="129"/>
      <c r="AV591" s="70"/>
      <c r="AW591" s="72"/>
      <c r="AX591" s="72"/>
    </row>
    <row r="592" spans="1:50" ht="15" customHeight="1">
      <c r="A592" s="70" t="s">
        <v>898</v>
      </c>
      <c r="B592" s="68" t="s">
        <v>636</v>
      </c>
      <c r="C592" s="69" t="s">
        <v>45</v>
      </c>
      <c r="D592" s="70" t="s">
        <v>58</v>
      </c>
      <c r="E592" s="70"/>
      <c r="F592" s="68">
        <v>4</v>
      </c>
      <c r="G592" s="71" t="s">
        <v>280</v>
      </c>
      <c r="H592" s="71" t="s">
        <v>899</v>
      </c>
      <c r="I592" s="71"/>
      <c r="J592" s="71"/>
      <c r="K592" s="72"/>
      <c r="L592" s="72"/>
      <c r="M592" s="72"/>
      <c r="N592" s="72"/>
      <c r="O592" s="71" t="s">
        <v>53</v>
      </c>
      <c r="P592" s="69">
        <v>1</v>
      </c>
      <c r="Q592" s="68">
        <f>MAX(0,$V592-$P592-$S592)</f>
        <v>0</v>
      </c>
      <c r="R592" s="68"/>
      <c r="S592" s="68"/>
      <c r="T592" s="73">
        <v>3.49</v>
      </c>
      <c r="U592" s="73">
        <f>IF(AND($Q592&gt;0,ISNUMBER($T592)),$Q592*$T592,0)</f>
        <v>0</v>
      </c>
      <c r="V592" s="68">
        <f>SUM(W592:AB592)</f>
        <v>0</v>
      </c>
      <c r="W592" s="68"/>
      <c r="X592" s="68"/>
      <c r="Y592" s="68"/>
      <c r="Z592" s="68"/>
      <c r="AA592" s="68"/>
      <c r="AB592" s="68"/>
      <c r="AC592" s="68"/>
      <c r="AD592" s="75">
        <f>SUM(AE592:AJ592)</f>
        <v>0</v>
      </c>
      <c r="AE592" s="76"/>
      <c r="AF592" s="76"/>
      <c r="AG592" s="76"/>
      <c r="AH592" s="76"/>
      <c r="AI592" s="76"/>
      <c r="AJ592" s="76"/>
      <c r="AK592" s="76"/>
      <c r="AL592" s="77">
        <f>IF((P592-SUM(AE592:AK592))&lt;0,0,P592-SUM(AE592:AK592))</f>
        <v>1</v>
      </c>
      <c r="AM592" s="77">
        <f>SUM(AO592:AT592)</f>
        <v>0</v>
      </c>
      <c r="AN592" s="129"/>
      <c r="AO592" s="72"/>
      <c r="AP592" s="72"/>
      <c r="AQ592" s="129"/>
      <c r="AR592" s="72"/>
      <c r="AS592" s="72"/>
      <c r="AT592" s="72"/>
      <c r="AU592" s="129"/>
      <c r="AV592" s="70"/>
      <c r="AW592" s="72"/>
      <c r="AX592" s="72"/>
    </row>
    <row r="593" spans="1:50" ht="15" customHeight="1">
      <c r="A593" s="70" t="s">
        <v>2388</v>
      </c>
      <c r="B593" s="68" t="s">
        <v>1971</v>
      </c>
      <c r="C593" s="69" t="s">
        <v>45</v>
      </c>
      <c r="D593" s="70" t="s">
        <v>47</v>
      </c>
      <c r="E593" s="70"/>
      <c r="F593" s="68">
        <v>2</v>
      </c>
      <c r="G593" s="71" t="s">
        <v>49</v>
      </c>
      <c r="H593" s="71" t="s">
        <v>2389</v>
      </c>
      <c r="I593" s="71" t="s">
        <v>2390</v>
      </c>
      <c r="J593" s="71" t="s">
        <v>2391</v>
      </c>
      <c r="K593" s="69"/>
      <c r="L593" s="69"/>
      <c r="M593" s="69"/>
      <c r="N593" s="69"/>
      <c r="O593" s="71" t="s">
        <v>97</v>
      </c>
      <c r="P593" s="69">
        <v>1</v>
      </c>
      <c r="Q593" s="68">
        <f>MAX(0,$V593-$P593-$S593)</f>
        <v>0</v>
      </c>
      <c r="R593" s="68"/>
      <c r="S593" s="68"/>
      <c r="T593" s="73">
        <v>4.5599999999999996</v>
      </c>
      <c r="U593" s="73">
        <f>IF(AND($Q593&gt;0,ISNUMBER($T593)),$Q593*$T593,0)</f>
        <v>0</v>
      </c>
      <c r="V593" s="68">
        <f>SUM(W593:AB593)</f>
        <v>1</v>
      </c>
      <c r="W593" s="68">
        <v>1</v>
      </c>
      <c r="X593" s="68"/>
      <c r="Y593" s="68"/>
      <c r="Z593" s="68"/>
      <c r="AA593" s="68"/>
      <c r="AB593" s="68"/>
      <c r="AC593" s="68"/>
      <c r="AD593" s="75">
        <f>SUM(AE593:AJ593)</f>
        <v>1</v>
      </c>
      <c r="AE593" s="76">
        <v>1</v>
      </c>
      <c r="AF593" s="76"/>
      <c r="AG593" s="76"/>
      <c r="AH593" s="76"/>
      <c r="AI593" s="76"/>
      <c r="AJ593" s="76"/>
      <c r="AK593" s="76"/>
      <c r="AL593" s="77">
        <f>IF((P593-SUM(AE593:AK593))&lt;0,0,P593-SUM(AE593:AK593))</f>
        <v>0</v>
      </c>
      <c r="AM593" s="77">
        <f>SUM(AO593:AT593)</f>
        <v>0</v>
      </c>
      <c r="AN593" s="72"/>
      <c r="AO593" s="72"/>
      <c r="AP593" s="72"/>
      <c r="AQ593" s="72"/>
      <c r="AR593" s="72"/>
      <c r="AS593" s="72"/>
      <c r="AT593" s="72"/>
      <c r="AU593" s="72"/>
      <c r="AV593" s="70"/>
      <c r="AW593" s="72"/>
      <c r="AX593" s="72"/>
    </row>
    <row r="594" spans="1:50" ht="15" customHeight="1">
      <c r="A594" s="86" t="s">
        <v>1109</v>
      </c>
      <c r="B594" s="68" t="s">
        <v>919</v>
      </c>
      <c r="C594" s="69" t="s">
        <v>45</v>
      </c>
      <c r="D594" s="70" t="s">
        <v>627</v>
      </c>
      <c r="E594" s="70"/>
      <c r="F594" s="68">
        <v>0</v>
      </c>
      <c r="G594" s="71" t="s">
        <v>627</v>
      </c>
      <c r="H594" s="71" t="s">
        <v>958</v>
      </c>
      <c r="I594" s="71" t="s">
        <v>926</v>
      </c>
      <c r="J594" s="71" t="s">
        <v>939</v>
      </c>
      <c r="K594" s="72"/>
      <c r="L594" s="72"/>
      <c r="M594" s="72"/>
      <c r="N594" s="72"/>
      <c r="O594" s="71" t="s">
        <v>740</v>
      </c>
      <c r="P594" s="69">
        <v>1</v>
      </c>
      <c r="Q594" s="68">
        <f>MAX(0,$V594-$P594-$S594)</f>
        <v>0</v>
      </c>
      <c r="R594" s="68"/>
      <c r="S594" s="68"/>
      <c r="T594" s="73">
        <v>0.15</v>
      </c>
      <c r="U594" s="73">
        <f>IF(AND($Q594&gt;0,ISNUMBER($T594)),$Q594*$T594,0)</f>
        <v>0</v>
      </c>
      <c r="V594" s="68">
        <f>SUM(W594:AB594)</f>
        <v>1</v>
      </c>
      <c r="W594" s="87">
        <v>1</v>
      </c>
      <c r="X594" s="68"/>
      <c r="Y594" s="68"/>
      <c r="Z594" s="68"/>
      <c r="AA594" s="68"/>
      <c r="AB594" s="68"/>
      <c r="AC594" s="68"/>
      <c r="AD594" s="75">
        <f>SUM(AE594:AJ594)</f>
        <v>1</v>
      </c>
      <c r="AE594" s="76">
        <v>1</v>
      </c>
      <c r="AF594" s="76"/>
      <c r="AG594" s="76"/>
      <c r="AH594" s="76"/>
      <c r="AI594" s="76"/>
      <c r="AJ594" s="76"/>
      <c r="AK594" s="76"/>
      <c r="AL594" s="77">
        <f>IF((P594-SUM(AE594:AK594))&lt;0,0,P594-SUM(AE594:AK594))</f>
        <v>0</v>
      </c>
      <c r="AM594" s="77">
        <f>SUM(AO594:AT594)</f>
        <v>0</v>
      </c>
      <c r="AN594" s="72"/>
      <c r="AO594" s="72"/>
      <c r="AP594" s="72"/>
      <c r="AQ594" s="72"/>
      <c r="AR594" s="72"/>
      <c r="AS594" s="72"/>
      <c r="AT594" s="72"/>
      <c r="AU594" s="72"/>
      <c r="AV594" s="70"/>
      <c r="AW594" s="72"/>
      <c r="AX594" s="72"/>
    </row>
    <row r="595" spans="1:50" ht="15" customHeight="1">
      <c r="A595" s="86" t="s">
        <v>2392</v>
      </c>
      <c r="B595" s="68" t="s">
        <v>1971</v>
      </c>
      <c r="C595" s="69" t="s">
        <v>45</v>
      </c>
      <c r="D595" s="70" t="s">
        <v>64</v>
      </c>
      <c r="E595" s="70" t="s">
        <v>243</v>
      </c>
      <c r="F595" s="68">
        <v>4</v>
      </c>
      <c r="G595" s="71" t="s">
        <v>54</v>
      </c>
      <c r="H595" s="71" t="s">
        <v>2393</v>
      </c>
      <c r="I595" s="71" t="s">
        <v>2394</v>
      </c>
      <c r="J595" s="71"/>
      <c r="K595" s="72"/>
      <c r="L595" s="72"/>
      <c r="M595" s="72"/>
      <c r="N595" s="72"/>
      <c r="O595" s="71" t="s">
        <v>69</v>
      </c>
      <c r="P595" s="69">
        <v>1</v>
      </c>
      <c r="Q595" s="68">
        <f>MAX(0,$V595-$P595-$S595)</f>
        <v>0</v>
      </c>
      <c r="R595" s="68"/>
      <c r="S595" s="68"/>
      <c r="T595" s="73">
        <v>0.3</v>
      </c>
      <c r="U595" s="73">
        <f>IF(AND($Q595&gt;0,ISNUMBER($T595)),$Q595*$T595,0)</f>
        <v>0</v>
      </c>
      <c r="V595" s="68">
        <f>SUM(W595:AB595)</f>
        <v>1</v>
      </c>
      <c r="W595" s="68"/>
      <c r="X595" s="68"/>
      <c r="Y595" s="68"/>
      <c r="Z595" s="87">
        <v>1</v>
      </c>
      <c r="AA595" s="68"/>
      <c r="AB595" s="68"/>
      <c r="AC595" s="68"/>
      <c r="AD595" s="75">
        <f>SUM(AE595:AJ595)</f>
        <v>1</v>
      </c>
      <c r="AE595" s="76"/>
      <c r="AF595" s="76"/>
      <c r="AG595" s="76"/>
      <c r="AH595" s="76">
        <v>1</v>
      </c>
      <c r="AI595" s="76"/>
      <c r="AJ595" s="76"/>
      <c r="AK595" s="76"/>
      <c r="AL595" s="77">
        <f>IF((P595-SUM(AE595:AK595))&lt;0,0,P595-SUM(AE595:AK595))</f>
        <v>0</v>
      </c>
      <c r="AM595" s="77">
        <f>SUM(AO595:AT595)</f>
        <v>0</v>
      </c>
      <c r="AN595" s="72"/>
      <c r="AO595" s="72"/>
      <c r="AP595" s="72"/>
      <c r="AQ595" s="72"/>
      <c r="AR595" s="72"/>
      <c r="AS595" s="72"/>
      <c r="AT595" s="72"/>
      <c r="AU595" s="72"/>
      <c r="AV595" s="70"/>
      <c r="AW595" s="72"/>
      <c r="AX595" s="72"/>
    </row>
    <row r="596" spans="1:50" ht="15" customHeight="1">
      <c r="A596" s="67" t="s">
        <v>2395</v>
      </c>
      <c r="B596" s="68" t="s">
        <v>1971</v>
      </c>
      <c r="C596" s="69" t="s">
        <v>45</v>
      </c>
      <c r="D596" s="70" t="s">
        <v>47</v>
      </c>
      <c r="E596" s="70"/>
      <c r="F596" s="68">
        <v>6</v>
      </c>
      <c r="G596" s="71" t="s">
        <v>117</v>
      </c>
      <c r="H596" s="71" t="s">
        <v>2396</v>
      </c>
      <c r="I596" s="71" t="s">
        <v>2309</v>
      </c>
      <c r="J596" s="71"/>
      <c r="K596" s="69"/>
      <c r="L596" s="69"/>
      <c r="M596" s="69"/>
      <c r="N596" s="69"/>
      <c r="O596" s="71" t="s">
        <v>48</v>
      </c>
      <c r="P596" s="69">
        <v>1</v>
      </c>
      <c r="Q596" s="68">
        <f>MAX(0,$V596-$P596-$S596)</f>
        <v>0</v>
      </c>
      <c r="R596" s="68"/>
      <c r="S596" s="68"/>
      <c r="T596" s="73">
        <v>0.28999999999999998</v>
      </c>
      <c r="U596" s="73">
        <f>IF(AND($Q596&gt;0,ISNUMBER($T596)),$Q596*$T596,0)</f>
        <v>0</v>
      </c>
      <c r="V596" s="68">
        <f>SUM(W596:AB596)</f>
        <v>0</v>
      </c>
      <c r="W596" s="68"/>
      <c r="X596" s="74"/>
      <c r="Y596" s="68"/>
      <c r="Z596" s="68"/>
      <c r="AA596" s="68"/>
      <c r="AB596" s="68"/>
      <c r="AC596" s="68"/>
      <c r="AD596" s="75">
        <f>SUM(AE596:AJ596)</f>
        <v>1</v>
      </c>
      <c r="AE596" s="76"/>
      <c r="AF596" s="76"/>
      <c r="AG596" s="76"/>
      <c r="AH596" s="76">
        <v>1</v>
      </c>
      <c r="AI596" s="76"/>
      <c r="AJ596" s="76"/>
      <c r="AK596" s="76"/>
      <c r="AL596" s="77">
        <f>IF((P596-SUM(AE596:AK596))&lt;0,0,P596-SUM(AE596:AK596))</f>
        <v>0</v>
      </c>
      <c r="AM596" s="77">
        <f>SUM(AO596:AT596)</f>
        <v>1</v>
      </c>
      <c r="AN596" s="80" t="s">
        <v>105</v>
      </c>
      <c r="AO596" s="72"/>
      <c r="AP596" s="72"/>
      <c r="AQ596" s="72"/>
      <c r="AR596" s="79">
        <v>1</v>
      </c>
      <c r="AS596" s="72"/>
      <c r="AT596" s="72"/>
      <c r="AU596" s="31" t="s">
        <v>2397</v>
      </c>
      <c r="AV596" s="70"/>
      <c r="AW596" s="72"/>
      <c r="AX596" s="72"/>
    </row>
    <row r="597" spans="1:50" ht="15" customHeight="1">
      <c r="A597" s="70" t="s">
        <v>1827</v>
      </c>
      <c r="B597" s="68" t="s">
        <v>1499</v>
      </c>
      <c r="C597" s="69" t="s">
        <v>45</v>
      </c>
      <c r="D597" s="70" t="s">
        <v>64</v>
      </c>
      <c r="E597" s="70" t="s">
        <v>1828</v>
      </c>
      <c r="F597" s="68">
        <v>3</v>
      </c>
      <c r="G597" s="71" t="s">
        <v>1589</v>
      </c>
      <c r="H597" s="71" t="s">
        <v>1829</v>
      </c>
      <c r="I597" s="71"/>
      <c r="J597" s="71"/>
      <c r="K597" s="72"/>
      <c r="L597" s="72"/>
      <c r="M597" s="72"/>
      <c r="N597" s="72"/>
      <c r="O597" s="71" t="s">
        <v>611</v>
      </c>
      <c r="P597" s="69">
        <v>1</v>
      </c>
      <c r="Q597" s="68">
        <f>MAX(0,$V597-$P597-$S597)</f>
        <v>0</v>
      </c>
      <c r="R597" s="68" t="s">
        <v>57</v>
      </c>
      <c r="S597" s="68">
        <v>1</v>
      </c>
      <c r="T597" s="73">
        <v>1.45</v>
      </c>
      <c r="U597" s="73">
        <f>IF(AND($Q597&gt;0,ISNUMBER($T597)),$Q597*$T597,0)</f>
        <v>0</v>
      </c>
      <c r="V597" s="68">
        <f>SUM(W597:AB597)</f>
        <v>1</v>
      </c>
      <c r="W597" s="68"/>
      <c r="X597" s="68"/>
      <c r="Y597" s="68"/>
      <c r="Z597" s="68"/>
      <c r="AA597" s="68"/>
      <c r="AB597" s="68">
        <v>1</v>
      </c>
      <c r="AC597" s="68"/>
      <c r="AD597" s="75">
        <f>SUM(AE597:AJ597)</f>
        <v>1</v>
      </c>
      <c r="AE597" s="76"/>
      <c r="AF597" s="76"/>
      <c r="AG597" s="76"/>
      <c r="AH597" s="76"/>
      <c r="AI597" s="76"/>
      <c r="AJ597" s="76">
        <v>1</v>
      </c>
      <c r="AK597" s="76"/>
      <c r="AL597" s="77">
        <f>IF((P597-SUM(AE597:AK597))&lt;0,0,P597-SUM(AE597:AK597))</f>
        <v>0</v>
      </c>
      <c r="AM597" s="77">
        <f>SUM(AO597:AT597)</f>
        <v>0</v>
      </c>
      <c r="AN597" s="72"/>
      <c r="AO597" s="72"/>
      <c r="AP597" s="72"/>
      <c r="AQ597" s="72"/>
      <c r="AR597" s="72"/>
      <c r="AS597" s="72"/>
      <c r="AT597" s="72"/>
      <c r="AU597" s="72"/>
      <c r="AV597" s="70"/>
      <c r="AW597" s="72"/>
      <c r="AX597" s="72"/>
    </row>
    <row r="598" spans="1:50" ht="15" customHeight="1">
      <c r="A598" s="92" t="s">
        <v>908</v>
      </c>
      <c r="B598" s="90" t="s">
        <v>636</v>
      </c>
      <c r="C598" s="69" t="s">
        <v>45</v>
      </c>
      <c r="D598" s="92" t="s">
        <v>64</v>
      </c>
      <c r="E598" s="92" t="s">
        <v>659</v>
      </c>
      <c r="F598" s="90">
        <v>2</v>
      </c>
      <c r="G598" s="92" t="s">
        <v>392</v>
      </c>
      <c r="H598" s="92" t="s">
        <v>909</v>
      </c>
      <c r="I598" s="92" t="s">
        <v>910</v>
      </c>
      <c r="J598" s="92" t="s">
        <v>911</v>
      </c>
      <c r="K598" s="72"/>
      <c r="L598" s="72"/>
      <c r="M598" s="72"/>
      <c r="N598" s="72"/>
      <c r="O598" s="92" t="s">
        <v>136</v>
      </c>
      <c r="P598" s="69">
        <v>1</v>
      </c>
      <c r="Q598" s="68">
        <f>MAX(0,$V598-$P598-$S598)</f>
        <v>0</v>
      </c>
      <c r="R598" s="92"/>
      <c r="S598" s="92"/>
      <c r="T598" s="92">
        <v>0.3</v>
      </c>
      <c r="U598" s="92">
        <f>IF(AND($Q598&gt;0,ISNUMBER($T598)),$Q598*$T598,0)</f>
        <v>0</v>
      </c>
      <c r="V598" s="68">
        <f>SUM(W598:AB598)</f>
        <v>0</v>
      </c>
      <c r="W598" s="68"/>
      <c r="X598" s="68"/>
      <c r="Y598" s="68"/>
      <c r="Z598" s="68"/>
      <c r="AA598" s="68"/>
      <c r="AB598" s="68"/>
      <c r="AC598" s="68"/>
      <c r="AD598" s="75">
        <f>SUM(AE598:AJ598)</f>
        <v>0</v>
      </c>
      <c r="AE598" s="76"/>
      <c r="AF598" s="76"/>
      <c r="AG598" s="76"/>
      <c r="AH598" s="76"/>
      <c r="AI598" s="76"/>
      <c r="AJ598" s="76"/>
      <c r="AK598" s="76"/>
      <c r="AL598" s="77">
        <f>IF((P598-SUM(AE598:AK598))&lt;0,0,P598-SUM(AE598:AK598))</f>
        <v>1</v>
      </c>
      <c r="AM598" s="77">
        <f>SUM(AO598:AT598)</f>
        <v>0</v>
      </c>
      <c r="AN598" s="72"/>
      <c r="AO598" s="72"/>
      <c r="AP598" s="72"/>
      <c r="AQ598" s="72"/>
      <c r="AR598" s="72"/>
      <c r="AS598" s="72"/>
      <c r="AT598" s="72"/>
      <c r="AU598" s="72"/>
      <c r="AV598" s="92"/>
      <c r="AW598" s="72"/>
      <c r="AX598" s="72"/>
    </row>
    <row r="599" spans="1:50" ht="15" customHeight="1">
      <c r="A599" s="70" t="s">
        <v>912</v>
      </c>
      <c r="B599" s="68" t="s">
        <v>636</v>
      </c>
      <c r="C599" s="69" t="s">
        <v>45</v>
      </c>
      <c r="D599" s="70" t="s">
        <v>64</v>
      </c>
      <c r="E599" s="70" t="s">
        <v>655</v>
      </c>
      <c r="F599" s="68">
        <v>3</v>
      </c>
      <c r="G599" s="71" t="s">
        <v>176</v>
      </c>
      <c r="H599" s="71" t="s">
        <v>914</v>
      </c>
      <c r="I599" s="71" t="s">
        <v>915</v>
      </c>
      <c r="J599" s="71"/>
      <c r="K599" s="69"/>
      <c r="L599" s="69"/>
      <c r="M599" s="69"/>
      <c r="N599" s="69"/>
      <c r="O599" s="71" t="s">
        <v>913</v>
      </c>
      <c r="P599" s="69">
        <v>1</v>
      </c>
      <c r="Q599" s="68">
        <f>MAX(0,$V599-$P599-$S599)</f>
        <v>0</v>
      </c>
      <c r="R599" s="68"/>
      <c r="S599" s="68"/>
      <c r="T599" s="73">
        <v>0.21</v>
      </c>
      <c r="U599" s="73">
        <f>IF(AND($Q599&gt;0,ISNUMBER($T599)),$Q599*$T599,0)</f>
        <v>0</v>
      </c>
      <c r="V599" s="68">
        <f>SUM(W599:AB599)</f>
        <v>1</v>
      </c>
      <c r="W599" s="68"/>
      <c r="X599" s="68">
        <v>1</v>
      </c>
      <c r="Y599" s="68"/>
      <c r="Z599" s="68"/>
      <c r="AA599" s="68"/>
      <c r="AB599" s="68"/>
      <c r="AC599" s="68"/>
      <c r="AD599" s="75">
        <f>SUM(AE599:AJ599)</f>
        <v>1</v>
      </c>
      <c r="AE599" s="76"/>
      <c r="AF599" s="76">
        <v>1</v>
      </c>
      <c r="AG599" s="76"/>
      <c r="AH599" s="76"/>
      <c r="AI599" s="76"/>
      <c r="AJ599" s="76"/>
      <c r="AK599" s="76"/>
      <c r="AL599" s="77">
        <f>IF((P599-SUM(AE599:AK599))&lt;0,0,P599-SUM(AE599:AK599))</f>
        <v>0</v>
      </c>
      <c r="AM599" s="77">
        <f>SUM(AO599:AT599)</f>
        <v>0</v>
      </c>
      <c r="AN599" s="72"/>
      <c r="AO599" s="72"/>
      <c r="AP599" s="72"/>
      <c r="AQ599" s="72"/>
      <c r="AR599" s="72"/>
      <c r="AS599" s="72"/>
      <c r="AT599" s="72"/>
      <c r="AU599" s="72"/>
      <c r="AV599" s="70"/>
      <c r="AW599" s="72"/>
      <c r="AX599" s="72"/>
    </row>
    <row r="600" spans="1:50" ht="15" customHeight="1">
      <c r="A600" s="98" t="s">
        <v>2557</v>
      </c>
      <c r="B600" s="100" t="s">
        <v>1971</v>
      </c>
      <c r="C600" s="101" t="s">
        <v>45</v>
      </c>
      <c r="D600" s="98" t="s">
        <v>72</v>
      </c>
      <c r="E600" s="98" t="s">
        <v>111</v>
      </c>
      <c r="F600" s="100">
        <v>1</v>
      </c>
      <c r="G600" s="98" t="s">
        <v>438</v>
      </c>
      <c r="H600" s="98" t="s">
        <v>2558</v>
      </c>
      <c r="I600" s="98"/>
      <c r="J600" s="98"/>
      <c r="K600" s="99"/>
      <c r="L600" s="99"/>
      <c r="M600" s="99"/>
      <c r="N600" s="99"/>
      <c r="O600" s="98" t="s">
        <v>112</v>
      </c>
      <c r="P600" s="101">
        <v>1</v>
      </c>
      <c r="Q600" s="68">
        <f>MAX(0,$V600-$P600-$S600)</f>
        <v>0</v>
      </c>
      <c r="R600" s="98"/>
      <c r="S600" s="98"/>
      <c r="T600" s="98">
        <v>0.21</v>
      </c>
      <c r="U600" s="98">
        <f>IF(AND($Q600&gt;0,ISNUMBER($T600)),$Q600*$T600,0)</f>
        <v>0</v>
      </c>
      <c r="V600" s="68">
        <f>SUM(W600:AB600)</f>
        <v>0</v>
      </c>
      <c r="W600" s="100"/>
      <c r="X600" s="100"/>
      <c r="Y600" s="100"/>
      <c r="Z600" s="100"/>
      <c r="AA600" s="100"/>
      <c r="AB600" s="100"/>
      <c r="AC600" s="68"/>
      <c r="AD600" s="75">
        <f>SUM(AE600:AJ600)</f>
        <v>0</v>
      </c>
      <c r="AE600" s="102"/>
      <c r="AF600" s="102"/>
      <c r="AG600" s="102"/>
      <c r="AH600" s="102"/>
      <c r="AI600" s="102"/>
      <c r="AJ600" s="102"/>
      <c r="AK600" s="102"/>
      <c r="AL600" s="77">
        <f>IF((P600-SUM(AE600:AK600))&lt;0,0,P600-SUM(AE600:AK600))</f>
        <v>1</v>
      </c>
      <c r="AM600" s="77">
        <f>SUM(AO600:AT600)</f>
        <v>0</v>
      </c>
      <c r="AN600" s="99"/>
      <c r="AO600" s="99"/>
      <c r="AP600" s="99"/>
      <c r="AQ600" s="99"/>
      <c r="AR600" s="99"/>
      <c r="AS600" s="99"/>
      <c r="AT600" s="99"/>
      <c r="AU600" s="99"/>
      <c r="AV600" s="98"/>
      <c r="AW600" s="99"/>
      <c r="AX600" s="99"/>
    </row>
    <row r="601" spans="1:50" ht="15" customHeight="1">
      <c r="A601" s="67" t="s">
        <v>2398</v>
      </c>
      <c r="B601" s="68" t="s">
        <v>1971</v>
      </c>
      <c r="C601" s="69" t="s">
        <v>45</v>
      </c>
      <c r="D601" s="70" t="s">
        <v>123</v>
      </c>
      <c r="E601" s="70" t="s">
        <v>1130</v>
      </c>
      <c r="F601" s="68">
        <v>1</v>
      </c>
      <c r="G601" s="71" t="s">
        <v>98</v>
      </c>
      <c r="H601" s="71" t="s">
        <v>2399</v>
      </c>
      <c r="I601" s="71" t="s">
        <v>2400</v>
      </c>
      <c r="J601" s="71"/>
      <c r="K601" s="72"/>
      <c r="L601" s="72"/>
      <c r="M601" s="72"/>
      <c r="N601" s="72"/>
      <c r="O601" s="71" t="s">
        <v>607</v>
      </c>
      <c r="P601" s="69">
        <v>1</v>
      </c>
      <c r="Q601" s="68">
        <f>MAX(0,$V601-$P601-$S601)</f>
        <v>0</v>
      </c>
      <c r="R601" s="68"/>
      <c r="S601" s="68"/>
      <c r="T601" s="73">
        <v>0.26</v>
      </c>
      <c r="U601" s="73">
        <f>IF(AND($Q601&gt;0,ISNUMBER($T601)),$Q601*$T601,0)</f>
        <v>0</v>
      </c>
      <c r="V601" s="68">
        <f>SUM(W601:AB601)</f>
        <v>0</v>
      </c>
      <c r="W601" s="68"/>
      <c r="X601" s="68"/>
      <c r="Y601" s="68"/>
      <c r="Z601" s="68"/>
      <c r="AA601" s="74"/>
      <c r="AB601" s="68"/>
      <c r="AC601" s="68"/>
      <c r="AD601" s="75">
        <f>SUM(AE601:AJ601)</f>
        <v>1</v>
      </c>
      <c r="AE601" s="76"/>
      <c r="AF601" s="76"/>
      <c r="AG601" s="76"/>
      <c r="AH601" s="76"/>
      <c r="AI601" s="76">
        <v>1</v>
      </c>
      <c r="AJ601" s="76"/>
      <c r="AK601" s="76"/>
      <c r="AL601" s="77">
        <f>IF((P601-SUM(AE601:AK601))&lt;0,0,P601-SUM(AE601:AK601))</f>
        <v>0</v>
      </c>
      <c r="AM601" s="77">
        <f>SUM(AO601:AT601)</f>
        <v>1</v>
      </c>
      <c r="AN601" s="140" t="s">
        <v>105</v>
      </c>
      <c r="AO601" s="72"/>
      <c r="AP601" s="72"/>
      <c r="AQ601" s="72"/>
      <c r="AR601" s="72"/>
      <c r="AS601" s="141">
        <v>1</v>
      </c>
      <c r="AT601" s="72"/>
      <c r="AU601" s="125" t="s">
        <v>2401</v>
      </c>
      <c r="AV601" s="70"/>
      <c r="AW601" s="72"/>
      <c r="AX601" s="72"/>
    </row>
    <row r="602" spans="1:50" ht="15" customHeight="1">
      <c r="A602" s="86" t="s">
        <v>916</v>
      </c>
      <c r="B602" s="68" t="s">
        <v>636</v>
      </c>
      <c r="C602" s="69" t="s">
        <v>45</v>
      </c>
      <c r="D602" s="70" t="s">
        <v>58</v>
      </c>
      <c r="E602" s="70"/>
      <c r="F602" s="68">
        <v>5</v>
      </c>
      <c r="G602" s="71" t="s">
        <v>54</v>
      </c>
      <c r="H602" s="71" t="s">
        <v>917</v>
      </c>
      <c r="I602" s="71"/>
      <c r="J602" s="71"/>
      <c r="K602" s="72"/>
      <c r="L602" s="72"/>
      <c r="M602" s="72"/>
      <c r="N602" s="72"/>
      <c r="O602" s="71" t="s">
        <v>585</v>
      </c>
      <c r="P602" s="69">
        <v>1</v>
      </c>
      <c r="Q602" s="68">
        <f>MAX(0,$V602-$P602-$S602)</f>
        <v>0</v>
      </c>
      <c r="R602" s="68"/>
      <c r="S602" s="68"/>
      <c r="T602" s="73">
        <v>0.76</v>
      </c>
      <c r="U602" s="73">
        <f>IF(AND($Q602&gt;0,ISNUMBER($T602)),$Q602*$T602,0)</f>
        <v>0</v>
      </c>
      <c r="V602" s="68">
        <f>SUM(W602:AB602)</f>
        <v>1</v>
      </c>
      <c r="W602" s="68"/>
      <c r="X602" s="87">
        <v>1</v>
      </c>
      <c r="Y602" s="68"/>
      <c r="Z602" s="68"/>
      <c r="AA602" s="68"/>
      <c r="AB602" s="68"/>
      <c r="AC602" s="68"/>
      <c r="AD602" s="75">
        <f>SUM(AE602:AJ602)</f>
        <v>1</v>
      </c>
      <c r="AE602" s="76"/>
      <c r="AF602" s="76">
        <v>1</v>
      </c>
      <c r="AG602" s="76"/>
      <c r="AH602" s="76"/>
      <c r="AI602" s="76"/>
      <c r="AJ602" s="76"/>
      <c r="AK602" s="76"/>
      <c r="AL602" s="77">
        <f>IF((P602-SUM(AE602:AK602))&lt;0,0,P602-SUM(AE602:AK602))</f>
        <v>0</v>
      </c>
      <c r="AM602" s="77">
        <f>SUM(AO602:AT602)</f>
        <v>0</v>
      </c>
      <c r="AN602" s="129"/>
      <c r="AO602" s="72"/>
      <c r="AP602" s="72"/>
      <c r="AQ602" s="72"/>
      <c r="AR602" s="72"/>
      <c r="AS602" s="72"/>
      <c r="AT602" s="72"/>
      <c r="AU602" s="72"/>
      <c r="AV602" s="70"/>
      <c r="AW602" s="72"/>
      <c r="AX602" s="72"/>
    </row>
    <row r="603" spans="1:50" ht="15" customHeight="1">
      <c r="A603" s="70" t="s">
        <v>341</v>
      </c>
      <c r="B603" s="68" t="s">
        <v>46</v>
      </c>
      <c r="C603" s="69" t="s">
        <v>45</v>
      </c>
      <c r="D603" s="70" t="s">
        <v>64</v>
      </c>
      <c r="E603" s="70" t="s">
        <v>342</v>
      </c>
      <c r="F603" s="68">
        <v>2</v>
      </c>
      <c r="G603" s="71" t="s">
        <v>60</v>
      </c>
      <c r="H603" s="71" t="s">
        <v>343</v>
      </c>
      <c r="I603" s="71"/>
      <c r="J603" s="71"/>
      <c r="K603" s="72"/>
      <c r="L603" s="72"/>
      <c r="M603" s="72"/>
      <c r="N603" s="72"/>
      <c r="O603" s="71" t="s">
        <v>227</v>
      </c>
      <c r="P603" s="69">
        <v>1</v>
      </c>
      <c r="Q603" s="68">
        <f>MAX(0,$V603-$P603-$S603)</f>
        <v>0</v>
      </c>
      <c r="R603" s="68" t="s">
        <v>57</v>
      </c>
      <c r="S603" s="68">
        <v>1</v>
      </c>
      <c r="T603" s="73">
        <v>1.32</v>
      </c>
      <c r="U603" s="73">
        <f>IF(AND($Q603&gt;0,ISNUMBER($T603)),$Q603*$T603,0)</f>
        <v>0</v>
      </c>
      <c r="V603" s="68">
        <f>SUM(W603:AB603)</f>
        <v>1</v>
      </c>
      <c r="W603" s="68"/>
      <c r="X603" s="68"/>
      <c r="Y603" s="68"/>
      <c r="Z603" s="68"/>
      <c r="AA603" s="68">
        <v>1</v>
      </c>
      <c r="AB603" s="68"/>
      <c r="AC603" s="68"/>
      <c r="AD603" s="75">
        <f>SUM(AE603:AJ603)</f>
        <v>1</v>
      </c>
      <c r="AE603" s="102"/>
      <c r="AF603" s="102"/>
      <c r="AG603" s="102"/>
      <c r="AH603" s="102"/>
      <c r="AI603" s="102">
        <v>1</v>
      </c>
      <c r="AJ603" s="102"/>
      <c r="AK603" s="102"/>
      <c r="AL603" s="77">
        <f>IF((P603-SUM(AE603:AK603))&lt;0,0,P603-SUM(AE603:AK603))</f>
        <v>0</v>
      </c>
      <c r="AM603" s="77">
        <f>SUM(AO603:AT603)</f>
        <v>0</v>
      </c>
      <c r="AN603" s="72"/>
      <c r="AO603" s="72"/>
      <c r="AP603" s="72"/>
      <c r="AQ603" s="72"/>
      <c r="AR603" s="72"/>
      <c r="AS603" s="72"/>
      <c r="AT603" s="72"/>
      <c r="AU603" s="72"/>
      <c r="AV603" s="70"/>
      <c r="AW603" s="72"/>
      <c r="AX603" s="72"/>
    </row>
    <row r="604" spans="1:50" ht="15" customHeight="1">
      <c r="A604" s="81" t="s">
        <v>1117</v>
      </c>
      <c r="B604" s="68" t="s">
        <v>1114</v>
      </c>
      <c r="C604" s="69" t="s">
        <v>45</v>
      </c>
      <c r="D604" s="70" t="s">
        <v>627</v>
      </c>
      <c r="E604" s="70"/>
      <c r="F604" s="68">
        <v>0</v>
      </c>
      <c r="G604" s="71" t="s">
        <v>627</v>
      </c>
      <c r="H604" s="71" t="s">
        <v>1118</v>
      </c>
      <c r="I604" s="71"/>
      <c r="J604" s="71"/>
      <c r="K604" s="69"/>
      <c r="L604" s="69"/>
      <c r="M604" s="69"/>
      <c r="N604" s="69"/>
      <c r="O604" s="71" t="s">
        <v>793</v>
      </c>
      <c r="P604" s="69">
        <v>0</v>
      </c>
      <c r="Q604" s="68">
        <f>MAX(0,$V604-$P604-$S604)</f>
        <v>2</v>
      </c>
      <c r="R604" s="68"/>
      <c r="S604" s="68"/>
      <c r="T604" s="73">
        <v>0.4</v>
      </c>
      <c r="U604" s="73">
        <f>IF(AND($Q604&gt;0,ISNUMBER($T604)),$Q604*$T604,0)</f>
        <v>0.8</v>
      </c>
      <c r="V604" s="68">
        <f>SUM(W604:AB604)</f>
        <v>2</v>
      </c>
      <c r="W604" s="68"/>
      <c r="X604" s="82">
        <v>1</v>
      </c>
      <c r="Y604" s="82">
        <v>1</v>
      </c>
      <c r="Z604" s="68"/>
      <c r="AA604" s="68"/>
      <c r="AB604" s="68"/>
      <c r="AC604" s="68"/>
      <c r="AD604" s="75">
        <f>SUM(AE604:AJ604)</f>
        <v>0</v>
      </c>
      <c r="AE604" s="76"/>
      <c r="AF604" s="76"/>
      <c r="AG604" s="76"/>
      <c r="AH604" s="76"/>
      <c r="AI604" s="76"/>
      <c r="AJ604" s="76"/>
      <c r="AK604" s="76"/>
      <c r="AL604" s="77">
        <f>IF((P604-SUM(AE604:AK604))&lt;0,0,P604-SUM(AE604:AK604))</f>
        <v>0</v>
      </c>
      <c r="AM604" s="77">
        <f>SUM(AO604:AT604)</f>
        <v>0</v>
      </c>
      <c r="AN604" s="138" t="s">
        <v>81</v>
      </c>
      <c r="AO604" s="72"/>
      <c r="AP604" s="72"/>
      <c r="AQ604" s="72"/>
      <c r="AR604" s="72"/>
      <c r="AS604" s="72"/>
      <c r="AT604" s="72"/>
      <c r="AU604" s="28" t="s">
        <v>1119</v>
      </c>
      <c r="AV604" s="70"/>
      <c r="AW604" s="72"/>
      <c r="AX604" s="84"/>
    </row>
    <row r="605" spans="1:50" ht="15" customHeight="1">
      <c r="A605" s="81" t="s">
        <v>640</v>
      </c>
      <c r="B605" s="68" t="s">
        <v>636</v>
      </c>
      <c r="C605" s="69" t="s">
        <v>45</v>
      </c>
      <c r="D605" s="70" t="s">
        <v>64</v>
      </c>
      <c r="E605" s="70" t="s">
        <v>641</v>
      </c>
      <c r="F605" s="68">
        <v>4</v>
      </c>
      <c r="G605" s="71" t="s">
        <v>264</v>
      </c>
      <c r="H605" s="71" t="s">
        <v>404</v>
      </c>
      <c r="I605" s="71" t="s">
        <v>643</v>
      </c>
      <c r="J605" s="71"/>
      <c r="K605" s="72"/>
      <c r="L605" s="72"/>
      <c r="M605" s="72"/>
      <c r="N605" s="72"/>
      <c r="O605" s="71" t="s">
        <v>642</v>
      </c>
      <c r="P605" s="69">
        <v>0</v>
      </c>
      <c r="Q605" s="68">
        <f>MAX(0,$V605-$P605-$S605)</f>
        <v>1</v>
      </c>
      <c r="R605" s="68"/>
      <c r="S605" s="68"/>
      <c r="T605" s="73">
        <v>1.87</v>
      </c>
      <c r="U605" s="73">
        <f>IF(AND($Q605&gt;0,ISNUMBER($T605)),$Q605*$T605,0)</f>
        <v>1.87</v>
      </c>
      <c r="V605" s="68">
        <f>SUM(W605:AB605)</f>
        <v>1</v>
      </c>
      <c r="W605" s="68"/>
      <c r="X605" s="68"/>
      <c r="Y605" s="68"/>
      <c r="Z605" s="82">
        <v>1</v>
      </c>
      <c r="AA605" s="68"/>
      <c r="AB605" s="68"/>
      <c r="AC605" s="68"/>
      <c r="AD605" s="75">
        <f>SUM(AE605:AJ605)</f>
        <v>0</v>
      </c>
      <c r="AE605" s="76"/>
      <c r="AF605" s="76"/>
      <c r="AG605" s="76"/>
      <c r="AH605" s="76"/>
      <c r="AI605" s="76"/>
      <c r="AJ605" s="76"/>
      <c r="AK605" s="76"/>
      <c r="AL605" s="77">
        <f>IF((P605-SUM(AE605:AK605))&lt;0,0,P605-SUM(AE605:AK605))</f>
        <v>0</v>
      </c>
      <c r="AM605" s="77">
        <f>SUM(AO605:AT605)</f>
        <v>0</v>
      </c>
      <c r="AN605" s="138" t="s">
        <v>81</v>
      </c>
      <c r="AO605" s="72"/>
      <c r="AP605" s="72"/>
      <c r="AQ605" s="72"/>
      <c r="AR605" s="72"/>
      <c r="AS605" s="72"/>
      <c r="AT605" s="72"/>
      <c r="AU605" s="28" t="s">
        <v>644</v>
      </c>
      <c r="AV605" s="70"/>
      <c r="AW605" s="72"/>
      <c r="AX605" s="84"/>
    </row>
    <row r="606" spans="1:50" ht="15" customHeight="1">
      <c r="A606" s="70" t="s">
        <v>385</v>
      </c>
      <c r="B606" s="68" t="s">
        <v>345</v>
      </c>
      <c r="C606" s="69" t="s">
        <v>45</v>
      </c>
      <c r="D606" s="70" t="s">
        <v>175</v>
      </c>
      <c r="E606" s="70"/>
      <c r="F606" s="68">
        <v>3</v>
      </c>
      <c r="G606" s="71" t="s">
        <v>350</v>
      </c>
      <c r="H606" s="71" t="s">
        <v>351</v>
      </c>
      <c r="I606" s="71" t="s">
        <v>387</v>
      </c>
      <c r="J606" s="71" t="s">
        <v>388</v>
      </c>
      <c r="K606" s="72"/>
      <c r="L606" s="72"/>
      <c r="M606" s="72"/>
      <c r="N606" s="72"/>
      <c r="O606" s="71" t="s">
        <v>386</v>
      </c>
      <c r="P606" s="69">
        <v>0</v>
      </c>
      <c r="Q606" s="68">
        <f>MAX(0,$V606-$P606-$S606)</f>
        <v>0</v>
      </c>
      <c r="R606" s="68"/>
      <c r="S606" s="68"/>
      <c r="T606" s="73">
        <v>0.22</v>
      </c>
      <c r="U606" s="73">
        <f>IF(AND($Q606&gt;0,ISNUMBER($T606)),$Q606*$T606,0)</f>
        <v>0</v>
      </c>
      <c r="V606" s="68">
        <f>SUM(W606:AB606)</f>
        <v>0</v>
      </c>
      <c r="W606" s="68"/>
      <c r="X606" s="68"/>
      <c r="Y606" s="68"/>
      <c r="Z606" s="68"/>
      <c r="AA606" s="68"/>
      <c r="AB606" s="68"/>
      <c r="AC606" s="68"/>
      <c r="AD606" s="75">
        <f>SUM(AE606:AJ606)</f>
        <v>0</v>
      </c>
      <c r="AE606" s="76"/>
      <c r="AF606" s="76"/>
      <c r="AG606" s="76"/>
      <c r="AH606" s="76"/>
      <c r="AI606" s="76"/>
      <c r="AJ606" s="76"/>
      <c r="AK606" s="76"/>
      <c r="AL606" s="77">
        <f>IF((P606-SUM(AE606:AK606))&lt;0,0,P606-SUM(AE606:AK606))</f>
        <v>0</v>
      </c>
      <c r="AM606" s="77">
        <f>SUM(AO606:AT606)</f>
        <v>0</v>
      </c>
      <c r="AN606" s="129"/>
      <c r="AO606" s="72"/>
      <c r="AP606" s="72"/>
      <c r="AQ606" s="72"/>
      <c r="AR606" s="129"/>
      <c r="AS606" s="72"/>
      <c r="AT606" s="72"/>
      <c r="AU606" s="129"/>
      <c r="AV606" s="70"/>
      <c r="AW606" s="72"/>
      <c r="AX606" s="72"/>
    </row>
    <row r="607" spans="1:50" ht="15" customHeight="1">
      <c r="A607" s="81" t="s">
        <v>1527</v>
      </c>
      <c r="B607" s="68" t="s">
        <v>1499</v>
      </c>
      <c r="C607" s="69" t="s">
        <v>45</v>
      </c>
      <c r="D607" s="70" t="s">
        <v>72</v>
      </c>
      <c r="E607" s="70"/>
      <c r="F607" s="68">
        <v>2</v>
      </c>
      <c r="G607" s="71" t="s">
        <v>392</v>
      </c>
      <c r="H607" s="71" t="s">
        <v>1528</v>
      </c>
      <c r="I607" s="71"/>
      <c r="J607" s="71"/>
      <c r="K607" s="72"/>
      <c r="L607" s="72"/>
      <c r="M607" s="72"/>
      <c r="N607" s="72"/>
      <c r="O607" s="71" t="s">
        <v>78</v>
      </c>
      <c r="P607" s="69">
        <v>0</v>
      </c>
      <c r="Q607" s="68">
        <f>MAX(0,$V607-$P607-$S607)</f>
        <v>1</v>
      </c>
      <c r="R607" s="68"/>
      <c r="S607" s="68"/>
      <c r="T607" s="73">
        <v>1.55</v>
      </c>
      <c r="U607" s="73">
        <f>IF(AND($Q607&gt;0,ISNUMBER($T607)),$Q607*$T607,0)</f>
        <v>1.55</v>
      </c>
      <c r="V607" s="68">
        <f>SUM(W607:AB607)</f>
        <v>1</v>
      </c>
      <c r="W607" s="68"/>
      <c r="X607" s="68"/>
      <c r="Y607" s="68"/>
      <c r="Z607" s="68"/>
      <c r="AA607" s="68"/>
      <c r="AB607" s="82">
        <v>1</v>
      </c>
      <c r="AC607" s="68"/>
      <c r="AD607" s="75">
        <f>SUM(AE607:AJ607)</f>
        <v>0</v>
      </c>
      <c r="AE607" s="76"/>
      <c r="AF607" s="76"/>
      <c r="AG607" s="76"/>
      <c r="AH607" s="76"/>
      <c r="AI607" s="76"/>
      <c r="AJ607" s="76"/>
      <c r="AK607" s="76"/>
      <c r="AL607" s="77">
        <f>IF((P607-SUM(AE607:AK607))&lt;0,0,P607-SUM(AE607:AK607))</f>
        <v>0</v>
      </c>
      <c r="AM607" s="77">
        <f>SUM(AO607:AT607)</f>
        <v>0</v>
      </c>
      <c r="AN607" s="83" t="s">
        <v>81</v>
      </c>
      <c r="AO607" s="72"/>
      <c r="AP607" s="72"/>
      <c r="AQ607" s="72"/>
      <c r="AR607" s="72"/>
      <c r="AS607" s="72"/>
      <c r="AT607" s="72"/>
      <c r="AU607" s="28" t="s">
        <v>1529</v>
      </c>
      <c r="AV607" s="70"/>
      <c r="AW607" s="72"/>
      <c r="AX607" s="84"/>
    </row>
    <row r="608" spans="1:50" ht="15" customHeight="1">
      <c r="A608" s="92" t="s">
        <v>74</v>
      </c>
      <c r="B608" s="90" t="s">
        <v>46</v>
      </c>
      <c r="C608" s="69" t="s">
        <v>45</v>
      </c>
      <c r="D608" s="92"/>
      <c r="E608" s="92"/>
      <c r="F608" s="92"/>
      <c r="G608" s="92"/>
      <c r="H608" s="92"/>
      <c r="I608" s="92"/>
      <c r="J608" s="92"/>
      <c r="K608" s="72"/>
      <c r="L608" s="72"/>
      <c r="M608" s="72"/>
      <c r="N608" s="72"/>
      <c r="O608" s="92"/>
      <c r="P608" s="69">
        <v>0</v>
      </c>
      <c r="Q608" s="68">
        <f>MAX(0,$V608-$P608-$S608)</f>
        <v>0</v>
      </c>
      <c r="R608" s="92"/>
      <c r="S608" s="92"/>
      <c r="T608" s="92"/>
      <c r="U608" s="92">
        <f>IF(AND($Q608&gt;0,ISNUMBER($T608)),$Q608*$T608,0)</f>
        <v>0</v>
      </c>
      <c r="V608" s="68">
        <f>SUM(W608:AB608)</f>
        <v>0</v>
      </c>
      <c r="W608" s="68"/>
      <c r="X608" s="68"/>
      <c r="Y608" s="68"/>
      <c r="Z608" s="68"/>
      <c r="AA608" s="68"/>
      <c r="AB608" s="68"/>
      <c r="AC608" s="68"/>
      <c r="AD608" s="75">
        <f>SUM(AE608:AJ608)</f>
        <v>0</v>
      </c>
      <c r="AE608" s="76"/>
      <c r="AF608" s="76"/>
      <c r="AG608" s="76"/>
      <c r="AH608" s="76"/>
      <c r="AI608" s="76"/>
      <c r="AJ608" s="76"/>
      <c r="AK608" s="76"/>
      <c r="AL608" s="77">
        <f>IF((P608-SUM(AE608:AK608))&lt;0,0,P608-SUM(AE608:AK608))</f>
        <v>0</v>
      </c>
      <c r="AM608" s="77">
        <f>SUM(AO608:AT608)</f>
        <v>0</v>
      </c>
      <c r="AN608" s="129"/>
      <c r="AO608" s="72"/>
      <c r="AP608" s="129"/>
      <c r="AQ608" s="72"/>
      <c r="AR608" s="72"/>
      <c r="AS608" s="72"/>
      <c r="AT608" s="72"/>
      <c r="AU608" s="129"/>
      <c r="AV608" s="92"/>
      <c r="AW608" s="72"/>
      <c r="AX608" s="72"/>
    </row>
    <row r="609" spans="1:50" ht="15" customHeight="1">
      <c r="A609" s="70" t="s">
        <v>1167</v>
      </c>
      <c r="B609" s="68" t="s">
        <v>1114</v>
      </c>
      <c r="C609" s="69" t="s">
        <v>45</v>
      </c>
      <c r="D609" s="70" t="s">
        <v>47</v>
      </c>
      <c r="E609" s="70"/>
      <c r="F609" s="68">
        <v>2</v>
      </c>
      <c r="G609" s="71" t="s">
        <v>54</v>
      </c>
      <c r="H609" s="71" t="s">
        <v>1168</v>
      </c>
      <c r="I609" s="71"/>
      <c r="J609" s="71"/>
      <c r="K609" s="72"/>
      <c r="L609" s="72"/>
      <c r="M609" s="72"/>
      <c r="N609" s="72"/>
      <c r="O609" s="71" t="s">
        <v>576</v>
      </c>
      <c r="P609" s="69">
        <v>0</v>
      </c>
      <c r="Q609" s="68">
        <f>MAX(0,$V609-$P609-$S609)</f>
        <v>0</v>
      </c>
      <c r="R609" s="68"/>
      <c r="S609" s="68"/>
      <c r="T609" s="73">
        <v>1.47</v>
      </c>
      <c r="U609" s="73">
        <f>IF(AND($Q609&gt;0,ISNUMBER($T609)),$Q609*$T609,0)</f>
        <v>0</v>
      </c>
      <c r="V609" s="68">
        <f>SUM(W609:AB609)</f>
        <v>0</v>
      </c>
      <c r="W609" s="68"/>
      <c r="X609" s="68"/>
      <c r="Y609" s="68"/>
      <c r="Z609" s="68"/>
      <c r="AA609" s="68"/>
      <c r="AB609" s="68"/>
      <c r="AC609" s="68"/>
      <c r="AD609" s="75">
        <f>SUM(AE609:AJ609)</f>
        <v>0</v>
      </c>
      <c r="AE609" s="76"/>
      <c r="AF609" s="76"/>
      <c r="AG609" s="76"/>
      <c r="AH609" s="76"/>
      <c r="AI609" s="76"/>
      <c r="AJ609" s="76"/>
      <c r="AK609" s="76"/>
      <c r="AL609" s="77">
        <f>IF((P609-SUM(AE609:AK609))&lt;0,0,P609-SUM(AE609:AK609))</f>
        <v>0</v>
      </c>
      <c r="AM609" s="77">
        <f>SUM(AO609:AT609)</f>
        <v>0</v>
      </c>
      <c r="AN609" s="72"/>
      <c r="AO609" s="72"/>
      <c r="AP609" s="72"/>
      <c r="AQ609" s="72"/>
      <c r="AR609" s="72"/>
      <c r="AS609" s="72"/>
      <c r="AT609" s="72"/>
      <c r="AU609" s="72"/>
      <c r="AV609" s="70"/>
      <c r="AW609" s="72"/>
      <c r="AX609" s="72"/>
    </row>
    <row r="610" spans="1:50" ht="15" customHeight="1">
      <c r="A610" s="98" t="s">
        <v>2423</v>
      </c>
      <c r="B610" s="100" t="s">
        <v>46</v>
      </c>
      <c r="C610" s="101" t="s">
        <v>45</v>
      </c>
      <c r="D610" s="98" t="s">
        <v>64</v>
      </c>
      <c r="E610" s="98" t="s">
        <v>342</v>
      </c>
      <c r="F610" s="100">
        <v>3</v>
      </c>
      <c r="G610" s="98" t="s">
        <v>477</v>
      </c>
      <c r="H610" s="98" t="s">
        <v>2424</v>
      </c>
      <c r="I610" s="98" t="s">
        <v>2425</v>
      </c>
      <c r="J610" s="98" t="s">
        <v>2426</v>
      </c>
      <c r="K610" s="99"/>
      <c r="L610" s="99"/>
      <c r="M610" s="99"/>
      <c r="N610" s="99"/>
      <c r="O610" s="98" t="s">
        <v>112</v>
      </c>
      <c r="P610" s="101">
        <v>0</v>
      </c>
      <c r="Q610" s="68">
        <f>MAX(0,$V610-$P610-$S610)</f>
        <v>0</v>
      </c>
      <c r="R610" s="98"/>
      <c r="S610" s="98"/>
      <c r="T610" s="98">
        <v>0.22</v>
      </c>
      <c r="U610" s="98">
        <f>IF(AND($Q610&gt;0,ISNUMBER($T610)),$Q610*$T610,0)</f>
        <v>0</v>
      </c>
      <c r="V610" s="68">
        <f>SUM(W610:AB610)</f>
        <v>0</v>
      </c>
      <c r="W610" s="100"/>
      <c r="X610" s="100"/>
      <c r="Y610" s="100"/>
      <c r="Z610" s="100"/>
      <c r="AA610" s="100"/>
      <c r="AB610" s="100"/>
      <c r="AC610" s="68"/>
      <c r="AD610" s="75">
        <f>SUM(AE610:AJ610)</f>
        <v>0</v>
      </c>
      <c r="AE610" s="102"/>
      <c r="AF610" s="102"/>
      <c r="AG610" s="102"/>
      <c r="AH610" s="102"/>
      <c r="AI610" s="102"/>
      <c r="AJ610" s="102"/>
      <c r="AK610" s="102"/>
      <c r="AL610" s="77">
        <f>IF((P610-SUM(AE610:AK610))&lt;0,0,P610-SUM(AE610:AK610))</f>
        <v>0</v>
      </c>
      <c r="AM610" s="77">
        <f>SUM(AO610:AT610)</f>
        <v>0</v>
      </c>
      <c r="AN610" s="99"/>
      <c r="AO610" s="99"/>
      <c r="AP610" s="99"/>
      <c r="AQ610" s="99"/>
      <c r="AR610" s="99"/>
      <c r="AS610" s="99"/>
      <c r="AT610" s="99"/>
      <c r="AU610" s="99"/>
      <c r="AV610" s="98"/>
      <c r="AW610" s="99"/>
      <c r="AX610" s="99"/>
    </row>
    <row r="611" spans="1:50" ht="15" customHeight="1">
      <c r="A611" s="81" t="s">
        <v>1178</v>
      </c>
      <c r="B611" s="68" t="s">
        <v>1114</v>
      </c>
      <c r="C611" s="69" t="s">
        <v>45</v>
      </c>
      <c r="D611" s="70" t="s">
        <v>175</v>
      </c>
      <c r="E611" s="70"/>
      <c r="F611" s="68">
        <v>2</v>
      </c>
      <c r="G611" s="71" t="s">
        <v>350</v>
      </c>
      <c r="H611" s="71" t="s">
        <v>1179</v>
      </c>
      <c r="I611" s="71"/>
      <c r="J611" s="71"/>
      <c r="K611" s="72"/>
      <c r="L611" s="72"/>
      <c r="M611" s="72"/>
      <c r="N611" s="72"/>
      <c r="O611" s="71" t="s">
        <v>489</v>
      </c>
      <c r="P611" s="69">
        <v>0</v>
      </c>
      <c r="Q611" s="68">
        <f>MAX(0,$V611-$P611-$S611)</f>
        <v>1</v>
      </c>
      <c r="R611" s="68"/>
      <c r="S611" s="68"/>
      <c r="T611" s="73">
        <v>0.52</v>
      </c>
      <c r="U611" s="73">
        <f>IF(AND($Q611&gt;0,ISNUMBER($T611)),$Q611*$T611,0)</f>
        <v>0.52</v>
      </c>
      <c r="V611" s="68">
        <f>SUM(W611:AB611)</f>
        <v>1</v>
      </c>
      <c r="W611" s="82">
        <v>1</v>
      </c>
      <c r="X611" s="68"/>
      <c r="Y611" s="68"/>
      <c r="Z611" s="68"/>
      <c r="AA611" s="68"/>
      <c r="AB611" s="68"/>
      <c r="AC611" s="68"/>
      <c r="AD611" s="75">
        <f>SUM(AE611:AJ611)</f>
        <v>0</v>
      </c>
      <c r="AE611" s="76"/>
      <c r="AF611" s="76"/>
      <c r="AG611" s="76"/>
      <c r="AH611" s="76"/>
      <c r="AI611" s="76"/>
      <c r="AJ611" s="76"/>
      <c r="AK611" s="76"/>
      <c r="AL611" s="77">
        <f>IF((P611-SUM(AE611:AK611))&lt;0,0,P611-SUM(AE611:AK611))</f>
        <v>0</v>
      </c>
      <c r="AM611" s="77">
        <f>SUM(AO611:AT611)</f>
        <v>0</v>
      </c>
      <c r="AN611" s="83" t="s">
        <v>81</v>
      </c>
      <c r="AO611" s="72"/>
      <c r="AP611" s="72"/>
      <c r="AQ611" s="72"/>
      <c r="AR611" s="72"/>
      <c r="AS611" s="72"/>
      <c r="AT611" s="72"/>
      <c r="AU611" s="28" t="s">
        <v>1180</v>
      </c>
      <c r="AV611" s="70"/>
      <c r="AW611" s="72"/>
      <c r="AX611" s="84"/>
    </row>
    <row r="612" spans="1:50" ht="15" customHeight="1">
      <c r="A612" s="70" t="s">
        <v>1181</v>
      </c>
      <c r="B612" s="68" t="s">
        <v>1114</v>
      </c>
      <c r="C612" s="69" t="s">
        <v>45</v>
      </c>
      <c r="D612" s="70" t="s">
        <v>123</v>
      </c>
      <c r="E612" s="70" t="s">
        <v>1182</v>
      </c>
      <c r="F612" s="68">
        <v>3</v>
      </c>
      <c r="G612" s="71" t="s">
        <v>176</v>
      </c>
      <c r="H612" s="71" t="s">
        <v>197</v>
      </c>
      <c r="I612" s="71" t="s">
        <v>1183</v>
      </c>
      <c r="J612" s="71"/>
      <c r="K612" s="72"/>
      <c r="L612" s="72"/>
      <c r="M612" s="72"/>
      <c r="N612" s="72"/>
      <c r="O612" s="71" t="s">
        <v>1083</v>
      </c>
      <c r="P612" s="69">
        <v>0</v>
      </c>
      <c r="Q612" s="68">
        <f>MAX(0,$V612-$P612-$S612)</f>
        <v>0</v>
      </c>
      <c r="R612" s="68"/>
      <c r="S612" s="68"/>
      <c r="T612" s="73">
        <v>1.03</v>
      </c>
      <c r="U612" s="73">
        <f>IF(AND($Q612&gt;0,ISNUMBER($T612)),$Q612*$T612,0)</f>
        <v>0</v>
      </c>
      <c r="V612" s="68">
        <f>SUM(W612:AB612)</f>
        <v>0</v>
      </c>
      <c r="W612" s="68"/>
      <c r="X612" s="68"/>
      <c r="Y612" s="68"/>
      <c r="Z612" s="68"/>
      <c r="AA612" s="68"/>
      <c r="AB612" s="68"/>
      <c r="AC612" s="68"/>
      <c r="AD612" s="75">
        <f>SUM(AE612:AJ612)</f>
        <v>0</v>
      </c>
      <c r="AE612" s="76"/>
      <c r="AF612" s="76"/>
      <c r="AG612" s="76"/>
      <c r="AH612" s="76"/>
      <c r="AI612" s="76"/>
      <c r="AJ612" s="76"/>
      <c r="AK612" s="76"/>
      <c r="AL612" s="77">
        <f>IF((P612-SUM(AE612:AK612))&lt;0,0,P612-SUM(AE612:AK612))</f>
        <v>0</v>
      </c>
      <c r="AM612" s="77">
        <f>SUM(AO612:AT612)</f>
        <v>0</v>
      </c>
      <c r="AN612" s="72"/>
      <c r="AO612" s="72"/>
      <c r="AP612" s="72"/>
      <c r="AQ612" s="72"/>
      <c r="AR612" s="72"/>
      <c r="AS612" s="72"/>
      <c r="AT612" s="72"/>
      <c r="AU612" s="72"/>
      <c r="AV612" s="70"/>
      <c r="AW612" s="72"/>
      <c r="AX612" s="72"/>
    </row>
    <row r="613" spans="1:50" ht="15" customHeight="1">
      <c r="A613" s="81" t="s">
        <v>943</v>
      </c>
      <c r="B613" s="68" t="s">
        <v>919</v>
      </c>
      <c r="C613" s="69" t="s">
        <v>45</v>
      </c>
      <c r="D613" s="70" t="s">
        <v>627</v>
      </c>
      <c r="E613" s="70"/>
      <c r="F613" s="68">
        <v>0</v>
      </c>
      <c r="G613" s="71" t="s">
        <v>627</v>
      </c>
      <c r="H613" s="71" t="s">
        <v>944</v>
      </c>
      <c r="I613" s="71"/>
      <c r="J613" s="71"/>
      <c r="K613" s="72"/>
      <c r="L613" s="72"/>
      <c r="M613" s="72"/>
      <c r="N613" s="72"/>
      <c r="O613" s="71" t="s">
        <v>793</v>
      </c>
      <c r="P613" s="69">
        <v>0</v>
      </c>
      <c r="Q613" s="68">
        <f>MAX(0,$V613-$P613-$S613)</f>
        <v>2</v>
      </c>
      <c r="R613" s="68"/>
      <c r="S613" s="68"/>
      <c r="T613" s="73">
        <v>1.71</v>
      </c>
      <c r="U613" s="73">
        <f>IF(AND($Q613&gt;0,ISNUMBER($T613)),$Q613*$T613,0)</f>
        <v>3.42</v>
      </c>
      <c r="V613" s="68">
        <f>SUM(W613:AB613)</f>
        <v>2</v>
      </c>
      <c r="W613" s="68"/>
      <c r="X613" s="82">
        <v>1</v>
      </c>
      <c r="Y613" s="82">
        <v>1</v>
      </c>
      <c r="Z613" s="68"/>
      <c r="AA613" s="68"/>
      <c r="AB613" s="68"/>
      <c r="AC613" s="68"/>
      <c r="AD613" s="75">
        <f>SUM(AE613:AJ613)</f>
        <v>0</v>
      </c>
      <c r="AE613" s="76"/>
      <c r="AF613" s="76"/>
      <c r="AG613" s="76"/>
      <c r="AH613" s="76"/>
      <c r="AI613" s="76"/>
      <c r="AJ613" s="76"/>
      <c r="AK613" s="76"/>
      <c r="AL613" s="77">
        <f>IF((P613-SUM(AE613:AK613))&lt;0,0,P613-SUM(AE613:AK613))</f>
        <v>0</v>
      </c>
      <c r="AM613" s="77">
        <f>SUM(AO613:AT613)</f>
        <v>0</v>
      </c>
      <c r="AN613" s="88" t="s">
        <v>81</v>
      </c>
      <c r="AO613" s="72"/>
      <c r="AP613" s="72"/>
      <c r="AQ613" s="72"/>
      <c r="AR613" s="72"/>
      <c r="AS613" s="85"/>
      <c r="AT613" s="72"/>
      <c r="AU613" s="29" t="s">
        <v>945</v>
      </c>
      <c r="AV613" s="70"/>
      <c r="AW613" s="72"/>
      <c r="AX613" s="84"/>
    </row>
    <row r="614" spans="1:50" ht="15" customHeight="1">
      <c r="A614" s="70" t="s">
        <v>673</v>
      </c>
      <c r="B614" s="68" t="s">
        <v>636</v>
      </c>
      <c r="C614" s="69" t="s">
        <v>45</v>
      </c>
      <c r="D614" s="70" t="s">
        <v>64</v>
      </c>
      <c r="E614" s="70" t="s">
        <v>674</v>
      </c>
      <c r="F614" s="68">
        <v>2</v>
      </c>
      <c r="G614" s="71" t="s">
        <v>675</v>
      </c>
      <c r="H614" s="71" t="s">
        <v>676</v>
      </c>
      <c r="I614" s="71" t="s">
        <v>677</v>
      </c>
      <c r="J614" s="71" t="s">
        <v>678</v>
      </c>
      <c r="K614" s="72"/>
      <c r="L614" s="72"/>
      <c r="M614" s="72"/>
      <c r="N614" s="72"/>
      <c r="O614" s="71" t="s">
        <v>180</v>
      </c>
      <c r="P614" s="69">
        <v>0</v>
      </c>
      <c r="Q614" s="68">
        <f>MAX(0,$V614-$P614-$S614)</f>
        <v>0</v>
      </c>
      <c r="R614" s="68"/>
      <c r="S614" s="68"/>
      <c r="T614" s="73">
        <v>0.36</v>
      </c>
      <c r="U614" s="73">
        <f>IF(AND($Q614&gt;0,ISNUMBER($T614)),$Q614*$T614,0)</f>
        <v>0</v>
      </c>
      <c r="V614" s="68">
        <f>SUM(W614:AB614)</f>
        <v>0</v>
      </c>
      <c r="W614" s="68"/>
      <c r="X614" s="68"/>
      <c r="Y614" s="68"/>
      <c r="Z614" s="68"/>
      <c r="AA614" s="68"/>
      <c r="AB614" s="68"/>
      <c r="AC614" s="68"/>
      <c r="AD614" s="75">
        <f>SUM(AE614:AJ614)</f>
        <v>0</v>
      </c>
      <c r="AE614" s="76"/>
      <c r="AF614" s="76"/>
      <c r="AG614" s="76"/>
      <c r="AH614" s="76"/>
      <c r="AI614" s="76"/>
      <c r="AJ614" s="76"/>
      <c r="AK614" s="76"/>
      <c r="AL614" s="77">
        <f>IF((P614-SUM(AE614:AK614))&lt;0,0,P614-SUM(AE614:AK614))</f>
        <v>0</v>
      </c>
      <c r="AM614" s="77">
        <f>SUM(AO614:AT614)</f>
        <v>0</v>
      </c>
      <c r="AN614" s="72"/>
      <c r="AO614" s="72"/>
      <c r="AP614" s="72"/>
      <c r="AQ614" s="72"/>
      <c r="AR614" s="72"/>
      <c r="AS614" s="72"/>
      <c r="AT614" s="72"/>
      <c r="AU614" s="72"/>
      <c r="AV614" s="70"/>
      <c r="AW614" s="72"/>
      <c r="AX614" s="72"/>
    </row>
    <row r="615" spans="1:50" ht="15" customHeight="1">
      <c r="A615" s="70" t="s">
        <v>1553</v>
      </c>
      <c r="B615" s="68" t="s">
        <v>1499</v>
      </c>
      <c r="C615" s="69" t="s">
        <v>45</v>
      </c>
      <c r="D615" s="70" t="s">
        <v>72</v>
      </c>
      <c r="E615" s="70"/>
      <c r="F615" s="68">
        <v>2</v>
      </c>
      <c r="G615" s="71" t="s">
        <v>49</v>
      </c>
      <c r="H615" s="71" t="s">
        <v>1554</v>
      </c>
      <c r="I615" s="71" t="s">
        <v>1555</v>
      </c>
      <c r="J615" s="71"/>
      <c r="K615" s="72"/>
      <c r="L615" s="72"/>
      <c r="M615" s="72"/>
      <c r="N615" s="72"/>
      <c r="O615" s="71" t="s">
        <v>263</v>
      </c>
      <c r="P615" s="69">
        <v>0</v>
      </c>
      <c r="Q615" s="68">
        <f>MAX(0,$V615-$P615-$S615)</f>
        <v>0</v>
      </c>
      <c r="R615" s="68"/>
      <c r="S615" s="68"/>
      <c r="T615" s="73">
        <v>0.31</v>
      </c>
      <c r="U615" s="73">
        <f>IF(AND($Q615&gt;0,ISNUMBER($T615)),$Q615*$T615,0)</f>
        <v>0</v>
      </c>
      <c r="V615" s="68">
        <f>SUM(W615:AB615)</f>
        <v>0</v>
      </c>
      <c r="W615" s="68"/>
      <c r="X615" s="68"/>
      <c r="Y615" s="68"/>
      <c r="Z615" s="68"/>
      <c r="AA615" s="68"/>
      <c r="AB615" s="68"/>
      <c r="AC615" s="68"/>
      <c r="AD615" s="75">
        <f>SUM(AE615:AJ615)</f>
        <v>0</v>
      </c>
      <c r="AE615" s="76"/>
      <c r="AF615" s="76"/>
      <c r="AG615" s="76"/>
      <c r="AH615" s="76"/>
      <c r="AI615" s="76"/>
      <c r="AJ615" s="76"/>
      <c r="AK615" s="76"/>
      <c r="AL615" s="77">
        <f>IF((P615-SUM(AE615:AK615))&lt;0,0,P615-SUM(AE615:AK615))</f>
        <v>0</v>
      </c>
      <c r="AM615" s="77">
        <f>SUM(AO615:AT615)</f>
        <v>0</v>
      </c>
      <c r="AN615" s="72"/>
      <c r="AO615" s="72"/>
      <c r="AP615" s="72"/>
      <c r="AQ615" s="72"/>
      <c r="AR615" s="72"/>
      <c r="AS615" s="72"/>
      <c r="AT615" s="72"/>
      <c r="AU615" s="72"/>
      <c r="AV615" s="70"/>
      <c r="AW615" s="72"/>
      <c r="AX615" s="72"/>
    </row>
    <row r="616" spans="1:50" ht="15" customHeight="1">
      <c r="A616" s="70" t="s">
        <v>2021</v>
      </c>
      <c r="B616" s="68" t="s">
        <v>1971</v>
      </c>
      <c r="C616" s="69" t="s">
        <v>45</v>
      </c>
      <c r="D616" s="70" t="s">
        <v>64</v>
      </c>
      <c r="E616" s="70" t="s">
        <v>1449</v>
      </c>
      <c r="F616" s="68">
        <v>4</v>
      </c>
      <c r="G616" s="71" t="s">
        <v>170</v>
      </c>
      <c r="H616" s="71" t="s">
        <v>2022</v>
      </c>
      <c r="I616" s="71"/>
      <c r="J616" s="71"/>
      <c r="K616" s="72"/>
      <c r="L616" s="72"/>
      <c r="M616" s="72"/>
      <c r="N616" s="72"/>
      <c r="O616" s="71" t="s">
        <v>1469</v>
      </c>
      <c r="P616" s="69">
        <v>0</v>
      </c>
      <c r="Q616" s="68">
        <f>MAX(0,$V616-$P616-$S616)</f>
        <v>0</v>
      </c>
      <c r="R616" s="68" t="s">
        <v>57</v>
      </c>
      <c r="S616" s="68">
        <v>1</v>
      </c>
      <c r="T616" s="73">
        <v>0.34</v>
      </c>
      <c r="U616" s="73">
        <f>IF(AND($Q616&gt;0,ISNUMBER($T616)),$Q616*$T616,0)</f>
        <v>0</v>
      </c>
      <c r="V616" s="68">
        <f>SUM(W616:AB616)</f>
        <v>0</v>
      </c>
      <c r="W616" s="68"/>
      <c r="X616" s="68"/>
      <c r="Y616" s="68"/>
      <c r="Z616" s="68"/>
      <c r="AA616" s="68"/>
      <c r="AB616" s="68"/>
      <c r="AC616" s="68"/>
      <c r="AD616" s="75">
        <f>SUM(AE616:AJ616)</f>
        <v>0</v>
      </c>
      <c r="AE616" s="76"/>
      <c r="AF616" s="76"/>
      <c r="AG616" s="76"/>
      <c r="AH616" s="76"/>
      <c r="AI616" s="76"/>
      <c r="AJ616" s="76"/>
      <c r="AK616" s="76"/>
      <c r="AL616" s="77">
        <f>IF((P616-SUM(AE616:AK616))&lt;0,0,P616-SUM(AE616:AK616))</f>
        <v>0</v>
      </c>
      <c r="AM616" s="77">
        <f>SUM(AO616:AT616)</f>
        <v>0</v>
      </c>
      <c r="AN616" s="72"/>
      <c r="AO616" s="72"/>
      <c r="AP616" s="72"/>
      <c r="AQ616" s="72"/>
      <c r="AR616" s="72"/>
      <c r="AS616" s="72"/>
      <c r="AT616" s="72"/>
      <c r="AU616" s="72"/>
      <c r="AV616" s="70"/>
      <c r="AW616" s="72"/>
      <c r="AX616" s="72"/>
    </row>
    <row r="617" spans="1:50" ht="15" customHeight="1">
      <c r="A617" s="70" t="s">
        <v>405</v>
      </c>
      <c r="B617" s="68" t="s">
        <v>345</v>
      </c>
      <c r="C617" s="69" t="s">
        <v>45</v>
      </c>
      <c r="D617" s="70" t="s">
        <v>406</v>
      </c>
      <c r="E617" s="70"/>
      <c r="F617" s="68">
        <v>2</v>
      </c>
      <c r="G617" s="71" t="s">
        <v>350</v>
      </c>
      <c r="H617" s="71" t="s">
        <v>408</v>
      </c>
      <c r="I617" s="71" t="s">
        <v>409</v>
      </c>
      <c r="J617" s="71"/>
      <c r="K617" s="72"/>
      <c r="L617" s="72"/>
      <c r="M617" s="72"/>
      <c r="N617" s="72"/>
      <c r="O617" s="71" t="s">
        <v>407</v>
      </c>
      <c r="P617" s="69">
        <v>0</v>
      </c>
      <c r="Q617" s="68">
        <f>MAX(0,$V617-$P617-$S617)</f>
        <v>0</v>
      </c>
      <c r="R617" s="68"/>
      <c r="S617" s="68"/>
      <c r="T617" s="73">
        <v>1.72</v>
      </c>
      <c r="U617" s="73">
        <f>IF(AND($Q617&gt;0,ISNUMBER($T617)),$Q617*$T617,0)</f>
        <v>0</v>
      </c>
      <c r="V617" s="68">
        <f>SUM(W617:AB617)</f>
        <v>0</v>
      </c>
      <c r="W617" s="68"/>
      <c r="X617" s="68"/>
      <c r="Y617" s="68"/>
      <c r="Z617" s="68"/>
      <c r="AA617" s="68"/>
      <c r="AB617" s="68"/>
      <c r="AC617" s="68"/>
      <c r="AD617" s="75">
        <f>SUM(AE617:AJ617)</f>
        <v>0</v>
      </c>
      <c r="AE617" s="76"/>
      <c r="AF617" s="76"/>
      <c r="AG617" s="76"/>
      <c r="AH617" s="76"/>
      <c r="AI617" s="76"/>
      <c r="AJ617" s="76"/>
      <c r="AK617" s="76"/>
      <c r="AL617" s="77">
        <f>IF((P617-SUM(AE617:AK617))&lt;0,0,P617-SUM(AE617:AK617))</f>
        <v>0</v>
      </c>
      <c r="AM617" s="77">
        <f>SUM(AO617:AT617)</f>
        <v>0</v>
      </c>
      <c r="AN617" s="129"/>
      <c r="AO617" s="72"/>
      <c r="AP617" s="72"/>
      <c r="AQ617" s="72"/>
      <c r="AR617" s="72"/>
      <c r="AS617" s="129"/>
      <c r="AT617" s="72"/>
      <c r="AU617" s="129"/>
      <c r="AV617" s="70"/>
      <c r="AW617" s="72"/>
      <c r="AX617" s="72"/>
    </row>
    <row r="618" spans="1:50" ht="15" customHeight="1">
      <c r="A618" s="70" t="s">
        <v>1205</v>
      </c>
      <c r="B618" s="68" t="s">
        <v>1114</v>
      </c>
      <c r="C618" s="69" t="s">
        <v>45</v>
      </c>
      <c r="D618" s="70" t="s">
        <v>123</v>
      </c>
      <c r="E618" s="70" t="s">
        <v>1206</v>
      </c>
      <c r="F618" s="68">
        <v>6</v>
      </c>
      <c r="G618" s="71" t="s">
        <v>296</v>
      </c>
      <c r="H618" s="71" t="s">
        <v>1207</v>
      </c>
      <c r="I618" s="71" t="s">
        <v>1208</v>
      </c>
      <c r="J618" s="71"/>
      <c r="K618" s="72"/>
      <c r="L618" s="72"/>
      <c r="M618" s="72"/>
      <c r="N618" s="72"/>
      <c r="O618" s="71" t="s">
        <v>210</v>
      </c>
      <c r="P618" s="69">
        <v>0</v>
      </c>
      <c r="Q618" s="68">
        <f>MAX(0,$V618-$P618-$S618)</f>
        <v>0</v>
      </c>
      <c r="R618" s="68"/>
      <c r="S618" s="68"/>
      <c r="T618" s="73">
        <v>0.54</v>
      </c>
      <c r="U618" s="73">
        <f>IF(AND($Q618&gt;0,ISNUMBER($T618)),$Q618*$T618,0)</f>
        <v>0</v>
      </c>
      <c r="V618" s="68">
        <f>SUM(W618:AB618)</f>
        <v>0</v>
      </c>
      <c r="W618" s="68"/>
      <c r="X618" s="68"/>
      <c r="Y618" s="68"/>
      <c r="Z618" s="68"/>
      <c r="AA618" s="68"/>
      <c r="AB618" s="68"/>
      <c r="AC618" s="68"/>
      <c r="AD618" s="75">
        <f>SUM(AE618:AJ618)</f>
        <v>0</v>
      </c>
      <c r="AE618" s="76"/>
      <c r="AF618" s="76"/>
      <c r="AG618" s="76"/>
      <c r="AH618" s="76"/>
      <c r="AI618" s="76"/>
      <c r="AJ618" s="76"/>
      <c r="AK618" s="76"/>
      <c r="AL618" s="77">
        <f>IF((P618-SUM(AE618:AK618))&lt;0,0,P618-SUM(AE618:AK618))</f>
        <v>0</v>
      </c>
      <c r="AM618" s="77">
        <f>SUM(AO618:AT618)</f>
        <v>0</v>
      </c>
      <c r="AN618" s="129"/>
      <c r="AO618" s="72"/>
      <c r="AP618" s="72"/>
      <c r="AQ618" s="72"/>
      <c r="AR618" s="72"/>
      <c r="AS618" s="72"/>
      <c r="AT618" s="72"/>
      <c r="AU618" s="72"/>
      <c r="AV618" s="70"/>
      <c r="AW618" s="72"/>
      <c r="AX618" s="72"/>
    </row>
    <row r="619" spans="1:50" ht="15" customHeight="1">
      <c r="A619" s="81" t="s">
        <v>1843</v>
      </c>
      <c r="B619" s="68" t="s">
        <v>1831</v>
      </c>
      <c r="C619" s="69" t="s">
        <v>45</v>
      </c>
      <c r="D619" s="70" t="s">
        <v>47</v>
      </c>
      <c r="E619" s="70"/>
      <c r="F619" s="68">
        <v>2</v>
      </c>
      <c r="G619" s="71" t="s">
        <v>317</v>
      </c>
      <c r="H619" s="71" t="s">
        <v>317</v>
      </c>
      <c r="I619" s="71" t="s">
        <v>1844</v>
      </c>
      <c r="J619" s="71"/>
      <c r="K619" s="72"/>
      <c r="L619" s="72"/>
      <c r="M619" s="72"/>
      <c r="N619" s="72"/>
      <c r="O619" s="71" t="s">
        <v>90</v>
      </c>
      <c r="P619" s="69">
        <v>0</v>
      </c>
      <c r="Q619" s="68">
        <f>MAX(0,$V619-$P619-$S619)</f>
        <v>1</v>
      </c>
      <c r="R619" s="68"/>
      <c r="S619" s="68"/>
      <c r="T619" s="73">
        <v>0.39</v>
      </c>
      <c r="U619" s="73">
        <f>IF(AND($Q619&gt;0,ISNUMBER($T619)),$Q619*$T619,0)</f>
        <v>0.39</v>
      </c>
      <c r="V619" s="68">
        <f>SUM(W619:AB619)</f>
        <v>1</v>
      </c>
      <c r="W619" s="68"/>
      <c r="X619" s="68"/>
      <c r="Y619" s="82">
        <v>1</v>
      </c>
      <c r="Z619" s="68"/>
      <c r="AA619" s="68"/>
      <c r="AB619" s="68"/>
      <c r="AC619" s="68"/>
      <c r="AD619" s="75">
        <f>SUM(AE619:AJ619)</f>
        <v>0</v>
      </c>
      <c r="AE619" s="76"/>
      <c r="AF619" s="76"/>
      <c r="AG619" s="76"/>
      <c r="AH619" s="76"/>
      <c r="AI619" s="76"/>
      <c r="AJ619" s="76"/>
      <c r="AK619" s="76"/>
      <c r="AL619" s="77">
        <f>IF((P619-SUM(AE619:AK619))&lt;0,0,P619-SUM(AE619:AK619))</f>
        <v>0</v>
      </c>
      <c r="AM619" s="77">
        <f>SUM(AO619:AT619)</f>
        <v>0</v>
      </c>
      <c r="AN619" s="88" t="s">
        <v>81</v>
      </c>
      <c r="AO619" s="72"/>
      <c r="AP619" s="72"/>
      <c r="AQ619" s="72"/>
      <c r="AR619" s="85"/>
      <c r="AS619" s="72"/>
      <c r="AT619" s="72"/>
      <c r="AU619" s="29" t="s">
        <v>1845</v>
      </c>
      <c r="AV619" s="70"/>
      <c r="AW619" s="72"/>
      <c r="AX619" s="84"/>
    </row>
    <row r="620" spans="1:50" ht="15" customHeight="1">
      <c r="A620" s="70" t="s">
        <v>107</v>
      </c>
      <c r="B620" s="68" t="s">
        <v>46</v>
      </c>
      <c r="C620" s="69" t="s">
        <v>45</v>
      </c>
      <c r="D620" s="70" t="s">
        <v>72</v>
      </c>
      <c r="E620" s="70"/>
      <c r="F620" s="68">
        <v>2</v>
      </c>
      <c r="G620" s="71" t="s">
        <v>98</v>
      </c>
      <c r="H620" s="71" t="s">
        <v>109</v>
      </c>
      <c r="I620" s="71"/>
      <c r="J620" s="71"/>
      <c r="K620" s="72"/>
      <c r="L620" s="72"/>
      <c r="M620" s="72"/>
      <c r="N620" s="72"/>
      <c r="O620" s="71" t="s">
        <v>108</v>
      </c>
      <c r="P620" s="69">
        <v>0</v>
      </c>
      <c r="Q620" s="68">
        <f>MAX(0,$V620-$P620-$S620)</f>
        <v>0</v>
      </c>
      <c r="R620" s="68"/>
      <c r="S620" s="68"/>
      <c r="T620" s="73">
        <v>0.24</v>
      </c>
      <c r="U620" s="73">
        <f>IF(AND($Q620&gt;0,ISNUMBER($T620)),$Q620*$T620,0)</f>
        <v>0</v>
      </c>
      <c r="V620" s="68">
        <f>SUM(W620:AB620)</f>
        <v>0</v>
      </c>
      <c r="W620" s="68"/>
      <c r="X620" s="68"/>
      <c r="Y620" s="68"/>
      <c r="Z620" s="68"/>
      <c r="AA620" s="68"/>
      <c r="AB620" s="68"/>
      <c r="AC620" s="68"/>
      <c r="AD620" s="75">
        <f>SUM(AE620:AJ620)</f>
        <v>0</v>
      </c>
      <c r="AE620" s="76"/>
      <c r="AF620" s="76"/>
      <c r="AG620" s="76"/>
      <c r="AH620" s="76"/>
      <c r="AI620" s="76"/>
      <c r="AJ620" s="76"/>
      <c r="AK620" s="76"/>
      <c r="AL620" s="77">
        <f>IF((P620-SUM(AE620:AK620))&lt;0,0,P620-SUM(AE620:AK620))</f>
        <v>0</v>
      </c>
      <c r="AM620" s="77">
        <f>SUM(AO620:AT620)</f>
        <v>0</v>
      </c>
      <c r="AN620" s="85"/>
      <c r="AO620" s="72"/>
      <c r="AP620" s="72"/>
      <c r="AQ620" s="129"/>
      <c r="AR620" s="72"/>
      <c r="AS620" s="85"/>
      <c r="AT620" s="72"/>
      <c r="AU620" s="85"/>
      <c r="AV620" s="70"/>
      <c r="AW620" s="72"/>
      <c r="AX620" s="72"/>
    </row>
    <row r="621" spans="1:50" ht="15" customHeight="1">
      <c r="A621" s="70" t="s">
        <v>427</v>
      </c>
      <c r="B621" s="68" t="s">
        <v>345</v>
      </c>
      <c r="C621" s="69" t="s">
        <v>45</v>
      </c>
      <c r="D621" s="70" t="s">
        <v>175</v>
      </c>
      <c r="E621" s="70"/>
      <c r="F621" s="68">
        <v>4</v>
      </c>
      <c r="G621" s="71" t="s">
        <v>285</v>
      </c>
      <c r="H621" s="71" t="s">
        <v>429</v>
      </c>
      <c r="I621" s="71" t="s">
        <v>430</v>
      </c>
      <c r="J621" s="71" t="s">
        <v>431</v>
      </c>
      <c r="K621" s="72"/>
      <c r="L621" s="72"/>
      <c r="M621" s="72"/>
      <c r="N621" s="72"/>
      <c r="O621" s="71" t="s">
        <v>428</v>
      </c>
      <c r="P621" s="69">
        <v>0</v>
      </c>
      <c r="Q621" s="68">
        <f>MAX(0,$V621-$P621-$S621)</f>
        <v>0</v>
      </c>
      <c r="R621" s="68"/>
      <c r="S621" s="68"/>
      <c r="T621" s="73">
        <v>0.36</v>
      </c>
      <c r="U621" s="73">
        <f>IF(AND($Q621&gt;0,ISNUMBER($T621)),$Q621*$T621,0)</f>
        <v>0</v>
      </c>
      <c r="V621" s="68">
        <f>SUM(W621:AB621)</f>
        <v>0</v>
      </c>
      <c r="W621" s="68"/>
      <c r="X621" s="68"/>
      <c r="Y621" s="68"/>
      <c r="Z621" s="68"/>
      <c r="AA621" s="68"/>
      <c r="AB621" s="68"/>
      <c r="AC621" s="68"/>
      <c r="AD621" s="75">
        <f>SUM(AE621:AJ621)</f>
        <v>0</v>
      </c>
      <c r="AE621" s="76"/>
      <c r="AF621" s="76"/>
      <c r="AG621" s="76"/>
      <c r="AH621" s="76"/>
      <c r="AI621" s="76"/>
      <c r="AJ621" s="76"/>
      <c r="AK621" s="76"/>
      <c r="AL621" s="77">
        <f>IF((P621-SUM(AE621:AK621))&lt;0,0,P621-SUM(AE621:AK621))</f>
        <v>0</v>
      </c>
      <c r="AM621" s="77">
        <f>SUM(AO621:AT621)</f>
        <v>0</v>
      </c>
      <c r="AN621" s="85"/>
      <c r="AO621" s="72"/>
      <c r="AP621" s="72"/>
      <c r="AQ621" s="85"/>
      <c r="AR621" s="72"/>
      <c r="AS621" s="72"/>
      <c r="AT621" s="72"/>
      <c r="AU621" s="85"/>
      <c r="AV621" s="70"/>
      <c r="AW621" s="72"/>
      <c r="AX621" s="72"/>
    </row>
    <row r="622" spans="1:50" ht="15" customHeight="1">
      <c r="A622" s="70" t="s">
        <v>1214</v>
      </c>
      <c r="B622" s="68" t="s">
        <v>1114</v>
      </c>
      <c r="C622" s="69" t="s">
        <v>45</v>
      </c>
      <c r="D622" s="70" t="s">
        <v>64</v>
      </c>
      <c r="E622" s="70" t="s">
        <v>333</v>
      </c>
      <c r="F622" s="68">
        <v>5</v>
      </c>
      <c r="G622" s="71" t="s">
        <v>530</v>
      </c>
      <c r="H622" s="71" t="s">
        <v>1215</v>
      </c>
      <c r="I622" s="71" t="s">
        <v>1216</v>
      </c>
      <c r="J622" s="71" t="s">
        <v>1217</v>
      </c>
      <c r="K622" s="72"/>
      <c r="L622" s="72"/>
      <c r="M622" s="72"/>
      <c r="N622" s="72"/>
      <c r="O622" s="71" t="s">
        <v>1063</v>
      </c>
      <c r="P622" s="69">
        <v>0</v>
      </c>
      <c r="Q622" s="68">
        <f>MAX(0,$V622-$P622-$S622)</f>
        <v>0</v>
      </c>
      <c r="R622" s="68"/>
      <c r="S622" s="68"/>
      <c r="T622" s="73">
        <v>1.08</v>
      </c>
      <c r="U622" s="73">
        <f>IF(AND($Q622&gt;0,ISNUMBER($T622)),$Q622*$T622,0)</f>
        <v>0</v>
      </c>
      <c r="V622" s="68">
        <f>SUM(W622:AB622)</f>
        <v>0</v>
      </c>
      <c r="W622" s="68"/>
      <c r="X622" s="68"/>
      <c r="Y622" s="68"/>
      <c r="Z622" s="68"/>
      <c r="AA622" s="68"/>
      <c r="AB622" s="68"/>
      <c r="AC622" s="68"/>
      <c r="AD622" s="75">
        <f>SUM(AE622:AJ622)</f>
        <v>0</v>
      </c>
      <c r="AE622" s="76"/>
      <c r="AF622" s="76"/>
      <c r="AG622" s="76"/>
      <c r="AH622" s="76"/>
      <c r="AI622" s="76"/>
      <c r="AJ622" s="76"/>
      <c r="AK622" s="76"/>
      <c r="AL622" s="77">
        <f>IF((P622-SUM(AE622:AK622))&lt;0,0,P622-SUM(AE622:AK622))</f>
        <v>0</v>
      </c>
      <c r="AM622" s="77">
        <f>SUM(AO622:AT622)</f>
        <v>0</v>
      </c>
      <c r="AN622" s="72"/>
      <c r="AO622" s="72"/>
      <c r="AP622" s="72"/>
      <c r="AQ622" s="72"/>
      <c r="AR622" s="72"/>
      <c r="AS622" s="72"/>
      <c r="AT622" s="72"/>
      <c r="AU622" s="72"/>
      <c r="AV622" s="70"/>
      <c r="AW622" s="72"/>
      <c r="AX622" s="72"/>
    </row>
    <row r="623" spans="1:50" ht="15" customHeight="1">
      <c r="A623" s="70" t="s">
        <v>2060</v>
      </c>
      <c r="B623" s="68" t="s">
        <v>1971</v>
      </c>
      <c r="C623" s="69" t="s">
        <v>45</v>
      </c>
      <c r="D623" s="70" t="s">
        <v>64</v>
      </c>
      <c r="E623" s="70" t="s">
        <v>1130</v>
      </c>
      <c r="F623" s="68">
        <v>1</v>
      </c>
      <c r="G623" s="71" t="s">
        <v>54</v>
      </c>
      <c r="H623" s="71" t="s">
        <v>2061</v>
      </c>
      <c r="I623" s="71"/>
      <c r="J623" s="71"/>
      <c r="K623" s="72"/>
      <c r="L623" s="72"/>
      <c r="M623" s="72"/>
      <c r="N623" s="72"/>
      <c r="O623" s="71" t="s">
        <v>869</v>
      </c>
      <c r="P623" s="69">
        <v>0</v>
      </c>
      <c r="Q623" s="68">
        <f>MAX(0,$V623-$P623-$S623)</f>
        <v>0</v>
      </c>
      <c r="R623" s="68"/>
      <c r="S623" s="68"/>
      <c r="T623" s="73">
        <v>0.09</v>
      </c>
      <c r="U623" s="73">
        <f>IF(AND($Q623&gt;0,ISNUMBER($T623)),$Q623*$T623,0)</f>
        <v>0</v>
      </c>
      <c r="V623" s="68">
        <f>SUM(W623:AB623)</f>
        <v>0</v>
      </c>
      <c r="W623" s="68"/>
      <c r="X623" s="68"/>
      <c r="Y623" s="68"/>
      <c r="Z623" s="68"/>
      <c r="AA623" s="68"/>
      <c r="AB623" s="68"/>
      <c r="AC623" s="68"/>
      <c r="AD623" s="75">
        <f>SUM(AE623:AJ623)</f>
        <v>0</v>
      </c>
      <c r="AE623" s="76"/>
      <c r="AF623" s="76"/>
      <c r="AG623" s="76"/>
      <c r="AH623" s="76"/>
      <c r="AI623" s="76"/>
      <c r="AJ623" s="76"/>
      <c r="AK623" s="76"/>
      <c r="AL623" s="77">
        <f>IF((P623-SUM(AE623:AK623))&lt;0,0,P623-SUM(AE623:AK623))</f>
        <v>0</v>
      </c>
      <c r="AM623" s="77">
        <f>SUM(AO623:AT623)</f>
        <v>0</v>
      </c>
      <c r="AN623" s="129"/>
      <c r="AO623" s="72"/>
      <c r="AP623" s="72"/>
      <c r="AQ623" s="72"/>
      <c r="AR623" s="72"/>
      <c r="AS623" s="72"/>
      <c r="AT623" s="72"/>
      <c r="AU623" s="72"/>
      <c r="AV623" s="70"/>
      <c r="AW623" s="72"/>
      <c r="AX623" s="72"/>
    </row>
    <row r="624" spans="1:50" ht="15" customHeight="1">
      <c r="A624" s="81" t="s">
        <v>1855</v>
      </c>
      <c r="B624" s="68" t="s">
        <v>1831</v>
      </c>
      <c r="C624" s="69" t="s">
        <v>45</v>
      </c>
      <c r="D624" s="70" t="s">
        <v>64</v>
      </c>
      <c r="E624" s="70" t="s">
        <v>1856</v>
      </c>
      <c r="F624" s="68">
        <v>2</v>
      </c>
      <c r="G624" s="71" t="s">
        <v>616</v>
      </c>
      <c r="H624" s="71" t="s">
        <v>1857</v>
      </c>
      <c r="I624" s="71"/>
      <c r="J624" s="71"/>
      <c r="K624" s="72"/>
      <c r="L624" s="72"/>
      <c r="M624" s="72"/>
      <c r="N624" s="72"/>
      <c r="O624" s="71" t="s">
        <v>541</v>
      </c>
      <c r="P624" s="69">
        <v>0</v>
      </c>
      <c r="Q624" s="68">
        <f>MAX(0,$V624-$P624-$S624)</f>
        <v>1</v>
      </c>
      <c r="R624" s="68"/>
      <c r="S624" s="68"/>
      <c r="T624" s="73">
        <v>0.17</v>
      </c>
      <c r="U624" s="73">
        <f>IF(AND($Q624&gt;0,ISNUMBER($T624)),$Q624*$T624,0)</f>
        <v>0.17</v>
      </c>
      <c r="V624" s="68">
        <f>SUM(W624:AB624)</f>
        <v>1</v>
      </c>
      <c r="W624" s="68"/>
      <c r="X624" s="82">
        <v>1</v>
      </c>
      <c r="Y624" s="68"/>
      <c r="Z624" s="68"/>
      <c r="AA624" s="68"/>
      <c r="AB624" s="68"/>
      <c r="AC624" s="68"/>
      <c r="AD624" s="75">
        <f>SUM(AE624:AJ624)</f>
        <v>0</v>
      </c>
      <c r="AE624" s="76"/>
      <c r="AF624" s="76"/>
      <c r="AG624" s="76"/>
      <c r="AH624" s="76"/>
      <c r="AI624" s="76"/>
      <c r="AJ624" s="76"/>
      <c r="AK624" s="76"/>
      <c r="AL624" s="77">
        <f>IF((P624-SUM(AE624:AK624))&lt;0,0,P624-SUM(AE624:AK624))</f>
        <v>0</v>
      </c>
      <c r="AM624" s="77">
        <f>SUM(AO624:AT624)</f>
        <v>0</v>
      </c>
      <c r="AN624" s="138" t="s">
        <v>81</v>
      </c>
      <c r="AO624" s="72"/>
      <c r="AP624" s="72"/>
      <c r="AQ624" s="72"/>
      <c r="AR624" s="72"/>
      <c r="AS624" s="72"/>
      <c r="AT624" s="72"/>
      <c r="AU624" s="28" t="s">
        <v>1858</v>
      </c>
      <c r="AV624" s="70"/>
      <c r="AW624" s="72"/>
      <c r="AX624" s="143"/>
    </row>
    <row r="625" spans="1:50" ht="15" customHeight="1">
      <c r="A625" s="81" t="s">
        <v>700</v>
      </c>
      <c r="B625" s="68" t="s">
        <v>636</v>
      </c>
      <c r="C625" s="69" t="s">
        <v>45</v>
      </c>
      <c r="D625" s="70" t="s">
        <v>64</v>
      </c>
      <c r="E625" s="70" t="s">
        <v>659</v>
      </c>
      <c r="F625" s="68">
        <v>3</v>
      </c>
      <c r="G625" s="71" t="s">
        <v>317</v>
      </c>
      <c r="H625" s="71" t="s">
        <v>701</v>
      </c>
      <c r="I625" s="71"/>
      <c r="J625" s="71"/>
      <c r="K625" s="72"/>
      <c r="L625" s="72"/>
      <c r="M625" s="72"/>
      <c r="N625" s="72"/>
      <c r="O625" s="71" t="s">
        <v>90</v>
      </c>
      <c r="P625" s="69">
        <v>0</v>
      </c>
      <c r="Q625" s="68">
        <f>MAX(0,$V625-$P625-$S625)</f>
        <v>0</v>
      </c>
      <c r="R625" s="68" t="s">
        <v>57</v>
      </c>
      <c r="S625" s="68">
        <v>1</v>
      </c>
      <c r="T625" s="73">
        <v>2.33</v>
      </c>
      <c r="U625" s="73">
        <f>IF(AND($Q625&gt;0,ISNUMBER($T625)),$Q625*$T625,0)</f>
        <v>0</v>
      </c>
      <c r="V625" s="68">
        <f>SUM(W625:AB625)</f>
        <v>1</v>
      </c>
      <c r="W625" s="68"/>
      <c r="X625" s="68"/>
      <c r="Y625" s="82">
        <v>1</v>
      </c>
      <c r="Z625" s="68"/>
      <c r="AA625" s="68"/>
      <c r="AB625" s="68"/>
      <c r="AC625" s="68"/>
      <c r="AD625" s="75">
        <f>SUM(AE625:AJ625)</f>
        <v>0</v>
      </c>
      <c r="AE625" s="76"/>
      <c r="AF625" s="76"/>
      <c r="AG625" s="76"/>
      <c r="AH625" s="76"/>
      <c r="AI625" s="76"/>
      <c r="AJ625" s="76"/>
      <c r="AK625" s="76"/>
      <c r="AL625" s="77">
        <f>IF((P625-SUM(AE625:AK625))&lt;0,0,P625-SUM(AE625:AK625))</f>
        <v>0</v>
      </c>
      <c r="AM625" s="77">
        <f>SUM(AO625:AT625)</f>
        <v>0</v>
      </c>
      <c r="AN625" s="138" t="s">
        <v>81</v>
      </c>
      <c r="AO625" s="72"/>
      <c r="AP625" s="72"/>
      <c r="AQ625" s="72"/>
      <c r="AR625" s="72"/>
      <c r="AS625" s="72"/>
      <c r="AT625" s="72"/>
      <c r="AU625" s="28" t="s">
        <v>702</v>
      </c>
      <c r="AV625" s="70"/>
      <c r="AW625" s="72"/>
      <c r="AX625" s="84"/>
    </row>
    <row r="626" spans="1:50" ht="15" customHeight="1">
      <c r="A626" s="81" t="s">
        <v>1251</v>
      </c>
      <c r="B626" s="68" t="s">
        <v>1114</v>
      </c>
      <c r="C626" s="69" t="s">
        <v>45</v>
      </c>
      <c r="D626" s="70" t="s">
        <v>123</v>
      </c>
      <c r="E626" s="70" t="s">
        <v>1252</v>
      </c>
      <c r="F626" s="68">
        <v>4</v>
      </c>
      <c r="G626" s="71" t="s">
        <v>317</v>
      </c>
      <c r="H626" s="71" t="s">
        <v>1253</v>
      </c>
      <c r="I626" s="71" t="s">
        <v>1254</v>
      </c>
      <c r="J626" s="71"/>
      <c r="K626" s="72"/>
      <c r="L626" s="72"/>
      <c r="M626" s="72"/>
      <c r="N626" s="72"/>
      <c r="O626" s="71" t="s">
        <v>180</v>
      </c>
      <c r="P626" s="69">
        <v>0</v>
      </c>
      <c r="Q626" s="68">
        <f>MAX(0,$V626-$P626-$S626)</f>
        <v>1</v>
      </c>
      <c r="R626" s="68"/>
      <c r="S626" s="68"/>
      <c r="T626" s="73">
        <v>0.79</v>
      </c>
      <c r="U626" s="73">
        <f>IF(AND($Q626&gt;0,ISNUMBER($T626)),$Q626*$T626,0)</f>
        <v>0.79</v>
      </c>
      <c r="V626" s="68">
        <f>SUM(W626:AB626)</f>
        <v>1</v>
      </c>
      <c r="W626" s="68"/>
      <c r="X626" s="68"/>
      <c r="Y626" s="82">
        <v>1</v>
      </c>
      <c r="Z626" s="68"/>
      <c r="AA626" s="68"/>
      <c r="AB626" s="68"/>
      <c r="AC626" s="68"/>
      <c r="AD626" s="75">
        <f>SUM(AE626:AJ626)</f>
        <v>0</v>
      </c>
      <c r="AE626" s="76"/>
      <c r="AF626" s="76"/>
      <c r="AG626" s="76"/>
      <c r="AH626" s="76"/>
      <c r="AI626" s="76"/>
      <c r="AJ626" s="76"/>
      <c r="AK626" s="76"/>
      <c r="AL626" s="77">
        <f>IF((P626-SUM(AE626:AK626))&lt;0,0,P626-SUM(AE626:AK626))</f>
        <v>0</v>
      </c>
      <c r="AM626" s="77">
        <f>SUM(AO626:AT626)</f>
        <v>0</v>
      </c>
      <c r="AN626" s="138" t="s">
        <v>81</v>
      </c>
      <c r="AO626" s="72"/>
      <c r="AP626" s="72"/>
      <c r="AQ626" s="72"/>
      <c r="AR626" s="72"/>
      <c r="AS626" s="129"/>
      <c r="AT626" s="72"/>
      <c r="AU626" s="142" t="s">
        <v>1255</v>
      </c>
      <c r="AV626" s="70"/>
      <c r="AW626" s="72"/>
      <c r="AX626" s="84"/>
    </row>
    <row r="627" spans="1:50" ht="15" customHeight="1">
      <c r="A627" s="70" t="s">
        <v>1265</v>
      </c>
      <c r="B627" s="68" t="s">
        <v>1114</v>
      </c>
      <c r="C627" s="69" t="s">
        <v>45</v>
      </c>
      <c r="D627" s="70" t="s">
        <v>123</v>
      </c>
      <c r="E627" s="70" t="s">
        <v>310</v>
      </c>
      <c r="F627" s="68">
        <v>4</v>
      </c>
      <c r="G627" s="71" t="s">
        <v>54</v>
      </c>
      <c r="H627" s="71" t="s">
        <v>197</v>
      </c>
      <c r="I627" s="71" t="s">
        <v>1266</v>
      </c>
      <c r="J627" s="71" t="s">
        <v>1267</v>
      </c>
      <c r="K627" s="72"/>
      <c r="L627" s="72"/>
      <c r="M627" s="72"/>
      <c r="N627" s="72"/>
      <c r="O627" s="71" t="s">
        <v>1083</v>
      </c>
      <c r="P627" s="69">
        <v>0</v>
      </c>
      <c r="Q627" s="68">
        <f>MAX(0,$V627-$P627-$S627)</f>
        <v>0</v>
      </c>
      <c r="R627" s="68"/>
      <c r="S627" s="68"/>
      <c r="T627" s="73">
        <v>1.97</v>
      </c>
      <c r="U627" s="73">
        <f>IF(AND($Q627&gt;0,ISNUMBER($T627)),$Q627*$T627,0)</f>
        <v>0</v>
      </c>
      <c r="V627" s="68">
        <f>SUM(W627:AB627)</f>
        <v>0</v>
      </c>
      <c r="W627" s="68"/>
      <c r="X627" s="68"/>
      <c r="Y627" s="68"/>
      <c r="Z627" s="68"/>
      <c r="AA627" s="68"/>
      <c r="AB627" s="68"/>
      <c r="AC627" s="68"/>
      <c r="AD627" s="75">
        <f>SUM(AE627:AJ627)</f>
        <v>0</v>
      </c>
      <c r="AE627" s="76"/>
      <c r="AF627" s="76"/>
      <c r="AG627" s="76"/>
      <c r="AH627" s="76"/>
      <c r="AI627" s="76"/>
      <c r="AJ627" s="76"/>
      <c r="AK627" s="76"/>
      <c r="AL627" s="77">
        <f>IF((P627-SUM(AE627:AK627))&lt;0,0,P627-SUM(AE627:AK627))</f>
        <v>0</v>
      </c>
      <c r="AM627" s="77">
        <f>SUM(AO627:AT627)</f>
        <v>0</v>
      </c>
      <c r="AN627" s="129"/>
      <c r="AO627" s="72"/>
      <c r="AP627" s="72"/>
      <c r="AQ627" s="72"/>
      <c r="AR627" s="72"/>
      <c r="AS627" s="72"/>
      <c r="AT627" s="72"/>
      <c r="AU627" s="72"/>
      <c r="AV627" s="70"/>
      <c r="AW627" s="72"/>
      <c r="AX627" s="72"/>
    </row>
    <row r="628" spans="1:50" ht="15" customHeight="1">
      <c r="A628" s="70" t="s">
        <v>1608</v>
      </c>
      <c r="B628" s="68" t="s">
        <v>1499</v>
      </c>
      <c r="C628" s="69" t="s">
        <v>45</v>
      </c>
      <c r="D628" s="70" t="s">
        <v>175</v>
      </c>
      <c r="E628" s="70"/>
      <c r="F628" s="68">
        <v>2</v>
      </c>
      <c r="G628" s="71" t="s">
        <v>350</v>
      </c>
      <c r="H628" s="71" t="s">
        <v>1609</v>
      </c>
      <c r="I628" s="71"/>
      <c r="J628" s="71"/>
      <c r="K628" s="72"/>
      <c r="L628" s="72"/>
      <c r="M628" s="72"/>
      <c r="N628" s="72"/>
      <c r="O628" s="71" t="s">
        <v>891</v>
      </c>
      <c r="P628" s="69">
        <v>0</v>
      </c>
      <c r="Q628" s="68">
        <f>MAX(0,$V628-$P628-$S628)</f>
        <v>0</v>
      </c>
      <c r="R628" s="68"/>
      <c r="S628" s="68"/>
      <c r="T628" s="73">
        <v>0.36</v>
      </c>
      <c r="U628" s="73">
        <f>IF(AND($Q628&gt;0,ISNUMBER($T628)),$Q628*$T628,0)</f>
        <v>0</v>
      </c>
      <c r="V628" s="68">
        <f>SUM(W628:AB628)</f>
        <v>0</v>
      </c>
      <c r="W628" s="68"/>
      <c r="X628" s="68"/>
      <c r="Y628" s="68"/>
      <c r="Z628" s="68"/>
      <c r="AA628" s="68"/>
      <c r="AB628" s="68"/>
      <c r="AC628" s="68"/>
      <c r="AD628" s="75">
        <f>SUM(AE628:AJ628)</f>
        <v>0</v>
      </c>
      <c r="AE628" s="76"/>
      <c r="AF628" s="76"/>
      <c r="AG628" s="76"/>
      <c r="AH628" s="76"/>
      <c r="AI628" s="76"/>
      <c r="AJ628" s="76"/>
      <c r="AK628" s="76"/>
      <c r="AL628" s="77">
        <f>IF((P628-SUM(AE628:AK628))&lt;0,0,P628-SUM(AE628:AK628))</f>
        <v>0</v>
      </c>
      <c r="AM628" s="77">
        <f>SUM(AO628:AT628)</f>
        <v>0</v>
      </c>
      <c r="AN628" s="72"/>
      <c r="AO628" s="72"/>
      <c r="AP628" s="72"/>
      <c r="AQ628" s="72"/>
      <c r="AR628" s="72"/>
      <c r="AS628" s="72"/>
      <c r="AT628" s="72"/>
      <c r="AU628" s="72"/>
      <c r="AV628" s="70"/>
      <c r="AW628" s="72"/>
      <c r="AX628" s="72"/>
    </row>
    <row r="629" spans="1:50" ht="15" customHeight="1">
      <c r="A629" s="81" t="s">
        <v>710</v>
      </c>
      <c r="B629" s="68" t="s">
        <v>636</v>
      </c>
      <c r="C629" s="69" t="s">
        <v>45</v>
      </c>
      <c r="D629" s="70" t="s">
        <v>64</v>
      </c>
      <c r="E629" s="70" t="s">
        <v>637</v>
      </c>
      <c r="F629" s="68">
        <v>4</v>
      </c>
      <c r="G629" s="71" t="s">
        <v>170</v>
      </c>
      <c r="H629" s="71" t="s">
        <v>712</v>
      </c>
      <c r="I629" s="71" t="s">
        <v>713</v>
      </c>
      <c r="J629" s="71"/>
      <c r="K629" s="72"/>
      <c r="L629" s="72"/>
      <c r="M629" s="72"/>
      <c r="N629" s="72"/>
      <c r="O629" s="71" t="s">
        <v>711</v>
      </c>
      <c r="P629" s="69">
        <v>0</v>
      </c>
      <c r="Q629" s="68">
        <f>MAX(0,$V629-$P629-$S629)</f>
        <v>0</v>
      </c>
      <c r="R629" s="68" t="s">
        <v>57</v>
      </c>
      <c r="S629" s="68">
        <v>1</v>
      </c>
      <c r="T629" s="73">
        <v>0.33</v>
      </c>
      <c r="U629" s="73">
        <f>IF(AND($Q629&gt;0,ISNUMBER($T629)),$Q629*$T629,0)</f>
        <v>0</v>
      </c>
      <c r="V629" s="68">
        <f>SUM(W629:AB629)</f>
        <v>1</v>
      </c>
      <c r="W629" s="68"/>
      <c r="X629" s="68"/>
      <c r="Y629" s="82">
        <v>1</v>
      </c>
      <c r="Z629" s="68"/>
      <c r="AA629" s="68"/>
      <c r="AB629" s="68"/>
      <c r="AC629" s="68"/>
      <c r="AD629" s="75">
        <f>SUM(AE629:AJ629)</f>
        <v>0</v>
      </c>
      <c r="AE629" s="76"/>
      <c r="AF629" s="76"/>
      <c r="AG629" s="76"/>
      <c r="AH629" s="76"/>
      <c r="AI629" s="76"/>
      <c r="AJ629" s="76"/>
      <c r="AK629" s="76"/>
      <c r="AL629" s="77">
        <f>IF((P629-SUM(AE629:AK629))&lt;0,0,P629-SUM(AE629:AK629))</f>
        <v>0</v>
      </c>
      <c r="AM629" s="77">
        <f>SUM(AO629:AT629)</f>
        <v>0</v>
      </c>
      <c r="AN629" s="83" t="s">
        <v>81</v>
      </c>
      <c r="AO629" s="72"/>
      <c r="AP629" s="72"/>
      <c r="AQ629" s="72"/>
      <c r="AR629" s="72"/>
      <c r="AS629" s="72"/>
      <c r="AT629" s="72"/>
      <c r="AU629" s="28" t="s">
        <v>714</v>
      </c>
      <c r="AV629" s="70"/>
      <c r="AW629" s="72"/>
      <c r="AX629" s="84"/>
    </row>
    <row r="630" spans="1:50" ht="15" customHeight="1">
      <c r="A630" s="70" t="s">
        <v>2103</v>
      </c>
      <c r="B630" s="68" t="s">
        <v>1971</v>
      </c>
      <c r="C630" s="69" t="s">
        <v>45</v>
      </c>
      <c r="D630" s="70" t="s">
        <v>47</v>
      </c>
      <c r="E630" s="70"/>
      <c r="F630" s="68">
        <v>2</v>
      </c>
      <c r="G630" s="71" t="s">
        <v>54</v>
      </c>
      <c r="H630" s="71" t="s">
        <v>2104</v>
      </c>
      <c r="I630" s="71"/>
      <c r="J630" s="71"/>
      <c r="K630" s="72"/>
      <c r="L630" s="72"/>
      <c r="M630" s="72"/>
      <c r="N630" s="72"/>
      <c r="O630" s="71" t="s">
        <v>1107</v>
      </c>
      <c r="P630" s="69">
        <v>0</v>
      </c>
      <c r="Q630" s="68">
        <f>MAX(0,$V630-$P630-$S630)</f>
        <v>0</v>
      </c>
      <c r="R630" s="68"/>
      <c r="S630" s="68"/>
      <c r="T630" s="73">
        <v>0.13</v>
      </c>
      <c r="U630" s="73">
        <f>IF(AND($Q630&gt;0,ISNUMBER($T630)),$Q630*$T630,0)</f>
        <v>0</v>
      </c>
      <c r="V630" s="68">
        <f>SUM(W630:AB630)</f>
        <v>0</v>
      </c>
      <c r="W630" s="68"/>
      <c r="X630" s="68"/>
      <c r="Y630" s="68"/>
      <c r="Z630" s="68"/>
      <c r="AA630" s="68"/>
      <c r="AB630" s="68"/>
      <c r="AC630" s="68"/>
      <c r="AD630" s="75">
        <f>SUM(AE630:AJ630)</f>
        <v>0</v>
      </c>
      <c r="AE630" s="76"/>
      <c r="AF630" s="76"/>
      <c r="AG630" s="76"/>
      <c r="AH630" s="76"/>
      <c r="AI630" s="76"/>
      <c r="AJ630" s="76"/>
      <c r="AK630" s="76"/>
      <c r="AL630" s="77">
        <f>IF((P630-SUM(AE630:AK630))&lt;0,0,P630-SUM(AE630:AK630))</f>
        <v>0</v>
      </c>
      <c r="AM630" s="77">
        <f>SUM(AO630:AT630)</f>
        <v>0</v>
      </c>
      <c r="AN630" s="85"/>
      <c r="AO630" s="72"/>
      <c r="AP630" s="72"/>
      <c r="AQ630" s="72"/>
      <c r="AR630" s="72"/>
      <c r="AS630" s="85"/>
      <c r="AT630" s="72"/>
      <c r="AU630" s="85"/>
      <c r="AV630" s="70"/>
      <c r="AW630" s="72"/>
      <c r="AX630" s="72"/>
    </row>
    <row r="631" spans="1:50" ht="15" customHeight="1">
      <c r="A631" s="70" t="s">
        <v>1630</v>
      </c>
      <c r="B631" s="68" t="s">
        <v>1499</v>
      </c>
      <c r="C631" s="69" t="s">
        <v>45</v>
      </c>
      <c r="D631" s="70" t="s">
        <v>64</v>
      </c>
      <c r="E631" s="70" t="s">
        <v>1531</v>
      </c>
      <c r="F631" s="68">
        <v>1</v>
      </c>
      <c r="G631" s="71" t="s">
        <v>422</v>
      </c>
      <c r="H631" s="71" t="s">
        <v>1631</v>
      </c>
      <c r="I631" s="71"/>
      <c r="J631" s="71"/>
      <c r="K631" s="72"/>
      <c r="L631" s="72"/>
      <c r="M631" s="72"/>
      <c r="N631" s="72"/>
      <c r="O631" s="71" t="s">
        <v>1137</v>
      </c>
      <c r="P631" s="69">
        <v>0</v>
      </c>
      <c r="Q631" s="68">
        <f>MAX(0,$V631-$P631-$S631)</f>
        <v>0</v>
      </c>
      <c r="R631" s="68"/>
      <c r="S631" s="68"/>
      <c r="T631" s="73">
        <v>0.26</v>
      </c>
      <c r="U631" s="73">
        <f>IF(AND($Q631&gt;0,ISNUMBER($T631)),$Q631*$T631,0)</f>
        <v>0</v>
      </c>
      <c r="V631" s="68">
        <f>SUM(W631:AB631)</f>
        <v>0</v>
      </c>
      <c r="W631" s="68"/>
      <c r="X631" s="68"/>
      <c r="Y631" s="68"/>
      <c r="Z631" s="68"/>
      <c r="AA631" s="68"/>
      <c r="AB631" s="68"/>
      <c r="AC631" s="68"/>
      <c r="AD631" s="75">
        <f>SUM(AE631:AJ631)</f>
        <v>0</v>
      </c>
      <c r="AE631" s="76"/>
      <c r="AF631" s="76"/>
      <c r="AG631" s="76"/>
      <c r="AH631" s="76"/>
      <c r="AI631" s="76"/>
      <c r="AJ631" s="76"/>
      <c r="AK631" s="76"/>
      <c r="AL631" s="77">
        <f>IF((P631-SUM(AE631:AK631))&lt;0,0,P631-SUM(AE631:AK631))</f>
        <v>0</v>
      </c>
      <c r="AM631" s="77">
        <f>SUM(AO631:AT631)</f>
        <v>0</v>
      </c>
      <c r="AN631" s="85"/>
      <c r="AO631" s="72"/>
      <c r="AP631" s="72"/>
      <c r="AQ631" s="72"/>
      <c r="AR631" s="129"/>
      <c r="AS631" s="72"/>
      <c r="AT631" s="72"/>
      <c r="AU631" s="129"/>
      <c r="AV631" s="70"/>
      <c r="AW631" s="72"/>
      <c r="AX631" s="72"/>
    </row>
    <row r="632" spans="1:50" ht="15" customHeight="1">
      <c r="A632" s="70" t="s">
        <v>1632</v>
      </c>
      <c r="B632" s="68" t="s">
        <v>1499</v>
      </c>
      <c r="C632" s="69" t="s">
        <v>45</v>
      </c>
      <c r="D632" s="70" t="s">
        <v>58</v>
      </c>
      <c r="E632" s="70"/>
      <c r="F632" s="68">
        <v>2</v>
      </c>
      <c r="G632" s="71" t="s">
        <v>530</v>
      </c>
      <c r="H632" s="71" t="s">
        <v>1633</v>
      </c>
      <c r="I632" s="71"/>
      <c r="J632" s="71"/>
      <c r="K632" s="72"/>
      <c r="L632" s="72"/>
      <c r="M632" s="72"/>
      <c r="N632" s="72"/>
      <c r="O632" s="71" t="s">
        <v>97</v>
      </c>
      <c r="P632" s="69">
        <v>0</v>
      </c>
      <c r="Q632" s="68">
        <f>MAX(0,$V632-$P632-$S632)</f>
        <v>0</v>
      </c>
      <c r="R632" s="68"/>
      <c r="S632" s="68"/>
      <c r="T632" s="73">
        <v>0.53</v>
      </c>
      <c r="U632" s="73">
        <f>IF(AND($Q632&gt;0,ISNUMBER($T632)),$Q632*$T632,0)</f>
        <v>0</v>
      </c>
      <c r="V632" s="68">
        <f>SUM(W632:AB632)</f>
        <v>0</v>
      </c>
      <c r="W632" s="68"/>
      <c r="X632" s="68"/>
      <c r="Y632" s="68"/>
      <c r="Z632" s="68"/>
      <c r="AA632" s="68"/>
      <c r="AB632" s="68"/>
      <c r="AC632" s="68"/>
      <c r="AD632" s="75">
        <f>SUM(AE632:AJ632)</f>
        <v>0</v>
      </c>
      <c r="AE632" s="76"/>
      <c r="AF632" s="76"/>
      <c r="AG632" s="76"/>
      <c r="AH632" s="76"/>
      <c r="AI632" s="76"/>
      <c r="AJ632" s="76"/>
      <c r="AK632" s="76"/>
      <c r="AL632" s="77">
        <f>IF((P632-SUM(AE632:AK632))&lt;0,0,P632-SUM(AE632:AK632))</f>
        <v>0</v>
      </c>
      <c r="AM632" s="77">
        <f>SUM(AO632:AT632)</f>
        <v>0</v>
      </c>
      <c r="AN632" s="72"/>
      <c r="AO632" s="72"/>
      <c r="AP632" s="72"/>
      <c r="AQ632" s="72"/>
      <c r="AR632" s="72"/>
      <c r="AS632" s="72"/>
      <c r="AT632" s="72"/>
      <c r="AU632" s="72"/>
      <c r="AV632" s="70"/>
      <c r="AW632" s="72"/>
      <c r="AX632" s="72"/>
    </row>
    <row r="633" spans="1:50" ht="15" customHeight="1">
      <c r="A633" s="70" t="s">
        <v>1655</v>
      </c>
      <c r="B633" s="68" t="s">
        <v>1499</v>
      </c>
      <c r="C633" s="69" t="s">
        <v>45</v>
      </c>
      <c r="D633" s="70" t="s">
        <v>1656</v>
      </c>
      <c r="E633" s="70"/>
      <c r="F633" s="68">
        <v>0</v>
      </c>
      <c r="G633" s="71" t="s">
        <v>627</v>
      </c>
      <c r="H633" s="71" t="s">
        <v>952</v>
      </c>
      <c r="I633" s="71"/>
      <c r="J633" s="71"/>
      <c r="K633" s="72"/>
      <c r="L633" s="72"/>
      <c r="M633" s="72"/>
      <c r="N633" s="72"/>
      <c r="O633" s="71" t="s">
        <v>324</v>
      </c>
      <c r="P633" s="69">
        <v>0</v>
      </c>
      <c r="Q633" s="68">
        <f>MAX(0,$V633-$P633-$S633)</f>
        <v>0</v>
      </c>
      <c r="R633" s="68"/>
      <c r="S633" s="68"/>
      <c r="T633" s="73">
        <v>2.4300000000000002</v>
      </c>
      <c r="U633" s="73">
        <f>IF(AND($Q633&gt;0,ISNUMBER($T633)),$Q633*$T633,0)</f>
        <v>0</v>
      </c>
      <c r="V633" s="68">
        <f>SUM(W633:AB633)</f>
        <v>0</v>
      </c>
      <c r="W633" s="68"/>
      <c r="X633" s="68"/>
      <c r="Y633" s="68"/>
      <c r="Z633" s="68"/>
      <c r="AA633" s="68"/>
      <c r="AB633" s="68"/>
      <c r="AC633" s="68"/>
      <c r="AD633" s="75">
        <f>SUM(AE633:AJ633)</f>
        <v>0</v>
      </c>
      <c r="AE633" s="76"/>
      <c r="AF633" s="76"/>
      <c r="AG633" s="76"/>
      <c r="AH633" s="76"/>
      <c r="AI633" s="76"/>
      <c r="AJ633" s="76"/>
      <c r="AK633" s="76"/>
      <c r="AL633" s="77">
        <f>IF((P633-SUM(AE633:AK633))&lt;0,0,P633-SUM(AE633:AK633))</f>
        <v>0</v>
      </c>
      <c r="AM633" s="77">
        <f>SUM(AO633:AT633)</f>
        <v>0</v>
      </c>
      <c r="AN633" s="72"/>
      <c r="AO633" s="72"/>
      <c r="AP633" s="72"/>
      <c r="AQ633" s="72"/>
      <c r="AR633" s="72"/>
      <c r="AS633" s="72"/>
      <c r="AT633" s="72"/>
      <c r="AU633" s="72"/>
      <c r="AV633" s="70"/>
      <c r="AW633" s="72"/>
      <c r="AX633" s="72"/>
    </row>
    <row r="634" spans="1:50" ht="15" customHeight="1">
      <c r="A634" s="70" t="s">
        <v>745</v>
      </c>
      <c r="B634" s="68" t="s">
        <v>636</v>
      </c>
      <c r="C634" s="69" t="s">
        <v>45</v>
      </c>
      <c r="D634" s="70" t="s">
        <v>64</v>
      </c>
      <c r="E634" s="70" t="s">
        <v>164</v>
      </c>
      <c r="F634" s="68">
        <v>3</v>
      </c>
      <c r="G634" s="71" t="s">
        <v>54</v>
      </c>
      <c r="H634" s="71" t="s">
        <v>325</v>
      </c>
      <c r="I634" s="71" t="s">
        <v>746</v>
      </c>
      <c r="J634" s="71"/>
      <c r="K634" s="72"/>
      <c r="L634" s="72"/>
      <c r="M634" s="72"/>
      <c r="N634" s="72"/>
      <c r="O634" s="71" t="s">
        <v>329</v>
      </c>
      <c r="P634" s="69">
        <v>0</v>
      </c>
      <c r="Q634" s="68">
        <f>MAX(0,$V634-$P634-$S634)</f>
        <v>0</v>
      </c>
      <c r="R634" s="68"/>
      <c r="S634" s="68"/>
      <c r="T634" s="73">
        <v>0.35</v>
      </c>
      <c r="U634" s="73">
        <f>IF(AND($Q634&gt;0,ISNUMBER($T634)),$Q634*$T634,0)</f>
        <v>0</v>
      </c>
      <c r="V634" s="68">
        <f>SUM(W634:AB634)</f>
        <v>0</v>
      </c>
      <c r="W634" s="68"/>
      <c r="X634" s="68"/>
      <c r="Y634" s="68"/>
      <c r="Z634" s="68"/>
      <c r="AA634" s="68"/>
      <c r="AB634" s="68"/>
      <c r="AC634" s="68"/>
      <c r="AD634" s="75">
        <f>SUM(AE634:AJ634)</f>
        <v>0</v>
      </c>
      <c r="AE634" s="76"/>
      <c r="AF634" s="76"/>
      <c r="AG634" s="76"/>
      <c r="AH634" s="76"/>
      <c r="AI634" s="76"/>
      <c r="AJ634" s="76"/>
      <c r="AK634" s="76"/>
      <c r="AL634" s="77">
        <f>IF((P634-SUM(AE634:AK634))&lt;0,0,P634-SUM(AE634:AK634))</f>
        <v>0</v>
      </c>
      <c r="AM634" s="77">
        <f>SUM(AO634:AT634)</f>
        <v>0</v>
      </c>
      <c r="AN634" s="129"/>
      <c r="AO634" s="72"/>
      <c r="AP634" s="72"/>
      <c r="AQ634" s="72"/>
      <c r="AR634" s="72"/>
      <c r="AS634" s="72"/>
      <c r="AT634" s="72"/>
      <c r="AU634" s="72"/>
      <c r="AV634" s="70"/>
      <c r="AW634" s="72"/>
      <c r="AX634" s="72"/>
    </row>
    <row r="635" spans="1:50" ht="15" customHeight="1">
      <c r="A635" s="70" t="s">
        <v>2118</v>
      </c>
      <c r="B635" s="68" t="s">
        <v>1971</v>
      </c>
      <c r="C635" s="69" t="s">
        <v>45</v>
      </c>
      <c r="D635" s="70" t="s">
        <v>64</v>
      </c>
      <c r="E635" s="70" t="s">
        <v>808</v>
      </c>
      <c r="F635" s="68">
        <v>1</v>
      </c>
      <c r="G635" s="71" t="s">
        <v>54</v>
      </c>
      <c r="H635" s="71" t="s">
        <v>2119</v>
      </c>
      <c r="I635" s="71"/>
      <c r="J635" s="71"/>
      <c r="K635" s="72"/>
      <c r="L635" s="72"/>
      <c r="M635" s="72"/>
      <c r="N635" s="72"/>
      <c r="O635" s="71" t="s">
        <v>256</v>
      </c>
      <c r="P635" s="69">
        <v>0</v>
      </c>
      <c r="Q635" s="68">
        <f>MAX(0,$V635-$P635-$S635)</f>
        <v>0</v>
      </c>
      <c r="R635" s="68"/>
      <c r="S635" s="68"/>
      <c r="T635" s="73">
        <v>0.28999999999999998</v>
      </c>
      <c r="U635" s="73">
        <f>IF(AND($Q635&gt;0,ISNUMBER($T635)),$Q635*$T635,0)</f>
        <v>0</v>
      </c>
      <c r="V635" s="68">
        <f>SUM(W635:AB635)</f>
        <v>0</v>
      </c>
      <c r="W635" s="68"/>
      <c r="X635" s="68"/>
      <c r="Y635" s="68"/>
      <c r="Z635" s="68"/>
      <c r="AA635" s="68"/>
      <c r="AB635" s="68"/>
      <c r="AC635" s="68"/>
      <c r="AD635" s="75">
        <f>SUM(AE635:AJ635)</f>
        <v>0</v>
      </c>
      <c r="AE635" s="76"/>
      <c r="AF635" s="76"/>
      <c r="AG635" s="76"/>
      <c r="AH635" s="76"/>
      <c r="AI635" s="76"/>
      <c r="AJ635" s="76"/>
      <c r="AK635" s="76"/>
      <c r="AL635" s="77">
        <f>IF((P635-SUM(AE635:AK635))&lt;0,0,P635-SUM(AE635:AK635))</f>
        <v>0</v>
      </c>
      <c r="AM635" s="77">
        <f>SUM(AO635:AT635)</f>
        <v>0</v>
      </c>
      <c r="AN635" s="72"/>
      <c r="AO635" s="72"/>
      <c r="AP635" s="72"/>
      <c r="AQ635" s="72"/>
      <c r="AR635" s="72"/>
      <c r="AS635" s="72"/>
      <c r="AT635" s="72"/>
      <c r="AU635" s="72"/>
      <c r="AV635" s="70"/>
      <c r="AW635" s="72"/>
      <c r="AX635" s="72"/>
    </row>
    <row r="636" spans="1:50" ht="15" customHeight="1">
      <c r="A636" s="81" t="s">
        <v>179</v>
      </c>
      <c r="B636" s="68" t="s">
        <v>46</v>
      </c>
      <c r="C636" s="69" t="s">
        <v>45</v>
      </c>
      <c r="D636" s="70" t="s">
        <v>47</v>
      </c>
      <c r="E636" s="70"/>
      <c r="F636" s="68">
        <v>3</v>
      </c>
      <c r="G636" s="71" t="s">
        <v>176</v>
      </c>
      <c r="H636" s="71" t="s">
        <v>181</v>
      </c>
      <c r="I636" s="71"/>
      <c r="J636" s="71"/>
      <c r="K636" s="72"/>
      <c r="L636" s="72"/>
      <c r="M636" s="72"/>
      <c r="N636" s="72"/>
      <c r="O636" s="71" t="s">
        <v>180</v>
      </c>
      <c r="P636" s="69">
        <v>0</v>
      </c>
      <c r="Q636" s="68">
        <f>MAX(0,$V636-$P636-$S636)</f>
        <v>1</v>
      </c>
      <c r="R636" s="68"/>
      <c r="S636" s="68"/>
      <c r="T636" s="73">
        <v>0.52</v>
      </c>
      <c r="U636" s="73">
        <f>IF(AND($Q636&gt;0,ISNUMBER($T636)),$Q636*$T636,0)</f>
        <v>0.52</v>
      </c>
      <c r="V636" s="68">
        <f>SUM(W636:AB636)</f>
        <v>1</v>
      </c>
      <c r="W636" s="68"/>
      <c r="X636" s="68"/>
      <c r="Y636" s="82">
        <v>1</v>
      </c>
      <c r="Z636" s="68"/>
      <c r="AA636" s="68"/>
      <c r="AB636" s="68"/>
      <c r="AC636" s="68"/>
      <c r="AD636" s="75">
        <f>SUM(AE636:AJ636)</f>
        <v>0</v>
      </c>
      <c r="AE636" s="76"/>
      <c r="AF636" s="76"/>
      <c r="AG636" s="76"/>
      <c r="AH636" s="76"/>
      <c r="AI636" s="76"/>
      <c r="AJ636" s="76"/>
      <c r="AK636" s="76"/>
      <c r="AL636" s="77">
        <f>IF((P636-SUM(AE636:AK636))&lt;0,0,P636-SUM(AE636:AK636))</f>
        <v>0</v>
      </c>
      <c r="AM636" s="77">
        <f>SUM(AO636:AT636)</f>
        <v>0</v>
      </c>
      <c r="AN636" s="88" t="s">
        <v>81</v>
      </c>
      <c r="AO636" s="72"/>
      <c r="AP636" s="72"/>
      <c r="AQ636" s="72"/>
      <c r="AR636" s="72"/>
      <c r="AS636" s="85"/>
      <c r="AT636" s="72"/>
      <c r="AU636" s="29" t="s">
        <v>182</v>
      </c>
      <c r="AV636" s="70"/>
      <c r="AW636" s="72"/>
      <c r="AX636" s="84"/>
    </row>
    <row r="637" spans="1:50" ht="15" customHeight="1">
      <c r="A637" s="70" t="s">
        <v>2124</v>
      </c>
      <c r="B637" s="68" t="s">
        <v>1971</v>
      </c>
      <c r="C637" s="69" t="s">
        <v>45</v>
      </c>
      <c r="D637" s="70" t="s">
        <v>64</v>
      </c>
      <c r="E637" s="70" t="s">
        <v>2125</v>
      </c>
      <c r="F637" s="68">
        <v>3</v>
      </c>
      <c r="G637" s="71" t="s">
        <v>176</v>
      </c>
      <c r="H637" s="71" t="s">
        <v>2126</v>
      </c>
      <c r="I637" s="71" t="s">
        <v>166</v>
      </c>
      <c r="J637" s="71"/>
      <c r="K637" s="72"/>
      <c r="L637" s="72"/>
      <c r="M637" s="72"/>
      <c r="N637" s="72"/>
      <c r="O637" s="71" t="s">
        <v>611</v>
      </c>
      <c r="P637" s="69">
        <v>0</v>
      </c>
      <c r="Q637" s="68">
        <f>MAX(0,$V637-$P637-$S637)</f>
        <v>0</v>
      </c>
      <c r="R637" s="68"/>
      <c r="S637" s="68"/>
      <c r="T637" s="73">
        <v>0.28000000000000003</v>
      </c>
      <c r="U637" s="73">
        <f>IF(AND($Q637&gt;0,ISNUMBER($T637)),$Q637*$T637,0)</f>
        <v>0</v>
      </c>
      <c r="V637" s="68">
        <f>SUM(W637:AB637)</f>
        <v>0</v>
      </c>
      <c r="W637" s="68"/>
      <c r="X637" s="68"/>
      <c r="Y637" s="68"/>
      <c r="Z637" s="68"/>
      <c r="AA637" s="68"/>
      <c r="AB637" s="68"/>
      <c r="AC637" s="68"/>
      <c r="AD637" s="75">
        <f>SUM(AE637:AJ637)</f>
        <v>0</v>
      </c>
      <c r="AE637" s="76"/>
      <c r="AF637" s="76"/>
      <c r="AG637" s="76"/>
      <c r="AH637" s="76"/>
      <c r="AI637" s="76"/>
      <c r="AJ637" s="76"/>
      <c r="AK637" s="76"/>
      <c r="AL637" s="77">
        <f>IF((P637-SUM(AE637:AK637))&lt;0,0,P637-SUM(AE637:AK637))</f>
        <v>0</v>
      </c>
      <c r="AM637" s="77">
        <f>SUM(AO637:AT637)</f>
        <v>0</v>
      </c>
      <c r="AN637" s="72"/>
      <c r="AO637" s="72"/>
      <c r="AP637" s="72"/>
      <c r="AQ637" s="72"/>
      <c r="AR637" s="72"/>
      <c r="AS637" s="72"/>
      <c r="AT637" s="72"/>
      <c r="AU637" s="72"/>
      <c r="AV637" s="70"/>
      <c r="AW637" s="72"/>
      <c r="AX637" s="72"/>
    </row>
    <row r="638" spans="1:50" ht="15" customHeight="1">
      <c r="A638" s="70" t="s">
        <v>2135</v>
      </c>
      <c r="B638" s="68" t="s">
        <v>1971</v>
      </c>
      <c r="C638" s="69" t="s">
        <v>45</v>
      </c>
      <c r="D638" s="70" t="s">
        <v>64</v>
      </c>
      <c r="E638" s="70" t="s">
        <v>684</v>
      </c>
      <c r="F638" s="68">
        <v>4</v>
      </c>
      <c r="G638" s="71" t="s">
        <v>125</v>
      </c>
      <c r="H638" s="71" t="s">
        <v>801</v>
      </c>
      <c r="I638" s="71"/>
      <c r="J638" s="71"/>
      <c r="K638" s="72"/>
      <c r="L638" s="72"/>
      <c r="M638" s="72"/>
      <c r="N638" s="72"/>
      <c r="O638" s="71" t="s">
        <v>761</v>
      </c>
      <c r="P638" s="69">
        <v>0</v>
      </c>
      <c r="Q638" s="68">
        <f>MAX(0,$V638-$P638-$S638)</f>
        <v>0</v>
      </c>
      <c r="R638" s="68"/>
      <c r="S638" s="68"/>
      <c r="T638" s="73">
        <v>0.1</v>
      </c>
      <c r="U638" s="73">
        <f>IF(AND($Q638&gt;0,ISNUMBER($T638)),$Q638*$T638,0)</f>
        <v>0</v>
      </c>
      <c r="V638" s="68">
        <f>SUM(W638:AB638)</f>
        <v>0</v>
      </c>
      <c r="W638" s="68"/>
      <c r="X638" s="68"/>
      <c r="Y638" s="68"/>
      <c r="Z638" s="68"/>
      <c r="AA638" s="68"/>
      <c r="AB638" s="68"/>
      <c r="AC638" s="68"/>
      <c r="AD638" s="75">
        <f>SUM(AE638:AJ638)</f>
        <v>0</v>
      </c>
      <c r="AE638" s="76"/>
      <c r="AF638" s="76"/>
      <c r="AG638" s="76"/>
      <c r="AH638" s="76"/>
      <c r="AI638" s="76"/>
      <c r="AJ638" s="76"/>
      <c r="AK638" s="76"/>
      <c r="AL638" s="77">
        <f>IF((P638-SUM(AE638:AK638))&lt;0,0,P638-SUM(AE638:AK638))</f>
        <v>0</v>
      </c>
      <c r="AM638" s="77">
        <f>SUM(AO638:AT638)</f>
        <v>0</v>
      </c>
      <c r="AN638" s="129"/>
      <c r="AO638" s="72"/>
      <c r="AP638" s="72"/>
      <c r="AQ638" s="72"/>
      <c r="AR638" s="72"/>
      <c r="AS638" s="72"/>
      <c r="AT638" s="72"/>
      <c r="AU638" s="72"/>
      <c r="AV638" s="70"/>
      <c r="AW638" s="72"/>
      <c r="AX638" s="72"/>
    </row>
    <row r="639" spans="1:50" ht="15" customHeight="1">
      <c r="A639" s="81" t="s">
        <v>1312</v>
      </c>
      <c r="B639" s="68" t="s">
        <v>1114</v>
      </c>
      <c r="C639" s="69" t="s">
        <v>45</v>
      </c>
      <c r="D639" s="70" t="s">
        <v>64</v>
      </c>
      <c r="E639" s="70" t="s">
        <v>1313</v>
      </c>
      <c r="F639" s="68">
        <v>2</v>
      </c>
      <c r="G639" s="71" t="s">
        <v>392</v>
      </c>
      <c r="H639" s="71" t="s">
        <v>1314</v>
      </c>
      <c r="I639" s="71"/>
      <c r="J639" s="71"/>
      <c r="K639" s="72"/>
      <c r="L639" s="72"/>
      <c r="M639" s="72"/>
      <c r="N639" s="72"/>
      <c r="O639" s="71" t="s">
        <v>374</v>
      </c>
      <c r="P639" s="69">
        <v>0</v>
      </c>
      <c r="Q639" s="68">
        <f>MAX(0,$V639-$P639-$S639)</f>
        <v>1</v>
      </c>
      <c r="R639" s="68"/>
      <c r="S639" s="68"/>
      <c r="T639" s="73">
        <v>0.34</v>
      </c>
      <c r="U639" s="73">
        <f>IF(AND($Q639&gt;0,ISNUMBER($T639)),$Q639*$T639,0)</f>
        <v>0.34</v>
      </c>
      <c r="V639" s="68">
        <f>SUM(W639:AB639)</f>
        <v>1</v>
      </c>
      <c r="W639" s="68"/>
      <c r="X639" s="82">
        <v>1</v>
      </c>
      <c r="Y639" s="68"/>
      <c r="Z639" s="68"/>
      <c r="AA639" s="68"/>
      <c r="AB639" s="68"/>
      <c r="AC639" s="68"/>
      <c r="AD639" s="75">
        <f>SUM(AE639:AJ639)</f>
        <v>0</v>
      </c>
      <c r="AE639" s="76"/>
      <c r="AF639" s="76"/>
      <c r="AG639" s="76"/>
      <c r="AH639" s="76"/>
      <c r="AI639" s="76"/>
      <c r="AJ639" s="76"/>
      <c r="AK639" s="76"/>
      <c r="AL639" s="77">
        <f>IF((P639-SUM(AE639:AK639))&lt;0,0,P639-SUM(AE639:AK639))</f>
        <v>0</v>
      </c>
      <c r="AM639" s="77">
        <f>SUM(AO639:AT639)</f>
        <v>0</v>
      </c>
      <c r="AN639" s="138" t="s">
        <v>81</v>
      </c>
      <c r="AO639" s="72"/>
      <c r="AP639" s="72"/>
      <c r="AQ639" s="72"/>
      <c r="AR639" s="72"/>
      <c r="AS639" s="72"/>
      <c r="AT639" s="72"/>
      <c r="AU639" s="28" t="s">
        <v>1315</v>
      </c>
      <c r="AV639" s="70"/>
      <c r="AW639" s="72"/>
      <c r="AX639" s="84"/>
    </row>
    <row r="640" spans="1:50" ht="15" customHeight="1">
      <c r="A640" s="81" t="s">
        <v>1019</v>
      </c>
      <c r="B640" s="68" t="s">
        <v>919</v>
      </c>
      <c r="C640" s="69" t="s">
        <v>45</v>
      </c>
      <c r="D640" s="70" t="s">
        <v>627</v>
      </c>
      <c r="E640" s="70"/>
      <c r="F640" s="68">
        <v>0</v>
      </c>
      <c r="G640" s="71" t="s">
        <v>470</v>
      </c>
      <c r="H640" s="71" t="s">
        <v>517</v>
      </c>
      <c r="I640" s="71" t="s">
        <v>1021</v>
      </c>
      <c r="J640" s="71"/>
      <c r="K640" s="72"/>
      <c r="L640" s="72"/>
      <c r="M640" s="72"/>
      <c r="N640" s="72"/>
      <c r="O640" s="71" t="s">
        <v>1020</v>
      </c>
      <c r="P640" s="69">
        <v>0</v>
      </c>
      <c r="Q640" s="68">
        <f>MAX(0,$V640-$P640-$S640)</f>
        <v>0</v>
      </c>
      <c r="R640" s="68" t="s">
        <v>57</v>
      </c>
      <c r="S640" s="68">
        <v>1</v>
      </c>
      <c r="T640" s="73">
        <v>0.28999999999999998</v>
      </c>
      <c r="U640" s="73">
        <f>IF(AND($Q640&gt;0,ISNUMBER($T640)),$Q640*$T640,0)</f>
        <v>0</v>
      </c>
      <c r="V640" s="68">
        <f>SUM(W640:AB640)</f>
        <v>1</v>
      </c>
      <c r="W640" s="68"/>
      <c r="X640" s="68"/>
      <c r="Y640" s="68"/>
      <c r="Z640" s="82">
        <v>1</v>
      </c>
      <c r="AA640" s="68"/>
      <c r="AB640" s="68"/>
      <c r="AC640" s="68"/>
      <c r="AD640" s="75">
        <f>SUM(AE640:AJ640)</f>
        <v>0</v>
      </c>
      <c r="AE640" s="76"/>
      <c r="AF640" s="76"/>
      <c r="AG640" s="76"/>
      <c r="AH640" s="76"/>
      <c r="AI640" s="76"/>
      <c r="AJ640" s="76"/>
      <c r="AK640" s="76"/>
      <c r="AL640" s="77">
        <f>IF((P640-SUM(AE640:AK640))&lt;0,0,P640-SUM(AE640:AK640))</f>
        <v>0</v>
      </c>
      <c r="AM640" s="77">
        <f>SUM(AO640:AT640)</f>
        <v>0</v>
      </c>
      <c r="AN640" s="83" t="s">
        <v>81</v>
      </c>
      <c r="AO640" s="72"/>
      <c r="AP640" s="72"/>
      <c r="AQ640" s="72"/>
      <c r="AR640" s="72"/>
      <c r="AS640" s="72"/>
      <c r="AT640" s="72"/>
      <c r="AU640" s="28" t="s">
        <v>1022</v>
      </c>
      <c r="AV640" s="70"/>
      <c r="AW640" s="72"/>
      <c r="AX640" s="84"/>
    </row>
    <row r="641" spans="1:50" ht="15" customHeight="1">
      <c r="A641" s="81" t="s">
        <v>1023</v>
      </c>
      <c r="B641" s="68" t="s">
        <v>919</v>
      </c>
      <c r="C641" s="69" t="s">
        <v>45</v>
      </c>
      <c r="D641" s="70" t="s">
        <v>627</v>
      </c>
      <c r="E641" s="70"/>
      <c r="F641" s="68">
        <v>0</v>
      </c>
      <c r="G641" s="71" t="s">
        <v>627</v>
      </c>
      <c r="H641" s="71" t="s">
        <v>1024</v>
      </c>
      <c r="I641" s="71"/>
      <c r="J641" s="71"/>
      <c r="K641" s="72"/>
      <c r="L641" s="72"/>
      <c r="M641" s="72"/>
      <c r="N641" s="72"/>
      <c r="O641" s="71" t="s">
        <v>235</v>
      </c>
      <c r="P641" s="69">
        <v>0</v>
      </c>
      <c r="Q641" s="68">
        <f>MAX(0,$V641-$P641-$S641)</f>
        <v>2</v>
      </c>
      <c r="R641" s="68"/>
      <c r="S641" s="68"/>
      <c r="T641" s="73">
        <v>0.57999999999999996</v>
      </c>
      <c r="U641" s="73">
        <f>IF(AND($Q641&gt;0,ISNUMBER($T641)),$Q641*$T641,0)</f>
        <v>1.1599999999999999</v>
      </c>
      <c r="V641" s="68">
        <f>SUM(W641:AB641)</f>
        <v>2</v>
      </c>
      <c r="W641" s="68"/>
      <c r="X641" s="68"/>
      <c r="Y641" s="82">
        <v>1</v>
      </c>
      <c r="Z641" s="82">
        <v>1</v>
      </c>
      <c r="AA641" s="68"/>
      <c r="AB641" s="68"/>
      <c r="AC641" s="68"/>
      <c r="AD641" s="75">
        <f>SUM(AE641:AJ641)</f>
        <v>0</v>
      </c>
      <c r="AE641" s="76"/>
      <c r="AF641" s="76"/>
      <c r="AG641" s="76"/>
      <c r="AH641" s="76"/>
      <c r="AI641" s="76"/>
      <c r="AJ641" s="76"/>
      <c r="AK641" s="76"/>
      <c r="AL641" s="77">
        <f>IF((P641-SUM(AE641:AK641))&lt;0,0,P641-SUM(AE641:AK641))</f>
        <v>0</v>
      </c>
      <c r="AM641" s="77">
        <f>SUM(AO641:AT641)</f>
        <v>0</v>
      </c>
      <c r="AN641" s="138" t="s">
        <v>81</v>
      </c>
      <c r="AO641" s="72"/>
      <c r="AP641" s="72"/>
      <c r="AQ641" s="72"/>
      <c r="AR641" s="72"/>
      <c r="AS641" s="72"/>
      <c r="AT641" s="72"/>
      <c r="AU641" s="28" t="s">
        <v>1025</v>
      </c>
      <c r="AV641" s="70"/>
      <c r="AW641" s="72"/>
      <c r="AX641" s="84"/>
    </row>
    <row r="642" spans="1:50" ht="15" customHeight="1">
      <c r="A642" s="81" t="s">
        <v>1336</v>
      </c>
      <c r="B642" s="68" t="s">
        <v>1114</v>
      </c>
      <c r="C642" s="69" t="s">
        <v>45</v>
      </c>
      <c r="D642" s="70" t="s">
        <v>72</v>
      </c>
      <c r="E642" s="70"/>
      <c r="F642" s="68">
        <v>5</v>
      </c>
      <c r="G642" s="71" t="s">
        <v>49</v>
      </c>
      <c r="H642" s="71" t="s">
        <v>1337</v>
      </c>
      <c r="I642" s="71" t="s">
        <v>1338</v>
      </c>
      <c r="J642" s="71" t="s">
        <v>1339</v>
      </c>
      <c r="K642" s="72"/>
      <c r="L642" s="72"/>
      <c r="M642" s="72"/>
      <c r="N642" s="72"/>
      <c r="O642" s="71" t="s">
        <v>576</v>
      </c>
      <c r="P642" s="69">
        <v>0</v>
      </c>
      <c r="Q642" s="68">
        <f>MAX(0,$V642-$P642-$S642)</f>
        <v>1</v>
      </c>
      <c r="R642" s="68"/>
      <c r="S642" s="68"/>
      <c r="T642" s="73">
        <v>0.41</v>
      </c>
      <c r="U642" s="73">
        <f>IF(AND($Q642&gt;0,ISNUMBER($T642)),$Q642*$T642,0)</f>
        <v>0.41</v>
      </c>
      <c r="V642" s="68">
        <f>SUM(W642:AB642)</f>
        <v>1</v>
      </c>
      <c r="W642" s="82">
        <v>1</v>
      </c>
      <c r="X642" s="68"/>
      <c r="Y642" s="68"/>
      <c r="Z642" s="68"/>
      <c r="AA642" s="68"/>
      <c r="AB642" s="68"/>
      <c r="AC642" s="68"/>
      <c r="AD642" s="75">
        <f>SUM(AE642:AJ642)</f>
        <v>0</v>
      </c>
      <c r="AE642" s="76"/>
      <c r="AF642" s="76"/>
      <c r="AG642" s="76"/>
      <c r="AH642" s="76"/>
      <c r="AI642" s="76"/>
      <c r="AJ642" s="76"/>
      <c r="AK642" s="76"/>
      <c r="AL642" s="77">
        <f>IF((P642-SUM(AE642:AK642))&lt;0,0,P642-SUM(AE642:AK642))</f>
        <v>0</v>
      </c>
      <c r="AM642" s="77">
        <f>SUM(AO642:AT642)</f>
        <v>0</v>
      </c>
      <c r="AN642" s="138" t="s">
        <v>81</v>
      </c>
      <c r="AO642" s="72"/>
      <c r="AP642" s="72"/>
      <c r="AQ642" s="72"/>
      <c r="AR642" s="72"/>
      <c r="AS642" s="72"/>
      <c r="AT642" s="129"/>
      <c r="AU642" s="142" t="s">
        <v>1340</v>
      </c>
      <c r="AV642" s="70"/>
      <c r="AW642" s="72"/>
      <c r="AX642" s="84"/>
    </row>
    <row r="643" spans="1:50" ht="15" customHeight="1">
      <c r="A643" s="117" t="s">
        <v>503</v>
      </c>
      <c r="B643" s="110" t="s">
        <v>345</v>
      </c>
      <c r="C643" s="69" t="s">
        <v>45</v>
      </c>
      <c r="D643" s="111" t="s">
        <v>175</v>
      </c>
      <c r="E643" s="125"/>
      <c r="F643" s="130">
        <v>3</v>
      </c>
      <c r="G643" s="133" t="s">
        <v>91</v>
      </c>
      <c r="H643" s="133" t="s">
        <v>505</v>
      </c>
      <c r="I643" s="133" t="s">
        <v>506</v>
      </c>
      <c r="J643" s="133"/>
      <c r="K643" s="72"/>
      <c r="L643" s="72"/>
      <c r="M643" s="72"/>
      <c r="N643" s="72"/>
      <c r="O643" s="133" t="s">
        <v>504</v>
      </c>
      <c r="P643" s="69">
        <v>0</v>
      </c>
      <c r="Q643" s="68">
        <f>MAX(0,$V643-$P643-$S643)</f>
        <v>1</v>
      </c>
      <c r="R643" s="130"/>
      <c r="S643" s="130"/>
      <c r="T643" s="134">
        <v>3.09</v>
      </c>
      <c r="U643" s="134">
        <f>IF(AND($Q643&gt;0,ISNUMBER($T643)),$Q643*$T643,0)</f>
        <v>3.09</v>
      </c>
      <c r="V643" s="68">
        <f>SUM(W643:AB643)</f>
        <v>1</v>
      </c>
      <c r="W643" s="130"/>
      <c r="X643" s="130"/>
      <c r="Y643" s="136">
        <v>1</v>
      </c>
      <c r="Z643" s="130"/>
      <c r="AA643" s="130"/>
      <c r="AB643" s="130"/>
      <c r="AC643" s="130"/>
      <c r="AD643" s="75">
        <f>SUM(AE643:AJ643)</f>
        <v>0</v>
      </c>
      <c r="AE643" s="76"/>
      <c r="AF643" s="76"/>
      <c r="AG643" s="76"/>
      <c r="AH643" s="76"/>
      <c r="AI643" s="76"/>
      <c r="AJ643" s="76"/>
      <c r="AK643" s="76"/>
      <c r="AL643" s="77">
        <f>IF((P643-SUM(AE643:AK643))&lt;0,0,P643-SUM(AE643:AK643))</f>
        <v>0</v>
      </c>
      <c r="AM643" s="77">
        <f>SUM(AO643:AT643)</f>
        <v>0</v>
      </c>
      <c r="AN643" s="83" t="s">
        <v>81</v>
      </c>
      <c r="AO643" s="72"/>
      <c r="AP643" s="72"/>
      <c r="AQ643" s="72"/>
      <c r="AR643" s="72"/>
      <c r="AS643" s="72"/>
      <c r="AT643" s="72"/>
      <c r="AU643" s="28" t="s">
        <v>507</v>
      </c>
      <c r="AV643" s="125"/>
      <c r="AW643" s="72"/>
      <c r="AX643" s="84"/>
    </row>
    <row r="644" spans="1:50" ht="15" customHeight="1">
      <c r="A644" s="125" t="s">
        <v>508</v>
      </c>
      <c r="B644" s="130" t="s">
        <v>345</v>
      </c>
      <c r="C644" s="69" t="s">
        <v>45</v>
      </c>
      <c r="D644" s="125" t="s">
        <v>175</v>
      </c>
      <c r="E644" s="125" t="s">
        <v>390</v>
      </c>
      <c r="F644" s="130">
        <v>2</v>
      </c>
      <c r="G644" s="133" t="s">
        <v>176</v>
      </c>
      <c r="H644" s="133" t="s">
        <v>509</v>
      </c>
      <c r="I644" s="133" t="s">
        <v>510</v>
      </c>
      <c r="J644" s="133"/>
      <c r="K644" s="72"/>
      <c r="L644" s="72"/>
      <c r="M644" s="72"/>
      <c r="N644" s="72"/>
      <c r="O644" s="133" t="s">
        <v>324</v>
      </c>
      <c r="P644" s="69">
        <v>0</v>
      </c>
      <c r="Q644" s="68">
        <f>MAX(0,$V644-$P644-$S644)</f>
        <v>0</v>
      </c>
      <c r="R644" s="130"/>
      <c r="S644" s="130"/>
      <c r="T644" s="134">
        <v>0.38</v>
      </c>
      <c r="U644" s="134">
        <f>IF(AND($Q644&gt;0,ISNUMBER($T644)),$Q644*$T644,0)</f>
        <v>0</v>
      </c>
      <c r="V644" s="68">
        <f>SUM(W644:AB644)</f>
        <v>0</v>
      </c>
      <c r="W644" s="130"/>
      <c r="X644" s="130"/>
      <c r="Y644" s="130"/>
      <c r="Z644" s="130"/>
      <c r="AA644" s="130"/>
      <c r="AB644" s="130"/>
      <c r="AC644" s="130"/>
      <c r="AD644" s="75">
        <f>SUM(AE644:AJ644)</f>
        <v>0</v>
      </c>
      <c r="AE644" s="76"/>
      <c r="AF644" s="76"/>
      <c r="AG644" s="76"/>
      <c r="AH644" s="76"/>
      <c r="AI644" s="76"/>
      <c r="AJ644" s="76"/>
      <c r="AK644" s="76"/>
      <c r="AL644" s="77">
        <f>IF((P644-SUM(AE644:AK644))&lt;0,0,P644-SUM(AE644:AK644))</f>
        <v>0</v>
      </c>
      <c r="AM644" s="77">
        <f>SUM(AO644:AT644)</f>
        <v>0</v>
      </c>
      <c r="AN644" s="129"/>
      <c r="AO644" s="72"/>
      <c r="AP644" s="72"/>
      <c r="AQ644" s="72"/>
      <c r="AR644" s="72"/>
      <c r="AS644" s="72"/>
      <c r="AT644" s="72"/>
      <c r="AU644" s="72"/>
      <c r="AV644" s="125"/>
      <c r="AW644" s="72"/>
      <c r="AX644" s="72"/>
    </row>
    <row r="645" spans="1:50" ht="15" customHeight="1">
      <c r="A645" s="128" t="s">
        <v>195</v>
      </c>
      <c r="B645" s="130" t="s">
        <v>46</v>
      </c>
      <c r="C645" s="69" t="s">
        <v>45</v>
      </c>
      <c r="D645" s="125" t="s">
        <v>64</v>
      </c>
      <c r="E645" s="125" t="s">
        <v>135</v>
      </c>
      <c r="F645" s="130">
        <v>4</v>
      </c>
      <c r="G645" s="133" t="s">
        <v>60</v>
      </c>
      <c r="H645" s="133" t="s">
        <v>197</v>
      </c>
      <c r="I645" s="133" t="s">
        <v>198</v>
      </c>
      <c r="J645" s="133"/>
      <c r="K645" s="72"/>
      <c r="L645" s="72"/>
      <c r="M645" s="72"/>
      <c r="N645" s="72"/>
      <c r="O645" s="133" t="s">
        <v>196</v>
      </c>
      <c r="P645" s="69">
        <v>0</v>
      </c>
      <c r="Q645" s="68">
        <f>MAX(0,$V645-$P645-$S645)</f>
        <v>1</v>
      </c>
      <c r="R645" s="130"/>
      <c r="S645" s="130"/>
      <c r="T645" s="134">
        <v>1.43</v>
      </c>
      <c r="U645" s="134">
        <f>IF(AND($Q645&gt;0,ISNUMBER($T645)),$Q645*$T645,0)</f>
        <v>1.43</v>
      </c>
      <c r="V645" s="68">
        <f>SUM(W645:AB645)</f>
        <v>1</v>
      </c>
      <c r="W645" s="130"/>
      <c r="X645" s="130"/>
      <c r="Y645" s="130"/>
      <c r="Z645" s="130"/>
      <c r="AA645" s="136">
        <v>1</v>
      </c>
      <c r="AB645" s="130"/>
      <c r="AC645" s="130"/>
      <c r="AD645" s="75">
        <f>SUM(AE645:AJ645)</f>
        <v>0</v>
      </c>
      <c r="AE645" s="76"/>
      <c r="AF645" s="76"/>
      <c r="AG645" s="76"/>
      <c r="AH645" s="76"/>
      <c r="AI645" s="76"/>
      <c r="AJ645" s="76"/>
      <c r="AK645" s="76"/>
      <c r="AL645" s="77">
        <f>IF((P645-SUM(AE645:AK645))&lt;0,0,P645-SUM(AE645:AK645))</f>
        <v>0</v>
      </c>
      <c r="AM645" s="77">
        <f>SUM(AO645:AT645)</f>
        <v>0</v>
      </c>
      <c r="AN645" s="88" t="s">
        <v>81</v>
      </c>
      <c r="AO645" s="85"/>
      <c r="AP645" s="72"/>
      <c r="AQ645" s="72"/>
      <c r="AR645" s="72"/>
      <c r="AS645" s="72"/>
      <c r="AT645" s="72"/>
      <c r="AU645" s="29" t="s">
        <v>199</v>
      </c>
      <c r="AV645" s="125"/>
      <c r="AW645" s="72"/>
      <c r="AX645" s="84"/>
    </row>
    <row r="646" spans="1:50" ht="15" customHeight="1">
      <c r="A646" s="125" t="s">
        <v>1363</v>
      </c>
      <c r="B646" s="130" t="s">
        <v>1114</v>
      </c>
      <c r="C646" s="69" t="s">
        <v>45</v>
      </c>
      <c r="D646" s="125" t="s">
        <v>72</v>
      </c>
      <c r="E646" s="125"/>
      <c r="F646" s="130">
        <v>2</v>
      </c>
      <c r="G646" s="133" t="s">
        <v>616</v>
      </c>
      <c r="H646" s="133" t="s">
        <v>1364</v>
      </c>
      <c r="I646" s="133" t="s">
        <v>1365</v>
      </c>
      <c r="J646" s="133"/>
      <c r="K646" s="72"/>
      <c r="L646" s="72"/>
      <c r="M646" s="72"/>
      <c r="N646" s="72"/>
      <c r="O646" s="133" t="s">
        <v>541</v>
      </c>
      <c r="P646" s="69">
        <v>0</v>
      </c>
      <c r="Q646" s="68">
        <f>MAX(0,$V646-$P646-$S646)</f>
        <v>0</v>
      </c>
      <c r="R646" s="130"/>
      <c r="S646" s="130"/>
      <c r="T646" s="134">
        <v>0.19</v>
      </c>
      <c r="U646" s="134">
        <f>IF(AND($Q646&gt;0,ISNUMBER($T646)),$Q646*$T646,0)</f>
        <v>0</v>
      </c>
      <c r="V646" s="68">
        <f>SUM(W646:AB646)</f>
        <v>0</v>
      </c>
      <c r="W646" s="130"/>
      <c r="X646" s="130"/>
      <c r="Y646" s="130"/>
      <c r="Z646" s="130"/>
      <c r="AA646" s="130"/>
      <c r="AB646" s="130"/>
      <c r="AC646" s="130"/>
      <c r="AD646" s="75">
        <f>SUM(AE646:AJ646)</f>
        <v>0</v>
      </c>
      <c r="AE646" s="76"/>
      <c r="AF646" s="76"/>
      <c r="AG646" s="76"/>
      <c r="AH646" s="76"/>
      <c r="AI646" s="76"/>
      <c r="AJ646" s="76"/>
      <c r="AK646" s="76"/>
      <c r="AL646" s="77">
        <f>IF((P646-SUM(AE646:AK646))&lt;0,0,P646-SUM(AE646:AK646))</f>
        <v>0</v>
      </c>
      <c r="AM646" s="77">
        <f>SUM(AO646:AT646)</f>
        <v>0</v>
      </c>
      <c r="AN646" s="72"/>
      <c r="AO646" s="72"/>
      <c r="AP646" s="72"/>
      <c r="AQ646" s="72"/>
      <c r="AR646" s="72"/>
      <c r="AS646" s="72"/>
      <c r="AT646" s="72"/>
      <c r="AU646" s="72"/>
      <c r="AV646" s="125"/>
      <c r="AW646" s="72"/>
      <c r="AX646" s="72"/>
    </row>
    <row r="647" spans="1:50" ht="15" customHeight="1">
      <c r="A647" s="128" t="s">
        <v>221</v>
      </c>
      <c r="B647" s="130" t="s">
        <v>46</v>
      </c>
      <c r="C647" s="69" t="s">
        <v>45</v>
      </c>
      <c r="D647" s="125" t="s">
        <v>64</v>
      </c>
      <c r="E647" s="125" t="s">
        <v>222</v>
      </c>
      <c r="F647" s="130">
        <v>3</v>
      </c>
      <c r="G647" s="133" t="s">
        <v>54</v>
      </c>
      <c r="H647" s="133" t="s">
        <v>224</v>
      </c>
      <c r="I647" s="133"/>
      <c r="J647" s="133"/>
      <c r="K647" s="69"/>
      <c r="L647" s="69"/>
      <c r="M647" s="69"/>
      <c r="N647" s="69"/>
      <c r="O647" s="133" t="s">
        <v>223</v>
      </c>
      <c r="P647" s="69">
        <v>0</v>
      </c>
      <c r="Q647" s="68">
        <f>MAX(0,$V647-$P647-$S647)</f>
        <v>1</v>
      </c>
      <c r="R647" s="130"/>
      <c r="S647" s="130"/>
      <c r="T647" s="134">
        <v>0.96</v>
      </c>
      <c r="U647" s="134">
        <f>IF(AND($Q647&gt;0,ISNUMBER($T647)),$Q647*$T647,0)</f>
        <v>0.96</v>
      </c>
      <c r="V647" s="68">
        <f>SUM(W647:AB647)</f>
        <v>1</v>
      </c>
      <c r="W647" s="130"/>
      <c r="X647" s="130"/>
      <c r="Y647" s="130"/>
      <c r="Z647" s="130"/>
      <c r="AA647" s="136">
        <v>1</v>
      </c>
      <c r="AB647" s="130"/>
      <c r="AC647" s="130"/>
      <c r="AD647" s="75">
        <f>SUM(AE647:AJ647)</f>
        <v>0</v>
      </c>
      <c r="AE647" s="76"/>
      <c r="AF647" s="76"/>
      <c r="AG647" s="76"/>
      <c r="AH647" s="76"/>
      <c r="AI647" s="76"/>
      <c r="AJ647" s="76"/>
      <c r="AK647" s="76"/>
      <c r="AL647" s="77">
        <f>IF((P647-SUM(AE647:AK647))&lt;0,0,P647-SUM(AE647:AK647))</f>
        <v>0</v>
      </c>
      <c r="AM647" s="77">
        <f>SUM(AO647:AT647)</f>
        <v>0</v>
      </c>
      <c r="AN647" s="83" t="s">
        <v>81</v>
      </c>
      <c r="AO647" s="72"/>
      <c r="AP647" s="72"/>
      <c r="AQ647" s="72"/>
      <c r="AR647" s="72"/>
      <c r="AS647" s="72"/>
      <c r="AT647" s="72"/>
      <c r="AU647" s="28" t="s">
        <v>225</v>
      </c>
      <c r="AV647" s="125"/>
      <c r="AW647" s="72"/>
      <c r="AX647" s="84"/>
    </row>
    <row r="648" spans="1:50" ht="15" customHeight="1">
      <c r="A648" s="125" t="s">
        <v>2197</v>
      </c>
      <c r="B648" s="130" t="s">
        <v>1971</v>
      </c>
      <c r="C648" s="69" t="s">
        <v>45</v>
      </c>
      <c r="D648" s="125" t="s">
        <v>64</v>
      </c>
      <c r="E648" s="125" t="s">
        <v>1130</v>
      </c>
      <c r="F648" s="130">
        <v>1</v>
      </c>
      <c r="G648" s="133" t="s">
        <v>125</v>
      </c>
      <c r="H648" s="133" t="s">
        <v>325</v>
      </c>
      <c r="I648" s="133" t="s">
        <v>2198</v>
      </c>
      <c r="J648" s="133"/>
      <c r="K648" s="72"/>
      <c r="L648" s="72"/>
      <c r="M648" s="72"/>
      <c r="N648" s="72"/>
      <c r="O648" s="133" t="s">
        <v>454</v>
      </c>
      <c r="P648" s="69">
        <v>0</v>
      </c>
      <c r="Q648" s="68">
        <f>MAX(0,$V648-$P648-$S648)</f>
        <v>0</v>
      </c>
      <c r="R648" s="130"/>
      <c r="S648" s="130"/>
      <c r="T648" s="134">
        <v>0.67</v>
      </c>
      <c r="U648" s="134">
        <f>IF(AND($Q648&gt;0,ISNUMBER($T648)),$Q648*$T648,0)</f>
        <v>0</v>
      </c>
      <c r="V648" s="68">
        <f>SUM(W648:AB648)</f>
        <v>0</v>
      </c>
      <c r="W648" s="130"/>
      <c r="X648" s="130"/>
      <c r="Y648" s="130"/>
      <c r="Z648" s="130"/>
      <c r="AA648" s="130"/>
      <c r="AB648" s="130"/>
      <c r="AC648" s="130"/>
      <c r="AD648" s="75">
        <f>SUM(AE648:AJ648)</f>
        <v>0</v>
      </c>
      <c r="AE648" s="76"/>
      <c r="AF648" s="76"/>
      <c r="AG648" s="76"/>
      <c r="AH648" s="76"/>
      <c r="AI648" s="76"/>
      <c r="AJ648" s="76"/>
      <c r="AK648" s="76"/>
      <c r="AL648" s="77">
        <f>IF((P648-SUM(AE648:AK648))&lt;0,0,P648-SUM(AE648:AK648))</f>
        <v>0</v>
      </c>
      <c r="AM648" s="77">
        <f>SUM(AO648:AT648)</f>
        <v>0</v>
      </c>
      <c r="AN648" s="129"/>
      <c r="AO648" s="72"/>
      <c r="AP648" s="72"/>
      <c r="AQ648" s="72"/>
      <c r="AR648" s="72"/>
      <c r="AS648" s="72"/>
      <c r="AT648" s="72"/>
      <c r="AU648" s="72"/>
      <c r="AV648" s="125"/>
      <c r="AW648" s="72"/>
      <c r="AX648" s="72"/>
    </row>
    <row r="649" spans="1:50" ht="15" customHeight="1">
      <c r="A649" s="125" t="s">
        <v>1380</v>
      </c>
      <c r="B649" s="130" t="s">
        <v>1114</v>
      </c>
      <c r="C649" s="69" t="s">
        <v>45</v>
      </c>
      <c r="D649" s="125" t="s">
        <v>64</v>
      </c>
      <c r="E649" s="125" t="s">
        <v>1381</v>
      </c>
      <c r="F649" s="130">
        <v>2</v>
      </c>
      <c r="G649" s="133" t="s">
        <v>366</v>
      </c>
      <c r="H649" s="133" t="s">
        <v>1382</v>
      </c>
      <c r="I649" s="133" t="s">
        <v>1383</v>
      </c>
      <c r="J649" s="133"/>
      <c r="K649" s="72"/>
      <c r="L649" s="72"/>
      <c r="M649" s="72"/>
      <c r="N649" s="72"/>
      <c r="O649" s="133" t="s">
        <v>863</v>
      </c>
      <c r="P649" s="69">
        <v>0</v>
      </c>
      <c r="Q649" s="68">
        <f>MAX(0,$V649-$P649-$S649)</f>
        <v>0</v>
      </c>
      <c r="R649" s="130"/>
      <c r="S649" s="130"/>
      <c r="T649" s="134">
        <v>0.36</v>
      </c>
      <c r="U649" s="134">
        <f>IF(AND($Q649&gt;0,ISNUMBER($T649)),$Q649*$T649,0)</f>
        <v>0</v>
      </c>
      <c r="V649" s="68">
        <f>SUM(W649:AB649)</f>
        <v>0</v>
      </c>
      <c r="W649" s="130"/>
      <c r="X649" s="130"/>
      <c r="Y649" s="130"/>
      <c r="Z649" s="130"/>
      <c r="AA649" s="130"/>
      <c r="AB649" s="130"/>
      <c r="AC649" s="130"/>
      <c r="AD649" s="75">
        <f>SUM(AE649:AJ649)</f>
        <v>0</v>
      </c>
      <c r="AE649" s="76"/>
      <c r="AF649" s="76"/>
      <c r="AG649" s="76"/>
      <c r="AH649" s="76"/>
      <c r="AI649" s="76"/>
      <c r="AJ649" s="76"/>
      <c r="AK649" s="76"/>
      <c r="AL649" s="77">
        <f>IF((P649-SUM(AE649:AK649))&lt;0,0,P649-SUM(AE649:AK649))</f>
        <v>0</v>
      </c>
      <c r="AM649" s="77">
        <f>SUM(AO649:AT649)</f>
        <v>0</v>
      </c>
      <c r="AN649" s="72"/>
      <c r="AO649" s="72"/>
      <c r="AP649" s="72"/>
      <c r="AQ649" s="72"/>
      <c r="AR649" s="72"/>
      <c r="AS649" s="72"/>
      <c r="AT649" s="72"/>
      <c r="AU649" s="72"/>
      <c r="AV649" s="125"/>
      <c r="AW649" s="72"/>
      <c r="AX649" s="72"/>
    </row>
    <row r="650" spans="1:50" ht="15" customHeight="1">
      <c r="A650" s="128" t="s">
        <v>242</v>
      </c>
      <c r="B650" s="130" t="s">
        <v>46</v>
      </c>
      <c r="C650" s="69" t="s">
        <v>45</v>
      </c>
      <c r="D650" s="125" t="s">
        <v>64</v>
      </c>
      <c r="E650" s="125" t="s">
        <v>243</v>
      </c>
      <c r="F650" s="77">
        <v>2</v>
      </c>
      <c r="G650" s="112" t="s">
        <v>98</v>
      </c>
      <c r="H650" s="112" t="s">
        <v>244</v>
      </c>
      <c r="I650" s="112"/>
      <c r="J650" s="112"/>
      <c r="K650" s="72"/>
      <c r="L650" s="72"/>
      <c r="M650" s="72"/>
      <c r="N650" s="72"/>
      <c r="O650" s="112" t="s">
        <v>53</v>
      </c>
      <c r="P650" s="69">
        <v>0</v>
      </c>
      <c r="Q650" s="68">
        <f>MAX(0,$V650-$P650-$S650)</f>
        <v>1</v>
      </c>
      <c r="R650" s="77"/>
      <c r="S650" s="77"/>
      <c r="T650" s="113">
        <v>0.59</v>
      </c>
      <c r="U650" s="134">
        <f>IF(AND($Q650&gt;0,ISNUMBER($T650)),$Q650*$T650,0)</f>
        <v>0.59</v>
      </c>
      <c r="V650" s="68">
        <f>SUM(W650:AB650)</f>
        <v>1</v>
      </c>
      <c r="W650" s="77"/>
      <c r="X650" s="77"/>
      <c r="Y650" s="77"/>
      <c r="Z650" s="77"/>
      <c r="AA650" s="118">
        <v>1</v>
      </c>
      <c r="AB650" s="77"/>
      <c r="AC650" s="130"/>
      <c r="AD650" s="75">
        <f>SUM(AE650:AJ650)</f>
        <v>0</v>
      </c>
      <c r="AE650" s="76"/>
      <c r="AF650" s="76"/>
      <c r="AG650" s="76"/>
      <c r="AH650" s="76"/>
      <c r="AI650" s="76"/>
      <c r="AJ650" s="76"/>
      <c r="AK650" s="76"/>
      <c r="AL650" s="77">
        <f>IF((P650-SUM(AE650:AK650))&lt;0,0,P650-SUM(AE650:AK650))</f>
        <v>0</v>
      </c>
      <c r="AM650" s="77">
        <f>SUM(AO650:AT650)</f>
        <v>0</v>
      </c>
      <c r="AN650" s="83" t="s">
        <v>81</v>
      </c>
      <c r="AO650" s="72"/>
      <c r="AP650" s="72"/>
      <c r="AQ650" s="72"/>
      <c r="AR650" s="72"/>
      <c r="AS650" s="72"/>
      <c r="AT650" s="72"/>
      <c r="AU650" s="28" t="s">
        <v>245</v>
      </c>
      <c r="AV650" s="31"/>
      <c r="AW650" s="72"/>
      <c r="AX650" s="84"/>
    </row>
    <row r="651" spans="1:50" ht="15" customHeight="1">
      <c r="A651" s="125" t="s">
        <v>540</v>
      </c>
      <c r="B651" s="130" t="s">
        <v>345</v>
      </c>
      <c r="C651" s="69" t="s">
        <v>45</v>
      </c>
      <c r="D651" s="125" t="s">
        <v>175</v>
      </c>
      <c r="E651" s="125"/>
      <c r="F651" s="130">
        <v>2</v>
      </c>
      <c r="G651" s="133" t="s">
        <v>350</v>
      </c>
      <c r="H651" s="133" t="s">
        <v>542</v>
      </c>
      <c r="I651" s="133" t="s">
        <v>543</v>
      </c>
      <c r="J651" s="133"/>
      <c r="K651" s="72"/>
      <c r="L651" s="72"/>
      <c r="M651" s="72"/>
      <c r="N651" s="72"/>
      <c r="O651" s="133" t="s">
        <v>541</v>
      </c>
      <c r="P651" s="69">
        <v>0</v>
      </c>
      <c r="Q651" s="68">
        <f>MAX(0,$V651-$P651-$S651)</f>
        <v>0</v>
      </c>
      <c r="R651" s="130"/>
      <c r="S651" s="130"/>
      <c r="T651" s="134">
        <v>0.4</v>
      </c>
      <c r="U651" s="134">
        <f>IF(AND($Q651&gt;0,ISNUMBER($T651)),$Q651*$T651,0)</f>
        <v>0</v>
      </c>
      <c r="V651" s="68">
        <f>SUM(W651:AB651)</f>
        <v>0</v>
      </c>
      <c r="W651" s="130"/>
      <c r="X651" s="130"/>
      <c r="Y651" s="130"/>
      <c r="Z651" s="130"/>
      <c r="AA651" s="130"/>
      <c r="AB651" s="130"/>
      <c r="AC651" s="130"/>
      <c r="AD651" s="75">
        <f>SUM(AE651:AJ651)</f>
        <v>0</v>
      </c>
      <c r="AE651" s="76"/>
      <c r="AF651" s="76"/>
      <c r="AG651" s="76"/>
      <c r="AH651" s="76"/>
      <c r="AI651" s="76"/>
      <c r="AJ651" s="76"/>
      <c r="AK651" s="76"/>
      <c r="AL651" s="77">
        <f>IF((P651-SUM(AE651:AK651))&lt;0,0,P651-SUM(AE651:AK651))</f>
        <v>0</v>
      </c>
      <c r="AM651" s="77">
        <f>SUM(AO651:AT651)</f>
        <v>0</v>
      </c>
      <c r="AN651" s="72"/>
      <c r="AO651" s="72"/>
      <c r="AP651" s="72"/>
      <c r="AQ651" s="72"/>
      <c r="AR651" s="72"/>
      <c r="AS651" s="72"/>
      <c r="AT651" s="72"/>
      <c r="AU651" s="72"/>
      <c r="AV651" s="125"/>
      <c r="AW651" s="72"/>
      <c r="AX651" s="72"/>
    </row>
    <row r="652" spans="1:50" ht="15" customHeight="1">
      <c r="A652" s="125" t="s">
        <v>1054</v>
      </c>
      <c r="B652" s="130" t="s">
        <v>919</v>
      </c>
      <c r="C652" s="69" t="s">
        <v>45</v>
      </c>
      <c r="D652" s="125" t="s">
        <v>627</v>
      </c>
      <c r="E652" s="125" t="s">
        <v>1055</v>
      </c>
      <c r="F652" s="130">
        <v>0</v>
      </c>
      <c r="G652" s="133" t="s">
        <v>627</v>
      </c>
      <c r="H652" s="133" t="s">
        <v>938</v>
      </c>
      <c r="I652" s="133" t="s">
        <v>926</v>
      </c>
      <c r="J652" s="133"/>
      <c r="K652" s="72"/>
      <c r="L652" s="72"/>
      <c r="M652" s="72"/>
      <c r="N652" s="72"/>
      <c r="O652" s="133" t="s">
        <v>69</v>
      </c>
      <c r="P652" s="69">
        <v>0</v>
      </c>
      <c r="Q652" s="68">
        <f>MAX(0,$V652-$P652-$S652)</f>
        <v>0</v>
      </c>
      <c r="R652" s="130" t="s">
        <v>57</v>
      </c>
      <c r="S652" s="130">
        <v>1</v>
      </c>
      <c r="T652" s="134">
        <v>0.22</v>
      </c>
      <c r="U652" s="134">
        <f>IF(AND($Q652&gt;0,ISNUMBER($T652)),$Q652*$T652,0)</f>
        <v>0</v>
      </c>
      <c r="V652" s="68">
        <f>SUM(W652:AB652)</f>
        <v>0</v>
      </c>
      <c r="W652" s="130"/>
      <c r="X652" s="130"/>
      <c r="Y652" s="130"/>
      <c r="Z652" s="130"/>
      <c r="AA652" s="130"/>
      <c r="AB652" s="130"/>
      <c r="AC652" s="130"/>
      <c r="AD652" s="75">
        <f>SUM(AE652:AJ652)</f>
        <v>0</v>
      </c>
      <c r="AE652" s="76"/>
      <c r="AF652" s="76"/>
      <c r="AG652" s="76"/>
      <c r="AH652" s="76"/>
      <c r="AI652" s="76"/>
      <c r="AJ652" s="76"/>
      <c r="AK652" s="76"/>
      <c r="AL652" s="77">
        <f>IF((P652-SUM(AE652:AK652))&lt;0,0,P652-SUM(AE652:AK652))</f>
        <v>0</v>
      </c>
      <c r="AM652" s="77">
        <f>SUM(AO652:AT652)</f>
        <v>0</v>
      </c>
      <c r="AN652" s="72"/>
      <c r="AO652" s="72"/>
      <c r="AP652" s="72"/>
      <c r="AQ652" s="72"/>
      <c r="AR652" s="72"/>
      <c r="AS652" s="72"/>
      <c r="AT652" s="72"/>
      <c r="AU652" s="72"/>
      <c r="AV652" s="125"/>
      <c r="AW652" s="72"/>
      <c r="AX652" s="72"/>
    </row>
    <row r="653" spans="1:50" ht="15" customHeight="1">
      <c r="A653" s="125" t="s">
        <v>820</v>
      </c>
      <c r="B653" s="130" t="s">
        <v>636</v>
      </c>
      <c r="C653" s="69" t="s">
        <v>45</v>
      </c>
      <c r="D653" s="125" t="s">
        <v>64</v>
      </c>
      <c r="E653" s="125" t="s">
        <v>821</v>
      </c>
      <c r="F653" s="130">
        <v>4</v>
      </c>
      <c r="G653" s="133" t="s">
        <v>54</v>
      </c>
      <c r="H653" s="133" t="s">
        <v>822</v>
      </c>
      <c r="I653" s="133" t="s">
        <v>823</v>
      </c>
      <c r="J653" s="133"/>
      <c r="K653" s="72"/>
      <c r="L653" s="72"/>
      <c r="M653" s="72"/>
      <c r="N653" s="72"/>
      <c r="O653" s="133" t="s">
        <v>642</v>
      </c>
      <c r="P653" s="69">
        <v>0</v>
      </c>
      <c r="Q653" s="68">
        <f>MAX(0,$V653-$P653-$S653)</f>
        <v>0</v>
      </c>
      <c r="R653" s="130" t="s">
        <v>57</v>
      </c>
      <c r="S653" s="130">
        <v>1</v>
      </c>
      <c r="T653" s="134">
        <v>0.31</v>
      </c>
      <c r="U653" s="134">
        <f>IF(AND($Q653&gt;0,ISNUMBER($T653)),$Q653*$T653,0)</f>
        <v>0</v>
      </c>
      <c r="V653" s="68">
        <f>SUM(W653:AB653)</f>
        <v>0</v>
      </c>
      <c r="W653" s="130"/>
      <c r="X653" s="130"/>
      <c r="Y653" s="130"/>
      <c r="Z653" s="130"/>
      <c r="AA653" s="130"/>
      <c r="AB653" s="130"/>
      <c r="AC653" s="130"/>
      <c r="AD653" s="75">
        <f>SUM(AE653:AJ653)</f>
        <v>0</v>
      </c>
      <c r="AE653" s="76"/>
      <c r="AF653" s="76"/>
      <c r="AG653" s="76"/>
      <c r="AH653" s="76"/>
      <c r="AI653" s="76"/>
      <c r="AJ653" s="76"/>
      <c r="AK653" s="76"/>
      <c r="AL653" s="77">
        <f>IF((P653-SUM(AE653:AK653))&lt;0,0,P653-SUM(AE653:AK653))</f>
        <v>0</v>
      </c>
      <c r="AM653" s="77">
        <f>SUM(AO653:AT653)</f>
        <v>0</v>
      </c>
      <c r="AN653" s="72"/>
      <c r="AO653" s="72"/>
      <c r="AP653" s="72"/>
      <c r="AQ653" s="72"/>
      <c r="AR653" s="72"/>
      <c r="AS653" s="72"/>
      <c r="AT653" s="72"/>
      <c r="AU653" s="72"/>
      <c r="AV653" s="125"/>
      <c r="AW653" s="72"/>
      <c r="AX653" s="72"/>
    </row>
    <row r="654" spans="1:50" ht="15" customHeight="1">
      <c r="A654" s="128" t="s">
        <v>1756</v>
      </c>
      <c r="B654" s="77" t="s">
        <v>1499</v>
      </c>
      <c r="C654" s="69" t="s">
        <v>45</v>
      </c>
      <c r="D654" s="31" t="s">
        <v>64</v>
      </c>
      <c r="E654" s="31" t="s">
        <v>1757</v>
      </c>
      <c r="F654" s="77">
        <v>3</v>
      </c>
      <c r="G654" s="112" t="s">
        <v>422</v>
      </c>
      <c r="H654" s="112" t="s">
        <v>1758</v>
      </c>
      <c r="I654" s="112" t="s">
        <v>1540</v>
      </c>
      <c r="J654" s="112" t="s">
        <v>1759</v>
      </c>
      <c r="K654" s="72"/>
      <c r="L654" s="72"/>
      <c r="M654" s="72"/>
      <c r="N654" s="72"/>
      <c r="O654" s="112" t="s">
        <v>449</v>
      </c>
      <c r="P654" s="69">
        <v>0</v>
      </c>
      <c r="Q654" s="68">
        <f>MAX(0,$V654-$P654-$S654)</f>
        <v>1</v>
      </c>
      <c r="R654" s="77"/>
      <c r="S654" s="77"/>
      <c r="T654" s="113">
        <v>0.19</v>
      </c>
      <c r="U654" s="113">
        <f>IF(AND($Q654&gt;0,ISNUMBER($T654)),$Q654*$T654,0)</f>
        <v>0.19</v>
      </c>
      <c r="V654" s="68">
        <f>SUM(W654:AB654)</f>
        <v>1</v>
      </c>
      <c r="W654" s="77"/>
      <c r="X654" s="77"/>
      <c r="Y654" s="77"/>
      <c r="Z654" s="77"/>
      <c r="AA654" s="77"/>
      <c r="AB654" s="118">
        <v>1</v>
      </c>
      <c r="AC654" s="77"/>
      <c r="AD654" s="75">
        <f>SUM(AE654:AJ654)</f>
        <v>0</v>
      </c>
      <c r="AE654" s="76"/>
      <c r="AF654" s="76"/>
      <c r="AG654" s="76"/>
      <c r="AH654" s="76"/>
      <c r="AI654" s="76"/>
      <c r="AJ654" s="76"/>
      <c r="AK654" s="76"/>
      <c r="AL654" s="77">
        <f>IF((P654-SUM(AE654:AK654))&lt;0,0,P654-SUM(AE654:AK654))</f>
        <v>0</v>
      </c>
      <c r="AM654" s="77">
        <f>SUM(AO654:AT654)</f>
        <v>0</v>
      </c>
      <c r="AN654" s="88" t="s">
        <v>81</v>
      </c>
      <c r="AO654" s="72"/>
      <c r="AP654" s="72"/>
      <c r="AQ654" s="72"/>
      <c r="AR654" s="72"/>
      <c r="AS654" s="72"/>
      <c r="AT654" s="72"/>
      <c r="AU654" s="28" t="s">
        <v>1760</v>
      </c>
      <c r="AV654" s="31"/>
      <c r="AW654" s="72"/>
      <c r="AX654" s="84"/>
    </row>
    <row r="655" spans="1:50" ht="15" customHeight="1">
      <c r="A655" s="128" t="s">
        <v>2225</v>
      </c>
      <c r="B655" s="130" t="s">
        <v>1971</v>
      </c>
      <c r="C655" s="69" t="s">
        <v>45</v>
      </c>
      <c r="D655" s="125" t="s">
        <v>64</v>
      </c>
      <c r="E655" s="125" t="s">
        <v>1444</v>
      </c>
      <c r="F655" s="130">
        <v>4</v>
      </c>
      <c r="G655" s="133" t="s">
        <v>616</v>
      </c>
      <c r="H655" s="133" t="s">
        <v>2226</v>
      </c>
      <c r="I655" s="133" t="s">
        <v>197</v>
      </c>
      <c r="J655" s="133" t="s">
        <v>2227</v>
      </c>
      <c r="K655" s="72"/>
      <c r="L655" s="72"/>
      <c r="M655" s="72"/>
      <c r="N655" s="72"/>
      <c r="O655" s="133" t="s">
        <v>78</v>
      </c>
      <c r="P655" s="69">
        <v>0</v>
      </c>
      <c r="Q655" s="68">
        <f>MAX(0,$V655-$P655-$S655)</f>
        <v>1</v>
      </c>
      <c r="R655" s="130"/>
      <c r="S655" s="130"/>
      <c r="T655" s="134">
        <v>0.33</v>
      </c>
      <c r="U655" s="134">
        <f>IF(AND($Q655&gt;0,ISNUMBER($T655)),$Q655*$T655,0)</f>
        <v>0.33</v>
      </c>
      <c r="V655" s="68">
        <f>SUM(W655:AB655)</f>
        <v>1</v>
      </c>
      <c r="W655" s="130"/>
      <c r="X655" s="136">
        <v>1</v>
      </c>
      <c r="Y655" s="130"/>
      <c r="Z655" s="130"/>
      <c r="AA655" s="130"/>
      <c r="AB655" s="130"/>
      <c r="AC655" s="130"/>
      <c r="AD655" s="75">
        <f>SUM(AE655:AJ655)</f>
        <v>0</v>
      </c>
      <c r="AE655" s="76"/>
      <c r="AF655" s="76"/>
      <c r="AG655" s="76"/>
      <c r="AH655" s="76"/>
      <c r="AI655" s="76"/>
      <c r="AJ655" s="76"/>
      <c r="AK655" s="76"/>
      <c r="AL655" s="77">
        <f>IF((P655-SUM(AE655:AK655))&lt;0,0,P655-SUM(AE655:AK655))</f>
        <v>0</v>
      </c>
      <c r="AM655" s="77">
        <f>SUM(AO655:AT655)</f>
        <v>0</v>
      </c>
      <c r="AN655" s="88" t="s">
        <v>81</v>
      </c>
      <c r="AO655" s="85"/>
      <c r="AP655" s="72"/>
      <c r="AQ655" s="72"/>
      <c r="AR655" s="72"/>
      <c r="AS655" s="72"/>
      <c r="AT655" s="72"/>
      <c r="AU655" s="29" t="s">
        <v>2228</v>
      </c>
      <c r="AV655" s="125"/>
      <c r="AW655" s="72"/>
      <c r="AX655" s="84"/>
    </row>
    <row r="656" spans="1:50" ht="15" customHeight="1">
      <c r="A656" s="125" t="s">
        <v>1420</v>
      </c>
      <c r="B656" s="130" t="s">
        <v>1114</v>
      </c>
      <c r="C656" s="69" t="s">
        <v>45</v>
      </c>
      <c r="D656" s="125" t="s">
        <v>64</v>
      </c>
      <c r="E656" s="125" t="s">
        <v>637</v>
      </c>
      <c r="F656" s="130">
        <v>3</v>
      </c>
      <c r="G656" s="133" t="s">
        <v>1421</v>
      </c>
      <c r="H656" s="133" t="s">
        <v>1422</v>
      </c>
      <c r="I656" s="133"/>
      <c r="J656" s="133"/>
      <c r="K656" s="72"/>
      <c r="L656" s="72"/>
      <c r="M656" s="72"/>
      <c r="N656" s="72"/>
      <c r="O656" s="133" t="s">
        <v>381</v>
      </c>
      <c r="P656" s="69">
        <v>0</v>
      </c>
      <c r="Q656" s="68">
        <f>MAX(0,$V656-$P656-$S656)</f>
        <v>0</v>
      </c>
      <c r="R656" s="130"/>
      <c r="S656" s="130"/>
      <c r="T656" s="134">
        <v>0.31</v>
      </c>
      <c r="U656" s="134">
        <f>IF(AND($Q656&gt;0,ISNUMBER($T656)),$Q656*$T656,0)</f>
        <v>0</v>
      </c>
      <c r="V656" s="68">
        <f>SUM(W656:AB656)</f>
        <v>0</v>
      </c>
      <c r="W656" s="130"/>
      <c r="X656" s="130"/>
      <c r="Y656" s="130"/>
      <c r="Z656" s="130"/>
      <c r="AA656" s="130"/>
      <c r="AB656" s="130"/>
      <c r="AC656" s="130"/>
      <c r="AD656" s="75">
        <f>SUM(AE656:AJ656)</f>
        <v>0</v>
      </c>
      <c r="AE656" s="76"/>
      <c r="AF656" s="76"/>
      <c r="AG656" s="76"/>
      <c r="AH656" s="76"/>
      <c r="AI656" s="76"/>
      <c r="AJ656" s="76"/>
      <c r="AK656" s="76"/>
      <c r="AL656" s="77">
        <f>IF((P656-SUM(AE656:AK656))&lt;0,0,P656-SUM(AE656:AK656))</f>
        <v>0</v>
      </c>
      <c r="AM656" s="77">
        <f>SUM(AO656:AT656)</f>
        <v>0</v>
      </c>
      <c r="AN656" s="85"/>
      <c r="AO656" s="72"/>
      <c r="AP656" s="72"/>
      <c r="AQ656" s="72"/>
      <c r="AR656" s="85"/>
      <c r="AS656" s="72"/>
      <c r="AT656" s="72"/>
      <c r="AU656" s="85"/>
      <c r="AV656" s="125"/>
      <c r="AW656" s="72"/>
      <c r="AX656" s="129"/>
    </row>
    <row r="657" spans="1:50" ht="15" customHeight="1">
      <c r="A657" s="125" t="s">
        <v>1767</v>
      </c>
      <c r="B657" s="130" t="s">
        <v>1499</v>
      </c>
      <c r="C657" s="69" t="s">
        <v>45</v>
      </c>
      <c r="D657" s="125" t="s">
        <v>64</v>
      </c>
      <c r="E657" s="125" t="s">
        <v>1572</v>
      </c>
      <c r="F657" s="130">
        <v>3</v>
      </c>
      <c r="G657" s="133" t="s">
        <v>113</v>
      </c>
      <c r="H657" s="133" t="s">
        <v>1768</v>
      </c>
      <c r="I657" s="133"/>
      <c r="J657" s="133"/>
      <c r="K657" s="72"/>
      <c r="L657" s="72"/>
      <c r="M657" s="72"/>
      <c r="N657" s="72"/>
      <c r="O657" s="133" t="s">
        <v>1686</v>
      </c>
      <c r="P657" s="69">
        <v>0</v>
      </c>
      <c r="Q657" s="68">
        <f>MAX(0,$V657-$P657-$S657)</f>
        <v>0</v>
      </c>
      <c r="R657" s="130"/>
      <c r="S657" s="130"/>
      <c r="T657" s="134">
        <v>0.2</v>
      </c>
      <c r="U657" s="134">
        <f>IF(AND($Q657&gt;0,ISNUMBER($T657)),$Q657*$T657,0)</f>
        <v>0</v>
      </c>
      <c r="V657" s="68">
        <f>SUM(W657:AB657)</f>
        <v>0</v>
      </c>
      <c r="W657" s="130"/>
      <c r="X657" s="130"/>
      <c r="Y657" s="130"/>
      <c r="Z657" s="130"/>
      <c r="AA657" s="130"/>
      <c r="AB657" s="130"/>
      <c r="AC657" s="130"/>
      <c r="AD657" s="75">
        <f>SUM(AE657:AJ657)</f>
        <v>0</v>
      </c>
      <c r="AE657" s="76"/>
      <c r="AF657" s="76"/>
      <c r="AG657" s="76"/>
      <c r="AH657" s="76"/>
      <c r="AI657" s="76"/>
      <c r="AJ657" s="76"/>
      <c r="AK657" s="76"/>
      <c r="AL657" s="77">
        <f>IF((P657-SUM(AE657:AK657))&lt;0,0,P657-SUM(AE657:AK657))</f>
        <v>0</v>
      </c>
      <c r="AM657" s="77">
        <f>SUM(AO657:AT657)</f>
        <v>0</v>
      </c>
      <c r="AN657" s="129"/>
      <c r="AO657" s="72"/>
      <c r="AP657" s="72"/>
      <c r="AQ657" s="72"/>
      <c r="AR657" s="72"/>
      <c r="AS657" s="129"/>
      <c r="AT657" s="72"/>
      <c r="AU657" s="129"/>
      <c r="AV657" s="125"/>
      <c r="AW657" s="72"/>
      <c r="AX657" s="72"/>
    </row>
    <row r="658" spans="1:50" ht="15" customHeight="1">
      <c r="A658" s="128" t="s">
        <v>830</v>
      </c>
      <c r="B658" s="130" t="s">
        <v>636</v>
      </c>
      <c r="C658" s="69" t="s">
        <v>45</v>
      </c>
      <c r="D658" s="125" t="s">
        <v>64</v>
      </c>
      <c r="E658" s="125" t="s">
        <v>831</v>
      </c>
      <c r="F658" s="130">
        <v>1</v>
      </c>
      <c r="G658" s="133" t="s">
        <v>656</v>
      </c>
      <c r="H658" s="133" t="s">
        <v>325</v>
      </c>
      <c r="I658" s="133" t="s">
        <v>832</v>
      </c>
      <c r="J658" s="133"/>
      <c r="K658" s="72"/>
      <c r="L658" s="72"/>
      <c r="M658" s="72"/>
      <c r="N658" s="72"/>
      <c r="O658" s="133" t="s">
        <v>53</v>
      </c>
      <c r="P658" s="69">
        <v>0</v>
      </c>
      <c r="Q658" s="68">
        <f>MAX(0,$V658-$P658-$S658)</f>
        <v>1</v>
      </c>
      <c r="R658" s="130"/>
      <c r="S658" s="130"/>
      <c r="T658" s="134">
        <v>0.27</v>
      </c>
      <c r="U658" s="134">
        <f>IF(AND($Q658&gt;0,ISNUMBER($T658)),$Q658*$T658,0)</f>
        <v>0.27</v>
      </c>
      <c r="V658" s="68">
        <f>SUM(W658:AB658)</f>
        <v>1</v>
      </c>
      <c r="W658" s="130"/>
      <c r="X658" s="130"/>
      <c r="Y658" s="130"/>
      <c r="Z658" s="136">
        <v>1</v>
      </c>
      <c r="AA658" s="130"/>
      <c r="AB658" s="130"/>
      <c r="AC658" s="130"/>
      <c r="AD658" s="75">
        <f>SUM(AE658:AJ658)</f>
        <v>0</v>
      </c>
      <c r="AE658" s="76"/>
      <c r="AF658" s="76"/>
      <c r="AG658" s="76"/>
      <c r="AH658" s="76"/>
      <c r="AI658" s="76"/>
      <c r="AJ658" s="76"/>
      <c r="AK658" s="76"/>
      <c r="AL658" s="77">
        <f>IF((P658-SUM(AE658:AK658))&lt;0,0,P658-SUM(AE658:AK658))</f>
        <v>0</v>
      </c>
      <c r="AM658" s="77">
        <f>SUM(AO658:AT658)</f>
        <v>0</v>
      </c>
      <c r="AN658" s="88" t="s">
        <v>81</v>
      </c>
      <c r="AO658" s="72"/>
      <c r="AP658" s="72"/>
      <c r="AQ658" s="72"/>
      <c r="AR658" s="72"/>
      <c r="AS658" s="72"/>
      <c r="AT658" s="72"/>
      <c r="AU658" s="28" t="s">
        <v>833</v>
      </c>
      <c r="AV658" s="125"/>
      <c r="AW658" s="72"/>
      <c r="AX658" s="84"/>
    </row>
    <row r="659" spans="1:50" ht="15" customHeight="1">
      <c r="A659" s="125" t="s">
        <v>1928</v>
      </c>
      <c r="B659" s="130" t="s">
        <v>1831</v>
      </c>
      <c r="C659" s="69" t="s">
        <v>45</v>
      </c>
      <c r="D659" s="125" t="s">
        <v>72</v>
      </c>
      <c r="E659" s="125"/>
      <c r="F659" s="130">
        <v>2</v>
      </c>
      <c r="G659" s="133" t="s">
        <v>49</v>
      </c>
      <c r="H659" s="133" t="s">
        <v>1929</v>
      </c>
      <c r="I659" s="133"/>
      <c r="J659" s="133"/>
      <c r="K659" s="72"/>
      <c r="L659" s="72"/>
      <c r="M659" s="72"/>
      <c r="N659" s="72"/>
      <c r="O659" s="133" t="s">
        <v>180</v>
      </c>
      <c r="P659" s="69">
        <v>0</v>
      </c>
      <c r="Q659" s="68">
        <f>MAX(0,$V659-$P659-$S659)</f>
        <v>0</v>
      </c>
      <c r="R659" s="130"/>
      <c r="S659" s="130"/>
      <c r="T659" s="134">
        <v>0.35</v>
      </c>
      <c r="U659" s="134">
        <f>IF(AND($Q659&gt;0,ISNUMBER($T659)),$Q659*$T659,0)</f>
        <v>0</v>
      </c>
      <c r="V659" s="68">
        <f>SUM(W659:AB659)</f>
        <v>0</v>
      </c>
      <c r="W659" s="130"/>
      <c r="X659" s="130"/>
      <c r="Y659" s="130"/>
      <c r="Z659" s="130"/>
      <c r="AA659" s="130"/>
      <c r="AB659" s="130"/>
      <c r="AC659" s="130"/>
      <c r="AD659" s="75">
        <f>SUM(AE659:AJ659)</f>
        <v>0</v>
      </c>
      <c r="AE659" s="76"/>
      <c r="AF659" s="76"/>
      <c r="AG659" s="76"/>
      <c r="AH659" s="76"/>
      <c r="AI659" s="76"/>
      <c r="AJ659" s="76"/>
      <c r="AK659" s="76"/>
      <c r="AL659" s="77">
        <f>IF((P659-SUM(AE659:AK659))&lt;0,0,P659-SUM(AE659:AK659))</f>
        <v>0</v>
      </c>
      <c r="AM659" s="77">
        <f>SUM(AO659:AT659)</f>
        <v>0</v>
      </c>
      <c r="AN659" s="72"/>
      <c r="AO659" s="72"/>
      <c r="AP659" s="72"/>
      <c r="AQ659" s="72"/>
      <c r="AR659" s="72"/>
      <c r="AS659" s="72"/>
      <c r="AT659" s="72"/>
      <c r="AU659" s="72"/>
      <c r="AV659" s="125"/>
      <c r="AW659" s="72"/>
      <c r="AX659" s="72"/>
    </row>
    <row r="660" spans="1:50" ht="15" customHeight="1">
      <c r="A660" s="128" t="s">
        <v>1071</v>
      </c>
      <c r="B660" s="130" t="s">
        <v>919</v>
      </c>
      <c r="C660" s="69" t="s">
        <v>45</v>
      </c>
      <c r="D660" s="125" t="s">
        <v>627</v>
      </c>
      <c r="E660" s="125"/>
      <c r="F660" s="130">
        <v>0</v>
      </c>
      <c r="G660" s="133" t="s">
        <v>627</v>
      </c>
      <c r="H660" s="133" t="s">
        <v>964</v>
      </c>
      <c r="I660" s="133" t="s">
        <v>1072</v>
      </c>
      <c r="J660" s="133"/>
      <c r="K660" s="72"/>
      <c r="L660" s="72"/>
      <c r="M660" s="72"/>
      <c r="N660" s="72"/>
      <c r="O660" s="133" t="s">
        <v>576</v>
      </c>
      <c r="P660" s="69">
        <v>0</v>
      </c>
      <c r="Q660" s="68">
        <f>MAX(0,$V660-$P660-$S660)</f>
        <v>1</v>
      </c>
      <c r="R660" s="130"/>
      <c r="S660" s="130"/>
      <c r="T660" s="134">
        <v>0.27</v>
      </c>
      <c r="U660" s="134">
        <f>IF(AND($Q660&gt;0,ISNUMBER($T660)),$Q660*$T660,0)</f>
        <v>0.27</v>
      </c>
      <c r="V660" s="68">
        <f>SUM(W660:AB660)</f>
        <v>1</v>
      </c>
      <c r="W660" s="130"/>
      <c r="X660" s="130"/>
      <c r="Y660" s="130"/>
      <c r="Z660" s="130"/>
      <c r="AA660" s="136">
        <v>1</v>
      </c>
      <c r="AB660" s="130"/>
      <c r="AC660" s="130"/>
      <c r="AD660" s="75">
        <f>SUM(AE660:AJ660)</f>
        <v>0</v>
      </c>
      <c r="AE660" s="76"/>
      <c r="AF660" s="76"/>
      <c r="AG660" s="76"/>
      <c r="AH660" s="76"/>
      <c r="AI660" s="76"/>
      <c r="AJ660" s="76"/>
      <c r="AK660" s="76"/>
      <c r="AL660" s="77">
        <f>IF((P660-SUM(AE660:AK660))&lt;0,0,P660-SUM(AE660:AK660))</f>
        <v>0</v>
      </c>
      <c r="AM660" s="77">
        <f>SUM(AO660:AT660)</f>
        <v>0</v>
      </c>
      <c r="AN660" s="83" t="s">
        <v>81</v>
      </c>
      <c r="AO660" s="72"/>
      <c r="AP660" s="72"/>
      <c r="AQ660" s="72"/>
      <c r="AR660" s="72"/>
      <c r="AS660" s="72"/>
      <c r="AT660" s="72"/>
      <c r="AU660" s="28" t="s">
        <v>1073</v>
      </c>
      <c r="AV660" s="125"/>
      <c r="AW660" s="72"/>
      <c r="AX660" s="84"/>
    </row>
    <row r="661" spans="1:50" ht="15" customHeight="1">
      <c r="A661" s="70" t="s">
        <v>258</v>
      </c>
      <c r="B661" s="68" t="s">
        <v>46</v>
      </c>
      <c r="C661" s="69" t="s">
        <v>45</v>
      </c>
      <c r="D661" s="70" t="s">
        <v>47</v>
      </c>
      <c r="E661" s="70"/>
      <c r="F661" s="68">
        <v>2</v>
      </c>
      <c r="G661" s="71" t="s">
        <v>176</v>
      </c>
      <c r="H661" s="71" t="s">
        <v>260</v>
      </c>
      <c r="I661" s="71"/>
      <c r="J661" s="71"/>
      <c r="K661" s="72"/>
      <c r="L661" s="72"/>
      <c r="M661" s="72"/>
      <c r="N661" s="72"/>
      <c r="O661" s="71" t="s">
        <v>259</v>
      </c>
      <c r="P661" s="69">
        <v>0</v>
      </c>
      <c r="Q661" s="68">
        <f>MAX(0,$V661-$P661-$S661)</f>
        <v>0</v>
      </c>
      <c r="R661" s="68"/>
      <c r="S661" s="68"/>
      <c r="T661" s="73">
        <v>3.67</v>
      </c>
      <c r="U661" s="73">
        <f>IF(AND($Q661&gt;0,ISNUMBER($T661)),$Q661*$T661,0)</f>
        <v>0</v>
      </c>
      <c r="V661" s="68">
        <f>SUM(W661:AB661)</f>
        <v>0</v>
      </c>
      <c r="W661" s="68"/>
      <c r="X661" s="68"/>
      <c r="Y661" s="68"/>
      <c r="Z661" s="68"/>
      <c r="AA661" s="68"/>
      <c r="AB661" s="68"/>
      <c r="AC661" s="68"/>
      <c r="AD661" s="75">
        <f>SUM(AE661:AJ661)</f>
        <v>0</v>
      </c>
      <c r="AE661" s="76"/>
      <c r="AF661" s="76"/>
      <c r="AG661" s="76"/>
      <c r="AH661" s="76"/>
      <c r="AI661" s="76"/>
      <c r="AJ661" s="76"/>
      <c r="AK661" s="76"/>
      <c r="AL661" s="77">
        <f>IF((P661-SUM(AE661:AK661))&lt;0,0,P661-SUM(AE661:AK661))</f>
        <v>0</v>
      </c>
      <c r="AM661" s="77">
        <f>SUM(AO661:AT661)</f>
        <v>0</v>
      </c>
      <c r="AN661" s="72"/>
      <c r="AO661" s="72"/>
      <c r="AP661" s="72"/>
      <c r="AQ661" s="72"/>
      <c r="AR661" s="72"/>
      <c r="AS661" s="72"/>
      <c r="AT661" s="72"/>
      <c r="AU661" s="72"/>
      <c r="AV661" s="70"/>
      <c r="AW661" s="72"/>
      <c r="AX661" s="72"/>
    </row>
    <row r="662" spans="1:50" ht="15" customHeight="1">
      <c r="A662" s="70" t="s">
        <v>1074</v>
      </c>
      <c r="B662" s="68" t="s">
        <v>919</v>
      </c>
      <c r="C662" s="69" t="s">
        <v>45</v>
      </c>
      <c r="D662" s="70" t="s">
        <v>627</v>
      </c>
      <c r="E662" s="70"/>
      <c r="F662" s="68">
        <v>0</v>
      </c>
      <c r="G662" s="71" t="s">
        <v>627</v>
      </c>
      <c r="H662" s="71" t="s">
        <v>1075</v>
      </c>
      <c r="I662" s="71" t="s">
        <v>1076</v>
      </c>
      <c r="J662" s="71"/>
      <c r="K662" s="72"/>
      <c r="L662" s="72"/>
      <c r="M662" s="72"/>
      <c r="N662" s="72"/>
      <c r="O662" s="71" t="s">
        <v>576</v>
      </c>
      <c r="P662" s="69">
        <v>0</v>
      </c>
      <c r="Q662" s="68">
        <f>MAX(0,$V662-$P662-$S662)</f>
        <v>0</v>
      </c>
      <c r="R662" s="68"/>
      <c r="S662" s="68"/>
      <c r="T662" s="73">
        <v>0.28999999999999998</v>
      </c>
      <c r="U662" s="73">
        <f>IF(AND($Q662&gt;0,ISNUMBER($T662)),$Q662*$T662,0)</f>
        <v>0</v>
      </c>
      <c r="V662" s="68">
        <f>SUM(W662:AB662)</f>
        <v>0</v>
      </c>
      <c r="W662" s="68"/>
      <c r="X662" s="68"/>
      <c r="Y662" s="68"/>
      <c r="Z662" s="68"/>
      <c r="AA662" s="68"/>
      <c r="AB662" s="68"/>
      <c r="AC662" s="68"/>
      <c r="AD662" s="75">
        <f>SUM(AE662:AJ662)</f>
        <v>0</v>
      </c>
      <c r="AE662" s="76"/>
      <c r="AF662" s="76"/>
      <c r="AG662" s="76"/>
      <c r="AH662" s="76"/>
      <c r="AI662" s="76"/>
      <c r="AJ662" s="76"/>
      <c r="AK662" s="76"/>
      <c r="AL662" s="77">
        <f>IF((P662-SUM(AE662:AK662))&lt;0,0,P662-SUM(AE662:AK662))</f>
        <v>0</v>
      </c>
      <c r="AM662" s="77">
        <f>SUM(AO662:AT662)</f>
        <v>0</v>
      </c>
      <c r="AN662" s="85"/>
      <c r="AO662" s="72"/>
      <c r="AP662" s="72"/>
      <c r="AQ662" s="72"/>
      <c r="AR662" s="72"/>
      <c r="AS662" s="72"/>
      <c r="AT662" s="72"/>
      <c r="AU662" s="72"/>
      <c r="AV662" s="70"/>
      <c r="AW662" s="72"/>
      <c r="AX662" s="85"/>
    </row>
    <row r="663" spans="1:50" ht="15" customHeight="1">
      <c r="A663" s="120" t="s">
        <v>261</v>
      </c>
      <c r="B663" s="130" t="s">
        <v>46</v>
      </c>
      <c r="C663" s="69" t="s">
        <v>45</v>
      </c>
      <c r="D663" s="125" t="s">
        <v>64</v>
      </c>
      <c r="E663" s="125" t="s">
        <v>262</v>
      </c>
      <c r="F663" s="130">
        <v>2</v>
      </c>
      <c r="G663" s="133" t="s">
        <v>264</v>
      </c>
      <c r="H663" s="133" t="s">
        <v>265</v>
      </c>
      <c r="I663" s="133" t="s">
        <v>266</v>
      </c>
      <c r="J663" s="133"/>
      <c r="K663" s="72"/>
      <c r="L663" s="72"/>
      <c r="M663" s="72"/>
      <c r="N663" s="72"/>
      <c r="O663" s="133" t="s">
        <v>263</v>
      </c>
      <c r="P663" s="69">
        <v>0</v>
      </c>
      <c r="Q663" s="68">
        <f>MAX(0,$V663-$P663-$S663)</f>
        <v>0</v>
      </c>
      <c r="R663" s="130"/>
      <c r="S663" s="130"/>
      <c r="T663" s="134">
        <v>0.88</v>
      </c>
      <c r="U663" s="134">
        <f>IF(AND($Q663&gt;0,ISNUMBER($T663)),$Q663*$T663,0)</f>
        <v>0</v>
      </c>
      <c r="V663" s="68">
        <f>SUM(W663:AB663)</f>
        <v>0</v>
      </c>
      <c r="W663" s="130"/>
      <c r="X663" s="130"/>
      <c r="Y663" s="130"/>
      <c r="Z663" s="130"/>
      <c r="AA663" s="130"/>
      <c r="AB663" s="130"/>
      <c r="AC663" s="130"/>
      <c r="AD663" s="75">
        <f>SUM(AE663:AJ663)</f>
        <v>0</v>
      </c>
      <c r="AE663" s="76"/>
      <c r="AF663" s="76"/>
      <c r="AG663" s="76"/>
      <c r="AH663" s="76"/>
      <c r="AI663" s="76"/>
      <c r="AJ663" s="76"/>
      <c r="AK663" s="76"/>
      <c r="AL663" s="77">
        <f>IF((P663-SUM(AE663:AK663))&lt;0,0,P663-SUM(AE663:AK663))</f>
        <v>0</v>
      </c>
      <c r="AM663" s="77">
        <f>SUM(AO663:AT663)</f>
        <v>0</v>
      </c>
      <c r="AN663" s="72"/>
      <c r="AO663" s="72"/>
      <c r="AP663" s="72"/>
      <c r="AQ663" s="72"/>
      <c r="AR663" s="72"/>
      <c r="AS663" s="72"/>
      <c r="AT663" s="72"/>
      <c r="AU663" s="72"/>
      <c r="AV663" s="125"/>
      <c r="AW663" s="72"/>
      <c r="AX663" s="72"/>
    </row>
    <row r="664" spans="1:50" ht="15" customHeight="1">
      <c r="A664" s="120" t="s">
        <v>569</v>
      </c>
      <c r="B664" s="130" t="s">
        <v>345</v>
      </c>
      <c r="C664" s="69" t="s">
        <v>45</v>
      </c>
      <c r="D664" s="125" t="s">
        <v>359</v>
      </c>
      <c r="E664" s="125" t="s">
        <v>554</v>
      </c>
      <c r="F664" s="130">
        <v>4</v>
      </c>
      <c r="G664" s="133" t="s">
        <v>392</v>
      </c>
      <c r="H664" s="133" t="s">
        <v>570</v>
      </c>
      <c r="I664" s="133" t="s">
        <v>467</v>
      </c>
      <c r="J664" s="133"/>
      <c r="K664" s="72"/>
      <c r="L664" s="72"/>
      <c r="M664" s="72"/>
      <c r="N664" s="72"/>
      <c r="O664" s="133" t="s">
        <v>324</v>
      </c>
      <c r="P664" s="69">
        <v>0</v>
      </c>
      <c r="Q664" s="68">
        <f>MAX(0,$V664-$P664-$S664)</f>
        <v>0</v>
      </c>
      <c r="R664" s="130"/>
      <c r="S664" s="130"/>
      <c r="T664" s="134">
        <v>0.28999999999999998</v>
      </c>
      <c r="U664" s="134">
        <f>IF(AND($Q664&gt;0,ISNUMBER($T664)),$Q664*$T664,0)</f>
        <v>0</v>
      </c>
      <c r="V664" s="68">
        <f>SUM(W664:AB664)</f>
        <v>0</v>
      </c>
      <c r="W664" s="130"/>
      <c r="X664" s="130"/>
      <c r="Y664" s="130"/>
      <c r="Z664" s="130"/>
      <c r="AA664" s="130"/>
      <c r="AB664" s="130"/>
      <c r="AC664" s="130"/>
      <c r="AD664" s="75">
        <f>SUM(AE664:AJ664)</f>
        <v>0</v>
      </c>
      <c r="AE664" s="76"/>
      <c r="AF664" s="76"/>
      <c r="AG664" s="76"/>
      <c r="AH664" s="76"/>
      <c r="AI664" s="76"/>
      <c r="AJ664" s="76"/>
      <c r="AK664" s="76"/>
      <c r="AL664" s="77">
        <f>IF((P664-SUM(AE664:AK664))&lt;0,0,P664-SUM(AE664:AK664))</f>
        <v>0</v>
      </c>
      <c r="AM664" s="77">
        <f>SUM(AO664:AT664)</f>
        <v>0</v>
      </c>
      <c r="AN664" s="85"/>
      <c r="AO664" s="72"/>
      <c r="AP664" s="72"/>
      <c r="AQ664" s="72"/>
      <c r="AR664" s="72"/>
      <c r="AS664" s="72"/>
      <c r="AT664" s="72"/>
      <c r="AU664" s="72"/>
      <c r="AV664" s="125"/>
      <c r="AW664" s="72"/>
      <c r="AX664" s="72"/>
    </row>
    <row r="665" spans="1:50" ht="15" customHeight="1">
      <c r="A665" s="120" t="s">
        <v>2295</v>
      </c>
      <c r="B665" s="130" t="s">
        <v>1971</v>
      </c>
      <c r="C665" s="69" t="s">
        <v>45</v>
      </c>
      <c r="D665" s="125" t="s">
        <v>64</v>
      </c>
      <c r="E665" s="125" t="s">
        <v>1130</v>
      </c>
      <c r="F665" s="130">
        <v>2</v>
      </c>
      <c r="G665" s="133" t="s">
        <v>125</v>
      </c>
      <c r="H665" s="133" t="s">
        <v>325</v>
      </c>
      <c r="I665" s="133" t="s">
        <v>2296</v>
      </c>
      <c r="J665" s="133"/>
      <c r="K665" s="72"/>
      <c r="L665" s="72"/>
      <c r="M665" s="72"/>
      <c r="N665" s="72"/>
      <c r="O665" s="133" t="s">
        <v>232</v>
      </c>
      <c r="P665" s="69">
        <v>0</v>
      </c>
      <c r="Q665" s="68">
        <f>MAX(0,$V665-$P665-$S665)</f>
        <v>0</v>
      </c>
      <c r="R665" s="130"/>
      <c r="S665" s="130"/>
      <c r="T665" s="134">
        <v>1.88</v>
      </c>
      <c r="U665" s="134">
        <f>IF(AND($Q665&gt;0,ISNUMBER($T665)),$Q665*$T665,0)</f>
        <v>0</v>
      </c>
      <c r="V665" s="68">
        <f>SUM(W665:AB665)</f>
        <v>0</v>
      </c>
      <c r="W665" s="130"/>
      <c r="X665" s="130"/>
      <c r="Y665" s="130"/>
      <c r="Z665" s="130"/>
      <c r="AA665" s="130"/>
      <c r="AB665" s="130"/>
      <c r="AC665" s="130"/>
      <c r="AD665" s="75">
        <f>SUM(AE665:AJ665)</f>
        <v>0</v>
      </c>
      <c r="AE665" s="76"/>
      <c r="AF665" s="76"/>
      <c r="AG665" s="76"/>
      <c r="AH665" s="76"/>
      <c r="AI665" s="76"/>
      <c r="AJ665" s="76"/>
      <c r="AK665" s="76"/>
      <c r="AL665" s="77">
        <f>IF((P665-SUM(AE665:AK665))&lt;0,0,P665-SUM(AE665:AK665))</f>
        <v>0</v>
      </c>
      <c r="AM665" s="77">
        <f>SUM(AO665:AT665)</f>
        <v>0</v>
      </c>
      <c r="AN665" s="129"/>
      <c r="AO665" s="72"/>
      <c r="AP665" s="72"/>
      <c r="AQ665" s="72"/>
      <c r="AR665" s="72"/>
      <c r="AS665" s="72"/>
      <c r="AT665" s="72"/>
      <c r="AU665" s="72"/>
      <c r="AV665" s="125"/>
      <c r="AW665" s="72"/>
      <c r="AX665" s="72"/>
    </row>
    <row r="666" spans="1:50" ht="15" customHeight="1">
      <c r="A666" s="119" t="s">
        <v>1081</v>
      </c>
      <c r="B666" s="130" t="s">
        <v>919</v>
      </c>
      <c r="C666" s="69" t="s">
        <v>45</v>
      </c>
      <c r="D666" s="125" t="s">
        <v>627</v>
      </c>
      <c r="E666" s="125"/>
      <c r="F666" s="130">
        <v>0</v>
      </c>
      <c r="G666" s="133" t="s">
        <v>627</v>
      </c>
      <c r="H666" s="133" t="s">
        <v>958</v>
      </c>
      <c r="I666" s="133" t="s">
        <v>926</v>
      </c>
      <c r="J666" s="133"/>
      <c r="K666" s="72"/>
      <c r="L666" s="72"/>
      <c r="M666" s="72"/>
      <c r="N666" s="72"/>
      <c r="O666" s="133" t="s">
        <v>291</v>
      </c>
      <c r="P666" s="69">
        <v>0</v>
      </c>
      <c r="Q666" s="68">
        <f>MAX(0,$V666-$P666-$S666)</f>
        <v>0</v>
      </c>
      <c r="R666" s="130"/>
      <c r="S666" s="130"/>
      <c r="T666" s="134">
        <v>0.17</v>
      </c>
      <c r="U666" s="134">
        <f>IF(AND($Q666&gt;0,ISNUMBER($T666)),$Q666*$T666,0)</f>
        <v>0</v>
      </c>
      <c r="V666" s="68">
        <f>SUM(W666:AB666)</f>
        <v>0</v>
      </c>
      <c r="W666" s="135"/>
      <c r="X666" s="130"/>
      <c r="Y666" s="130"/>
      <c r="Z666" s="130"/>
      <c r="AA666" s="130"/>
      <c r="AB666" s="130"/>
      <c r="AC666" s="130"/>
      <c r="AD666" s="75">
        <f>SUM(AE666:AJ666)</f>
        <v>0</v>
      </c>
      <c r="AE666" s="76"/>
      <c r="AF666" s="76"/>
      <c r="AG666" s="76"/>
      <c r="AH666" s="76"/>
      <c r="AI666" s="76"/>
      <c r="AJ666" s="76"/>
      <c r="AK666" s="76"/>
      <c r="AL666" s="77">
        <f>IF((P666-SUM(AE666:AK666))&lt;0,0,P666-SUM(AE666:AK666))</f>
        <v>0</v>
      </c>
      <c r="AM666" s="77">
        <f>SUM(AO666:AT666)</f>
        <v>0</v>
      </c>
      <c r="AN666" s="85"/>
      <c r="AO666" s="72"/>
      <c r="AP666" s="72"/>
      <c r="AQ666" s="72"/>
      <c r="AR666" s="72"/>
      <c r="AS666" s="129"/>
      <c r="AT666" s="72"/>
      <c r="AU666" s="129"/>
      <c r="AV666" s="125"/>
      <c r="AW666" s="72"/>
      <c r="AX666" s="72"/>
    </row>
    <row r="667" spans="1:50" ht="15" customHeight="1">
      <c r="A667" s="120" t="s">
        <v>2310</v>
      </c>
      <c r="B667" s="130" t="s">
        <v>1971</v>
      </c>
      <c r="C667" s="69" t="s">
        <v>45</v>
      </c>
      <c r="D667" s="125" t="s">
        <v>64</v>
      </c>
      <c r="E667" s="125" t="s">
        <v>2311</v>
      </c>
      <c r="F667" s="130">
        <v>2</v>
      </c>
      <c r="G667" s="133" t="s">
        <v>60</v>
      </c>
      <c r="H667" s="133" t="s">
        <v>1236</v>
      </c>
      <c r="I667" s="133" t="s">
        <v>2312</v>
      </c>
      <c r="J667" s="133"/>
      <c r="K667" s="72"/>
      <c r="L667" s="72"/>
      <c r="M667" s="72"/>
      <c r="N667" s="72"/>
      <c r="O667" s="133" t="s">
        <v>662</v>
      </c>
      <c r="P667" s="69">
        <v>0</v>
      </c>
      <c r="Q667" s="68">
        <f>MAX(0,$V667-$P667-$S667)</f>
        <v>0</v>
      </c>
      <c r="R667" s="130"/>
      <c r="S667" s="130"/>
      <c r="T667" s="134">
        <v>4.67</v>
      </c>
      <c r="U667" s="134">
        <f>IF(AND($Q667&gt;0,ISNUMBER($T667)),$Q667*$T667,0)</f>
        <v>0</v>
      </c>
      <c r="V667" s="68">
        <f>SUM(W667:AB667)</f>
        <v>0</v>
      </c>
      <c r="W667" s="130"/>
      <c r="X667" s="130"/>
      <c r="Y667" s="130"/>
      <c r="Z667" s="130"/>
      <c r="AA667" s="130"/>
      <c r="AB667" s="130"/>
      <c r="AC667" s="130"/>
      <c r="AD667" s="75">
        <f>SUM(AE667:AJ667)</f>
        <v>0</v>
      </c>
      <c r="AE667" s="76"/>
      <c r="AF667" s="76"/>
      <c r="AG667" s="76"/>
      <c r="AH667" s="76"/>
      <c r="AI667" s="76"/>
      <c r="AJ667" s="76"/>
      <c r="AK667" s="76"/>
      <c r="AL667" s="77">
        <f>IF((P667-SUM(AE667:AK667))&lt;0,0,P667-SUM(AE667:AK667))</f>
        <v>0</v>
      </c>
      <c r="AM667" s="77">
        <f>SUM(AO667:AT667)</f>
        <v>0</v>
      </c>
      <c r="AN667" s="85"/>
      <c r="AO667" s="72"/>
      <c r="AP667" s="72"/>
      <c r="AQ667" s="72"/>
      <c r="AR667" s="85"/>
      <c r="AS667" s="72"/>
      <c r="AT667" s="72"/>
      <c r="AU667" s="85"/>
      <c r="AV667" s="125"/>
      <c r="AW667" s="72"/>
      <c r="AX667" s="72"/>
    </row>
    <row r="668" spans="1:50" ht="15" customHeight="1">
      <c r="A668" s="120" t="s">
        <v>1472</v>
      </c>
      <c r="B668" s="130" t="s">
        <v>1114</v>
      </c>
      <c r="C668" s="69" t="s">
        <v>45</v>
      </c>
      <c r="D668" s="125" t="s">
        <v>627</v>
      </c>
      <c r="E668" s="125"/>
      <c r="F668" s="130">
        <v>0</v>
      </c>
      <c r="G668" s="133" t="s">
        <v>627</v>
      </c>
      <c r="H668" s="133" t="s">
        <v>1463</v>
      </c>
      <c r="I668" s="133"/>
      <c r="J668" s="133"/>
      <c r="K668" s="69"/>
      <c r="L668" s="69"/>
      <c r="M668" s="69"/>
      <c r="N668" s="69"/>
      <c r="O668" s="133" t="s">
        <v>740</v>
      </c>
      <c r="P668" s="69">
        <v>0</v>
      </c>
      <c r="Q668" s="68">
        <f>MAX(0,$V668-$P668-$S668)</f>
        <v>0</v>
      </c>
      <c r="R668" s="130"/>
      <c r="S668" s="130"/>
      <c r="T668" s="134">
        <v>0.15</v>
      </c>
      <c r="U668" s="134">
        <f>IF(AND($Q668&gt;0,ISNUMBER($T668)),$Q668*$T668,0)</f>
        <v>0</v>
      </c>
      <c r="V668" s="68">
        <f>SUM(W668:AB668)</f>
        <v>0</v>
      </c>
      <c r="W668" s="130"/>
      <c r="X668" s="130"/>
      <c r="Y668" s="130"/>
      <c r="Z668" s="130"/>
      <c r="AA668" s="130"/>
      <c r="AB668" s="130"/>
      <c r="AC668" s="130"/>
      <c r="AD668" s="75">
        <f>SUM(AE668:AJ668)</f>
        <v>0</v>
      </c>
      <c r="AE668" s="76"/>
      <c r="AF668" s="76"/>
      <c r="AG668" s="76"/>
      <c r="AH668" s="76"/>
      <c r="AI668" s="76"/>
      <c r="AJ668" s="76"/>
      <c r="AK668" s="76"/>
      <c r="AL668" s="77">
        <f>IF((P668-SUM(AE668:AK668))&lt;0,0,P668-SUM(AE668:AK668))</f>
        <v>0</v>
      </c>
      <c r="AM668" s="77">
        <f>SUM(AO668:AT668)</f>
        <v>0</v>
      </c>
      <c r="AN668" s="85"/>
      <c r="AO668" s="72"/>
      <c r="AP668" s="72"/>
      <c r="AQ668" s="72"/>
      <c r="AR668" s="72"/>
      <c r="AS668" s="85"/>
      <c r="AT668" s="72"/>
      <c r="AU668" s="85"/>
      <c r="AV668" s="125"/>
      <c r="AW668" s="72"/>
      <c r="AX668" s="72"/>
    </row>
    <row r="669" spans="1:50" ht="15" customHeight="1">
      <c r="A669" s="152" t="s">
        <v>1475</v>
      </c>
      <c r="B669" s="130" t="s">
        <v>1114</v>
      </c>
      <c r="C669" s="69" t="s">
        <v>45</v>
      </c>
      <c r="D669" s="125" t="s">
        <v>627</v>
      </c>
      <c r="E669" s="125"/>
      <c r="F669" s="77">
        <v>0</v>
      </c>
      <c r="G669" s="112" t="s">
        <v>627</v>
      </c>
      <c r="H669" s="112" t="s">
        <v>1476</v>
      </c>
      <c r="I669" s="112"/>
      <c r="J669" s="112"/>
      <c r="K669" s="69"/>
      <c r="L669" s="69"/>
      <c r="M669" s="69"/>
      <c r="N669" s="69"/>
      <c r="O669" s="112" t="s">
        <v>793</v>
      </c>
      <c r="P669" s="69">
        <v>0</v>
      </c>
      <c r="Q669" s="68">
        <f>MAX(0,$V669-$P669-$S669)</f>
        <v>1</v>
      </c>
      <c r="R669" s="77"/>
      <c r="S669" s="77"/>
      <c r="T669" s="113">
        <v>2.39</v>
      </c>
      <c r="U669" s="134">
        <f>IF(AND($Q669&gt;0,ISNUMBER($T669)),$Q669*$T669,0)</f>
        <v>2.39</v>
      </c>
      <c r="V669" s="68">
        <f>SUM(W669:AB669)</f>
        <v>1</v>
      </c>
      <c r="W669" s="77"/>
      <c r="X669" s="77"/>
      <c r="Y669" s="118">
        <v>1</v>
      </c>
      <c r="Z669" s="77"/>
      <c r="AA669" s="77"/>
      <c r="AB669" s="77"/>
      <c r="AC669" s="130"/>
      <c r="AD669" s="75">
        <f>SUM(AE669:AJ669)</f>
        <v>0</v>
      </c>
      <c r="AE669" s="76"/>
      <c r="AF669" s="76"/>
      <c r="AG669" s="76"/>
      <c r="AH669" s="76"/>
      <c r="AI669" s="76"/>
      <c r="AJ669" s="76"/>
      <c r="AK669" s="76"/>
      <c r="AL669" s="77">
        <f>IF((P669-SUM(AE669:AK669))&lt;0,0,P669-SUM(AE669:AK669))</f>
        <v>0</v>
      </c>
      <c r="AM669" s="77">
        <f>SUM(AO669:AT669)</f>
        <v>0</v>
      </c>
      <c r="AN669" s="88" t="s">
        <v>81</v>
      </c>
      <c r="AO669" s="72"/>
      <c r="AP669" s="72"/>
      <c r="AQ669" s="72"/>
      <c r="AR669" s="85"/>
      <c r="AS669" s="72"/>
      <c r="AT669" s="72"/>
      <c r="AU669" s="29" t="s">
        <v>1477</v>
      </c>
      <c r="AV669" s="31"/>
      <c r="AW669" s="72"/>
      <c r="AX669" s="84"/>
    </row>
    <row r="670" spans="1:50" ht="15" customHeight="1">
      <c r="A670" s="70" t="s">
        <v>1815</v>
      </c>
      <c r="B670" s="68" t="s">
        <v>1499</v>
      </c>
      <c r="C670" s="69" t="s">
        <v>45</v>
      </c>
      <c r="D670" s="70" t="s">
        <v>72</v>
      </c>
      <c r="E670" s="70"/>
      <c r="F670" s="68">
        <v>4</v>
      </c>
      <c r="G670" s="71" t="s">
        <v>91</v>
      </c>
      <c r="H670" s="71" t="s">
        <v>1816</v>
      </c>
      <c r="I670" s="71" t="s">
        <v>1817</v>
      </c>
      <c r="J670" s="71"/>
      <c r="K670" s="72"/>
      <c r="L670" s="72"/>
      <c r="M670" s="72"/>
      <c r="N670" s="72"/>
      <c r="O670" s="71" t="s">
        <v>120</v>
      </c>
      <c r="P670" s="69">
        <v>0</v>
      </c>
      <c r="Q670" s="68">
        <f>MAX(0,$V670-$P670-$S670)</f>
        <v>0</v>
      </c>
      <c r="R670" s="68"/>
      <c r="S670" s="68"/>
      <c r="T670" s="73">
        <v>3.34</v>
      </c>
      <c r="U670" s="73">
        <f>IF(AND($Q670&gt;0,ISNUMBER($T670)),$Q670*$T670,0)</f>
        <v>0</v>
      </c>
      <c r="V670" s="68">
        <f>SUM(W670:AB670)</f>
        <v>0</v>
      </c>
      <c r="W670" s="68"/>
      <c r="X670" s="68"/>
      <c r="Y670" s="68"/>
      <c r="Z670" s="68"/>
      <c r="AA670" s="68"/>
      <c r="AB670" s="68"/>
      <c r="AC670" s="68"/>
      <c r="AD670" s="75">
        <f>SUM(AE670:AJ670)</f>
        <v>0</v>
      </c>
      <c r="AE670" s="76"/>
      <c r="AF670" s="76"/>
      <c r="AG670" s="76"/>
      <c r="AH670" s="76"/>
      <c r="AI670" s="76"/>
      <c r="AJ670" s="76"/>
      <c r="AK670" s="76"/>
      <c r="AL670" s="77">
        <f>IF((P670-SUM(AE670:AK670))&lt;0,0,P670-SUM(AE670:AK670))</f>
        <v>0</v>
      </c>
      <c r="AM670" s="77">
        <f>SUM(AO670:AT670)</f>
        <v>0</v>
      </c>
      <c r="AN670" s="85"/>
      <c r="AO670" s="72"/>
      <c r="AP670" s="72"/>
      <c r="AQ670" s="72"/>
      <c r="AR670" s="72"/>
      <c r="AS670" s="72"/>
      <c r="AT670" s="72"/>
      <c r="AU670" s="72"/>
      <c r="AV670" s="70"/>
      <c r="AW670" s="72"/>
      <c r="AX670" s="72"/>
    </row>
    <row r="671" spans="1:50" ht="15" customHeight="1">
      <c r="A671" s="70" t="s">
        <v>610</v>
      </c>
      <c r="B671" s="68" t="s">
        <v>345</v>
      </c>
      <c r="C671" s="69" t="s">
        <v>45</v>
      </c>
      <c r="D671" s="70" t="s">
        <v>175</v>
      </c>
      <c r="E671" s="70" t="s">
        <v>563</v>
      </c>
      <c r="F671" s="68">
        <v>2</v>
      </c>
      <c r="G671" s="71" t="s">
        <v>91</v>
      </c>
      <c r="H671" s="71" t="s">
        <v>612</v>
      </c>
      <c r="I671" s="71" t="s">
        <v>613</v>
      </c>
      <c r="J671" s="71" t="s">
        <v>614</v>
      </c>
      <c r="K671" s="72"/>
      <c r="L671" s="72"/>
      <c r="M671" s="72"/>
      <c r="N671" s="72"/>
      <c r="O671" s="71" t="s">
        <v>611</v>
      </c>
      <c r="P671" s="69">
        <v>0</v>
      </c>
      <c r="Q671" s="68">
        <f>MAX(0,$V671-$P671-$S671)</f>
        <v>0</v>
      </c>
      <c r="R671" s="68"/>
      <c r="S671" s="68"/>
      <c r="T671" s="73">
        <v>0.38</v>
      </c>
      <c r="U671" s="73">
        <f>IF(AND($Q671&gt;0,ISNUMBER($T671)),$Q671*$T671,0)</f>
        <v>0</v>
      </c>
      <c r="V671" s="68">
        <f>SUM(W671:AB671)</f>
        <v>0</v>
      </c>
      <c r="W671" s="68"/>
      <c r="X671" s="68"/>
      <c r="Y671" s="68"/>
      <c r="Z671" s="68"/>
      <c r="AA671" s="68"/>
      <c r="AB671" s="68"/>
      <c r="AC671" s="68"/>
      <c r="AD671" s="75">
        <f>SUM(AE671:AJ671)</f>
        <v>0</v>
      </c>
      <c r="AE671" s="76"/>
      <c r="AF671" s="76"/>
      <c r="AG671" s="76"/>
      <c r="AH671" s="76"/>
      <c r="AI671" s="76"/>
      <c r="AJ671" s="76"/>
      <c r="AK671" s="76"/>
      <c r="AL671" s="77">
        <f>IF((P671-SUM(AE671:AK671))&lt;0,0,P671-SUM(AE671:AK671))</f>
        <v>0</v>
      </c>
      <c r="AM671" s="77">
        <f>SUM(AO671:AT671)</f>
        <v>0</v>
      </c>
      <c r="AN671" s="85"/>
      <c r="AO671" s="72"/>
      <c r="AP671" s="72"/>
      <c r="AQ671" s="72"/>
      <c r="AR671" s="72"/>
      <c r="AS671" s="72"/>
      <c r="AT671" s="72"/>
      <c r="AU671" s="72"/>
      <c r="AV671" s="70"/>
      <c r="AW671" s="72"/>
      <c r="AX671" s="72"/>
    </row>
    <row r="672" spans="1:50" ht="15" customHeight="1">
      <c r="A672" s="70" t="s">
        <v>1478</v>
      </c>
      <c r="B672" s="68" t="s">
        <v>1114</v>
      </c>
      <c r="C672" s="69" t="s">
        <v>45</v>
      </c>
      <c r="D672" s="70" t="s">
        <v>72</v>
      </c>
      <c r="E672" s="70"/>
      <c r="F672" s="68">
        <v>4</v>
      </c>
      <c r="G672" s="71" t="s">
        <v>49</v>
      </c>
      <c r="H672" s="71" t="s">
        <v>1126</v>
      </c>
      <c r="I672" s="71"/>
      <c r="J672" s="71"/>
      <c r="K672" s="72"/>
      <c r="L672" s="72"/>
      <c r="M672" s="72"/>
      <c r="N672" s="72"/>
      <c r="O672" s="71" t="s">
        <v>740</v>
      </c>
      <c r="P672" s="69">
        <v>0</v>
      </c>
      <c r="Q672" s="68">
        <f>MAX(0,$V672-$P672-$S672)</f>
        <v>0</v>
      </c>
      <c r="R672" s="68"/>
      <c r="S672" s="68"/>
      <c r="T672" s="73">
        <v>0.28999999999999998</v>
      </c>
      <c r="U672" s="73">
        <f>IF(AND($Q672&gt;0,ISNUMBER($T672)),$Q672*$T672,0)</f>
        <v>0</v>
      </c>
      <c r="V672" s="68">
        <f>SUM(W672:AB672)</f>
        <v>0</v>
      </c>
      <c r="W672" s="68"/>
      <c r="X672" s="68"/>
      <c r="Y672" s="68"/>
      <c r="Z672" s="68"/>
      <c r="AA672" s="68"/>
      <c r="AB672" s="68"/>
      <c r="AC672" s="68"/>
      <c r="AD672" s="75">
        <f>SUM(AE672:AJ672)</f>
        <v>0</v>
      </c>
      <c r="AE672" s="76"/>
      <c r="AF672" s="76"/>
      <c r="AG672" s="76"/>
      <c r="AH672" s="76"/>
      <c r="AI672" s="76"/>
      <c r="AJ672" s="76"/>
      <c r="AK672" s="76"/>
      <c r="AL672" s="77">
        <f>IF((P672-SUM(AE672:AK672))&lt;0,0,P672-SUM(AE672:AK672))</f>
        <v>0</v>
      </c>
      <c r="AM672" s="77">
        <f>SUM(AO672:AT672)</f>
        <v>0</v>
      </c>
      <c r="AN672" s="85"/>
      <c r="AO672" s="72"/>
      <c r="AP672" s="72"/>
      <c r="AQ672" s="72"/>
      <c r="AR672" s="72"/>
      <c r="AS672" s="72"/>
      <c r="AT672" s="72"/>
      <c r="AU672" s="72"/>
      <c r="AV672" s="70"/>
      <c r="AW672" s="72"/>
      <c r="AX672" s="85"/>
    </row>
    <row r="673" spans="1:50" ht="15" customHeight="1">
      <c r="A673" s="70" t="s">
        <v>320</v>
      </c>
      <c r="B673" s="68" t="s">
        <v>46</v>
      </c>
      <c r="C673" s="69" t="s">
        <v>45</v>
      </c>
      <c r="D673" s="70" t="s">
        <v>72</v>
      </c>
      <c r="E673" s="70"/>
      <c r="F673" s="68">
        <v>3</v>
      </c>
      <c r="G673" s="71" t="s">
        <v>49</v>
      </c>
      <c r="H673" s="71" t="s">
        <v>321</v>
      </c>
      <c r="I673" s="71"/>
      <c r="J673" s="71"/>
      <c r="K673" s="72"/>
      <c r="L673" s="72"/>
      <c r="M673" s="72"/>
      <c r="N673" s="72"/>
      <c r="O673" s="71" t="s">
        <v>180</v>
      </c>
      <c r="P673" s="69">
        <v>0</v>
      </c>
      <c r="Q673" s="68">
        <f>MAX(0,$V673-$P673-$S673)</f>
        <v>0</v>
      </c>
      <c r="R673" s="68"/>
      <c r="S673" s="68"/>
      <c r="T673" s="73">
        <v>0.39</v>
      </c>
      <c r="U673" s="73">
        <f>IF(AND($Q673&gt;0,ISNUMBER($T673)),$Q673*$T673,0)</f>
        <v>0</v>
      </c>
      <c r="V673" s="68">
        <f>SUM(W673:AB673)</f>
        <v>0</v>
      </c>
      <c r="W673" s="68"/>
      <c r="X673" s="68"/>
      <c r="Y673" s="68"/>
      <c r="Z673" s="68"/>
      <c r="AA673" s="68"/>
      <c r="AB673" s="68"/>
      <c r="AC673" s="68"/>
      <c r="AD673" s="75">
        <f>SUM(AE673:AJ673)</f>
        <v>0</v>
      </c>
      <c r="AE673" s="76"/>
      <c r="AF673" s="76"/>
      <c r="AG673" s="76"/>
      <c r="AH673" s="76"/>
      <c r="AI673" s="76"/>
      <c r="AJ673" s="76"/>
      <c r="AK673" s="76"/>
      <c r="AL673" s="77">
        <f>IF((P673-SUM(AE673:AK673))&lt;0,0,P673-SUM(AE673:AK673))</f>
        <v>0</v>
      </c>
      <c r="AM673" s="77">
        <f>SUM(AO673:AT673)</f>
        <v>0</v>
      </c>
      <c r="AN673" s="85"/>
      <c r="AO673" s="72"/>
      <c r="AP673" s="72"/>
      <c r="AQ673" s="72"/>
      <c r="AR673" s="72"/>
      <c r="AS673" s="72"/>
      <c r="AT673" s="72"/>
      <c r="AU673" s="72"/>
      <c r="AV673" s="70"/>
      <c r="AW673" s="72"/>
      <c r="AX673" s="85"/>
    </row>
    <row r="674" spans="1:50" ht="15" customHeight="1">
      <c r="A674" s="70" t="s">
        <v>322</v>
      </c>
      <c r="B674" s="68" t="s">
        <v>46</v>
      </c>
      <c r="C674" s="69" t="s">
        <v>45</v>
      </c>
      <c r="D674" s="70" t="s">
        <v>64</v>
      </c>
      <c r="E674" s="70" t="s">
        <v>323</v>
      </c>
      <c r="F674" s="68">
        <v>3</v>
      </c>
      <c r="G674" s="71" t="s">
        <v>125</v>
      </c>
      <c r="H674" s="71" t="s">
        <v>325</v>
      </c>
      <c r="I674" s="71" t="s">
        <v>326</v>
      </c>
      <c r="J674" s="71"/>
      <c r="K674" s="72"/>
      <c r="L674" s="72"/>
      <c r="M674" s="72"/>
      <c r="N674" s="72"/>
      <c r="O674" s="71" t="s">
        <v>324</v>
      </c>
      <c r="P674" s="69">
        <v>0</v>
      </c>
      <c r="Q674" s="68">
        <f>MAX(0,$V674-$P674-$S674)</f>
        <v>0</v>
      </c>
      <c r="R674" s="68"/>
      <c r="S674" s="68"/>
      <c r="T674" s="73">
        <v>2.02</v>
      </c>
      <c r="U674" s="73">
        <f>IF(AND($Q674&gt;0,ISNUMBER($T674)),$Q674*$T674,0)</f>
        <v>0</v>
      </c>
      <c r="V674" s="68">
        <f>SUM(W674:AB674)</f>
        <v>0</v>
      </c>
      <c r="W674" s="68"/>
      <c r="X674" s="68"/>
      <c r="Y674" s="68"/>
      <c r="Z674" s="68"/>
      <c r="AA674" s="68"/>
      <c r="AB674" s="68"/>
      <c r="AC674" s="68"/>
      <c r="AD674" s="75">
        <f>SUM(AE674:AJ674)</f>
        <v>0</v>
      </c>
      <c r="AE674" s="76"/>
      <c r="AF674" s="76"/>
      <c r="AG674" s="76"/>
      <c r="AH674" s="76"/>
      <c r="AI674" s="76"/>
      <c r="AJ674" s="76"/>
      <c r="AK674" s="76"/>
      <c r="AL674" s="77">
        <f>IF((P674-SUM(AE674:AK674))&lt;0,0,P674-SUM(AE674:AK674))</f>
        <v>0</v>
      </c>
      <c r="AM674" s="77">
        <f>SUM(AO674:AT674)</f>
        <v>0</v>
      </c>
      <c r="AN674" s="85"/>
      <c r="AO674" s="72"/>
      <c r="AP674" s="72"/>
      <c r="AQ674" s="72"/>
      <c r="AR674" s="72"/>
      <c r="AS674" s="72"/>
      <c r="AT674" s="72"/>
      <c r="AU674" s="72"/>
      <c r="AV674" s="70"/>
      <c r="AW674" s="72"/>
      <c r="AX674" s="85"/>
    </row>
    <row r="675" spans="1:50" ht="15" customHeight="1">
      <c r="A675" s="81" t="s">
        <v>885</v>
      </c>
      <c r="B675" s="68" t="s">
        <v>636</v>
      </c>
      <c r="C675" s="69" t="s">
        <v>45</v>
      </c>
      <c r="D675" s="70" t="s">
        <v>64</v>
      </c>
      <c r="E675" s="70" t="s">
        <v>815</v>
      </c>
      <c r="F675" s="68">
        <v>2</v>
      </c>
      <c r="G675" s="71" t="s">
        <v>176</v>
      </c>
      <c r="H675" s="71" t="s">
        <v>545</v>
      </c>
      <c r="I675" s="71" t="s">
        <v>287</v>
      </c>
      <c r="J675" s="71"/>
      <c r="K675" s="72"/>
      <c r="L675" s="72"/>
      <c r="M675" s="72"/>
      <c r="N675" s="72"/>
      <c r="O675" s="71" t="s">
        <v>790</v>
      </c>
      <c r="P675" s="69">
        <v>0</v>
      </c>
      <c r="Q675" s="68">
        <f>MAX(0,$V675-$P675-$S675)</f>
        <v>1</v>
      </c>
      <c r="R675" s="68"/>
      <c r="S675" s="68"/>
      <c r="T675" s="73">
        <v>0.28999999999999998</v>
      </c>
      <c r="U675" s="73">
        <f>IF(AND($Q675&gt;0,ISNUMBER($T675)),$Q675*$T675,0)</f>
        <v>0.28999999999999998</v>
      </c>
      <c r="V675" s="68">
        <f>SUM(W675:AB675)</f>
        <v>1</v>
      </c>
      <c r="W675" s="68"/>
      <c r="X675" s="68"/>
      <c r="Y675" s="68"/>
      <c r="Z675" s="82">
        <v>1</v>
      </c>
      <c r="AA675" s="68"/>
      <c r="AB675" s="68"/>
      <c r="AC675" s="68"/>
      <c r="AD675" s="75">
        <f>SUM(AE675:AJ675)</f>
        <v>0</v>
      </c>
      <c r="AE675" s="76"/>
      <c r="AF675" s="76"/>
      <c r="AG675" s="76"/>
      <c r="AH675" s="76"/>
      <c r="AI675" s="76"/>
      <c r="AJ675" s="76"/>
      <c r="AK675" s="76"/>
      <c r="AL675" s="77">
        <f>IF((P675-SUM(AE675:AK675))&lt;0,0,P675-SUM(AE675:AK675))</f>
        <v>0</v>
      </c>
      <c r="AM675" s="77">
        <f>SUM(AO675:AT675)</f>
        <v>0</v>
      </c>
      <c r="AN675" s="88" t="s">
        <v>81</v>
      </c>
      <c r="AO675" s="72"/>
      <c r="AP675" s="72"/>
      <c r="AQ675" s="72"/>
      <c r="AR675" s="72"/>
      <c r="AS675" s="72"/>
      <c r="AT675" s="72"/>
      <c r="AU675" s="28" t="s">
        <v>886</v>
      </c>
      <c r="AV675" s="70"/>
      <c r="AW675" s="72"/>
      <c r="AX675" s="89"/>
    </row>
    <row r="676" spans="1:50" ht="15" customHeight="1">
      <c r="A676" s="70" t="s">
        <v>623</v>
      </c>
      <c r="B676" s="68" t="s">
        <v>345</v>
      </c>
      <c r="C676" s="69" t="s">
        <v>45</v>
      </c>
      <c r="D676" s="70" t="s">
        <v>359</v>
      </c>
      <c r="E676" s="70" t="s">
        <v>323</v>
      </c>
      <c r="F676" s="68">
        <v>2</v>
      </c>
      <c r="G676" s="71" t="s">
        <v>125</v>
      </c>
      <c r="H676" s="71" t="s">
        <v>325</v>
      </c>
      <c r="I676" s="71" t="s">
        <v>625</v>
      </c>
      <c r="J676" s="71"/>
      <c r="K676" s="72"/>
      <c r="L676" s="72"/>
      <c r="M676" s="72"/>
      <c r="N676" s="72"/>
      <c r="O676" s="71" t="s">
        <v>624</v>
      </c>
      <c r="P676" s="69">
        <v>0</v>
      </c>
      <c r="Q676" s="68">
        <f>MAX(0,$V676-$P676-$S676)</f>
        <v>0</v>
      </c>
      <c r="R676" s="68"/>
      <c r="S676" s="68"/>
      <c r="T676" s="73">
        <v>0.31</v>
      </c>
      <c r="U676" s="73">
        <f>IF(AND($Q676&gt;0,ISNUMBER($T676)),$Q676*$T676,0)</f>
        <v>0</v>
      </c>
      <c r="V676" s="68">
        <f>SUM(W676:AB676)</f>
        <v>0</v>
      </c>
      <c r="W676" s="68"/>
      <c r="X676" s="68"/>
      <c r="Y676" s="68"/>
      <c r="Z676" s="68"/>
      <c r="AA676" s="68"/>
      <c r="AB676" s="68"/>
      <c r="AC676" s="68"/>
      <c r="AD676" s="75">
        <f>SUM(AE676:AJ676)</f>
        <v>0</v>
      </c>
      <c r="AE676" s="76"/>
      <c r="AF676" s="76"/>
      <c r="AG676" s="76"/>
      <c r="AH676" s="76"/>
      <c r="AI676" s="76"/>
      <c r="AJ676" s="76"/>
      <c r="AK676" s="76"/>
      <c r="AL676" s="77">
        <f>IF((P676-SUM(AE676:AK676))&lt;0,0,P676-SUM(AE676:AK676))</f>
        <v>0</v>
      </c>
      <c r="AM676" s="77">
        <f>SUM(AO676:AT676)</f>
        <v>0</v>
      </c>
      <c r="AN676" s="85"/>
      <c r="AO676" s="72"/>
      <c r="AP676" s="72"/>
      <c r="AQ676" s="72"/>
      <c r="AR676" s="72"/>
      <c r="AS676" s="72"/>
      <c r="AT676" s="72"/>
      <c r="AU676" s="72"/>
      <c r="AV676" s="70"/>
      <c r="AW676" s="72"/>
      <c r="AX676" s="85"/>
    </row>
    <row r="677" spans="1:50" ht="15" customHeight="1">
      <c r="A677" s="81" t="s">
        <v>2356</v>
      </c>
      <c r="B677" s="68" t="s">
        <v>1971</v>
      </c>
      <c r="C677" s="69" t="s">
        <v>45</v>
      </c>
      <c r="D677" s="70" t="s">
        <v>64</v>
      </c>
      <c r="E677" s="70" t="s">
        <v>323</v>
      </c>
      <c r="F677" s="68">
        <v>2</v>
      </c>
      <c r="G677" s="71" t="s">
        <v>176</v>
      </c>
      <c r="H677" s="71" t="s">
        <v>545</v>
      </c>
      <c r="I677" s="71" t="s">
        <v>287</v>
      </c>
      <c r="J677" s="71"/>
      <c r="K677" s="72"/>
      <c r="L677" s="72"/>
      <c r="M677" s="72"/>
      <c r="N677" s="72"/>
      <c r="O677" s="71" t="s">
        <v>232</v>
      </c>
      <c r="P677" s="69">
        <v>0</v>
      </c>
      <c r="Q677" s="68">
        <f>MAX(0,$V677-$P677-$S677)</f>
        <v>0</v>
      </c>
      <c r="R677" s="68" t="s">
        <v>57</v>
      </c>
      <c r="S677" s="68">
        <v>1</v>
      </c>
      <c r="T677" s="73">
        <v>0.28000000000000003</v>
      </c>
      <c r="U677" s="73">
        <f>IF(AND($Q677&gt;0,ISNUMBER($T677)),$Q677*$T677,0)</f>
        <v>0</v>
      </c>
      <c r="V677" s="68">
        <f>SUM(W677:AB677)</f>
        <v>1</v>
      </c>
      <c r="W677" s="68"/>
      <c r="X677" s="68"/>
      <c r="Y677" s="68"/>
      <c r="Z677" s="82">
        <v>1</v>
      </c>
      <c r="AA677" s="68"/>
      <c r="AB677" s="68"/>
      <c r="AC677" s="68"/>
      <c r="AD677" s="75">
        <f>SUM(AE677:AJ677)</f>
        <v>0</v>
      </c>
      <c r="AE677" s="76"/>
      <c r="AF677" s="76"/>
      <c r="AG677" s="76"/>
      <c r="AH677" s="76"/>
      <c r="AI677" s="76"/>
      <c r="AJ677" s="76"/>
      <c r="AK677" s="76"/>
      <c r="AL677" s="77">
        <f>IF((P677-SUM(AE677:AK677))&lt;0,0,P677-SUM(AE677:AK677))</f>
        <v>0</v>
      </c>
      <c r="AM677" s="77">
        <f>SUM(AO677:AT677)</f>
        <v>0</v>
      </c>
      <c r="AN677" s="138" t="s">
        <v>81</v>
      </c>
      <c r="AO677" s="72"/>
      <c r="AP677" s="72"/>
      <c r="AQ677" s="72"/>
      <c r="AR677" s="72"/>
      <c r="AS677" s="72"/>
      <c r="AT677" s="72"/>
      <c r="AU677" s="28" t="s">
        <v>2357</v>
      </c>
      <c r="AV677" s="70"/>
      <c r="AW677" s="72"/>
      <c r="AX677" s="143"/>
    </row>
    <row r="678" spans="1:50" ht="15" customHeight="1">
      <c r="A678" s="70" t="s">
        <v>2361</v>
      </c>
      <c r="B678" s="68" t="s">
        <v>1971</v>
      </c>
      <c r="C678" s="69" t="s">
        <v>45</v>
      </c>
      <c r="D678" s="70" t="s">
        <v>64</v>
      </c>
      <c r="E678" s="70" t="s">
        <v>2362</v>
      </c>
      <c r="F678" s="68">
        <v>4</v>
      </c>
      <c r="G678" s="71" t="s">
        <v>433</v>
      </c>
      <c r="H678" s="71" t="s">
        <v>2363</v>
      </c>
      <c r="I678" s="71" t="s">
        <v>2355</v>
      </c>
      <c r="J678" s="71"/>
      <c r="K678" s="72"/>
      <c r="L678" s="72"/>
      <c r="M678" s="72"/>
      <c r="N678" s="72"/>
      <c r="O678" s="71" t="s">
        <v>977</v>
      </c>
      <c r="P678" s="69">
        <v>0</v>
      </c>
      <c r="Q678" s="68">
        <f>MAX(0,$V678-$P678-$S678)</f>
        <v>0</v>
      </c>
      <c r="R678" s="68" t="s">
        <v>57</v>
      </c>
      <c r="S678" s="68">
        <v>1</v>
      </c>
      <c r="T678" s="73">
        <v>0.36</v>
      </c>
      <c r="U678" s="73">
        <f>IF(AND($Q678&gt;0,ISNUMBER($T678)),$Q678*$T678,0)</f>
        <v>0</v>
      </c>
      <c r="V678" s="68">
        <f>SUM(W678:AB678)</f>
        <v>0</v>
      </c>
      <c r="W678" s="68"/>
      <c r="X678" s="68"/>
      <c r="Y678" s="68"/>
      <c r="Z678" s="68"/>
      <c r="AA678" s="68"/>
      <c r="AB678" s="68"/>
      <c r="AC678" s="68"/>
      <c r="AD678" s="75">
        <f>SUM(AE678:AJ678)</f>
        <v>0</v>
      </c>
      <c r="AE678" s="76"/>
      <c r="AF678" s="76"/>
      <c r="AG678" s="76"/>
      <c r="AH678" s="76"/>
      <c r="AI678" s="76"/>
      <c r="AJ678" s="76"/>
      <c r="AK678" s="76"/>
      <c r="AL678" s="77">
        <f>IF((P678-SUM(AE678:AK678))&lt;0,0,P678-SUM(AE678:AK678))</f>
        <v>0</v>
      </c>
      <c r="AM678" s="77">
        <f>SUM(AO678:AT678)</f>
        <v>0</v>
      </c>
      <c r="AN678" s="85"/>
      <c r="AO678" s="72"/>
      <c r="AP678" s="72"/>
      <c r="AQ678" s="72"/>
      <c r="AR678" s="72"/>
      <c r="AS678" s="72"/>
      <c r="AT678" s="72"/>
      <c r="AU678" s="72"/>
      <c r="AV678" s="70"/>
      <c r="AW678" s="72"/>
      <c r="AX678" s="72"/>
    </row>
    <row r="679" spans="1:50" ht="15" customHeight="1">
      <c r="A679" s="81" t="s">
        <v>890</v>
      </c>
      <c r="B679" s="68" t="s">
        <v>636</v>
      </c>
      <c r="C679" s="69" t="s">
        <v>45</v>
      </c>
      <c r="D679" s="70" t="s">
        <v>64</v>
      </c>
      <c r="E679" s="70" t="s">
        <v>815</v>
      </c>
      <c r="F679" s="68">
        <v>2</v>
      </c>
      <c r="G679" s="71" t="s">
        <v>392</v>
      </c>
      <c r="H679" s="71" t="s">
        <v>892</v>
      </c>
      <c r="I679" s="71" t="s">
        <v>287</v>
      </c>
      <c r="J679" s="71"/>
      <c r="K679" s="72"/>
      <c r="L679" s="72"/>
      <c r="M679" s="72"/>
      <c r="N679" s="72"/>
      <c r="O679" s="71" t="s">
        <v>891</v>
      </c>
      <c r="P679" s="69">
        <v>0</v>
      </c>
      <c r="Q679" s="68">
        <f>MAX(0,$V679-$P679-$S679)</f>
        <v>0</v>
      </c>
      <c r="R679" s="68" t="s">
        <v>57</v>
      </c>
      <c r="S679" s="68">
        <v>1</v>
      </c>
      <c r="T679" s="73">
        <v>0.23</v>
      </c>
      <c r="U679" s="73">
        <f>IF(AND($Q679&gt;0,ISNUMBER($T679)),$Q679*$T679,0)</f>
        <v>0</v>
      </c>
      <c r="V679" s="68">
        <f>SUM(W679:AB679)</f>
        <v>1</v>
      </c>
      <c r="W679" s="68"/>
      <c r="X679" s="68"/>
      <c r="Y679" s="68"/>
      <c r="Z679" s="82">
        <v>1</v>
      </c>
      <c r="AA679" s="68"/>
      <c r="AB679" s="68"/>
      <c r="AC679" s="68"/>
      <c r="AD679" s="75">
        <f>SUM(AE679:AJ679)</f>
        <v>0</v>
      </c>
      <c r="AE679" s="76"/>
      <c r="AF679" s="76"/>
      <c r="AG679" s="76"/>
      <c r="AH679" s="76"/>
      <c r="AI679" s="76"/>
      <c r="AJ679" s="76"/>
      <c r="AK679" s="76"/>
      <c r="AL679" s="77">
        <f>IF((P679-SUM(AE679:AK679))&lt;0,0,P679-SUM(AE679:AK679))</f>
        <v>0</v>
      </c>
      <c r="AM679" s="77">
        <f>SUM(AO679:AT679)</f>
        <v>0</v>
      </c>
      <c r="AN679" s="88" t="s">
        <v>81</v>
      </c>
      <c r="AO679" s="72"/>
      <c r="AP679" s="72"/>
      <c r="AQ679" s="72"/>
      <c r="AR679" s="72"/>
      <c r="AS679" s="72"/>
      <c r="AT679" s="72"/>
      <c r="AU679" s="28" t="s">
        <v>893</v>
      </c>
      <c r="AV679" s="70"/>
      <c r="AW679" s="72"/>
      <c r="AX679" s="89"/>
    </row>
    <row r="680" spans="1:50" ht="15" customHeight="1">
      <c r="A680" s="98" t="s">
        <v>2551</v>
      </c>
      <c r="B680" s="100" t="s">
        <v>1114</v>
      </c>
      <c r="C680" s="101" t="s">
        <v>45</v>
      </c>
      <c r="D680" s="98" t="s">
        <v>64</v>
      </c>
      <c r="E680" s="98" t="s">
        <v>2552</v>
      </c>
      <c r="F680" s="100">
        <v>4</v>
      </c>
      <c r="G680" s="98" t="s">
        <v>530</v>
      </c>
      <c r="H680" s="98" t="s">
        <v>2553</v>
      </c>
      <c r="I680" s="98"/>
      <c r="J680" s="98"/>
      <c r="K680" s="99"/>
      <c r="L680" s="99"/>
      <c r="M680" s="99"/>
      <c r="N680" s="99"/>
      <c r="O680" s="98" t="s">
        <v>112</v>
      </c>
      <c r="P680" s="101">
        <v>0</v>
      </c>
      <c r="Q680" s="68">
        <f>MAX(0,$V680-$P680-$S680)</f>
        <v>0</v>
      </c>
      <c r="R680" s="98"/>
      <c r="S680" s="98"/>
      <c r="T680" s="98">
        <v>0.12</v>
      </c>
      <c r="U680" s="98">
        <f>IF(AND($Q680&gt;0,ISNUMBER($T680)),$Q680*$T680,0)</f>
        <v>0</v>
      </c>
      <c r="V680" s="68">
        <f>SUM(W680:AB680)</f>
        <v>0</v>
      </c>
      <c r="W680" s="100"/>
      <c r="X680" s="100"/>
      <c r="Y680" s="100"/>
      <c r="Z680" s="100"/>
      <c r="AA680" s="100"/>
      <c r="AB680" s="100"/>
      <c r="AC680" s="68"/>
      <c r="AD680" s="75">
        <f>SUM(AE680:AJ680)</f>
        <v>0</v>
      </c>
      <c r="AE680" s="102"/>
      <c r="AF680" s="102"/>
      <c r="AG680" s="102"/>
      <c r="AH680" s="102"/>
      <c r="AI680" s="102"/>
      <c r="AJ680" s="102"/>
      <c r="AK680" s="102"/>
      <c r="AL680" s="77">
        <f>IF((P680-SUM(AE680:AK680))&lt;0,0,P680-SUM(AE680:AK680))</f>
        <v>0</v>
      </c>
      <c r="AM680" s="77">
        <f>SUM(AO680:AT680)</f>
        <v>0</v>
      </c>
      <c r="AN680" s="27"/>
      <c r="AO680" s="99"/>
      <c r="AP680" s="99"/>
      <c r="AQ680" s="99"/>
      <c r="AR680" s="99"/>
      <c r="AS680" s="99"/>
      <c r="AT680" s="99"/>
      <c r="AU680" s="99"/>
      <c r="AV680" s="98"/>
      <c r="AW680" s="99"/>
      <c r="AX680" s="27"/>
    </row>
    <row r="681" spans="1:50" ht="15" customHeight="1">
      <c r="A681" s="81" t="s">
        <v>2379</v>
      </c>
      <c r="B681" s="68" t="s">
        <v>1971</v>
      </c>
      <c r="C681" s="69" t="s">
        <v>45</v>
      </c>
      <c r="D681" s="70" t="s">
        <v>64</v>
      </c>
      <c r="E681" s="70" t="s">
        <v>859</v>
      </c>
      <c r="F681" s="68">
        <v>2</v>
      </c>
      <c r="G681" s="71" t="s">
        <v>616</v>
      </c>
      <c r="H681" s="71" t="s">
        <v>2226</v>
      </c>
      <c r="I681" s="71" t="s">
        <v>1933</v>
      </c>
      <c r="J681" s="71"/>
      <c r="K681" s="72"/>
      <c r="L681" s="72"/>
      <c r="M681" s="72"/>
      <c r="N681" s="72"/>
      <c r="O681" s="71" t="s">
        <v>551</v>
      </c>
      <c r="P681" s="69">
        <v>0</v>
      </c>
      <c r="Q681" s="68">
        <f>MAX(0,$V681-$P681-$S681)</f>
        <v>1</v>
      </c>
      <c r="R681" s="68"/>
      <c r="S681" s="68"/>
      <c r="T681" s="73">
        <v>0.09</v>
      </c>
      <c r="U681" s="73">
        <f>IF(AND($Q681&gt;0,ISNUMBER($T681)),$Q681*$T681,0)</f>
        <v>0.09</v>
      </c>
      <c r="V681" s="68">
        <f>SUM(W681:AB681)</f>
        <v>1</v>
      </c>
      <c r="W681" s="68"/>
      <c r="X681" s="82">
        <v>1</v>
      </c>
      <c r="Y681" s="68"/>
      <c r="Z681" s="68"/>
      <c r="AA681" s="68"/>
      <c r="AB681" s="68"/>
      <c r="AC681" s="68"/>
      <c r="AD681" s="75">
        <f>SUM(AE681:AJ681)</f>
        <v>0</v>
      </c>
      <c r="AE681" s="76"/>
      <c r="AF681" s="76"/>
      <c r="AG681" s="76"/>
      <c r="AH681" s="76"/>
      <c r="AI681" s="76"/>
      <c r="AJ681" s="76"/>
      <c r="AK681" s="76"/>
      <c r="AL681" s="77">
        <f>IF((P681-SUM(AE681:AK681))&lt;0,0,P681-SUM(AE681:AK681))</f>
        <v>0</v>
      </c>
      <c r="AM681" s="77">
        <f>SUM(AO681:AT681)</f>
        <v>0</v>
      </c>
      <c r="AN681" s="83" t="s">
        <v>81</v>
      </c>
      <c r="AO681" s="72"/>
      <c r="AP681" s="72"/>
      <c r="AQ681" s="72"/>
      <c r="AR681" s="72"/>
      <c r="AS681" s="72"/>
      <c r="AT681" s="72"/>
      <c r="AU681" s="28" t="s">
        <v>2380</v>
      </c>
      <c r="AV681" s="70"/>
      <c r="AW681" s="72"/>
      <c r="AX681" s="84"/>
    </row>
    <row r="682" spans="1:50" ht="15" customHeight="1">
      <c r="A682" s="81" t="s">
        <v>2384</v>
      </c>
      <c r="B682" s="68" t="s">
        <v>1971</v>
      </c>
      <c r="C682" s="69" t="s">
        <v>45</v>
      </c>
      <c r="D682" s="70" t="s">
        <v>64</v>
      </c>
      <c r="E682" s="70" t="s">
        <v>684</v>
      </c>
      <c r="F682" s="68">
        <v>4</v>
      </c>
      <c r="G682" s="71" t="s">
        <v>2177</v>
      </c>
      <c r="H682" s="71" t="s">
        <v>197</v>
      </c>
      <c r="I682" s="71" t="s">
        <v>2386</v>
      </c>
      <c r="J682" s="71"/>
      <c r="K682" s="72"/>
      <c r="L682" s="72"/>
      <c r="M682" s="72"/>
      <c r="N682" s="72"/>
      <c r="O682" s="71" t="s">
        <v>2385</v>
      </c>
      <c r="P682" s="69">
        <v>0</v>
      </c>
      <c r="Q682" s="68">
        <f>MAX(0,$V682-$P682-$S682)</f>
        <v>1</v>
      </c>
      <c r="R682" s="68"/>
      <c r="S682" s="68"/>
      <c r="T682" s="73">
        <v>0.54</v>
      </c>
      <c r="U682" s="73">
        <f>IF(AND($Q682&gt;0,ISNUMBER($T682)),$Q682*$T682,0)</f>
        <v>0.54</v>
      </c>
      <c r="V682" s="68">
        <f>SUM(W682:AB682)</f>
        <v>1</v>
      </c>
      <c r="W682" s="68"/>
      <c r="X682" s="68"/>
      <c r="Y682" s="68"/>
      <c r="Z682" s="68"/>
      <c r="AA682" s="82">
        <v>1</v>
      </c>
      <c r="AB682" s="68"/>
      <c r="AC682" s="68"/>
      <c r="AD682" s="75">
        <f>SUM(AE682:AJ682)</f>
        <v>0</v>
      </c>
      <c r="AE682" s="76"/>
      <c r="AF682" s="76"/>
      <c r="AG682" s="76"/>
      <c r="AH682" s="76"/>
      <c r="AI682" s="76"/>
      <c r="AJ682" s="76"/>
      <c r="AK682" s="76"/>
      <c r="AL682" s="77">
        <f>IF((P682-SUM(AE682:AK682))&lt;0,0,P682-SUM(AE682:AK682))</f>
        <v>0</v>
      </c>
      <c r="AM682" s="77">
        <f>SUM(AO682:AT682)</f>
        <v>0</v>
      </c>
      <c r="AN682" s="88" t="s">
        <v>81</v>
      </c>
      <c r="AO682" s="72"/>
      <c r="AP682" s="72"/>
      <c r="AQ682" s="72"/>
      <c r="AR682" s="72"/>
      <c r="AS682" s="72"/>
      <c r="AT682" s="72"/>
      <c r="AU682" s="28" t="s">
        <v>2387</v>
      </c>
      <c r="AV682" s="70"/>
      <c r="AW682" s="72"/>
      <c r="AX682" s="84"/>
    </row>
    <row r="683" spans="1:50" ht="15" customHeight="1">
      <c r="A683" s="81" t="s">
        <v>1495</v>
      </c>
      <c r="B683" s="68" t="s">
        <v>1114</v>
      </c>
      <c r="C683" s="69" t="s">
        <v>45</v>
      </c>
      <c r="D683" s="70" t="s">
        <v>627</v>
      </c>
      <c r="E683" s="70"/>
      <c r="F683" s="68">
        <v>0</v>
      </c>
      <c r="G683" s="71" t="s">
        <v>627</v>
      </c>
      <c r="H683" s="71" t="s">
        <v>1496</v>
      </c>
      <c r="I683" s="71"/>
      <c r="J683" s="71"/>
      <c r="K683" s="69"/>
      <c r="L683" s="69"/>
      <c r="M683" s="69"/>
      <c r="N683" s="69"/>
      <c r="O683" s="71" t="s">
        <v>235</v>
      </c>
      <c r="P683" s="69">
        <v>0</v>
      </c>
      <c r="Q683" s="68">
        <f>MAX(0,$V683-$P683-$S683)</f>
        <v>2</v>
      </c>
      <c r="R683" s="68"/>
      <c r="S683" s="68"/>
      <c r="T683" s="73">
        <v>0.36</v>
      </c>
      <c r="U683" s="73">
        <f>IF(AND($Q683&gt;0,ISNUMBER($T683)),$Q683*$T683,0)</f>
        <v>0.72</v>
      </c>
      <c r="V683" s="68">
        <f>SUM(W683:AB683)</f>
        <v>2</v>
      </c>
      <c r="W683" s="68"/>
      <c r="X683" s="82">
        <v>1</v>
      </c>
      <c r="Y683" s="82">
        <v>1</v>
      </c>
      <c r="Z683" s="68"/>
      <c r="AA683" s="68"/>
      <c r="AB683" s="68"/>
      <c r="AC683" s="68"/>
      <c r="AD683" s="75">
        <f>SUM(AE683:AJ683)</f>
        <v>0</v>
      </c>
      <c r="AE683" s="76"/>
      <c r="AF683" s="76"/>
      <c r="AG683" s="76"/>
      <c r="AH683" s="76"/>
      <c r="AI683" s="76"/>
      <c r="AJ683" s="76"/>
      <c r="AK683" s="76"/>
      <c r="AL683" s="77">
        <f>IF((P683-SUM(AE683:AK683))&lt;0,0,P683-SUM(AE683:AK683))</f>
        <v>0</v>
      </c>
      <c r="AM683" s="77">
        <f>SUM(AO683:AT683)</f>
        <v>0</v>
      </c>
      <c r="AN683" s="138" t="s">
        <v>81</v>
      </c>
      <c r="AO683" s="72"/>
      <c r="AP683" s="72"/>
      <c r="AQ683" s="72"/>
      <c r="AR683" s="72"/>
      <c r="AS683" s="72"/>
      <c r="AT683" s="72"/>
      <c r="AU683" s="28" t="s">
        <v>1497</v>
      </c>
      <c r="AV683" s="70"/>
      <c r="AW683" s="72"/>
      <c r="AX683" s="84"/>
    </row>
    <row r="684" spans="1:50" ht="15" customHeight="1">
      <c r="A684" s="70" t="s">
        <v>665</v>
      </c>
      <c r="B684" s="68" t="s">
        <v>636</v>
      </c>
      <c r="C684" s="69" t="s">
        <v>76</v>
      </c>
      <c r="D684" s="70" t="s">
        <v>58</v>
      </c>
      <c r="E684" s="70"/>
      <c r="F684" s="68">
        <v>3</v>
      </c>
      <c r="G684" s="71" t="s">
        <v>170</v>
      </c>
      <c r="H684" s="71" t="s">
        <v>667</v>
      </c>
      <c r="I684" s="71"/>
      <c r="J684" s="71"/>
      <c r="K684" s="72"/>
      <c r="L684" s="72"/>
      <c r="M684" s="72"/>
      <c r="N684" s="72"/>
      <c r="O684" s="71" t="s">
        <v>666</v>
      </c>
      <c r="P684" s="69">
        <v>1</v>
      </c>
      <c r="Q684" s="68">
        <f>MAX(0,$V684-$P684-$S684)</f>
        <v>0</v>
      </c>
      <c r="R684" s="68"/>
      <c r="S684" s="68"/>
      <c r="T684" s="73">
        <v>7.83</v>
      </c>
      <c r="U684" s="73">
        <f>IF(AND($Q684&gt;0,ISNUMBER($T684)),$Q684*$T684,0)</f>
        <v>0</v>
      </c>
      <c r="V684" s="68">
        <f>SUM(W684:AB684)</f>
        <v>1</v>
      </c>
      <c r="W684" s="68"/>
      <c r="X684" s="68"/>
      <c r="Y684" s="68">
        <v>1</v>
      </c>
      <c r="Z684" s="68"/>
      <c r="AA684" s="68"/>
      <c r="AB684" s="68"/>
      <c r="AC684" s="68"/>
      <c r="AD684" s="75">
        <f>SUM(AE684:AJ684)</f>
        <v>1</v>
      </c>
      <c r="AE684" s="76"/>
      <c r="AF684" s="76"/>
      <c r="AG684" s="76">
        <v>1</v>
      </c>
      <c r="AH684" s="76"/>
      <c r="AI684" s="76"/>
      <c r="AJ684" s="76"/>
      <c r="AK684" s="76"/>
      <c r="AL684" s="77">
        <f>IF((P684-SUM(AE684:AK684))&lt;0,0,P684-SUM(AE684:AK684))</f>
        <v>0</v>
      </c>
      <c r="AM684" s="77">
        <f>SUM(AO684:AT684)</f>
        <v>0</v>
      </c>
      <c r="AN684" s="129"/>
      <c r="AO684" s="72"/>
      <c r="AP684" s="72"/>
      <c r="AQ684" s="72"/>
      <c r="AR684" s="72"/>
      <c r="AS684" s="72"/>
      <c r="AT684" s="72"/>
      <c r="AU684" s="72"/>
      <c r="AV684" s="70"/>
      <c r="AW684" s="72"/>
      <c r="AX684" s="72"/>
    </row>
    <row r="685" spans="1:50" ht="15" customHeight="1">
      <c r="A685" s="70" t="s">
        <v>401</v>
      </c>
      <c r="B685" s="68" t="s">
        <v>345</v>
      </c>
      <c r="C685" s="69" t="s">
        <v>76</v>
      </c>
      <c r="D685" s="70" t="s">
        <v>175</v>
      </c>
      <c r="E685" s="70"/>
      <c r="F685" s="68">
        <v>3</v>
      </c>
      <c r="G685" s="71" t="s">
        <v>350</v>
      </c>
      <c r="H685" s="71" t="s">
        <v>403</v>
      </c>
      <c r="I685" s="71" t="s">
        <v>404</v>
      </c>
      <c r="J685" s="71"/>
      <c r="K685" s="72"/>
      <c r="L685" s="72"/>
      <c r="M685" s="72"/>
      <c r="N685" s="72"/>
      <c r="O685" s="71" t="s">
        <v>402</v>
      </c>
      <c r="P685" s="69">
        <v>1</v>
      </c>
      <c r="Q685" s="68">
        <f>MAX(0,$V685-$P685-$S685)</f>
        <v>0</v>
      </c>
      <c r="R685" s="68"/>
      <c r="S685" s="68"/>
      <c r="T685" s="73">
        <v>0.94</v>
      </c>
      <c r="U685" s="73">
        <f>IF(AND($Q685&gt;0,ISNUMBER($T685)),$Q685*$T685,0)</f>
        <v>0</v>
      </c>
      <c r="V685" s="68">
        <f>SUM(W685:AB685)</f>
        <v>1</v>
      </c>
      <c r="W685" s="68"/>
      <c r="X685" s="68"/>
      <c r="Y685" s="68">
        <v>1</v>
      </c>
      <c r="Z685" s="68"/>
      <c r="AA685" s="68"/>
      <c r="AB685" s="68"/>
      <c r="AC685" s="68"/>
      <c r="AD685" s="75">
        <f>SUM(AE685:AJ685)</f>
        <v>1</v>
      </c>
      <c r="AE685" s="76"/>
      <c r="AF685" s="76"/>
      <c r="AG685" s="76">
        <v>1</v>
      </c>
      <c r="AH685" s="76"/>
      <c r="AI685" s="76"/>
      <c r="AJ685" s="76"/>
      <c r="AK685" s="76"/>
      <c r="AL685" s="77">
        <f>IF((P685-SUM(AE685:AK685))&lt;0,0,P685-SUM(AE685:AK685))</f>
        <v>0</v>
      </c>
      <c r="AM685" s="77">
        <f>SUM(AO685:AT685)</f>
        <v>0</v>
      </c>
      <c r="AN685" s="72"/>
      <c r="AO685" s="72"/>
      <c r="AP685" s="72"/>
      <c r="AQ685" s="72"/>
      <c r="AR685" s="72"/>
      <c r="AS685" s="72"/>
      <c r="AT685" s="72"/>
      <c r="AU685" s="72"/>
      <c r="AV685" s="70"/>
      <c r="AW685" s="72"/>
      <c r="AX685" s="72"/>
    </row>
    <row r="686" spans="1:50" ht="15" customHeight="1">
      <c r="A686" s="70" t="s">
        <v>1571</v>
      </c>
      <c r="B686" s="68" t="s">
        <v>1499</v>
      </c>
      <c r="C686" s="69" t="s">
        <v>76</v>
      </c>
      <c r="D686" s="70" t="s">
        <v>64</v>
      </c>
      <c r="E686" s="70" t="s">
        <v>1572</v>
      </c>
      <c r="F686" s="68">
        <v>2</v>
      </c>
      <c r="G686" s="71" t="s">
        <v>218</v>
      </c>
      <c r="H686" s="71" t="s">
        <v>1573</v>
      </c>
      <c r="I686" s="71"/>
      <c r="J686" s="71"/>
      <c r="K686" s="72"/>
      <c r="L686" s="72"/>
      <c r="M686" s="72"/>
      <c r="N686" s="72"/>
      <c r="O686" s="71" t="s">
        <v>307</v>
      </c>
      <c r="P686" s="69">
        <v>1</v>
      </c>
      <c r="Q686" s="68">
        <f>MAX(0,$V686-$P686-$S686)</f>
        <v>0</v>
      </c>
      <c r="R686" s="68"/>
      <c r="S686" s="68"/>
      <c r="T686" s="73">
        <v>4.8499999999999996</v>
      </c>
      <c r="U686" s="73">
        <f>IF(AND($Q686&gt;0,ISNUMBER($T686)),$Q686*$T686,0)</f>
        <v>0</v>
      </c>
      <c r="V686" s="68">
        <f>SUM(W686:AB686)</f>
        <v>1</v>
      </c>
      <c r="W686" s="68"/>
      <c r="X686" s="68"/>
      <c r="Y686" s="68"/>
      <c r="Z686" s="68"/>
      <c r="AA686" s="68"/>
      <c r="AB686" s="68">
        <v>1</v>
      </c>
      <c r="AC686" s="68"/>
      <c r="AD686" s="75">
        <f>SUM(AE686:AJ686)</f>
        <v>1</v>
      </c>
      <c r="AE686" s="76"/>
      <c r="AF686" s="76"/>
      <c r="AG686" s="76"/>
      <c r="AH686" s="76"/>
      <c r="AI686" s="76"/>
      <c r="AJ686" s="76">
        <v>1</v>
      </c>
      <c r="AK686" s="76"/>
      <c r="AL686" s="77">
        <f>IF((P686-SUM(AE686:AK686))&lt;0,0,P686-SUM(AE686:AK686))</f>
        <v>0</v>
      </c>
      <c r="AM686" s="77">
        <f>SUM(AO686:AT686)</f>
        <v>0</v>
      </c>
      <c r="AN686" s="85"/>
      <c r="AO686" s="72"/>
      <c r="AP686" s="72"/>
      <c r="AQ686" s="72"/>
      <c r="AR686" s="72"/>
      <c r="AS686" s="72"/>
      <c r="AT686" s="72"/>
      <c r="AU686" s="72"/>
      <c r="AV686" s="70"/>
      <c r="AW686" s="72"/>
      <c r="AX686" s="72"/>
    </row>
    <row r="687" spans="1:50" ht="15" customHeight="1">
      <c r="A687" s="67" t="s">
        <v>2054</v>
      </c>
      <c r="B687" s="68" t="s">
        <v>1971</v>
      </c>
      <c r="C687" s="69" t="s">
        <v>76</v>
      </c>
      <c r="D687" s="70" t="s">
        <v>47</v>
      </c>
      <c r="E687" s="70"/>
      <c r="F687" s="68">
        <v>4</v>
      </c>
      <c r="G687" s="71" t="s">
        <v>117</v>
      </c>
      <c r="H687" s="71" t="s">
        <v>2016</v>
      </c>
      <c r="I687" s="71"/>
      <c r="J687" s="71"/>
      <c r="K687" s="72"/>
      <c r="L687" s="72"/>
      <c r="M687" s="72"/>
      <c r="N687" s="72"/>
      <c r="O687" s="71" t="s">
        <v>303</v>
      </c>
      <c r="P687" s="69">
        <v>1</v>
      </c>
      <c r="Q687" s="68">
        <f>MAX(0,$V687-$P687-$S687)</f>
        <v>0</v>
      </c>
      <c r="R687" s="68" t="s">
        <v>57</v>
      </c>
      <c r="S687" s="68">
        <v>1</v>
      </c>
      <c r="T687" s="73">
        <v>1.0900000000000001</v>
      </c>
      <c r="U687" s="73">
        <f>IF(AND($Q687&gt;0,ISNUMBER($T687)),$Q687*$T687,0)</f>
        <v>0</v>
      </c>
      <c r="V687" s="68">
        <f>SUM(W687:AB687)</f>
        <v>0</v>
      </c>
      <c r="W687" s="68"/>
      <c r="X687" s="68"/>
      <c r="Y687" s="68"/>
      <c r="Z687" s="68"/>
      <c r="AA687" s="74"/>
      <c r="AB687" s="68"/>
      <c r="AC687" s="68"/>
      <c r="AD687" s="75">
        <f>SUM(AE687:AJ687)</f>
        <v>0</v>
      </c>
      <c r="AE687" s="76"/>
      <c r="AF687" s="76"/>
      <c r="AG687" s="76"/>
      <c r="AH687" s="76"/>
      <c r="AI687" s="76"/>
      <c r="AJ687" s="76"/>
      <c r="AK687" s="76"/>
      <c r="AL687" s="77">
        <f>IF((P687-SUM(AE687:AK687))&lt;0,0,P687-SUM(AE687:AK687))</f>
        <v>1</v>
      </c>
      <c r="AM687" s="77">
        <f>SUM(AO687:AT687)</f>
        <v>0</v>
      </c>
      <c r="AN687" s="129"/>
      <c r="AO687" s="72"/>
      <c r="AP687" s="72"/>
      <c r="AQ687" s="72"/>
      <c r="AR687" s="72"/>
      <c r="AS687" s="72"/>
      <c r="AT687" s="72"/>
      <c r="AU687" s="72"/>
      <c r="AV687" s="70"/>
      <c r="AW687" s="72"/>
      <c r="AX687" s="72"/>
    </row>
    <row r="688" spans="1:50" ht="15" customHeight="1">
      <c r="A688" s="86" t="s">
        <v>1232</v>
      </c>
      <c r="B688" s="68" t="s">
        <v>1114</v>
      </c>
      <c r="C688" s="69" t="s">
        <v>76</v>
      </c>
      <c r="D688" s="70" t="s">
        <v>47</v>
      </c>
      <c r="E688" s="70"/>
      <c r="F688" s="68">
        <v>7</v>
      </c>
      <c r="G688" s="71" t="s">
        <v>296</v>
      </c>
      <c r="H688" s="71" t="s">
        <v>1233</v>
      </c>
      <c r="I688" s="71"/>
      <c r="J688" s="71"/>
      <c r="K688" s="72"/>
      <c r="L688" s="72"/>
      <c r="M688" s="72"/>
      <c r="N688" s="72"/>
      <c r="O688" s="71" t="s">
        <v>59</v>
      </c>
      <c r="P688" s="69">
        <v>1</v>
      </c>
      <c r="Q688" s="68">
        <f>MAX(0,$V688-$P688-$S688)</f>
        <v>0</v>
      </c>
      <c r="R688" s="68"/>
      <c r="S688" s="68"/>
      <c r="T688" s="73">
        <v>2.46</v>
      </c>
      <c r="U688" s="73">
        <f>IF(AND($Q688&gt;0,ISNUMBER($T688)),$Q688*$T688,0)</f>
        <v>0</v>
      </c>
      <c r="V688" s="68">
        <f>SUM(W688:AB688)</f>
        <v>1</v>
      </c>
      <c r="W688" s="68"/>
      <c r="X688" s="68"/>
      <c r="Y688" s="68"/>
      <c r="Z688" s="87">
        <v>1</v>
      </c>
      <c r="AA688" s="68"/>
      <c r="AB688" s="68"/>
      <c r="AC688" s="68"/>
      <c r="AD688" s="75">
        <f>SUM(AE688:AJ688)</f>
        <v>1</v>
      </c>
      <c r="AE688" s="76"/>
      <c r="AF688" s="76"/>
      <c r="AG688" s="76"/>
      <c r="AH688" s="76">
        <v>1</v>
      </c>
      <c r="AI688" s="76"/>
      <c r="AJ688" s="76"/>
      <c r="AK688" s="76"/>
      <c r="AL688" s="77">
        <f>IF((P688-SUM(AE688:AK688))&lt;0,0,P688-SUM(AE688:AK688))</f>
        <v>0</v>
      </c>
      <c r="AM688" s="77">
        <f>SUM(AO688:AT688)</f>
        <v>0</v>
      </c>
      <c r="AN688" s="85"/>
      <c r="AO688" s="72"/>
      <c r="AP688" s="72"/>
      <c r="AQ688" s="72"/>
      <c r="AR688" s="72"/>
      <c r="AS688" s="72"/>
      <c r="AT688" s="72"/>
      <c r="AU688" s="72"/>
      <c r="AV688" s="70"/>
      <c r="AW688" s="72"/>
      <c r="AX688" s="72"/>
    </row>
    <row r="689" spans="1:50" ht="15" customHeight="1">
      <c r="A689" s="70" t="s">
        <v>2077</v>
      </c>
      <c r="B689" s="68" t="s">
        <v>1971</v>
      </c>
      <c r="C689" s="69" t="s">
        <v>76</v>
      </c>
      <c r="D689" s="70" t="s">
        <v>314</v>
      </c>
      <c r="E689" s="70" t="s">
        <v>2078</v>
      </c>
      <c r="F689" s="68">
        <v>4</v>
      </c>
      <c r="G689" s="71" t="s">
        <v>54</v>
      </c>
      <c r="H689" s="71" t="s">
        <v>2079</v>
      </c>
      <c r="I689" s="71" t="s">
        <v>2080</v>
      </c>
      <c r="J689" s="71" t="s">
        <v>2081</v>
      </c>
      <c r="K689" s="72"/>
      <c r="L689" s="72"/>
      <c r="M689" s="72"/>
      <c r="N689" s="72"/>
      <c r="O689" s="71" t="s">
        <v>1746</v>
      </c>
      <c r="P689" s="69">
        <v>1</v>
      </c>
      <c r="Q689" s="68">
        <f>MAX(0,$V689-$P689-$S689)</f>
        <v>0</v>
      </c>
      <c r="R689" s="68" t="s">
        <v>57</v>
      </c>
      <c r="S689" s="68">
        <v>1</v>
      </c>
      <c r="T689" s="73">
        <v>1</v>
      </c>
      <c r="U689" s="73">
        <f>IF(AND($Q689&gt;0,ISNUMBER($T689)),$Q689*$T689,0)</f>
        <v>0</v>
      </c>
      <c r="V689" s="68">
        <f>SUM(W689:AB689)</f>
        <v>1</v>
      </c>
      <c r="W689" s="68"/>
      <c r="X689" s="68"/>
      <c r="Y689" s="68"/>
      <c r="Z689" s="68"/>
      <c r="AA689" s="68">
        <v>1</v>
      </c>
      <c r="AB689" s="68"/>
      <c r="AC689" s="68"/>
      <c r="AD689" s="75">
        <f>SUM(AE689:AJ689)</f>
        <v>1</v>
      </c>
      <c r="AE689" s="76"/>
      <c r="AF689" s="76"/>
      <c r="AG689" s="76"/>
      <c r="AH689" s="76"/>
      <c r="AI689" s="76">
        <v>1</v>
      </c>
      <c r="AJ689" s="76"/>
      <c r="AK689" s="76"/>
      <c r="AL689" s="77">
        <f>IF((P689-SUM(AE689:AK689))&lt;0,0,P689-SUM(AE689:AK689))</f>
        <v>0</v>
      </c>
      <c r="AM689" s="77">
        <f>SUM(AO689:AT689)</f>
        <v>0</v>
      </c>
      <c r="AN689" s="85"/>
      <c r="AO689" s="72"/>
      <c r="AP689" s="72"/>
      <c r="AQ689" s="72"/>
      <c r="AR689" s="72"/>
      <c r="AS689" s="72"/>
      <c r="AT689" s="72"/>
      <c r="AU689" s="72"/>
      <c r="AV689" s="70"/>
      <c r="AW689" s="72"/>
      <c r="AX689" s="72"/>
    </row>
    <row r="690" spans="1:50" ht="15" customHeight="1">
      <c r="A690" s="70" t="s">
        <v>1593</v>
      </c>
      <c r="B690" s="68" t="s">
        <v>1499</v>
      </c>
      <c r="C690" s="69" t="s">
        <v>76</v>
      </c>
      <c r="D690" s="70" t="s">
        <v>58</v>
      </c>
      <c r="E690" s="70" t="s">
        <v>1594</v>
      </c>
      <c r="F690" s="68">
        <v>3</v>
      </c>
      <c r="G690" s="71" t="s">
        <v>79</v>
      </c>
      <c r="H690" s="71" t="s">
        <v>1595</v>
      </c>
      <c r="I690" s="71"/>
      <c r="J690" s="71"/>
      <c r="K690" s="69"/>
      <c r="L690" s="69"/>
      <c r="M690" s="69"/>
      <c r="N690" s="69"/>
      <c r="O690" s="71" t="s">
        <v>419</v>
      </c>
      <c r="P690" s="69">
        <v>1</v>
      </c>
      <c r="Q690" s="68">
        <f>MAX(0,$V690-$P690-$S690)</f>
        <v>0</v>
      </c>
      <c r="R690" s="68"/>
      <c r="S690" s="68"/>
      <c r="T690" s="73">
        <v>6.72</v>
      </c>
      <c r="U690" s="73">
        <f>IF(AND($Q690&gt;0,ISNUMBER($T690)),$Q690*$T690,0)</f>
        <v>0</v>
      </c>
      <c r="V690" s="68">
        <f>SUM(W690:AB690)</f>
        <v>1</v>
      </c>
      <c r="W690" s="68">
        <v>1</v>
      </c>
      <c r="X690" s="68"/>
      <c r="Y690" s="68"/>
      <c r="Z690" s="68"/>
      <c r="AA690" s="68"/>
      <c r="AB690" s="68"/>
      <c r="AC690" s="68"/>
      <c r="AD690" s="75">
        <f>SUM(AE690:AJ690)</f>
        <v>1</v>
      </c>
      <c r="AE690" s="76">
        <v>1</v>
      </c>
      <c r="AF690" s="76"/>
      <c r="AG690" s="76"/>
      <c r="AH690" s="76"/>
      <c r="AI690" s="76"/>
      <c r="AJ690" s="76"/>
      <c r="AK690" s="76"/>
      <c r="AL690" s="77">
        <f>IF((P690-SUM(AE690:AK690))&lt;0,0,P690-SUM(AE690:AK690))</f>
        <v>0</v>
      </c>
      <c r="AM690" s="77">
        <f>SUM(AO690:AT690)</f>
        <v>0</v>
      </c>
      <c r="AN690" s="85"/>
      <c r="AO690" s="72"/>
      <c r="AP690" s="72"/>
      <c r="AQ690" s="72"/>
      <c r="AR690" s="72"/>
      <c r="AS690" s="72"/>
      <c r="AT690" s="72"/>
      <c r="AU690" s="72"/>
      <c r="AV690" s="70"/>
      <c r="AW690" s="72"/>
      <c r="AX690" s="72"/>
    </row>
    <row r="691" spans="1:50" ht="15" customHeight="1">
      <c r="A691" s="86" t="s">
        <v>1871</v>
      </c>
      <c r="B691" s="68" t="s">
        <v>1831</v>
      </c>
      <c r="C691" s="69" t="s">
        <v>76</v>
      </c>
      <c r="D691" s="70" t="s">
        <v>58</v>
      </c>
      <c r="E691" s="70" t="s">
        <v>726</v>
      </c>
      <c r="F691" s="68">
        <v>3</v>
      </c>
      <c r="G691" s="71" t="s">
        <v>91</v>
      </c>
      <c r="H691" s="71" t="s">
        <v>1860</v>
      </c>
      <c r="I691" s="71" t="s">
        <v>1873</v>
      </c>
      <c r="J691" s="71" t="s">
        <v>1874</v>
      </c>
      <c r="K691" s="72"/>
      <c r="L691" s="72"/>
      <c r="M691" s="72"/>
      <c r="N691" s="72"/>
      <c r="O691" s="71" t="s">
        <v>1872</v>
      </c>
      <c r="P691" s="69">
        <v>1</v>
      </c>
      <c r="Q691" s="68">
        <f>MAX(0,$V691-$P691-$S691)</f>
        <v>0</v>
      </c>
      <c r="R691" s="68"/>
      <c r="S691" s="68"/>
      <c r="T691" s="73">
        <v>7.02</v>
      </c>
      <c r="U691" s="73">
        <f>IF(AND($Q691&gt;0,ISNUMBER($T691)),$Q691*$T691,0)</f>
        <v>0</v>
      </c>
      <c r="V691" s="68">
        <f>SUM(W691:AB691)</f>
        <v>1</v>
      </c>
      <c r="W691" s="68"/>
      <c r="X691" s="87">
        <v>1</v>
      </c>
      <c r="Y691" s="68"/>
      <c r="Z691" s="68"/>
      <c r="AA691" s="68"/>
      <c r="AB691" s="68"/>
      <c r="AC691" s="68"/>
      <c r="AD691" s="75">
        <f>SUM(AE691:AJ691)</f>
        <v>1</v>
      </c>
      <c r="AE691" s="76"/>
      <c r="AF691" s="76">
        <v>1</v>
      </c>
      <c r="AG691" s="76"/>
      <c r="AH691" s="76"/>
      <c r="AI691" s="76"/>
      <c r="AJ691" s="76"/>
      <c r="AK691" s="76"/>
      <c r="AL691" s="77">
        <f>IF((P691-SUM(AE691:AK691))&lt;0,0,P691-SUM(AE691:AK691))</f>
        <v>0</v>
      </c>
      <c r="AM691" s="77">
        <f>SUM(AO691:AT691)</f>
        <v>0</v>
      </c>
      <c r="AN691" s="72"/>
      <c r="AO691" s="72"/>
      <c r="AP691" s="72"/>
      <c r="AQ691" s="72"/>
      <c r="AR691" s="72"/>
      <c r="AS691" s="72"/>
      <c r="AT691" s="72"/>
      <c r="AU691" s="72"/>
      <c r="AV691" s="70"/>
      <c r="AW691" s="72"/>
      <c r="AX691" s="72"/>
    </row>
    <row r="692" spans="1:50" ht="15" customHeight="1">
      <c r="A692" s="70" t="s">
        <v>721</v>
      </c>
      <c r="B692" s="68" t="s">
        <v>636</v>
      </c>
      <c r="C692" s="69" t="s">
        <v>76</v>
      </c>
      <c r="D692" s="70" t="s">
        <v>123</v>
      </c>
      <c r="E692" s="70" t="s">
        <v>722</v>
      </c>
      <c r="F692" s="68">
        <v>2</v>
      </c>
      <c r="G692" s="71" t="s">
        <v>285</v>
      </c>
      <c r="H692" s="71" t="s">
        <v>723</v>
      </c>
      <c r="I692" s="71" t="s">
        <v>724</v>
      </c>
      <c r="J692" s="71"/>
      <c r="K692" s="72"/>
      <c r="L692" s="72"/>
      <c r="M692" s="72"/>
      <c r="N692" s="72"/>
      <c r="O692" s="71" t="s">
        <v>486</v>
      </c>
      <c r="P692" s="69">
        <v>1</v>
      </c>
      <c r="Q692" s="68">
        <f>MAX(0,$V692-$P692-$S692)</f>
        <v>0</v>
      </c>
      <c r="R692" s="68"/>
      <c r="S692" s="68"/>
      <c r="T692" s="73">
        <v>0.18</v>
      </c>
      <c r="U692" s="73">
        <f>IF(AND($Q692&gt;0,ISNUMBER($T692)),$Q692*$T692,0)</f>
        <v>0</v>
      </c>
      <c r="V692" s="68">
        <f>SUM(W692:AB692)</f>
        <v>1</v>
      </c>
      <c r="W692" s="68"/>
      <c r="X692" s="68"/>
      <c r="Y692" s="68">
        <v>1</v>
      </c>
      <c r="Z692" s="68"/>
      <c r="AA692" s="68"/>
      <c r="AB692" s="68"/>
      <c r="AC692" s="68"/>
      <c r="AD692" s="75">
        <f>SUM(AE692:AJ692)</f>
        <v>1</v>
      </c>
      <c r="AE692" s="76"/>
      <c r="AF692" s="76"/>
      <c r="AG692" s="76">
        <v>1</v>
      </c>
      <c r="AH692" s="76"/>
      <c r="AI692" s="76"/>
      <c r="AJ692" s="76"/>
      <c r="AK692" s="76"/>
      <c r="AL692" s="77">
        <f>IF((P692-SUM(AE692:AK692))&lt;0,0,P692-SUM(AE692:AK692))</f>
        <v>0</v>
      </c>
      <c r="AM692" s="77">
        <f>SUM(AO692:AT692)</f>
        <v>0</v>
      </c>
      <c r="AN692" s="85"/>
      <c r="AO692" s="72"/>
      <c r="AP692" s="72"/>
      <c r="AQ692" s="72"/>
      <c r="AR692" s="72"/>
      <c r="AS692" s="72"/>
      <c r="AT692" s="72"/>
      <c r="AU692" s="72"/>
      <c r="AV692" s="70"/>
      <c r="AW692" s="72"/>
      <c r="AX692" s="72"/>
    </row>
    <row r="693" spans="1:50" ht="15" customHeight="1">
      <c r="A693" s="70" t="s">
        <v>1619</v>
      </c>
      <c r="B693" s="68" t="s">
        <v>1499</v>
      </c>
      <c r="C693" s="69" t="s">
        <v>76</v>
      </c>
      <c r="D693" s="70" t="s">
        <v>64</v>
      </c>
      <c r="E693" s="70" t="s">
        <v>85</v>
      </c>
      <c r="F693" s="68">
        <v>3</v>
      </c>
      <c r="G693" s="71" t="s">
        <v>218</v>
      </c>
      <c r="H693" s="71" t="s">
        <v>1620</v>
      </c>
      <c r="I693" s="71"/>
      <c r="J693" s="71"/>
      <c r="K693" s="72"/>
      <c r="L693" s="72"/>
      <c r="M693" s="72"/>
      <c r="N693" s="72"/>
      <c r="O693" s="71" t="s">
        <v>259</v>
      </c>
      <c r="P693" s="69">
        <v>1</v>
      </c>
      <c r="Q693" s="68">
        <f>MAX(0,$V693-$P693-$S693)</f>
        <v>0</v>
      </c>
      <c r="R693" s="68"/>
      <c r="S693" s="68"/>
      <c r="T693" s="73">
        <v>5.94</v>
      </c>
      <c r="U693" s="73">
        <f>IF(AND($Q693&gt;0,ISNUMBER($T693)),$Q693*$T693,0)</f>
        <v>0</v>
      </c>
      <c r="V693" s="68">
        <f>SUM(W693:AB693)</f>
        <v>1</v>
      </c>
      <c r="W693" s="68"/>
      <c r="X693" s="68"/>
      <c r="Y693" s="68"/>
      <c r="Z693" s="68"/>
      <c r="AA693" s="68"/>
      <c r="AB693" s="68">
        <v>1</v>
      </c>
      <c r="AC693" s="68"/>
      <c r="AD693" s="75">
        <f>SUM(AE693:AJ693)</f>
        <v>1</v>
      </c>
      <c r="AE693" s="76"/>
      <c r="AF693" s="76"/>
      <c r="AG693" s="76"/>
      <c r="AH693" s="76"/>
      <c r="AI693" s="76"/>
      <c r="AJ693" s="76">
        <v>1</v>
      </c>
      <c r="AK693" s="76"/>
      <c r="AL693" s="77">
        <f>IF((P693-SUM(AE693:AK693))&lt;0,0,P693-SUM(AE693:AK693))</f>
        <v>0</v>
      </c>
      <c r="AM693" s="77">
        <f>SUM(AO693:AT693)</f>
        <v>0</v>
      </c>
      <c r="AN693" s="85"/>
      <c r="AO693" s="72"/>
      <c r="AP693" s="72"/>
      <c r="AQ693" s="72"/>
      <c r="AR693" s="72"/>
      <c r="AS693" s="72"/>
      <c r="AT693" s="72"/>
      <c r="AU693" s="72"/>
      <c r="AV693" s="70"/>
      <c r="AW693" s="72"/>
      <c r="AX693" s="72"/>
    </row>
    <row r="694" spans="1:50" ht="15" customHeight="1">
      <c r="A694" s="70" t="s">
        <v>1637</v>
      </c>
      <c r="B694" s="68" t="s">
        <v>1499</v>
      </c>
      <c r="C694" s="69" t="s">
        <v>76</v>
      </c>
      <c r="D694" s="70" t="s">
        <v>64</v>
      </c>
      <c r="E694" s="70" t="s">
        <v>1531</v>
      </c>
      <c r="F694" s="68">
        <v>3</v>
      </c>
      <c r="G694" s="71" t="s">
        <v>54</v>
      </c>
      <c r="H694" s="71" t="s">
        <v>1639</v>
      </c>
      <c r="I694" s="71" t="s">
        <v>1640</v>
      </c>
      <c r="J694" s="71"/>
      <c r="K694" s="72"/>
      <c r="L694" s="72"/>
      <c r="M694" s="72"/>
      <c r="N694" s="72"/>
      <c r="O694" s="71" t="s">
        <v>1638</v>
      </c>
      <c r="P694" s="69">
        <v>1</v>
      </c>
      <c r="Q694" s="68">
        <f>MAX(0,$V694-$P694-$S694)</f>
        <v>0</v>
      </c>
      <c r="R694" s="68"/>
      <c r="S694" s="68"/>
      <c r="T694" s="73">
        <v>0.66</v>
      </c>
      <c r="U694" s="73">
        <f>IF(AND($Q694&gt;0,ISNUMBER($T694)),$Q694*$T694,0)</f>
        <v>0</v>
      </c>
      <c r="V694" s="68">
        <f>SUM(W694:AB694)</f>
        <v>1</v>
      </c>
      <c r="W694" s="68"/>
      <c r="X694" s="68"/>
      <c r="Y694" s="68"/>
      <c r="Z694" s="68"/>
      <c r="AA694" s="68"/>
      <c r="AB694" s="68">
        <v>1</v>
      </c>
      <c r="AC694" s="68"/>
      <c r="AD694" s="75">
        <f>SUM(AE694:AJ694)</f>
        <v>1</v>
      </c>
      <c r="AE694" s="76"/>
      <c r="AF694" s="76"/>
      <c r="AG694" s="76"/>
      <c r="AH694" s="76"/>
      <c r="AI694" s="76"/>
      <c r="AJ694" s="76">
        <v>1</v>
      </c>
      <c r="AK694" s="76"/>
      <c r="AL694" s="77">
        <f>IF((P694-SUM(AE694:AK694))&lt;0,0,P694-SUM(AE694:AK694))</f>
        <v>0</v>
      </c>
      <c r="AM694" s="77">
        <f>SUM(AO694:AT694)</f>
        <v>0</v>
      </c>
      <c r="AN694" s="85"/>
      <c r="AO694" s="72"/>
      <c r="AP694" s="72"/>
      <c r="AQ694" s="72"/>
      <c r="AR694" s="72"/>
      <c r="AS694" s="129"/>
      <c r="AT694" s="129"/>
      <c r="AU694" s="129"/>
      <c r="AV694" s="70"/>
      <c r="AW694" s="72"/>
      <c r="AX694" s="72"/>
    </row>
    <row r="695" spans="1:50" ht="15" customHeight="1">
      <c r="A695" s="70" t="s">
        <v>1650</v>
      </c>
      <c r="B695" s="68" t="s">
        <v>1499</v>
      </c>
      <c r="C695" s="69" t="s">
        <v>76</v>
      </c>
      <c r="D695" s="70" t="s">
        <v>64</v>
      </c>
      <c r="E695" s="70" t="s">
        <v>1531</v>
      </c>
      <c r="F695" s="68">
        <v>4</v>
      </c>
      <c r="G695" s="71" t="s">
        <v>218</v>
      </c>
      <c r="H695" s="71" t="s">
        <v>1651</v>
      </c>
      <c r="I695" s="71"/>
      <c r="J695" s="71"/>
      <c r="K695" s="72"/>
      <c r="L695" s="72"/>
      <c r="M695" s="72"/>
      <c r="N695" s="72"/>
      <c r="O695" s="71" t="s">
        <v>1137</v>
      </c>
      <c r="P695" s="69">
        <v>1</v>
      </c>
      <c r="Q695" s="68">
        <f>MAX(0,$V695-$P695-$S695)</f>
        <v>0</v>
      </c>
      <c r="R695" s="68"/>
      <c r="S695" s="68"/>
      <c r="T695" s="73">
        <v>7.78</v>
      </c>
      <c r="U695" s="73">
        <f>IF(AND($Q695&gt;0,ISNUMBER($T695)),$Q695*$T695,0)</f>
        <v>0</v>
      </c>
      <c r="V695" s="68">
        <f>SUM(W695:AB695)</f>
        <v>1</v>
      </c>
      <c r="W695" s="68"/>
      <c r="X695" s="68"/>
      <c r="Y695" s="68"/>
      <c r="Z695" s="68"/>
      <c r="AA695" s="68"/>
      <c r="AB695" s="68">
        <v>1</v>
      </c>
      <c r="AC695" s="68"/>
      <c r="AD695" s="75">
        <f>SUM(AE695:AJ695)</f>
        <v>1</v>
      </c>
      <c r="AE695" s="76"/>
      <c r="AF695" s="76"/>
      <c r="AG695" s="76"/>
      <c r="AH695" s="76"/>
      <c r="AI695" s="76"/>
      <c r="AJ695" s="76">
        <v>1</v>
      </c>
      <c r="AK695" s="76"/>
      <c r="AL695" s="77">
        <f>IF((P695-SUM(AE695:AK695))&lt;0,0,P695-SUM(AE695:AK695))</f>
        <v>0</v>
      </c>
      <c r="AM695" s="77">
        <f>SUM(AO695:AT695)</f>
        <v>0</v>
      </c>
      <c r="AN695" s="85"/>
      <c r="AO695" s="72"/>
      <c r="AP695" s="72"/>
      <c r="AQ695" s="72"/>
      <c r="AR695" s="72"/>
      <c r="AS695" s="72"/>
      <c r="AT695" s="72"/>
      <c r="AU695" s="72"/>
      <c r="AV695" s="70"/>
      <c r="AW695" s="72"/>
      <c r="AX695" s="72"/>
    </row>
    <row r="696" spans="1:50" ht="15" customHeight="1">
      <c r="A696" s="128" t="s">
        <v>1004</v>
      </c>
      <c r="B696" s="130" t="s">
        <v>919</v>
      </c>
      <c r="C696" s="69" t="s">
        <v>76</v>
      </c>
      <c r="D696" s="125" t="s">
        <v>627</v>
      </c>
      <c r="E696" s="125"/>
      <c r="F696" s="130">
        <v>0</v>
      </c>
      <c r="G696" s="133" t="s">
        <v>627</v>
      </c>
      <c r="H696" s="133" t="s">
        <v>1005</v>
      </c>
      <c r="I696" s="133" t="s">
        <v>941</v>
      </c>
      <c r="J696" s="133" t="s">
        <v>1006</v>
      </c>
      <c r="K696" s="72"/>
      <c r="L696" s="72"/>
      <c r="M696" s="72"/>
      <c r="N696" s="72"/>
      <c r="O696" s="133" t="s">
        <v>888</v>
      </c>
      <c r="P696" s="69">
        <v>1</v>
      </c>
      <c r="Q696" s="130">
        <f>MAX(0,$V696-$P696-$S696)</f>
        <v>0</v>
      </c>
      <c r="R696" s="130"/>
      <c r="S696" s="130"/>
      <c r="T696" s="134">
        <v>0.37</v>
      </c>
      <c r="U696" s="134">
        <f>IF(AND($Q696&gt;0,ISNUMBER($T696)),$Q696*$T696,0)</f>
        <v>0</v>
      </c>
      <c r="V696" s="68">
        <f>SUM(W696:AB696)</f>
        <v>1</v>
      </c>
      <c r="W696" s="130"/>
      <c r="X696" s="130"/>
      <c r="Y696" s="136">
        <v>1</v>
      </c>
      <c r="Z696" s="130"/>
      <c r="AA696" s="130"/>
      <c r="AB696" s="130"/>
      <c r="AC696" s="130"/>
      <c r="AD696" s="75">
        <f>SUM(AE696:AJ696)</f>
        <v>0</v>
      </c>
      <c r="AE696" s="76"/>
      <c r="AF696" s="76"/>
      <c r="AG696" s="76"/>
      <c r="AH696" s="76"/>
      <c r="AI696" s="76"/>
      <c r="AJ696" s="76"/>
      <c r="AK696" s="76"/>
      <c r="AL696" s="77">
        <f>IF((P696-SUM(AE696:AK696))&lt;0,0,P696-SUM(AE696:AK696))</f>
        <v>1</v>
      </c>
      <c r="AM696" s="77">
        <f>SUM(AO696:AT696)</f>
        <v>0</v>
      </c>
      <c r="AN696" s="83" t="s">
        <v>81</v>
      </c>
      <c r="AO696" s="72"/>
      <c r="AP696" s="72"/>
      <c r="AQ696" s="72"/>
      <c r="AR696" s="72"/>
      <c r="AS696" s="72"/>
      <c r="AT696" s="72"/>
      <c r="AU696" s="28" t="s">
        <v>1007</v>
      </c>
      <c r="AV696" s="125"/>
      <c r="AW696" s="72"/>
      <c r="AX696" s="94" t="s">
        <v>1008</v>
      </c>
    </row>
    <row r="697" spans="1:50" ht="15" customHeight="1">
      <c r="A697" s="125" t="s">
        <v>1886</v>
      </c>
      <c r="B697" s="130" t="s">
        <v>1831</v>
      </c>
      <c r="C697" s="69" t="s">
        <v>76</v>
      </c>
      <c r="D697" s="125" t="s">
        <v>175</v>
      </c>
      <c r="E697" s="125"/>
      <c r="F697" s="130">
        <v>3</v>
      </c>
      <c r="G697" s="133" t="s">
        <v>79</v>
      </c>
      <c r="H697" s="133" t="s">
        <v>1887</v>
      </c>
      <c r="I697" s="133"/>
      <c r="J697" s="133"/>
      <c r="K697" s="72"/>
      <c r="L697" s="72"/>
      <c r="M697" s="72"/>
      <c r="N697" s="72"/>
      <c r="O697" s="133" t="s">
        <v>180</v>
      </c>
      <c r="P697" s="69">
        <v>1</v>
      </c>
      <c r="Q697" s="130">
        <f>MAX(0,$V697-$P697-$S697)</f>
        <v>0</v>
      </c>
      <c r="R697" s="130"/>
      <c r="S697" s="130"/>
      <c r="T697" s="134">
        <v>4.8</v>
      </c>
      <c r="U697" s="134">
        <f>IF(AND($Q697&gt;0,ISNUMBER($T697)),$Q697*$T697,0)</f>
        <v>0</v>
      </c>
      <c r="V697" s="68">
        <f>SUM(W697:AB697)</f>
        <v>1</v>
      </c>
      <c r="W697" s="130"/>
      <c r="X697" s="130"/>
      <c r="Y697" s="130">
        <v>1</v>
      </c>
      <c r="Z697" s="130"/>
      <c r="AA697" s="130"/>
      <c r="AB697" s="130"/>
      <c r="AC697" s="130"/>
      <c r="AD697" s="75">
        <f>SUM(AE697:AJ697)</f>
        <v>1</v>
      </c>
      <c r="AE697" s="76"/>
      <c r="AF697" s="76"/>
      <c r="AG697" s="76">
        <v>1</v>
      </c>
      <c r="AH697" s="76"/>
      <c r="AI697" s="76"/>
      <c r="AJ697" s="76"/>
      <c r="AK697" s="76"/>
      <c r="AL697" s="77">
        <f>IF((P697-SUM(AE697:AK697))&lt;0,0,P697-SUM(AE697:AK697))</f>
        <v>0</v>
      </c>
      <c r="AM697" s="77">
        <f>SUM(AO697:AT697)</f>
        <v>0</v>
      </c>
      <c r="AN697" s="129"/>
      <c r="AO697" s="72"/>
      <c r="AP697" s="72"/>
      <c r="AQ697" s="72"/>
      <c r="AR697" s="72"/>
      <c r="AS697" s="129"/>
      <c r="AT697" s="72"/>
      <c r="AU697" s="129"/>
      <c r="AV697" s="125"/>
      <c r="AW697" s="72"/>
      <c r="AX697" s="72"/>
    </row>
    <row r="698" spans="1:50" ht="15" customHeight="1">
      <c r="A698" s="125" t="s">
        <v>747</v>
      </c>
      <c r="B698" s="130" t="s">
        <v>636</v>
      </c>
      <c r="C698" s="69" t="s">
        <v>76</v>
      </c>
      <c r="D698" s="125" t="s">
        <v>58</v>
      </c>
      <c r="E698" s="125" t="s">
        <v>748</v>
      </c>
      <c r="F698" s="130">
        <v>2</v>
      </c>
      <c r="G698" s="133" t="s">
        <v>170</v>
      </c>
      <c r="H698" s="133" t="s">
        <v>749</v>
      </c>
      <c r="I698" s="133" t="s">
        <v>750</v>
      </c>
      <c r="J698" s="133" t="s">
        <v>751</v>
      </c>
      <c r="K698" s="72"/>
      <c r="L698" s="72"/>
      <c r="M698" s="72"/>
      <c r="N698" s="72"/>
      <c r="O698" s="133" t="s">
        <v>529</v>
      </c>
      <c r="P698" s="69">
        <v>1</v>
      </c>
      <c r="Q698" s="130">
        <f>MAX(0,$V698-$P698-$S698)</f>
        <v>0</v>
      </c>
      <c r="R698" s="130"/>
      <c r="S698" s="130"/>
      <c r="T698" s="134">
        <v>9.19</v>
      </c>
      <c r="U698" s="134">
        <f>IF(AND($Q698&gt;0,ISNUMBER($T698)),$Q698*$T698,0)</f>
        <v>0</v>
      </c>
      <c r="V698" s="68">
        <f>SUM(W698:AB698)</f>
        <v>1</v>
      </c>
      <c r="W698" s="130"/>
      <c r="X698" s="130"/>
      <c r="Y698" s="130">
        <v>1</v>
      </c>
      <c r="Z698" s="130"/>
      <c r="AA698" s="130"/>
      <c r="AB698" s="130"/>
      <c r="AC698" s="130"/>
      <c r="AD698" s="75">
        <f>SUM(AE698:AJ698)</f>
        <v>1</v>
      </c>
      <c r="AE698" s="76"/>
      <c r="AF698" s="76"/>
      <c r="AG698" s="76">
        <v>1</v>
      </c>
      <c r="AH698" s="76"/>
      <c r="AI698" s="76"/>
      <c r="AJ698" s="76"/>
      <c r="AK698" s="76"/>
      <c r="AL698" s="77">
        <f>IF((P698-SUM(AE698:AK698))&lt;0,0,P698-SUM(AE698:AK698))</f>
        <v>0</v>
      </c>
      <c r="AM698" s="77">
        <f>SUM(AO698:AT698)</f>
        <v>0</v>
      </c>
      <c r="AN698" s="72"/>
      <c r="AO698" s="72"/>
      <c r="AP698" s="72"/>
      <c r="AQ698" s="72"/>
      <c r="AR698" s="72"/>
      <c r="AS698" s="72"/>
      <c r="AT698" s="72"/>
      <c r="AU698" s="72"/>
      <c r="AV698" s="125"/>
      <c r="AW698" s="72"/>
      <c r="AX698" s="72"/>
    </row>
    <row r="699" spans="1:50" ht="15" customHeight="1">
      <c r="A699" s="125" t="s">
        <v>1301</v>
      </c>
      <c r="B699" s="130" t="s">
        <v>1114</v>
      </c>
      <c r="C699" s="69" t="s">
        <v>76</v>
      </c>
      <c r="D699" s="125" t="s">
        <v>627</v>
      </c>
      <c r="E699" s="125"/>
      <c r="F699" s="130">
        <v>0</v>
      </c>
      <c r="G699" s="133" t="s">
        <v>79</v>
      </c>
      <c r="H699" s="133" t="s">
        <v>1302</v>
      </c>
      <c r="I699" s="133"/>
      <c r="J699" s="133"/>
      <c r="K699" s="69"/>
      <c r="L699" s="69"/>
      <c r="M699" s="69"/>
      <c r="N699" s="69"/>
      <c r="O699" s="133" t="s">
        <v>346</v>
      </c>
      <c r="P699" s="69">
        <v>1</v>
      </c>
      <c r="Q699" s="130">
        <f>MAX(0,$V699-$P699-$S699)</f>
        <v>0</v>
      </c>
      <c r="R699" s="130"/>
      <c r="S699" s="130"/>
      <c r="T699" s="134">
        <v>1.95</v>
      </c>
      <c r="U699" s="134">
        <f>IF(AND($Q699&gt;0,ISNUMBER($T699)),$Q699*$T699,0)</f>
        <v>0</v>
      </c>
      <c r="V699" s="68">
        <f>SUM(W699:AB699)</f>
        <v>1</v>
      </c>
      <c r="W699" s="130">
        <v>1</v>
      </c>
      <c r="X699" s="130"/>
      <c r="Y699" s="130"/>
      <c r="Z699" s="130"/>
      <c r="AA699" s="130"/>
      <c r="AB699" s="130"/>
      <c r="AC699" s="130"/>
      <c r="AD699" s="75">
        <f>SUM(AE699:AJ699)</f>
        <v>1</v>
      </c>
      <c r="AE699" s="76">
        <v>1</v>
      </c>
      <c r="AF699" s="76"/>
      <c r="AG699" s="76"/>
      <c r="AH699" s="76"/>
      <c r="AI699" s="76"/>
      <c r="AJ699" s="76"/>
      <c r="AK699" s="76"/>
      <c r="AL699" s="77">
        <f>IF((P699-SUM(AE699:AK699))&lt;0,0,P699-SUM(AE699:AK699))</f>
        <v>0</v>
      </c>
      <c r="AM699" s="77">
        <f>SUM(AO699:AT699)</f>
        <v>0</v>
      </c>
      <c r="AN699" s="72"/>
      <c r="AO699" s="72"/>
      <c r="AP699" s="72"/>
      <c r="AQ699" s="72"/>
      <c r="AR699" s="72"/>
      <c r="AS699" s="72"/>
      <c r="AT699" s="72"/>
      <c r="AU699" s="72"/>
      <c r="AV699" s="125"/>
      <c r="AW699" s="72"/>
      <c r="AX699" s="72"/>
    </row>
    <row r="700" spans="1:50" ht="15" customHeight="1">
      <c r="A700" s="126" t="s">
        <v>2166</v>
      </c>
      <c r="B700" s="130" t="s">
        <v>1971</v>
      </c>
      <c r="C700" s="69" t="s">
        <v>76</v>
      </c>
      <c r="D700" s="125" t="s">
        <v>64</v>
      </c>
      <c r="E700" s="125" t="s">
        <v>1130</v>
      </c>
      <c r="F700" s="130">
        <v>3</v>
      </c>
      <c r="G700" s="133" t="s">
        <v>218</v>
      </c>
      <c r="H700" s="133" t="s">
        <v>2167</v>
      </c>
      <c r="I700" s="133"/>
      <c r="J700" s="133"/>
      <c r="K700" s="69"/>
      <c r="L700" s="69"/>
      <c r="M700" s="69"/>
      <c r="N700" s="69"/>
      <c r="O700" s="133" t="s">
        <v>869</v>
      </c>
      <c r="P700" s="69">
        <v>1</v>
      </c>
      <c r="Q700" s="130">
        <f>MAX(0,$V700-$P700-$S700)</f>
        <v>0</v>
      </c>
      <c r="R700" s="130"/>
      <c r="S700" s="130"/>
      <c r="T700" s="134">
        <v>0.14000000000000001</v>
      </c>
      <c r="U700" s="134">
        <f>IF(AND($Q700&gt;0,ISNUMBER($T700)),$Q700*$T700,0)</f>
        <v>0</v>
      </c>
      <c r="V700" s="68">
        <f>SUM(W700:AB700)</f>
        <v>0</v>
      </c>
      <c r="W700" s="130"/>
      <c r="X700" s="130"/>
      <c r="Y700" s="130"/>
      <c r="Z700" s="130"/>
      <c r="AA700" s="137"/>
      <c r="AB700" s="130"/>
      <c r="AC700" s="130"/>
      <c r="AD700" s="75">
        <f>SUM(AE700:AJ700)</f>
        <v>1</v>
      </c>
      <c r="AE700" s="76"/>
      <c r="AF700" s="76"/>
      <c r="AG700" s="76"/>
      <c r="AH700" s="76">
        <v>1</v>
      </c>
      <c r="AI700" s="76"/>
      <c r="AJ700" s="76"/>
      <c r="AK700" s="76"/>
      <c r="AL700" s="77">
        <f>IF((P700-SUM(AE700:AK700))&lt;0,0,P700-SUM(AE700:AK700))</f>
        <v>0</v>
      </c>
      <c r="AM700" s="77">
        <f>SUM(AO700:AT700)</f>
        <v>1</v>
      </c>
      <c r="AN700" s="140" t="s">
        <v>105</v>
      </c>
      <c r="AO700" s="72"/>
      <c r="AP700" s="72"/>
      <c r="AQ700" s="72"/>
      <c r="AR700" s="79">
        <v>1</v>
      </c>
      <c r="AS700" s="72"/>
      <c r="AT700" s="129"/>
      <c r="AU700" s="125" t="s">
        <v>2168</v>
      </c>
      <c r="AV700" s="125"/>
      <c r="AW700" s="72"/>
      <c r="AX700" s="72"/>
    </row>
    <row r="701" spans="1:50" ht="15" customHeight="1">
      <c r="A701" s="125" t="s">
        <v>792</v>
      </c>
      <c r="B701" s="130" t="s">
        <v>636</v>
      </c>
      <c r="C701" s="69" t="s">
        <v>76</v>
      </c>
      <c r="D701" s="125" t="s">
        <v>47</v>
      </c>
      <c r="E701" s="125"/>
      <c r="F701" s="130">
        <v>2</v>
      </c>
      <c r="G701" s="133" t="s">
        <v>79</v>
      </c>
      <c r="H701" s="133" t="s">
        <v>794</v>
      </c>
      <c r="I701" s="133"/>
      <c r="J701" s="133"/>
      <c r="K701" s="72"/>
      <c r="L701" s="72"/>
      <c r="M701" s="72"/>
      <c r="N701" s="72"/>
      <c r="O701" s="133" t="s">
        <v>793</v>
      </c>
      <c r="P701" s="69">
        <v>1</v>
      </c>
      <c r="Q701" s="130">
        <f>MAX(0,$V701-$P701-$S701)</f>
        <v>0</v>
      </c>
      <c r="R701" s="130"/>
      <c r="S701" s="130"/>
      <c r="T701" s="134">
        <v>2.4500000000000002</v>
      </c>
      <c r="U701" s="134">
        <f>IF(AND($Q701&gt;0,ISNUMBER($T701)),$Q701*$T701,0)</f>
        <v>0</v>
      </c>
      <c r="V701" s="68">
        <f>SUM(W701:AB701)</f>
        <v>1</v>
      </c>
      <c r="W701" s="130"/>
      <c r="X701" s="130"/>
      <c r="Y701" s="130">
        <v>1</v>
      </c>
      <c r="Z701" s="130"/>
      <c r="AA701" s="130"/>
      <c r="AB701" s="130"/>
      <c r="AC701" s="130"/>
      <c r="AD701" s="75">
        <f>SUM(AE701:AJ701)</f>
        <v>1</v>
      </c>
      <c r="AE701" s="76"/>
      <c r="AF701" s="76"/>
      <c r="AG701" s="76">
        <v>1</v>
      </c>
      <c r="AH701" s="76"/>
      <c r="AI701" s="76"/>
      <c r="AJ701" s="76"/>
      <c r="AK701" s="76"/>
      <c r="AL701" s="77">
        <f>IF((P701-SUM(AE701:AK701))&lt;0,0,P701-SUM(AE701:AK701))</f>
        <v>0</v>
      </c>
      <c r="AM701" s="77">
        <f>SUM(AO701:AT701)</f>
        <v>0</v>
      </c>
      <c r="AN701" s="72"/>
      <c r="AO701" s="72"/>
      <c r="AP701" s="72"/>
      <c r="AQ701" s="72"/>
      <c r="AR701" s="72"/>
      <c r="AS701" s="72"/>
      <c r="AT701" s="72"/>
      <c r="AU701" s="72"/>
      <c r="AV701" s="125"/>
      <c r="AW701" s="72"/>
      <c r="AX701" s="72"/>
    </row>
    <row r="702" spans="1:50" ht="15" customHeight="1">
      <c r="A702" s="125" t="s">
        <v>2192</v>
      </c>
      <c r="B702" s="130" t="s">
        <v>1971</v>
      </c>
      <c r="C702" s="69" t="s">
        <v>76</v>
      </c>
      <c r="D702" s="125" t="s">
        <v>58</v>
      </c>
      <c r="E702" s="125" t="s">
        <v>726</v>
      </c>
      <c r="F702" s="130">
        <v>2</v>
      </c>
      <c r="G702" s="133" t="s">
        <v>49</v>
      </c>
      <c r="H702" s="133" t="s">
        <v>2193</v>
      </c>
      <c r="I702" s="133"/>
      <c r="J702" s="133"/>
      <c r="K702" s="72"/>
      <c r="L702" s="72"/>
      <c r="M702" s="72"/>
      <c r="N702" s="72"/>
      <c r="O702" s="133" t="s">
        <v>180</v>
      </c>
      <c r="P702" s="69">
        <v>1</v>
      </c>
      <c r="Q702" s="130">
        <f>MAX(0,$V702-$P702-$S702)</f>
        <v>0</v>
      </c>
      <c r="R702" s="130" t="s">
        <v>57</v>
      </c>
      <c r="S702" s="130">
        <v>1</v>
      </c>
      <c r="T702" s="134">
        <v>0.34</v>
      </c>
      <c r="U702" s="134">
        <f>IF(AND($Q702&gt;0,ISNUMBER($T702)),$Q702*$T702,0)</f>
        <v>0</v>
      </c>
      <c r="V702" s="68">
        <f>SUM(W702:AB702)</f>
        <v>1</v>
      </c>
      <c r="W702" s="130"/>
      <c r="X702" s="130"/>
      <c r="Y702" s="130"/>
      <c r="Z702" s="130"/>
      <c r="AA702" s="130">
        <v>1</v>
      </c>
      <c r="AB702" s="130"/>
      <c r="AC702" s="130"/>
      <c r="AD702" s="75">
        <f>SUM(AE702:AJ702)</f>
        <v>1</v>
      </c>
      <c r="AE702" s="76"/>
      <c r="AF702" s="76"/>
      <c r="AG702" s="76"/>
      <c r="AH702" s="76"/>
      <c r="AI702" s="76">
        <v>1</v>
      </c>
      <c r="AJ702" s="76"/>
      <c r="AK702" s="76"/>
      <c r="AL702" s="77">
        <f>IF((P702-SUM(AE702:AK702))&lt;0,0,P702-SUM(AE702:AK702))</f>
        <v>0</v>
      </c>
      <c r="AM702" s="77">
        <f>SUM(AO702:AT702)</f>
        <v>0</v>
      </c>
      <c r="AN702" s="72"/>
      <c r="AO702" s="72"/>
      <c r="AP702" s="72"/>
      <c r="AQ702" s="72"/>
      <c r="AR702" s="72"/>
      <c r="AS702" s="72"/>
      <c r="AT702" s="72"/>
      <c r="AU702" s="72"/>
      <c r="AV702" s="125"/>
      <c r="AW702" s="72"/>
      <c r="AX702" s="72"/>
    </row>
    <row r="703" spans="1:50" ht="15" customHeight="1">
      <c r="A703" s="128" t="s">
        <v>234</v>
      </c>
      <c r="B703" s="130" t="s">
        <v>46</v>
      </c>
      <c r="C703" s="69" t="s">
        <v>76</v>
      </c>
      <c r="D703" s="125" t="s">
        <v>58</v>
      </c>
      <c r="E703" s="125"/>
      <c r="F703" s="130">
        <v>3</v>
      </c>
      <c r="G703" s="133" t="s">
        <v>79</v>
      </c>
      <c r="H703" s="133" t="s">
        <v>236</v>
      </c>
      <c r="I703" s="133"/>
      <c r="J703" s="133"/>
      <c r="K703" s="72"/>
      <c r="L703" s="72"/>
      <c r="M703" s="72"/>
      <c r="N703" s="72"/>
      <c r="O703" s="133" t="s">
        <v>235</v>
      </c>
      <c r="P703" s="69">
        <v>1</v>
      </c>
      <c r="Q703" s="130">
        <f>MAX(0,$V703-$P703-$S703)</f>
        <v>1</v>
      </c>
      <c r="R703" s="130"/>
      <c r="S703" s="130"/>
      <c r="T703" s="134">
        <v>3.74</v>
      </c>
      <c r="U703" s="134">
        <f>IF(AND($Q703&gt;0,ISNUMBER($T703)),$Q703*$T703,0)</f>
        <v>3.74</v>
      </c>
      <c r="V703" s="68">
        <f>SUM(W703:AB703)</f>
        <v>2</v>
      </c>
      <c r="W703" s="130"/>
      <c r="X703" s="130"/>
      <c r="Y703" s="130"/>
      <c r="Z703" s="130">
        <v>1</v>
      </c>
      <c r="AA703" s="136">
        <v>1</v>
      </c>
      <c r="AB703" s="130"/>
      <c r="AC703" s="130"/>
      <c r="AD703" s="75">
        <f>SUM(AE703:AJ703)</f>
        <v>1</v>
      </c>
      <c r="AE703" s="76"/>
      <c r="AF703" s="76"/>
      <c r="AG703" s="76"/>
      <c r="AH703" s="76">
        <v>1</v>
      </c>
      <c r="AI703" s="76"/>
      <c r="AJ703" s="76"/>
      <c r="AK703" s="76"/>
      <c r="AL703" s="77">
        <f>IF((P703-SUM(AE703:AK703))&lt;0,0,P703-SUM(AE703:AK703))</f>
        <v>0</v>
      </c>
      <c r="AM703" s="77">
        <f>SUM(AO703:AT703)</f>
        <v>0</v>
      </c>
      <c r="AN703" s="83" t="s">
        <v>81</v>
      </c>
      <c r="AO703" s="72"/>
      <c r="AP703" s="72"/>
      <c r="AQ703" s="72"/>
      <c r="AR703" s="72"/>
      <c r="AS703" s="72"/>
      <c r="AT703" s="72"/>
      <c r="AU703" s="28" t="s">
        <v>237</v>
      </c>
      <c r="AV703" s="125"/>
      <c r="AW703" s="72"/>
      <c r="AX703" s="84"/>
    </row>
    <row r="704" spans="1:50" ht="15" customHeight="1">
      <c r="A704" s="125" t="s">
        <v>238</v>
      </c>
      <c r="B704" s="130" t="s">
        <v>46</v>
      </c>
      <c r="C704" s="69" t="s">
        <v>76</v>
      </c>
      <c r="D704" s="125" t="s">
        <v>64</v>
      </c>
      <c r="E704" s="125" t="s">
        <v>239</v>
      </c>
      <c r="F704" s="130">
        <v>4</v>
      </c>
      <c r="G704" s="133" t="s">
        <v>79</v>
      </c>
      <c r="H704" s="133" t="s">
        <v>241</v>
      </c>
      <c r="I704" s="133"/>
      <c r="J704" s="133"/>
      <c r="K704" s="72"/>
      <c r="L704" s="72"/>
      <c r="M704" s="72"/>
      <c r="N704" s="72"/>
      <c r="O704" s="133" t="s">
        <v>240</v>
      </c>
      <c r="P704" s="69">
        <v>1</v>
      </c>
      <c r="Q704" s="130">
        <f>MAX(0,$V704-$P704-$S704)</f>
        <v>0</v>
      </c>
      <c r="R704" s="130"/>
      <c r="S704" s="130"/>
      <c r="T704" s="134">
        <v>3.42</v>
      </c>
      <c r="U704" s="134">
        <f>IF(AND($Q704&gt;0,ISNUMBER($T704)),$Q704*$T704,0)</f>
        <v>0</v>
      </c>
      <c r="V704" s="68">
        <f>SUM(W704:AB704)</f>
        <v>1</v>
      </c>
      <c r="W704" s="130"/>
      <c r="X704" s="130"/>
      <c r="Y704" s="130"/>
      <c r="Z704" s="130"/>
      <c r="AA704" s="130">
        <v>1</v>
      </c>
      <c r="AB704" s="130"/>
      <c r="AC704" s="130"/>
      <c r="AD704" s="75">
        <f>SUM(AE704:AJ704)</f>
        <v>1</v>
      </c>
      <c r="AE704" s="76"/>
      <c r="AF704" s="76"/>
      <c r="AG704" s="76"/>
      <c r="AH704" s="76"/>
      <c r="AI704" s="76">
        <v>1</v>
      </c>
      <c r="AJ704" s="76"/>
      <c r="AK704" s="76"/>
      <c r="AL704" s="77">
        <f>IF((P704-SUM(AE704:AK704))&lt;0,0,P704-SUM(AE704:AK704))</f>
        <v>0</v>
      </c>
      <c r="AM704" s="77">
        <f>SUM(AO704:AT704)</f>
        <v>0</v>
      </c>
      <c r="AN704" s="72"/>
      <c r="AO704" s="72"/>
      <c r="AP704" s="72"/>
      <c r="AQ704" s="72"/>
      <c r="AR704" s="72"/>
      <c r="AS704" s="72"/>
      <c r="AT704" s="72"/>
      <c r="AU704" s="72"/>
      <c r="AV704" s="125"/>
      <c r="AW704" s="72"/>
      <c r="AX704" s="72"/>
    </row>
    <row r="705" spans="1:50" ht="15" customHeight="1">
      <c r="A705" s="126" t="s">
        <v>1745</v>
      </c>
      <c r="B705" s="130" t="s">
        <v>1499</v>
      </c>
      <c r="C705" s="69" t="s">
        <v>76</v>
      </c>
      <c r="D705" s="125" t="s">
        <v>47</v>
      </c>
      <c r="E705" s="125"/>
      <c r="F705" s="130">
        <v>1</v>
      </c>
      <c r="G705" s="133" t="s">
        <v>49</v>
      </c>
      <c r="H705" s="133" t="s">
        <v>1747</v>
      </c>
      <c r="I705" s="133"/>
      <c r="J705" s="133"/>
      <c r="K705" s="72"/>
      <c r="L705" s="72"/>
      <c r="M705" s="72"/>
      <c r="N705" s="72"/>
      <c r="O705" s="133" t="s">
        <v>1746</v>
      </c>
      <c r="P705" s="69">
        <v>1</v>
      </c>
      <c r="Q705" s="130">
        <f>MAX(0,$V705-$P705-$S705)</f>
        <v>0</v>
      </c>
      <c r="R705" s="130"/>
      <c r="S705" s="130"/>
      <c r="T705" s="134">
        <v>0.28000000000000003</v>
      </c>
      <c r="U705" s="134">
        <f>IF(AND($Q705&gt;0,ISNUMBER($T705)),$Q705*$T705,0)</f>
        <v>0</v>
      </c>
      <c r="V705" s="68">
        <f>SUM(W705:AB705)</f>
        <v>0</v>
      </c>
      <c r="W705" s="130"/>
      <c r="X705" s="130"/>
      <c r="Y705" s="130"/>
      <c r="Z705" s="130"/>
      <c r="AA705" s="130"/>
      <c r="AB705" s="137"/>
      <c r="AC705" s="130"/>
      <c r="AD705" s="75">
        <f>SUM(AE705:AJ705)</f>
        <v>0</v>
      </c>
      <c r="AE705" s="76"/>
      <c r="AF705" s="76"/>
      <c r="AG705" s="76"/>
      <c r="AH705" s="76"/>
      <c r="AI705" s="76"/>
      <c r="AJ705" s="76"/>
      <c r="AK705" s="76"/>
      <c r="AL705" s="77">
        <f>IF((P705-SUM(AE705:AK705))&lt;0,0,P705-SUM(AE705:AK705))</f>
        <v>1</v>
      </c>
      <c r="AM705" s="77">
        <f>SUM(AO705:AT705)</f>
        <v>0</v>
      </c>
      <c r="AN705" s="129"/>
      <c r="AO705" s="72"/>
      <c r="AP705" s="72"/>
      <c r="AQ705" s="129"/>
      <c r="AR705" s="72"/>
      <c r="AS705" s="72"/>
      <c r="AT705" s="72"/>
      <c r="AU705" s="129"/>
      <c r="AV705" s="125"/>
      <c r="AW705" s="72"/>
      <c r="AX705" s="72"/>
    </row>
    <row r="706" spans="1:50" ht="15" customHeight="1">
      <c r="A706" s="126" t="s">
        <v>2221</v>
      </c>
      <c r="B706" s="130" t="s">
        <v>1971</v>
      </c>
      <c r="C706" s="69" t="s">
        <v>76</v>
      </c>
      <c r="D706" s="125" t="s">
        <v>64</v>
      </c>
      <c r="E706" s="125" t="s">
        <v>1444</v>
      </c>
      <c r="F706" s="130">
        <v>6</v>
      </c>
      <c r="G706" s="133" t="s">
        <v>54</v>
      </c>
      <c r="H706" s="133" t="s">
        <v>2222</v>
      </c>
      <c r="I706" s="133" t="s">
        <v>2223</v>
      </c>
      <c r="J706" s="133"/>
      <c r="K706" s="72"/>
      <c r="L706" s="72"/>
      <c r="M706" s="72"/>
      <c r="N706" s="72"/>
      <c r="O706" s="133" t="s">
        <v>1107</v>
      </c>
      <c r="P706" s="69">
        <v>1</v>
      </c>
      <c r="Q706" s="130">
        <f>MAX(0,$V706-$P706-$S706)</f>
        <v>0</v>
      </c>
      <c r="R706" s="130"/>
      <c r="S706" s="130"/>
      <c r="T706" s="134">
        <v>0.84</v>
      </c>
      <c r="U706" s="134">
        <f>IF(AND($Q706&gt;0,ISNUMBER($T706)),$Q706*$T706,0)</f>
        <v>0</v>
      </c>
      <c r="V706" s="68">
        <f>SUM(W706:AB706)</f>
        <v>0</v>
      </c>
      <c r="W706" s="130"/>
      <c r="X706" s="130"/>
      <c r="Y706" s="130"/>
      <c r="Z706" s="130"/>
      <c r="AA706" s="137"/>
      <c r="AB706" s="130"/>
      <c r="AC706" s="130"/>
      <c r="AD706" s="75">
        <f>SUM(AE706:AJ706)</f>
        <v>1</v>
      </c>
      <c r="AE706" s="76"/>
      <c r="AF706" s="76"/>
      <c r="AG706" s="76"/>
      <c r="AH706" s="76"/>
      <c r="AI706" s="76">
        <v>1</v>
      </c>
      <c r="AJ706" s="76"/>
      <c r="AK706" s="76"/>
      <c r="AL706" s="77">
        <f>IF((P706-SUM(AE706:AK706))&lt;0,0,P706-SUM(AE706:AK706))</f>
        <v>0</v>
      </c>
      <c r="AM706" s="77">
        <f>SUM(AO706:AT706)</f>
        <v>1</v>
      </c>
      <c r="AN706" s="80" t="s">
        <v>105</v>
      </c>
      <c r="AO706" s="72"/>
      <c r="AP706" s="72"/>
      <c r="AQ706" s="72"/>
      <c r="AR706" s="72"/>
      <c r="AS706" s="79">
        <v>1</v>
      </c>
      <c r="AT706" s="72"/>
      <c r="AU706" s="31" t="s">
        <v>2224</v>
      </c>
      <c r="AV706" s="125"/>
      <c r="AW706" s="72"/>
      <c r="AX706" s="72"/>
    </row>
    <row r="707" spans="1:50" ht="15" customHeight="1">
      <c r="A707" s="125" t="s">
        <v>1774</v>
      </c>
      <c r="B707" s="130" t="s">
        <v>1499</v>
      </c>
      <c r="C707" s="69" t="s">
        <v>76</v>
      </c>
      <c r="D707" s="125" t="s">
        <v>58</v>
      </c>
      <c r="E707" s="125"/>
      <c r="F707" s="130">
        <v>3</v>
      </c>
      <c r="G707" s="133" t="s">
        <v>218</v>
      </c>
      <c r="H707" s="133" t="s">
        <v>1775</v>
      </c>
      <c r="I707" s="133"/>
      <c r="J707" s="133"/>
      <c r="K707" s="69"/>
      <c r="L707" s="69"/>
      <c r="M707" s="69"/>
      <c r="N707" s="69"/>
      <c r="O707" s="133" t="s">
        <v>591</v>
      </c>
      <c r="P707" s="69">
        <v>1</v>
      </c>
      <c r="Q707" s="130">
        <f>MAX(0,$V707-$P707-$S707)</f>
        <v>0</v>
      </c>
      <c r="R707" s="130"/>
      <c r="S707" s="130"/>
      <c r="T707" s="134">
        <v>4.47</v>
      </c>
      <c r="U707" s="134">
        <f>IF(AND($Q707&gt;0,ISNUMBER($T707)),$Q707*$T707,0)</f>
        <v>0</v>
      </c>
      <c r="V707" s="68">
        <f>SUM(W707:AB707)</f>
        <v>1</v>
      </c>
      <c r="W707" s="130"/>
      <c r="X707" s="130"/>
      <c r="Y707" s="130"/>
      <c r="Z707" s="130"/>
      <c r="AA707" s="130"/>
      <c r="AB707" s="130">
        <v>1</v>
      </c>
      <c r="AC707" s="130"/>
      <c r="AD707" s="75">
        <f>SUM(AE707:AJ707)</f>
        <v>1</v>
      </c>
      <c r="AE707" s="76"/>
      <c r="AF707" s="76"/>
      <c r="AG707" s="76"/>
      <c r="AH707" s="76"/>
      <c r="AI707" s="76"/>
      <c r="AJ707" s="76">
        <v>1</v>
      </c>
      <c r="AK707" s="76"/>
      <c r="AL707" s="77">
        <f>IF((P707-SUM(AE707:AK707))&lt;0,0,P707-SUM(AE707:AK707))</f>
        <v>0</v>
      </c>
      <c r="AM707" s="77">
        <f>SUM(AO707:AT707)</f>
        <v>0</v>
      </c>
      <c r="AN707" s="72"/>
      <c r="AO707" s="72"/>
      <c r="AP707" s="72"/>
      <c r="AQ707" s="72"/>
      <c r="AR707" s="72"/>
      <c r="AS707" s="72"/>
      <c r="AT707" s="72"/>
      <c r="AU707" s="72"/>
      <c r="AV707" s="125"/>
      <c r="AW707" s="72"/>
      <c r="AX707" s="72"/>
    </row>
    <row r="708" spans="1:50" ht="15" customHeight="1">
      <c r="A708" s="125" t="s">
        <v>1455</v>
      </c>
      <c r="B708" s="130" t="s">
        <v>1114</v>
      </c>
      <c r="C708" s="69" t="s">
        <v>76</v>
      </c>
      <c r="D708" s="125" t="s">
        <v>627</v>
      </c>
      <c r="E708" s="125"/>
      <c r="F708" s="130">
        <v>0</v>
      </c>
      <c r="G708" s="133" t="s">
        <v>79</v>
      </c>
      <c r="H708" s="133" t="s">
        <v>1456</v>
      </c>
      <c r="I708" s="133"/>
      <c r="J708" s="133"/>
      <c r="K708" s="72"/>
      <c r="L708" s="72"/>
      <c r="M708" s="72"/>
      <c r="N708" s="72"/>
      <c r="O708" s="133" t="s">
        <v>97</v>
      </c>
      <c r="P708" s="69">
        <v>1</v>
      </c>
      <c r="Q708" s="130">
        <f>MAX(0,$V708-$P708-$S708)</f>
        <v>0</v>
      </c>
      <c r="R708" s="130"/>
      <c r="S708" s="130"/>
      <c r="T708" s="134">
        <v>4.05</v>
      </c>
      <c r="U708" s="134">
        <f>IF(AND($Q708&gt;0,ISNUMBER($T708)),$Q708*$T708,0)</f>
        <v>0</v>
      </c>
      <c r="V708" s="68">
        <f>SUM(W708:AB708)</f>
        <v>1</v>
      </c>
      <c r="W708" s="130">
        <v>1</v>
      </c>
      <c r="X708" s="130"/>
      <c r="Y708" s="130"/>
      <c r="Z708" s="130"/>
      <c r="AA708" s="130"/>
      <c r="AB708" s="130"/>
      <c r="AC708" s="130"/>
      <c r="AD708" s="75">
        <f>SUM(AE708:AJ708)</f>
        <v>1</v>
      </c>
      <c r="AE708" s="76">
        <v>1</v>
      </c>
      <c r="AF708" s="76"/>
      <c r="AG708" s="76"/>
      <c r="AH708" s="76"/>
      <c r="AI708" s="76"/>
      <c r="AJ708" s="76"/>
      <c r="AK708" s="76"/>
      <c r="AL708" s="77">
        <f>IF((P708-SUM(AE708:AK708))&lt;0,0,P708-SUM(AE708:AK708))</f>
        <v>0</v>
      </c>
      <c r="AM708" s="77">
        <f>SUM(AO708:AT708)</f>
        <v>0</v>
      </c>
      <c r="AN708" s="72"/>
      <c r="AO708" s="72"/>
      <c r="AP708" s="72"/>
      <c r="AQ708" s="72"/>
      <c r="AR708" s="72"/>
      <c r="AS708" s="72"/>
      <c r="AT708" s="72"/>
      <c r="AU708" s="72"/>
      <c r="AV708" s="125"/>
      <c r="AW708" s="72"/>
      <c r="AX708" s="72"/>
    </row>
    <row r="709" spans="1:50" ht="15" customHeight="1">
      <c r="A709" s="125" t="s">
        <v>1460</v>
      </c>
      <c r="B709" s="130" t="s">
        <v>1114</v>
      </c>
      <c r="C709" s="69" t="s">
        <v>76</v>
      </c>
      <c r="D709" s="125" t="s">
        <v>123</v>
      </c>
      <c r="E709" s="125" t="s">
        <v>1305</v>
      </c>
      <c r="F709" s="130">
        <v>4</v>
      </c>
      <c r="G709" s="133" t="s">
        <v>218</v>
      </c>
      <c r="H709" s="133" t="s">
        <v>1461</v>
      </c>
      <c r="I709" s="133"/>
      <c r="J709" s="133"/>
      <c r="K709" s="69"/>
      <c r="L709" s="69"/>
      <c r="M709" s="69"/>
      <c r="N709" s="69"/>
      <c r="O709" s="133" t="s">
        <v>53</v>
      </c>
      <c r="P709" s="69">
        <v>1</v>
      </c>
      <c r="Q709" s="130">
        <f>MAX(0,$V709-$P709-$S709)</f>
        <v>0</v>
      </c>
      <c r="R709" s="130"/>
      <c r="S709" s="130"/>
      <c r="T709" s="134">
        <v>2.67</v>
      </c>
      <c r="U709" s="134">
        <f>IF(AND($Q709&gt;0,ISNUMBER($T709)),$Q709*$T709,0)</f>
        <v>0</v>
      </c>
      <c r="V709" s="68">
        <f>SUM(W709:AB709)</f>
        <v>1</v>
      </c>
      <c r="W709" s="130"/>
      <c r="X709" s="130"/>
      <c r="Y709" s="130"/>
      <c r="Z709" s="130"/>
      <c r="AA709" s="130">
        <v>1</v>
      </c>
      <c r="AB709" s="130"/>
      <c r="AC709" s="130"/>
      <c r="AD709" s="75">
        <f>SUM(AE709:AJ709)</f>
        <v>1</v>
      </c>
      <c r="AE709" s="76"/>
      <c r="AF709" s="76"/>
      <c r="AG709" s="76"/>
      <c r="AH709" s="76"/>
      <c r="AI709" s="76">
        <v>1</v>
      </c>
      <c r="AJ709" s="76"/>
      <c r="AK709" s="76"/>
      <c r="AL709" s="77">
        <f>IF((P709-SUM(AE709:AK709))&lt;0,0,P709-SUM(AE709:AK709))</f>
        <v>0</v>
      </c>
      <c r="AM709" s="77">
        <f>SUM(AO709:AT709)</f>
        <v>0</v>
      </c>
      <c r="AN709" s="129"/>
      <c r="AO709" s="72"/>
      <c r="AP709" s="72"/>
      <c r="AQ709" s="72"/>
      <c r="AR709" s="72"/>
      <c r="AS709" s="72"/>
      <c r="AT709" s="72"/>
      <c r="AU709" s="72"/>
      <c r="AV709" s="125"/>
      <c r="AW709" s="72"/>
      <c r="AX709" s="72"/>
    </row>
    <row r="710" spans="1:50" ht="15" customHeight="1">
      <c r="A710" s="126" t="s">
        <v>1813</v>
      </c>
      <c r="B710" s="130" t="s">
        <v>1499</v>
      </c>
      <c r="C710" s="69" t="s">
        <v>76</v>
      </c>
      <c r="D710" s="125" t="s">
        <v>58</v>
      </c>
      <c r="E710" s="125"/>
      <c r="F710" s="130">
        <v>2</v>
      </c>
      <c r="G710" s="133" t="s">
        <v>79</v>
      </c>
      <c r="H710" s="133" t="s">
        <v>1814</v>
      </c>
      <c r="I710" s="133"/>
      <c r="J710" s="133"/>
      <c r="K710" s="72"/>
      <c r="L710" s="72"/>
      <c r="M710" s="72"/>
      <c r="N710" s="72"/>
      <c r="O710" s="133" t="s">
        <v>1746</v>
      </c>
      <c r="P710" s="69">
        <v>1</v>
      </c>
      <c r="Q710" s="130">
        <f>MAX(0,$V710-$P710-$S710)</f>
        <v>0</v>
      </c>
      <c r="R710" s="130"/>
      <c r="S710" s="130"/>
      <c r="T710" s="134">
        <v>7.35</v>
      </c>
      <c r="U710" s="134">
        <f>IF(AND($Q710&gt;0,ISNUMBER($T710)),$Q710*$T710,0)</f>
        <v>0</v>
      </c>
      <c r="V710" s="68">
        <f>SUM(W710:AB710)</f>
        <v>0</v>
      </c>
      <c r="W710" s="130"/>
      <c r="X710" s="130"/>
      <c r="Y710" s="130"/>
      <c r="Z710" s="130"/>
      <c r="AA710" s="130"/>
      <c r="AB710" s="137"/>
      <c r="AC710" s="130"/>
      <c r="AD710" s="75">
        <f>SUM(AE710:AJ710)</f>
        <v>1</v>
      </c>
      <c r="AE710" s="76"/>
      <c r="AF710" s="76"/>
      <c r="AG710" s="76"/>
      <c r="AH710" s="76"/>
      <c r="AI710" s="76"/>
      <c r="AJ710" s="76">
        <v>1</v>
      </c>
      <c r="AK710" s="76"/>
      <c r="AL710" s="77">
        <f>IF((P710-SUM(AE710:AK710))&lt;0,0,P710-SUM(AE710:AK710))</f>
        <v>0</v>
      </c>
      <c r="AM710" s="77">
        <f>SUM(AO710:AT710)</f>
        <v>0</v>
      </c>
      <c r="AN710" s="72"/>
      <c r="AO710" s="72"/>
      <c r="AP710" s="72"/>
      <c r="AQ710" s="72"/>
      <c r="AR710" s="72"/>
      <c r="AS710" s="72"/>
      <c r="AT710" s="72"/>
      <c r="AU710" s="72"/>
      <c r="AV710" s="125"/>
      <c r="AW710" s="72"/>
      <c r="AX710" s="72"/>
    </row>
    <row r="711" spans="1:50" ht="15" customHeight="1">
      <c r="A711" s="125" t="s">
        <v>880</v>
      </c>
      <c r="B711" s="130" t="s">
        <v>636</v>
      </c>
      <c r="C711" s="69" t="s">
        <v>76</v>
      </c>
      <c r="D711" s="125" t="s">
        <v>123</v>
      </c>
      <c r="E711" s="125" t="s">
        <v>722</v>
      </c>
      <c r="F711" s="130">
        <v>2</v>
      </c>
      <c r="G711" s="133" t="s">
        <v>125</v>
      </c>
      <c r="H711" s="133" t="s">
        <v>723</v>
      </c>
      <c r="I711" s="133" t="s">
        <v>724</v>
      </c>
      <c r="J711" s="133"/>
      <c r="K711" s="72"/>
      <c r="L711" s="72"/>
      <c r="M711" s="72"/>
      <c r="N711" s="72"/>
      <c r="O711" s="133" t="s">
        <v>881</v>
      </c>
      <c r="P711" s="69">
        <v>1</v>
      </c>
      <c r="Q711" s="130">
        <f>MAX(0,$V711-$P711-$S711)</f>
        <v>0</v>
      </c>
      <c r="R711" s="130"/>
      <c r="S711" s="130"/>
      <c r="T711" s="134">
        <v>0.24</v>
      </c>
      <c r="U711" s="134">
        <f>IF(AND($Q711&gt;0,ISNUMBER($T711)),$Q711*$T711,0)</f>
        <v>0</v>
      </c>
      <c r="V711" s="68">
        <f>SUM(W711:AB711)</f>
        <v>0</v>
      </c>
      <c r="W711" s="130"/>
      <c r="X711" s="130"/>
      <c r="Y711" s="130"/>
      <c r="Z711" s="130"/>
      <c r="AA711" s="130"/>
      <c r="AB711" s="130"/>
      <c r="AC711" s="130"/>
      <c r="AD711" s="75">
        <f>SUM(AE711:AJ711)</f>
        <v>0</v>
      </c>
      <c r="AE711" s="76"/>
      <c r="AF711" s="76"/>
      <c r="AG711" s="76"/>
      <c r="AH711" s="76"/>
      <c r="AI711" s="76"/>
      <c r="AJ711" s="76"/>
      <c r="AK711" s="76"/>
      <c r="AL711" s="77">
        <f>IF((P711-SUM(AE711:AK711))&lt;0,0,P711-SUM(AE711:AK711))</f>
        <v>1</v>
      </c>
      <c r="AM711" s="77">
        <f>SUM(AO711:AT711)</f>
        <v>0</v>
      </c>
      <c r="AN711" s="72"/>
      <c r="AO711" s="72"/>
      <c r="AP711" s="72"/>
      <c r="AQ711" s="72"/>
      <c r="AR711" s="72"/>
      <c r="AS711" s="72"/>
      <c r="AT711" s="72"/>
      <c r="AU711" s="72"/>
      <c r="AV711" s="125"/>
      <c r="AW711" s="72"/>
      <c r="AX711" s="72"/>
    </row>
    <row r="712" spans="1:50" ht="15" customHeight="1">
      <c r="A712" s="125" t="s">
        <v>344</v>
      </c>
      <c r="B712" s="130" t="s">
        <v>345</v>
      </c>
      <c r="C712" s="69" t="s">
        <v>76</v>
      </c>
      <c r="D712" s="125" t="s">
        <v>175</v>
      </c>
      <c r="E712" s="125"/>
      <c r="F712" s="130">
        <v>4</v>
      </c>
      <c r="G712" s="133" t="s">
        <v>285</v>
      </c>
      <c r="H712" s="133" t="s">
        <v>347</v>
      </c>
      <c r="I712" s="133"/>
      <c r="J712" s="133"/>
      <c r="K712" s="69"/>
      <c r="L712" s="69"/>
      <c r="M712" s="69"/>
      <c r="N712" s="69"/>
      <c r="O712" s="133" t="s">
        <v>346</v>
      </c>
      <c r="P712" s="69">
        <v>0</v>
      </c>
      <c r="Q712" s="130">
        <f>MAX(0,$V712-$P712-$S712)</f>
        <v>0</v>
      </c>
      <c r="R712" s="130"/>
      <c r="S712" s="130"/>
      <c r="T712" s="134">
        <v>20.45</v>
      </c>
      <c r="U712" s="134">
        <f>IF(AND($Q712&gt;0,ISNUMBER($T712)),$Q712*$T712,0)</f>
        <v>0</v>
      </c>
      <c r="V712" s="68">
        <f>SUM(W712:AB712)</f>
        <v>0</v>
      </c>
      <c r="W712" s="130"/>
      <c r="X712" s="130"/>
      <c r="Y712" s="130"/>
      <c r="Z712" s="130"/>
      <c r="AA712" s="130"/>
      <c r="AB712" s="130"/>
      <c r="AC712" s="130"/>
      <c r="AD712" s="75">
        <f>SUM(AE712:AJ712)</f>
        <v>0</v>
      </c>
      <c r="AE712" s="76"/>
      <c r="AF712" s="76"/>
      <c r="AG712" s="76"/>
      <c r="AH712" s="76"/>
      <c r="AI712" s="76"/>
      <c r="AJ712" s="76"/>
      <c r="AK712" s="76"/>
      <c r="AL712" s="77">
        <f>IF((P712-SUM(AE712:AK712))&lt;0,0,P712-SUM(AE712:AK712))</f>
        <v>0</v>
      </c>
      <c r="AM712" s="77">
        <f>SUM(AO712:AT712)</f>
        <v>0</v>
      </c>
      <c r="AN712" s="129"/>
      <c r="AO712" s="72"/>
      <c r="AP712" s="72"/>
      <c r="AQ712" s="72"/>
      <c r="AR712" s="72"/>
      <c r="AS712" s="72"/>
      <c r="AT712" s="72"/>
      <c r="AU712" s="72"/>
      <c r="AV712" s="125"/>
      <c r="AW712" s="72"/>
      <c r="AX712" s="72"/>
    </row>
    <row r="713" spans="1:50" ht="15" customHeight="1">
      <c r="A713" s="128" t="s">
        <v>1120</v>
      </c>
      <c r="B713" s="130" t="s">
        <v>1114</v>
      </c>
      <c r="C713" s="69" t="s">
        <v>76</v>
      </c>
      <c r="D713" s="125" t="s">
        <v>64</v>
      </c>
      <c r="E713" s="125" t="s">
        <v>1121</v>
      </c>
      <c r="F713" s="130">
        <v>4</v>
      </c>
      <c r="G713" s="133" t="s">
        <v>264</v>
      </c>
      <c r="H713" s="133" t="s">
        <v>1123</v>
      </c>
      <c r="I713" s="133"/>
      <c r="J713" s="133"/>
      <c r="K713" s="69"/>
      <c r="L713" s="69"/>
      <c r="M713" s="69"/>
      <c r="N713" s="69"/>
      <c r="O713" s="133" t="s">
        <v>1122</v>
      </c>
      <c r="P713" s="69">
        <v>0</v>
      </c>
      <c r="Q713" s="130">
        <f>MAX(0,$V713-$P713-$S713)</f>
        <v>1</v>
      </c>
      <c r="R713" s="130"/>
      <c r="S713" s="130"/>
      <c r="T713" s="134">
        <v>0.23</v>
      </c>
      <c r="U713" s="134">
        <f>IF(AND($Q713&gt;0,ISNUMBER($T713)),$Q713*$T713,0)</f>
        <v>0.23</v>
      </c>
      <c r="V713" s="68">
        <f>SUM(W713:AB713)</f>
        <v>1</v>
      </c>
      <c r="W713" s="130"/>
      <c r="X713" s="130"/>
      <c r="Y713" s="130"/>
      <c r="Z713" s="136">
        <v>1</v>
      </c>
      <c r="AA713" s="130"/>
      <c r="AB713" s="130"/>
      <c r="AC713" s="130"/>
      <c r="AD713" s="75">
        <f>SUM(AE713:AJ713)</f>
        <v>0</v>
      </c>
      <c r="AE713" s="76"/>
      <c r="AF713" s="76"/>
      <c r="AG713" s="76"/>
      <c r="AH713" s="76"/>
      <c r="AI713" s="76"/>
      <c r="AJ713" s="76"/>
      <c r="AK713" s="76"/>
      <c r="AL713" s="77">
        <f>IF((P713-SUM(AE713:AK713))&lt;0,0,P713-SUM(AE713:AK713))</f>
        <v>0</v>
      </c>
      <c r="AM713" s="77">
        <f>SUM(AO713:AT713)</f>
        <v>0</v>
      </c>
      <c r="AN713" s="138" t="s">
        <v>81</v>
      </c>
      <c r="AO713" s="72"/>
      <c r="AP713" s="72"/>
      <c r="AQ713" s="72"/>
      <c r="AR713" s="72"/>
      <c r="AS713" s="72"/>
      <c r="AT713" s="72"/>
      <c r="AU713" s="28" t="s">
        <v>1124</v>
      </c>
      <c r="AV713" s="125"/>
      <c r="AW713" s="72"/>
      <c r="AX713" s="84"/>
    </row>
    <row r="714" spans="1:50" ht="15" customHeight="1">
      <c r="A714" s="125" t="s">
        <v>1129</v>
      </c>
      <c r="B714" s="130" t="s">
        <v>1114</v>
      </c>
      <c r="C714" s="69" t="s">
        <v>76</v>
      </c>
      <c r="D714" s="125" t="s">
        <v>123</v>
      </c>
      <c r="E714" s="125" t="s">
        <v>1130</v>
      </c>
      <c r="F714" s="130">
        <v>3</v>
      </c>
      <c r="G714" s="133" t="s">
        <v>79</v>
      </c>
      <c r="H714" s="133" t="s">
        <v>1132</v>
      </c>
      <c r="I714" s="133"/>
      <c r="J714" s="133"/>
      <c r="K714" s="72"/>
      <c r="L714" s="72"/>
      <c r="M714" s="72"/>
      <c r="N714" s="72"/>
      <c r="O714" s="133" t="s">
        <v>1131</v>
      </c>
      <c r="P714" s="69">
        <v>0</v>
      </c>
      <c r="Q714" s="130">
        <f>MAX(0,$V714-$P714-$S714)</f>
        <v>0</v>
      </c>
      <c r="R714" s="130"/>
      <c r="S714" s="130"/>
      <c r="T714" s="134">
        <v>3.69</v>
      </c>
      <c r="U714" s="134">
        <f>IF(AND($Q714&gt;0,ISNUMBER($T714)),$Q714*$T714,0)</f>
        <v>0</v>
      </c>
      <c r="V714" s="68">
        <f>SUM(W714:AB714)</f>
        <v>0</v>
      </c>
      <c r="W714" s="130"/>
      <c r="X714" s="130"/>
      <c r="Y714" s="130"/>
      <c r="Z714" s="130"/>
      <c r="AA714" s="130"/>
      <c r="AB714" s="130"/>
      <c r="AC714" s="130"/>
      <c r="AD714" s="75">
        <f>SUM(AE714:AJ714)</f>
        <v>0</v>
      </c>
      <c r="AE714" s="76"/>
      <c r="AF714" s="76"/>
      <c r="AG714" s="76"/>
      <c r="AH714" s="76"/>
      <c r="AI714" s="76"/>
      <c r="AJ714" s="76"/>
      <c r="AK714" s="76"/>
      <c r="AL714" s="77">
        <f>IF((P714-SUM(AE714:AK714))&lt;0,0,P714-SUM(AE714:AK714))</f>
        <v>0</v>
      </c>
      <c r="AM714" s="77">
        <f>SUM(AO714:AT714)</f>
        <v>0</v>
      </c>
      <c r="AN714" s="72"/>
      <c r="AO714" s="72"/>
      <c r="AP714" s="72"/>
      <c r="AQ714" s="72"/>
      <c r="AR714" s="72"/>
      <c r="AS714" s="72"/>
      <c r="AT714" s="72"/>
      <c r="AU714" s="72"/>
      <c r="AV714" s="125"/>
      <c r="AW714" s="72"/>
      <c r="AX714" s="72"/>
    </row>
    <row r="715" spans="1:50" ht="15" customHeight="1">
      <c r="A715" s="125" t="s">
        <v>1976</v>
      </c>
      <c r="B715" s="130" t="s">
        <v>1971</v>
      </c>
      <c r="C715" s="69" t="s">
        <v>76</v>
      </c>
      <c r="D715" s="125" t="s">
        <v>58</v>
      </c>
      <c r="E715" s="125"/>
      <c r="F715" s="130">
        <v>4</v>
      </c>
      <c r="G715" s="133" t="s">
        <v>79</v>
      </c>
      <c r="H715" s="133" t="s">
        <v>1978</v>
      </c>
      <c r="I715" s="133"/>
      <c r="J715" s="133"/>
      <c r="K715" s="72"/>
      <c r="L715" s="72"/>
      <c r="M715" s="72"/>
      <c r="N715" s="72"/>
      <c r="O715" s="133" t="s">
        <v>1977</v>
      </c>
      <c r="P715" s="69">
        <v>0</v>
      </c>
      <c r="Q715" s="130">
        <f>MAX(0,$V715-$P715-$S715)</f>
        <v>0</v>
      </c>
      <c r="R715" s="130"/>
      <c r="S715" s="130"/>
      <c r="T715" s="134">
        <v>59.34</v>
      </c>
      <c r="U715" s="134">
        <f>IF(AND($Q715&gt;0,ISNUMBER($T715)),$Q715*$T715,0)</f>
        <v>0</v>
      </c>
      <c r="V715" s="68">
        <f>SUM(W715:AB715)</f>
        <v>0</v>
      </c>
      <c r="W715" s="130"/>
      <c r="X715" s="130"/>
      <c r="Y715" s="130"/>
      <c r="Z715" s="130"/>
      <c r="AA715" s="130"/>
      <c r="AB715" s="130"/>
      <c r="AC715" s="130"/>
      <c r="AD715" s="75">
        <f>SUM(AE715:AJ715)</f>
        <v>0</v>
      </c>
      <c r="AE715" s="76"/>
      <c r="AF715" s="76"/>
      <c r="AG715" s="76"/>
      <c r="AH715" s="76"/>
      <c r="AI715" s="76"/>
      <c r="AJ715" s="76"/>
      <c r="AK715" s="76"/>
      <c r="AL715" s="77">
        <f>IF((P715-SUM(AE715:AK715))&lt;0,0,P715-SUM(AE715:AK715))</f>
        <v>0</v>
      </c>
      <c r="AM715" s="77">
        <f>SUM(AO715:AT715)</f>
        <v>0</v>
      </c>
      <c r="AN715" s="129"/>
      <c r="AO715" s="72"/>
      <c r="AP715" s="72"/>
      <c r="AQ715" s="72"/>
      <c r="AR715" s="72"/>
      <c r="AS715" s="72"/>
      <c r="AT715" s="72"/>
      <c r="AU715" s="72"/>
      <c r="AV715" s="125"/>
      <c r="AW715" s="72"/>
      <c r="AX715" s="129"/>
    </row>
    <row r="716" spans="1:50" ht="15" customHeight="1">
      <c r="A716" s="128" t="s">
        <v>1986</v>
      </c>
      <c r="B716" s="130" t="s">
        <v>1971</v>
      </c>
      <c r="C716" s="69" t="s">
        <v>76</v>
      </c>
      <c r="D716" s="125" t="s">
        <v>47</v>
      </c>
      <c r="E716" s="125"/>
      <c r="F716" s="130">
        <v>7</v>
      </c>
      <c r="G716" s="133" t="s">
        <v>285</v>
      </c>
      <c r="H716" s="133" t="s">
        <v>1987</v>
      </c>
      <c r="I716" s="133"/>
      <c r="J716" s="133"/>
      <c r="K716" s="69"/>
      <c r="L716" s="69"/>
      <c r="M716" s="69"/>
      <c r="N716" s="69"/>
      <c r="O716" s="133" t="s">
        <v>1977</v>
      </c>
      <c r="P716" s="69">
        <v>0</v>
      </c>
      <c r="Q716" s="130">
        <f>MAX(0,$V716-$P716-$S716)</f>
        <v>1</v>
      </c>
      <c r="R716" s="130"/>
      <c r="S716" s="130"/>
      <c r="T716" s="134">
        <v>6.66</v>
      </c>
      <c r="U716" s="134">
        <f>IF(AND($Q716&gt;0,ISNUMBER($T716)),$Q716*$T716,0)</f>
        <v>6.66</v>
      </c>
      <c r="V716" s="68">
        <f>SUM(W716:AB716)</f>
        <v>1</v>
      </c>
      <c r="W716" s="130"/>
      <c r="X716" s="136">
        <v>1</v>
      </c>
      <c r="Y716" s="130"/>
      <c r="Z716" s="130"/>
      <c r="AA716" s="130"/>
      <c r="AB716" s="130"/>
      <c r="AC716" s="130"/>
      <c r="AD716" s="75">
        <f>SUM(AE716:AJ716)</f>
        <v>0</v>
      </c>
      <c r="AE716" s="76"/>
      <c r="AF716" s="76"/>
      <c r="AG716" s="76"/>
      <c r="AH716" s="76"/>
      <c r="AI716" s="76"/>
      <c r="AJ716" s="76"/>
      <c r="AK716" s="76"/>
      <c r="AL716" s="77">
        <f>IF((P716-SUM(AE716:AK716))&lt;0,0,P716-SUM(AE716:AK716))</f>
        <v>0</v>
      </c>
      <c r="AM716" s="77">
        <f>SUM(AO716:AT716)</f>
        <v>0</v>
      </c>
      <c r="AN716" s="138" t="s">
        <v>81</v>
      </c>
      <c r="AO716" s="72"/>
      <c r="AP716" s="72"/>
      <c r="AQ716" s="72"/>
      <c r="AR716" s="72"/>
      <c r="AS716" s="72"/>
      <c r="AT716" s="72"/>
      <c r="AU716" s="28" t="s">
        <v>1988</v>
      </c>
      <c r="AV716" s="125"/>
      <c r="AW716" s="72"/>
      <c r="AX716" s="84"/>
    </row>
    <row r="717" spans="1:50" ht="15" customHeight="1">
      <c r="A717" s="125" t="s">
        <v>370</v>
      </c>
      <c r="B717" s="130" t="s">
        <v>345</v>
      </c>
      <c r="C717" s="69" t="s">
        <v>76</v>
      </c>
      <c r="D717" s="125" t="s">
        <v>175</v>
      </c>
      <c r="E717" s="125"/>
      <c r="F717" s="130">
        <v>3</v>
      </c>
      <c r="G717" s="133" t="s">
        <v>79</v>
      </c>
      <c r="H717" s="133" t="s">
        <v>372</v>
      </c>
      <c r="I717" s="133"/>
      <c r="J717" s="133"/>
      <c r="K717" s="72"/>
      <c r="L717" s="72"/>
      <c r="M717" s="72"/>
      <c r="N717" s="72"/>
      <c r="O717" s="133" t="s">
        <v>371</v>
      </c>
      <c r="P717" s="69">
        <v>0</v>
      </c>
      <c r="Q717" s="130">
        <f>MAX(0,$V717-$P717-$S717)</f>
        <v>0</v>
      </c>
      <c r="R717" s="130"/>
      <c r="S717" s="130"/>
      <c r="T717" s="134">
        <v>12.59</v>
      </c>
      <c r="U717" s="134">
        <f>IF(AND($Q717&gt;0,ISNUMBER($T717)),$Q717*$T717,0)</f>
        <v>0</v>
      </c>
      <c r="V717" s="68">
        <f>SUM(W717:AB717)</f>
        <v>0</v>
      </c>
      <c r="W717" s="130"/>
      <c r="X717" s="130"/>
      <c r="Y717" s="130"/>
      <c r="Z717" s="130"/>
      <c r="AA717" s="130"/>
      <c r="AB717" s="130"/>
      <c r="AC717" s="130"/>
      <c r="AD717" s="75">
        <f>SUM(AE717:AJ717)</f>
        <v>0</v>
      </c>
      <c r="AE717" s="76"/>
      <c r="AF717" s="76"/>
      <c r="AG717" s="76"/>
      <c r="AH717" s="76"/>
      <c r="AI717" s="76"/>
      <c r="AJ717" s="76"/>
      <c r="AK717" s="76"/>
      <c r="AL717" s="77">
        <f>IF((P717-SUM(AE717:AK717))&lt;0,0,P717-SUM(AE717:AK717))</f>
        <v>0</v>
      </c>
      <c r="AM717" s="77">
        <f>SUM(AO717:AT717)</f>
        <v>0</v>
      </c>
      <c r="AN717" s="129"/>
      <c r="AO717" s="72"/>
      <c r="AP717" s="129"/>
      <c r="AQ717" s="72"/>
      <c r="AR717" s="72"/>
      <c r="AS717" s="72"/>
      <c r="AT717" s="72"/>
      <c r="AU717" s="129"/>
      <c r="AV717" s="125"/>
      <c r="AW717" s="72"/>
      <c r="AX717" s="72"/>
    </row>
    <row r="718" spans="1:50" ht="15" customHeight="1">
      <c r="A718" s="125" t="s">
        <v>658</v>
      </c>
      <c r="B718" s="130" t="s">
        <v>636</v>
      </c>
      <c r="C718" s="69" t="s">
        <v>76</v>
      </c>
      <c r="D718" s="125" t="s">
        <v>64</v>
      </c>
      <c r="E718" s="125" t="s">
        <v>659</v>
      </c>
      <c r="F718" s="130">
        <v>4</v>
      </c>
      <c r="G718" s="133" t="s">
        <v>79</v>
      </c>
      <c r="H718" s="133" t="s">
        <v>660</v>
      </c>
      <c r="I718" s="133"/>
      <c r="J718" s="133"/>
      <c r="K718" s="72"/>
      <c r="L718" s="72"/>
      <c r="M718" s="72"/>
      <c r="N718" s="72"/>
      <c r="O718" s="133" t="s">
        <v>256</v>
      </c>
      <c r="P718" s="69">
        <v>0</v>
      </c>
      <c r="Q718" s="130">
        <f>MAX(0,$V718-$P718-$S718)</f>
        <v>0</v>
      </c>
      <c r="R718" s="130"/>
      <c r="S718" s="130"/>
      <c r="T718" s="134">
        <v>7.51</v>
      </c>
      <c r="U718" s="134">
        <f>IF(AND($Q718&gt;0,ISNUMBER($T718)),$Q718*$T718,0)</f>
        <v>0</v>
      </c>
      <c r="V718" s="68">
        <f>SUM(W718:AB718)</f>
        <v>0</v>
      </c>
      <c r="W718" s="130"/>
      <c r="X718" s="130"/>
      <c r="Y718" s="130"/>
      <c r="Z718" s="130"/>
      <c r="AA718" s="130"/>
      <c r="AB718" s="130"/>
      <c r="AC718" s="130"/>
      <c r="AD718" s="75">
        <f>SUM(AE718:AJ718)</f>
        <v>0</v>
      </c>
      <c r="AE718" s="76"/>
      <c r="AF718" s="76"/>
      <c r="AG718" s="76"/>
      <c r="AH718" s="76"/>
      <c r="AI718" s="76"/>
      <c r="AJ718" s="76"/>
      <c r="AK718" s="76"/>
      <c r="AL718" s="77">
        <f>IF((P718-SUM(AE718:AK718))&lt;0,0,P718-SUM(AE718:AK718))</f>
        <v>0</v>
      </c>
      <c r="AM718" s="77">
        <f>SUM(AO718:AT718)</f>
        <v>0</v>
      </c>
      <c r="AN718" s="129"/>
      <c r="AO718" s="72"/>
      <c r="AP718" s="72"/>
      <c r="AQ718" s="72"/>
      <c r="AR718" s="72"/>
      <c r="AS718" s="72"/>
      <c r="AT718" s="129"/>
      <c r="AU718" s="129"/>
      <c r="AV718" s="125"/>
      <c r="AW718" s="72"/>
      <c r="AX718" s="72"/>
    </row>
    <row r="719" spans="1:50" ht="15" customHeight="1">
      <c r="A719" s="128" t="s">
        <v>661</v>
      </c>
      <c r="B719" s="130" t="s">
        <v>636</v>
      </c>
      <c r="C719" s="69" t="s">
        <v>76</v>
      </c>
      <c r="D719" s="125" t="s">
        <v>72</v>
      </c>
      <c r="E719" s="125"/>
      <c r="F719" s="130">
        <v>3</v>
      </c>
      <c r="G719" s="133" t="s">
        <v>49</v>
      </c>
      <c r="H719" s="133" t="s">
        <v>663</v>
      </c>
      <c r="I719" s="133"/>
      <c r="J719" s="133"/>
      <c r="K719" s="72"/>
      <c r="L719" s="72"/>
      <c r="M719" s="72"/>
      <c r="N719" s="72"/>
      <c r="O719" s="133" t="s">
        <v>662</v>
      </c>
      <c r="P719" s="69">
        <v>0</v>
      </c>
      <c r="Q719" s="130">
        <f>MAX(0,$V719-$P719-$S719)</f>
        <v>1</v>
      </c>
      <c r="R719" s="130"/>
      <c r="S719" s="130"/>
      <c r="T719" s="134">
        <v>0.6</v>
      </c>
      <c r="U719" s="134">
        <f>IF(AND($Q719&gt;0,ISNUMBER($T719)),$Q719*$T719,0)</f>
        <v>0.6</v>
      </c>
      <c r="V719" s="68">
        <f>SUM(W719:AB719)</f>
        <v>1</v>
      </c>
      <c r="W719" s="130"/>
      <c r="X719" s="130"/>
      <c r="Y719" s="130"/>
      <c r="Z719" s="136">
        <v>1</v>
      </c>
      <c r="AA719" s="130"/>
      <c r="AB719" s="130"/>
      <c r="AC719" s="130"/>
      <c r="AD719" s="75">
        <f>SUM(AE719:AJ719)</f>
        <v>0</v>
      </c>
      <c r="AE719" s="76"/>
      <c r="AF719" s="76"/>
      <c r="AG719" s="76"/>
      <c r="AH719" s="76"/>
      <c r="AI719" s="76"/>
      <c r="AJ719" s="76"/>
      <c r="AK719" s="76"/>
      <c r="AL719" s="77">
        <f>IF((P719-SUM(AE719:AK719))&lt;0,0,P719-SUM(AE719:AK719))</f>
        <v>0</v>
      </c>
      <c r="AM719" s="77">
        <f>SUM(AO719:AT719)</f>
        <v>0</v>
      </c>
      <c r="AN719" s="138" t="s">
        <v>81</v>
      </c>
      <c r="AO719" s="72"/>
      <c r="AP719" s="129"/>
      <c r="AQ719" s="72"/>
      <c r="AR719" s="72"/>
      <c r="AS719" s="72"/>
      <c r="AT719" s="72"/>
      <c r="AU719" s="142" t="s">
        <v>664</v>
      </c>
      <c r="AV719" s="125"/>
      <c r="AW719" s="72"/>
      <c r="AX719" s="84"/>
    </row>
    <row r="720" spans="1:50" ht="15" customHeight="1">
      <c r="A720" s="128" t="s">
        <v>75</v>
      </c>
      <c r="B720" s="130" t="s">
        <v>46</v>
      </c>
      <c r="C720" s="69" t="s">
        <v>76</v>
      </c>
      <c r="D720" s="125" t="s">
        <v>64</v>
      </c>
      <c r="E720" s="125" t="s">
        <v>77</v>
      </c>
      <c r="F720" s="130">
        <v>2</v>
      </c>
      <c r="G720" s="133" t="s">
        <v>79</v>
      </c>
      <c r="H720" s="133" t="s">
        <v>80</v>
      </c>
      <c r="I720" s="133"/>
      <c r="J720" s="133"/>
      <c r="K720" s="72"/>
      <c r="L720" s="72"/>
      <c r="M720" s="72"/>
      <c r="N720" s="72"/>
      <c r="O720" s="133" t="s">
        <v>78</v>
      </c>
      <c r="P720" s="69">
        <v>0</v>
      </c>
      <c r="Q720" s="130">
        <f>MAX(0,$V720-$P720-$S720)</f>
        <v>1</v>
      </c>
      <c r="R720" s="130"/>
      <c r="S720" s="130"/>
      <c r="T720" s="134">
        <v>2.79</v>
      </c>
      <c r="U720" s="134">
        <f>IF(AND($Q720&gt;0,ISNUMBER($T720)),$Q720*$T720,0)</f>
        <v>2.79</v>
      </c>
      <c r="V720" s="68">
        <f>SUM(W720:AB720)</f>
        <v>1</v>
      </c>
      <c r="W720" s="130"/>
      <c r="X720" s="130"/>
      <c r="Y720" s="130"/>
      <c r="Z720" s="130"/>
      <c r="AA720" s="136">
        <v>1</v>
      </c>
      <c r="AB720" s="130"/>
      <c r="AC720" s="130"/>
      <c r="AD720" s="75">
        <f>SUM(AE720:AJ720)</f>
        <v>0</v>
      </c>
      <c r="AE720" s="76"/>
      <c r="AF720" s="76"/>
      <c r="AG720" s="76"/>
      <c r="AH720" s="76"/>
      <c r="AI720" s="76"/>
      <c r="AJ720" s="76"/>
      <c r="AK720" s="76"/>
      <c r="AL720" s="77">
        <f>IF((P720-SUM(AE720:AK720))&lt;0,0,P720-SUM(AE720:AK720))</f>
        <v>0</v>
      </c>
      <c r="AM720" s="77">
        <f>SUM(AO720:AT720)</f>
        <v>0</v>
      </c>
      <c r="AN720" s="83" t="s">
        <v>81</v>
      </c>
      <c r="AO720" s="72"/>
      <c r="AP720" s="72"/>
      <c r="AQ720" s="72"/>
      <c r="AR720" s="72"/>
      <c r="AS720" s="72"/>
      <c r="AT720" s="72"/>
      <c r="AU720" s="28" t="s">
        <v>82</v>
      </c>
      <c r="AV720" s="125"/>
      <c r="AW720" s="72"/>
      <c r="AX720" s="84"/>
    </row>
    <row r="721" spans="1:50" ht="15" customHeight="1">
      <c r="A721" s="125" t="s">
        <v>88</v>
      </c>
      <c r="B721" s="130" t="s">
        <v>46</v>
      </c>
      <c r="C721" s="69" t="s">
        <v>76</v>
      </c>
      <c r="D721" s="125" t="s">
        <v>89</v>
      </c>
      <c r="E721" s="125"/>
      <c r="F721" s="130">
        <v>6</v>
      </c>
      <c r="G721" s="133" t="s">
        <v>91</v>
      </c>
      <c r="H721" s="133" t="s">
        <v>92</v>
      </c>
      <c r="I721" s="133" t="s">
        <v>93</v>
      </c>
      <c r="J721" s="133" t="s">
        <v>94</v>
      </c>
      <c r="K721" s="72"/>
      <c r="L721" s="72"/>
      <c r="M721" s="72"/>
      <c r="N721" s="72"/>
      <c r="O721" s="133" t="s">
        <v>90</v>
      </c>
      <c r="P721" s="69">
        <v>0</v>
      </c>
      <c r="Q721" s="130">
        <f>MAX(0,$V721-$P721-$S721)</f>
        <v>0</v>
      </c>
      <c r="R721" s="130"/>
      <c r="S721" s="130"/>
      <c r="T721" s="134">
        <v>8.44</v>
      </c>
      <c r="U721" s="134">
        <f>IF(AND($Q721&gt;0,ISNUMBER($T721)),$Q721*$T721,0)</f>
        <v>0</v>
      </c>
      <c r="V721" s="68">
        <f>SUM(W721:AB721)</f>
        <v>0</v>
      </c>
      <c r="W721" s="130"/>
      <c r="X721" s="130"/>
      <c r="Y721" s="130"/>
      <c r="Z721" s="130"/>
      <c r="AA721" s="130"/>
      <c r="AB721" s="130"/>
      <c r="AC721" s="130"/>
      <c r="AD721" s="75">
        <f>SUM(AE721:AJ721)</f>
        <v>0</v>
      </c>
      <c r="AE721" s="76"/>
      <c r="AF721" s="76"/>
      <c r="AG721" s="76"/>
      <c r="AH721" s="76"/>
      <c r="AI721" s="76"/>
      <c r="AJ721" s="76"/>
      <c r="AK721" s="76"/>
      <c r="AL721" s="77">
        <f>IF((P721-SUM(AE721:AK721))&lt;0,0,P721-SUM(AE721:AK721))</f>
        <v>0</v>
      </c>
      <c r="AM721" s="77">
        <f>SUM(AO721:AT721)</f>
        <v>0</v>
      </c>
      <c r="AN721" s="72"/>
      <c r="AO721" s="72"/>
      <c r="AP721" s="72"/>
      <c r="AQ721" s="72"/>
      <c r="AR721" s="72"/>
      <c r="AS721" s="72"/>
      <c r="AT721" s="72"/>
      <c r="AU721" s="72"/>
      <c r="AV721" s="125"/>
      <c r="AW721" s="72"/>
      <c r="AX721" s="72"/>
    </row>
    <row r="722" spans="1:50" ht="15" customHeight="1">
      <c r="A722" s="125" t="s">
        <v>1545</v>
      </c>
      <c r="B722" s="130" t="s">
        <v>1499</v>
      </c>
      <c r="C722" s="69" t="s">
        <v>76</v>
      </c>
      <c r="D722" s="125" t="s">
        <v>72</v>
      </c>
      <c r="E722" s="125"/>
      <c r="F722" s="130">
        <v>4</v>
      </c>
      <c r="G722" s="133" t="s">
        <v>1332</v>
      </c>
      <c r="H722" s="133" t="s">
        <v>1547</v>
      </c>
      <c r="I722" s="133"/>
      <c r="J722" s="133"/>
      <c r="K722" s="69"/>
      <c r="L722" s="69"/>
      <c r="M722" s="69"/>
      <c r="N722" s="69"/>
      <c r="O722" s="133" t="s">
        <v>1546</v>
      </c>
      <c r="P722" s="69">
        <v>0</v>
      </c>
      <c r="Q722" s="130">
        <f>MAX(0,$V722-$P722-$S722)</f>
        <v>0</v>
      </c>
      <c r="R722" s="130"/>
      <c r="S722" s="130"/>
      <c r="T722" s="134">
        <v>3.24</v>
      </c>
      <c r="U722" s="134">
        <f>IF(AND($Q722&gt;0,ISNUMBER($T722)),$Q722*$T722,0)</f>
        <v>0</v>
      </c>
      <c r="V722" s="68">
        <f>SUM(W722:AB722)</f>
        <v>0</v>
      </c>
      <c r="W722" s="130"/>
      <c r="X722" s="130"/>
      <c r="Y722" s="130"/>
      <c r="Z722" s="130"/>
      <c r="AA722" s="130"/>
      <c r="AB722" s="130"/>
      <c r="AC722" s="130"/>
      <c r="AD722" s="75">
        <f>SUM(AE722:AJ722)</f>
        <v>0</v>
      </c>
      <c r="AE722" s="76"/>
      <c r="AF722" s="76"/>
      <c r="AG722" s="76"/>
      <c r="AH722" s="76"/>
      <c r="AI722" s="76"/>
      <c r="AJ722" s="76"/>
      <c r="AK722" s="76"/>
      <c r="AL722" s="77">
        <f>IF((P722-SUM(AE722:AK722))&lt;0,0,P722-SUM(AE722:AK722))</f>
        <v>0</v>
      </c>
      <c r="AM722" s="77">
        <f>SUM(AO722:AT722)</f>
        <v>0</v>
      </c>
      <c r="AN722" s="72"/>
      <c r="AO722" s="72"/>
      <c r="AP722" s="72"/>
      <c r="AQ722" s="72"/>
      <c r="AR722" s="72"/>
      <c r="AS722" s="72"/>
      <c r="AT722" s="72"/>
      <c r="AU722" s="72"/>
      <c r="AV722" s="125"/>
      <c r="AW722" s="72"/>
      <c r="AX722" s="72"/>
    </row>
    <row r="723" spans="1:50" ht="15" customHeight="1">
      <c r="A723" s="125" t="s">
        <v>940</v>
      </c>
      <c r="B723" s="130" t="s">
        <v>919</v>
      </c>
      <c r="C723" s="69" t="s">
        <v>76</v>
      </c>
      <c r="D723" s="125" t="s">
        <v>627</v>
      </c>
      <c r="E723" s="125"/>
      <c r="F723" s="130">
        <v>0</v>
      </c>
      <c r="G723" s="133" t="s">
        <v>627</v>
      </c>
      <c r="H723" s="133" t="s">
        <v>941</v>
      </c>
      <c r="I723" s="133" t="s">
        <v>942</v>
      </c>
      <c r="J723" s="133"/>
      <c r="K723" s="72"/>
      <c r="L723" s="72"/>
      <c r="M723" s="72"/>
      <c r="N723" s="72"/>
      <c r="O723" s="133" t="s">
        <v>59</v>
      </c>
      <c r="P723" s="69">
        <v>0</v>
      </c>
      <c r="Q723" s="130">
        <f>MAX(0,$V723-$P723-$S723)</f>
        <v>0</v>
      </c>
      <c r="R723" s="130"/>
      <c r="S723" s="130"/>
      <c r="T723" s="134">
        <v>0.35</v>
      </c>
      <c r="U723" s="134">
        <f>IF(AND($Q723&gt;0,ISNUMBER($T723)),$Q723*$T723,0)</f>
        <v>0</v>
      </c>
      <c r="V723" s="68">
        <f>SUM(W723:AB723)</f>
        <v>0</v>
      </c>
      <c r="W723" s="130"/>
      <c r="X723" s="130"/>
      <c r="Y723" s="130"/>
      <c r="Z723" s="130"/>
      <c r="AA723" s="130"/>
      <c r="AB723" s="130"/>
      <c r="AC723" s="130"/>
      <c r="AD723" s="75">
        <f>SUM(AE723:AJ723)</f>
        <v>0</v>
      </c>
      <c r="AE723" s="76"/>
      <c r="AF723" s="76"/>
      <c r="AG723" s="76"/>
      <c r="AH723" s="76"/>
      <c r="AI723" s="76"/>
      <c r="AJ723" s="76"/>
      <c r="AK723" s="76"/>
      <c r="AL723" s="77">
        <f>IF((P723-SUM(AE723:AK723))&lt;0,0,P723-SUM(AE723:AK723))</f>
        <v>0</v>
      </c>
      <c r="AM723" s="77">
        <f>SUM(AO723:AT723)</f>
        <v>0</v>
      </c>
      <c r="AN723" s="72"/>
      <c r="AO723" s="72"/>
      <c r="AP723" s="72"/>
      <c r="AQ723" s="72"/>
      <c r="AR723" s="72"/>
      <c r="AS723" s="72"/>
      <c r="AT723" s="72"/>
      <c r="AU723" s="72"/>
      <c r="AV723" s="125"/>
      <c r="AW723" s="72"/>
      <c r="AX723" s="72"/>
    </row>
    <row r="724" spans="1:50" ht="15" customHeight="1">
      <c r="A724" s="125" t="s">
        <v>1176</v>
      </c>
      <c r="B724" s="130" t="s">
        <v>1114</v>
      </c>
      <c r="C724" s="69" t="s">
        <v>76</v>
      </c>
      <c r="D724" s="125" t="s">
        <v>72</v>
      </c>
      <c r="E724" s="125"/>
      <c r="F724" s="130">
        <v>2</v>
      </c>
      <c r="G724" s="133" t="s">
        <v>79</v>
      </c>
      <c r="H724" s="133" t="s">
        <v>1177</v>
      </c>
      <c r="I724" s="133"/>
      <c r="J724" s="133"/>
      <c r="K724" s="72"/>
      <c r="L724" s="72"/>
      <c r="M724" s="72"/>
      <c r="N724" s="72"/>
      <c r="O724" s="133" t="s">
        <v>866</v>
      </c>
      <c r="P724" s="69">
        <v>0</v>
      </c>
      <c r="Q724" s="130">
        <f>MAX(0,$V724-$P724-$S724)</f>
        <v>0</v>
      </c>
      <c r="R724" s="130"/>
      <c r="S724" s="130"/>
      <c r="T724" s="134">
        <v>4.87</v>
      </c>
      <c r="U724" s="134">
        <f>IF(AND($Q724&gt;0,ISNUMBER($T724)),$Q724*$T724,0)</f>
        <v>0</v>
      </c>
      <c r="V724" s="68">
        <f>SUM(W724:AB724)</f>
        <v>0</v>
      </c>
      <c r="W724" s="130"/>
      <c r="X724" s="130"/>
      <c r="Y724" s="130"/>
      <c r="Z724" s="130"/>
      <c r="AA724" s="130"/>
      <c r="AB724" s="130"/>
      <c r="AC724" s="130"/>
      <c r="AD724" s="75">
        <f>SUM(AE724:AJ724)</f>
        <v>0</v>
      </c>
      <c r="AE724" s="76"/>
      <c r="AF724" s="76"/>
      <c r="AG724" s="76"/>
      <c r="AH724" s="76"/>
      <c r="AI724" s="76"/>
      <c r="AJ724" s="76"/>
      <c r="AK724" s="76"/>
      <c r="AL724" s="77">
        <f>IF((P724-SUM(AE724:AK724))&lt;0,0,P724-SUM(AE724:AK724))</f>
        <v>0</v>
      </c>
      <c r="AM724" s="77">
        <f>SUM(AO724:AT724)</f>
        <v>0</v>
      </c>
      <c r="AN724" s="129"/>
      <c r="AO724" s="72"/>
      <c r="AP724" s="72"/>
      <c r="AQ724" s="72"/>
      <c r="AR724" s="72"/>
      <c r="AS724" s="72"/>
      <c r="AT724" s="72"/>
      <c r="AU724" s="72"/>
      <c r="AV724" s="125"/>
      <c r="AW724" s="72"/>
      <c r="AX724" s="72"/>
    </row>
    <row r="725" spans="1:50" ht="15" customHeight="1">
      <c r="A725" s="125" t="s">
        <v>1184</v>
      </c>
      <c r="B725" s="130" t="s">
        <v>1114</v>
      </c>
      <c r="C725" s="69" t="s">
        <v>76</v>
      </c>
      <c r="D725" s="125" t="s">
        <v>627</v>
      </c>
      <c r="E725" s="125"/>
      <c r="F725" s="130">
        <v>0</v>
      </c>
      <c r="G725" s="133" t="s">
        <v>79</v>
      </c>
      <c r="H725" s="133" t="s">
        <v>1185</v>
      </c>
      <c r="I725" s="133"/>
      <c r="J725" s="133"/>
      <c r="K725" s="72"/>
      <c r="L725" s="72"/>
      <c r="M725" s="72"/>
      <c r="N725" s="72"/>
      <c r="O725" s="133" t="s">
        <v>144</v>
      </c>
      <c r="P725" s="69">
        <v>0</v>
      </c>
      <c r="Q725" s="130">
        <f>MAX(0,$V725-$P725-$S725)</f>
        <v>0</v>
      </c>
      <c r="R725" s="130"/>
      <c r="S725" s="130"/>
      <c r="T725" s="134">
        <v>4.74</v>
      </c>
      <c r="U725" s="134">
        <f>IF(AND($Q725&gt;0,ISNUMBER($T725)),$Q725*$T725,0)</f>
        <v>0</v>
      </c>
      <c r="V725" s="68">
        <f>SUM(W725:AB725)</f>
        <v>0</v>
      </c>
      <c r="W725" s="130"/>
      <c r="X725" s="130"/>
      <c r="Y725" s="130"/>
      <c r="Z725" s="130"/>
      <c r="AA725" s="130"/>
      <c r="AB725" s="130"/>
      <c r="AC725" s="130"/>
      <c r="AD725" s="75">
        <f>SUM(AE725:AJ725)</f>
        <v>0</v>
      </c>
      <c r="AE725" s="76"/>
      <c r="AF725" s="76"/>
      <c r="AG725" s="76"/>
      <c r="AH725" s="76"/>
      <c r="AI725" s="76"/>
      <c r="AJ725" s="76"/>
      <c r="AK725" s="76"/>
      <c r="AL725" s="77">
        <f>IF((P725-SUM(AE725:AK725))&lt;0,0,P725-SUM(AE725:AK725))</f>
        <v>0</v>
      </c>
      <c r="AM725" s="77">
        <f>SUM(AO725:AT725)</f>
        <v>0</v>
      </c>
      <c r="AN725" s="129"/>
      <c r="AO725" s="72"/>
      <c r="AP725" s="72"/>
      <c r="AQ725" s="129"/>
      <c r="AR725" s="72"/>
      <c r="AS725" s="72"/>
      <c r="AT725" s="72"/>
      <c r="AU725" s="129"/>
      <c r="AV725" s="125"/>
      <c r="AW725" s="72"/>
      <c r="AX725" s="72"/>
    </row>
    <row r="726" spans="1:50" ht="15" customHeight="1">
      <c r="A726" s="125" t="s">
        <v>1548</v>
      </c>
      <c r="B726" s="130" t="s">
        <v>1499</v>
      </c>
      <c r="C726" s="69" t="s">
        <v>76</v>
      </c>
      <c r="D726" s="125" t="s">
        <v>72</v>
      </c>
      <c r="E726" s="125"/>
      <c r="F726" s="130">
        <v>1</v>
      </c>
      <c r="G726" s="133" t="s">
        <v>392</v>
      </c>
      <c r="H726" s="133" t="s">
        <v>1549</v>
      </c>
      <c r="I726" s="133"/>
      <c r="J726" s="133"/>
      <c r="K726" s="72"/>
      <c r="L726" s="72"/>
      <c r="M726" s="72"/>
      <c r="N726" s="72"/>
      <c r="O726" s="133" t="s">
        <v>888</v>
      </c>
      <c r="P726" s="69">
        <v>0</v>
      </c>
      <c r="Q726" s="130">
        <f>MAX(0,$V726-$P726-$S726)</f>
        <v>0</v>
      </c>
      <c r="R726" s="130"/>
      <c r="S726" s="130"/>
      <c r="T726" s="134">
        <v>2.29</v>
      </c>
      <c r="U726" s="134">
        <f>IF(AND($Q726&gt;0,ISNUMBER($T726)),$Q726*$T726,0)</f>
        <v>0</v>
      </c>
      <c r="V726" s="68">
        <f>SUM(W726:AB726)</f>
        <v>0</v>
      </c>
      <c r="W726" s="130"/>
      <c r="X726" s="130"/>
      <c r="Y726" s="130"/>
      <c r="Z726" s="130"/>
      <c r="AA726" s="130"/>
      <c r="AB726" s="130"/>
      <c r="AC726" s="130"/>
      <c r="AD726" s="75">
        <f>SUM(AE726:AJ726)</f>
        <v>0</v>
      </c>
      <c r="AE726" s="76"/>
      <c r="AF726" s="76"/>
      <c r="AG726" s="76"/>
      <c r="AH726" s="76"/>
      <c r="AI726" s="76"/>
      <c r="AJ726" s="76"/>
      <c r="AK726" s="76"/>
      <c r="AL726" s="77">
        <f>IF((P726-SUM(AE726:AK726))&lt;0,0,P726-SUM(AE726:AK726))</f>
        <v>0</v>
      </c>
      <c r="AM726" s="77">
        <f>SUM(AO726:AT726)</f>
        <v>0</v>
      </c>
      <c r="AN726" s="129"/>
      <c r="AO726" s="72"/>
      <c r="AP726" s="129"/>
      <c r="AQ726" s="72"/>
      <c r="AR726" s="72"/>
      <c r="AS726" s="72"/>
      <c r="AT726" s="72"/>
      <c r="AU726" s="129"/>
      <c r="AV726" s="125"/>
      <c r="AW726" s="72"/>
      <c r="AX726" s="72"/>
    </row>
    <row r="727" spans="1:50" ht="15" customHeight="1">
      <c r="A727" s="125" t="s">
        <v>2005</v>
      </c>
      <c r="B727" s="130" t="s">
        <v>1971</v>
      </c>
      <c r="C727" s="69" t="s">
        <v>76</v>
      </c>
      <c r="D727" s="125" t="s">
        <v>72</v>
      </c>
      <c r="E727" s="125"/>
      <c r="F727" s="130">
        <v>2</v>
      </c>
      <c r="G727" s="133" t="s">
        <v>296</v>
      </c>
      <c r="H727" s="133" t="s">
        <v>2006</v>
      </c>
      <c r="I727" s="133"/>
      <c r="J727" s="133"/>
      <c r="K727" s="72"/>
      <c r="L727" s="72"/>
      <c r="M727" s="72"/>
      <c r="N727" s="72"/>
      <c r="O727" s="133" t="s">
        <v>381</v>
      </c>
      <c r="P727" s="69">
        <v>0</v>
      </c>
      <c r="Q727" s="130">
        <f>MAX(0,$V727-$P727-$S727)</f>
        <v>0</v>
      </c>
      <c r="R727" s="130"/>
      <c r="S727" s="130"/>
      <c r="T727" s="134">
        <v>1.55</v>
      </c>
      <c r="U727" s="134">
        <f>IF(AND($Q727&gt;0,ISNUMBER($T727)),$Q727*$T727,0)</f>
        <v>0</v>
      </c>
      <c r="V727" s="68">
        <f>SUM(W727:AB727)</f>
        <v>0</v>
      </c>
      <c r="W727" s="130"/>
      <c r="X727" s="130"/>
      <c r="Y727" s="130"/>
      <c r="Z727" s="130"/>
      <c r="AA727" s="130"/>
      <c r="AB727" s="130"/>
      <c r="AC727" s="130"/>
      <c r="AD727" s="75">
        <f>SUM(AE727:AJ727)</f>
        <v>0</v>
      </c>
      <c r="AE727" s="76"/>
      <c r="AF727" s="76"/>
      <c r="AG727" s="76"/>
      <c r="AH727" s="76"/>
      <c r="AI727" s="76"/>
      <c r="AJ727" s="76"/>
      <c r="AK727" s="76"/>
      <c r="AL727" s="77">
        <f>IF((P727-SUM(AE727:AK727))&lt;0,0,P727-SUM(AE727:AK727))</f>
        <v>0</v>
      </c>
      <c r="AM727" s="77">
        <f>SUM(AO727:AT727)</f>
        <v>0</v>
      </c>
      <c r="AN727" s="72"/>
      <c r="AO727" s="72"/>
      <c r="AP727" s="72"/>
      <c r="AQ727" s="72"/>
      <c r="AR727" s="72"/>
      <c r="AS727" s="72"/>
      <c r="AT727" s="72"/>
      <c r="AU727" s="72"/>
      <c r="AV727" s="125"/>
      <c r="AW727" s="72"/>
      <c r="AX727" s="72"/>
    </row>
    <row r="728" spans="1:50" ht="15" customHeight="1">
      <c r="A728" s="125" t="s">
        <v>95</v>
      </c>
      <c r="B728" s="130" t="s">
        <v>46</v>
      </c>
      <c r="C728" s="69" t="s">
        <v>76</v>
      </c>
      <c r="D728" s="125" t="s">
        <v>64</v>
      </c>
      <c r="E728" s="125" t="s">
        <v>96</v>
      </c>
      <c r="F728" s="130">
        <v>1</v>
      </c>
      <c r="G728" s="133" t="s">
        <v>98</v>
      </c>
      <c r="H728" s="133" t="s">
        <v>99</v>
      </c>
      <c r="I728" s="133"/>
      <c r="J728" s="133"/>
      <c r="K728" s="69"/>
      <c r="L728" s="69"/>
      <c r="M728" s="69"/>
      <c r="N728" s="69"/>
      <c r="O728" s="133" t="s">
        <v>97</v>
      </c>
      <c r="P728" s="69">
        <v>0</v>
      </c>
      <c r="Q728" s="130">
        <f>MAX(0,$V728-$P728-$S728)</f>
        <v>0</v>
      </c>
      <c r="R728" s="130"/>
      <c r="S728" s="130"/>
      <c r="T728" s="134">
        <v>3.66</v>
      </c>
      <c r="U728" s="134">
        <f>IF(AND($Q728&gt;0,ISNUMBER($T728)),$Q728*$T728,0)</f>
        <v>0</v>
      </c>
      <c r="V728" s="68">
        <f>SUM(W728:AB728)</f>
        <v>0</v>
      </c>
      <c r="W728" s="130"/>
      <c r="X728" s="130"/>
      <c r="Y728" s="130"/>
      <c r="Z728" s="130"/>
      <c r="AA728" s="130"/>
      <c r="AB728" s="130"/>
      <c r="AC728" s="130"/>
      <c r="AD728" s="75">
        <f>SUM(AE728:AJ728)</f>
        <v>0</v>
      </c>
      <c r="AE728" s="76"/>
      <c r="AF728" s="76"/>
      <c r="AG728" s="76"/>
      <c r="AH728" s="76"/>
      <c r="AI728" s="76"/>
      <c r="AJ728" s="76"/>
      <c r="AK728" s="76"/>
      <c r="AL728" s="77">
        <f>IF((P728-SUM(AE728:AK728))&lt;0,0,P728-SUM(AE728:AK728))</f>
        <v>0</v>
      </c>
      <c r="AM728" s="77">
        <f>SUM(AO728:AT728)</f>
        <v>0</v>
      </c>
      <c r="AN728" s="129"/>
      <c r="AO728" s="72"/>
      <c r="AP728" s="72"/>
      <c r="AQ728" s="72"/>
      <c r="AR728" s="129"/>
      <c r="AS728" s="72"/>
      <c r="AT728" s="72"/>
      <c r="AU728" s="129"/>
      <c r="AV728" s="125"/>
      <c r="AW728" s="72"/>
      <c r="AX728" s="72"/>
    </row>
    <row r="729" spans="1:50" ht="15" customHeight="1">
      <c r="A729" s="128" t="s">
        <v>1558</v>
      </c>
      <c r="B729" s="130" t="s">
        <v>1499</v>
      </c>
      <c r="C729" s="69" t="s">
        <v>76</v>
      </c>
      <c r="D729" s="125" t="s">
        <v>64</v>
      </c>
      <c r="E729" s="125" t="s">
        <v>1559</v>
      </c>
      <c r="F729" s="130">
        <v>7</v>
      </c>
      <c r="G729" s="133" t="s">
        <v>54</v>
      </c>
      <c r="H729" s="133" t="s">
        <v>1560</v>
      </c>
      <c r="I729" s="133" t="s">
        <v>1561</v>
      </c>
      <c r="J729" s="133"/>
      <c r="K729" s="72"/>
      <c r="L729" s="72"/>
      <c r="M729" s="72"/>
      <c r="N729" s="72"/>
      <c r="O729" s="133" t="s">
        <v>662</v>
      </c>
      <c r="P729" s="69">
        <v>0</v>
      </c>
      <c r="Q729" s="130">
        <f>MAX(0,$V729-$P729-$S729)</f>
        <v>1</v>
      </c>
      <c r="R729" s="130"/>
      <c r="S729" s="130"/>
      <c r="T729" s="134">
        <v>1.1100000000000001</v>
      </c>
      <c r="U729" s="134">
        <f>IF(AND($Q729&gt;0,ISNUMBER($T729)),$Q729*$T729,0)</f>
        <v>1.1100000000000001</v>
      </c>
      <c r="V729" s="68">
        <f>SUM(W729:AB729)</f>
        <v>1</v>
      </c>
      <c r="W729" s="130"/>
      <c r="X729" s="130"/>
      <c r="Y729" s="130"/>
      <c r="Z729" s="130"/>
      <c r="AA729" s="130"/>
      <c r="AB729" s="136">
        <v>1</v>
      </c>
      <c r="AC729" s="130"/>
      <c r="AD729" s="75">
        <f>SUM(AE729:AJ729)</f>
        <v>0</v>
      </c>
      <c r="AE729" s="76"/>
      <c r="AF729" s="76"/>
      <c r="AG729" s="76"/>
      <c r="AH729" s="76"/>
      <c r="AI729" s="76"/>
      <c r="AJ729" s="76"/>
      <c r="AK729" s="76"/>
      <c r="AL729" s="77">
        <f>IF((P729-SUM(AE729:AK729))&lt;0,0,P729-SUM(AE729:AK729))</f>
        <v>0</v>
      </c>
      <c r="AM729" s="77">
        <f>SUM(AO729:AT729)</f>
        <v>0</v>
      </c>
      <c r="AN729" s="83" t="s">
        <v>81</v>
      </c>
      <c r="AO729" s="72"/>
      <c r="AP729" s="72"/>
      <c r="AQ729" s="72"/>
      <c r="AR729" s="72"/>
      <c r="AS729" s="72"/>
      <c r="AT729" s="72"/>
      <c r="AU729" s="28" t="s">
        <v>1562</v>
      </c>
      <c r="AV729" s="125"/>
      <c r="AW729" s="72"/>
      <c r="AX729" s="84"/>
    </row>
    <row r="730" spans="1:50" ht="15" customHeight="1">
      <c r="A730" s="125" t="s">
        <v>414</v>
      </c>
      <c r="B730" s="130" t="s">
        <v>345</v>
      </c>
      <c r="C730" s="69" t="s">
        <v>76</v>
      </c>
      <c r="D730" s="125" t="s">
        <v>175</v>
      </c>
      <c r="E730" s="125"/>
      <c r="F730" s="130">
        <v>6</v>
      </c>
      <c r="G730" s="133" t="s">
        <v>317</v>
      </c>
      <c r="H730" s="133" t="s">
        <v>416</v>
      </c>
      <c r="I730" s="133"/>
      <c r="J730" s="133"/>
      <c r="K730" s="69"/>
      <c r="L730" s="69"/>
      <c r="M730" s="69"/>
      <c r="N730" s="69"/>
      <c r="O730" s="133" t="s">
        <v>415</v>
      </c>
      <c r="P730" s="69">
        <v>0</v>
      </c>
      <c r="Q730" s="130">
        <f>MAX(0,$V730-$P730-$S730)</f>
        <v>0</v>
      </c>
      <c r="R730" s="130"/>
      <c r="S730" s="130"/>
      <c r="T730" s="134">
        <v>12.52</v>
      </c>
      <c r="U730" s="134">
        <f>IF(AND($Q730&gt;0,ISNUMBER($T730)),$Q730*$T730,0)</f>
        <v>0</v>
      </c>
      <c r="V730" s="68">
        <f>SUM(W730:AB730)</f>
        <v>0</v>
      </c>
      <c r="W730" s="130"/>
      <c r="X730" s="130"/>
      <c r="Y730" s="130"/>
      <c r="Z730" s="130"/>
      <c r="AA730" s="130"/>
      <c r="AB730" s="130"/>
      <c r="AC730" s="130"/>
      <c r="AD730" s="75">
        <f>SUM(AE730:AJ730)</f>
        <v>0</v>
      </c>
      <c r="AE730" s="76"/>
      <c r="AF730" s="76"/>
      <c r="AG730" s="76"/>
      <c r="AH730" s="76"/>
      <c r="AI730" s="76"/>
      <c r="AJ730" s="76"/>
      <c r="AK730" s="76"/>
      <c r="AL730" s="77">
        <f>IF((P730-SUM(AE730:AK730))&lt;0,0,P730-SUM(AE730:AK730))</f>
        <v>0</v>
      </c>
      <c r="AM730" s="77">
        <f>SUM(AO730:AT730)</f>
        <v>0</v>
      </c>
      <c r="AN730" s="129"/>
      <c r="AO730" s="72"/>
      <c r="AP730" s="72"/>
      <c r="AQ730" s="72"/>
      <c r="AR730" s="72"/>
      <c r="AS730" s="129"/>
      <c r="AT730" s="72"/>
      <c r="AU730" s="129"/>
      <c r="AV730" s="125"/>
      <c r="AW730" s="72"/>
      <c r="AX730" s="72"/>
    </row>
    <row r="731" spans="1:50" ht="15" customHeight="1">
      <c r="A731" s="128" t="s">
        <v>1577</v>
      </c>
      <c r="B731" s="130" t="s">
        <v>1499</v>
      </c>
      <c r="C731" s="69" t="s">
        <v>76</v>
      </c>
      <c r="D731" s="125" t="s">
        <v>627</v>
      </c>
      <c r="E731" s="125"/>
      <c r="F731" s="130">
        <v>0</v>
      </c>
      <c r="G731" s="133" t="s">
        <v>79</v>
      </c>
      <c r="H731" s="133" t="s">
        <v>1578</v>
      </c>
      <c r="I731" s="133"/>
      <c r="J731" s="133"/>
      <c r="K731" s="72"/>
      <c r="L731" s="72"/>
      <c r="M731" s="72"/>
      <c r="N731" s="72"/>
      <c r="O731" s="133" t="s">
        <v>120</v>
      </c>
      <c r="P731" s="69">
        <v>0</v>
      </c>
      <c r="Q731" s="130">
        <f>MAX(0,$V731-$P731-$S731)</f>
        <v>1</v>
      </c>
      <c r="R731" s="130"/>
      <c r="S731" s="130"/>
      <c r="T731" s="134">
        <v>1.33</v>
      </c>
      <c r="U731" s="134">
        <f>IF(AND($Q731&gt;0,ISNUMBER($T731)),$Q731*$T731,0)</f>
        <v>1.33</v>
      </c>
      <c r="V731" s="68">
        <f>SUM(W731:AB731)</f>
        <v>1</v>
      </c>
      <c r="W731" s="130"/>
      <c r="X731" s="130"/>
      <c r="Y731" s="130"/>
      <c r="Z731" s="130"/>
      <c r="AA731" s="130"/>
      <c r="AB731" s="136">
        <v>1</v>
      </c>
      <c r="AC731" s="130"/>
      <c r="AD731" s="75">
        <f>SUM(AE731:AJ731)</f>
        <v>0</v>
      </c>
      <c r="AE731" s="76"/>
      <c r="AF731" s="76"/>
      <c r="AG731" s="76"/>
      <c r="AH731" s="76"/>
      <c r="AI731" s="76"/>
      <c r="AJ731" s="76"/>
      <c r="AK731" s="76"/>
      <c r="AL731" s="77">
        <f>IF((P731-SUM(AE731:AK731))&lt;0,0,P731-SUM(AE731:AK731))</f>
        <v>0</v>
      </c>
      <c r="AM731" s="77">
        <f>SUM(AO731:AT731)</f>
        <v>0</v>
      </c>
      <c r="AN731" s="83" t="s">
        <v>81</v>
      </c>
      <c r="AO731" s="72"/>
      <c r="AP731" s="72"/>
      <c r="AQ731" s="72"/>
      <c r="AR731" s="72"/>
      <c r="AS731" s="72"/>
      <c r="AT731" s="72"/>
      <c r="AU731" s="28" t="s">
        <v>1000</v>
      </c>
      <c r="AV731" s="125"/>
      <c r="AW731" s="72"/>
      <c r="AX731" s="84"/>
    </row>
    <row r="732" spans="1:50" ht="15" customHeight="1">
      <c r="A732" s="125" t="s">
        <v>128</v>
      </c>
      <c r="B732" s="130" t="s">
        <v>46</v>
      </c>
      <c r="C732" s="69" t="s">
        <v>76</v>
      </c>
      <c r="D732" s="125" t="s">
        <v>47</v>
      </c>
      <c r="E732" s="125"/>
      <c r="F732" s="130">
        <v>4</v>
      </c>
      <c r="G732" s="133" t="s">
        <v>91</v>
      </c>
      <c r="H732" s="133" t="s">
        <v>130</v>
      </c>
      <c r="I732" s="133"/>
      <c r="J732" s="133"/>
      <c r="K732" s="72"/>
      <c r="L732" s="72"/>
      <c r="M732" s="72"/>
      <c r="N732" s="72"/>
      <c r="O732" s="133" t="s">
        <v>129</v>
      </c>
      <c r="P732" s="69">
        <v>0</v>
      </c>
      <c r="Q732" s="130">
        <f>MAX(0,$V732-$P732-$S732)</f>
        <v>0</v>
      </c>
      <c r="R732" s="130"/>
      <c r="S732" s="130"/>
      <c r="T732" s="134">
        <v>1.1000000000000001</v>
      </c>
      <c r="U732" s="134">
        <f>IF(AND($Q732&gt;0,ISNUMBER($T732)),$Q732*$T732,0)</f>
        <v>0</v>
      </c>
      <c r="V732" s="68">
        <f>SUM(W732:AB732)</f>
        <v>0</v>
      </c>
      <c r="W732" s="130"/>
      <c r="X732" s="130"/>
      <c r="Y732" s="130"/>
      <c r="Z732" s="130"/>
      <c r="AA732" s="130"/>
      <c r="AB732" s="130"/>
      <c r="AC732" s="130"/>
      <c r="AD732" s="75">
        <f>SUM(AE732:AJ732)</f>
        <v>0</v>
      </c>
      <c r="AE732" s="76"/>
      <c r="AF732" s="76"/>
      <c r="AG732" s="76"/>
      <c r="AH732" s="76"/>
      <c r="AI732" s="76"/>
      <c r="AJ732" s="76"/>
      <c r="AK732" s="76"/>
      <c r="AL732" s="77">
        <f>IF((P732-SUM(AE732:AK732))&lt;0,0,P732-SUM(AE732:AK732))</f>
        <v>0</v>
      </c>
      <c r="AM732" s="77">
        <f>SUM(AO732:AT732)</f>
        <v>0</v>
      </c>
      <c r="AN732" s="72"/>
      <c r="AO732" s="72"/>
      <c r="AP732" s="72"/>
      <c r="AQ732" s="72"/>
      <c r="AR732" s="72"/>
      <c r="AS732" s="72"/>
      <c r="AT732" s="72"/>
      <c r="AU732" s="72"/>
      <c r="AV732" s="125"/>
      <c r="AW732" s="72"/>
      <c r="AX732" s="72"/>
    </row>
    <row r="733" spans="1:50" ht="15" customHeight="1">
      <c r="A733" s="125" t="s">
        <v>131</v>
      </c>
      <c r="B733" s="130" t="s">
        <v>46</v>
      </c>
      <c r="C733" s="69" t="s">
        <v>76</v>
      </c>
      <c r="D733" s="125" t="s">
        <v>58</v>
      </c>
      <c r="E733" s="125"/>
      <c r="F733" s="130">
        <v>5</v>
      </c>
      <c r="G733" s="133" t="s">
        <v>79</v>
      </c>
      <c r="H733" s="133" t="s">
        <v>133</v>
      </c>
      <c r="I733" s="133"/>
      <c r="J733" s="133"/>
      <c r="K733" s="72"/>
      <c r="L733" s="72"/>
      <c r="M733" s="72"/>
      <c r="N733" s="72"/>
      <c r="O733" s="133" t="s">
        <v>132</v>
      </c>
      <c r="P733" s="69">
        <v>0</v>
      </c>
      <c r="Q733" s="130">
        <f>MAX(0,$V733-$P733-$S733)</f>
        <v>0</v>
      </c>
      <c r="R733" s="130"/>
      <c r="S733" s="130"/>
      <c r="T733" s="134">
        <v>15.62</v>
      </c>
      <c r="U733" s="134">
        <f>IF(AND($Q733&gt;0,ISNUMBER($T733)),$Q733*$T733,0)</f>
        <v>0</v>
      </c>
      <c r="V733" s="68">
        <f>SUM(W733:AB733)</f>
        <v>0</v>
      </c>
      <c r="W733" s="130"/>
      <c r="X733" s="130"/>
      <c r="Y733" s="130"/>
      <c r="Z733" s="130"/>
      <c r="AA733" s="130"/>
      <c r="AB733" s="130"/>
      <c r="AC733" s="130"/>
      <c r="AD733" s="75">
        <f>SUM(AE733:AJ733)</f>
        <v>0</v>
      </c>
      <c r="AE733" s="76"/>
      <c r="AF733" s="76"/>
      <c r="AG733" s="76"/>
      <c r="AH733" s="76"/>
      <c r="AI733" s="76"/>
      <c r="AJ733" s="76"/>
      <c r="AK733" s="76"/>
      <c r="AL733" s="77">
        <f>IF((P733-SUM(AE733:AK733))&lt;0,0,P733-SUM(AE733:AK733))</f>
        <v>0</v>
      </c>
      <c r="AM733" s="77">
        <f>SUM(AO733:AT733)</f>
        <v>0</v>
      </c>
      <c r="AN733" s="72"/>
      <c r="AO733" s="72"/>
      <c r="AP733" s="72"/>
      <c r="AQ733" s="72"/>
      <c r="AR733" s="72"/>
      <c r="AS733" s="72"/>
      <c r="AT733" s="72"/>
      <c r="AU733" s="72"/>
      <c r="AV733" s="125"/>
      <c r="AW733" s="72"/>
      <c r="AX733" s="72"/>
    </row>
    <row r="734" spans="1:50" ht="15" customHeight="1">
      <c r="A734" s="125" t="s">
        <v>1227</v>
      </c>
      <c r="B734" s="130" t="s">
        <v>1114</v>
      </c>
      <c r="C734" s="69" t="s">
        <v>76</v>
      </c>
      <c r="D734" s="125" t="s">
        <v>123</v>
      </c>
      <c r="E734" s="125" t="s">
        <v>1206</v>
      </c>
      <c r="F734" s="130">
        <v>3</v>
      </c>
      <c r="G734" s="133" t="s">
        <v>79</v>
      </c>
      <c r="H734" s="133" t="s">
        <v>1228</v>
      </c>
      <c r="I734" s="133"/>
      <c r="J734" s="133"/>
      <c r="K734" s="72"/>
      <c r="L734" s="72"/>
      <c r="M734" s="72"/>
      <c r="N734" s="72"/>
      <c r="O734" s="133" t="s">
        <v>596</v>
      </c>
      <c r="P734" s="69">
        <v>0</v>
      </c>
      <c r="Q734" s="130">
        <f>MAX(0,$V734-$P734-$S734)</f>
        <v>0</v>
      </c>
      <c r="R734" s="130"/>
      <c r="S734" s="130"/>
      <c r="T734" s="134">
        <v>8.48</v>
      </c>
      <c r="U734" s="134">
        <f>IF(AND($Q734&gt;0,ISNUMBER($T734)),$Q734*$T734,0)</f>
        <v>0</v>
      </c>
      <c r="V734" s="68">
        <f>SUM(W734:AB734)</f>
        <v>0</v>
      </c>
      <c r="W734" s="130"/>
      <c r="X734" s="130"/>
      <c r="Y734" s="130"/>
      <c r="Z734" s="130"/>
      <c r="AA734" s="130"/>
      <c r="AB734" s="130"/>
      <c r="AC734" s="130"/>
      <c r="AD734" s="75">
        <f>SUM(AE734:AJ734)</f>
        <v>0</v>
      </c>
      <c r="AE734" s="76"/>
      <c r="AF734" s="76"/>
      <c r="AG734" s="76"/>
      <c r="AH734" s="76"/>
      <c r="AI734" s="76"/>
      <c r="AJ734" s="76"/>
      <c r="AK734" s="76"/>
      <c r="AL734" s="77">
        <f>IF((P734-SUM(AE734:AK734))&lt;0,0,P734-SUM(AE734:AK734))</f>
        <v>0</v>
      </c>
      <c r="AM734" s="77">
        <f>SUM(AO734:AT734)</f>
        <v>0</v>
      </c>
      <c r="AN734" s="72"/>
      <c r="AO734" s="72"/>
      <c r="AP734" s="72"/>
      <c r="AQ734" s="72"/>
      <c r="AR734" s="72"/>
      <c r="AS734" s="72"/>
      <c r="AT734" s="72"/>
      <c r="AU734" s="72"/>
      <c r="AV734" s="125"/>
      <c r="AW734" s="72"/>
      <c r="AX734" s="72"/>
    </row>
    <row r="735" spans="1:50" ht="15" customHeight="1">
      <c r="A735" s="125" t="s">
        <v>1239</v>
      </c>
      <c r="B735" s="130" t="s">
        <v>1114</v>
      </c>
      <c r="C735" s="69" t="s">
        <v>76</v>
      </c>
      <c r="D735" s="125" t="s">
        <v>123</v>
      </c>
      <c r="E735" s="125" t="s">
        <v>1240</v>
      </c>
      <c r="F735" s="130">
        <v>4</v>
      </c>
      <c r="G735" s="133" t="s">
        <v>79</v>
      </c>
      <c r="H735" s="133" t="s">
        <v>1241</v>
      </c>
      <c r="I735" s="133"/>
      <c r="J735" s="133"/>
      <c r="K735" s="72"/>
      <c r="L735" s="72"/>
      <c r="M735" s="72"/>
      <c r="N735" s="72"/>
      <c r="O735" s="133" t="s">
        <v>240</v>
      </c>
      <c r="P735" s="69">
        <v>0</v>
      </c>
      <c r="Q735" s="130">
        <f>MAX(0,$V735-$P735-$S735)</f>
        <v>0</v>
      </c>
      <c r="R735" s="130"/>
      <c r="S735" s="130"/>
      <c r="T735" s="134">
        <v>5.36</v>
      </c>
      <c r="U735" s="134">
        <f>IF(AND($Q735&gt;0,ISNUMBER($T735)),$Q735*$T735,0)</f>
        <v>0</v>
      </c>
      <c r="V735" s="68">
        <f>SUM(W735:AB735)</f>
        <v>0</v>
      </c>
      <c r="W735" s="130"/>
      <c r="X735" s="130"/>
      <c r="Y735" s="130"/>
      <c r="Z735" s="130"/>
      <c r="AA735" s="130"/>
      <c r="AB735" s="130"/>
      <c r="AC735" s="130"/>
      <c r="AD735" s="75">
        <f>SUM(AE735:AJ735)</f>
        <v>0</v>
      </c>
      <c r="AE735" s="76"/>
      <c r="AF735" s="76"/>
      <c r="AG735" s="76"/>
      <c r="AH735" s="76"/>
      <c r="AI735" s="76"/>
      <c r="AJ735" s="76"/>
      <c r="AK735" s="76"/>
      <c r="AL735" s="77">
        <f>IF((P735-SUM(AE735:AK735))&lt;0,0,P735-SUM(AE735:AK735))</f>
        <v>0</v>
      </c>
      <c r="AM735" s="77">
        <f>SUM(AO735:AT735)</f>
        <v>0</v>
      </c>
      <c r="AN735" s="129"/>
      <c r="AO735" s="72"/>
      <c r="AP735" s="72"/>
      <c r="AQ735" s="72"/>
      <c r="AR735" s="72"/>
      <c r="AS735" s="72"/>
      <c r="AT735" s="72"/>
      <c r="AU735" s="72"/>
      <c r="AV735" s="125"/>
      <c r="AW735" s="72"/>
      <c r="AX735" s="72"/>
    </row>
    <row r="736" spans="1:50" ht="15" customHeight="1">
      <c r="A736" s="128" t="s">
        <v>2087</v>
      </c>
      <c r="B736" s="130" t="s">
        <v>1971</v>
      </c>
      <c r="C736" s="69" t="s">
        <v>76</v>
      </c>
      <c r="D736" s="125" t="s">
        <v>47</v>
      </c>
      <c r="E736" s="125"/>
      <c r="F736" s="130">
        <v>5</v>
      </c>
      <c r="G736" s="133" t="s">
        <v>117</v>
      </c>
      <c r="H736" s="133" t="s">
        <v>2088</v>
      </c>
      <c r="I736" s="133"/>
      <c r="J736" s="133"/>
      <c r="K736" s="69"/>
      <c r="L736" s="69"/>
      <c r="M736" s="69"/>
      <c r="N736" s="69"/>
      <c r="O736" s="133" t="s">
        <v>642</v>
      </c>
      <c r="P736" s="69">
        <v>0</v>
      </c>
      <c r="Q736" s="130">
        <f>MAX(0,$V736-$P736-$S736)</f>
        <v>1</v>
      </c>
      <c r="R736" s="130"/>
      <c r="S736" s="130"/>
      <c r="T736" s="134">
        <v>0.25</v>
      </c>
      <c r="U736" s="134">
        <f>IF(AND($Q736&gt;0,ISNUMBER($T736)),$Q736*$T736,0)</f>
        <v>0.25</v>
      </c>
      <c r="V736" s="68">
        <f>SUM(W736:AB736)</f>
        <v>1</v>
      </c>
      <c r="W736" s="130"/>
      <c r="X736" s="130"/>
      <c r="Y736" s="130"/>
      <c r="Z736" s="136">
        <v>1</v>
      </c>
      <c r="AA736" s="130"/>
      <c r="AB736" s="130"/>
      <c r="AC736" s="130"/>
      <c r="AD736" s="75">
        <f>SUM(AE736:AJ736)</f>
        <v>0</v>
      </c>
      <c r="AE736" s="76"/>
      <c r="AF736" s="76"/>
      <c r="AG736" s="76"/>
      <c r="AH736" s="76"/>
      <c r="AI736" s="76"/>
      <c r="AJ736" s="76"/>
      <c r="AK736" s="76"/>
      <c r="AL736" s="77">
        <f>IF((P736-SUM(AE736:AK736))&lt;0,0,P736-SUM(AE736:AK736))</f>
        <v>0</v>
      </c>
      <c r="AM736" s="77">
        <f>SUM(AO736:AT736)</f>
        <v>0</v>
      </c>
      <c r="AN736" s="138" t="s">
        <v>81</v>
      </c>
      <c r="AO736" s="72"/>
      <c r="AP736" s="72"/>
      <c r="AQ736" s="72"/>
      <c r="AR736" s="72"/>
      <c r="AS736" s="72"/>
      <c r="AT736" s="72"/>
      <c r="AU736" s="28" t="s">
        <v>2089</v>
      </c>
      <c r="AV736" s="125"/>
      <c r="AW736" s="72"/>
      <c r="AX736" s="84"/>
    </row>
    <row r="737" spans="1:50" ht="15" customHeight="1">
      <c r="A737" s="125" t="s">
        <v>2094</v>
      </c>
      <c r="B737" s="130" t="s">
        <v>1971</v>
      </c>
      <c r="C737" s="69" t="s">
        <v>76</v>
      </c>
      <c r="D737" s="125" t="s">
        <v>47</v>
      </c>
      <c r="E737" s="125"/>
      <c r="F737" s="130">
        <v>6</v>
      </c>
      <c r="G737" s="133" t="s">
        <v>79</v>
      </c>
      <c r="H737" s="133" t="s">
        <v>2095</v>
      </c>
      <c r="I737" s="133"/>
      <c r="J737" s="133"/>
      <c r="K737" s="72"/>
      <c r="L737" s="72"/>
      <c r="M737" s="72"/>
      <c r="N737" s="72"/>
      <c r="O737" s="133" t="s">
        <v>419</v>
      </c>
      <c r="P737" s="69">
        <v>0</v>
      </c>
      <c r="Q737" s="130">
        <f>MAX(0,$V737-$P737-$S737)</f>
        <v>0</v>
      </c>
      <c r="R737" s="130"/>
      <c r="S737" s="130"/>
      <c r="T737" s="134">
        <v>6</v>
      </c>
      <c r="U737" s="134">
        <f>IF(AND($Q737&gt;0,ISNUMBER($T737)),$Q737*$T737,0)</f>
        <v>0</v>
      </c>
      <c r="V737" s="68">
        <f>SUM(W737:AB737)</f>
        <v>0</v>
      </c>
      <c r="W737" s="130"/>
      <c r="X737" s="130"/>
      <c r="Y737" s="130"/>
      <c r="Z737" s="130"/>
      <c r="AA737" s="130"/>
      <c r="AB737" s="130"/>
      <c r="AC737" s="130"/>
      <c r="AD737" s="75">
        <f>SUM(AE737:AJ737)</f>
        <v>0</v>
      </c>
      <c r="AE737" s="76"/>
      <c r="AF737" s="76"/>
      <c r="AG737" s="76"/>
      <c r="AH737" s="76"/>
      <c r="AI737" s="76"/>
      <c r="AJ737" s="76"/>
      <c r="AK737" s="76"/>
      <c r="AL737" s="77">
        <f>IF((P737-SUM(AE737:AK737))&lt;0,0,P737-SUM(AE737:AK737))</f>
        <v>0</v>
      </c>
      <c r="AM737" s="77">
        <f>SUM(AO737:AT737)</f>
        <v>0</v>
      </c>
      <c r="AN737" s="129"/>
      <c r="AO737" s="129"/>
      <c r="AP737" s="72"/>
      <c r="AQ737" s="72"/>
      <c r="AR737" s="72"/>
      <c r="AS737" s="72"/>
      <c r="AT737" s="72"/>
      <c r="AU737" s="129"/>
      <c r="AV737" s="125"/>
      <c r="AW737" s="72"/>
      <c r="AX737" s="72"/>
    </row>
    <row r="738" spans="1:50" ht="15" customHeight="1">
      <c r="A738" s="125" t="s">
        <v>1606</v>
      </c>
      <c r="B738" s="130" t="s">
        <v>1499</v>
      </c>
      <c r="C738" s="69" t="s">
        <v>76</v>
      </c>
      <c r="D738" s="125" t="s">
        <v>58</v>
      </c>
      <c r="E738" s="125"/>
      <c r="F738" s="130">
        <v>3</v>
      </c>
      <c r="G738" s="133" t="s">
        <v>218</v>
      </c>
      <c r="H738" s="133" t="s">
        <v>1607</v>
      </c>
      <c r="I738" s="133"/>
      <c r="J738" s="133"/>
      <c r="K738" s="69"/>
      <c r="L738" s="69"/>
      <c r="M738" s="69"/>
      <c r="N738" s="69"/>
      <c r="O738" s="133" t="s">
        <v>516</v>
      </c>
      <c r="P738" s="69">
        <v>0</v>
      </c>
      <c r="Q738" s="130">
        <f>MAX(0,$V738-$P738-$S738)</f>
        <v>0</v>
      </c>
      <c r="R738" s="130"/>
      <c r="S738" s="130"/>
      <c r="T738" s="134">
        <v>2.2200000000000002</v>
      </c>
      <c r="U738" s="134">
        <f>IF(AND($Q738&gt;0,ISNUMBER($T738)),$Q738*$T738,0)</f>
        <v>0</v>
      </c>
      <c r="V738" s="68">
        <f>SUM(W738:AB738)</f>
        <v>0</v>
      </c>
      <c r="W738" s="130"/>
      <c r="X738" s="130"/>
      <c r="Y738" s="130"/>
      <c r="Z738" s="130"/>
      <c r="AA738" s="130"/>
      <c r="AB738" s="130"/>
      <c r="AC738" s="130"/>
      <c r="AD738" s="75">
        <f>SUM(AE738:AJ738)</f>
        <v>0</v>
      </c>
      <c r="AE738" s="76"/>
      <c r="AF738" s="76"/>
      <c r="AG738" s="76"/>
      <c r="AH738" s="76"/>
      <c r="AI738" s="76"/>
      <c r="AJ738" s="76"/>
      <c r="AK738" s="76"/>
      <c r="AL738" s="77">
        <f>IF((P738-SUM(AE738:AK738))&lt;0,0,P738-SUM(AE738:AK738))</f>
        <v>0</v>
      </c>
      <c r="AM738" s="77">
        <f>SUM(AO738:AT738)</f>
        <v>0</v>
      </c>
      <c r="AN738" s="72"/>
      <c r="AO738" s="72"/>
      <c r="AP738" s="72"/>
      <c r="AQ738" s="72"/>
      <c r="AR738" s="72"/>
      <c r="AS738" s="72"/>
      <c r="AT738" s="72"/>
      <c r="AU738" s="72"/>
      <c r="AV738" s="125"/>
      <c r="AW738" s="72"/>
      <c r="AX738" s="72"/>
    </row>
    <row r="739" spans="1:50" ht="15" customHeight="1">
      <c r="A739" s="128" t="s">
        <v>998</v>
      </c>
      <c r="B739" s="130" t="s">
        <v>919</v>
      </c>
      <c r="C739" s="69" t="s">
        <v>76</v>
      </c>
      <c r="D739" s="125" t="s">
        <v>627</v>
      </c>
      <c r="E739" s="125"/>
      <c r="F739" s="130">
        <v>0</v>
      </c>
      <c r="G739" s="133" t="s">
        <v>627</v>
      </c>
      <c r="H739" s="133" t="s">
        <v>941</v>
      </c>
      <c r="I739" s="133" t="s">
        <v>999</v>
      </c>
      <c r="J739" s="133"/>
      <c r="K739" s="72"/>
      <c r="L739" s="72"/>
      <c r="M739" s="72"/>
      <c r="N739" s="72"/>
      <c r="O739" s="133" t="s">
        <v>888</v>
      </c>
      <c r="P739" s="69">
        <v>0</v>
      </c>
      <c r="Q739" s="130">
        <f>MAX(0,$V739-$P739-$S739)</f>
        <v>1</v>
      </c>
      <c r="R739" s="130"/>
      <c r="S739" s="130"/>
      <c r="T739" s="134">
        <v>0.3</v>
      </c>
      <c r="U739" s="134">
        <f>IF(AND($Q739&gt;0,ISNUMBER($T739)),$Q739*$T739,0)</f>
        <v>0.3</v>
      </c>
      <c r="V739" s="68">
        <f>SUM(W739:AB739)</f>
        <v>1</v>
      </c>
      <c r="W739" s="130"/>
      <c r="X739" s="130"/>
      <c r="Y739" s="130"/>
      <c r="Z739" s="130"/>
      <c r="AA739" s="130"/>
      <c r="AB739" s="136">
        <v>1</v>
      </c>
      <c r="AC739" s="130"/>
      <c r="AD739" s="75">
        <f>SUM(AE739:AJ739)</f>
        <v>0</v>
      </c>
      <c r="AE739" s="76"/>
      <c r="AF739" s="76"/>
      <c r="AG739" s="76"/>
      <c r="AH739" s="76"/>
      <c r="AI739" s="76"/>
      <c r="AJ739" s="76"/>
      <c r="AK739" s="76"/>
      <c r="AL739" s="77">
        <f>IF((P739-SUM(AE739:AK739))&lt;0,0,P739-SUM(AE739:AK739))</f>
        <v>0</v>
      </c>
      <c r="AM739" s="77">
        <f>SUM(AO739:AT739)</f>
        <v>0</v>
      </c>
      <c r="AN739" s="83" t="s">
        <v>81</v>
      </c>
      <c r="AO739" s="72"/>
      <c r="AP739" s="72"/>
      <c r="AQ739" s="72"/>
      <c r="AR739" s="72"/>
      <c r="AS739" s="72"/>
      <c r="AT739" s="72"/>
      <c r="AU739" s="28" t="s">
        <v>1000</v>
      </c>
      <c r="AV739" s="125"/>
      <c r="AW739" s="72"/>
      <c r="AX739" s="84"/>
    </row>
    <row r="740" spans="1:50" ht="15" customHeight="1">
      <c r="A740" s="125" t="s">
        <v>1625</v>
      </c>
      <c r="B740" s="130" t="s">
        <v>1499</v>
      </c>
      <c r="C740" s="69" t="s">
        <v>76</v>
      </c>
      <c r="D740" s="125" t="s">
        <v>64</v>
      </c>
      <c r="E740" s="125" t="s">
        <v>85</v>
      </c>
      <c r="F740" s="130">
        <v>1</v>
      </c>
      <c r="G740" s="133" t="s">
        <v>54</v>
      </c>
      <c r="H740" s="133" t="s">
        <v>1626</v>
      </c>
      <c r="I740" s="133"/>
      <c r="J740" s="133"/>
      <c r="K740" s="72"/>
      <c r="L740" s="72"/>
      <c r="M740" s="72"/>
      <c r="N740" s="72"/>
      <c r="O740" s="133" t="s">
        <v>624</v>
      </c>
      <c r="P740" s="69">
        <v>0</v>
      </c>
      <c r="Q740" s="130">
        <f>MAX(0,$V740-$P740-$S740)</f>
        <v>0</v>
      </c>
      <c r="R740" s="130"/>
      <c r="S740" s="130"/>
      <c r="T740" s="134">
        <v>9.34</v>
      </c>
      <c r="U740" s="134">
        <f>IF(AND($Q740&gt;0,ISNUMBER($T740)),$Q740*$T740,0)</f>
        <v>0</v>
      </c>
      <c r="V740" s="68">
        <f>SUM(W740:AB740)</f>
        <v>0</v>
      </c>
      <c r="W740" s="130"/>
      <c r="X740" s="130"/>
      <c r="Y740" s="130"/>
      <c r="Z740" s="130"/>
      <c r="AA740" s="130"/>
      <c r="AB740" s="130"/>
      <c r="AC740" s="130"/>
      <c r="AD740" s="75">
        <f>SUM(AE740:AJ740)</f>
        <v>0</v>
      </c>
      <c r="AE740" s="76"/>
      <c r="AF740" s="76"/>
      <c r="AG740" s="76"/>
      <c r="AH740" s="76"/>
      <c r="AI740" s="76"/>
      <c r="AJ740" s="76"/>
      <c r="AK740" s="76"/>
      <c r="AL740" s="77">
        <f>IF((P740-SUM(AE740:AK740))&lt;0,0,P740-SUM(AE740:AK740))</f>
        <v>0</v>
      </c>
      <c r="AM740" s="77">
        <f>SUM(AO740:AT740)</f>
        <v>0</v>
      </c>
      <c r="AN740" s="72"/>
      <c r="AO740" s="72"/>
      <c r="AP740" s="72"/>
      <c r="AQ740" s="72"/>
      <c r="AR740" s="72"/>
      <c r="AS740" s="72"/>
      <c r="AT740" s="72"/>
      <c r="AU740" s="72"/>
      <c r="AV740" s="125"/>
      <c r="AW740" s="72"/>
      <c r="AX740" s="72"/>
    </row>
    <row r="741" spans="1:50" ht="15" customHeight="1">
      <c r="A741" s="128" t="s">
        <v>1634</v>
      </c>
      <c r="B741" s="130" t="s">
        <v>1499</v>
      </c>
      <c r="C741" s="69" t="s">
        <v>76</v>
      </c>
      <c r="D741" s="125" t="s">
        <v>64</v>
      </c>
      <c r="E741" s="125" t="s">
        <v>1531</v>
      </c>
      <c r="F741" s="130">
        <v>2</v>
      </c>
      <c r="G741" s="133" t="s">
        <v>79</v>
      </c>
      <c r="H741" s="133" t="s">
        <v>1635</v>
      </c>
      <c r="I741" s="133"/>
      <c r="J741" s="133"/>
      <c r="K741" s="72"/>
      <c r="L741" s="72"/>
      <c r="M741" s="72"/>
      <c r="N741" s="72"/>
      <c r="O741" s="133" t="s">
        <v>888</v>
      </c>
      <c r="P741" s="69">
        <v>0</v>
      </c>
      <c r="Q741" s="130">
        <f>MAX(0,$V741-$P741-$S741)</f>
        <v>1</v>
      </c>
      <c r="R741" s="130"/>
      <c r="S741" s="130"/>
      <c r="T741" s="134">
        <v>2.58</v>
      </c>
      <c r="U741" s="134">
        <f>IF(AND($Q741&gt;0,ISNUMBER($T741)),$Q741*$T741,0)</f>
        <v>2.58</v>
      </c>
      <c r="V741" s="68">
        <f>SUM(W741:AB741)</f>
        <v>1</v>
      </c>
      <c r="W741" s="130"/>
      <c r="X741" s="130"/>
      <c r="Y741" s="130"/>
      <c r="Z741" s="130"/>
      <c r="AA741" s="130"/>
      <c r="AB741" s="136">
        <v>1</v>
      </c>
      <c r="AC741" s="130"/>
      <c r="AD741" s="75">
        <f>SUM(AE741:AJ741)</f>
        <v>0</v>
      </c>
      <c r="AE741" s="76"/>
      <c r="AF741" s="76"/>
      <c r="AG741" s="76"/>
      <c r="AH741" s="76"/>
      <c r="AI741" s="76"/>
      <c r="AJ741" s="76"/>
      <c r="AK741" s="76"/>
      <c r="AL741" s="77">
        <f>IF((P741-SUM(AE741:AK741))&lt;0,0,P741-SUM(AE741:AK741))</f>
        <v>0</v>
      </c>
      <c r="AM741" s="77">
        <f>SUM(AO741:AT741)</f>
        <v>0</v>
      </c>
      <c r="AN741" s="83" t="s">
        <v>81</v>
      </c>
      <c r="AO741" s="72"/>
      <c r="AP741" s="72"/>
      <c r="AQ741" s="72"/>
      <c r="AR741" s="72"/>
      <c r="AS741" s="72"/>
      <c r="AT741" s="72"/>
      <c r="AU741" s="28" t="s">
        <v>1636</v>
      </c>
      <c r="AV741" s="125"/>
      <c r="AW741" s="72"/>
      <c r="AX741" s="84"/>
    </row>
    <row r="742" spans="1:50" ht="15" customHeight="1">
      <c r="A742" s="125" t="s">
        <v>1644</v>
      </c>
      <c r="B742" s="130" t="s">
        <v>1499</v>
      </c>
      <c r="C742" s="69" t="s">
        <v>76</v>
      </c>
      <c r="D742" s="125" t="s">
        <v>64</v>
      </c>
      <c r="E742" s="125" t="s">
        <v>85</v>
      </c>
      <c r="F742" s="130">
        <v>2</v>
      </c>
      <c r="G742" s="133" t="s">
        <v>79</v>
      </c>
      <c r="H742" s="133" t="s">
        <v>1646</v>
      </c>
      <c r="I742" s="133"/>
      <c r="J742" s="133"/>
      <c r="K742" s="72"/>
      <c r="L742" s="72"/>
      <c r="M742" s="72"/>
      <c r="N742" s="72"/>
      <c r="O742" s="133" t="s">
        <v>1645</v>
      </c>
      <c r="P742" s="69">
        <v>0</v>
      </c>
      <c r="Q742" s="130">
        <f>MAX(0,$V742-$P742-$S742)</f>
        <v>0</v>
      </c>
      <c r="R742" s="130"/>
      <c r="S742" s="130"/>
      <c r="T742" s="134">
        <v>5.54</v>
      </c>
      <c r="U742" s="134">
        <f>IF(AND($Q742&gt;0,ISNUMBER($T742)),$Q742*$T742,0)</f>
        <v>0</v>
      </c>
      <c r="V742" s="68">
        <f>SUM(W742:AB742)</f>
        <v>0</v>
      </c>
      <c r="W742" s="130"/>
      <c r="X742" s="130"/>
      <c r="Y742" s="130"/>
      <c r="Z742" s="130"/>
      <c r="AA742" s="130"/>
      <c r="AB742" s="130"/>
      <c r="AC742" s="130"/>
      <c r="AD742" s="75">
        <f>SUM(AE742:AJ742)</f>
        <v>0</v>
      </c>
      <c r="AE742" s="76"/>
      <c r="AF742" s="76"/>
      <c r="AG742" s="76"/>
      <c r="AH742" s="76"/>
      <c r="AI742" s="76"/>
      <c r="AJ742" s="76"/>
      <c r="AK742" s="76"/>
      <c r="AL742" s="77">
        <f>IF((P742-SUM(AE742:AK742))&lt;0,0,P742-SUM(AE742:AK742))</f>
        <v>0</v>
      </c>
      <c r="AM742" s="77">
        <f>SUM(AO742:AT742)</f>
        <v>0</v>
      </c>
      <c r="AN742" s="72"/>
      <c r="AO742" s="72"/>
      <c r="AP742" s="72"/>
      <c r="AQ742" s="72"/>
      <c r="AR742" s="72"/>
      <c r="AS742" s="72"/>
      <c r="AT742" s="72"/>
      <c r="AU742" s="72"/>
      <c r="AV742" s="125"/>
      <c r="AW742" s="72"/>
      <c r="AX742" s="72"/>
    </row>
    <row r="743" spans="1:50" ht="15" customHeight="1">
      <c r="A743" s="125" t="s">
        <v>737</v>
      </c>
      <c r="B743" s="130" t="s">
        <v>636</v>
      </c>
      <c r="C743" s="69" t="s">
        <v>76</v>
      </c>
      <c r="D743" s="125" t="s">
        <v>58</v>
      </c>
      <c r="E743" s="125"/>
      <c r="F743" s="130">
        <v>4</v>
      </c>
      <c r="G743" s="133" t="s">
        <v>79</v>
      </c>
      <c r="H743" s="133" t="s">
        <v>738</v>
      </c>
      <c r="I743" s="133"/>
      <c r="J743" s="133"/>
      <c r="K743" s="72"/>
      <c r="L743" s="72"/>
      <c r="M743" s="72"/>
      <c r="N743" s="72"/>
      <c r="O743" s="133" t="s">
        <v>53</v>
      </c>
      <c r="P743" s="69">
        <v>0</v>
      </c>
      <c r="Q743" s="130">
        <f>MAX(0,$V743-$P743-$S743)</f>
        <v>0</v>
      </c>
      <c r="R743" s="130"/>
      <c r="S743" s="130"/>
      <c r="T743" s="134">
        <v>14.88</v>
      </c>
      <c r="U743" s="134">
        <f>IF(AND($Q743&gt;0,ISNUMBER($T743)),$Q743*$T743,0)</f>
        <v>0</v>
      </c>
      <c r="V743" s="68">
        <f>SUM(W743:AB743)</f>
        <v>0</v>
      </c>
      <c r="W743" s="130"/>
      <c r="X743" s="130"/>
      <c r="Y743" s="130"/>
      <c r="Z743" s="130"/>
      <c r="AA743" s="130"/>
      <c r="AB743" s="130"/>
      <c r="AC743" s="130"/>
      <c r="AD743" s="75">
        <f>SUM(AE743:AJ743)</f>
        <v>0</v>
      </c>
      <c r="AE743" s="76"/>
      <c r="AF743" s="76"/>
      <c r="AG743" s="76"/>
      <c r="AH743" s="76"/>
      <c r="AI743" s="76"/>
      <c r="AJ743" s="76"/>
      <c r="AK743" s="76"/>
      <c r="AL743" s="77">
        <f>IF((P743-SUM(AE743:AK743))&lt;0,0,P743-SUM(AE743:AK743))</f>
        <v>0</v>
      </c>
      <c r="AM743" s="77">
        <f>SUM(AO743:AT743)</f>
        <v>0</v>
      </c>
      <c r="AN743" s="72"/>
      <c r="AO743" s="72"/>
      <c r="AP743" s="72"/>
      <c r="AQ743" s="72"/>
      <c r="AR743" s="72"/>
      <c r="AS743" s="72"/>
      <c r="AT743" s="72"/>
      <c r="AU743" s="72"/>
      <c r="AV743" s="125"/>
      <c r="AW743" s="72"/>
      <c r="AX743" s="72"/>
    </row>
    <row r="744" spans="1:50" ht="15" customHeight="1">
      <c r="A744" s="125" t="s">
        <v>739</v>
      </c>
      <c r="B744" s="130" t="s">
        <v>636</v>
      </c>
      <c r="C744" s="69" t="s">
        <v>76</v>
      </c>
      <c r="D744" s="125" t="s">
        <v>58</v>
      </c>
      <c r="E744" s="125"/>
      <c r="F744" s="130">
        <v>1</v>
      </c>
      <c r="G744" s="133" t="s">
        <v>91</v>
      </c>
      <c r="H744" s="133" t="s">
        <v>741</v>
      </c>
      <c r="I744" s="133"/>
      <c r="J744" s="133"/>
      <c r="K744" s="72"/>
      <c r="L744" s="72"/>
      <c r="M744" s="72"/>
      <c r="N744" s="72"/>
      <c r="O744" s="133" t="s">
        <v>740</v>
      </c>
      <c r="P744" s="69">
        <v>0</v>
      </c>
      <c r="Q744" s="130">
        <f>MAX(0,$V744-$P744-$S744)</f>
        <v>0</v>
      </c>
      <c r="R744" s="130"/>
      <c r="S744" s="130"/>
      <c r="T744" s="134">
        <v>2.31</v>
      </c>
      <c r="U744" s="134">
        <f>IF(AND($Q744&gt;0,ISNUMBER($T744)),$Q744*$T744,0)</f>
        <v>0</v>
      </c>
      <c r="V744" s="68">
        <f>SUM(W744:AB744)</f>
        <v>0</v>
      </c>
      <c r="W744" s="130"/>
      <c r="X744" s="130"/>
      <c r="Y744" s="130"/>
      <c r="Z744" s="130"/>
      <c r="AA744" s="130"/>
      <c r="AB744" s="130"/>
      <c r="AC744" s="130"/>
      <c r="AD744" s="75">
        <f>SUM(AE744:AJ744)</f>
        <v>0</v>
      </c>
      <c r="AE744" s="76"/>
      <c r="AF744" s="76"/>
      <c r="AG744" s="76"/>
      <c r="AH744" s="76"/>
      <c r="AI744" s="76"/>
      <c r="AJ744" s="76"/>
      <c r="AK744" s="76"/>
      <c r="AL744" s="77">
        <f>IF((P744-SUM(AE744:AK744))&lt;0,0,P744-SUM(AE744:AK744))</f>
        <v>0</v>
      </c>
      <c r="AM744" s="77">
        <f>SUM(AO744:AT744)</f>
        <v>0</v>
      </c>
      <c r="AN744" s="129"/>
      <c r="AO744" s="72"/>
      <c r="AP744" s="72"/>
      <c r="AQ744" s="72"/>
      <c r="AR744" s="72"/>
      <c r="AS744" s="72"/>
      <c r="AT744" s="72"/>
      <c r="AU744" s="72"/>
      <c r="AV744" s="125"/>
      <c r="AW744" s="72"/>
      <c r="AX744" s="72"/>
    </row>
    <row r="745" spans="1:50" ht="15" customHeight="1">
      <c r="A745" s="125" t="s">
        <v>742</v>
      </c>
      <c r="B745" s="130" t="s">
        <v>636</v>
      </c>
      <c r="C745" s="69" t="s">
        <v>76</v>
      </c>
      <c r="D745" s="125" t="s">
        <v>72</v>
      </c>
      <c r="E745" s="125"/>
      <c r="F745" s="130">
        <v>2</v>
      </c>
      <c r="G745" s="133" t="s">
        <v>499</v>
      </c>
      <c r="H745" s="133" t="s">
        <v>744</v>
      </c>
      <c r="I745" s="133"/>
      <c r="J745" s="133"/>
      <c r="K745" s="69"/>
      <c r="L745" s="69"/>
      <c r="M745" s="69"/>
      <c r="N745" s="69"/>
      <c r="O745" s="133" t="s">
        <v>743</v>
      </c>
      <c r="P745" s="69">
        <v>0</v>
      </c>
      <c r="Q745" s="130">
        <f>MAX(0,$V745-$P745-$S745)</f>
        <v>0</v>
      </c>
      <c r="R745" s="130"/>
      <c r="S745" s="130"/>
      <c r="T745" s="134">
        <v>8.93</v>
      </c>
      <c r="U745" s="134">
        <f>IF(AND($Q745&gt;0,ISNUMBER($T745)),$Q745*$T745,0)</f>
        <v>0</v>
      </c>
      <c r="V745" s="68">
        <f>SUM(W745:AB745)</f>
        <v>0</v>
      </c>
      <c r="W745" s="130"/>
      <c r="X745" s="130"/>
      <c r="Y745" s="130"/>
      <c r="Z745" s="130"/>
      <c r="AA745" s="130"/>
      <c r="AB745" s="130"/>
      <c r="AC745" s="130"/>
      <c r="AD745" s="75">
        <f>SUM(AE745:AJ745)</f>
        <v>0</v>
      </c>
      <c r="AE745" s="76"/>
      <c r="AF745" s="76"/>
      <c r="AG745" s="76"/>
      <c r="AH745" s="76"/>
      <c r="AI745" s="76"/>
      <c r="AJ745" s="76"/>
      <c r="AK745" s="76"/>
      <c r="AL745" s="77">
        <f>IF((P745-SUM(AE745:AK745))&lt;0,0,P745-SUM(AE745:AK745))</f>
        <v>0</v>
      </c>
      <c r="AM745" s="77">
        <f>SUM(AO745:AT745)</f>
        <v>0</v>
      </c>
      <c r="AN745" s="72"/>
      <c r="AO745" s="72"/>
      <c r="AP745" s="72"/>
      <c r="AQ745" s="72"/>
      <c r="AR745" s="72"/>
      <c r="AS745" s="72"/>
      <c r="AT745" s="72"/>
      <c r="AU745" s="72"/>
      <c r="AV745" s="125"/>
      <c r="AW745" s="72"/>
      <c r="AX745" s="72"/>
    </row>
    <row r="746" spans="1:50" ht="15" customHeight="1">
      <c r="A746" s="128" t="s">
        <v>1665</v>
      </c>
      <c r="B746" s="130" t="s">
        <v>1499</v>
      </c>
      <c r="C746" s="69" t="s">
        <v>76</v>
      </c>
      <c r="D746" s="125" t="s">
        <v>64</v>
      </c>
      <c r="E746" s="125" t="s">
        <v>1572</v>
      </c>
      <c r="F746" s="130">
        <v>3</v>
      </c>
      <c r="G746" s="133" t="s">
        <v>530</v>
      </c>
      <c r="H746" s="133" t="s">
        <v>1666</v>
      </c>
      <c r="I746" s="133"/>
      <c r="J746" s="133"/>
      <c r="K746" s="69"/>
      <c r="L746" s="69"/>
      <c r="M746" s="69"/>
      <c r="N746" s="69"/>
      <c r="O746" s="133" t="s">
        <v>120</v>
      </c>
      <c r="P746" s="69">
        <v>0</v>
      </c>
      <c r="Q746" s="130">
        <f>MAX(0,$V746-$P746-$S746)</f>
        <v>1</v>
      </c>
      <c r="R746" s="130"/>
      <c r="S746" s="130"/>
      <c r="T746" s="134">
        <v>4.7699999999999996</v>
      </c>
      <c r="U746" s="134">
        <f>IF(AND($Q746&gt;0,ISNUMBER($T746)),$Q746*$T746,0)</f>
        <v>4.7699999999999996</v>
      </c>
      <c r="V746" s="68">
        <f>SUM(W746:AB746)</f>
        <v>1</v>
      </c>
      <c r="W746" s="130"/>
      <c r="X746" s="130"/>
      <c r="Y746" s="130"/>
      <c r="Z746" s="130"/>
      <c r="AA746" s="130"/>
      <c r="AB746" s="136">
        <v>1</v>
      </c>
      <c r="AC746" s="130"/>
      <c r="AD746" s="75">
        <f>SUM(AE746:AJ746)</f>
        <v>0</v>
      </c>
      <c r="AE746" s="76"/>
      <c r="AF746" s="76"/>
      <c r="AG746" s="76"/>
      <c r="AH746" s="76"/>
      <c r="AI746" s="76"/>
      <c r="AJ746" s="76"/>
      <c r="AK746" s="76"/>
      <c r="AL746" s="77">
        <f>IF((P746-SUM(AE746:AK746))&lt;0,0,P746-SUM(AE746:AK746))</f>
        <v>0</v>
      </c>
      <c r="AM746" s="77">
        <f>SUM(AO746:AT746)</f>
        <v>0</v>
      </c>
      <c r="AN746" s="83" t="s">
        <v>81</v>
      </c>
      <c r="AO746" s="72"/>
      <c r="AP746" s="72"/>
      <c r="AQ746" s="72"/>
      <c r="AR746" s="72"/>
      <c r="AS746" s="72"/>
      <c r="AT746" s="72"/>
      <c r="AU746" s="28" t="s">
        <v>1667</v>
      </c>
      <c r="AV746" s="125"/>
      <c r="AW746" s="72"/>
      <c r="AX746" s="84"/>
    </row>
    <row r="747" spans="1:50" ht="15" customHeight="1">
      <c r="A747" s="128" t="s">
        <v>494</v>
      </c>
      <c r="B747" s="130" t="s">
        <v>345</v>
      </c>
      <c r="C747" s="69" t="s">
        <v>76</v>
      </c>
      <c r="D747" s="125" t="s">
        <v>175</v>
      </c>
      <c r="E747" s="125"/>
      <c r="F747" s="130">
        <v>2</v>
      </c>
      <c r="G747" s="133" t="s">
        <v>79</v>
      </c>
      <c r="H747" s="133" t="s">
        <v>496</v>
      </c>
      <c r="I747" s="133"/>
      <c r="J747" s="133"/>
      <c r="K747" s="72"/>
      <c r="L747" s="72"/>
      <c r="M747" s="72"/>
      <c r="N747" s="72"/>
      <c r="O747" s="133" t="s">
        <v>495</v>
      </c>
      <c r="P747" s="69">
        <v>0</v>
      </c>
      <c r="Q747" s="130">
        <f>MAX(0,$V747-$P747-$S747)</f>
        <v>1</v>
      </c>
      <c r="R747" s="130"/>
      <c r="S747" s="130"/>
      <c r="T747" s="134">
        <v>1.85</v>
      </c>
      <c r="U747" s="134">
        <f>IF(AND($Q747&gt;0,ISNUMBER($T747)),$Q747*$T747,0)</f>
        <v>1.85</v>
      </c>
      <c r="V747" s="68">
        <f>SUM(W747:AB747)</f>
        <v>1</v>
      </c>
      <c r="W747" s="130"/>
      <c r="X747" s="130"/>
      <c r="Y747" s="130"/>
      <c r="Z747" s="130"/>
      <c r="AA747" s="130"/>
      <c r="AB747" s="136">
        <v>1</v>
      </c>
      <c r="AC747" s="130"/>
      <c r="AD747" s="75">
        <f>SUM(AE747:AJ747)</f>
        <v>0</v>
      </c>
      <c r="AE747" s="76"/>
      <c r="AF747" s="76"/>
      <c r="AG747" s="76"/>
      <c r="AH747" s="76"/>
      <c r="AI747" s="76"/>
      <c r="AJ747" s="76"/>
      <c r="AK747" s="76"/>
      <c r="AL747" s="77">
        <f>IF((P747-SUM(AE747:AK747))&lt;0,0,P747-SUM(AE747:AK747))</f>
        <v>0</v>
      </c>
      <c r="AM747" s="77">
        <f>SUM(AO747:AT747)</f>
        <v>0</v>
      </c>
      <c r="AN747" s="83" t="s">
        <v>81</v>
      </c>
      <c r="AO747" s="72"/>
      <c r="AP747" s="72"/>
      <c r="AQ747" s="72"/>
      <c r="AR747" s="72"/>
      <c r="AS747" s="72"/>
      <c r="AT747" s="72"/>
      <c r="AU747" s="28" t="s">
        <v>497</v>
      </c>
      <c r="AV747" s="125"/>
      <c r="AW747" s="72"/>
      <c r="AX747" s="84"/>
    </row>
    <row r="748" spans="1:50" ht="15" customHeight="1">
      <c r="A748" s="125" t="s">
        <v>1299</v>
      </c>
      <c r="B748" s="130" t="s">
        <v>1114</v>
      </c>
      <c r="C748" s="69" t="s">
        <v>76</v>
      </c>
      <c r="D748" s="125" t="s">
        <v>72</v>
      </c>
      <c r="E748" s="125"/>
      <c r="F748" s="130">
        <v>5</v>
      </c>
      <c r="G748" s="133" t="s">
        <v>499</v>
      </c>
      <c r="H748" s="133" t="s">
        <v>1300</v>
      </c>
      <c r="I748" s="133"/>
      <c r="J748" s="133"/>
      <c r="K748" s="72"/>
      <c r="L748" s="72"/>
      <c r="M748" s="72"/>
      <c r="N748" s="72"/>
      <c r="O748" s="133" t="s">
        <v>1083</v>
      </c>
      <c r="P748" s="69">
        <v>0</v>
      </c>
      <c r="Q748" s="130">
        <f>MAX(0,$V748-$P748-$S748)</f>
        <v>0</v>
      </c>
      <c r="R748" s="130"/>
      <c r="S748" s="130"/>
      <c r="T748" s="134">
        <v>5.58</v>
      </c>
      <c r="U748" s="134">
        <f>IF(AND($Q748&gt;0,ISNUMBER($T748)),$Q748*$T748,0)</f>
        <v>0</v>
      </c>
      <c r="V748" s="68">
        <f>SUM(W748:AB748)</f>
        <v>0</v>
      </c>
      <c r="W748" s="130"/>
      <c r="X748" s="130"/>
      <c r="Y748" s="130"/>
      <c r="Z748" s="130"/>
      <c r="AA748" s="130"/>
      <c r="AB748" s="130"/>
      <c r="AC748" s="130"/>
      <c r="AD748" s="75">
        <f>SUM(AE748:AJ748)</f>
        <v>0</v>
      </c>
      <c r="AE748" s="76"/>
      <c r="AF748" s="76"/>
      <c r="AG748" s="76"/>
      <c r="AH748" s="76"/>
      <c r="AI748" s="76"/>
      <c r="AJ748" s="76"/>
      <c r="AK748" s="76"/>
      <c r="AL748" s="77">
        <f>IF((P748-SUM(AE748:AK748))&lt;0,0,P748-SUM(AE748:AK748))</f>
        <v>0</v>
      </c>
      <c r="AM748" s="77">
        <f>SUM(AO748:AT748)</f>
        <v>0</v>
      </c>
      <c r="AN748" s="72"/>
      <c r="AO748" s="72"/>
      <c r="AP748" s="72"/>
      <c r="AQ748" s="72"/>
      <c r="AR748" s="72"/>
      <c r="AS748" s="72"/>
      <c r="AT748" s="72"/>
      <c r="AU748" s="72"/>
      <c r="AV748" s="125"/>
      <c r="AW748" s="72"/>
      <c r="AX748" s="72"/>
    </row>
    <row r="749" spans="1:50" ht="15" customHeight="1">
      <c r="A749" s="125" t="s">
        <v>1675</v>
      </c>
      <c r="B749" s="130" t="s">
        <v>1499</v>
      </c>
      <c r="C749" s="69" t="s">
        <v>76</v>
      </c>
      <c r="D749" s="125" t="s">
        <v>47</v>
      </c>
      <c r="E749" s="125"/>
      <c r="F749" s="130">
        <v>3</v>
      </c>
      <c r="G749" s="133" t="s">
        <v>79</v>
      </c>
      <c r="H749" s="133" t="s">
        <v>1676</v>
      </c>
      <c r="I749" s="133" t="s">
        <v>1677</v>
      </c>
      <c r="J749" s="133" t="s">
        <v>1678</v>
      </c>
      <c r="K749" s="72"/>
      <c r="L749" s="72"/>
      <c r="M749" s="72"/>
      <c r="N749" s="72"/>
      <c r="O749" s="133" t="s">
        <v>210</v>
      </c>
      <c r="P749" s="69">
        <v>0</v>
      </c>
      <c r="Q749" s="130">
        <f>MAX(0,$V749-$P749-$S749)</f>
        <v>0</v>
      </c>
      <c r="R749" s="130"/>
      <c r="S749" s="130"/>
      <c r="T749" s="134">
        <v>40.090000000000003</v>
      </c>
      <c r="U749" s="134">
        <f>IF(AND($Q749&gt;0,ISNUMBER($T749)),$Q749*$T749,0)</f>
        <v>0</v>
      </c>
      <c r="V749" s="68">
        <f>SUM(W749:AB749)</f>
        <v>0</v>
      </c>
      <c r="W749" s="130"/>
      <c r="X749" s="130"/>
      <c r="Y749" s="130"/>
      <c r="Z749" s="130"/>
      <c r="AA749" s="130"/>
      <c r="AB749" s="130"/>
      <c r="AC749" s="130"/>
      <c r="AD749" s="75">
        <f>SUM(AE749:AJ749)</f>
        <v>0</v>
      </c>
      <c r="AE749" s="76"/>
      <c r="AF749" s="76"/>
      <c r="AG749" s="76"/>
      <c r="AH749" s="76"/>
      <c r="AI749" s="76"/>
      <c r="AJ749" s="76"/>
      <c r="AK749" s="76"/>
      <c r="AL749" s="77">
        <f>IF((P749-SUM(AE749:AK749))&lt;0,0,P749-SUM(AE749:AK749))</f>
        <v>0</v>
      </c>
      <c r="AM749" s="77">
        <f>SUM(AO749:AT749)</f>
        <v>0</v>
      </c>
      <c r="AN749" s="129"/>
      <c r="AO749" s="72"/>
      <c r="AP749" s="72"/>
      <c r="AQ749" s="72"/>
      <c r="AR749" s="72"/>
      <c r="AS749" s="72"/>
      <c r="AT749" s="72"/>
      <c r="AU749" s="72"/>
      <c r="AV749" s="125"/>
      <c r="AW749" s="72"/>
      <c r="AX749" s="72"/>
    </row>
    <row r="750" spans="1:50" ht="15" customHeight="1">
      <c r="A750" s="125" t="s">
        <v>1304</v>
      </c>
      <c r="B750" s="130" t="s">
        <v>1114</v>
      </c>
      <c r="C750" s="69" t="s">
        <v>76</v>
      </c>
      <c r="D750" s="125" t="s">
        <v>123</v>
      </c>
      <c r="E750" s="125" t="s">
        <v>1305</v>
      </c>
      <c r="F750" s="130">
        <v>3</v>
      </c>
      <c r="G750" s="133" t="s">
        <v>218</v>
      </c>
      <c r="H750" s="133" t="s">
        <v>1306</v>
      </c>
      <c r="I750" s="133"/>
      <c r="J750" s="133"/>
      <c r="K750" s="69"/>
      <c r="L750" s="69"/>
      <c r="M750" s="69"/>
      <c r="N750" s="69"/>
      <c r="O750" s="133" t="s">
        <v>346</v>
      </c>
      <c r="P750" s="69">
        <v>0</v>
      </c>
      <c r="Q750" s="130">
        <f>MAX(0,$V750-$P750-$S750)</f>
        <v>0</v>
      </c>
      <c r="R750" s="130"/>
      <c r="S750" s="130"/>
      <c r="T750" s="134">
        <v>10.17</v>
      </c>
      <c r="U750" s="134">
        <f>IF(AND($Q750&gt;0,ISNUMBER($T750)),$Q750*$T750,0)</f>
        <v>0</v>
      </c>
      <c r="V750" s="68">
        <f>SUM(W750:AB750)</f>
        <v>0</v>
      </c>
      <c r="W750" s="130"/>
      <c r="X750" s="130"/>
      <c r="Y750" s="130"/>
      <c r="Z750" s="130"/>
      <c r="AA750" s="130"/>
      <c r="AB750" s="130"/>
      <c r="AC750" s="130"/>
      <c r="AD750" s="75">
        <f>SUM(AE750:AJ750)</f>
        <v>0</v>
      </c>
      <c r="AE750" s="76"/>
      <c r="AF750" s="76"/>
      <c r="AG750" s="76"/>
      <c r="AH750" s="76"/>
      <c r="AI750" s="76"/>
      <c r="AJ750" s="76"/>
      <c r="AK750" s="76"/>
      <c r="AL750" s="77">
        <f>IF((P750-SUM(AE750:AK750))&lt;0,0,P750-SUM(AE750:AK750))</f>
        <v>0</v>
      </c>
      <c r="AM750" s="77">
        <f>SUM(AO750:AT750)</f>
        <v>0</v>
      </c>
      <c r="AN750" s="129"/>
      <c r="AO750" s="72"/>
      <c r="AP750" s="72"/>
      <c r="AQ750" s="72"/>
      <c r="AR750" s="72"/>
      <c r="AS750" s="72"/>
      <c r="AT750" s="129"/>
      <c r="AU750" s="129"/>
      <c r="AV750" s="125"/>
      <c r="AW750" s="72"/>
      <c r="AX750" s="72"/>
    </row>
    <row r="751" spans="1:50" ht="15" customHeight="1">
      <c r="A751" s="125" t="s">
        <v>1682</v>
      </c>
      <c r="B751" s="130" t="s">
        <v>1499</v>
      </c>
      <c r="C751" s="69" t="s">
        <v>76</v>
      </c>
      <c r="D751" s="125" t="s">
        <v>123</v>
      </c>
      <c r="E751" s="125" t="s">
        <v>1683</v>
      </c>
      <c r="F751" s="130">
        <v>5</v>
      </c>
      <c r="G751" s="133" t="s">
        <v>91</v>
      </c>
      <c r="H751" s="133" t="s">
        <v>1540</v>
      </c>
      <c r="I751" s="133" t="s">
        <v>1684</v>
      </c>
      <c r="J751" s="133"/>
      <c r="K751" s="72"/>
      <c r="L751" s="72"/>
      <c r="M751" s="72"/>
      <c r="N751" s="72"/>
      <c r="O751" s="133" t="s">
        <v>761</v>
      </c>
      <c r="P751" s="69">
        <v>0</v>
      </c>
      <c r="Q751" s="130">
        <f>MAX(0,$V751-$P751-$S751)</f>
        <v>0</v>
      </c>
      <c r="R751" s="130"/>
      <c r="S751" s="130"/>
      <c r="T751" s="134">
        <v>14.23</v>
      </c>
      <c r="U751" s="134">
        <f>IF(AND($Q751&gt;0,ISNUMBER($T751)),$Q751*$T751,0)</f>
        <v>0</v>
      </c>
      <c r="V751" s="68">
        <f>SUM(W751:AB751)</f>
        <v>0</v>
      </c>
      <c r="W751" s="130"/>
      <c r="X751" s="130"/>
      <c r="Y751" s="130"/>
      <c r="Z751" s="130"/>
      <c r="AA751" s="130"/>
      <c r="AB751" s="130"/>
      <c r="AC751" s="130"/>
      <c r="AD751" s="75">
        <f>SUM(AE751:AJ751)</f>
        <v>0</v>
      </c>
      <c r="AE751" s="76"/>
      <c r="AF751" s="76"/>
      <c r="AG751" s="76"/>
      <c r="AH751" s="76"/>
      <c r="AI751" s="76"/>
      <c r="AJ751" s="76"/>
      <c r="AK751" s="76"/>
      <c r="AL751" s="77">
        <f>IF((P751-SUM(AE751:AK751))&lt;0,0,P751-SUM(AE751:AK751))</f>
        <v>0</v>
      </c>
      <c r="AM751" s="77">
        <f>SUM(AO751:AT751)</f>
        <v>0</v>
      </c>
      <c r="AN751" s="72"/>
      <c r="AO751" s="72"/>
      <c r="AP751" s="72"/>
      <c r="AQ751" s="72"/>
      <c r="AR751" s="72"/>
      <c r="AS751" s="72"/>
      <c r="AT751" s="72"/>
      <c r="AU751" s="72"/>
      <c r="AV751" s="125"/>
      <c r="AW751" s="72"/>
      <c r="AX751" s="72"/>
    </row>
    <row r="752" spans="1:50" ht="15" customHeight="1">
      <c r="A752" s="125" t="s">
        <v>759</v>
      </c>
      <c r="B752" s="130" t="s">
        <v>636</v>
      </c>
      <c r="C752" s="69" t="s">
        <v>76</v>
      </c>
      <c r="D752" s="125" t="s">
        <v>47</v>
      </c>
      <c r="E752" s="125" t="s">
        <v>760</v>
      </c>
      <c r="F752" s="130">
        <v>3</v>
      </c>
      <c r="G752" s="133" t="s">
        <v>392</v>
      </c>
      <c r="H752" s="133" t="s">
        <v>762</v>
      </c>
      <c r="I752" s="133"/>
      <c r="J752" s="133"/>
      <c r="K752" s="72"/>
      <c r="L752" s="72"/>
      <c r="M752" s="72"/>
      <c r="N752" s="72"/>
      <c r="O752" s="133" t="s">
        <v>761</v>
      </c>
      <c r="P752" s="69">
        <v>0</v>
      </c>
      <c r="Q752" s="130">
        <f>MAX(0,$V752-$P752-$S752)</f>
        <v>0</v>
      </c>
      <c r="R752" s="130"/>
      <c r="S752" s="130"/>
      <c r="T752" s="134">
        <v>1.58</v>
      </c>
      <c r="U752" s="134">
        <f>IF(AND($Q752&gt;0,ISNUMBER($T752)),$Q752*$T752,0)</f>
        <v>0</v>
      </c>
      <c r="V752" s="68">
        <f>SUM(W752:AB752)</f>
        <v>0</v>
      </c>
      <c r="W752" s="130"/>
      <c r="X752" s="130"/>
      <c r="Y752" s="130"/>
      <c r="Z752" s="130"/>
      <c r="AA752" s="130"/>
      <c r="AB752" s="130"/>
      <c r="AC752" s="130"/>
      <c r="AD752" s="75">
        <f>SUM(AE752:AJ752)</f>
        <v>0</v>
      </c>
      <c r="AE752" s="76"/>
      <c r="AF752" s="76"/>
      <c r="AG752" s="76"/>
      <c r="AH752" s="76"/>
      <c r="AI752" s="76"/>
      <c r="AJ752" s="76"/>
      <c r="AK752" s="76"/>
      <c r="AL752" s="77">
        <f>IF((P752-SUM(AE752:AK752))&lt;0,0,P752-SUM(AE752:AK752))</f>
        <v>0</v>
      </c>
      <c r="AM752" s="77">
        <f>SUM(AO752:AT752)</f>
        <v>0</v>
      </c>
      <c r="AN752" s="72"/>
      <c r="AO752" s="72"/>
      <c r="AP752" s="72"/>
      <c r="AQ752" s="72"/>
      <c r="AR752" s="72"/>
      <c r="AS752" s="72"/>
      <c r="AT752" s="72"/>
      <c r="AU752" s="72"/>
      <c r="AV752" s="125"/>
      <c r="AW752" s="72"/>
      <c r="AX752" s="72"/>
    </row>
    <row r="753" spans="1:50" ht="15" customHeight="1">
      <c r="A753" s="128" t="s">
        <v>498</v>
      </c>
      <c r="B753" s="130" t="s">
        <v>345</v>
      </c>
      <c r="C753" s="69" t="s">
        <v>76</v>
      </c>
      <c r="D753" s="125" t="s">
        <v>175</v>
      </c>
      <c r="E753" s="125" t="s">
        <v>390</v>
      </c>
      <c r="F753" s="130">
        <v>2</v>
      </c>
      <c r="G753" s="133" t="s">
        <v>499</v>
      </c>
      <c r="H753" s="133" t="s">
        <v>500</v>
      </c>
      <c r="I753" s="133" t="s">
        <v>501</v>
      </c>
      <c r="J753" s="133"/>
      <c r="K753" s="72"/>
      <c r="L753" s="72"/>
      <c r="M753" s="72"/>
      <c r="N753" s="72"/>
      <c r="O753" s="133" t="s">
        <v>324</v>
      </c>
      <c r="P753" s="69">
        <v>0</v>
      </c>
      <c r="Q753" s="130">
        <f>MAX(0,$V753-$P753-$S753)</f>
        <v>1</v>
      </c>
      <c r="R753" s="130"/>
      <c r="S753" s="130"/>
      <c r="T753" s="134">
        <v>4.59</v>
      </c>
      <c r="U753" s="134">
        <f>IF(AND($Q753&gt;0,ISNUMBER($T753)),$Q753*$T753,0)</f>
        <v>4.59</v>
      </c>
      <c r="V753" s="68">
        <f>SUM(W753:AB753)</f>
        <v>1</v>
      </c>
      <c r="W753" s="130"/>
      <c r="X753" s="130"/>
      <c r="Y753" s="130"/>
      <c r="Z753" s="130"/>
      <c r="AA753" s="130"/>
      <c r="AB753" s="136">
        <v>1</v>
      </c>
      <c r="AC753" s="130"/>
      <c r="AD753" s="75">
        <f>SUM(AE753:AJ753)</f>
        <v>0</v>
      </c>
      <c r="AE753" s="76"/>
      <c r="AF753" s="76"/>
      <c r="AG753" s="76"/>
      <c r="AH753" s="76"/>
      <c r="AI753" s="76"/>
      <c r="AJ753" s="76"/>
      <c r="AK753" s="76"/>
      <c r="AL753" s="77">
        <f>IF((P753-SUM(AE753:AK753))&lt;0,0,P753-SUM(AE753:AK753))</f>
        <v>0</v>
      </c>
      <c r="AM753" s="77">
        <f>SUM(AO753:AT753)</f>
        <v>0</v>
      </c>
      <c r="AN753" s="83" t="s">
        <v>81</v>
      </c>
      <c r="AO753" s="72"/>
      <c r="AP753" s="72"/>
      <c r="AQ753" s="72"/>
      <c r="AR753" s="72"/>
      <c r="AS753" s="72"/>
      <c r="AT753" s="72"/>
      <c r="AU753" s="28" t="s">
        <v>502</v>
      </c>
      <c r="AV753" s="125"/>
      <c r="AW753" s="72"/>
      <c r="AX753" s="84"/>
    </row>
    <row r="754" spans="1:50" ht="15" customHeight="1">
      <c r="A754" s="128" t="s">
        <v>191</v>
      </c>
      <c r="B754" s="130" t="s">
        <v>46</v>
      </c>
      <c r="C754" s="69" t="s">
        <v>76</v>
      </c>
      <c r="D754" s="125" t="s">
        <v>64</v>
      </c>
      <c r="E754" s="125" t="s">
        <v>192</v>
      </c>
      <c r="F754" s="130">
        <v>3</v>
      </c>
      <c r="G754" s="133" t="s">
        <v>125</v>
      </c>
      <c r="H754" s="133" t="s">
        <v>193</v>
      </c>
      <c r="I754" s="133"/>
      <c r="J754" s="133"/>
      <c r="K754" s="72"/>
      <c r="L754" s="72"/>
      <c r="M754" s="72"/>
      <c r="N754" s="72"/>
      <c r="O754" s="133" t="s">
        <v>144</v>
      </c>
      <c r="P754" s="69">
        <v>0</v>
      </c>
      <c r="Q754" s="130">
        <f>MAX(0,$V754-$P754-$S754)</f>
        <v>1</v>
      </c>
      <c r="R754" s="130"/>
      <c r="S754" s="130"/>
      <c r="T754" s="134">
        <v>0.19</v>
      </c>
      <c r="U754" s="134">
        <f>IF(AND($Q754&gt;0,ISNUMBER($T754)),$Q754*$T754,0)</f>
        <v>0.19</v>
      </c>
      <c r="V754" s="68">
        <f>SUM(W754:AB754)</f>
        <v>1</v>
      </c>
      <c r="W754" s="130"/>
      <c r="X754" s="130"/>
      <c r="Y754" s="130"/>
      <c r="Z754" s="130"/>
      <c r="AA754" s="136">
        <v>1</v>
      </c>
      <c r="AB754" s="130"/>
      <c r="AC754" s="130"/>
      <c r="AD754" s="75">
        <f>SUM(AE754:AJ754)</f>
        <v>0</v>
      </c>
      <c r="AE754" s="76"/>
      <c r="AF754" s="76"/>
      <c r="AG754" s="76"/>
      <c r="AH754" s="76"/>
      <c r="AI754" s="76"/>
      <c r="AJ754" s="76"/>
      <c r="AK754" s="76"/>
      <c r="AL754" s="77">
        <f>IF((P754-SUM(AE754:AK754))&lt;0,0,P754-SUM(AE754:AK754))</f>
        <v>0</v>
      </c>
      <c r="AM754" s="77">
        <f>SUM(AO754:AT754)</f>
        <v>0</v>
      </c>
      <c r="AN754" s="83" t="s">
        <v>81</v>
      </c>
      <c r="AO754" s="72"/>
      <c r="AP754" s="72"/>
      <c r="AQ754" s="72"/>
      <c r="AR754" s="72"/>
      <c r="AS754" s="72"/>
      <c r="AT754" s="72"/>
      <c r="AU754" s="28" t="s">
        <v>194</v>
      </c>
      <c r="AV754" s="125"/>
      <c r="AW754" s="72"/>
      <c r="AX754" s="84"/>
    </row>
    <row r="755" spans="1:50" ht="15" customHeight="1">
      <c r="A755" s="125" t="s">
        <v>1707</v>
      </c>
      <c r="B755" s="130" t="s">
        <v>1499</v>
      </c>
      <c r="C755" s="69" t="s">
        <v>76</v>
      </c>
      <c r="D755" s="125" t="s">
        <v>47</v>
      </c>
      <c r="E755" s="125"/>
      <c r="F755" s="130">
        <v>4</v>
      </c>
      <c r="G755" s="133" t="s">
        <v>296</v>
      </c>
      <c r="H755" s="133" t="s">
        <v>1709</v>
      </c>
      <c r="I755" s="133" t="s">
        <v>1710</v>
      </c>
      <c r="J755" s="133"/>
      <c r="K755" s="72"/>
      <c r="L755" s="72"/>
      <c r="M755" s="72"/>
      <c r="N755" s="72"/>
      <c r="O755" s="133" t="s">
        <v>1708</v>
      </c>
      <c r="P755" s="69">
        <v>0</v>
      </c>
      <c r="Q755" s="130">
        <f>MAX(0,$V755-$P755-$S755)</f>
        <v>0</v>
      </c>
      <c r="R755" s="130"/>
      <c r="S755" s="130"/>
      <c r="T755" s="134">
        <v>4.5199999999999996</v>
      </c>
      <c r="U755" s="134">
        <f>IF(AND($Q755&gt;0,ISNUMBER($T755)),$Q755*$T755,0)</f>
        <v>0</v>
      </c>
      <c r="V755" s="68">
        <f>SUM(W755:AB755)</f>
        <v>0</v>
      </c>
      <c r="W755" s="130"/>
      <c r="X755" s="130"/>
      <c r="Y755" s="130"/>
      <c r="Z755" s="130"/>
      <c r="AA755" s="130"/>
      <c r="AB755" s="130"/>
      <c r="AC755" s="130"/>
      <c r="AD755" s="75">
        <f>SUM(AE755:AJ755)</f>
        <v>0</v>
      </c>
      <c r="AE755" s="76"/>
      <c r="AF755" s="76"/>
      <c r="AG755" s="76"/>
      <c r="AH755" s="76"/>
      <c r="AI755" s="76"/>
      <c r="AJ755" s="76"/>
      <c r="AK755" s="76"/>
      <c r="AL755" s="77">
        <f>IF((P755-SUM(AE755:AK755))&lt;0,0,P755-SUM(AE755:AK755))</f>
        <v>0</v>
      </c>
      <c r="AM755" s="77">
        <f>SUM(AO755:AT755)</f>
        <v>0</v>
      </c>
      <c r="AN755" s="72"/>
      <c r="AO755" s="72"/>
      <c r="AP755" s="72"/>
      <c r="AQ755" s="72"/>
      <c r="AR755" s="72"/>
      <c r="AS755" s="72"/>
      <c r="AT755" s="72"/>
      <c r="AU755" s="72"/>
      <c r="AV755" s="125"/>
      <c r="AW755" s="72"/>
      <c r="AX755" s="72"/>
    </row>
    <row r="756" spans="1:50" ht="15" customHeight="1">
      <c r="A756" s="125" t="s">
        <v>1714</v>
      </c>
      <c r="B756" s="130" t="s">
        <v>1499</v>
      </c>
      <c r="C756" s="69" t="s">
        <v>76</v>
      </c>
      <c r="D756" s="125" t="s">
        <v>58</v>
      </c>
      <c r="E756" s="125"/>
      <c r="F756" s="130">
        <v>4</v>
      </c>
      <c r="G756" s="133" t="s">
        <v>218</v>
      </c>
      <c r="H756" s="133" t="s">
        <v>1716</v>
      </c>
      <c r="I756" s="133"/>
      <c r="J756" s="133"/>
      <c r="K756" s="69"/>
      <c r="L756" s="69"/>
      <c r="M756" s="69"/>
      <c r="N756" s="69"/>
      <c r="O756" s="133" t="s">
        <v>1715</v>
      </c>
      <c r="P756" s="69">
        <v>0</v>
      </c>
      <c r="Q756" s="130">
        <f>MAX(0,$V756-$P756-$S756)</f>
        <v>0</v>
      </c>
      <c r="R756" s="130"/>
      <c r="S756" s="130"/>
      <c r="T756" s="134">
        <v>9.51</v>
      </c>
      <c r="U756" s="134">
        <f>IF(AND($Q756&gt;0,ISNUMBER($T756)),$Q756*$T756,0)</f>
        <v>0</v>
      </c>
      <c r="V756" s="68">
        <f>SUM(W756:AB756)</f>
        <v>0</v>
      </c>
      <c r="W756" s="130"/>
      <c r="X756" s="130"/>
      <c r="Y756" s="130"/>
      <c r="Z756" s="130"/>
      <c r="AA756" s="130"/>
      <c r="AB756" s="130"/>
      <c r="AC756" s="130"/>
      <c r="AD756" s="75">
        <f>SUM(AE756:AJ756)</f>
        <v>0</v>
      </c>
      <c r="AE756" s="76"/>
      <c r="AF756" s="76"/>
      <c r="AG756" s="76"/>
      <c r="AH756" s="76"/>
      <c r="AI756" s="76"/>
      <c r="AJ756" s="76"/>
      <c r="AK756" s="76"/>
      <c r="AL756" s="77">
        <f>IF((P756-SUM(AE756:AK756))&lt;0,0,P756-SUM(AE756:AK756))</f>
        <v>0</v>
      </c>
      <c r="AM756" s="77">
        <f>SUM(AO756:AT756)</f>
        <v>0</v>
      </c>
      <c r="AN756" s="72"/>
      <c r="AO756" s="72"/>
      <c r="AP756" s="72"/>
      <c r="AQ756" s="72"/>
      <c r="AR756" s="72"/>
      <c r="AS756" s="72"/>
      <c r="AT756" s="72"/>
      <c r="AU756" s="72"/>
      <c r="AV756" s="125"/>
      <c r="AW756" s="72"/>
      <c r="AX756" s="72"/>
    </row>
    <row r="757" spans="1:50" ht="15" customHeight="1">
      <c r="A757" s="125" t="s">
        <v>1720</v>
      </c>
      <c r="B757" s="130" t="s">
        <v>1499</v>
      </c>
      <c r="C757" s="69" t="s">
        <v>76</v>
      </c>
      <c r="D757" s="125" t="s">
        <v>123</v>
      </c>
      <c r="E757" s="125" t="s">
        <v>1721</v>
      </c>
      <c r="F757" s="130">
        <v>6</v>
      </c>
      <c r="G757" s="133" t="s">
        <v>79</v>
      </c>
      <c r="H757" s="133" t="s">
        <v>1722</v>
      </c>
      <c r="I757" s="133"/>
      <c r="J757" s="133"/>
      <c r="K757" s="72"/>
      <c r="L757" s="72"/>
      <c r="M757" s="72"/>
      <c r="N757" s="72"/>
      <c r="O757" s="133" t="s">
        <v>666</v>
      </c>
      <c r="P757" s="69">
        <v>0</v>
      </c>
      <c r="Q757" s="130">
        <f>MAX(0,$V757-$P757-$S757)</f>
        <v>0</v>
      </c>
      <c r="R757" s="130"/>
      <c r="S757" s="130"/>
      <c r="T757" s="134">
        <v>11.19</v>
      </c>
      <c r="U757" s="134">
        <f>IF(AND($Q757&gt;0,ISNUMBER($T757)),$Q757*$T757,0)</f>
        <v>0</v>
      </c>
      <c r="V757" s="68">
        <f>SUM(W757:AB757)</f>
        <v>0</v>
      </c>
      <c r="W757" s="130"/>
      <c r="X757" s="130"/>
      <c r="Y757" s="130"/>
      <c r="Z757" s="130"/>
      <c r="AA757" s="130"/>
      <c r="AB757" s="130"/>
      <c r="AC757" s="130"/>
      <c r="AD757" s="75">
        <f>SUM(AE757:AJ757)</f>
        <v>0</v>
      </c>
      <c r="AE757" s="76"/>
      <c r="AF757" s="76"/>
      <c r="AG757" s="76"/>
      <c r="AH757" s="76"/>
      <c r="AI757" s="76"/>
      <c r="AJ757" s="76"/>
      <c r="AK757" s="76"/>
      <c r="AL757" s="77">
        <f>IF((P757-SUM(AE757:AK757))&lt;0,0,P757-SUM(AE757:AK757))</f>
        <v>0</v>
      </c>
      <c r="AM757" s="77">
        <f>SUM(AO757:AT757)</f>
        <v>0</v>
      </c>
      <c r="AN757" s="72"/>
      <c r="AO757" s="72"/>
      <c r="AP757" s="72"/>
      <c r="AQ757" s="72"/>
      <c r="AR757" s="72"/>
      <c r="AS757" s="72"/>
      <c r="AT757" s="72"/>
      <c r="AU757" s="72"/>
      <c r="AV757" s="125"/>
      <c r="AW757" s="72"/>
      <c r="AX757" s="72"/>
    </row>
    <row r="758" spans="1:50" ht="15" customHeight="1">
      <c r="A758" s="128" t="s">
        <v>216</v>
      </c>
      <c r="B758" s="130" t="s">
        <v>46</v>
      </c>
      <c r="C758" s="69" t="s">
        <v>76</v>
      </c>
      <c r="D758" s="125" t="s">
        <v>47</v>
      </c>
      <c r="E758" s="125"/>
      <c r="F758" s="130">
        <v>2</v>
      </c>
      <c r="G758" s="133" t="s">
        <v>218</v>
      </c>
      <c r="H758" s="133" t="s">
        <v>219</v>
      </c>
      <c r="I758" s="133"/>
      <c r="J758" s="133"/>
      <c r="K758" s="69"/>
      <c r="L758" s="69"/>
      <c r="M758" s="69"/>
      <c r="N758" s="69"/>
      <c r="O758" s="133" t="s">
        <v>217</v>
      </c>
      <c r="P758" s="69">
        <v>0</v>
      </c>
      <c r="Q758" s="130">
        <f>MAX(0,$V758-$P758-$S758)</f>
        <v>2</v>
      </c>
      <c r="R758" s="130"/>
      <c r="S758" s="130"/>
      <c r="T758" s="134">
        <v>0.28999999999999998</v>
      </c>
      <c r="U758" s="134">
        <f>IF(AND($Q758&gt;0,ISNUMBER($T758)),$Q758*$T758,0)</f>
        <v>0.57999999999999996</v>
      </c>
      <c r="V758" s="68">
        <f>SUM(W758:AB758)</f>
        <v>2</v>
      </c>
      <c r="W758" s="130"/>
      <c r="X758" s="130"/>
      <c r="Y758" s="136">
        <v>1</v>
      </c>
      <c r="Z758" s="130"/>
      <c r="AA758" s="136">
        <v>1</v>
      </c>
      <c r="AB758" s="130"/>
      <c r="AC758" s="130"/>
      <c r="AD758" s="75">
        <f>SUM(AE758:AJ758)</f>
        <v>0</v>
      </c>
      <c r="AE758" s="76"/>
      <c r="AF758" s="76"/>
      <c r="AG758" s="76"/>
      <c r="AH758" s="76"/>
      <c r="AI758" s="76"/>
      <c r="AJ758" s="76"/>
      <c r="AK758" s="76"/>
      <c r="AL758" s="77">
        <f>IF((P758-SUM(AE758:AK758))&lt;0,0,P758-SUM(AE758:AK758))</f>
        <v>0</v>
      </c>
      <c r="AM758" s="77">
        <f>SUM(AO758:AT758)</f>
        <v>0</v>
      </c>
      <c r="AN758" s="83" t="s">
        <v>81</v>
      </c>
      <c r="AO758" s="72"/>
      <c r="AP758" s="72"/>
      <c r="AQ758" s="72"/>
      <c r="AR758" s="72"/>
      <c r="AS758" s="72"/>
      <c r="AT758" s="72"/>
      <c r="AU758" s="28" t="s">
        <v>220</v>
      </c>
      <c r="AV758" s="125"/>
      <c r="AW758" s="72"/>
      <c r="AX758" s="84"/>
    </row>
    <row r="759" spans="1:50" ht="15" customHeight="1">
      <c r="A759" s="125" t="s">
        <v>526</v>
      </c>
      <c r="B759" s="130" t="s">
        <v>345</v>
      </c>
      <c r="C759" s="69" t="s">
        <v>76</v>
      </c>
      <c r="D759" s="125" t="s">
        <v>175</v>
      </c>
      <c r="E759" s="125"/>
      <c r="F759" s="130">
        <v>4</v>
      </c>
      <c r="G759" s="133" t="s">
        <v>79</v>
      </c>
      <c r="H759" s="133" t="s">
        <v>527</v>
      </c>
      <c r="I759" s="133"/>
      <c r="J759" s="133"/>
      <c r="K759" s="72"/>
      <c r="L759" s="72"/>
      <c r="M759" s="72"/>
      <c r="N759" s="72"/>
      <c r="O759" s="133" t="s">
        <v>346</v>
      </c>
      <c r="P759" s="69">
        <v>0</v>
      </c>
      <c r="Q759" s="130">
        <f>MAX(0,$V759-$P759-$S759)</f>
        <v>0</v>
      </c>
      <c r="R759" s="130"/>
      <c r="S759" s="130"/>
      <c r="T759" s="134">
        <v>6.92</v>
      </c>
      <c r="U759" s="134">
        <f>IF(AND($Q759&gt;0,ISNUMBER($T759)),$Q759*$T759,0)</f>
        <v>0</v>
      </c>
      <c r="V759" s="68">
        <f>SUM(W759:AB759)</f>
        <v>0</v>
      </c>
      <c r="W759" s="130"/>
      <c r="X759" s="130"/>
      <c r="Y759" s="130"/>
      <c r="Z759" s="130"/>
      <c r="AA759" s="130"/>
      <c r="AB759" s="130"/>
      <c r="AC759" s="130"/>
      <c r="AD759" s="75">
        <f>SUM(AE759:AJ759)</f>
        <v>0</v>
      </c>
      <c r="AE759" s="76"/>
      <c r="AF759" s="76"/>
      <c r="AG759" s="76"/>
      <c r="AH759" s="76"/>
      <c r="AI759" s="76"/>
      <c r="AJ759" s="76"/>
      <c r="AK759" s="76"/>
      <c r="AL759" s="77">
        <f>IF((P759-SUM(AE759:AK759))&lt;0,0,P759-SUM(AE759:AK759))</f>
        <v>0</v>
      </c>
      <c r="AM759" s="77">
        <f>SUM(AO759:AT759)</f>
        <v>0</v>
      </c>
      <c r="AN759" s="72"/>
      <c r="AO759" s="72"/>
      <c r="AP759" s="72"/>
      <c r="AQ759" s="72"/>
      <c r="AR759" s="72"/>
      <c r="AS759" s="72"/>
      <c r="AT759" s="72"/>
      <c r="AU759" s="72"/>
      <c r="AV759" s="125"/>
      <c r="AW759" s="72"/>
      <c r="AX759" s="72"/>
    </row>
    <row r="760" spans="1:50" ht="15" customHeight="1">
      <c r="A760" s="128" t="s">
        <v>1734</v>
      </c>
      <c r="B760" s="130" t="s">
        <v>1499</v>
      </c>
      <c r="C760" s="69" t="s">
        <v>76</v>
      </c>
      <c r="D760" s="125" t="s">
        <v>123</v>
      </c>
      <c r="E760" s="125" t="s">
        <v>1531</v>
      </c>
      <c r="F760" s="77">
        <v>3</v>
      </c>
      <c r="G760" s="112" t="s">
        <v>79</v>
      </c>
      <c r="H760" s="112" t="s">
        <v>1735</v>
      </c>
      <c r="I760" s="112"/>
      <c r="J760" s="112"/>
      <c r="K760" s="72"/>
      <c r="L760" s="72"/>
      <c r="M760" s="72"/>
      <c r="N760" s="72"/>
      <c r="O760" s="112" t="s">
        <v>97</v>
      </c>
      <c r="P760" s="69">
        <v>0</v>
      </c>
      <c r="Q760" s="130">
        <f>MAX(0,$V760-$P760-$S760)</f>
        <v>1</v>
      </c>
      <c r="R760" s="77"/>
      <c r="S760" s="77"/>
      <c r="T760" s="113">
        <v>3.9</v>
      </c>
      <c r="U760" s="134">
        <f>IF(AND($Q760&gt;0,ISNUMBER($T760)),$Q760*$T760,0)</f>
        <v>3.9</v>
      </c>
      <c r="V760" s="68">
        <f>SUM(W760:AB760)</f>
        <v>1</v>
      </c>
      <c r="W760" s="77"/>
      <c r="X760" s="77"/>
      <c r="Y760" s="77"/>
      <c r="Z760" s="77"/>
      <c r="AA760" s="77"/>
      <c r="AB760" s="118">
        <v>1</v>
      </c>
      <c r="AC760" s="130"/>
      <c r="AD760" s="75">
        <f>SUM(AE760:AJ760)</f>
        <v>0</v>
      </c>
      <c r="AE760" s="76"/>
      <c r="AF760" s="76"/>
      <c r="AG760" s="76"/>
      <c r="AH760" s="76"/>
      <c r="AI760" s="76"/>
      <c r="AJ760" s="76"/>
      <c r="AK760" s="76"/>
      <c r="AL760" s="77">
        <f>IF((P760-SUM(AE760:AK760))&lt;0,0,P760-SUM(AE760:AK760))</f>
        <v>0</v>
      </c>
      <c r="AM760" s="77">
        <f>SUM(AO760:AT760)</f>
        <v>0</v>
      </c>
      <c r="AN760" s="83" t="s">
        <v>81</v>
      </c>
      <c r="AO760" s="72"/>
      <c r="AP760" s="72"/>
      <c r="AQ760" s="72"/>
      <c r="AR760" s="72"/>
      <c r="AS760" s="72"/>
      <c r="AT760" s="72"/>
      <c r="AU760" s="28" t="s">
        <v>1736</v>
      </c>
      <c r="AV760" s="31"/>
      <c r="AW760" s="72"/>
      <c r="AX760" s="84"/>
    </row>
    <row r="761" spans="1:50" ht="15" customHeight="1">
      <c r="A761" s="125" t="s">
        <v>807</v>
      </c>
      <c r="B761" s="130" t="s">
        <v>636</v>
      </c>
      <c r="C761" s="69" t="s">
        <v>76</v>
      </c>
      <c r="D761" s="125" t="s">
        <v>123</v>
      </c>
      <c r="E761" s="125" t="s">
        <v>808</v>
      </c>
      <c r="F761" s="130">
        <v>3</v>
      </c>
      <c r="G761" s="133" t="s">
        <v>79</v>
      </c>
      <c r="H761" s="133" t="s">
        <v>810</v>
      </c>
      <c r="I761" s="133"/>
      <c r="J761" s="133"/>
      <c r="K761" s="72"/>
      <c r="L761" s="72"/>
      <c r="M761" s="72"/>
      <c r="N761" s="72"/>
      <c r="O761" s="133" t="s">
        <v>809</v>
      </c>
      <c r="P761" s="69">
        <v>0</v>
      </c>
      <c r="Q761" s="130">
        <f>MAX(0,$V761-$P761-$S761)</f>
        <v>0</v>
      </c>
      <c r="R761" s="130"/>
      <c r="S761" s="130"/>
      <c r="T761" s="134">
        <v>5.32</v>
      </c>
      <c r="U761" s="134">
        <f>IF(AND($Q761&gt;0,ISNUMBER($T761)),$Q761*$T761,0)</f>
        <v>0</v>
      </c>
      <c r="V761" s="68">
        <f>SUM(W761:AB761)</f>
        <v>0</v>
      </c>
      <c r="W761" s="130"/>
      <c r="X761" s="130"/>
      <c r="Y761" s="130"/>
      <c r="Z761" s="130"/>
      <c r="AA761" s="130"/>
      <c r="AB761" s="130"/>
      <c r="AC761" s="130"/>
      <c r="AD761" s="75">
        <f>SUM(AE761:AJ761)</f>
        <v>0</v>
      </c>
      <c r="AE761" s="76"/>
      <c r="AF761" s="76"/>
      <c r="AG761" s="76"/>
      <c r="AH761" s="76"/>
      <c r="AI761" s="76"/>
      <c r="AJ761" s="76"/>
      <c r="AK761" s="76"/>
      <c r="AL761" s="77">
        <f>IF((P761-SUM(AE761:AK761))&lt;0,0,P761-SUM(AE761:AK761))</f>
        <v>0</v>
      </c>
      <c r="AM761" s="77">
        <f>SUM(AO761:AT761)</f>
        <v>0</v>
      </c>
      <c r="AN761" s="72"/>
      <c r="AO761" s="72"/>
      <c r="AP761" s="72"/>
      <c r="AQ761" s="72"/>
      <c r="AR761" s="72"/>
      <c r="AS761" s="72"/>
      <c r="AT761" s="72"/>
      <c r="AU761" s="72"/>
      <c r="AV761" s="125"/>
      <c r="AW761" s="72"/>
      <c r="AX761" s="72"/>
    </row>
    <row r="762" spans="1:50" ht="15" customHeight="1">
      <c r="A762" s="125" t="s">
        <v>1737</v>
      </c>
      <c r="B762" s="130" t="s">
        <v>1499</v>
      </c>
      <c r="C762" s="69" t="s">
        <v>76</v>
      </c>
      <c r="D762" s="125" t="s">
        <v>64</v>
      </c>
      <c r="E762" s="125" t="s">
        <v>722</v>
      </c>
      <c r="F762" s="130">
        <v>3</v>
      </c>
      <c r="G762" s="133" t="s">
        <v>79</v>
      </c>
      <c r="H762" s="133" t="s">
        <v>1739</v>
      </c>
      <c r="I762" s="133"/>
      <c r="J762" s="133"/>
      <c r="K762" s="72"/>
      <c r="L762" s="72"/>
      <c r="M762" s="72"/>
      <c r="N762" s="72"/>
      <c r="O762" s="133" t="s">
        <v>1738</v>
      </c>
      <c r="P762" s="69">
        <v>0</v>
      </c>
      <c r="Q762" s="130">
        <f>MAX(0,$V762-$P762-$S762)</f>
        <v>0</v>
      </c>
      <c r="R762" s="130"/>
      <c r="S762" s="130"/>
      <c r="T762" s="134">
        <v>7.22</v>
      </c>
      <c r="U762" s="134">
        <f>IF(AND($Q762&gt;0,ISNUMBER($T762)),$Q762*$T762,0)</f>
        <v>0</v>
      </c>
      <c r="V762" s="68">
        <f>SUM(W762:AB762)</f>
        <v>0</v>
      </c>
      <c r="W762" s="130"/>
      <c r="X762" s="130"/>
      <c r="Y762" s="130"/>
      <c r="Z762" s="130"/>
      <c r="AA762" s="130"/>
      <c r="AB762" s="130"/>
      <c r="AC762" s="130"/>
      <c r="AD762" s="75">
        <f>SUM(AE762:AJ762)</f>
        <v>0</v>
      </c>
      <c r="AE762" s="76"/>
      <c r="AF762" s="76"/>
      <c r="AG762" s="76"/>
      <c r="AH762" s="76"/>
      <c r="AI762" s="76"/>
      <c r="AJ762" s="76"/>
      <c r="AK762" s="76"/>
      <c r="AL762" s="77">
        <f>IF((P762-SUM(AE762:AK762))&lt;0,0,P762-SUM(AE762:AK762))</f>
        <v>0</v>
      </c>
      <c r="AM762" s="77">
        <f>SUM(AO762:AT762)</f>
        <v>0</v>
      </c>
      <c r="AN762" s="129"/>
      <c r="AO762" s="72"/>
      <c r="AP762" s="72"/>
      <c r="AQ762" s="129"/>
      <c r="AR762" s="72"/>
      <c r="AS762" s="72"/>
      <c r="AT762" s="72"/>
      <c r="AU762" s="129"/>
      <c r="AV762" s="125"/>
      <c r="AW762" s="72"/>
      <c r="AX762" s="72"/>
    </row>
    <row r="763" spans="1:50" ht="15" customHeight="1">
      <c r="A763" s="128" t="s">
        <v>1922</v>
      </c>
      <c r="B763" s="130" t="s">
        <v>1831</v>
      </c>
      <c r="C763" s="69" t="s">
        <v>76</v>
      </c>
      <c r="D763" s="125" t="s">
        <v>72</v>
      </c>
      <c r="E763" s="125"/>
      <c r="F763" s="77">
        <v>2</v>
      </c>
      <c r="G763" s="112" t="s">
        <v>170</v>
      </c>
      <c r="H763" s="112" t="s">
        <v>1923</v>
      </c>
      <c r="I763" s="112"/>
      <c r="J763" s="112"/>
      <c r="K763" s="69"/>
      <c r="L763" s="69"/>
      <c r="M763" s="69"/>
      <c r="N763" s="69"/>
      <c r="O763" s="112" t="s">
        <v>180</v>
      </c>
      <c r="P763" s="69">
        <v>0</v>
      </c>
      <c r="Q763" s="130">
        <f>MAX(0,$V763-$P763-$S763)</f>
        <v>1</v>
      </c>
      <c r="R763" s="77"/>
      <c r="S763" s="77"/>
      <c r="T763" s="113">
        <v>0.53</v>
      </c>
      <c r="U763" s="134">
        <f>IF(AND($Q763&gt;0,ISNUMBER($T763)),$Q763*$T763,0)</f>
        <v>0.53</v>
      </c>
      <c r="V763" s="68">
        <f>SUM(W763:AB763)</f>
        <v>1</v>
      </c>
      <c r="W763" s="77"/>
      <c r="X763" s="77"/>
      <c r="Y763" s="118">
        <v>1</v>
      </c>
      <c r="Z763" s="77"/>
      <c r="AA763" s="77"/>
      <c r="AB763" s="77"/>
      <c r="AC763" s="130"/>
      <c r="AD763" s="75">
        <f>SUM(AE763:AJ763)</f>
        <v>0</v>
      </c>
      <c r="AE763" s="76"/>
      <c r="AF763" s="76"/>
      <c r="AG763" s="76"/>
      <c r="AH763" s="76"/>
      <c r="AI763" s="76"/>
      <c r="AJ763" s="76"/>
      <c r="AK763" s="76"/>
      <c r="AL763" s="77">
        <f>IF((P763-SUM(AE763:AK763))&lt;0,0,P763-SUM(AE763:AK763))</f>
        <v>0</v>
      </c>
      <c r="AM763" s="77">
        <f>SUM(AO763:AT763)</f>
        <v>0</v>
      </c>
      <c r="AN763" s="83" t="s">
        <v>81</v>
      </c>
      <c r="AO763" s="72"/>
      <c r="AP763" s="72"/>
      <c r="AQ763" s="72"/>
      <c r="AR763" s="72"/>
      <c r="AS763" s="72"/>
      <c r="AT763" s="72"/>
      <c r="AU763" s="28" t="s">
        <v>1924</v>
      </c>
      <c r="AV763" s="31"/>
      <c r="AW763" s="72"/>
      <c r="AX763" s="84"/>
    </row>
    <row r="764" spans="1:50" ht="15" customHeight="1">
      <c r="A764" s="128" t="s">
        <v>2212</v>
      </c>
      <c r="B764" s="130" t="s">
        <v>1971</v>
      </c>
      <c r="C764" s="69" t="s">
        <v>76</v>
      </c>
      <c r="D764" s="125" t="s">
        <v>72</v>
      </c>
      <c r="E764" s="125"/>
      <c r="F764" s="130">
        <v>4</v>
      </c>
      <c r="G764" s="133" t="s">
        <v>477</v>
      </c>
      <c r="H764" s="133" t="s">
        <v>2213</v>
      </c>
      <c r="I764" s="133"/>
      <c r="J764" s="133"/>
      <c r="K764" s="69"/>
      <c r="L764" s="69"/>
      <c r="M764" s="69"/>
      <c r="N764" s="69"/>
      <c r="O764" s="133" t="s">
        <v>2067</v>
      </c>
      <c r="P764" s="69">
        <v>0</v>
      </c>
      <c r="Q764" s="130">
        <f>MAX(0,$V764-$P764-$S764)</f>
        <v>1</v>
      </c>
      <c r="R764" s="130"/>
      <c r="S764" s="130"/>
      <c r="T764" s="134">
        <v>0.55000000000000004</v>
      </c>
      <c r="U764" s="134">
        <f>IF(AND($Q764&gt;0,ISNUMBER($T764)),$Q764*$T764,0)</f>
        <v>0.55000000000000004</v>
      </c>
      <c r="V764" s="68">
        <f>SUM(W764:AB764)</f>
        <v>1</v>
      </c>
      <c r="W764" s="136">
        <v>1</v>
      </c>
      <c r="X764" s="130"/>
      <c r="Y764" s="130"/>
      <c r="Z764" s="130"/>
      <c r="AA764" s="130"/>
      <c r="AB764" s="130"/>
      <c r="AC764" s="130"/>
      <c r="AD764" s="75">
        <f>SUM(AE764:AJ764)</f>
        <v>0</v>
      </c>
      <c r="AE764" s="76"/>
      <c r="AF764" s="76"/>
      <c r="AG764" s="76"/>
      <c r="AH764" s="76"/>
      <c r="AI764" s="76"/>
      <c r="AJ764" s="76"/>
      <c r="AK764" s="76"/>
      <c r="AL764" s="77">
        <f>IF((P764-SUM(AE764:AK764))&lt;0,0,P764-SUM(AE764:AK764))</f>
        <v>0</v>
      </c>
      <c r="AM764" s="77">
        <f>SUM(AO764:AT764)</f>
        <v>0</v>
      </c>
      <c r="AN764" s="83" t="s">
        <v>81</v>
      </c>
      <c r="AO764" s="72"/>
      <c r="AP764" s="72"/>
      <c r="AQ764" s="72"/>
      <c r="AR764" s="72"/>
      <c r="AS764" s="72"/>
      <c r="AT764" s="72"/>
      <c r="AU764" s="28" t="s">
        <v>2214</v>
      </c>
      <c r="AV764" s="125"/>
      <c r="AW764" s="72"/>
      <c r="AX764" s="84"/>
    </row>
    <row r="765" spans="1:50" ht="15" customHeight="1">
      <c r="A765" s="125" t="s">
        <v>1925</v>
      </c>
      <c r="B765" s="130" t="s">
        <v>1831</v>
      </c>
      <c r="C765" s="69" t="s">
        <v>76</v>
      </c>
      <c r="D765" s="125" t="s">
        <v>58</v>
      </c>
      <c r="E765" s="125"/>
      <c r="F765" s="130">
        <v>3</v>
      </c>
      <c r="G765" s="133" t="s">
        <v>79</v>
      </c>
      <c r="H765" s="133" t="s">
        <v>1927</v>
      </c>
      <c r="I765" s="133"/>
      <c r="J765" s="133"/>
      <c r="K765" s="72"/>
      <c r="L765" s="72"/>
      <c r="M765" s="72"/>
      <c r="N765" s="72"/>
      <c r="O765" s="133" t="s">
        <v>1926</v>
      </c>
      <c r="P765" s="69">
        <v>0</v>
      </c>
      <c r="Q765" s="130">
        <f>MAX(0,$V765-$P765-$S765)</f>
        <v>0</v>
      </c>
      <c r="R765" s="130"/>
      <c r="S765" s="130"/>
      <c r="T765" s="134">
        <v>70.58</v>
      </c>
      <c r="U765" s="134">
        <f>IF(AND($Q765&gt;0,ISNUMBER($T765)),$Q765*$T765,0)</f>
        <v>0</v>
      </c>
      <c r="V765" s="68">
        <f>SUM(W765:AB765)</f>
        <v>0</v>
      </c>
      <c r="W765" s="130"/>
      <c r="X765" s="130"/>
      <c r="Y765" s="130"/>
      <c r="Z765" s="130"/>
      <c r="AA765" s="130"/>
      <c r="AB765" s="130"/>
      <c r="AC765" s="130"/>
      <c r="AD765" s="75">
        <f>SUM(AE765:AJ765)</f>
        <v>0</v>
      </c>
      <c r="AE765" s="76"/>
      <c r="AF765" s="76"/>
      <c r="AG765" s="76"/>
      <c r="AH765" s="76"/>
      <c r="AI765" s="76"/>
      <c r="AJ765" s="76"/>
      <c r="AK765" s="76"/>
      <c r="AL765" s="77">
        <f>IF((P765-SUM(AE765:AK765))&lt;0,0,P765-SUM(AE765:AK765))</f>
        <v>0</v>
      </c>
      <c r="AM765" s="77">
        <f>SUM(AO765:AT765)</f>
        <v>0</v>
      </c>
      <c r="AN765" s="72"/>
      <c r="AO765" s="72"/>
      <c r="AP765" s="72"/>
      <c r="AQ765" s="72"/>
      <c r="AR765" s="72"/>
      <c r="AS765" s="72"/>
      <c r="AT765" s="72"/>
      <c r="AU765" s="72"/>
      <c r="AV765" s="125"/>
      <c r="AW765" s="72"/>
      <c r="AX765" s="72"/>
    </row>
    <row r="766" spans="1:50" ht="15" customHeight="1">
      <c r="A766" s="125" t="s">
        <v>2239</v>
      </c>
      <c r="B766" s="130" t="s">
        <v>1971</v>
      </c>
      <c r="C766" s="69" t="s">
        <v>76</v>
      </c>
      <c r="D766" s="125" t="s">
        <v>58</v>
      </c>
      <c r="E766" s="125"/>
      <c r="F766" s="130">
        <v>2</v>
      </c>
      <c r="G766" s="133" t="s">
        <v>264</v>
      </c>
      <c r="H766" s="133" t="s">
        <v>2241</v>
      </c>
      <c r="I766" s="133"/>
      <c r="J766" s="133"/>
      <c r="K766" s="69"/>
      <c r="L766" s="69"/>
      <c r="M766" s="69"/>
      <c r="N766" s="69"/>
      <c r="O766" s="133" t="s">
        <v>2240</v>
      </c>
      <c r="P766" s="69">
        <v>0</v>
      </c>
      <c r="Q766" s="130">
        <f>MAX(0,$V766-$P766-$S766)</f>
        <v>0</v>
      </c>
      <c r="R766" s="130"/>
      <c r="S766" s="130"/>
      <c r="T766" s="134">
        <v>1.05</v>
      </c>
      <c r="U766" s="134">
        <f>IF(AND($Q766&gt;0,ISNUMBER($T766)),$Q766*$T766,0)</f>
        <v>0</v>
      </c>
      <c r="V766" s="68">
        <f>SUM(W766:AB766)</f>
        <v>0</v>
      </c>
      <c r="W766" s="130"/>
      <c r="X766" s="130"/>
      <c r="Y766" s="130"/>
      <c r="Z766" s="130"/>
      <c r="AA766" s="130"/>
      <c r="AB766" s="130"/>
      <c r="AC766" s="130"/>
      <c r="AD766" s="75">
        <f>SUM(AE766:AJ766)</f>
        <v>0</v>
      </c>
      <c r="AE766" s="76"/>
      <c r="AF766" s="76"/>
      <c r="AG766" s="76"/>
      <c r="AH766" s="76"/>
      <c r="AI766" s="76"/>
      <c r="AJ766" s="76"/>
      <c r="AK766" s="76"/>
      <c r="AL766" s="77">
        <f>IF((P766-SUM(AE766:AK766))&lt;0,0,P766-SUM(AE766:AK766))</f>
        <v>0</v>
      </c>
      <c r="AM766" s="77">
        <f>SUM(AO766:AT766)</f>
        <v>0</v>
      </c>
      <c r="AN766" s="72"/>
      <c r="AO766" s="72"/>
      <c r="AP766" s="72"/>
      <c r="AQ766" s="72"/>
      <c r="AR766" s="72"/>
      <c r="AS766" s="72"/>
      <c r="AT766" s="72"/>
      <c r="AU766" s="72"/>
      <c r="AV766" s="125"/>
      <c r="AW766" s="72"/>
      <c r="AX766" s="72"/>
    </row>
    <row r="767" spans="1:50" ht="15" customHeight="1">
      <c r="A767" s="125" t="s">
        <v>547</v>
      </c>
      <c r="B767" s="130" t="s">
        <v>345</v>
      </c>
      <c r="C767" s="69" t="s">
        <v>76</v>
      </c>
      <c r="D767" s="125" t="s">
        <v>175</v>
      </c>
      <c r="E767" s="125"/>
      <c r="F767" s="130">
        <v>2</v>
      </c>
      <c r="G767" s="133" t="s">
        <v>218</v>
      </c>
      <c r="H767" s="133" t="s">
        <v>549</v>
      </c>
      <c r="I767" s="133"/>
      <c r="J767" s="133"/>
      <c r="K767" s="69"/>
      <c r="L767" s="69"/>
      <c r="M767" s="69"/>
      <c r="N767" s="69"/>
      <c r="O767" s="133" t="s">
        <v>548</v>
      </c>
      <c r="P767" s="69">
        <v>0</v>
      </c>
      <c r="Q767" s="130">
        <f>MAX(0,$V767-$P767-$S767)</f>
        <v>0</v>
      </c>
      <c r="R767" s="130"/>
      <c r="S767" s="130"/>
      <c r="T767" s="134">
        <v>14.81</v>
      </c>
      <c r="U767" s="134">
        <f>IF(AND($Q767&gt;0,ISNUMBER($T767)),$Q767*$T767,0)</f>
        <v>0</v>
      </c>
      <c r="V767" s="68">
        <f>SUM(W767:AB767)</f>
        <v>0</v>
      </c>
      <c r="W767" s="130"/>
      <c r="X767" s="130"/>
      <c r="Y767" s="130"/>
      <c r="Z767" s="130"/>
      <c r="AA767" s="130"/>
      <c r="AB767" s="130"/>
      <c r="AC767" s="130"/>
      <c r="AD767" s="75">
        <f>SUM(AE767:AJ767)</f>
        <v>0</v>
      </c>
      <c r="AE767" s="76"/>
      <c r="AF767" s="76"/>
      <c r="AG767" s="76"/>
      <c r="AH767" s="76"/>
      <c r="AI767" s="76"/>
      <c r="AJ767" s="76"/>
      <c r="AK767" s="76"/>
      <c r="AL767" s="77">
        <f>IF((P767-SUM(AE767:AK767))&lt;0,0,P767-SUM(AE767:AK767))</f>
        <v>0</v>
      </c>
      <c r="AM767" s="77">
        <f>SUM(AO767:AT767)</f>
        <v>0</v>
      </c>
      <c r="AN767" s="72"/>
      <c r="AO767" s="72"/>
      <c r="AP767" s="72"/>
      <c r="AQ767" s="72"/>
      <c r="AR767" s="72"/>
      <c r="AS767" s="72"/>
      <c r="AT767" s="72"/>
      <c r="AU767" s="72"/>
      <c r="AV767" s="125"/>
      <c r="AW767" s="72"/>
      <c r="AX767" s="72"/>
    </row>
    <row r="768" spans="1:50" ht="15" customHeight="1">
      <c r="A768" s="125" t="s">
        <v>1769</v>
      </c>
      <c r="B768" s="130" t="s">
        <v>1499</v>
      </c>
      <c r="C768" s="69" t="s">
        <v>76</v>
      </c>
      <c r="D768" s="125" t="s">
        <v>64</v>
      </c>
      <c r="E768" s="125" t="s">
        <v>1531</v>
      </c>
      <c r="F768" s="130">
        <v>2</v>
      </c>
      <c r="G768" s="133" t="s">
        <v>218</v>
      </c>
      <c r="H768" s="133" t="s">
        <v>1770</v>
      </c>
      <c r="I768" s="133"/>
      <c r="J768" s="133"/>
      <c r="K768" s="69"/>
      <c r="L768" s="69"/>
      <c r="M768" s="69"/>
      <c r="N768" s="69"/>
      <c r="O768" s="133" t="s">
        <v>69</v>
      </c>
      <c r="P768" s="69">
        <v>0</v>
      </c>
      <c r="Q768" s="130">
        <f>MAX(0,$V768-$P768-$S768)</f>
        <v>0</v>
      </c>
      <c r="R768" s="130"/>
      <c r="S768" s="130"/>
      <c r="T768" s="134">
        <v>4.87</v>
      </c>
      <c r="U768" s="134">
        <f>IF(AND($Q768&gt;0,ISNUMBER($T768)),$Q768*$T768,0)</f>
        <v>0</v>
      </c>
      <c r="V768" s="68">
        <f>SUM(W768:AB768)</f>
        <v>0</v>
      </c>
      <c r="W768" s="130"/>
      <c r="X768" s="130"/>
      <c r="Y768" s="130"/>
      <c r="Z768" s="130"/>
      <c r="AA768" s="130"/>
      <c r="AB768" s="130"/>
      <c r="AC768" s="130"/>
      <c r="AD768" s="75">
        <f>SUM(AE768:AJ768)</f>
        <v>0</v>
      </c>
      <c r="AE768" s="76"/>
      <c r="AF768" s="76"/>
      <c r="AG768" s="76"/>
      <c r="AH768" s="76"/>
      <c r="AI768" s="76"/>
      <c r="AJ768" s="76"/>
      <c r="AK768" s="76"/>
      <c r="AL768" s="77">
        <f>IF((P768-SUM(AE768:AK768))&lt;0,0,P768-SUM(AE768:AK768))</f>
        <v>0</v>
      </c>
      <c r="AM768" s="77">
        <f>SUM(AO768:AT768)</f>
        <v>0</v>
      </c>
      <c r="AN768" s="129"/>
      <c r="AO768" s="72"/>
      <c r="AP768" s="72"/>
      <c r="AQ768" s="72"/>
      <c r="AR768" s="72"/>
      <c r="AS768" s="129"/>
      <c r="AT768" s="72"/>
      <c r="AU768" s="129"/>
      <c r="AV768" s="125"/>
      <c r="AW768" s="72"/>
      <c r="AX768" s="72"/>
    </row>
    <row r="769" spans="1:50" ht="15" customHeight="1">
      <c r="A769" s="128" t="s">
        <v>1783</v>
      </c>
      <c r="B769" s="130" t="s">
        <v>1499</v>
      </c>
      <c r="C769" s="69" t="s">
        <v>76</v>
      </c>
      <c r="D769" s="125" t="s">
        <v>64</v>
      </c>
      <c r="E769" s="125" t="s">
        <v>85</v>
      </c>
      <c r="F769" s="130">
        <v>5</v>
      </c>
      <c r="G769" s="133" t="s">
        <v>285</v>
      </c>
      <c r="H769" s="133" t="s">
        <v>1784</v>
      </c>
      <c r="I769" s="133" t="s">
        <v>1785</v>
      </c>
      <c r="J769" s="133"/>
      <c r="K769" s="72"/>
      <c r="L769" s="72"/>
      <c r="M769" s="72"/>
      <c r="N769" s="72"/>
      <c r="O769" s="133" t="s">
        <v>888</v>
      </c>
      <c r="P769" s="69">
        <v>0</v>
      </c>
      <c r="Q769" s="130">
        <f>MAX(0,$V769-$P769-$S769)</f>
        <v>1</v>
      </c>
      <c r="R769" s="130"/>
      <c r="S769" s="130"/>
      <c r="T769" s="134">
        <v>0.93</v>
      </c>
      <c r="U769" s="134">
        <f>IF(AND($Q769&gt;0,ISNUMBER($T769)),$Q769*$T769,0)</f>
        <v>0.93</v>
      </c>
      <c r="V769" s="68">
        <f>SUM(W769:AB769)</f>
        <v>1</v>
      </c>
      <c r="W769" s="130"/>
      <c r="X769" s="130"/>
      <c r="Y769" s="130"/>
      <c r="Z769" s="130"/>
      <c r="AA769" s="130"/>
      <c r="AB769" s="136">
        <v>1</v>
      </c>
      <c r="AC769" s="130"/>
      <c r="AD769" s="75">
        <f>SUM(AE769:AJ769)</f>
        <v>0</v>
      </c>
      <c r="AE769" s="76"/>
      <c r="AF769" s="76"/>
      <c r="AG769" s="76"/>
      <c r="AH769" s="76"/>
      <c r="AI769" s="76"/>
      <c r="AJ769" s="76"/>
      <c r="AK769" s="76"/>
      <c r="AL769" s="77">
        <f>IF((P769-SUM(AE769:AK769))&lt;0,0,P769-SUM(AE769:AK769))</f>
        <v>0</v>
      </c>
      <c r="AM769" s="77">
        <f>SUM(AO769:AT769)</f>
        <v>0</v>
      </c>
      <c r="AN769" s="83" t="s">
        <v>81</v>
      </c>
      <c r="AO769" s="72"/>
      <c r="AP769" s="72"/>
      <c r="AQ769" s="72"/>
      <c r="AR769" s="72"/>
      <c r="AS769" s="72"/>
      <c r="AT769" s="72"/>
      <c r="AU769" s="28" t="s">
        <v>1786</v>
      </c>
      <c r="AV769" s="125"/>
      <c r="AW769" s="72"/>
      <c r="AX769" s="84"/>
    </row>
    <row r="770" spans="1:50" ht="15" customHeight="1">
      <c r="A770" s="125" t="s">
        <v>2266</v>
      </c>
      <c r="B770" s="130" t="s">
        <v>1971</v>
      </c>
      <c r="C770" s="69" t="s">
        <v>76</v>
      </c>
      <c r="D770" s="125" t="s">
        <v>2267</v>
      </c>
      <c r="E770" s="125" t="s">
        <v>2268</v>
      </c>
      <c r="F770" s="130">
        <v>1</v>
      </c>
      <c r="G770" s="133" t="s">
        <v>499</v>
      </c>
      <c r="H770" s="133" t="s">
        <v>2269</v>
      </c>
      <c r="I770" s="133" t="s">
        <v>2270</v>
      </c>
      <c r="J770" s="133" t="s">
        <v>2271</v>
      </c>
      <c r="K770" s="72"/>
      <c r="L770" s="72"/>
      <c r="M770" s="72"/>
      <c r="N770" s="72"/>
      <c r="O770" s="133" t="s">
        <v>180</v>
      </c>
      <c r="P770" s="69">
        <v>0</v>
      </c>
      <c r="Q770" s="130">
        <f>MAX(0,$V770-$P770-$S770)</f>
        <v>0</v>
      </c>
      <c r="R770" s="130"/>
      <c r="S770" s="130"/>
      <c r="T770" s="134">
        <v>2.91</v>
      </c>
      <c r="U770" s="134">
        <f>IF(AND($Q770&gt;0,ISNUMBER($T770)),$Q770*$T770,0)</f>
        <v>0</v>
      </c>
      <c r="V770" s="68">
        <f>SUM(W770:AB770)</f>
        <v>0</v>
      </c>
      <c r="W770" s="130"/>
      <c r="X770" s="130"/>
      <c r="Y770" s="130"/>
      <c r="Z770" s="130"/>
      <c r="AA770" s="130"/>
      <c r="AB770" s="130"/>
      <c r="AC770" s="130"/>
      <c r="AD770" s="75">
        <f>SUM(AE770:AJ770)</f>
        <v>0</v>
      </c>
      <c r="AE770" s="76"/>
      <c r="AF770" s="76"/>
      <c r="AG770" s="76"/>
      <c r="AH770" s="76"/>
      <c r="AI770" s="76"/>
      <c r="AJ770" s="76"/>
      <c r="AK770" s="76"/>
      <c r="AL770" s="77">
        <f>IF((P770-SUM(AE770:AK770))&lt;0,0,P770-SUM(AE770:AK770))</f>
        <v>0</v>
      </c>
      <c r="AM770" s="77">
        <f>SUM(AO770:AT770)</f>
        <v>0</v>
      </c>
      <c r="AN770" s="72"/>
      <c r="AO770" s="72"/>
      <c r="AP770" s="72"/>
      <c r="AQ770" s="72"/>
      <c r="AR770" s="72"/>
      <c r="AS770" s="72"/>
      <c r="AT770" s="72"/>
      <c r="AU770" s="72"/>
      <c r="AV770" s="125"/>
      <c r="AW770" s="72"/>
      <c r="AX770" s="72"/>
    </row>
    <row r="771" spans="1:50" ht="15" customHeight="1">
      <c r="A771" s="125" t="s">
        <v>2278</v>
      </c>
      <c r="B771" s="130" t="s">
        <v>1971</v>
      </c>
      <c r="C771" s="69" t="s">
        <v>76</v>
      </c>
      <c r="D771" s="125" t="s">
        <v>58</v>
      </c>
      <c r="E771" s="125"/>
      <c r="F771" s="130">
        <v>4</v>
      </c>
      <c r="G771" s="133" t="s">
        <v>79</v>
      </c>
      <c r="H771" s="133" t="s">
        <v>2279</v>
      </c>
      <c r="I771" s="133"/>
      <c r="J771" s="133"/>
      <c r="K771" s="72"/>
      <c r="L771" s="72"/>
      <c r="M771" s="72"/>
      <c r="N771" s="72"/>
      <c r="O771" s="133" t="s">
        <v>53</v>
      </c>
      <c r="P771" s="69">
        <v>0</v>
      </c>
      <c r="Q771" s="130">
        <f>MAX(0,$V771-$P771-$S771)</f>
        <v>0</v>
      </c>
      <c r="R771" s="130"/>
      <c r="S771" s="130"/>
      <c r="T771" s="134">
        <v>61.67</v>
      </c>
      <c r="U771" s="134">
        <f>IF(AND($Q771&gt;0,ISNUMBER($T771)),$Q771*$T771,0)</f>
        <v>0</v>
      </c>
      <c r="V771" s="68">
        <f>SUM(W771:AB771)</f>
        <v>0</v>
      </c>
      <c r="W771" s="130"/>
      <c r="X771" s="130"/>
      <c r="Y771" s="130"/>
      <c r="Z771" s="130"/>
      <c r="AA771" s="130"/>
      <c r="AB771" s="130"/>
      <c r="AC771" s="130"/>
      <c r="AD771" s="75">
        <f>SUM(AE771:AJ771)</f>
        <v>0</v>
      </c>
      <c r="AE771" s="76"/>
      <c r="AF771" s="76"/>
      <c r="AG771" s="76"/>
      <c r="AH771" s="76"/>
      <c r="AI771" s="76"/>
      <c r="AJ771" s="76"/>
      <c r="AK771" s="76"/>
      <c r="AL771" s="77">
        <f>IF((P771-SUM(AE771:AK771))&lt;0,0,P771-SUM(AE771:AK771))</f>
        <v>0</v>
      </c>
      <c r="AM771" s="77">
        <f>SUM(AO771:AT771)</f>
        <v>0</v>
      </c>
      <c r="AN771" s="72"/>
      <c r="AO771" s="72"/>
      <c r="AP771" s="72"/>
      <c r="AQ771" s="72"/>
      <c r="AR771" s="72"/>
      <c r="AS771" s="72"/>
      <c r="AT771" s="72"/>
      <c r="AU771" s="72"/>
      <c r="AV771" s="125"/>
      <c r="AW771" s="72"/>
      <c r="AX771" s="72"/>
    </row>
    <row r="772" spans="1:50" ht="15" customHeight="1">
      <c r="A772" s="125" t="s">
        <v>2315</v>
      </c>
      <c r="B772" s="130" t="s">
        <v>1971</v>
      </c>
      <c r="C772" s="69" t="s">
        <v>76</v>
      </c>
      <c r="D772" s="125" t="s">
        <v>58</v>
      </c>
      <c r="E772" s="125"/>
      <c r="F772" s="130">
        <v>4</v>
      </c>
      <c r="G772" s="133" t="s">
        <v>79</v>
      </c>
      <c r="H772" s="133" t="s">
        <v>2316</v>
      </c>
      <c r="I772" s="133"/>
      <c r="J772" s="133"/>
      <c r="K772" s="72"/>
      <c r="L772" s="72"/>
      <c r="M772" s="72"/>
      <c r="N772" s="72"/>
      <c r="O772" s="133" t="s">
        <v>120</v>
      </c>
      <c r="P772" s="69">
        <v>0</v>
      </c>
      <c r="Q772" s="130">
        <f>MAX(0,$V772-$P772-$S772)</f>
        <v>0</v>
      </c>
      <c r="R772" s="130"/>
      <c r="S772" s="130"/>
      <c r="T772" s="134">
        <v>10.93</v>
      </c>
      <c r="U772" s="134">
        <f>IF(AND($Q772&gt;0,ISNUMBER($T772)),$Q772*$T772,0)</f>
        <v>0</v>
      </c>
      <c r="V772" s="68">
        <f>SUM(W772:AB772)</f>
        <v>0</v>
      </c>
      <c r="W772" s="130"/>
      <c r="X772" s="130"/>
      <c r="Y772" s="130"/>
      <c r="Z772" s="130"/>
      <c r="AA772" s="130"/>
      <c r="AB772" s="130"/>
      <c r="AC772" s="130"/>
      <c r="AD772" s="75">
        <f>SUM(AE772:AJ772)</f>
        <v>0</v>
      </c>
      <c r="AE772" s="76"/>
      <c r="AF772" s="76"/>
      <c r="AG772" s="76"/>
      <c r="AH772" s="76"/>
      <c r="AI772" s="76"/>
      <c r="AJ772" s="76"/>
      <c r="AK772" s="76"/>
      <c r="AL772" s="77">
        <f>IF((P772-SUM(AE772:AK772))&lt;0,0,P772-SUM(AE772:AK772))</f>
        <v>0</v>
      </c>
      <c r="AM772" s="77">
        <f>SUM(AO772:AT772)</f>
        <v>0</v>
      </c>
      <c r="AN772" s="129"/>
      <c r="AO772" s="129"/>
      <c r="AP772" s="72"/>
      <c r="AQ772" s="72"/>
      <c r="AR772" s="72"/>
      <c r="AS772" s="72"/>
      <c r="AT772" s="72"/>
      <c r="AU772" s="129"/>
      <c r="AV772" s="125"/>
      <c r="AW772" s="72"/>
      <c r="AX772" s="72"/>
    </row>
    <row r="773" spans="1:50" ht="15" customHeight="1">
      <c r="A773" s="125" t="s">
        <v>275</v>
      </c>
      <c r="B773" s="130" t="s">
        <v>46</v>
      </c>
      <c r="C773" s="69" t="s">
        <v>76</v>
      </c>
      <c r="D773" s="125" t="s">
        <v>276</v>
      </c>
      <c r="E773" s="125"/>
      <c r="F773" s="130">
        <v>2</v>
      </c>
      <c r="G773" s="133" t="s">
        <v>79</v>
      </c>
      <c r="H773" s="133" t="s">
        <v>277</v>
      </c>
      <c r="I773" s="133"/>
      <c r="J773" s="133"/>
      <c r="K773" s="72"/>
      <c r="L773" s="72"/>
      <c r="M773" s="72"/>
      <c r="N773" s="72"/>
      <c r="O773" s="133" t="s">
        <v>263</v>
      </c>
      <c r="P773" s="69">
        <v>0</v>
      </c>
      <c r="Q773" s="130">
        <f>MAX(0,$V773-$P773-$S773)</f>
        <v>0</v>
      </c>
      <c r="R773" s="130"/>
      <c r="S773" s="130"/>
      <c r="T773" s="134">
        <v>25.01</v>
      </c>
      <c r="U773" s="134">
        <f>IF(AND($Q773&gt;0,ISNUMBER($T773)),$Q773*$T773,0)</f>
        <v>0</v>
      </c>
      <c r="V773" s="68">
        <f>SUM(W773:AB773)</f>
        <v>0</v>
      </c>
      <c r="W773" s="130"/>
      <c r="X773" s="130"/>
      <c r="Y773" s="130"/>
      <c r="Z773" s="130"/>
      <c r="AA773" s="130"/>
      <c r="AB773" s="130"/>
      <c r="AC773" s="130"/>
      <c r="AD773" s="75">
        <f>SUM(AE773:AJ773)</f>
        <v>0</v>
      </c>
      <c r="AE773" s="76"/>
      <c r="AF773" s="76"/>
      <c r="AG773" s="76"/>
      <c r="AH773" s="76"/>
      <c r="AI773" s="76"/>
      <c r="AJ773" s="76"/>
      <c r="AK773" s="76"/>
      <c r="AL773" s="77">
        <f>IF((P773-SUM(AE773:AK773))&lt;0,0,P773-SUM(AE773:AK773))</f>
        <v>0</v>
      </c>
      <c r="AM773" s="77">
        <f>SUM(AO773:AT773)</f>
        <v>0</v>
      </c>
      <c r="AN773" s="129"/>
      <c r="AO773" s="72"/>
      <c r="AP773" s="72"/>
      <c r="AQ773" s="72"/>
      <c r="AR773" s="72"/>
      <c r="AS773" s="72"/>
      <c r="AT773" s="72"/>
      <c r="AU773" s="72"/>
      <c r="AV773" s="125"/>
      <c r="AW773" s="72"/>
      <c r="AX773" s="129"/>
    </row>
    <row r="774" spans="1:50" ht="15" customHeight="1">
      <c r="A774" s="128" t="s">
        <v>2337</v>
      </c>
      <c r="B774" s="130" t="s">
        <v>1971</v>
      </c>
      <c r="C774" s="69" t="s">
        <v>76</v>
      </c>
      <c r="D774" s="125" t="s">
        <v>72</v>
      </c>
      <c r="E774" s="125"/>
      <c r="F774" s="130">
        <v>3</v>
      </c>
      <c r="G774" s="133" t="s">
        <v>91</v>
      </c>
      <c r="H774" s="133" t="s">
        <v>2243</v>
      </c>
      <c r="I774" s="133" t="s">
        <v>2338</v>
      </c>
      <c r="J774" s="133"/>
      <c r="K774" s="72"/>
      <c r="L774" s="72"/>
      <c r="M774" s="72"/>
      <c r="N774" s="72"/>
      <c r="O774" s="133" t="s">
        <v>53</v>
      </c>
      <c r="P774" s="69">
        <v>0</v>
      </c>
      <c r="Q774" s="130">
        <f>MAX(0,$V774-$P774-$S774)</f>
        <v>3</v>
      </c>
      <c r="R774" s="130"/>
      <c r="S774" s="130"/>
      <c r="T774" s="134">
        <v>0.74</v>
      </c>
      <c r="U774" s="134">
        <f>IF(AND($Q774&gt;0,ISNUMBER($T774)),$Q774*$T774,0)</f>
        <v>2.2199999999999998</v>
      </c>
      <c r="V774" s="68">
        <f>SUM(W774:AB774)</f>
        <v>3</v>
      </c>
      <c r="W774" s="130"/>
      <c r="X774" s="136">
        <v>1</v>
      </c>
      <c r="Y774" s="136">
        <v>1</v>
      </c>
      <c r="Z774" s="130"/>
      <c r="AA774" s="136">
        <v>1</v>
      </c>
      <c r="AB774" s="130"/>
      <c r="AC774" s="130"/>
      <c r="AD774" s="75">
        <f>SUM(AE774:AJ774)</f>
        <v>0</v>
      </c>
      <c r="AE774" s="76"/>
      <c r="AF774" s="76"/>
      <c r="AG774" s="76"/>
      <c r="AH774" s="76"/>
      <c r="AI774" s="76"/>
      <c r="AJ774" s="76"/>
      <c r="AK774" s="76"/>
      <c r="AL774" s="77">
        <f>IF((P774-SUM(AE774:AK774))&lt;0,0,P774-SUM(AE774:AK774))</f>
        <v>0</v>
      </c>
      <c r="AM774" s="77">
        <f>SUM(AO774:AT774)</f>
        <v>0</v>
      </c>
      <c r="AN774" s="83" t="s">
        <v>81</v>
      </c>
      <c r="AO774" s="72"/>
      <c r="AP774" s="72"/>
      <c r="AQ774" s="72"/>
      <c r="AR774" s="72"/>
      <c r="AS774" s="72"/>
      <c r="AT774" s="72"/>
      <c r="AU774" s="28" t="s">
        <v>2339</v>
      </c>
      <c r="AV774" s="125"/>
      <c r="AW774" s="72"/>
      <c r="AX774" s="84"/>
    </row>
    <row r="775" spans="1:50" ht="15" customHeight="1">
      <c r="A775" s="125" t="s">
        <v>882</v>
      </c>
      <c r="B775" s="130" t="s">
        <v>636</v>
      </c>
      <c r="C775" s="69" t="s">
        <v>76</v>
      </c>
      <c r="D775" s="125" t="s">
        <v>123</v>
      </c>
      <c r="E775" s="125" t="s">
        <v>883</v>
      </c>
      <c r="F775" s="130">
        <v>6</v>
      </c>
      <c r="G775" s="133" t="s">
        <v>79</v>
      </c>
      <c r="H775" s="133" t="s">
        <v>884</v>
      </c>
      <c r="I775" s="133"/>
      <c r="J775" s="133"/>
      <c r="K775" s="72"/>
      <c r="L775" s="72"/>
      <c r="M775" s="72"/>
      <c r="N775" s="72"/>
      <c r="O775" s="133" t="s">
        <v>486</v>
      </c>
      <c r="P775" s="69">
        <v>0</v>
      </c>
      <c r="Q775" s="130">
        <f>MAX(0,$V775-$P775-$S775)</f>
        <v>0</v>
      </c>
      <c r="R775" s="130"/>
      <c r="S775" s="130"/>
      <c r="T775" s="134">
        <v>55.18</v>
      </c>
      <c r="U775" s="134">
        <f>IF(AND($Q775&gt;0,ISNUMBER($T775)),$Q775*$T775,0)</f>
        <v>0</v>
      </c>
      <c r="V775" s="68">
        <f>SUM(W775:AB775)</f>
        <v>0</v>
      </c>
      <c r="W775" s="130"/>
      <c r="X775" s="130"/>
      <c r="Y775" s="130"/>
      <c r="Z775" s="130"/>
      <c r="AA775" s="130"/>
      <c r="AB775" s="130"/>
      <c r="AC775" s="130"/>
      <c r="AD775" s="75">
        <f>SUM(AE775:AJ775)</f>
        <v>0</v>
      </c>
      <c r="AE775" s="76"/>
      <c r="AF775" s="76"/>
      <c r="AG775" s="76"/>
      <c r="AH775" s="76"/>
      <c r="AI775" s="76"/>
      <c r="AJ775" s="76"/>
      <c r="AK775" s="76"/>
      <c r="AL775" s="77">
        <f>IF((P775-SUM(AE775:AK775))&lt;0,0,P775-SUM(AE775:AK775))</f>
        <v>0</v>
      </c>
      <c r="AM775" s="77">
        <f>SUM(AO775:AT775)</f>
        <v>0</v>
      </c>
      <c r="AN775" s="72"/>
      <c r="AO775" s="72"/>
      <c r="AP775" s="72"/>
      <c r="AQ775" s="72"/>
      <c r="AR775" s="72"/>
      <c r="AS775" s="72"/>
      <c r="AT775" s="72"/>
      <c r="AU775" s="72"/>
      <c r="AV775" s="125"/>
      <c r="AW775" s="72"/>
      <c r="AX775" s="72"/>
    </row>
    <row r="776" spans="1:50" ht="15" customHeight="1">
      <c r="A776" s="128" t="s">
        <v>313</v>
      </c>
      <c r="B776" s="130" t="s">
        <v>46</v>
      </c>
      <c r="C776" s="69" t="s">
        <v>76</v>
      </c>
      <c r="D776" s="125" t="s">
        <v>314</v>
      </c>
      <c r="E776" s="125" t="s">
        <v>315</v>
      </c>
      <c r="F776" s="77">
        <v>6</v>
      </c>
      <c r="G776" s="112" t="s">
        <v>317</v>
      </c>
      <c r="H776" s="112" t="s">
        <v>318</v>
      </c>
      <c r="I776" s="112"/>
      <c r="J776" s="112"/>
      <c r="K776" s="69"/>
      <c r="L776" s="69"/>
      <c r="M776" s="69"/>
      <c r="N776" s="69"/>
      <c r="O776" s="112" t="s">
        <v>316</v>
      </c>
      <c r="P776" s="69">
        <v>0</v>
      </c>
      <c r="Q776" s="130">
        <f>MAX(0,$V776-$P776-$S776)</f>
        <v>1</v>
      </c>
      <c r="R776" s="77"/>
      <c r="S776" s="77"/>
      <c r="T776" s="113">
        <v>0.94</v>
      </c>
      <c r="U776" s="134">
        <f>IF(AND($Q776&gt;0,ISNUMBER($T776)),$Q776*$T776,0)</f>
        <v>0.94</v>
      </c>
      <c r="V776" s="68">
        <f>SUM(W776:AB776)</f>
        <v>1</v>
      </c>
      <c r="W776" s="77"/>
      <c r="X776" s="77"/>
      <c r="Y776" s="118">
        <v>1</v>
      </c>
      <c r="Z776" s="77"/>
      <c r="AA776" s="77"/>
      <c r="AB776" s="77"/>
      <c r="AC776" s="130"/>
      <c r="AD776" s="75">
        <f>SUM(AE776:AJ776)</f>
        <v>0</v>
      </c>
      <c r="AE776" s="76"/>
      <c r="AF776" s="76"/>
      <c r="AG776" s="76"/>
      <c r="AH776" s="76"/>
      <c r="AI776" s="76"/>
      <c r="AJ776" s="76"/>
      <c r="AK776" s="76"/>
      <c r="AL776" s="77">
        <f>IF((P776-SUM(AE776:AK776))&lt;0,0,P776-SUM(AE776:AK776))</f>
        <v>0</v>
      </c>
      <c r="AM776" s="77">
        <f>SUM(AO776:AT776)</f>
        <v>0</v>
      </c>
      <c r="AN776" s="83" t="s">
        <v>81</v>
      </c>
      <c r="AO776" s="72"/>
      <c r="AP776" s="72"/>
      <c r="AQ776" s="72"/>
      <c r="AR776" s="72"/>
      <c r="AS776" s="72"/>
      <c r="AT776" s="72"/>
      <c r="AU776" s="28" t="s">
        <v>319</v>
      </c>
      <c r="AV776" s="31"/>
      <c r="AW776" s="72"/>
      <c r="AX776" s="84"/>
    </row>
    <row r="777" spans="1:50" ht="15" customHeight="1">
      <c r="A777" s="125" t="s">
        <v>626</v>
      </c>
      <c r="B777" s="130" t="s">
        <v>345</v>
      </c>
      <c r="C777" s="69" t="s">
        <v>76</v>
      </c>
      <c r="D777" s="125" t="s">
        <v>627</v>
      </c>
      <c r="E777" s="125"/>
      <c r="F777" s="130">
        <v>0</v>
      </c>
      <c r="G777" s="133" t="s">
        <v>79</v>
      </c>
      <c r="H777" s="133" t="s">
        <v>628</v>
      </c>
      <c r="I777" s="133"/>
      <c r="J777" s="133"/>
      <c r="K777" s="72"/>
      <c r="L777" s="72"/>
      <c r="M777" s="72"/>
      <c r="N777" s="72"/>
      <c r="O777" s="133" t="s">
        <v>210</v>
      </c>
      <c r="P777" s="69">
        <v>0</v>
      </c>
      <c r="Q777" s="130">
        <f>MAX(0,$V777-$P777-$S777)</f>
        <v>0</v>
      </c>
      <c r="R777" s="130"/>
      <c r="S777" s="130"/>
      <c r="T777" s="134">
        <v>5.57</v>
      </c>
      <c r="U777" s="134">
        <f>IF(AND($Q777&gt;0,ISNUMBER($T777)),$Q777*$T777,0)</f>
        <v>0</v>
      </c>
      <c r="V777" s="68">
        <f>SUM(W777:AB777)</f>
        <v>0</v>
      </c>
      <c r="W777" s="130"/>
      <c r="X777" s="130"/>
      <c r="Y777" s="130"/>
      <c r="Z777" s="130"/>
      <c r="AA777" s="130"/>
      <c r="AB777" s="130"/>
      <c r="AC777" s="130"/>
      <c r="AD777" s="75">
        <f>SUM(AE777:AJ777)</f>
        <v>0</v>
      </c>
      <c r="AE777" s="76"/>
      <c r="AF777" s="76"/>
      <c r="AG777" s="76"/>
      <c r="AH777" s="76"/>
      <c r="AI777" s="76"/>
      <c r="AJ777" s="76"/>
      <c r="AK777" s="76"/>
      <c r="AL777" s="77">
        <f>IF((P777-SUM(AE777:AK777))&lt;0,0,P777-SUM(AE777:AK777))</f>
        <v>0</v>
      </c>
      <c r="AM777" s="77">
        <f>SUM(AO777:AT777)</f>
        <v>0</v>
      </c>
      <c r="AN777" s="72"/>
      <c r="AO777" s="72"/>
      <c r="AP777" s="72"/>
      <c r="AQ777" s="72"/>
      <c r="AR777" s="72"/>
      <c r="AS777" s="72"/>
      <c r="AT777" s="72"/>
      <c r="AU777" s="72"/>
      <c r="AV777" s="125"/>
      <c r="AW777" s="72"/>
      <c r="AX777" s="72"/>
    </row>
    <row r="778" spans="1:50" ht="15" customHeight="1">
      <c r="A778" s="128" t="s">
        <v>1488</v>
      </c>
      <c r="B778" s="130" t="s">
        <v>1114</v>
      </c>
      <c r="C778" s="69" t="s">
        <v>76</v>
      </c>
      <c r="D778" s="125" t="s">
        <v>58</v>
      </c>
      <c r="E778" s="125"/>
      <c r="F778" s="130">
        <v>3</v>
      </c>
      <c r="G778" s="133" t="s">
        <v>530</v>
      </c>
      <c r="H778" s="133" t="s">
        <v>1489</v>
      </c>
      <c r="I778" s="133" t="s">
        <v>1490</v>
      </c>
      <c r="J778" s="133"/>
      <c r="K778" s="72"/>
      <c r="L778" s="72"/>
      <c r="M778" s="72"/>
      <c r="N778" s="72"/>
      <c r="O778" s="133" t="s">
        <v>188</v>
      </c>
      <c r="P778" s="69">
        <v>0</v>
      </c>
      <c r="Q778" s="130">
        <f>MAX(0,$V778-$P778-$S778)</f>
        <v>1</v>
      </c>
      <c r="R778" s="130"/>
      <c r="S778" s="130"/>
      <c r="T778" s="134">
        <v>2.98</v>
      </c>
      <c r="U778" s="134">
        <f>IF(AND($Q778&gt;0,ISNUMBER($T778)),$Q778*$T778,0)</f>
        <v>2.98</v>
      </c>
      <c r="V778" s="68">
        <f>SUM(W778:AB778)</f>
        <v>1</v>
      </c>
      <c r="W778" s="136">
        <v>1</v>
      </c>
      <c r="X778" s="130"/>
      <c r="Y778" s="130"/>
      <c r="Z778" s="130"/>
      <c r="AA778" s="130"/>
      <c r="AB778" s="130"/>
      <c r="AC778" s="130"/>
      <c r="AD778" s="75">
        <f>SUM(AE778:AJ778)</f>
        <v>0</v>
      </c>
      <c r="AE778" s="76"/>
      <c r="AF778" s="76"/>
      <c r="AG778" s="76"/>
      <c r="AH778" s="76"/>
      <c r="AI778" s="76"/>
      <c r="AJ778" s="76"/>
      <c r="AK778" s="76"/>
      <c r="AL778" s="77">
        <f>IF((P778-SUM(AE778:AK778))&lt;0,0,P778-SUM(AE778:AK778))</f>
        <v>0</v>
      </c>
      <c r="AM778" s="77">
        <f>SUM(AO778:AT778)</f>
        <v>0</v>
      </c>
      <c r="AN778" s="138" t="s">
        <v>81</v>
      </c>
      <c r="AO778" s="72"/>
      <c r="AP778" s="72"/>
      <c r="AQ778" s="72"/>
      <c r="AR778" s="72"/>
      <c r="AS778" s="72"/>
      <c r="AT778" s="72"/>
      <c r="AU778" s="28" t="s">
        <v>1491</v>
      </c>
      <c r="AV778" s="125"/>
      <c r="AW778" s="72"/>
      <c r="AX778" s="143"/>
    </row>
    <row r="779" spans="1:50" ht="15" customHeight="1">
      <c r="A779" s="128" t="s">
        <v>332</v>
      </c>
      <c r="B779" s="130" t="s">
        <v>46</v>
      </c>
      <c r="C779" s="69" t="s">
        <v>76</v>
      </c>
      <c r="D779" s="125" t="s">
        <v>64</v>
      </c>
      <c r="E779" s="125" t="s">
        <v>333</v>
      </c>
      <c r="F779" s="77">
        <v>3</v>
      </c>
      <c r="G779" s="112" t="s">
        <v>98</v>
      </c>
      <c r="H779" s="112" t="s">
        <v>335</v>
      </c>
      <c r="I779" s="112"/>
      <c r="J779" s="112"/>
      <c r="K779" s="69"/>
      <c r="L779" s="69"/>
      <c r="M779" s="69"/>
      <c r="N779" s="69"/>
      <c r="O779" s="112" t="s">
        <v>334</v>
      </c>
      <c r="P779" s="69">
        <v>0</v>
      </c>
      <c r="Q779" s="130">
        <f>MAX(0,$V779-$P779-$S779)</f>
        <v>1</v>
      </c>
      <c r="R779" s="77"/>
      <c r="S779" s="77"/>
      <c r="T779" s="113">
        <v>0.21</v>
      </c>
      <c r="U779" s="134">
        <f>IF(AND($Q779&gt;0,ISNUMBER($T779)),$Q779*$T779,0)</f>
        <v>0.21</v>
      </c>
      <c r="V779" s="68">
        <f>SUM(W779:AB779)</f>
        <v>1</v>
      </c>
      <c r="W779" s="77"/>
      <c r="X779" s="77"/>
      <c r="Y779" s="77"/>
      <c r="Z779" s="77"/>
      <c r="AA779" s="118">
        <v>1</v>
      </c>
      <c r="AB779" s="77"/>
      <c r="AC779" s="130"/>
      <c r="AD779" s="75">
        <f>SUM(AE779:AJ779)</f>
        <v>0</v>
      </c>
      <c r="AE779" s="76"/>
      <c r="AF779" s="76"/>
      <c r="AG779" s="76"/>
      <c r="AH779" s="76"/>
      <c r="AI779" s="76"/>
      <c r="AJ779" s="76"/>
      <c r="AK779" s="76"/>
      <c r="AL779" s="77">
        <f>IF((P779-SUM(AE779:AK779))&lt;0,0,P779-SUM(AE779:AK779))</f>
        <v>0</v>
      </c>
      <c r="AM779" s="77">
        <f>SUM(AO779:AT779)</f>
        <v>0</v>
      </c>
      <c r="AN779" s="83" t="s">
        <v>81</v>
      </c>
      <c r="AO779" s="72"/>
      <c r="AP779" s="72"/>
      <c r="AQ779" s="72"/>
      <c r="AR779" s="72"/>
      <c r="AS779" s="72"/>
      <c r="AT779" s="72"/>
      <c r="AU779" s="28" t="s">
        <v>336</v>
      </c>
      <c r="AV779" s="31"/>
      <c r="AW779" s="72"/>
      <c r="AX779" s="84"/>
    </row>
    <row r="780" spans="1:50" ht="15" customHeight="1">
      <c r="A780" s="31" t="s">
        <v>1110</v>
      </c>
      <c r="B780" s="77" t="s">
        <v>919</v>
      </c>
      <c r="C780" s="69" t="s">
        <v>76</v>
      </c>
      <c r="D780" s="31" t="s">
        <v>627</v>
      </c>
      <c r="E780" s="31"/>
      <c r="F780" s="77">
        <v>0</v>
      </c>
      <c r="G780" s="112" t="s">
        <v>627</v>
      </c>
      <c r="H780" s="112" t="s">
        <v>1111</v>
      </c>
      <c r="I780" s="112" t="s">
        <v>1112</v>
      </c>
      <c r="J780" s="112"/>
      <c r="K780" s="72"/>
      <c r="L780" s="72"/>
      <c r="M780" s="72"/>
      <c r="N780" s="72"/>
      <c r="O780" s="112" t="s">
        <v>869</v>
      </c>
      <c r="P780" s="69">
        <v>0</v>
      </c>
      <c r="Q780" s="77">
        <f>MAX(0,$V780-$P780-$S780)</f>
        <v>0</v>
      </c>
      <c r="R780" s="77"/>
      <c r="S780" s="77"/>
      <c r="T780" s="113">
        <v>0.63</v>
      </c>
      <c r="U780" s="113">
        <f>IF(AND($Q780&gt;0,ISNUMBER($T780)),$Q780*$T780,0)</f>
        <v>0</v>
      </c>
      <c r="V780" s="68">
        <f>SUM(W780:AB780)</f>
        <v>0</v>
      </c>
      <c r="W780" s="77"/>
      <c r="X780" s="77"/>
      <c r="Y780" s="77"/>
      <c r="Z780" s="77"/>
      <c r="AA780" s="77"/>
      <c r="AB780" s="77"/>
      <c r="AC780" s="77"/>
      <c r="AD780" s="75">
        <f>SUM(AE780:AJ780)</f>
        <v>0</v>
      </c>
      <c r="AE780" s="76"/>
      <c r="AF780" s="76"/>
      <c r="AG780" s="76"/>
      <c r="AH780" s="76"/>
      <c r="AI780" s="76"/>
      <c r="AJ780" s="76"/>
      <c r="AK780" s="76"/>
      <c r="AL780" s="77">
        <f>IF((P780-SUM(AE780:AK780))&lt;0,0,P780-SUM(AE780:AK780))</f>
        <v>0</v>
      </c>
      <c r="AM780" s="77">
        <f>SUM(AO780:AT780)</f>
        <v>0</v>
      </c>
      <c r="AN780" s="72"/>
      <c r="AO780" s="72"/>
      <c r="AP780" s="72"/>
      <c r="AQ780" s="72"/>
      <c r="AR780" s="72"/>
      <c r="AS780" s="72"/>
      <c r="AT780" s="72"/>
      <c r="AU780" s="72"/>
      <c r="AV780" s="31"/>
      <c r="AW780" s="72"/>
      <c r="AX780" s="72"/>
    </row>
    <row r="781" spans="1:50" ht="15" customHeight="1">
      <c r="A781" s="128" t="s">
        <v>337</v>
      </c>
      <c r="B781" s="130" t="s">
        <v>46</v>
      </c>
      <c r="C781" s="69" t="s">
        <v>76</v>
      </c>
      <c r="D781" s="125" t="s">
        <v>123</v>
      </c>
      <c r="E781" s="125" t="s">
        <v>338</v>
      </c>
      <c r="F781" s="77">
        <v>3</v>
      </c>
      <c r="G781" s="112" t="s">
        <v>98</v>
      </c>
      <c r="H781" s="112" t="s">
        <v>339</v>
      </c>
      <c r="I781" s="112"/>
      <c r="J781" s="112"/>
      <c r="K781" s="69"/>
      <c r="L781" s="69"/>
      <c r="M781" s="69"/>
      <c r="N781" s="69"/>
      <c r="O781" s="112" t="s">
        <v>334</v>
      </c>
      <c r="P781" s="69">
        <v>0</v>
      </c>
      <c r="Q781" s="130">
        <f>MAX(0,$V781-$P781-$S781)</f>
        <v>1</v>
      </c>
      <c r="R781" s="77"/>
      <c r="S781" s="77"/>
      <c r="T781" s="113">
        <v>0.3</v>
      </c>
      <c r="U781" s="134">
        <f>IF(AND($Q781&gt;0,ISNUMBER($T781)),$Q781*$T781,0)</f>
        <v>0.3</v>
      </c>
      <c r="V781" s="68">
        <f>SUM(W781:AB781)</f>
        <v>1</v>
      </c>
      <c r="W781" s="77"/>
      <c r="X781" s="77"/>
      <c r="Y781" s="77"/>
      <c r="Z781" s="77"/>
      <c r="AA781" s="118">
        <v>1</v>
      </c>
      <c r="AB781" s="77"/>
      <c r="AC781" s="130"/>
      <c r="AD781" s="75">
        <f>SUM(AE781:AJ781)</f>
        <v>0</v>
      </c>
      <c r="AE781" s="76"/>
      <c r="AF781" s="76"/>
      <c r="AG781" s="76"/>
      <c r="AH781" s="76"/>
      <c r="AI781" s="76"/>
      <c r="AJ781" s="76"/>
      <c r="AK781" s="76"/>
      <c r="AL781" s="77">
        <f>IF((P781-SUM(AE781:AK781))&lt;0,0,P781-SUM(AE781:AK781))</f>
        <v>0</v>
      </c>
      <c r="AM781" s="77">
        <f>SUM(AO781:AT781)</f>
        <v>0</v>
      </c>
      <c r="AN781" s="83" t="s">
        <v>81</v>
      </c>
      <c r="AO781" s="72"/>
      <c r="AP781" s="72"/>
      <c r="AQ781" s="72"/>
      <c r="AR781" s="72"/>
      <c r="AS781" s="72"/>
      <c r="AT781" s="72"/>
      <c r="AU781" s="28" t="s">
        <v>340</v>
      </c>
      <c r="AV781" s="31"/>
      <c r="AW781" s="72"/>
      <c r="AX781" s="84"/>
    </row>
    <row r="782" spans="1:50">
      <c r="A782" s="151" t="s">
        <v>2745</v>
      </c>
      <c r="B782" s="153" t="s">
        <v>919</v>
      </c>
      <c r="C782" s="144"/>
      <c r="D782" s="151" t="s">
        <v>627</v>
      </c>
      <c r="E782" s="151"/>
      <c r="F782" s="153">
        <v>0</v>
      </c>
      <c r="G782" s="151"/>
      <c r="H782" s="151"/>
      <c r="I782" s="151"/>
      <c r="J782" s="151"/>
      <c r="K782" s="144"/>
      <c r="L782" s="144"/>
      <c r="M782" s="144"/>
      <c r="N782" s="144"/>
      <c r="O782" s="151" t="s">
        <v>136</v>
      </c>
      <c r="P782" s="145">
        <v>2</v>
      </c>
      <c r="Q782" s="130">
        <f>MAX(0,$V782-$P782-$S782)</f>
        <v>0</v>
      </c>
      <c r="R782" s="151"/>
      <c r="S782" s="151"/>
      <c r="T782" s="154">
        <v>0.16</v>
      </c>
      <c r="U782" s="134">
        <f>IF(AND($Q782&gt;0,ISNUMBER($T782)),$Q782*$T782,0)</f>
        <v>0</v>
      </c>
      <c r="V782" s="68">
        <f>SUM(W782:AB782)</f>
        <v>0</v>
      </c>
      <c r="W782" s="151"/>
      <c r="X782" s="151"/>
      <c r="Y782" s="151"/>
      <c r="Z782" s="151"/>
      <c r="AA782" s="151"/>
      <c r="AB782" s="151"/>
      <c r="AC782" s="151"/>
      <c r="AD782" s="75">
        <f>SUM(AE782:AJ782)</f>
        <v>0</v>
      </c>
      <c r="AE782" s="147"/>
      <c r="AF782" s="147"/>
      <c r="AG782" s="147"/>
      <c r="AH782" s="147"/>
      <c r="AI782" s="147"/>
      <c r="AJ782" s="147"/>
      <c r="AK782" s="147"/>
      <c r="AL782" s="77">
        <f>IF((P782-SUM(AE782:AK782))&lt;0,0,P782-SUM(AE782:AK782))</f>
        <v>2</v>
      </c>
      <c r="AM782" s="77">
        <f>SUM(AO782:AT782)</f>
        <v>0</v>
      </c>
      <c r="AN782" s="144"/>
      <c r="AO782" s="144"/>
      <c r="AP782" s="144"/>
      <c r="AQ782" s="144"/>
      <c r="AR782" s="144"/>
      <c r="AS782" s="144"/>
      <c r="AT782" s="144"/>
      <c r="AU782" s="144"/>
      <c r="AV782" s="151"/>
      <c r="AW782" s="144"/>
      <c r="AX782" s="144"/>
    </row>
    <row r="783" spans="1:50">
      <c r="A783" s="151" t="s">
        <v>2719</v>
      </c>
      <c r="B783" s="153" t="s">
        <v>1499</v>
      </c>
      <c r="C783" s="144"/>
      <c r="D783" s="151" t="s">
        <v>47</v>
      </c>
      <c r="E783" s="151"/>
      <c r="F783" s="153">
        <v>1</v>
      </c>
      <c r="G783" s="151"/>
      <c r="H783" s="151"/>
      <c r="I783" s="151"/>
      <c r="J783" s="151"/>
      <c r="K783" s="144"/>
      <c r="L783" s="144"/>
      <c r="M783" s="144"/>
      <c r="N783" s="144"/>
      <c r="O783" s="151" t="s">
        <v>1122</v>
      </c>
      <c r="P783" s="145">
        <v>1</v>
      </c>
      <c r="Q783" s="130">
        <f>MAX(0,$V783-$P783-$S783)</f>
        <v>0</v>
      </c>
      <c r="R783" s="151"/>
      <c r="S783" s="151"/>
      <c r="T783" s="154">
        <v>0.13</v>
      </c>
      <c r="U783" s="134">
        <f>IF(AND($Q783&gt;0,ISNUMBER($T783)),$Q783*$T783,0)</f>
        <v>0</v>
      </c>
      <c r="V783" s="68">
        <f>SUM(W783:AB783)</f>
        <v>0</v>
      </c>
      <c r="W783" s="151"/>
      <c r="X783" s="151"/>
      <c r="Y783" s="151"/>
      <c r="Z783" s="151"/>
      <c r="AA783" s="151"/>
      <c r="AB783" s="151"/>
      <c r="AC783" s="151"/>
      <c r="AD783" s="75">
        <f>SUM(AE783:AJ783)</f>
        <v>0</v>
      </c>
      <c r="AE783" s="76"/>
      <c r="AF783" s="76"/>
      <c r="AG783" s="76"/>
      <c r="AH783" s="76"/>
      <c r="AI783" s="76"/>
      <c r="AJ783" s="76"/>
      <c r="AK783" s="76"/>
      <c r="AL783" s="77">
        <f>IF((P783-SUM(AE783:AK783))&lt;0,0,P783-SUM(AE783:AK783))</f>
        <v>1</v>
      </c>
      <c r="AM783" s="77">
        <f>SUM(AO783:AT783)</f>
        <v>0</v>
      </c>
      <c r="AN783" s="144"/>
      <c r="AO783" s="144"/>
      <c r="AP783" s="144"/>
      <c r="AQ783" s="144"/>
      <c r="AR783" s="144"/>
      <c r="AS783" s="144"/>
      <c r="AT783" s="144"/>
      <c r="AU783" s="144"/>
      <c r="AV783" s="151"/>
      <c r="AW783" s="144"/>
      <c r="AX783" s="144"/>
    </row>
    <row r="784" spans="1:50">
      <c r="A784" s="151" t="s">
        <v>2720</v>
      </c>
      <c r="B784" s="153" t="s">
        <v>1971</v>
      </c>
      <c r="C784" s="144"/>
      <c r="D784" s="151" t="s">
        <v>72</v>
      </c>
      <c r="E784" s="151"/>
      <c r="F784" s="153">
        <v>4</v>
      </c>
      <c r="G784" s="151"/>
      <c r="H784" s="151"/>
      <c r="I784" s="151"/>
      <c r="J784" s="151"/>
      <c r="K784" s="144"/>
      <c r="L784" s="144"/>
      <c r="M784" s="144"/>
      <c r="N784" s="144"/>
      <c r="O784" s="151" t="s">
        <v>48</v>
      </c>
      <c r="P784" s="145">
        <v>1</v>
      </c>
      <c r="Q784" s="130">
        <f>MAX(0,$V784-$P784-$S784)</f>
        <v>0</v>
      </c>
      <c r="R784" s="151"/>
      <c r="S784" s="151"/>
      <c r="T784" s="154">
        <v>0.11</v>
      </c>
      <c r="U784" s="134">
        <f>IF(AND($Q784&gt;0,ISNUMBER($T784)),$Q784*$T784,0)</f>
        <v>0</v>
      </c>
      <c r="V784" s="68">
        <f>SUM(W784:AB784)</f>
        <v>0</v>
      </c>
      <c r="W784" s="151"/>
      <c r="X784" s="151"/>
      <c r="Y784" s="151"/>
      <c r="Z784" s="151"/>
      <c r="AA784" s="151"/>
      <c r="AB784" s="151"/>
      <c r="AC784" s="151"/>
      <c r="AD784" s="75">
        <f>SUM(AE784:AJ784)</f>
        <v>0</v>
      </c>
      <c r="AE784" s="147"/>
      <c r="AF784" s="147"/>
      <c r="AG784" s="147"/>
      <c r="AH784" s="147"/>
      <c r="AI784" s="147"/>
      <c r="AJ784" s="147"/>
      <c r="AK784" s="147"/>
      <c r="AL784" s="77">
        <f>IF((P784-SUM(AE784:AK784))&lt;0,0,P784-SUM(AE784:AK784))</f>
        <v>1</v>
      </c>
      <c r="AM784" s="77">
        <f>SUM(AO784:AT784)</f>
        <v>0</v>
      </c>
      <c r="AN784" s="144"/>
      <c r="AO784" s="144"/>
      <c r="AP784" s="144"/>
      <c r="AQ784" s="144"/>
      <c r="AR784" s="144"/>
      <c r="AS784" s="144"/>
      <c r="AT784" s="144"/>
      <c r="AU784" s="144"/>
      <c r="AV784" s="151"/>
      <c r="AW784" s="144"/>
      <c r="AX784" s="144"/>
    </row>
    <row r="785" spans="1:50">
      <c r="A785" s="151" t="s">
        <v>2721</v>
      </c>
      <c r="B785" s="153" t="s">
        <v>1971</v>
      </c>
      <c r="C785" s="144"/>
      <c r="D785" s="151" t="s">
        <v>64</v>
      </c>
      <c r="E785" s="151" t="s">
        <v>2775</v>
      </c>
      <c r="F785" s="153">
        <v>5</v>
      </c>
      <c r="G785" s="151"/>
      <c r="H785" s="151"/>
      <c r="I785" s="151"/>
      <c r="J785" s="151"/>
      <c r="K785" s="144"/>
      <c r="L785" s="144"/>
      <c r="M785" s="144"/>
      <c r="N785" s="144"/>
      <c r="O785" s="151" t="s">
        <v>981</v>
      </c>
      <c r="P785" s="145">
        <v>1</v>
      </c>
      <c r="Q785" s="130">
        <f>MAX(0,$V785-$P785-$S785)</f>
        <v>0</v>
      </c>
      <c r="R785" s="151"/>
      <c r="S785" s="151"/>
      <c r="T785" s="154">
        <v>0.08</v>
      </c>
      <c r="U785" s="134">
        <f>IF(AND($Q785&gt;0,ISNUMBER($T785)),$Q785*$T785,0)</f>
        <v>0</v>
      </c>
      <c r="V785" s="68">
        <f>SUM(W785:AB785)</f>
        <v>0</v>
      </c>
      <c r="W785" s="151"/>
      <c r="X785" s="151"/>
      <c r="Y785" s="151"/>
      <c r="Z785" s="151"/>
      <c r="AA785" s="151"/>
      <c r="AB785" s="151"/>
      <c r="AC785" s="151"/>
      <c r="AD785" s="75">
        <f>SUM(AE785:AJ785)</f>
        <v>0</v>
      </c>
      <c r="AE785" s="76"/>
      <c r="AF785" s="76"/>
      <c r="AG785" s="76"/>
      <c r="AH785" s="76"/>
      <c r="AI785" s="76"/>
      <c r="AJ785" s="76"/>
      <c r="AK785" s="76"/>
      <c r="AL785" s="77">
        <f>IF((P785-SUM(AE785:AK785))&lt;0,0,P785-SUM(AE785:AK785))</f>
        <v>1</v>
      </c>
      <c r="AM785" s="77">
        <f>SUM(AO785:AT785)</f>
        <v>0</v>
      </c>
      <c r="AN785" s="144"/>
      <c r="AO785" s="144"/>
      <c r="AP785" s="144"/>
      <c r="AQ785" s="144"/>
      <c r="AR785" s="144"/>
      <c r="AS785" s="144"/>
      <c r="AT785" s="144"/>
      <c r="AU785" s="144"/>
      <c r="AV785" s="151"/>
      <c r="AW785" s="144"/>
      <c r="AX785" s="144"/>
    </row>
    <row r="786" spans="1:50">
      <c r="A786" s="151" t="s">
        <v>2722</v>
      </c>
      <c r="B786" s="153" t="s">
        <v>345</v>
      </c>
      <c r="C786" s="144"/>
      <c r="D786" s="151" t="s">
        <v>359</v>
      </c>
      <c r="E786" s="151" t="s">
        <v>418</v>
      </c>
      <c r="F786" s="153">
        <v>4</v>
      </c>
      <c r="G786" s="151"/>
      <c r="H786" s="151"/>
      <c r="I786" s="151"/>
      <c r="J786" s="151"/>
      <c r="K786" s="144"/>
      <c r="L786" s="144"/>
      <c r="M786" s="144"/>
      <c r="N786" s="144"/>
      <c r="O786" s="151" t="s">
        <v>981</v>
      </c>
      <c r="P786" s="145">
        <v>1</v>
      </c>
      <c r="Q786" s="130">
        <f>MAX(0,$V786-$P786-$S786)</f>
        <v>0</v>
      </c>
      <c r="R786" s="151"/>
      <c r="S786" s="151"/>
      <c r="T786" s="154">
        <v>7.0000000000000007E-2</v>
      </c>
      <c r="U786" s="134">
        <f>IF(AND($Q786&gt;0,ISNUMBER($T786)),$Q786*$T786,0)</f>
        <v>0</v>
      </c>
      <c r="V786" s="68">
        <f>SUM(W786:AB786)</f>
        <v>0</v>
      </c>
      <c r="W786" s="151"/>
      <c r="X786" s="151"/>
      <c r="Y786" s="151"/>
      <c r="Z786" s="151"/>
      <c r="AA786" s="151"/>
      <c r="AB786" s="151"/>
      <c r="AC786" s="151"/>
      <c r="AD786" s="75">
        <f>SUM(AE786:AJ786)</f>
        <v>0</v>
      </c>
      <c r="AE786" s="147"/>
      <c r="AF786" s="147"/>
      <c r="AG786" s="147"/>
      <c r="AH786" s="147"/>
      <c r="AI786" s="147"/>
      <c r="AJ786" s="147"/>
      <c r="AK786" s="147"/>
      <c r="AL786" s="77">
        <f>IF((P786-SUM(AE786:AK786))&lt;0,0,P786-SUM(AE786:AK786))</f>
        <v>1</v>
      </c>
      <c r="AM786" s="77">
        <f>SUM(AO786:AT786)</f>
        <v>0</v>
      </c>
      <c r="AN786" s="151"/>
      <c r="AO786" s="144"/>
      <c r="AP786" s="144"/>
      <c r="AQ786" s="144"/>
      <c r="AR786" s="144"/>
      <c r="AS786" s="151"/>
      <c r="AT786" s="144"/>
      <c r="AU786" s="151"/>
      <c r="AV786" s="151"/>
      <c r="AW786" s="144"/>
      <c r="AX786" s="144"/>
    </row>
    <row r="787" spans="1:50">
      <c r="A787" s="151" t="s">
        <v>2723</v>
      </c>
      <c r="B787" s="153" t="s">
        <v>1499</v>
      </c>
      <c r="C787" s="144"/>
      <c r="D787" s="151" t="s">
        <v>64</v>
      </c>
      <c r="E787" s="151" t="s">
        <v>2428</v>
      </c>
      <c r="F787" s="153">
        <v>3</v>
      </c>
      <c r="G787" s="151"/>
      <c r="H787" s="151"/>
      <c r="I787" s="151"/>
      <c r="J787" s="151"/>
      <c r="K787" s="144"/>
      <c r="L787" s="144"/>
      <c r="M787" s="144"/>
      <c r="N787" s="144"/>
      <c r="O787" s="151" t="s">
        <v>981</v>
      </c>
      <c r="P787" s="145">
        <v>1</v>
      </c>
      <c r="Q787" s="130">
        <f>MAX(0,$V787-$P787-$S787)</f>
        <v>0</v>
      </c>
      <c r="R787" s="151"/>
      <c r="S787" s="151"/>
      <c r="T787" s="154">
        <v>0.35</v>
      </c>
      <c r="U787" s="134">
        <f>IF(AND($Q787&gt;0,ISNUMBER($T787)),$Q787*$T787,0)</f>
        <v>0</v>
      </c>
      <c r="V787" s="68">
        <f>SUM(W787:AB787)</f>
        <v>0</v>
      </c>
      <c r="W787" s="151"/>
      <c r="X787" s="151"/>
      <c r="Y787" s="151"/>
      <c r="Z787" s="151"/>
      <c r="AA787" s="151"/>
      <c r="AB787" s="151"/>
      <c r="AC787" s="151"/>
      <c r="AD787" s="75">
        <f>SUM(AE787:AJ787)</f>
        <v>0</v>
      </c>
      <c r="AE787" s="147"/>
      <c r="AF787" s="147"/>
      <c r="AG787" s="147"/>
      <c r="AH787" s="147"/>
      <c r="AI787" s="147"/>
      <c r="AJ787" s="147"/>
      <c r="AK787" s="147"/>
      <c r="AL787" s="77">
        <f>IF((P787-SUM(AE787:AK787))&lt;0,0,P787-SUM(AE787:AK787))</f>
        <v>1</v>
      </c>
      <c r="AM787" s="77">
        <f>SUM(AO787:AT787)</f>
        <v>0</v>
      </c>
      <c r="AN787" s="144"/>
      <c r="AO787" s="144"/>
      <c r="AP787" s="144"/>
      <c r="AQ787" s="144"/>
      <c r="AR787" s="144"/>
      <c r="AS787" s="144"/>
      <c r="AT787" s="144"/>
      <c r="AU787" s="144"/>
      <c r="AV787" s="151"/>
      <c r="AW787" s="144"/>
      <c r="AX787" s="144"/>
    </row>
    <row r="788" spans="1:50">
      <c r="A788" s="151" t="s">
        <v>2724</v>
      </c>
      <c r="B788" s="153" t="s">
        <v>46</v>
      </c>
      <c r="C788" s="144"/>
      <c r="D788" s="151" t="s">
        <v>47</v>
      </c>
      <c r="E788" s="151"/>
      <c r="F788" s="153">
        <v>2</v>
      </c>
      <c r="G788" s="151"/>
      <c r="H788" s="151"/>
      <c r="I788" s="151"/>
      <c r="J788" s="151"/>
      <c r="K788" s="144"/>
      <c r="L788" s="144"/>
      <c r="M788" s="144"/>
      <c r="N788" s="144"/>
      <c r="O788" s="151" t="s">
        <v>48</v>
      </c>
      <c r="P788" s="145">
        <v>1</v>
      </c>
      <c r="Q788" s="130">
        <f>MAX(0,$V788-$P788-$S788)</f>
        <v>0</v>
      </c>
      <c r="R788" s="151"/>
      <c r="S788" s="151"/>
      <c r="T788" s="154">
        <v>0.18</v>
      </c>
      <c r="U788" s="134">
        <f>IF(AND($Q788&gt;0,ISNUMBER($T788)),$Q788*$T788,0)</f>
        <v>0</v>
      </c>
      <c r="V788" s="68">
        <f>SUM(W788:AB788)</f>
        <v>0</v>
      </c>
      <c r="W788" s="151"/>
      <c r="X788" s="151"/>
      <c r="Y788" s="151"/>
      <c r="Z788" s="151"/>
      <c r="AA788" s="151"/>
      <c r="AB788" s="151"/>
      <c r="AC788" s="151"/>
      <c r="AD788" s="75">
        <f>SUM(AE788:AJ788)</f>
        <v>0</v>
      </c>
      <c r="AE788" s="76"/>
      <c r="AF788" s="76"/>
      <c r="AG788" s="76"/>
      <c r="AH788" s="76"/>
      <c r="AI788" s="76"/>
      <c r="AJ788" s="76"/>
      <c r="AK788" s="76"/>
      <c r="AL788" s="77">
        <f>IF((P788-SUM(AE788:AK788))&lt;0,0,P788-SUM(AE788:AK788))</f>
        <v>1</v>
      </c>
      <c r="AM788" s="77">
        <f>SUM(AO788:AT788)</f>
        <v>0</v>
      </c>
      <c r="AN788" s="144"/>
      <c r="AO788" s="144"/>
      <c r="AP788" s="144"/>
      <c r="AQ788" s="144"/>
      <c r="AR788" s="144"/>
      <c r="AS788" s="144"/>
      <c r="AT788" s="144"/>
      <c r="AU788" s="144"/>
      <c r="AV788" s="151"/>
      <c r="AW788" s="144"/>
      <c r="AX788" s="144"/>
    </row>
    <row r="789" spans="1:50">
      <c r="A789" s="151" t="s">
        <v>2725</v>
      </c>
      <c r="B789" s="153" t="s">
        <v>1499</v>
      </c>
      <c r="C789" s="144"/>
      <c r="D789" s="151" t="s">
        <v>64</v>
      </c>
      <c r="E789" s="151" t="s">
        <v>2008</v>
      </c>
      <c r="F789" s="153">
        <v>5</v>
      </c>
      <c r="G789" s="151"/>
      <c r="H789" s="151"/>
      <c r="I789" s="151"/>
      <c r="J789" s="151"/>
      <c r="K789" s="144"/>
      <c r="L789" s="144"/>
      <c r="M789" s="144"/>
      <c r="N789" s="144"/>
      <c r="O789" s="151" t="s">
        <v>48</v>
      </c>
      <c r="P789" s="145">
        <v>1</v>
      </c>
      <c r="Q789" s="130">
        <f>MAX(0,$V789-$P789-$S789)</f>
        <v>0</v>
      </c>
      <c r="R789" s="151"/>
      <c r="S789" s="151"/>
      <c r="T789" s="154">
        <v>0.26</v>
      </c>
      <c r="U789" s="134">
        <f>IF(AND($Q789&gt;0,ISNUMBER($T789)),$Q789*$T789,0)</f>
        <v>0</v>
      </c>
      <c r="V789" s="68">
        <f>SUM(W789:AB789)</f>
        <v>0</v>
      </c>
      <c r="W789" s="151"/>
      <c r="X789" s="151"/>
      <c r="Y789" s="151"/>
      <c r="Z789" s="151"/>
      <c r="AA789" s="151"/>
      <c r="AB789" s="151"/>
      <c r="AC789" s="151"/>
      <c r="AD789" s="75">
        <f>SUM(AE789:AJ789)</f>
        <v>0</v>
      </c>
      <c r="AE789" s="147"/>
      <c r="AF789" s="147"/>
      <c r="AG789" s="147"/>
      <c r="AH789" s="147"/>
      <c r="AI789" s="147"/>
      <c r="AJ789" s="147"/>
      <c r="AK789" s="147"/>
      <c r="AL789" s="77">
        <f>IF((P789-SUM(AE789:AK789))&lt;0,0,P789-SUM(AE789:AK789))</f>
        <v>1</v>
      </c>
      <c r="AM789" s="77">
        <f>SUM(AO789:AT789)</f>
        <v>0</v>
      </c>
      <c r="AN789" s="144"/>
      <c r="AO789" s="144"/>
      <c r="AP789" s="144"/>
      <c r="AQ789" s="144"/>
      <c r="AR789" s="144"/>
      <c r="AS789" s="144"/>
      <c r="AT789" s="144"/>
      <c r="AU789" s="144"/>
      <c r="AV789" s="151"/>
      <c r="AW789" s="144"/>
      <c r="AX789" s="144"/>
    </row>
    <row r="790" spans="1:50">
      <c r="A790" s="151" t="s">
        <v>2726</v>
      </c>
      <c r="B790" s="153" t="s">
        <v>1114</v>
      </c>
      <c r="C790" s="144"/>
      <c r="D790" s="151" t="s">
        <v>47</v>
      </c>
      <c r="E790" s="151"/>
      <c r="F790" s="153">
        <v>4</v>
      </c>
      <c r="G790" s="151"/>
      <c r="H790" s="151"/>
      <c r="I790" s="151"/>
      <c r="J790" s="151"/>
      <c r="K790" s="144"/>
      <c r="L790" s="144"/>
      <c r="M790" s="144"/>
      <c r="N790" s="144"/>
      <c r="O790" s="151" t="s">
        <v>981</v>
      </c>
      <c r="P790" s="145">
        <v>1</v>
      </c>
      <c r="Q790" s="130">
        <f>MAX(0,$V790-$P790-$S790)</f>
        <v>0</v>
      </c>
      <c r="R790" s="151"/>
      <c r="S790" s="151"/>
      <c r="T790" s="154">
        <v>0.31</v>
      </c>
      <c r="U790" s="134">
        <f>IF(AND($Q790&gt;0,ISNUMBER($T790)),$Q790*$T790,0)</f>
        <v>0</v>
      </c>
      <c r="V790" s="68">
        <f>SUM(W790:AB790)</f>
        <v>0</v>
      </c>
      <c r="W790" s="151"/>
      <c r="X790" s="151"/>
      <c r="Y790" s="151"/>
      <c r="Z790" s="151"/>
      <c r="AA790" s="151"/>
      <c r="AB790" s="151"/>
      <c r="AC790" s="151"/>
      <c r="AD790" s="75">
        <f>SUM(AE790:AJ790)</f>
        <v>0</v>
      </c>
      <c r="AE790" s="76"/>
      <c r="AF790" s="76"/>
      <c r="AG790" s="76"/>
      <c r="AH790" s="76"/>
      <c r="AI790" s="76"/>
      <c r="AJ790" s="76"/>
      <c r="AK790" s="76"/>
      <c r="AL790" s="77">
        <f>IF((P790-SUM(AE790:AK790))&lt;0,0,P790-SUM(AE790:AK790))</f>
        <v>1</v>
      </c>
      <c r="AM790" s="77">
        <f>SUM(AO790:AT790)</f>
        <v>0</v>
      </c>
      <c r="AN790" s="144"/>
      <c r="AO790" s="144"/>
      <c r="AP790" s="144"/>
      <c r="AQ790" s="144"/>
      <c r="AR790" s="144"/>
      <c r="AS790" s="144"/>
      <c r="AT790" s="144"/>
      <c r="AU790" s="144"/>
      <c r="AV790" s="151"/>
      <c r="AW790" s="144"/>
      <c r="AX790" s="144"/>
    </row>
    <row r="791" spans="1:50">
      <c r="A791" s="151" t="s">
        <v>2727</v>
      </c>
      <c r="B791" s="153" t="s">
        <v>1499</v>
      </c>
      <c r="C791" s="144"/>
      <c r="D791" s="151" t="s">
        <v>64</v>
      </c>
      <c r="E791" s="151" t="s">
        <v>2111</v>
      </c>
      <c r="F791" s="153">
        <v>3</v>
      </c>
      <c r="G791" s="151"/>
      <c r="H791" s="151"/>
      <c r="I791" s="151"/>
      <c r="J791" s="151"/>
      <c r="K791" s="144"/>
      <c r="L791" s="144"/>
      <c r="M791" s="144"/>
      <c r="N791" s="144"/>
      <c r="O791" s="151" t="s">
        <v>981</v>
      </c>
      <c r="P791" s="145">
        <v>1</v>
      </c>
      <c r="Q791" s="130">
        <f>MAX(0,$V791-$P791-$S791)</f>
        <v>0</v>
      </c>
      <c r="R791" s="151"/>
      <c r="S791" s="151"/>
      <c r="T791" s="154">
        <v>0.21</v>
      </c>
      <c r="U791" s="134">
        <f>IF(AND($Q791&gt;0,ISNUMBER($T791)),$Q791*$T791,0)</f>
        <v>0</v>
      </c>
      <c r="V791" s="68">
        <f>SUM(W791:AB791)</f>
        <v>0</v>
      </c>
      <c r="W791" s="151"/>
      <c r="X791" s="151"/>
      <c r="Y791" s="151"/>
      <c r="Z791" s="151"/>
      <c r="AA791" s="151"/>
      <c r="AB791" s="151"/>
      <c r="AC791" s="151"/>
      <c r="AD791" s="75">
        <f>SUM(AE791:AJ791)</f>
        <v>0</v>
      </c>
      <c r="AE791" s="147"/>
      <c r="AF791" s="147"/>
      <c r="AG791" s="147"/>
      <c r="AH791" s="147"/>
      <c r="AI791" s="147"/>
      <c r="AJ791" s="147"/>
      <c r="AK791" s="147"/>
      <c r="AL791" s="77">
        <f>IF((P791-SUM(AE791:AK791))&lt;0,0,P791-SUM(AE791:AK791))</f>
        <v>1</v>
      </c>
      <c r="AM791" s="77">
        <f>SUM(AO791:AT791)</f>
        <v>0</v>
      </c>
      <c r="AN791" s="144"/>
      <c r="AO791" s="144"/>
      <c r="AP791" s="144"/>
      <c r="AQ791" s="144"/>
      <c r="AR791" s="144"/>
      <c r="AS791" s="144"/>
      <c r="AT791" s="144"/>
      <c r="AU791" s="144"/>
      <c r="AV791" s="151"/>
      <c r="AW791" s="144"/>
      <c r="AX791" s="144"/>
    </row>
    <row r="792" spans="1:50">
      <c r="A792" s="151" t="s">
        <v>2728</v>
      </c>
      <c r="B792" s="153" t="s">
        <v>636</v>
      </c>
      <c r="C792" s="144"/>
      <c r="D792" s="151" t="s">
        <v>47</v>
      </c>
      <c r="E792" s="151"/>
      <c r="F792" s="153">
        <v>3</v>
      </c>
      <c r="G792" s="151"/>
      <c r="H792" s="151"/>
      <c r="I792" s="151"/>
      <c r="J792" s="151"/>
      <c r="K792" s="144"/>
      <c r="L792" s="144"/>
      <c r="M792" s="144"/>
      <c r="N792" s="144"/>
      <c r="O792" s="151" t="s">
        <v>981</v>
      </c>
      <c r="P792" s="145">
        <v>1</v>
      </c>
      <c r="Q792" s="130">
        <f>MAX(0,$V792-$P792-$S792)</f>
        <v>0</v>
      </c>
      <c r="R792" s="151"/>
      <c r="S792" s="151"/>
      <c r="T792" s="154">
        <v>0.22</v>
      </c>
      <c r="U792" s="134">
        <f>IF(AND($Q792&gt;0,ISNUMBER($T792)),$Q792*$T792,0)</f>
        <v>0</v>
      </c>
      <c r="V792" s="68">
        <f>SUM(W792:AB792)</f>
        <v>0</v>
      </c>
      <c r="W792" s="151"/>
      <c r="X792" s="151"/>
      <c r="Y792" s="151"/>
      <c r="Z792" s="151"/>
      <c r="AA792" s="151"/>
      <c r="AB792" s="151"/>
      <c r="AC792" s="151"/>
      <c r="AD792" s="75">
        <f>SUM(AE792:AJ792)</f>
        <v>0</v>
      </c>
      <c r="AE792" s="76"/>
      <c r="AF792" s="76"/>
      <c r="AG792" s="76"/>
      <c r="AH792" s="76"/>
      <c r="AI792" s="76"/>
      <c r="AJ792" s="76"/>
      <c r="AK792" s="76"/>
      <c r="AL792" s="77">
        <f>IF((P792-SUM(AE792:AK792))&lt;0,0,P792-SUM(AE792:AK792))</f>
        <v>1</v>
      </c>
      <c r="AM792" s="77">
        <f>SUM(AO792:AT792)</f>
        <v>0</v>
      </c>
      <c r="AN792" s="144"/>
      <c r="AO792" s="144"/>
      <c r="AP792" s="144"/>
      <c r="AQ792" s="144"/>
      <c r="AR792" s="144"/>
      <c r="AS792" s="144"/>
      <c r="AT792" s="144"/>
      <c r="AU792" s="144"/>
      <c r="AV792" s="151"/>
      <c r="AW792" s="144"/>
      <c r="AX792" s="144"/>
    </row>
    <row r="793" spans="1:50">
      <c r="A793" s="151" t="s">
        <v>2729</v>
      </c>
      <c r="B793" s="153" t="s">
        <v>636</v>
      </c>
      <c r="C793" s="144"/>
      <c r="D793" s="151" t="s">
        <v>64</v>
      </c>
      <c r="E793" s="144" t="s">
        <v>1189</v>
      </c>
      <c r="F793" s="145">
        <v>3</v>
      </c>
      <c r="G793" s="144"/>
      <c r="H793" s="144"/>
      <c r="I793" s="144"/>
      <c r="J793" s="144"/>
      <c r="K793" s="144"/>
      <c r="L793" s="144"/>
      <c r="M793" s="144"/>
      <c r="N793" s="144"/>
      <c r="O793" s="144" t="s">
        <v>48</v>
      </c>
      <c r="P793" s="145">
        <v>1</v>
      </c>
      <c r="Q793" s="130">
        <f>MAX(0,$V793-$P793-$S793)</f>
        <v>0</v>
      </c>
      <c r="R793" s="144"/>
      <c r="S793" s="144"/>
      <c r="T793" s="146">
        <v>1.37</v>
      </c>
      <c r="U793" s="134">
        <f>IF(AND($Q793&gt;0,ISNUMBER($T793)),$Q793*$T793,0)</f>
        <v>0</v>
      </c>
      <c r="V793" s="68">
        <f>SUM(W793:AB793)</f>
        <v>0</v>
      </c>
      <c r="W793" s="144"/>
      <c r="X793" s="144"/>
      <c r="Y793" s="144"/>
      <c r="Z793" s="144"/>
      <c r="AA793" s="144"/>
      <c r="AB793" s="144"/>
      <c r="AC793" s="144"/>
      <c r="AD793" s="75">
        <f>SUM(AE793:AJ793)</f>
        <v>0</v>
      </c>
      <c r="AE793" s="147"/>
      <c r="AF793" s="147"/>
      <c r="AG793" s="147"/>
      <c r="AH793" s="147"/>
      <c r="AI793" s="147"/>
      <c r="AJ793" s="147"/>
      <c r="AK793" s="147"/>
      <c r="AL793" s="77">
        <f>IF((P793-SUM(AE793:AK793))&lt;0,0,P793-SUM(AE793:AK793))</f>
        <v>1</v>
      </c>
      <c r="AM793" s="77">
        <f>SUM(AO793:AT793)</f>
        <v>0</v>
      </c>
      <c r="AN793" s="144"/>
      <c r="AO793" s="144"/>
      <c r="AP793" s="144"/>
      <c r="AQ793" s="144"/>
      <c r="AR793" s="144"/>
      <c r="AS793" s="144"/>
      <c r="AT793" s="144"/>
      <c r="AU793" s="144"/>
      <c r="AV793" s="144"/>
      <c r="AW793" s="144"/>
      <c r="AX793" s="144"/>
    </row>
    <row r="794" spans="1:50">
      <c r="A794" s="144" t="s">
        <v>2730</v>
      </c>
      <c r="B794" s="145" t="s">
        <v>46</v>
      </c>
      <c r="C794" s="144"/>
      <c r="D794" s="144" t="s">
        <v>175</v>
      </c>
      <c r="E794" s="144" t="s">
        <v>390</v>
      </c>
      <c r="F794" s="145">
        <v>3</v>
      </c>
      <c r="G794" s="144"/>
      <c r="H794" s="144"/>
      <c r="I794" s="144"/>
      <c r="J794" s="144"/>
      <c r="K794" s="144"/>
      <c r="L794" s="144"/>
      <c r="M794" s="144"/>
      <c r="N794" s="144"/>
      <c r="O794" s="144" t="s">
        <v>136</v>
      </c>
      <c r="P794" s="145">
        <v>1</v>
      </c>
      <c r="Q794" s="130">
        <f>MAX(0,$V794-$P794-$S794)</f>
        <v>0</v>
      </c>
      <c r="R794" s="144"/>
      <c r="S794" s="144"/>
      <c r="T794" s="146">
        <v>0.15</v>
      </c>
      <c r="U794" s="134">
        <f>IF(AND($Q794&gt;0,ISNUMBER($T794)),$Q794*$T794,0)</f>
        <v>0</v>
      </c>
      <c r="V794" s="68">
        <f>SUM(W794:AB794)</f>
        <v>0</v>
      </c>
      <c r="W794" s="144"/>
      <c r="X794" s="144"/>
      <c r="Y794" s="144"/>
      <c r="Z794" s="144"/>
      <c r="AA794" s="144"/>
      <c r="AB794" s="144"/>
      <c r="AC794" s="144"/>
      <c r="AD794" s="75">
        <f>SUM(AE794:AJ794)</f>
        <v>0</v>
      </c>
      <c r="AE794" s="76"/>
      <c r="AF794" s="76"/>
      <c r="AG794" s="76"/>
      <c r="AH794" s="76"/>
      <c r="AI794" s="76"/>
      <c r="AJ794" s="76"/>
      <c r="AK794" s="76"/>
      <c r="AL794" s="77">
        <f>IF((P794-SUM(AE794:AK794))&lt;0,0,P794-SUM(AE794:AK794))</f>
        <v>1</v>
      </c>
      <c r="AM794" s="77">
        <f>SUM(AO794:AT794)</f>
        <v>0</v>
      </c>
      <c r="AN794" s="144"/>
      <c r="AO794" s="144"/>
      <c r="AP794" s="144"/>
      <c r="AQ794" s="144"/>
      <c r="AR794" s="144"/>
      <c r="AS794" s="144"/>
      <c r="AT794" s="144"/>
      <c r="AU794" s="144"/>
      <c r="AV794" s="144"/>
      <c r="AW794" s="144"/>
      <c r="AX794" s="144"/>
    </row>
    <row r="795" spans="1:50">
      <c r="A795" s="144" t="s">
        <v>2731</v>
      </c>
      <c r="B795" s="145" t="s">
        <v>1971</v>
      </c>
      <c r="C795" s="144"/>
      <c r="D795" s="144" t="s">
        <v>47</v>
      </c>
      <c r="E795" s="144"/>
      <c r="F795" s="145">
        <v>1</v>
      </c>
      <c r="G795" s="144"/>
      <c r="H795" s="144"/>
      <c r="I795" s="144"/>
      <c r="J795" s="144"/>
      <c r="K795" s="144"/>
      <c r="L795" s="144"/>
      <c r="M795" s="144"/>
      <c r="N795" s="144"/>
      <c r="O795" s="144" t="s">
        <v>981</v>
      </c>
      <c r="P795" s="145">
        <v>1</v>
      </c>
      <c r="Q795" s="130">
        <f>MAX(0,$V795-$P795-$S795)</f>
        <v>0</v>
      </c>
      <c r="R795" s="144"/>
      <c r="S795" s="144"/>
      <c r="T795" s="146">
        <v>0.36</v>
      </c>
      <c r="U795" s="134">
        <f>IF(AND($Q795&gt;0,ISNUMBER($T795)),$Q795*$T795,0)</f>
        <v>0</v>
      </c>
      <c r="V795" s="68">
        <f>SUM(W795:AB795)</f>
        <v>0</v>
      </c>
      <c r="W795" s="144"/>
      <c r="X795" s="144"/>
      <c r="Y795" s="144"/>
      <c r="Z795" s="144"/>
      <c r="AA795" s="144"/>
      <c r="AB795" s="144"/>
      <c r="AC795" s="144"/>
      <c r="AD795" s="75">
        <f>SUM(AE795:AJ795)</f>
        <v>0</v>
      </c>
      <c r="AE795" s="147"/>
      <c r="AF795" s="147"/>
      <c r="AG795" s="147"/>
      <c r="AH795" s="147"/>
      <c r="AI795" s="147"/>
      <c r="AJ795" s="147"/>
      <c r="AK795" s="147"/>
      <c r="AL795" s="77">
        <f>IF((P795-SUM(AE795:AK795))&lt;0,0,P795-SUM(AE795:AK795))</f>
        <v>1</v>
      </c>
      <c r="AM795" s="77">
        <f>SUM(AO795:AT795)</f>
        <v>0</v>
      </c>
      <c r="AN795" s="151"/>
      <c r="AO795" s="151"/>
      <c r="AP795" s="144"/>
      <c r="AQ795" s="144"/>
      <c r="AR795" s="144"/>
      <c r="AS795" s="144"/>
      <c r="AT795" s="144"/>
      <c r="AU795" s="151"/>
      <c r="AV795" s="144"/>
      <c r="AW795" s="144"/>
      <c r="AX795" s="144"/>
    </row>
    <row r="796" spans="1:50">
      <c r="A796" s="144" t="s">
        <v>2732</v>
      </c>
      <c r="B796" s="145" t="s">
        <v>919</v>
      </c>
      <c r="C796" s="144"/>
      <c r="D796" s="144" t="s">
        <v>627</v>
      </c>
      <c r="E796" s="144"/>
      <c r="F796" s="145">
        <v>0</v>
      </c>
      <c r="G796" s="144"/>
      <c r="H796" s="144"/>
      <c r="I796" s="144"/>
      <c r="J796" s="144"/>
      <c r="K796" s="144"/>
      <c r="L796" s="144"/>
      <c r="M796" s="144"/>
      <c r="N796" s="144"/>
      <c r="O796" s="144" t="s">
        <v>48</v>
      </c>
      <c r="P796" s="145">
        <v>1</v>
      </c>
      <c r="Q796" s="130">
        <f>MAX(0,$V796-$P796-$S796)</f>
        <v>0</v>
      </c>
      <c r="R796" s="144"/>
      <c r="S796" s="144"/>
      <c r="T796" s="146">
        <v>0.72</v>
      </c>
      <c r="U796" s="134">
        <f>IF(AND($Q796&gt;0,ISNUMBER($T796)),$Q796*$T796,0)</f>
        <v>0</v>
      </c>
      <c r="V796" s="68">
        <f>SUM(W796:AB796)</f>
        <v>0</v>
      </c>
      <c r="W796" s="144"/>
      <c r="X796" s="144"/>
      <c r="Y796" s="144"/>
      <c r="Z796" s="144"/>
      <c r="AA796" s="144"/>
      <c r="AB796" s="144"/>
      <c r="AC796" s="144"/>
      <c r="AD796" s="75">
        <f>SUM(AE796:AJ796)</f>
        <v>0</v>
      </c>
      <c r="AE796" s="76"/>
      <c r="AF796" s="76"/>
      <c r="AG796" s="76"/>
      <c r="AH796" s="76"/>
      <c r="AI796" s="76"/>
      <c r="AJ796" s="76"/>
      <c r="AK796" s="76"/>
      <c r="AL796" s="77">
        <f>IF((P796-SUM(AE796:AK796))&lt;0,0,P796-SUM(AE796:AK796))</f>
        <v>1</v>
      </c>
      <c r="AM796" s="77">
        <f>SUM(AO796:AT796)</f>
        <v>0</v>
      </c>
      <c r="AN796" s="144"/>
      <c r="AO796" s="144"/>
      <c r="AP796" s="144"/>
      <c r="AQ796" s="144"/>
      <c r="AR796" s="144"/>
      <c r="AS796" s="144"/>
      <c r="AT796" s="144"/>
      <c r="AU796" s="144"/>
      <c r="AV796" s="144"/>
      <c r="AW796" s="144"/>
      <c r="AX796" s="144"/>
    </row>
    <row r="797" spans="1:50">
      <c r="A797" s="144" t="s">
        <v>2733</v>
      </c>
      <c r="B797" s="145" t="s">
        <v>1831</v>
      </c>
      <c r="C797" s="144"/>
      <c r="D797" s="144" t="s">
        <v>64</v>
      </c>
      <c r="E797" s="144" t="s">
        <v>2776</v>
      </c>
      <c r="F797" s="145">
        <v>2</v>
      </c>
      <c r="G797" s="144"/>
      <c r="H797" s="144"/>
      <c r="I797" s="144"/>
      <c r="J797" s="144"/>
      <c r="K797" s="144"/>
      <c r="L797" s="144"/>
      <c r="M797" s="144"/>
      <c r="N797" s="144"/>
      <c r="O797" s="144" t="s">
        <v>136</v>
      </c>
      <c r="P797" s="145">
        <v>1</v>
      </c>
      <c r="Q797" s="130">
        <f>MAX(0,$V797-$P797-$S797)</f>
        <v>0</v>
      </c>
      <c r="R797" s="144"/>
      <c r="S797" s="144"/>
      <c r="T797" s="146">
        <v>0.1</v>
      </c>
      <c r="U797" s="134">
        <f>IF(AND($Q797&gt;0,ISNUMBER($T797)),$Q797*$T797,0)</f>
        <v>0</v>
      </c>
      <c r="V797" s="68">
        <f>SUM(W797:AB797)</f>
        <v>0</v>
      </c>
      <c r="W797" s="144"/>
      <c r="X797" s="144"/>
      <c r="Y797" s="144"/>
      <c r="Z797" s="144"/>
      <c r="AA797" s="144"/>
      <c r="AB797" s="144"/>
      <c r="AC797" s="144"/>
      <c r="AD797" s="75">
        <f>SUM(AE797:AJ797)</f>
        <v>0</v>
      </c>
      <c r="AE797" s="147"/>
      <c r="AF797" s="147"/>
      <c r="AG797" s="147"/>
      <c r="AH797" s="147"/>
      <c r="AI797" s="147"/>
      <c r="AJ797" s="147"/>
      <c r="AK797" s="147"/>
      <c r="AL797" s="77">
        <f>IF((P797-SUM(AE797:AK797))&lt;0,0,P797-SUM(AE797:AK797))</f>
        <v>1</v>
      </c>
      <c r="AM797" s="77">
        <f>SUM(AO797:AT797)</f>
        <v>0</v>
      </c>
      <c r="AN797" s="144"/>
      <c r="AO797" s="144"/>
      <c r="AP797" s="144"/>
      <c r="AQ797" s="144"/>
      <c r="AR797" s="144"/>
      <c r="AS797" s="144"/>
      <c r="AT797" s="144"/>
      <c r="AU797" s="144"/>
      <c r="AV797" s="144"/>
      <c r="AW797" s="144"/>
      <c r="AX797" s="144"/>
    </row>
    <row r="798" spans="1:50">
      <c r="A798" s="144" t="s">
        <v>2734</v>
      </c>
      <c r="B798" s="145" t="s">
        <v>1499</v>
      </c>
      <c r="C798" s="144"/>
      <c r="D798" s="144" t="s">
        <v>64</v>
      </c>
      <c r="E798" s="144" t="s">
        <v>2777</v>
      </c>
      <c r="F798" s="145">
        <v>2</v>
      </c>
      <c r="G798" s="144"/>
      <c r="H798" s="144"/>
      <c r="I798" s="144"/>
      <c r="J798" s="144"/>
      <c r="K798" s="144"/>
      <c r="L798" s="144"/>
      <c r="M798" s="144"/>
      <c r="N798" s="144"/>
      <c r="O798" s="144" t="s">
        <v>981</v>
      </c>
      <c r="P798" s="145">
        <v>1</v>
      </c>
      <c r="Q798" s="130">
        <f>MAX(0,$V798-$P798-$S798)</f>
        <v>0</v>
      </c>
      <c r="R798" s="144"/>
      <c r="S798" s="144"/>
      <c r="T798" s="146">
        <v>0.05</v>
      </c>
      <c r="U798" s="134">
        <f>IF(AND($Q798&gt;0,ISNUMBER($T798)),$Q798*$T798,0)</f>
        <v>0</v>
      </c>
      <c r="V798" s="68">
        <f>SUM(W798:AB798)</f>
        <v>0</v>
      </c>
      <c r="W798" s="144"/>
      <c r="X798" s="144"/>
      <c r="Y798" s="144"/>
      <c r="Z798" s="144"/>
      <c r="AA798" s="144"/>
      <c r="AB798" s="144"/>
      <c r="AC798" s="144"/>
      <c r="AD798" s="75">
        <f>SUM(AE798:AJ798)</f>
        <v>0</v>
      </c>
      <c r="AE798" s="76"/>
      <c r="AF798" s="76"/>
      <c r="AG798" s="76"/>
      <c r="AH798" s="76"/>
      <c r="AI798" s="76"/>
      <c r="AJ798" s="76"/>
      <c r="AK798" s="76"/>
      <c r="AL798" s="77">
        <f>IF((P798-SUM(AE798:AK798))&lt;0,0,P798-SUM(AE798:AK798))</f>
        <v>1</v>
      </c>
      <c r="AM798" s="77">
        <f>SUM(AO798:AT798)</f>
        <v>0</v>
      </c>
      <c r="AN798" s="144"/>
      <c r="AO798" s="144"/>
      <c r="AP798" s="144"/>
      <c r="AQ798" s="144"/>
      <c r="AR798" s="144"/>
      <c r="AS798" s="144"/>
      <c r="AT798" s="144"/>
      <c r="AU798" s="144"/>
      <c r="AV798" s="144"/>
      <c r="AW798" s="144"/>
      <c r="AX798" s="144"/>
    </row>
    <row r="799" spans="1:50">
      <c r="A799" s="144" t="s">
        <v>2735</v>
      </c>
      <c r="B799" s="145" t="s">
        <v>1499</v>
      </c>
      <c r="C799" s="144"/>
      <c r="D799" s="144" t="s">
        <v>64</v>
      </c>
      <c r="E799" s="144" t="s">
        <v>1692</v>
      </c>
      <c r="F799" s="145">
        <v>2</v>
      </c>
      <c r="G799" s="144"/>
      <c r="H799" s="144"/>
      <c r="I799" s="144"/>
      <c r="J799" s="144"/>
      <c r="K799" s="144"/>
      <c r="L799" s="144"/>
      <c r="M799" s="144"/>
      <c r="N799" s="144"/>
      <c r="O799" s="144" t="s">
        <v>48</v>
      </c>
      <c r="P799" s="145">
        <v>1</v>
      </c>
      <c r="Q799" s="130">
        <f>MAX(0,$V799-$P799-$S799)</f>
        <v>0</v>
      </c>
      <c r="R799" s="144"/>
      <c r="S799" s="144"/>
      <c r="T799" s="146">
        <v>0.1</v>
      </c>
      <c r="U799" s="134">
        <f>IF(AND($Q799&gt;0,ISNUMBER($T799)),$Q799*$T799,0)</f>
        <v>0</v>
      </c>
      <c r="V799" s="68">
        <f>SUM(W799:AB799)</f>
        <v>0</v>
      </c>
      <c r="W799" s="144"/>
      <c r="X799" s="144"/>
      <c r="Y799" s="144"/>
      <c r="Z799" s="144"/>
      <c r="AA799" s="144"/>
      <c r="AB799" s="144"/>
      <c r="AC799" s="144"/>
      <c r="AD799" s="75">
        <f>SUM(AE799:AJ799)</f>
        <v>0</v>
      </c>
      <c r="AE799" s="147"/>
      <c r="AF799" s="147"/>
      <c r="AG799" s="147"/>
      <c r="AH799" s="147"/>
      <c r="AI799" s="147"/>
      <c r="AJ799" s="147"/>
      <c r="AK799" s="147"/>
      <c r="AL799" s="77">
        <f>IF((P799-SUM(AE799:AK799))&lt;0,0,P799-SUM(AE799:AK799))</f>
        <v>1</v>
      </c>
      <c r="AM799" s="77">
        <f>SUM(AO799:AT799)</f>
        <v>0</v>
      </c>
      <c r="AN799" s="144"/>
      <c r="AO799" s="144"/>
      <c r="AP799" s="144"/>
      <c r="AQ799" s="144"/>
      <c r="AR799" s="144"/>
      <c r="AS799" s="144"/>
      <c r="AT799" s="144"/>
      <c r="AU799" s="144"/>
      <c r="AV799" s="144"/>
      <c r="AW799" s="144"/>
      <c r="AX799" s="144"/>
    </row>
    <row r="800" spans="1:50">
      <c r="A800" s="144" t="s">
        <v>2736</v>
      </c>
      <c r="B800" s="145" t="s">
        <v>1499</v>
      </c>
      <c r="C800" s="144"/>
      <c r="D800" s="144" t="s">
        <v>64</v>
      </c>
      <c r="E800" s="144" t="s">
        <v>1588</v>
      </c>
      <c r="F800" s="145">
        <v>4</v>
      </c>
      <c r="G800" s="144"/>
      <c r="H800" s="144"/>
      <c r="I800" s="144"/>
      <c r="J800" s="144"/>
      <c r="K800" s="144"/>
      <c r="L800" s="144"/>
      <c r="M800" s="144"/>
      <c r="N800" s="144"/>
      <c r="O800" s="144" t="s">
        <v>48</v>
      </c>
      <c r="P800" s="145">
        <v>1</v>
      </c>
      <c r="Q800" s="130">
        <f>MAX(0,$V800-$P800-$S800)</f>
        <v>0</v>
      </c>
      <c r="R800" s="144"/>
      <c r="S800" s="144"/>
      <c r="T800" s="146">
        <v>0.12</v>
      </c>
      <c r="U800" s="134">
        <f>IF(AND($Q800&gt;0,ISNUMBER($T800)),$Q800*$T800,0)</f>
        <v>0</v>
      </c>
      <c r="V800" s="68">
        <f>SUM(W800:AB800)</f>
        <v>0</v>
      </c>
      <c r="W800" s="144"/>
      <c r="X800" s="144"/>
      <c r="Y800" s="144"/>
      <c r="Z800" s="144"/>
      <c r="AA800" s="144"/>
      <c r="AB800" s="144"/>
      <c r="AC800" s="144"/>
      <c r="AD800" s="75">
        <f>SUM(AE800:AJ800)</f>
        <v>0</v>
      </c>
      <c r="AE800" s="76"/>
      <c r="AF800" s="76"/>
      <c r="AG800" s="76"/>
      <c r="AH800" s="76"/>
      <c r="AI800" s="76"/>
      <c r="AJ800" s="76"/>
      <c r="AK800" s="76"/>
      <c r="AL800" s="77">
        <f>IF((P800-SUM(AE800:AK800))&lt;0,0,P800-SUM(AE800:AK800))</f>
        <v>1</v>
      </c>
      <c r="AM800" s="77">
        <f>SUM(AO800:AT800)</f>
        <v>0</v>
      </c>
      <c r="AN800" s="144"/>
      <c r="AO800" s="144"/>
      <c r="AP800" s="144"/>
      <c r="AQ800" s="144"/>
      <c r="AR800" s="144"/>
      <c r="AS800" s="144"/>
      <c r="AT800" s="144"/>
      <c r="AU800" s="144"/>
      <c r="AV800" s="144"/>
      <c r="AW800" s="144"/>
      <c r="AX800" s="144"/>
    </row>
    <row r="801" spans="1:50">
      <c r="A801" s="144" t="s">
        <v>2737</v>
      </c>
      <c r="B801" s="145" t="s">
        <v>636</v>
      </c>
      <c r="C801" s="144"/>
      <c r="D801" s="144" t="s">
        <v>47</v>
      </c>
      <c r="E801" s="144"/>
      <c r="F801" s="145">
        <v>2</v>
      </c>
      <c r="G801" s="144"/>
      <c r="H801" s="144"/>
      <c r="I801" s="144"/>
      <c r="J801" s="144"/>
      <c r="K801" s="144"/>
      <c r="L801" s="144"/>
      <c r="M801" s="144"/>
      <c r="N801" s="144"/>
      <c r="O801" s="144" t="s">
        <v>981</v>
      </c>
      <c r="P801" s="145">
        <v>1</v>
      </c>
      <c r="Q801" s="130">
        <f>MAX(0,$V801-$P801-$S801)</f>
        <v>0</v>
      </c>
      <c r="R801" s="144"/>
      <c r="S801" s="144"/>
      <c r="T801" s="146">
        <v>0.11</v>
      </c>
      <c r="U801" s="134">
        <f>IF(AND($Q801&gt;0,ISNUMBER($T801)),$Q801*$T801,0)</f>
        <v>0</v>
      </c>
      <c r="V801" s="68">
        <f>SUM(W801:AB801)</f>
        <v>0</v>
      </c>
      <c r="W801" s="144"/>
      <c r="X801" s="144"/>
      <c r="Y801" s="144"/>
      <c r="Z801" s="144"/>
      <c r="AA801" s="144"/>
      <c r="AB801" s="144"/>
      <c r="AC801" s="144"/>
      <c r="AD801" s="75">
        <f>SUM(AE801:AJ801)</f>
        <v>0</v>
      </c>
      <c r="AE801" s="147"/>
      <c r="AF801" s="147"/>
      <c r="AG801" s="147"/>
      <c r="AH801" s="147"/>
      <c r="AI801" s="147"/>
      <c r="AJ801" s="147"/>
      <c r="AK801" s="147"/>
      <c r="AL801" s="77">
        <f>IF((P801-SUM(AE801:AK801))&lt;0,0,P801-SUM(AE801:AK801))</f>
        <v>1</v>
      </c>
      <c r="AM801" s="77">
        <f>SUM(AO801:AT801)</f>
        <v>0</v>
      </c>
      <c r="AN801" s="144"/>
      <c r="AO801" s="144"/>
      <c r="AP801" s="144"/>
      <c r="AQ801" s="144"/>
      <c r="AR801" s="144"/>
      <c r="AS801" s="144"/>
      <c r="AT801" s="144"/>
      <c r="AU801" s="144"/>
      <c r="AV801" s="144"/>
      <c r="AW801" s="144"/>
      <c r="AX801" s="144"/>
    </row>
    <row r="802" spans="1:50">
      <c r="A802" s="144" t="s">
        <v>2738</v>
      </c>
      <c r="B802" s="145" t="s">
        <v>1831</v>
      </c>
      <c r="C802" s="144"/>
      <c r="D802" s="144" t="s">
        <v>72</v>
      </c>
      <c r="E802" s="144"/>
      <c r="F802" s="145">
        <v>1</v>
      </c>
      <c r="G802" s="144"/>
      <c r="H802" s="144"/>
      <c r="I802" s="144"/>
      <c r="J802" s="144"/>
      <c r="K802" s="144"/>
      <c r="L802" s="144"/>
      <c r="M802" s="144"/>
      <c r="N802" s="144"/>
      <c r="O802" s="144" t="s">
        <v>981</v>
      </c>
      <c r="P802" s="145">
        <v>1</v>
      </c>
      <c r="Q802" s="130">
        <f>MAX(0,$V802-$P802-$S802)</f>
        <v>0</v>
      </c>
      <c r="R802" s="144"/>
      <c r="S802" s="144"/>
      <c r="T802" s="146">
        <v>0.23</v>
      </c>
      <c r="U802" s="134">
        <f>IF(AND($Q802&gt;0,ISNUMBER($T802)),$Q802*$T802,0)</f>
        <v>0</v>
      </c>
      <c r="V802" s="68">
        <f>SUM(W802:AB802)</f>
        <v>0</v>
      </c>
      <c r="W802" s="144"/>
      <c r="X802" s="144"/>
      <c r="Y802" s="144"/>
      <c r="Z802" s="144"/>
      <c r="AA802" s="144"/>
      <c r="AB802" s="144"/>
      <c r="AC802" s="144"/>
      <c r="AD802" s="75">
        <f>SUM(AE802:AJ802)</f>
        <v>0</v>
      </c>
      <c r="AE802" s="76"/>
      <c r="AF802" s="76"/>
      <c r="AG802" s="76"/>
      <c r="AH802" s="76"/>
      <c r="AI802" s="76"/>
      <c r="AJ802" s="76"/>
      <c r="AK802" s="76"/>
      <c r="AL802" s="77">
        <f>IF((P802-SUM(AE802:AK802))&lt;0,0,P802-SUM(AE802:AK802))</f>
        <v>1</v>
      </c>
      <c r="AM802" s="77">
        <f>SUM(AO802:AT802)</f>
        <v>0</v>
      </c>
      <c r="AN802" s="144"/>
      <c r="AO802" s="144"/>
      <c r="AP802" s="144"/>
      <c r="AQ802" s="144"/>
      <c r="AR802" s="144"/>
      <c r="AS802" s="144"/>
      <c r="AT802" s="144"/>
      <c r="AU802" s="144"/>
      <c r="AV802" s="144"/>
      <c r="AW802" s="144"/>
      <c r="AX802" s="144"/>
    </row>
    <row r="803" spans="1:50">
      <c r="A803" s="144" t="s">
        <v>2739</v>
      </c>
      <c r="B803" s="145" t="s">
        <v>1499</v>
      </c>
      <c r="C803" s="144"/>
      <c r="D803" s="144" t="s">
        <v>123</v>
      </c>
      <c r="E803" s="144" t="s">
        <v>2463</v>
      </c>
      <c r="F803" s="145">
        <v>3</v>
      </c>
      <c r="G803" s="144"/>
      <c r="H803" s="144"/>
      <c r="I803" s="144"/>
      <c r="J803" s="144"/>
      <c r="K803" s="144"/>
      <c r="L803" s="144"/>
      <c r="M803" s="144"/>
      <c r="N803" s="144"/>
      <c r="O803" s="144" t="s">
        <v>136</v>
      </c>
      <c r="P803" s="145">
        <v>1</v>
      </c>
      <c r="Q803" s="130">
        <f>MAX(0,$V803-$P803-$S803)</f>
        <v>0</v>
      </c>
      <c r="R803" s="144"/>
      <c r="S803" s="144"/>
      <c r="T803" s="146">
        <v>4.6500000000000004</v>
      </c>
      <c r="U803" s="134">
        <f>IF(AND($Q803&gt;0,ISNUMBER($T803)),$Q803*$T803,0)</f>
        <v>0</v>
      </c>
      <c r="V803" s="68">
        <f>SUM(W803:AB803)</f>
        <v>0</v>
      </c>
      <c r="W803" s="144"/>
      <c r="X803" s="144"/>
      <c r="Y803" s="144"/>
      <c r="Z803" s="144"/>
      <c r="AA803" s="144"/>
      <c r="AB803" s="144"/>
      <c r="AC803" s="144"/>
      <c r="AD803" s="75">
        <f>SUM(AE803:AJ803)</f>
        <v>0</v>
      </c>
      <c r="AE803" s="147"/>
      <c r="AF803" s="147"/>
      <c r="AG803" s="147"/>
      <c r="AH803" s="147"/>
      <c r="AI803" s="147"/>
      <c r="AJ803" s="147"/>
      <c r="AK803" s="147"/>
      <c r="AL803" s="77">
        <f>IF((P803-SUM(AE803:AK803))&lt;0,0,P803-SUM(AE803:AK803))</f>
        <v>1</v>
      </c>
      <c r="AM803" s="77">
        <f>SUM(AO803:AT803)</f>
        <v>0</v>
      </c>
      <c r="AN803" s="144"/>
      <c r="AO803" s="144"/>
      <c r="AP803" s="144"/>
      <c r="AQ803" s="144"/>
      <c r="AR803" s="144"/>
      <c r="AS803" s="144"/>
      <c r="AT803" s="144"/>
      <c r="AU803" s="144"/>
      <c r="AV803" s="144"/>
      <c r="AW803" s="144"/>
      <c r="AX803" s="144"/>
    </row>
    <row r="804" spans="1:50">
      <c r="A804" s="144" t="s">
        <v>2740</v>
      </c>
      <c r="B804" s="145" t="s">
        <v>636</v>
      </c>
      <c r="C804" s="144"/>
      <c r="D804" s="144" t="s">
        <v>72</v>
      </c>
      <c r="E804" s="144"/>
      <c r="F804" s="145">
        <v>1</v>
      </c>
      <c r="G804" s="144"/>
      <c r="H804" s="144"/>
      <c r="I804" s="144"/>
      <c r="J804" s="144"/>
      <c r="K804" s="144"/>
      <c r="L804" s="144"/>
      <c r="M804" s="144"/>
      <c r="N804" s="144"/>
      <c r="O804" s="144" t="s">
        <v>271</v>
      </c>
      <c r="P804" s="145">
        <v>1</v>
      </c>
      <c r="Q804" s="130">
        <f>MAX(0,$V804-$P804-$S804)</f>
        <v>0</v>
      </c>
      <c r="R804" s="144"/>
      <c r="S804" s="144"/>
      <c r="T804" s="146">
        <v>0.05</v>
      </c>
      <c r="U804" s="134">
        <f>IF(AND($Q804&gt;0,ISNUMBER($T804)),$Q804*$T804,0)</f>
        <v>0</v>
      </c>
      <c r="V804" s="68">
        <f>SUM(W804:AB804)</f>
        <v>0</v>
      </c>
      <c r="W804" s="144"/>
      <c r="X804" s="144"/>
      <c r="Y804" s="144"/>
      <c r="Z804" s="144"/>
      <c r="AA804" s="144"/>
      <c r="AB804" s="144"/>
      <c r="AC804" s="144"/>
      <c r="AD804" s="75">
        <f>SUM(AE804:AJ804)</f>
        <v>0</v>
      </c>
      <c r="AE804" s="76"/>
      <c r="AF804" s="76"/>
      <c r="AG804" s="76"/>
      <c r="AH804" s="76"/>
      <c r="AI804" s="76"/>
      <c r="AJ804" s="76"/>
      <c r="AK804" s="76"/>
      <c r="AL804" s="77">
        <f>IF((P804-SUM(AE804:AK804))&lt;0,0,P804-SUM(AE804:AK804))</f>
        <v>1</v>
      </c>
      <c r="AM804" s="77">
        <f>SUM(AO804:AT804)</f>
        <v>0</v>
      </c>
      <c r="AN804" s="151"/>
      <c r="AO804" s="144"/>
      <c r="AP804" s="144"/>
      <c r="AQ804" s="144"/>
      <c r="AR804" s="144"/>
      <c r="AS804" s="144"/>
      <c r="AT804" s="144"/>
      <c r="AU804" s="144"/>
      <c r="AV804" s="144"/>
      <c r="AW804" s="144"/>
      <c r="AX804" s="144"/>
    </row>
    <row r="805" spans="1:50">
      <c r="A805" s="144" t="s">
        <v>2741</v>
      </c>
      <c r="B805" s="145" t="s">
        <v>1971</v>
      </c>
      <c r="C805" s="144"/>
      <c r="D805" s="144" t="s">
        <v>64</v>
      </c>
      <c r="E805" s="144" t="s">
        <v>2778</v>
      </c>
      <c r="F805" s="145">
        <v>1</v>
      </c>
      <c r="G805" s="144"/>
      <c r="H805" s="144"/>
      <c r="I805" s="144"/>
      <c r="J805" s="144"/>
      <c r="K805" s="144"/>
      <c r="L805" s="144"/>
      <c r="M805" s="144"/>
      <c r="N805" s="144"/>
      <c r="O805" s="144" t="s">
        <v>48</v>
      </c>
      <c r="P805" s="145">
        <v>1</v>
      </c>
      <c r="Q805" s="130">
        <f>MAX(0,$V805-$P805-$S805)</f>
        <v>0</v>
      </c>
      <c r="R805" s="144"/>
      <c r="S805" s="144"/>
      <c r="T805" s="146">
        <v>0.2</v>
      </c>
      <c r="U805" s="134">
        <f>IF(AND($Q805&gt;0,ISNUMBER($T805)),$Q805*$T805,0)</f>
        <v>0</v>
      </c>
      <c r="V805" s="68">
        <f>SUM(W805:AB805)</f>
        <v>0</v>
      </c>
      <c r="W805" s="144"/>
      <c r="X805" s="144"/>
      <c r="Y805" s="144"/>
      <c r="Z805" s="144"/>
      <c r="AA805" s="144"/>
      <c r="AB805" s="144"/>
      <c r="AC805" s="144"/>
      <c r="AD805" s="75">
        <f>SUM(AE805:AJ805)</f>
        <v>0</v>
      </c>
      <c r="AE805" s="147"/>
      <c r="AF805" s="147"/>
      <c r="AG805" s="147"/>
      <c r="AH805" s="147"/>
      <c r="AI805" s="147"/>
      <c r="AJ805" s="147"/>
      <c r="AK805" s="147"/>
      <c r="AL805" s="77">
        <f>IF((P805-SUM(AE805:AK805))&lt;0,0,P805-SUM(AE805:AK805))</f>
        <v>1</v>
      </c>
      <c r="AM805" s="77">
        <f>SUM(AO805:AT805)</f>
        <v>0</v>
      </c>
      <c r="AN805" s="151"/>
      <c r="AO805" s="151"/>
      <c r="AP805" s="144"/>
      <c r="AQ805" s="144"/>
      <c r="AR805" s="144"/>
      <c r="AS805" s="144"/>
      <c r="AT805" s="144"/>
      <c r="AU805" s="151"/>
      <c r="AV805" s="144"/>
      <c r="AW805" s="144"/>
      <c r="AX805" s="144"/>
    </row>
    <row r="806" spans="1:50">
      <c r="A806" s="144" t="s">
        <v>2742</v>
      </c>
      <c r="B806" s="145" t="s">
        <v>636</v>
      </c>
      <c r="C806" s="144"/>
      <c r="D806" s="144" t="s">
        <v>64</v>
      </c>
      <c r="E806" s="144" t="s">
        <v>1257</v>
      </c>
      <c r="F806" s="145">
        <v>2</v>
      </c>
      <c r="G806" s="144"/>
      <c r="H806" s="144"/>
      <c r="I806" s="144"/>
      <c r="J806" s="144"/>
      <c r="K806" s="144"/>
      <c r="L806" s="144"/>
      <c r="M806" s="144"/>
      <c r="N806" s="144"/>
      <c r="O806" s="144" t="s">
        <v>48</v>
      </c>
      <c r="P806" s="145">
        <v>1</v>
      </c>
      <c r="Q806" s="130">
        <f>MAX(0,$V806-$P806-$S806)</f>
        <v>0</v>
      </c>
      <c r="R806" s="144"/>
      <c r="S806" s="144"/>
      <c r="T806" s="146">
        <v>0.25</v>
      </c>
      <c r="U806" s="134">
        <f>IF(AND($Q806&gt;0,ISNUMBER($T806)),$Q806*$T806,0)</f>
        <v>0</v>
      </c>
      <c r="V806" s="68">
        <f>SUM(W806:AB806)</f>
        <v>0</v>
      </c>
      <c r="W806" s="144"/>
      <c r="X806" s="144"/>
      <c r="Y806" s="144"/>
      <c r="Z806" s="144"/>
      <c r="AA806" s="144"/>
      <c r="AB806" s="144"/>
      <c r="AC806" s="144"/>
      <c r="AD806" s="75">
        <f>SUM(AE806:AJ806)</f>
        <v>0</v>
      </c>
      <c r="AE806" s="76"/>
      <c r="AF806" s="76"/>
      <c r="AG806" s="76"/>
      <c r="AH806" s="76"/>
      <c r="AI806" s="76"/>
      <c r="AJ806" s="76"/>
      <c r="AK806" s="76"/>
      <c r="AL806" s="77">
        <f>IF((P806-SUM(AE806:AK806))&lt;0,0,P806-SUM(AE806:AK806))</f>
        <v>1</v>
      </c>
      <c r="AM806" s="77">
        <f>SUM(AO806:AT806)</f>
        <v>0</v>
      </c>
      <c r="AN806" s="151"/>
      <c r="AO806" s="144"/>
      <c r="AP806" s="144"/>
      <c r="AQ806" s="144"/>
      <c r="AR806" s="151"/>
      <c r="AS806" s="144"/>
      <c r="AT806" s="144"/>
      <c r="AU806" s="151"/>
      <c r="AV806" s="144"/>
      <c r="AW806" s="144"/>
      <c r="AX806" s="144"/>
    </row>
    <row r="807" spans="1:50">
      <c r="A807" s="144" t="s">
        <v>2743</v>
      </c>
      <c r="B807" s="145" t="s">
        <v>1114</v>
      </c>
      <c r="C807" s="144"/>
      <c r="D807" s="144" t="s">
        <v>64</v>
      </c>
      <c r="E807" s="144" t="s">
        <v>2779</v>
      </c>
      <c r="F807" s="145">
        <v>3</v>
      </c>
      <c r="G807" s="144"/>
      <c r="H807" s="144"/>
      <c r="I807" s="144"/>
      <c r="J807" s="144"/>
      <c r="K807" s="144"/>
      <c r="L807" s="144"/>
      <c r="M807" s="144"/>
      <c r="N807" s="144"/>
      <c r="O807" s="144" t="s">
        <v>981</v>
      </c>
      <c r="P807" s="145">
        <v>1</v>
      </c>
      <c r="Q807" s="130">
        <f>MAX(0,$V807-$P807-$S807)</f>
        <v>0</v>
      </c>
      <c r="R807" s="144"/>
      <c r="S807" s="144"/>
      <c r="T807" s="146">
        <v>7.0000000000000007E-2</v>
      </c>
      <c r="U807" s="134">
        <f>IF(AND($Q807&gt;0,ISNUMBER($T807)),$Q807*$T807,0)</f>
        <v>0</v>
      </c>
      <c r="V807" s="68">
        <f>SUM(W807:AB807)</f>
        <v>0</v>
      </c>
      <c r="W807" s="144"/>
      <c r="X807" s="144"/>
      <c r="Y807" s="144"/>
      <c r="Z807" s="144"/>
      <c r="AA807" s="144"/>
      <c r="AB807" s="144"/>
      <c r="AC807" s="144"/>
      <c r="AD807" s="75">
        <f>SUM(AE807:AJ807)</f>
        <v>0</v>
      </c>
      <c r="AE807" s="147"/>
      <c r="AF807" s="147"/>
      <c r="AG807" s="147"/>
      <c r="AH807" s="147"/>
      <c r="AI807" s="147"/>
      <c r="AJ807" s="147"/>
      <c r="AK807" s="147"/>
      <c r="AL807" s="77">
        <f>IF((P807-SUM(AE807:AK807))&lt;0,0,P807-SUM(AE807:AK807))</f>
        <v>1</v>
      </c>
      <c r="AM807" s="77">
        <f>SUM(AO807:AT807)</f>
        <v>0</v>
      </c>
      <c r="AN807" s="144"/>
      <c r="AO807" s="144"/>
      <c r="AP807" s="144"/>
      <c r="AQ807" s="144"/>
      <c r="AR807" s="144"/>
      <c r="AS807" s="144"/>
      <c r="AT807" s="144"/>
      <c r="AU807" s="144"/>
      <c r="AV807" s="144"/>
      <c r="AW807" s="144"/>
      <c r="AX807" s="144"/>
    </row>
    <row r="808" spans="1:50">
      <c r="A808" s="144" t="s">
        <v>2744</v>
      </c>
      <c r="B808" s="145" t="s">
        <v>1499</v>
      </c>
      <c r="C808" s="144"/>
      <c r="D808" s="144" t="s">
        <v>47</v>
      </c>
      <c r="E808" s="144"/>
      <c r="F808" s="145">
        <v>1</v>
      </c>
      <c r="G808" s="144"/>
      <c r="H808" s="144"/>
      <c r="I808" s="144"/>
      <c r="J808" s="144"/>
      <c r="K808" s="144"/>
      <c r="L808" s="144"/>
      <c r="M808" s="144"/>
      <c r="N808" s="144"/>
      <c r="O808" s="144" t="s">
        <v>48</v>
      </c>
      <c r="P808" s="145">
        <v>1</v>
      </c>
      <c r="Q808" s="130">
        <f>MAX(0,$V808-$P808-$S808)</f>
        <v>0</v>
      </c>
      <c r="R808" s="144"/>
      <c r="S808" s="144"/>
      <c r="T808" s="146">
        <v>0.33</v>
      </c>
      <c r="U808" s="134">
        <f>IF(AND($Q808&gt;0,ISNUMBER($T808)),$Q808*$T808,0)</f>
        <v>0</v>
      </c>
      <c r="V808" s="68">
        <f>SUM(W808:AB808)</f>
        <v>0</v>
      </c>
      <c r="W808" s="144"/>
      <c r="X808" s="144"/>
      <c r="Y808" s="144"/>
      <c r="Z808" s="144"/>
      <c r="AA808" s="144"/>
      <c r="AB808" s="144"/>
      <c r="AC808" s="144"/>
      <c r="AD808" s="75">
        <f>SUM(AE808:AJ808)</f>
        <v>0</v>
      </c>
      <c r="AE808" s="76"/>
      <c r="AF808" s="76"/>
      <c r="AG808" s="76"/>
      <c r="AH808" s="76"/>
      <c r="AI808" s="76"/>
      <c r="AJ808" s="76"/>
      <c r="AK808" s="76"/>
      <c r="AL808" s="77">
        <f>IF((P808-SUM(AE808:AK808))&lt;0,0,P808-SUM(AE808:AK808))</f>
        <v>1</v>
      </c>
      <c r="AM808" s="77">
        <f>SUM(AO808:AT808)</f>
        <v>0</v>
      </c>
      <c r="AN808" s="151"/>
      <c r="AO808" s="144"/>
      <c r="AP808" s="144"/>
      <c r="AQ808" s="144"/>
      <c r="AR808" s="144"/>
      <c r="AS808" s="144"/>
      <c r="AT808" s="144"/>
      <c r="AU808" s="144"/>
      <c r="AV808" s="144"/>
      <c r="AW808" s="144"/>
      <c r="AX808" s="144"/>
    </row>
    <row r="809" spans="1:50">
      <c r="A809" s="144" t="s">
        <v>2746</v>
      </c>
      <c r="B809" s="145" t="s">
        <v>1971</v>
      </c>
      <c r="C809" s="144"/>
      <c r="D809" s="144" t="s">
        <v>64</v>
      </c>
      <c r="E809" s="144" t="s">
        <v>2780</v>
      </c>
      <c r="F809" s="145">
        <v>2</v>
      </c>
      <c r="G809" s="144"/>
      <c r="H809" s="144"/>
      <c r="I809" s="144"/>
      <c r="J809" s="144"/>
      <c r="K809" s="144"/>
      <c r="L809" s="144"/>
      <c r="M809" s="144"/>
      <c r="N809" s="144"/>
      <c r="O809" s="144" t="s">
        <v>981</v>
      </c>
      <c r="P809" s="145">
        <v>1</v>
      </c>
      <c r="Q809" s="130">
        <f>MAX(0,$V809-$P809-$S809)</f>
        <v>0</v>
      </c>
      <c r="R809" s="144"/>
      <c r="S809" s="144"/>
      <c r="T809" s="146">
        <v>0.37</v>
      </c>
      <c r="U809" s="134">
        <f>IF(AND($Q809&gt;0,ISNUMBER($T809)),$Q809*$T809,0)</f>
        <v>0</v>
      </c>
      <c r="V809" s="68">
        <f>SUM(W809:AB809)</f>
        <v>0</v>
      </c>
      <c r="W809" s="144"/>
      <c r="X809" s="144"/>
      <c r="Y809" s="144"/>
      <c r="Z809" s="144"/>
      <c r="AA809" s="144"/>
      <c r="AB809" s="144"/>
      <c r="AC809" s="144"/>
      <c r="AD809" s="75">
        <f>SUM(AE809:AJ809)</f>
        <v>0</v>
      </c>
      <c r="AE809" s="76"/>
      <c r="AF809" s="76"/>
      <c r="AG809" s="76"/>
      <c r="AH809" s="76"/>
      <c r="AI809" s="76"/>
      <c r="AJ809" s="76"/>
      <c r="AK809" s="76"/>
      <c r="AL809" s="77">
        <f>IF((P809-SUM(AE809:AK809))&lt;0,0,P809-SUM(AE809:AK809))</f>
        <v>1</v>
      </c>
      <c r="AM809" s="77">
        <f>SUM(AO809:AT809)</f>
        <v>0</v>
      </c>
      <c r="AN809" s="144"/>
      <c r="AO809" s="144"/>
      <c r="AP809" s="144"/>
      <c r="AQ809" s="144"/>
      <c r="AR809" s="144"/>
      <c r="AS809" s="144"/>
      <c r="AT809" s="144"/>
      <c r="AU809" s="144"/>
      <c r="AV809" s="144"/>
      <c r="AW809" s="144"/>
      <c r="AX809" s="144"/>
    </row>
    <row r="810" spans="1:50">
      <c r="A810" s="144" t="s">
        <v>2747</v>
      </c>
      <c r="B810" s="145" t="s">
        <v>1971</v>
      </c>
      <c r="C810" s="144"/>
      <c r="D810" s="144" t="s">
        <v>58</v>
      </c>
      <c r="E810" s="144"/>
      <c r="F810" s="145">
        <v>5</v>
      </c>
      <c r="G810" s="144"/>
      <c r="H810" s="144"/>
      <c r="I810" s="144"/>
      <c r="J810" s="144"/>
      <c r="K810" s="144"/>
      <c r="L810" s="144"/>
      <c r="M810" s="144"/>
      <c r="N810" s="144"/>
      <c r="O810" s="144" t="s">
        <v>48</v>
      </c>
      <c r="P810" s="145">
        <v>1</v>
      </c>
      <c r="Q810" s="130">
        <f>MAX(0,$V810-$P810-$S810)</f>
        <v>0</v>
      </c>
      <c r="R810" s="144"/>
      <c r="S810" s="144"/>
      <c r="T810" s="146">
        <v>0.36</v>
      </c>
      <c r="U810" s="134">
        <f>IF(AND($Q810&gt;0,ISNUMBER($T810)),$Q810*$T810,0)</f>
        <v>0</v>
      </c>
      <c r="V810" s="68">
        <f>SUM(W810:AB810)</f>
        <v>0</v>
      </c>
      <c r="W810" s="144"/>
      <c r="X810" s="144"/>
      <c r="Y810" s="144"/>
      <c r="Z810" s="144"/>
      <c r="AA810" s="144"/>
      <c r="AB810" s="144"/>
      <c r="AC810" s="144"/>
      <c r="AD810" s="75">
        <f>SUM(AE810:AJ810)</f>
        <v>0</v>
      </c>
      <c r="AE810" s="147"/>
      <c r="AF810" s="147"/>
      <c r="AG810" s="147"/>
      <c r="AH810" s="147"/>
      <c r="AI810" s="147"/>
      <c r="AJ810" s="147"/>
      <c r="AK810" s="147"/>
      <c r="AL810" s="77">
        <f>IF((P810-SUM(AE810:AK810))&lt;0,0,P810-SUM(AE810:AK810))</f>
        <v>1</v>
      </c>
      <c r="AM810" s="77">
        <f>SUM(AO810:AT810)</f>
        <v>0</v>
      </c>
      <c r="AN810" s="144"/>
      <c r="AO810" s="144"/>
      <c r="AP810" s="144"/>
      <c r="AQ810" s="144"/>
      <c r="AR810" s="144"/>
      <c r="AS810" s="144"/>
      <c r="AT810" s="144"/>
      <c r="AU810" s="144"/>
      <c r="AV810" s="144"/>
      <c r="AW810" s="144"/>
      <c r="AX810" s="144"/>
    </row>
    <row r="811" spans="1:50">
      <c r="A811" s="151" t="s">
        <v>2748</v>
      </c>
      <c r="B811" s="153" t="s">
        <v>345</v>
      </c>
      <c r="C811" s="144"/>
      <c r="D811" s="151" t="s">
        <v>359</v>
      </c>
      <c r="E811" s="151" t="s">
        <v>418</v>
      </c>
      <c r="F811" s="153">
        <v>2</v>
      </c>
      <c r="G811" s="151"/>
      <c r="H811" s="151"/>
      <c r="I811" s="151"/>
      <c r="J811" s="151"/>
      <c r="K811" s="144"/>
      <c r="L811" s="144"/>
      <c r="M811" s="144"/>
      <c r="N811" s="144"/>
      <c r="O811" s="151" t="s">
        <v>981</v>
      </c>
      <c r="P811" s="145">
        <v>1</v>
      </c>
      <c r="Q811" s="130">
        <f>MAX(0,$V811-$P811-$S811)</f>
        <v>0</v>
      </c>
      <c r="R811" s="151"/>
      <c r="S811" s="151"/>
      <c r="T811" s="154">
        <v>0.05</v>
      </c>
      <c r="U811" s="134">
        <f>IF(AND($Q811&gt;0,ISNUMBER($T811)),$Q811*$T811,0)</f>
        <v>0</v>
      </c>
      <c r="V811" s="68">
        <f>SUM(W811:AB811)</f>
        <v>0</v>
      </c>
      <c r="W811" s="151"/>
      <c r="X811" s="151"/>
      <c r="Y811" s="151"/>
      <c r="Z811" s="151"/>
      <c r="AA811" s="151"/>
      <c r="AB811" s="151"/>
      <c r="AC811" s="151"/>
      <c r="AD811" s="75">
        <f>SUM(AE811:AJ811)</f>
        <v>0</v>
      </c>
      <c r="AE811" s="76"/>
      <c r="AF811" s="76"/>
      <c r="AG811" s="76"/>
      <c r="AH811" s="76"/>
      <c r="AI811" s="76"/>
      <c r="AJ811" s="76"/>
      <c r="AK811" s="76"/>
      <c r="AL811" s="77">
        <f>IF((P811-SUM(AE811:AK811))&lt;0,0,P811-SUM(AE811:AK811))</f>
        <v>1</v>
      </c>
      <c r="AM811" s="77">
        <f>SUM(AO811:AT811)</f>
        <v>0</v>
      </c>
      <c r="AN811" s="144"/>
      <c r="AO811" s="144"/>
      <c r="AP811" s="144"/>
      <c r="AQ811" s="144"/>
      <c r="AR811" s="144"/>
      <c r="AS811" s="144"/>
      <c r="AT811" s="144"/>
      <c r="AU811" s="144"/>
      <c r="AV811" s="151"/>
      <c r="AW811" s="144"/>
      <c r="AX811" s="144"/>
    </row>
    <row r="812" spans="1:50">
      <c r="A812" s="151" t="s">
        <v>2749</v>
      </c>
      <c r="B812" s="153" t="s">
        <v>1831</v>
      </c>
      <c r="C812" s="144"/>
      <c r="D812" s="151" t="s">
        <v>64</v>
      </c>
      <c r="E812" s="151" t="s">
        <v>1305</v>
      </c>
      <c r="F812" s="153">
        <v>2</v>
      </c>
      <c r="G812" s="151"/>
      <c r="H812" s="151"/>
      <c r="I812" s="151"/>
      <c r="J812" s="151"/>
      <c r="K812" s="144"/>
      <c r="L812" s="144"/>
      <c r="M812" s="144"/>
      <c r="N812" s="144"/>
      <c r="O812" s="151" t="s">
        <v>136</v>
      </c>
      <c r="P812" s="145">
        <v>1</v>
      </c>
      <c r="Q812" s="130">
        <f>MAX(0,$V812-$P812-$S812)</f>
        <v>0</v>
      </c>
      <c r="R812" s="151"/>
      <c r="S812" s="151"/>
      <c r="T812" s="154">
        <v>0.16</v>
      </c>
      <c r="U812" s="134">
        <f>IF(AND($Q812&gt;0,ISNUMBER($T812)),$Q812*$T812,0)</f>
        <v>0</v>
      </c>
      <c r="V812" s="68">
        <f>SUM(W812:AB812)</f>
        <v>0</v>
      </c>
      <c r="W812" s="151"/>
      <c r="X812" s="151"/>
      <c r="Y812" s="151"/>
      <c r="Z812" s="151"/>
      <c r="AA812" s="151"/>
      <c r="AB812" s="151"/>
      <c r="AC812" s="151"/>
      <c r="AD812" s="75">
        <f>SUM(AE812:AJ812)</f>
        <v>0</v>
      </c>
      <c r="AE812" s="147"/>
      <c r="AF812" s="147"/>
      <c r="AG812" s="147"/>
      <c r="AH812" s="147"/>
      <c r="AI812" s="147"/>
      <c r="AJ812" s="147"/>
      <c r="AK812" s="147"/>
      <c r="AL812" s="77">
        <f>IF((P812-SUM(AE812:AK812))&lt;0,0,P812-SUM(AE812:AK812))</f>
        <v>1</v>
      </c>
      <c r="AM812" s="77">
        <f>SUM(AO812:AT812)</f>
        <v>0</v>
      </c>
      <c r="AN812" s="151"/>
      <c r="AO812" s="144"/>
      <c r="AP812" s="144"/>
      <c r="AQ812" s="144"/>
      <c r="AR812" s="144"/>
      <c r="AS812" s="144"/>
      <c r="AT812" s="144"/>
      <c r="AU812" s="144"/>
      <c r="AV812" s="151"/>
      <c r="AW812" s="144"/>
      <c r="AX812" s="151"/>
    </row>
    <row r="813" spans="1:50">
      <c r="A813" s="151" t="s">
        <v>2750</v>
      </c>
      <c r="B813" s="145" t="s">
        <v>46</v>
      </c>
      <c r="C813" s="144"/>
      <c r="D813" s="144" t="s">
        <v>72</v>
      </c>
      <c r="E813" s="144"/>
      <c r="F813" s="145">
        <v>1</v>
      </c>
      <c r="G813" s="144"/>
      <c r="H813" s="144"/>
      <c r="I813" s="144"/>
      <c r="J813" s="144"/>
      <c r="K813" s="144"/>
      <c r="L813" s="144"/>
      <c r="M813" s="144"/>
      <c r="N813" s="144"/>
      <c r="O813" s="144" t="s">
        <v>981</v>
      </c>
      <c r="P813" s="145">
        <v>1</v>
      </c>
      <c r="Q813" s="130">
        <f>MAX(0,$V813-$P813-$S813)</f>
        <v>0</v>
      </c>
      <c r="R813" s="144"/>
      <c r="S813" s="144"/>
      <c r="T813" s="146">
        <v>0.2</v>
      </c>
      <c r="U813" s="134">
        <f>IF(AND($Q813&gt;0,ISNUMBER($T813)),$Q813*$T813,0)</f>
        <v>0</v>
      </c>
      <c r="V813" s="68">
        <f>SUM(W813:AB813)</f>
        <v>0</v>
      </c>
      <c r="W813" s="144"/>
      <c r="X813" s="144"/>
      <c r="Y813" s="144"/>
      <c r="Z813" s="144"/>
      <c r="AA813" s="144"/>
      <c r="AB813" s="144"/>
      <c r="AC813" s="144"/>
      <c r="AD813" s="75">
        <f>SUM(AE813:AJ813)</f>
        <v>0</v>
      </c>
      <c r="AE813" s="76"/>
      <c r="AF813" s="76"/>
      <c r="AG813" s="76"/>
      <c r="AH813" s="76"/>
      <c r="AI813" s="76"/>
      <c r="AJ813" s="76"/>
      <c r="AK813" s="76"/>
      <c r="AL813" s="77">
        <f>IF((P813-SUM(AE813:AK813))&lt;0,0,P813-SUM(AE813:AK813))</f>
        <v>1</v>
      </c>
      <c r="AM813" s="77">
        <f>SUM(AO813:AT813)</f>
        <v>0</v>
      </c>
      <c r="AN813" s="144"/>
      <c r="AO813" s="144"/>
      <c r="AP813" s="144"/>
      <c r="AQ813" s="144"/>
      <c r="AR813" s="144"/>
      <c r="AS813" s="144"/>
      <c r="AT813" s="144"/>
      <c r="AU813" s="144"/>
      <c r="AV813" s="144"/>
      <c r="AW813" s="144"/>
      <c r="AX813" s="144"/>
    </row>
    <row r="814" spans="1:50">
      <c r="A814" s="151" t="s">
        <v>2751</v>
      </c>
      <c r="B814" s="145" t="s">
        <v>636</v>
      </c>
      <c r="C814" s="144"/>
      <c r="D814" s="144" t="s">
        <v>64</v>
      </c>
      <c r="E814" s="144" t="s">
        <v>2541</v>
      </c>
      <c r="F814" s="145">
        <v>5</v>
      </c>
      <c r="G814" s="144"/>
      <c r="H814" s="144"/>
      <c r="I814" s="144"/>
      <c r="J814" s="144"/>
      <c r="K814" s="144"/>
      <c r="L814" s="144"/>
      <c r="M814" s="144"/>
      <c r="N814" s="144"/>
      <c r="O814" s="144" t="s">
        <v>48</v>
      </c>
      <c r="P814" s="145">
        <v>1</v>
      </c>
      <c r="Q814" s="130">
        <f>MAX(0,$V814-$P814-$S814)</f>
        <v>0</v>
      </c>
      <c r="R814" s="144"/>
      <c r="S814" s="144"/>
      <c r="T814" s="146">
        <v>0.06</v>
      </c>
      <c r="U814" s="134">
        <f>IF(AND($Q814&gt;0,ISNUMBER($T814)),$Q814*$T814,0)</f>
        <v>0</v>
      </c>
      <c r="V814" s="68">
        <f>SUM(W814:AB814)</f>
        <v>0</v>
      </c>
      <c r="W814" s="144"/>
      <c r="X814" s="144"/>
      <c r="Y814" s="144"/>
      <c r="Z814" s="144"/>
      <c r="AA814" s="144"/>
      <c r="AB814" s="144"/>
      <c r="AC814" s="144"/>
      <c r="AD814" s="75">
        <f>SUM(AE814:AJ814)</f>
        <v>0</v>
      </c>
      <c r="AE814" s="147"/>
      <c r="AF814" s="147"/>
      <c r="AG814" s="147"/>
      <c r="AH814" s="147"/>
      <c r="AI814" s="147"/>
      <c r="AJ814" s="147"/>
      <c r="AK814" s="147"/>
      <c r="AL814" s="77">
        <f>IF((P814-SUM(AE814:AK814))&lt;0,0,P814-SUM(AE814:AK814))</f>
        <v>1</v>
      </c>
      <c r="AM814" s="77">
        <f>SUM(AO814:AT814)</f>
        <v>0</v>
      </c>
      <c r="AN814" s="151"/>
      <c r="AO814" s="144"/>
      <c r="AP814" s="144"/>
      <c r="AQ814" s="144"/>
      <c r="AR814" s="144"/>
      <c r="AS814" s="144"/>
      <c r="AT814" s="144"/>
      <c r="AU814" s="144"/>
      <c r="AV814" s="144"/>
      <c r="AW814" s="144"/>
      <c r="AX814" s="144"/>
    </row>
    <row r="815" spans="1:50">
      <c r="A815" s="151" t="s">
        <v>2752</v>
      </c>
      <c r="B815" s="145" t="s">
        <v>1499</v>
      </c>
      <c r="C815" s="144"/>
      <c r="D815" s="144" t="s">
        <v>64</v>
      </c>
      <c r="E815" s="144" t="s">
        <v>149</v>
      </c>
      <c r="F815" s="145">
        <v>5</v>
      </c>
      <c r="G815" s="144"/>
      <c r="H815" s="144"/>
      <c r="I815" s="144"/>
      <c r="J815" s="144"/>
      <c r="K815" s="144"/>
      <c r="L815" s="144"/>
      <c r="M815" s="144"/>
      <c r="N815" s="144"/>
      <c r="O815" s="144" t="s">
        <v>136</v>
      </c>
      <c r="P815" s="145">
        <v>1</v>
      </c>
      <c r="Q815" s="130">
        <f>MAX(0,$V815-$P815-$S815)</f>
        <v>0</v>
      </c>
      <c r="R815" s="144"/>
      <c r="S815" s="144"/>
      <c r="T815" s="146">
        <v>0.21</v>
      </c>
      <c r="U815" s="134">
        <f>IF(AND($Q815&gt;0,ISNUMBER($T815)),$Q815*$T815,0)</f>
        <v>0</v>
      </c>
      <c r="V815" s="68">
        <f>SUM(W815:AB815)</f>
        <v>0</v>
      </c>
      <c r="W815" s="144"/>
      <c r="X815" s="144"/>
      <c r="Y815" s="144"/>
      <c r="Z815" s="144"/>
      <c r="AA815" s="144"/>
      <c r="AB815" s="144"/>
      <c r="AC815" s="144"/>
      <c r="AD815" s="75">
        <f>SUM(AE815:AJ815)</f>
        <v>0</v>
      </c>
      <c r="AE815" s="76"/>
      <c r="AF815" s="76"/>
      <c r="AG815" s="76"/>
      <c r="AH815" s="76"/>
      <c r="AI815" s="76"/>
      <c r="AJ815" s="76"/>
      <c r="AK815" s="76"/>
      <c r="AL815" s="77">
        <f>IF((P815-SUM(AE815:AK815))&lt;0,0,P815-SUM(AE815:AK815))</f>
        <v>1</v>
      </c>
      <c r="AM815" s="77">
        <f>SUM(AO815:AT815)</f>
        <v>0</v>
      </c>
      <c r="AN815" s="144"/>
      <c r="AO815" s="144"/>
      <c r="AP815" s="144"/>
      <c r="AQ815" s="144"/>
      <c r="AR815" s="144"/>
      <c r="AS815" s="144"/>
      <c r="AT815" s="144"/>
      <c r="AU815" s="144"/>
      <c r="AV815" s="144"/>
      <c r="AW815" s="144"/>
      <c r="AX815" s="144"/>
    </row>
    <row r="816" spans="1:50">
      <c r="A816" s="151" t="s">
        <v>2753</v>
      </c>
      <c r="B816" s="145" t="s">
        <v>46</v>
      </c>
      <c r="C816" s="144"/>
      <c r="D816" s="144" t="s">
        <v>64</v>
      </c>
      <c r="E816" s="144" t="s">
        <v>637</v>
      </c>
      <c r="F816" s="145">
        <v>1</v>
      </c>
      <c r="G816" s="144"/>
      <c r="H816" s="144"/>
      <c r="I816" s="144"/>
      <c r="J816" s="144"/>
      <c r="K816" s="144"/>
      <c r="L816" s="144"/>
      <c r="M816" s="144"/>
      <c r="N816" s="144"/>
      <c r="O816" s="144" t="s">
        <v>48</v>
      </c>
      <c r="P816" s="145">
        <v>1</v>
      </c>
      <c r="Q816" s="130">
        <f>MAX(0,$V816-$P816-$S816)</f>
        <v>0</v>
      </c>
      <c r="R816" s="144"/>
      <c r="S816" s="144"/>
      <c r="T816" s="146">
        <v>13.04</v>
      </c>
      <c r="U816" s="134">
        <f>IF(AND($Q816&gt;0,ISNUMBER($T816)),$Q816*$T816,0)</f>
        <v>0</v>
      </c>
      <c r="V816" s="68">
        <f>SUM(W816:AB816)</f>
        <v>0</v>
      </c>
      <c r="W816" s="144"/>
      <c r="X816" s="144"/>
      <c r="Y816" s="144"/>
      <c r="Z816" s="144"/>
      <c r="AA816" s="144"/>
      <c r="AB816" s="144"/>
      <c r="AC816" s="144"/>
      <c r="AD816" s="75">
        <f>SUM(AE816:AJ816)</f>
        <v>0</v>
      </c>
      <c r="AE816" s="147"/>
      <c r="AF816" s="147"/>
      <c r="AG816" s="147"/>
      <c r="AH816" s="147"/>
      <c r="AI816" s="147"/>
      <c r="AJ816" s="147"/>
      <c r="AK816" s="147"/>
      <c r="AL816" s="77">
        <f>IF((P816-SUM(AE816:AK816))&lt;0,0,P816-SUM(AE816:AK816))</f>
        <v>1</v>
      </c>
      <c r="AM816" s="77">
        <f>SUM(AO816:AT816)</f>
        <v>0</v>
      </c>
      <c r="AN816" s="151"/>
      <c r="AO816" s="144"/>
      <c r="AP816" s="144"/>
      <c r="AQ816" s="144"/>
      <c r="AR816" s="144"/>
      <c r="AS816" s="144"/>
      <c r="AT816" s="144"/>
      <c r="AU816" s="144"/>
      <c r="AV816" s="144"/>
      <c r="AW816" s="144"/>
      <c r="AX816" s="144"/>
    </row>
    <row r="817" spans="1:50">
      <c r="A817" s="151" t="s">
        <v>2754</v>
      </c>
      <c r="B817" s="145" t="s">
        <v>1831</v>
      </c>
      <c r="C817" s="144"/>
      <c r="D817" s="144" t="s">
        <v>72</v>
      </c>
      <c r="E817" s="144"/>
      <c r="F817" s="145">
        <v>5</v>
      </c>
      <c r="G817" s="144"/>
      <c r="H817" s="144"/>
      <c r="I817" s="144"/>
      <c r="J817" s="144"/>
      <c r="K817" s="144"/>
      <c r="L817" s="144"/>
      <c r="M817" s="144"/>
      <c r="N817" s="144"/>
      <c r="O817" s="144" t="s">
        <v>981</v>
      </c>
      <c r="P817" s="145">
        <v>1</v>
      </c>
      <c r="Q817" s="130">
        <f>MAX(0,$V817-$P817-$S817)</f>
        <v>0</v>
      </c>
      <c r="R817" s="144"/>
      <c r="S817" s="144"/>
      <c r="T817" s="146">
        <v>7.0000000000000007E-2</v>
      </c>
      <c r="U817" s="134">
        <f>IF(AND($Q817&gt;0,ISNUMBER($T817)),$Q817*$T817,0)</f>
        <v>0</v>
      </c>
      <c r="V817" s="68">
        <f>SUM(W817:AB817)</f>
        <v>0</v>
      </c>
      <c r="W817" s="144"/>
      <c r="X817" s="144"/>
      <c r="Y817" s="144"/>
      <c r="Z817" s="144"/>
      <c r="AA817" s="144"/>
      <c r="AB817" s="144"/>
      <c r="AC817" s="144"/>
      <c r="AD817" s="75">
        <f>SUM(AE817:AJ817)</f>
        <v>0</v>
      </c>
      <c r="AE817" s="76"/>
      <c r="AF817" s="76"/>
      <c r="AG817" s="76"/>
      <c r="AH817" s="76"/>
      <c r="AI817" s="76"/>
      <c r="AJ817" s="76"/>
      <c r="AK817" s="76"/>
      <c r="AL817" s="77">
        <f>IF((P817-SUM(AE817:AK817))&lt;0,0,P817-SUM(AE817:AK817))</f>
        <v>1</v>
      </c>
      <c r="AM817" s="77">
        <f>SUM(AO817:AT817)</f>
        <v>0</v>
      </c>
      <c r="AN817" s="151"/>
      <c r="AO817" s="144"/>
      <c r="AP817" s="144"/>
      <c r="AQ817" s="144"/>
      <c r="AR817" s="151"/>
      <c r="AS817" s="144"/>
      <c r="AT817" s="144"/>
      <c r="AU817" s="151"/>
      <c r="AV817" s="144"/>
      <c r="AW817" s="144"/>
      <c r="AX817" s="144"/>
    </row>
    <row r="818" spans="1:50">
      <c r="A818" s="151" t="s">
        <v>2755</v>
      </c>
      <c r="B818" s="145" t="s">
        <v>636</v>
      </c>
      <c r="C818" s="144"/>
      <c r="D818" s="144" t="s">
        <v>64</v>
      </c>
      <c r="E818" s="144" t="s">
        <v>2781</v>
      </c>
      <c r="F818" s="145">
        <v>2</v>
      </c>
      <c r="G818" s="144"/>
      <c r="H818" s="144"/>
      <c r="I818" s="144"/>
      <c r="J818" s="144"/>
      <c r="K818" s="144"/>
      <c r="L818" s="144"/>
      <c r="M818" s="144"/>
      <c r="N818" s="144"/>
      <c r="O818" s="144" t="s">
        <v>981</v>
      </c>
      <c r="P818" s="145">
        <v>1</v>
      </c>
      <c r="Q818" s="130">
        <f>MAX(0,$V818-$P818-$S818)</f>
        <v>0</v>
      </c>
      <c r="R818" s="144"/>
      <c r="S818" s="144"/>
      <c r="T818" s="146">
        <v>0.27</v>
      </c>
      <c r="U818" s="134">
        <f>IF(AND($Q818&gt;0,ISNUMBER($T818)),$Q818*$T818,0)</f>
        <v>0</v>
      </c>
      <c r="V818" s="68">
        <f>SUM(W818:AB818)</f>
        <v>0</v>
      </c>
      <c r="W818" s="144"/>
      <c r="X818" s="144"/>
      <c r="Y818" s="144"/>
      <c r="Z818" s="144"/>
      <c r="AA818" s="144"/>
      <c r="AB818" s="144"/>
      <c r="AC818" s="144"/>
      <c r="AD818" s="75">
        <f>SUM(AE818:AJ818)</f>
        <v>0</v>
      </c>
      <c r="AE818" s="147"/>
      <c r="AF818" s="147"/>
      <c r="AG818" s="147"/>
      <c r="AH818" s="147"/>
      <c r="AI818" s="147"/>
      <c r="AJ818" s="147"/>
      <c r="AK818" s="147"/>
      <c r="AL818" s="77">
        <f>IF((P818-SUM(AE818:AK818))&lt;0,0,P818-SUM(AE818:AK818))</f>
        <v>1</v>
      </c>
      <c r="AM818" s="77">
        <f>SUM(AO818:AT818)</f>
        <v>0</v>
      </c>
      <c r="AN818" s="151"/>
      <c r="AO818" s="144"/>
      <c r="AP818" s="144"/>
      <c r="AQ818" s="144"/>
      <c r="AR818" s="144"/>
      <c r="AS818" s="151"/>
      <c r="AT818" s="144"/>
      <c r="AU818" s="151"/>
      <c r="AV818" s="144"/>
      <c r="AW818" s="144"/>
      <c r="AX818" s="144"/>
    </row>
    <row r="819" spans="1:50">
      <c r="A819" s="151" t="s">
        <v>2756</v>
      </c>
      <c r="B819" s="145" t="s">
        <v>1114</v>
      </c>
      <c r="C819" s="144"/>
      <c r="D819" s="144" t="s">
        <v>47</v>
      </c>
      <c r="E819" s="144"/>
      <c r="F819" s="145">
        <v>4</v>
      </c>
      <c r="G819" s="144"/>
      <c r="H819" s="144"/>
      <c r="I819" s="144"/>
      <c r="J819" s="144"/>
      <c r="K819" s="144"/>
      <c r="L819" s="144"/>
      <c r="M819" s="144"/>
      <c r="N819" s="144"/>
      <c r="O819" s="144" t="s">
        <v>981</v>
      </c>
      <c r="P819" s="145">
        <v>1</v>
      </c>
      <c r="Q819" s="130">
        <f>MAX(0,$V819-$P819-$S819)</f>
        <v>0</v>
      </c>
      <c r="R819" s="144"/>
      <c r="S819" s="144"/>
      <c r="T819" s="146">
        <v>7.0000000000000007E-2</v>
      </c>
      <c r="U819" s="134">
        <f>IF(AND($Q819&gt;0,ISNUMBER($T819)),$Q819*$T819,0)</f>
        <v>0</v>
      </c>
      <c r="V819" s="68">
        <f>SUM(W819:AB819)</f>
        <v>0</v>
      </c>
      <c r="W819" s="144"/>
      <c r="X819" s="144"/>
      <c r="Y819" s="144"/>
      <c r="Z819" s="144"/>
      <c r="AA819" s="144"/>
      <c r="AB819" s="144"/>
      <c r="AC819" s="144"/>
      <c r="AD819" s="75">
        <f>SUM(AE819:AJ819)</f>
        <v>0</v>
      </c>
      <c r="AE819" s="76"/>
      <c r="AF819" s="76"/>
      <c r="AG819" s="76"/>
      <c r="AH819" s="76"/>
      <c r="AI819" s="76"/>
      <c r="AJ819" s="76"/>
      <c r="AK819" s="76"/>
      <c r="AL819" s="77">
        <f>IF((P819-SUM(AE819:AK819))&lt;0,0,P819-SUM(AE819:AK819))</f>
        <v>1</v>
      </c>
      <c r="AM819" s="77">
        <f>SUM(AO819:AT819)</f>
        <v>0</v>
      </c>
      <c r="AN819" s="151"/>
      <c r="AO819" s="144"/>
      <c r="AP819" s="144"/>
      <c r="AQ819" s="144"/>
      <c r="AR819" s="151"/>
      <c r="AS819" s="144"/>
      <c r="AT819" s="144"/>
      <c r="AU819" s="151"/>
      <c r="AV819" s="144"/>
      <c r="AW819" s="144"/>
      <c r="AX819" s="144"/>
    </row>
    <row r="820" spans="1:50">
      <c r="A820" s="151" t="s">
        <v>2757</v>
      </c>
      <c r="B820" s="153" t="s">
        <v>1114</v>
      </c>
      <c r="C820" s="144"/>
      <c r="D820" s="151" t="s">
        <v>175</v>
      </c>
      <c r="E820" s="151"/>
      <c r="F820" s="153">
        <v>4</v>
      </c>
      <c r="G820" s="151"/>
      <c r="H820" s="151"/>
      <c r="I820" s="151"/>
      <c r="J820" s="151"/>
      <c r="K820" s="144"/>
      <c r="L820" s="144"/>
      <c r="M820" s="144"/>
      <c r="N820" s="144"/>
      <c r="O820" s="151" t="s">
        <v>981</v>
      </c>
      <c r="P820" s="145">
        <v>1</v>
      </c>
      <c r="Q820" s="130">
        <f>MAX(0,$V820-$P820-$S820)</f>
        <v>0</v>
      </c>
      <c r="R820" s="151"/>
      <c r="S820" s="151"/>
      <c r="T820" s="154">
        <v>1.18</v>
      </c>
      <c r="U820" s="134">
        <f>IF(AND($Q820&gt;0,ISNUMBER($T820)),$Q820*$T820,0)</f>
        <v>0</v>
      </c>
      <c r="V820" s="68">
        <f>SUM(W820:AB820)</f>
        <v>0</v>
      </c>
      <c r="W820" s="151"/>
      <c r="X820" s="151"/>
      <c r="Y820" s="151"/>
      <c r="Z820" s="151"/>
      <c r="AA820" s="151"/>
      <c r="AB820" s="151"/>
      <c r="AC820" s="151"/>
      <c r="AD820" s="75">
        <f>SUM(AE820:AJ820)</f>
        <v>0</v>
      </c>
      <c r="AE820" s="147"/>
      <c r="AF820" s="147"/>
      <c r="AG820" s="147"/>
      <c r="AH820" s="147"/>
      <c r="AI820" s="147"/>
      <c r="AJ820" s="147"/>
      <c r="AK820" s="147"/>
      <c r="AL820" s="77">
        <f>IF((P820-SUM(AE820:AK820))&lt;0,0,P820-SUM(AE820:AK820))</f>
        <v>1</v>
      </c>
      <c r="AM820" s="77">
        <f>SUM(AO820:AT820)</f>
        <v>0</v>
      </c>
      <c r="AN820" s="151"/>
      <c r="AO820" s="144"/>
      <c r="AP820" s="144"/>
      <c r="AQ820" s="144"/>
      <c r="AR820" s="144"/>
      <c r="AS820" s="144"/>
      <c r="AT820" s="144"/>
      <c r="AU820" s="144"/>
      <c r="AV820" s="151"/>
      <c r="AW820" s="144"/>
      <c r="AX820" s="144"/>
    </row>
    <row r="821" spans="1:50">
      <c r="A821" s="151" t="s">
        <v>2758</v>
      </c>
      <c r="B821" s="153" t="s">
        <v>46</v>
      </c>
      <c r="C821" s="144"/>
      <c r="D821" s="151" t="s">
        <v>64</v>
      </c>
      <c r="E821" s="151" t="s">
        <v>85</v>
      </c>
      <c r="F821" s="153">
        <v>3</v>
      </c>
      <c r="G821" s="151"/>
      <c r="H821" s="151"/>
      <c r="I821" s="151"/>
      <c r="J821" s="151"/>
      <c r="K821" s="144"/>
      <c r="L821" s="144"/>
      <c r="M821" s="144"/>
      <c r="N821" s="144"/>
      <c r="O821" s="151" t="s">
        <v>48</v>
      </c>
      <c r="P821" s="145">
        <v>1</v>
      </c>
      <c r="Q821" s="130">
        <f>MAX(0,$V821-$P821-$S821)</f>
        <v>0</v>
      </c>
      <c r="R821" s="151"/>
      <c r="S821" s="151"/>
      <c r="T821" s="154">
        <v>0.13</v>
      </c>
      <c r="U821" s="134">
        <f>IF(AND($Q821&gt;0,ISNUMBER($T821)),$Q821*$T821,0)</f>
        <v>0</v>
      </c>
      <c r="V821" s="68">
        <f>SUM(W821:AB821)</f>
        <v>0</v>
      </c>
      <c r="W821" s="151"/>
      <c r="X821" s="151"/>
      <c r="Y821" s="151"/>
      <c r="Z821" s="151"/>
      <c r="AA821" s="151"/>
      <c r="AB821" s="151"/>
      <c r="AC821" s="151"/>
      <c r="AD821" s="75">
        <f>SUM(AE821:AJ821)</f>
        <v>0</v>
      </c>
      <c r="AE821" s="76"/>
      <c r="AF821" s="76"/>
      <c r="AG821" s="76"/>
      <c r="AH821" s="76"/>
      <c r="AI821" s="76"/>
      <c r="AJ821" s="76"/>
      <c r="AK821" s="76"/>
      <c r="AL821" s="77">
        <f>IF((P821-SUM(AE821:AK821))&lt;0,0,P821-SUM(AE821:AK821))</f>
        <v>1</v>
      </c>
      <c r="AM821" s="77">
        <f>SUM(AO821:AT821)</f>
        <v>0</v>
      </c>
      <c r="AN821" s="151"/>
      <c r="AO821" s="144"/>
      <c r="AP821" s="144"/>
      <c r="AQ821" s="144"/>
      <c r="AR821" s="144"/>
      <c r="AS821" s="144"/>
      <c r="AT821" s="144"/>
      <c r="AU821" s="144"/>
      <c r="AV821" s="151"/>
      <c r="AW821" s="144"/>
      <c r="AX821" s="144"/>
    </row>
    <row r="822" spans="1:50">
      <c r="A822" s="151" t="s">
        <v>2759</v>
      </c>
      <c r="B822" s="153" t="s">
        <v>1831</v>
      </c>
      <c r="C822" s="144"/>
      <c r="D822" s="151" t="s">
        <v>72</v>
      </c>
      <c r="E822" s="151"/>
      <c r="F822" s="153">
        <v>7</v>
      </c>
      <c r="G822" s="151"/>
      <c r="H822" s="151"/>
      <c r="I822" s="151"/>
      <c r="J822" s="151"/>
      <c r="K822" s="144"/>
      <c r="L822" s="144"/>
      <c r="M822" s="144"/>
      <c r="N822" s="144"/>
      <c r="O822" s="151" t="s">
        <v>48</v>
      </c>
      <c r="P822" s="145">
        <v>1</v>
      </c>
      <c r="Q822" s="130">
        <f>MAX(0,$V822-$P822-$S822)</f>
        <v>0</v>
      </c>
      <c r="R822" s="151"/>
      <c r="S822" s="151"/>
      <c r="T822" s="154">
        <v>0.1</v>
      </c>
      <c r="U822" s="134">
        <f>IF(AND($Q822&gt;0,ISNUMBER($T822)),$Q822*$T822,0)</f>
        <v>0</v>
      </c>
      <c r="V822" s="68">
        <f>SUM(W822:AB822)</f>
        <v>0</v>
      </c>
      <c r="W822" s="151"/>
      <c r="X822" s="151"/>
      <c r="Y822" s="151"/>
      <c r="Z822" s="151"/>
      <c r="AA822" s="151"/>
      <c r="AB822" s="151"/>
      <c r="AC822" s="151"/>
      <c r="AD822" s="75">
        <f>SUM(AE822:AJ822)</f>
        <v>0</v>
      </c>
      <c r="AE822" s="147"/>
      <c r="AF822" s="147"/>
      <c r="AG822" s="147"/>
      <c r="AH822" s="147"/>
      <c r="AI822" s="147"/>
      <c r="AJ822" s="147"/>
      <c r="AK822" s="147"/>
      <c r="AL822" s="77">
        <f>IF((P822-SUM(AE822:AK822))&lt;0,0,P822-SUM(AE822:AK822))</f>
        <v>1</v>
      </c>
      <c r="AM822" s="77">
        <f>SUM(AO822:AT822)</f>
        <v>0</v>
      </c>
      <c r="AN822" s="151"/>
      <c r="AO822" s="144"/>
      <c r="AP822" s="144"/>
      <c r="AQ822" s="144"/>
      <c r="AR822" s="144"/>
      <c r="AS822" s="144"/>
      <c r="AT822" s="144"/>
      <c r="AU822" s="144"/>
      <c r="AV822" s="151"/>
      <c r="AW822" s="144"/>
      <c r="AX822" s="151"/>
    </row>
    <row r="823" spans="1:50">
      <c r="A823" s="151" t="s">
        <v>2760</v>
      </c>
      <c r="B823" s="153" t="s">
        <v>636</v>
      </c>
      <c r="C823" s="144"/>
      <c r="D823" s="151" t="s">
        <v>72</v>
      </c>
      <c r="E823" s="151"/>
      <c r="F823" s="153">
        <v>1</v>
      </c>
      <c r="G823" s="151"/>
      <c r="H823" s="151"/>
      <c r="I823" s="151"/>
      <c r="J823" s="151"/>
      <c r="K823" s="144"/>
      <c r="L823" s="144"/>
      <c r="M823" s="144"/>
      <c r="N823" s="144"/>
      <c r="O823" s="151" t="s">
        <v>2184</v>
      </c>
      <c r="P823" s="145">
        <v>1</v>
      </c>
      <c r="Q823" s="130">
        <f>MAX(0,$V823-$P823-$S823)</f>
        <v>0</v>
      </c>
      <c r="R823" s="151"/>
      <c r="S823" s="151"/>
      <c r="T823" s="154">
        <v>0.27</v>
      </c>
      <c r="U823" s="134">
        <f>IF(AND($Q823&gt;0,ISNUMBER($T823)),$Q823*$T823,0)</f>
        <v>0</v>
      </c>
      <c r="V823" s="68">
        <f>SUM(W823:AB823)</f>
        <v>0</v>
      </c>
      <c r="W823" s="151"/>
      <c r="X823" s="151"/>
      <c r="Y823" s="151"/>
      <c r="Z823" s="151"/>
      <c r="AA823" s="151"/>
      <c r="AB823" s="151"/>
      <c r="AC823" s="151"/>
      <c r="AD823" s="75">
        <f>SUM(AE823:AJ823)</f>
        <v>0</v>
      </c>
      <c r="AE823" s="76"/>
      <c r="AF823" s="76"/>
      <c r="AG823" s="76"/>
      <c r="AH823" s="76"/>
      <c r="AI823" s="76"/>
      <c r="AJ823" s="76"/>
      <c r="AK823" s="76"/>
      <c r="AL823" s="77">
        <f>IF((P823-SUM(AE823:AK823))&lt;0,0,P823-SUM(AE823:AK823))</f>
        <v>1</v>
      </c>
      <c r="AM823" s="77">
        <f>SUM(AO823:AT823)</f>
        <v>0</v>
      </c>
      <c r="AN823" s="151"/>
      <c r="AO823" s="144"/>
      <c r="AP823" s="144"/>
      <c r="AQ823" s="144"/>
      <c r="AR823" s="144"/>
      <c r="AS823" s="144"/>
      <c r="AT823" s="144"/>
      <c r="AU823" s="144"/>
      <c r="AV823" s="151"/>
      <c r="AW823" s="144"/>
      <c r="AX823" s="151"/>
    </row>
    <row r="824" spans="1:50">
      <c r="A824" s="151" t="s">
        <v>2761</v>
      </c>
      <c r="B824" s="153" t="s">
        <v>1114</v>
      </c>
      <c r="C824" s="144"/>
      <c r="D824" s="151" t="s">
        <v>64</v>
      </c>
      <c r="E824" s="151" t="s">
        <v>2782</v>
      </c>
      <c r="F824" s="153">
        <v>3</v>
      </c>
      <c r="G824" s="151"/>
      <c r="H824" s="151"/>
      <c r="I824" s="151"/>
      <c r="J824" s="151"/>
      <c r="K824" s="144"/>
      <c r="L824" s="144"/>
      <c r="M824" s="144"/>
      <c r="N824" s="144"/>
      <c r="O824" s="151" t="s">
        <v>48</v>
      </c>
      <c r="P824" s="145">
        <v>1</v>
      </c>
      <c r="Q824" s="130">
        <f>MAX(0,$V824-$P824-$S824)</f>
        <v>0</v>
      </c>
      <c r="R824" s="151"/>
      <c r="S824" s="151"/>
      <c r="T824" s="154">
        <v>0.26</v>
      </c>
      <c r="U824" s="134">
        <f>IF(AND($Q824&gt;0,ISNUMBER($T824)),$Q824*$T824,0)</f>
        <v>0</v>
      </c>
      <c r="V824" s="68">
        <f>SUM(W824:AB824)</f>
        <v>0</v>
      </c>
      <c r="W824" s="151"/>
      <c r="X824" s="151"/>
      <c r="Y824" s="151"/>
      <c r="Z824" s="151"/>
      <c r="AA824" s="151"/>
      <c r="AB824" s="151"/>
      <c r="AC824" s="151"/>
      <c r="AD824" s="75">
        <f>SUM(AE824:AJ824)</f>
        <v>0</v>
      </c>
      <c r="AE824" s="147"/>
      <c r="AF824" s="147"/>
      <c r="AG824" s="147"/>
      <c r="AH824" s="147"/>
      <c r="AI824" s="147"/>
      <c r="AJ824" s="147"/>
      <c r="AK824" s="147"/>
      <c r="AL824" s="77">
        <f>IF((P824-SUM(AE824:AK824))&lt;0,0,P824-SUM(AE824:AK824))</f>
        <v>1</v>
      </c>
      <c r="AM824" s="77">
        <f>SUM(AO824:AT824)</f>
        <v>0</v>
      </c>
      <c r="AN824" s="151"/>
      <c r="AO824" s="144"/>
      <c r="AP824" s="144"/>
      <c r="AQ824" s="144"/>
      <c r="AR824" s="144"/>
      <c r="AS824" s="144"/>
      <c r="AT824" s="144"/>
      <c r="AU824" s="144"/>
      <c r="AV824" s="151"/>
      <c r="AW824" s="144"/>
      <c r="AX824" s="151"/>
    </row>
    <row r="825" spans="1:50">
      <c r="A825" s="151" t="s">
        <v>2762</v>
      </c>
      <c r="B825" s="153" t="s">
        <v>1831</v>
      </c>
      <c r="C825" s="144"/>
      <c r="D825" s="151" t="s">
        <v>64</v>
      </c>
      <c r="E825" s="151" t="s">
        <v>2783</v>
      </c>
      <c r="F825" s="153">
        <v>3</v>
      </c>
      <c r="G825" s="151"/>
      <c r="H825" s="151"/>
      <c r="I825" s="151"/>
      <c r="J825" s="151"/>
      <c r="K825" s="144"/>
      <c r="L825" s="144"/>
      <c r="M825" s="144"/>
      <c r="N825" s="144"/>
      <c r="O825" s="151" t="s">
        <v>48</v>
      </c>
      <c r="P825" s="145">
        <v>1</v>
      </c>
      <c r="Q825" s="130">
        <f>MAX(0,$V825-$P825-$S825)</f>
        <v>0</v>
      </c>
      <c r="R825" s="151"/>
      <c r="S825" s="151"/>
      <c r="T825" s="154">
        <v>0.15</v>
      </c>
      <c r="U825" s="134">
        <f>IF(AND($Q825&gt;0,ISNUMBER($T825)),$Q825*$T825,0)</f>
        <v>0</v>
      </c>
      <c r="V825" s="68">
        <f>SUM(W825:AB825)</f>
        <v>0</v>
      </c>
      <c r="W825" s="151"/>
      <c r="X825" s="151"/>
      <c r="Y825" s="151"/>
      <c r="Z825" s="151"/>
      <c r="AA825" s="151"/>
      <c r="AB825" s="151"/>
      <c r="AC825" s="151"/>
      <c r="AD825" s="75">
        <f>SUM(AE825:AJ825)</f>
        <v>0</v>
      </c>
      <c r="AE825" s="76"/>
      <c r="AF825" s="76"/>
      <c r="AG825" s="76"/>
      <c r="AH825" s="76"/>
      <c r="AI825" s="76"/>
      <c r="AJ825" s="76"/>
      <c r="AK825" s="76"/>
      <c r="AL825" s="77">
        <f>IF((P825-SUM(AE825:AK825))&lt;0,0,P825-SUM(AE825:AK825))</f>
        <v>1</v>
      </c>
      <c r="AM825" s="77">
        <f>SUM(AO825:AT825)</f>
        <v>0</v>
      </c>
      <c r="AN825" s="151"/>
      <c r="AO825" s="144"/>
      <c r="AP825" s="144"/>
      <c r="AQ825" s="144"/>
      <c r="AR825" s="144"/>
      <c r="AS825" s="144"/>
      <c r="AT825" s="144"/>
      <c r="AU825" s="144"/>
      <c r="AV825" s="151"/>
      <c r="AW825" s="144"/>
      <c r="AX825" s="151"/>
    </row>
    <row r="826" spans="1:50">
      <c r="A826" s="151" t="s">
        <v>2763</v>
      </c>
      <c r="B826" s="153" t="s">
        <v>1114</v>
      </c>
      <c r="C826" s="144"/>
      <c r="D826" s="151" t="s">
        <v>72</v>
      </c>
      <c r="E826" s="151"/>
      <c r="F826" s="153">
        <v>2</v>
      </c>
      <c r="G826" s="151"/>
      <c r="H826" s="151"/>
      <c r="I826" s="151"/>
      <c r="J826" s="151"/>
      <c r="K826" s="144"/>
      <c r="L826" s="144"/>
      <c r="M826" s="144"/>
      <c r="N826" s="144"/>
      <c r="O826" s="151" t="s">
        <v>981</v>
      </c>
      <c r="P826" s="145">
        <v>1</v>
      </c>
      <c r="Q826" s="130">
        <f>MAX(0,$V826-$P826-$S826)</f>
        <v>0</v>
      </c>
      <c r="R826" s="151"/>
      <c r="S826" s="151"/>
      <c r="T826" s="154">
        <v>0.23</v>
      </c>
      <c r="U826" s="134">
        <f>IF(AND($Q826&gt;0,ISNUMBER($T826)),$Q826*$T826,0)</f>
        <v>0</v>
      </c>
      <c r="V826" s="68">
        <f>SUM(W826:AB826)</f>
        <v>0</v>
      </c>
      <c r="W826" s="151"/>
      <c r="X826" s="151"/>
      <c r="Y826" s="151"/>
      <c r="Z826" s="151"/>
      <c r="AA826" s="151"/>
      <c r="AB826" s="151"/>
      <c r="AC826" s="151"/>
      <c r="AD826" s="75">
        <f>SUM(AE826:AJ826)</f>
        <v>0</v>
      </c>
      <c r="AE826" s="76"/>
      <c r="AF826" s="76"/>
      <c r="AG826" s="76"/>
      <c r="AH826" s="76"/>
      <c r="AI826" s="76"/>
      <c r="AJ826" s="76"/>
      <c r="AK826" s="76"/>
      <c r="AL826" s="77">
        <f>IF((P826-SUM(AE826:AK826))&lt;0,0,P826-SUM(AE826:AK826))</f>
        <v>1</v>
      </c>
      <c r="AM826" s="77">
        <f>SUM(AO826:AT826)</f>
        <v>0</v>
      </c>
      <c r="AN826" s="151"/>
      <c r="AO826" s="144"/>
      <c r="AP826" s="144"/>
      <c r="AQ826" s="144"/>
      <c r="AR826" s="144"/>
      <c r="AS826" s="144"/>
      <c r="AT826" s="144"/>
      <c r="AU826" s="144"/>
      <c r="AV826" s="151"/>
      <c r="AW826" s="144"/>
      <c r="AX826" s="151"/>
    </row>
    <row r="827" spans="1:50">
      <c r="A827" s="151" t="s">
        <v>2764</v>
      </c>
      <c r="B827" s="153" t="s">
        <v>1114</v>
      </c>
      <c r="C827" s="144"/>
      <c r="D827" s="151" t="s">
        <v>123</v>
      </c>
      <c r="E827" s="151" t="s">
        <v>680</v>
      </c>
      <c r="F827" s="153">
        <v>5</v>
      </c>
      <c r="G827" s="151"/>
      <c r="H827" s="151"/>
      <c r="I827" s="151"/>
      <c r="J827" s="151"/>
      <c r="K827" s="144"/>
      <c r="L827" s="144"/>
      <c r="M827" s="144"/>
      <c r="N827" s="144"/>
      <c r="O827" s="151" t="s">
        <v>136</v>
      </c>
      <c r="P827" s="145">
        <v>1</v>
      </c>
      <c r="Q827" s="130">
        <f>MAX(0,$V827-$P827-$S827)</f>
        <v>0</v>
      </c>
      <c r="R827" s="151"/>
      <c r="S827" s="151"/>
      <c r="T827" s="154">
        <v>1.5</v>
      </c>
      <c r="U827" s="134">
        <f>IF(AND($Q827&gt;0,ISNUMBER($T827)),$Q827*$T827,0)</f>
        <v>0</v>
      </c>
      <c r="V827" s="68">
        <f>SUM(W827:AB827)</f>
        <v>0</v>
      </c>
      <c r="W827" s="151"/>
      <c r="X827" s="151"/>
      <c r="Y827" s="151"/>
      <c r="Z827" s="151"/>
      <c r="AA827" s="151"/>
      <c r="AB827" s="151"/>
      <c r="AC827" s="151"/>
      <c r="AD827" s="75">
        <f>SUM(AE827:AJ827)</f>
        <v>0</v>
      </c>
      <c r="AE827" s="147"/>
      <c r="AF827" s="147"/>
      <c r="AG827" s="147"/>
      <c r="AH827" s="147"/>
      <c r="AI827" s="147"/>
      <c r="AJ827" s="147"/>
      <c r="AK827" s="147"/>
      <c r="AL827" s="77">
        <f>IF((P827-SUM(AE827:AK827))&lt;0,0,P827-SUM(AE827:AK827))</f>
        <v>1</v>
      </c>
      <c r="AM827" s="77">
        <f>SUM(AO827:AT827)</f>
        <v>0</v>
      </c>
      <c r="AN827" s="144"/>
      <c r="AO827" s="144"/>
      <c r="AP827" s="144"/>
      <c r="AQ827" s="144"/>
      <c r="AR827" s="144"/>
      <c r="AS827" s="144"/>
      <c r="AT827" s="144"/>
      <c r="AU827" s="144"/>
      <c r="AV827" s="151"/>
      <c r="AW827" s="144"/>
      <c r="AX827" s="144"/>
    </row>
    <row r="828" spans="1:50">
      <c r="A828" s="151" t="s">
        <v>2765</v>
      </c>
      <c r="B828" s="153" t="s">
        <v>1971</v>
      </c>
      <c r="C828" s="144"/>
      <c r="D828" s="151" t="s">
        <v>72</v>
      </c>
      <c r="E828" s="151"/>
      <c r="F828" s="153">
        <v>3</v>
      </c>
      <c r="G828" s="151"/>
      <c r="H828" s="151"/>
      <c r="I828" s="151"/>
      <c r="J828" s="151"/>
      <c r="K828" s="144"/>
      <c r="L828" s="144"/>
      <c r="M828" s="144"/>
      <c r="N828" s="144"/>
      <c r="O828" s="151" t="s">
        <v>981</v>
      </c>
      <c r="P828" s="145">
        <v>1</v>
      </c>
      <c r="Q828" s="130">
        <f>MAX(0,$V828-$P828-$S828)</f>
        <v>0</v>
      </c>
      <c r="R828" s="151"/>
      <c r="S828" s="151"/>
      <c r="T828" s="154">
        <v>0.09</v>
      </c>
      <c r="U828" s="134">
        <f>IF(AND($Q828&gt;0,ISNUMBER($T828)),$Q828*$T828,0)</f>
        <v>0</v>
      </c>
      <c r="V828" s="68">
        <f>SUM(W828:AB828)</f>
        <v>0</v>
      </c>
      <c r="W828" s="151"/>
      <c r="X828" s="151"/>
      <c r="Y828" s="151"/>
      <c r="Z828" s="151"/>
      <c r="AA828" s="151"/>
      <c r="AB828" s="151"/>
      <c r="AC828" s="151"/>
      <c r="AD828" s="75">
        <f>SUM(AE828:AJ828)</f>
        <v>0</v>
      </c>
      <c r="AE828" s="76"/>
      <c r="AF828" s="76"/>
      <c r="AG828" s="76"/>
      <c r="AH828" s="76"/>
      <c r="AI828" s="76"/>
      <c r="AJ828" s="76"/>
      <c r="AK828" s="76"/>
      <c r="AL828" s="77">
        <f>IF((P828-SUM(AE828:AK828))&lt;0,0,P828-SUM(AE828:AK828))</f>
        <v>1</v>
      </c>
      <c r="AM828" s="77">
        <f>SUM(AO828:AT828)</f>
        <v>0</v>
      </c>
      <c r="AN828" s="151"/>
      <c r="AO828" s="144"/>
      <c r="AP828" s="144"/>
      <c r="AQ828" s="144"/>
      <c r="AR828" s="144"/>
      <c r="AS828" s="144"/>
      <c r="AT828" s="144"/>
      <c r="AU828" s="144"/>
      <c r="AV828" s="151"/>
      <c r="AW828" s="144"/>
      <c r="AX828" s="144"/>
    </row>
    <row r="829" spans="1:50">
      <c r="A829" s="151" t="s">
        <v>2766</v>
      </c>
      <c r="B829" s="153" t="s">
        <v>1971</v>
      </c>
      <c r="C829" s="144"/>
      <c r="D829" s="151" t="s">
        <v>64</v>
      </c>
      <c r="E829" s="151" t="s">
        <v>2784</v>
      </c>
      <c r="F829" s="153">
        <v>2</v>
      </c>
      <c r="G829" s="151"/>
      <c r="H829" s="151"/>
      <c r="I829" s="151"/>
      <c r="J829" s="151"/>
      <c r="K829" s="144"/>
      <c r="L829" s="144"/>
      <c r="M829" s="144"/>
      <c r="N829" s="144"/>
      <c r="O829" s="151" t="s">
        <v>981</v>
      </c>
      <c r="P829" s="145">
        <v>1</v>
      </c>
      <c r="Q829" s="130">
        <f>MAX(0,$V829-$P829-$S829)</f>
        <v>0</v>
      </c>
      <c r="R829" s="151"/>
      <c r="S829" s="151"/>
      <c r="T829" s="154">
        <v>7.0000000000000007E-2</v>
      </c>
      <c r="U829" s="134">
        <f>IF(AND($Q829&gt;0,ISNUMBER($T829)),$Q829*$T829,0)</f>
        <v>0</v>
      </c>
      <c r="V829" s="68">
        <f>SUM(W829:AB829)</f>
        <v>0</v>
      </c>
      <c r="W829" s="151"/>
      <c r="X829" s="151"/>
      <c r="Y829" s="151"/>
      <c r="Z829" s="151"/>
      <c r="AA829" s="151"/>
      <c r="AB829" s="151"/>
      <c r="AC829" s="151"/>
      <c r="AD829" s="75">
        <f>SUM(AE829:AJ829)</f>
        <v>0</v>
      </c>
      <c r="AE829" s="147"/>
      <c r="AF829" s="147"/>
      <c r="AG829" s="147"/>
      <c r="AH829" s="147"/>
      <c r="AI829" s="147"/>
      <c r="AJ829" s="147"/>
      <c r="AK829" s="147"/>
      <c r="AL829" s="77">
        <f>IF((P829-SUM(AE829:AK829))&lt;0,0,P829-SUM(AE829:AK829))</f>
        <v>1</v>
      </c>
      <c r="AM829" s="77">
        <f>SUM(AO829:AT829)</f>
        <v>0</v>
      </c>
      <c r="AN829" s="151"/>
      <c r="AO829" s="144"/>
      <c r="AP829" s="144"/>
      <c r="AQ829" s="144"/>
      <c r="AR829" s="144"/>
      <c r="AS829" s="144"/>
      <c r="AT829" s="144"/>
      <c r="AU829" s="144"/>
      <c r="AV829" s="151"/>
      <c r="AW829" s="144"/>
      <c r="AX829" s="151"/>
    </row>
    <row r="830" spans="1:50">
      <c r="A830" s="151" t="s">
        <v>2767</v>
      </c>
      <c r="B830" s="153" t="s">
        <v>345</v>
      </c>
      <c r="C830" s="144"/>
      <c r="D830" s="151" t="s">
        <v>175</v>
      </c>
      <c r="E830" s="151" t="s">
        <v>563</v>
      </c>
      <c r="F830" s="153">
        <v>3</v>
      </c>
      <c r="G830" s="151"/>
      <c r="H830" s="151"/>
      <c r="I830" s="151"/>
      <c r="J830" s="151"/>
      <c r="K830" s="144"/>
      <c r="L830" s="144"/>
      <c r="M830" s="144"/>
      <c r="N830" s="144"/>
      <c r="O830" s="151" t="s">
        <v>981</v>
      </c>
      <c r="P830" s="145">
        <v>1</v>
      </c>
      <c r="Q830" s="130">
        <f>MAX(0,$V830-$P830-$S830)</f>
        <v>0</v>
      </c>
      <c r="R830" s="151"/>
      <c r="S830" s="151"/>
      <c r="T830" s="154">
        <v>0.19</v>
      </c>
      <c r="U830" s="134">
        <f>IF(AND($Q830&gt;0,ISNUMBER($T830)),$Q830*$T830,0)</f>
        <v>0</v>
      </c>
      <c r="V830" s="68">
        <f>SUM(W830:AB830)</f>
        <v>0</v>
      </c>
      <c r="W830" s="151"/>
      <c r="X830" s="151"/>
      <c r="Y830" s="151"/>
      <c r="Z830" s="151"/>
      <c r="AA830" s="151"/>
      <c r="AB830" s="151"/>
      <c r="AC830" s="151"/>
      <c r="AD830" s="75">
        <f>SUM(AE830:AJ830)</f>
        <v>0</v>
      </c>
      <c r="AE830" s="76"/>
      <c r="AF830" s="76"/>
      <c r="AG830" s="76"/>
      <c r="AH830" s="76"/>
      <c r="AI830" s="76"/>
      <c r="AJ830" s="76"/>
      <c r="AK830" s="76"/>
      <c r="AL830" s="77">
        <f>IF((P830-SUM(AE830:AK830))&lt;0,0,P830-SUM(AE830:AK830))</f>
        <v>1</v>
      </c>
      <c r="AM830" s="77">
        <f>SUM(AO830:AT830)</f>
        <v>0</v>
      </c>
      <c r="AN830" s="151"/>
      <c r="AO830" s="144"/>
      <c r="AP830" s="144"/>
      <c r="AQ830" s="144"/>
      <c r="AR830" s="144"/>
      <c r="AS830" s="144"/>
      <c r="AT830" s="144"/>
      <c r="AU830" s="144"/>
      <c r="AV830" s="151"/>
      <c r="AW830" s="144"/>
      <c r="AX830" s="151"/>
    </row>
    <row r="831" spans="1:50">
      <c r="A831" s="151" t="s">
        <v>2768</v>
      </c>
      <c r="B831" s="153" t="s">
        <v>1114</v>
      </c>
      <c r="C831" s="144"/>
      <c r="D831" s="151" t="s">
        <v>123</v>
      </c>
      <c r="E831" s="151" t="s">
        <v>2785</v>
      </c>
      <c r="F831" s="153">
        <v>2</v>
      </c>
      <c r="G831" s="151"/>
      <c r="H831" s="151"/>
      <c r="I831" s="151"/>
      <c r="J831" s="151"/>
      <c r="K831" s="144"/>
      <c r="L831" s="144"/>
      <c r="M831" s="144"/>
      <c r="N831" s="144"/>
      <c r="O831" s="151" t="s">
        <v>136</v>
      </c>
      <c r="P831" s="145">
        <v>1</v>
      </c>
      <c r="Q831" s="130">
        <f>MAX(0,$V831-$P831-$S831)</f>
        <v>0</v>
      </c>
      <c r="R831" s="151"/>
      <c r="S831" s="151"/>
      <c r="T831" s="154">
        <v>0.24</v>
      </c>
      <c r="U831" s="134">
        <f>IF(AND($Q831&gt;0,ISNUMBER($T831)),$Q831*$T831,0)</f>
        <v>0</v>
      </c>
      <c r="V831" s="68">
        <f>SUM(W831:AB831)</f>
        <v>0</v>
      </c>
      <c r="W831" s="151"/>
      <c r="X831" s="151"/>
      <c r="Y831" s="151"/>
      <c r="Z831" s="151"/>
      <c r="AA831" s="151"/>
      <c r="AB831" s="151"/>
      <c r="AC831" s="151"/>
      <c r="AD831" s="75">
        <f>SUM(AE831:AJ831)</f>
        <v>0</v>
      </c>
      <c r="AE831" s="147"/>
      <c r="AF831" s="147"/>
      <c r="AG831" s="147"/>
      <c r="AH831" s="147"/>
      <c r="AI831" s="147"/>
      <c r="AJ831" s="147"/>
      <c r="AK831" s="147"/>
      <c r="AL831" s="77">
        <f>IF((P831-SUM(AE831:AK831))&lt;0,0,P831-SUM(AE831:AK831))</f>
        <v>1</v>
      </c>
      <c r="AM831" s="77">
        <f>SUM(AO831:AT831)</f>
        <v>0</v>
      </c>
      <c r="AN831" s="144"/>
      <c r="AO831" s="144"/>
      <c r="AP831" s="144"/>
      <c r="AQ831" s="144"/>
      <c r="AR831" s="144"/>
      <c r="AS831" s="144"/>
      <c r="AT831" s="144"/>
      <c r="AU831" s="144"/>
      <c r="AV831" s="151"/>
      <c r="AW831" s="144"/>
      <c r="AX831" s="144"/>
    </row>
    <row r="832" spans="1:50">
      <c r="A832" s="151" t="s">
        <v>2769</v>
      </c>
      <c r="B832" s="153" t="s">
        <v>1114</v>
      </c>
      <c r="C832" s="144"/>
      <c r="D832" s="151" t="s">
        <v>123</v>
      </c>
      <c r="E832" s="151" t="s">
        <v>2786</v>
      </c>
      <c r="F832" s="153">
        <v>5</v>
      </c>
      <c r="G832" s="151"/>
      <c r="H832" s="151"/>
      <c r="I832" s="151"/>
      <c r="J832" s="151"/>
      <c r="K832" s="144"/>
      <c r="L832" s="144"/>
      <c r="M832" s="144"/>
      <c r="N832" s="144"/>
      <c r="O832" s="151" t="s">
        <v>136</v>
      </c>
      <c r="P832" s="145">
        <v>1</v>
      </c>
      <c r="Q832" s="130">
        <f>MAX(0,$V832-$P832-$S832)</f>
        <v>0</v>
      </c>
      <c r="R832" s="151"/>
      <c r="S832" s="151"/>
      <c r="T832" s="154">
        <v>0.3</v>
      </c>
      <c r="U832" s="134">
        <f>IF(AND($Q832&gt;0,ISNUMBER($T832)),$Q832*$T832,0)</f>
        <v>0</v>
      </c>
      <c r="V832" s="68">
        <f>SUM(W832:AB832)</f>
        <v>0</v>
      </c>
      <c r="W832" s="151"/>
      <c r="X832" s="151"/>
      <c r="Y832" s="151"/>
      <c r="Z832" s="151"/>
      <c r="AA832" s="151"/>
      <c r="AB832" s="151"/>
      <c r="AC832" s="151"/>
      <c r="AD832" s="75">
        <f>SUM(AE832:AJ832)</f>
        <v>0</v>
      </c>
      <c r="AE832" s="76"/>
      <c r="AF832" s="76"/>
      <c r="AG832" s="76"/>
      <c r="AH832" s="76"/>
      <c r="AI832" s="76"/>
      <c r="AJ832" s="76"/>
      <c r="AK832" s="76"/>
      <c r="AL832" s="77">
        <f>IF((P832-SUM(AE832:AK832))&lt;0,0,P832-SUM(AE832:AK832))</f>
        <v>1</v>
      </c>
      <c r="AM832" s="77">
        <f>SUM(AO832:AT832)</f>
        <v>0</v>
      </c>
      <c r="AN832" s="151"/>
      <c r="AO832" s="144"/>
      <c r="AP832" s="144"/>
      <c r="AQ832" s="144"/>
      <c r="AR832" s="144"/>
      <c r="AS832" s="144"/>
      <c r="AT832" s="144"/>
      <c r="AU832" s="144"/>
      <c r="AV832" s="151"/>
      <c r="AW832" s="144"/>
      <c r="AX832" s="144"/>
    </row>
    <row r="833" spans="1:50">
      <c r="A833" s="151" t="s">
        <v>2770</v>
      </c>
      <c r="B833" s="153" t="s">
        <v>345</v>
      </c>
      <c r="C833" s="144"/>
      <c r="D833" s="151" t="s">
        <v>64</v>
      </c>
      <c r="E833" s="151" t="s">
        <v>2787</v>
      </c>
      <c r="F833" s="153">
        <v>2</v>
      </c>
      <c r="G833" s="151"/>
      <c r="H833" s="151"/>
      <c r="I833" s="151"/>
      <c r="J833" s="151"/>
      <c r="K833" s="144"/>
      <c r="L833" s="144"/>
      <c r="M833" s="144"/>
      <c r="N833" s="144"/>
      <c r="O833" s="151" t="s">
        <v>136</v>
      </c>
      <c r="P833" s="145">
        <v>1</v>
      </c>
      <c r="Q833" s="130">
        <f>MAX(0,$V833-$P833-$S833)</f>
        <v>0</v>
      </c>
      <c r="R833" s="151"/>
      <c r="S833" s="151"/>
      <c r="T833" s="154">
        <v>0.31</v>
      </c>
      <c r="U833" s="134">
        <f>IF(AND($Q833&gt;0,ISNUMBER($T833)),$Q833*$T833,0)</f>
        <v>0</v>
      </c>
      <c r="V833" s="68">
        <f>SUM(W833:AB833)</f>
        <v>0</v>
      </c>
      <c r="W833" s="151"/>
      <c r="X833" s="151"/>
      <c r="Y833" s="151"/>
      <c r="Z833" s="151"/>
      <c r="AA833" s="151"/>
      <c r="AB833" s="151"/>
      <c r="AC833" s="151"/>
      <c r="AD833" s="75">
        <f>SUM(AE833:AJ833)</f>
        <v>0</v>
      </c>
      <c r="AE833" s="147"/>
      <c r="AF833" s="147"/>
      <c r="AG833" s="147"/>
      <c r="AH833" s="147"/>
      <c r="AI833" s="147"/>
      <c r="AJ833" s="147"/>
      <c r="AK833" s="147"/>
      <c r="AL833" s="77">
        <f>IF((P833-SUM(AE833:AK833))&lt;0,0,P833-SUM(AE833:AK833))</f>
        <v>1</v>
      </c>
      <c r="AM833" s="77">
        <f>SUM(AO833:AT833)</f>
        <v>0</v>
      </c>
      <c r="AN833" s="144"/>
      <c r="AO833" s="144"/>
      <c r="AP833" s="144"/>
      <c r="AQ833" s="144"/>
      <c r="AR833" s="144"/>
      <c r="AS833" s="144"/>
      <c r="AT833" s="144"/>
      <c r="AU833" s="144"/>
      <c r="AV833" s="151"/>
      <c r="AW833" s="144"/>
      <c r="AX833" s="144"/>
    </row>
    <row r="834" spans="1:50">
      <c r="A834" s="151" t="s">
        <v>2771</v>
      </c>
      <c r="B834" s="153" t="s">
        <v>1971</v>
      </c>
      <c r="C834" s="144"/>
      <c r="D834" s="151" t="s">
        <v>72</v>
      </c>
      <c r="E834" s="151"/>
      <c r="F834" s="153">
        <v>2</v>
      </c>
      <c r="G834" s="151"/>
      <c r="H834" s="151"/>
      <c r="I834" s="151"/>
      <c r="J834" s="151"/>
      <c r="K834" s="144"/>
      <c r="L834" s="144"/>
      <c r="M834" s="144"/>
      <c r="N834" s="144"/>
      <c r="O834" s="151" t="s">
        <v>136</v>
      </c>
      <c r="P834" s="145">
        <v>1</v>
      </c>
      <c r="Q834" s="130">
        <f>MAX(0,$V834-$P834-$S834)</f>
        <v>0</v>
      </c>
      <c r="R834" s="151"/>
      <c r="S834" s="151"/>
      <c r="T834" s="154">
        <v>0.15</v>
      </c>
      <c r="U834" s="134">
        <f>IF(AND($Q834&gt;0,ISNUMBER($T834)),$Q834*$T834,0)</f>
        <v>0</v>
      </c>
      <c r="V834" s="68">
        <f>SUM(W834:AB834)</f>
        <v>0</v>
      </c>
      <c r="W834" s="151"/>
      <c r="X834" s="151"/>
      <c r="Y834" s="151"/>
      <c r="Z834" s="151"/>
      <c r="AA834" s="151"/>
      <c r="AB834" s="151"/>
      <c r="AC834" s="151"/>
      <c r="AD834" s="75">
        <f>SUM(AE834:AJ834)</f>
        <v>0</v>
      </c>
      <c r="AE834" s="76"/>
      <c r="AF834" s="76"/>
      <c r="AG834" s="76"/>
      <c r="AH834" s="76"/>
      <c r="AI834" s="76"/>
      <c r="AJ834" s="76"/>
      <c r="AK834" s="76"/>
      <c r="AL834" s="77">
        <f>IF((P834-SUM(AE834:AK834))&lt;0,0,P834-SUM(AE834:AK834))</f>
        <v>1</v>
      </c>
      <c r="AM834" s="77">
        <f>SUM(AO834:AT834)</f>
        <v>0</v>
      </c>
      <c r="AN834" s="144"/>
      <c r="AO834" s="144"/>
      <c r="AP834" s="144"/>
      <c r="AQ834" s="144"/>
      <c r="AR834" s="144"/>
      <c r="AS834" s="144"/>
      <c r="AT834" s="144"/>
      <c r="AU834" s="144"/>
      <c r="AV834" s="151"/>
      <c r="AW834" s="144"/>
      <c r="AX834" s="144"/>
    </row>
    <row r="835" spans="1:50">
      <c r="A835" s="151" t="s">
        <v>2772</v>
      </c>
      <c r="B835" s="153" t="s">
        <v>46</v>
      </c>
      <c r="C835" s="144"/>
      <c r="D835" s="151" t="s">
        <v>72</v>
      </c>
      <c r="E835" s="151"/>
      <c r="F835" s="153">
        <v>4</v>
      </c>
      <c r="G835" s="151"/>
      <c r="H835" s="151"/>
      <c r="I835" s="151"/>
      <c r="J835" s="151"/>
      <c r="K835" s="144"/>
      <c r="L835" s="144"/>
      <c r="M835" s="144"/>
      <c r="N835" s="144"/>
      <c r="O835" s="151" t="s">
        <v>981</v>
      </c>
      <c r="P835" s="145">
        <v>1</v>
      </c>
      <c r="Q835" s="130">
        <f>MAX(0,$V835-$P835-$S835)</f>
        <v>0</v>
      </c>
      <c r="R835" s="151"/>
      <c r="S835" s="151"/>
      <c r="T835" s="154">
        <v>0.11</v>
      </c>
      <c r="U835" s="134">
        <f>IF(AND($Q835&gt;0,ISNUMBER($T835)),$Q835*$T835,0)</f>
        <v>0</v>
      </c>
      <c r="V835" s="68">
        <f>SUM(W835:AB835)</f>
        <v>0</v>
      </c>
      <c r="W835" s="151"/>
      <c r="X835" s="151"/>
      <c r="Y835" s="151"/>
      <c r="Z835" s="151"/>
      <c r="AA835" s="151"/>
      <c r="AB835" s="151"/>
      <c r="AC835" s="151"/>
      <c r="AD835" s="75">
        <f>SUM(AE835:AJ835)</f>
        <v>0</v>
      </c>
      <c r="AE835" s="147"/>
      <c r="AF835" s="147"/>
      <c r="AG835" s="147"/>
      <c r="AH835" s="147"/>
      <c r="AI835" s="147"/>
      <c r="AJ835" s="147"/>
      <c r="AK835" s="147"/>
      <c r="AL835" s="77">
        <f>IF((P835-SUM(AE835:AK835))&lt;0,0,P835-SUM(AE835:AK835))</f>
        <v>1</v>
      </c>
      <c r="AM835" s="77">
        <f>SUM(AO835:AT835)</f>
        <v>0</v>
      </c>
      <c r="AN835" s="144"/>
      <c r="AO835" s="144"/>
      <c r="AP835" s="144"/>
      <c r="AQ835" s="144"/>
      <c r="AR835" s="144"/>
      <c r="AS835" s="144"/>
      <c r="AT835" s="144"/>
      <c r="AU835" s="144"/>
      <c r="AV835" s="151"/>
      <c r="AW835" s="144"/>
      <c r="AX835" s="144"/>
    </row>
    <row r="836" spans="1:50">
      <c r="A836" s="151" t="s">
        <v>2773</v>
      </c>
      <c r="B836" s="153" t="s">
        <v>636</v>
      </c>
      <c r="C836" s="144"/>
      <c r="D836" s="151" t="s">
        <v>72</v>
      </c>
      <c r="E836" s="151"/>
      <c r="F836" s="153">
        <v>2</v>
      </c>
      <c r="G836" s="151"/>
      <c r="H836" s="151"/>
      <c r="I836" s="151"/>
      <c r="J836" s="151"/>
      <c r="K836" s="144"/>
      <c r="L836" s="144"/>
      <c r="M836" s="144"/>
      <c r="N836" s="144"/>
      <c r="O836" s="151" t="s">
        <v>136</v>
      </c>
      <c r="P836" s="145">
        <v>1</v>
      </c>
      <c r="Q836" s="130">
        <f>MAX(0,$V836-$P836-$S836)</f>
        <v>0</v>
      </c>
      <c r="R836" s="151"/>
      <c r="S836" s="151"/>
      <c r="T836" s="154">
        <v>0.19</v>
      </c>
      <c r="U836" s="134">
        <f>IF(AND($Q836&gt;0,ISNUMBER($T836)),$Q836*$T836,0)</f>
        <v>0</v>
      </c>
      <c r="V836" s="68">
        <f>SUM(W836:AB836)</f>
        <v>0</v>
      </c>
      <c r="W836" s="151"/>
      <c r="X836" s="151"/>
      <c r="Y836" s="151"/>
      <c r="Z836" s="151"/>
      <c r="AA836" s="151"/>
      <c r="AB836" s="151"/>
      <c r="AC836" s="151"/>
      <c r="AD836" s="75">
        <f>SUM(AE836:AJ836)</f>
        <v>0</v>
      </c>
      <c r="AE836" s="76"/>
      <c r="AF836" s="76"/>
      <c r="AG836" s="76"/>
      <c r="AH836" s="76"/>
      <c r="AI836" s="76"/>
      <c r="AJ836" s="76"/>
      <c r="AK836" s="76"/>
      <c r="AL836" s="77">
        <f>IF((P836-SUM(AE836:AK836))&lt;0,0,P836-SUM(AE836:AK836))</f>
        <v>1</v>
      </c>
      <c r="AM836" s="77">
        <f>SUM(AO836:AT836)</f>
        <v>0</v>
      </c>
      <c r="AN836" s="151"/>
      <c r="AO836" s="144"/>
      <c r="AP836" s="144"/>
      <c r="AQ836" s="144"/>
      <c r="AR836" s="144"/>
      <c r="AS836" s="144"/>
      <c r="AT836" s="144"/>
      <c r="AU836" s="144"/>
      <c r="AV836" s="151"/>
      <c r="AW836" s="144"/>
      <c r="AX836" s="144"/>
    </row>
    <row r="837" spans="1:50">
      <c r="A837" s="151" t="s">
        <v>2774</v>
      </c>
      <c r="B837" s="153" t="s">
        <v>1114</v>
      </c>
      <c r="C837" s="144"/>
      <c r="D837" s="151" t="s">
        <v>64</v>
      </c>
      <c r="E837" s="151" t="s">
        <v>849</v>
      </c>
      <c r="F837" s="153">
        <v>3</v>
      </c>
      <c r="G837" s="151"/>
      <c r="H837" s="151"/>
      <c r="I837" s="151"/>
      <c r="J837" s="151"/>
      <c r="K837" s="144"/>
      <c r="L837" s="144"/>
      <c r="M837" s="144"/>
      <c r="N837" s="144"/>
      <c r="O837" s="151" t="s">
        <v>48</v>
      </c>
      <c r="P837" s="145">
        <v>1</v>
      </c>
      <c r="Q837" s="130">
        <f>MAX(0,$V837-$P837-$S837)</f>
        <v>0</v>
      </c>
      <c r="R837" s="151"/>
      <c r="S837" s="151"/>
      <c r="T837" s="154">
        <v>0.14000000000000001</v>
      </c>
      <c r="U837" s="134">
        <f>IF(AND($Q837&gt;0,ISNUMBER($T837)),$Q837*$T837,0)</f>
        <v>0</v>
      </c>
      <c r="V837" s="68">
        <f>SUM(W837:AB837)</f>
        <v>0</v>
      </c>
      <c r="W837" s="151"/>
      <c r="X837" s="151"/>
      <c r="Y837" s="151"/>
      <c r="Z837" s="151"/>
      <c r="AA837" s="151"/>
      <c r="AB837" s="151"/>
      <c r="AC837" s="151"/>
      <c r="AD837" s="75">
        <f>SUM(AE837:AJ837)</f>
        <v>0</v>
      </c>
      <c r="AE837" s="147"/>
      <c r="AF837" s="147"/>
      <c r="AG837" s="147"/>
      <c r="AH837" s="147"/>
      <c r="AI837" s="147"/>
      <c r="AJ837" s="147"/>
      <c r="AK837" s="147"/>
      <c r="AL837" s="77">
        <f>IF((P837-SUM(AE837:AK837))&lt;0,0,P837-SUM(AE837:AK837))</f>
        <v>1</v>
      </c>
      <c r="AM837" s="77">
        <f>SUM(AO837:AT837)</f>
        <v>0</v>
      </c>
      <c r="AN837" s="144"/>
      <c r="AO837" s="144"/>
      <c r="AP837" s="144"/>
      <c r="AQ837" s="144"/>
      <c r="AR837" s="144"/>
      <c r="AS837" s="144"/>
      <c r="AT837" s="144"/>
      <c r="AU837" s="144"/>
      <c r="AV837" s="151"/>
      <c r="AW837" s="144"/>
      <c r="AX837" s="144"/>
    </row>
  </sheetData>
  <autoFilter ref="A4:AX837" xr:uid="{00000000-0009-0000-0000-000003000000}">
    <sortState xmlns:xlrd2="http://schemas.microsoft.com/office/spreadsheetml/2017/richdata2" ref="A5:AX837">
      <sortCondition ref="C4:C837"/>
    </sortState>
  </autoFilter>
  <mergeCells count="2">
    <mergeCell ref="AE3:AI3"/>
    <mergeCell ref="W3:AA3"/>
  </mergeCells>
  <conditionalFormatting sqref="C3 A1:A2 A4:A1048576">
    <cfRule type="duplicateValues" dxfId="12" priority="4"/>
  </conditionalFormatting>
  <conditionalFormatting sqref="C662">
    <cfRule type="expression" dxfId="11" priority="58">
      <formula>#REF!="Bench"</formula>
    </cfRule>
    <cfRule type="expression" dxfId="10" priority="59">
      <formula>#REF!="Bench-Sub"</formula>
    </cfRule>
    <cfRule type="expression" dxfId="9" priority="60">
      <formula>#REF!="Extra"</formula>
    </cfRule>
    <cfRule type="expression" dxfId="8" priority="61">
      <formula>#REF!="In Hand"</formula>
    </cfRule>
    <cfRule type="expression" dxfId="7" priority="62">
      <formula>#REF!="Ordered"</formula>
    </cfRule>
    <cfRule type="expression" dxfId="6" priority="63">
      <formula>#REF!="In TCGPlayer Cart"</formula>
    </cfRule>
    <cfRule type="expression" dxfId="5" priority="64">
      <formula>#REF!="To Buy"</formula>
    </cfRule>
  </conditionalFormatting>
  <conditionalFormatting sqref="Q5:Q660">
    <cfRule type="expression" dxfId="4" priority="42">
      <formula>Q5&gt;0</formula>
    </cfRule>
  </conditionalFormatting>
  <conditionalFormatting sqref="R5:R642">
    <cfRule type="expression" dxfId="3" priority="50">
      <formula>$R5&lt;&gt;""</formula>
    </cfRule>
  </conditionalFormatting>
  <conditionalFormatting sqref="AE5:AK837">
    <cfRule type="expression" dxfId="2" priority="1">
      <formula>AE5="O"</formula>
    </cfRule>
    <cfRule type="expression" dxfId="1" priority="2">
      <formula>AE5=W5</formula>
    </cfRule>
    <cfRule type="expression" dxfId="0" priority="3">
      <formula>AE5&lt;&gt;W5</formula>
    </cfRule>
  </conditionalFormatting>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Upgrade Path</vt:lpstr>
      <vt:lpst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Minor</dc:creator>
  <cp:lastModifiedBy>Robert Minor</cp:lastModifiedBy>
  <dcterms:created xsi:type="dcterms:W3CDTF">2026-09-05T04:45:55Z</dcterms:created>
  <dcterms:modified xsi:type="dcterms:W3CDTF">2026-09-16T03:26:43Z</dcterms:modified>
</cp:coreProperties>
</file>