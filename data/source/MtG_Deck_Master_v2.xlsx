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500" firstSheet="0" activeTab="1" autoFilterDateGrouping="1"/>
  </bookViews>
  <sheets>
    <sheet xmlns:r="http://schemas.openxmlformats.org/officeDocument/2006/relationships" name="Dashboard" sheetId="1" state="visible" r:id="rId1"/>
    <sheet xmlns:r="http://schemas.openxmlformats.org/officeDocument/2006/relationships" name="Master" sheetId="2" state="visible" r:id="rId2"/>
    <sheet xmlns:r="http://schemas.openxmlformats.org/officeDocument/2006/relationships" name="Upgrades (D5-D6)" sheetId="3" state="visible" r:id="rId3"/>
    <sheet xmlns:r="http://schemas.openxmlformats.org/officeDocument/2006/relationships" name="B3 Upgrades" sheetId="4" state="visible" r:id="rId4"/>
    <sheet xmlns:r="http://schemas.openxmlformats.org/officeDocument/2006/relationships" name="Read Me" sheetId="5" state="visible" r:id="rId5"/>
    <sheet xmlns:r="http://schemas.openxmlformats.org/officeDocument/2006/relationships" name="Temp Adds" sheetId="6" state="visible" r:id="rId6"/>
  </sheets>
  <definedNames>
    <definedName name="_xlnm._FilterDatabase" localSheetId="1" hidden="1">'Master'!$A$4:$AK$571</definedName>
    <definedName name="_xlnm._FilterDatabase" localSheetId="2" hidden="1">'Upgrades (D5-D6)'!$A$1:$L$39</definedName>
    <definedName name="_xlnm._FilterDatabase" localSheetId="3" hidden="1">'B3 Upgrades'!$A$1:$J$39</definedName>
  </definedNames>
  <calcPr calcId="191029" fullCalcOnLoad="1" iterateDelta="0.0001"/>
</workbook>
</file>

<file path=xl/styles.xml><?xml version="1.0" encoding="utf-8"?>
<styleSheet xmlns="http://schemas.openxmlformats.org/spreadsheetml/2006/main">
  <numFmts count="1">
    <numFmt numFmtId="164" formatCode="\$#,##0.00"/>
  </numFmts>
  <fonts count="28">
    <font>
      <name val="Calibri"/>
      <charset val="1"/>
      <family val="2"/>
      <color theme="1"/>
      <sz val="11"/>
    </font>
    <font>
      <name val="Arial"/>
      <charset val="1"/>
      <b val="1"/>
      <color rgb="FFFFFFFF"/>
      <sz val="11"/>
    </font>
    <font>
      <name val="Arial"/>
      <charset val="1"/>
      <sz val="11"/>
    </font>
    <font>
      <name val="Arial"/>
      <charset val="1"/>
      <b val="1"/>
      <color rgb="FF7030A0"/>
      <sz val="11"/>
    </font>
    <font>
      <name val="Arial"/>
      <charset val="1"/>
      <b val="1"/>
      <sz val="12"/>
    </font>
    <font>
      <name val="Arial"/>
      <charset val="1"/>
      <sz val="10"/>
    </font>
    <font>
      <name val="Arial"/>
      <charset val="1"/>
      <b val="1"/>
      <sz val="10"/>
    </font>
    <font>
      <name val="Calibri"/>
      <family val="2"/>
      <b val="1"/>
      <color theme="1"/>
      <sz val="11"/>
    </font>
    <font>
      <name val="Arial"/>
      <family val="2"/>
      <sz val="11"/>
    </font>
    <font>
      <name val="Arial"/>
      <family val="2"/>
      <b val="1"/>
      <color rgb="FFFFFFFF"/>
      <sz val="11"/>
    </font>
    <font>
      <name val="Arial"/>
      <family val="2"/>
      <color rgb="FFFF0000"/>
      <sz val="11"/>
    </font>
    <font>
      <name val="Calibri"/>
      <b val="1"/>
      <sz val="14"/>
    </font>
    <font>
      <name val="Calibri"/>
      <i val="1"/>
      <color rgb="FF666666"/>
      <sz val="11"/>
    </font>
    <font>
      <name val="Calibri"/>
      <b val="1"/>
      <color rgb="FFFFFFFF"/>
      <sz val="11"/>
    </font>
    <font>
      <name val="Calibri"/>
      <b val="1"/>
      <sz val="11"/>
    </font>
    <font>
      <name val="Calibri"/>
      <color rgb="FF666666"/>
      <sz val="9"/>
    </font>
    <font>
      <name val="Arial"/>
      <family val="2"/>
      <b val="1"/>
      <color theme="1"/>
      <sz val="11"/>
    </font>
    <font>
      <name val="Arial"/>
      <family val="2"/>
      <color theme="1"/>
      <sz val="11"/>
    </font>
    <font>
      <name val="Calibri"/>
      <i val="1"/>
      <color rgb="FF666666"/>
      <sz val="11"/>
    </font>
    <font>
      <name val="Calibri"/>
      <b val="1"/>
      <sz val="14"/>
    </font>
    <font>
      <name val="Calibri"/>
      <b val="1"/>
      <sz val="11"/>
    </font>
    <font>
      <name val="Calibri"/>
      <b val="1"/>
      <color rgb="FFFFFFFF"/>
      <sz val="11"/>
    </font>
    <font>
      <name val="Calibri"/>
      <b val="1"/>
      <sz val="12"/>
    </font>
    <font>
      <name val="Calibri"/>
      <charset val="1"/>
      <family val="2"/>
      <sz val="8"/>
    </font>
    <font>
      <b val="1"/>
      <sz val="14"/>
    </font>
    <font>
      <b val="1"/>
    </font>
    <font>
      <b val="1"/>
      <color rgb="00FFFFFF"/>
    </font>
    <font>
      <b val="1"/>
      <sz val="12"/>
    </font>
  </fonts>
  <fills count="21">
    <fill>
      <patternFill/>
    </fill>
    <fill>
      <patternFill patternType="gray125"/>
    </fill>
    <fill>
      <patternFill patternType="solid">
        <fgColor rgb="FF1F4E78"/>
        <bgColor rgb="FF2E5E4E"/>
      </patternFill>
    </fill>
    <fill>
      <patternFill patternType="solid">
        <fgColor theme="3" tint="0.5999938962981048"/>
        <bgColor indexed="64"/>
      </patternFill>
    </fill>
    <fill>
      <patternFill patternType="solid">
        <fgColor theme="6"/>
        <bgColor rgb="FF2E5E4E"/>
      </patternFill>
    </fill>
    <fill>
      <patternFill patternType="solid">
        <fgColor theme="6"/>
        <bgColor indexed="64"/>
      </patternFill>
    </fill>
    <fill>
      <patternFill patternType="solid">
        <fgColor rgb="FF7030A0"/>
        <bgColor rgb="FF2E5E4E"/>
      </patternFill>
    </fill>
    <fill>
      <patternFill patternType="solid">
        <fgColor theme="4"/>
        <bgColor rgb="FF2E5E4E"/>
      </patternFill>
    </fill>
    <fill>
      <patternFill patternType="solid">
        <fgColor theme="2" tint="-0.499984740745262"/>
        <bgColor rgb="FF2E5E4E"/>
      </patternFill>
    </fill>
    <fill>
      <patternFill patternType="solid">
        <fgColor rgb="FF00B050"/>
        <bgColor rgb="FF2E5E4E"/>
      </patternFill>
    </fill>
    <fill>
      <patternFill patternType="solid">
        <fgColor rgb="FFFFFF00"/>
        <bgColor indexed="64"/>
      </patternFill>
    </fill>
    <fill>
      <patternFill patternType="solid">
        <fgColor rgb="FF1F3A5F"/>
      </patternFill>
    </fill>
    <fill>
      <patternFill patternType="solid">
        <fgColor rgb="FFFFFF00"/>
        <bgColor rgb="FF2E5E4E"/>
      </patternFill>
    </fill>
    <fill>
      <patternFill patternType="solid">
        <fgColor rgb="FF1F3864"/>
      </patternFill>
    </fill>
    <fill>
      <patternFill patternType="solid">
        <fgColor rgb="FFDDEBF7"/>
      </patternFill>
    </fill>
    <fill>
      <patternFill patternType="solid">
        <fgColor rgb="FFE2EFDA"/>
      </patternFill>
    </fill>
    <fill>
      <patternFill patternType="solid">
        <fgColor rgb="FFFFF2CC"/>
      </patternFill>
    </fill>
    <fill>
      <patternFill patternType="solid">
        <fgColor rgb="001F3864"/>
      </patternFill>
    </fill>
    <fill>
      <patternFill patternType="solid">
        <fgColor rgb="00DDEBF7"/>
      </patternFill>
    </fill>
    <fill>
      <patternFill patternType="solid">
        <fgColor rgb="00E2EFDA"/>
      </patternFill>
    </fill>
    <fill>
      <patternFill patternType="solid">
        <fgColor rgb="00FFF2CC"/>
      </patternFill>
    </fill>
  </fills>
  <borders count="7">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bottom/>
      <diagonal/>
    </border>
    <border>
      <left/>
      <right/>
      <top/>
      <bottom style="thin">
        <color rgb="FFD9D9D9"/>
      </bottom>
      <diagonal/>
    </border>
    <border>
      <left style="thin">
        <color rgb="FFBBBBBB"/>
      </left>
      <right style="thin">
        <color rgb="FFBBBBBB"/>
      </right>
      <top style="thin">
        <color rgb="FFBBBBBB"/>
      </top>
      <bottom style="thin">
        <color rgb="FFBBBBBB"/>
      </bottom>
      <diagonal/>
    </border>
    <border>
      <left/>
      <right/>
      <top/>
      <bottom style="thin">
        <color rgb="FFBFBFBF"/>
      </bottom>
      <diagonal/>
    </border>
    <border>
      <bottom style="thin">
        <color rgb="00BFBFBF"/>
      </bottom>
    </border>
  </borders>
  <cellStyleXfs count="1">
    <xf numFmtId="0" fontId="0" fillId="0" borderId="0"/>
  </cellStyleXfs>
  <cellXfs count="95">
    <xf numFmtId="0" fontId="0" fillId="0" borderId="0" pivotButton="0" quotePrefix="0" xfId="0"/>
    <xf numFmtId="0" fontId="1" fillId="2" borderId="1" applyAlignment="1" pivotButton="0" quotePrefix="0" xfId="0">
      <alignment horizontal="center" wrapText="1"/>
    </xf>
    <xf numFmtId="0" fontId="2" fillId="0" borderId="1" pivotButton="0" quotePrefix="0" xfId="0"/>
    <xf numFmtId="0" fontId="2" fillId="0" borderId="1" applyAlignment="1" pivotButton="0" quotePrefix="0" xfId="0">
      <alignment horizontal="center"/>
    </xf>
    <xf numFmtId="164" fontId="2" fillId="0" borderId="1" pivotButton="0" quotePrefix="0" xfId="0"/>
    <xf numFmtId="0" fontId="3" fillId="0" borderId="1" applyAlignment="1" pivotButton="0" quotePrefix="0" xfId="0">
      <alignment horizontal="center"/>
    </xf>
    <xf numFmtId="0" fontId="2" fillId="0" borderId="1"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2" fillId="0" borderId="2" pivotButton="0" quotePrefix="0" xfId="0"/>
    <xf numFmtId="0" fontId="2" fillId="0" borderId="2" applyAlignment="1" pivotButton="0" quotePrefix="0" xfId="0">
      <alignment horizontal="center"/>
    </xf>
    <xf numFmtId="164" fontId="2" fillId="0" borderId="2" pivotButton="0" quotePrefix="0" xfId="0"/>
    <xf numFmtId="0" fontId="7" fillId="3" borderId="3" applyAlignment="1" pivotButton="0" quotePrefix="0" xfId="0">
      <alignment horizontal="center"/>
    </xf>
    <xf numFmtId="0" fontId="1" fillId="2" borderId="1" applyAlignment="1" pivotButton="0" quotePrefix="0" xfId="0">
      <alignment horizontal="center" vertical="top" wrapText="1"/>
    </xf>
    <xf numFmtId="0" fontId="1" fillId="4" borderId="1" applyAlignment="1" pivotButton="0" quotePrefix="0" xfId="0">
      <alignment horizontal="center" vertical="top" wrapText="1"/>
    </xf>
    <xf numFmtId="0" fontId="9" fillId="2" borderId="1" applyAlignment="1" pivotButton="0" quotePrefix="0" xfId="0">
      <alignment horizontal="center" vertical="top" wrapText="1"/>
    </xf>
    <xf numFmtId="0" fontId="1" fillId="6" borderId="1" applyAlignment="1" pivotButton="0" quotePrefix="0" xfId="0">
      <alignment horizontal="center" vertical="top" wrapText="1"/>
    </xf>
    <xf numFmtId="0" fontId="7" fillId="0" borderId="0" pivotButton="0" quotePrefix="0" xfId="0"/>
    <xf numFmtId="0" fontId="8" fillId="0" borderId="1" pivotButton="0" quotePrefix="0" xfId="0"/>
    <xf numFmtId="0" fontId="0" fillId="0" borderId="1" pivotButton="0" quotePrefix="0" xfId="0"/>
    <xf numFmtId="0" fontId="10" fillId="0" borderId="1" applyAlignment="1" pivotButton="0" quotePrefix="0" xfId="0">
      <alignment horizontal="center"/>
    </xf>
    <xf numFmtId="0" fontId="7" fillId="3" borderId="3" pivotButton="0" quotePrefix="0" xfId="0"/>
    <xf numFmtId="0" fontId="7" fillId="5" borderId="3" pivotButton="0" quotePrefix="0" xfId="0"/>
    <xf numFmtId="0" fontId="7" fillId="0" borderId="3" pivotButton="0" quotePrefix="0" xfId="0"/>
    <xf numFmtId="0" fontId="9" fillId="6" borderId="1" applyAlignment="1" pivotButton="0" quotePrefix="0" xfId="0">
      <alignment horizontal="center" vertical="top" wrapText="1"/>
    </xf>
    <xf numFmtId="0" fontId="1" fillId="7" borderId="1" applyAlignment="1" pivotButton="0" quotePrefix="0" xfId="0">
      <alignment horizontal="center" vertical="top" wrapText="1"/>
    </xf>
    <xf numFmtId="0" fontId="9" fillId="8" borderId="1" applyAlignment="1" pivotButton="0" quotePrefix="0" xfId="0">
      <alignment horizontal="center" vertical="top" wrapText="1"/>
    </xf>
    <xf numFmtId="0" fontId="9" fillId="9" borderId="1" applyAlignment="1" pivotButton="0" quotePrefix="0" xfId="0">
      <alignment horizontal="center" vertical="top" wrapText="1"/>
    </xf>
    <xf numFmtId="0" fontId="2" fillId="0" borderId="1" applyAlignment="1" pivotButton="0" quotePrefix="0" xfId="0">
      <alignment horizontal="left" vertical="top"/>
    </xf>
    <xf numFmtId="0" fontId="0" fillId="0" borderId="1" applyAlignment="1" pivotButton="0" quotePrefix="0" xfId="0">
      <alignment horizontal="left" vertical="top"/>
    </xf>
    <xf numFmtId="0" fontId="2" fillId="10" borderId="1" pivotButton="0" quotePrefix="0" xfId="0"/>
    <xf numFmtId="0" fontId="2" fillId="0" borderId="0" applyAlignment="1" pivotButton="0" quotePrefix="0" xfId="0">
      <alignment horizontal="center"/>
    </xf>
    <xf numFmtId="164" fontId="2" fillId="0" borderId="0" pivotButton="0" quotePrefix="0" xfId="0"/>
    <xf numFmtId="0" fontId="2" fillId="0" borderId="0" applyAlignment="1" pivotButton="0" quotePrefix="0" xfId="0">
      <alignment horizontal="left" vertical="top"/>
    </xf>
    <xf numFmtId="0" fontId="2" fillId="0" borderId="0" pivotButton="0" quotePrefix="0" xfId="0"/>
    <xf numFmtId="0" fontId="8" fillId="0" borderId="2" pivotButton="0" quotePrefix="0" xfId="0"/>
    <xf numFmtId="0" fontId="8" fillId="0" borderId="1" applyAlignment="1" pivotButton="0" quotePrefix="0" xfId="0">
      <alignment horizontal="center"/>
    </xf>
    <xf numFmtId="0" fontId="9" fillId="4" borderId="1" applyAlignment="1" pivotButton="0" quotePrefix="0" xfId="0">
      <alignment horizontal="center" vertical="top" wrapText="1"/>
    </xf>
    <xf numFmtId="164" fontId="0" fillId="0" borderId="0" pivotButton="0" quotePrefix="0" xfId="0"/>
    <xf numFmtId="0" fontId="11" fillId="0" borderId="0" pivotButton="0" quotePrefix="0" xfId="0"/>
    <xf numFmtId="0" fontId="12" fillId="0" borderId="0" pivotButton="0" quotePrefix="0" xfId="0"/>
    <xf numFmtId="0" fontId="13" fillId="11" borderId="4" applyAlignment="1" pivotButton="0" quotePrefix="0" xfId="0">
      <alignment horizontal="center" wrapText="1"/>
    </xf>
    <xf numFmtId="0" fontId="0" fillId="0" borderId="4" pivotButton="0" quotePrefix="0" xfId="0"/>
    <xf numFmtId="9" fontId="0" fillId="0" borderId="4" pivotButton="0" quotePrefix="0" xfId="0"/>
    <xf numFmtId="164" fontId="0" fillId="0" borderId="4" pivotButton="0" quotePrefix="0" xfId="0"/>
    <xf numFmtId="0" fontId="14" fillId="0" borderId="4" pivotButton="0" quotePrefix="0" xfId="0"/>
    <xf numFmtId="9" fontId="14" fillId="0" borderId="4" pivotButton="0" quotePrefix="0" xfId="0"/>
    <xf numFmtId="164" fontId="14" fillId="0" borderId="4" pivotButton="0" quotePrefix="0" xfId="0"/>
    <xf numFmtId="0" fontId="14" fillId="0" borderId="0" pivotButton="0" quotePrefix="0" xfId="0"/>
    <xf numFmtId="0" fontId="15" fillId="0" borderId="0" pivotButton="0" quotePrefix="0" xfId="0"/>
    <xf numFmtId="1" fontId="0" fillId="0" borderId="4" pivotButton="0" quotePrefix="0" xfId="0"/>
    <xf numFmtId="0" fontId="16" fillId="12" borderId="1" applyAlignment="1" pivotButton="0" quotePrefix="0" xfId="0">
      <alignment horizontal="center" vertical="top" wrapText="1"/>
    </xf>
    <xf numFmtId="0" fontId="17" fillId="12" borderId="1" applyAlignment="1" pivotButton="0" quotePrefix="0" xfId="0">
      <alignment horizontal="center"/>
    </xf>
    <xf numFmtId="0" fontId="18" fillId="0" borderId="0" pivotButton="0" quotePrefix="0" xfId="0"/>
    <xf numFmtId="0" fontId="19" fillId="0" borderId="0" pivotButton="0" quotePrefix="0" xfId="0"/>
    <xf numFmtId="0" fontId="20" fillId="0" borderId="0" pivotButton="0" quotePrefix="0" xfId="0"/>
    <xf numFmtId="0" fontId="21" fillId="13" borderId="0" applyAlignment="1" pivotButton="0" quotePrefix="0" xfId="0">
      <alignment horizontal="center" wrapText="1"/>
    </xf>
    <xf numFmtId="0" fontId="0" fillId="0" borderId="5" pivotButton="0" quotePrefix="0" xfId="0"/>
    <xf numFmtId="0" fontId="0" fillId="0" borderId="5" applyAlignment="1" pivotButton="0" quotePrefix="0" xfId="0">
      <alignment horizontal="center"/>
    </xf>
    <xf numFmtId="0" fontId="22" fillId="0" borderId="0" pivotButton="0" quotePrefix="0" xfId="0"/>
    <xf numFmtId="0" fontId="21" fillId="13" borderId="0" applyAlignment="1" pivotButton="0" quotePrefix="0" xfId="0">
      <alignment horizontal="center"/>
    </xf>
    <xf numFmtId="0" fontId="0" fillId="14" borderId="5" pivotButton="0" quotePrefix="0" xfId="0"/>
    <xf numFmtId="0" fontId="0" fillId="14" borderId="5" applyAlignment="1" pivotButton="0" quotePrefix="0" xfId="0">
      <alignment horizontal="center"/>
    </xf>
    <xf numFmtId="0" fontId="0" fillId="15" borderId="5" pivotButton="0" quotePrefix="0" xfId="0"/>
    <xf numFmtId="0" fontId="0" fillId="15" borderId="5" applyAlignment="1" pivotButton="0" quotePrefix="0" xfId="0">
      <alignment horizontal="center"/>
    </xf>
    <xf numFmtId="0" fontId="0" fillId="16" borderId="5" pivotButton="0" quotePrefix="0" xfId="0"/>
    <xf numFmtId="0" fontId="0" fillId="16" borderId="5" applyAlignment="1" pivotButton="0" quotePrefix="0" xfId="0">
      <alignment horizontal="center"/>
    </xf>
    <xf numFmtId="0" fontId="7" fillId="3" borderId="3" applyAlignment="1" pivotButton="0" quotePrefix="0" xfId="0">
      <alignment horizontal="center"/>
    </xf>
    <xf numFmtId="0" fontId="0" fillId="0" borderId="3" pivotButton="0" quotePrefix="0" xfId="0"/>
    <xf numFmtId="0" fontId="7" fillId="5" borderId="3" applyAlignment="1" pivotButton="0" quotePrefix="0" xfId="0">
      <alignment horizontal="center"/>
    </xf>
    <xf numFmtId="0" fontId="0" fillId="0" borderId="0" applyAlignment="1" pivotButton="0" quotePrefix="0" xfId="0">
      <alignment vertical="top" wrapText="1"/>
    </xf>
    <xf numFmtId="0" fontId="0" fillId="0" borderId="0" pivotButton="0" quotePrefix="0" xfId="0"/>
    <xf numFmtId="0" fontId="2" fillId="0" borderId="0" pivotButton="0" quotePrefix="0" xfId="0"/>
    <xf numFmtId="0" fontId="2" fillId="0" borderId="0" applyAlignment="1" pivotButton="0" quotePrefix="0" xfId="0">
      <alignment horizontal="center"/>
    </xf>
    <xf numFmtId="164" fontId="2" fillId="0" borderId="0" pivotButton="0" quotePrefix="0" xfId="0"/>
    <xf numFmtId="0" fontId="2" fillId="0" borderId="0" applyAlignment="1" pivotButton="0" quotePrefix="0" xfId="0">
      <alignment horizontal="left" vertical="top"/>
    </xf>
    <xf numFmtId="0" fontId="2"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0" pivotButton="0" quotePrefix="0" xfId="0"/>
    <xf numFmtId="0" fontId="0" fillId="0" borderId="0" applyAlignment="1" pivotButton="0" quotePrefix="0" xfId="0">
      <alignment horizontal="left" vertical="top"/>
    </xf>
    <xf numFmtId="0" fontId="0" fillId="0" borderId="0" applyAlignment="1" pivotButton="0" quotePrefix="0" xfId="0">
      <alignment horizontal="center"/>
    </xf>
    <xf numFmtId="0" fontId="24" fillId="0" borderId="0" pivotButton="0" quotePrefix="0" xfId="0"/>
    <xf numFmtId="0" fontId="25" fillId="0" borderId="0" pivotButton="0" quotePrefix="0" xfId="0"/>
    <xf numFmtId="0" fontId="26" fillId="17" borderId="0" applyAlignment="1" pivotButton="0" quotePrefix="0" xfId="0">
      <alignment horizontal="center" wrapText="1"/>
    </xf>
    <xf numFmtId="0" fontId="0" fillId="0" borderId="6" pivotButton="0" quotePrefix="0" xfId="0"/>
    <xf numFmtId="0" fontId="0" fillId="0" borderId="6" applyAlignment="1" pivotButton="0" quotePrefix="0" xfId="0">
      <alignment horizontal="center"/>
    </xf>
    <xf numFmtId="0" fontId="27" fillId="0" borderId="0" pivotButton="0" quotePrefix="0" xfId="0"/>
    <xf numFmtId="0" fontId="26" fillId="17" borderId="0" applyAlignment="1" pivotButton="0" quotePrefix="0" xfId="0">
      <alignment horizontal="center"/>
    </xf>
    <xf numFmtId="0" fontId="0" fillId="18" borderId="6" pivotButton="0" quotePrefix="0" xfId="0"/>
    <xf numFmtId="0" fontId="0" fillId="18" borderId="6" applyAlignment="1" pivotButton="0" quotePrefix="0" xfId="0">
      <alignment horizontal="center"/>
    </xf>
    <xf numFmtId="0" fontId="0" fillId="19" borderId="6" pivotButton="0" quotePrefix="0" xfId="0"/>
    <xf numFmtId="0" fontId="0" fillId="19" borderId="6" applyAlignment="1" pivotButton="0" quotePrefix="0" xfId="0">
      <alignment horizontal="center"/>
    </xf>
    <xf numFmtId="0" fontId="0" fillId="20" borderId="6" pivotButton="0" quotePrefix="0" xfId="0"/>
    <xf numFmtId="0" fontId="0" fillId="20" borderId="6" applyAlignment="1" pivotButton="0" quotePrefix="0" xfId="0">
      <alignment horizontal="center"/>
    </xf>
  </cellXfs>
  <cellStyles count="1">
    <cellStyle name="Normal" xfId="0" builtinId="0"/>
  </cellStyles>
  <dxfs count="23">
    <dxf>
      <fill>
        <patternFill>
          <bgColor rgb="FFF8CBAD"/>
        </patternFill>
      </fill>
    </dxf>
    <dxf>
      <fill>
        <patternFill>
          <bgColor rgb="FFFFE699"/>
        </patternFill>
      </fill>
    </dxf>
    <dxf>
      <fill>
        <patternFill>
          <bgColor rgb="FFBDD7EE"/>
        </patternFill>
      </fill>
    </dxf>
    <dxf>
      <fill>
        <patternFill>
          <bgColor rgb="FFC6EFCE"/>
        </patternFill>
      </fill>
    </dxf>
    <dxf>
      <fill>
        <patternFill>
          <bgColor rgb="FFF8CBAD"/>
        </patternFill>
      </fill>
    </dxf>
    <dxf>
      <fill>
        <patternFill>
          <bgColor rgb="FFFFE699"/>
        </patternFill>
      </fill>
    </dxf>
    <dxf>
      <fill>
        <patternFill>
          <bgColor rgb="FFBDD7EE"/>
        </patternFill>
      </fill>
    </dxf>
    <dxf>
      <fill>
        <patternFill>
          <bgColor rgb="FFC6EFCE"/>
        </patternFill>
      </fill>
    </dxf>
    <dxf>
      <fill>
        <patternFill>
          <bgColor theme="5" tint="0.7999816888943144"/>
        </patternFill>
      </fill>
    </dxf>
    <dxf>
      <fill>
        <patternFill>
          <bgColor rgb="FF92D050"/>
        </patternFill>
      </fill>
    </dxf>
    <dxf>
      <fill>
        <patternFill>
          <bgColor theme="3" tint="0.5999633777886288"/>
        </patternFill>
      </fill>
    </dxf>
    <dxf>
      <fill>
        <patternFill>
          <bgColor rgb="FFFFE699"/>
        </patternFill>
      </fill>
    </dxf>
    <dxf>
      <fill>
        <patternFill>
          <bgColor theme="7" tint="0.7999816888943144"/>
        </patternFill>
      </fill>
    </dxf>
    <dxf>
      <fill>
        <patternFill>
          <bgColor rgb="FFF8CBAD"/>
        </patternFill>
      </fill>
    </dxf>
    <dxf>
      <fill>
        <patternFill>
          <bgColor rgb="FFFFE699"/>
        </patternFill>
      </fill>
    </dxf>
    <dxf>
      <fill>
        <patternFill>
          <bgColor rgb="FFBDD7EE"/>
        </patternFill>
      </fill>
    </dxf>
    <dxf>
      <fill>
        <patternFill>
          <bgColor rgb="FFC6EFCE"/>
        </patternFill>
      </fill>
    </dxf>
    <dxf>
      <fill>
        <patternFill>
          <bgColor rgb="FF00D05E"/>
        </patternFill>
      </fill>
    </dxf>
    <dxf>
      <fill>
        <patternFill>
          <bgColor theme="2" tint="-0.249946592608417"/>
        </patternFill>
      </fill>
    </dxf>
    <dxf>
      <fill>
        <patternFill>
          <bgColor theme="2" tint="-0.499984740745262"/>
        </patternFill>
      </fill>
    </dxf>
    <dxf>
      <fill>
        <patternFill patternType="solid">
          <fgColor rgb="FFF8D7DA"/>
        </patternFill>
      </fill>
    </dxf>
    <dxf>
      <fill>
        <patternFill patternType="solid">
          <fgColor rgb="FFF8D7DA"/>
        </patternFill>
      </fill>
    </dxf>
    <dxf>
      <fill>
        <patternFill patternType="solid">
          <fgColor rgb="FFFFFF00"/>
          <bgColor rgb="FF000000"/>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9D9D9"/>
      <rgbColor rgb="FF808080"/>
      <rgbColor rgb="FF9999FF"/>
      <rgbColor rgb="FF7030A0"/>
      <rgbColor rgb="FFFFFFCC"/>
      <rgbColor rgb="FFCCFFFF"/>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C6EFCE"/>
      <rgbColor rgb="FFFFE699"/>
      <rgbColor rgb="FF99CCFF"/>
      <rgbColor rgb="FFFF99CC"/>
      <rgbColor rgb="FFCC99FF"/>
      <rgbColor rgb="FFF8CBAD"/>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2E5E4E"/>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US"/>
              <a:t>Deck completion (cards toward 100)</a:t>
            </a:r>
          </a:p>
        </rich>
      </tx>
      <overlay val="1"/>
    </title>
    <plotArea>
      <layout/>
      <barChart>
        <barDir val="bar"/>
        <grouping val="stacked"/>
        <varyColors val="1"/>
        <ser>
          <idx val="0"/>
          <order val="0"/>
          <tx>
            <strRef>
              <f>Dashboard!$D$4</f>
              <strCache>
                <ptCount val="1"/>
                <pt idx="0">
                  <v>In box (target cards)</v>
                </pt>
              </strCache>
            </strRef>
          </tx>
          <spPr>
            <a:solidFill xmlns:a="http://schemas.openxmlformats.org/drawingml/2006/main">
              <a:srgbClr val="2A78D6"/>
            </a:solidFill>
            <a:ln xmlns:a="http://schemas.openxmlformats.org/drawingml/2006/main">
              <a:solidFill>
                <a:srgbClr val="2A78D6"/>
              </a:solidFill>
              <a:prstDash val="solid"/>
            </a:ln>
          </spPr>
          <invertIfNegative val="1"/>
          <dLbls>
            <spPr>
              <a:noFill xmlns:a="http://schemas.openxmlformats.org/drawingml/2006/main"/>
              <a:ln xmlns:a="http://schemas.openxmlformats.org/drawingml/2006/main">
                <a:noFill/>
                <a:prstDash val="solid"/>
              </a:ln>
            </spPr>
            <showLegendKey val="0"/>
            <showVal val="1"/>
            <showCatName val="0"/>
            <showSerName val="0"/>
            <showPercent val="0"/>
            <showBubbleSize val="1"/>
            <showLeaderLines val="0"/>
          </dLbls>
          <cat>
            <strRef>
              <f>Dashboard!$A$5:$A$10</f>
              <strCache>
                <ptCount val="6"/>
                <pt idx="0">
                  <v>D1</v>
                </pt>
                <pt idx="1">
                  <v>D2</v>
                </pt>
                <pt idx="2">
                  <v>D3</v>
                </pt>
                <pt idx="3">
                  <v>D4</v>
                </pt>
                <pt idx="4">
                  <v>D5</v>
                </pt>
                <pt idx="5">
                  <v>D6</v>
                </pt>
              </strCache>
            </strRef>
          </cat>
          <val>
            <numRef>
              <f>Dashboard!$D$5:$D$10</f>
              <numCache>
                <formatCode>General</formatCode>
                <ptCount val="6"/>
                <pt idx="0">
                  <v>96</v>
                </pt>
                <pt idx="1">
                  <v>88</v>
                </pt>
                <pt idx="2">
                  <v>88</v>
                </pt>
                <pt idx="3">
                  <v>69</v>
                </pt>
                <pt idx="4">
                  <v>60</v>
                </pt>
                <pt idx="5">
                  <v>61</v>
                </pt>
              </numCache>
            </numRef>
          </val>
        </ser>
        <ser>
          <idx val="1"/>
          <order val="1"/>
          <tx>
            <strRef>
              <f>Dashboard!$G$4</f>
              <strCache>
                <ptCount val="1"/>
                <pt idx="0">
                  <v>Ordered (in transit)</v>
                </pt>
              </strCache>
            </strRef>
          </tx>
          <spPr>
            <a:solidFill xmlns:a="http://schemas.openxmlformats.org/drawingml/2006/main">
              <a:srgbClr val="1BAF7A"/>
            </a:solidFill>
            <a:ln xmlns:a="http://schemas.openxmlformats.org/drawingml/2006/main">
              <a:solidFill>
                <a:srgbClr val="1BAF7A"/>
              </a:solidFill>
              <a:prstDash val="solid"/>
            </a:ln>
          </spPr>
          <invertIfNegative val="1"/>
          <dLbls>
            <spPr>
              <a:noFill xmlns:a="http://schemas.openxmlformats.org/drawingml/2006/main"/>
              <a:ln xmlns:a="http://schemas.openxmlformats.org/drawingml/2006/main">
                <a:noFill/>
                <a:prstDash val="solid"/>
              </a:ln>
            </spPr>
            <showLegendKey val="0"/>
            <showVal val="1"/>
            <showCatName val="0"/>
            <showSerName val="0"/>
            <showPercent val="0"/>
            <showBubbleSize val="1"/>
            <showLeaderLines val="0"/>
          </dLbls>
          <cat>
            <strRef>
              <f>Dashboard!$A$5:$A$10</f>
              <strCache>
                <ptCount val="6"/>
                <pt idx="0">
                  <v>D1</v>
                </pt>
                <pt idx="1">
                  <v>D2</v>
                </pt>
                <pt idx="2">
                  <v>D3</v>
                </pt>
                <pt idx="3">
                  <v>D4</v>
                </pt>
                <pt idx="4">
                  <v>D5</v>
                </pt>
                <pt idx="5">
                  <v>D6</v>
                </pt>
              </strCache>
            </strRef>
          </cat>
          <val>
            <numRef>
              <f>Dashboard!$G$5:$G$10</f>
              <numCache>
                <formatCode>General</formatCode>
                <ptCount val="6"/>
                <pt idx="0">
                  <v>4</v>
                </pt>
                <pt idx="1">
                  <v>12</v>
                </pt>
                <pt idx="2">
                  <v>12</v>
                </pt>
                <pt idx="3">
                  <v>28</v>
                </pt>
                <pt idx="4">
                  <v>30</v>
                </pt>
                <pt idx="5">
                  <v>32</v>
                </pt>
              </numCache>
            </numRef>
          </val>
        </ser>
        <ser>
          <idx val="2"/>
          <order val="2"/>
          <tx>
            <strRef>
              <f>Dashboard!$H$4</f>
              <strCache>
                <ptCount val="1"/>
                <pt idx="0">
                  <v>To Buy</v>
                </pt>
              </strCache>
            </strRef>
          </tx>
          <spPr>
            <a:solidFill xmlns:a="http://schemas.openxmlformats.org/drawingml/2006/main">
              <a:srgbClr val="EB6834"/>
            </a:solidFill>
            <a:ln xmlns:a="http://schemas.openxmlformats.org/drawingml/2006/main">
              <a:solidFill>
                <a:srgbClr val="EB6834"/>
              </a:solidFill>
              <a:prstDash val="solid"/>
            </a:ln>
          </spPr>
          <invertIfNegative val="1"/>
          <dLbls>
            <spPr>
              <a:noFill xmlns:a="http://schemas.openxmlformats.org/drawingml/2006/main"/>
              <a:ln xmlns:a="http://schemas.openxmlformats.org/drawingml/2006/main">
                <a:noFill/>
                <a:prstDash val="solid"/>
              </a:ln>
            </spPr>
            <showLegendKey val="0"/>
            <showVal val="1"/>
            <showCatName val="0"/>
            <showSerName val="0"/>
            <showPercent val="0"/>
            <showBubbleSize val="1"/>
            <showLeaderLines val="0"/>
          </dLbls>
          <cat>
            <strRef>
              <f>Dashboard!$A$5:$A$10</f>
              <strCache>
                <ptCount val="6"/>
                <pt idx="0">
                  <v>D1</v>
                </pt>
                <pt idx="1">
                  <v>D2</v>
                </pt>
                <pt idx="2">
                  <v>D3</v>
                </pt>
                <pt idx="3">
                  <v>D4</v>
                </pt>
                <pt idx="4">
                  <v>D5</v>
                </pt>
                <pt idx="5">
                  <v>D6</v>
                </pt>
              </strCache>
            </strRef>
          </cat>
          <val>
            <numRef>
              <f>Dashboard!$H$5:$H$10</f>
              <numCache>
                <formatCode>General</formatCode>
                <ptCount val="6"/>
                <pt idx="0">
                  <v>0</v>
                </pt>
                <pt idx="1">
                  <v>0</v>
                </pt>
                <pt idx="2">
                  <v>0</v>
                </pt>
                <pt idx="3">
                  <v>3</v>
                </pt>
                <pt idx="4">
                  <v>10</v>
                </pt>
                <pt idx="5">
                  <v>7</v>
                </pt>
              </numCache>
            </numRef>
          </val>
        </ser>
        <dLbls>
          <showLegendKey val="0"/>
          <showVal val="1"/>
          <showCatName val="0"/>
          <showSerName val="0"/>
          <showPercent val="0"/>
          <showBubbleSize val="1"/>
        </dLbls>
        <gapWidth val="60"/>
        <overlap val="100"/>
        <axId val="10"/>
        <axId val="100"/>
      </barChart>
      <catAx>
        <axId val="10"/>
        <scaling>
          <orientation val="minMax"/>
        </scaling>
        <delete val="1"/>
        <axPos val="l"/>
        <numFmt formatCode="General" sourceLinked="1"/>
        <majorTickMark val="none"/>
        <minorTickMark val="none"/>
        <tickLblPos val="nextTo"/>
        <crossAx val="100"/>
        <crosses val="autoZero"/>
        <auto val="1"/>
        <lblAlgn val="ctr"/>
        <lblOffset val="100"/>
        <noMultiLvlLbl val="1"/>
      </catAx>
      <valAx>
        <axId val="100"/>
        <scaling>
          <orientation val="minMax"/>
          <max val="100"/>
          <min val="0"/>
        </scaling>
        <delete val="1"/>
        <axPos val="b"/>
        <numFmt formatCode="General" sourceLinked="1"/>
        <majorTickMark val="none"/>
        <minorTickMark val="none"/>
        <tickLblPos val="nextTo"/>
        <crossAx val="10"/>
        <crosses val="autoZero"/>
        <crossBetween val="between"/>
      </valAx>
    </plotArea>
    <legend>
      <legendPos val="b"/>
      <overlay val="1"/>
    </legend>
    <plotVisOnly val="1"/>
    <dispBlanksAs val="gap"/>
  </chart>
</chartSpace>
</file>

<file path=xl/charts/chart2.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US"/>
              <a:t>Money still in motion per deck ($)</a:t>
            </a:r>
          </a:p>
        </rich>
      </tx>
      <overlay val="1"/>
    </title>
    <plotArea>
      <layout/>
      <barChart>
        <barDir val="col"/>
        <grouping val="clustered"/>
        <varyColors val="1"/>
        <ser>
          <idx val="0"/>
          <order val="0"/>
          <tx>
            <strRef>
              <f>Dashboard!$L$4</f>
              <strCache>
                <ptCount val="1"/>
                <pt idx="0">
                  <v>$ Ordered value</v>
                </pt>
              </strCache>
            </strRef>
          </tx>
          <spPr>
            <a:solidFill xmlns:a="http://schemas.openxmlformats.org/drawingml/2006/main">
              <a:srgbClr val="1BAF7A"/>
            </a:solidFill>
            <a:ln xmlns:a="http://schemas.openxmlformats.org/drawingml/2006/main">
              <a:solidFill>
                <a:srgbClr val="1BAF7A"/>
              </a:solidFill>
              <a:prstDash val="solid"/>
            </a:ln>
          </spPr>
          <invertIfNegative val="1"/>
          <dLbls>
            <spPr>
              <a:noFill xmlns:a="http://schemas.openxmlformats.org/drawingml/2006/main"/>
              <a:ln xmlns:a="http://schemas.openxmlformats.org/drawingml/2006/main">
                <a:noFill/>
                <a:prstDash val="solid"/>
              </a:ln>
            </spPr>
            <showLegendKey val="0"/>
            <showVal val="1"/>
            <showCatName val="0"/>
            <showSerName val="0"/>
            <showPercent val="0"/>
            <showBubbleSize val="1"/>
            <showLeaderLines val="0"/>
          </dLbls>
          <cat>
            <strRef>
              <f>Dashboard!$A$5:$A$10</f>
              <strCache>
                <ptCount val="6"/>
                <pt idx="0">
                  <v>D1</v>
                </pt>
                <pt idx="1">
                  <v>D2</v>
                </pt>
                <pt idx="2">
                  <v>D3</v>
                </pt>
                <pt idx="3">
                  <v>D4</v>
                </pt>
                <pt idx="4">
                  <v>D5</v>
                </pt>
                <pt idx="5">
                  <v>D6</v>
                </pt>
              </strCache>
            </strRef>
          </cat>
          <val>
            <numRef>
              <f>Dashboard!$L$5:$L$10</f>
              <numCache>
                <formatCode>\$#,##0.00</formatCode>
                <ptCount val="6"/>
                <pt idx="0">
                  <v>3.8</v>
                </pt>
                <pt idx="1">
                  <v>11.53</v>
                </pt>
                <pt idx="2">
                  <v>11.07</v>
                </pt>
                <pt idx="3">
                  <v>10.38</v>
                </pt>
                <pt idx="4">
                  <v>23.34</v>
                </pt>
                <pt idx="5">
                  <v>32.64</v>
                </pt>
              </numCache>
            </numRef>
          </val>
        </ser>
        <ser>
          <idx val="1"/>
          <order val="1"/>
          <tx>
            <strRef>
              <f>Dashboard!$K$4</f>
              <strCache>
                <ptCount val="1"/>
                <pt idx="0">
                  <v>$ To Buy (Base/Tuned target)</v>
                </pt>
              </strCache>
            </strRef>
          </tx>
          <spPr>
            <a:solidFill xmlns:a="http://schemas.openxmlformats.org/drawingml/2006/main">
              <a:srgbClr val="EB6834"/>
            </a:solidFill>
            <a:ln xmlns:a="http://schemas.openxmlformats.org/drawingml/2006/main">
              <a:solidFill>
                <a:srgbClr val="EB6834"/>
              </a:solidFill>
              <a:prstDash val="solid"/>
            </a:ln>
          </spPr>
          <invertIfNegative val="1"/>
          <dLbls>
            <spPr>
              <a:noFill xmlns:a="http://schemas.openxmlformats.org/drawingml/2006/main"/>
              <a:ln xmlns:a="http://schemas.openxmlformats.org/drawingml/2006/main">
                <a:noFill/>
                <a:prstDash val="solid"/>
              </a:ln>
            </spPr>
            <showLegendKey val="0"/>
            <showVal val="1"/>
            <showCatName val="0"/>
            <showSerName val="0"/>
            <showPercent val="0"/>
            <showBubbleSize val="1"/>
            <showLeaderLines val="0"/>
          </dLbls>
          <cat>
            <strRef>
              <f>Dashboard!$A$5:$A$10</f>
              <strCache>
                <ptCount val="6"/>
                <pt idx="0">
                  <v>D1</v>
                </pt>
                <pt idx="1">
                  <v>D2</v>
                </pt>
                <pt idx="2">
                  <v>D3</v>
                </pt>
                <pt idx="3">
                  <v>D4</v>
                </pt>
                <pt idx="4">
                  <v>D5</v>
                </pt>
                <pt idx="5">
                  <v>D6</v>
                </pt>
              </strCache>
            </strRef>
          </cat>
          <val>
            <numRef>
              <f>Dashboard!$K$5:$K$10</f>
              <numCache>
                <formatCode>\$#,##0.00</formatCode>
                <ptCount val="6"/>
                <pt idx="0">
                  <v>0</v>
                </pt>
                <pt idx="1">
                  <v>0</v>
                </pt>
                <pt idx="2">
                  <v>0</v>
                </pt>
                <pt idx="3">
                  <v>3.2</v>
                </pt>
                <pt idx="4">
                  <v>33.69</v>
                </pt>
                <pt idx="5">
                  <v>34.02</v>
                </pt>
              </numCache>
            </numRef>
          </val>
        </ser>
        <dLbls>
          <showLegendKey val="0"/>
          <showVal val="1"/>
          <showCatName val="0"/>
          <showSerName val="0"/>
          <showPercent val="0"/>
          <showBubbleSize val="1"/>
        </dLbls>
        <gapWidth val="80"/>
        <axId val="10"/>
        <axId val="100"/>
      </barChart>
      <catAx>
        <axId val="10"/>
        <scaling>
          <orientation val="minMax"/>
        </scaling>
        <delete val="1"/>
        <axPos val="b"/>
        <numFmt formatCode="General" sourceLinked="1"/>
        <majorTickMark val="none"/>
        <minorTickMark val="none"/>
        <tickLblPos val="nextTo"/>
        <crossAx val="100"/>
        <crosses val="autoZero"/>
        <auto val="1"/>
        <lblAlgn val="ctr"/>
        <lblOffset val="100"/>
        <noMultiLvlLbl val="1"/>
      </catAx>
      <valAx>
        <axId val="100"/>
        <scaling>
          <orientation val="minMax"/>
        </scaling>
        <delete val="1"/>
        <axPos val="l"/>
        <numFmt formatCode="\$#,##0" sourceLinked="0"/>
        <majorTickMark val="none"/>
        <minorTickMark val="none"/>
        <tickLblPos val="nextTo"/>
        <crossAx val="10"/>
        <crosses val="autoZero"/>
        <crossBetween val="between"/>
      </valAx>
    </plotArea>
    <legend>
      <legendPos val="b"/>
      <overlay val="1"/>
    </legend>
    <plotVisOnly val="1"/>
    <dispBlanksAs val="gap"/>
  </chart>
</chartSpace>
</file>

<file path=xl/charts/chart3.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US"/>
              <a:t>Deck value: in the box today vs full target build ($, cap $225)</a:t>
            </a:r>
          </a:p>
        </rich>
      </tx>
      <overlay val="1"/>
    </title>
    <plotArea>
      <layout/>
      <barChart>
        <barDir val="col"/>
        <grouping val="clustered"/>
        <varyColors val="1"/>
        <ser>
          <idx val="0"/>
          <order val="0"/>
          <tx>
            <strRef>
              <f>Dashboard!$M$4</f>
              <strCache>
                <ptCount val="1"/>
                <pt idx="0">
                  <v>Box market value</v>
                </pt>
              </strCache>
            </strRef>
          </tx>
          <spPr>
            <a:solidFill xmlns:a="http://schemas.openxmlformats.org/drawingml/2006/main">
              <a:srgbClr val="2A78D6"/>
            </a:solidFill>
            <a:ln xmlns:a="http://schemas.openxmlformats.org/drawingml/2006/main">
              <a:solidFill>
                <a:srgbClr val="2A78D6"/>
              </a:solidFill>
              <a:prstDash val="solid"/>
            </a:ln>
          </spPr>
          <invertIfNegative val="1"/>
          <dLbls>
            <spPr>
              <a:noFill xmlns:a="http://schemas.openxmlformats.org/drawingml/2006/main"/>
              <a:ln xmlns:a="http://schemas.openxmlformats.org/drawingml/2006/main">
                <a:noFill/>
                <a:prstDash val="solid"/>
              </a:ln>
            </spPr>
            <showLegendKey val="0"/>
            <showVal val="1"/>
            <showCatName val="0"/>
            <showSerName val="0"/>
            <showPercent val="0"/>
            <showBubbleSize val="1"/>
            <showLeaderLines val="0"/>
          </dLbls>
          <cat>
            <strRef>
              <f>Dashboard!$A$5:$A$10</f>
              <strCache>
                <ptCount val="6"/>
                <pt idx="0">
                  <v>D1</v>
                </pt>
                <pt idx="1">
                  <v>D2</v>
                </pt>
                <pt idx="2">
                  <v>D3</v>
                </pt>
                <pt idx="3">
                  <v>D4</v>
                </pt>
                <pt idx="4">
                  <v>D5</v>
                </pt>
                <pt idx="5">
                  <v>D6</v>
                </pt>
              </strCache>
            </strRef>
          </cat>
          <val>
            <numRef>
              <f>Dashboard!$M$5:$M$10</f>
              <numCache>
                <formatCode>\$#,##0.00</formatCode>
                <ptCount val="6"/>
                <pt idx="0">
                  <v>85.5</v>
                </pt>
                <pt idx="1">
                  <v>78.63000000000002</v>
                </pt>
                <pt idx="2">
                  <v>77.93000000000001</v>
                </pt>
                <pt idx="3">
                  <v>37.54999999999998</v>
                </pt>
                <pt idx="4">
                  <v>10.14</v>
                </pt>
                <pt idx="5">
                  <v>69.24000000000001</v>
                </pt>
              </numCache>
            </numRef>
          </val>
        </ser>
        <ser>
          <idx val="1"/>
          <order val="1"/>
          <tx>
            <strRef>
              <f>Dashboard!$N$4</f>
              <strCache>
                <ptCount val="1"/>
                <pt idx="0">
                  <v>Target build value</v>
                </pt>
              </strCache>
            </strRef>
          </tx>
          <spPr>
            <a:solidFill xmlns:a="http://schemas.openxmlformats.org/drawingml/2006/main">
              <a:srgbClr val="9AB3D1"/>
            </a:solidFill>
            <a:ln xmlns:a="http://schemas.openxmlformats.org/drawingml/2006/main">
              <a:solidFill>
                <a:srgbClr val="9AB3D1"/>
              </a:solidFill>
              <a:prstDash val="solid"/>
            </a:ln>
          </spPr>
          <invertIfNegative val="1"/>
          <dLbls>
            <spPr>
              <a:noFill xmlns:a="http://schemas.openxmlformats.org/drawingml/2006/main"/>
              <a:ln xmlns:a="http://schemas.openxmlformats.org/drawingml/2006/main">
                <a:noFill/>
                <a:prstDash val="solid"/>
              </a:ln>
            </spPr>
            <showLegendKey val="0"/>
            <showVal val="1"/>
            <showCatName val="0"/>
            <showSerName val="0"/>
            <showPercent val="0"/>
            <showBubbleSize val="1"/>
            <showLeaderLines val="0"/>
          </dLbls>
          <cat>
            <strRef>
              <f>Dashboard!$A$5:$A$10</f>
              <strCache>
                <ptCount val="6"/>
                <pt idx="0">
                  <v>D1</v>
                </pt>
                <pt idx="1">
                  <v>D2</v>
                </pt>
                <pt idx="2">
                  <v>D3</v>
                </pt>
                <pt idx="3">
                  <v>D4</v>
                </pt>
                <pt idx="4">
                  <v>D5</v>
                </pt>
                <pt idx="5">
                  <v>D6</v>
                </pt>
              </strCache>
            </strRef>
          </cat>
          <val>
            <numRef>
              <f>Dashboard!$N$5:$N$10</f>
              <numCache>
                <formatCode>\$#,##0.00</formatCode>
                <ptCount val="6"/>
                <pt idx="0">
                  <v>89.02000000000001</v>
                </pt>
                <pt idx="1">
                  <v>88.87000000000002</v>
                </pt>
                <pt idx="2">
                  <v>87.60999999999997</v>
                </pt>
                <pt idx="3">
                  <v>51.08000000000001</v>
                </pt>
                <pt idx="4">
                  <v>67.07000000000002</v>
                </pt>
                <pt idx="5">
                  <v>134.77</v>
                </pt>
              </numCache>
            </numRef>
          </val>
        </ser>
        <dLbls>
          <showLegendKey val="0"/>
          <showVal val="1"/>
          <showCatName val="0"/>
          <showSerName val="0"/>
          <showPercent val="0"/>
          <showBubbleSize val="1"/>
        </dLbls>
        <gapWidth val="80"/>
        <axId val="10"/>
        <axId val="100"/>
      </barChart>
      <catAx>
        <axId val="10"/>
        <scaling>
          <orientation val="minMax"/>
        </scaling>
        <delete val="1"/>
        <axPos val="b"/>
        <numFmt formatCode="General" sourceLinked="1"/>
        <majorTickMark val="none"/>
        <minorTickMark val="none"/>
        <tickLblPos val="nextTo"/>
        <crossAx val="100"/>
        <crosses val="autoZero"/>
        <auto val="1"/>
        <lblAlgn val="ctr"/>
        <lblOffset val="100"/>
        <noMultiLvlLbl val="1"/>
      </catAx>
      <valAx>
        <axId val="100"/>
        <scaling>
          <orientation val="minMax"/>
        </scaling>
        <delete val="1"/>
        <axPos val="l"/>
        <numFmt formatCode="\$#,##0" sourceLinked="0"/>
        <majorTickMark val="none"/>
        <minorTickMark val="none"/>
        <tickLblPos val="nextTo"/>
        <crossAx val="10"/>
        <crosses val="autoZero"/>
        <crossBetween val="between"/>
      </valAx>
    </plotArea>
    <legend>
      <legendPos val="b"/>
      <overlay val="1"/>
    </legend>
    <plotVisOnly val="1"/>
    <dispBlanksAs val="gap"/>
  </chart>
</chartSpace>
</file>

<file path=xl/charts/chart4.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US"/>
              <a:t>Role coverage in each box (copies with a target)</a:t>
            </a:r>
          </a:p>
        </rich>
      </tx>
      <overlay val="1"/>
    </title>
    <plotArea>
      <layout/>
      <barChart>
        <barDir val="col"/>
        <grouping val="clustered"/>
        <varyColors val="1"/>
        <ser>
          <idx val="0"/>
          <order val="0"/>
          <tx>
            <strRef>
              <f>Dashboard!$C$14</f>
              <strCache>
                <ptCount val="1"/>
                <pt idx="0">
                  <v>D1 Quintorius Kand</v>
                </pt>
              </strCache>
            </strRef>
          </tx>
          <spPr>
            <a:solidFill xmlns:a="http://schemas.openxmlformats.org/drawingml/2006/main">
              <a:srgbClr val="2A78D6"/>
            </a:solidFill>
            <a:ln xmlns:a="http://schemas.openxmlformats.org/drawingml/2006/main">
              <a:solidFill>
                <a:srgbClr val="2A78D6"/>
              </a:solidFill>
              <a:prstDash val="solid"/>
            </a:ln>
          </spPr>
          <invertIfNegative val="1"/>
          <cat>
            <strRef>
              <f>Dashboard!$A$15:$A$21</f>
              <strCache>
                <ptCount val="7"/>
                <pt idx="0">
                  <v>Lands</v>
                </pt>
                <pt idx="1">
                  <v>Ramp</v>
                </pt>
                <pt idx="2">
                  <v>Card draw / advantage</v>
                </pt>
                <pt idx="3">
                  <v>Removal / interaction</v>
                </pt>
                <pt idx="4">
                  <v>Board wipes</v>
                </pt>
                <pt idx="5">
                  <v>Protection</v>
                </pt>
                <pt idx="6">
                  <v>Recursion / reanimation</v>
                </pt>
              </strCache>
            </strRef>
          </cat>
          <val>
            <numRef>
              <f>Dashboard!$C$15:$C$21</f>
              <numCache>
                <formatCode>General</formatCode>
                <ptCount val="7"/>
                <pt idx="0">
                  <v>35</v>
                </pt>
                <pt idx="1">
                  <v>11</v>
                </pt>
                <pt idx="2">
                  <v>16</v>
                </pt>
                <pt idx="3">
                  <v>11</v>
                </pt>
                <pt idx="4">
                  <v>96</v>
                </pt>
                <pt idx="5">
                  <v>96</v>
                </pt>
                <pt idx="6">
                  <v>11</v>
                </pt>
              </numCache>
            </numRef>
          </val>
        </ser>
        <ser>
          <idx val="1"/>
          <order val="1"/>
          <tx>
            <strRef>
              <f>Dashboard!$D$14</f>
              <strCache>
                <ptCount val="1"/>
                <pt idx="0">
                  <v>D2 Chulane</v>
                </pt>
              </strCache>
            </strRef>
          </tx>
          <spPr>
            <a:solidFill xmlns:a="http://schemas.openxmlformats.org/drawingml/2006/main">
              <a:srgbClr val="EB6834"/>
            </a:solidFill>
            <a:ln xmlns:a="http://schemas.openxmlformats.org/drawingml/2006/main">
              <a:solidFill>
                <a:srgbClr val="EB6834"/>
              </a:solidFill>
              <a:prstDash val="solid"/>
            </a:ln>
          </spPr>
          <invertIfNegative val="1"/>
          <cat>
            <strRef>
              <f>Dashboard!$A$15:$A$21</f>
              <strCache>
                <ptCount val="7"/>
                <pt idx="0">
                  <v>Lands</v>
                </pt>
                <pt idx="1">
                  <v>Ramp</v>
                </pt>
                <pt idx="2">
                  <v>Card draw / advantage</v>
                </pt>
                <pt idx="3">
                  <v>Removal / interaction</v>
                </pt>
                <pt idx="4">
                  <v>Board wipes</v>
                </pt>
                <pt idx="5">
                  <v>Protection</v>
                </pt>
                <pt idx="6">
                  <v>Recursion / reanimation</v>
                </pt>
              </strCache>
            </strRef>
          </cat>
          <val>
            <numRef>
              <f>Dashboard!$D$15:$D$21</f>
              <numCache>
                <formatCode>General</formatCode>
                <ptCount val="7"/>
                <pt idx="0">
                  <v>28</v>
                </pt>
                <pt idx="1">
                  <v>17</v>
                </pt>
                <pt idx="2">
                  <v>11</v>
                </pt>
                <pt idx="3">
                  <v>9</v>
                </pt>
                <pt idx="4">
                  <v>88</v>
                </pt>
                <pt idx="5">
                  <v>88</v>
                </pt>
                <pt idx="6">
                  <v>3</v>
                </pt>
              </numCache>
            </numRef>
          </val>
        </ser>
        <ser>
          <idx val="2"/>
          <order val="2"/>
          <tx>
            <strRef>
              <f>Dashboard!$E$14</f>
              <strCache>
                <ptCount val="1"/>
                <pt idx="0">
                  <v>D3 Atraxa</v>
                </pt>
              </strCache>
            </strRef>
          </tx>
          <spPr>
            <a:solidFill xmlns:a="http://schemas.openxmlformats.org/drawingml/2006/main">
              <a:srgbClr val="1BAF7A"/>
            </a:solidFill>
            <a:ln xmlns:a="http://schemas.openxmlformats.org/drawingml/2006/main">
              <a:solidFill>
                <a:srgbClr val="1BAF7A"/>
              </a:solidFill>
              <a:prstDash val="solid"/>
            </a:ln>
          </spPr>
          <invertIfNegative val="1"/>
          <cat>
            <strRef>
              <f>Dashboard!$A$15:$A$21</f>
              <strCache>
                <ptCount val="7"/>
                <pt idx="0">
                  <v>Lands</v>
                </pt>
                <pt idx="1">
                  <v>Ramp</v>
                </pt>
                <pt idx="2">
                  <v>Card draw / advantage</v>
                </pt>
                <pt idx="3">
                  <v>Removal / interaction</v>
                </pt>
                <pt idx="4">
                  <v>Board wipes</v>
                </pt>
                <pt idx="5">
                  <v>Protection</v>
                </pt>
                <pt idx="6">
                  <v>Recursion / reanimation</v>
                </pt>
              </strCache>
            </strRef>
          </cat>
          <val>
            <numRef>
              <f>Dashboard!$E$15:$E$21</f>
              <numCache>
                <formatCode>General</formatCode>
                <ptCount val="7"/>
                <pt idx="0">
                  <v>31</v>
                </pt>
                <pt idx="1">
                  <v>7</v>
                </pt>
                <pt idx="2">
                  <v>5</v>
                </pt>
                <pt idx="3">
                  <v>15</v>
                </pt>
                <pt idx="4">
                  <v>88</v>
                </pt>
                <pt idx="5">
                  <v>88</v>
                </pt>
                <pt idx="6">
                  <v>3</v>
                </pt>
              </numCache>
            </numRef>
          </val>
        </ser>
        <ser>
          <idx val="3"/>
          <order val="3"/>
          <tx>
            <strRef>
              <f>Dashboard!$F$14</f>
              <strCache>
                <ptCount val="1"/>
                <pt idx="0">
                  <v>D4 Betor</v>
                </pt>
              </strCache>
            </strRef>
          </tx>
          <spPr>
            <a:solidFill xmlns:a="http://schemas.openxmlformats.org/drawingml/2006/main">
              <a:srgbClr val="EDA100"/>
            </a:solidFill>
            <a:ln xmlns:a="http://schemas.openxmlformats.org/drawingml/2006/main">
              <a:solidFill>
                <a:srgbClr val="EDA100"/>
              </a:solidFill>
              <a:prstDash val="solid"/>
            </a:ln>
          </spPr>
          <invertIfNegative val="1"/>
          <cat>
            <strRef>
              <f>Dashboard!$A$15:$A$21</f>
              <strCache>
                <ptCount val="7"/>
                <pt idx="0">
                  <v>Lands</v>
                </pt>
                <pt idx="1">
                  <v>Ramp</v>
                </pt>
                <pt idx="2">
                  <v>Card draw / advantage</v>
                </pt>
                <pt idx="3">
                  <v>Removal / interaction</v>
                </pt>
                <pt idx="4">
                  <v>Board wipes</v>
                </pt>
                <pt idx="5">
                  <v>Protection</v>
                </pt>
                <pt idx="6">
                  <v>Recursion / reanimation</v>
                </pt>
              </strCache>
            </strRef>
          </cat>
          <val>
            <numRef>
              <f>Dashboard!$F$15:$F$21</f>
              <numCache>
                <formatCode>General</formatCode>
                <ptCount val="7"/>
                <pt idx="0">
                  <v>35</v>
                </pt>
                <pt idx="1">
                  <v>6</v>
                </pt>
                <pt idx="2">
                  <v>2</v>
                </pt>
                <pt idx="3">
                  <v>6</v>
                </pt>
                <pt idx="4">
                  <v>69</v>
                </pt>
                <pt idx="5">
                  <v>69</v>
                </pt>
                <pt idx="6">
                  <v>1</v>
                </pt>
              </numCache>
            </numRef>
          </val>
        </ser>
        <ser>
          <idx val="4"/>
          <order val="4"/>
          <tx>
            <strRef>
              <f>Dashboard!$G$14</f>
              <strCache>
                <ptCount val="1"/>
                <pt idx="0">
                  <v>D5 Shadrix</v>
                </pt>
              </strCache>
            </strRef>
          </tx>
          <spPr>
            <a:solidFill xmlns:a="http://schemas.openxmlformats.org/drawingml/2006/main">
              <a:srgbClr val="E87BA4"/>
            </a:solidFill>
            <a:ln xmlns:a="http://schemas.openxmlformats.org/drawingml/2006/main">
              <a:solidFill>
                <a:srgbClr val="E87BA4"/>
              </a:solidFill>
              <a:prstDash val="solid"/>
            </a:ln>
          </spPr>
          <invertIfNegative val="1"/>
          <cat>
            <strRef>
              <f>Dashboard!$A$15:$A$21</f>
              <strCache>
                <ptCount val="7"/>
                <pt idx="0">
                  <v>Lands</v>
                </pt>
                <pt idx="1">
                  <v>Ramp</v>
                </pt>
                <pt idx="2">
                  <v>Card draw / advantage</v>
                </pt>
                <pt idx="3">
                  <v>Removal / interaction</v>
                </pt>
                <pt idx="4">
                  <v>Board wipes</v>
                </pt>
                <pt idx="5">
                  <v>Protection</v>
                </pt>
                <pt idx="6">
                  <v>Recursion / reanimation</v>
                </pt>
              </strCache>
            </strRef>
          </cat>
          <val>
            <numRef>
              <f>Dashboard!$G$15:$G$21</f>
              <numCache>
                <formatCode>General</formatCode>
                <ptCount val="7"/>
                <pt idx="0">
                  <v>38</v>
                </pt>
                <pt idx="1">
                  <v>1</v>
                </pt>
                <pt idx="2">
                  <v>3</v>
                </pt>
                <pt idx="3">
                  <v>5</v>
                </pt>
                <pt idx="4">
                  <v>60</v>
                </pt>
                <pt idx="5">
                  <v>60</v>
                </pt>
                <pt idx="6">
                  <v>1</v>
                </pt>
              </numCache>
            </numRef>
          </val>
        </ser>
        <ser>
          <idx val="5"/>
          <order val="5"/>
          <tx>
            <strRef>
              <f>Dashboard!$H$14</f>
              <strCache>
                <ptCount val="1"/>
                <pt idx="0">
                  <v>D6 Purphoros</v>
                </pt>
              </strCache>
            </strRef>
          </tx>
          <spPr>
            <a:solidFill xmlns:a="http://schemas.openxmlformats.org/drawingml/2006/main">
              <a:srgbClr val="4A3AA7"/>
            </a:solidFill>
            <a:ln xmlns:a="http://schemas.openxmlformats.org/drawingml/2006/main">
              <a:solidFill>
                <a:srgbClr val="4A3AA7"/>
              </a:solidFill>
              <a:prstDash val="solid"/>
            </a:ln>
          </spPr>
          <invertIfNegative val="1"/>
          <cat>
            <strRef>
              <f>Dashboard!$A$15:$A$21</f>
              <strCache>
                <ptCount val="7"/>
                <pt idx="0">
                  <v>Lands</v>
                </pt>
                <pt idx="1">
                  <v>Ramp</v>
                </pt>
                <pt idx="2">
                  <v>Card draw / advantage</v>
                </pt>
                <pt idx="3">
                  <v>Removal / interaction</v>
                </pt>
                <pt idx="4">
                  <v>Board wipes</v>
                </pt>
                <pt idx="5">
                  <v>Protection</v>
                </pt>
                <pt idx="6">
                  <v>Recursion / reanimation</v>
                </pt>
              </strCache>
            </strRef>
          </cat>
          <val>
            <numRef>
              <f>Dashboard!$H$15:$H$21</f>
              <numCache>
                <formatCode>General</formatCode>
                <ptCount val="7"/>
                <pt idx="0">
                  <v>34</v>
                </pt>
                <pt idx="1">
                  <v>1</v>
                </pt>
                <pt idx="2">
                  <v>5</v>
                </pt>
                <pt idx="3">
                  <v>5</v>
                </pt>
                <pt idx="4">
                  <v>61</v>
                </pt>
                <pt idx="5">
                  <v>61</v>
                </pt>
                <pt idx="6">
                  <v>0</v>
                </pt>
              </numCache>
            </numRef>
          </val>
        </ser>
        <dLbls>
          <showLegendKey val="0"/>
          <showVal val="0"/>
          <showCatName val="0"/>
          <showSerName val="0"/>
          <showPercent val="0"/>
          <showBubbleSize val="0"/>
        </dLbls>
        <gapWidth val="60"/>
        <axId val="10"/>
        <axId val="100"/>
      </barChart>
      <catAx>
        <axId val="10"/>
        <scaling>
          <orientation val="minMax"/>
        </scaling>
        <delete val="1"/>
        <axPos val="b"/>
        <numFmt formatCode="General" sourceLinked="1"/>
        <majorTickMark val="none"/>
        <minorTickMark val="none"/>
        <tickLblPos val="nextTo"/>
        <crossAx val="100"/>
        <crosses val="autoZero"/>
        <auto val="1"/>
        <lblAlgn val="ctr"/>
        <lblOffset val="100"/>
        <noMultiLvlLbl val="1"/>
      </catAx>
      <valAx>
        <axId val="100"/>
        <scaling>
          <orientation val="minMax"/>
        </scaling>
        <delete val="1"/>
        <axPos val="l"/>
        <numFmt formatCode="General" sourceLinked="1"/>
        <majorTickMark val="none"/>
        <minorTickMark val="none"/>
        <tickLblPos val="nextTo"/>
        <crossAx val="10"/>
        <crosses val="autoZero"/>
        <crossBetween val="between"/>
      </valAx>
    </plotArea>
    <legend>
      <legendPos val="b"/>
      <overlay val="1"/>
    </legend>
    <plotVisOnly val="1"/>
    <dispBlanksAs val="gap"/>
  </chart>
</chartSpace>
</file>

<file path=xl/charts/chart5.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US"/>
              <a:t>Card rows by status</a:t>
            </a:r>
          </a:p>
        </rich>
      </tx>
      <overlay val="1"/>
    </title>
    <plotArea>
      <layout/>
      <doughnutChart>
        <varyColors val="1"/>
        <ser>
          <idx val="0"/>
          <order val="0"/>
          <spPr>
            <a:ln xmlns:a="http://schemas.openxmlformats.org/drawingml/2006/main">
              <a:prstDash val="solid"/>
            </a:ln>
          </spPr>
          <dPt>
            <idx val="0"/>
            <bubble3D val="0"/>
            <spPr>
              <a:solidFill xmlns:a="http://schemas.openxmlformats.org/drawingml/2006/main">
                <a:srgbClr val="2A78D6"/>
              </a:solidFill>
              <a:ln xmlns:a="http://schemas.openxmlformats.org/drawingml/2006/main">
                <a:prstDash val="solid"/>
              </a:ln>
            </spPr>
          </dPt>
          <dPt>
            <idx val="1"/>
            <bubble3D val="0"/>
            <spPr>
              <a:solidFill xmlns:a="http://schemas.openxmlformats.org/drawingml/2006/main">
                <a:srgbClr val="1BAF7A"/>
              </a:solidFill>
              <a:ln xmlns:a="http://schemas.openxmlformats.org/drawingml/2006/main">
                <a:prstDash val="solid"/>
              </a:ln>
            </spPr>
          </dPt>
          <dPt>
            <idx val="2"/>
            <bubble3D val="0"/>
            <spPr>
              <a:solidFill xmlns:a="http://schemas.openxmlformats.org/drawingml/2006/main">
                <a:srgbClr val="EB6834"/>
              </a:solidFill>
              <a:ln xmlns:a="http://schemas.openxmlformats.org/drawingml/2006/main">
                <a:prstDash val="solid"/>
              </a:ln>
            </spPr>
          </dPt>
          <dPt>
            <idx val="3"/>
            <bubble3D val="0"/>
            <spPr>
              <a:solidFill xmlns:a="http://schemas.openxmlformats.org/drawingml/2006/main">
                <a:srgbClr val="9A9A9A"/>
              </a:solidFill>
              <a:ln xmlns:a="http://schemas.openxmlformats.org/drawingml/2006/main">
                <a:prstDash val="solid"/>
              </a:ln>
            </spPr>
          </dPt>
          <dPt>
            <idx val="4"/>
            <bubble3D val="0"/>
            <spPr>
              <a:solidFill xmlns:a="http://schemas.openxmlformats.org/drawingml/2006/main">
                <a:srgbClr val="C4C4C4"/>
              </a:solidFill>
              <a:ln xmlns:a="http://schemas.openxmlformats.org/drawingml/2006/main">
                <a:prstDash val="solid"/>
              </a:ln>
            </spPr>
          </dPt>
          <dPt>
            <idx val="5"/>
            <bubble3D val="0"/>
            <spPr>
              <a:solidFill xmlns:a="http://schemas.openxmlformats.org/drawingml/2006/main">
                <a:srgbClr val="7FB3D5"/>
              </a:solidFill>
              <a:ln xmlns:a="http://schemas.openxmlformats.org/drawingml/2006/main">
                <a:prstDash val="solid"/>
              </a:ln>
            </spPr>
          </dPt>
          <dPt>
            <idx val="6"/>
            <bubble3D val="0"/>
            <spPr>
              <a:solidFill xmlns:a="http://schemas.openxmlformats.org/drawingml/2006/main">
                <a:srgbClr val="B0C9E2"/>
              </a:solidFill>
              <a:ln xmlns:a="http://schemas.openxmlformats.org/drawingml/2006/main">
                <a:prstDash val="solid"/>
              </a:ln>
            </spPr>
          </dPt>
          <dPt>
            <idx val="7"/>
            <bubble3D val="0"/>
            <spPr>
              <a:solidFill xmlns:a="http://schemas.openxmlformats.org/drawingml/2006/main">
                <a:srgbClr val="4A3AA7"/>
              </a:solidFill>
              <a:ln xmlns:a="http://schemas.openxmlformats.org/drawingml/2006/main">
                <a:prstDash val="solid"/>
              </a:ln>
            </spPr>
          </dPt>
          <dPt>
            <idx val="8"/>
            <bubble3D val="0"/>
            <spPr>
              <a:solidFill xmlns:a="http://schemas.openxmlformats.org/drawingml/2006/main">
                <a:srgbClr val="E34948"/>
              </a:solidFill>
              <a:ln xmlns:a="http://schemas.openxmlformats.org/drawingml/2006/main">
                <a:prstDash val="solid"/>
              </a:ln>
            </spPr>
          </dPt>
          <dLbls>
            <spPr>
              <a:noFill xmlns:a="http://schemas.openxmlformats.org/drawingml/2006/main"/>
              <a:ln xmlns:a="http://schemas.openxmlformats.org/drawingml/2006/main">
                <a:noFill/>
                <a:prstDash val="solid"/>
              </a:ln>
            </spPr>
            <showLegendKey val="0"/>
            <showVal val="1"/>
            <showCatName val="0"/>
            <showSerName val="0"/>
            <showPercent val="0"/>
            <showBubbleSize val="1"/>
            <showLeaderLines val="1"/>
          </dLbls>
          <cat>
            <strRef>
              <f>Dashboard!$A$26:$A$34</f>
              <strCache>
                <ptCount val="9"/>
                <pt idx="0">
                  <v>In Hand</v>
                </pt>
                <pt idx="1">
                  <v>Ordered</v>
                </pt>
                <pt idx="2">
                  <v>To Buy</v>
                </pt>
                <pt idx="3">
                  <v>Bench</v>
                </pt>
                <pt idx="4">
                  <v>Bench-Sub</v>
                </pt>
                <pt idx="5">
                  <v>Extra</v>
                </pt>
                <pt idx="6">
                  <v>Extra-Sub</v>
                </pt>
                <pt idx="7">
                  <v>B3 Option</v>
                </pt>
                <pt idx="8">
                  <v>Remove</v>
                </pt>
              </strCache>
            </strRef>
          </cat>
          <val>
            <numRef>
              <f>Dashboard!$B$26:$B$34</f>
              <numCache>
                <formatCode>General</formatCode>
                <ptCount val="9"/>
                <pt idx="0">
                  <v>271</v>
                </pt>
                <pt idx="1">
                  <v>121</v>
                </pt>
                <pt idx="2">
                  <v>12</v>
                </pt>
                <pt idx="3">
                  <v>55</v>
                </pt>
                <pt idx="4">
                  <v>43</v>
                </pt>
                <pt idx="5">
                  <v>17</v>
                </pt>
                <pt idx="6">
                  <v>0</v>
                </pt>
                <pt idx="7">
                  <v>36</v>
                </pt>
                <pt idx="8">
                  <v>24</v>
                </pt>
              </numCache>
            </numRef>
          </val>
        </ser>
        <dLbls>
          <showLegendKey val="0"/>
          <showVal val="1"/>
          <showCatName val="0"/>
          <showSerName val="0"/>
          <showPercent val="0"/>
          <showBubbleSize val="1"/>
          <showLeaderLines val="1"/>
        </dLbls>
        <firstSliceAng val="0"/>
        <holeSize val="55"/>
      </doughnutChart>
    </plotArea>
    <legend>
      <legendPos val="r"/>
      <overlay val="1"/>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drawing1.xml><?xml version="1.0" encoding="utf-8"?>
<wsDr xmlns="http://schemas.openxmlformats.org/drawingml/2006/spreadsheetDrawing">
  <oneCellAnchor>
    <from>
      <col>16</col>
      <colOff>0</colOff>
      <row>3</row>
      <rowOff>0</rowOff>
    </from>
    <ext cx="576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16</col>
      <colOff>0</colOff>
      <row>19</row>
      <rowOff>0</rowOff>
    </from>
    <ext cx="5760000" cy="270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16</col>
      <colOff>0</colOff>
      <row>35</row>
      <rowOff>0</rowOff>
    </from>
    <ext cx="5760000" cy="270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51</row>
      <rowOff>0</rowOff>
    </from>
    <ext cx="864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10</col>
      <colOff>0</colOff>
      <row>51</row>
      <rowOff>0</rowOff>
    </from>
    <ext cx="504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Q53"/>
  <sheetViews>
    <sheetView workbookViewId="0">
      <pane ySplit="4" topLeftCell="A5" activePane="bottomLeft" state="frozen"/>
      <selection pane="bottomLeft" activeCell="A1" sqref="A1"/>
    </sheetView>
  </sheetViews>
  <sheetFormatPr baseColWidth="8" defaultRowHeight="15"/>
  <cols>
    <col width="24" customWidth="1" style="79" min="1" max="1"/>
    <col width="18" customWidth="1" style="79" min="2" max="2"/>
    <col width="9" customWidth="1" style="79" min="3" max="3"/>
    <col width="14" customWidth="1" style="79" min="4" max="4"/>
    <col width="13" customWidth="1" style="79" min="5" max="5"/>
    <col width="10" customWidth="1" style="79" min="6" max="6"/>
    <col width="13" customWidth="1" style="79" min="7" max="7"/>
    <col width="9" customWidth="1" style="79" min="8" max="8"/>
    <col width="12" customWidth="1" style="79" min="9" max="9"/>
    <col width="13" customWidth="1" style="79" min="10" max="10"/>
    <col width="14" customWidth="1" style="79" min="11" max="11"/>
    <col width="13" customWidth="1" style="79" min="12" max="14"/>
    <col width="14" customWidth="1" style="79" min="15" max="15"/>
  </cols>
  <sheetData>
    <row r="1" ht="18" customHeight="1" s="79">
      <c r="A1" s="40" t="inlineStr">
        <is>
          <t>MtG Deck Master — Dashboard</t>
        </is>
      </c>
    </row>
    <row r="2">
      <c r="A2" s="41" t="inlineStr">
        <is>
          <t>Live formulas over Master rows 5-601. Refreshes on recalculation. Built 2026-09-03.</t>
        </is>
      </c>
    </row>
    <row r="3">
      <c r="Q3" s="54" t="inlineStr">
        <is>
          <t>Charts refresh with the tables (Excel recalculates on open).</t>
        </is>
      </c>
    </row>
    <row r="4" ht="43.15" customHeight="1" s="79">
      <c r="A4" s="42" t="inlineStr">
        <is>
          <t>Deck</t>
        </is>
      </c>
      <c r="B4" s="42" t="inlineStr">
        <is>
          <t>Commander</t>
        </is>
      </c>
      <c r="C4" s="42" t="inlineStr">
        <is>
          <t>Target</t>
        </is>
      </c>
      <c r="D4" s="42" t="inlineStr">
        <is>
          <t>In box (target cards)</t>
        </is>
      </c>
      <c r="E4" s="42" t="inlineStr">
        <is>
          <t>Placeholders in box</t>
        </is>
      </c>
      <c r="F4" s="42" t="inlineStr">
        <is>
          <t>Box total</t>
        </is>
      </c>
      <c r="G4" s="42" t="inlineStr">
        <is>
          <t>Ordered (in transit)</t>
        </is>
      </c>
      <c r="H4" s="42" t="inlineStr">
        <is>
          <t>To Buy</t>
        </is>
      </c>
      <c r="I4" s="42" t="inlineStr">
        <is>
          <t>Complete % (in hand)</t>
        </is>
      </c>
      <c r="J4" s="42" t="inlineStr">
        <is>
          <t>Complete % (incl. ordered)</t>
        </is>
      </c>
      <c r="K4" s="42" t="inlineStr">
        <is>
          <t>$ To Buy (Base/Tuned target)</t>
        </is>
      </c>
      <c r="L4" s="42" t="inlineStr">
        <is>
          <t>$ Ordered value</t>
        </is>
      </c>
      <c r="M4" s="42" t="inlineStr">
        <is>
          <t>Box market value</t>
        </is>
      </c>
      <c r="N4" s="42" t="inlineStr">
        <is>
          <t>Target build value</t>
        </is>
      </c>
      <c r="O4" s="42" t="inlineStr">
        <is>
          <t>Tuned/B3 adds still To Buy</t>
        </is>
      </c>
    </row>
    <row r="5">
      <c r="A5" s="43" t="inlineStr">
        <is>
          <t>D1</t>
        </is>
      </c>
      <c r="B5" s="43" t="inlineStr">
        <is>
          <t>Quintorius Kand</t>
        </is>
      </c>
      <c r="C5" s="43">
        <f>SUM(Master!$M$5:$M$601)</f>
        <v/>
      </c>
      <c r="D5" s="43">
        <f>SUMPRODUCT((Master!$M$5:$M$601&lt;Master!$T$5:$T$601)*Master!$M$5:$M$601+(Master!$M$5:$M$601&gt;=Master!$T$5:$T$601)*Master!$T$5:$T$601)</f>
        <v/>
      </c>
      <c r="E5" s="43">
        <f>SUMPRODUCT((Master!$T$5:$T$601&gt;Master!$M$5:$M$601)*(Master!$T$5:$T$601-Master!$M$5:$M$601))</f>
        <v/>
      </c>
      <c r="F5" s="43">
        <f>SUM(Master!$T$5:$T$601)</f>
        <v/>
      </c>
      <c r="G5" s="43">
        <f>SUMPRODUCT((Master!$M$5:$M$601&gt;Master!$T$5:$T$601)*(Master!$J$5:$J$601&gt;=(Master!$M$5:$M$601-Master!$T$5:$T$601))*(Master!$M$5:$M$601-Master!$T$5:$T$601))</f>
        <v/>
      </c>
      <c r="H5" s="43">
        <f>SUMPRODUCT((Master!$M$5:$M$601&gt;Master!$T$5:$T$601)*(Master!$J$5:$J$601&lt;(Master!$M$5:$M$601-Master!$T$5:$T$601))*(Master!$M$5:$M$601-Master!$T$5:$T$601-Master!$J$5:$J$601))</f>
        <v/>
      </c>
      <c r="I5" s="44">
        <f>IFERROR(D5/C5,0)</f>
        <v/>
      </c>
      <c r="J5" s="44">
        <f>IFERROR((D5+G5)/C5,0)</f>
        <v/>
      </c>
      <c r="K5" s="45">
        <f>SUMPRODUCT((Master!$M$5:$M$601&gt;Master!$T$5:$T$601)*(Master!$J$5:$J$601&lt;(Master!$M$5:$M$601-Master!$T$5:$T$601))*(Master!$M$5:$M$601-Master!$T$5:$T$601-Master!$J$5:$J$601)*Master!$K$5:$K$601)</f>
        <v/>
      </c>
      <c r="L5" s="45">
        <f>SUMPRODUCT((Master!$M$5:$M$601&gt;Master!$T$5:$T$601)*(Master!$J$5:$J$601&gt;=(Master!$M$5:$M$601-Master!$T$5:$T$601))*(Master!$M$5:$M$601-Master!$T$5:$T$601)*Master!$K$5:$K$601)</f>
        <v/>
      </c>
      <c r="M5" s="45">
        <f>SUMPRODUCT(Master!$T$5:$T$601*Master!$K$5:$K$601)</f>
        <v/>
      </c>
      <c r="N5" s="45">
        <f>SUMPRODUCT(Master!$M$5:$M$601*Master!$K$5:$K$601)</f>
        <v/>
      </c>
      <c r="O5" s="43">
        <f>SUMPRODUCT((Master!$M$5:$M$601&gt;0)*(Master!$D$5:$D$601="B3")*(Master!$B$5:$B$601="To Buy"))</f>
        <v/>
      </c>
    </row>
    <row r="6">
      <c r="A6" s="43" t="inlineStr">
        <is>
          <t>D2</t>
        </is>
      </c>
      <c r="B6" s="43" t="inlineStr">
        <is>
          <t>Chulane</t>
        </is>
      </c>
      <c r="C6" s="43">
        <f>SUM(Master!$N$5:$N$601)</f>
        <v/>
      </c>
      <c r="D6" s="43">
        <f>SUMPRODUCT((Master!$N$5:$N$601&lt;Master!$U$5:$U$601)*Master!$N$5:$N$601+(Master!$N$5:$N$601&gt;=Master!$U$5:$U$601)*Master!$U$5:$U$601)</f>
        <v/>
      </c>
      <c r="E6" s="43">
        <f>SUMPRODUCT((Master!$U$5:$U$601&gt;Master!$N$5:$N$601)*(Master!$U$5:$U$601-Master!$N$5:$N$601))</f>
        <v/>
      </c>
      <c r="F6" s="43">
        <f>SUM(Master!$U$5:$U$601)</f>
        <v/>
      </c>
      <c r="G6" s="43">
        <f>SUMPRODUCT((Master!$N$5:$N$601&gt;Master!$U$5:$U$601)*(Master!$J$5:$J$601&gt;=(Master!$N$5:$N$601-Master!$U$5:$U$601))*(Master!$N$5:$N$601-Master!$U$5:$U$601))</f>
        <v/>
      </c>
      <c r="H6" s="43">
        <f>SUMPRODUCT((Master!$N$5:$N$601&gt;Master!$U$5:$U$601)*(Master!$J$5:$J$601&lt;(Master!$N$5:$N$601-Master!$U$5:$U$601))*(Master!$N$5:$N$601-Master!$U$5:$U$601-Master!$J$5:$J$601))</f>
        <v/>
      </c>
      <c r="I6" s="44">
        <f>IFERROR(D6/C6,0)</f>
        <v/>
      </c>
      <c r="J6" s="44">
        <f>IFERROR((D6+G6)/C6,0)</f>
        <v/>
      </c>
      <c r="K6" s="45">
        <f>SUMPRODUCT((Master!$N$5:$N$601&gt;Master!$U$5:$U$601)*(Master!$J$5:$J$601&lt;(Master!$N$5:$N$601-Master!$U$5:$U$601))*(Master!$N$5:$N$601-Master!$U$5:$U$601-Master!$J$5:$J$601)*Master!$K$5:$K$601)</f>
        <v/>
      </c>
      <c r="L6" s="45">
        <f>SUMPRODUCT((Master!$N$5:$N$601&gt;Master!$U$5:$U$601)*(Master!$J$5:$J$601&gt;=(Master!$N$5:$N$601-Master!$U$5:$U$601))*(Master!$N$5:$N$601-Master!$U$5:$U$601)*Master!$K$5:$K$601)</f>
        <v/>
      </c>
      <c r="M6" s="45">
        <f>SUMPRODUCT(Master!$U$5:$U$601*Master!$K$5:$K$601)</f>
        <v/>
      </c>
      <c r="N6" s="45">
        <f>SUMPRODUCT(Master!$N$5:$N$601*Master!$K$5:$K$601)</f>
        <v/>
      </c>
      <c r="O6" s="43">
        <f>SUMPRODUCT((Master!$N$5:$N$601&gt;0)*(Master!$D$5:$D$601="B3")*(Master!$B$5:$B$601="To Buy"))</f>
        <v/>
      </c>
    </row>
    <row r="7">
      <c r="A7" s="43" t="inlineStr">
        <is>
          <t>D3</t>
        </is>
      </c>
      <c r="B7" s="43" t="inlineStr">
        <is>
          <t>Atraxa</t>
        </is>
      </c>
      <c r="C7" s="43">
        <f>SUM(Master!$O$5:$O$601)</f>
        <v/>
      </c>
      <c r="D7" s="43">
        <f>SUMPRODUCT((Master!$O$5:$O$601&lt;Master!$V$5:$V$601)*Master!$O$5:$O$601+(Master!$O$5:$O$601&gt;=Master!$V$5:$V$601)*Master!$V$5:$V$601)</f>
        <v/>
      </c>
      <c r="E7" s="43">
        <f>SUMPRODUCT((Master!$V$5:$V$601&gt;Master!$O$5:$O$601)*(Master!$V$5:$V$601-Master!$O$5:$O$601))</f>
        <v/>
      </c>
      <c r="F7" s="43">
        <f>SUM(Master!$V$5:$V$601)</f>
        <v/>
      </c>
      <c r="G7" s="43">
        <f>SUMPRODUCT((Master!$O$5:$O$601&gt;Master!$V$5:$V$601)*(Master!$J$5:$J$601&gt;=(Master!$O$5:$O$601-Master!$V$5:$V$601))*(Master!$O$5:$O$601-Master!$V$5:$V$601))</f>
        <v/>
      </c>
      <c r="H7" s="43">
        <f>SUMPRODUCT((Master!$O$5:$O$601&gt;Master!$V$5:$V$601)*(Master!$J$5:$J$601&lt;(Master!$O$5:$O$601-Master!$V$5:$V$601))*(Master!$O$5:$O$601-Master!$V$5:$V$601-Master!$J$5:$J$601))</f>
        <v/>
      </c>
      <c r="I7" s="44">
        <f>IFERROR(D7/C7,0)</f>
        <v/>
      </c>
      <c r="J7" s="44">
        <f>IFERROR((D7+G7)/C7,0)</f>
        <v/>
      </c>
      <c r="K7" s="45">
        <f>SUMPRODUCT((Master!$O$5:$O$601&gt;Master!$V$5:$V$601)*(Master!$J$5:$J$601&lt;(Master!$O$5:$O$601-Master!$V$5:$V$601))*(Master!$O$5:$O$601-Master!$V$5:$V$601-Master!$J$5:$J$601)*Master!$K$5:$K$601)</f>
        <v/>
      </c>
      <c r="L7" s="45">
        <f>SUMPRODUCT((Master!$O$5:$O$601&gt;Master!$V$5:$V$601)*(Master!$J$5:$J$601&gt;=(Master!$O$5:$O$601-Master!$V$5:$V$601))*(Master!$O$5:$O$601-Master!$V$5:$V$601)*Master!$K$5:$K$601)</f>
        <v/>
      </c>
      <c r="M7" s="45">
        <f>SUMPRODUCT(Master!$V$5:$V$601*Master!$K$5:$K$601)</f>
        <v/>
      </c>
      <c r="N7" s="45">
        <f>SUMPRODUCT(Master!$O$5:$O$601*Master!$K$5:$K$601)</f>
        <v/>
      </c>
      <c r="O7" s="43">
        <f>SUMPRODUCT((Master!$O$5:$O$601&gt;0)*(Master!$D$5:$D$601="B3")*(Master!$B$5:$B$601="To Buy"))</f>
        <v/>
      </c>
    </row>
    <row r="8">
      <c r="A8" s="43" t="inlineStr">
        <is>
          <t>D4</t>
        </is>
      </c>
      <c r="B8" s="43" t="inlineStr">
        <is>
          <t>Betor</t>
        </is>
      </c>
      <c r="C8" s="43">
        <f>SUM(Master!$P$5:$P$601)</f>
        <v/>
      </c>
      <c r="D8" s="43">
        <f>SUMPRODUCT((Master!$P$5:$P$601&lt;Master!$W$5:$W$601)*Master!$P$5:$P$601+(Master!$P$5:$P$601&gt;=Master!$W$5:$W$601)*Master!$W$5:$W$601)</f>
        <v/>
      </c>
      <c r="E8" s="43">
        <f>SUMPRODUCT((Master!$W$5:$W$601&gt;Master!$P$5:$P$601)*(Master!$W$5:$W$601-Master!$P$5:$P$601))</f>
        <v/>
      </c>
      <c r="F8" s="43">
        <f>SUM(Master!$W$5:$W$601)</f>
        <v/>
      </c>
      <c r="G8" s="43">
        <f>SUMPRODUCT((Master!$P$5:$P$601&gt;Master!$W$5:$W$601)*(Master!$J$5:$J$601&gt;=(Master!$P$5:$P$601-Master!$W$5:$W$601))*(Master!$P$5:$P$601-Master!$W$5:$W$601))</f>
        <v/>
      </c>
      <c r="H8" s="43">
        <f>SUMPRODUCT((Master!$P$5:$P$601&gt;Master!$W$5:$W$601)*(Master!$J$5:$J$601&lt;(Master!$P$5:$P$601-Master!$W$5:$W$601))*(Master!$P$5:$P$601-Master!$W$5:$W$601-Master!$J$5:$J$601))</f>
        <v/>
      </c>
      <c r="I8" s="44">
        <f>IFERROR(D8/C8,0)</f>
        <v/>
      </c>
      <c r="J8" s="44">
        <f>IFERROR((D8+G8)/C8,0)</f>
        <v/>
      </c>
      <c r="K8" s="45">
        <f>SUMPRODUCT((Master!$P$5:$P$601&gt;Master!$W$5:$W$601)*(Master!$J$5:$J$601&lt;(Master!$P$5:$P$601-Master!$W$5:$W$601))*(Master!$P$5:$P$601-Master!$W$5:$W$601-Master!$J$5:$J$601)*Master!$K$5:$K$601)</f>
        <v/>
      </c>
      <c r="L8" s="45">
        <f>SUMPRODUCT((Master!$P$5:$P$601&gt;Master!$W$5:$W$601)*(Master!$J$5:$J$601&gt;=(Master!$P$5:$P$601-Master!$W$5:$W$601))*(Master!$P$5:$P$601-Master!$W$5:$W$601)*Master!$K$5:$K$601)</f>
        <v/>
      </c>
      <c r="M8" s="45">
        <f>SUMPRODUCT(Master!$W$5:$W$601*Master!$K$5:$K$601)</f>
        <v/>
      </c>
      <c r="N8" s="45">
        <f>SUMPRODUCT(Master!$P$5:$P$601*Master!$K$5:$K$601)</f>
        <v/>
      </c>
      <c r="O8" s="43">
        <f>SUMPRODUCT((Master!$P$5:$P$601&gt;0)*(Master!$D$5:$D$601="B3")*(Master!$B$5:$B$601="To Buy"))</f>
        <v/>
      </c>
    </row>
    <row r="9">
      <c r="A9" s="43" t="inlineStr">
        <is>
          <t>D5</t>
        </is>
      </c>
      <c r="B9" s="43" t="inlineStr">
        <is>
          <t>Shadrix</t>
        </is>
      </c>
      <c r="C9" s="43">
        <f>SUM(Master!$Q$5:$Q$601)</f>
        <v/>
      </c>
      <c r="D9" s="43">
        <f>SUMPRODUCT((Master!$Q$5:$Q$601&lt;Master!$X$5:$X$601)*Master!$Q$5:$Q$601+(Master!$Q$5:$Q$601&gt;=Master!$X$5:$X$601)*Master!$X$5:$X$601)</f>
        <v/>
      </c>
      <c r="E9" s="43">
        <f>SUMPRODUCT((Master!$X$5:$X$601&gt;Master!$Q$5:$Q$601)*(Master!$X$5:$X$601-Master!$Q$5:$Q$601))</f>
        <v/>
      </c>
      <c r="F9" s="43">
        <f>SUM(Master!$X$5:$X$601)</f>
        <v/>
      </c>
      <c r="G9" s="43">
        <f>SUMPRODUCT((Master!$Q$5:$Q$601&gt;Master!$X$5:$X$601)*(Master!$J$5:$J$601&gt;=(Master!$Q$5:$Q$601-Master!$X$5:$X$601))*(Master!$Q$5:$Q$601-Master!$X$5:$X$601))</f>
        <v/>
      </c>
      <c r="H9" s="43">
        <f>SUMPRODUCT((Master!$Q$5:$Q$601&gt;Master!$X$5:$X$601)*(Master!$J$5:$J$601&lt;(Master!$Q$5:$Q$601-Master!$X$5:$X$601))*(Master!$Q$5:$Q$601-Master!$X$5:$X$601-Master!$J$5:$J$601))</f>
        <v/>
      </c>
      <c r="I9" s="44">
        <f>IFERROR(D9/C9,0)</f>
        <v/>
      </c>
      <c r="J9" s="44">
        <f>IFERROR((D9+G9)/C9,0)</f>
        <v/>
      </c>
      <c r="K9" s="45">
        <f>SUMPRODUCT((Master!$Q$5:$Q$601&gt;Master!$X$5:$X$601)*(Master!$J$5:$J$601&lt;(Master!$Q$5:$Q$601-Master!$X$5:$X$601))*(Master!$Q$5:$Q$601-Master!$X$5:$X$601-Master!$J$5:$J$601)*Master!$K$5:$K$601)</f>
        <v/>
      </c>
      <c r="L9" s="45">
        <f>SUMPRODUCT((Master!$Q$5:$Q$601&gt;Master!$X$5:$X$601)*(Master!$J$5:$J$601&gt;=(Master!$Q$5:$Q$601-Master!$X$5:$X$601))*(Master!$Q$5:$Q$601-Master!$X$5:$X$601)*Master!$K$5:$K$601)</f>
        <v/>
      </c>
      <c r="M9" s="45">
        <f>SUMPRODUCT(Master!$X$5:$X$601*Master!$K$5:$K$601)</f>
        <v/>
      </c>
      <c r="N9" s="45">
        <f>SUMPRODUCT(Master!$Q$5:$Q$601*Master!$K$5:$K$601)</f>
        <v/>
      </c>
      <c r="O9" s="43">
        <f>SUMPRODUCT((Master!$Q$5:$Q$601&gt;0)*(Master!$D$5:$D$601="B3")*(Master!$B$5:$B$601="To Buy"))</f>
        <v/>
      </c>
    </row>
    <row r="10">
      <c r="A10" s="43" t="inlineStr">
        <is>
          <t>D6</t>
        </is>
      </c>
      <c r="B10" s="43" t="inlineStr">
        <is>
          <t>Purphoros</t>
        </is>
      </c>
      <c r="C10" s="43">
        <f>SUM(Master!$R$5:$R$601)</f>
        <v/>
      </c>
      <c r="D10" s="43">
        <f>SUMPRODUCT((Master!$R$5:$R$601&lt;Master!$Y$5:$Y$601)*Master!$R$5:$R$601+(Master!$R$5:$R$601&gt;=Master!$Y$5:$Y$601)*Master!$Y$5:$Y$601)</f>
        <v/>
      </c>
      <c r="E10" s="43">
        <f>SUMPRODUCT((Master!$Y$5:$Y$601&gt;Master!$R$5:$R$601)*(Master!$Y$5:$Y$601-Master!$R$5:$R$601))</f>
        <v/>
      </c>
      <c r="F10" s="43">
        <f>SUM(Master!$Y$5:$Y$601)</f>
        <v/>
      </c>
      <c r="G10" s="43">
        <f>SUMPRODUCT((Master!$R$5:$R$601&gt;Master!$Y$5:$Y$601)*(Master!$J$5:$J$601&gt;=(Master!$R$5:$R$601-Master!$Y$5:$Y$601))*(Master!$R$5:$R$601-Master!$Y$5:$Y$601))</f>
        <v/>
      </c>
      <c r="H10" s="43">
        <f>SUMPRODUCT((Master!$R$5:$R$601&gt;Master!$Y$5:$Y$601)*(Master!$J$5:$J$601&lt;(Master!$R$5:$R$601-Master!$Y$5:$Y$601))*(Master!$R$5:$R$601-Master!$Y$5:$Y$601-Master!$J$5:$J$601))</f>
        <v/>
      </c>
      <c r="I10" s="44">
        <f>IFERROR(D10/C10,0)</f>
        <v/>
      </c>
      <c r="J10" s="44">
        <f>IFERROR((D10+G10)/C10,0)</f>
        <v/>
      </c>
      <c r="K10" s="45">
        <f>SUMPRODUCT((Master!$R$5:$R$601&gt;Master!$Y$5:$Y$601)*(Master!$J$5:$J$601&lt;(Master!$R$5:$R$601-Master!$Y$5:$Y$601))*(Master!$R$5:$R$601-Master!$Y$5:$Y$601-Master!$J$5:$J$601)*Master!$K$5:$K$601)</f>
        <v/>
      </c>
      <c r="L10" s="45">
        <f>SUMPRODUCT((Master!$R$5:$R$601&gt;Master!$Y$5:$Y$601)*(Master!$J$5:$J$601&gt;=(Master!$R$5:$R$601-Master!$Y$5:$Y$601))*(Master!$R$5:$R$601-Master!$Y$5:$Y$601)*Master!$K$5:$K$601)</f>
        <v/>
      </c>
      <c r="M10" s="45">
        <f>SUMPRODUCT(Master!$Y$5:$Y$601*Master!$K$5:$K$601)</f>
        <v/>
      </c>
      <c r="N10" s="45">
        <f>SUMPRODUCT(Master!$R$5:$R$601*Master!$K$5:$K$601)</f>
        <v/>
      </c>
      <c r="O10" s="43">
        <f>SUMPRODUCT((Master!$R$5:$R$601&gt;0)*(Master!$D$5:$D$601="B3")*(Master!$B$5:$B$601="To Buy"))</f>
        <v/>
      </c>
    </row>
    <row r="11">
      <c r="A11" s="46" t="inlineStr">
        <is>
          <t>Total</t>
        </is>
      </c>
      <c r="B11" s="43" t="n"/>
      <c r="C11" s="46">
        <f>SUM(C5:C10)</f>
        <v/>
      </c>
      <c r="D11" s="46">
        <f>SUM(D5:D10)</f>
        <v/>
      </c>
      <c r="E11" s="46">
        <f>SUM(E5:E10)</f>
        <v/>
      </c>
      <c r="F11" s="46">
        <f>SUM(F5:F10)</f>
        <v/>
      </c>
      <c r="G11" s="46">
        <f>SUM(G5:G10)</f>
        <v/>
      </c>
      <c r="H11" s="46">
        <f>SUM(H5:H10)</f>
        <v/>
      </c>
      <c r="I11" s="47">
        <f>IFERROR(D11/C11,0)</f>
        <v/>
      </c>
      <c r="J11" s="47">
        <f>IFERROR((D11+G11)/C11,0)</f>
        <v/>
      </c>
      <c r="K11" s="48">
        <f>SUM(K5:K10)</f>
        <v/>
      </c>
      <c r="L11" s="48">
        <f>SUM(L5:L10)</f>
        <v/>
      </c>
      <c r="M11" s="48">
        <f>SUM(M5:M10)</f>
        <v/>
      </c>
      <c r="N11" s="48">
        <f>SUM(N5:N10)</f>
        <v/>
      </c>
      <c r="O11" s="46">
        <f>SUM(O5:O10)</f>
        <v/>
      </c>
    </row>
    <row r="13">
      <c r="A13" s="49" t="inlineStr">
        <is>
          <t>Role coverage — copies in each deck box that carry a target (Primary Purpose, column AE). "Min" is a sane Commander baseline; red = below min.</t>
        </is>
      </c>
    </row>
    <row r="14" ht="43.15" customHeight="1" s="79">
      <c r="A14" s="42" t="inlineStr">
        <is>
          <t>Role</t>
        </is>
      </c>
      <c r="B14" s="42" t="inlineStr">
        <is>
          <t>Min</t>
        </is>
      </c>
      <c r="C14" s="42" t="inlineStr">
        <is>
          <t>D1 Quintorius Kand</t>
        </is>
      </c>
      <c r="D14" s="42" t="inlineStr">
        <is>
          <t>D2 Chulane</t>
        </is>
      </c>
      <c r="E14" s="42" t="inlineStr">
        <is>
          <t>D3 Atraxa</t>
        </is>
      </c>
      <c r="F14" s="42" t="inlineStr">
        <is>
          <t>D4 Betor</t>
        </is>
      </c>
      <c r="G14" s="42" t="inlineStr">
        <is>
          <t>D5 Shadrix</t>
        </is>
      </c>
      <c r="H14" s="42" t="inlineStr">
        <is>
          <t>D6 Purphoros</t>
        </is>
      </c>
      <c r="I14" s="42" t="inlineStr">
        <is>
          <t>Purposes counted</t>
        </is>
      </c>
    </row>
    <row r="15">
      <c r="A15" s="43" t="inlineStr">
        <is>
          <t>Lands</t>
        </is>
      </c>
      <c r="B15" s="43" t="n">
        <v>36</v>
      </c>
      <c r="C15" s="43">
        <f>SUMPRODUCT((((Master!$AF$5:$AF$601="Land")+(Master!$AF$5:$AF$601="Flexible Fixing"))&gt;0)*((Master!$M$5:$M$601&lt;Master!$T$5:$T$601)*Master!$M$5:$M$601+(Master!$M$5:$M$601&gt;=Master!$T$5:$T$601)*Master!$T$5:$T$601))</f>
        <v/>
      </c>
      <c r="D15" s="43">
        <f>SUMPRODUCT((((Master!$AF$5:$AF$601="Land")+(Master!$AF$5:$AF$601="Flexible Fixing"))&gt;0)*((Master!$N$5:$N$601&lt;Master!$U$5:$U$601)*Master!$N$5:$N$601+(Master!$N$5:$N$601&gt;=Master!$U$5:$U$601)*Master!$U$5:$U$601))</f>
        <v/>
      </c>
      <c r="E15" s="43">
        <f>SUMPRODUCT((((Master!$AF$5:$AF$601="Land")+(Master!$AF$5:$AF$601="Flexible Fixing"))&gt;0)*((Master!$O$5:$O$601&lt;Master!$V$5:$V$601)*Master!$O$5:$O$601+(Master!$O$5:$O$601&gt;=Master!$V$5:$V$601)*Master!$V$5:$V$601))</f>
        <v/>
      </c>
      <c r="F15" s="43">
        <f>SUMPRODUCT((((Master!$AF$5:$AF$601="Land")+(Master!$AF$5:$AF$601="Flexible Fixing"))&gt;0)*((Master!$P$5:$P$601&lt;Master!$W$5:$W$601)*Master!$P$5:$P$601+(Master!$P$5:$P$601&gt;=Master!$W$5:$W$601)*Master!$W$5:$W$601))</f>
        <v/>
      </c>
      <c r="G15" s="43">
        <f>SUMPRODUCT((((Master!$AF$5:$AF$601="Land")+(Master!$AF$5:$AF$601="Flexible Fixing"))&gt;0)*((Master!$Q$5:$Q$601&lt;Master!$X$5:$X$601)*Master!$Q$5:$Q$601+(Master!$Q$5:$Q$601&gt;=Master!$X$5:$X$601)*Master!$X$5:$X$601))</f>
        <v/>
      </c>
      <c r="H15" s="43">
        <f>SUMPRODUCT((((Master!$AF$5:$AF$601="Land")+(Master!$AF$5:$AF$601="Flexible Fixing"))&gt;0)*((Master!$R$5:$R$601&lt;Master!$Y$5:$Y$601)*Master!$R$5:$R$601+(Master!$R$5:$R$601&gt;=Master!$Y$5:$Y$601)*Master!$Y$5:$Y$601))</f>
        <v/>
      </c>
      <c r="I15" s="50" t="inlineStr">
        <is>
          <t>Land, Flexible Fixing</t>
        </is>
      </c>
    </row>
    <row r="16">
      <c r="A16" s="43" t="inlineStr">
        <is>
          <t>Ramp</t>
        </is>
      </c>
      <c r="B16" s="43" t="n">
        <v>10</v>
      </c>
      <c r="C16" s="43">
        <f>SUMPRODUCT((((Master!$AF$5:$AF$601="Ramp")+(Master!$AF$5:$AF$601="Mana Rock")+(Master!$AF$5:$AF$601="Defender Ramp")+(Master!$AF$5:$AF$601="Cost Reducer"))&gt;0)*((Master!$M$5:$M$601&lt;Master!$T$5:$T$601)*Master!$M$5:$M$601+(Master!$M$5:$M$601&gt;=Master!$T$5:$T$601)*Master!$T$5:$T$601))</f>
        <v/>
      </c>
      <c r="D16" s="43">
        <f>SUMPRODUCT((((Master!$AF$5:$AF$601="Ramp")+(Master!$AF$5:$AF$601="Mana Rock")+(Master!$AF$5:$AF$601="Defender Ramp")+(Master!$AF$5:$AF$601="Cost Reducer"))&gt;0)*((Master!$N$5:$N$601&lt;Master!$U$5:$U$601)*Master!$N$5:$N$601+(Master!$N$5:$N$601&gt;=Master!$U$5:$U$601)*Master!$U$5:$U$601))</f>
        <v/>
      </c>
      <c r="E16" s="43">
        <f>SUMPRODUCT((((Master!$AF$5:$AF$601="Ramp")+(Master!$AF$5:$AF$601="Mana Rock")+(Master!$AF$5:$AF$601="Defender Ramp")+(Master!$AF$5:$AF$601="Cost Reducer"))&gt;0)*((Master!$O$5:$O$601&lt;Master!$V$5:$V$601)*Master!$O$5:$O$601+(Master!$O$5:$O$601&gt;=Master!$V$5:$V$601)*Master!$V$5:$V$601))</f>
        <v/>
      </c>
      <c r="F16" s="43">
        <f>SUMPRODUCT((((Master!$AF$5:$AF$601="Ramp")+(Master!$AF$5:$AF$601="Mana Rock")+(Master!$AF$5:$AF$601="Defender Ramp")+(Master!$AF$5:$AF$601="Cost Reducer"))&gt;0)*((Master!$P$5:$P$601&lt;Master!$W$5:$W$601)*Master!$P$5:$P$601+(Master!$P$5:$P$601&gt;=Master!$W$5:$W$601)*Master!$W$5:$W$601))</f>
        <v/>
      </c>
      <c r="G16" s="43">
        <f>SUMPRODUCT((((Master!$AF$5:$AF$601="Ramp")+(Master!$AF$5:$AF$601="Mana Rock")+(Master!$AF$5:$AF$601="Defender Ramp")+(Master!$AF$5:$AF$601="Cost Reducer"))&gt;0)*((Master!$Q$5:$Q$601&lt;Master!$X$5:$X$601)*Master!$Q$5:$Q$601+(Master!$Q$5:$Q$601&gt;=Master!$X$5:$X$601)*Master!$X$5:$X$601))</f>
        <v/>
      </c>
      <c r="H16" s="43">
        <f>SUMPRODUCT((((Master!$AF$5:$AF$601="Ramp")+(Master!$AF$5:$AF$601="Mana Rock")+(Master!$AF$5:$AF$601="Defender Ramp")+(Master!$AF$5:$AF$601="Cost Reducer"))&gt;0)*((Master!$R$5:$R$601&lt;Master!$Y$5:$Y$601)*Master!$R$5:$R$601+(Master!$R$5:$R$601&gt;=Master!$Y$5:$Y$601)*Master!$Y$5:$Y$601))</f>
        <v/>
      </c>
      <c r="I16" s="50" t="inlineStr">
        <is>
          <t>Ramp, Mana Rock, Defender Ramp, Cost Reducer</t>
        </is>
      </c>
    </row>
    <row r="17">
      <c r="A17" s="43" t="inlineStr">
        <is>
          <t>Card draw / advantage</t>
        </is>
      </c>
      <c r="B17" s="43" t="n">
        <v>10</v>
      </c>
      <c r="C17" s="43">
        <f>SUMPRODUCT((((Master!$AF$5:$AF$601="Card Draw")+(Master!$AF$5:$AF$601="Card Advantage")+(Master!$AF$5:$AF$601="Card Selection")+(Master!$AF$5:$AF$601="Value Engine")+(Master!$AF$5:$AF$601="Discard/Looting")+(Master!$AF$5:$AF$601="Wheel"))&gt;0)*((Master!$M$5:$M$601&lt;Master!$T$5:$T$601)*Master!$M$5:$M$601+(Master!$M$5:$M$601&gt;=Master!$T$5:$T$601)*Master!$T$5:$T$601))</f>
        <v/>
      </c>
      <c r="D17" s="43">
        <f>SUMPRODUCT((((Master!$AF$5:$AF$601="Card Draw")+(Master!$AF$5:$AF$601="Card Advantage")+(Master!$AF$5:$AF$601="Card Selection")+(Master!$AF$5:$AF$601="Value Engine")+(Master!$AF$5:$AF$601="Discard/Looting")+(Master!$AF$5:$AF$601="Wheel"))&gt;0)*((Master!$N$5:$N$601&lt;Master!$U$5:$U$601)*Master!$N$5:$N$601+(Master!$N$5:$N$601&gt;=Master!$U$5:$U$601)*Master!$U$5:$U$601))</f>
        <v/>
      </c>
      <c r="E17" s="43">
        <f>SUMPRODUCT((((Master!$AF$5:$AF$601="Card Draw")+(Master!$AF$5:$AF$601="Card Advantage")+(Master!$AF$5:$AF$601="Card Selection")+(Master!$AF$5:$AF$601="Value Engine")+(Master!$AF$5:$AF$601="Discard/Looting")+(Master!$AF$5:$AF$601="Wheel"))&gt;0)*((Master!$O$5:$O$601&lt;Master!$V$5:$V$601)*Master!$O$5:$O$601+(Master!$O$5:$O$601&gt;=Master!$V$5:$V$601)*Master!$V$5:$V$601))</f>
        <v/>
      </c>
      <c r="F17" s="43">
        <f>SUMPRODUCT((((Master!$AF$5:$AF$601="Card Draw")+(Master!$AF$5:$AF$601="Card Advantage")+(Master!$AF$5:$AF$601="Card Selection")+(Master!$AF$5:$AF$601="Value Engine")+(Master!$AF$5:$AF$601="Discard/Looting")+(Master!$AF$5:$AF$601="Wheel"))&gt;0)*((Master!$P$5:$P$601&lt;Master!$W$5:$W$601)*Master!$P$5:$P$601+(Master!$P$5:$P$601&gt;=Master!$W$5:$W$601)*Master!$W$5:$W$601))</f>
        <v/>
      </c>
      <c r="G17" s="43">
        <f>SUMPRODUCT((((Master!$AF$5:$AF$601="Card Draw")+(Master!$AF$5:$AF$601="Card Advantage")+(Master!$AF$5:$AF$601="Card Selection")+(Master!$AF$5:$AF$601="Value Engine")+(Master!$AF$5:$AF$601="Discard/Looting")+(Master!$AF$5:$AF$601="Wheel"))&gt;0)*((Master!$Q$5:$Q$601&lt;Master!$X$5:$X$601)*Master!$Q$5:$Q$601+(Master!$Q$5:$Q$601&gt;=Master!$X$5:$X$601)*Master!$X$5:$X$601))</f>
        <v/>
      </c>
      <c r="H17" s="43">
        <f>SUMPRODUCT((((Master!$AF$5:$AF$601="Card Draw")+(Master!$AF$5:$AF$601="Card Advantage")+(Master!$AF$5:$AF$601="Card Selection")+(Master!$AF$5:$AF$601="Value Engine")+(Master!$AF$5:$AF$601="Discard/Looting")+(Master!$AF$5:$AF$601="Wheel"))&gt;0)*((Master!$R$5:$R$601&lt;Master!$Y$5:$Y$601)*Master!$R$5:$R$601+(Master!$R$5:$R$601&gt;=Master!$Y$5:$Y$601)*Master!$Y$5:$Y$601))</f>
        <v/>
      </c>
      <c r="I17" s="50" t="inlineStr">
        <is>
          <t>Card Draw, Card Advantage, Card Selection, Value Engine, Discard/Looting, Wheel</t>
        </is>
      </c>
    </row>
    <row r="18">
      <c r="A18" s="43" t="inlineStr">
        <is>
          <t>Removal / interaction</t>
        </is>
      </c>
      <c r="B18" s="43" t="n">
        <v>8</v>
      </c>
      <c r="C18" s="43">
        <f>SUMPRODUCT((((Master!$AF$5:$AF$601="Removal")+(Master!$AF$5:$AF$601="Artifact/Enchantment Removal")+(Master!$AF$5:$AF$601="Interaction")+(Master!$AF$5:$AF$601="Burn")+(Master!$AF$5:$AF$601="Graveyard Hate")+(Master!$AF$5:$AF$601="Stax/Tax"))&gt;0)*((Master!$M$5:$M$601&lt;Master!$T$5:$T$601)*Master!$M$5:$M$601+(Master!$M$5:$M$601&gt;=Master!$T$5:$T$601)*Master!$T$5:$T$601))</f>
        <v/>
      </c>
      <c r="D18" s="43">
        <f>SUMPRODUCT((((Master!$AF$5:$AF$601="Removal")+(Master!$AF$5:$AF$601="Artifact/Enchantment Removal")+(Master!$AF$5:$AF$601="Interaction")+(Master!$AF$5:$AF$601="Burn")+(Master!$AF$5:$AF$601="Graveyard Hate")+(Master!$AF$5:$AF$601="Stax/Tax"))&gt;0)*((Master!$N$5:$N$601&lt;Master!$U$5:$U$601)*Master!$N$5:$N$601+(Master!$N$5:$N$601&gt;=Master!$U$5:$U$601)*Master!$U$5:$U$601))</f>
        <v/>
      </c>
      <c r="E18" s="43">
        <f>SUMPRODUCT((((Master!$AF$5:$AF$601="Removal")+(Master!$AF$5:$AF$601="Artifact/Enchantment Removal")+(Master!$AF$5:$AF$601="Interaction")+(Master!$AF$5:$AF$601="Burn")+(Master!$AF$5:$AF$601="Graveyard Hate")+(Master!$AF$5:$AF$601="Stax/Tax"))&gt;0)*((Master!$O$5:$O$601&lt;Master!$V$5:$V$601)*Master!$O$5:$O$601+(Master!$O$5:$O$601&gt;=Master!$V$5:$V$601)*Master!$V$5:$V$601))</f>
        <v/>
      </c>
      <c r="F18" s="43">
        <f>SUMPRODUCT((((Master!$AF$5:$AF$601="Removal")+(Master!$AF$5:$AF$601="Artifact/Enchantment Removal")+(Master!$AF$5:$AF$601="Interaction")+(Master!$AF$5:$AF$601="Burn")+(Master!$AF$5:$AF$601="Graveyard Hate")+(Master!$AF$5:$AF$601="Stax/Tax"))&gt;0)*((Master!$P$5:$P$601&lt;Master!$W$5:$W$601)*Master!$P$5:$P$601+(Master!$P$5:$P$601&gt;=Master!$W$5:$W$601)*Master!$W$5:$W$601))</f>
        <v/>
      </c>
      <c r="G18" s="43">
        <f>SUMPRODUCT((((Master!$AF$5:$AF$601="Removal")+(Master!$AF$5:$AF$601="Artifact/Enchantment Removal")+(Master!$AF$5:$AF$601="Interaction")+(Master!$AF$5:$AF$601="Burn")+(Master!$AF$5:$AF$601="Graveyard Hate")+(Master!$AF$5:$AF$601="Stax/Tax"))&gt;0)*((Master!$Q$5:$Q$601&lt;Master!$X$5:$X$601)*Master!$Q$5:$Q$601+(Master!$Q$5:$Q$601&gt;=Master!$X$5:$X$601)*Master!$X$5:$X$601))</f>
        <v/>
      </c>
      <c r="H18" s="43">
        <f>SUMPRODUCT((((Master!$AF$5:$AF$601="Removal")+(Master!$AF$5:$AF$601="Artifact/Enchantment Removal")+(Master!$AF$5:$AF$601="Interaction")+(Master!$AF$5:$AF$601="Burn")+(Master!$AF$5:$AF$601="Graveyard Hate")+(Master!$AF$5:$AF$601="Stax/Tax"))&gt;0)*((Master!$R$5:$R$601&lt;Master!$Y$5:$Y$601)*Master!$R$5:$R$601+(Master!$R$5:$R$601&gt;=Master!$Y$5:$Y$601)*Master!$Y$5:$Y$601))</f>
        <v/>
      </c>
      <c r="I18" s="50" t="inlineStr">
        <is>
          <t>Removal, Artifact/Enchantment Removal, Interaction, Burn, Graveyard Hate, Stax/Tax</t>
        </is>
      </c>
    </row>
    <row r="19">
      <c r="A19" s="43" t="inlineStr">
        <is>
          <t>Board wipes</t>
        </is>
      </c>
      <c r="B19" s="43" t="n">
        <v>2</v>
      </c>
      <c r="C19" s="43">
        <f>SUMPRODUCT((((Master!$AF$5:$AF$601="Board Wipe"))&gt;0)*((Master!$M$5:$M$601&lt;Master!$T$5:$T$601)*Master!$M$5:$M$601+(Master!$M$5:$M$601&gt;=Master!$T$5:$T$601)*Master!$T$5:$T$601))</f>
        <v/>
      </c>
      <c r="D19" s="43">
        <f>SUMPRODUCT((((Master!$AF$5:$AF$601="Board Wipe"))&gt;0)*((Master!$N$5:$N$601&lt;Master!$U$5:$U$601)*Master!$N$5:$N$601+(Master!$N$5:$N$601&gt;=Master!$U$5:$U$601)*Master!$U$5:$U$601))</f>
        <v/>
      </c>
      <c r="E19" s="43">
        <f>SUMPRODUCT((((Master!$AF$5:$AF$601="Board Wipe"))&gt;0)*((Master!$O$5:$O$601&lt;Master!$V$5:$V$601)*Master!$O$5:$O$601+(Master!$O$5:$O$601&gt;=Master!$V$5:$V$601)*Master!$V$5:$V$601))</f>
        <v/>
      </c>
      <c r="F19" s="43">
        <f>SUMPRODUCT((((Master!$AF$5:$AF$601="Board Wipe"))&gt;0)*((Master!$P$5:$P$601&lt;Master!$W$5:$W$601)*Master!$P$5:$P$601+(Master!$P$5:$P$601&gt;=Master!$W$5:$W$601)*Master!$W$5:$W$601))</f>
        <v/>
      </c>
      <c r="G19" s="43">
        <f>SUMPRODUCT((((Master!$AF$5:$AF$601="Board Wipe"))&gt;0)*((Master!$Q$5:$Q$601&lt;Master!$X$5:$X$601)*Master!$Q$5:$Q$601+(Master!$Q$5:$Q$601&gt;=Master!$X$5:$X$601)*Master!$X$5:$X$601))</f>
        <v/>
      </c>
      <c r="H19" s="43">
        <f>SUMPRODUCT((((Master!$AF$5:$AF$601="Board Wipe"))&gt;0)*((Master!$R$5:$R$601&lt;Master!$Y$5:$Y$601)*Master!$R$5:$R$601+(Master!$R$5:$R$601&gt;=Master!$Y$5:$Y$601)*Master!$Y$5:$Y$601))</f>
        <v/>
      </c>
      <c r="I19" s="50" t="inlineStr">
        <is>
          <t>Board Wipe</t>
        </is>
      </c>
    </row>
    <row r="20">
      <c r="A20" s="43" t="inlineStr">
        <is>
          <t>Protection</t>
        </is>
      </c>
      <c r="B20" s="43" t="n">
        <v>3</v>
      </c>
      <c r="C20" s="43">
        <f>SUMPRODUCT((((Master!$AF$5:$AF$601="Protection"))&gt;0)*((Master!$M$5:$M$601&lt;Master!$T$5:$T$601)*Master!$M$5:$M$601+(Master!$M$5:$M$601&gt;=Master!$T$5:$T$601)*Master!$T$5:$T$601))</f>
        <v/>
      </c>
      <c r="D20" s="43">
        <f>SUMPRODUCT((((Master!$AF$5:$AF$601="Protection"))&gt;0)*((Master!$N$5:$N$601&lt;Master!$U$5:$U$601)*Master!$N$5:$N$601+(Master!$N$5:$N$601&gt;=Master!$U$5:$U$601)*Master!$U$5:$U$601))</f>
        <v/>
      </c>
      <c r="E20" s="43">
        <f>SUMPRODUCT((((Master!$AF$5:$AF$601="Protection"))&gt;0)*((Master!$O$5:$O$601&lt;Master!$V$5:$V$601)*Master!$O$5:$O$601+(Master!$O$5:$O$601&gt;=Master!$V$5:$V$601)*Master!$V$5:$V$601))</f>
        <v/>
      </c>
      <c r="F20" s="43">
        <f>SUMPRODUCT((((Master!$AF$5:$AF$601="Protection"))&gt;0)*((Master!$P$5:$P$601&lt;Master!$W$5:$W$601)*Master!$P$5:$P$601+(Master!$P$5:$P$601&gt;=Master!$W$5:$W$601)*Master!$W$5:$W$601))</f>
        <v/>
      </c>
      <c r="G20" s="43">
        <f>SUMPRODUCT((((Master!$AF$5:$AF$601="Protection"))&gt;0)*((Master!$Q$5:$Q$601&lt;Master!$X$5:$X$601)*Master!$Q$5:$Q$601+(Master!$Q$5:$Q$601&gt;=Master!$X$5:$X$601)*Master!$X$5:$X$601))</f>
        <v/>
      </c>
      <c r="H20" s="43">
        <f>SUMPRODUCT((((Master!$AF$5:$AF$601="Protection"))&gt;0)*((Master!$R$5:$R$601&lt;Master!$Y$5:$Y$601)*Master!$R$5:$R$601+(Master!$R$5:$R$601&gt;=Master!$Y$5:$Y$601)*Master!$Y$5:$Y$601))</f>
        <v/>
      </c>
      <c r="I20" s="50" t="inlineStr">
        <is>
          <t>Protection</t>
        </is>
      </c>
    </row>
    <row r="21">
      <c r="A21" s="43" t="inlineStr">
        <is>
          <t>Recursion / reanimation</t>
        </is>
      </c>
      <c r="B21" s="43" t="n">
        <v>3</v>
      </c>
      <c r="C21" s="43">
        <f>SUMPRODUCT((((Master!$AF$5:$AF$601="Recursion")+(Master!$AF$5:$AF$601="Reanimation"))&gt;0)*((Master!$M$5:$M$601&lt;Master!$T$5:$T$601)*Master!$M$5:$M$601+(Master!$M$5:$M$601&gt;=Master!$T$5:$T$601)*Master!$T$5:$T$601))</f>
        <v/>
      </c>
      <c r="D21" s="43">
        <f>SUMPRODUCT((((Master!$AF$5:$AF$601="Recursion")+(Master!$AF$5:$AF$601="Reanimation"))&gt;0)*((Master!$N$5:$N$601&lt;Master!$U$5:$U$601)*Master!$N$5:$N$601+(Master!$N$5:$N$601&gt;=Master!$U$5:$U$601)*Master!$U$5:$U$601))</f>
        <v/>
      </c>
      <c r="E21" s="43">
        <f>SUMPRODUCT((((Master!$AF$5:$AF$601="Recursion")+(Master!$AF$5:$AF$601="Reanimation"))&gt;0)*((Master!$O$5:$O$601&lt;Master!$V$5:$V$601)*Master!$O$5:$O$601+(Master!$O$5:$O$601&gt;=Master!$V$5:$V$601)*Master!$V$5:$V$601))</f>
        <v/>
      </c>
      <c r="F21" s="43">
        <f>SUMPRODUCT((((Master!$AF$5:$AF$601="Recursion")+(Master!$AF$5:$AF$601="Reanimation"))&gt;0)*((Master!$P$5:$P$601&lt;Master!$W$5:$W$601)*Master!$P$5:$P$601+(Master!$P$5:$P$601&gt;=Master!$W$5:$W$601)*Master!$W$5:$W$601))</f>
        <v/>
      </c>
      <c r="G21" s="43">
        <f>SUMPRODUCT((((Master!$AF$5:$AF$601="Recursion")+(Master!$AF$5:$AF$601="Reanimation"))&gt;0)*((Master!$Q$5:$Q$601&lt;Master!$X$5:$X$601)*Master!$Q$5:$Q$601+(Master!$Q$5:$Q$601&gt;=Master!$X$5:$X$601)*Master!$X$5:$X$601))</f>
        <v/>
      </c>
      <c r="H21" s="43">
        <f>SUMPRODUCT((((Master!$AF$5:$AF$601="Recursion")+(Master!$AF$5:$AF$601="Reanimation"))&gt;0)*((Master!$R$5:$R$601&lt;Master!$Y$5:$Y$601)*Master!$R$5:$R$601+(Master!$R$5:$R$601&gt;=Master!$Y$5:$Y$601)*Master!$Y$5:$Y$601))</f>
        <v/>
      </c>
      <c r="I21" s="50" t="inlineStr">
        <is>
          <t>Recursion, Reanimation</t>
        </is>
      </c>
    </row>
    <row r="22">
      <c r="A22" s="43" t="inlineStr">
        <is>
          <t>Win / payoff</t>
        </is>
      </c>
      <c r="B22" s="43" t="n">
        <v>0</v>
      </c>
      <c r="C22" s="43">
        <f>SUMPRODUCT((((Master!$AF$5:$AF$601="Finisher")+(Master!$AF$5:$AF$601="Drain Payoff")+(Master!$AF$5:$AF$601="Toughness Payoff")+(Master!$AF$5:$AF$601="Counters Payoff")+(Master!$AF$5:$AF$601="Proliferate")+(Master!$AF$5:$AF$601="Aristocrats Payoff")+(Master!$AF$5:$AF$601="Lord/Anthem")+(Master!$AF$5:$AF$601="Token Producer")+(Master!$AF$5:$AF$601="Sacrifice Outlet")+(Master!$AF$5:$AF$601="Haste Enabler")+(Master!$AF$5:$AF$601="Blink")+(Master!$AF$5:$AF$601="Lifegain")+(Master!$AF$5:$AF$601="Combat Trick")+(Master!$AF$5:$AF$601="Evasion")+(Master!$AF$5:$AF$601="Copy/Clone")+(Master!$AF$5:$AF$601="Mana Sink")+(Master!$AF$5:$AF$601="Tutor")+(Master!$AF$5:$AF$601="Utility Creature"))&gt;0)*((Master!$M$5:$M$601&lt;Master!$T$5:$T$601)*Master!$M$5:$M$601+(Master!$M$5:$M$601&gt;=Master!$T$5:$T$601)*Master!$T$5:$T$601))</f>
        <v/>
      </c>
      <c r="D22" s="43">
        <f>SUMPRODUCT((((Master!$AF$5:$AF$601="Finisher")+(Master!$AF$5:$AF$601="Drain Payoff")+(Master!$AF$5:$AF$601="Toughness Payoff")+(Master!$AF$5:$AF$601="Counters Payoff")+(Master!$AF$5:$AF$601="Proliferate")+(Master!$AF$5:$AF$601="Aristocrats Payoff")+(Master!$AF$5:$AF$601="Lord/Anthem")+(Master!$AF$5:$AF$601="Token Producer")+(Master!$AF$5:$AF$601="Sacrifice Outlet")+(Master!$AF$5:$AF$601="Haste Enabler")+(Master!$AF$5:$AF$601="Blink")+(Master!$AF$5:$AF$601="Lifegain")+(Master!$AF$5:$AF$601="Combat Trick")+(Master!$AF$5:$AF$601="Evasion")+(Master!$AF$5:$AF$601="Copy/Clone")+(Master!$AF$5:$AF$601="Mana Sink")+(Master!$AF$5:$AF$601="Tutor")+(Master!$AF$5:$AF$601="Utility Creature"))&gt;0)*((Master!$N$5:$N$601&lt;Master!$U$5:$U$601)*Master!$N$5:$N$601+(Master!$N$5:$N$601&gt;=Master!$U$5:$U$601)*Master!$U$5:$U$601))</f>
        <v/>
      </c>
      <c r="E22" s="43">
        <f>SUMPRODUCT((((Master!$AF$5:$AF$601="Finisher")+(Master!$AF$5:$AF$601="Drain Payoff")+(Master!$AF$5:$AF$601="Toughness Payoff")+(Master!$AF$5:$AF$601="Counters Payoff")+(Master!$AF$5:$AF$601="Proliferate")+(Master!$AF$5:$AF$601="Aristocrats Payoff")+(Master!$AF$5:$AF$601="Lord/Anthem")+(Master!$AF$5:$AF$601="Token Producer")+(Master!$AF$5:$AF$601="Sacrifice Outlet")+(Master!$AF$5:$AF$601="Haste Enabler")+(Master!$AF$5:$AF$601="Blink")+(Master!$AF$5:$AF$601="Lifegain")+(Master!$AF$5:$AF$601="Combat Trick")+(Master!$AF$5:$AF$601="Evasion")+(Master!$AF$5:$AF$601="Copy/Clone")+(Master!$AF$5:$AF$601="Mana Sink")+(Master!$AF$5:$AF$601="Tutor")+(Master!$AF$5:$AF$601="Utility Creature"))&gt;0)*((Master!$O$5:$O$601&lt;Master!$V$5:$V$601)*Master!$O$5:$O$601+(Master!$O$5:$O$601&gt;=Master!$V$5:$V$601)*Master!$V$5:$V$601))</f>
        <v/>
      </c>
      <c r="F22" s="43">
        <f>SUMPRODUCT((((Master!$AF$5:$AF$601="Finisher")+(Master!$AF$5:$AF$601="Drain Payoff")+(Master!$AF$5:$AF$601="Toughness Payoff")+(Master!$AF$5:$AF$601="Counters Payoff")+(Master!$AF$5:$AF$601="Proliferate")+(Master!$AF$5:$AF$601="Aristocrats Payoff")+(Master!$AF$5:$AF$601="Lord/Anthem")+(Master!$AF$5:$AF$601="Token Producer")+(Master!$AF$5:$AF$601="Sacrifice Outlet")+(Master!$AF$5:$AF$601="Haste Enabler")+(Master!$AF$5:$AF$601="Blink")+(Master!$AF$5:$AF$601="Lifegain")+(Master!$AF$5:$AF$601="Combat Trick")+(Master!$AF$5:$AF$601="Evasion")+(Master!$AF$5:$AF$601="Copy/Clone")+(Master!$AF$5:$AF$601="Mana Sink")+(Master!$AF$5:$AF$601="Tutor")+(Master!$AF$5:$AF$601="Utility Creature"))&gt;0)*((Master!$P$5:$P$601&lt;Master!$W$5:$W$601)*Master!$P$5:$P$601+(Master!$P$5:$P$601&gt;=Master!$W$5:$W$601)*Master!$W$5:$W$601))</f>
        <v/>
      </c>
      <c r="G22" s="43">
        <f>SUMPRODUCT((((Master!$AF$5:$AF$601="Finisher")+(Master!$AF$5:$AF$601="Drain Payoff")+(Master!$AF$5:$AF$601="Toughness Payoff")+(Master!$AF$5:$AF$601="Counters Payoff")+(Master!$AF$5:$AF$601="Proliferate")+(Master!$AF$5:$AF$601="Aristocrats Payoff")+(Master!$AF$5:$AF$601="Lord/Anthem")+(Master!$AF$5:$AF$601="Token Producer")+(Master!$AF$5:$AF$601="Sacrifice Outlet")+(Master!$AF$5:$AF$601="Haste Enabler")+(Master!$AF$5:$AF$601="Blink")+(Master!$AF$5:$AF$601="Lifegain")+(Master!$AF$5:$AF$601="Combat Trick")+(Master!$AF$5:$AF$601="Evasion")+(Master!$AF$5:$AF$601="Copy/Clone")+(Master!$AF$5:$AF$601="Mana Sink")+(Master!$AF$5:$AF$601="Tutor")+(Master!$AF$5:$AF$601="Utility Creature"))&gt;0)*((Master!$Q$5:$Q$601&lt;Master!$X$5:$X$601)*Master!$Q$5:$Q$601+(Master!$Q$5:$Q$601&gt;=Master!$X$5:$X$601)*Master!$X$5:$X$601))</f>
        <v/>
      </c>
      <c r="H22" s="43">
        <f>SUMPRODUCT((((Master!$AF$5:$AF$601="Finisher")+(Master!$AF$5:$AF$601="Drain Payoff")+(Master!$AF$5:$AF$601="Toughness Payoff")+(Master!$AF$5:$AF$601="Counters Payoff")+(Master!$AF$5:$AF$601="Proliferate")+(Master!$AF$5:$AF$601="Aristocrats Payoff")+(Master!$AF$5:$AF$601="Lord/Anthem")+(Master!$AF$5:$AF$601="Token Producer")+(Master!$AF$5:$AF$601="Sacrifice Outlet")+(Master!$AF$5:$AF$601="Haste Enabler")+(Master!$AF$5:$AF$601="Blink")+(Master!$AF$5:$AF$601="Lifegain")+(Master!$AF$5:$AF$601="Combat Trick")+(Master!$AF$5:$AF$601="Evasion")+(Master!$AF$5:$AF$601="Copy/Clone")+(Master!$AF$5:$AF$601="Mana Sink")+(Master!$AF$5:$AF$601="Tutor")+(Master!$AF$5:$AF$601="Utility Creature"))&gt;0)*((Master!$R$5:$R$601&lt;Master!$Y$5:$Y$601)*Master!$R$5:$R$601+(Master!$R$5:$R$601&gt;=Master!$Y$5:$Y$601)*Master!$Y$5:$Y$601))</f>
        <v/>
      </c>
      <c r="I22" s="50" t="inlineStr">
        <is>
          <t>Finisher, Drain Payoff, Toughness Payoff, Counters Payoff, Proliferate, Aristocrats Payoff, Lord/Anthem, Token Producer, Sacrifice Outlet, Haste Enabler, Blink, Lifegain, Combat Trick, Evasion, Copy/Clone, Mana Sink, Tutor, Utility Creature</t>
        </is>
      </c>
    </row>
    <row r="24">
      <c r="A24" s="49" t="inlineStr">
        <is>
          <t>Inventory and status</t>
        </is>
      </c>
    </row>
    <row r="25">
      <c r="A25" s="42" t="inlineStr">
        <is>
          <t>Status</t>
        </is>
      </c>
      <c r="B25" s="42" t="inlineStr">
        <is>
          <t>Rows</t>
        </is>
      </c>
      <c r="C25" s="42" t="inlineStr">
        <is>
          <t>Meaning</t>
        </is>
      </c>
    </row>
    <row r="26">
      <c r="A26" s="43" t="inlineStr">
        <is>
          <t>In Hand</t>
        </is>
      </c>
      <c r="B26" s="43">
        <f>COUNTIF(Master!$B$5:$B$601,"In Hand")</f>
        <v/>
      </c>
      <c r="C26" s="43" t="inlineStr">
        <is>
          <t>Targeted and owned in full</t>
        </is>
      </c>
    </row>
    <row r="27">
      <c r="A27" s="43" t="inlineStr">
        <is>
          <t>Ordered</t>
        </is>
      </c>
      <c r="B27" s="43">
        <f>COUNTIF(Master!$B$5:$B$601,"Ordered")</f>
        <v/>
      </c>
      <c r="C27" s="43" t="inlineStr">
        <is>
          <t>Short copies are on order (I &gt;= shortfall)</t>
        </is>
      </c>
    </row>
    <row r="28">
      <c r="A28" s="43" t="inlineStr">
        <is>
          <t>To Buy</t>
        </is>
      </c>
      <c r="B28" s="43">
        <f>COUNTIF(Master!$B$5:$B$601,"To Buy")</f>
        <v/>
      </c>
      <c r="C28" s="43" t="inlineStr">
        <is>
          <t>Targeted, not owned, not ordered</t>
        </is>
      </c>
    </row>
    <row r="29">
      <c r="A29" s="43" t="inlineStr">
        <is>
          <t>Bench</t>
        </is>
      </c>
      <c r="B29" s="43">
        <f>COUNTIF(Master!$B$5:$B$601,"Bench")</f>
        <v/>
      </c>
      <c r="C29" s="43" t="inlineStr">
        <is>
          <t>Owned, no target, sitting in the bench box</t>
        </is>
      </c>
    </row>
    <row r="30">
      <c r="A30" s="43" t="inlineStr">
        <is>
          <t>Bench-Sub</t>
        </is>
      </c>
      <c r="B30" s="43">
        <f>COUNTIF(Master!$B$5:$B$601,"Bench-Sub")</f>
        <v/>
      </c>
      <c r="C30" s="43" t="inlineStr">
        <is>
          <t>Owned, no target, sitting in a deck box as a placeholder</t>
        </is>
      </c>
    </row>
    <row r="31">
      <c r="A31" s="43" t="inlineStr">
        <is>
          <t>Extra</t>
        </is>
      </c>
      <c r="B31" s="43">
        <f>COUNTIF(Master!$B$5:$B$601,"Extra")</f>
        <v/>
      </c>
      <c r="C31" s="43" t="inlineStr">
        <is>
          <t>Owned more copies than targeted</t>
        </is>
      </c>
    </row>
    <row r="32">
      <c r="A32" s="43" t="inlineStr">
        <is>
          <t>Extra-Sub</t>
        </is>
      </c>
      <c r="B32" s="43">
        <f>COUNTIF(Master!$B$5:$B$601,"Extra-Sub")</f>
        <v/>
      </c>
      <c r="C32" s="43" t="inlineStr">
        <is>
          <t>Extra copy sitting in a deck box as a placeholder</t>
        </is>
      </c>
    </row>
    <row r="33">
      <c r="A33" s="43" t="inlineStr">
        <is>
          <t>B3 Option</t>
        </is>
      </c>
      <c r="B33" s="43">
        <f>COUNTIF(Master!$B$5:$B$601,"B3 Option")</f>
        <v/>
      </c>
      <c r="C33" s="43" t="inlineStr">
        <is>
          <t>Max-tier candidate, not targeted or owned</t>
        </is>
      </c>
    </row>
    <row r="34">
      <c r="A34" s="43" t="inlineStr">
        <is>
          <t>Remove</t>
        </is>
      </c>
      <c r="B34" s="43">
        <f>COUNTIF(Master!$B$5:$B$601,"Remove")</f>
        <v/>
      </c>
      <c r="C34" s="43" t="inlineStr">
        <is>
          <t>No target, not owned — superseded row, safe to delete</t>
        </is>
      </c>
    </row>
    <row r="36">
      <c r="A36" s="49" t="inlineStr">
        <is>
          <t>Money</t>
        </is>
      </c>
    </row>
    <row r="37">
      <c r="A37" s="43" t="inlineStr">
        <is>
          <t>Cards owned (all copies)</t>
        </is>
      </c>
      <c r="B37" s="51">
        <f>SUM(Master!$F$5:$F$601)</f>
        <v/>
      </c>
    </row>
    <row r="38">
      <c r="A38" s="43" t="inlineStr">
        <is>
          <t>Bench copies (B-A)</t>
        </is>
      </c>
      <c r="B38" s="51">
        <f>SUM(Master!$Z$5:$Z$601)</f>
        <v/>
      </c>
    </row>
    <row r="39">
      <c r="A39" s="43" t="inlineStr">
        <is>
          <t>Bench market value</t>
        </is>
      </c>
      <c r="B39" s="45">
        <f>SUMPRODUCT(Master!$Z$5:$Z$601*Master!$K$5:$K$601)</f>
        <v/>
      </c>
    </row>
    <row r="40">
      <c r="A40" s="43" t="inlineStr">
        <is>
          <t>Copies on order</t>
        </is>
      </c>
      <c r="B40" s="51">
        <f>SUM(Master!$J$5:$J$601)</f>
        <v/>
      </c>
    </row>
    <row r="41">
      <c r="A41" s="43" t="inlineStr">
        <is>
          <t>Value of copies on order</t>
        </is>
      </c>
      <c r="B41" s="45">
        <f>SUMPRODUCT(Master!$J$5:$J$601*Master!$K$5:$K$601)</f>
        <v/>
      </c>
    </row>
    <row r="42">
      <c r="A42" s="43" t="inlineStr">
        <is>
          <t>$ To Buy, all decks (Master K)</t>
        </is>
      </c>
      <c r="B42" s="45">
        <f>SUM(Master!$L$5:$L$601)</f>
        <v/>
      </c>
    </row>
    <row r="43">
      <c r="A43" s="43" t="inlineStr">
        <is>
          <t>Value of all six target builds</t>
        </is>
      </c>
      <c r="B43" s="45">
        <f>SUM(N5:N10)</f>
        <v/>
      </c>
    </row>
    <row r="44">
      <c r="A44" s="43" t="inlineStr">
        <is>
          <t>Value of everything owned</t>
        </is>
      </c>
      <c r="B44" s="45">
        <f>SUMPRODUCT(Master!$F$5:$F$601*Master!$K$5:$K$601)</f>
        <v/>
      </c>
    </row>
    <row r="45">
      <c r="A45" s="43" t="inlineStr">
        <is>
          <t>Deck value cap (each)</t>
        </is>
      </c>
      <c r="B45" s="45" t="n">
        <v>225</v>
      </c>
    </row>
    <row r="46">
      <c r="A46" s="43" t="inlineStr">
        <is>
          <t>B3 Option cards listed</t>
        </is>
      </c>
      <c r="B46" s="51">
        <f>COUNTIF(Master!$B$5:$B$601,"B3 Option")</f>
        <v/>
      </c>
    </row>
    <row r="47">
      <c r="A47" s="43" t="inlineStr">
        <is>
          <t>B3 Option total cost</t>
        </is>
      </c>
      <c r="B47" s="45">
        <f>SUMPRODUCT((Master!$B$5:$B$601="B3 Option")*Master!$K$5:$K$601)</f>
        <v/>
      </c>
    </row>
    <row r="50">
      <c r="A50" s="49" t="inlineStr">
        <is>
          <t>Checks</t>
        </is>
      </c>
    </row>
    <row r="51">
      <c r="A51" s="43" t="inlineStr">
        <is>
          <t>Deck targets all = 100</t>
        </is>
      </c>
      <c r="B51" s="43">
        <f>IF(AND(C5=100,C6=100,C7=100,C8=100,C9=100,C10=100),"OK","CHECK")</f>
        <v/>
      </c>
    </row>
    <row r="52">
      <c r="A52" s="43" t="inlineStr">
        <is>
          <t>Nonbasic targeted twice in one deck</t>
        </is>
      </c>
      <c r="B52" s="43">
        <f>SUMPRODUCT((Master!$M$5:$M$601&gt;1)+(Master!$N$5:$N$601&gt;1)+(Master!$O$5:$O$601&gt;1)+(Master!$P$5:$P$601&gt;1)+(Master!$Q$5:$Q$601&gt;1)+(Master!$R$5:$R$601&gt;1)-(LEFT(Master!$AA$5:$AA$601,5)="Basic")*6*((Master!$M$5:$M$601&gt;1)+(Master!$N$5:$N$601&gt;1)+(Master!$O$5:$O$601&gt;1)+(Master!$P$5:$P$601&gt;1)+(Master!$Q$5:$Q$601&gt;1)+(Master!$R$5:$R$601&gt;1))/6)</f>
        <v/>
      </c>
    </row>
    <row r="53">
      <c r="A53" s="43" t="inlineStr">
        <is>
          <t>Rows still marked In cart</t>
        </is>
      </c>
      <c r="B53" s="43">
        <f>COUNTIF(Master!$AJ$5:$AJ$601,"In cart:*")</f>
        <v/>
      </c>
    </row>
  </sheetData>
  <conditionalFormatting sqref="C15:H22">
    <cfRule type="expression" priority="4" dxfId="20">
      <formula>AND($B15&gt;0,C15&lt;$B15)</formula>
    </cfRule>
  </conditionalFormatting>
  <conditionalFormatting sqref="I5:I10">
    <cfRule type="dataBar" priority="1">
      <dataBar>
        <cfvo type="num" val="0"/>
        <cfvo type="num" val="1"/>
        <color rgb="FF4C9F70"/>
      </dataBar>
    </cfRule>
  </conditionalFormatting>
  <conditionalFormatting sqref="J5:J10">
    <cfRule type="dataBar" priority="2">
      <dataBar>
        <cfvo type="num" val="0"/>
        <cfvo type="num" val="1"/>
        <color rgb="FF7FB3D5"/>
      </dataBar>
    </cfRule>
  </conditionalFormatting>
  <conditionalFormatting sqref="K5:K10">
    <cfRule type="cellIs" priority="3" operator="greaterThan" dxfId="20">
      <formula>25</formula>
    </cfRule>
  </conditionalFormatting>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tabColor rgb="FF1F4E78"/>
    <outlinePr summaryBelow="1" summaryRight="1"/>
    <pageSetUpPr/>
  </sheetPr>
  <dimension ref="A1:AK583"/>
  <sheetViews>
    <sheetView tabSelected="1" zoomScaleNormal="100" workbookViewId="0">
      <pane xSplit="1" ySplit="4" topLeftCell="B5" activePane="bottomRight" state="frozen"/>
      <selection activeCell="F592" sqref="F592"/>
      <selection pane="topRight" activeCell="F592" sqref="F592"/>
      <selection pane="bottomLeft" activeCell="F592" sqref="F592"/>
      <selection pane="bottomRight" activeCell="L562" sqref="L562"/>
    </sheetView>
  </sheetViews>
  <sheetFormatPr baseColWidth="8" defaultColWidth="8.7109375" defaultRowHeight="15"/>
  <cols>
    <col width="29.85546875" customWidth="1" style="79" min="1" max="1"/>
    <col width="11.140625" customWidth="1" style="79" min="2" max="3"/>
    <col width="6.28515625" customWidth="1" style="79" min="4" max="4"/>
    <col width="7.5703125" customWidth="1" style="79" min="5" max="6"/>
    <col width="9.28515625" customWidth="1" style="79" min="7" max="7"/>
    <col width="7.28515625" customWidth="1" style="79" min="8" max="8"/>
    <col width="7" customWidth="1" style="79" min="9" max="9"/>
    <col width="7.140625" customWidth="1" style="79" min="10" max="10"/>
    <col width="12" customWidth="1" style="79" min="11" max="11"/>
    <col width="11" customWidth="1" style="79" min="12" max="12"/>
    <col width="5" customWidth="1" style="79" min="13" max="19"/>
    <col width="5.7109375" customWidth="1" style="79" min="20" max="25"/>
    <col width="6.5703125" customWidth="1" style="79" min="26" max="26"/>
    <col width="18.42578125" customWidth="1" style="79" min="27" max="27"/>
    <col width="20" customWidth="1" style="79" min="28" max="28"/>
    <col width="7.28515625" customWidth="1" style="79" min="29" max="29"/>
    <col width="5" customWidth="1" style="79" min="30" max="30"/>
    <col width="23.85546875" customWidth="1" style="79" min="31" max="31"/>
    <col width="25" customWidth="1" style="79" min="32" max="35"/>
    <col width="46" customWidth="1" style="79" min="36" max="36"/>
    <col width="60" customWidth="1" style="79" min="37" max="37"/>
  </cols>
  <sheetData>
    <row r="1">
      <c r="T1" t="n">
        <v>4</v>
      </c>
      <c r="U1" t="n">
        <v>13</v>
      </c>
      <c r="V1" t="n">
        <v>12</v>
      </c>
      <c r="W1" t="n">
        <v>37</v>
      </c>
      <c r="X1" t="n">
        <v>42</v>
      </c>
      <c r="Y1" t="n">
        <v>59</v>
      </c>
    </row>
    <row r="2">
      <c r="M2">
        <f>SUM(M$5:M$601)</f>
        <v/>
      </c>
      <c r="N2">
        <f>SUM(N$5:N$601)</f>
        <v/>
      </c>
      <c r="O2">
        <f>SUM(O$5:O$601)</f>
        <v/>
      </c>
      <c r="P2">
        <f>SUM(P$5:P$601)</f>
        <v/>
      </c>
      <c r="Q2">
        <f>SUM(Q$5:Q$601)</f>
        <v/>
      </c>
      <c r="R2">
        <f>SUM(R$5:R$601)</f>
        <v/>
      </c>
      <c r="T2" s="18">
        <f>SUM(T$5:T$601)</f>
        <v/>
      </c>
      <c r="U2" s="18">
        <f>SUM(U$5:U$601)</f>
        <v/>
      </c>
      <c r="V2" s="18">
        <f>SUM(V$5:V$601)</f>
        <v/>
      </c>
      <c r="W2" s="18">
        <f>SUM(W$5:W$601)</f>
        <v/>
      </c>
      <c r="X2" s="18">
        <f>SUM(X$5:X$601)</f>
        <v/>
      </c>
      <c r="Y2" s="18">
        <f>SUM(Y$5:Y$601)</f>
        <v/>
      </c>
    </row>
    <row r="3">
      <c r="F3">
        <f>SUM(F5:F601)</f>
        <v/>
      </c>
      <c r="J3">
        <f>SUM(J5:J601)</f>
        <v/>
      </c>
      <c r="K3" s="39">
        <f>SUM(K5:K83)</f>
        <v/>
      </c>
      <c r="M3" s="68" t="inlineStr">
        <is>
          <t>Target</t>
        </is>
      </c>
      <c r="N3" s="69" t="n"/>
      <c r="O3" s="69" t="n"/>
      <c r="P3" s="69" t="n"/>
      <c r="Q3" s="69" t="n"/>
      <c r="R3" s="22" t="inlineStr">
        <is>
          <t>Bnch</t>
        </is>
      </c>
      <c r="S3" s="68">
        <f>SUM(S5:S601)</f>
        <v/>
      </c>
      <c r="T3" s="70" t="inlineStr">
        <is>
          <t>Actual</t>
        </is>
      </c>
      <c r="U3" s="69" t="n"/>
      <c r="V3" s="69" t="n"/>
      <c r="W3" s="69" t="n"/>
      <c r="X3" s="69" t="n"/>
      <c r="Y3" s="23" t="inlineStr">
        <is>
          <t>Bnch</t>
        </is>
      </c>
      <c r="Z3" s="23">
        <f>SUM(Z5:Z601)</f>
        <v/>
      </c>
      <c r="AA3" s="24" t="n"/>
      <c r="AB3" s="24" t="n"/>
      <c r="AC3" s="24" t="n"/>
      <c r="AD3" s="24" t="n"/>
      <c r="AE3" s="24" t="n"/>
      <c r="AF3" s="24" t="n"/>
      <c r="AG3" s="24" t="n"/>
      <c r="AH3" s="24" t="n"/>
      <c r="AI3" s="24" t="n"/>
      <c r="AJ3" s="24" t="n"/>
    </row>
    <row r="4" ht="39" customHeight="1" s="79">
      <c r="A4" s="14" t="inlineStr">
        <is>
          <t>Card</t>
        </is>
      </c>
      <c r="B4" s="14" t="inlineStr">
        <is>
          <t>Status</t>
        </is>
      </c>
      <c r="C4" s="52" t="inlineStr">
        <is>
          <t>My To Buy List</t>
        </is>
      </c>
      <c r="D4" s="16" t="inlineStr">
        <is>
          <t>Bracket</t>
        </is>
      </c>
      <c r="E4" s="26" t="inlineStr">
        <is>
          <t>Qty</t>
        </is>
      </c>
      <c r="F4" s="28" t="inlineStr">
        <is>
          <t>Own</t>
        </is>
      </c>
      <c r="G4" s="27" t="inlineStr">
        <is>
          <t>Extra (Bench)</t>
        </is>
      </c>
      <c r="H4" s="25" t="inlineStr">
        <is>
          <t>Buy Count</t>
        </is>
      </c>
      <c r="I4" s="17" t="inlineStr">
        <is>
          <t>In Cart</t>
        </is>
      </c>
      <c r="J4" s="25" t="inlineStr">
        <is>
          <t>Ordered</t>
        </is>
      </c>
      <c r="K4" s="17" t="inlineStr">
        <is>
          <t>$ Each</t>
        </is>
      </c>
      <c r="L4" s="25" t="inlineStr">
        <is>
          <t>$ To Buy</t>
        </is>
      </c>
      <c r="M4" s="14" t="inlineStr">
        <is>
          <t>D1-T</t>
        </is>
      </c>
      <c r="N4" s="14" t="inlineStr">
        <is>
          <t>D2-T</t>
        </is>
      </c>
      <c r="O4" s="14" t="inlineStr">
        <is>
          <t>D3-T</t>
        </is>
      </c>
      <c r="P4" s="14" t="inlineStr">
        <is>
          <t>D4-T</t>
        </is>
      </c>
      <c r="Q4" s="14" t="inlineStr">
        <is>
          <t>D5-T</t>
        </is>
      </c>
      <c r="R4" s="14" t="inlineStr">
        <is>
          <t>D6-T</t>
        </is>
      </c>
      <c r="S4" s="16" t="inlineStr">
        <is>
          <t>B-T</t>
        </is>
      </c>
      <c r="T4" s="15" t="inlineStr">
        <is>
          <t>D1-A</t>
        </is>
      </c>
      <c r="U4" s="15" t="inlineStr">
        <is>
          <t>D2-A</t>
        </is>
      </c>
      <c r="V4" s="15" t="inlineStr">
        <is>
          <t>D3-A</t>
        </is>
      </c>
      <c r="W4" s="15" t="inlineStr">
        <is>
          <t>D4-A</t>
        </is>
      </c>
      <c r="X4" s="15" t="inlineStr">
        <is>
          <t>D5-A</t>
        </is>
      </c>
      <c r="Y4" s="15" t="inlineStr">
        <is>
          <t>D6-A</t>
        </is>
      </c>
      <c r="Z4" s="38" t="inlineStr">
        <is>
          <t>B-A</t>
        </is>
      </c>
      <c r="AA4" s="14" t="inlineStr">
        <is>
          <t>Type</t>
        </is>
      </c>
      <c r="AB4" s="16" t="inlineStr">
        <is>
          <t>Sub-Type</t>
        </is>
      </c>
      <c r="AC4" s="14" t="inlineStr">
        <is>
          <t>Color</t>
        </is>
      </c>
      <c r="AD4" s="14" t="inlineStr">
        <is>
          <t>MV</t>
        </is>
      </c>
      <c r="AE4" s="16" t="inlineStr">
        <is>
          <t>Series</t>
        </is>
      </c>
      <c r="AF4" s="16" t="inlineStr">
        <is>
          <t>Primary Purpose</t>
        </is>
      </c>
      <c r="AG4" s="16" t="inlineStr">
        <is>
          <t>Primary Mechanic</t>
        </is>
      </c>
      <c r="AH4" s="16" t="inlineStr">
        <is>
          <t>Secondary Mechanic</t>
        </is>
      </c>
      <c r="AI4" s="16" t="inlineStr">
        <is>
          <t>Tertiary Mechanic</t>
        </is>
      </c>
      <c r="AJ4" s="14" t="inlineStr">
        <is>
          <t>Notes</t>
        </is>
      </c>
      <c r="AK4" s="14" t="inlineStr">
        <is>
          <t>Moves</t>
        </is>
      </c>
    </row>
    <row r="5" ht="15" customHeight="1" s="79">
      <c r="A5" s="2" t="inlineStr">
        <is>
          <t>Elas il-Kor, Sadistic Pilgrim</t>
        </is>
      </c>
      <c r="B5" s="2">
        <f>IF(AND(F5&lt;&gt;0,E5=F5),"In Hand",IF(AND(E5&lt;&gt;0,E5&lt;F5,SUM(M5:R5)=0,SUM(T5:Y5)&gt;0),"Extra-Sub",IF(AND(E5=0,E5&lt;F5,SUM(M5:R5)=0,SUM(T5:Y5)&gt;0),"Bench-Sub",IF(AND(E5=0,F5&gt;0),"Bench",IF(E5&lt;F5,"Extra",IF(AND(J5="",E5&gt;F5),"To Buy",IF(SUM(J5,F5)&lt;E5,"To Buy",IF(AND(SUM(J5,F5)&gt;=E5,J5&lt;&gt;""),"Ordered",IF(AND(E5=0,F5=0,D5="B3"),"B3 Option",IF(AND(E5=0,F5=0),"Remove","To Buy"))))))))))</f>
        <v/>
      </c>
      <c r="C5" s="81" t="n">
        <v>1</v>
      </c>
      <c r="D5" t="inlineStr">
        <is>
          <t>B2</t>
        </is>
      </c>
      <c r="E5" s="3">
        <f>SUM(M5:S5)</f>
        <v/>
      </c>
      <c r="F5" s="3">
        <f>SUM(T5:Z5)</f>
        <v/>
      </c>
      <c r="G5" s="3">
        <f>IF((F5-E5)&gt;=0,F5-E5,0)</f>
        <v/>
      </c>
      <c r="H5" s="3">
        <f>MAX(0,$E5-$F5-$J5)</f>
        <v/>
      </c>
      <c r="I5" s="3" t="n"/>
      <c r="J5" s="3" t="n"/>
      <c r="K5" s="4" t="n">
        <v>3.11</v>
      </c>
      <c r="L5" s="4">
        <f>IF(AND($H5&gt;0,ISNUMBER($K5)),$H5*$K5,0)</f>
        <v/>
      </c>
      <c r="M5" s="3" t="n"/>
      <c r="N5" s="3" t="n"/>
      <c r="O5" s="3" t="n"/>
      <c r="P5" s="3" t="n"/>
      <c r="Q5" s="3" t="n">
        <v>1</v>
      </c>
      <c r="R5" s="3" t="n"/>
      <c r="S5" s="3">
        <f>IF(AND(J5&lt;&gt;"",SUM(M5:R5)=0),J5,"")</f>
        <v/>
      </c>
      <c r="T5" s="3" t="n"/>
      <c r="U5" s="3" t="n"/>
      <c r="V5" s="3" t="n"/>
      <c r="W5" s="3" t="n"/>
      <c r="X5" s="3" t="n"/>
      <c r="Y5" s="3" t="n"/>
      <c r="Z5" s="3" t="n"/>
      <c r="AA5" s="2" t="inlineStr">
        <is>
          <t>Legendary Creature</t>
        </is>
      </c>
      <c r="AB5" s="2" t="inlineStr">
        <is>
          <t>Phyrexian Kor Cleric</t>
        </is>
      </c>
      <c r="AC5" s="2" t="inlineStr">
        <is>
          <t>Multi</t>
        </is>
      </c>
      <c r="AD5" s="3" t="n">
        <v>2</v>
      </c>
      <c r="AE5" s="29" t="inlineStr">
        <is>
          <t>Dominaria United</t>
        </is>
      </c>
      <c r="AF5" s="29" t="inlineStr">
        <is>
          <t>Drain Payoff</t>
        </is>
      </c>
      <c r="AG5" s="29" t="inlineStr">
        <is>
          <t>Gains you 1 life whenever another creature you control enters</t>
        </is>
      </c>
      <c r="AH5" s="29" t="inlineStr">
        <is>
          <t>Each opponent loses 1 life whenever another creature you control dies</t>
        </is>
      </c>
      <c r="AI5" s="29" t="inlineStr">
        <is>
          <t>Deathtouch body</t>
        </is>
      </c>
      <c r="AJ5" s="2" t="n"/>
    </row>
    <row r="6" ht="15" customHeight="1" s="79">
      <c r="A6" s="2" t="inlineStr">
        <is>
          <t>Fervor</t>
        </is>
      </c>
      <c r="B6" s="2">
        <f>IF(AND(F6&lt;&gt;0,E6=F6),"In Hand",IF(AND(E6&lt;&gt;0,E6&lt;F6,SUM(M6:R6)=0,SUM(T6:Y6)&gt;0),"Extra-Sub",IF(AND(E6=0,E6&lt;F6,SUM(M6:R6)=0,SUM(T6:Y6)&gt;0),"Bench-Sub",IF(AND(E6=0,F6&gt;0),"Bench",IF(E6&lt;F6,"Extra",IF(AND(J6="",E6&gt;F6),"To Buy",IF(SUM(J6,F6)&lt;E6,"To Buy",IF(AND(SUM(J6,F6)&gt;=E6,J6&lt;&gt;""),"Ordered",IF(AND(E6=0,F6=0,D6="B3"),"B3 Option",IF(AND(E6=0,F6=0),"Remove","To Buy"))))))))))</f>
        <v/>
      </c>
      <c r="C6" s="81" t="n">
        <v>1</v>
      </c>
      <c r="D6" t="inlineStr">
        <is>
          <t>B3</t>
        </is>
      </c>
      <c r="E6" s="3">
        <f>SUM(M6:S6)</f>
        <v/>
      </c>
      <c r="F6" s="3">
        <f>SUM(T6:Z6)</f>
        <v/>
      </c>
      <c r="G6" s="3">
        <f>IF((F6-E6)&gt;=0,F6-E6,0)</f>
        <v/>
      </c>
      <c r="H6" s="3">
        <f>MAX(0,$E6-$F6-$J6)</f>
        <v/>
      </c>
      <c r="I6" s="3" t="n"/>
      <c r="J6" s="3" t="n"/>
      <c r="K6" s="4" t="n">
        <v>4.21</v>
      </c>
      <c r="L6" s="4">
        <f>IF(AND($H6&gt;0,ISNUMBER($K6)),$H6*$K6,0)</f>
        <v/>
      </c>
      <c r="M6" s="3" t="n"/>
      <c r="N6" s="3" t="n"/>
      <c r="O6" s="3" t="n"/>
      <c r="P6" s="3" t="n"/>
      <c r="Q6" s="3" t="n"/>
      <c r="R6" s="3" t="n">
        <v>1</v>
      </c>
      <c r="S6" s="3">
        <f>IF(AND(J6&lt;&gt;"",SUM(M6:R6)=0),J6,"")</f>
        <v/>
      </c>
      <c r="T6" s="3" t="n"/>
      <c r="U6" s="3" t="n"/>
      <c r="V6" s="3" t="n"/>
      <c r="W6" s="3" t="n"/>
      <c r="X6" s="3" t="n"/>
      <c r="Y6" s="3" t="n"/>
      <c r="Z6" s="3" t="n"/>
      <c r="AA6" s="2" t="inlineStr">
        <is>
          <t>Enchantment</t>
        </is>
      </c>
      <c r="AB6" s="2" t="n"/>
      <c r="AC6" s="2" t="inlineStr">
        <is>
          <t>R</t>
        </is>
      </c>
      <c r="AD6" s="3" t="n">
        <v>3</v>
      </c>
      <c r="AE6" s="29" t="inlineStr">
        <is>
          <t>Weatherlight</t>
        </is>
      </c>
      <c r="AF6" s="29" t="inlineStr">
        <is>
          <t>Tuned add</t>
        </is>
      </c>
      <c r="AG6" s="29" t="inlineStr">
        <is>
          <t>Creatures you control have haste. (They can attack and {T} as soon as they come under your control.)</t>
        </is>
      </c>
      <c r="AH6" s="29" t="n"/>
      <c r="AI6" s="29" t="n"/>
      <c r="AJ6" s="2" t="inlineStr">
        <is>
          <t>D6 Tuned add; targeted 2026-09-02; replaces Akoum Hellhound</t>
        </is>
      </c>
      <c r="AK6" t="inlineStr">
        <is>
          <t>[T] targeted D6 (Tuned add, replaces Akoum Hellhound); [A later] -&gt;D6 when bought</t>
        </is>
      </c>
    </row>
    <row r="7" ht="15" customHeight="1" s="79">
      <c r="A7" s="2" t="inlineStr">
        <is>
          <t>Kambal, Consul of Allocation</t>
        </is>
      </c>
      <c r="B7" s="2">
        <f>IF(AND(F7&lt;&gt;0,E7=F7),"In Hand",IF(AND(E7&lt;&gt;0,E7&lt;F7,SUM(M7:R7)=0,SUM(T7:Y7)&gt;0),"Extra-Sub",IF(AND(E7=0,E7&lt;F7,SUM(M7:R7)=0,SUM(T7:Y7)&gt;0),"Bench-Sub",IF(AND(E7=0,F7&gt;0),"Bench",IF(E7&lt;F7,"Extra",IF(AND(J7="",E7&gt;F7),"To Buy",IF(SUM(J7,F7)&lt;E7,"To Buy",IF(AND(SUM(J7,F7)&gt;=E7,J7&lt;&gt;""),"Ordered",IF(AND(E7=0,F7=0,D7="B3"),"B3 Option",IF(AND(E7=0,F7=0),"Remove","To Buy"))))))))))</f>
        <v/>
      </c>
      <c r="C7" s="81" t="n">
        <v>1</v>
      </c>
      <c r="D7" t="inlineStr">
        <is>
          <t>B3</t>
        </is>
      </c>
      <c r="E7" s="3">
        <f>SUM(M7:S7)</f>
        <v/>
      </c>
      <c r="F7" s="3">
        <f>SUM(T7:Z7)</f>
        <v/>
      </c>
      <c r="G7" s="3">
        <f>IF((F7-E7)&gt;=0,F7-E7,0)</f>
        <v/>
      </c>
      <c r="H7" s="3">
        <f>MAX(0,$E7-$F7-$J7)</f>
        <v/>
      </c>
      <c r="I7" s="3" t="n"/>
      <c r="J7" s="3" t="n"/>
      <c r="K7" s="4" t="n">
        <v>10.17</v>
      </c>
      <c r="L7" s="4">
        <f>IF(AND($H7&gt;0,ISNUMBER($K7)),$H7*$K7,0)</f>
        <v/>
      </c>
      <c r="M7" s="3" t="n"/>
      <c r="N7" s="3" t="n"/>
      <c r="O7" s="3" t="n"/>
      <c r="P7" s="3" t="n"/>
      <c r="Q7" s="3" t="n">
        <v>1</v>
      </c>
      <c r="R7" s="3" t="n"/>
      <c r="S7" s="3">
        <f>IF(AND(J7&lt;&gt;"",SUM(M7:R7)=0),J7,"")</f>
        <v/>
      </c>
      <c r="T7" s="3" t="n"/>
      <c r="U7" s="3" t="n"/>
      <c r="V7" s="3" t="n"/>
      <c r="W7" s="3" t="n"/>
      <c r="X7" s="3" t="n"/>
      <c r="Y7" s="3" t="n"/>
      <c r="Z7" s="3" t="n"/>
      <c r="AA7" s="2" t="inlineStr">
        <is>
          <t>Legendary Creature</t>
        </is>
      </c>
      <c r="AB7" s="2" t="inlineStr">
        <is>
          <t>Human Advisor</t>
        </is>
      </c>
      <c r="AC7" s="2" t="inlineStr">
        <is>
          <t>BW</t>
        </is>
      </c>
      <c r="AD7" s="3" t="n">
        <v>3</v>
      </c>
      <c r="AE7" s="29" t="inlineStr">
        <is>
          <t>Kaladesh</t>
        </is>
      </c>
      <c r="AF7" s="29" t="inlineStr">
        <is>
          <t>Tuned add</t>
        </is>
      </c>
      <c r="AG7" s="29" t="inlineStr">
        <is>
          <t>Whenever an opponent casts a noncreature spell, that player loses 2 life and you gain 2 life.</t>
        </is>
      </c>
      <c r="AH7" s="29" t="n"/>
      <c r="AI7" s="29" t="n"/>
      <c r="AJ7" s="2" t="inlineStr">
        <is>
          <t>D5 Tuned add; targeted 2026-09-02; replaces Great Fierce Bee</t>
        </is>
      </c>
      <c r="AK7" t="inlineStr">
        <is>
          <t>[T] targeted D5 (Tuned add, replaces Great Fierce Bee); [A later] -&gt;D5 when bought</t>
        </is>
      </c>
    </row>
    <row r="8" ht="15" customHeight="1" s="79">
      <c r="A8" s="2" t="inlineStr">
        <is>
          <t>Mentor of the Meek</t>
        </is>
      </c>
      <c r="B8" s="2">
        <f>IF(AND(F8&lt;&gt;0,E8=F8),"In Hand",IF(AND(E8&lt;&gt;0,E8&lt;F8,SUM(M8:R8)=0,SUM(T8:Y8)&gt;0),"Extra-Sub",IF(AND(E8=0,E8&lt;F8,SUM(M8:R8)=0,SUM(T8:Y8)&gt;0),"Bench-Sub",IF(AND(E8=0,F8&gt;0),"Bench",IF(E8&lt;F8,"Extra",IF(AND(J8="",E8&gt;F8),"To Buy",IF(SUM(J8,F8)&lt;E8,"To Buy",IF(AND(SUM(J8,F8)&gt;=E8,J8&lt;&gt;""),"Ordered",IF(AND(E8=0,F8=0,D8="B3"),"B3 Option",IF(AND(E8=0,F8=0),"Remove","To Buy"))))))))))</f>
        <v/>
      </c>
      <c r="C8" s="81" t="n">
        <v>1</v>
      </c>
      <c r="D8" t="inlineStr">
        <is>
          <t>B3</t>
        </is>
      </c>
      <c r="E8" s="3">
        <f>SUM(M8:S8)</f>
        <v/>
      </c>
      <c r="F8" s="3">
        <f>SUM(T8:Z8)</f>
        <v/>
      </c>
      <c r="G8" s="3">
        <f>IF((F8-E8)&gt;=0,F8-E8,0)</f>
        <v/>
      </c>
      <c r="H8" s="3">
        <f>MAX(0,$E8-$F8-$J8)</f>
        <v/>
      </c>
      <c r="I8" s="3" t="n"/>
      <c r="J8" s="3" t="n"/>
      <c r="K8" s="4" t="n">
        <v>4.95</v>
      </c>
      <c r="L8" s="4">
        <f>IF(AND($H8&gt;0,ISNUMBER($K8)),$H8*$K8,0)</f>
        <v/>
      </c>
      <c r="M8" s="3" t="n"/>
      <c r="N8" s="3" t="n"/>
      <c r="O8" s="3" t="n"/>
      <c r="P8" s="3" t="n"/>
      <c r="Q8" s="3" t="n">
        <v>1</v>
      </c>
      <c r="R8" s="3" t="n"/>
      <c r="S8" s="3">
        <f>IF(AND(J8&lt;&gt;"",SUM(M8:R8)=0),J8,"")</f>
        <v/>
      </c>
      <c r="T8" s="3" t="n"/>
      <c r="U8" s="3" t="n"/>
      <c r="V8" s="3" t="n"/>
      <c r="W8" s="3" t="n"/>
      <c r="X8" s="3" t="n"/>
      <c r="Y8" s="3" t="n"/>
      <c r="Z8" s="3" t="n"/>
      <c r="AA8" s="2" t="inlineStr">
        <is>
          <t>Creature</t>
        </is>
      </c>
      <c r="AB8" s="2" t="inlineStr">
        <is>
          <t>Human Soldier</t>
        </is>
      </c>
      <c r="AC8" s="2" t="inlineStr">
        <is>
          <t>W</t>
        </is>
      </c>
      <c r="AD8" s="3" t="n">
        <v>3</v>
      </c>
      <c r="AE8" s="29" t="inlineStr">
        <is>
          <t>Innistrad</t>
        </is>
      </c>
      <c r="AF8" s="29" t="inlineStr">
        <is>
          <t>Tuned add</t>
        </is>
      </c>
      <c r="AG8" s="29" t="inlineStr">
        <is>
          <t>Whenever another creature you control with power 2 or less enters, you may pay {1}. If you do, draw a card.</t>
        </is>
      </c>
      <c r="AH8" s="29" t="n"/>
      <c r="AI8" s="29" t="n"/>
      <c r="AJ8" s="2" t="inlineStr">
        <is>
          <t>D5 Tuned add; targeted 2026-09-02; replaces Hemlock Vial</t>
        </is>
      </c>
      <c r="AK8" t="inlineStr">
        <is>
          <t>[T] targeted D5 (Tuned add, replaces Hemlock Vial); [A later] -&gt;D5 when bought</t>
        </is>
      </c>
    </row>
    <row r="9" ht="15" customHeight="1" s="79">
      <c r="A9" s="2" t="inlineStr">
        <is>
          <t>Molten Echoes</t>
        </is>
      </c>
      <c r="B9" s="2">
        <f>IF(AND(F9&lt;&gt;0,E9=F9),"In Hand",IF(AND(E9&lt;&gt;0,E9&lt;F9,SUM(M9:R9)=0,SUM(T9:Y9)&gt;0),"Extra-Sub",IF(AND(E9=0,E9&lt;F9,SUM(M9:R9)=0,SUM(T9:Y9)&gt;0),"Bench-Sub",IF(AND(E9=0,F9&gt;0),"Bench",IF(E9&lt;F9,"Extra",IF(AND(J9="",E9&gt;F9),"To Buy",IF(SUM(J9,F9)&lt;E9,"To Buy",IF(AND(SUM(J9,F9)&gt;=E9,J9&lt;&gt;""),"Ordered",IF(AND(E9=0,F9=0,D9="B3"),"B3 Option",IF(AND(E9=0,F9=0),"Remove","To Buy"))))))))))</f>
        <v/>
      </c>
      <c r="C9" s="81" t="n">
        <v>1</v>
      </c>
      <c r="D9" t="inlineStr">
        <is>
          <t>B3</t>
        </is>
      </c>
      <c r="E9" s="3">
        <f>SUM(M9:S9)</f>
        <v/>
      </c>
      <c r="F9" s="3">
        <f>SUM(T9:Z9)</f>
        <v/>
      </c>
      <c r="G9" s="3">
        <f>IF((F9-E9)&gt;=0,F9-E9,0)</f>
        <v/>
      </c>
      <c r="H9" s="3">
        <f>MAX(0,$E9-$F9-$J9)</f>
        <v/>
      </c>
      <c r="I9" s="3" t="n"/>
      <c r="J9" s="3" t="n"/>
      <c r="K9" s="4" t="n">
        <v>9.51</v>
      </c>
      <c r="L9" s="4">
        <f>IF(AND($H9&gt;0,ISNUMBER($K9)),$H9*$K9,0)</f>
        <v/>
      </c>
      <c r="M9" s="3" t="n"/>
      <c r="N9" s="3" t="n"/>
      <c r="O9" s="3" t="n"/>
      <c r="P9" s="3" t="n"/>
      <c r="Q9" s="3" t="n"/>
      <c r="R9" s="3" t="n">
        <v>1</v>
      </c>
      <c r="S9" s="3">
        <f>IF(AND(J9&lt;&gt;"",SUM(M9:R9)=0),J9,"")</f>
        <v/>
      </c>
      <c r="T9" s="3" t="n"/>
      <c r="U9" s="3" t="n"/>
      <c r="V9" s="3" t="n"/>
      <c r="W9" s="3" t="n"/>
      <c r="X9" s="3" t="n"/>
      <c r="Y9" s="3" t="n"/>
      <c r="Z9" s="3" t="n"/>
      <c r="AA9" s="2" t="inlineStr">
        <is>
          <t>Enchantment</t>
        </is>
      </c>
      <c r="AB9" s="2" t="n"/>
      <c r="AC9" s="2" t="inlineStr">
        <is>
          <t>R</t>
        </is>
      </c>
      <c r="AD9" s="3" t="n">
        <v>4</v>
      </c>
      <c r="AE9" s="29" t="inlineStr">
        <is>
          <t>Commander 2020</t>
        </is>
      </c>
      <c r="AF9" s="29" t="inlineStr">
        <is>
          <t>Tuned add</t>
        </is>
      </c>
      <c r="AG9" s="29" t="inlineStr">
        <is>
          <t xml:space="preserve">As this enchantment enters, choose a creature type.
Whenever a nontoken creature you control of the chosen type enters, </t>
        </is>
      </c>
      <c r="AH9" s="29" t="n"/>
      <c r="AI9" s="29" t="n"/>
      <c r="AJ9" s="2" t="inlineStr">
        <is>
          <t>D6 Tuned add; targeted 2026-09-02; replaces Monastery Raid</t>
        </is>
      </c>
      <c r="AK9" t="inlineStr">
        <is>
          <t>[T] targeted D6 (Tuned add, replaces Monastery Raid); [A later] -&gt;D6 when bought</t>
        </is>
      </c>
    </row>
    <row r="10" ht="15" customHeight="1" s="79">
      <c r="A10" s="2" t="inlineStr">
        <is>
          <t>Night's Whisper</t>
        </is>
      </c>
      <c r="B10" s="2">
        <f>IF(AND(F10&lt;&gt;0,E10=F10),"In Hand",IF(AND(E10&lt;&gt;0,E10&lt;F10,SUM(M10:R10)=0,SUM(T10:Y10)&gt;0),"Extra-Sub",IF(AND(E10=0,E10&lt;F10,SUM(M10:R10)=0,SUM(T10:Y10)&gt;0),"Bench-Sub",IF(AND(E10=0,F10&gt;0),"Bench",IF(E10&lt;F10,"Extra",IF(AND(J10="",E10&gt;F10),"To Buy",IF(SUM(J10,F10)&lt;E10,"To Buy",IF(AND(SUM(J10,F10)&gt;=E10,J10&lt;&gt;""),"Ordered",IF(AND(E10=0,F10=0,D10="B3"),"B3 Option",IF(AND(E10=0,F10=0),"Remove","To Buy"))))))))))</f>
        <v/>
      </c>
      <c r="C10" s="81" t="n">
        <v>1</v>
      </c>
      <c r="D10" t="inlineStr">
        <is>
          <t>B3</t>
        </is>
      </c>
      <c r="E10" s="3">
        <f>SUM(M10:S10)</f>
        <v/>
      </c>
      <c r="F10" s="3">
        <f>SUM(T10:Z10)</f>
        <v/>
      </c>
      <c r="G10" s="3">
        <f>IF((F10-E10)&gt;=0,F10-E10,0)</f>
        <v/>
      </c>
      <c r="H10" s="3">
        <f>MAX(0,$E10-$F10-$J10)</f>
        <v/>
      </c>
      <c r="I10" s="3" t="n"/>
      <c r="J10" s="3" t="n"/>
      <c r="K10" s="4" t="n">
        <v>5.42</v>
      </c>
      <c r="L10" s="4">
        <f>IF(AND($H10&gt;0,ISNUMBER($K10)),$H10*$K10,0)</f>
        <v/>
      </c>
      <c r="M10" s="3" t="n"/>
      <c r="N10" s="3" t="n"/>
      <c r="O10" s="3" t="n"/>
      <c r="P10" s="3" t="n"/>
      <c r="Q10" s="3" t="n">
        <v>1</v>
      </c>
      <c r="R10" s="3" t="n"/>
      <c r="S10" s="3">
        <f>IF(AND(J10&lt;&gt;"",SUM(M10:R10)=0),J10,"")</f>
        <v/>
      </c>
      <c r="T10" s="3" t="n"/>
      <c r="U10" s="3" t="n"/>
      <c r="V10" s="3" t="n"/>
      <c r="W10" s="3" t="n"/>
      <c r="X10" s="3" t="n"/>
      <c r="Y10" s="3" t="n"/>
      <c r="Z10" s="3" t="n"/>
      <c r="AA10" s="2" t="inlineStr">
        <is>
          <t>Sorcery</t>
        </is>
      </c>
      <c r="AB10" s="2" t="n"/>
      <c r="AC10" s="2" t="inlineStr">
        <is>
          <t>B</t>
        </is>
      </c>
      <c r="AD10" s="3" t="n">
        <v>2</v>
      </c>
      <c r="AE10" s="29" t="inlineStr">
        <is>
          <t>Fifth Dawn</t>
        </is>
      </c>
      <c r="AF10" s="29" t="inlineStr">
        <is>
          <t>Tuned add</t>
        </is>
      </c>
      <c r="AG10" s="29" t="inlineStr">
        <is>
          <t>You draw two cards and lose 2 life.</t>
        </is>
      </c>
      <c r="AH10" s="29" t="n"/>
      <c r="AI10" s="29" t="n"/>
      <c r="AJ10" s="2" t="inlineStr">
        <is>
          <t>D5 Tuned add; targeted 2026-09-02; replaces Lake-town Lookout; B3/Max add for D3; NOT targeted; replaces Troll Negotiations when bought</t>
        </is>
      </c>
      <c r="AK10" t="inlineStr">
        <is>
          <t>[T] targeted D5 (Tuned add, replaces Lake-town Lookout); [A later] -&gt;D5 when bought; [B3/Max, not targeted] when bought -&gt;D3, replaces Troll Negotiations (Troll Negotiations-&gt;B)</t>
        </is>
      </c>
    </row>
    <row r="11" ht="15" customHeight="1" s="79">
      <c r="A11" s="2" t="inlineStr">
        <is>
          <t>Ophiomancer</t>
        </is>
      </c>
      <c r="B11" s="2">
        <f>IF(AND(F11&lt;&gt;0,E11=F11),"In Hand",IF(AND(E11&lt;&gt;0,E11&lt;F11,SUM(M11:R11)=0,SUM(T11:Y11)&gt;0),"Extra-Sub",IF(AND(E11=0,E11&lt;F11,SUM(M11:R11)=0,SUM(T11:Y11)&gt;0),"Bench-Sub",IF(AND(E11=0,F11&gt;0),"Bench",IF(E11&lt;F11,"Extra",IF(AND(J11="",E11&gt;F11),"To Buy",IF(SUM(J11,F11)&lt;E11,"To Buy",IF(AND(SUM(J11,F11)&gt;=E11,J11&lt;&gt;""),"Ordered",IF(AND(E11=0,F11=0,D11="B3"),"B3 Option",IF(AND(E11=0,F11=0),"Remove","To Buy"))))))))))</f>
        <v/>
      </c>
      <c r="C11" s="81" t="n">
        <v>1</v>
      </c>
      <c r="D11" t="inlineStr">
        <is>
          <t>B2</t>
        </is>
      </c>
      <c r="E11" s="3">
        <f>SUM(M11:S11)</f>
        <v/>
      </c>
      <c r="F11" s="3">
        <f>SUM(T11:Z11)</f>
        <v/>
      </c>
      <c r="G11" s="3">
        <f>IF((F11-E11)&gt;=0,F11-E11,0)</f>
        <v/>
      </c>
      <c r="H11" s="3">
        <f>MAX(0,$E11-$F11-$J11)</f>
        <v/>
      </c>
      <c r="I11" s="3" t="n"/>
      <c r="J11" s="3" t="n"/>
      <c r="K11" s="4" t="n">
        <v>0.96</v>
      </c>
      <c r="L11" s="4">
        <f>IF(AND($H11&gt;0,ISNUMBER($K11)),$H11*$K11,0)</f>
        <v/>
      </c>
      <c r="M11" s="3" t="n"/>
      <c r="N11" s="3" t="n"/>
      <c r="O11" s="3" t="n"/>
      <c r="P11" s="3" t="n"/>
      <c r="Q11" s="3" t="n">
        <v>1</v>
      </c>
      <c r="R11" s="3" t="n"/>
      <c r="S11" s="3">
        <f>IF(AND(J11&lt;&gt;"",SUM(M11:R11)=0),J11,"")</f>
        <v/>
      </c>
      <c r="T11" s="3" t="n"/>
      <c r="U11" s="3" t="n"/>
      <c r="V11" s="3" t="n"/>
      <c r="W11" s="3" t="n"/>
      <c r="X11" s="3" t="n"/>
      <c r="Y11" s="3" t="n"/>
      <c r="Z11" s="3" t="n"/>
      <c r="AA11" s="2" t="inlineStr">
        <is>
          <t>Creature</t>
        </is>
      </c>
      <c r="AB11" s="2" t="inlineStr">
        <is>
          <t>Human Shaman</t>
        </is>
      </c>
      <c r="AC11" s="2" t="inlineStr">
        <is>
          <t>B</t>
        </is>
      </c>
      <c r="AD11" s="3" t="n">
        <v>3</v>
      </c>
      <c r="AE11" s="29" t="inlineStr">
        <is>
          <t>Commander 2013</t>
        </is>
      </c>
      <c r="AF11" s="29" t="inlineStr">
        <is>
          <t>Token Producer</t>
        </is>
      </c>
      <c r="AG11" s="29" t="inlineStr">
        <is>
          <t>Each upkeep, creates a 1/1 deathtouch Snake token if you control none</t>
        </is>
      </c>
      <c r="AH11" s="29" t="n"/>
      <c r="AI11" s="29" t="n"/>
      <c r="AJ11" s="2" t="inlineStr">
        <is>
          <t>Removed from cart 2026-09-02: only sellers with 1-3 cards had it (shipping &gt;30% of package)</t>
        </is>
      </c>
    </row>
    <row r="12" ht="15" customHeight="1" s="79">
      <c r="A12" s="2" t="inlineStr">
        <is>
          <t>Ruby Medallion</t>
        </is>
      </c>
      <c r="B12" s="2">
        <f>IF(AND(F12&lt;&gt;0,E12=F12),"In Hand",IF(AND(E12&lt;&gt;0,E12&lt;F12,SUM(M12:R12)=0,SUM(T12:Y12)&gt;0),"Extra-Sub",IF(AND(E12=0,E12&lt;F12,SUM(M12:R12)=0,SUM(T12:Y12)&gt;0),"Bench-Sub",IF(AND(E12=0,F12&gt;0),"Bench",IF(E12&lt;F12,"Extra",IF(AND(J12="",E12&gt;F12),"To Buy",IF(SUM(J12,F12)&lt;E12,"To Buy",IF(AND(SUM(J12,F12)&gt;=E12,J12&lt;&gt;""),"Ordered",IF(AND(E12=0,F12=0,D12="B3"),"B3 Option",IF(AND(E12=0,F12=0),"Remove","To Buy"))))))))))</f>
        <v/>
      </c>
      <c r="C12" s="81" t="n">
        <v>1</v>
      </c>
      <c r="D12" t="inlineStr">
        <is>
          <t>B3</t>
        </is>
      </c>
      <c r="E12" s="3">
        <f>SUM(M12:S12)</f>
        <v/>
      </c>
      <c r="F12" s="3">
        <f>SUM(T12:Z12)</f>
        <v/>
      </c>
      <c r="G12" s="3">
        <f>IF((F12-E12)&gt;=0,F12-E12,0)</f>
        <v/>
      </c>
      <c r="H12" s="3">
        <f>MAX(0,$E12-$F12-$J12)</f>
        <v/>
      </c>
      <c r="I12" s="3" t="n"/>
      <c r="J12" s="3" t="n"/>
      <c r="K12" s="4" t="n">
        <v>14.81</v>
      </c>
      <c r="L12" s="4">
        <f>IF(AND($H12&gt;0,ISNUMBER($K12)),$H12*$K12,0)</f>
        <v/>
      </c>
      <c r="M12" s="3" t="n"/>
      <c r="N12" s="3" t="n"/>
      <c r="O12" s="3" t="n"/>
      <c r="P12" s="3" t="n"/>
      <c r="Q12" s="3" t="n"/>
      <c r="R12" s="3" t="n">
        <v>1</v>
      </c>
      <c r="S12" s="3">
        <f>IF(AND(J12&lt;&gt;"",SUM(M12:R12)=0),J12,"")</f>
        <v/>
      </c>
      <c r="T12" s="3" t="n"/>
      <c r="U12" s="3" t="n"/>
      <c r="V12" s="3" t="n"/>
      <c r="W12" s="3" t="n"/>
      <c r="X12" s="3" t="n"/>
      <c r="Y12" s="3" t="n"/>
      <c r="Z12" s="3" t="n"/>
      <c r="AA12" s="2" t="inlineStr">
        <is>
          <t>Artifact</t>
        </is>
      </c>
      <c r="AB12" s="2" t="n"/>
      <c r="AC12" s="2" t="inlineStr">
        <is>
          <t>C</t>
        </is>
      </c>
      <c r="AD12" s="3" t="n">
        <v>2</v>
      </c>
      <c r="AE12" s="29" t="inlineStr">
        <is>
          <t>Tempest</t>
        </is>
      </c>
      <c r="AF12" s="29" t="inlineStr">
        <is>
          <t>Tuned add</t>
        </is>
      </c>
      <c r="AG12" s="29" t="inlineStr">
        <is>
          <t>Red spells you cast cost {1} less to cast.</t>
        </is>
      </c>
      <c r="AH12" s="29" t="n"/>
      <c r="AI12" s="29" t="n"/>
      <c r="AJ12" s="2" t="inlineStr">
        <is>
          <t>D6 Tuned add; targeted 2026-09-02; replaces Dwarven Mauler</t>
        </is>
      </c>
      <c r="AK12" t="inlineStr">
        <is>
          <t>[T] targeted D6 (Tuned add, replaces Dwarven Mauler); [A later] -&gt;D6 when bought</t>
        </is>
      </c>
    </row>
    <row r="13" ht="15" customHeight="1" s="79">
      <c r="A13" s="2" t="inlineStr">
        <is>
          <t>Rundvelt Hordemaster</t>
        </is>
      </c>
      <c r="B13" s="2">
        <f>IF(AND(F13&lt;&gt;0,E13=F13),"In Hand",IF(AND(E13&lt;&gt;0,E13&lt;F13,SUM(M13:R13)=0,SUM(T13:Y13)&gt;0),"Extra-Sub",IF(AND(E13=0,E13&lt;F13,SUM(M13:R13)=0,SUM(T13:Y13)&gt;0),"Bench-Sub",IF(AND(E13=0,F13&gt;0),"Bench",IF(E13&lt;F13,"Extra",IF(AND(J13="",E13&gt;F13),"To Buy",IF(SUM(J13,F13)&lt;E13,"To Buy",IF(AND(SUM(J13,F13)&gt;=E13,J13&lt;&gt;""),"Ordered",IF(AND(E13=0,F13=0,D13="B3"),"B3 Option",IF(AND(E13=0,F13=0),"Remove","To Buy"))))))))))</f>
        <v/>
      </c>
      <c r="C13" s="81" t="n">
        <v>1</v>
      </c>
      <c r="D13" t="inlineStr">
        <is>
          <t>B3</t>
        </is>
      </c>
      <c r="E13" s="3">
        <f>SUM(M13:S13)</f>
        <v/>
      </c>
      <c r="F13" s="3">
        <f>SUM(T13:Z13)</f>
        <v/>
      </c>
      <c r="G13" s="3">
        <f>IF((F13-E13)&gt;=0,F13-E13,0)</f>
        <v/>
      </c>
      <c r="H13" s="3">
        <f>MAX(0,$E13-$F13-$J13)</f>
        <v/>
      </c>
      <c r="I13" s="3" t="n"/>
      <c r="J13" s="3" t="n"/>
      <c r="K13" s="4" t="n">
        <v>4.87</v>
      </c>
      <c r="L13" s="4">
        <f>IF(AND($H13&gt;0,ISNUMBER($K13)),$H13*$K13,0)</f>
        <v/>
      </c>
      <c r="M13" s="3" t="n"/>
      <c r="N13" s="3" t="n"/>
      <c r="O13" s="3" t="n"/>
      <c r="P13" s="3" t="n"/>
      <c r="Q13" s="3" t="n"/>
      <c r="R13" s="3" t="n">
        <v>1</v>
      </c>
      <c r="S13" s="3">
        <f>IF(AND(J13&lt;&gt;"",SUM(M13:R13)=0),J13,"")</f>
        <v/>
      </c>
      <c r="T13" s="3" t="n"/>
      <c r="U13" s="3" t="n"/>
      <c r="V13" s="3" t="n"/>
      <c r="W13" s="3" t="n"/>
      <c r="X13" s="3" t="n"/>
      <c r="Y13" s="3" t="n"/>
      <c r="Z13" s="3" t="n"/>
      <c r="AA13" s="2" t="inlineStr">
        <is>
          <t>Creature</t>
        </is>
      </c>
      <c r="AB13" s="2" t="inlineStr">
        <is>
          <t>Goblin Warrior</t>
        </is>
      </c>
      <c r="AC13" s="2" t="inlineStr">
        <is>
          <t>R</t>
        </is>
      </c>
      <c r="AD13" s="3" t="n">
        <v>2</v>
      </c>
      <c r="AE13" s="29" t="inlineStr">
        <is>
          <t>Dominaria United</t>
        </is>
      </c>
      <c r="AF13" s="29" t="inlineStr">
        <is>
          <t>Tuned add</t>
        </is>
      </c>
      <c r="AG13" s="29" t="inlineStr">
        <is>
          <t>Other Goblins you control get +1/+1.
Whenever this creature or another Goblin you control dies, exile the top card of yo</t>
        </is>
      </c>
      <c r="AH13" s="29" t="n"/>
      <c r="AI13" s="29" t="n"/>
      <c r="AJ13" s="2" t="inlineStr">
        <is>
          <t>D6 Tuned add; targeted 2026-09-02; replaces Burning Curiosity</t>
        </is>
      </c>
      <c r="AK13" t="inlineStr">
        <is>
          <t>[T] targeted D6 (Tuned add, replaces Burning Curiosity); [A later] -&gt;D6 when bought</t>
        </is>
      </c>
    </row>
    <row r="14" ht="15" customHeight="1" s="79">
      <c r="A14" s="2" t="inlineStr">
        <is>
          <t>Skullclamp</t>
        </is>
      </c>
      <c r="B14" s="2">
        <f>IF(AND(F14&lt;&gt;0,E14=F14),"In Hand",IF(AND(E14&lt;&gt;0,E14&lt;F14,SUM(M14:R14)=0,SUM(T14:Y14)&gt;0),"Extra-Sub",IF(AND(E14=0,E14&lt;F14,SUM(M14:R14)=0,SUM(T14:Y14)&gt;0),"Bench-Sub",IF(AND(E14=0,F14&gt;0),"Bench",IF(E14&lt;F14,"Extra",IF(AND(J14="",E14&gt;F14),"To Buy",IF(SUM(J14,F14)&lt;E14,"To Buy",IF(AND(SUM(J14,F14)&gt;=E14,J14&lt;&gt;""),"Ordered",IF(AND(E14=0,F14=0,D14="B3"),"B3 Option",IF(AND(E14=0,F14=0),"Remove","To Buy"))))))))))</f>
        <v/>
      </c>
      <c r="C14" s="81" t="n">
        <v>1</v>
      </c>
      <c r="D14" t="inlineStr">
        <is>
          <t>B2</t>
        </is>
      </c>
      <c r="E14" s="3">
        <f>SUM(M14:S14)</f>
        <v/>
      </c>
      <c r="F14" s="3">
        <f>SUM(T14:Z14)</f>
        <v/>
      </c>
      <c r="G14" s="3">
        <f>IF((F14-E14)&gt;=0,F14-E14,0)</f>
        <v/>
      </c>
      <c r="H14" s="3">
        <f>MAX(0,$E14-$F14-$J14)</f>
        <v/>
      </c>
      <c r="I14" s="3" t="n"/>
      <c r="J14" s="3" t="n"/>
      <c r="K14" s="4" t="n">
        <v>5.89</v>
      </c>
      <c r="L14" s="4">
        <f>IF(AND($H14&gt;0,ISNUMBER($K14)),$H14*$K14,0)</f>
        <v/>
      </c>
      <c r="M14" s="3" t="n">
        <v>1</v>
      </c>
      <c r="N14" s="3" t="n"/>
      <c r="O14" s="3" t="n"/>
      <c r="P14" s="3" t="n"/>
      <c r="Q14" s="3" t="n">
        <v>1</v>
      </c>
      <c r="R14" s="3" t="n"/>
      <c r="S14" s="3">
        <f>IF(AND(J14&lt;&gt;"",SUM(M14:R14)=0),J14,"")</f>
        <v/>
      </c>
      <c r="T14" s="3" t="n">
        <v>1</v>
      </c>
      <c r="U14" s="3" t="n"/>
      <c r="V14" s="3" t="n"/>
      <c r="W14" s="3" t="n"/>
      <c r="X14" s="3" t="n"/>
      <c r="Y14" s="3" t="n"/>
      <c r="Z14" s="3" t="n"/>
      <c r="AA14" s="2" t="inlineStr">
        <is>
          <t>Artifact</t>
        </is>
      </c>
      <c r="AB14" s="2" t="inlineStr">
        <is>
          <t>Equipment</t>
        </is>
      </c>
      <c r="AC14" s="2" t="inlineStr">
        <is>
          <t>C</t>
        </is>
      </c>
      <c r="AD14" s="3" t="n">
        <v>1</v>
      </c>
      <c r="AE14" s="29" t="inlineStr">
        <is>
          <t>Darksteel</t>
        </is>
      </c>
      <c r="AF14" s="29" t="inlineStr">
        <is>
          <t>Card Draw</t>
        </is>
      </c>
      <c r="AG14" s="29" t="inlineStr">
        <is>
          <t>Equipped creature gets +1/-1</t>
        </is>
      </c>
      <c r="AH14" s="29" t="inlineStr">
        <is>
          <t>Draw two cards whenever equipped creature dies</t>
        </is>
      </c>
      <c r="AI14" s="29" t="n"/>
      <c r="AJ14" s="2" t="inlineStr">
        <is>
          <t>Tuned add (2nd copy); NOT a Game Changer per the official list; D5 Tuned add; targeted 2026-09-02; replaces Suture Priest</t>
        </is>
      </c>
      <c r="AK14" t="inlineStr">
        <is>
          <t>[T] targeted D5 (Tuned add, replaces Suture Priest); [A later] -&gt;D5 when bought</t>
        </is>
      </c>
    </row>
    <row r="15" ht="15" customHeight="1" s="79">
      <c r="A15" s="2" t="inlineStr">
        <is>
          <t>Teysa Karlov</t>
        </is>
      </c>
      <c r="B15" s="2">
        <f>IF(AND(F15&lt;&gt;0,E15=F15),"In Hand",IF(AND(E15&lt;&gt;0,E15&lt;F15,SUM(M15:R15)=0,SUM(T15:Y15)&gt;0),"Extra-Sub",IF(AND(E15=0,E15&lt;F15,SUM(M15:R15)=0,SUM(T15:Y15)&gt;0),"Bench-Sub",IF(AND(E15=0,F15&gt;0),"Bench",IF(E15&lt;F15,"Extra",IF(AND(J15="",E15&gt;F15),"To Buy",IF(SUM(J15,F15)&lt;E15,"To Buy",IF(AND(SUM(J15,F15)&gt;=E15,J15&lt;&gt;""),"Ordered",IF(AND(E15=0,F15=0,D15="B3"),"B3 Option",IF(AND(E15=0,F15=0),"Remove","To Buy"))))))))))</f>
        <v/>
      </c>
      <c r="C15" s="81" t="n">
        <v>1</v>
      </c>
      <c r="D15" t="inlineStr">
        <is>
          <t>B3</t>
        </is>
      </c>
      <c r="E15" s="3">
        <f>SUM(M15:S15)</f>
        <v/>
      </c>
      <c r="F15" s="3">
        <f>SUM(T15:Z15)</f>
        <v/>
      </c>
      <c r="G15" s="3">
        <f>IF((F15-E15)&gt;=0,F15-E15,0)</f>
        <v/>
      </c>
      <c r="H15" s="3">
        <f>MAX(0,$E15-$F15-$J15)</f>
        <v/>
      </c>
      <c r="I15" s="3" t="n"/>
      <c r="J15" s="3" t="n"/>
      <c r="K15" s="4" t="n">
        <v>2.67</v>
      </c>
      <c r="L15" s="4">
        <f>IF(AND($H15&gt;0,ISNUMBER($K15)),$H15*$K15,0)</f>
        <v/>
      </c>
      <c r="M15" s="3" t="n"/>
      <c r="N15" s="3" t="n"/>
      <c r="O15" s="3" t="n"/>
      <c r="P15" s="3" t="n"/>
      <c r="Q15" s="3" t="n">
        <v>1</v>
      </c>
      <c r="R15" s="3" t="n"/>
      <c r="S15" s="3">
        <f>IF(AND(J15&lt;&gt;"",SUM(M15:R15)=0),J15,"")</f>
        <v/>
      </c>
      <c r="T15" s="3" t="n"/>
      <c r="U15" s="3" t="n"/>
      <c r="V15" s="3" t="n"/>
      <c r="W15" s="3" t="n"/>
      <c r="X15" s="3" t="n"/>
      <c r="Y15" s="3" t="n"/>
      <c r="Z15" s="3" t="n"/>
      <c r="AA15" s="2" t="inlineStr">
        <is>
          <t>Legendary Creature</t>
        </is>
      </c>
      <c r="AB15" s="2" t="inlineStr">
        <is>
          <t>Human Advisor</t>
        </is>
      </c>
      <c r="AC15" s="2" t="inlineStr">
        <is>
          <t>BW</t>
        </is>
      </c>
      <c r="AD15" s="3" t="n">
        <v>4</v>
      </c>
      <c r="AE15" s="29" t="inlineStr">
        <is>
          <t>Ravnica Allegiance</t>
        </is>
      </c>
      <c r="AF15" s="29" t="inlineStr">
        <is>
          <t>Tuned add</t>
        </is>
      </c>
      <c r="AG15" s="29" t="inlineStr">
        <is>
          <t>If a creature dying causes a triggered ability of a permanent you control to trigger, that ability triggers an additiona</t>
        </is>
      </c>
      <c r="AH15" s="29" t="n"/>
      <c r="AI15" s="29" t="n"/>
      <c r="AJ15" s="2" t="inlineStr">
        <is>
          <t>D5 Tuned add; targeted 2026-09-02; replaces Prideful Feastling</t>
        </is>
      </c>
      <c r="AK15" t="inlineStr">
        <is>
          <t>[T] targeted D5 (Tuned add, replaces Prideful Feastling); [A later] -&gt;D5 when bought</t>
        </is>
      </c>
    </row>
    <row r="16" ht="15" customHeight="1" s="79">
      <c r="A16" s="2" t="inlineStr">
        <is>
          <t>Tree of Perdition</t>
        </is>
      </c>
      <c r="B16" s="2">
        <f>IF(AND(F16&lt;&gt;0,E16=F16),"In Hand",IF(AND(E16&lt;&gt;0,E16&lt;F16,SUM(M16:R16)=0,SUM(T16:Y16)&gt;0),"Extra-Sub",IF(AND(E16=0,E16&lt;F16,SUM(M16:R16)=0,SUM(T16:Y16)&gt;0),"Bench-Sub",IF(AND(E16=0,F16&gt;0),"Bench",IF(E16&lt;F16,"Extra",IF(AND(J16="",E16&gt;F16),"To Buy",IF(SUM(J16,F16)&lt;E16,"To Buy",IF(AND(SUM(J16,F16)&gt;=E16,J16&lt;&gt;""),"Ordered",IF(AND(E16=0,F16=0,D16="B3"),"B3 Option",IF(AND(E16=0,F16=0),"Remove","To Buy"))))))))))</f>
        <v/>
      </c>
      <c r="C16" s="81" t="n">
        <v>1</v>
      </c>
      <c r="D16" t="inlineStr">
        <is>
          <t>B2</t>
        </is>
      </c>
      <c r="E16" s="3">
        <f>SUM(M16:S16)</f>
        <v/>
      </c>
      <c r="F16" s="3">
        <f>SUM(T16:Z16)</f>
        <v/>
      </c>
      <c r="G16" s="3">
        <f>IF((F16-E16)&gt;=0,F16-E16,0)</f>
        <v/>
      </c>
      <c r="H16" s="3">
        <f>MAX(0,$E16-$F16-$J16)</f>
        <v/>
      </c>
      <c r="I16" s="3" t="n"/>
      <c r="J16" s="3" t="n"/>
      <c r="K16" s="4" t="n">
        <v>2.94</v>
      </c>
      <c r="L16" s="4">
        <f>IF(AND($H16&gt;0,ISNUMBER($K16)),$H16*$K16,0)</f>
        <v/>
      </c>
      <c r="M16" s="3" t="n"/>
      <c r="N16" s="3" t="n"/>
      <c r="O16" s="3" t="n"/>
      <c r="P16" s="3" t="n">
        <v>1</v>
      </c>
      <c r="Q16" s="3" t="n"/>
      <c r="R16" s="3" t="n"/>
      <c r="S16" s="3">
        <f>IF(AND(J16&lt;&gt;"",SUM(M16:R16)=0),J16,"")</f>
        <v/>
      </c>
      <c r="T16" s="3" t="n"/>
      <c r="U16" s="3" t="n"/>
      <c r="V16" s="3" t="n"/>
      <c r="W16" s="3" t="n"/>
      <c r="X16" s="3" t="n"/>
      <c r="Y16" s="3" t="n"/>
      <c r="Z16" s="3" t="n"/>
      <c r="AA16" s="2" t="inlineStr">
        <is>
          <t>Creature</t>
        </is>
      </c>
      <c r="AB16" s="2" t="inlineStr">
        <is>
          <t>Plant</t>
        </is>
      </c>
      <c r="AC16" s="2" t="inlineStr">
        <is>
          <t>B</t>
        </is>
      </c>
      <c r="AD16" s="3" t="n">
        <v>4</v>
      </c>
      <c r="AE16" s="29" t="inlineStr">
        <is>
          <t>Eldritch Moon</t>
        </is>
      </c>
      <c r="AF16" s="29" t="inlineStr">
        <is>
          <t>Finisher</t>
        </is>
      </c>
      <c r="AG16" s="29" t="inlineStr">
        <is>
          <t>Tap: swap target opponent's life total with this creature's toughness</t>
        </is>
      </c>
      <c r="AH16" s="29" t="inlineStr">
        <is>
          <t>Defender body</t>
        </is>
      </c>
      <c r="AI16" s="29" t="n"/>
      <c r="AJ16" s="2" t="inlineStr">
        <is>
          <t>Tuned add</t>
        </is>
      </c>
    </row>
    <row r="17" ht="15" customHeight="1" s="79">
      <c r="A17" s="2" t="inlineStr">
        <is>
          <t>Brushland</t>
        </is>
      </c>
      <c r="B17" s="2">
        <f>IF(AND(F17&lt;&gt;0,E17=F17),"In Hand",IF(AND(E17&lt;&gt;0,E17&lt;F17,SUM(M17:R17)=0,SUM(T17:Y17)&gt;0),"Extra-Sub",IF(AND(E17=0,E17&lt;F17,SUM(M17:R17)=0,SUM(T17:Y17)&gt;0),"Bench-Sub",IF(AND(E17=0,F17&gt;0),"Bench",IF(E17&lt;F17,"Extra",IF(AND(J17="",E17&gt;F17),"To Buy",IF(SUM(J17,F17)&lt;E17,"To Buy",IF(AND(SUM(J17,F17)&gt;=E17,J17&lt;&gt;""),"Ordered",IF(AND(E17=0,F17=0,D17="B3"),"B3 Option",IF(AND(E17=0,F17=0),"Remove","To Buy"))))))))))</f>
        <v/>
      </c>
      <c r="D17" t="inlineStr">
        <is>
          <t>B2</t>
        </is>
      </c>
      <c r="E17" s="3">
        <f>SUM(M17:S17)</f>
        <v/>
      </c>
      <c r="F17" s="3">
        <f>SUM(T17:Z17)</f>
        <v/>
      </c>
      <c r="G17" s="3">
        <f>IF((F17-E17)&gt;=0,F17-E17,0)</f>
        <v/>
      </c>
      <c r="H17" s="3">
        <f>MAX(0,$E17-$F17-$J17)</f>
        <v/>
      </c>
      <c r="I17" s="3" t="n"/>
      <c r="J17" s="3" t="n"/>
      <c r="K17" s="4" t="n">
        <v>1.71</v>
      </c>
      <c r="L17" s="4">
        <f>IF(AND($H17&gt;0,ISNUMBER($K17)),$H17*$K17,0)</f>
        <v/>
      </c>
      <c r="M17" s="3" t="n"/>
      <c r="N17" s="3" t="n"/>
      <c r="O17" s="3" t="n"/>
      <c r="P17" s="3" t="n"/>
      <c r="Q17" s="3" t="n"/>
      <c r="R17" s="3" t="n"/>
      <c r="S17" s="3">
        <f>IF(AND(J17&lt;&gt;"",SUM(M17:R17)=0),J17,"")</f>
        <v/>
      </c>
      <c r="T17" s="3" t="n"/>
      <c r="U17" s="3" t="n"/>
      <c r="V17" s="3" t="n"/>
      <c r="W17" s="3" t="n"/>
      <c r="X17" s="3" t="n"/>
      <c r="Y17" s="3" t="n"/>
      <c r="Z17" s="3" t="n"/>
      <c r="AA17" s="2" t="inlineStr">
        <is>
          <t>Land</t>
        </is>
      </c>
      <c r="AB17" s="2" t="n"/>
      <c r="AC17" s="2" t="inlineStr">
        <is>
          <t>L</t>
        </is>
      </c>
      <c r="AD17" s="3" t="n">
        <v>0</v>
      </c>
      <c r="AE17" s="29" t="inlineStr">
        <is>
          <t>Ice Age</t>
        </is>
      </c>
      <c r="AF17" s="29" t="inlineStr">
        <is>
          <t>Land</t>
        </is>
      </c>
      <c r="AG17" s="29" t="inlineStr">
        <is>
          <t>Taps for {C}, or {G}/{W} at the cost of 1 damage to you</t>
        </is>
      </c>
      <c r="AH17" s="29" t="n"/>
      <c r="AI17" s="29" t="n"/>
      <c r="AJ17" s="2" t="inlineStr">
        <is>
          <t>Bench sub available in D3: Drowned Catacomb (2026-09-02); D3 target removed 2026-09-02 (bench sub in place)</t>
        </is>
      </c>
    </row>
    <row r="18" ht="15" customHeight="1" s="79">
      <c r="A18" s="2" t="inlineStr">
        <is>
          <t>Colfenor, the Last Yew</t>
        </is>
      </c>
      <c r="B18" s="2">
        <f>IF(AND(F18&lt;&gt;0,E18=F18),"In Hand",IF(AND(E18&lt;&gt;0,E18&lt;F18,SUM(M18:R18)=0,SUM(T18:Y18)&gt;0),"Extra-Sub",IF(AND(E18=0,E18&lt;F18,SUM(M18:R18)=0,SUM(T18:Y18)&gt;0),"Bench-Sub",IF(AND(E18=0,F18&gt;0),"Bench",IF(E18&lt;F18,"Extra",IF(AND(J18="",E18&gt;F18),"To Buy",IF(SUM(J18,F18)&lt;E18,"To Buy",IF(AND(SUM(J18,F18)&gt;=E18,J18&lt;&gt;""),"Ordered",IF(AND(E18=0,F18=0,D18="B3"),"B3 Option",IF(AND(E18=0,F18=0),"Remove","To Buy"))))))))))</f>
        <v/>
      </c>
      <c r="D18" t="inlineStr">
        <is>
          <t>B2</t>
        </is>
      </c>
      <c r="E18" s="3">
        <f>SUM(M18:S18)</f>
        <v/>
      </c>
      <c r="F18" s="3">
        <f>SUM(T18:Z18)</f>
        <v/>
      </c>
      <c r="G18" s="3">
        <f>IF((F18-E18)&gt;=0,F18-E18,0)</f>
        <v/>
      </c>
      <c r="H18" s="3">
        <f>MAX(0,$E18-$F18-$J18)</f>
        <v/>
      </c>
      <c r="I18" s="3" t="n"/>
      <c r="J18" s="3" t="n"/>
      <c r="K18" s="4" t="n">
        <v>0.54</v>
      </c>
      <c r="L18" s="4">
        <f>IF(AND($H18&gt;0,ISNUMBER($K18)),$H18*$K18,0)</f>
        <v/>
      </c>
      <c r="M18" s="3" t="n"/>
      <c r="N18" s="3" t="n"/>
      <c r="O18" s="3" t="n"/>
      <c r="P18" s="3" t="n"/>
      <c r="Q18" s="3" t="n"/>
      <c r="R18" s="3" t="n"/>
      <c r="S18" s="3">
        <f>IF(AND(J18&lt;&gt;"",SUM(M18:R18)=0),J18,"")</f>
        <v/>
      </c>
      <c r="T18" s="3" t="n"/>
      <c r="U18" s="3" t="n"/>
      <c r="V18" s="3" t="n"/>
      <c r="W18" s="3" t="n"/>
      <c r="X18" s="3" t="n"/>
      <c r="Y18" s="3" t="n"/>
      <c r="Z18" s="3" t="n"/>
      <c r="AA18" s="2" t="inlineStr">
        <is>
          <t>Legendary Creature</t>
        </is>
      </c>
      <c r="AB18" s="2" t="inlineStr">
        <is>
          <t>Treefolk Shaman</t>
        </is>
      </c>
      <c r="AC18" s="2" t="inlineStr">
        <is>
          <t>Multi</t>
        </is>
      </c>
      <c r="AD18" s="3" t="n">
        <v>6</v>
      </c>
      <c r="AE18" s="29" t="inlineStr">
        <is>
          <t>Commander Legends</t>
        </is>
      </c>
      <c r="AF18" s="29" t="inlineStr">
        <is>
          <t>Recursion</t>
        </is>
      </c>
      <c r="AG18" s="29" t="inlineStr">
        <is>
          <t>Returns a creature card with lesser toughness from graveyard to hand when it or another creature you control dies</t>
        </is>
      </c>
      <c r="AH18" s="29" t="inlineStr">
        <is>
          <t>Reach, vigilance body</t>
        </is>
      </c>
      <c r="AI18" s="29" t="n"/>
      <c r="AJ18" s="2" t="inlineStr">
        <is>
          <t>Tuned add; Bench sub available in D4: Sun Titan (2026-09-02); D4 target removed 2026-09-02 (bench sub in place)</t>
        </is>
      </c>
    </row>
    <row r="19" ht="15" customHeight="1" s="79">
      <c r="A19" s="2" t="inlineStr">
        <is>
          <t>Concealed Courtyard</t>
        </is>
      </c>
      <c r="B19" s="2">
        <f>IF(AND(F19&lt;&gt;0,E19=F19),"In Hand",IF(AND(E19&lt;&gt;0,E19&lt;F19,SUM(M19:R19)=0,SUM(T19:Y19)&gt;0),"Extra-Sub",IF(AND(E19=0,E19&lt;F19,SUM(M19:R19)=0,SUM(T19:Y19)&gt;0),"Bench-Sub",IF(AND(E19=0,F19&gt;0),"Bench",IF(E19&lt;F19,"Extra",IF(AND(J19="",E19&gt;F19),"To Buy",IF(SUM(J19,F19)&lt;E19,"To Buy",IF(AND(SUM(J19,F19)&gt;=E19,J19&lt;&gt;""),"Ordered",IF(AND(E19=0,F19=0,D19="B3"),"B3 Option",IF(AND(E19=0,F19=0),"Remove","To Buy"))))))))))</f>
        <v/>
      </c>
      <c r="D19" t="inlineStr">
        <is>
          <t>B2</t>
        </is>
      </c>
      <c r="E19" s="3">
        <f>SUM(M19:S19)</f>
        <v/>
      </c>
      <c r="F19" s="3">
        <f>SUM(T19:Z19)</f>
        <v/>
      </c>
      <c r="G19" s="3">
        <f>IF((F19-E19)&gt;=0,F19-E19,0)</f>
        <v/>
      </c>
      <c r="H19" s="3">
        <f>MAX(0,$E19-$F19-$J19)</f>
        <v/>
      </c>
      <c r="I19" s="3" t="n"/>
      <c r="J19" s="3" t="n"/>
      <c r="K19" s="4" t="n">
        <v>1</v>
      </c>
      <c r="L19" s="4">
        <f>IF(AND($H19&gt;0,ISNUMBER($K19)),$H19*$K19,0)</f>
        <v/>
      </c>
      <c r="M19" s="3" t="n"/>
      <c r="N19" s="3" t="n"/>
      <c r="O19" s="3" t="n"/>
      <c r="P19" s="3" t="n"/>
      <c r="Q19" s="3" t="n"/>
      <c r="R19" s="3" t="n"/>
      <c r="S19" s="3">
        <f>IF(AND(J19&lt;&gt;"",SUM(M19:R19)=0),J19,"")</f>
        <v/>
      </c>
      <c r="T19" s="3" t="n"/>
      <c r="U19" s="3" t="n"/>
      <c r="V19" s="3" t="n"/>
      <c r="W19" s="3" t="n"/>
      <c r="X19" s="3" t="n"/>
      <c r="Y19" s="3" t="n"/>
      <c r="Z19" s="3" t="n"/>
      <c r="AA19" s="2" t="inlineStr">
        <is>
          <t>Land</t>
        </is>
      </c>
      <c r="AB19" s="2" t="n"/>
      <c r="AC19" s="2" t="inlineStr">
        <is>
          <t>L</t>
        </is>
      </c>
      <c r="AD19" s="3" t="n">
        <v>0</v>
      </c>
      <c r="AE19" s="29" t="inlineStr">
        <is>
          <t>Kaladesh</t>
        </is>
      </c>
      <c r="AF19" s="29" t="inlineStr">
        <is>
          <t>Land</t>
        </is>
      </c>
      <c r="AG19" s="29" t="inlineStr">
        <is>
          <t>Taps for {W} or {B}</t>
        </is>
      </c>
      <c r="AH19" s="29" t="inlineStr">
        <is>
          <t>Enters tapped unless you control two or fewer other lands</t>
        </is>
      </c>
      <c r="AI19" s="29" t="n"/>
      <c r="AJ19" s="2" t="inlineStr">
        <is>
          <t>Bench sub available in D5: Isolated Chapel (2026-09-02); D5 target removed 2026-09-02 (bench sub in place)</t>
        </is>
      </c>
    </row>
    <row r="20" ht="15" customHeight="1" s="79">
      <c r="A20" s="19" t="inlineStr">
        <is>
          <t>Costly Plunder</t>
        </is>
      </c>
      <c r="B20" s="2">
        <f>IF(AND(F20&lt;&gt;0,E20=F20),"In Hand",IF(AND(E20&lt;&gt;0,E20&lt;F20,SUM(M20:R20)=0,SUM(T20:Y20)&gt;0),"Extra-Sub",IF(AND(E20=0,E20&lt;F20,SUM(M20:R20)=0,SUM(T20:Y20)&gt;0),"Bench-Sub",IF(AND(E20=0,F20&gt;0),"Bench",IF(E20&lt;F20,"Extra",IF(AND(J20="",E20&gt;F20),"To Buy",IF(SUM(J20,F20)&lt;E20,"To Buy",IF(AND(SUM(J20,F20)&gt;=E20,J20&lt;&gt;""),"Ordered",IF(AND(E20=0,F20=0,D20="B3"),"B3 Option",IF(AND(E20=0,F20=0),"Remove","To Buy"))))))))))</f>
        <v/>
      </c>
      <c r="D20" t="inlineStr">
        <is>
          <t>B2</t>
        </is>
      </c>
      <c r="E20" s="3">
        <f>SUM(M20:S20)</f>
        <v/>
      </c>
      <c r="F20" s="3">
        <f>SUM(T20:Z20)</f>
        <v/>
      </c>
      <c r="G20" s="3">
        <f>IF((F20-E20)&gt;=0,F20-E20,0)</f>
        <v/>
      </c>
      <c r="H20" s="3">
        <f>MAX(0,$E20-$F20-$J20)</f>
        <v/>
      </c>
      <c r="I20" s="3" t="n"/>
      <c r="J20" s="3" t="n"/>
      <c r="K20" s="4" t="n">
        <v>0.24</v>
      </c>
      <c r="L20" s="4">
        <f>IF(AND($H20&gt;0,ISNUMBER($K20)),$H20*$K20,0)</f>
        <v/>
      </c>
      <c r="M20" s="3" t="n"/>
      <c r="N20" s="3" t="n"/>
      <c r="O20" s="3" t="n"/>
      <c r="P20" s="3" t="n"/>
      <c r="Q20" s="3" t="n"/>
      <c r="R20" s="3" t="n"/>
      <c r="S20" s="3">
        <f>IF(AND(J20&lt;&gt;"",SUM(M20:R20)=0),J20,"")</f>
        <v/>
      </c>
      <c r="T20" s="3" t="n"/>
      <c r="U20" s="3" t="n"/>
      <c r="V20" s="3" t="n"/>
      <c r="W20" s="3" t="n"/>
      <c r="X20" s="3" t="n"/>
      <c r="Y20" s="3" t="n"/>
      <c r="Z20" s="3" t="n"/>
      <c r="AA20" s="2" t="inlineStr">
        <is>
          <t>Instant</t>
        </is>
      </c>
      <c r="AB20" s="2" t="n"/>
      <c r="AC20" s="2" t="inlineStr">
        <is>
          <t>B</t>
        </is>
      </c>
      <c r="AD20" s="3" t="n">
        <v>2</v>
      </c>
      <c r="AE20" s="29" t="inlineStr">
        <is>
          <t>Ixalan</t>
        </is>
      </c>
      <c r="AF20" s="29" t="inlineStr">
        <is>
          <t>Sacrifice Outlet</t>
        </is>
      </c>
      <c r="AG20" s="29" t="inlineStr">
        <is>
          <t>Sacrifice an artifact or creature to draw two cards</t>
        </is>
      </c>
      <c r="AH20" s="29" t="n"/>
      <c r="AI20" s="29" t="n"/>
      <c r="AJ20" s="2" t="inlineStr">
        <is>
          <t>Cut in Tuned; D5 target removed 2026-09-02: replaced by Tuned upgrade Ossification (within $2)</t>
        </is>
      </c>
    </row>
    <row r="21" ht="15" customHeight="1" s="79">
      <c r="A21" s="2" t="inlineStr">
        <is>
          <t>Doomed Traveler</t>
        </is>
      </c>
      <c r="B21" s="2">
        <f>IF(AND(F21&lt;&gt;0,E21=F21),"In Hand",IF(AND(E21&lt;&gt;0,E21&lt;F21,SUM(M21:R21)=0,SUM(T21:Y21)&gt;0),"Extra-Sub",IF(AND(E21=0,E21&lt;F21,SUM(M21:R21)=0,SUM(T21:Y21)&gt;0),"Bench-Sub",IF(AND(E21=0,F21&gt;0),"Bench",IF(E21&lt;F21,"Extra",IF(AND(J21="",E21&gt;F21),"To Buy",IF(SUM(J21,F21)&lt;E21,"To Buy",IF(AND(SUM(J21,F21)&gt;=E21,J21&lt;&gt;""),"Ordered",IF(AND(E21=0,F21=0,D21="B3"),"B3 Option",IF(AND(E21=0,F21=0),"Remove","To Buy"))))))))))</f>
        <v/>
      </c>
      <c r="D21" t="inlineStr">
        <is>
          <t>B2</t>
        </is>
      </c>
      <c r="E21" s="3">
        <f>SUM(M21:S21)</f>
        <v/>
      </c>
      <c r="F21" s="3">
        <f>SUM(T21:Z21)</f>
        <v/>
      </c>
      <c r="G21" s="3">
        <f>IF((F21-E21)&gt;=0,F21-E21,0)</f>
        <v/>
      </c>
      <c r="H21" s="3">
        <f>MAX(0,$E21-$F21-$J21)</f>
        <v/>
      </c>
      <c r="I21" s="3" t="n"/>
      <c r="J21" s="3" t="n"/>
      <c r="K21" s="4" t="n">
        <v>0.09</v>
      </c>
      <c r="L21" s="4">
        <f>IF(AND($H21&gt;0,ISNUMBER($K21)),$H21*$K21,0)</f>
        <v/>
      </c>
      <c r="M21" s="3" t="n"/>
      <c r="N21" s="3" t="n"/>
      <c r="O21" s="3" t="n"/>
      <c r="P21" s="3" t="n"/>
      <c r="Q21" s="3" t="n"/>
      <c r="R21" s="3" t="n"/>
      <c r="S21" s="3">
        <f>IF(AND(J21&lt;&gt;"",SUM(M21:R21)=0),J21,"")</f>
        <v/>
      </c>
      <c r="T21" s="3" t="n"/>
      <c r="U21" s="3" t="n"/>
      <c r="V21" s="3" t="n"/>
      <c r="W21" s="3" t="n"/>
      <c r="X21" s="3" t="n"/>
      <c r="Y21" s="3" t="n"/>
      <c r="Z21" s="3" t="n"/>
      <c r="AA21" s="2" t="inlineStr">
        <is>
          <t>Creature</t>
        </is>
      </c>
      <c r="AB21" s="2" t="inlineStr">
        <is>
          <t>Human Soldier</t>
        </is>
      </c>
      <c r="AC21" s="2" t="inlineStr">
        <is>
          <t>W</t>
        </is>
      </c>
      <c r="AD21" s="3" t="n">
        <v>1</v>
      </c>
      <c r="AE21" s="29" t="inlineStr">
        <is>
          <t>Innistrad</t>
        </is>
      </c>
      <c r="AF21" s="29" t="inlineStr">
        <is>
          <t>Token Producer</t>
        </is>
      </c>
      <c r="AG21" s="29" t="inlineStr">
        <is>
          <t>Creates a 1/1 flying Spirit token when it dies</t>
        </is>
      </c>
      <c r="AH21" s="29" t="n"/>
      <c r="AI21" s="29" t="n"/>
      <c r="AJ21" s="2" t="inlineStr">
        <is>
          <t>Bench sub available in D5: Lake-town Lookout (2026-09-02); D5 target removed 2026-09-02 (bench sub in place)</t>
        </is>
      </c>
    </row>
    <row r="22" ht="15" customHeight="1" s="79">
      <c r="A22" s="2" t="inlineStr">
        <is>
          <t>Eternal Witness</t>
        </is>
      </c>
      <c r="B22" s="2">
        <f>IF(AND(F22&lt;&gt;0,E22=F22),"In Hand",IF(AND(E22&lt;&gt;0,E22&lt;F22,SUM(M22:R22)=0,SUM(T22:Y22)&gt;0),"Extra-Sub",IF(AND(E22=0,E22&lt;F22,SUM(M22:R22)=0,SUM(T22:Y22)&gt;0),"Bench-Sub",IF(AND(E22=0,F22&gt;0),"Bench",IF(E22&lt;F22,"Extra",IF(AND(J22="",E22&gt;F22),"To Buy",IF(SUM(J22,F22)&lt;E22,"To Buy",IF(AND(SUM(J22,F22)&gt;=E22,J22&lt;&gt;""),"Ordered",IF(AND(E22=0,F22=0,D22="B3"),"B3 Option",IF(AND(E22=0,F22=0),"Remove","To Buy"))))))))))</f>
        <v/>
      </c>
      <c r="D22" t="inlineStr">
        <is>
          <t>B2</t>
        </is>
      </c>
      <c r="E22" s="3">
        <f>SUM(M22:S22)</f>
        <v/>
      </c>
      <c r="F22" s="3">
        <f>SUM(T22:Z22)</f>
        <v/>
      </c>
      <c r="G22" s="3">
        <f>IF((F22-E22)&gt;=0,F22-E22,0)</f>
        <v/>
      </c>
      <c r="H22" s="3">
        <f>MAX(0,$E22-$F22-$J22)</f>
        <v/>
      </c>
      <c r="I22" s="3" t="n"/>
      <c r="J22" s="3" t="n"/>
      <c r="K22" s="4" t="n">
        <v>2.52</v>
      </c>
      <c r="L22" s="4">
        <f>IF(AND($H22&gt;0,ISNUMBER($K22)),$H22*$K22,0)</f>
        <v/>
      </c>
      <c r="M22" s="3" t="n"/>
      <c r="N22" s="3" t="n"/>
      <c r="O22" s="3" t="n"/>
      <c r="P22" s="3" t="n"/>
      <c r="Q22" s="3" t="n"/>
      <c r="R22" s="3" t="n"/>
      <c r="S22" s="3">
        <f>IF(AND(J22&lt;&gt;"",SUM(M22:R22)=0),J22,"")</f>
        <v/>
      </c>
      <c r="T22" s="3" t="n"/>
      <c r="U22" s="3" t="n"/>
      <c r="V22" s="3" t="n"/>
      <c r="W22" s="3" t="n"/>
      <c r="X22" s="3" t="n"/>
      <c r="Y22" s="3" t="n"/>
      <c r="Z22" s="3" t="n"/>
      <c r="AA22" s="2" t="inlineStr">
        <is>
          <t>Creature</t>
        </is>
      </c>
      <c r="AB22" s="2" t="inlineStr">
        <is>
          <t>Human Shaman</t>
        </is>
      </c>
      <c r="AC22" s="2" t="inlineStr">
        <is>
          <t>G</t>
        </is>
      </c>
      <c r="AD22" s="3" t="n">
        <v>3</v>
      </c>
      <c r="AE22" s="29" t="inlineStr">
        <is>
          <t>Fifth Dawn</t>
        </is>
      </c>
      <c r="AF22" s="29" t="inlineStr">
        <is>
          <t>Recursion</t>
        </is>
      </c>
      <c r="AG22" s="29" t="inlineStr">
        <is>
          <t>Returns target card from your graveyard to hand when it enters</t>
        </is>
      </c>
      <c r="AH22" s="29" t="n"/>
      <c r="AI22" s="29" t="n"/>
      <c r="AJ22" s="2" t="inlineStr">
        <is>
          <t>Tuned add; Bench sub available in D2: Dundoolin Weaver (2026-09-02); D2 target removed 2026-09-02 (bench sub in place)</t>
        </is>
      </c>
    </row>
    <row r="23" ht="15" customHeight="1" s="79">
      <c r="A23" s="2" t="inlineStr">
        <is>
          <t>Fire Diamond</t>
        </is>
      </c>
      <c r="B23" s="2">
        <f>IF(AND(F23&lt;&gt;0,E23=F23),"In Hand",IF(AND(E23&lt;&gt;0,E23&lt;F23,SUM(M23:R23)=0,SUM(T23:Y23)&gt;0),"Extra-Sub",IF(AND(E23=0,E23&lt;F23,SUM(M23:R23)=0,SUM(T23:Y23)&gt;0),"Bench-Sub",IF(AND(E23=0,F23&gt;0),"Bench",IF(E23&lt;F23,"Extra",IF(AND(J23="",E23&gt;F23),"To Buy",IF(SUM(J23,F23)&lt;E23,"To Buy",IF(AND(SUM(J23,F23)&gt;=E23,J23&lt;&gt;""),"Ordered",IF(AND(E23=0,F23=0,D23="B3"),"B3 Option",IF(AND(E23=0,F23=0),"Remove","To Buy"))))))))))</f>
        <v/>
      </c>
      <c r="D23" t="inlineStr">
        <is>
          <t>B2</t>
        </is>
      </c>
      <c r="E23" s="3">
        <f>SUM(M23:S23)</f>
        <v/>
      </c>
      <c r="F23" s="3">
        <f>SUM(T23:Z23)</f>
        <v/>
      </c>
      <c r="G23" s="3">
        <f>IF((F23-E23)&gt;=0,F23-E23,0)</f>
        <v/>
      </c>
      <c r="H23" s="3">
        <f>MAX(0,$E23-$F23-$J23)</f>
        <v/>
      </c>
      <c r="I23" s="3" t="n"/>
      <c r="J23" s="3" t="n"/>
      <c r="K23" s="4" t="n">
        <v>0.36</v>
      </c>
      <c r="L23" s="4">
        <f>IF(AND($H23&gt;0,ISNUMBER($K23)),$H23*$K23,0)</f>
        <v/>
      </c>
      <c r="M23" s="3" t="n"/>
      <c r="N23" s="3" t="n"/>
      <c r="O23" s="3" t="n"/>
      <c r="P23" s="3" t="n"/>
      <c r="Q23" s="3" t="n"/>
      <c r="R23" s="3" t="n"/>
      <c r="S23" s="3">
        <f>IF(AND(J23&lt;&gt;"",SUM(M23:R23)=0),J23,"")</f>
        <v/>
      </c>
      <c r="T23" s="3" t="n"/>
      <c r="U23" s="3" t="n"/>
      <c r="V23" s="3" t="n"/>
      <c r="W23" s="3" t="n"/>
      <c r="X23" s="3" t="n"/>
      <c r="Y23" s="3" t="n"/>
      <c r="Z23" s="3" t="n"/>
      <c r="AA23" s="2" t="inlineStr">
        <is>
          <t>Artifact</t>
        </is>
      </c>
      <c r="AB23" s="2" t="n"/>
      <c r="AC23" s="2" t="inlineStr">
        <is>
          <t>R</t>
        </is>
      </c>
      <c r="AD23" s="3" t="n">
        <v>2</v>
      </c>
      <c r="AE23" s="29" t="inlineStr">
        <is>
          <t>Mirage</t>
        </is>
      </c>
      <c r="AF23" s="29" t="inlineStr">
        <is>
          <t>Mana Rock</t>
        </is>
      </c>
      <c r="AG23" s="29" t="inlineStr">
        <is>
          <t>Taps for {R} (enters tapped)</t>
        </is>
      </c>
      <c r="AH23" s="29" t="n"/>
      <c r="AI23" s="29" t="n"/>
      <c r="AJ23" s="2" t="inlineStr">
        <is>
          <t>Cut in Tuned; D6 target removed 2026-09-02 (bench sub Sword of the Animist in place)</t>
        </is>
      </c>
    </row>
    <row r="24" ht="15" customHeight="1" s="79">
      <c r="A24" s="2" t="inlineStr">
        <is>
          <t>Gather the Townsfolk</t>
        </is>
      </c>
      <c r="B24" s="2">
        <f>IF(AND(F24&lt;&gt;0,E24=F24),"In Hand",IF(AND(E24&lt;&gt;0,E24&lt;F24,SUM(M24:R24)=0,SUM(T24:Y24)&gt;0),"Extra-Sub",IF(AND(E24=0,E24&lt;F24,SUM(M24:R24)=0,SUM(T24:Y24)&gt;0),"Bench-Sub",IF(AND(E24=0,F24&gt;0),"Bench",IF(E24&lt;F24,"Extra",IF(AND(J24="",E24&gt;F24),"To Buy",IF(SUM(J24,F24)&lt;E24,"To Buy",IF(AND(SUM(J24,F24)&gt;=E24,J24&lt;&gt;""),"Ordered",IF(AND(E24=0,F24=0,D24="B3"),"B3 Option",IF(AND(E24=0,F24=0),"Remove","To Buy"))))))))))</f>
        <v/>
      </c>
      <c r="D24" t="inlineStr">
        <is>
          <t>B2</t>
        </is>
      </c>
      <c r="E24" s="3">
        <f>SUM(M24:S24)</f>
        <v/>
      </c>
      <c r="F24" s="3">
        <f>SUM(T24:Z24)</f>
        <v/>
      </c>
      <c r="G24" s="3">
        <f>IF((F24-E24)&gt;=0,F24-E24,0)</f>
        <v/>
      </c>
      <c r="H24" s="3">
        <f>MAX(0,$E24-$F24-$J24)</f>
        <v/>
      </c>
      <c r="I24" s="3" t="n"/>
      <c r="J24" s="3" t="n"/>
      <c r="K24" s="4" t="n">
        <v>0.13</v>
      </c>
      <c r="L24" s="4">
        <f>IF(AND($H24&gt;0,ISNUMBER($K24)),$H24*$K24,0)</f>
        <v/>
      </c>
      <c r="M24" s="3" t="n"/>
      <c r="N24" s="3" t="n"/>
      <c r="O24" s="3" t="n"/>
      <c r="P24" s="3" t="n"/>
      <c r="Q24" s="3" t="n"/>
      <c r="R24" s="3" t="n"/>
      <c r="S24" s="3">
        <f>IF(AND(J24&lt;&gt;"",SUM(M24:R24)=0),J24,"")</f>
        <v/>
      </c>
      <c r="T24" s="3" t="n"/>
      <c r="U24" s="3" t="n"/>
      <c r="V24" s="3" t="n"/>
      <c r="W24" s="3" t="n"/>
      <c r="X24" s="3" t="n"/>
      <c r="Y24" s="3" t="n"/>
      <c r="Z24" s="3" t="n"/>
      <c r="AA24" s="2" t="inlineStr">
        <is>
          <t>Sorcery</t>
        </is>
      </c>
      <c r="AB24" s="2" t="n"/>
      <c r="AC24" s="2" t="inlineStr">
        <is>
          <t>W</t>
        </is>
      </c>
      <c r="AD24" s="3" t="n">
        <v>2</v>
      </c>
      <c r="AE24" s="29" t="inlineStr">
        <is>
          <t>Dark Ascension</t>
        </is>
      </c>
      <c r="AF24" s="29" t="inlineStr">
        <is>
          <t>Token Producer</t>
        </is>
      </c>
      <c r="AG24" s="29" t="inlineStr">
        <is>
          <t>Creates two 1/1 Human tokens (five instead if you have 5 or less life)</t>
        </is>
      </c>
      <c r="AH24" s="29" t="n"/>
      <c r="AI24" s="29" t="n"/>
      <c r="AJ24" s="2" t="inlineStr">
        <is>
          <t>Bench sub available in D5: Clachan Festival (2026-09-02); D5 target removed 2026-09-02 (bench sub in place)</t>
        </is>
      </c>
    </row>
    <row r="25" ht="15" customHeight="1" s="79">
      <c r="A25" s="2" t="inlineStr">
        <is>
          <t>Goblin Motivator</t>
        </is>
      </c>
      <c r="B25" s="2">
        <f>IF(AND(F25&lt;&gt;0,E25=F25),"In Hand",IF(AND(E25&lt;&gt;0,E25&lt;F25,SUM(M25:R25)=0,SUM(T25:Y25)&gt;0),"Extra-Sub",IF(AND(E25=0,E25&lt;F25,SUM(M25:R25)=0,SUM(T25:Y25)&gt;0),"Bench-Sub",IF(AND(E25=0,F25&gt;0),"Bench",IF(E25&lt;F25,"Extra",IF(AND(J25="",E25&gt;F25),"To Buy",IF(SUM(J25,F25)&lt;E25,"To Buy",IF(AND(SUM(J25,F25)&gt;=E25,J25&lt;&gt;""),"Ordered",IF(AND(E25=0,F25=0,D25="B3"),"B3 Option",IF(AND(E25=0,F25=0),"Remove","To Buy"))))))))))</f>
        <v/>
      </c>
      <c r="D25" t="inlineStr">
        <is>
          <t>B2</t>
        </is>
      </c>
      <c r="E25" s="3">
        <f>SUM(M25:S25)</f>
        <v/>
      </c>
      <c r="F25" s="3">
        <f>SUM(T25:Z25)</f>
        <v/>
      </c>
      <c r="G25" s="3">
        <f>IF((F25-E25)&gt;=0,F25-E25,0)</f>
        <v/>
      </c>
      <c r="H25" s="3">
        <f>MAX(0,$E25-$F25-$J25)</f>
        <v/>
      </c>
      <c r="I25" s="3" t="n"/>
      <c r="J25" s="3" t="n"/>
      <c r="K25" s="4" t="n">
        <v>0.26</v>
      </c>
      <c r="L25" s="4">
        <f>IF(AND($H25&gt;0,ISNUMBER($K25)),$H25*$K25,0)</f>
        <v/>
      </c>
      <c r="M25" s="3" t="n"/>
      <c r="N25" s="3" t="n"/>
      <c r="O25" s="3" t="n"/>
      <c r="P25" s="3" t="n"/>
      <c r="Q25" s="3" t="n"/>
      <c r="R25" s="3" t="n"/>
      <c r="S25" s="3">
        <f>IF(AND(J25&lt;&gt;"",SUM(M25:R25)=0),J25,"")</f>
        <v/>
      </c>
      <c r="T25" s="3" t="n"/>
      <c r="U25" s="3" t="n"/>
      <c r="V25" s="3" t="n"/>
      <c r="W25" s="3" t="n"/>
      <c r="X25" s="3" t="n"/>
      <c r="Y25" s="3" t="n"/>
      <c r="Z25" s="3" t="n"/>
      <c r="AA25" s="2" t="inlineStr">
        <is>
          <t>Creature</t>
        </is>
      </c>
      <c r="AB25" s="2" t="inlineStr">
        <is>
          <t>Goblin Warrior</t>
        </is>
      </c>
      <c r="AC25" s="2" t="inlineStr">
        <is>
          <t>R</t>
        </is>
      </c>
      <c r="AD25" s="3" t="n">
        <v>1</v>
      </c>
      <c r="AE25" s="29" t="inlineStr">
        <is>
          <t>Core Set 2019</t>
        </is>
      </c>
      <c r="AF25" s="29" t="inlineStr">
        <is>
          <t>Haste Enabler</t>
        </is>
      </c>
      <c r="AG25" s="29" t="inlineStr">
        <is>
          <t>Tap: target creature gains haste until end of turn</t>
        </is>
      </c>
      <c r="AH25" s="29" t="n"/>
      <c r="AI25" s="29" t="n"/>
      <c r="AJ25" s="2" t="inlineStr">
        <is>
          <t>Cut in Tuned; D6 target removed 2026-09-02: replaced by Tuned upgrade Purphoros's Intervention (within $2)</t>
        </is>
      </c>
    </row>
    <row r="26" ht="15" customHeight="1" s="79">
      <c r="A26" s="2" t="inlineStr">
        <is>
          <t>Goblin Oriflamme</t>
        </is>
      </c>
      <c r="B26" s="2">
        <f>IF(AND(F26&lt;&gt;0,E26=F26),"In Hand",IF(AND(E26&lt;&gt;0,E26&lt;F26,SUM(M26:R26)=0,SUM(T26:Y26)&gt;0),"Extra-Sub",IF(AND(E26=0,E26&lt;F26,SUM(M26:R26)=0,SUM(T26:Y26)&gt;0),"Bench-Sub",IF(AND(E26=0,F26&gt;0),"Bench",IF(E26&lt;F26,"Extra",IF(AND(J26="",E26&gt;F26),"To Buy",IF(SUM(J26,F26)&lt;E26,"To Buy",IF(AND(SUM(J26,F26)&gt;=E26,J26&lt;&gt;""),"Ordered",IF(AND(E26=0,F26=0,D26="B3"),"B3 Option",IF(AND(E26=0,F26=0),"Remove","To Buy"))))))))))</f>
        <v/>
      </c>
      <c r="D26" t="inlineStr">
        <is>
          <t>B2</t>
        </is>
      </c>
      <c r="E26" s="3">
        <f>SUM(M26:S26)</f>
        <v/>
      </c>
      <c r="F26" s="3">
        <f>SUM(T26:Z26)</f>
        <v/>
      </c>
      <c r="G26" s="3">
        <f>IF((F26-E26)&gt;=0,F26-E26,0)</f>
        <v/>
      </c>
      <c r="H26" s="3">
        <f>MAX(0,$E26-$F26-$J26)</f>
        <v/>
      </c>
      <c r="I26" s="3" t="n"/>
      <c r="J26" s="3" t="n"/>
      <c r="K26" s="4" t="n">
        <v>0.53</v>
      </c>
      <c r="L26" s="4">
        <f>IF(AND($H26&gt;0,ISNUMBER($K26)),$H26*$K26,0)</f>
        <v/>
      </c>
      <c r="M26" s="3" t="n"/>
      <c r="N26" s="3" t="n"/>
      <c r="O26" s="3" t="n"/>
      <c r="P26" s="3" t="n"/>
      <c r="Q26" s="3" t="n"/>
      <c r="R26" s="3" t="n"/>
      <c r="S26" s="3">
        <f>IF(AND(J26&lt;&gt;"",SUM(M26:R26)=0),J26,"")</f>
        <v/>
      </c>
      <c r="T26" s="3" t="n"/>
      <c r="U26" s="3" t="n"/>
      <c r="V26" s="3" t="n"/>
      <c r="W26" s="3" t="n"/>
      <c r="X26" s="3" t="n"/>
      <c r="Y26" s="3" t="n"/>
      <c r="Z26" s="3" t="n"/>
      <c r="AA26" s="2" t="inlineStr">
        <is>
          <t>Enchantment</t>
        </is>
      </c>
      <c r="AB26" s="2" t="n"/>
      <c r="AC26" s="2" t="inlineStr">
        <is>
          <t>R</t>
        </is>
      </c>
      <c r="AD26" s="3" t="n">
        <v>2</v>
      </c>
      <c r="AE26" s="29" t="inlineStr">
        <is>
          <t>Modern Horizons</t>
        </is>
      </c>
      <c r="AF26" s="29" t="inlineStr">
        <is>
          <t>Lord/Anthem</t>
        </is>
      </c>
      <c r="AG26" s="29" t="inlineStr">
        <is>
          <t>Attacking creatures you control get +1/+0</t>
        </is>
      </c>
      <c r="AH26" s="29" t="n"/>
      <c r="AI26" s="29" t="n"/>
      <c r="AJ26" s="2" t="inlineStr">
        <is>
          <t>Cut in Tuned; D6 target removed 2026-09-02: replaced by Tuned upgrade Goblin Rabblemaster (within $2)</t>
        </is>
      </c>
    </row>
    <row r="27" ht="15" customHeight="1" s="79">
      <c r="A27" s="2" t="inlineStr">
        <is>
          <t>Great Furnace</t>
        </is>
      </c>
      <c r="B27" s="2">
        <f>IF(AND(F27&lt;&gt;0,E27=F27),"In Hand",IF(AND(E27&lt;&gt;0,E27&lt;F27,SUM(M27:R27)=0,SUM(T27:Y27)&gt;0),"Extra-Sub",IF(AND(E27=0,E27&lt;F27,SUM(M27:R27)=0,SUM(T27:Y27)&gt;0),"Bench-Sub",IF(AND(E27=0,F27&gt;0),"Bench",IF(E27&lt;F27,"Extra",IF(AND(J27="",E27&gt;F27),"To Buy",IF(SUM(J27,F27)&lt;E27,"To Buy",IF(AND(SUM(J27,F27)&gt;=E27,J27&lt;&gt;""),"Ordered",IF(AND(E27=0,F27=0,D27="B3"),"B3 Option",IF(AND(E27=0,F27=0),"Remove","To Buy"))))))))))</f>
        <v/>
      </c>
      <c r="D27" t="inlineStr">
        <is>
          <t>B2</t>
        </is>
      </c>
      <c r="E27" s="3">
        <f>SUM(M27:S27)</f>
        <v/>
      </c>
      <c r="F27" s="3">
        <f>SUM(T27:Z27)</f>
        <v/>
      </c>
      <c r="G27" s="3">
        <f>IF((F27-E27)&gt;=0,F27-E27,0)</f>
        <v/>
      </c>
      <c r="H27" s="3">
        <f>MAX(0,$E27-$F27-$J27)</f>
        <v/>
      </c>
      <c r="I27" s="3" t="n"/>
      <c r="J27" s="3" t="n"/>
      <c r="K27" s="4" t="n">
        <v>2.43</v>
      </c>
      <c r="L27" s="4">
        <f>IF(AND($H27&gt;0,ISNUMBER($K27)),$H27*$K27,0)</f>
        <v/>
      </c>
      <c r="M27" s="3" t="n"/>
      <c r="N27" s="3" t="n"/>
      <c r="O27" s="3" t="n"/>
      <c r="P27" s="3" t="n"/>
      <c r="Q27" s="3" t="n"/>
      <c r="R27" s="3" t="n"/>
      <c r="S27" s="3">
        <f>IF(AND(J27&lt;&gt;"",SUM(M27:R27)=0),J27,"")</f>
        <v/>
      </c>
      <c r="T27" s="3" t="n"/>
      <c r="U27" s="3" t="n"/>
      <c r="V27" s="3" t="n"/>
      <c r="W27" s="3" t="n"/>
      <c r="X27" s="3" t="n"/>
      <c r="Y27" s="3" t="n"/>
      <c r="Z27" s="3" t="n"/>
      <c r="AA27" s="2" t="inlineStr">
        <is>
          <t>Artifact Land</t>
        </is>
      </c>
      <c r="AB27" s="2" t="n"/>
      <c r="AC27" s="2" t="inlineStr">
        <is>
          <t>R</t>
        </is>
      </c>
      <c r="AD27" s="3" t="n">
        <v>0</v>
      </c>
      <c r="AE27" s="29" t="inlineStr">
        <is>
          <t>Mirrodin</t>
        </is>
      </c>
      <c r="AF27" s="29" t="inlineStr">
        <is>
          <t>Land</t>
        </is>
      </c>
      <c r="AG27" s="29" t="inlineStr">
        <is>
          <t>Taps for {R}</t>
        </is>
      </c>
      <c r="AH27" s="29" t="n"/>
      <c r="AI27" s="29" t="n"/>
      <c r="AJ27" s="2" t="inlineStr">
        <is>
          <t>Bench sub available in D6: Mountain (2026-09-02); D6 target removed 2026-09-02 (bench sub in place)</t>
        </is>
      </c>
    </row>
    <row r="28" ht="15" customHeight="1" s="79">
      <c r="A28" s="2" t="inlineStr">
        <is>
          <t>Hunted Witness</t>
        </is>
      </c>
      <c r="B28" s="2">
        <f>IF(AND(F28&lt;&gt;0,E28=F28),"In Hand",IF(AND(E28&lt;&gt;0,E28&lt;F28,SUM(M28:R28)=0,SUM(T28:Y28)&gt;0),"Extra-Sub",IF(AND(E28=0,E28&lt;F28,SUM(M28:R28)=0,SUM(T28:Y28)&gt;0),"Bench-Sub",IF(AND(E28=0,F28&gt;0),"Bench",IF(E28&lt;F28,"Extra",IF(AND(J28="",E28&gt;F28),"To Buy",IF(SUM(J28,F28)&lt;E28,"To Buy",IF(AND(SUM(J28,F28)&gt;=E28,J28&lt;&gt;""),"Ordered",IF(AND(E28=0,F28=0,D28="B3"),"B3 Option",IF(AND(E28=0,F28=0),"Remove","To Buy"))))))))))</f>
        <v/>
      </c>
      <c r="D28" t="inlineStr">
        <is>
          <t>B2</t>
        </is>
      </c>
      <c r="E28" s="3">
        <f>SUM(M28:S28)</f>
        <v/>
      </c>
      <c r="F28" s="3">
        <f>SUM(T28:Z28)</f>
        <v/>
      </c>
      <c r="G28" s="3">
        <f>IF((F28-E28)&gt;=0,F28-E28,0)</f>
        <v/>
      </c>
      <c r="H28" s="3">
        <f>MAX(0,$E28-$F28-$J28)</f>
        <v/>
      </c>
      <c r="I28" s="3" t="n"/>
      <c r="J28" s="3" t="n"/>
      <c r="K28" s="4" t="n">
        <v>0.29</v>
      </c>
      <c r="L28" s="4">
        <f>IF(AND($H28&gt;0,ISNUMBER($K28)),$H28*$K28,0)</f>
        <v/>
      </c>
      <c r="M28" s="3" t="n"/>
      <c r="N28" s="3" t="n"/>
      <c r="O28" s="3" t="n"/>
      <c r="P28" s="3" t="n"/>
      <c r="Q28" s="3" t="n"/>
      <c r="R28" s="3" t="n"/>
      <c r="S28" s="3">
        <f>IF(AND(J28&lt;&gt;"",SUM(M28:R28)=0),J28,"")</f>
        <v/>
      </c>
      <c r="T28" s="3" t="n"/>
      <c r="U28" s="3" t="n"/>
      <c r="V28" s="3" t="n"/>
      <c r="W28" s="3" t="n"/>
      <c r="X28" s="3" t="n"/>
      <c r="Y28" s="3" t="n"/>
      <c r="Z28" s="3" t="n"/>
      <c r="AA28" s="2" t="inlineStr">
        <is>
          <t>Creature</t>
        </is>
      </c>
      <c r="AB28" s="2" t="inlineStr">
        <is>
          <t>Human</t>
        </is>
      </c>
      <c r="AC28" s="2" t="inlineStr">
        <is>
          <t>W</t>
        </is>
      </c>
      <c r="AD28" s="3" t="n">
        <v>1</v>
      </c>
      <c r="AE28" s="29" t="inlineStr">
        <is>
          <t>Guilds of Ravnica</t>
        </is>
      </c>
      <c r="AF28" s="29" t="inlineStr">
        <is>
          <t>Token Producer</t>
        </is>
      </c>
      <c r="AG28" s="29" t="inlineStr">
        <is>
          <t>Creates a 1/1 lifelink Soldier token when it dies</t>
        </is>
      </c>
      <c r="AH28" s="29" t="n"/>
      <c r="AI28" s="29" t="n"/>
      <c r="AJ28" s="2" t="inlineStr">
        <is>
          <t>Bench sub available in D5: Pretending Poxbearers (2026-09-02); D5 target removed 2026-09-02 (bench sub in place)</t>
        </is>
      </c>
    </row>
    <row r="29" ht="15" customHeight="1" s="79">
      <c r="A29" s="2" t="inlineStr">
        <is>
          <t>Inspiring Overseer</t>
        </is>
      </c>
      <c r="B29" s="2">
        <f>IF(AND(F29&lt;&gt;0,E29=F29),"In Hand",IF(AND(E29&lt;&gt;0,E29&lt;F29,SUM(M29:R29)=0,SUM(T29:Y29)&gt;0),"Extra-Sub",IF(AND(E29=0,E29&lt;F29,SUM(M29:R29)=0,SUM(T29:Y29)&gt;0),"Bench-Sub",IF(AND(E29=0,F29&gt;0),"Bench",IF(E29&lt;F29,"Extra",IF(AND(J29="",E29&gt;F29),"To Buy",IF(SUM(J29,F29)&lt;E29,"To Buy",IF(AND(SUM(J29,F29)&gt;=E29,J29&lt;&gt;""),"Ordered",IF(AND(E29=0,F29=0,D29="B3"),"B3 Option",IF(AND(E29=0,F29=0),"Remove","To Buy"))))))))))</f>
        <v/>
      </c>
      <c r="D29" t="inlineStr">
        <is>
          <t>B2</t>
        </is>
      </c>
      <c r="E29" s="3">
        <f>SUM(M29:S29)</f>
        <v/>
      </c>
      <c r="F29" s="3">
        <f>SUM(T29:Z29)</f>
        <v/>
      </c>
      <c r="G29" s="3">
        <f>IF((F29-E29)&gt;=0,F29-E29,0)</f>
        <v/>
      </c>
      <c r="H29" s="3">
        <f>MAX(0,$E29-$F29-$J29)</f>
        <v/>
      </c>
      <c r="I29" s="3" t="n"/>
      <c r="J29" s="3" t="n"/>
      <c r="K29" s="4" t="n">
        <v>0.28</v>
      </c>
      <c r="L29" s="4">
        <f>IF(AND($H29&gt;0,ISNUMBER($K29)),$H29*$K29,0)</f>
        <v/>
      </c>
      <c r="M29" s="3" t="n"/>
      <c r="N29" s="3" t="n"/>
      <c r="O29" s="3" t="n"/>
      <c r="P29" s="3" t="n"/>
      <c r="Q29" s="3" t="n"/>
      <c r="R29" s="3" t="n"/>
      <c r="S29" s="3">
        <f>IF(AND(J29&lt;&gt;"",SUM(M29:R29)=0),J29,"")</f>
        <v/>
      </c>
      <c r="T29" s="3" t="n"/>
      <c r="U29" s="3" t="n"/>
      <c r="V29" s="3" t="n"/>
      <c r="W29" s="3" t="n"/>
      <c r="X29" s="3" t="n"/>
      <c r="Y29" s="3" t="n"/>
      <c r="Z29" s="3" t="n"/>
      <c r="AA29" s="2" t="inlineStr">
        <is>
          <t>Creature</t>
        </is>
      </c>
      <c r="AB29" s="2" t="inlineStr">
        <is>
          <t>Angel Cleric</t>
        </is>
      </c>
      <c r="AC29" s="2" t="inlineStr">
        <is>
          <t>W</t>
        </is>
      </c>
      <c r="AD29" s="3" t="n">
        <v>3</v>
      </c>
      <c r="AE29" s="29" t="inlineStr">
        <is>
          <t>Streets of New Capenna</t>
        </is>
      </c>
      <c r="AF29" s="29" t="inlineStr">
        <is>
          <t>Card Draw</t>
        </is>
      </c>
      <c r="AG29" s="29" t="inlineStr">
        <is>
          <t>Gains 1 life and draws a card when it enters</t>
        </is>
      </c>
      <c r="AH29" s="29" t="inlineStr">
        <is>
          <t>Flying body</t>
        </is>
      </c>
      <c r="AI29" s="29" t="n"/>
      <c r="AJ29" s="2" t="inlineStr">
        <is>
          <t>Cut in Tuned; D5 target removed 2026-09-02: replaced by Tuned upgrade Requiem Angel (within $2)</t>
        </is>
      </c>
    </row>
    <row r="30" ht="15" customHeight="1" s="79">
      <c r="A30" s="2" t="inlineStr">
        <is>
          <t>Llanowar Wastes</t>
        </is>
      </c>
      <c r="B30" s="2">
        <f>IF(AND(F30&lt;&gt;0,E30=F30),"In Hand",IF(AND(E30&lt;&gt;0,E30&lt;F30,SUM(M30:R30)=0,SUM(T30:Y30)&gt;0),"Extra-Sub",IF(AND(E30=0,E30&lt;F30,SUM(M30:R30)=0,SUM(T30:Y30)&gt;0),"Bench-Sub",IF(AND(E30=0,F30&gt;0),"Bench",IF(E30&lt;F30,"Extra",IF(AND(J30="",E30&gt;F30),"To Buy",IF(SUM(J30,F30)&lt;E30,"To Buy",IF(AND(SUM(J30,F30)&gt;=E30,J30&lt;&gt;""),"Ordered",IF(AND(E30=0,F30=0,D30="B3"),"B3 Option",IF(AND(E30=0,F30=0),"Remove","To Buy"))))))))))</f>
        <v/>
      </c>
      <c r="D30" t="inlineStr">
        <is>
          <t>B2</t>
        </is>
      </c>
      <c r="E30" s="3">
        <f>SUM(M30:S30)</f>
        <v/>
      </c>
      <c r="F30" s="3">
        <f>SUM(T30:Z30)</f>
        <v/>
      </c>
      <c r="G30" s="3">
        <f>IF((F30-E30)&gt;=0,F30-E30,0)</f>
        <v/>
      </c>
      <c r="H30" s="3">
        <f>MAX(0,$E30-$F30-$J30)</f>
        <v/>
      </c>
      <c r="I30" s="3" t="n"/>
      <c r="J30" s="3" t="n"/>
      <c r="K30" s="4" t="n">
        <v>0.6899999999999999</v>
      </c>
      <c r="L30" s="4">
        <f>IF(AND($H30&gt;0,ISNUMBER($K30)),$H30*$K30,0)</f>
        <v/>
      </c>
      <c r="M30" s="3" t="n"/>
      <c r="N30" s="3" t="n"/>
      <c r="O30" s="3" t="n"/>
      <c r="P30" s="3" t="n"/>
      <c r="Q30" s="3" t="n"/>
      <c r="R30" s="3" t="n"/>
      <c r="S30" s="3">
        <f>IF(AND(J30&lt;&gt;"",SUM(M30:R30)=0),J30,"")</f>
        <v/>
      </c>
      <c r="T30" s="3" t="n"/>
      <c r="U30" s="3" t="n"/>
      <c r="V30" s="3" t="n"/>
      <c r="W30" s="3" t="n"/>
      <c r="X30" s="3" t="n"/>
      <c r="Y30" s="3" t="n"/>
      <c r="Z30" s="3" t="n"/>
      <c r="AA30" s="2" t="inlineStr">
        <is>
          <t>Land</t>
        </is>
      </c>
      <c r="AB30" s="2" t="n"/>
      <c r="AC30" s="2" t="inlineStr">
        <is>
          <t>L</t>
        </is>
      </c>
      <c r="AD30" s="3" t="n">
        <v>0</v>
      </c>
      <c r="AE30" s="29" t="inlineStr">
        <is>
          <t>Apocalypse</t>
        </is>
      </c>
      <c r="AF30" s="29" t="inlineStr">
        <is>
          <t>Land</t>
        </is>
      </c>
      <c r="AG30" s="29" t="inlineStr">
        <is>
          <t>Taps for {C}, or {B}/{G} at the cost of 1 damage to you</t>
        </is>
      </c>
      <c r="AH30" s="29" t="n"/>
      <c r="AI30" s="29" t="n"/>
      <c r="AJ30" s="2" t="inlineStr">
        <is>
          <t>Bench sub available in D4: Blossoming Sands (2026-09-02); Bench sub available in D3: Arcane Sanctum (2026-09-02); D4 target removed 2026-09-02 (bench sub in place); D3 target removed 2026-09-02 (bench sub in place)</t>
        </is>
      </c>
    </row>
    <row r="31" ht="15" customHeight="1" s="79">
      <c r="A31" s="2" t="inlineStr">
        <is>
          <t>Priest of Fell Rites</t>
        </is>
      </c>
      <c r="B31" s="2">
        <f>IF(AND(F31&lt;&gt;0,E31=F31),"In Hand",IF(AND(E31&lt;&gt;0,E31&lt;F31,SUM(M31:R31)=0,SUM(T31:Y31)&gt;0),"Extra-Sub",IF(AND(E31=0,E31&lt;F31,SUM(M31:R31)=0,SUM(T31:Y31)&gt;0),"Bench-Sub",IF(AND(E31=0,F31&gt;0),"Bench",IF(E31&lt;F31,"Extra",IF(AND(J31="",E31&gt;F31),"To Buy",IF(SUM(J31,F31)&lt;E31,"To Buy",IF(AND(SUM(J31,F31)&gt;=E31,J31&lt;&gt;""),"Ordered",IF(AND(E31=0,F31=0,D31="B3"),"B3 Option",IF(AND(E31=0,F31=0),"Remove","To Buy"))))))))))</f>
        <v/>
      </c>
      <c r="D31" t="inlineStr">
        <is>
          <t>B2</t>
        </is>
      </c>
      <c r="E31" s="3">
        <f>SUM(M31:S31)</f>
        <v/>
      </c>
      <c r="F31" s="3">
        <f>SUM(T31:Z31)</f>
        <v/>
      </c>
      <c r="G31" s="3">
        <f>IF((F31-E31)&gt;=0,F31-E31,0)</f>
        <v/>
      </c>
      <c r="H31" s="3">
        <f>MAX(0,$E31-$F31-$J31)</f>
        <v/>
      </c>
      <c r="I31" s="3" t="n"/>
      <c r="J31" s="3" t="n"/>
      <c r="K31" s="4" t="n">
        <v>0.36</v>
      </c>
      <c r="L31" s="4">
        <f>IF(AND($H31&gt;0,ISNUMBER($K31)),$H31*$K31,0)</f>
        <v/>
      </c>
      <c r="M31" s="3" t="n"/>
      <c r="N31" s="3" t="n"/>
      <c r="O31" s="3" t="n"/>
      <c r="P31" s="3" t="n"/>
      <c r="Q31" s="3" t="n"/>
      <c r="R31" s="3" t="n"/>
      <c r="S31" s="3">
        <f>IF(AND(J31&lt;&gt;"",SUM(M31:R31)=0),J31,"")</f>
        <v/>
      </c>
      <c r="T31" s="3" t="n"/>
      <c r="U31" s="3" t="n"/>
      <c r="V31" s="3" t="n"/>
      <c r="W31" s="3" t="n"/>
      <c r="X31" s="3" t="n"/>
      <c r="Y31" s="3" t="n"/>
      <c r="Z31" s="3" t="n"/>
      <c r="AA31" s="2" t="inlineStr">
        <is>
          <t>Creature</t>
        </is>
      </c>
      <c r="AB31" s="2" t="inlineStr">
        <is>
          <t>Human Warlock</t>
        </is>
      </c>
      <c r="AC31" s="2" t="inlineStr">
        <is>
          <t>Multi</t>
        </is>
      </c>
      <c r="AD31" s="3" t="n">
        <v>2</v>
      </c>
      <c r="AE31" s="29" t="inlineStr">
        <is>
          <t>Modern Horizons 2</t>
        </is>
      </c>
      <c r="AF31" s="29" t="inlineStr">
        <is>
          <t>Reanimation</t>
        </is>
      </c>
      <c r="AG31" s="29" t="inlineStr">
        <is>
          <t>Tap, pay 3 life, sacrifice: return target creature card from graveyard to the battlefield</t>
        </is>
      </c>
      <c r="AH31" s="29" t="inlineStr">
        <is>
          <t>Unearth {3}{W}{B} to return from graveyard with haste temporarily</t>
        </is>
      </c>
      <c r="AI31" s="29" t="n"/>
      <c r="AJ31" s="2" t="inlineStr">
        <is>
          <t>Bench sub available in D5: Unbury (2026-09-02); D5 target removed 2026-09-02 (bench sub in place)</t>
        </is>
      </c>
    </row>
    <row r="32" ht="15" customHeight="1" s="79">
      <c r="A32" s="2" t="inlineStr">
        <is>
          <t>Rummaging Goblin</t>
        </is>
      </c>
      <c r="B32" s="2">
        <f>IF(AND(F32&lt;&gt;0,E32=F32),"In Hand",IF(AND(E32&lt;&gt;0,E32&lt;F32,SUM(M32:R32)=0,SUM(T32:Y32)&gt;0),"Extra-Sub",IF(AND(E32=0,E32&lt;F32,SUM(M32:R32)=0,SUM(T32:Y32)&gt;0),"Bench-Sub",IF(AND(E32=0,F32&gt;0),"Bench",IF(E32&lt;F32,"Extra",IF(AND(J32="",E32&gt;F32),"To Buy",IF(SUM(J32,F32)&lt;E32,"To Buy",IF(AND(SUM(J32,F32)&gt;=E32,J32&lt;&gt;""),"Ordered",IF(AND(E32=0,F32=0,D32="B3"),"B3 Option",IF(AND(E32=0,F32=0),"Remove","To Buy"))))))))))</f>
        <v/>
      </c>
      <c r="D32" t="inlineStr">
        <is>
          <t>B2</t>
        </is>
      </c>
      <c r="E32" s="3">
        <f>SUM(M32:S32)</f>
        <v/>
      </c>
      <c r="F32" s="3">
        <f>SUM(T32:Z32)</f>
        <v/>
      </c>
      <c r="G32" s="3">
        <f>IF((F32-E32)&gt;=0,F32-E32,0)</f>
        <v/>
      </c>
      <c r="H32" s="3">
        <f>MAX(0,$E32-$F32-$J32)</f>
        <v/>
      </c>
      <c r="I32" s="3" t="n"/>
      <c r="J32" s="3" t="n"/>
      <c r="K32" s="4" t="n">
        <v>0.2</v>
      </c>
      <c r="L32" s="4">
        <f>IF(AND($H32&gt;0,ISNUMBER($K32)),$H32*$K32,0)</f>
        <v/>
      </c>
      <c r="M32" s="3" t="n"/>
      <c r="N32" s="3" t="n"/>
      <c r="O32" s="3" t="n"/>
      <c r="P32" s="3" t="n"/>
      <c r="Q32" s="3" t="n"/>
      <c r="R32" s="3" t="n"/>
      <c r="S32" s="3">
        <f>IF(AND(J32&lt;&gt;"",SUM(M32:R32)=0),J32,"")</f>
        <v/>
      </c>
      <c r="T32" s="3" t="n"/>
      <c r="U32" s="3" t="n"/>
      <c r="V32" s="3" t="n"/>
      <c r="W32" s="3" t="n"/>
      <c r="X32" s="3" t="n"/>
      <c r="Y32" s="3" t="n"/>
      <c r="Z32" s="3" t="n"/>
      <c r="AA32" s="2" t="inlineStr">
        <is>
          <t>Creature</t>
        </is>
      </c>
      <c r="AB32" s="2" t="inlineStr">
        <is>
          <t>Goblin Rogue</t>
        </is>
      </c>
      <c r="AC32" s="2" t="inlineStr">
        <is>
          <t>R</t>
        </is>
      </c>
      <c r="AD32" s="3" t="n">
        <v>3</v>
      </c>
      <c r="AE32" s="29" t="inlineStr">
        <is>
          <t>Magic 2013</t>
        </is>
      </c>
      <c r="AF32" s="29" t="inlineStr">
        <is>
          <t>Discard/Looting</t>
        </is>
      </c>
      <c r="AG32" s="29" t="inlineStr">
        <is>
          <t>Tap, discard a card: draw a card</t>
        </is>
      </c>
      <c r="AH32" s="29" t="n"/>
      <c r="AI32" s="29" t="n"/>
      <c r="AJ32" s="2" t="inlineStr">
        <is>
          <t>Cut in Tuned; Bench sub available in D6: Gundabad Opportunist (2026-09-02); D6 target removed 2026-09-02 (bench sub in place)</t>
        </is>
      </c>
    </row>
    <row r="33" ht="15" customHeight="1" s="79">
      <c r="A33" s="2" t="inlineStr">
        <is>
          <t>Shineshadow Snarl</t>
        </is>
      </c>
      <c r="B33" s="2">
        <f>IF(AND(F33&lt;&gt;0,E33=F33),"In Hand",IF(AND(E33&lt;&gt;0,E33&lt;F33,SUM(M33:R33)=0,SUM(T33:Y33)&gt;0),"Extra-Sub",IF(AND(E33=0,E33&lt;F33,SUM(M33:R33)=0,SUM(T33:Y33)&gt;0),"Bench-Sub",IF(AND(E33=0,F33&gt;0),"Bench",IF(E33&lt;F33,"Extra",IF(AND(J33="",E33&gt;F33),"To Buy",IF(SUM(J33,F33)&lt;E33,"To Buy",IF(AND(SUM(J33,F33)&gt;=E33,J33&lt;&gt;""),"Ordered",IF(AND(E33=0,F33=0,D33="B3"),"B3 Option",IF(AND(E33=0,F33=0),"Remove","To Buy"))))))))))</f>
        <v/>
      </c>
      <c r="D33" t="inlineStr">
        <is>
          <t>B2</t>
        </is>
      </c>
      <c r="E33" s="3">
        <f>SUM(M33:S33)</f>
        <v/>
      </c>
      <c r="F33" s="3">
        <f>SUM(T33:Z33)</f>
        <v/>
      </c>
      <c r="G33" s="3">
        <f>IF((F33-E33)&gt;=0,F33-E33,0)</f>
        <v/>
      </c>
      <c r="H33" s="3">
        <f>MAX(0,$E33-$F33-$J33)</f>
        <v/>
      </c>
      <c r="I33" s="3" t="n"/>
      <c r="J33" s="3" t="n"/>
      <c r="K33" s="4" t="n">
        <v>0.33</v>
      </c>
      <c r="L33" s="4">
        <f>IF(AND($H33&gt;0,ISNUMBER($K33)),$H33*$K33,0)</f>
        <v/>
      </c>
      <c r="M33" s="3" t="n"/>
      <c r="N33" s="3" t="n"/>
      <c r="O33" s="3" t="n"/>
      <c r="P33" s="3" t="n"/>
      <c r="Q33" s="3" t="n"/>
      <c r="R33" s="3" t="n"/>
      <c r="S33" s="3">
        <f>IF(AND(J33&lt;&gt;"",SUM(M33:R33)=0),J33,"")</f>
        <v/>
      </c>
      <c r="T33" s="3" t="n"/>
      <c r="U33" s="3" t="n"/>
      <c r="V33" s="3" t="n"/>
      <c r="W33" s="3" t="n"/>
      <c r="X33" s="3" t="n"/>
      <c r="Y33" s="3" t="n"/>
      <c r="Z33" s="3" t="n"/>
      <c r="AA33" s="2" t="inlineStr">
        <is>
          <t>Land</t>
        </is>
      </c>
      <c r="AB33" s="2" t="n"/>
      <c r="AC33" s="2" t="inlineStr">
        <is>
          <t>L</t>
        </is>
      </c>
      <c r="AD33" s="3" t="n">
        <v>0</v>
      </c>
      <c r="AE33" s="29" t="inlineStr">
        <is>
          <t>Strixhaven: School of Mages</t>
        </is>
      </c>
      <c r="AF33" s="29" t="inlineStr">
        <is>
          <t>Land</t>
        </is>
      </c>
      <c r="AG33" s="29" t="inlineStr">
        <is>
          <t>Taps for {W} or {B}</t>
        </is>
      </c>
      <c r="AH33" s="29" t="inlineStr">
        <is>
          <t>Enters untapped if you reveal a Plains or Swamp</t>
        </is>
      </c>
      <c r="AI33" s="29" t="n"/>
      <c r="AJ33" s="2" t="inlineStr">
        <is>
          <t>Bench sub available in D5: Plains (2026-09-02); D5 target removed 2026-09-02 (bench sub in place)</t>
        </is>
      </c>
    </row>
    <row r="34" ht="15" customHeight="1" s="79">
      <c r="A34" s="2" t="inlineStr">
        <is>
          <t>Sign in Blood</t>
        </is>
      </c>
      <c r="B34" s="2">
        <f>IF(AND(F34&lt;&gt;0,E34=F34),"In Hand",IF(AND(E34&lt;&gt;0,E34&lt;F34,SUM(M34:R34)=0,SUM(T34:Y34)&gt;0),"Extra-Sub",IF(AND(E34=0,E34&lt;F34,SUM(M34:R34)=0,SUM(T34:Y34)&gt;0),"Bench-Sub",IF(AND(E34=0,F34&gt;0),"Bench",IF(E34&lt;F34,"Extra",IF(AND(J34="",E34&gt;F34),"To Buy",IF(SUM(J34,F34)&lt;E34,"To Buy",IF(AND(SUM(J34,F34)&gt;=E34,J34&lt;&gt;""),"Ordered",IF(AND(E34=0,F34=0,D34="B3"),"B3 Option",IF(AND(E34=0,F34=0),"Remove","To Buy"))))))))))</f>
        <v/>
      </c>
      <c r="D34" t="inlineStr">
        <is>
          <t>B2</t>
        </is>
      </c>
      <c r="E34" s="3">
        <f>SUM(M34:S34)</f>
        <v/>
      </c>
      <c r="F34" s="3">
        <f>SUM(T34:Z34)</f>
        <v/>
      </c>
      <c r="G34" s="3">
        <f>IF((F34-E34)&gt;=0,F34-E34,0)</f>
        <v/>
      </c>
      <c r="H34" s="3">
        <f>MAX(0,$E34-$F34-$J34)</f>
        <v/>
      </c>
      <c r="I34" s="3" t="n"/>
      <c r="J34" s="3" t="n"/>
      <c r="K34" s="4" t="n">
        <v>3.67</v>
      </c>
      <c r="L34" s="4">
        <f>IF(AND($H34&gt;0,ISNUMBER($K34)),$H34*$K34,0)</f>
        <v/>
      </c>
      <c r="M34" s="3" t="n"/>
      <c r="N34" s="3" t="n"/>
      <c r="O34" s="3" t="n"/>
      <c r="P34" s="3" t="n"/>
      <c r="Q34" s="3" t="n"/>
      <c r="R34" s="3" t="n"/>
      <c r="S34" s="3">
        <f>IF(AND(J34&lt;&gt;"",SUM(M34:R34)=0),J34,"")</f>
        <v/>
      </c>
      <c r="T34" s="3" t="n"/>
      <c r="U34" s="3" t="n"/>
      <c r="V34" s="3" t="n"/>
      <c r="W34" s="3" t="n"/>
      <c r="X34" s="3" t="n"/>
      <c r="Y34" s="3" t="n"/>
      <c r="Z34" s="3" t="n"/>
      <c r="AA34" s="2" t="inlineStr">
        <is>
          <t>Sorcery</t>
        </is>
      </c>
      <c r="AB34" s="2" t="n"/>
      <c r="AC34" s="2" t="inlineStr">
        <is>
          <t>B</t>
        </is>
      </c>
      <c r="AD34" s="3" t="n">
        <v>2</v>
      </c>
      <c r="AE34" s="29" t="inlineStr">
        <is>
          <t>Magic 2010</t>
        </is>
      </c>
      <c r="AF34" s="29" t="inlineStr">
        <is>
          <t>Card Draw</t>
        </is>
      </c>
      <c r="AG34" s="29" t="inlineStr">
        <is>
          <t>Target player draws two cards and loses 2 life</t>
        </is>
      </c>
      <c r="AH34" s="29" t="n"/>
      <c r="AI34" s="29" t="n"/>
      <c r="AJ34" s="2" t="inlineStr">
        <is>
          <t>Bench sub available in D5: Secret Rendezvous (2026-09-02); D5 target removed 2026-09-02 (bench sub in place)</t>
        </is>
      </c>
    </row>
    <row r="35" ht="15" customHeight="1" s="79">
      <c r="A35" s="2" t="inlineStr">
        <is>
          <t>Silverquill Campus</t>
        </is>
      </c>
      <c r="B35" s="2">
        <f>IF(AND(F35&lt;&gt;0,E35=F35),"In Hand",IF(AND(E35&lt;&gt;0,E35&lt;F35,SUM(M35:R35)=0,SUM(T35:Y35)&gt;0),"Extra-Sub",IF(AND(E35=0,E35&lt;F35,SUM(M35:R35)=0,SUM(T35:Y35)&gt;0),"Bench-Sub",IF(AND(E35=0,F35&gt;0),"Bench",IF(E35&lt;F35,"Extra",IF(AND(J35="",E35&gt;F35),"To Buy",IF(SUM(J35,F35)&lt;E35,"To Buy",IF(AND(SUM(J35,F35)&gt;=E35,J35&lt;&gt;""),"Ordered",IF(AND(E35=0,F35=0,D35="B3"),"B3 Option",IF(AND(E35=0,F35=0),"Remove","To Buy"))))))))))</f>
        <v/>
      </c>
      <c r="D35" t="inlineStr">
        <is>
          <t>B2</t>
        </is>
      </c>
      <c r="E35" s="3">
        <f>SUM(M35:S35)</f>
        <v/>
      </c>
      <c r="F35" s="3">
        <f>SUM(T35:Z35)</f>
        <v/>
      </c>
      <c r="G35" s="3">
        <f>IF((F35-E35)&gt;=0,F35-E35,0)</f>
        <v/>
      </c>
      <c r="H35" s="3">
        <f>MAX(0,$E35-$F35-$J35)</f>
        <v/>
      </c>
      <c r="I35" s="3" t="n"/>
      <c r="J35" s="3" t="n"/>
      <c r="K35" s="4" t="n">
        <v>0.29</v>
      </c>
      <c r="L35" s="4">
        <f>IF(AND($H35&gt;0,ISNUMBER($K35)),$H35*$K35,0)</f>
        <v/>
      </c>
      <c r="M35" s="3" t="n"/>
      <c r="N35" s="3" t="n"/>
      <c r="O35" s="3" t="n"/>
      <c r="P35" s="3" t="n"/>
      <c r="Q35" s="3" t="n"/>
      <c r="R35" s="3" t="n"/>
      <c r="S35" s="3">
        <f>IF(AND(J35&lt;&gt;"",SUM(M35:R35)=0),J35,"")</f>
        <v/>
      </c>
      <c r="T35" s="3" t="n"/>
      <c r="U35" s="3" t="n"/>
      <c r="V35" s="3" t="n"/>
      <c r="W35" s="3" t="n"/>
      <c r="X35" s="3" t="n"/>
      <c r="Y35" s="3" t="n"/>
      <c r="Z35" s="3" t="n"/>
      <c r="AA35" s="2" t="inlineStr">
        <is>
          <t>Land</t>
        </is>
      </c>
      <c r="AB35" s="2" t="n"/>
      <c r="AC35" s="2" t="inlineStr">
        <is>
          <t>L</t>
        </is>
      </c>
      <c r="AD35" s="3" t="n">
        <v>0</v>
      </c>
      <c r="AE35" s="29" t="inlineStr">
        <is>
          <t>Strixhaven: School of Mages</t>
        </is>
      </c>
      <c r="AF35" s="29" t="inlineStr">
        <is>
          <t>Land</t>
        </is>
      </c>
      <c r="AG35" s="29" t="inlineStr">
        <is>
          <t>Taps for {W} or {B} (enters tapped)</t>
        </is>
      </c>
      <c r="AH35" s="29" t="inlineStr">
        <is>
          <t>{4}, tap: Scry 1</t>
        </is>
      </c>
      <c r="AI35" s="29" t="n"/>
      <c r="AJ35" s="2" t="inlineStr">
        <is>
          <t>Bench sub available in D5: Swamp (2026-09-02); D5 target removed 2026-09-02 (bench sub in place)</t>
        </is>
      </c>
    </row>
    <row r="36" ht="15" customHeight="1" s="79">
      <c r="A36" s="2" t="inlineStr">
        <is>
          <t>Slaughter Specialist</t>
        </is>
      </c>
      <c r="B36" s="2">
        <f>IF(AND(F36&lt;&gt;0,E36=F36),"In Hand",IF(AND(E36&lt;&gt;0,E36&lt;F36,SUM(M36:R36)=0,SUM(T36:Y36)&gt;0),"Extra-Sub",IF(AND(E36=0,E36&lt;F36,SUM(M36:R36)=0,SUM(T36:Y36)&gt;0),"Bench-Sub",IF(AND(E36=0,F36&gt;0),"Bench",IF(E36&lt;F36,"Extra",IF(AND(J36="",E36&gt;F36),"To Buy",IF(SUM(J36,F36)&lt;E36,"To Buy",IF(AND(SUM(J36,F36)&gt;=E36,J36&lt;&gt;""),"Ordered",IF(AND(E36=0,F36=0,D36="B3"),"B3 Option",IF(AND(E36=0,F36=0),"Remove","To Buy"))))))))))</f>
        <v/>
      </c>
      <c r="D36" t="inlineStr">
        <is>
          <t>B2</t>
        </is>
      </c>
      <c r="E36" s="3">
        <f>SUM(M36:S36)</f>
        <v/>
      </c>
      <c r="F36" s="3">
        <f>SUM(T36:Z36)</f>
        <v/>
      </c>
      <c r="G36" s="3">
        <f>IF((F36-E36)&gt;=0,F36-E36,0)</f>
        <v/>
      </c>
      <c r="H36" s="3">
        <f>MAX(0,$E36-$F36-$J36)</f>
        <v/>
      </c>
      <c r="I36" s="3" t="n"/>
      <c r="J36" s="3" t="n"/>
      <c r="K36" s="4" t="n">
        <v>0.88</v>
      </c>
      <c r="L36" s="4">
        <f>IF(AND($H36&gt;0,ISNUMBER($K36)),$H36*$K36,0)</f>
        <v/>
      </c>
      <c r="M36" s="3" t="n"/>
      <c r="N36" s="3" t="n"/>
      <c r="O36" s="3" t="n"/>
      <c r="P36" s="3" t="n"/>
      <c r="Q36" s="3" t="n"/>
      <c r="R36" s="3" t="n"/>
      <c r="S36" s="3">
        <f>IF(AND(J36&lt;&gt;"",SUM(M36:R36)=0),J36,"")</f>
        <v/>
      </c>
      <c r="T36" s="3" t="n"/>
      <c r="U36" s="3" t="n"/>
      <c r="V36" s="3" t="n"/>
      <c r="W36" s="3" t="n"/>
      <c r="X36" s="3" t="n"/>
      <c r="Y36" s="3" t="n"/>
      <c r="Z36" s="3" t="n"/>
      <c r="AA36" s="2" t="inlineStr">
        <is>
          <t>Creature</t>
        </is>
      </c>
      <c r="AB36" s="2" t="inlineStr">
        <is>
          <t>Vampire Warrior</t>
        </is>
      </c>
      <c r="AC36" s="2" t="inlineStr">
        <is>
          <t>B</t>
        </is>
      </c>
      <c r="AD36" s="3" t="n">
        <v>2</v>
      </c>
      <c r="AE36" s="29" t="inlineStr">
        <is>
          <t>Innistrad: Midnight Hunt</t>
        </is>
      </c>
      <c r="AF36" s="29" t="inlineStr">
        <is>
          <t>Toughness Payoff</t>
        </is>
      </c>
      <c r="AG36" s="29" t="inlineStr">
        <is>
          <t>Gives each opponent a 1/1 Human token when it enters</t>
        </is>
      </c>
      <c r="AH36" s="29" t="inlineStr">
        <is>
          <t>Gets a +1/+1 counter whenever an opponent's creature dies</t>
        </is>
      </c>
      <c r="AI36" s="29" t="n"/>
      <c r="AJ36" s="2" t="inlineStr">
        <is>
          <t>Tuned add; Bench sub available in D4: Canopy Gargantuan (2026-09-02); D4 target removed 2026-09-02 (bench sub in place)</t>
        </is>
      </c>
    </row>
    <row r="37" ht="15" customHeight="1" s="79">
      <c r="A37" s="2" t="inlineStr">
        <is>
          <t>Solemn Simulacrum</t>
        </is>
      </c>
      <c r="B37" s="2">
        <f>IF(AND(F37&lt;&gt;0,E37=F37),"In Hand",IF(AND(E37&lt;&gt;0,E37&lt;F37,SUM(M37:R37)=0,SUM(T37:Y37)&gt;0),"Extra-Sub",IF(AND(E37=0,E37&lt;F37,SUM(M37:R37)=0,SUM(T37:Y37)&gt;0),"Bench-Sub",IF(AND(E37=0,F37&gt;0),"Bench",IF(E37&lt;F37,"Extra",IF(AND(J37="",E37&gt;F37),"To Buy",IF(SUM(J37,F37)&lt;E37,"To Buy",IF(AND(SUM(J37,F37)&gt;=E37,J37&lt;&gt;""),"Ordered",IF(AND(E37=0,F37=0,D37="B3"),"B3 Option",IF(AND(E37=0,F37=0),"Remove","To Buy"))))))))))</f>
        <v/>
      </c>
      <c r="D37" t="inlineStr">
        <is>
          <t>B2</t>
        </is>
      </c>
      <c r="E37" s="3">
        <f>SUM(M37:S37)</f>
        <v/>
      </c>
      <c r="F37" s="3">
        <f>SUM(T37:Z37)</f>
        <v/>
      </c>
      <c r="G37" s="3">
        <f>IF((F37-E37)&gt;=0,F37-E37,0)</f>
        <v/>
      </c>
      <c r="H37" s="3">
        <f>MAX(0,$E37-$F37-$J37)</f>
        <v/>
      </c>
      <c r="I37" s="3" t="n"/>
      <c r="J37" s="3" t="n"/>
      <c r="K37" s="4" t="n">
        <v>0.29</v>
      </c>
      <c r="L37" s="4">
        <f>IF(AND($H37&gt;0,ISNUMBER($K37)),$H37*$K37,0)</f>
        <v/>
      </c>
      <c r="M37" s="3" t="n"/>
      <c r="N37" s="3" t="n"/>
      <c r="O37" s="3" t="n"/>
      <c r="P37" s="3" t="n"/>
      <c r="Q37" s="3" t="n"/>
      <c r="R37" s="3" t="n"/>
      <c r="S37" s="3">
        <f>IF(AND(J37&lt;&gt;"",SUM(M37:R37)=0),J37,"")</f>
        <v/>
      </c>
      <c r="T37" s="3" t="n"/>
      <c r="U37" s="3" t="n"/>
      <c r="V37" s="3" t="n"/>
      <c r="W37" s="3" t="n"/>
      <c r="X37" s="3" t="n"/>
      <c r="Y37" s="3" t="n"/>
      <c r="Z37" s="3" t="n"/>
      <c r="AA37" s="2" t="inlineStr">
        <is>
          <t>Artifact Creature</t>
        </is>
      </c>
      <c r="AB37" s="2" t="inlineStr">
        <is>
          <t>Golem</t>
        </is>
      </c>
      <c r="AC37" s="2" t="inlineStr">
        <is>
          <t>C</t>
        </is>
      </c>
      <c r="AD37" s="3" t="n">
        <v>4</v>
      </c>
      <c r="AE37" s="29" t="inlineStr">
        <is>
          <t>Mirrodin</t>
        </is>
      </c>
      <c r="AF37" s="29" t="inlineStr">
        <is>
          <t>Ramp</t>
        </is>
      </c>
      <c r="AG37" s="29" t="inlineStr">
        <is>
          <t>Searches for a basic land and puts it onto the battlefield tapped when it enters</t>
        </is>
      </c>
      <c r="AH37" s="29" t="inlineStr">
        <is>
          <t>Draws a card when it dies</t>
        </is>
      </c>
      <c r="AI37" s="29" t="n"/>
      <c r="AJ37" s="2" t="inlineStr">
        <is>
          <t>Bench sub available in D4: Kor Cartographer (2026-09-02); D4 target removed 2026-09-02 (bench sub in place)</t>
        </is>
      </c>
    </row>
    <row r="38" ht="15" customHeight="1" s="79">
      <c r="A38" s="2" t="inlineStr">
        <is>
          <t>Suture Priest</t>
        </is>
      </c>
      <c r="B38" s="2">
        <f>IF(AND(F38&lt;&gt;0,E38=F38),"In Hand",IF(AND(E38&lt;&gt;0,E38&lt;F38,SUM(M38:R38)=0,SUM(T38:Y38)&gt;0),"Extra-Sub",IF(AND(E38=0,E38&lt;F38,SUM(M38:R38)=0,SUM(T38:Y38)&gt;0),"Bench-Sub",IF(AND(E38=0,F38&gt;0),"Bench",IF(E38&lt;F38,"Extra",IF(AND(J38="",E38&gt;F38),"To Buy",IF(SUM(J38,F38)&lt;E38,"To Buy",IF(AND(SUM(J38,F38)&gt;=E38,J38&lt;&gt;""),"Ordered",IF(AND(E38=0,F38=0,D38="B3"),"B3 Option",IF(AND(E38=0,F38=0),"Remove","To Buy"))))))))))</f>
        <v/>
      </c>
      <c r="D38" t="inlineStr">
        <is>
          <t>B2</t>
        </is>
      </c>
      <c r="E38" s="3">
        <f>SUM(M38:S38)</f>
        <v/>
      </c>
      <c r="F38" s="3">
        <f>SUM(T38:Z38)</f>
        <v/>
      </c>
      <c r="G38" s="3">
        <f>IF((F38-E38)&gt;=0,F38-E38,0)</f>
        <v/>
      </c>
      <c r="H38" s="3">
        <f>MAX(0,$E38-$F38-$J38)</f>
        <v/>
      </c>
      <c r="I38" s="3" t="n"/>
      <c r="J38" s="3" t="n"/>
      <c r="K38" s="4" t="n">
        <v>4.67</v>
      </c>
      <c r="L38" s="4">
        <f>IF(AND($H38&gt;0,ISNUMBER($K38)),$H38*$K38,0)</f>
        <v/>
      </c>
      <c r="M38" s="3" t="n"/>
      <c r="N38" s="3" t="n"/>
      <c r="O38" s="3" t="n"/>
      <c r="P38" s="3" t="n"/>
      <c r="Q38" s="3" t="n"/>
      <c r="R38" s="3" t="n"/>
      <c r="S38" s="3">
        <f>IF(AND(J38&lt;&gt;"",SUM(M38:R38)=0),J38,"")</f>
        <v/>
      </c>
      <c r="T38" s="3" t="n"/>
      <c r="U38" s="3" t="n"/>
      <c r="V38" s="3" t="n"/>
      <c r="W38" s="3" t="n"/>
      <c r="X38" s="3" t="n"/>
      <c r="Y38" s="3" t="n"/>
      <c r="Z38" s="3" t="n"/>
      <c r="AA38" s="2" t="inlineStr">
        <is>
          <t>Creature</t>
        </is>
      </c>
      <c r="AB38" s="2" t="inlineStr">
        <is>
          <t>Phyrexian Cleric</t>
        </is>
      </c>
      <c r="AC38" s="2" t="inlineStr">
        <is>
          <t>W</t>
        </is>
      </c>
      <c r="AD38" s="3" t="n">
        <v>2</v>
      </c>
      <c r="AE38" s="29" t="inlineStr">
        <is>
          <t>New Phyrexia</t>
        </is>
      </c>
      <c r="AF38" s="29" t="inlineStr">
        <is>
          <t>Drain Payoff</t>
        </is>
      </c>
      <c r="AG38" s="29" t="inlineStr">
        <is>
          <t>Gains you 1 life whenever another creature you control enters</t>
        </is>
      </c>
      <c r="AH38" s="29" t="inlineStr">
        <is>
          <t>May cause an opponent to lose 1 life whenever a creature they control enters</t>
        </is>
      </c>
      <c r="AI38" s="29" t="n"/>
      <c r="AJ38" s="2" t="inlineStr">
        <is>
          <t>Cut in Tuned; Removed from TCG cart 2026-09-02: on D5 Tuned CUT list; buy Skullclamp at the con instead; D5 target removed 2026-09-02: Tuned add Skullclamp takes the slot</t>
        </is>
      </c>
      <c r="AK38" t="inlineStr">
        <is>
          <t>[T] D5 target removed (not owned); buy Skullclamp instead</t>
        </is>
      </c>
    </row>
    <row r="39" ht="15" customHeight="1" s="79">
      <c r="A39" s="2" t="inlineStr">
        <is>
          <t>Utter End</t>
        </is>
      </c>
      <c r="B39" s="2">
        <f>IF(AND(F39&lt;&gt;0,E39=F39),"In Hand",IF(AND(E39&lt;&gt;0,E39&lt;F39,SUM(M39:R39)=0,SUM(T39:Y39)&gt;0),"Extra-Sub",IF(AND(E39=0,E39&lt;F39,SUM(M39:R39)=0,SUM(T39:Y39)&gt;0),"Bench-Sub",IF(AND(E39=0,F39&gt;0),"Bench",IF(E39&lt;F39,"Extra",IF(AND(J39="",E39&gt;F39),"To Buy",IF(SUM(J39,F39)&lt;E39,"To Buy",IF(AND(SUM(J39,F39)&gt;=E39,J39&lt;&gt;""),"Ordered",IF(AND(E39=0,F39=0,D39="B3"),"B3 Option",IF(AND(E39=0,F39=0),"Remove","To Buy"))))))))))</f>
        <v/>
      </c>
      <c r="D39" t="inlineStr">
        <is>
          <t>B2</t>
        </is>
      </c>
      <c r="E39" s="3">
        <f>SUM(M39:S39)</f>
        <v/>
      </c>
      <c r="F39" s="3">
        <f>SUM(T39:Z39)</f>
        <v/>
      </c>
      <c r="G39" s="3">
        <f>IF((F39-E39)&gt;=0,F39-E39,0)</f>
        <v/>
      </c>
      <c r="H39" s="3">
        <f>MAX(0,$E39-$F39-$J39)</f>
        <v/>
      </c>
      <c r="I39" s="3" t="n"/>
      <c r="J39" s="3" t="n"/>
      <c r="K39" s="4" t="n">
        <v>0.29</v>
      </c>
      <c r="L39" s="4">
        <f>IF(AND($H39&gt;0,ISNUMBER($K39)),$H39*$K39,0)</f>
        <v/>
      </c>
      <c r="M39" s="3" t="n"/>
      <c r="N39" s="3" t="n"/>
      <c r="O39" s="3" t="n"/>
      <c r="P39" s="3" t="n"/>
      <c r="Q39" s="3" t="n"/>
      <c r="R39" s="3" t="n"/>
      <c r="S39" s="3">
        <f>IF(AND(J39&lt;&gt;"",SUM(M39:R39)=0),J39,"")</f>
        <v/>
      </c>
      <c r="T39" s="3" t="n"/>
      <c r="U39" s="3" t="n"/>
      <c r="V39" s="3" t="n"/>
      <c r="W39" s="3" t="n"/>
      <c r="X39" s="3" t="n"/>
      <c r="Y39" s="3" t="n"/>
      <c r="Z39" s="3" t="n"/>
      <c r="AA39" s="2" t="inlineStr">
        <is>
          <t>Instant</t>
        </is>
      </c>
      <c r="AB39" s="2" t="n"/>
      <c r="AC39" s="2" t="inlineStr">
        <is>
          <t>Multi</t>
        </is>
      </c>
      <c r="AD39" s="3" t="n">
        <v>4</v>
      </c>
      <c r="AE39" s="29" t="inlineStr">
        <is>
          <t>Khans of Tarkir</t>
        </is>
      </c>
      <c r="AF39" s="29" t="inlineStr">
        <is>
          <t>Removal</t>
        </is>
      </c>
      <c r="AG39" s="29" t="inlineStr">
        <is>
          <t>Exiles target nonland permanent</t>
        </is>
      </c>
      <c r="AH39" s="29" t="n"/>
      <c r="AI39" s="29" t="n"/>
      <c r="AJ39" s="2" t="inlineStr">
        <is>
          <t>Bench sub available in D5: Chain Assassination (2026-09-02); D5 target removed 2026-09-02 (bench sub in place)</t>
        </is>
      </c>
    </row>
    <row r="40" ht="15" customHeight="1" s="79">
      <c r="A40" s="2" t="inlineStr">
        <is>
          <t>Wall of Blossoms</t>
        </is>
      </c>
      <c r="B40" s="2">
        <f>IF(AND(F40&lt;&gt;0,E40=F40),"In Hand",IF(AND(E40&lt;&gt;0,E40&lt;F40,SUM(M40:R40)=0,SUM(T40:Y40)&gt;0),"Extra-Sub",IF(AND(E40=0,E40&lt;F40,SUM(M40:R40)=0,SUM(T40:Y40)&gt;0),"Bench-Sub",IF(AND(E40=0,F40&gt;0),"Bench",IF(E40&lt;F40,"Extra",IF(AND(J40="",E40&gt;F40),"To Buy",IF(SUM(J40,F40)&lt;E40,"To Buy",IF(AND(SUM(J40,F40)&gt;=E40,J40&lt;&gt;""),"Ordered",IF(AND(E40=0,F40=0,D40="B3"),"B3 Option",IF(AND(E40=0,F40=0),"Remove","To Buy"))))))))))</f>
        <v/>
      </c>
      <c r="D40" t="inlineStr">
        <is>
          <t>B2</t>
        </is>
      </c>
      <c r="E40" s="3">
        <f>SUM(M40:S40)</f>
        <v/>
      </c>
      <c r="F40" s="3">
        <f>SUM(T40:Z40)</f>
        <v/>
      </c>
      <c r="G40" s="3">
        <f>IF((F40-E40)&gt;=0,F40-E40,0)</f>
        <v/>
      </c>
      <c r="H40" s="3">
        <f>MAX(0,$E40-$F40-$J40)</f>
        <v/>
      </c>
      <c r="I40" s="3" t="n"/>
      <c r="J40" s="3" t="n"/>
      <c r="K40" s="4" t="n">
        <v>0.29</v>
      </c>
      <c r="L40" s="4">
        <f>IF(AND($H40&gt;0,ISNUMBER($K40)),$H40*$K40,0)</f>
        <v/>
      </c>
      <c r="M40" s="3" t="n"/>
      <c r="N40" s="3" t="n"/>
      <c r="O40" s="3" t="n"/>
      <c r="P40" s="3" t="n"/>
      <c r="Q40" s="3" t="n"/>
      <c r="R40" s="3" t="n"/>
      <c r="S40" s="3">
        <f>IF(AND(J40&lt;&gt;"",SUM(M40:R40)=0),J40,"")</f>
        <v/>
      </c>
      <c r="T40" s="3" t="n"/>
      <c r="U40" s="3" t="n"/>
      <c r="V40" s="3" t="n"/>
      <c r="W40" s="3" t="n"/>
      <c r="X40" s="3" t="n"/>
      <c r="Y40" s="3" t="n"/>
      <c r="Z40" s="3" t="n"/>
      <c r="AA40" s="2" t="inlineStr">
        <is>
          <t>Creature</t>
        </is>
      </c>
      <c r="AB40" s="2" t="inlineStr">
        <is>
          <t>Plant Wall</t>
        </is>
      </c>
      <c r="AC40" s="2" t="inlineStr">
        <is>
          <t>G</t>
        </is>
      </c>
      <c r="AD40" s="3" t="n">
        <v>2</v>
      </c>
      <c r="AE40" s="29" t="inlineStr">
        <is>
          <t>Stronghold</t>
        </is>
      </c>
      <c r="AF40" s="29" t="inlineStr">
        <is>
          <t>Card Draw</t>
        </is>
      </c>
      <c r="AG40" s="29" t="inlineStr">
        <is>
          <t>Draws a card when it enters</t>
        </is>
      </c>
      <c r="AH40" s="29" t="inlineStr">
        <is>
          <t>Defender body</t>
        </is>
      </c>
      <c r="AI40" s="29" t="n"/>
      <c r="AJ40" s="2" t="inlineStr">
        <is>
          <t>Bench sub available in D4: Portcullis Vine (2026-09-02); D4 target removed 2026-09-02 (bench sub in place)</t>
        </is>
      </c>
    </row>
    <row r="41" ht="15" customHeight="1" s="79">
      <c r="A41" s="2" t="inlineStr">
        <is>
          <t>Shared Animosity</t>
        </is>
      </c>
      <c r="B41" s="2">
        <f>IF(AND(F41&lt;&gt;0,E41=F41),"In Hand",IF(AND(E41&lt;&gt;0,E41&lt;F41,SUM(M41:R41)=0,SUM(T41:Y41)&gt;0),"Extra-Sub",IF(AND(E41=0,E41&lt;F41,SUM(M41:R41)=0,SUM(T41:Y41)&gt;0),"Bench-Sub",IF(AND(E41=0,F41&gt;0),"Bench",IF(E41&lt;F41,"Extra",IF(AND(J41="",E41&gt;F41),"To Buy",IF(SUM(J41,F41)&lt;E41,"To Buy",IF(AND(SUM(J41,F41)&gt;=E41,J41&lt;&gt;""),"Ordered",IF(AND(E41=0,F41=0,D41="B3"),"B3 Option",IF(AND(E41=0,F41=0),"Remove","To Buy"))))))))))</f>
        <v/>
      </c>
      <c r="C41" s="81" t="n"/>
      <c r="D41" t="inlineStr">
        <is>
          <t>B3</t>
        </is>
      </c>
      <c r="E41" s="3">
        <f>SUM(M41:S41)</f>
        <v/>
      </c>
      <c r="F41" s="3">
        <f>SUM(T41:Z41)</f>
        <v/>
      </c>
      <c r="G41" s="3">
        <f>IF((F41-E41)&gt;=0,F41-E41,0)</f>
        <v/>
      </c>
      <c r="H41" s="3">
        <f>MAX(0,$E41-$F41-$J41)</f>
        <v/>
      </c>
      <c r="I41" s="3" t="inlineStr">
        <is>
          <t>WF</t>
        </is>
      </c>
      <c r="J41" s="3" t="n">
        <v>1</v>
      </c>
      <c r="K41" s="4" t="n">
        <v>4.47</v>
      </c>
      <c r="L41" s="4">
        <f>IF(AND($H41&gt;0,ISNUMBER($K41)),$H41*$K41,0)</f>
        <v/>
      </c>
      <c r="M41" s="3" t="n"/>
      <c r="N41" s="3" t="n"/>
      <c r="O41" s="3" t="n"/>
      <c r="P41" s="3" t="n"/>
      <c r="Q41" s="3" t="n"/>
      <c r="R41" s="3" t="n">
        <v>1</v>
      </c>
      <c r="S41" s="3">
        <f>IF(AND(J41&lt;&gt;"",SUM(M41:R41)=0),J41,"")</f>
        <v/>
      </c>
      <c r="T41" s="3" t="n"/>
      <c r="U41" s="3" t="n"/>
      <c r="V41" s="3" t="n"/>
      <c r="W41" s="3" t="n"/>
      <c r="X41" s="3" t="n"/>
      <c r="Y41" s="3" t="n"/>
      <c r="Z41" s="3" t="n"/>
      <c r="AA41" s="2" t="inlineStr">
        <is>
          <t>Enchantment</t>
        </is>
      </c>
      <c r="AB41" s="2" t="n"/>
      <c r="AC41" s="2" t="inlineStr">
        <is>
          <t>R</t>
        </is>
      </c>
      <c r="AD41" s="3" t="n">
        <v>3</v>
      </c>
      <c r="AE41" s="29" t="inlineStr">
        <is>
          <t>Morningtide</t>
        </is>
      </c>
      <c r="AF41" s="29" t="inlineStr">
        <is>
          <t>Tuned add</t>
        </is>
      </c>
      <c r="AG41" s="29" t="inlineStr">
        <is>
          <t>Whenever a creature you control attacks, it gets +1/+0 until end of turn for each other attacking creature that shares a</t>
        </is>
      </c>
      <c r="AH41" s="29" t="n"/>
      <c r="AI41" s="29" t="n"/>
      <c r="AJ41" s="2" t="inlineStr">
        <is>
          <t>D6 Tuned add; targeted 2026-09-02; replaces Alexios, Deimos of Kosmos; In cart: Game Theory Wake Forest $4.10 Near Mint [C20] (2026-09-03)</t>
        </is>
      </c>
      <c r="AK41" t="inlineStr">
        <is>
          <t>[T] targeted D6 (Tuned add, replaces Alexios, Deimos of Kosmos); [A later] -&gt;D6 when bought</t>
        </is>
      </c>
    </row>
    <row r="42" ht="15" customHeight="1" s="79">
      <c r="A42" s="2" t="inlineStr">
        <is>
          <t>Aetherize</t>
        </is>
      </c>
      <c r="B42" s="2">
        <f>IF(AND(F42&lt;&gt;0,E42=F42),"In Hand",IF(AND(E42&lt;&gt;0,E42&lt;F42,SUM(M42:R42)=0,SUM(T42:Y42)&gt;0),"Extra-Sub",IF(AND(E42=0,E42&lt;F42,SUM(M42:R42)=0,SUM(T42:Y42)&gt;0),"Bench-Sub",IF(AND(E42=0,F42&gt;0),"Bench",IF(E42&lt;F42,"Extra",IF(AND(J42="",E42&gt;F42),"To Buy",IF(SUM(J42,F42)&lt;E42,"To Buy",IF(AND(SUM(J42,F42)&gt;=E42,J42&lt;&gt;""),"Ordered",IF(AND(E42=0,F42=0,D42="B3"),"B3 Option",IF(AND(E42=0,F42=0),"Remove","To Buy"))))))))))</f>
        <v/>
      </c>
      <c r="D42" t="inlineStr">
        <is>
          <t>B2</t>
        </is>
      </c>
      <c r="E42" s="3">
        <f>SUM(M42:S42)</f>
        <v/>
      </c>
      <c r="F42" s="3">
        <f>SUM(T42:Z42)</f>
        <v/>
      </c>
      <c r="G42" s="3">
        <f>IF((F42-E42)&gt;=0,F42-E42,0)</f>
        <v/>
      </c>
      <c r="H42" s="3">
        <f>MAX(0,$E42-$F42-$J42)</f>
        <v/>
      </c>
      <c r="I42" s="3" t="inlineStr">
        <is>
          <t>TCG</t>
        </is>
      </c>
      <c r="J42" s="3" t="n">
        <v>1</v>
      </c>
      <c r="K42" s="4" t="n">
        <v>0.62</v>
      </c>
      <c r="L42" s="4">
        <f>IF(AND($H42&gt;0,ISNUMBER($K42)),$H42*$K42,0)</f>
        <v/>
      </c>
      <c r="M42" s="3" t="n"/>
      <c r="N42" s="3" t="n">
        <v>1</v>
      </c>
      <c r="O42" s="3" t="n"/>
      <c r="P42" s="3" t="n"/>
      <c r="Q42" s="3" t="n"/>
      <c r="R42" s="3" t="n"/>
      <c r="S42" s="3">
        <f>IF(AND(J42&lt;&gt;"",SUM(M42:R42)=0),J42,"")</f>
        <v/>
      </c>
      <c r="T42" s="3" t="n"/>
      <c r="U42" s="3" t="n"/>
      <c r="V42" s="3" t="n"/>
      <c r="W42" s="3" t="n"/>
      <c r="X42" s="3" t="n"/>
      <c r="Y42" s="3" t="n"/>
      <c r="Z42" s="3" t="n"/>
      <c r="AA42" s="2" t="inlineStr">
        <is>
          <t>Instant</t>
        </is>
      </c>
      <c r="AB42" s="2" t="n"/>
      <c r="AC42" s="2" t="inlineStr">
        <is>
          <t>U</t>
        </is>
      </c>
      <c r="AD42" s="3" t="n">
        <v>4</v>
      </c>
      <c r="AE42" s="29" t="inlineStr">
        <is>
          <t>Gatecrash</t>
        </is>
      </c>
      <c r="AF42" s="29" t="inlineStr">
        <is>
          <t>Interaction</t>
        </is>
      </c>
      <c r="AG42" s="29" t="inlineStr">
        <is>
          <t>Returns all attacking creatures to their owners' hands</t>
        </is>
      </c>
      <c r="AH42" s="29" t="n"/>
      <c r="AI42" s="29" t="n"/>
      <c r="AJ42" s="2" t="inlineStr">
        <is>
          <t>Tuned add; bounce all attackers - token-swarm answer; Ordered 2026-09-02: TCGplayer $0.39 NM from NostalgiAtog</t>
        </is>
      </c>
    </row>
    <row r="43" ht="15" customHeight="1" s="79">
      <c r="A43" s="2" t="inlineStr">
        <is>
          <t>Anguished Unmaking</t>
        </is>
      </c>
      <c r="B43" s="2">
        <f>IF(AND(F43&lt;&gt;0,E43=F43),"In Hand",IF(AND(E43&lt;&gt;0,E43&lt;F43,SUM(M43:R43)=0,SUM(T43:Y43)&gt;0),"Extra-Sub",IF(AND(E43=0,E43&lt;F43,SUM(M43:R43)=0,SUM(T43:Y43)&gt;0),"Bench-Sub",IF(AND(E43=0,F43&gt;0),"Bench",IF(E43&lt;F43,"Extra",IF(AND(J43="",E43&gt;F43),"To Buy",IF(SUM(J43,F43)&lt;E43,"To Buy",IF(AND(SUM(J43,F43)&gt;=E43,J43&lt;&gt;""),"Ordered",IF(AND(E43=0,F43=0,D43="B3"),"B3 Option",IF(AND(E43=0,F43=0),"Remove","To Buy"))))))))))</f>
        <v/>
      </c>
      <c r="D43" t="inlineStr">
        <is>
          <t>B2</t>
        </is>
      </c>
      <c r="E43" s="3">
        <f>SUM(M43:S43)</f>
        <v/>
      </c>
      <c r="F43" s="3">
        <f>SUM(T43:Z43)</f>
        <v/>
      </c>
      <c r="G43" s="3">
        <f>IF((F43-E43)&gt;=0,F43-E43,0)</f>
        <v/>
      </c>
      <c r="H43" s="3">
        <f>MAX(0,$E43-$F43-$J43)</f>
        <v/>
      </c>
      <c r="I43" s="37" t="inlineStr">
        <is>
          <t>TCG</t>
        </is>
      </c>
      <c r="J43" s="3" t="n">
        <v>1</v>
      </c>
      <c r="K43" s="4" t="n">
        <v>1.46</v>
      </c>
      <c r="L43" s="4">
        <f>IF(AND($H43&gt;0,ISNUMBER($K43)),$H43*$K43,0)</f>
        <v/>
      </c>
      <c r="M43" s="3" t="n"/>
      <c r="N43" s="3" t="n"/>
      <c r="O43" s="3" t="n">
        <v>1</v>
      </c>
      <c r="P43" s="3" t="n">
        <v>1</v>
      </c>
      <c r="Q43" s="3" t="n"/>
      <c r="R43" s="3" t="n"/>
      <c r="S43" s="3">
        <f>IF(AND(J43&lt;&gt;"",SUM(M43:R43)=0),J43,"")</f>
        <v/>
      </c>
      <c r="T43" s="3" t="n"/>
      <c r="U43" s="3" t="n"/>
      <c r="V43" s="3" t="n">
        <v>1</v>
      </c>
      <c r="W43" s="3" t="n"/>
      <c r="X43" s="3" t="n"/>
      <c r="Y43" s="3" t="n"/>
      <c r="Z43" s="3" t="n"/>
      <c r="AA43" s="2" t="inlineStr">
        <is>
          <t>Instant</t>
        </is>
      </c>
      <c r="AB43" s="2" t="n"/>
      <c r="AC43" s="2" t="inlineStr">
        <is>
          <t>Multi</t>
        </is>
      </c>
      <c r="AD43" s="3" t="n">
        <v>3</v>
      </c>
      <c r="AE43" s="29" t="inlineStr">
        <is>
          <t>Shadows over Innistrad</t>
        </is>
      </c>
      <c r="AF43" s="29" t="inlineStr">
        <is>
          <t>Removal</t>
        </is>
      </c>
      <c r="AG43" s="29" t="inlineStr">
        <is>
          <t>Exiles target nonland permanent</t>
        </is>
      </c>
      <c r="AH43" s="29" t="inlineStr">
        <is>
          <t>You lose 3 life</t>
        </is>
      </c>
      <c r="AI43" s="29" t="n"/>
      <c r="AJ43" s="2" t="inlineStr">
        <is>
          <t>1 on order</t>
        </is>
      </c>
    </row>
    <row r="44" ht="15" customHeight="1" s="79">
      <c r="A44" s="2" t="inlineStr">
        <is>
          <t>Arboreal Grazer</t>
        </is>
      </c>
      <c r="B44" s="2">
        <f>IF(AND(F44&lt;&gt;0,E44=F44),"In Hand",IF(AND(E44&lt;&gt;0,E44&lt;F44,SUM(M44:R44)=0,SUM(T44:Y44)&gt;0),"Extra-Sub",IF(AND(E44=0,E44&lt;F44,SUM(M44:R44)=0,SUM(T44:Y44)&gt;0),"Bench-Sub",IF(AND(E44=0,F44&gt;0),"Bench",IF(E44&lt;F44,"Extra",IF(AND(J44="",E44&gt;F44),"To Buy",IF(SUM(J44,F44)&lt;E44,"To Buy",IF(AND(SUM(J44,F44)&gt;=E44,J44&lt;&gt;""),"Ordered",IF(AND(E44=0,F44=0,D44="B3"),"B3 Option",IF(AND(E44=0,F44=0),"Remove","To Buy"))))))))))</f>
        <v/>
      </c>
      <c r="D44" t="inlineStr">
        <is>
          <t>B2</t>
        </is>
      </c>
      <c r="E44" s="3">
        <f>SUM(M44:S44)</f>
        <v/>
      </c>
      <c r="F44" s="3">
        <f>SUM(T44:Z44)</f>
        <v/>
      </c>
      <c r="G44" s="3">
        <f>IF((F44-E44)&gt;=0,F44-E44,0)</f>
        <v/>
      </c>
      <c r="H44" s="3">
        <f>MAX(0,$E44-$F44-$J44)</f>
        <v/>
      </c>
      <c r="I44" s="37" t="inlineStr">
        <is>
          <t>TCG</t>
        </is>
      </c>
      <c r="J44" s="3" t="n">
        <v>1</v>
      </c>
      <c r="K44" s="4" t="n">
        <v>0.23</v>
      </c>
      <c r="L44" s="4">
        <f>IF(AND($H44&gt;0,ISNUMBER($K44)),$H44*$K44,0)</f>
        <v/>
      </c>
      <c r="M44" s="3" t="n"/>
      <c r="N44" s="3" t="n"/>
      <c r="O44" s="3" t="n"/>
      <c r="P44" s="3" t="n">
        <v>1</v>
      </c>
      <c r="Q44" s="3" t="n"/>
      <c r="R44" s="3" t="n"/>
      <c r="S44" s="3">
        <f>IF(AND(J44&lt;&gt;"",SUM(M44:R44)=0),J44,"")</f>
        <v/>
      </c>
      <c r="T44" s="3" t="n"/>
      <c r="U44" s="3" t="n"/>
      <c r="V44" s="3" t="n"/>
      <c r="W44" s="3" t="n"/>
      <c r="X44" s="3" t="n"/>
      <c r="Y44" s="3" t="n"/>
      <c r="Z44" s="3" t="n"/>
      <c r="AA44" s="2" t="inlineStr">
        <is>
          <t>Creature</t>
        </is>
      </c>
      <c r="AB44" s="2" t="inlineStr">
        <is>
          <t>Sloth Beast</t>
        </is>
      </c>
      <c r="AC44" s="2" t="inlineStr">
        <is>
          <t>G</t>
        </is>
      </c>
      <c r="AD44" s="3" t="n">
        <v>1</v>
      </c>
      <c r="AE44" s="29" t="inlineStr">
        <is>
          <t>War of the Spark</t>
        </is>
      </c>
      <c r="AF44" s="29" t="inlineStr">
        <is>
          <t>Ramp</t>
        </is>
      </c>
      <c r="AG44" s="29" t="inlineStr">
        <is>
          <t>Puts a land from your hand onto the battlefield tapped, on ETB</t>
        </is>
      </c>
      <c r="AH44" s="29" t="inlineStr">
        <is>
          <t>Reach body</t>
        </is>
      </c>
      <c r="AI44" s="29" t="n"/>
      <c r="AJ44" s="2" t="n"/>
    </row>
    <row r="45" ht="15" customHeight="1" s="79">
      <c r="A45" s="2" t="inlineStr">
        <is>
          <t>Argentum Masticore</t>
        </is>
      </c>
      <c r="B45" s="2">
        <f>IF(AND(F45&lt;&gt;0,E45=F45),"In Hand",IF(AND(E45&lt;&gt;0,E45&lt;F45,SUM(M45:R45)=0,SUM(T45:Y45)&gt;0),"Extra-Sub",IF(AND(E45=0,E45&lt;F45,SUM(M45:R45)=0,SUM(T45:Y45)&gt;0),"Bench-Sub",IF(AND(E45=0,F45&gt;0),"Bench",IF(E45&lt;F45,"Extra",IF(AND(J45="",E45&gt;F45),"To Buy",IF(SUM(J45,F45)&lt;E45,"To Buy",IF(AND(SUM(J45,F45)&gt;=E45,J45&lt;&gt;""),"Ordered",IF(AND(E45=0,F45=0,D45="B3"),"B3 Option",IF(AND(E45=0,F45=0),"Remove","To Buy"))))))))))</f>
        <v/>
      </c>
      <c r="D45" t="inlineStr">
        <is>
          <t>B2</t>
        </is>
      </c>
      <c r="E45" s="3">
        <f>SUM(M45:S45)</f>
        <v/>
      </c>
      <c r="F45" s="3">
        <f>SUM(T45:Z45)</f>
        <v/>
      </c>
      <c r="G45" s="3">
        <f>IF((F45-E45)&gt;=0,F45-E45,0)</f>
        <v/>
      </c>
      <c r="H45" s="3">
        <f>MAX(0,$E45-$F45-$J45)</f>
        <v/>
      </c>
      <c r="I45" s="37" t="inlineStr">
        <is>
          <t>TCG</t>
        </is>
      </c>
      <c r="J45" s="3" t="n">
        <v>1</v>
      </c>
      <c r="K45" s="4" t="n">
        <v>0.32</v>
      </c>
      <c r="L45" s="4">
        <f>IF(AND($H45&gt;0,ISNUMBER($K45)),$H45*$K45,0)</f>
        <v/>
      </c>
      <c r="M45" s="3" t="n"/>
      <c r="N45" s="3" t="n"/>
      <c r="O45" s="3" t="n"/>
      <c r="P45" s="3" t="n"/>
      <c r="Q45" s="3" t="n">
        <v>1</v>
      </c>
      <c r="R45" s="3" t="n"/>
      <c r="S45" s="3">
        <f>IF(AND(J45&lt;&gt;"",SUM(M45:R45)=0),J45,"")</f>
        <v/>
      </c>
      <c r="T45" s="3" t="n"/>
      <c r="U45" s="3" t="n"/>
      <c r="V45" s="3" t="n"/>
      <c r="W45" s="3" t="n"/>
      <c r="X45" s="3" t="n"/>
      <c r="Y45" s="3" t="n"/>
      <c r="Z45" s="3" t="n"/>
      <c r="AA45" s="2" t="inlineStr">
        <is>
          <t>Artifact Creature</t>
        </is>
      </c>
      <c r="AB45" s="2" t="inlineStr">
        <is>
          <t>Phyrexian Masticore</t>
        </is>
      </c>
      <c r="AC45" s="2" t="inlineStr">
        <is>
          <t>C</t>
        </is>
      </c>
      <c r="AD45" s="3" t="n">
        <v>5</v>
      </c>
      <c r="AE45" s="29" t="inlineStr">
        <is>
          <t>Phyrexia: All Will Be One</t>
        </is>
      </c>
      <c r="AF45" s="29" t="inlineStr">
        <is>
          <t>Removal</t>
        </is>
      </c>
      <c r="AG45" s="29" t="inlineStr">
        <is>
          <t>Discard a card each upkeep or sacrifice this creature</t>
        </is>
      </c>
      <c r="AH45" s="29" t="inlineStr">
        <is>
          <t>Discarding destroys an opponent's permanent MV ≤ the discarded card</t>
        </is>
      </c>
      <c r="AI45" s="29" t="inlineStr">
        <is>
          <t>First strike, protection from multicolored body</t>
        </is>
      </c>
      <c r="AJ45" s="2" t="n"/>
    </row>
    <row r="46" ht="15" customHeight="1" s="79">
      <c r="A46" s="2" t="inlineStr">
        <is>
          <t>Artisan of Kozilek</t>
        </is>
      </c>
      <c r="B46" s="2">
        <f>IF(AND(F46&lt;&gt;0,E46=F46),"In Hand",IF(AND(E46&lt;&gt;0,E46&lt;F46,SUM(M46:R46)=0,SUM(T46:Y46)&gt;0),"Extra-Sub",IF(AND(E46=0,E46&lt;F46,SUM(M46:R46)=0,SUM(T46:Y46)&gt;0),"Bench-Sub",IF(AND(E46=0,F46&gt;0),"Bench",IF(E46&lt;F46,"Extra",IF(AND(J46="",E46&gt;F46),"To Buy",IF(SUM(J46,F46)&lt;E46,"To Buy",IF(AND(SUM(J46,F46)&gt;=E46,J46&lt;&gt;""),"Ordered",IF(AND(E46=0,F46=0,D46="B3"),"B3 Option",IF(AND(E46=0,F46=0),"Remove","To Buy"))))))))))</f>
        <v/>
      </c>
      <c r="D46" t="inlineStr">
        <is>
          <t>B2</t>
        </is>
      </c>
      <c r="E46" s="3">
        <f>SUM(M46:S46)</f>
        <v/>
      </c>
      <c r="F46" s="3">
        <f>SUM(T46:Z46)</f>
        <v/>
      </c>
      <c r="G46" s="3">
        <f>IF((F46-E46)&gt;=0,F46-E46,0)</f>
        <v/>
      </c>
      <c r="H46" s="3">
        <f>MAX(0,$E46-$F46-$J46)</f>
        <v/>
      </c>
      <c r="I46" s="37" t="inlineStr">
        <is>
          <t>TCG</t>
        </is>
      </c>
      <c r="J46" s="3" t="n">
        <v>1</v>
      </c>
      <c r="K46" s="4" t="n"/>
      <c r="L46" s="4">
        <f>IF(AND($H46&gt;0,ISNUMBER($K46)),$H46*$K46,0)</f>
        <v/>
      </c>
      <c r="M46" s="3" t="n"/>
      <c r="N46" s="3" t="n"/>
      <c r="O46" s="3" t="n"/>
      <c r="P46" s="3" t="n"/>
      <c r="Q46" s="3" t="n"/>
      <c r="R46" s="3" t="n"/>
      <c r="S46" s="3">
        <f>IF(AND(J46&lt;&gt;"",SUM(M46:R46)=0),J46,"")</f>
        <v/>
      </c>
      <c r="T46" s="3" t="n"/>
      <c r="U46" s="3" t="n"/>
      <c r="V46" s="3" t="n"/>
      <c r="W46" s="3" t="n"/>
      <c r="X46" s="3" t="n"/>
      <c r="Y46" s="3" t="n"/>
      <c r="Z46" s="3" t="n"/>
      <c r="AA46" s="2" t="inlineStr">
        <is>
          <t>?</t>
        </is>
      </c>
      <c r="AB46" s="2" t="inlineStr">
        <is>
          <t>Eldrazi</t>
        </is>
      </c>
      <c r="AC46" s="2" t="inlineStr">
        <is>
          <t>C</t>
        </is>
      </c>
      <c r="AD46" s="3" t="n">
        <v>9</v>
      </c>
      <c r="AE46" s="29" t="inlineStr">
        <is>
          <t>Rise of the Eldrazi</t>
        </is>
      </c>
      <c r="AF46" s="29" t="inlineStr">
        <is>
          <t>Reanimation</t>
        </is>
      </c>
      <c r="AG46" s="29" t="inlineStr">
        <is>
          <t>Returns a creature card from graveyard to battlefield when cast</t>
        </is>
      </c>
      <c r="AH46" s="29" t="inlineStr">
        <is>
          <t>Annihilator 2 (opponent sacrifices two permanents when it attacks)</t>
        </is>
      </c>
      <c r="AI46" s="29" t="inlineStr">
        <is>
          <t>9-mana Eldrazi body</t>
        </is>
      </c>
      <c r="AJ46" s="2" t="inlineStr">
        <is>
          <t>arrives -&gt; Bench (slot was upgraded)</t>
        </is>
      </c>
    </row>
    <row r="47" ht="15" customHeight="1" s="79">
      <c r="A47" s="2" t="inlineStr">
        <is>
          <t>Ash Barrens</t>
        </is>
      </c>
      <c r="B47" s="2">
        <f>IF(AND(F47&lt;&gt;0,E47=F47),"In Hand",IF(AND(E47&lt;&gt;0,E47&lt;F47,SUM(M47:R47)=0,SUM(T47:Y47)&gt;0),"Extra-Sub",IF(AND(E47=0,E47&lt;F47,SUM(M47:R47)=0,SUM(T47:Y47)&gt;0),"Bench-Sub",IF(AND(E47=0,F47&gt;0),"Bench",IF(E47&lt;F47,"Extra",IF(AND(J47="",E47&gt;F47),"To Buy",IF(SUM(J47,F47)&lt;E47,"To Buy",IF(AND(SUM(J47,F47)&gt;=E47,J47&lt;&gt;""),"Ordered",IF(AND(E47=0,F47=0,D47="B3"),"B3 Option",IF(AND(E47=0,F47=0),"Remove","To Buy"))))))))))</f>
        <v/>
      </c>
      <c r="D47" t="inlineStr">
        <is>
          <t>B2</t>
        </is>
      </c>
      <c r="E47" s="3">
        <f>SUM(M47:S47)</f>
        <v/>
      </c>
      <c r="F47" s="3">
        <f>SUM(T47:Z47)</f>
        <v/>
      </c>
      <c r="G47" s="3">
        <f>IF((F47-E47)&gt;=0,F47-E47,0)</f>
        <v/>
      </c>
      <c r="H47" s="3">
        <f>MAX(0,$E47-$F47-$J47)</f>
        <v/>
      </c>
      <c r="I47" s="37" t="inlineStr">
        <is>
          <t>TCG</t>
        </is>
      </c>
      <c r="J47" s="3" t="n">
        <v>1</v>
      </c>
      <c r="K47" s="4" t="n">
        <v>0.25</v>
      </c>
      <c r="L47" s="4">
        <f>IF(AND($H47&gt;0,ISNUMBER($K47)),$H47*$K47,0)</f>
        <v/>
      </c>
      <c r="M47" s="3" t="n"/>
      <c r="N47" s="3" t="n"/>
      <c r="O47" s="3" t="n"/>
      <c r="P47" s="3" t="n">
        <v>1</v>
      </c>
      <c r="Q47" s="3" t="n"/>
      <c r="R47" s="3" t="n"/>
      <c r="S47" s="3">
        <f>IF(AND(J47&lt;&gt;"",SUM(M47:R47)=0),J47,"")</f>
        <v/>
      </c>
      <c r="T47" s="3" t="n"/>
      <c r="U47" s="3" t="n"/>
      <c r="V47" s="3" t="n"/>
      <c r="W47" s="3" t="n"/>
      <c r="X47" s="3" t="n"/>
      <c r="Y47" s="3" t="n"/>
      <c r="Z47" s="3" t="n"/>
      <c r="AA47" s="2" t="inlineStr">
        <is>
          <t>Land</t>
        </is>
      </c>
      <c r="AB47" s="2" t="n"/>
      <c r="AC47" s="2" t="inlineStr">
        <is>
          <t>L</t>
        </is>
      </c>
      <c r="AD47" s="3" t="n">
        <v>0</v>
      </c>
      <c r="AE47" s="29" t="inlineStr">
        <is>
          <t>Commander 2016</t>
        </is>
      </c>
      <c r="AF47" s="29" t="inlineStr">
        <is>
          <t>Land</t>
        </is>
      </c>
      <c r="AG47" s="29" t="inlineStr">
        <is>
          <t>Taps for {C}</t>
        </is>
      </c>
      <c r="AH47" s="29" t="inlineStr">
        <is>
          <t>Basic landcycling {1}: discard to fetch a basic land</t>
        </is>
      </c>
      <c r="AI47" s="29" t="n"/>
      <c r="AJ47" s="2" t="n"/>
    </row>
    <row r="48" ht="15" customHeight="1" s="79">
      <c r="A48" s="2" t="inlineStr">
        <is>
          <t>Assault Formation</t>
        </is>
      </c>
      <c r="B48" s="2">
        <f>IF(AND(F48&lt;&gt;0,E48=F48),"In Hand",IF(AND(E48&lt;&gt;0,E48&lt;F48,SUM(M48:R48)=0,SUM(T48:Y48)&gt;0),"Extra-Sub",IF(AND(E48=0,E48&lt;F48,SUM(M48:R48)=0,SUM(T48:Y48)&gt;0),"Bench-Sub",IF(AND(E48=0,F48&gt;0),"Bench",IF(E48&lt;F48,"Extra",IF(AND(J48="",E48&gt;F48),"To Buy",IF(SUM(J48,F48)&lt;E48,"To Buy",IF(AND(SUM(J48,F48)&gt;=E48,J48&lt;&gt;""),"Ordered",IF(AND(E48=0,F48=0,D48="B3"),"B3 Option",IF(AND(E48=0,F48=0),"Remove","To Buy"))))))))))</f>
        <v/>
      </c>
      <c r="D48" t="inlineStr">
        <is>
          <t>B2</t>
        </is>
      </c>
      <c r="E48" s="3">
        <f>SUM(M48:S48)</f>
        <v/>
      </c>
      <c r="F48" s="3">
        <f>SUM(T48:Z48)</f>
        <v/>
      </c>
      <c r="G48" s="3">
        <f>IF((F48-E48)&gt;=0,F48-E48,0)</f>
        <v/>
      </c>
      <c r="H48" s="3">
        <f>MAX(0,$E48-$F48-$J48)</f>
        <v/>
      </c>
      <c r="I48" s="37" t="inlineStr">
        <is>
          <t>TCG</t>
        </is>
      </c>
      <c r="J48" s="3" t="n">
        <v>1</v>
      </c>
      <c r="K48" s="4" t="n">
        <v>0.72</v>
      </c>
      <c r="L48" s="4">
        <f>IF(AND($H48&gt;0,ISNUMBER($K48)),$H48*$K48,0)</f>
        <v/>
      </c>
      <c r="M48" s="3" t="n"/>
      <c r="N48" s="3" t="n"/>
      <c r="O48" s="3" t="n"/>
      <c r="P48" s="3" t="n">
        <v>1</v>
      </c>
      <c r="Q48" s="3" t="n"/>
      <c r="R48" s="3" t="n"/>
      <c r="S48" s="3">
        <f>IF(AND(J48&lt;&gt;"",SUM(M48:R48)=0),J48,"")</f>
        <v/>
      </c>
      <c r="T48" s="3" t="n"/>
      <c r="U48" s="3" t="n"/>
      <c r="V48" s="3" t="n"/>
      <c r="W48" s="3" t="n"/>
      <c r="X48" s="3" t="n"/>
      <c r="Y48" s="3" t="n"/>
      <c r="Z48" s="3" t="n"/>
      <c r="AA48" s="2" t="inlineStr">
        <is>
          <t>Enchantment</t>
        </is>
      </c>
      <c r="AB48" s="2" t="n"/>
      <c r="AC48" s="2" t="inlineStr">
        <is>
          <t>G</t>
        </is>
      </c>
      <c r="AD48" s="3" t="n">
        <v>2</v>
      </c>
      <c r="AE48" s="29" t="inlineStr">
        <is>
          <t>Dragons of Tarkir</t>
        </is>
      </c>
      <c r="AF48" s="29" t="inlineStr">
        <is>
          <t>Toughness Payoff</t>
        </is>
      </c>
      <c r="AG48" s="29" t="inlineStr">
        <is>
          <t>Your creatures assign combat damage equal to toughness rather than power</t>
        </is>
      </c>
      <c r="AH48" s="29" t="inlineStr">
        <is>
          <t>{G}: Target defender can attack this turn</t>
        </is>
      </c>
      <c r="AI48" s="29" t="inlineStr">
        <is>
          <t>{2}{G}: Creatures you control get +0/+1</t>
        </is>
      </c>
      <c r="AJ48" s="2" t="n"/>
    </row>
    <row r="49" ht="15" customHeight="1" s="79">
      <c r="A49" s="2" t="inlineStr">
        <is>
          <t>Azorius Chancery</t>
        </is>
      </c>
      <c r="B49" s="2">
        <f>IF(AND(F49&lt;&gt;0,E49=F49),"In Hand",IF(AND(E49&lt;&gt;0,E49&lt;F49,SUM(M49:R49)=0,SUM(T49:Y49)&gt;0),"Extra-Sub",IF(AND(E49=0,E49&lt;F49,SUM(M49:R49)=0,SUM(T49:Y49)&gt;0),"Bench-Sub",IF(AND(E49=0,F49&gt;0),"Bench",IF(E49&lt;F49,"Extra",IF(AND(J49="",E49&gt;F49),"To Buy",IF(SUM(J49,F49)&lt;E49,"To Buy",IF(AND(SUM(J49,F49)&gt;=E49,J49&lt;&gt;""),"Ordered",IF(AND(E49=0,F49=0,D49="B3"),"B3 Option",IF(AND(E49=0,F49=0),"Remove","To Buy"))))))))))</f>
        <v/>
      </c>
      <c r="D49" t="inlineStr">
        <is>
          <t>B2</t>
        </is>
      </c>
      <c r="E49" s="3">
        <f>SUM(M49:S49)</f>
        <v/>
      </c>
      <c r="F49" s="3">
        <f>SUM(T49:Z49)</f>
        <v/>
      </c>
      <c r="G49" s="3">
        <f>IF((F49-E49)&gt;=0,F49-E49,0)</f>
        <v/>
      </c>
      <c r="H49" s="3">
        <f>MAX(0,$E49-$F49-$J49)</f>
        <v/>
      </c>
      <c r="I49" s="37" t="inlineStr">
        <is>
          <t>TCG</t>
        </is>
      </c>
      <c r="J49" s="3" t="n">
        <v>1</v>
      </c>
      <c r="K49" s="4" t="n">
        <v>0.32</v>
      </c>
      <c r="L49" s="4">
        <f>IF(AND($H49&gt;0,ISNUMBER($K49)),$H49*$K49,0)</f>
        <v/>
      </c>
      <c r="M49" s="3" t="n"/>
      <c r="N49" s="3" t="n">
        <v>1</v>
      </c>
      <c r="O49" s="3" t="n"/>
      <c r="P49" s="3" t="n"/>
      <c r="Q49" s="3" t="n"/>
      <c r="R49" s="3" t="n"/>
      <c r="S49" s="3">
        <f>IF(AND(J49&lt;&gt;"",SUM(M49:R49)=0),J49,"")</f>
        <v/>
      </c>
      <c r="T49" s="3" t="n"/>
      <c r="U49" s="3" t="n"/>
      <c r="V49" s="3" t="n"/>
      <c r="W49" s="3" t="n"/>
      <c r="X49" s="3" t="n"/>
      <c r="Y49" s="3" t="n"/>
      <c r="Z49" s="3" t="n"/>
      <c r="AA49" s="2" t="inlineStr">
        <is>
          <t>Land</t>
        </is>
      </c>
      <c r="AB49" s="2" t="n"/>
      <c r="AC49" s="2" t="inlineStr">
        <is>
          <t>L</t>
        </is>
      </c>
      <c r="AD49" s="3" t="n">
        <v>0</v>
      </c>
      <c r="AE49" s="29" t="inlineStr">
        <is>
          <t>Dissension</t>
        </is>
      </c>
      <c r="AF49" s="29" t="inlineStr">
        <is>
          <t>Land</t>
        </is>
      </c>
      <c r="AG49" s="29" t="inlineStr">
        <is>
          <t>Taps for {W}{U}</t>
        </is>
      </c>
      <c r="AH49" s="29" t="inlineStr">
        <is>
          <t>Enters tapped; bounces a land you control when it enters</t>
        </is>
      </c>
      <c r="AI49" s="29" t="n"/>
      <c r="AJ49" s="2" t="inlineStr">
        <is>
          <t>Tuned add</t>
        </is>
      </c>
    </row>
    <row r="50" ht="15" customHeight="1" s="79">
      <c r="A50" s="2" t="inlineStr">
        <is>
          <t>Azorius Signet</t>
        </is>
      </c>
      <c r="B50" s="2">
        <f>IF(AND(F50&lt;&gt;0,E50=F50),"In Hand",IF(AND(E50&lt;&gt;0,E50&lt;F50,SUM(M50:R50)=0,SUM(T50:Y50)&gt;0),"Extra-Sub",IF(AND(E50=0,E50&lt;F50,SUM(M50:R50)=0,SUM(T50:Y50)&gt;0),"Bench-Sub",IF(AND(E50=0,F50&gt;0),"Bench",IF(E50&lt;F50,"Extra",IF(AND(J50="",E50&gt;F50),"To Buy",IF(SUM(J50,F50)&lt;E50,"To Buy",IF(AND(SUM(J50,F50)&gt;=E50,J50&lt;&gt;""),"Ordered",IF(AND(E50=0,F50=0,D50="B3"),"B3 Option",IF(AND(E50=0,F50=0),"Remove","To Buy"))))))))))</f>
        <v/>
      </c>
      <c r="D50" t="inlineStr">
        <is>
          <t>B2</t>
        </is>
      </c>
      <c r="E50" s="3">
        <f>SUM(M50:S50)</f>
        <v/>
      </c>
      <c r="F50" s="3">
        <f>SUM(T50:Z50)</f>
        <v/>
      </c>
      <c r="G50" s="3">
        <f>IF((F50-E50)&gt;=0,F50-E50,0)</f>
        <v/>
      </c>
      <c r="H50" s="3">
        <f>MAX(0,$E50-$F50-$J50)</f>
        <v/>
      </c>
      <c r="I50" s="3" t="inlineStr">
        <is>
          <t>TCG</t>
        </is>
      </c>
      <c r="J50" s="3" t="n">
        <v>1</v>
      </c>
      <c r="K50" s="4" t="n">
        <v>0.3</v>
      </c>
      <c r="L50" s="4">
        <f>IF(AND($H50&gt;0,ISNUMBER($K50)),$H50*$K50,0)</f>
        <v/>
      </c>
      <c r="M50" s="3" t="n"/>
      <c r="N50" s="3" t="n"/>
      <c r="O50" s="3" t="n">
        <v>1</v>
      </c>
      <c r="P50" s="3" t="n"/>
      <c r="Q50" s="3" t="n"/>
      <c r="R50" s="3" t="n"/>
      <c r="S50" s="3">
        <f>IF(AND(J50&lt;&gt;"",SUM(M50:R50)=0),J50,"")</f>
        <v/>
      </c>
      <c r="T50" s="3" t="n"/>
      <c r="U50" s="3" t="n"/>
      <c r="V50" s="3" t="n"/>
      <c r="W50" s="3" t="n"/>
      <c r="X50" s="3" t="n"/>
      <c r="Y50" s="3" t="n"/>
      <c r="Z50" s="3" t="n"/>
      <c r="AA50" s="2" t="inlineStr">
        <is>
          <t>Artifact</t>
        </is>
      </c>
      <c r="AB50" s="2" t="n"/>
      <c r="AC50" s="2" t="inlineStr">
        <is>
          <t>Multi</t>
        </is>
      </c>
      <c r="AD50" s="3" t="n">
        <v>2</v>
      </c>
      <c r="AE50" s="29" t="inlineStr">
        <is>
          <t>Dissension</t>
        </is>
      </c>
      <c r="AF50" s="29" t="inlineStr">
        <is>
          <t>Mana Rock</t>
        </is>
      </c>
      <c r="AG50" s="29" t="inlineStr">
        <is>
          <t>{1}, tap: add {W}{U}</t>
        </is>
      </c>
      <c r="AH50" s="29" t="n"/>
      <c r="AI50" s="29" t="n"/>
      <c r="AJ50" s="2" t="inlineStr">
        <is>
          <t>Tuned add; mana fixing; Ordered 2026-09-02: TCGplayer $0.25 NM from NostalgiAtog</t>
        </is>
      </c>
    </row>
    <row r="51" ht="15" customHeight="1" s="79">
      <c r="A51" s="2" t="inlineStr">
        <is>
          <t>Bastion of Remembrance</t>
        </is>
      </c>
      <c r="B51" s="2">
        <f>IF(AND(F51&lt;&gt;0,E51=F51),"In Hand",IF(AND(E51&lt;&gt;0,E51&lt;F51,SUM(M51:R51)=0,SUM(T51:Y51)&gt;0),"Extra-Sub",IF(AND(E51=0,E51&lt;F51,SUM(M51:R51)=0,SUM(T51:Y51)&gt;0),"Bench-Sub",IF(AND(E51=0,F51&gt;0),"Bench",IF(E51&lt;F51,"Extra",IF(AND(J51="",E51&gt;F51),"To Buy",IF(SUM(J51,F51)&lt;E51,"To Buy",IF(AND(SUM(J51,F51)&gt;=E51,J51&lt;&gt;""),"Ordered",IF(AND(E51=0,F51=0,D51="B3"),"B3 Option",IF(AND(E51=0,F51=0),"Remove","To Buy"))))))))))</f>
        <v/>
      </c>
      <c r="D51" t="inlineStr">
        <is>
          <t>B2</t>
        </is>
      </c>
      <c r="E51" s="3">
        <f>SUM(M51:S51)</f>
        <v/>
      </c>
      <c r="F51" s="3">
        <f>SUM(T51:Z51)</f>
        <v/>
      </c>
      <c r="G51" s="3">
        <f>IF((F51-E51)&gt;=0,F51-E51,0)</f>
        <v/>
      </c>
      <c r="H51" s="3">
        <f>MAX(0,$E51-$F51-$J51)</f>
        <v/>
      </c>
      <c r="I51" s="3" t="inlineStr">
        <is>
          <t>TCG</t>
        </is>
      </c>
      <c r="J51" s="3" t="n">
        <v>1</v>
      </c>
      <c r="K51" s="4" t="n">
        <v>0.36</v>
      </c>
      <c r="L51" s="4">
        <f>IF(AND($H51&gt;0,ISNUMBER($K51)),$H51*$K51,0)</f>
        <v/>
      </c>
      <c r="M51" s="3" t="n"/>
      <c r="N51" s="3" t="n"/>
      <c r="O51" s="3" t="n"/>
      <c r="P51" s="3" t="n"/>
      <c r="Q51" s="3" t="n">
        <v>1</v>
      </c>
      <c r="R51" s="3" t="n"/>
      <c r="S51" s="3">
        <f>IF(AND(J51&lt;&gt;"",SUM(M51:R51)=0),J51,"")</f>
        <v/>
      </c>
      <c r="T51" s="3" t="n"/>
      <c r="U51" s="3" t="n"/>
      <c r="V51" s="3" t="n"/>
      <c r="W51" s="3" t="n"/>
      <c r="X51" s="3" t="n"/>
      <c r="Y51" s="3" t="n"/>
      <c r="Z51" s="3" t="n"/>
      <c r="AA51" s="2" t="inlineStr">
        <is>
          <t>Enchantment</t>
        </is>
      </c>
      <c r="AB51" s="2" t="n"/>
      <c r="AC51" s="2" t="inlineStr">
        <is>
          <t>B</t>
        </is>
      </c>
      <c r="AD51" s="3" t="n">
        <v>3</v>
      </c>
      <c r="AE51" s="29" t="inlineStr">
        <is>
          <t>Ikoria: Lair of Behemoths</t>
        </is>
      </c>
      <c r="AF51" s="29" t="inlineStr">
        <is>
          <t>Drain Payoff</t>
        </is>
      </c>
      <c r="AG51" s="29" t="inlineStr">
        <is>
          <t>Whenever a creature you control dies, each opponent loses 1 life and you gain 1 life</t>
        </is>
      </c>
      <c r="AH51" s="29" t="inlineStr">
        <is>
          <t>Creates a 1/1 Human Soldier token when it enters</t>
        </is>
      </c>
      <c r="AI51" s="29" t="n"/>
      <c r="AJ51" s="2" t="inlineStr">
        <is>
          <t>Ordered 2026-09-02: TCGplayer $0.31 NM from NostalgiAtog</t>
        </is>
      </c>
    </row>
    <row r="52" ht="15" customHeight="1" s="79">
      <c r="A52" s="2" t="inlineStr">
        <is>
          <t>Beetleback Chief</t>
        </is>
      </c>
      <c r="B52" s="2">
        <f>IF(AND(F52&lt;&gt;0,E52=F52),"In Hand",IF(AND(E52&lt;&gt;0,E52&lt;F52,SUM(M52:R52)=0,SUM(T52:Y52)&gt;0),"Extra-Sub",IF(AND(E52=0,E52&lt;F52,SUM(M52:R52)=0,SUM(T52:Y52)&gt;0),"Bench-Sub",IF(AND(E52=0,F52&gt;0),"Bench",IF(E52&lt;F52,"Extra",IF(AND(J52="",E52&gt;F52),"To Buy",IF(SUM(J52,F52)&lt;E52,"To Buy",IF(AND(SUM(J52,F52)&gt;=E52,J52&lt;&gt;""),"Ordered",IF(AND(E52=0,F52=0,D52="B3"),"B3 Option",IF(AND(E52=0,F52=0),"Remove","To Buy"))))))))))</f>
        <v/>
      </c>
      <c r="D52" t="inlineStr">
        <is>
          <t>B2</t>
        </is>
      </c>
      <c r="E52" s="3">
        <f>SUM(M52:S52)</f>
        <v/>
      </c>
      <c r="F52" s="3">
        <f>SUM(T52:Z52)</f>
        <v/>
      </c>
      <c r="G52" s="3">
        <f>IF((F52-E52)&gt;=0,F52-E52,0)</f>
        <v/>
      </c>
      <c r="H52" s="3">
        <f>MAX(0,$E52-$F52-$J52)</f>
        <v/>
      </c>
      <c r="I52" s="3" t="inlineStr">
        <is>
          <t>TCG</t>
        </is>
      </c>
      <c r="J52" s="3" t="n">
        <v>1</v>
      </c>
      <c r="K52" s="4" t="n">
        <v>0.31</v>
      </c>
      <c r="L52" s="4">
        <f>IF(AND($H52&gt;0,ISNUMBER($K52)),$H52*$K52,0)</f>
        <v/>
      </c>
      <c r="M52" s="3" t="n"/>
      <c r="N52" s="3" t="n"/>
      <c r="O52" s="3" t="n"/>
      <c r="P52" s="3" t="n"/>
      <c r="Q52" s="3" t="n"/>
      <c r="R52" s="3" t="n">
        <v>1</v>
      </c>
      <c r="S52" s="3">
        <f>IF(AND(J52&lt;&gt;"",SUM(M52:R52)=0),J52,"")</f>
        <v/>
      </c>
      <c r="T52" s="3" t="n"/>
      <c r="U52" s="3" t="n"/>
      <c r="V52" s="3" t="n"/>
      <c r="W52" s="3" t="n"/>
      <c r="X52" s="3" t="n"/>
      <c r="Y52" s="3" t="n"/>
      <c r="Z52" s="3" t="n"/>
      <c r="AA52" s="2" t="inlineStr">
        <is>
          <t>Creature</t>
        </is>
      </c>
      <c r="AB52" s="2" t="inlineStr">
        <is>
          <t>Goblin Warrior</t>
        </is>
      </c>
      <c r="AC52" s="2" t="inlineStr">
        <is>
          <t>R</t>
        </is>
      </c>
      <c r="AD52" s="3" t="n">
        <v>4</v>
      </c>
      <c r="AE52" s="29" t="inlineStr">
        <is>
          <t>Planechase 2012</t>
        </is>
      </c>
      <c r="AF52" s="29" t="inlineStr">
        <is>
          <t>Token Producer</t>
        </is>
      </c>
      <c r="AG52" s="29" t="inlineStr">
        <is>
          <t>Creates two 1/1 Goblin tokens when it enters</t>
        </is>
      </c>
      <c r="AH52" s="29" t="n"/>
      <c r="AI52" s="29" t="n"/>
      <c r="AJ52" s="2" t="inlineStr">
        <is>
          <t>Ordered 2026-09-02: TCGplayer $0.24 LP from The WKGR Online</t>
        </is>
      </c>
    </row>
    <row r="53" ht="15" customHeight="1" s="79">
      <c r="A53" s="2" t="inlineStr">
        <is>
          <t>Big Score</t>
        </is>
      </c>
      <c r="B53" s="2">
        <f>IF(AND(F53&lt;&gt;0,E53=F53),"In Hand",IF(AND(E53&lt;&gt;0,E53&lt;F53,SUM(M53:R53)=0,SUM(T53:Y53)&gt;0),"Extra-Sub",IF(AND(E53=0,E53&lt;F53,SUM(M53:R53)=0,SUM(T53:Y53)&gt;0),"Bench-Sub",IF(AND(E53=0,F53&gt;0),"Bench",IF(E53&lt;F53,"Extra",IF(AND(J53="",E53&gt;F53),"To Buy",IF(SUM(J53,F53)&lt;E53,"To Buy",IF(AND(SUM(J53,F53)&gt;=E53,J53&lt;&gt;""),"Ordered",IF(AND(E53=0,F53=0,D53="B3"),"B3 Option",IF(AND(E53=0,F53=0),"Remove","To Buy"))))))))))</f>
        <v/>
      </c>
      <c r="D53" t="inlineStr">
        <is>
          <t>B2</t>
        </is>
      </c>
      <c r="E53" s="3">
        <f>SUM(M53:S53)</f>
        <v/>
      </c>
      <c r="F53" s="3">
        <f>SUM(T53:Z53)</f>
        <v/>
      </c>
      <c r="G53" s="3">
        <f>IF((F53-E53)&gt;=0,F53-E53,0)</f>
        <v/>
      </c>
      <c r="H53" s="3">
        <f>MAX(0,$E53-$F53-$J53)</f>
        <v/>
      </c>
      <c r="I53" s="3" t="inlineStr">
        <is>
          <t>TCG</t>
        </is>
      </c>
      <c r="J53" s="3" t="n">
        <v>1</v>
      </c>
      <c r="K53" s="4" t="n">
        <v>0.45</v>
      </c>
      <c r="L53" s="4">
        <f>IF(AND($H53&gt;0,ISNUMBER($K53)),$H53*$K53,0)</f>
        <v/>
      </c>
      <c r="M53" s="3" t="n"/>
      <c r="N53" s="3" t="n"/>
      <c r="O53" s="3" t="n"/>
      <c r="P53" s="3" t="n"/>
      <c r="Q53" s="3" t="n"/>
      <c r="R53" s="3" t="n">
        <v>1</v>
      </c>
      <c r="S53" s="3">
        <f>IF(AND(J53&lt;&gt;"",SUM(M53:R53)=0),J53,"")</f>
        <v/>
      </c>
      <c r="T53" s="3" t="n"/>
      <c r="U53" s="3" t="n"/>
      <c r="V53" s="3" t="n"/>
      <c r="W53" s="3" t="n"/>
      <c r="X53" s="3" t="n"/>
      <c r="Y53" s="3" t="n"/>
      <c r="Z53" s="3" t="n"/>
      <c r="AA53" s="2" t="inlineStr">
        <is>
          <t>Instant</t>
        </is>
      </c>
      <c r="AB53" s="2" t="n"/>
      <c r="AC53" s="2" t="inlineStr">
        <is>
          <t>R</t>
        </is>
      </c>
      <c r="AD53" s="3" t="n">
        <v>4</v>
      </c>
      <c r="AE53" s="29" t="inlineStr">
        <is>
          <t>Streets of New Capenna</t>
        </is>
      </c>
      <c r="AF53" s="29" t="inlineStr">
        <is>
          <t>Card Draw</t>
        </is>
      </c>
      <c r="AG53" s="29" t="inlineStr">
        <is>
          <t>Discard a card to draw two cards and create two Treasure tokens</t>
        </is>
      </c>
      <c r="AH53" s="29" t="n"/>
      <c r="AI53" s="29" t="n"/>
      <c r="AJ53" s="2" t="inlineStr">
        <is>
          <t>Ordered 2026-09-02: TCGplayer $1.33 LPF from The WKGR Online</t>
        </is>
      </c>
    </row>
    <row r="54" ht="15" customHeight="1" s="79">
      <c r="A54" s="2" t="inlineStr">
        <is>
          <t>Blasphemous Act</t>
        </is>
      </c>
      <c r="B54" s="2">
        <f>IF(AND(F54&lt;&gt;0,E54=F54),"In Hand",IF(AND(E54&lt;&gt;0,E54&lt;F54,SUM(M54:R54)=0,SUM(T54:Y54)&gt;0),"Extra-Sub",IF(AND(E54=0,E54&lt;F54,SUM(M54:R54)=0,SUM(T54:Y54)&gt;0),"Bench-Sub",IF(AND(E54=0,F54&gt;0),"Bench",IF(E54&lt;F54,"Extra",IF(AND(J54="",E54&gt;F54),"To Buy",IF(SUM(J54,F54)&lt;E54,"To Buy",IF(AND(SUM(J54,F54)&gt;=E54,J54&lt;&gt;""),"Ordered",IF(AND(E54=0,F54=0,D54="B3"),"B3 Option",IF(AND(E54=0,F54=0),"Remove","To Buy"))))))))))</f>
        <v/>
      </c>
      <c r="D54" t="inlineStr">
        <is>
          <t>B2</t>
        </is>
      </c>
      <c r="E54" s="3">
        <f>SUM(M54:S54)</f>
        <v/>
      </c>
      <c r="F54" s="3">
        <f>SUM(T54:Z54)</f>
        <v/>
      </c>
      <c r="G54" s="3">
        <f>IF((F54-E54)&gt;=0,F54-E54,0)</f>
        <v/>
      </c>
      <c r="H54" s="3">
        <f>MAX(0,$E54-$F54-$J54)</f>
        <v/>
      </c>
      <c r="I54" s="3" t="inlineStr">
        <is>
          <t>TCG</t>
        </is>
      </c>
      <c r="J54" s="3" t="n">
        <v>1</v>
      </c>
      <c r="K54" s="4" t="n">
        <v>0.98</v>
      </c>
      <c r="L54" s="4">
        <f>IF(AND($H54&gt;0,ISNUMBER($K54)),$H54*$K54,0)</f>
        <v/>
      </c>
      <c r="M54" s="3" t="n"/>
      <c r="N54" s="3" t="n"/>
      <c r="O54" s="3" t="n"/>
      <c r="P54" s="3" t="n"/>
      <c r="Q54" s="3" t="n"/>
      <c r="R54" s="3" t="n">
        <v>1</v>
      </c>
      <c r="S54" s="3">
        <f>IF(AND(J54&lt;&gt;"",SUM(M54:R54)=0),J54,"")</f>
        <v/>
      </c>
      <c r="T54" s="3" t="n"/>
      <c r="U54" s="3" t="n"/>
      <c r="V54" s="3" t="n"/>
      <c r="W54" s="3" t="n"/>
      <c r="X54" s="3" t="n"/>
      <c r="Y54" s="3" t="n"/>
      <c r="Z54" s="3" t="n"/>
      <c r="AA54" s="2" t="inlineStr">
        <is>
          <t>Sorcery</t>
        </is>
      </c>
      <c r="AB54" s="2" t="n"/>
      <c r="AC54" s="2" t="inlineStr">
        <is>
          <t>R</t>
        </is>
      </c>
      <c r="AD54" s="3" t="n">
        <v>9</v>
      </c>
      <c r="AE54" s="29" t="inlineStr">
        <is>
          <t>Innistrad</t>
        </is>
      </c>
      <c r="AF54" s="29" t="inlineStr">
        <is>
          <t>Board Wipe</t>
        </is>
      </c>
      <c r="AG54" s="29" t="inlineStr">
        <is>
          <t>Deals 13 damage to each creature</t>
        </is>
      </c>
      <c r="AH54" s="29" t="inlineStr">
        <is>
          <t>Costs {1} less for each creature on the battlefield</t>
        </is>
      </c>
      <c r="AI54" s="29" t="n"/>
      <c r="AJ54" s="2" t="inlineStr">
        <is>
          <t>Ordered 2026-09-02: TCGplayer $0.91 NM from NostalgiAtog</t>
        </is>
      </c>
    </row>
    <row r="55" ht="15" customHeight="1" s="79">
      <c r="A55" s="2" t="inlineStr">
        <is>
          <t>Buried Ruin</t>
        </is>
      </c>
      <c r="B55" s="2">
        <f>IF(AND(F55&lt;&gt;0,E55=F55),"In Hand",IF(AND(E55&lt;&gt;0,E55&lt;F55,SUM(M55:R55)=0,SUM(T55:Y55)&gt;0),"Extra-Sub",IF(AND(E55=0,E55&lt;F55,SUM(M55:R55)=0,SUM(T55:Y55)&gt;0),"Bench-Sub",IF(AND(E55=0,F55&gt;0),"Bench",IF(E55&lt;F55,"Extra",IF(AND(J55="",E55&gt;F55),"To Buy",IF(SUM(J55,F55)&lt;E55,"To Buy",IF(AND(SUM(J55,F55)&gt;=E55,J55&lt;&gt;""),"Ordered",IF(AND(E55=0,F55=0,D55="B3"),"B3 Option",IF(AND(E55=0,F55=0),"Remove","To Buy"))))))))))</f>
        <v/>
      </c>
      <c r="D55" t="inlineStr">
        <is>
          <t>B2</t>
        </is>
      </c>
      <c r="E55" s="3">
        <f>SUM(M55:S55)</f>
        <v/>
      </c>
      <c r="F55" s="3">
        <f>SUM(T55:Z55)</f>
        <v/>
      </c>
      <c r="G55" s="3">
        <f>IF((F55-E55)&gt;=0,F55-E55,0)</f>
        <v/>
      </c>
      <c r="H55" s="3">
        <f>MAX(0,$E55-$F55-$J55)</f>
        <v/>
      </c>
      <c r="I55" s="3" t="inlineStr">
        <is>
          <t>TCG</t>
        </is>
      </c>
      <c r="J55" s="3" t="n">
        <v>1</v>
      </c>
      <c r="K55" s="4" t="n">
        <v>0.39</v>
      </c>
      <c r="L55" s="4">
        <f>IF(AND($H55&gt;0,ISNUMBER($K55)),$H55*$K55,0)</f>
        <v/>
      </c>
      <c r="M55" s="3" t="n"/>
      <c r="N55" s="3" t="n"/>
      <c r="O55" s="3" t="n"/>
      <c r="P55" s="3" t="n"/>
      <c r="Q55" s="3" t="n"/>
      <c r="R55" s="3" t="n">
        <v>1</v>
      </c>
      <c r="S55" s="3">
        <f>IF(AND(J55&lt;&gt;"",SUM(M55:R55)=0),J55,"")</f>
        <v/>
      </c>
      <c r="T55" s="3" t="n"/>
      <c r="U55" s="3" t="n"/>
      <c r="V55" s="3" t="n"/>
      <c r="W55" s="3" t="n"/>
      <c r="X55" s="3" t="n"/>
      <c r="Y55" s="3" t="n"/>
      <c r="Z55" s="3" t="n"/>
      <c r="AA55" s="2" t="inlineStr">
        <is>
          <t>Land</t>
        </is>
      </c>
      <c r="AB55" s="2" t="n"/>
      <c r="AC55" s="2" t="inlineStr">
        <is>
          <t>L</t>
        </is>
      </c>
      <c r="AD55" s="3" t="n">
        <v>0</v>
      </c>
      <c r="AE55" s="29" t="inlineStr">
        <is>
          <t>Magic 2012</t>
        </is>
      </c>
      <c r="AF55" s="29" t="inlineStr">
        <is>
          <t>Land</t>
        </is>
      </c>
      <c r="AG55" s="29" t="inlineStr">
        <is>
          <t>Taps for {C}</t>
        </is>
      </c>
      <c r="AH55" s="29" t="inlineStr">
        <is>
          <t>Sacrifice plus {2}: return target artifact card from graveyard to hand</t>
        </is>
      </c>
      <c r="AI55" s="29" t="n"/>
      <c r="AJ55" s="2" t="inlineStr">
        <is>
          <t>Ordered 2026-09-02: TCGplayer $0.82 LP from The WKGR Online</t>
        </is>
      </c>
    </row>
    <row r="56" ht="15" customHeight="1" s="79">
      <c r="A56" s="2" t="inlineStr">
        <is>
          <t>Carven Caryatid</t>
        </is>
      </c>
      <c r="B56" s="2">
        <f>IF(AND(F56&lt;&gt;0,E56=F56),"In Hand",IF(AND(E56&lt;&gt;0,E56&lt;F56,SUM(M56:R56)=0,SUM(T56:Y56)&gt;0),"Extra-Sub",IF(AND(E56=0,E56&lt;F56,SUM(M56:R56)=0,SUM(T56:Y56)&gt;0),"Bench-Sub",IF(AND(E56=0,F56&gt;0),"Bench",IF(E56&lt;F56,"Extra",IF(AND(J56="",E56&gt;F56),"To Buy",IF(SUM(J56,F56)&lt;E56,"To Buy",IF(AND(SUM(J56,F56)&gt;=E56,J56&lt;&gt;""),"Ordered",IF(AND(E56=0,F56=0,D56="B3"),"B3 Option",IF(AND(E56=0,F56=0),"Remove","To Buy"))))))))))</f>
        <v/>
      </c>
      <c r="D56" t="inlineStr">
        <is>
          <t>B2</t>
        </is>
      </c>
      <c r="E56" s="3">
        <f>SUM(M56:S56)</f>
        <v/>
      </c>
      <c r="F56" s="3">
        <f>SUM(T56:Z56)</f>
        <v/>
      </c>
      <c r="G56" s="3">
        <f>IF((F56-E56)&gt;=0,F56-E56,0)</f>
        <v/>
      </c>
      <c r="H56" s="3">
        <f>MAX(0,$E56-$F56-$J56)</f>
        <v/>
      </c>
      <c r="I56" s="37" t="inlineStr">
        <is>
          <t>TCG</t>
        </is>
      </c>
      <c r="J56" s="3" t="n">
        <v>1</v>
      </c>
      <c r="K56" s="4" t="n">
        <v>0.23</v>
      </c>
      <c r="L56" s="4">
        <f>IF(AND($H56&gt;0,ISNUMBER($K56)),$H56*$K56,0)</f>
        <v/>
      </c>
      <c r="M56" s="3" t="n"/>
      <c r="N56" s="3" t="n"/>
      <c r="O56" s="3" t="n"/>
      <c r="P56" s="3" t="n">
        <v>1</v>
      </c>
      <c r="Q56" s="3" t="n"/>
      <c r="R56" s="3" t="n"/>
      <c r="S56" s="3">
        <f>IF(AND(J56&lt;&gt;"",SUM(M56:R56)=0),J56,"")</f>
        <v/>
      </c>
      <c r="T56" s="3" t="n"/>
      <c r="U56" s="3" t="n"/>
      <c r="V56" s="3" t="n"/>
      <c r="W56" s="3" t="n"/>
      <c r="X56" s="3" t="n"/>
      <c r="Y56" s="3" t="n"/>
      <c r="Z56" s="3" t="n"/>
      <c r="AA56" s="2" t="inlineStr">
        <is>
          <t>Creature</t>
        </is>
      </c>
      <c r="AB56" s="2" t="inlineStr">
        <is>
          <t>Spirit</t>
        </is>
      </c>
      <c r="AC56" s="2" t="inlineStr">
        <is>
          <t>G</t>
        </is>
      </c>
      <c r="AD56" s="3" t="n">
        <v>3</v>
      </c>
      <c r="AE56" s="29" t="inlineStr">
        <is>
          <t>Ravnica: City of Guilds</t>
        </is>
      </c>
      <c r="AF56" s="29" t="inlineStr">
        <is>
          <t>Card Draw</t>
        </is>
      </c>
      <c r="AG56" s="29" t="inlineStr">
        <is>
          <t>Draws a card when it enters</t>
        </is>
      </c>
      <c r="AH56" s="29" t="inlineStr">
        <is>
          <t>Defender body</t>
        </is>
      </c>
      <c r="AI56" s="29" t="n"/>
      <c r="AJ56" s="2" t="n"/>
    </row>
    <row r="57" ht="15" customHeight="1" s="79">
      <c r="A57" s="2" t="inlineStr">
        <is>
          <t>Castle Ardenvale</t>
        </is>
      </c>
      <c r="B57" s="2">
        <f>IF(AND(F57&lt;&gt;0,E57=F57),"In Hand",IF(AND(E57&lt;&gt;0,E57&lt;F57,SUM(M57:R57)=0,SUM(T57:Y57)&gt;0),"Extra-Sub",IF(AND(E57=0,E57&lt;F57,SUM(M57:R57)=0,SUM(T57:Y57)&gt;0),"Bench-Sub",IF(AND(E57=0,F57&gt;0),"Bench",IF(E57&lt;F57,"Extra",IF(AND(J57="",E57&gt;F57),"To Buy",IF(SUM(J57,F57)&lt;E57,"To Buy",IF(AND(SUM(J57,F57)&gt;=E57,J57&lt;&gt;""),"Ordered",IF(AND(E57=0,F57=0,D57="B3"),"B3 Option",IF(AND(E57=0,F57=0),"Remove","To Buy"))))))))))</f>
        <v/>
      </c>
      <c r="D57" t="inlineStr">
        <is>
          <t>B2</t>
        </is>
      </c>
      <c r="E57" s="3">
        <f>SUM(M57:S57)</f>
        <v/>
      </c>
      <c r="F57" s="3">
        <f>SUM(T57:Z57)</f>
        <v/>
      </c>
      <c r="G57" s="3">
        <f>IF((F57-E57)&gt;=0,F57-E57,0)</f>
        <v/>
      </c>
      <c r="H57" s="3">
        <f>MAX(0,$E57-$F57-$J57)</f>
        <v/>
      </c>
      <c r="I57" s="3" t="inlineStr">
        <is>
          <t>TCG</t>
        </is>
      </c>
      <c r="J57" s="3" t="n">
        <v>1</v>
      </c>
      <c r="K57" s="4" t="n">
        <v>0.25</v>
      </c>
      <c r="L57" s="4">
        <f>IF(AND($H57&gt;0,ISNUMBER($K57)),$H57*$K57,0)</f>
        <v/>
      </c>
      <c r="M57" s="3" t="n"/>
      <c r="N57" s="3" t="n"/>
      <c r="O57" s="3" t="n"/>
      <c r="P57" s="3" t="n"/>
      <c r="Q57" s="3" t="n">
        <v>1</v>
      </c>
      <c r="R57" s="3" t="n"/>
      <c r="S57" s="3">
        <f>IF(AND(J57&lt;&gt;"",SUM(M57:R57)=0),J57,"")</f>
        <v/>
      </c>
      <c r="T57" s="3" t="n"/>
      <c r="U57" s="3" t="n"/>
      <c r="V57" s="3" t="n"/>
      <c r="W57" s="3" t="n"/>
      <c r="X57" s="3" t="n"/>
      <c r="Y57" s="3" t="n"/>
      <c r="Z57" s="3" t="n"/>
      <c r="AA57" s="2" t="inlineStr">
        <is>
          <t>Land</t>
        </is>
      </c>
      <c r="AB57" s="2" t="n"/>
      <c r="AC57" s="2" t="inlineStr">
        <is>
          <t>L</t>
        </is>
      </c>
      <c r="AD57" s="3" t="n">
        <v>0</v>
      </c>
      <c r="AE57" s="29" t="inlineStr">
        <is>
          <t>Throne of Eldraine</t>
        </is>
      </c>
      <c r="AF57" s="29" t="inlineStr">
        <is>
          <t>Land</t>
        </is>
      </c>
      <c r="AG57" s="29" t="inlineStr">
        <is>
          <t>Taps for {W}</t>
        </is>
      </c>
      <c r="AH57" s="29" t="inlineStr">
        <is>
          <t>{2}{W}{W}, tap: creates a 1/1 Human token</t>
        </is>
      </c>
      <c r="AI57" s="29" t="n"/>
      <c r="AJ57" s="2" t="inlineStr">
        <is>
          <t>Ordered 2026-09-02: TCGplayer $0.19 LP from The WKGR Online</t>
        </is>
      </c>
    </row>
    <row r="58" ht="15" customHeight="1" s="79">
      <c r="A58" s="2" t="inlineStr">
        <is>
          <t>Castle Embereth</t>
        </is>
      </c>
      <c r="B58" s="2">
        <f>IF(AND(F58&lt;&gt;0,E58=F58),"In Hand",IF(AND(E58&lt;&gt;0,E58&lt;F58,SUM(M58:R58)=0,SUM(T58:Y58)&gt;0),"Extra-Sub",IF(AND(E58=0,E58&lt;F58,SUM(M58:R58)=0,SUM(T58:Y58)&gt;0),"Bench-Sub",IF(AND(E58=0,F58&gt;0),"Bench",IF(E58&lt;F58,"Extra",IF(AND(J58="",E58&gt;F58),"To Buy",IF(SUM(J58,F58)&lt;E58,"To Buy",IF(AND(SUM(J58,F58)&gt;=E58,J58&lt;&gt;""),"Ordered",IF(AND(E58=0,F58=0,D58="B3"),"B3 Option",IF(AND(E58=0,F58=0),"Remove","To Buy"))))))))))</f>
        <v/>
      </c>
      <c r="D58" t="inlineStr">
        <is>
          <t>B2</t>
        </is>
      </c>
      <c r="E58" s="3">
        <f>SUM(M58:S58)</f>
        <v/>
      </c>
      <c r="F58" s="3">
        <f>SUM(T58:Z58)</f>
        <v/>
      </c>
      <c r="G58" s="3">
        <f>IF((F58-E58)&gt;=0,F58-E58,0)</f>
        <v/>
      </c>
      <c r="H58" s="3">
        <f>MAX(0,$E58-$F58-$J58)</f>
        <v/>
      </c>
      <c r="I58" s="3" t="inlineStr">
        <is>
          <t>TCG</t>
        </is>
      </c>
      <c r="J58" s="3" t="n">
        <v>1</v>
      </c>
      <c r="K58" s="4" t="n">
        <v>0.3</v>
      </c>
      <c r="L58" s="4">
        <f>IF(AND($H58&gt;0,ISNUMBER($K58)),$H58*$K58,0)</f>
        <v/>
      </c>
      <c r="M58" s="3" t="n"/>
      <c r="N58" s="3" t="n"/>
      <c r="O58" s="3" t="n"/>
      <c r="P58" s="3" t="n"/>
      <c r="Q58" s="3" t="n"/>
      <c r="R58" s="3" t="n">
        <v>1</v>
      </c>
      <c r="S58" s="3">
        <f>IF(AND(J58&lt;&gt;"",SUM(M58:R58)=0),J58,"")</f>
        <v/>
      </c>
      <c r="T58" s="3" t="n"/>
      <c r="U58" s="3" t="n"/>
      <c r="V58" s="3" t="n"/>
      <c r="W58" s="3" t="n"/>
      <c r="X58" s="3" t="n"/>
      <c r="Y58" s="3" t="n"/>
      <c r="Z58" s="3" t="n"/>
      <c r="AA58" s="2" t="inlineStr">
        <is>
          <t>Land</t>
        </is>
      </c>
      <c r="AB58" s="2" t="n"/>
      <c r="AC58" s="2" t="inlineStr">
        <is>
          <t>L</t>
        </is>
      </c>
      <c r="AD58" s="3" t="n">
        <v>0</v>
      </c>
      <c r="AE58" s="29" t="inlineStr">
        <is>
          <t>Throne of Eldraine</t>
        </is>
      </c>
      <c r="AF58" s="29" t="inlineStr">
        <is>
          <t>Land</t>
        </is>
      </c>
      <c r="AG58" s="29" t="inlineStr">
        <is>
          <t>Taps for {R}</t>
        </is>
      </c>
      <c r="AH58" s="29" t="inlineStr">
        <is>
          <t>{1}{R}{R}, tap: creatures you control get +1/+0</t>
        </is>
      </c>
      <c r="AI58" s="29" t="n"/>
      <c r="AJ58" s="2" t="inlineStr">
        <is>
          <t>Ordered 2026-09-02: TCGplayer $0.35 NM from The WKGR Online</t>
        </is>
      </c>
    </row>
    <row r="59" ht="15" customHeight="1" s="79">
      <c r="A59" s="2" t="inlineStr">
        <is>
          <t>Caves of Koilos</t>
        </is>
      </c>
      <c r="B59" s="2">
        <f>IF(AND(F59&lt;&gt;0,E59=F59),"In Hand",IF(AND(E59&lt;&gt;0,E59&lt;F59,SUM(M59:R59)=0,SUM(T59:Y59)&gt;0),"Extra-Sub",IF(AND(E59=0,E59&lt;F59,SUM(M59:R59)=0,SUM(T59:Y59)&gt;0),"Bench-Sub",IF(AND(E59=0,F59&gt;0),"Bench",IF(E59&lt;F59,"Extra",IF(AND(J59="",E59&gt;F59),"To Buy",IF(SUM(J59,F59)&lt;E59,"To Buy",IF(AND(SUM(J59,F59)&gt;=E59,J59&lt;&gt;""),"Ordered",IF(AND(E59=0,F59=0,D59="B3"),"B3 Option",IF(AND(E59=0,F59=0),"Remove","To Buy"))))))))))</f>
        <v/>
      </c>
      <c r="D59" t="inlineStr">
        <is>
          <t>B2</t>
        </is>
      </c>
      <c r="E59" s="3">
        <f>SUM(M59:S59)</f>
        <v/>
      </c>
      <c r="F59" s="3">
        <f>SUM(T59:Z59)</f>
        <v/>
      </c>
      <c r="G59" s="3">
        <f>IF((F59-E59)&gt;=0,F59-E59,0)</f>
        <v/>
      </c>
      <c r="H59" s="3">
        <f>MAX(0,$E59-$F59-$J59)</f>
        <v/>
      </c>
      <c r="I59" s="3" t="inlineStr">
        <is>
          <t>TCG</t>
        </is>
      </c>
      <c r="J59" s="3" t="n">
        <v>1</v>
      </c>
      <c r="K59" s="4" t="n">
        <v>0.75</v>
      </c>
      <c r="L59" s="4">
        <f>IF(AND($H59&gt;0,ISNUMBER($K59)),$H59*$K59,0)</f>
        <v/>
      </c>
      <c r="M59" s="3" t="n"/>
      <c r="N59" s="3" t="n"/>
      <c r="O59" s="3" t="n"/>
      <c r="P59" s="3" t="n"/>
      <c r="Q59" s="3" t="n">
        <v>1</v>
      </c>
      <c r="R59" s="3" t="n"/>
      <c r="S59" s="3">
        <f>IF(AND(J59&lt;&gt;"",SUM(M59:R59)=0),J59,"")</f>
        <v/>
      </c>
      <c r="T59" s="3" t="n"/>
      <c r="U59" s="3" t="n"/>
      <c r="V59" s="3" t="n"/>
      <c r="W59" s="3" t="n"/>
      <c r="X59" s="3" t="n"/>
      <c r="Y59" s="3" t="n"/>
      <c r="Z59" s="3" t="n"/>
      <c r="AA59" s="2" t="inlineStr">
        <is>
          <t>Land</t>
        </is>
      </c>
      <c r="AB59" s="2" t="n"/>
      <c r="AC59" s="2" t="inlineStr">
        <is>
          <t>L</t>
        </is>
      </c>
      <c r="AD59" s="3" t="n">
        <v>0</v>
      </c>
      <c r="AE59" s="29" t="inlineStr">
        <is>
          <t>Apocalypse</t>
        </is>
      </c>
      <c r="AF59" s="29" t="inlineStr">
        <is>
          <t>Land</t>
        </is>
      </c>
      <c r="AG59" s="29" t="inlineStr">
        <is>
          <t>Taps for {C}, or {W}/{B} at the cost of 1 damage to you</t>
        </is>
      </c>
      <c r="AH59" s="29" t="n"/>
      <c r="AI59" s="29" t="n"/>
      <c r="AJ59" s="2" t="inlineStr">
        <is>
          <t>Ordered 2026-09-02: TCGplayer $0.67 LP from The Next Level Games</t>
        </is>
      </c>
    </row>
    <row r="60" ht="15" customHeight="1" s="79">
      <c r="A60" s="2" t="inlineStr">
        <is>
          <t>Chaos Warp</t>
        </is>
      </c>
      <c r="B60" s="2">
        <f>IF(AND(F60&lt;&gt;0,E60=F60),"In Hand",IF(AND(E60&lt;&gt;0,E60&lt;F60,SUM(M60:R60)=0,SUM(T60:Y60)&gt;0),"Extra-Sub",IF(AND(E60=0,E60&lt;F60,SUM(M60:R60)=0,SUM(T60:Y60)&gt;0),"Bench-Sub",IF(AND(E60=0,F60&gt;0),"Bench",IF(E60&lt;F60,"Extra",IF(AND(J60="",E60&gt;F60),"To Buy",IF(SUM(J60,F60)&lt;E60,"To Buy",IF(AND(SUM(J60,F60)&gt;=E60,J60&lt;&gt;""),"Ordered",IF(AND(E60=0,F60=0,D60="B3"),"B3 Option",IF(AND(E60=0,F60=0),"Remove","To Buy"))))))))))</f>
        <v/>
      </c>
      <c r="D60" t="inlineStr">
        <is>
          <t>B2</t>
        </is>
      </c>
      <c r="E60" s="3">
        <f>SUM(M60:S60)</f>
        <v/>
      </c>
      <c r="F60" s="3">
        <f>SUM(T60:Z60)</f>
        <v/>
      </c>
      <c r="G60" s="3">
        <f>IF((F60-E60)&gt;=0,F60-E60,0)</f>
        <v/>
      </c>
      <c r="H60" s="3">
        <f>MAX(0,$E60-$F60-$J60)</f>
        <v/>
      </c>
      <c r="I60" s="3" t="inlineStr">
        <is>
          <t>TCG</t>
        </is>
      </c>
      <c r="J60" s="3" t="n">
        <v>1</v>
      </c>
      <c r="K60" s="4" t="n">
        <v>0.34</v>
      </c>
      <c r="L60" s="4">
        <f>IF(AND($H60&gt;0,ISNUMBER($K60)),$H60*$K60,0)</f>
        <v/>
      </c>
      <c r="M60" s="3" t="n"/>
      <c r="N60" s="3" t="n"/>
      <c r="O60" s="3" t="n"/>
      <c r="P60" s="3" t="n"/>
      <c r="Q60" s="3" t="n"/>
      <c r="R60" s="3" t="n">
        <v>1</v>
      </c>
      <c r="S60" s="3">
        <f>IF(AND(J60&lt;&gt;"",SUM(M60:R60)=0),J60,"")</f>
        <v/>
      </c>
      <c r="T60" s="3" t="n"/>
      <c r="U60" s="3" t="n"/>
      <c r="V60" s="3" t="n"/>
      <c r="W60" s="3" t="n"/>
      <c r="X60" s="3" t="n"/>
      <c r="Y60" s="3" t="n"/>
      <c r="Z60" s="3" t="n"/>
      <c r="AA60" s="2" t="inlineStr">
        <is>
          <t>Instant</t>
        </is>
      </c>
      <c r="AB60" s="2" t="n"/>
      <c r="AC60" s="2" t="inlineStr">
        <is>
          <t>R</t>
        </is>
      </c>
      <c r="AD60" s="3" t="n">
        <v>3</v>
      </c>
      <c r="AE60" s="29" t="inlineStr">
        <is>
          <t>Commander 2011</t>
        </is>
      </c>
      <c r="AF60" s="29" t="inlineStr">
        <is>
          <t>Removal</t>
        </is>
      </c>
      <c r="AG60" s="29" t="inlineStr">
        <is>
          <t>Shuffles target permanent into its owner's library, who may hit a new permanent off the top</t>
        </is>
      </c>
      <c r="AH60" s="29" t="n"/>
      <c r="AI60" s="29" t="n"/>
      <c r="AJ60" s="2" t="inlineStr">
        <is>
          <t>Ordered 2026-09-02: TCGplayer $0.34 NM from NostalgiAtog</t>
        </is>
      </c>
    </row>
    <row r="61" ht="15" customHeight="1" s="79">
      <c r="A61" s="2" t="inlineStr">
        <is>
          <t>Charming Prince</t>
        </is>
      </c>
      <c r="B61" s="2">
        <f>IF(AND(F61&lt;&gt;0,E61=F61),"In Hand",IF(AND(E61&lt;&gt;0,E61&lt;F61,SUM(M61:R61)=0,SUM(T61:Y61)&gt;0),"Extra-Sub",IF(AND(E61=0,E61&lt;F61,SUM(M61:R61)=0,SUM(T61:Y61)&gt;0),"Bench-Sub",IF(AND(E61=0,F61&gt;0),"Bench",IF(E61&lt;F61,"Extra",IF(AND(J61="",E61&gt;F61),"To Buy",IF(SUM(J61,F61)&lt;E61,"To Buy",IF(AND(SUM(J61,F61)&gt;=E61,J61&lt;&gt;""),"Ordered",IF(AND(E61=0,F61=0,D61="B3"),"B3 Option",IF(AND(E61=0,F61=0),"Remove","To Buy"))))))))))</f>
        <v/>
      </c>
      <c r="D61" t="inlineStr">
        <is>
          <t>B2</t>
        </is>
      </c>
      <c r="E61" s="3">
        <f>SUM(M61:S61)</f>
        <v/>
      </c>
      <c r="F61" s="3">
        <f>SUM(T61:Z61)</f>
        <v/>
      </c>
      <c r="G61" s="3">
        <f>IF((F61-E61)&gt;=0,F61-E61,0)</f>
        <v/>
      </c>
      <c r="H61" s="3">
        <f>MAX(0,$E61-$F61-$J61)</f>
        <v/>
      </c>
      <c r="I61" s="3" t="inlineStr">
        <is>
          <t>TCG</t>
        </is>
      </c>
      <c r="J61" s="3" t="n">
        <v>1</v>
      </c>
      <c r="K61" s="4" t="n">
        <v>0.31</v>
      </c>
      <c r="L61" s="4">
        <f>IF(AND($H61&gt;0,ISNUMBER($K61)),$H61*$K61,0)</f>
        <v/>
      </c>
      <c r="M61" s="3" t="n"/>
      <c r="N61" s="3" t="n">
        <v>1</v>
      </c>
      <c r="O61" s="3" t="n"/>
      <c r="P61" s="3" t="n"/>
      <c r="Q61" s="3" t="n"/>
      <c r="R61" s="3" t="n"/>
      <c r="S61" s="3">
        <f>IF(AND(J61&lt;&gt;"",SUM(M61:R61)=0),J61,"")</f>
        <v/>
      </c>
      <c r="T61" s="3" t="n"/>
      <c r="U61" s="3" t="n"/>
      <c r="V61" s="3" t="n"/>
      <c r="W61" s="3" t="n"/>
      <c r="X61" s="3" t="n"/>
      <c r="Y61" s="3" t="n"/>
      <c r="Z61" s="3" t="n"/>
      <c r="AA61" s="2" t="inlineStr">
        <is>
          <t>Creature</t>
        </is>
      </c>
      <c r="AB61" s="2" t="inlineStr">
        <is>
          <t>Human Noble</t>
        </is>
      </c>
      <c r="AC61" s="2" t="inlineStr">
        <is>
          <t>W</t>
        </is>
      </c>
      <c r="AD61" s="3" t="n">
        <v>2</v>
      </c>
      <c r="AE61" s="29" t="inlineStr">
        <is>
          <t>Throne of Eldraine</t>
        </is>
      </c>
      <c r="AF61" s="29" t="inlineStr">
        <is>
          <t>Blink</t>
        </is>
      </c>
      <c r="AG61" s="29" t="inlineStr">
        <is>
          <t>Choose one when it enters: Scry 2, gain 3 life, or blink another target creature you own</t>
        </is>
      </c>
      <c r="AH61" s="29" t="n"/>
      <c r="AI61" s="29" t="n"/>
      <c r="AJ61" s="2" t="inlineStr">
        <is>
          <t>Ordered 2026-09-02: TCGplayer $0.36 NM from NostalgiAtog</t>
        </is>
      </c>
    </row>
    <row r="62" ht="15" customHeight="1" s="79">
      <c r="A62" s="2" t="inlineStr">
        <is>
          <t>Chocobo Knights</t>
        </is>
      </c>
      <c r="B62" s="2">
        <f>IF(AND(F62&lt;&gt;0,E62=F62),"In Hand",IF(AND(E62&lt;&gt;0,E62&lt;F62,SUM(M62:R62)=0,SUM(T62:Y62)&gt;0),"Extra-Sub",IF(AND(E62=0,E62&lt;F62,SUM(M62:R62)=0,SUM(T62:Y62)&gt;0),"Bench-Sub",IF(AND(E62=0,F62&gt;0),"Bench",IF(E62&lt;F62,"Extra",IF(AND(J62="",E62&gt;F62),"To Buy",IF(SUM(J62,F62)&lt;E62,"To Buy",IF(AND(SUM(J62,F62)&gt;=E62,J62&lt;&gt;""),"Ordered",IF(AND(E62=0,F62=0,D62="B3"),"B3 Option",IF(AND(E62=0,F62=0),"Remove","To Buy"))))))))))</f>
        <v/>
      </c>
      <c r="D62" t="inlineStr">
        <is>
          <t>B2</t>
        </is>
      </c>
      <c r="E62" s="3">
        <f>SUM(M62:S62)</f>
        <v/>
      </c>
      <c r="F62" s="3">
        <f>SUM(T62:Z62)</f>
        <v/>
      </c>
      <c r="G62" s="3">
        <f>IF((F62-E62)&gt;=0,F62-E62,0)</f>
        <v/>
      </c>
      <c r="H62" s="3">
        <f>MAX(0,$E62-$F62-$J62)</f>
        <v/>
      </c>
      <c r="I62" s="37" t="inlineStr">
        <is>
          <t>TCG</t>
        </is>
      </c>
      <c r="J62" s="3" t="n">
        <v>1</v>
      </c>
      <c r="K62" s="4" t="n">
        <v>0.34</v>
      </c>
      <c r="L62" s="4">
        <f>IF(AND($H62&gt;0,ISNUMBER($K62)),$H62*$K62,0)</f>
        <v/>
      </c>
      <c r="M62" s="3" t="n"/>
      <c r="N62" s="3" t="n"/>
      <c r="O62" s="3" t="n"/>
      <c r="P62" s="3" t="n"/>
      <c r="Q62" s="3" t="n">
        <v>1</v>
      </c>
      <c r="R62" s="3" t="n"/>
      <c r="S62" s="3">
        <f>IF(AND(J62&lt;&gt;"",SUM(M62:R62)=0),J62,"")</f>
        <v/>
      </c>
      <c r="T62" s="3" t="n"/>
      <c r="U62" s="3" t="n"/>
      <c r="V62" s="3" t="n"/>
      <c r="W62" s="3" t="n"/>
      <c r="X62" s="3" t="n"/>
      <c r="Y62" s="3" t="n"/>
      <c r="Z62" s="3" t="n"/>
      <c r="AA62" s="2" t="inlineStr">
        <is>
          <t>Creature</t>
        </is>
      </c>
      <c r="AB62" s="2" t="inlineStr">
        <is>
          <t>Human Knight</t>
        </is>
      </c>
      <c r="AC62" s="2" t="inlineStr">
        <is>
          <t>W</t>
        </is>
      </c>
      <c r="AD62" s="3" t="n">
        <v>4</v>
      </c>
      <c r="AE62" s="29" t="inlineStr">
        <is>
          <t>Final Fantasy Commander</t>
        </is>
      </c>
      <c r="AF62" s="29" t="inlineStr">
        <is>
          <t>Counters Payoff</t>
        </is>
      </c>
      <c r="AG62" s="29" t="inlineStr">
        <is>
          <t>Creatures you control with counters gain double strike when you attack</t>
        </is>
      </c>
      <c r="AH62" s="29" t="n"/>
      <c r="AI62" s="29" t="n"/>
      <c r="AJ62" s="2" t="n"/>
      <c r="AK62" t="inlineStr">
        <is>
          <t>[B3 later] D5-&gt;B when Dictate of Erebos is bought</t>
        </is>
      </c>
    </row>
    <row r="63" ht="15" customHeight="1" s="79">
      <c r="A63" s="2" t="inlineStr">
        <is>
          <t>Chulane, Teller of Tales</t>
        </is>
      </c>
      <c r="B63" s="2">
        <f>IF(AND(F63&lt;&gt;0,E63=F63),"In Hand",IF(AND(E63&lt;&gt;0,E63&lt;F63,SUM(M63:R63)=0,SUM(T63:Y63)&gt;0),"Extra-Sub",IF(AND(E63=0,E63&lt;F63,SUM(M63:R63)=0,SUM(T63:Y63)&gt;0),"Bench-Sub",IF(AND(E63=0,F63&gt;0),"Bench",IF(E63&lt;F63,"Extra",IF(AND(J63="",E63&gt;F63),"To Buy",IF(SUM(J63,F63)&lt;E63,"To Buy",IF(AND(SUM(J63,F63)&gt;=E63,J63&lt;&gt;""),"Ordered",IF(AND(E63=0,F63=0,D63="B3"),"B3 Option",IF(AND(E63=0,F63=0),"Remove","To Buy"))))))))))</f>
        <v/>
      </c>
      <c r="D63" t="inlineStr">
        <is>
          <t>B2</t>
        </is>
      </c>
      <c r="E63" s="3">
        <f>SUM(M63:S63)</f>
        <v/>
      </c>
      <c r="F63" s="3">
        <f>SUM(T63:Z63)</f>
        <v/>
      </c>
      <c r="G63" s="3">
        <f>IF((F63-E63)&gt;=0,F63-E63,0)</f>
        <v/>
      </c>
      <c r="H63" s="3">
        <f>MAX(0,$E63-$F63-$J63)</f>
        <v/>
      </c>
      <c r="I63" s="3" t="inlineStr">
        <is>
          <t>TCG</t>
        </is>
      </c>
      <c r="J63" s="3" t="n">
        <v>1</v>
      </c>
      <c r="K63" s="4" t="n">
        <v>6.15</v>
      </c>
      <c r="L63" s="4">
        <f>IF(AND($H63&gt;0,ISNUMBER($K63)),$H63*$K63,0)</f>
        <v/>
      </c>
      <c r="M63" s="3" t="n"/>
      <c r="N63" s="3" t="n">
        <v>1</v>
      </c>
      <c r="O63" s="3" t="n"/>
      <c r="P63" s="3" t="n"/>
      <c r="Q63" s="3" t="n"/>
      <c r="R63" s="3" t="n"/>
      <c r="S63" s="3">
        <f>IF(AND(J63&lt;&gt;"",SUM(M63:R63)=0),J63,"")</f>
        <v/>
      </c>
      <c r="T63" s="3" t="n"/>
      <c r="U63" s="3" t="n"/>
      <c r="V63" s="3" t="n"/>
      <c r="W63" s="3" t="n"/>
      <c r="X63" s="3" t="n"/>
      <c r="Y63" s="3" t="n"/>
      <c r="Z63" s="3" t="n"/>
      <c r="AA63" s="2" t="inlineStr">
        <is>
          <t>Legendary Creature</t>
        </is>
      </c>
      <c r="AB63" s="2" t="inlineStr">
        <is>
          <t>Human Druid</t>
        </is>
      </c>
      <c r="AC63" s="2" t="inlineStr">
        <is>
          <t>Multi</t>
        </is>
      </c>
      <c r="AD63" s="3" t="n">
        <v>5</v>
      </c>
      <c r="AE63" s="29" t="inlineStr">
        <is>
          <t>Throne of Eldraine</t>
        </is>
      </c>
      <c r="AF63" s="29" t="inlineStr">
        <is>
          <t>Commander</t>
        </is>
      </c>
      <c r="AG63" s="29" t="inlineStr">
        <is>
          <t>Draw a card and may put a land from hand onto the battlefield whenever you cast a creature spell</t>
        </is>
      </c>
      <c r="AH63" s="29" t="inlineStr">
        <is>
          <t>{3}, tap: return target creature you control to hand</t>
        </is>
      </c>
      <c r="AI63" s="29" t="inlineStr">
        <is>
          <t>Vigilance body</t>
        </is>
      </c>
      <c r="AJ63" s="2" t="inlineStr">
        <is>
          <t>Commander - D2; Ordered 2026-09-02: TCGplayer $5.44 LP Foil from The WKGR Online (added by Rob)</t>
        </is>
      </c>
    </row>
    <row r="64" ht="15" customHeight="1" s="79">
      <c r="A64" s="2" t="inlineStr">
        <is>
          <t>Cloudblazer</t>
        </is>
      </c>
      <c r="B64" s="2">
        <f>IF(AND(F64&lt;&gt;0,E64=F64),"In Hand",IF(AND(E64&lt;&gt;0,E64&lt;F64,SUM(M64:R64)=0,SUM(T64:Y64)&gt;0),"Extra-Sub",IF(AND(E64=0,E64&lt;F64,SUM(M64:R64)=0,SUM(T64:Y64)&gt;0),"Bench-Sub",IF(AND(E64=0,F64&gt;0),"Bench",IF(E64&lt;F64,"Extra",IF(AND(J64="",E64&gt;F64),"To Buy",IF(SUM(J64,F64)&lt;E64,"To Buy",IF(AND(SUM(J64,F64)&gt;=E64,J64&lt;&gt;""),"Ordered",IF(AND(E64=0,F64=0,D64="B3"),"B3 Option",IF(AND(E64=0,F64=0),"Remove","To Buy"))))))))))</f>
        <v/>
      </c>
      <c r="D64" t="inlineStr">
        <is>
          <t>B2</t>
        </is>
      </c>
      <c r="E64" s="3">
        <f>SUM(M64:S64)</f>
        <v/>
      </c>
      <c r="F64" s="3">
        <f>SUM(T64:Z64)</f>
        <v/>
      </c>
      <c r="G64" s="3">
        <f>IF((F64-E64)&gt;=0,F64-E64,0)</f>
        <v/>
      </c>
      <c r="H64" s="3">
        <f>MAX(0,$E64-$F64-$J64)</f>
        <v/>
      </c>
      <c r="I64" s="37" t="inlineStr">
        <is>
          <t>TCG</t>
        </is>
      </c>
      <c r="J64" s="3" t="n">
        <v>1</v>
      </c>
      <c r="K64" s="4" t="n">
        <v>0.14</v>
      </c>
      <c r="L64" s="4">
        <f>IF(AND($H64&gt;0,ISNUMBER($K64)),$H64*$K64,0)</f>
        <v/>
      </c>
      <c r="M64" s="3" t="n"/>
      <c r="N64" s="3" t="n">
        <v>1</v>
      </c>
      <c r="O64" s="3" t="n"/>
      <c r="P64" s="3" t="n"/>
      <c r="Q64" s="3" t="n"/>
      <c r="R64" s="3" t="n"/>
      <c r="S64" s="3">
        <f>IF(AND(J64&lt;&gt;"",SUM(M64:R64)=0),J64,"")</f>
        <v/>
      </c>
      <c r="T64" s="3" t="n"/>
      <c r="U64" s="3" t="n"/>
      <c r="V64" s="3" t="n"/>
      <c r="W64" s="3" t="n"/>
      <c r="X64" s="3" t="n"/>
      <c r="Y64" s="3" t="n"/>
      <c r="Z64" s="3" t="n"/>
      <c r="AA64" s="2" t="inlineStr">
        <is>
          <t>Creature</t>
        </is>
      </c>
      <c r="AB64" s="2" t="inlineStr">
        <is>
          <t>Human Scout</t>
        </is>
      </c>
      <c r="AC64" s="2" t="inlineStr">
        <is>
          <t>Multi</t>
        </is>
      </c>
      <c r="AD64" s="3" t="n">
        <v>5</v>
      </c>
      <c r="AE64" s="29" t="inlineStr">
        <is>
          <t>Kaladesh</t>
        </is>
      </c>
      <c r="AF64" s="29" t="inlineStr">
        <is>
          <t>Card Draw</t>
        </is>
      </c>
      <c r="AG64" s="29" t="inlineStr">
        <is>
          <t>Gain 2 life and draw two cards when it enters</t>
        </is>
      </c>
      <c r="AH64" s="29" t="inlineStr">
        <is>
          <t>Flying body</t>
        </is>
      </c>
      <c r="AI64" s="29" t="n"/>
      <c r="AJ64" s="2" t="inlineStr">
        <is>
          <t>Tuned add</t>
        </is>
      </c>
    </row>
    <row r="65" ht="15" customHeight="1" s="79">
      <c r="A65" s="2" t="inlineStr">
        <is>
          <t>Contagion Clasp</t>
        </is>
      </c>
      <c r="B65" s="2">
        <f>IF(AND(F65&lt;&gt;0,E65=F65),"In Hand",IF(AND(E65&lt;&gt;0,E65&lt;F65,SUM(M65:R65)=0,SUM(T65:Y65)&gt;0),"Extra-Sub",IF(AND(E65=0,E65&lt;F65,SUM(M65:R65)=0,SUM(T65:Y65)&gt;0),"Bench-Sub",IF(AND(E65=0,F65&gt;0),"Bench",IF(E65&lt;F65,"Extra",IF(AND(J65="",E65&gt;F65),"To Buy",IF(SUM(J65,F65)&lt;E65,"To Buy",IF(AND(SUM(J65,F65)&gt;=E65,J65&lt;&gt;""),"Ordered",IF(AND(E65=0,F65=0,D65="B3"),"B3 Option",IF(AND(E65=0,F65=0),"Remove","To Buy"))))))))))</f>
        <v/>
      </c>
      <c r="D65" t="inlineStr">
        <is>
          <t>B2</t>
        </is>
      </c>
      <c r="E65" s="3">
        <f>SUM(M65:S65)</f>
        <v/>
      </c>
      <c r="F65" s="3">
        <f>SUM(T65:Z65)</f>
        <v/>
      </c>
      <c r="G65" s="3">
        <f>IF((F65-E65)&gt;=0,F65-E65,0)</f>
        <v/>
      </c>
      <c r="H65" s="3">
        <f>MAX(0,$E65-$F65-$J65)</f>
        <v/>
      </c>
      <c r="I65" s="37" t="inlineStr">
        <is>
          <t>TCG</t>
        </is>
      </c>
      <c r="J65" s="3" t="n">
        <v>1</v>
      </c>
      <c r="K65" s="4" t="n">
        <v>0.38</v>
      </c>
      <c r="L65" s="4">
        <f>IF(AND($H65&gt;0,ISNUMBER($K65)),$H65*$K65,0)</f>
        <v/>
      </c>
      <c r="M65" s="3" t="n"/>
      <c r="N65" s="3" t="n"/>
      <c r="O65" s="3" t="n">
        <v>1</v>
      </c>
      <c r="P65" s="3" t="n"/>
      <c r="Q65" s="3" t="n"/>
      <c r="R65" s="3" t="n"/>
      <c r="S65" s="3">
        <f>IF(AND(J65&lt;&gt;"",SUM(M65:R65)=0),J65,"")</f>
        <v/>
      </c>
      <c r="T65" s="3" t="n"/>
      <c r="U65" s="3" t="n"/>
      <c r="V65" s="3" t="n"/>
      <c r="W65" s="3" t="n"/>
      <c r="X65" s="3" t="n"/>
      <c r="Y65" s="3" t="n"/>
      <c r="Z65" s="3" t="n"/>
      <c r="AA65" s="2" t="inlineStr">
        <is>
          <t>Artifact</t>
        </is>
      </c>
      <c r="AB65" s="2" t="n"/>
      <c r="AC65" s="2" t="inlineStr">
        <is>
          <t>C</t>
        </is>
      </c>
      <c r="AD65" s="3" t="n">
        <v>2</v>
      </c>
      <c r="AE65" s="29" t="inlineStr">
        <is>
          <t>Duel Decks: Elspeth vs. Tezzeret</t>
        </is>
      </c>
      <c r="AF65" s="29" t="inlineStr">
        <is>
          <t>Proliferate</t>
        </is>
      </c>
      <c r="AG65" s="29" t="inlineStr">
        <is>
          <t>Puts a -1/-1 counter on target creature when it enters</t>
        </is>
      </c>
      <c r="AH65" s="29" t="inlineStr">
        <is>
          <t>{4}, tap: Proliferate</t>
        </is>
      </c>
      <c r="AI65" s="29" t="n"/>
      <c r="AJ65" s="2" t="inlineStr">
        <is>
          <t>Tuned add</t>
        </is>
      </c>
    </row>
    <row r="66" ht="15" customHeight="1" s="79">
      <c r="A66" s="2" t="inlineStr">
        <is>
          <t>Corpse Knight</t>
        </is>
      </c>
      <c r="B66" s="2">
        <f>IF(AND(F66&lt;&gt;0,E66=F66),"In Hand",IF(AND(E66&lt;&gt;0,E66&lt;F66,SUM(M66:R66)=0,SUM(T66:Y66)&gt;0),"Extra-Sub",IF(AND(E66=0,E66&lt;F66,SUM(M66:R66)=0,SUM(T66:Y66)&gt;0),"Bench-Sub",IF(AND(E66=0,F66&gt;0),"Bench",IF(E66&lt;F66,"Extra",IF(AND(J66="",E66&gt;F66),"To Buy",IF(SUM(J66,F66)&lt;E66,"To Buy",IF(AND(SUM(J66,F66)&gt;=E66,J66&lt;&gt;""),"Ordered",IF(AND(E66=0,F66=0,D66="B3"),"B3 Option",IF(AND(E66=0,F66=0),"Remove","To Buy"))))))))))</f>
        <v/>
      </c>
      <c r="D66" t="inlineStr">
        <is>
          <t>B2</t>
        </is>
      </c>
      <c r="E66" s="3">
        <f>SUM(M66:S66)</f>
        <v/>
      </c>
      <c r="F66" s="3">
        <f>SUM(T66:Z66)</f>
        <v/>
      </c>
      <c r="G66" s="3">
        <f>IF((F66-E66)&gt;=0,F66-E66,0)</f>
        <v/>
      </c>
      <c r="H66" s="3">
        <f>MAX(0,$E66-$F66-$J66)</f>
        <v/>
      </c>
      <c r="I66" s="3" t="inlineStr">
        <is>
          <t>TCG</t>
        </is>
      </c>
      <c r="J66" s="3" t="n">
        <v>1</v>
      </c>
      <c r="K66" s="4" t="n">
        <v>0.6899999999999999</v>
      </c>
      <c r="L66" s="4">
        <f>IF(AND($H66&gt;0,ISNUMBER($K66)),$H66*$K66,0)</f>
        <v/>
      </c>
      <c r="M66" s="3" t="n"/>
      <c r="N66" s="3" t="n"/>
      <c r="O66" s="3" t="n"/>
      <c r="P66" s="3" t="n"/>
      <c r="Q66" s="3" t="n">
        <v>1</v>
      </c>
      <c r="R66" s="3" t="n"/>
      <c r="S66" s="3">
        <f>IF(AND(J66&lt;&gt;"",SUM(M66:R66)=0),J66,"")</f>
        <v/>
      </c>
      <c r="T66" s="3" t="n"/>
      <c r="U66" s="3" t="n"/>
      <c r="V66" s="3" t="n"/>
      <c r="W66" s="3" t="n"/>
      <c r="X66" s="3" t="n"/>
      <c r="Y66" s="3" t="n"/>
      <c r="Z66" s="3" t="n"/>
      <c r="AA66" s="2" t="inlineStr">
        <is>
          <t>Creature</t>
        </is>
      </c>
      <c r="AB66" s="2" t="inlineStr">
        <is>
          <t>Zombie Knight</t>
        </is>
      </c>
      <c r="AC66" s="2" t="inlineStr">
        <is>
          <t>Multi</t>
        </is>
      </c>
      <c r="AD66" s="3" t="n">
        <v>2</v>
      </c>
      <c r="AE66" s="29" t="inlineStr">
        <is>
          <t>Core Set 2020</t>
        </is>
      </c>
      <c r="AF66" s="29" t="inlineStr">
        <is>
          <t>Drain Payoff</t>
        </is>
      </c>
      <c r="AG66" s="29" t="inlineStr">
        <is>
          <t>Whenever another creature you control enters, each opponent loses 1 life</t>
        </is>
      </c>
      <c r="AH66" s="29" t="n"/>
      <c r="AI66" s="29" t="n"/>
      <c r="AJ66" s="2" t="inlineStr">
        <is>
          <t>Ordered 2026-09-02: TCGplayer $0.39 NM from NostalgiAtog</t>
        </is>
      </c>
    </row>
    <row r="67" ht="15" customHeight="1" s="79">
      <c r="A67" s="2" t="inlineStr">
        <is>
          <t>Cruel Celebrant</t>
        </is>
      </c>
      <c r="B67" s="2">
        <f>IF(AND(F67&lt;&gt;0,E67=F67),"In Hand",IF(AND(E67&lt;&gt;0,E67&lt;F67,SUM(M67:R67)=0,SUM(T67:Y67)&gt;0),"Extra-Sub",IF(AND(E67=0,E67&lt;F67,SUM(M67:R67)=0,SUM(T67:Y67)&gt;0),"Bench-Sub",IF(AND(E67=0,F67&gt;0),"Bench",IF(E67&lt;F67,"Extra",IF(AND(J67="",E67&gt;F67),"To Buy",IF(SUM(J67,F67)&lt;E67,"To Buy",IF(AND(SUM(J67,F67)&gt;=E67,J67&lt;&gt;""),"Ordered",IF(AND(E67=0,F67=0,D67="B3"),"B3 Option",IF(AND(E67=0,F67=0),"Remove","To Buy"))))))))))</f>
        <v/>
      </c>
      <c r="D67" t="inlineStr">
        <is>
          <t>B2</t>
        </is>
      </c>
      <c r="E67" s="3">
        <f>SUM(M67:S67)</f>
        <v/>
      </c>
      <c r="F67" s="3">
        <f>SUM(T67:Z67)</f>
        <v/>
      </c>
      <c r="G67" s="3">
        <f>IF((F67-E67)&gt;=0,F67-E67,0)</f>
        <v/>
      </c>
      <c r="H67" s="3">
        <f>MAX(0,$E67-$F67-$J67)</f>
        <v/>
      </c>
      <c r="I67" s="3" t="inlineStr">
        <is>
          <t>TCG</t>
        </is>
      </c>
      <c r="J67" s="3" t="n">
        <v>1</v>
      </c>
      <c r="K67" s="4" t="n">
        <v>1.68</v>
      </c>
      <c r="L67" s="4">
        <f>IF(AND($H67&gt;0,ISNUMBER($K67)),$H67*$K67,0)</f>
        <v/>
      </c>
      <c r="M67" s="3" t="n"/>
      <c r="N67" s="3" t="n"/>
      <c r="O67" s="3" t="n"/>
      <c r="P67" s="3" t="n"/>
      <c r="Q67" s="3" t="n">
        <v>1</v>
      </c>
      <c r="R67" s="3" t="n"/>
      <c r="S67" s="3">
        <f>IF(AND(J67&lt;&gt;"",SUM(M67:R67)=0),J67,"")</f>
        <v/>
      </c>
      <c r="T67" s="3" t="n"/>
      <c r="U67" s="3" t="n"/>
      <c r="V67" s="3" t="n"/>
      <c r="W67" s="3" t="n"/>
      <c r="X67" s="3" t="n"/>
      <c r="Y67" s="3" t="n"/>
      <c r="Z67" s="3" t="n"/>
      <c r="AA67" s="2" t="inlineStr">
        <is>
          <t>Creature</t>
        </is>
      </c>
      <c r="AB67" s="2" t="inlineStr">
        <is>
          <t>Vampire</t>
        </is>
      </c>
      <c r="AC67" s="2" t="inlineStr">
        <is>
          <t>Multi</t>
        </is>
      </c>
      <c r="AD67" s="3" t="n">
        <v>2</v>
      </c>
      <c r="AE67" s="29" t="inlineStr">
        <is>
          <t>War of the Spark</t>
        </is>
      </c>
      <c r="AF67" s="29" t="inlineStr">
        <is>
          <t>Drain Payoff</t>
        </is>
      </c>
      <c r="AG67" s="29" t="inlineStr">
        <is>
          <t>Whenever it or another creature/planeswalker you control dies, each opponent loses 1 life and you gain 1 life</t>
        </is>
      </c>
      <c r="AH67" s="29" t="n"/>
      <c r="AI67" s="29" t="n"/>
      <c r="AJ67" s="2" t="inlineStr">
        <is>
          <t>Ordered 2026-09-02: TCGplayer $0.56 LP from The Next Level Games</t>
        </is>
      </c>
    </row>
    <row r="68" ht="15" customHeight="1" s="79">
      <c r="A68" s="2" t="inlineStr">
        <is>
          <t>Cultivate</t>
        </is>
      </c>
      <c r="B68" s="2">
        <f>IF(AND(F68&lt;&gt;0,E68=F68),"In Hand",IF(AND(E68&lt;&gt;0,E68&lt;F68,SUM(M68:R68)=0,SUM(T68:Y68)&gt;0),"Extra-Sub",IF(AND(E68=0,E68&lt;F68,SUM(M68:R68)=0,SUM(T68:Y68)&gt;0),"Bench-Sub",IF(AND(E68=0,F68&gt;0),"Bench",IF(E68&lt;F68,"Extra",IF(AND(J68="",E68&gt;F68),"To Buy",IF(SUM(J68,F68)&lt;E68,"To Buy",IF(AND(SUM(J68,F68)&gt;=E68,J68&lt;&gt;""),"Ordered",IF(AND(E68=0,F68=0,D68="B3"),"B3 Option",IF(AND(E68=0,F68=0),"Remove","To Buy"))))))))))</f>
        <v/>
      </c>
      <c r="D68" t="inlineStr">
        <is>
          <t>B2</t>
        </is>
      </c>
      <c r="E68" s="3">
        <f>SUM(M68:S68)</f>
        <v/>
      </c>
      <c r="F68" s="3">
        <f>SUM(T68:Z68)</f>
        <v/>
      </c>
      <c r="G68" s="3">
        <f>IF((F68-E68)&gt;=0,F68-E68,0)</f>
        <v/>
      </c>
      <c r="H68" s="3">
        <f>MAX(0,$E68-$F68-$J68)</f>
        <v/>
      </c>
      <c r="I68" s="3" t="inlineStr">
        <is>
          <t>TCG</t>
        </is>
      </c>
      <c r="J68" s="3" t="n">
        <v>1</v>
      </c>
      <c r="K68" s="4" t="n">
        <v>0.36</v>
      </c>
      <c r="L68" s="4">
        <f>IF(AND($H68&gt;0,ISNUMBER($K68)),$H68*$K68,0)</f>
        <v/>
      </c>
      <c r="M68" s="3" t="n"/>
      <c r="N68" s="3" t="n">
        <v>1</v>
      </c>
      <c r="O68" s="3" t="n"/>
      <c r="P68" s="3" t="n"/>
      <c r="Q68" s="3" t="n"/>
      <c r="R68" s="3" t="n"/>
      <c r="S68" s="3">
        <f>IF(AND(J68&lt;&gt;"",SUM(M68:R68)=0),J68,"")</f>
        <v/>
      </c>
      <c r="T68" s="3" t="n"/>
      <c r="U68" s="3" t="n"/>
      <c r="V68" s="3" t="n"/>
      <c r="W68" s="3" t="n"/>
      <c r="X68" s="3" t="n"/>
      <c r="Y68" s="3" t="n"/>
      <c r="Z68" s="3" t="n"/>
      <c r="AA68" s="2" t="inlineStr">
        <is>
          <t>Sorcery</t>
        </is>
      </c>
      <c r="AB68" s="2" t="n"/>
      <c r="AC68" s="2" t="inlineStr">
        <is>
          <t>G</t>
        </is>
      </c>
      <c r="AD68" s="3" t="n">
        <v>3</v>
      </c>
      <c r="AE68" s="29" t="inlineStr">
        <is>
          <t>Magic 2011</t>
        </is>
      </c>
      <c r="AF68" s="29" t="inlineStr">
        <is>
          <t>Ramp</t>
        </is>
      </c>
      <c r="AG68" s="29" t="inlineStr">
        <is>
          <t>Searches for two basic lands; puts one onto the battlefield tapped, one to hand</t>
        </is>
      </c>
      <c r="AH68" s="29" t="n"/>
      <c r="AI68" s="29" t="n"/>
      <c r="AJ68" s="2" t="inlineStr">
        <is>
          <t>Ordered 2026-09-02: TCGplayer $0.39 NM from NostalgiAtog</t>
        </is>
      </c>
    </row>
    <row r="69" ht="15" customHeight="1" s="79">
      <c r="A69" s="2" t="inlineStr">
        <is>
          <t>Danitha Capashen, Paragon</t>
        </is>
      </c>
      <c r="B69" s="2">
        <f>IF(AND(F69&lt;&gt;0,E69=F69),"In Hand",IF(AND(E69&lt;&gt;0,E69&lt;F69,SUM(M69:R69)=0,SUM(T69:Y69)&gt;0),"Extra-Sub",IF(AND(E69=0,E69&lt;F69,SUM(M69:R69)=0,SUM(T69:Y69)&gt;0),"Bench-Sub",IF(AND(E69=0,F69&gt;0),"Bench",IF(E69&lt;F69,"Extra",IF(AND(J69="",E69&gt;F69),"To Buy",IF(SUM(J69,F69)&lt;E69,"To Buy",IF(AND(SUM(J69,F69)&gt;=E69,J69&lt;&gt;""),"Ordered",IF(AND(E69=0,F69=0,D69="B3"),"B3 Option",IF(AND(E69=0,F69=0),"Remove","To Buy"))))))))))</f>
        <v/>
      </c>
      <c r="D69" t="inlineStr">
        <is>
          <t>B2</t>
        </is>
      </c>
      <c r="E69" s="3">
        <f>SUM(M69:S69)</f>
        <v/>
      </c>
      <c r="F69" s="3">
        <f>SUM(T69:Z69)</f>
        <v/>
      </c>
      <c r="G69" s="3">
        <f>IF((F69-E69)&gt;=0,F69-E69,0)</f>
        <v/>
      </c>
      <c r="H69" s="3">
        <f>MAX(0,$E69-$F69-$J69)</f>
        <v/>
      </c>
      <c r="I69" s="37" t="inlineStr">
        <is>
          <t>TCG</t>
        </is>
      </c>
      <c r="J69" s="3" t="n">
        <v>1</v>
      </c>
      <c r="K69" s="4" t="n"/>
      <c r="L69" s="4">
        <f>IF(AND($H69&gt;0,ISNUMBER($K69)),$H69*$K69,0)</f>
        <v/>
      </c>
      <c r="M69" s="3" t="n"/>
      <c r="N69" s="3" t="n"/>
      <c r="O69" s="3" t="n"/>
      <c r="P69" s="3" t="n"/>
      <c r="Q69" s="3" t="n"/>
      <c r="R69" s="3" t="n"/>
      <c r="S69" s="3">
        <f>IF(AND(J69&lt;&gt;"",SUM(M69:R69)=0),J69,"")</f>
        <v/>
      </c>
      <c r="T69" s="3" t="n"/>
      <c r="U69" s="3" t="n"/>
      <c r="V69" s="3" t="n"/>
      <c r="W69" s="3" t="n"/>
      <c r="X69" s="3" t="n"/>
      <c r="Y69" s="3" t="n"/>
      <c r="Z69" s="3" t="n"/>
      <c r="AA69" s="2" t="inlineStr">
        <is>
          <t>?</t>
        </is>
      </c>
      <c r="AB69" s="2" t="inlineStr">
        <is>
          <t>Human Knight</t>
        </is>
      </c>
      <c r="AC69" s="2" t="inlineStr">
        <is>
          <t>C</t>
        </is>
      </c>
      <c r="AD69" s="3" t="n">
        <v>3</v>
      </c>
      <c r="AE69" s="29" t="inlineStr">
        <is>
          <t>Dominaria</t>
        </is>
      </c>
      <c r="AF69" s="29" t="inlineStr">
        <is>
          <t>Cost Reducer</t>
        </is>
      </c>
      <c r="AG69" s="29" t="inlineStr">
        <is>
          <t>Reduces your Aura and Equipment spells by {1}</t>
        </is>
      </c>
      <c r="AH69" s="29" t="inlineStr">
        <is>
          <t>First strike, vigilance, lifelink body</t>
        </is>
      </c>
      <c r="AI69" s="29" t="n"/>
      <c r="AJ69" s="2" t="inlineStr">
        <is>
          <t>arrives -&gt; Bench (slot was upgraded)</t>
        </is>
      </c>
    </row>
    <row r="70" ht="15" customHeight="1" s="79">
      <c r="A70" s="2" t="inlineStr">
        <is>
          <t>Day of Judgment</t>
        </is>
      </c>
      <c r="B70" s="2">
        <f>IF(AND(F70&lt;&gt;0,E70=F70),"In Hand",IF(AND(E70&lt;&gt;0,E70&lt;F70,SUM(M70:R70)=0,SUM(T70:Y70)&gt;0),"Extra-Sub",IF(AND(E70=0,E70&lt;F70,SUM(M70:R70)=0,SUM(T70:Y70)&gt;0),"Bench-Sub",IF(AND(E70=0,F70&gt;0),"Bench",IF(E70&lt;F70,"Extra",IF(AND(J70="",E70&gt;F70),"To Buy",IF(SUM(J70,F70)&lt;E70,"To Buy",IF(AND(SUM(J70,F70)&gt;=E70,J70&lt;&gt;""),"Ordered",IF(AND(E70=0,F70=0,D70="B3"),"B3 Option",IF(AND(E70=0,F70=0),"Remove","To Buy"))))))))))</f>
        <v/>
      </c>
      <c r="D70" t="inlineStr">
        <is>
          <t>B3</t>
        </is>
      </c>
      <c r="E70" s="3">
        <f>SUM(M70:S70)</f>
        <v/>
      </c>
      <c r="F70" s="3">
        <f>SUM(T70:Z70)</f>
        <v/>
      </c>
      <c r="G70" s="3">
        <f>IF((F70-E70)&gt;=0,F70-E70,0)</f>
        <v/>
      </c>
      <c r="H70" s="3">
        <f>MAX(0,$E70-$F70-$J70)</f>
        <v/>
      </c>
      <c r="I70" s="3" t="inlineStr">
        <is>
          <t>TCG</t>
        </is>
      </c>
      <c r="J70" s="3" t="n">
        <v>1</v>
      </c>
      <c r="K70" s="4" t="n">
        <v>1.09</v>
      </c>
      <c r="L70" s="4">
        <f>IF(AND($H70&gt;0,ISNUMBER($K70)),$H70*$K70,0)</f>
        <v/>
      </c>
      <c r="M70" s="3" t="n"/>
      <c r="N70" s="3" t="n"/>
      <c r="O70" s="3" t="n"/>
      <c r="P70" s="3" t="n"/>
      <c r="Q70" s="3" t="n">
        <v>1</v>
      </c>
      <c r="R70" s="3" t="n"/>
      <c r="S70" s="3">
        <f>IF(AND(J70&lt;&gt;"",SUM(M70:R70)=0),J70,"")</f>
        <v/>
      </c>
      <c r="T70" s="3" t="n"/>
      <c r="U70" s="3" t="n"/>
      <c r="V70" s="3" t="n"/>
      <c r="W70" s="3" t="n"/>
      <c r="X70" s="3" t="n"/>
      <c r="Y70" s="3" t="n"/>
      <c r="Z70" s="3" t="n"/>
      <c r="AA70" s="2" t="inlineStr">
        <is>
          <t>Sorcery</t>
        </is>
      </c>
      <c r="AB70" s="2" t="n"/>
      <c r="AC70" s="2" t="inlineStr">
        <is>
          <t>W</t>
        </is>
      </c>
      <c r="AD70" s="3" t="n">
        <v>4</v>
      </c>
      <c r="AE70" s="29" t="inlineStr">
        <is>
          <t>Zendikar</t>
        </is>
      </c>
      <c r="AF70" s="29" t="inlineStr">
        <is>
          <t>Board Wipe</t>
        </is>
      </c>
      <c r="AG70" s="29" t="inlineStr">
        <is>
          <t>Destroys all creatures</t>
        </is>
      </c>
      <c r="AH70" s="29" t="n"/>
      <c r="AI70" s="29" t="n"/>
      <c r="AJ70" s="2" t="inlineStr">
        <is>
          <t>D5 Tuned add bought in place of Timid Shieldbearer (2026-09-02); Ordered 2026-09-02: TCGplayer $1.09 LP from The Next Level Games</t>
        </is>
      </c>
    </row>
    <row r="71" ht="15" customHeight="1" s="79">
      <c r="A71" s="2" t="inlineStr">
        <is>
          <t>Deadly Dispute</t>
        </is>
      </c>
      <c r="B71" s="2">
        <f>IF(AND(F71&lt;&gt;0,E71=F71),"In Hand",IF(AND(E71&lt;&gt;0,E71&lt;F71,SUM(M71:R71)=0,SUM(T71:Y71)&gt;0),"Extra-Sub",IF(AND(E71=0,E71&lt;F71,SUM(M71:R71)=0,SUM(T71:Y71)&gt;0),"Bench-Sub",IF(AND(E71=0,F71&gt;0),"Bench",IF(E71&lt;F71,"Extra",IF(AND(J71="",E71&gt;F71),"To Buy",IF(SUM(J71,F71)&lt;E71,"To Buy",IF(AND(SUM(J71,F71)&gt;=E71,J71&lt;&gt;""),"Ordered",IF(AND(E71=0,F71=0,D71="B3"),"B3 Option",IF(AND(E71=0,F71=0),"Remove","To Buy"))))))))))</f>
        <v/>
      </c>
      <c r="D71" t="inlineStr">
        <is>
          <t>B2</t>
        </is>
      </c>
      <c r="E71" s="3">
        <f>SUM(M71:S71)</f>
        <v/>
      </c>
      <c r="F71" s="3">
        <f>SUM(T71:Z71)</f>
        <v/>
      </c>
      <c r="G71" s="3">
        <f>IF((F71-E71)&gt;=0,F71-E71,0)</f>
        <v/>
      </c>
      <c r="H71" s="3">
        <f>MAX(0,$E71-$F71-$J71)</f>
        <v/>
      </c>
      <c r="I71" s="3" t="inlineStr">
        <is>
          <t>TCG</t>
        </is>
      </c>
      <c r="J71" s="3" t="n">
        <v>1</v>
      </c>
      <c r="K71" s="4" t="n">
        <v>0.26</v>
      </c>
      <c r="L71" s="4">
        <f>IF(AND($H71&gt;0,ISNUMBER($K71)),$H71*$K71,0)</f>
        <v/>
      </c>
      <c r="M71" s="3" t="n"/>
      <c r="N71" s="3" t="n"/>
      <c r="O71" s="3" t="n"/>
      <c r="P71" s="3" t="n"/>
      <c r="Q71" s="3" t="n">
        <v>1</v>
      </c>
      <c r="R71" s="3" t="n"/>
      <c r="S71" s="3">
        <f>IF(AND(J71&lt;&gt;"",SUM(M71:R71)=0),J71,"")</f>
        <v/>
      </c>
      <c r="T71" s="3" t="n"/>
      <c r="U71" s="3" t="n"/>
      <c r="V71" s="3" t="n"/>
      <c r="W71" s="3" t="n"/>
      <c r="X71" s="3" t="n"/>
      <c r="Y71" s="3" t="n"/>
      <c r="Z71" s="3" t="n"/>
      <c r="AA71" s="2" t="inlineStr">
        <is>
          <t>Instant</t>
        </is>
      </c>
      <c r="AB71" s="2" t="n"/>
      <c r="AC71" s="2" t="inlineStr">
        <is>
          <t>B</t>
        </is>
      </c>
      <c r="AD71" s="3" t="n">
        <v>2</v>
      </c>
      <c r="AE71" s="29" t="inlineStr">
        <is>
          <t>Adventures in the Forgotten Realms</t>
        </is>
      </c>
      <c r="AF71" s="29" t="inlineStr">
        <is>
          <t>Sacrifice Outlet</t>
        </is>
      </c>
      <c r="AG71" s="29" t="inlineStr">
        <is>
          <t>Sacrifice an artifact or creature to draw two cards and make a Treasure token</t>
        </is>
      </c>
      <c r="AH71" s="29" t="n"/>
      <c r="AI71" s="29" t="n"/>
      <c r="AJ71" s="2" t="inlineStr">
        <is>
          <t>Ordered 2026-09-02: TCGplayer $0.37 NM from NostalgiAtog</t>
        </is>
      </c>
    </row>
    <row r="72" ht="15" customHeight="1" s="79">
      <c r="A72" s="2" t="inlineStr">
        <is>
          <t>Deepglow Skate</t>
        </is>
      </c>
      <c r="B72" s="2">
        <f>IF(AND(F72&lt;&gt;0,E72=F72),"In Hand",IF(AND(E72&lt;&gt;0,E72&lt;F72,SUM(M72:R72)=0,SUM(T72:Y72)&gt;0),"Extra-Sub",IF(AND(E72=0,E72&lt;F72,SUM(M72:R72)=0,SUM(T72:Y72)&gt;0),"Bench-Sub",IF(AND(E72=0,F72&gt;0),"Bench",IF(E72&lt;F72,"Extra",IF(AND(J72="",E72&gt;F72),"To Buy",IF(SUM(J72,F72)&lt;E72,"To Buy",IF(AND(SUM(J72,F72)&gt;=E72,J72&lt;&gt;""),"Ordered",IF(AND(E72=0,F72=0,D72="B3"),"B3 Option",IF(AND(E72=0,F72=0),"Remove","To Buy"))))))))))</f>
        <v/>
      </c>
      <c r="D72" t="inlineStr">
        <is>
          <t>B2</t>
        </is>
      </c>
      <c r="E72" s="3">
        <f>SUM(M72:S72)</f>
        <v/>
      </c>
      <c r="F72" s="3">
        <f>SUM(T72:Z72)</f>
        <v/>
      </c>
      <c r="G72" s="3">
        <f>IF((F72-E72)&gt;=0,F72-E72,0)</f>
        <v/>
      </c>
      <c r="H72" s="3">
        <f>MAX(0,$E72-$F72-$J72)</f>
        <v/>
      </c>
      <c r="I72" s="3" t="inlineStr">
        <is>
          <t>TCG</t>
        </is>
      </c>
      <c r="J72" s="3" t="n">
        <v>1</v>
      </c>
      <c r="K72" s="4" t="n">
        <v>0.28</v>
      </c>
      <c r="L72" s="4">
        <f>IF(AND($H72&gt;0,ISNUMBER($K72)),$H72*$K72,0)</f>
        <v/>
      </c>
      <c r="M72" s="3" t="n"/>
      <c r="N72" s="3" t="n"/>
      <c r="O72" s="3" t="n">
        <v>1</v>
      </c>
      <c r="P72" s="3" t="n"/>
      <c r="Q72" s="3" t="n"/>
      <c r="R72" s="3" t="n"/>
      <c r="S72" s="3">
        <f>IF(AND(J72&lt;&gt;"",SUM(M72:R72)=0),J72,"")</f>
        <v/>
      </c>
      <c r="T72" s="3" t="n"/>
      <c r="U72" s="3" t="n"/>
      <c r="V72" s="3" t="n"/>
      <c r="W72" s="3" t="n"/>
      <c r="X72" s="3" t="n"/>
      <c r="Y72" s="3" t="n"/>
      <c r="Z72" s="3" t="n"/>
      <c r="AA72" s="2" t="inlineStr">
        <is>
          <t>Creature</t>
        </is>
      </c>
      <c r="AB72" s="2" t="inlineStr">
        <is>
          <t>Fish</t>
        </is>
      </c>
      <c r="AC72" s="2" t="inlineStr">
        <is>
          <t>U</t>
        </is>
      </c>
      <c r="AD72" s="3" t="n">
        <v>5</v>
      </c>
      <c r="AE72" s="29" t="inlineStr">
        <is>
          <t>Commander 2016</t>
        </is>
      </c>
      <c r="AF72" s="29" t="inlineStr">
        <is>
          <t>Proliferate</t>
        </is>
      </c>
      <c r="AG72" s="29" t="inlineStr">
        <is>
          <t>Doubles each kind of counter on any number of target permanents when it enters</t>
        </is>
      </c>
      <c r="AH72" s="29" t="n"/>
      <c r="AI72" s="29" t="n"/>
      <c r="AJ72" s="2" t="inlineStr">
        <is>
          <t>Ordered 2026-09-02: TCGplayer $0.30 NM from NostalgiAtog</t>
        </is>
      </c>
    </row>
    <row r="73" ht="15" customHeight="1" s="79">
      <c r="A73" s="2" t="inlineStr">
        <is>
          <t>Dreadhorde Invasion</t>
        </is>
      </c>
      <c r="B73" s="2">
        <f>IF(AND(F73&lt;&gt;0,E73=F73),"In Hand",IF(AND(E73&lt;&gt;0,E73&lt;F73,SUM(M73:R73)=0,SUM(T73:Y73)&gt;0),"Extra-Sub",IF(AND(E73=0,E73&lt;F73,SUM(M73:R73)=0,SUM(T73:Y73)&gt;0),"Bench-Sub",IF(AND(E73=0,F73&gt;0),"Bench",IF(E73&lt;F73,"Extra",IF(AND(J73="",E73&gt;F73),"To Buy",IF(SUM(J73,F73)&lt;E73,"To Buy",IF(AND(SUM(J73,F73)&gt;=E73,J73&lt;&gt;""),"Ordered",IF(AND(E73=0,F73=0,D73="B3"),"B3 Option",IF(AND(E73=0,F73=0),"Remove","To Buy"))))))))))</f>
        <v/>
      </c>
      <c r="D73" t="inlineStr">
        <is>
          <t>B2</t>
        </is>
      </c>
      <c r="E73" s="3">
        <f>SUM(M73:S73)</f>
        <v/>
      </c>
      <c r="F73" s="3">
        <f>SUM(T73:Z73)</f>
        <v/>
      </c>
      <c r="G73" s="3">
        <f>IF((F73-E73)&gt;=0,F73-E73,0)</f>
        <v/>
      </c>
      <c r="H73" s="3">
        <f>MAX(0,$E73-$F73-$J73)</f>
        <v/>
      </c>
      <c r="I73" s="3" t="inlineStr">
        <is>
          <t>TCG</t>
        </is>
      </c>
      <c r="J73" s="3" t="n">
        <v>1</v>
      </c>
      <c r="K73" s="4" t="n">
        <v>1.02</v>
      </c>
      <c r="L73" s="4">
        <f>IF(AND($H73&gt;0,ISNUMBER($K73)),$H73*$K73,0)</f>
        <v/>
      </c>
      <c r="M73" s="3" t="n"/>
      <c r="N73" s="3" t="n"/>
      <c r="O73" s="3" t="n"/>
      <c r="P73" s="3" t="n"/>
      <c r="Q73" s="3" t="n">
        <v>1</v>
      </c>
      <c r="R73" s="3" t="n"/>
      <c r="S73" s="3">
        <f>IF(AND(J73&lt;&gt;"",SUM(M73:R73)=0),J73,"")</f>
        <v/>
      </c>
      <c r="T73" s="3" t="n"/>
      <c r="U73" s="3" t="n"/>
      <c r="V73" s="3" t="n"/>
      <c r="W73" s="3" t="n"/>
      <c r="X73" s="3" t="n"/>
      <c r="Y73" s="3" t="n"/>
      <c r="Z73" s="3" t="n"/>
      <c r="AA73" s="2" t="inlineStr">
        <is>
          <t>Enchantment</t>
        </is>
      </c>
      <c r="AB73" s="2" t="n"/>
      <c r="AC73" s="2" t="inlineStr">
        <is>
          <t>B</t>
        </is>
      </c>
      <c r="AD73" s="3" t="n">
        <v>2</v>
      </c>
      <c r="AE73" s="29" t="inlineStr">
        <is>
          <t>War of the Spark</t>
        </is>
      </c>
      <c r="AF73" s="29" t="inlineStr">
        <is>
          <t>Token Producer</t>
        </is>
      </c>
      <c r="AG73" s="29" t="inlineStr">
        <is>
          <t>Each upkeep, lose 1 life and put a counter on (or create) a Zombie Army token</t>
        </is>
      </c>
      <c r="AH73" s="29" t="inlineStr">
        <is>
          <t>Big Zombie tokens gain lifelink when attacking</t>
        </is>
      </c>
      <c r="AI73" s="29" t="n"/>
      <c r="AJ73" s="2" t="inlineStr">
        <is>
          <t>Ordered 2026-09-02: TCGplayer $0.46 NM from NostalgiAtog</t>
        </is>
      </c>
    </row>
    <row r="74" ht="15" customHeight="1" s="79">
      <c r="A74" s="2" t="inlineStr">
        <is>
          <t>Elspeth, Sun's Nemesis</t>
        </is>
      </c>
      <c r="B74" s="2">
        <f>IF(AND(F74&lt;&gt;0,E74=F74),"In Hand",IF(AND(E74&lt;&gt;0,E74&lt;F74,SUM(M74:R74)=0,SUM(T74:Y74)&gt;0),"Extra-Sub",IF(AND(E74=0,E74&lt;F74,SUM(M74:R74)=0,SUM(T74:Y74)&gt;0),"Bench-Sub",IF(AND(E74=0,F74&gt;0),"Bench",IF(E74&lt;F74,"Extra",IF(AND(J74="",E74&gt;F74),"To Buy",IF(SUM(J74,F74)&lt;E74,"To Buy",IF(AND(SUM(J74,F74)&gt;=E74,J74&lt;&gt;""),"Ordered",IF(AND(E74=0,F74=0,D74="B3"),"B3 Option",IF(AND(E74=0,F74=0),"Remove","To Buy"))))))))))</f>
        <v/>
      </c>
      <c r="D74" t="inlineStr">
        <is>
          <t>B3</t>
        </is>
      </c>
      <c r="E74" s="3">
        <f>SUM(M74:S74)</f>
        <v/>
      </c>
      <c r="F74" s="3">
        <f>SUM(T74:Z74)</f>
        <v/>
      </c>
      <c r="G74" s="3">
        <f>IF((F74-E74)&gt;=0,F74-E74,0)</f>
        <v/>
      </c>
      <c r="H74" s="3">
        <f>MAX(0,$E74-$F74-$J74)</f>
        <v/>
      </c>
      <c r="I74" s="3" t="inlineStr">
        <is>
          <t>TCG</t>
        </is>
      </c>
      <c r="J74" s="3" t="n">
        <v>1</v>
      </c>
      <c r="K74" s="4" t="n">
        <v>1</v>
      </c>
      <c r="L74" s="4">
        <f>IF(AND($H74&gt;0,ISNUMBER($K74)),$H74*$K74,0)</f>
        <v/>
      </c>
      <c r="M74" s="3" t="n"/>
      <c r="N74" s="3" t="n"/>
      <c r="O74" s="3" t="n"/>
      <c r="P74" s="3" t="n"/>
      <c r="Q74" s="3" t="n">
        <v>1</v>
      </c>
      <c r="R74" s="3" t="n"/>
      <c r="S74" s="3">
        <f>IF(AND(J74&lt;&gt;"",SUM(M74:R74)=0),J74,"")</f>
        <v/>
      </c>
      <c r="T74" s="3" t="n"/>
      <c r="U74" s="3" t="n"/>
      <c r="V74" s="3" t="n"/>
      <c r="W74" s="3" t="n"/>
      <c r="X74" s="3" t="n"/>
      <c r="Y74" s="3" t="n"/>
      <c r="Z74" s="3" t="n"/>
      <c r="AA74" s="2" t="inlineStr">
        <is>
          <t>Legendary Planeswalker</t>
        </is>
      </c>
      <c r="AB74" s="2" t="inlineStr">
        <is>
          <t>Elspeth</t>
        </is>
      </c>
      <c r="AC74" s="2" t="inlineStr">
        <is>
          <t>W</t>
        </is>
      </c>
      <c r="AD74" s="3" t="n">
        <v>4</v>
      </c>
      <c r="AE74" s="29" t="inlineStr">
        <is>
          <t>Theros Beyond Death</t>
        </is>
      </c>
      <c r="AF74" s="29" t="inlineStr">
        <is>
          <t>Token Producer</t>
        </is>
      </c>
      <c r="AG74" s="29" t="inlineStr">
        <is>
          <t>-1: Up to two creatures get +2/+1 until end of turn</t>
        </is>
      </c>
      <c r="AH74" s="29" t="inlineStr">
        <is>
          <t>-2: Create two 1/1 Human Soldier tokens</t>
        </is>
      </c>
      <c r="AI74" s="29" t="inlineStr">
        <is>
          <t>Escape from the graveyard by exiling four cards</t>
        </is>
      </c>
      <c r="AJ74" s="2" t="inlineStr">
        <is>
          <t>D5 Tuned add bought in place of Curious Farm Animals (2026-09-02); Ordered 2026-09-02: TCGplayer $1.00 NM from The Next Level Games</t>
        </is>
      </c>
    </row>
    <row r="75" ht="15" customHeight="1" s="79">
      <c r="A75" s="2" t="inlineStr">
        <is>
          <t>Empty the Warrens</t>
        </is>
      </c>
      <c r="B75" s="2">
        <f>IF(AND(F75&lt;&gt;0,E75=F75),"In Hand",IF(AND(E75&lt;&gt;0,E75&lt;F75,SUM(M75:R75)=0,SUM(T75:Y75)&gt;0),"Extra-Sub",IF(AND(E75=0,E75&lt;F75,SUM(M75:R75)=0,SUM(T75:Y75)&gt;0),"Bench-Sub",IF(AND(E75=0,F75&gt;0),"Bench",IF(E75&lt;F75,"Extra",IF(AND(J75="",E75&gt;F75),"To Buy",IF(SUM(J75,F75)&lt;E75,"To Buy",IF(AND(SUM(J75,F75)&gt;=E75,J75&lt;&gt;""),"Ordered",IF(AND(E75=0,F75=0,D75="B3"),"B3 Option",IF(AND(E75=0,F75=0),"Remove","To Buy"))))))))))</f>
        <v/>
      </c>
      <c r="D75" t="inlineStr">
        <is>
          <t>B2</t>
        </is>
      </c>
      <c r="E75" s="3">
        <f>SUM(M75:S75)</f>
        <v/>
      </c>
      <c r="F75" s="3">
        <f>SUM(T75:Z75)</f>
        <v/>
      </c>
      <c r="G75" s="3">
        <f>IF((F75-E75)&gt;=0,F75-E75,0)</f>
        <v/>
      </c>
      <c r="H75" s="3">
        <f>MAX(0,$E75-$F75-$J75)</f>
        <v/>
      </c>
      <c r="I75" s="3" t="inlineStr">
        <is>
          <t>TCG</t>
        </is>
      </c>
      <c r="J75" s="3" t="n">
        <v>1</v>
      </c>
      <c r="K75" s="4" t="n">
        <v>0.15</v>
      </c>
      <c r="L75" s="4">
        <f>IF(AND($H75&gt;0,ISNUMBER($K75)),$H75*$K75,0)</f>
        <v/>
      </c>
      <c r="M75" s="3" t="n"/>
      <c r="N75" s="3" t="n"/>
      <c r="O75" s="3" t="n"/>
      <c r="P75" s="3" t="n"/>
      <c r="Q75" s="3" t="n"/>
      <c r="R75" s="3" t="n">
        <v>1</v>
      </c>
      <c r="S75" s="3">
        <f>IF(AND(J75&lt;&gt;"",SUM(M75:R75)=0),J75,"")</f>
        <v/>
      </c>
      <c r="T75" s="3" t="n"/>
      <c r="U75" s="3" t="n"/>
      <c r="V75" s="3" t="n"/>
      <c r="W75" s="3" t="n"/>
      <c r="X75" s="3" t="n"/>
      <c r="Y75" s="3" t="n"/>
      <c r="Z75" s="3" t="n"/>
      <c r="AA75" s="2" t="inlineStr">
        <is>
          <t>Sorcery</t>
        </is>
      </c>
      <c r="AB75" s="2" t="n"/>
      <c r="AC75" s="2" t="inlineStr">
        <is>
          <t>R</t>
        </is>
      </c>
      <c r="AD75" s="3" t="n">
        <v>4</v>
      </c>
      <c r="AE75" s="29" t="inlineStr">
        <is>
          <t>Time Spiral</t>
        </is>
      </c>
      <c r="AF75" s="29" t="inlineStr">
        <is>
          <t>Token Producer</t>
        </is>
      </c>
      <c r="AG75" s="29" t="inlineStr">
        <is>
          <t>Creates two 1/1 Goblin tokens</t>
        </is>
      </c>
      <c r="AH75" s="29" t="inlineStr">
        <is>
          <t>Copied for each spell already cast this turn (Storm)</t>
        </is>
      </c>
      <c r="AI75" s="29" t="n"/>
      <c r="AJ75" s="2" t="inlineStr">
        <is>
          <t>Ordered 2026-09-02: TCGplayer $0.20 LP from The WKGR Online</t>
        </is>
      </c>
    </row>
    <row r="76" ht="15" customHeight="1" s="79">
      <c r="A76" s="2" t="inlineStr">
        <is>
          <t>Everflowing Chalice</t>
        </is>
      </c>
      <c r="B76" s="2">
        <f>IF(AND(F76&lt;&gt;0,E76=F76),"In Hand",IF(AND(E76&lt;&gt;0,E76&lt;F76,SUM(M76:R76)=0,SUM(T76:Y76)&gt;0),"Extra-Sub",IF(AND(E76=0,E76&lt;F76,SUM(M76:R76)=0,SUM(T76:Y76)&gt;0),"Bench-Sub",IF(AND(E76=0,F76&gt;0),"Bench",IF(E76&lt;F76,"Extra",IF(AND(J76="",E76&gt;F76),"To Buy",IF(SUM(J76,F76)&lt;E76,"To Buy",IF(AND(SUM(J76,F76)&gt;=E76,J76&lt;&gt;""),"Ordered",IF(AND(E76=0,F76=0,D76="B3"),"B3 Option",IF(AND(E76=0,F76=0),"Remove","To Buy"))))))))))</f>
        <v/>
      </c>
      <c r="D76" t="inlineStr">
        <is>
          <t>B2</t>
        </is>
      </c>
      <c r="E76" s="3">
        <f>SUM(M76:S76)</f>
        <v/>
      </c>
      <c r="F76" s="3">
        <f>SUM(T76:Z76)</f>
        <v/>
      </c>
      <c r="G76" s="3">
        <f>IF((F76-E76)&gt;=0,F76-E76,0)</f>
        <v/>
      </c>
      <c r="H76" s="3">
        <f>MAX(0,$E76-$F76-$J76)</f>
        <v/>
      </c>
      <c r="I76" s="3" t="inlineStr">
        <is>
          <t>TCG</t>
        </is>
      </c>
      <c r="J76" s="3" t="n">
        <v>1</v>
      </c>
      <c r="K76" s="4" t="n">
        <v>0.29</v>
      </c>
      <c r="L76" s="4">
        <f>IF(AND($H76&gt;0,ISNUMBER($K76)),$H76*$K76,0)</f>
        <v/>
      </c>
      <c r="M76" s="3" t="n"/>
      <c r="N76" s="3" t="n"/>
      <c r="O76" s="3" t="n">
        <v>1</v>
      </c>
      <c r="P76" s="3" t="n"/>
      <c r="Q76" s="3" t="n"/>
      <c r="R76" s="3" t="n"/>
      <c r="S76" s="3">
        <f>IF(AND(J76&lt;&gt;"",SUM(M76:R76)=0),J76,"")</f>
        <v/>
      </c>
      <c r="T76" s="3" t="n"/>
      <c r="U76" s="3" t="n"/>
      <c r="V76" s="3" t="n"/>
      <c r="W76" s="3" t="n"/>
      <c r="X76" s="3" t="n"/>
      <c r="Y76" s="3" t="n"/>
      <c r="Z76" s="3" t="n"/>
      <c r="AA76" s="2" t="inlineStr">
        <is>
          <t>Artifact</t>
        </is>
      </c>
      <c r="AB76" s="2" t="n"/>
      <c r="AC76" s="2" t="inlineStr">
        <is>
          <t>C</t>
        </is>
      </c>
      <c r="AD76" s="3" t="n">
        <v>0</v>
      </c>
      <c r="AE76" s="29" t="inlineStr">
        <is>
          <t>Worldwake</t>
        </is>
      </c>
      <c r="AF76" s="29" t="inlineStr">
        <is>
          <t>Mana Rock</t>
        </is>
      </c>
      <c r="AG76" s="29" t="inlineStr">
        <is>
          <t>Taps for {C} equal to charge counters on it</t>
        </is>
      </c>
      <c r="AH76" s="29" t="inlineStr">
        <is>
          <t>Enters with more counters if kicked for extra {2} payments</t>
        </is>
      </c>
      <c r="AI76" s="29" t="n"/>
      <c r="AJ76" s="2" t="inlineStr">
        <is>
          <t>Ordered 2026-09-02: TCGplayer $0.31 NM from NostalgiAtog</t>
        </is>
      </c>
    </row>
    <row r="77" ht="15" customHeight="1" s="79">
      <c r="A77" s="2" t="inlineStr">
        <is>
          <t>Evolution Sage</t>
        </is>
      </c>
      <c r="B77" s="2">
        <f>IF(AND(F77&lt;&gt;0,E77=F77),"In Hand",IF(AND(E77&lt;&gt;0,E77&lt;F77,SUM(M77:R77)=0,SUM(T77:Y77)&gt;0),"Extra-Sub",IF(AND(E77=0,E77&lt;F77,SUM(M77:R77)=0,SUM(T77:Y77)&gt;0),"Bench-Sub",IF(AND(E77=0,F77&gt;0),"Bench",IF(E77&lt;F77,"Extra",IF(AND(J77="",E77&gt;F77),"To Buy",IF(SUM(J77,F77)&lt;E77,"To Buy",IF(AND(SUM(J77,F77)&gt;=E77,J77&lt;&gt;""),"Ordered",IF(AND(E77=0,F77=0,D77="B3"),"B3 Option",IF(AND(E77=0,F77=0),"Remove","To Buy"))))))))))</f>
        <v/>
      </c>
      <c r="D77" t="inlineStr">
        <is>
          <t>B2</t>
        </is>
      </c>
      <c r="E77" s="3">
        <f>SUM(M77:S77)</f>
        <v/>
      </c>
      <c r="F77" s="3">
        <f>SUM(T77:Z77)</f>
        <v/>
      </c>
      <c r="G77" s="3">
        <f>IF((F77-E77)&gt;=0,F77-E77,0)</f>
        <v/>
      </c>
      <c r="H77" s="3">
        <f>MAX(0,$E77-$F77-$J77)</f>
        <v/>
      </c>
      <c r="I77" s="37" t="inlineStr">
        <is>
          <t>TCG</t>
        </is>
      </c>
      <c r="J77" s="3" t="n">
        <v>1</v>
      </c>
      <c r="K77" s="4" t="n">
        <v>2.33</v>
      </c>
      <c r="L77" s="4">
        <f>IF(AND($H77&gt;0,ISNUMBER($K77)),$H77*$K77,0)</f>
        <v/>
      </c>
      <c r="M77" s="3" t="n"/>
      <c r="N77" s="3" t="n"/>
      <c r="O77" s="3" t="n">
        <v>1</v>
      </c>
      <c r="P77" s="3" t="n"/>
      <c r="Q77" s="3" t="n"/>
      <c r="R77" s="3" t="n"/>
      <c r="S77" s="3">
        <f>IF(AND(J77&lt;&gt;"",SUM(M77:R77)=0),J77,"")</f>
        <v/>
      </c>
      <c r="T77" s="3" t="n"/>
      <c r="U77" s="3" t="n"/>
      <c r="V77" s="3" t="n"/>
      <c r="W77" s="3" t="n"/>
      <c r="X77" s="3" t="n"/>
      <c r="Y77" s="3" t="n"/>
      <c r="Z77" s="3" t="n"/>
      <c r="AA77" s="2" t="inlineStr">
        <is>
          <t>Creature</t>
        </is>
      </c>
      <c r="AB77" s="2" t="inlineStr">
        <is>
          <t>Elf Druid</t>
        </is>
      </c>
      <c r="AC77" s="2" t="inlineStr">
        <is>
          <t>G</t>
        </is>
      </c>
      <c r="AD77" s="3" t="n">
        <v>3</v>
      </c>
      <c r="AE77" s="29" t="inlineStr">
        <is>
          <t>War of the Spark</t>
        </is>
      </c>
      <c r="AF77" s="29" t="inlineStr">
        <is>
          <t>Proliferate</t>
        </is>
      </c>
      <c r="AG77" s="29" t="inlineStr">
        <is>
          <t>Proliferate whenever a land you control enters</t>
        </is>
      </c>
      <c r="AH77" s="29" t="n"/>
      <c r="AI77" s="29" t="n"/>
      <c r="AJ77" s="2" t="inlineStr">
        <is>
          <t>Tuned add</t>
        </is>
      </c>
    </row>
    <row r="78" ht="15" customHeight="1" s="79">
      <c r="A78" s="2" t="inlineStr">
        <is>
          <t>Faithless Looting</t>
        </is>
      </c>
      <c r="B78" s="2">
        <f>IF(AND(F78&lt;&gt;0,E78=F78),"In Hand",IF(AND(E78&lt;&gt;0,E78&lt;F78,SUM(M78:R78)=0,SUM(T78:Y78)&gt;0),"Extra-Sub",IF(AND(E78=0,E78&lt;F78,SUM(M78:R78)=0,SUM(T78:Y78)&gt;0),"Bench-Sub",IF(AND(E78=0,F78&gt;0),"Bench",IF(E78&lt;F78,"Extra",IF(AND(J78="",E78&gt;F78),"To Buy",IF(SUM(J78,F78)&lt;E78,"To Buy",IF(AND(SUM(J78,F78)&gt;=E78,J78&lt;&gt;""),"Ordered",IF(AND(E78=0,F78=0,D78="B3"),"B3 Option",IF(AND(E78=0,F78=0),"Remove","To Buy"))))))))))</f>
        <v/>
      </c>
      <c r="D78" t="inlineStr">
        <is>
          <t>B2</t>
        </is>
      </c>
      <c r="E78" s="3">
        <f>SUM(M78:S78)</f>
        <v/>
      </c>
      <c r="F78" s="3">
        <f>SUM(T78:Z78)</f>
        <v/>
      </c>
      <c r="G78" s="3">
        <f>IF((F78-E78)&gt;=0,F78-E78,0)</f>
        <v/>
      </c>
      <c r="H78" s="3">
        <f>MAX(0,$E78-$F78-$J78)</f>
        <v/>
      </c>
      <c r="I78" s="3" t="inlineStr">
        <is>
          <t>TCG</t>
        </is>
      </c>
      <c r="J78" s="3" t="n">
        <v>1</v>
      </c>
      <c r="K78" s="4" t="n">
        <v>0.39</v>
      </c>
      <c r="L78" s="4">
        <f>IF(AND($H78&gt;0,ISNUMBER($K78)),$H78*$K78,0)</f>
        <v/>
      </c>
      <c r="M78" s="3" t="n">
        <v>1</v>
      </c>
      <c r="N78" s="3" t="n"/>
      <c r="O78" s="3" t="n"/>
      <c r="P78" s="3" t="n"/>
      <c r="Q78" s="3" t="n"/>
      <c r="R78" s="3" t="n">
        <v>1</v>
      </c>
      <c r="S78" s="3">
        <f>IF(AND(J78&lt;&gt;"",SUM(M78:R78)=0),J78,"")</f>
        <v/>
      </c>
      <c r="T78" s="3" t="n">
        <v>1</v>
      </c>
      <c r="U78" s="3" t="n"/>
      <c r="V78" s="3" t="n"/>
      <c r="W78" s="3" t="n"/>
      <c r="X78" s="3" t="n"/>
      <c r="Y78" s="3" t="n"/>
      <c r="Z78" s="3" t="n"/>
      <c r="AA78" s="2" t="inlineStr">
        <is>
          <t>Sorcery</t>
        </is>
      </c>
      <c r="AB78" s="2" t="n"/>
      <c r="AC78" s="2" t="inlineStr">
        <is>
          <t>R</t>
        </is>
      </c>
      <c r="AD78" s="3" t="n">
        <v>1</v>
      </c>
      <c r="AE78" s="29" t="inlineStr">
        <is>
          <t>Dark Ascension</t>
        </is>
      </c>
      <c r="AF78" s="29" t="inlineStr">
        <is>
          <t>Discard/Looting</t>
        </is>
      </c>
      <c r="AG78" s="29" t="inlineStr">
        <is>
          <t>Draw two cards, then discard two cards</t>
        </is>
      </c>
      <c r="AH78" s="29" t="inlineStr">
        <is>
          <t>Flashback lets you cast it again from graveyard</t>
        </is>
      </c>
      <c r="AI78" s="29" t="n"/>
      <c r="AJ78" s="2" t="inlineStr">
        <is>
          <t>own 1 of 2 needed; Ordered 2026-09-02: TCGplayer $0.34 NM from NostalgiAtog</t>
        </is>
      </c>
    </row>
    <row r="79" ht="15" customHeight="1" s="79">
      <c r="A79" s="2" t="inlineStr">
        <is>
          <t>Fateful Absence</t>
        </is>
      </c>
      <c r="B79" s="2">
        <f>IF(AND(F79&lt;&gt;0,E79=F79),"In Hand",IF(AND(E79&lt;&gt;0,E79&lt;F79,SUM(M79:R79)=0,SUM(T79:Y79)&gt;0),"Extra-Sub",IF(AND(E79=0,E79&lt;F79,SUM(M79:R79)=0,SUM(T79:Y79)&gt;0),"Bench-Sub",IF(AND(E79=0,F79&gt;0),"Bench",IF(E79&lt;F79,"Extra",IF(AND(J79="",E79&gt;F79),"To Buy",IF(SUM(J79,F79)&lt;E79,"To Buy",IF(AND(SUM(J79,F79)&gt;=E79,J79&lt;&gt;""),"Ordered",IF(AND(E79=0,F79=0,D79="B3"),"B3 Option",IF(AND(E79=0,F79=0),"Remove","To Buy"))))))))))</f>
        <v/>
      </c>
      <c r="D79" t="inlineStr">
        <is>
          <t>B2</t>
        </is>
      </c>
      <c r="E79" s="3">
        <f>SUM(M79:S79)</f>
        <v/>
      </c>
      <c r="F79" s="3">
        <f>SUM(T79:Z79)</f>
        <v/>
      </c>
      <c r="G79" s="3">
        <f>IF((F79-E79)&gt;=0,F79-E79,0)</f>
        <v/>
      </c>
      <c r="H79" s="3">
        <f>MAX(0,$E79-$F79-$J79)</f>
        <v/>
      </c>
      <c r="I79" s="37" t="inlineStr">
        <is>
          <t>TCG</t>
        </is>
      </c>
      <c r="J79" s="3" t="n">
        <v>1</v>
      </c>
      <c r="K79" s="4" t="n">
        <v>0.41</v>
      </c>
      <c r="L79" s="4">
        <f>IF(AND($H79&gt;0,ISNUMBER($K79)),$H79*$K79,0)</f>
        <v/>
      </c>
      <c r="M79" s="3" t="n"/>
      <c r="N79" s="3" t="n"/>
      <c r="O79" s="3" t="n"/>
      <c r="P79" s="3" t="n">
        <v>1</v>
      </c>
      <c r="Q79" s="3" t="n"/>
      <c r="R79" s="3" t="n"/>
      <c r="S79" s="3">
        <f>IF(AND(J79&lt;&gt;"",SUM(M79:R79)=0),J79,"")</f>
        <v/>
      </c>
      <c r="T79" s="3" t="n"/>
      <c r="U79" s="3" t="n"/>
      <c r="V79" s="3" t="n"/>
      <c r="W79" s="3" t="n"/>
      <c r="X79" s="3" t="n"/>
      <c r="Y79" s="3" t="n"/>
      <c r="Z79" s="3" t="n"/>
      <c r="AA79" s="2" t="inlineStr">
        <is>
          <t>Instant</t>
        </is>
      </c>
      <c r="AB79" s="2" t="n"/>
      <c r="AC79" s="2" t="inlineStr">
        <is>
          <t>W</t>
        </is>
      </c>
      <c r="AD79" s="3" t="n">
        <v>2</v>
      </c>
      <c r="AE79" s="29" t="inlineStr">
        <is>
          <t>Innistrad: Midnight Hunt</t>
        </is>
      </c>
      <c r="AF79" s="29" t="inlineStr">
        <is>
          <t>Removal</t>
        </is>
      </c>
      <c r="AG79" s="29" t="inlineStr">
        <is>
          <t>Destroys target creature or planeswalker</t>
        </is>
      </c>
      <c r="AH79" s="29" t="inlineStr">
        <is>
          <t>Its controller creates a Clue token</t>
        </is>
      </c>
      <c r="AI79" s="29" t="n"/>
      <c r="AJ79" s="2" t="n"/>
    </row>
    <row r="80" ht="15" customHeight="1" s="79">
      <c r="A80" s="2" t="inlineStr">
        <is>
          <t>Forgotten Ancient</t>
        </is>
      </c>
      <c r="B80" s="2">
        <f>IF(AND(F80&lt;&gt;0,E80=F80),"In Hand",IF(AND(E80&lt;&gt;0,E80&lt;F80,SUM(M80:R80)=0,SUM(T80:Y80)&gt;0),"Extra-Sub",IF(AND(E80=0,E80&lt;F80,SUM(M80:R80)=0,SUM(T80:Y80)&gt;0),"Bench-Sub",IF(AND(E80=0,F80&gt;0),"Bench",IF(E80&lt;F80,"Extra",IF(AND(J80="",E80&gt;F80),"To Buy",IF(SUM(J80,F80)&lt;E80,"To Buy",IF(AND(SUM(J80,F80)&gt;=E80,J80&lt;&gt;""),"Ordered",IF(AND(E80=0,F80=0,D80="B3"),"B3 Option",IF(AND(E80=0,F80=0),"Remove","To Buy"))))))))))</f>
        <v/>
      </c>
      <c r="D80" t="inlineStr">
        <is>
          <t>B2</t>
        </is>
      </c>
      <c r="E80" s="3">
        <f>SUM(M80:S80)</f>
        <v/>
      </c>
      <c r="F80" s="3">
        <f>SUM(T80:Z80)</f>
        <v/>
      </c>
      <c r="G80" s="3">
        <f>IF((F80-E80)&gt;=0,F80-E80,0)</f>
        <v/>
      </c>
      <c r="H80" s="3">
        <f>MAX(0,$E80-$F80-$J80)</f>
        <v/>
      </c>
      <c r="I80" s="37" t="inlineStr">
        <is>
          <t>TCG</t>
        </is>
      </c>
      <c r="J80" s="3" t="n">
        <v>1</v>
      </c>
      <c r="K80" s="4" t="n">
        <v>0.33</v>
      </c>
      <c r="L80" s="4">
        <f>IF(AND($H80&gt;0,ISNUMBER($K80)),$H80*$K80,0)</f>
        <v/>
      </c>
      <c r="M80" s="3" t="n"/>
      <c r="N80" s="3" t="n"/>
      <c r="O80" s="3" t="n">
        <v>1</v>
      </c>
      <c r="P80" s="3" t="n"/>
      <c r="Q80" s="3" t="n"/>
      <c r="R80" s="3" t="n"/>
      <c r="S80" s="3">
        <f>IF(AND(J80&lt;&gt;"",SUM(M80:R80)=0),J80,"")</f>
        <v/>
      </c>
      <c r="T80" s="3" t="n"/>
      <c r="U80" s="3" t="n"/>
      <c r="V80" s="3" t="n"/>
      <c r="W80" s="3" t="n"/>
      <c r="X80" s="3" t="n"/>
      <c r="Y80" s="3" t="n"/>
      <c r="Z80" s="3" t="n"/>
      <c r="AA80" s="2" t="inlineStr">
        <is>
          <t>Creature</t>
        </is>
      </c>
      <c r="AB80" s="2" t="inlineStr">
        <is>
          <t>Elemental</t>
        </is>
      </c>
      <c r="AC80" s="2" t="inlineStr">
        <is>
          <t>G</t>
        </is>
      </c>
      <c r="AD80" s="3" t="n">
        <v>4</v>
      </c>
      <c r="AE80" s="29" t="inlineStr">
        <is>
          <t>Scourge</t>
        </is>
      </c>
      <c r="AF80" s="29" t="inlineStr">
        <is>
          <t>Counters Payoff</t>
        </is>
      </c>
      <c r="AG80" s="29" t="inlineStr">
        <is>
          <t>Gets a +1/+1 counter whenever any player casts a spell</t>
        </is>
      </c>
      <c r="AH80" s="29" t="inlineStr">
        <is>
          <t>Moves any number of +1/+1 counters to other creatures each upkeep</t>
        </is>
      </c>
      <c r="AI80" s="29" t="n"/>
      <c r="AJ80" s="2" t="inlineStr">
        <is>
          <t>Tuned add</t>
        </is>
      </c>
    </row>
    <row r="81" ht="15" customHeight="1" s="79">
      <c r="A81" s="2" t="inlineStr">
        <is>
          <t>Frontline Medic</t>
        </is>
      </c>
      <c r="B81" s="2">
        <f>IF(AND(F81&lt;&gt;0,E81=F81),"In Hand",IF(AND(E81&lt;&gt;0,E81&lt;F81,SUM(M81:R81)=0,SUM(T81:Y81)&gt;0),"Extra-Sub",IF(AND(E81=0,E81&lt;F81,SUM(M81:R81)=0,SUM(T81:Y81)&gt;0),"Bench-Sub",IF(AND(E81=0,F81&gt;0),"Bench",IF(E81&lt;F81,"Extra",IF(AND(J81="",E81&gt;F81),"To Buy",IF(SUM(J81,F81)&lt;E81,"To Buy",IF(AND(SUM(J81,F81)&gt;=E81,J81&lt;&gt;""),"Ordered",IF(AND(E81=0,F81=0,D81="B3"),"B3 Option",IF(AND(E81=0,F81=0),"Remove","To Buy"))))))))))</f>
        <v/>
      </c>
      <c r="D81" t="inlineStr">
        <is>
          <t>B2</t>
        </is>
      </c>
      <c r="E81" s="3">
        <f>SUM(M81:S81)</f>
        <v/>
      </c>
      <c r="F81" s="3">
        <f>SUM(T81:Z81)</f>
        <v/>
      </c>
      <c r="G81" s="3">
        <f>IF((F81-E81)&gt;=0,F81-E81,0)</f>
        <v/>
      </c>
      <c r="H81" s="3">
        <f>MAX(0,$E81-$F81-$J81)</f>
        <v/>
      </c>
      <c r="I81" s="37" t="inlineStr">
        <is>
          <t>TCG</t>
        </is>
      </c>
      <c r="J81" s="3" t="n">
        <v>1</v>
      </c>
      <c r="K81" s="4" t="n">
        <v>0.2</v>
      </c>
      <c r="L81" s="4">
        <f>IF(AND($H81&gt;0,ISNUMBER($K81)),$H81*$K81,0)</f>
        <v/>
      </c>
      <c r="M81" s="3" t="n"/>
      <c r="N81" s="3" t="n"/>
      <c r="O81" s="3" t="n"/>
      <c r="P81" s="3" t="n"/>
      <c r="Q81" s="3" t="n"/>
      <c r="R81" s="3" t="n"/>
      <c r="S81" s="3">
        <f>IF(AND(J81&lt;&gt;"",SUM(M81:R81)=0),J81,"")</f>
        <v/>
      </c>
      <c r="T81" s="3" t="n"/>
      <c r="U81" s="3" t="n"/>
      <c r="V81" s="3" t="n"/>
      <c r="W81" s="3" t="n"/>
      <c r="X81" s="3" t="n"/>
      <c r="Y81" s="3" t="n"/>
      <c r="Z81" s="3" t="n"/>
      <c r="AA81" s="2" t="inlineStr">
        <is>
          <t>Creature</t>
        </is>
      </c>
      <c r="AB81" s="2" t="inlineStr">
        <is>
          <t>Human Cleric</t>
        </is>
      </c>
      <c r="AC81" s="2" t="inlineStr">
        <is>
          <t>W</t>
        </is>
      </c>
      <c r="AD81" s="3" t="n">
        <v>3</v>
      </c>
      <c r="AE81" s="29" t="inlineStr">
        <is>
          <t>Gatecrash</t>
        </is>
      </c>
      <c r="AF81" s="29" t="inlineStr">
        <is>
          <t>Protection</t>
        </is>
      </c>
      <c r="AG81" s="29" t="inlineStr">
        <is>
          <t>Battalion: your creatures gain indestructible when 3+ attack</t>
        </is>
      </c>
      <c r="AH81" s="29" t="inlineStr">
        <is>
          <t>Sacrifice: counter a spell with {X} in its cost unless they pay {3}</t>
        </is>
      </c>
      <c r="AI81" s="29" t="n"/>
      <c r="AJ81" s="2" t="inlineStr">
        <is>
          <t>D4 target removed 2026-09-02 (bench sub Grazing Gladehart in place)</t>
        </is>
      </c>
    </row>
    <row r="82" ht="15" customHeight="1" s="79">
      <c r="A82" s="2" t="inlineStr">
        <is>
          <t>Generous Gift</t>
        </is>
      </c>
      <c r="B82" s="2">
        <f>IF(AND(F82&lt;&gt;0,E82=F82),"In Hand",IF(AND(E82&lt;&gt;0,E82&lt;F82,SUM(M82:R82)=0,SUM(T82:Y82)&gt;0),"Extra-Sub",IF(AND(E82=0,E82&lt;F82,SUM(M82:R82)=0,SUM(T82:Y82)&gt;0),"Bench-Sub",IF(AND(E82=0,F82&gt;0),"Bench",IF(E82&lt;F82,"Extra",IF(AND(J82="",E82&gt;F82),"To Buy",IF(SUM(J82,F82)&lt;E82,"To Buy",IF(AND(SUM(J82,F82)&gt;=E82,J82&lt;&gt;""),"Ordered",IF(AND(E82=0,F82=0,D82="B3"),"B3 Option",IF(AND(E82=0,F82=0),"Remove","To Buy"))))))))))</f>
        <v/>
      </c>
      <c r="D82" t="inlineStr">
        <is>
          <t>B2</t>
        </is>
      </c>
      <c r="E82" s="3">
        <f>SUM(M82:S82)</f>
        <v/>
      </c>
      <c r="F82" s="3">
        <f>SUM(T82:Z82)</f>
        <v/>
      </c>
      <c r="G82" s="3">
        <f>IF((F82-E82)&gt;=0,F82-E82,0)</f>
        <v/>
      </c>
      <c r="H82" s="3">
        <f>MAX(0,$E82-$F82-$J82)</f>
        <v/>
      </c>
      <c r="I82" s="3" t="inlineStr">
        <is>
          <t>TCG</t>
        </is>
      </c>
      <c r="J82" s="3" t="n">
        <v>1</v>
      </c>
      <c r="K82" s="4" t="n">
        <v>0.85</v>
      </c>
      <c r="L82" s="4">
        <f>IF(AND($H82&gt;0,ISNUMBER($K82)),$H82*$K82,0)</f>
        <v/>
      </c>
      <c r="M82" s="3" t="n">
        <v>1</v>
      </c>
      <c r="N82" s="3" t="n"/>
      <c r="O82" s="3" t="n"/>
      <c r="P82" s="3" t="n"/>
      <c r="Q82" s="3" t="n"/>
      <c r="R82" s="3" t="n"/>
      <c r="S82" s="3">
        <f>IF(AND(J82&lt;&gt;"",SUM(M82:R82)=0),J82,"")</f>
        <v/>
      </c>
      <c r="T82" s="3" t="n"/>
      <c r="U82" s="3" t="n"/>
      <c r="V82" s="3" t="n"/>
      <c r="W82" s="3" t="n"/>
      <c r="X82" s="3" t="n"/>
      <c r="Y82" s="3" t="n"/>
      <c r="Z82" s="3" t="n"/>
      <c r="AA82" s="2" t="inlineStr">
        <is>
          <t>Instant</t>
        </is>
      </c>
      <c r="AB82" s="2" t="n"/>
      <c r="AC82" s="2" t="inlineStr">
        <is>
          <t>W</t>
        </is>
      </c>
      <c r="AD82" s="3" t="n">
        <v>3</v>
      </c>
      <c r="AE82" s="29" t="inlineStr">
        <is>
          <t>Modern Horizons</t>
        </is>
      </c>
      <c r="AF82" s="29" t="inlineStr">
        <is>
          <t>Removal</t>
        </is>
      </c>
      <c r="AG82" s="29" t="inlineStr">
        <is>
          <t>Destroys target permanent</t>
        </is>
      </c>
      <c r="AH82" s="29" t="inlineStr">
        <is>
          <t>Its controller creates a 3/3 Elephant token</t>
        </is>
      </c>
      <c r="AI82" s="29" t="n"/>
      <c r="AJ82" s="2" t="inlineStr">
        <is>
          <t>Ordered 2026-09-02: TCGplayer $1.31 LP from The WKGR Online</t>
        </is>
      </c>
    </row>
    <row r="83" ht="15" customHeight="1" s="79">
      <c r="A83" s="2" t="inlineStr">
        <is>
          <t>Genesis Chamber</t>
        </is>
      </c>
      <c r="B83" s="2">
        <f>IF(AND(F83&lt;&gt;0,E83=F83),"In Hand",IF(AND(E83&lt;&gt;0,E83&lt;F83,SUM(M83:R83)=0,SUM(T83:Y83)&gt;0),"Extra-Sub",IF(AND(E83=0,E83&lt;F83,SUM(M83:R83)=0,SUM(T83:Y83)&gt;0),"Bench-Sub",IF(AND(E83=0,F83&gt;0),"Bench",IF(E83&lt;F83,"Extra",IF(AND(J83="",E83&gt;F83),"To Buy",IF(SUM(J83,F83)&lt;E83,"To Buy",IF(AND(SUM(J83,F83)&gt;=E83,J83&lt;&gt;""),"Ordered",IF(AND(E83=0,F83=0,D83="B3"),"B3 Option",IF(AND(E83=0,F83=0),"Remove","To Buy"))))))))))</f>
        <v/>
      </c>
      <c r="D83" t="inlineStr">
        <is>
          <t>B2</t>
        </is>
      </c>
      <c r="E83" s="3">
        <f>SUM(M83:S83)</f>
        <v/>
      </c>
      <c r="F83" s="3">
        <f>SUM(T83:Z83)</f>
        <v/>
      </c>
      <c r="G83" s="3">
        <f>IF((F83-E83)&gt;=0,F83-E83,0)</f>
        <v/>
      </c>
      <c r="H83" s="3">
        <f>MAX(0,$E83-$F83-$J83)</f>
        <v/>
      </c>
      <c r="I83" s="3" t="inlineStr">
        <is>
          <t>TCG</t>
        </is>
      </c>
      <c r="J83" s="3" t="n">
        <v>1</v>
      </c>
      <c r="K83" s="4" t="n">
        <v>3.47</v>
      </c>
      <c r="L83" s="4">
        <f>IF(AND($H83&gt;0,ISNUMBER($K83)),$H83*$K83,0)</f>
        <v/>
      </c>
      <c r="M83" s="3" t="n"/>
      <c r="N83" s="3" t="n"/>
      <c r="O83" s="3" t="n"/>
      <c r="P83" s="3" t="n"/>
      <c r="Q83" s="3" t="n"/>
      <c r="R83" s="3" t="n">
        <v>1</v>
      </c>
      <c r="S83" s="3">
        <f>IF(AND(J83&lt;&gt;"",SUM(M83:R83)=0),J83,"")</f>
        <v/>
      </c>
      <c r="T83" s="3" t="n"/>
      <c r="U83" s="3" t="n"/>
      <c r="V83" s="3" t="n"/>
      <c r="W83" s="3" t="n"/>
      <c r="X83" s="3" t="n"/>
      <c r="Y83" s="3" t="n"/>
      <c r="Z83" s="3" t="n"/>
      <c r="AA83" s="2" t="inlineStr">
        <is>
          <t>Artifact</t>
        </is>
      </c>
      <c r="AB83" s="2" t="n"/>
      <c r="AC83" s="2" t="inlineStr">
        <is>
          <t>C</t>
        </is>
      </c>
      <c r="AD83" s="3" t="n">
        <v>2</v>
      </c>
      <c r="AE83" s="29" t="inlineStr">
        <is>
          <t>Darksteel</t>
        </is>
      </c>
      <c r="AF83" s="29" t="inlineStr">
        <is>
          <t>Token Producer</t>
        </is>
      </c>
      <c r="AG83" s="29" t="inlineStr">
        <is>
          <t>Whenever a nontoken creature enters, its controller creates a 1/1 Myr token (while this is untapped)</t>
        </is>
      </c>
      <c r="AH83" s="29" t="n"/>
      <c r="AI83" s="29" t="n"/>
      <c r="AJ83" s="2" t="inlineStr">
        <is>
          <t>Ordered 2026-09-02: TCGplayer $3.26 LP from Harb's Cards</t>
        </is>
      </c>
    </row>
    <row r="84" ht="15" customHeight="1" s="79">
      <c r="A84" s="2" t="inlineStr">
        <is>
          <t>Glacial Fortress</t>
        </is>
      </c>
      <c r="B84" s="2">
        <f>IF(AND(F84&lt;&gt;0,E84=F84),"In Hand",IF(AND(E84&lt;&gt;0,E84&lt;F84,SUM(M84:R84)=0,SUM(T84:Y84)&gt;0),"Extra-Sub",IF(AND(E84=0,E84&lt;F84,SUM(M84:R84)=0,SUM(T84:Y84)&gt;0),"Bench-Sub",IF(AND(E84=0,F84&gt;0),"Bench",IF(E84&lt;F84,"Extra",IF(AND(J84="",E84&gt;F84),"To Buy",IF(SUM(J84,F84)&lt;E84,"To Buy",IF(AND(SUM(J84,F84)&gt;=E84,J84&lt;&gt;""),"Ordered",IF(AND(E84=0,F84=0,D84="B3"),"B3 Option",IF(AND(E84=0,F84=0),"Remove","To Buy"))))))))))</f>
        <v/>
      </c>
      <c r="D84" t="inlineStr">
        <is>
          <t>B2</t>
        </is>
      </c>
      <c r="E84" s="3">
        <f>SUM(M84:S84)</f>
        <v/>
      </c>
      <c r="F84" s="3">
        <f>SUM(T84:Z84)</f>
        <v/>
      </c>
      <c r="G84" s="3">
        <f>IF((F84-E84)&gt;=0,F84-E84,0)</f>
        <v/>
      </c>
      <c r="H84" s="3">
        <f>MAX(0,$E84-$F84-$J84)</f>
        <v/>
      </c>
      <c r="I84" s="3" t="inlineStr">
        <is>
          <t>TCG</t>
        </is>
      </c>
      <c r="J84" s="3" t="n">
        <v>1</v>
      </c>
      <c r="K84" s="4" t="n">
        <v>0.32</v>
      </c>
      <c r="L84" s="4">
        <f>IF(AND($H84&gt;0,ISNUMBER($K84)),$H84*$K84,0)</f>
        <v/>
      </c>
      <c r="M84" s="3" t="n"/>
      <c r="N84" s="3" t="n">
        <v>1</v>
      </c>
      <c r="O84" s="3" t="n"/>
      <c r="P84" s="3" t="n"/>
      <c r="Q84" s="3" t="n"/>
      <c r="R84" s="3" t="n"/>
      <c r="S84" s="3">
        <f>IF(AND(J84&lt;&gt;"",SUM(M84:R84)=0),J84,"")</f>
        <v/>
      </c>
      <c r="T84" s="3" t="n"/>
      <c r="U84" s="3" t="n"/>
      <c r="V84" s="3" t="n"/>
      <c r="W84" s="3" t="n"/>
      <c r="X84" s="3" t="n"/>
      <c r="Y84" s="3" t="n"/>
      <c r="Z84" s="3" t="n"/>
      <c r="AA84" s="2" t="inlineStr">
        <is>
          <t>Land</t>
        </is>
      </c>
      <c r="AB84" s="2" t="n"/>
      <c r="AC84" s="2" t="inlineStr">
        <is>
          <t>L</t>
        </is>
      </c>
      <c r="AD84" s="3" t="n">
        <v>0</v>
      </c>
      <c r="AE84" s="29" t="inlineStr">
        <is>
          <t>Magic 2010</t>
        </is>
      </c>
      <c r="AF84" s="29" t="inlineStr">
        <is>
          <t>Land</t>
        </is>
      </c>
      <c r="AG84" s="29" t="inlineStr">
        <is>
          <t>Taps for {W} or {U}</t>
        </is>
      </c>
      <c r="AH84" s="29" t="inlineStr">
        <is>
          <t>Enters untapped if you control a Plains or Island</t>
        </is>
      </c>
      <c r="AI84" s="29" t="n"/>
      <c r="AJ84" s="2" t="inlineStr">
        <is>
          <t>Ordered 2026-09-02: TCGplayer $0.24 NM from The WKGR Online</t>
        </is>
      </c>
    </row>
    <row r="85" ht="15" customHeight="1" s="79">
      <c r="A85" s="2" t="inlineStr">
        <is>
          <t>Goblin Bombardment</t>
        </is>
      </c>
      <c r="B85" s="2">
        <f>IF(AND(F85&lt;&gt;0,E85=F85),"In Hand",IF(AND(E85&lt;&gt;0,E85&lt;F85,SUM(M85:R85)=0,SUM(T85:Y85)&gt;0),"Extra-Sub",IF(AND(E85=0,E85&lt;F85,SUM(M85:R85)=0,SUM(T85:Y85)&gt;0),"Bench-Sub",IF(AND(E85=0,F85&gt;0),"Bench",IF(E85&lt;F85,"Extra",IF(AND(J85="",E85&gt;F85),"To Buy",IF(SUM(J85,F85)&lt;E85,"To Buy",IF(AND(SUM(J85,F85)&gt;=E85,J85&lt;&gt;""),"Ordered",IF(AND(E85=0,F85=0,D85="B3"),"B3 Option",IF(AND(E85=0,F85=0),"Remove","To Buy"))))))))))</f>
        <v/>
      </c>
      <c r="D85" t="inlineStr">
        <is>
          <t>B2</t>
        </is>
      </c>
      <c r="E85" s="3">
        <f>SUM(M85:S85)</f>
        <v/>
      </c>
      <c r="F85" s="3">
        <f>SUM(T85:Z85)</f>
        <v/>
      </c>
      <c r="G85" s="3">
        <f>IF((F85-E85)&gt;=0,F85-E85,0)</f>
        <v/>
      </c>
      <c r="H85" s="3">
        <f>MAX(0,$E85-$F85-$J85)</f>
        <v/>
      </c>
      <c r="I85" s="3" t="inlineStr">
        <is>
          <t>TCG</t>
        </is>
      </c>
      <c r="J85" s="3" t="n">
        <v>1</v>
      </c>
      <c r="K85" s="4" t="n">
        <v>2.85</v>
      </c>
      <c r="L85" s="4">
        <f>IF(AND($H85&gt;0,ISNUMBER($K85)),$H85*$K85,0)</f>
        <v/>
      </c>
      <c r="M85" s="3" t="n"/>
      <c r="N85" s="3" t="n"/>
      <c r="O85" s="3" t="n"/>
      <c r="P85" s="3" t="n"/>
      <c r="Q85" s="3" t="n"/>
      <c r="R85" s="3" t="n">
        <v>1</v>
      </c>
      <c r="S85" s="3">
        <f>IF(AND(J85&lt;&gt;"",SUM(M85:R85)=0),J85,"")</f>
        <v/>
      </c>
      <c r="T85" s="3" t="n"/>
      <c r="U85" s="3" t="n"/>
      <c r="V85" s="3" t="n"/>
      <c r="W85" s="3" t="n"/>
      <c r="X85" s="3" t="n"/>
      <c r="Y85" s="3" t="n"/>
      <c r="Z85" s="3" t="n"/>
      <c r="AA85" s="2" t="inlineStr">
        <is>
          <t>Enchantment</t>
        </is>
      </c>
      <c r="AB85" s="2" t="n"/>
      <c r="AC85" s="2" t="inlineStr">
        <is>
          <t>R</t>
        </is>
      </c>
      <c r="AD85" s="3" t="n">
        <v>2</v>
      </c>
      <c r="AE85" s="29" t="inlineStr">
        <is>
          <t>Tempest</t>
        </is>
      </c>
      <c r="AF85" s="29" t="inlineStr">
        <is>
          <t>Sacrifice Outlet</t>
        </is>
      </c>
      <c r="AG85" s="29" t="inlineStr">
        <is>
          <t>Sacrifice a creature: deals 1 damage to any target</t>
        </is>
      </c>
      <c r="AH85" s="29" t="n"/>
      <c r="AI85" s="29" t="n"/>
      <c r="AJ85" s="2" t="inlineStr">
        <is>
          <t>Ordered 2026-09-02: TCGplayer $2.79 LP from The WKGR Online</t>
        </is>
      </c>
    </row>
    <row r="86" ht="15" customHeight="1" s="79">
      <c r="A86" s="2" t="inlineStr">
        <is>
          <t>Goblin Instigator</t>
        </is>
      </c>
      <c r="B86" s="2">
        <f>IF(AND(F86&lt;&gt;0,E86=F86),"In Hand",IF(AND(E86&lt;&gt;0,E86&lt;F86,SUM(M86:R86)=0,SUM(T86:Y86)&gt;0),"Extra-Sub",IF(AND(E86=0,E86&lt;F86,SUM(M86:R86)=0,SUM(T86:Y86)&gt;0),"Bench-Sub",IF(AND(E86=0,F86&gt;0),"Bench",IF(E86&lt;F86,"Extra",IF(AND(J86="",E86&gt;F86),"To Buy",IF(SUM(J86,F86)&lt;E86,"To Buy",IF(AND(SUM(J86,F86)&gt;=E86,J86&lt;&gt;""),"Ordered",IF(AND(E86=0,F86=0,D86="B3"),"B3 Option",IF(AND(E86=0,F86=0),"Remove","To Buy"))))))))))</f>
        <v/>
      </c>
      <c r="D86" t="inlineStr">
        <is>
          <t>B2</t>
        </is>
      </c>
      <c r="E86" s="3">
        <f>SUM(M86:S86)</f>
        <v/>
      </c>
      <c r="F86" s="3">
        <f>SUM(T86:Z86)</f>
        <v/>
      </c>
      <c r="G86" s="3">
        <f>IF((F86-E86)&gt;=0,F86-E86,0)</f>
        <v/>
      </c>
      <c r="H86" s="3">
        <f>MAX(0,$E86-$F86-$J86)</f>
        <v/>
      </c>
      <c r="I86" s="3" t="inlineStr">
        <is>
          <t>TCG</t>
        </is>
      </c>
      <c r="J86" s="3" t="n">
        <v>1</v>
      </c>
      <c r="K86" s="4" t="n">
        <v>0.39</v>
      </c>
      <c r="L86" s="4">
        <f>IF(AND($H86&gt;0,ISNUMBER($K86)),$H86*$K86,0)</f>
        <v/>
      </c>
      <c r="M86" s="3" t="n"/>
      <c r="N86" s="3" t="n"/>
      <c r="O86" s="3" t="n"/>
      <c r="P86" s="3" t="n"/>
      <c r="Q86" s="3" t="n"/>
      <c r="R86" s="3" t="n">
        <v>1</v>
      </c>
      <c r="S86" s="3">
        <f>IF(AND(J86&lt;&gt;"",SUM(M86:R86)=0),J86,"")</f>
        <v/>
      </c>
      <c r="T86" s="3" t="n"/>
      <c r="U86" s="3" t="n"/>
      <c r="V86" s="3" t="n"/>
      <c r="W86" s="3" t="n"/>
      <c r="X86" s="3" t="n"/>
      <c r="Y86" s="3" t="n"/>
      <c r="Z86" s="3" t="n"/>
      <c r="AA86" s="2" t="inlineStr">
        <is>
          <t>Creature</t>
        </is>
      </c>
      <c r="AB86" s="2" t="inlineStr">
        <is>
          <t>Goblin Rogue</t>
        </is>
      </c>
      <c r="AC86" s="2" t="inlineStr">
        <is>
          <t>R</t>
        </is>
      </c>
      <c r="AD86" s="3" t="n">
        <v>2</v>
      </c>
      <c r="AE86" s="29" t="inlineStr">
        <is>
          <t>Core Set 2019</t>
        </is>
      </c>
      <c r="AF86" s="29" t="inlineStr">
        <is>
          <t>Token Producer</t>
        </is>
      </c>
      <c r="AG86" s="29" t="inlineStr">
        <is>
          <t>Creates a 1/1 Goblin token when it enters</t>
        </is>
      </c>
      <c r="AH86" s="29" t="n"/>
      <c r="AI86" s="29" t="n"/>
      <c r="AJ86" s="2" t="inlineStr">
        <is>
          <t>Ordered 2026-09-02: TCGplayer $0.30 LP from The WKGR Online</t>
        </is>
      </c>
    </row>
    <row r="87" ht="15" customHeight="1" s="79">
      <c r="A87" s="2" t="inlineStr">
        <is>
          <t>Goblin Matron</t>
        </is>
      </c>
      <c r="B87" s="2">
        <f>IF(AND(F87&lt;&gt;0,E87=F87),"In Hand",IF(AND(E87&lt;&gt;0,E87&lt;F87,SUM(M87:R87)=0,SUM(T87:Y87)&gt;0),"Extra-Sub",IF(AND(E87=0,E87&lt;F87,SUM(M87:R87)=0,SUM(T87:Y87)&gt;0),"Bench-Sub",IF(AND(E87=0,F87&gt;0),"Bench",IF(E87&lt;F87,"Extra",IF(AND(J87="",E87&gt;F87),"To Buy",IF(SUM(J87,F87)&lt;E87,"To Buy",IF(AND(SUM(J87,F87)&gt;=E87,J87&lt;&gt;""),"Ordered",IF(AND(E87=0,F87=0,D87="B3"),"B3 Option",IF(AND(E87=0,F87=0),"Remove","To Buy"))))))))))</f>
        <v/>
      </c>
      <c r="D87" t="inlineStr">
        <is>
          <t>B2</t>
        </is>
      </c>
      <c r="E87" s="3">
        <f>SUM(M87:S87)</f>
        <v/>
      </c>
      <c r="F87" s="3">
        <f>SUM(T87:Z87)</f>
        <v/>
      </c>
      <c r="G87" s="3">
        <f>IF((F87-E87)&gt;=0,F87-E87,0)</f>
        <v/>
      </c>
      <c r="H87" s="3">
        <f>MAX(0,$E87-$F87-$J87)</f>
        <v/>
      </c>
      <c r="I87" s="3" t="inlineStr">
        <is>
          <t>TCG</t>
        </is>
      </c>
      <c r="J87" s="3" t="n">
        <v>1</v>
      </c>
      <c r="K87" s="4" t="n">
        <v>0.32</v>
      </c>
      <c r="L87" s="4">
        <f>IF(AND($H87&gt;0,ISNUMBER($K87)),$H87*$K87,0)</f>
        <v/>
      </c>
      <c r="M87" s="3" t="n"/>
      <c r="N87" s="3" t="n"/>
      <c r="O87" s="3" t="n"/>
      <c r="P87" s="3" t="n"/>
      <c r="Q87" s="3" t="n"/>
      <c r="R87" s="3" t="n">
        <v>1</v>
      </c>
      <c r="S87" s="3">
        <f>IF(AND(J87&lt;&gt;"",SUM(M87:R87)=0),J87,"")</f>
        <v/>
      </c>
      <c r="T87" s="3" t="n"/>
      <c r="U87" s="3" t="n"/>
      <c r="V87" s="3" t="n"/>
      <c r="W87" s="3" t="n"/>
      <c r="X87" s="3" t="n"/>
      <c r="Y87" s="3" t="n"/>
      <c r="Z87" s="3" t="n"/>
      <c r="AA87" s="2" t="inlineStr">
        <is>
          <t>Creature</t>
        </is>
      </c>
      <c r="AB87" s="2" t="inlineStr">
        <is>
          <t>Goblin</t>
        </is>
      </c>
      <c r="AC87" s="2" t="inlineStr">
        <is>
          <t>R</t>
        </is>
      </c>
      <c r="AD87" s="3" t="n">
        <v>3</v>
      </c>
      <c r="AE87" s="29" t="inlineStr">
        <is>
          <t>Portal Second Age</t>
        </is>
      </c>
      <c r="AF87" s="29" t="inlineStr">
        <is>
          <t>Tutor</t>
        </is>
      </c>
      <c r="AG87" s="29" t="inlineStr">
        <is>
          <t>Searches library for a Goblin card to hand when it enters</t>
        </is>
      </c>
      <c r="AH87" s="29" t="n"/>
      <c r="AI87" s="29" t="n"/>
      <c r="AJ87" s="2" t="inlineStr">
        <is>
          <t>Ordered 2026-09-02: TCGplayer $0.31 LP from The WKGR Online</t>
        </is>
      </c>
    </row>
    <row r="88" ht="15" customHeight="1" s="79">
      <c r="A88" s="2" t="inlineStr">
        <is>
          <t>Goblin Ringleader</t>
        </is>
      </c>
      <c r="B88" s="2">
        <f>IF(AND(F88&lt;&gt;0,E88=F88),"In Hand",IF(AND(E88&lt;&gt;0,E88&lt;F88,SUM(M88:R88)=0,SUM(T88:Y88)&gt;0),"Extra-Sub",IF(AND(E88=0,E88&lt;F88,SUM(M88:R88)=0,SUM(T88:Y88)&gt;0),"Bench-Sub",IF(AND(E88=0,F88&gt;0),"Bench",IF(E88&lt;F88,"Extra",IF(AND(J88="",E88&gt;F88),"To Buy",IF(SUM(J88,F88)&lt;E88,"To Buy",IF(AND(SUM(J88,F88)&gt;=E88,J88&lt;&gt;""),"Ordered",IF(AND(E88=0,F88=0,D88="B3"),"B3 Option",IF(AND(E88=0,F88=0),"Remove","To Buy"))))))))))</f>
        <v/>
      </c>
      <c r="D88" t="inlineStr">
        <is>
          <t>B2</t>
        </is>
      </c>
      <c r="E88" s="3">
        <f>SUM(M88:S88)</f>
        <v/>
      </c>
      <c r="F88" s="3">
        <f>SUM(T88:Z88)</f>
        <v/>
      </c>
      <c r="G88" s="3">
        <f>IF((F88-E88)&gt;=0,F88-E88,0)</f>
        <v/>
      </c>
      <c r="H88" s="3">
        <f>MAX(0,$E88-$F88-$J88)</f>
        <v/>
      </c>
      <c r="I88" s="3" t="inlineStr">
        <is>
          <t>TCG</t>
        </is>
      </c>
      <c r="J88" s="3" t="n">
        <v>1</v>
      </c>
      <c r="K88" s="4" t="n">
        <v>0.99</v>
      </c>
      <c r="L88" s="4">
        <f>IF(AND($H88&gt;0,ISNUMBER($K88)),$H88*$K88,0)</f>
        <v/>
      </c>
      <c r="M88" s="3" t="n"/>
      <c r="N88" s="3" t="n"/>
      <c r="O88" s="3" t="n"/>
      <c r="P88" s="3" t="n"/>
      <c r="Q88" s="3" t="n"/>
      <c r="R88" s="3" t="n">
        <v>1</v>
      </c>
      <c r="S88" s="3">
        <f>IF(AND(J88&lt;&gt;"",SUM(M88:R88)=0),J88,"")</f>
        <v/>
      </c>
      <c r="T88" s="3" t="n"/>
      <c r="U88" s="3" t="n"/>
      <c r="V88" s="3" t="n"/>
      <c r="W88" s="3" t="n"/>
      <c r="X88" s="3" t="n"/>
      <c r="Y88" s="3" t="n"/>
      <c r="Z88" s="3" t="n"/>
      <c r="AA88" s="2" t="inlineStr">
        <is>
          <t>Creature</t>
        </is>
      </c>
      <c r="AB88" s="2" t="inlineStr">
        <is>
          <t>Goblin</t>
        </is>
      </c>
      <c r="AC88" s="2" t="inlineStr">
        <is>
          <t>R</t>
        </is>
      </c>
      <c r="AD88" s="3" t="n">
        <v>4</v>
      </c>
      <c r="AE88" s="29" t="inlineStr">
        <is>
          <t>Apocalypse</t>
        </is>
      </c>
      <c r="AF88" s="29" t="inlineStr">
        <is>
          <t>Tutor</t>
        </is>
      </c>
      <c r="AG88" s="29" t="inlineStr">
        <is>
          <t>Reveals top four cards, puts all Goblin cards found into hand</t>
        </is>
      </c>
      <c r="AH88" s="29" t="inlineStr">
        <is>
          <t>Can attack immediately when it enters (haste)</t>
        </is>
      </c>
      <c r="AI88" s="29" t="n"/>
      <c r="AJ88" s="2" t="inlineStr">
        <is>
          <t>Ordered 2026-09-02: TCGplayer $0.52 LP from The WKGR Online</t>
        </is>
      </c>
    </row>
    <row r="89" ht="15" customHeight="1" s="79">
      <c r="A89" s="2" t="inlineStr">
        <is>
          <t>Goblin Warchief</t>
        </is>
      </c>
      <c r="B89" s="2">
        <f>IF(AND(F89&lt;&gt;0,E89=F89),"In Hand",IF(AND(E89&lt;&gt;0,E89&lt;F89,SUM(M89:R89)=0,SUM(T89:Y89)&gt;0),"Extra-Sub",IF(AND(E89=0,E89&lt;F89,SUM(M89:R89)=0,SUM(T89:Y89)&gt;0),"Bench-Sub",IF(AND(E89=0,F89&gt;0),"Bench",IF(E89&lt;F89,"Extra",IF(AND(J89="",E89&gt;F89),"To Buy",IF(SUM(J89,F89)&lt;E89,"To Buy",IF(AND(SUM(J89,F89)&gt;=E89,J89&lt;&gt;""),"Ordered",IF(AND(E89=0,F89=0,D89="B3"),"B3 Option",IF(AND(E89=0,F89=0),"Remove","To Buy"))))))))))</f>
        <v/>
      </c>
      <c r="D89" t="inlineStr">
        <is>
          <t>B2</t>
        </is>
      </c>
      <c r="E89" s="3">
        <f>SUM(M89:S89)</f>
        <v/>
      </c>
      <c r="F89" s="3">
        <f>SUM(T89:Z89)</f>
        <v/>
      </c>
      <c r="G89" s="3">
        <f>IF((F89-E89)&gt;=0,F89-E89,0)</f>
        <v/>
      </c>
      <c r="H89" s="3">
        <f>MAX(0,$E89-$F89-$J89)</f>
        <v/>
      </c>
      <c r="I89" s="3" t="inlineStr">
        <is>
          <t>TCG</t>
        </is>
      </c>
      <c r="J89" s="3" t="n">
        <v>1</v>
      </c>
      <c r="K89" s="4" t="n">
        <v>1.14</v>
      </c>
      <c r="L89" s="4">
        <f>IF(AND($H89&gt;0,ISNUMBER($K89)),$H89*$K89,0)</f>
        <v/>
      </c>
      <c r="M89" s="3" t="n"/>
      <c r="N89" s="3" t="n"/>
      <c r="O89" s="3" t="n"/>
      <c r="P89" s="3" t="n"/>
      <c r="Q89" s="3" t="n"/>
      <c r="R89" s="3" t="n">
        <v>1</v>
      </c>
      <c r="S89" s="3">
        <f>IF(AND(J89&lt;&gt;"",SUM(M89:R89)=0),J89,"")</f>
        <v/>
      </c>
      <c r="T89" s="3" t="n"/>
      <c r="U89" s="3" t="n"/>
      <c r="V89" s="3" t="n"/>
      <c r="W89" s="3" t="n"/>
      <c r="X89" s="3" t="n"/>
      <c r="Y89" s="3" t="n"/>
      <c r="Z89" s="3" t="n"/>
      <c r="AA89" s="2" t="inlineStr">
        <is>
          <t>Creature</t>
        </is>
      </c>
      <c r="AB89" s="2" t="inlineStr">
        <is>
          <t>Goblin Warrior</t>
        </is>
      </c>
      <c r="AC89" s="2" t="inlineStr">
        <is>
          <t>R</t>
        </is>
      </c>
      <c r="AD89" s="3" t="n">
        <v>3</v>
      </c>
      <c r="AE89" s="29" t="inlineStr">
        <is>
          <t>Scourge</t>
        </is>
      </c>
      <c r="AF89" s="29" t="inlineStr">
        <is>
          <t>Cost Reducer</t>
        </is>
      </c>
      <c r="AG89" s="29" t="inlineStr">
        <is>
          <t>Goblin spells you cast cost {1} less</t>
        </is>
      </c>
      <c r="AH89" s="29" t="inlineStr">
        <is>
          <t>Goblins you control have haste</t>
        </is>
      </c>
      <c r="AI89" s="29" t="n"/>
      <c r="AJ89" s="2" t="inlineStr">
        <is>
          <t>Ordered 2026-09-02: TCGplayer $1.27 LP from The WKGR Online</t>
        </is>
      </c>
    </row>
    <row r="90" ht="15" customHeight="1" s="79">
      <c r="A90" s="2" t="inlineStr">
        <is>
          <t>Golgari Signet</t>
        </is>
      </c>
      <c r="B90" s="2">
        <f>IF(AND(F90&lt;&gt;0,E90=F90),"In Hand",IF(AND(E90&lt;&gt;0,E90&lt;F90,SUM(M90:R90)=0,SUM(T90:Y90)&gt;0),"Extra-Sub",IF(AND(E90=0,E90&lt;F90,SUM(M90:R90)=0,SUM(T90:Y90)&gt;0),"Bench-Sub",IF(AND(E90=0,F90&gt;0),"Bench",IF(E90&lt;F90,"Extra",IF(AND(J90="",E90&gt;F90),"To Buy",IF(SUM(J90,F90)&lt;E90,"To Buy",IF(AND(SUM(J90,F90)&gt;=E90,J90&lt;&gt;""),"Ordered",IF(AND(E90=0,F90=0,D90="B3"),"B3 Option",IF(AND(E90=0,F90=0),"Remove","To Buy"))))))))))</f>
        <v/>
      </c>
      <c r="D90" t="inlineStr">
        <is>
          <t>B2</t>
        </is>
      </c>
      <c r="E90" s="3">
        <f>SUM(M90:S90)</f>
        <v/>
      </c>
      <c r="F90" s="3">
        <f>SUM(T90:Z90)</f>
        <v/>
      </c>
      <c r="G90" s="3">
        <f>IF((F90-E90)&gt;=0,F90-E90,0)</f>
        <v/>
      </c>
      <c r="H90" s="3">
        <f>MAX(0,$E90-$F90-$J90)</f>
        <v/>
      </c>
      <c r="I90" s="3" t="inlineStr">
        <is>
          <t>TCG</t>
        </is>
      </c>
      <c r="J90" s="3" t="n">
        <v>1</v>
      </c>
      <c r="K90" s="4" t="n">
        <v>0.32</v>
      </c>
      <c r="L90" s="4">
        <f>IF(AND($H90&gt;0,ISNUMBER($K90)),$H90*$K90,0)</f>
        <v/>
      </c>
      <c r="M90" s="3" t="n"/>
      <c r="N90" s="3" t="n"/>
      <c r="O90" s="3" t="n"/>
      <c r="P90" s="3" t="n">
        <v>1</v>
      </c>
      <c r="Q90" s="3" t="n"/>
      <c r="R90" s="3" t="n"/>
      <c r="S90" s="3">
        <f>IF(AND(J90&lt;&gt;"",SUM(M90:R90)=0),J90,"")</f>
        <v/>
      </c>
      <c r="T90" s="3" t="n"/>
      <c r="U90" s="3" t="n"/>
      <c r="V90" s="3" t="n"/>
      <c r="W90" s="3" t="n"/>
      <c r="X90" s="3" t="n"/>
      <c r="Y90" s="3" t="n"/>
      <c r="Z90" s="3" t="n"/>
      <c r="AA90" s="2" t="inlineStr">
        <is>
          <t>Artifact</t>
        </is>
      </c>
      <c r="AB90" s="2" t="n"/>
      <c r="AC90" s="2" t="inlineStr">
        <is>
          <t>Multi</t>
        </is>
      </c>
      <c r="AD90" s="3" t="n">
        <v>2</v>
      </c>
      <c r="AE90" s="29" t="inlineStr">
        <is>
          <t>Ravnica: City of Guilds</t>
        </is>
      </c>
      <c r="AF90" s="29" t="inlineStr">
        <is>
          <t>Mana Rock</t>
        </is>
      </c>
      <c r="AG90" s="29" t="inlineStr">
        <is>
          <t>{1}, tap: add {B}{G}</t>
        </is>
      </c>
      <c r="AH90" s="29" t="n"/>
      <c r="AI90" s="29" t="n"/>
      <c r="AJ90" s="2" t="inlineStr">
        <is>
          <t>Ordered 2026-09-02: TCGplayer $0.33 LP from The WKGR Online</t>
        </is>
      </c>
    </row>
    <row r="91" ht="15" customHeight="1" s="79">
      <c r="A91" s="2" t="inlineStr">
        <is>
          <t>Grateful Apparition</t>
        </is>
      </c>
      <c r="B91" s="2">
        <f>IF(AND(F91&lt;&gt;0,E91=F91),"In Hand",IF(AND(E91&lt;&gt;0,E91&lt;F91,SUM(M91:R91)=0,SUM(T91:Y91)&gt;0),"Extra-Sub",IF(AND(E91=0,E91&lt;F91,SUM(M91:R91)=0,SUM(T91:Y91)&gt;0),"Bench-Sub",IF(AND(E91=0,F91&gt;0),"Bench",IF(E91&lt;F91,"Extra",IF(AND(J91="",E91&gt;F91),"To Buy",IF(SUM(J91,F91)&lt;E91,"To Buy",IF(AND(SUM(J91,F91)&gt;=E91,J91&lt;&gt;""),"Ordered",IF(AND(E91=0,F91=0,D91="B3"),"B3 Option",IF(AND(E91=0,F91=0),"Remove","To Buy"))))))))))</f>
        <v/>
      </c>
      <c r="D91" t="inlineStr">
        <is>
          <t>B2</t>
        </is>
      </c>
      <c r="E91" s="3">
        <f>SUM(M91:S91)</f>
        <v/>
      </c>
      <c r="F91" s="3">
        <f>SUM(T91:Z91)</f>
        <v/>
      </c>
      <c r="G91" s="3">
        <f>IF((F91-E91)&gt;=0,F91-E91,0)</f>
        <v/>
      </c>
      <c r="H91" s="3">
        <f>MAX(0,$E91-$F91-$J91)</f>
        <v/>
      </c>
      <c r="I91" s="3" t="inlineStr">
        <is>
          <t>TCG</t>
        </is>
      </c>
      <c r="J91" s="3" t="n">
        <v>1</v>
      </c>
      <c r="K91" s="4" t="n">
        <v>0.19</v>
      </c>
      <c r="L91" s="4">
        <f>IF(AND($H91&gt;0,ISNUMBER($K91)),$H91*$K91,0)</f>
        <v/>
      </c>
      <c r="M91" s="3" t="n"/>
      <c r="N91" s="3" t="n"/>
      <c r="O91" s="3" t="n">
        <v>1</v>
      </c>
      <c r="P91" s="3" t="n"/>
      <c r="Q91" s="3" t="n"/>
      <c r="R91" s="3" t="n"/>
      <c r="S91" s="3">
        <f>IF(AND(J91&lt;&gt;"",SUM(M91:R91)=0),J91,"")</f>
        <v/>
      </c>
      <c r="T91" s="3" t="n"/>
      <c r="U91" s="3" t="n"/>
      <c r="V91" s="3" t="n"/>
      <c r="W91" s="3" t="n"/>
      <c r="X91" s="3" t="n"/>
      <c r="Y91" s="3" t="n"/>
      <c r="Z91" s="3" t="n"/>
      <c r="AA91" s="2" t="inlineStr">
        <is>
          <t>Creature</t>
        </is>
      </c>
      <c r="AB91" s="2" t="inlineStr">
        <is>
          <t>Spirit</t>
        </is>
      </c>
      <c r="AC91" s="2" t="inlineStr">
        <is>
          <t>W</t>
        </is>
      </c>
      <c r="AD91" s="3" t="n">
        <v>2</v>
      </c>
      <c r="AE91" s="29" t="inlineStr">
        <is>
          <t>War of the Spark</t>
        </is>
      </c>
      <c r="AF91" s="29" t="inlineStr">
        <is>
          <t>Proliferate</t>
        </is>
      </c>
      <c r="AG91" s="29" t="inlineStr">
        <is>
          <t>Proliferates whenever it deals combat damage to a player or planeswalker</t>
        </is>
      </c>
      <c r="AH91" s="29" t="inlineStr">
        <is>
          <t>Flying body</t>
        </is>
      </c>
      <c r="AI91" s="29" t="n"/>
      <c r="AJ91" s="2" t="inlineStr">
        <is>
          <t>Ordered 2026-09-02: TCGplayer $0.23 LP from The WKGR Online</t>
        </is>
      </c>
    </row>
    <row r="92" ht="15" customHeight="1" s="79">
      <c r="A92" s="2" t="inlineStr">
        <is>
          <t>Hidden Stockpile</t>
        </is>
      </c>
      <c r="B92" s="2">
        <f>IF(AND(F92&lt;&gt;0,E92=F92),"In Hand",IF(AND(E92&lt;&gt;0,E92&lt;F92,SUM(M92:R92)=0,SUM(T92:Y92)&gt;0),"Extra-Sub",IF(AND(E92=0,E92&lt;F92,SUM(M92:R92)=0,SUM(T92:Y92)&gt;0),"Bench-Sub",IF(AND(E92=0,F92&gt;0),"Bench",IF(E92&lt;F92,"Extra",IF(AND(J92="",E92&gt;F92),"To Buy",IF(SUM(J92,F92)&lt;E92,"To Buy",IF(AND(SUM(J92,F92)&gt;=E92,J92&lt;&gt;""),"Ordered",IF(AND(E92=0,F92=0,D92="B3"),"B3 Option",IF(AND(E92=0,F92=0),"Remove","To Buy"))))))))))</f>
        <v/>
      </c>
      <c r="D92" t="inlineStr">
        <is>
          <t>B2</t>
        </is>
      </c>
      <c r="E92" s="3">
        <f>SUM(M92:S92)</f>
        <v/>
      </c>
      <c r="F92" s="3">
        <f>SUM(T92:Z92)</f>
        <v/>
      </c>
      <c r="G92" s="3">
        <f>IF((F92-E92)&gt;=0,F92-E92,0)</f>
        <v/>
      </c>
      <c r="H92" s="3">
        <f>MAX(0,$E92-$F92-$J92)</f>
        <v/>
      </c>
      <c r="I92" s="3" t="inlineStr">
        <is>
          <t>TCG</t>
        </is>
      </c>
      <c r="J92" s="3" t="n">
        <v>1</v>
      </c>
      <c r="K92" s="4" t="n">
        <v>0.32</v>
      </c>
      <c r="L92" s="4">
        <f>IF(AND($H92&gt;0,ISNUMBER($K92)),$H92*$K92,0)</f>
        <v/>
      </c>
      <c r="M92" s="3" t="n"/>
      <c r="N92" s="3" t="n"/>
      <c r="O92" s="3" t="n"/>
      <c r="P92" s="3" t="n"/>
      <c r="Q92" s="3" t="n">
        <v>1</v>
      </c>
      <c r="R92" s="3" t="n"/>
      <c r="S92" s="3">
        <f>IF(AND(J92&lt;&gt;"",SUM(M92:R92)=0),J92,"")</f>
        <v/>
      </c>
      <c r="T92" s="3" t="n"/>
      <c r="U92" s="3" t="n"/>
      <c r="V92" s="3" t="n"/>
      <c r="W92" s="3" t="n"/>
      <c r="X92" s="3" t="n"/>
      <c r="Y92" s="3" t="n"/>
      <c r="Z92" s="3" t="n"/>
      <c r="AA92" s="2" t="inlineStr">
        <is>
          <t>Enchantment</t>
        </is>
      </c>
      <c r="AB92" s="2" t="n"/>
      <c r="AC92" s="2" t="inlineStr">
        <is>
          <t>Multi</t>
        </is>
      </c>
      <c r="AD92" s="3" t="n">
        <v>2</v>
      </c>
      <c r="AE92" s="29" t="inlineStr">
        <is>
          <t>Aether Revolt</t>
        </is>
      </c>
      <c r="AF92" s="29" t="inlineStr">
        <is>
          <t>Token Producer</t>
        </is>
      </c>
      <c r="AG92" s="29" t="inlineStr">
        <is>
          <t>End step: creates a 1/1 Servo token if a permanent left the battlefield under your control this turn</t>
        </is>
      </c>
      <c r="AH92" s="29" t="inlineStr">
        <is>
          <t>{1}, sacrifice a creature: Scry 1</t>
        </is>
      </c>
      <c r="AI92" s="29" t="n"/>
      <c r="AJ92" s="2" t="inlineStr">
        <is>
          <t>Ordered 2026-09-02: TCGplayer $0.19 LP from The WKGR Online</t>
        </is>
      </c>
    </row>
    <row r="93" ht="15" customHeight="1" s="79">
      <c r="A93" s="2" t="inlineStr">
        <is>
          <t>Hordeling Outburst</t>
        </is>
      </c>
      <c r="B93" s="2">
        <f>IF(AND(F93&lt;&gt;0,E93=F93),"In Hand",IF(AND(E93&lt;&gt;0,E93&lt;F93,SUM(M93:R93)=0,SUM(T93:Y93)&gt;0),"Extra-Sub",IF(AND(E93=0,E93&lt;F93,SUM(M93:R93)=0,SUM(T93:Y93)&gt;0),"Bench-Sub",IF(AND(E93=0,F93&gt;0),"Bench",IF(E93&lt;F93,"Extra",IF(AND(J93="",E93&gt;F93),"To Buy",IF(SUM(J93,F93)&lt;E93,"To Buy",IF(AND(SUM(J93,F93)&gt;=E93,J93&lt;&gt;""),"Ordered",IF(AND(E93=0,F93=0,D93="B3"),"B3 Option",IF(AND(E93=0,F93=0),"Remove","To Buy"))))))))))</f>
        <v/>
      </c>
      <c r="D93" t="inlineStr">
        <is>
          <t>B2</t>
        </is>
      </c>
      <c r="E93" s="3">
        <f>SUM(M93:S93)</f>
        <v/>
      </c>
      <c r="F93" s="3">
        <f>SUM(T93:Z93)</f>
        <v/>
      </c>
      <c r="G93" s="3">
        <f>IF((F93-E93)&gt;=0,F93-E93,0)</f>
        <v/>
      </c>
      <c r="H93" s="3">
        <f>MAX(0,$E93-$F93-$J93)</f>
        <v/>
      </c>
      <c r="I93" s="3" t="inlineStr">
        <is>
          <t>TCG</t>
        </is>
      </c>
      <c r="J93" s="3" t="n">
        <v>1</v>
      </c>
      <c r="K93" s="4" t="n">
        <v>0.45</v>
      </c>
      <c r="L93" s="4">
        <f>IF(AND($H93&gt;0,ISNUMBER($K93)),$H93*$K93,0)</f>
        <v/>
      </c>
      <c r="M93" s="3" t="n"/>
      <c r="N93" s="3" t="n"/>
      <c r="O93" s="3" t="n"/>
      <c r="P93" s="3" t="n"/>
      <c r="Q93" s="3" t="n"/>
      <c r="R93" s="3" t="n">
        <v>1</v>
      </c>
      <c r="S93" s="3">
        <f>IF(AND(J93&lt;&gt;"",SUM(M93:R93)=0),J93,"")</f>
        <v/>
      </c>
      <c r="T93" s="3" t="n"/>
      <c r="U93" s="3" t="n"/>
      <c r="V93" s="3" t="n"/>
      <c r="W93" s="3" t="n"/>
      <c r="X93" s="3" t="n"/>
      <c r="Y93" s="3" t="n"/>
      <c r="Z93" s="3" t="n"/>
      <c r="AA93" s="2" t="inlineStr">
        <is>
          <t>Sorcery</t>
        </is>
      </c>
      <c r="AB93" s="2" t="n"/>
      <c r="AC93" s="2" t="inlineStr">
        <is>
          <t>R</t>
        </is>
      </c>
      <c r="AD93" s="3" t="n">
        <v>3</v>
      </c>
      <c r="AE93" s="29" t="inlineStr">
        <is>
          <t>Khans of Tarkir</t>
        </is>
      </c>
      <c r="AF93" s="29" t="inlineStr">
        <is>
          <t>Token Producer</t>
        </is>
      </c>
      <c r="AG93" s="29" t="inlineStr">
        <is>
          <t>Creates three 1/1 Goblin tokens</t>
        </is>
      </c>
      <c r="AH93" s="29" t="n"/>
      <c r="AI93" s="29" t="n"/>
      <c r="AJ93" s="2" t="inlineStr">
        <is>
          <t>Ordered 2026-09-02: TCGplayer $0.34 LP from The WKGR Online</t>
        </is>
      </c>
    </row>
    <row r="94" ht="15" customHeight="1" s="79">
      <c r="A94" s="2" t="inlineStr">
        <is>
          <t>Huatli, the Sun's Heart</t>
        </is>
      </c>
      <c r="B94" s="2">
        <f>IF(AND(F94&lt;&gt;0,E94=F94),"In Hand",IF(AND(E94&lt;&gt;0,E94&lt;F94,SUM(M94:R94)=0,SUM(T94:Y94)&gt;0),"Extra-Sub",IF(AND(E94=0,E94&lt;F94,SUM(M94:R94)=0,SUM(T94:Y94)&gt;0),"Bench-Sub",IF(AND(E94=0,F94&gt;0),"Bench",IF(E94&lt;F94,"Extra",IF(AND(J94="",E94&gt;F94),"To Buy",IF(SUM(J94,F94)&lt;E94,"To Buy",IF(AND(SUM(J94,F94)&gt;=E94,J94&lt;&gt;""),"Ordered",IF(AND(E94=0,F94=0,D94="B3"),"B3 Option",IF(AND(E94=0,F94=0),"Remove","To Buy"))))))))))</f>
        <v/>
      </c>
      <c r="D94" t="inlineStr">
        <is>
          <t>B2</t>
        </is>
      </c>
      <c r="E94" s="3">
        <f>SUM(M94:S94)</f>
        <v/>
      </c>
      <c r="F94" s="3">
        <f>SUM(T94:Z94)</f>
        <v/>
      </c>
      <c r="G94" s="3">
        <f>IF((F94-E94)&gt;=0,F94-E94,0)</f>
        <v/>
      </c>
      <c r="H94" s="3">
        <f>MAX(0,$E94-$F94-$J94)</f>
        <v/>
      </c>
      <c r="I94" s="37" t="inlineStr">
        <is>
          <t>TCG</t>
        </is>
      </c>
      <c r="J94" s="3" t="n">
        <v>1</v>
      </c>
      <c r="K94" s="4" t="n">
        <v>0.46</v>
      </c>
      <c r="L94" s="4">
        <f>IF(AND($H94&gt;0,ISNUMBER($K94)),$H94*$K94,0)</f>
        <v/>
      </c>
      <c r="M94" s="3" t="n"/>
      <c r="N94" s="3" t="n"/>
      <c r="O94" s="3" t="n"/>
      <c r="P94" s="3" t="n">
        <v>1</v>
      </c>
      <c r="Q94" s="3" t="n"/>
      <c r="R94" s="3" t="n"/>
      <c r="S94" s="3">
        <f>IF(AND(J94&lt;&gt;"",SUM(M94:R94)=0),J94,"")</f>
        <v/>
      </c>
      <c r="T94" s="3" t="n"/>
      <c r="U94" s="3" t="n"/>
      <c r="V94" s="3" t="n"/>
      <c r="W94" s="3" t="n"/>
      <c r="X94" s="3" t="n"/>
      <c r="Y94" s="3" t="n"/>
      <c r="Z94" s="3" t="n"/>
      <c r="AA94" s="2" t="inlineStr">
        <is>
          <t>Legendary Planeswalker</t>
        </is>
      </c>
      <c r="AB94" s="2" t="inlineStr">
        <is>
          <t>Huatli</t>
        </is>
      </c>
      <c r="AC94" s="2" t="inlineStr">
        <is>
          <t>Multi</t>
        </is>
      </c>
      <c r="AD94" s="3" t="n">
        <v>3</v>
      </c>
      <c r="AE94" s="29" t="inlineStr">
        <is>
          <t>War of the Spark</t>
        </is>
      </c>
      <c r="AF94" s="29" t="inlineStr">
        <is>
          <t>Toughness Payoff</t>
        </is>
      </c>
      <c r="AG94" s="29" t="inlineStr">
        <is>
          <t>Your creatures assign combat damage equal to toughness</t>
        </is>
      </c>
      <c r="AH94" s="29" t="inlineStr">
        <is>
          <t>-3: gain life equal to the greatest toughness among your creatures</t>
        </is>
      </c>
      <c r="AI94" s="29" t="n"/>
      <c r="AJ94" s="2" t="n"/>
    </row>
    <row r="95" ht="15" customHeight="1" s="79">
      <c r="A95" s="2" t="inlineStr">
        <is>
          <t>Ichor Wellspring</t>
        </is>
      </c>
      <c r="B95" s="2">
        <f>IF(AND(F95&lt;&gt;0,E95=F95),"In Hand",IF(AND(E95&lt;&gt;0,E95&lt;F95,SUM(M95:R95)=0,SUM(T95:Y95)&gt;0),"Extra-Sub",IF(AND(E95=0,E95&lt;F95,SUM(M95:R95)=0,SUM(T95:Y95)&gt;0),"Bench-Sub",IF(AND(E95=0,F95&gt;0),"Bench",IF(E95&lt;F95,"Extra",IF(AND(J95="",E95&gt;F95),"To Buy",IF(SUM(J95,F95)&lt;E95,"To Buy",IF(AND(SUM(J95,F95)&gt;=E95,J95&lt;&gt;""),"Ordered",IF(AND(E95=0,F95=0,D95="B3"),"B3 Option",IF(AND(E95=0,F95=0),"Remove","To Buy"))))))))))</f>
        <v/>
      </c>
      <c r="D95" t="inlineStr">
        <is>
          <t>B2</t>
        </is>
      </c>
      <c r="E95" s="3">
        <f>SUM(M95:S95)</f>
        <v/>
      </c>
      <c r="F95" s="3">
        <f>SUM(T95:Z95)</f>
        <v/>
      </c>
      <c r="G95" s="3">
        <f>IF((F95-E95)&gt;=0,F95-E95,0)</f>
        <v/>
      </c>
      <c r="H95" s="3">
        <f>MAX(0,$E95-$F95-$J95)</f>
        <v/>
      </c>
      <c r="I95" s="37" t="inlineStr">
        <is>
          <t>TCG</t>
        </is>
      </c>
      <c r="J95" s="3" t="n">
        <v>1</v>
      </c>
      <c r="K95" s="4" t="n">
        <v>1.45</v>
      </c>
      <c r="L95" s="4">
        <f>IF(AND($H95&gt;0,ISNUMBER($K95)),$H95*$K95,0)</f>
        <v/>
      </c>
      <c r="M95" s="3" t="n"/>
      <c r="N95" s="3" t="n"/>
      <c r="O95" s="3" t="n"/>
      <c r="P95" s="3" t="n"/>
      <c r="Q95" s="3" t="n">
        <v>1</v>
      </c>
      <c r="R95" s="3" t="n"/>
      <c r="S95" s="3">
        <f>IF(AND(J95&lt;&gt;"",SUM(M95:R95)=0),J95,"")</f>
        <v/>
      </c>
      <c r="T95" s="3" t="n"/>
      <c r="U95" s="3" t="n"/>
      <c r="V95" s="3" t="n"/>
      <c r="W95" s="3" t="n"/>
      <c r="X95" s="3" t="n"/>
      <c r="Y95" s="3" t="n"/>
      <c r="Z95" s="3" t="n"/>
      <c r="AA95" s="2" t="inlineStr">
        <is>
          <t>Artifact</t>
        </is>
      </c>
      <c r="AB95" s="2" t="n"/>
      <c r="AC95" s="2" t="inlineStr">
        <is>
          <t>C</t>
        </is>
      </c>
      <c r="AD95" s="3" t="n">
        <v>2</v>
      </c>
      <c r="AE95" s="29" t="inlineStr">
        <is>
          <t>Mirrodin Besieged</t>
        </is>
      </c>
      <c r="AF95" s="29" t="inlineStr">
        <is>
          <t>Card Draw</t>
        </is>
      </c>
      <c r="AG95" s="29" t="inlineStr">
        <is>
          <t>Draws a card when it enters or is put into a graveyard from the battlefield</t>
        </is>
      </c>
      <c r="AH95" s="29" t="n"/>
      <c r="AI95" s="29" t="n"/>
      <c r="AJ95" s="2" t="n"/>
    </row>
    <row r="96" ht="15" customHeight="1" s="79">
      <c r="A96" s="2" t="inlineStr">
        <is>
          <t>Impact Tremors</t>
        </is>
      </c>
      <c r="B96" s="2">
        <f>IF(AND(F96&lt;&gt;0,E96=F96),"In Hand",IF(AND(E96&lt;&gt;0,E96&lt;F96,SUM(M96:R96)=0,SUM(T96:Y96)&gt;0),"Extra-Sub",IF(AND(E96=0,E96&lt;F96,SUM(M96:R96)=0,SUM(T96:Y96)&gt;0),"Bench-Sub",IF(AND(E96=0,F96&gt;0),"Bench",IF(E96&lt;F96,"Extra",IF(AND(J96="",E96&gt;F96),"To Buy",IF(SUM(J96,F96)&lt;E96,"To Buy",IF(AND(SUM(J96,F96)&gt;=E96,J96&lt;&gt;""),"Ordered",IF(AND(E96=0,F96=0,D96="B3"),"B3 Option",IF(AND(E96=0,F96=0),"Remove","To Buy"))))))))))</f>
        <v/>
      </c>
      <c r="D96" t="inlineStr">
        <is>
          <t>B2</t>
        </is>
      </c>
      <c r="E96" s="3">
        <f>SUM(M96:S96)</f>
        <v/>
      </c>
      <c r="F96" s="3">
        <f>SUM(T96:Z96)</f>
        <v/>
      </c>
      <c r="G96" s="3">
        <f>IF((F96-E96)&gt;=0,F96-E96,0)</f>
        <v/>
      </c>
      <c r="H96" s="3">
        <f>MAX(0,$E96-$F96-$J96)</f>
        <v/>
      </c>
      <c r="I96" s="3" t="inlineStr">
        <is>
          <t>TCG</t>
        </is>
      </c>
      <c r="J96" s="3" t="n">
        <v>1</v>
      </c>
      <c r="K96" s="4" t="n">
        <v>2.1</v>
      </c>
      <c r="L96" s="4">
        <f>IF(AND($H96&gt;0,ISNUMBER($K96)),$H96*$K96,0)</f>
        <v/>
      </c>
      <c r="M96" s="3" t="n"/>
      <c r="N96" s="3" t="n"/>
      <c r="O96" s="3" t="n"/>
      <c r="P96" s="3" t="n"/>
      <c r="Q96" s="3" t="n"/>
      <c r="R96" s="3" t="n">
        <v>1</v>
      </c>
      <c r="S96" s="3">
        <f>IF(AND(J96&lt;&gt;"",SUM(M96:R96)=0),J96,"")</f>
        <v/>
      </c>
      <c r="T96" s="3" t="n"/>
      <c r="U96" s="3" t="n"/>
      <c r="V96" s="3" t="n"/>
      <c r="W96" s="3" t="n"/>
      <c r="X96" s="3" t="n"/>
      <c r="Y96" s="3" t="n"/>
      <c r="Z96" s="3" t="n"/>
      <c r="AA96" s="2" t="inlineStr">
        <is>
          <t>Enchantment</t>
        </is>
      </c>
      <c r="AB96" s="2" t="n"/>
      <c r="AC96" s="2" t="inlineStr">
        <is>
          <t>R</t>
        </is>
      </c>
      <c r="AD96" s="3" t="n">
        <v>2</v>
      </c>
      <c r="AE96" s="29" t="inlineStr">
        <is>
          <t>Dragons of Tarkir</t>
        </is>
      </c>
      <c r="AF96" s="29" t="inlineStr">
        <is>
          <t>Burn</t>
        </is>
      </c>
      <c r="AG96" s="29" t="inlineStr">
        <is>
          <t>Whenever a creature you control enters, deals 1 damage to each opponent</t>
        </is>
      </c>
      <c r="AH96" s="29" t="n"/>
      <c r="AI96" s="29" t="n"/>
      <c r="AJ96" s="2" t="inlineStr">
        <is>
          <t>Ordered 2026-09-02: TCGplayer $2.10 NMF from NostalgiAtog</t>
        </is>
      </c>
    </row>
    <row r="97" ht="15" customHeight="1" s="79">
      <c r="A97" s="2" t="inlineStr">
        <is>
          <t>Inexorable Tide</t>
        </is>
      </c>
      <c r="B97" s="2">
        <f>IF(AND(F97&lt;&gt;0,E97=F97),"In Hand",IF(AND(E97&lt;&gt;0,E97&lt;F97,SUM(M97:R97)=0,SUM(T97:Y97)&gt;0),"Extra-Sub",IF(AND(E97=0,E97&lt;F97,SUM(M97:R97)=0,SUM(T97:Y97)&gt;0),"Bench-Sub",IF(AND(E97=0,F97&gt;0),"Bench",IF(E97&lt;F97,"Extra",IF(AND(J97="",E97&gt;F97),"To Buy",IF(SUM(J97,F97)&lt;E97,"To Buy",IF(AND(SUM(J97,F97)&gt;=E97,J97&lt;&gt;""),"Ordered",IF(AND(E97=0,F97=0,D97="B3"),"B3 Option",IF(AND(E97=0,F97=0),"Remove","To Buy"))))))))))</f>
        <v/>
      </c>
      <c r="D97" t="inlineStr">
        <is>
          <t>B2</t>
        </is>
      </c>
      <c r="E97" s="3">
        <f>SUM(M97:S97)</f>
        <v/>
      </c>
      <c r="F97" s="3">
        <f>SUM(T97:Z97)</f>
        <v/>
      </c>
      <c r="G97" s="3">
        <f>IF((F97-E97)&gt;=0,F97-E97,0)</f>
        <v/>
      </c>
      <c r="H97" s="3">
        <f>MAX(0,$E97-$F97-$J97)</f>
        <v/>
      </c>
      <c r="I97" s="3" t="inlineStr">
        <is>
          <t>TCG</t>
        </is>
      </c>
      <c r="J97" s="3" t="n">
        <v>1</v>
      </c>
      <c r="K97" s="4" t="n">
        <v>3.66</v>
      </c>
      <c r="L97" s="4">
        <f>IF(AND($H97&gt;0,ISNUMBER($K97)),$H97*$K97,0)</f>
        <v/>
      </c>
      <c r="M97" s="3" t="n"/>
      <c r="N97" s="3" t="n"/>
      <c r="O97" s="3" t="n">
        <v>1</v>
      </c>
      <c r="P97" s="3" t="n"/>
      <c r="Q97" s="3" t="n"/>
      <c r="R97" s="3" t="n"/>
      <c r="S97" s="3">
        <f>IF(AND(J97&lt;&gt;"",SUM(M97:R97)=0),J97,"")</f>
        <v/>
      </c>
      <c r="T97" s="3" t="n"/>
      <c r="U97" s="3" t="n"/>
      <c r="V97" s="3" t="n"/>
      <c r="W97" s="3" t="n"/>
      <c r="X97" s="3" t="n"/>
      <c r="Y97" s="3" t="n"/>
      <c r="Z97" s="3" t="n"/>
      <c r="AA97" s="2" t="inlineStr">
        <is>
          <t>Enchantment</t>
        </is>
      </c>
      <c r="AB97" s="2" t="n"/>
      <c r="AC97" s="2" t="inlineStr">
        <is>
          <t>U</t>
        </is>
      </c>
      <c r="AD97" s="3" t="n">
        <v>5</v>
      </c>
      <c r="AE97" s="29" t="inlineStr">
        <is>
          <t>Scars of Mirrodin</t>
        </is>
      </c>
      <c r="AF97" s="29" t="inlineStr">
        <is>
          <t>Proliferate</t>
        </is>
      </c>
      <c r="AG97" s="29" t="inlineStr">
        <is>
          <t>Whenever you cast a spell, proliferate</t>
        </is>
      </c>
      <c r="AH97" s="29" t="n"/>
      <c r="AI97" s="29" t="n"/>
      <c r="AJ97" s="2" t="inlineStr">
        <is>
          <t>Tuned add; Ordered 2026-09-02: TCGplayer $3.33 LP from The WKGR Online</t>
        </is>
      </c>
    </row>
    <row r="98" ht="15" customHeight="1" s="79">
      <c r="A98" s="2" t="inlineStr">
        <is>
          <t>Inspiring Call</t>
        </is>
      </c>
      <c r="B98" s="2">
        <f>IF(AND(F98&lt;&gt;0,E98=F98),"In Hand",IF(AND(E98&lt;&gt;0,E98&lt;F98,SUM(M98:R98)=0,SUM(T98:Y98)&gt;0),"Extra-Sub",IF(AND(E98=0,E98&lt;F98,SUM(M98:R98)=0,SUM(T98:Y98)&gt;0),"Bench-Sub",IF(AND(E98=0,F98&gt;0),"Bench",IF(E98&lt;F98,"Extra",IF(AND(J98="",E98&gt;F98),"To Buy",IF(SUM(J98,F98)&lt;E98,"To Buy",IF(AND(SUM(J98,F98)&gt;=E98,J98&lt;&gt;""),"Ordered",IF(AND(E98=0,F98=0,D98="B3"),"B3 Option",IF(AND(E98=0,F98=0),"Remove","To Buy"))))))))))</f>
        <v/>
      </c>
      <c r="D98" t="inlineStr">
        <is>
          <t>B2</t>
        </is>
      </c>
      <c r="E98" s="3">
        <f>SUM(M98:S98)</f>
        <v/>
      </c>
      <c r="F98" s="3">
        <f>SUM(T98:Z98)</f>
        <v/>
      </c>
      <c r="G98" s="3">
        <f>IF((F98-E98)&gt;=0,F98-E98,0)</f>
        <v/>
      </c>
      <c r="H98" s="3">
        <f>MAX(0,$E98-$F98-$J98)</f>
        <v/>
      </c>
      <c r="I98" s="3" t="inlineStr">
        <is>
          <t>TCG</t>
        </is>
      </c>
      <c r="J98" s="3" t="n">
        <v>1</v>
      </c>
      <c r="K98" s="4" t="n">
        <v>0.42</v>
      </c>
      <c r="L98" s="4">
        <f>IF(AND($H98&gt;0,ISNUMBER($K98)),$H98*$K98,0)</f>
        <v/>
      </c>
      <c r="M98" s="3" t="n"/>
      <c r="N98" s="3" t="n"/>
      <c r="O98" s="3" t="n"/>
      <c r="P98" s="3" t="n">
        <v>1</v>
      </c>
      <c r="Q98" s="3" t="n"/>
      <c r="R98" s="3" t="n"/>
      <c r="S98" s="3">
        <f>IF(AND(J98&lt;&gt;"",SUM(M98:R98)=0),J98,"")</f>
        <v/>
      </c>
      <c r="T98" s="3" t="n"/>
      <c r="U98" s="3" t="n"/>
      <c r="V98" s="3" t="n"/>
      <c r="W98" s="3" t="n"/>
      <c r="X98" s="3" t="n"/>
      <c r="Y98" s="3" t="n"/>
      <c r="Z98" s="3" t="n"/>
      <c r="AA98" s="2" t="inlineStr">
        <is>
          <t>Instant</t>
        </is>
      </c>
      <c r="AB98" s="2" t="n"/>
      <c r="AC98" s="2" t="inlineStr">
        <is>
          <t>G</t>
        </is>
      </c>
      <c r="AD98" s="3" t="n">
        <v>3</v>
      </c>
      <c r="AE98" s="29" t="inlineStr">
        <is>
          <t>Dragons of Tarkir</t>
        </is>
      </c>
      <c r="AF98" s="29" t="inlineStr">
        <is>
          <t>Protection</t>
        </is>
      </c>
      <c r="AG98" s="29" t="inlineStr">
        <is>
          <t>Draws a card for each creature you control with a +1/+1 counter</t>
        </is>
      </c>
      <c r="AH98" s="29" t="inlineStr">
        <is>
          <t>Those creatures gain indestructible until end of turn</t>
        </is>
      </c>
      <c r="AI98" s="29" t="n"/>
      <c r="AJ98" s="2" t="inlineStr">
        <is>
          <t>Ordered 2026-09-02: TCGplayer $0.28 LP from The WKGR Online</t>
        </is>
      </c>
    </row>
    <row r="99" ht="15" customHeight="1" s="79">
      <c r="A99" s="2" t="inlineStr">
        <is>
          <t>Jaddi Offshoot</t>
        </is>
      </c>
      <c r="B99" s="2">
        <f>IF(AND(F99&lt;&gt;0,E99=F99),"In Hand",IF(AND(E99&lt;&gt;0,E99&lt;F99,SUM(M99:R99)=0,SUM(T99:Y99)&gt;0),"Extra-Sub",IF(AND(E99=0,E99&lt;F99,SUM(M99:R99)=0,SUM(T99:Y99)&gt;0),"Bench-Sub",IF(AND(E99=0,F99&gt;0),"Bench",IF(E99&lt;F99,"Extra",IF(AND(J99="",E99&gt;F99),"To Buy",IF(SUM(J99,F99)&lt;E99,"To Buy",IF(AND(SUM(J99,F99)&gt;=E99,J99&lt;&gt;""),"Ordered",IF(AND(E99=0,F99=0,D99="B3"),"B3 Option",IF(AND(E99=0,F99=0),"Remove","To Buy"))))))))))</f>
        <v/>
      </c>
      <c r="D99" t="inlineStr">
        <is>
          <t>B2</t>
        </is>
      </c>
      <c r="E99" s="3">
        <f>SUM(M99:S99)</f>
        <v/>
      </c>
      <c r="F99" s="3">
        <f>SUM(T99:Z99)</f>
        <v/>
      </c>
      <c r="G99" s="3">
        <f>IF((F99-E99)&gt;=0,F99-E99,0)</f>
        <v/>
      </c>
      <c r="H99" s="3">
        <f>MAX(0,$E99-$F99-$J99)</f>
        <v/>
      </c>
      <c r="I99" s="37" t="inlineStr">
        <is>
          <t>TCG</t>
        </is>
      </c>
      <c r="J99" s="3" t="n">
        <v>1</v>
      </c>
      <c r="K99" s="4" t="n">
        <v>0.24</v>
      </c>
      <c r="L99" s="4">
        <f>IF(AND($H99&gt;0,ISNUMBER($K99)),$H99*$K99,0)</f>
        <v/>
      </c>
      <c r="M99" s="3" t="n"/>
      <c r="N99" s="3" t="n"/>
      <c r="O99" s="3" t="n"/>
      <c r="P99" s="3" t="n">
        <v>1</v>
      </c>
      <c r="Q99" s="3" t="n"/>
      <c r="R99" s="3" t="n"/>
      <c r="S99" s="3">
        <f>IF(AND(J99&lt;&gt;"",SUM(M99:R99)=0),J99,"")</f>
        <v/>
      </c>
      <c r="T99" s="3" t="n"/>
      <c r="U99" s="3" t="n"/>
      <c r="V99" s="3" t="n"/>
      <c r="W99" s="3" t="n"/>
      <c r="X99" s="3" t="n"/>
      <c r="Y99" s="3" t="n"/>
      <c r="Z99" s="3" t="n"/>
      <c r="AA99" s="2" t="inlineStr">
        <is>
          <t>Creature</t>
        </is>
      </c>
      <c r="AB99" s="2" t="inlineStr">
        <is>
          <t>Plant</t>
        </is>
      </c>
      <c r="AC99" s="2" t="inlineStr">
        <is>
          <t>G</t>
        </is>
      </c>
      <c r="AD99" s="3" t="n">
        <v>1</v>
      </c>
      <c r="AE99" s="29" t="inlineStr">
        <is>
          <t>Battle for Zendikar</t>
        </is>
      </c>
      <c r="AF99" s="29" t="inlineStr">
        <is>
          <t>Lifegain</t>
        </is>
      </c>
      <c r="AG99" s="29" t="inlineStr">
        <is>
          <t>Gain 1 life whenever a land you control enters</t>
        </is>
      </c>
      <c r="AH99" s="29" t="inlineStr">
        <is>
          <t>Defender body</t>
        </is>
      </c>
      <c r="AI99" s="29" t="n"/>
      <c r="AJ99" s="2" t="n"/>
    </row>
    <row r="100" ht="15" customHeight="1" s="79">
      <c r="A100" s="2" t="inlineStr">
        <is>
          <t>Keeper of the Accord</t>
        </is>
      </c>
      <c r="B100" s="2">
        <f>IF(AND(F100&lt;&gt;0,E100=F100),"In Hand",IF(AND(E100&lt;&gt;0,E100&lt;F100,SUM(M100:R100)=0,SUM(T100:Y100)&gt;0),"Extra-Sub",IF(AND(E100=0,E100&lt;F100,SUM(M100:R100)=0,SUM(T100:Y100)&gt;0),"Bench-Sub",IF(AND(E100=0,F100&gt;0),"Bench",IF(E100&lt;F100,"Extra",IF(AND(J100="",E100&gt;F100),"To Buy",IF(SUM(J100,F100)&lt;E100,"To Buy",IF(AND(SUM(J100,F100)&gt;=E100,J100&lt;&gt;""),"Ordered",IF(AND(E100=0,F100=0,D100="B3"),"B3 Option",IF(AND(E100=0,F100=0),"Remove","To Buy"))))))))))</f>
        <v/>
      </c>
      <c r="D100" t="inlineStr">
        <is>
          <t>B2</t>
        </is>
      </c>
      <c r="E100" s="3">
        <f>SUM(M100:S100)</f>
        <v/>
      </c>
      <c r="F100" s="3">
        <f>SUM(T100:Z100)</f>
        <v/>
      </c>
      <c r="G100" s="3">
        <f>IF((F100-E100)&gt;=0,F100-E100,0)</f>
        <v/>
      </c>
      <c r="H100" s="3">
        <f>MAX(0,$E100-$F100-$J100)</f>
        <v/>
      </c>
      <c r="I100" s="3" t="inlineStr">
        <is>
          <t>TCG</t>
        </is>
      </c>
      <c r="J100" s="3" t="n">
        <v>1</v>
      </c>
      <c r="K100" s="4" t="n">
        <v>0.57</v>
      </c>
      <c r="L100" s="4">
        <f>IF(AND($H100&gt;0,ISNUMBER($K100)),$H100*$K100,0)</f>
        <v/>
      </c>
      <c r="M100" s="3" t="n">
        <v>1</v>
      </c>
      <c r="N100" s="3" t="n"/>
      <c r="O100" s="3" t="n"/>
      <c r="P100" s="3" t="n"/>
      <c r="Q100" s="3" t="n"/>
      <c r="R100" s="3" t="n"/>
      <c r="S100" s="3">
        <f>IF(AND(J100&lt;&gt;"",SUM(M100:R100)=0),J100,"")</f>
        <v/>
      </c>
      <c r="T100" s="3" t="n"/>
      <c r="U100" s="3" t="n"/>
      <c r="V100" s="3" t="n"/>
      <c r="W100" s="3" t="n"/>
      <c r="X100" s="3" t="n"/>
      <c r="Y100" s="3" t="n"/>
      <c r="Z100" s="3" t="n"/>
      <c r="AA100" s="2" t="inlineStr">
        <is>
          <t>Creature</t>
        </is>
      </c>
      <c r="AB100" s="2" t="inlineStr">
        <is>
          <t>Human Soldier</t>
        </is>
      </c>
      <c r="AC100" s="2" t="inlineStr">
        <is>
          <t>W</t>
        </is>
      </c>
      <c r="AD100" s="3" t="n">
        <v>4</v>
      </c>
      <c r="AE100" s="29" t="inlineStr">
        <is>
          <t>Commander Legends</t>
        </is>
      </c>
      <c r="AF100" s="29" t="inlineStr">
        <is>
          <t>Value Engine</t>
        </is>
      </c>
      <c r="AG100" s="29" t="inlineStr">
        <is>
          <t>Each opponent's end step: if they have more creatures, create a 1/1 Soldier token</t>
        </is>
      </c>
      <c r="AH100" s="29" t="inlineStr">
        <is>
          <t>Each opponent's end step: if they have more lands, may search for a Plains onto the battlefield tapped</t>
        </is>
      </c>
      <c r="AI100" s="29" t="n"/>
      <c r="AJ100" s="2" t="inlineStr">
        <is>
          <t>Ordered 2026-09-02: TCGplayer $0.99 LP from The WKGR Online</t>
        </is>
      </c>
    </row>
    <row r="101" ht="15" customHeight="1" s="79">
      <c r="A101" s="2" t="inlineStr">
        <is>
          <t>Kher Keep</t>
        </is>
      </c>
      <c r="B101" s="2">
        <f>IF(AND(F101&lt;&gt;0,E101=F101),"In Hand",IF(AND(E101&lt;&gt;0,E101&lt;F101,SUM(M101:R101)=0,SUM(T101:Y101)&gt;0),"Extra-Sub",IF(AND(E101=0,E101&lt;F101,SUM(M101:R101)=0,SUM(T101:Y101)&gt;0),"Bench-Sub",IF(AND(E101=0,F101&gt;0),"Bench",IF(E101&lt;F101,"Extra",IF(AND(J101="",E101&gt;F101),"To Buy",IF(SUM(J101,F101)&lt;E101,"To Buy",IF(AND(SUM(J101,F101)&gt;=E101,J101&lt;&gt;""),"Ordered",IF(AND(E101=0,F101=0,D101="B3"),"B3 Option",IF(AND(E101=0,F101=0),"Remove","To Buy"))))))))))</f>
        <v/>
      </c>
      <c r="D101" t="inlineStr">
        <is>
          <t>B2</t>
        </is>
      </c>
      <c r="E101" s="3">
        <f>SUM(M101:S101)</f>
        <v/>
      </c>
      <c r="F101" s="3">
        <f>SUM(T101:Z101)</f>
        <v/>
      </c>
      <c r="G101" s="3">
        <f>IF((F101-E101)&gt;=0,F101-E101,0)</f>
        <v/>
      </c>
      <c r="H101" s="3">
        <f>MAX(0,$E101-$F101-$J101)</f>
        <v/>
      </c>
      <c r="I101" s="3" t="inlineStr">
        <is>
          <t>TCG</t>
        </is>
      </c>
      <c r="J101" s="3" t="n">
        <v>1</v>
      </c>
      <c r="K101" s="4" t="n">
        <v>0.36</v>
      </c>
      <c r="L101" s="4">
        <f>IF(AND($H101&gt;0,ISNUMBER($K101)),$H101*$K101,0)</f>
        <v/>
      </c>
      <c r="M101" s="3" t="n"/>
      <c r="N101" s="3" t="n"/>
      <c r="O101" s="3" t="n"/>
      <c r="P101" s="3" t="n"/>
      <c r="Q101" s="3" t="n"/>
      <c r="R101" s="3" t="n">
        <v>1</v>
      </c>
      <c r="S101" s="3">
        <f>IF(AND(J101&lt;&gt;"",SUM(M101:R101)=0),J101,"")</f>
        <v/>
      </c>
      <c r="T101" s="3" t="n"/>
      <c r="U101" s="3" t="n"/>
      <c r="V101" s="3" t="n"/>
      <c r="W101" s="3" t="n"/>
      <c r="X101" s="3" t="n"/>
      <c r="Y101" s="3" t="n"/>
      <c r="Z101" s="3" t="n"/>
      <c r="AA101" s="2" t="inlineStr">
        <is>
          <t>Legendary Land</t>
        </is>
      </c>
      <c r="AB101" s="2" t="n"/>
      <c r="AC101" s="2" t="inlineStr">
        <is>
          <t>R</t>
        </is>
      </c>
      <c r="AD101" s="3" t="n">
        <v>0</v>
      </c>
      <c r="AE101" s="29" t="inlineStr">
        <is>
          <t>Time Spiral</t>
        </is>
      </c>
      <c r="AF101" s="29" t="inlineStr">
        <is>
          <t>Land</t>
        </is>
      </c>
      <c r="AG101" s="29" t="inlineStr">
        <is>
          <t>Taps for {C}</t>
        </is>
      </c>
      <c r="AH101" s="29" t="inlineStr">
        <is>
          <t>{1}{R}, tap: creates a 0/1 Kobold token</t>
        </is>
      </c>
      <c r="AI101" s="29" t="n"/>
      <c r="AJ101" s="2" t="inlineStr">
        <is>
          <t>Ordered 2026-09-02: TCGplayer $0.33 LP from The WKGR Online</t>
        </is>
      </c>
    </row>
    <row r="102" ht="15" customHeight="1" s="79">
      <c r="A102" s="2" t="inlineStr">
        <is>
          <t>Knight of Autumn</t>
        </is>
      </c>
      <c r="B102" s="2">
        <f>IF(AND(F102&lt;&gt;0,E102=F102),"In Hand",IF(AND(E102&lt;&gt;0,E102&lt;F102,SUM(M102:R102)=0,SUM(T102:Y102)&gt;0),"Extra-Sub",IF(AND(E102=0,E102&lt;F102,SUM(M102:R102)=0,SUM(T102:Y102)&gt;0),"Bench-Sub",IF(AND(E102=0,F102&gt;0),"Bench",IF(E102&lt;F102,"Extra",IF(AND(J102="",E102&gt;F102),"To Buy",IF(SUM(J102,F102)&lt;E102,"To Buy",IF(AND(SUM(J102,F102)&gt;=E102,J102&lt;&gt;""),"Ordered",IF(AND(E102=0,F102=0,D102="B3"),"B3 Option",IF(AND(E102=0,F102=0),"Remove","To Buy"))))))))))</f>
        <v/>
      </c>
      <c r="D102" t="inlineStr">
        <is>
          <t>B2</t>
        </is>
      </c>
      <c r="E102" s="3">
        <f>SUM(M102:S102)</f>
        <v/>
      </c>
      <c r="F102" s="3">
        <f>SUM(T102:Z102)</f>
        <v/>
      </c>
      <c r="G102" s="3">
        <f>IF((F102-E102)&gt;=0,F102-E102,0)</f>
        <v/>
      </c>
      <c r="H102" s="3">
        <f>MAX(0,$E102-$F102-$J102)</f>
        <v/>
      </c>
      <c r="I102" s="3" t="inlineStr">
        <is>
          <t>TCG</t>
        </is>
      </c>
      <c r="J102" s="3" t="n">
        <v>1</v>
      </c>
      <c r="K102" s="4" t="n">
        <v>0.42</v>
      </c>
      <c r="L102" s="4">
        <f>IF(AND($H102&gt;0,ISNUMBER($K102)),$H102*$K102,0)</f>
        <v/>
      </c>
      <c r="M102" s="3" t="n"/>
      <c r="N102" s="3" t="n">
        <v>1</v>
      </c>
      <c r="O102" s="3" t="n"/>
      <c r="P102" s="3" t="n"/>
      <c r="Q102" s="3" t="n"/>
      <c r="R102" s="3" t="n"/>
      <c r="S102" s="3">
        <f>IF(AND(J102&lt;&gt;"",SUM(M102:R102)=0),J102,"")</f>
        <v/>
      </c>
      <c r="T102" s="3" t="n"/>
      <c r="U102" s="3" t="n"/>
      <c r="V102" s="3" t="n"/>
      <c r="W102" s="3" t="n"/>
      <c r="X102" s="3" t="n"/>
      <c r="Y102" s="3" t="n"/>
      <c r="Z102" s="3" t="n"/>
      <c r="AA102" s="2" t="inlineStr">
        <is>
          <t>Creature</t>
        </is>
      </c>
      <c r="AB102" s="2" t="inlineStr">
        <is>
          <t>Dryad Knight</t>
        </is>
      </c>
      <c r="AC102" s="2" t="inlineStr">
        <is>
          <t>Multi</t>
        </is>
      </c>
      <c r="AD102" s="3" t="n">
        <v>3</v>
      </c>
      <c r="AE102" s="29" t="inlineStr">
        <is>
          <t>Guilds of Ravnica</t>
        </is>
      </c>
      <c r="AF102" s="29" t="inlineStr">
        <is>
          <t>Artifact/Enchantment Removal</t>
        </is>
      </c>
      <c r="AG102" s="29" t="inlineStr">
        <is>
          <t>Choose one when it enters: add two +1/+1 counters to itself, destroy target artifact/enchantment, or gain 4 life</t>
        </is>
      </c>
      <c r="AH102" s="29" t="n"/>
      <c r="AI102" s="29" t="n"/>
      <c r="AJ102" s="2" t="inlineStr">
        <is>
          <t>Ordered 2026-09-02: TCGplayer $0.41 LP from The WKGR Online</t>
        </is>
      </c>
    </row>
    <row r="103" ht="15" customHeight="1" s="79">
      <c r="A103" s="2" t="inlineStr">
        <is>
          <t>Krenko, Mob Boss</t>
        </is>
      </c>
      <c r="B103" s="2">
        <f>IF(AND(F103&lt;&gt;0,E103=F103),"In Hand",IF(AND(E103&lt;&gt;0,E103&lt;F103,SUM(M103:R103)=0,SUM(T103:Y103)&gt;0),"Extra-Sub",IF(AND(E103=0,E103&lt;F103,SUM(M103:R103)=0,SUM(T103:Y103)&gt;0),"Bench-Sub",IF(AND(E103=0,F103&gt;0),"Bench",IF(E103&lt;F103,"Extra",IF(AND(J103="",E103&gt;F103),"To Buy",IF(SUM(J103,F103)&lt;E103,"To Buy",IF(AND(SUM(J103,F103)&gt;=E103,J103&lt;&gt;""),"Ordered",IF(AND(E103=0,F103=0,D103="B3"),"B3 Option",IF(AND(E103=0,F103=0),"Remove","To Buy"))))))))))</f>
        <v/>
      </c>
      <c r="D103" t="inlineStr">
        <is>
          <t>B2</t>
        </is>
      </c>
      <c r="E103" s="3">
        <f>SUM(M103:S103)</f>
        <v/>
      </c>
      <c r="F103" s="3">
        <f>SUM(T103:Z103)</f>
        <v/>
      </c>
      <c r="G103" s="3">
        <f>IF((F103-E103)&gt;=0,F103-E103,0)</f>
        <v/>
      </c>
      <c r="H103" s="3">
        <f>MAX(0,$E103-$F103-$J103)</f>
        <v/>
      </c>
      <c r="I103" s="3" t="inlineStr">
        <is>
          <t>TCG</t>
        </is>
      </c>
      <c r="J103" s="3" t="n">
        <v>1</v>
      </c>
      <c r="K103" s="4" t="n">
        <v>3.22</v>
      </c>
      <c r="L103" s="4">
        <f>IF(AND($H103&gt;0,ISNUMBER($K103)),$H103*$K103,0)</f>
        <v/>
      </c>
      <c r="M103" s="3" t="n"/>
      <c r="N103" s="3" t="n"/>
      <c r="O103" s="3" t="n"/>
      <c r="P103" s="3" t="n"/>
      <c r="Q103" s="3" t="n"/>
      <c r="R103" s="3" t="n">
        <v>1</v>
      </c>
      <c r="S103" s="3">
        <f>IF(AND(J103&lt;&gt;"",SUM(M103:R103)=0),J103,"")</f>
        <v/>
      </c>
      <c r="T103" s="3" t="n"/>
      <c r="U103" s="3" t="n"/>
      <c r="V103" s="3" t="n"/>
      <c r="W103" s="3" t="n"/>
      <c r="X103" s="3" t="n"/>
      <c r="Y103" s="3" t="n"/>
      <c r="Z103" s="3" t="n"/>
      <c r="AA103" s="2" t="inlineStr">
        <is>
          <t>Legendary Creature</t>
        </is>
      </c>
      <c r="AB103" s="2" t="inlineStr">
        <is>
          <t>Goblin Warrior</t>
        </is>
      </c>
      <c r="AC103" s="2" t="inlineStr">
        <is>
          <t>R</t>
        </is>
      </c>
      <c r="AD103" s="3" t="n">
        <v>4</v>
      </c>
      <c r="AE103" s="29" t="inlineStr">
        <is>
          <t>Magic 2013</t>
        </is>
      </c>
      <c r="AF103" s="29" t="inlineStr">
        <is>
          <t>Token Producer</t>
        </is>
      </c>
      <c r="AG103" s="29" t="inlineStr">
        <is>
          <t>Tap: creates X 1/1 Goblin tokens, X = Goblins you control</t>
        </is>
      </c>
      <c r="AH103" s="29" t="n"/>
      <c r="AI103" s="29" t="n"/>
      <c r="AJ103" s="2" t="inlineStr">
        <is>
          <t>Ordered 2026-09-02: TCGplayer $2.76 LPF from The WKGR Online</t>
        </is>
      </c>
    </row>
    <row r="104" ht="15" customHeight="1" s="79">
      <c r="A104" s="2" t="inlineStr">
        <is>
          <t>Krosan Verge</t>
        </is>
      </c>
      <c r="B104" s="2">
        <f>IF(AND(F104&lt;&gt;0,E104=F104),"In Hand",IF(AND(E104&lt;&gt;0,E104&lt;F104,SUM(M104:R104)=0,SUM(T104:Y104)&gt;0),"Extra-Sub",IF(AND(E104=0,E104&lt;F104,SUM(M104:R104)=0,SUM(T104:Y104)&gt;0),"Bench-Sub",IF(AND(E104=0,F104&gt;0),"Bench",IF(E104&lt;F104,"Extra",IF(AND(J104="",E104&gt;F104),"To Buy",IF(SUM(J104,F104)&lt;E104,"To Buy",IF(AND(SUM(J104,F104)&gt;=E104,J104&lt;&gt;""),"Ordered",IF(AND(E104=0,F104=0,D104="B3"),"B3 Option",IF(AND(E104=0,F104=0),"Remove","To Buy"))))))))))</f>
        <v/>
      </c>
      <c r="D104" t="inlineStr">
        <is>
          <t>B2</t>
        </is>
      </c>
      <c r="E104" s="3">
        <f>SUM(M104:S104)</f>
        <v/>
      </c>
      <c r="F104" s="3">
        <f>SUM(T104:Z104)</f>
        <v/>
      </c>
      <c r="G104" s="3">
        <f>IF((F104-E104)&gt;=0,F104-E104,0)</f>
        <v/>
      </c>
      <c r="H104" s="3">
        <f>MAX(0,$E104-$F104-$J104)</f>
        <v/>
      </c>
      <c r="I104" s="37" t="inlineStr">
        <is>
          <t>TCG</t>
        </is>
      </c>
      <c r="J104" s="3" t="n">
        <v>1</v>
      </c>
      <c r="K104" s="4" t="n">
        <v>0.29</v>
      </c>
      <c r="L104" s="4">
        <f>IF(AND($H104&gt;0,ISNUMBER($K104)),$H104*$K104,0)</f>
        <v/>
      </c>
      <c r="M104" s="3" t="n"/>
      <c r="N104" s="3" t="n"/>
      <c r="O104" s="3" t="n"/>
      <c r="P104" s="3" t="n">
        <v>1</v>
      </c>
      <c r="Q104" s="3" t="n"/>
      <c r="R104" s="3" t="n"/>
      <c r="S104" s="3">
        <f>IF(AND(J104&lt;&gt;"",SUM(M104:R104)=0),J104,"")</f>
        <v/>
      </c>
      <c r="T104" s="3" t="n"/>
      <c r="U104" s="3" t="n"/>
      <c r="V104" s="3" t="n"/>
      <c r="W104" s="3" t="n"/>
      <c r="X104" s="3" t="n"/>
      <c r="Y104" s="3" t="n"/>
      <c r="Z104" s="3" t="n"/>
      <c r="AA104" s="2" t="inlineStr">
        <is>
          <t>Land</t>
        </is>
      </c>
      <c r="AB104" s="2" t="n"/>
      <c r="AC104" s="2" t="inlineStr">
        <is>
          <t>L</t>
        </is>
      </c>
      <c r="AD104" s="3" t="n">
        <v>0</v>
      </c>
      <c r="AE104" s="29" t="inlineStr">
        <is>
          <t>Judgment</t>
        </is>
      </c>
      <c r="AF104" s="29" t="inlineStr">
        <is>
          <t>Flexible Fixing</t>
        </is>
      </c>
      <c r="AG104" s="29" t="inlineStr">
        <is>
          <t>Taps for {C}</t>
        </is>
      </c>
      <c r="AH104" s="29" t="inlineStr">
        <is>
          <t>Sacrifice: search for a Forest and a Plains, put onto battlefield tapped</t>
        </is>
      </c>
      <c r="AI104" s="29" t="n"/>
      <c r="AJ104" s="2" t="n"/>
    </row>
    <row r="105" ht="15" customHeight="1" s="79">
      <c r="A105" s="2" t="inlineStr">
        <is>
          <t>Legion Warboss</t>
        </is>
      </c>
      <c r="B105" s="2">
        <f>IF(AND(F105&lt;&gt;0,E105=F105),"In Hand",IF(AND(E105&lt;&gt;0,E105&lt;F105,SUM(M105:R105)=0,SUM(T105:Y105)&gt;0),"Extra-Sub",IF(AND(E105=0,E105&lt;F105,SUM(M105:R105)=0,SUM(T105:Y105)&gt;0),"Bench-Sub",IF(AND(E105=0,F105&gt;0),"Bench",IF(E105&lt;F105,"Extra",IF(AND(J105="",E105&gt;F105),"To Buy",IF(SUM(J105,F105)&lt;E105,"To Buy",IF(AND(SUM(J105,F105)&gt;=E105,J105&lt;&gt;""),"Ordered",IF(AND(E105=0,F105=0,D105="B3"),"B3 Option",IF(AND(E105=0,F105=0),"Remove","To Buy"))))))))))</f>
        <v/>
      </c>
      <c r="D105" t="inlineStr">
        <is>
          <t>B2</t>
        </is>
      </c>
      <c r="E105" s="3">
        <f>SUM(M105:S105)</f>
        <v/>
      </c>
      <c r="F105" s="3">
        <f>SUM(T105:Z105)</f>
        <v/>
      </c>
      <c r="G105" s="3">
        <f>IF((F105-E105)&gt;=0,F105-E105,0)</f>
        <v/>
      </c>
      <c r="H105" s="3">
        <f>MAX(0,$E105-$F105-$J105)</f>
        <v/>
      </c>
      <c r="I105" s="3" t="inlineStr">
        <is>
          <t>TCG</t>
        </is>
      </c>
      <c r="J105" s="3" t="n">
        <v>1</v>
      </c>
      <c r="K105" s="4" t="n">
        <v>0.35</v>
      </c>
      <c r="L105" s="4">
        <f>IF(AND($H105&gt;0,ISNUMBER($K105)),$H105*$K105,0)</f>
        <v/>
      </c>
      <c r="M105" s="3" t="n"/>
      <c r="N105" s="3" t="n"/>
      <c r="O105" s="3" t="n"/>
      <c r="P105" s="3" t="n"/>
      <c r="Q105" s="3" t="n"/>
      <c r="R105" s="3" t="n">
        <v>1</v>
      </c>
      <c r="S105" s="3">
        <f>IF(AND(J105&lt;&gt;"",SUM(M105:R105)=0),J105,"")</f>
        <v/>
      </c>
      <c r="T105" s="3" t="n"/>
      <c r="U105" s="3" t="n"/>
      <c r="V105" s="3" t="n"/>
      <c r="W105" s="3" t="n"/>
      <c r="X105" s="3" t="n"/>
      <c r="Y105" s="3" t="n"/>
      <c r="Z105" s="3" t="n"/>
      <c r="AA105" s="2" t="inlineStr">
        <is>
          <t>Creature</t>
        </is>
      </c>
      <c r="AB105" s="2" t="inlineStr">
        <is>
          <t>Goblin Soldier</t>
        </is>
      </c>
      <c r="AC105" s="2" t="inlineStr">
        <is>
          <t>R</t>
        </is>
      </c>
      <c r="AD105" s="3" t="n">
        <v>3</v>
      </c>
      <c r="AE105" s="29" t="inlineStr">
        <is>
          <t>Guilds of Ravnica</t>
        </is>
      </c>
      <c r="AF105" s="29" t="inlineStr">
        <is>
          <t>Token Producer</t>
        </is>
      </c>
      <c r="AG105" s="29" t="inlineStr">
        <is>
          <t>Combat: creates a hasty 1/1 Goblin token that attacks</t>
        </is>
      </c>
      <c r="AH105" s="29" t="inlineStr">
        <is>
          <t>Puts a +1/+1 counter on an attacker with lesser power</t>
        </is>
      </c>
      <c r="AI105" s="29" t="n"/>
      <c r="AJ105" s="2" t="inlineStr">
        <is>
          <t>Ordered 2026-09-02: TCGplayer $0.60 LP from The WKGR Online</t>
        </is>
      </c>
    </row>
    <row r="106" ht="15" customHeight="1" s="79">
      <c r="A106" s="2" t="inlineStr">
        <is>
          <t>Light Up the Stage</t>
        </is>
      </c>
      <c r="B106" s="2">
        <f>IF(AND(F106&lt;&gt;0,E106=F106),"In Hand",IF(AND(E106&lt;&gt;0,E106&lt;F106,SUM(M106:R106)=0,SUM(T106:Y106)&gt;0),"Extra-Sub",IF(AND(E106=0,E106&lt;F106,SUM(M106:R106)=0,SUM(T106:Y106)&gt;0),"Bench-Sub",IF(AND(E106=0,F106&gt;0),"Bench",IF(E106&lt;F106,"Extra",IF(AND(J106="",E106&gt;F106),"To Buy",IF(SUM(J106,F106)&lt;E106,"To Buy",IF(AND(SUM(J106,F106)&gt;=E106,J106&lt;&gt;""),"Ordered",IF(AND(E106=0,F106=0,D106="B3"),"B3 Option",IF(AND(E106=0,F106=0),"Remove","To Buy"))))))))))</f>
        <v/>
      </c>
      <c r="D106" t="inlineStr">
        <is>
          <t>B2</t>
        </is>
      </c>
      <c r="E106" s="3">
        <f>SUM(M106:S106)</f>
        <v/>
      </c>
      <c r="F106" s="3">
        <f>SUM(T106:Z106)</f>
        <v/>
      </c>
      <c r="G106" s="3">
        <f>IF((F106-E106)&gt;=0,F106-E106,0)</f>
        <v/>
      </c>
      <c r="H106" s="3">
        <f>MAX(0,$E106-$F106-$J106)</f>
        <v/>
      </c>
      <c r="I106" s="3" t="inlineStr">
        <is>
          <t>TCG</t>
        </is>
      </c>
      <c r="J106" s="3" t="n">
        <v>1</v>
      </c>
      <c r="K106" s="4" t="n">
        <v>0.38</v>
      </c>
      <c r="L106" s="4">
        <f>IF(AND($H106&gt;0,ISNUMBER($K106)),$H106*$K106,0)</f>
        <v/>
      </c>
      <c r="M106" s="3" t="n"/>
      <c r="N106" s="3" t="n"/>
      <c r="O106" s="3" t="n"/>
      <c r="P106" s="3" t="n"/>
      <c r="Q106" s="3" t="n"/>
      <c r="R106" s="3" t="n">
        <v>1</v>
      </c>
      <c r="S106" s="3">
        <f>IF(AND(J106&lt;&gt;"",SUM(M106:R106)=0),J106,"")</f>
        <v/>
      </c>
      <c r="T106" s="3" t="n"/>
      <c r="U106" s="3" t="n"/>
      <c r="V106" s="3" t="n"/>
      <c r="W106" s="3" t="n"/>
      <c r="X106" s="3" t="n"/>
      <c r="Y106" s="3" t="n"/>
      <c r="Z106" s="3" t="n"/>
      <c r="AA106" s="2" t="inlineStr">
        <is>
          <t>Sorcery</t>
        </is>
      </c>
      <c r="AB106" s="2" t="n"/>
      <c r="AC106" s="2" t="inlineStr">
        <is>
          <t>R</t>
        </is>
      </c>
      <c r="AD106" s="3" t="n">
        <v>3</v>
      </c>
      <c r="AE106" s="29" t="inlineStr">
        <is>
          <t>Ravnica Allegiance</t>
        </is>
      </c>
      <c r="AF106" s="29" t="inlineStr">
        <is>
          <t>Card Draw</t>
        </is>
      </c>
      <c r="AG106" s="29" t="inlineStr">
        <is>
          <t>Exiles top two cards of library; may play them until end of next turn</t>
        </is>
      </c>
      <c r="AH106" s="29" t="inlineStr">
        <is>
          <t>Castable for {R} if an opponent lost life this turn</t>
        </is>
      </c>
      <c r="AI106" s="29" t="n"/>
      <c r="AJ106" s="2" t="inlineStr">
        <is>
          <t>Ordered 2026-09-02: TCGplayer $0.23 LP from The WKGR Online</t>
        </is>
      </c>
    </row>
    <row r="107" ht="15" customHeight="1" s="79">
      <c r="A107" s="2" t="inlineStr">
        <is>
          <t>Migration Path</t>
        </is>
      </c>
      <c r="B107" s="2">
        <f>IF(AND(F107&lt;&gt;0,E107=F107),"In Hand",IF(AND(E107&lt;&gt;0,E107&lt;F107,SUM(M107:R107)=0,SUM(T107:Y107)&gt;0),"Extra-Sub",IF(AND(E107=0,E107&lt;F107,SUM(M107:R107)=0,SUM(T107:Y107)&gt;0),"Bench-Sub",IF(AND(E107=0,F107&gt;0),"Bench",IF(E107&lt;F107,"Extra",IF(AND(J107="",E107&gt;F107),"To Buy",IF(SUM(J107,F107)&lt;E107,"To Buy",IF(AND(SUM(J107,F107)&gt;=E107,J107&lt;&gt;""),"Ordered",IF(AND(E107=0,F107=0,D107="B3"),"B3 Option",IF(AND(E107=0,F107=0),"Remove","To Buy"))))))))))</f>
        <v/>
      </c>
      <c r="D107" t="inlineStr">
        <is>
          <t>B2</t>
        </is>
      </c>
      <c r="E107" s="3">
        <f>SUM(M107:S107)</f>
        <v/>
      </c>
      <c r="F107" s="3">
        <f>SUM(T107:Z107)</f>
        <v/>
      </c>
      <c r="G107" s="3">
        <f>IF((F107-E107)&gt;=0,F107-E107,0)</f>
        <v/>
      </c>
      <c r="H107" s="3">
        <f>MAX(0,$E107-$F107-$J107)</f>
        <v/>
      </c>
      <c r="I107" s="37" t="inlineStr">
        <is>
          <t>TCG</t>
        </is>
      </c>
      <c r="J107" s="3" t="n">
        <v>1</v>
      </c>
      <c r="K107" s="4" t="n">
        <v>0.36</v>
      </c>
      <c r="L107" s="4">
        <f>IF(AND($H107&gt;0,ISNUMBER($K107)),$H107*$K107,0)</f>
        <v/>
      </c>
      <c r="M107" s="3" t="n"/>
      <c r="N107" s="3" t="n"/>
      <c r="O107" s="3" t="n"/>
      <c r="P107" s="3" t="n">
        <v>1</v>
      </c>
      <c r="Q107" s="3" t="n"/>
      <c r="R107" s="3" t="n"/>
      <c r="S107" s="3">
        <f>IF(AND(J107&lt;&gt;"",SUM(M107:R107)=0),J107,"")</f>
        <v/>
      </c>
      <c r="T107" s="3" t="n"/>
      <c r="U107" s="3" t="n"/>
      <c r="V107" s="3" t="n"/>
      <c r="W107" s="3" t="n"/>
      <c r="X107" s="3" t="n"/>
      <c r="Y107" s="3" t="n"/>
      <c r="Z107" s="3" t="n"/>
      <c r="AA107" s="2" t="inlineStr">
        <is>
          <t>Sorcery</t>
        </is>
      </c>
      <c r="AB107" s="2" t="n"/>
      <c r="AC107" s="2" t="inlineStr">
        <is>
          <t>G</t>
        </is>
      </c>
      <c r="AD107" s="3" t="n">
        <v>4</v>
      </c>
      <c r="AE107" s="29" t="inlineStr">
        <is>
          <t>Ikoria: Lair of Behemoths</t>
        </is>
      </c>
      <c r="AF107" s="29" t="inlineStr">
        <is>
          <t>Ramp</t>
        </is>
      </c>
      <c r="AG107" s="29" t="inlineStr">
        <is>
          <t>Searches for up to two basic lands, puts them onto battlefield tapped</t>
        </is>
      </c>
      <c r="AH107" s="29" t="inlineStr">
        <is>
          <t>Cycling {2}: discard to draw a card instead</t>
        </is>
      </c>
      <c r="AI107" s="29" t="n"/>
      <c r="AJ107" s="2" t="n"/>
    </row>
    <row r="108" ht="15" customHeight="1" s="79">
      <c r="A108" s="2" t="inlineStr">
        <is>
          <t>Mogg War Marshal</t>
        </is>
      </c>
      <c r="B108" s="2">
        <f>IF(AND(F108&lt;&gt;0,E108=F108),"In Hand",IF(AND(E108&lt;&gt;0,E108&lt;F108,SUM(M108:R108)=0,SUM(T108:Y108)&gt;0),"Extra-Sub",IF(AND(E108=0,E108&lt;F108,SUM(M108:R108)=0,SUM(T108:Y108)&gt;0),"Bench-Sub",IF(AND(E108=0,F108&gt;0),"Bench",IF(E108&lt;F108,"Extra",IF(AND(J108="",E108&gt;F108),"To Buy",IF(SUM(J108,F108)&lt;E108,"To Buy",IF(AND(SUM(J108,F108)&gt;=E108,J108&lt;&gt;""),"Ordered",IF(AND(E108=0,F108=0,D108="B3"),"B3 Option",IF(AND(E108=0,F108=0),"Remove","To Buy"))))))))))</f>
        <v/>
      </c>
      <c r="D108" t="inlineStr">
        <is>
          <t>B2</t>
        </is>
      </c>
      <c r="E108" s="3">
        <f>SUM(M108:S108)</f>
        <v/>
      </c>
      <c r="F108" s="3">
        <f>SUM(T108:Z108)</f>
        <v/>
      </c>
      <c r="G108" s="3">
        <f>IF((F108-E108)&gt;=0,F108-E108,0)</f>
        <v/>
      </c>
      <c r="H108" s="3">
        <f>MAX(0,$E108-$F108-$J108)</f>
        <v/>
      </c>
      <c r="I108" s="3" t="inlineStr">
        <is>
          <t>TCG</t>
        </is>
      </c>
      <c r="J108" s="3" t="n">
        <v>1</v>
      </c>
      <c r="K108" s="4" t="n">
        <v>0.34</v>
      </c>
      <c r="L108" s="4">
        <f>IF(AND($H108&gt;0,ISNUMBER($K108)),$H108*$K108,0)</f>
        <v/>
      </c>
      <c r="M108" s="3" t="n"/>
      <c r="N108" s="3" t="n"/>
      <c r="O108" s="3" t="n"/>
      <c r="P108" s="3" t="n"/>
      <c r="Q108" s="3" t="n"/>
      <c r="R108" s="3" t="n">
        <v>1</v>
      </c>
      <c r="S108" s="3">
        <f>IF(AND(J108&lt;&gt;"",SUM(M108:R108)=0),J108,"")</f>
        <v/>
      </c>
      <c r="T108" s="3" t="n"/>
      <c r="U108" s="3" t="n"/>
      <c r="V108" s="3" t="n"/>
      <c r="W108" s="3" t="n"/>
      <c r="X108" s="3" t="n"/>
      <c r="Y108" s="3" t="n"/>
      <c r="Z108" s="3" t="n"/>
      <c r="AA108" s="2" t="inlineStr">
        <is>
          <t>Creature</t>
        </is>
      </c>
      <c r="AB108" s="2" t="inlineStr">
        <is>
          <t>Goblin Warrior</t>
        </is>
      </c>
      <c r="AC108" s="2" t="inlineStr">
        <is>
          <t>R</t>
        </is>
      </c>
      <c r="AD108" s="3" t="n">
        <v>2</v>
      </c>
      <c r="AE108" s="29" t="inlineStr">
        <is>
          <t>Time Spiral</t>
        </is>
      </c>
      <c r="AF108" s="29" t="inlineStr">
        <is>
          <t>Token Producer</t>
        </is>
      </c>
      <c r="AG108" s="29" t="inlineStr">
        <is>
          <t>Creates a 1/1 Goblin token when it enters or dies</t>
        </is>
      </c>
      <c r="AH108" s="29" t="inlineStr">
        <is>
          <t>Sacrifice it next upkeep unless you pay {1}{R} (Echo)</t>
        </is>
      </c>
      <c r="AI108" s="29" t="n"/>
      <c r="AJ108" s="2" t="inlineStr">
        <is>
          <t>Ordered 2026-09-02: TCGplayer $0.19 LP from The WKGR Online</t>
        </is>
      </c>
    </row>
    <row r="109" ht="15" customHeight="1" s="79">
      <c r="A109" s="2" t="inlineStr">
        <is>
          <t>Mulldrifter</t>
        </is>
      </c>
      <c r="B109" s="2">
        <f>IF(AND(F109&lt;&gt;0,E109=F109),"In Hand",IF(AND(E109&lt;&gt;0,E109&lt;F109,SUM(M109:R109)=0,SUM(T109:Y109)&gt;0),"Extra-Sub",IF(AND(E109=0,E109&lt;F109,SUM(M109:R109)=0,SUM(T109:Y109)&gt;0),"Bench-Sub",IF(AND(E109=0,F109&gt;0),"Bench",IF(E109&lt;F109,"Extra",IF(AND(J109="",E109&gt;F109),"To Buy",IF(SUM(J109,F109)&lt;E109,"To Buy",IF(AND(SUM(J109,F109)&gt;=E109,J109&lt;&gt;""),"Ordered",IF(AND(E109=0,F109=0,D109="B3"),"B3 Option",IF(AND(E109=0,F109=0),"Remove","To Buy"))))))))))</f>
        <v/>
      </c>
      <c r="D109" t="inlineStr">
        <is>
          <t>B2</t>
        </is>
      </c>
      <c r="E109" s="3">
        <f>SUM(M109:S109)</f>
        <v/>
      </c>
      <c r="F109" s="3">
        <f>SUM(T109:Z109)</f>
        <v/>
      </c>
      <c r="G109" s="3">
        <f>IF((F109-E109)&gt;=0,F109-E109,0)</f>
        <v/>
      </c>
      <c r="H109" s="3">
        <f>MAX(0,$E109-$F109-$J109)</f>
        <v/>
      </c>
      <c r="I109" s="3" t="inlineStr">
        <is>
          <t>TCG</t>
        </is>
      </c>
      <c r="J109" s="3" t="n">
        <v>1</v>
      </c>
      <c r="K109" s="4" t="n">
        <v>0.32</v>
      </c>
      <c r="L109" s="4">
        <f>IF(AND($H109&gt;0,ISNUMBER($K109)),$H109*$K109,0)</f>
        <v/>
      </c>
      <c r="M109" s="3" t="n"/>
      <c r="N109" s="3" t="n">
        <v>1</v>
      </c>
      <c r="O109" s="3" t="n"/>
      <c r="P109" s="3" t="n"/>
      <c r="Q109" s="3" t="n"/>
      <c r="R109" s="3" t="n"/>
      <c r="S109" s="3">
        <f>IF(AND(J109&lt;&gt;"",SUM(M109:R109)=0),J109,"")</f>
        <v/>
      </c>
      <c r="T109" s="3" t="n"/>
      <c r="U109" s="3" t="n"/>
      <c r="V109" s="3" t="n"/>
      <c r="W109" s="3" t="n"/>
      <c r="X109" s="3" t="n"/>
      <c r="Y109" s="3" t="n"/>
      <c r="Z109" s="3" t="n"/>
      <c r="AA109" s="2" t="inlineStr">
        <is>
          <t>Creature</t>
        </is>
      </c>
      <c r="AB109" s="2" t="inlineStr">
        <is>
          <t>Elemental</t>
        </is>
      </c>
      <c r="AC109" s="2" t="inlineStr">
        <is>
          <t>U</t>
        </is>
      </c>
      <c r="AD109" s="3" t="n">
        <v>5</v>
      </c>
      <c r="AE109" s="29" t="inlineStr">
        <is>
          <t>Lorwyn</t>
        </is>
      </c>
      <c r="AF109" s="29" t="inlineStr">
        <is>
          <t>Card Draw</t>
        </is>
      </c>
      <c r="AG109" s="29" t="inlineStr">
        <is>
          <t>Draws two cards when it enters</t>
        </is>
      </c>
      <c r="AH109" s="29" t="inlineStr">
        <is>
          <t>Can be cast for {2}{U}, sacrificing itself immediately (Evoke)</t>
        </is>
      </c>
      <c r="AI109" s="29" t="inlineStr">
        <is>
          <t>Flying body</t>
        </is>
      </c>
      <c r="AJ109" s="2" t="inlineStr">
        <is>
          <t>Tuned add; Ordered 2026-09-02: TCGplayer $0.25 LP from The WKGR Online</t>
        </is>
      </c>
    </row>
    <row r="110" ht="15" customHeight="1" s="79">
      <c r="A110" s="2" t="inlineStr">
        <is>
          <t>Myr Battlesphere</t>
        </is>
      </c>
      <c r="B110" s="2">
        <f>IF(AND(F110&lt;&gt;0,E110=F110),"In Hand",IF(AND(E110&lt;&gt;0,E110&lt;F110,SUM(M110:R110)=0,SUM(T110:Y110)&gt;0),"Extra-Sub",IF(AND(E110=0,E110&lt;F110,SUM(M110:R110)=0,SUM(T110:Y110)&gt;0),"Bench-Sub",IF(AND(E110=0,F110&gt;0),"Bench",IF(E110&lt;F110,"Extra",IF(AND(J110="",E110&gt;F110),"To Buy",IF(SUM(J110,F110)&lt;E110,"To Buy",IF(AND(SUM(J110,F110)&gt;=E110,J110&lt;&gt;""),"Ordered",IF(AND(E110=0,F110=0,D110="B3"),"B3 Option",IF(AND(E110=0,F110=0),"Remove","To Buy"))))))))))</f>
        <v/>
      </c>
      <c r="D110" t="inlineStr">
        <is>
          <t>B2</t>
        </is>
      </c>
      <c r="E110" s="3">
        <f>SUM(M110:S110)</f>
        <v/>
      </c>
      <c r="F110" s="3">
        <f>SUM(T110:Z110)</f>
        <v/>
      </c>
      <c r="G110" s="3">
        <f>IF((F110-E110)&gt;=0,F110-E110,0)</f>
        <v/>
      </c>
      <c r="H110" s="3">
        <f>MAX(0,$E110-$F110-$J110)</f>
        <v/>
      </c>
      <c r="I110" s="37" t="inlineStr">
        <is>
          <t>TCG</t>
        </is>
      </c>
      <c r="J110" s="3" t="n">
        <v>1</v>
      </c>
      <c r="K110" s="4" t="n">
        <v>0.36</v>
      </c>
      <c r="L110" s="4">
        <f>IF(AND($H110&gt;0,ISNUMBER($K110)),$H110*$K110,0)</f>
        <v/>
      </c>
      <c r="M110" s="3" t="n"/>
      <c r="N110" s="3" t="n"/>
      <c r="O110" s="3" t="n"/>
      <c r="P110" s="3" t="n">
        <v>1</v>
      </c>
      <c r="Q110" s="3" t="n"/>
      <c r="R110" s="3" t="n"/>
      <c r="S110" s="3">
        <f>IF(AND(J110&lt;&gt;"",SUM(M110:R110)=0),J110,"")</f>
        <v/>
      </c>
      <c r="T110" s="3" t="n"/>
      <c r="U110" s="3" t="n"/>
      <c r="V110" s="3" t="n"/>
      <c r="W110" s="3" t="n"/>
      <c r="X110" s="3" t="n"/>
      <c r="Y110" s="3" t="n"/>
      <c r="Z110" s="3" t="n"/>
      <c r="AA110" s="2" t="inlineStr">
        <is>
          <t>Artifact Creature</t>
        </is>
      </c>
      <c r="AB110" s="2" t="inlineStr">
        <is>
          <t>Myr Construct</t>
        </is>
      </c>
      <c r="AC110" s="2" t="inlineStr">
        <is>
          <t>C</t>
        </is>
      </c>
      <c r="AD110" s="3" t="n">
        <v>7</v>
      </c>
      <c r="AE110" s="29" t="inlineStr">
        <is>
          <t>Scars of Mirrodin</t>
        </is>
      </c>
      <c r="AF110" s="29" t="inlineStr">
        <is>
          <t>Token Producer</t>
        </is>
      </c>
      <c r="AG110" s="29" t="inlineStr">
        <is>
          <t>Creates four 1/1 Myr tokens when it enters</t>
        </is>
      </c>
      <c r="AH110" s="29" t="inlineStr">
        <is>
          <t>Attacking: tap Myr for +X/+0 and X damage to defender</t>
        </is>
      </c>
      <c r="AI110" s="29" t="n"/>
      <c r="AJ110" s="2" t="n"/>
    </row>
    <row r="111" ht="15" customHeight="1" s="79">
      <c r="A111" s="2" t="inlineStr">
        <is>
          <t>Nadier's Nightblade</t>
        </is>
      </c>
      <c r="B111" s="2">
        <f>IF(AND(F111&lt;&gt;0,E111=F111),"In Hand",IF(AND(E111&lt;&gt;0,E111&lt;F111,SUM(M111:R111)=0,SUM(T111:Y111)&gt;0),"Extra-Sub",IF(AND(E111=0,E111&lt;F111,SUM(M111:R111)=0,SUM(T111:Y111)&gt;0),"Bench-Sub",IF(AND(E111=0,F111&gt;0),"Bench",IF(E111&lt;F111,"Extra",IF(AND(J111="",E111&gt;F111),"To Buy",IF(SUM(J111,F111)&lt;E111,"To Buy",IF(AND(SUM(J111,F111)&gt;=E111,J111&lt;&gt;""),"Ordered",IF(AND(E111=0,F111=0,D111="B3"),"B3 Option",IF(AND(E111=0,F111=0),"Remove","To Buy"))))))))))</f>
        <v/>
      </c>
      <c r="D111" t="inlineStr">
        <is>
          <t>B2</t>
        </is>
      </c>
      <c r="E111" s="3">
        <f>SUM(M111:S111)</f>
        <v/>
      </c>
      <c r="F111" s="3">
        <f>SUM(T111:Z111)</f>
        <v/>
      </c>
      <c r="G111" s="3">
        <f>IF((F111-E111)&gt;=0,F111-E111,0)</f>
        <v/>
      </c>
      <c r="H111" s="3">
        <f>MAX(0,$E111-$F111-$J111)</f>
        <v/>
      </c>
      <c r="I111" s="3" t="inlineStr">
        <is>
          <t>TCG</t>
        </is>
      </c>
      <c r="J111" s="3" t="n">
        <v>1</v>
      </c>
      <c r="K111" s="4" t="n">
        <v>0.31</v>
      </c>
      <c r="L111" s="4">
        <f>IF(AND($H111&gt;0,ISNUMBER($K111)),$H111*$K111,0)</f>
        <v/>
      </c>
      <c r="M111" s="3" t="n"/>
      <c r="N111" s="3" t="n"/>
      <c r="O111" s="3" t="n"/>
      <c r="P111" s="3" t="n"/>
      <c r="Q111" s="3" t="n">
        <v>1</v>
      </c>
      <c r="R111" s="3" t="n"/>
      <c r="S111" s="3">
        <f>IF(AND(J111&lt;&gt;"",SUM(M111:R111)=0),J111,"")</f>
        <v/>
      </c>
      <c r="T111" s="3" t="n"/>
      <c r="U111" s="3" t="n"/>
      <c r="V111" s="3" t="n"/>
      <c r="W111" s="3" t="n"/>
      <c r="X111" s="3" t="n"/>
      <c r="Y111" s="3" t="n"/>
      <c r="Z111" s="3" t="n"/>
      <c r="AA111" s="2" t="inlineStr">
        <is>
          <t>Creature</t>
        </is>
      </c>
      <c r="AB111" s="2" t="inlineStr">
        <is>
          <t>Elf Warrior</t>
        </is>
      </c>
      <c r="AC111" s="2" t="inlineStr">
        <is>
          <t>B</t>
        </is>
      </c>
      <c r="AD111" s="3" t="n">
        <v>3</v>
      </c>
      <c r="AE111" s="29" t="inlineStr">
        <is>
          <t>Commander Legends</t>
        </is>
      </c>
      <c r="AF111" s="29" t="inlineStr">
        <is>
          <t>Drain Payoff</t>
        </is>
      </c>
      <c r="AG111" s="29" t="inlineStr">
        <is>
          <t>Whenever a token you control leaves the battlefield, each opponent loses 1 life and you gain 1 life</t>
        </is>
      </c>
      <c r="AH111" s="29" t="n"/>
      <c r="AI111" s="29" t="n"/>
      <c r="AJ111" s="2" t="inlineStr">
        <is>
          <t>Ordered 2026-09-02: TCGplayer $0.28 LP from The WKGR Online</t>
        </is>
      </c>
    </row>
    <row r="112" ht="15" customHeight="1" s="79">
      <c r="A112" s="2" t="inlineStr">
        <is>
          <t>Nyx-Fleece Ram</t>
        </is>
      </c>
      <c r="B112" s="2">
        <f>IF(AND(F112&lt;&gt;0,E112=F112),"In Hand",IF(AND(E112&lt;&gt;0,E112&lt;F112,SUM(M112:R112)=0,SUM(T112:Y112)&gt;0),"Extra-Sub",IF(AND(E112=0,E112&lt;F112,SUM(M112:R112)=0,SUM(T112:Y112)&gt;0),"Bench-Sub",IF(AND(E112=0,F112&gt;0),"Bench",IF(E112&lt;F112,"Extra",IF(AND(J112="",E112&gt;F112),"To Buy",IF(SUM(J112,F112)&lt;E112,"To Buy",IF(AND(SUM(J112,F112)&gt;=E112,J112&lt;&gt;""),"Ordered",IF(AND(E112=0,F112=0,D112="B3"),"B3 Option",IF(AND(E112=0,F112=0),"Remove","To Buy"))))))))))</f>
        <v/>
      </c>
      <c r="D112" t="inlineStr">
        <is>
          <t>B2</t>
        </is>
      </c>
      <c r="E112" s="3">
        <f>SUM(M112:S112)</f>
        <v/>
      </c>
      <c r="F112" s="3">
        <f>SUM(T112:Z112)</f>
        <v/>
      </c>
      <c r="G112" s="3">
        <f>IF((F112-E112)&gt;=0,F112-E112,0)</f>
        <v/>
      </c>
      <c r="H112" s="3">
        <f>MAX(0,$E112-$F112-$J112)</f>
        <v/>
      </c>
      <c r="I112" s="37" t="inlineStr">
        <is>
          <t>TCG</t>
        </is>
      </c>
      <c r="J112" s="3" t="n">
        <v>1</v>
      </c>
      <c r="K112" s="4" t="n">
        <v>0.27</v>
      </c>
      <c r="L112" s="4">
        <f>IF(AND($H112&gt;0,ISNUMBER($K112)),$H112*$K112,0)</f>
        <v/>
      </c>
      <c r="M112" s="3" t="n"/>
      <c r="N112" s="3" t="n"/>
      <c r="O112" s="3" t="n"/>
      <c r="P112" s="3" t="n">
        <v>1</v>
      </c>
      <c r="Q112" s="3" t="n"/>
      <c r="R112" s="3" t="n"/>
      <c r="S112" s="3">
        <f>IF(AND(J112&lt;&gt;"",SUM(M112:R112)=0),J112,"")</f>
        <v/>
      </c>
      <c r="T112" s="3" t="n"/>
      <c r="U112" s="3" t="n"/>
      <c r="V112" s="3" t="n"/>
      <c r="W112" s="3" t="n"/>
      <c r="X112" s="3" t="n"/>
      <c r="Y112" s="3" t="n"/>
      <c r="Z112" s="3" t="n"/>
      <c r="AA112" s="2" t="inlineStr">
        <is>
          <t>Enchantment Creature</t>
        </is>
      </c>
      <c r="AB112" s="2" t="inlineStr">
        <is>
          <t>Sheep</t>
        </is>
      </c>
      <c r="AC112" s="2" t="inlineStr">
        <is>
          <t>W</t>
        </is>
      </c>
      <c r="AD112" s="3" t="n">
        <v>2</v>
      </c>
      <c r="AE112" s="29" t="inlineStr">
        <is>
          <t>Journey into Nyx</t>
        </is>
      </c>
      <c r="AF112" s="29" t="inlineStr">
        <is>
          <t>Lifegain</t>
        </is>
      </c>
      <c r="AG112" s="29" t="inlineStr">
        <is>
          <t>Gains 1 life each upkeep</t>
        </is>
      </c>
      <c r="AH112" s="29" t="n"/>
      <c r="AI112" s="29" t="n"/>
      <c r="AJ112" s="2" t="n"/>
    </row>
    <row r="113" ht="15" customHeight="1" s="79">
      <c r="A113" s="2" t="inlineStr">
        <is>
          <t>Odric, Lunarch Marshal</t>
        </is>
      </c>
      <c r="B113" s="2">
        <f>IF(AND(F113&lt;&gt;0,E113=F113),"In Hand",IF(AND(E113&lt;&gt;0,E113&lt;F113,SUM(M113:R113)=0,SUM(T113:Y113)&gt;0),"Extra-Sub",IF(AND(E113=0,E113&lt;F113,SUM(M113:R113)=0,SUM(T113:Y113)&gt;0),"Bench-Sub",IF(AND(E113=0,F113&gt;0),"Bench",IF(E113&lt;F113,"Extra",IF(AND(J113="",E113&gt;F113),"To Buy",IF(SUM(J113,F113)&lt;E113,"To Buy",IF(AND(SUM(J113,F113)&gt;=E113,J113&lt;&gt;""),"Ordered",IF(AND(E113=0,F113=0,D113="B3"),"B3 Option",IF(AND(E113=0,F113=0),"Remove","To Buy"))))))))))</f>
        <v/>
      </c>
      <c r="D113" t="inlineStr">
        <is>
          <t>B2</t>
        </is>
      </c>
      <c r="E113" s="3">
        <f>SUM(M113:S113)</f>
        <v/>
      </c>
      <c r="F113" s="3">
        <f>SUM(T113:Z113)</f>
        <v/>
      </c>
      <c r="G113" s="3">
        <f>IF((F113-E113)&gt;=0,F113-E113,0)</f>
        <v/>
      </c>
      <c r="H113" s="3">
        <f>MAX(0,$E113-$F113-$J113)</f>
        <v/>
      </c>
      <c r="I113" s="37" t="inlineStr">
        <is>
          <t>TCG</t>
        </is>
      </c>
      <c r="J113" s="3" t="n">
        <v>1</v>
      </c>
      <c r="K113" s="4" t="n">
        <v>1.03</v>
      </c>
      <c r="L113" s="4">
        <f>IF(AND($H113&gt;0,ISNUMBER($K113)),$H113*$K113,0)</f>
        <v/>
      </c>
      <c r="M113" s="3" t="n"/>
      <c r="N113" s="3" t="n"/>
      <c r="O113" s="3" t="n"/>
      <c r="P113" s="3" t="n"/>
      <c r="Q113" s="3" t="n">
        <v>1</v>
      </c>
      <c r="R113" s="3" t="n"/>
      <c r="S113" s="3">
        <f>IF(AND(J113&lt;&gt;"",SUM(M113:R113)=0),J113,"")</f>
        <v/>
      </c>
      <c r="T113" s="3" t="n"/>
      <c r="U113" s="3" t="n"/>
      <c r="V113" s="3" t="n"/>
      <c r="W113" s="3" t="n"/>
      <c r="X113" s="3" t="n"/>
      <c r="Y113" s="3" t="n"/>
      <c r="Z113" s="3" t="n"/>
      <c r="AA113" s="2" t="inlineStr">
        <is>
          <t>Legendary Creature</t>
        </is>
      </c>
      <c r="AB113" s="2" t="inlineStr">
        <is>
          <t>Human Soldier</t>
        </is>
      </c>
      <c r="AC113" s="2" t="inlineStr">
        <is>
          <t>W</t>
        </is>
      </c>
      <c r="AD113" s="3" t="n">
        <v>4</v>
      </c>
      <c r="AE113" s="29" t="inlineStr">
        <is>
          <t>Shadows over Innistrad</t>
        </is>
      </c>
      <c r="AF113" s="29" t="inlineStr">
        <is>
          <t>Utility Creature</t>
        </is>
      </c>
      <c r="AG113" s="29" t="inlineStr">
        <is>
          <t>Shares first strike, flying, deathtouch and other keywords among your creatures</t>
        </is>
      </c>
      <c r="AH113" s="29" t="n"/>
      <c r="AI113" s="29" t="n"/>
      <c r="AJ113" s="2" t="n"/>
    </row>
    <row r="114" ht="15" customHeight="1" s="79">
      <c r="A114" s="2" t="inlineStr">
        <is>
          <t>Ogre Battledriver</t>
        </is>
      </c>
      <c r="B114" s="2">
        <f>IF(AND(F114&lt;&gt;0,E114=F114),"In Hand",IF(AND(E114&lt;&gt;0,E114&lt;F114,SUM(M114:R114)=0,SUM(T114:Y114)&gt;0),"Extra-Sub",IF(AND(E114=0,E114&lt;F114,SUM(M114:R114)=0,SUM(T114:Y114)&gt;0),"Bench-Sub",IF(AND(E114=0,F114&gt;0),"Bench",IF(E114&lt;F114,"Extra",IF(AND(J114="",E114&gt;F114),"To Buy",IF(SUM(J114,F114)&lt;E114,"To Buy",IF(AND(SUM(J114,F114)&gt;=E114,J114&lt;&gt;""),"Ordered",IF(AND(E114=0,F114=0,D114="B3"),"B3 Option",IF(AND(E114=0,F114=0),"Remove","To Buy"))))))))))</f>
        <v/>
      </c>
      <c r="D114" t="inlineStr">
        <is>
          <t>B2</t>
        </is>
      </c>
      <c r="E114" s="3">
        <f>SUM(M114:S114)</f>
        <v/>
      </c>
      <c r="F114" s="3">
        <f>SUM(T114:Z114)</f>
        <v/>
      </c>
      <c r="G114" s="3">
        <f>IF((F114-E114)&gt;=0,F114-E114,0)</f>
        <v/>
      </c>
      <c r="H114" s="3">
        <f>MAX(0,$E114-$F114-$J114)</f>
        <v/>
      </c>
      <c r="I114" s="3" t="inlineStr">
        <is>
          <t>TCG</t>
        </is>
      </c>
      <c r="J114" s="3" t="n">
        <v>1</v>
      </c>
      <c r="K114" s="4" t="n">
        <v>0.35</v>
      </c>
      <c r="L114" s="4">
        <f>IF(AND($H114&gt;0,ISNUMBER($K114)),$H114*$K114,0)</f>
        <v/>
      </c>
      <c r="M114" s="3" t="n"/>
      <c r="N114" s="3" t="n"/>
      <c r="O114" s="3" t="n"/>
      <c r="P114" s="3" t="n"/>
      <c r="Q114" s="3" t="n"/>
      <c r="R114" s="3" t="n">
        <v>1</v>
      </c>
      <c r="S114" s="3">
        <f>IF(AND(J114&lt;&gt;"",SUM(M114:R114)=0),J114,"")</f>
        <v/>
      </c>
      <c r="T114" s="3" t="n"/>
      <c r="U114" s="3" t="n"/>
      <c r="V114" s="3" t="n"/>
      <c r="W114" s="3" t="n"/>
      <c r="X114" s="3" t="n"/>
      <c r="Y114" s="3" t="n"/>
      <c r="Z114" s="3" t="n"/>
      <c r="AA114" s="2" t="inlineStr">
        <is>
          <t>Creature</t>
        </is>
      </c>
      <c r="AB114" s="2" t="inlineStr">
        <is>
          <t>Ogre Warrior</t>
        </is>
      </c>
      <c r="AC114" s="2" t="inlineStr">
        <is>
          <t>R</t>
        </is>
      </c>
      <c r="AD114" s="3" t="n">
        <v>4</v>
      </c>
      <c r="AE114" s="29" t="inlineStr">
        <is>
          <t>Magic 2014</t>
        </is>
      </c>
      <c r="AF114" s="29" t="inlineStr">
        <is>
          <t>Haste Enabler</t>
        </is>
      </c>
      <c r="AG114" s="29" t="inlineStr">
        <is>
          <t>Other creatures get +2/+0 and haste when they enter</t>
        </is>
      </c>
      <c r="AH114" s="29" t="n"/>
      <c r="AI114" s="29" t="n"/>
      <c r="AJ114" s="2" t="inlineStr">
        <is>
          <t>Ordered 2026-09-02: TCGplayer $0.33 NM from NostalgiAtog</t>
        </is>
      </c>
    </row>
    <row r="115" ht="15" customHeight="1" s="79">
      <c r="A115" s="2" t="inlineStr">
        <is>
          <t>Orzhov Basilica</t>
        </is>
      </c>
      <c r="B115" s="2">
        <f>IF(AND(F115&lt;&gt;0,E115=F115),"In Hand",IF(AND(E115&lt;&gt;0,E115&lt;F115,SUM(M115:R115)=0,SUM(T115:Y115)&gt;0),"Extra-Sub",IF(AND(E115=0,E115&lt;F115,SUM(M115:R115)=0,SUM(T115:Y115)&gt;0),"Bench-Sub",IF(AND(E115=0,F115&gt;0),"Bench",IF(E115&lt;F115,"Extra",IF(AND(J115="",E115&gt;F115),"To Buy",IF(SUM(J115,F115)&lt;E115,"To Buy",IF(AND(SUM(J115,F115)&gt;=E115,J115&lt;&gt;""),"Ordered",IF(AND(E115=0,F115=0,D115="B3"),"B3 Option",IF(AND(E115=0,F115=0),"Remove","To Buy"))))))))))</f>
        <v/>
      </c>
      <c r="D115" t="inlineStr">
        <is>
          <t>B2</t>
        </is>
      </c>
      <c r="E115" s="3">
        <f>SUM(M115:S115)</f>
        <v/>
      </c>
      <c r="F115" s="3">
        <f>SUM(T115:Z115)</f>
        <v/>
      </c>
      <c r="G115" s="3">
        <f>IF((F115-E115)&gt;=0,F115-E115,0)</f>
        <v/>
      </c>
      <c r="H115" s="3">
        <f>MAX(0,$E115-$F115-$J115)</f>
        <v/>
      </c>
      <c r="I115" s="37" t="inlineStr">
        <is>
          <t>TCG</t>
        </is>
      </c>
      <c r="J115" s="3" t="n">
        <v>1</v>
      </c>
      <c r="K115" s="4" t="n">
        <v>0.27</v>
      </c>
      <c r="L115" s="4">
        <f>IF(AND($H115&gt;0,ISNUMBER($K115)),$H115*$K115,0)</f>
        <v/>
      </c>
      <c r="M115" s="3" t="n"/>
      <c r="N115" s="3" t="n"/>
      <c r="O115" s="3" t="n"/>
      <c r="P115" s="3" t="n"/>
      <c r="Q115" s="3" t="n">
        <v>1</v>
      </c>
      <c r="R115" s="3" t="n"/>
      <c r="S115" s="3">
        <f>IF(AND(J115&lt;&gt;"",SUM(M115:R115)=0),J115,"")</f>
        <v/>
      </c>
      <c r="T115" s="3" t="n"/>
      <c r="U115" s="3" t="n"/>
      <c r="V115" s="3" t="n"/>
      <c r="W115" s="3" t="n"/>
      <c r="X115" s="3" t="n"/>
      <c r="Y115" s="3" t="n"/>
      <c r="Z115" s="3" t="n"/>
      <c r="AA115" s="2" t="inlineStr">
        <is>
          <t>Land</t>
        </is>
      </c>
      <c r="AB115" s="2" t="n"/>
      <c r="AC115" s="2" t="inlineStr">
        <is>
          <t>L</t>
        </is>
      </c>
      <c r="AD115" s="3" t="n">
        <v>0</v>
      </c>
      <c r="AE115" s="29" t="inlineStr">
        <is>
          <t>Guildpact</t>
        </is>
      </c>
      <c r="AF115" s="29" t="inlineStr">
        <is>
          <t>Land</t>
        </is>
      </c>
      <c r="AG115" s="29" t="inlineStr">
        <is>
          <t>Taps for {W}{B}</t>
        </is>
      </c>
      <c r="AH115" s="29" t="inlineStr">
        <is>
          <t>Enters tapped; bounces a land you control when it enters</t>
        </is>
      </c>
      <c r="AI115" s="29" t="n"/>
      <c r="AJ115" s="2" t="n"/>
    </row>
    <row r="116" ht="15" customHeight="1" s="79">
      <c r="A116" s="2" t="inlineStr">
        <is>
          <t>Ossification</t>
        </is>
      </c>
      <c r="B116" s="2">
        <f>IF(AND(F116&lt;&gt;0,E116=F116),"In Hand",IF(AND(E116&lt;&gt;0,E116&lt;F116,SUM(M116:R116)=0,SUM(T116:Y116)&gt;0),"Extra-Sub",IF(AND(E116=0,E116&lt;F116,SUM(M116:R116)=0,SUM(T116:Y116)&gt;0),"Bench-Sub",IF(AND(E116=0,F116&gt;0),"Bench",IF(E116&lt;F116,"Extra",IF(AND(J116="",E116&gt;F116),"To Buy",IF(SUM(J116,F116)&lt;E116,"To Buy",IF(AND(SUM(J116,F116)&gt;=E116,J116&lt;&gt;""),"Ordered",IF(AND(E116=0,F116=0,D116="B3"),"B3 Option",IF(AND(E116=0,F116=0),"Remove","To Buy"))))))))))</f>
        <v/>
      </c>
      <c r="D116" t="inlineStr">
        <is>
          <t>B3</t>
        </is>
      </c>
      <c r="E116" s="3">
        <f>SUM(M116:S116)</f>
        <v/>
      </c>
      <c r="F116" s="3">
        <f>SUM(T116:Z116)</f>
        <v/>
      </c>
      <c r="G116" s="3">
        <f>IF((F116-E116)&gt;=0,F116-E116,0)</f>
        <v/>
      </c>
      <c r="H116" s="3">
        <f>MAX(0,$E116-$F116-$J116)</f>
        <v/>
      </c>
      <c r="I116" s="3" t="inlineStr">
        <is>
          <t>TCG</t>
        </is>
      </c>
      <c r="J116" s="3" t="n">
        <v>1</v>
      </c>
      <c r="K116" s="4" t="n">
        <v>0.34</v>
      </c>
      <c r="L116" s="4">
        <f>IF(AND($H116&gt;0,ISNUMBER($K116)),$H116*$K116,0)</f>
        <v/>
      </c>
      <c r="M116" s="3" t="n"/>
      <c r="N116" s="3" t="n"/>
      <c r="O116" s="3" t="n"/>
      <c r="P116" s="3" t="n"/>
      <c r="Q116" s="3" t="n">
        <v>1</v>
      </c>
      <c r="R116" s="3" t="n"/>
      <c r="S116" s="3">
        <f>IF(AND(J116&lt;&gt;"",SUM(M116:R116)=0),J116,"")</f>
        <v/>
      </c>
      <c r="T116" s="3" t="n"/>
      <c r="U116" s="3" t="n"/>
      <c r="V116" s="3" t="n"/>
      <c r="W116" s="3" t="n"/>
      <c r="X116" s="3" t="n"/>
      <c r="Y116" s="3" t="n"/>
      <c r="Z116" s="3" t="n"/>
      <c r="AA116" s="2" t="inlineStr">
        <is>
          <t>Enchantment</t>
        </is>
      </c>
      <c r="AB116" s="2" t="inlineStr">
        <is>
          <t>Aura</t>
        </is>
      </c>
      <c r="AC116" s="2" t="inlineStr">
        <is>
          <t>W</t>
        </is>
      </c>
      <c r="AD116" s="3" t="n">
        <v>2</v>
      </c>
      <c r="AE116" s="29" t="inlineStr">
        <is>
          <t>Phyrexia: All Will Be One</t>
        </is>
      </c>
      <c r="AF116" s="29" t="inlineStr">
        <is>
          <t>Removal</t>
        </is>
      </c>
      <c r="AG116" s="29" t="inlineStr">
        <is>
          <t>Exiles target creature or planeswalker (enchants a basic land you control)</t>
        </is>
      </c>
      <c r="AH116" s="29" t="n"/>
      <c r="AI116" s="29" t="n"/>
      <c r="AJ116" s="2" t="inlineStr">
        <is>
          <t>D5/D6 Tuned upgrade bought in place of Costly Plunder (2026-09-02); Ordered 2026-09-02: TCGplayer $0.25 LP from The WKGR Online</t>
        </is>
      </c>
    </row>
    <row r="117" ht="15" customHeight="1" s="79">
      <c r="A117" s="2" t="inlineStr">
        <is>
          <t>Outpost Siege</t>
        </is>
      </c>
      <c r="B117" s="2">
        <f>IF(AND(F117&lt;&gt;0,E117=F117),"In Hand",IF(AND(E117&lt;&gt;0,E117&lt;F117,SUM(M117:R117)=0,SUM(T117:Y117)&gt;0),"Extra-Sub",IF(AND(E117=0,E117&lt;F117,SUM(M117:R117)=0,SUM(T117:Y117)&gt;0),"Bench-Sub",IF(AND(E117=0,F117&gt;0),"Bench",IF(E117&lt;F117,"Extra",IF(AND(J117="",E117&gt;F117),"To Buy",IF(SUM(J117,F117)&lt;E117,"To Buy",IF(AND(SUM(J117,F117)&gt;=E117,J117&lt;&gt;""),"Ordered",IF(AND(E117=0,F117=0,D117="B3"),"B3 Option",IF(AND(E117=0,F117=0),"Remove","To Buy"))))))))))</f>
        <v/>
      </c>
      <c r="D117" t="inlineStr">
        <is>
          <t>B2</t>
        </is>
      </c>
      <c r="E117" s="3">
        <f>SUM(M117:S117)</f>
        <v/>
      </c>
      <c r="F117" s="3">
        <f>SUM(T117:Z117)</f>
        <v/>
      </c>
      <c r="G117" s="3">
        <f>IF((F117-E117)&gt;=0,F117-E117,0)</f>
        <v/>
      </c>
      <c r="H117" s="3">
        <f>MAX(0,$E117-$F117-$J117)</f>
        <v/>
      </c>
      <c r="I117" s="3" t="inlineStr">
        <is>
          <t>TCG</t>
        </is>
      </c>
      <c r="J117" s="3" t="n">
        <v>1</v>
      </c>
      <c r="K117" s="4" t="n">
        <v>0.28</v>
      </c>
      <c r="L117" s="4">
        <f>IF(AND($H117&gt;0,ISNUMBER($K117)),$H117*$K117,0)</f>
        <v/>
      </c>
      <c r="M117" s="3" t="n"/>
      <c r="N117" s="3" t="n"/>
      <c r="O117" s="3" t="n"/>
      <c r="P117" s="3" t="n"/>
      <c r="Q117" s="3" t="n"/>
      <c r="R117" s="3" t="n">
        <v>1</v>
      </c>
      <c r="S117" s="3">
        <f>IF(AND(J117&lt;&gt;"",SUM(M117:R117)=0),J117,"")</f>
        <v/>
      </c>
      <c r="T117" s="3" t="n"/>
      <c r="U117" s="3" t="n"/>
      <c r="V117" s="3" t="n"/>
      <c r="W117" s="3" t="n"/>
      <c r="X117" s="3" t="n"/>
      <c r="Y117" s="3" t="n"/>
      <c r="Z117" s="3" t="n"/>
      <c r="AA117" s="2" t="inlineStr">
        <is>
          <t>Enchantment</t>
        </is>
      </c>
      <c r="AB117" s="2" t="n"/>
      <c r="AC117" s="2" t="inlineStr">
        <is>
          <t>R</t>
        </is>
      </c>
      <c r="AD117" s="3" t="n">
        <v>4</v>
      </c>
      <c r="AE117" s="29" t="inlineStr">
        <is>
          <t>Fate Reforged</t>
        </is>
      </c>
      <c r="AF117" s="29" t="inlineStr">
        <is>
          <t>Card Advantage</t>
        </is>
      </c>
      <c r="AG117" s="29" t="inlineStr">
        <is>
          <t>Choose a mode as it enters</t>
        </is>
      </c>
      <c r="AH117" s="29" t="inlineStr">
        <is>
          <t>Khans: each upkeep, exile top card and may play it this turn</t>
        </is>
      </c>
      <c r="AI117" s="29" t="inlineStr">
        <is>
          <t>Dragons: whenever a creature you control leaves the battlefield, deals 1 damage to any target</t>
        </is>
      </c>
      <c r="AJ117" s="2" t="inlineStr">
        <is>
          <t>Ordered 2026-09-02: TCGplayer $0.24 LP from The WKGR Online</t>
        </is>
      </c>
    </row>
    <row r="118" ht="15" customHeight="1" s="79">
      <c r="A118" s="2" t="inlineStr">
        <is>
          <t>Peregrine Drake</t>
        </is>
      </c>
      <c r="B118" s="2">
        <f>IF(AND(F118&lt;&gt;0,E118=F118),"In Hand",IF(AND(E118&lt;&gt;0,E118&lt;F118,SUM(M118:R118)=0,SUM(T118:Y118)&gt;0),"Extra-Sub",IF(AND(E118=0,E118&lt;F118,SUM(M118:R118)=0,SUM(T118:Y118)&gt;0),"Bench-Sub",IF(AND(E118=0,F118&gt;0),"Bench",IF(E118&lt;F118,"Extra",IF(AND(J118="",E118&gt;F118),"To Buy",IF(SUM(J118,F118)&lt;E118,"To Buy",IF(AND(SUM(J118,F118)&gt;=E118,J118&lt;&gt;""),"Ordered",IF(AND(E118=0,F118=0,D118="B3"),"B3 Option",IF(AND(E118=0,F118=0),"Remove","To Buy"))))))))))</f>
        <v/>
      </c>
      <c r="D118" t="inlineStr">
        <is>
          <t>B2</t>
        </is>
      </c>
      <c r="E118" s="3">
        <f>SUM(M118:S118)</f>
        <v/>
      </c>
      <c r="F118" s="3">
        <f>SUM(T118:Z118)</f>
        <v/>
      </c>
      <c r="G118" s="3">
        <f>IF((F118-E118)&gt;=0,F118-E118,0)</f>
        <v/>
      </c>
      <c r="H118" s="3">
        <f>MAX(0,$E118-$F118-$J118)</f>
        <v/>
      </c>
      <c r="I118" s="3" t="inlineStr">
        <is>
          <t>TCG</t>
        </is>
      </c>
      <c r="J118" s="3" t="n">
        <v>1</v>
      </c>
      <c r="K118" s="4" t="n">
        <v>0.27</v>
      </c>
      <c r="L118" s="4">
        <f>IF(AND($H118&gt;0,ISNUMBER($K118)),$H118*$K118,0)</f>
        <v/>
      </c>
      <c r="M118" s="3" t="n"/>
      <c r="N118" s="3" t="n">
        <v>1</v>
      </c>
      <c r="O118" s="3" t="n"/>
      <c r="P118" s="3" t="n"/>
      <c r="Q118" s="3" t="n"/>
      <c r="R118" s="3" t="n"/>
      <c r="S118" s="3">
        <f>IF(AND(J118&lt;&gt;"",SUM(M118:R118)=0),J118,"")</f>
        <v/>
      </c>
      <c r="T118" s="3" t="n"/>
      <c r="U118" s="3" t="n"/>
      <c r="V118" s="3" t="n"/>
      <c r="W118" s="3" t="n"/>
      <c r="X118" s="3" t="n"/>
      <c r="Y118" s="3" t="n"/>
      <c r="Z118" s="3" t="n"/>
      <c r="AA118" s="2" t="inlineStr">
        <is>
          <t>Creature</t>
        </is>
      </c>
      <c r="AB118" s="2" t="inlineStr">
        <is>
          <t>Drake</t>
        </is>
      </c>
      <c r="AC118" s="2" t="inlineStr">
        <is>
          <t>U</t>
        </is>
      </c>
      <c r="AD118" s="3" t="n">
        <v>5</v>
      </c>
      <c r="AE118" s="29" t="inlineStr">
        <is>
          <t>Urza's Saga</t>
        </is>
      </c>
      <c r="AF118" s="29" t="inlineStr">
        <is>
          <t>Ramp</t>
        </is>
      </c>
      <c r="AG118" s="29" t="inlineStr">
        <is>
          <t>Untaps up to five lands when it enters</t>
        </is>
      </c>
      <c r="AH118" s="29" t="inlineStr">
        <is>
          <t>Flying body</t>
        </is>
      </c>
      <c r="AI118" s="29" t="n"/>
      <c r="AJ118" s="2" t="inlineStr">
        <is>
          <t>Tuned add; untaps 5 lands on every ETB/replay; Ordered 2026-09-02: TCGplayer $0.44 LP from The WKGR Online</t>
        </is>
      </c>
    </row>
    <row r="119" ht="15" customHeight="1" s="79">
      <c r="A119" s="2" t="inlineStr">
        <is>
          <t>Promise of Loyalty</t>
        </is>
      </c>
      <c r="B119" s="2">
        <f>IF(AND(F119&lt;&gt;0,E119=F119),"In Hand",IF(AND(E119&lt;&gt;0,E119&lt;F119,SUM(M119:R119)=0,SUM(T119:Y119)&gt;0),"Extra-Sub",IF(AND(E119=0,E119&lt;F119,SUM(M119:R119)=0,SUM(T119:Y119)&gt;0),"Bench-Sub",IF(AND(E119=0,F119&gt;0),"Bench",IF(E119&lt;F119,"Extra",IF(AND(J119="",E119&gt;F119),"To Buy",IF(SUM(J119,F119)&lt;E119,"To Buy",IF(AND(SUM(J119,F119)&gt;=E119,J119&lt;&gt;""),"Ordered",IF(AND(E119=0,F119=0,D119="B3"),"B3 Option",IF(AND(E119=0,F119=0),"Remove","To Buy"))))))))))</f>
        <v/>
      </c>
      <c r="D119" t="inlineStr">
        <is>
          <t>B2</t>
        </is>
      </c>
      <c r="E119" s="3">
        <f>SUM(M119:S119)</f>
        <v/>
      </c>
      <c r="F119" s="3">
        <f>SUM(T119:Z119)</f>
        <v/>
      </c>
      <c r="G119" s="3">
        <f>IF((F119-E119)&gt;=0,F119-E119,0)</f>
        <v/>
      </c>
      <c r="H119" s="3">
        <f>MAX(0,$E119-$F119-$J119)</f>
        <v/>
      </c>
      <c r="I119" s="3" t="inlineStr">
        <is>
          <t>TCG</t>
        </is>
      </c>
      <c r="J119" s="3" t="n">
        <v>1</v>
      </c>
      <c r="K119" s="4" t="n">
        <v>0.22</v>
      </c>
      <c r="L119" s="4">
        <f>IF(AND($H119&gt;0,ISNUMBER($K119)),$H119*$K119,0)</f>
        <v/>
      </c>
      <c r="M119" s="3" t="n"/>
      <c r="N119" s="3" t="n"/>
      <c r="O119" s="3" t="n"/>
      <c r="P119" s="3" t="n"/>
      <c r="Q119" s="3" t="n">
        <v>1</v>
      </c>
      <c r="R119" s="3" t="n"/>
      <c r="S119" s="3">
        <f>IF(AND(J119&lt;&gt;"",SUM(M119:R119)=0),J119,"")</f>
        <v/>
      </c>
      <c r="T119" s="3" t="n"/>
      <c r="U119" s="3" t="n"/>
      <c r="V119" s="3" t="n"/>
      <c r="W119" s="3" t="n"/>
      <c r="X119" s="3" t="n"/>
      <c r="Y119" s="3" t="n"/>
      <c r="Z119" s="3" t="n"/>
      <c r="AA119" s="2" t="inlineStr">
        <is>
          <t>Sorcery</t>
        </is>
      </c>
      <c r="AB119" s="2" t="n"/>
      <c r="AC119" s="2" t="inlineStr">
        <is>
          <t>W</t>
        </is>
      </c>
      <c r="AD119" s="3" t="n">
        <v>5</v>
      </c>
      <c r="AE119" s="29" t="inlineStr">
        <is>
          <t>Commander 2021</t>
        </is>
      </c>
      <c r="AF119" s="29" t="inlineStr">
        <is>
          <t>Board Wipe</t>
        </is>
      </c>
      <c r="AG119" s="29" t="inlineStr">
        <is>
          <t>Each player sacrifices all but one of their creatures</t>
        </is>
      </c>
      <c r="AH119" s="29" t="inlineStr">
        <is>
          <t>The kept creature can't attack you or your planeswalkers while marked</t>
        </is>
      </c>
      <c r="AI119" s="29" t="n"/>
      <c r="AJ119" s="2" t="inlineStr">
        <is>
          <t>Ordered 2026-09-02: TCGplayer $0.31 NM from NostalgiAtog</t>
        </is>
      </c>
    </row>
    <row r="120" ht="15" customHeight="1" s="79">
      <c r="A120" s="2" t="inlineStr">
        <is>
          <t>Quest for the Goblin Lord</t>
        </is>
      </c>
      <c r="B120" s="2">
        <f>IF(AND(F120&lt;&gt;0,E120=F120),"In Hand",IF(AND(E120&lt;&gt;0,E120&lt;F120,SUM(M120:R120)=0,SUM(T120:Y120)&gt;0),"Extra-Sub",IF(AND(E120=0,E120&lt;F120,SUM(M120:R120)=0,SUM(T120:Y120)&gt;0),"Bench-Sub",IF(AND(E120=0,F120&gt;0),"Bench",IF(E120&lt;F120,"Extra",IF(AND(J120="",E120&gt;F120),"To Buy",IF(SUM(J120,F120)&lt;E120,"To Buy",IF(AND(SUM(J120,F120)&gt;=E120,J120&lt;&gt;""),"Ordered",IF(AND(E120=0,F120=0,D120="B3"),"B3 Option",IF(AND(E120=0,F120=0),"Remove","To Buy"))))))))))</f>
        <v/>
      </c>
      <c r="D120" t="inlineStr">
        <is>
          <t>B2</t>
        </is>
      </c>
      <c r="E120" s="3">
        <f>SUM(M120:S120)</f>
        <v/>
      </c>
      <c r="F120" s="3">
        <f>SUM(T120:Z120)</f>
        <v/>
      </c>
      <c r="G120" s="3">
        <f>IF((F120-E120)&gt;=0,F120-E120,0)</f>
        <v/>
      </c>
      <c r="H120" s="3">
        <f>MAX(0,$E120-$F120-$J120)</f>
        <v/>
      </c>
      <c r="I120" s="3" t="inlineStr">
        <is>
          <t>TCG</t>
        </is>
      </c>
      <c r="J120" s="3" t="n">
        <v>1</v>
      </c>
      <c r="K120" s="4" t="n">
        <v>1.84</v>
      </c>
      <c r="L120" s="4">
        <f>IF(AND($H120&gt;0,ISNUMBER($K120)),$H120*$K120,0)</f>
        <v/>
      </c>
      <c r="M120" s="3" t="n"/>
      <c r="N120" s="3" t="n"/>
      <c r="O120" s="3" t="n"/>
      <c r="P120" s="3" t="n"/>
      <c r="Q120" s="3" t="n"/>
      <c r="R120" s="3" t="n">
        <v>1</v>
      </c>
      <c r="S120" s="3">
        <f>IF(AND(J120&lt;&gt;"",SUM(M120:R120)=0),J120,"")</f>
        <v/>
      </c>
      <c r="T120" s="3" t="n"/>
      <c r="U120" s="3" t="n"/>
      <c r="V120" s="3" t="n"/>
      <c r="W120" s="3" t="n"/>
      <c r="X120" s="3" t="n"/>
      <c r="Y120" s="3" t="n"/>
      <c r="Z120" s="3" t="n"/>
      <c r="AA120" s="2" t="inlineStr">
        <is>
          <t>Enchantment</t>
        </is>
      </c>
      <c r="AB120" s="2" t="n"/>
      <c r="AC120" s="2" t="inlineStr">
        <is>
          <t>R</t>
        </is>
      </c>
      <c r="AD120" s="3" t="n">
        <v>1</v>
      </c>
      <c r="AE120" s="29" t="inlineStr">
        <is>
          <t>Worldwake</t>
        </is>
      </c>
      <c r="AF120" s="29" t="inlineStr">
        <is>
          <t>Lord/Anthem</t>
        </is>
      </c>
      <c r="AG120" s="29" t="inlineStr">
        <is>
          <t>Gains a quest counter whenever a Goblin you control enters</t>
        </is>
      </c>
      <c r="AH120" s="29" t="inlineStr">
        <is>
          <t>At five or more counters, your creatures get +2/+0</t>
        </is>
      </c>
      <c r="AI120" s="29" t="n"/>
      <c r="AJ120" s="2" t="inlineStr">
        <is>
          <t>Ordered 2026-09-02: TCGplayer $1.49 LP from The Next Level Games</t>
        </is>
      </c>
    </row>
    <row r="121" ht="15" customHeight="1" s="79">
      <c r="A121" s="2" t="inlineStr">
        <is>
          <t>Quintorius Kand</t>
        </is>
      </c>
      <c r="B121" s="2">
        <f>IF(AND(F121&lt;&gt;0,E121=F121),"In Hand",IF(AND(E121&lt;&gt;0,E121&lt;F121,SUM(M121:R121)=0,SUM(T121:Y121)&gt;0),"Extra-Sub",IF(AND(E121=0,E121&lt;F121,SUM(M121:R121)=0,SUM(T121:Y121)&gt;0),"Bench-Sub",IF(AND(E121=0,F121&gt;0),"Bench",IF(E121&lt;F121,"Extra",IF(AND(J121="",E121&gt;F121),"To Buy",IF(SUM(J121,F121)&lt;E121,"To Buy",IF(AND(SUM(J121,F121)&gt;=E121,J121&lt;&gt;""),"Ordered",IF(AND(E121=0,F121=0,D121="B3"),"B3 Option",IF(AND(E121=0,F121=0),"Remove","To Buy"))))))))))</f>
        <v/>
      </c>
      <c r="D121" t="inlineStr">
        <is>
          <t>B2</t>
        </is>
      </c>
      <c r="E121" s="3">
        <f>SUM(M121:S121)</f>
        <v/>
      </c>
      <c r="F121" s="3">
        <f>SUM(T121:Z121)</f>
        <v/>
      </c>
      <c r="G121" s="3">
        <f>IF((F121-E121)&gt;=0,F121-E121,0)</f>
        <v/>
      </c>
      <c r="H121" s="3">
        <f>MAX(0,$E121-$F121-$J121)</f>
        <v/>
      </c>
      <c r="I121" s="3" t="inlineStr">
        <is>
          <t>TCG</t>
        </is>
      </c>
      <c r="J121" s="3" t="n">
        <v>1</v>
      </c>
      <c r="K121" s="4" t="n">
        <v>1.99</v>
      </c>
      <c r="L121" s="4">
        <f>IF(AND($H121&gt;0,ISNUMBER($K121)),$H121*$K121,0)</f>
        <v/>
      </c>
      <c r="M121" s="3" t="n">
        <v>1</v>
      </c>
      <c r="N121" s="3" t="n"/>
      <c r="O121" s="3" t="n"/>
      <c r="P121" s="3" t="n"/>
      <c r="Q121" s="3" t="n"/>
      <c r="R121" s="3" t="n"/>
      <c r="S121" s="3">
        <f>IF(AND(J121&lt;&gt;"",SUM(M121:R121)=0),J121,"")</f>
        <v/>
      </c>
      <c r="T121" s="3" t="n"/>
      <c r="U121" s="3" t="n"/>
      <c r="V121" s="3" t="n"/>
      <c r="W121" s="3" t="n"/>
      <c r="X121" s="3" t="n"/>
      <c r="Y121" s="3" t="n"/>
      <c r="Z121" s="3" t="n"/>
      <c r="AA121" s="2" t="inlineStr">
        <is>
          <t>Legendary Planeswalker</t>
        </is>
      </c>
      <c r="AB121" s="2" t="inlineStr">
        <is>
          <t>Quintorius</t>
        </is>
      </c>
      <c r="AC121" s="2" t="inlineStr">
        <is>
          <t>Multi</t>
        </is>
      </c>
      <c r="AD121" s="3" t="n">
        <v>5</v>
      </c>
      <c r="AE121" s="29" t="inlineStr">
        <is>
          <t>The Lost Caverns of Ixalan</t>
        </is>
      </c>
      <c r="AF121" s="29" t="inlineStr">
        <is>
          <t>Commander</t>
        </is>
      </c>
      <c r="AG121" s="29" t="inlineStr">
        <is>
          <t>Casting spells from exile deals 2 damage to each opponent and gains you 2 life</t>
        </is>
      </c>
      <c r="AH121" s="29" t="inlineStr">
        <is>
          <t>+1: create a 3/2 Spirit token</t>
        </is>
      </c>
      <c r="AI121" s="29" t="inlineStr">
        <is>
          <t>-3: Discover 4 (exile cards until a nonland MV 4 or less appears, cast or hand it free)</t>
        </is>
      </c>
      <c r="AJ121" s="2" t="inlineStr">
        <is>
          <t>Tuned add; Ordered 2026-09-02: TCGplayer $2.14 NM from Harb's Cards</t>
        </is>
      </c>
    </row>
    <row r="122" ht="15" customHeight="1" s="79">
      <c r="A122" s="2" t="inlineStr">
        <is>
          <t>Radiant Grove</t>
        </is>
      </c>
      <c r="B122" s="2">
        <f>IF(AND(F122&lt;&gt;0,E122=F122),"In Hand",IF(AND(E122&lt;&gt;0,E122&lt;F122,SUM(M122:R122)=0,SUM(T122:Y122)&gt;0),"Extra-Sub",IF(AND(E122=0,E122&lt;F122,SUM(M122:R122)=0,SUM(T122:Y122)&gt;0),"Bench-Sub",IF(AND(E122=0,F122&gt;0),"Bench",IF(E122&lt;F122,"Extra",IF(AND(J122="",E122&gt;F122),"To Buy",IF(SUM(J122,F122)&lt;E122,"To Buy",IF(AND(SUM(J122,F122)&gt;=E122,J122&lt;&gt;""),"Ordered",IF(AND(E122=0,F122=0,D122="B3"),"B3 Option",IF(AND(E122=0,F122=0),"Remove","To Buy"))))))))))</f>
        <v/>
      </c>
      <c r="D122" t="inlineStr">
        <is>
          <t>B2</t>
        </is>
      </c>
      <c r="E122" s="3">
        <f>SUM(M122:S122)</f>
        <v/>
      </c>
      <c r="F122" s="3">
        <f>SUM(T122:Z122)</f>
        <v/>
      </c>
      <c r="G122" s="3">
        <f>IF((F122-E122)&gt;=0,F122-E122,0)</f>
        <v/>
      </c>
      <c r="H122" s="3">
        <f>MAX(0,$E122-$F122-$J122)</f>
        <v/>
      </c>
      <c r="I122" s="37" t="inlineStr">
        <is>
          <t>TCG</t>
        </is>
      </c>
      <c r="J122" s="3" t="n">
        <v>1</v>
      </c>
      <c r="K122" s="4" t="n">
        <v>0.22</v>
      </c>
      <c r="L122" s="4">
        <f>IF(AND($H122&gt;0,ISNUMBER($K122)),$H122*$K122,0)</f>
        <v/>
      </c>
      <c r="M122" s="3" t="n"/>
      <c r="N122" s="3" t="n"/>
      <c r="O122" s="3" t="n"/>
      <c r="P122" s="3" t="n">
        <v>1</v>
      </c>
      <c r="Q122" s="3" t="n"/>
      <c r="R122" s="3" t="n"/>
      <c r="S122" s="3">
        <f>IF(AND(J122&lt;&gt;"",SUM(M122:R122)=0),J122,"")</f>
        <v/>
      </c>
      <c r="T122" s="3" t="n"/>
      <c r="U122" s="3" t="n"/>
      <c r="V122" s="3" t="n"/>
      <c r="W122" s="3" t="n"/>
      <c r="X122" s="3" t="n"/>
      <c r="Y122" s="3" t="n"/>
      <c r="Z122" s="3" t="n"/>
      <c r="AA122" s="2" t="inlineStr">
        <is>
          <t>Land</t>
        </is>
      </c>
      <c r="AB122" s="2" t="inlineStr">
        <is>
          <t>Forest Plains</t>
        </is>
      </c>
      <c r="AC122" s="2" t="inlineStr">
        <is>
          <t>L</t>
        </is>
      </c>
      <c r="AD122" s="3" t="n">
        <v>0</v>
      </c>
      <c r="AE122" s="29" t="inlineStr">
        <is>
          <t>Dominaria United</t>
        </is>
      </c>
      <c r="AF122" s="29" t="inlineStr">
        <is>
          <t>Land</t>
        </is>
      </c>
      <c r="AG122" s="29" t="inlineStr">
        <is>
          <t>Taps for {G} or {W}</t>
        </is>
      </c>
      <c r="AH122" s="29" t="inlineStr">
        <is>
          <t>Enters tapped</t>
        </is>
      </c>
      <c r="AI122" s="29" t="n"/>
      <c r="AJ122" s="2" t="n"/>
    </row>
    <row r="123" ht="15" customHeight="1" s="79">
      <c r="A123" s="2" t="inlineStr">
        <is>
          <t>Rampart Architect</t>
        </is>
      </c>
      <c r="B123" s="2">
        <f>IF(AND(F123&lt;&gt;0,E123=F123),"In Hand",IF(AND(E123&lt;&gt;0,E123&lt;F123,SUM(M123:R123)=0,SUM(T123:Y123)&gt;0),"Extra-Sub",IF(AND(E123=0,E123&lt;F123,SUM(M123:R123)=0,SUM(T123:Y123)&gt;0),"Bench-Sub",IF(AND(E123=0,F123&gt;0),"Bench",IF(E123&lt;F123,"Extra",IF(AND(J123="",E123&gt;F123),"To Buy",IF(SUM(J123,F123)&lt;E123,"To Buy",IF(AND(SUM(J123,F123)&gt;=E123,J123&lt;&gt;""),"Ordered",IF(AND(E123=0,F123=0,D123="B3"),"B3 Option",IF(AND(E123=0,F123=0),"Remove","To Buy"))))))))))</f>
        <v/>
      </c>
      <c r="D123" t="inlineStr">
        <is>
          <t>B2</t>
        </is>
      </c>
      <c r="E123" s="3">
        <f>SUM(M123:S123)</f>
        <v/>
      </c>
      <c r="F123" s="3">
        <f>SUM(T123:Z123)</f>
        <v/>
      </c>
      <c r="G123" s="3">
        <f>IF((F123-E123)&gt;=0,F123-E123,0)</f>
        <v/>
      </c>
      <c r="H123" s="3">
        <f>MAX(0,$E123-$F123-$J123)</f>
        <v/>
      </c>
      <c r="I123" s="37" t="inlineStr">
        <is>
          <t>TCG</t>
        </is>
      </c>
      <c r="J123" s="3" t="n">
        <v>1</v>
      </c>
      <c r="K123" s="4" t="n">
        <v>0.31</v>
      </c>
      <c r="L123" s="4">
        <f>IF(AND($H123&gt;0,ISNUMBER($K123)),$H123*$K123,0)</f>
        <v/>
      </c>
      <c r="M123" s="3" t="n"/>
      <c r="N123" s="3" t="n"/>
      <c r="O123" s="3" t="n"/>
      <c r="P123" s="3" t="n">
        <v>1</v>
      </c>
      <c r="Q123" s="3" t="n"/>
      <c r="R123" s="3" t="n"/>
      <c r="S123" s="3">
        <f>IF(AND(J123&lt;&gt;"",SUM(M123:R123)=0),J123,"")</f>
        <v/>
      </c>
      <c r="T123" s="3" t="n"/>
      <c r="U123" s="3" t="n"/>
      <c r="V123" s="3" t="n"/>
      <c r="W123" s="3" t="n"/>
      <c r="X123" s="3" t="n"/>
      <c r="Y123" s="3" t="n"/>
      <c r="Z123" s="3" t="n"/>
      <c r="AA123" s="2" t="inlineStr">
        <is>
          <t>Creature</t>
        </is>
      </c>
      <c r="AB123" s="2" t="inlineStr">
        <is>
          <t>Elephant Advisor</t>
        </is>
      </c>
      <c r="AC123" s="2" t="inlineStr">
        <is>
          <t>G</t>
        </is>
      </c>
      <c r="AD123" s="3" t="n">
        <v>4</v>
      </c>
      <c r="AE123" s="29" t="inlineStr">
        <is>
          <t>Tarkir: Dragonstorm Commander</t>
        </is>
      </c>
      <c r="AF123" s="29" t="inlineStr">
        <is>
          <t>Token Producer</t>
        </is>
      </c>
      <c r="AG123" s="29" t="inlineStr">
        <is>
          <t>Creates a 1/3 Wall token with defender when it enters or attacks</t>
        </is>
      </c>
      <c r="AH123" s="29" t="inlineStr">
        <is>
          <t>Fetches a basic land to battlefield tapped when a defender you control dies</t>
        </is>
      </c>
      <c r="AI123" s="29" t="n"/>
      <c r="AJ123" s="2" t="n"/>
    </row>
    <row r="124" ht="15" customHeight="1" s="79">
      <c r="A124" s="2" t="inlineStr">
        <is>
          <t>Read the Bones</t>
        </is>
      </c>
      <c r="B124" s="2">
        <f>IF(AND(F124&lt;&gt;0,E124=F124),"In Hand",IF(AND(E124&lt;&gt;0,E124&lt;F124,SUM(M124:R124)=0,SUM(T124:Y124)&gt;0),"Extra-Sub",IF(AND(E124=0,E124&lt;F124,SUM(M124:R124)=0,SUM(T124:Y124)&gt;0),"Bench-Sub",IF(AND(E124=0,F124&gt;0),"Bench",IF(E124&lt;F124,"Extra",IF(AND(J124="",E124&gt;F124),"To Buy",IF(SUM(J124,F124)&lt;E124,"To Buy",IF(AND(SUM(J124,F124)&gt;=E124,J124&lt;&gt;""),"Ordered",IF(AND(E124=0,F124=0,D124="B3"),"B3 Option",IF(AND(E124=0,F124=0),"Remove","To Buy"))))))))))</f>
        <v/>
      </c>
      <c r="D124" t="inlineStr">
        <is>
          <t>B2</t>
        </is>
      </c>
      <c r="E124" s="3">
        <f>SUM(M124:S124)</f>
        <v/>
      </c>
      <c r="F124" s="3">
        <f>SUM(T124:Z124)</f>
        <v/>
      </c>
      <c r="G124" s="3">
        <f>IF((F124-E124)&gt;=0,F124-E124,0)</f>
        <v/>
      </c>
      <c r="H124" s="3">
        <f>MAX(0,$E124-$F124-$J124)</f>
        <v/>
      </c>
      <c r="I124" s="37" t="inlineStr">
        <is>
          <t>TCG</t>
        </is>
      </c>
      <c r="J124" s="3" t="n">
        <v>1</v>
      </c>
      <c r="K124" s="4" t="n">
        <v>0.32</v>
      </c>
      <c r="L124" s="4">
        <f>IF(AND($H124&gt;0,ISNUMBER($K124)),$H124*$K124,0)</f>
        <v/>
      </c>
      <c r="M124" s="3" t="n"/>
      <c r="N124" s="3" t="n"/>
      <c r="O124" s="3" t="n"/>
      <c r="P124" s="3" t="n">
        <v>1</v>
      </c>
      <c r="Q124" s="3" t="n"/>
      <c r="R124" s="3" t="n"/>
      <c r="S124" s="3">
        <f>IF(AND(J124&lt;&gt;"",SUM(M124:R124)=0),J124,"")</f>
        <v/>
      </c>
      <c r="T124" s="3" t="n"/>
      <c r="U124" s="3" t="n"/>
      <c r="V124" s="3" t="n"/>
      <c r="W124" s="3" t="n"/>
      <c r="X124" s="3" t="n"/>
      <c r="Y124" s="3" t="n"/>
      <c r="Z124" s="3" t="n"/>
      <c r="AA124" s="2" t="inlineStr">
        <is>
          <t>Sorcery</t>
        </is>
      </c>
      <c r="AB124" s="2" t="n"/>
      <c r="AC124" s="2" t="inlineStr">
        <is>
          <t>B</t>
        </is>
      </c>
      <c r="AD124" s="3" t="n">
        <v>3</v>
      </c>
      <c r="AE124" s="29" t="inlineStr">
        <is>
          <t>Theros</t>
        </is>
      </c>
      <c r="AF124" s="29" t="inlineStr">
        <is>
          <t>Card Draw</t>
        </is>
      </c>
      <c r="AG124" s="29" t="inlineStr">
        <is>
          <t>Scry 2, then draw two cards</t>
        </is>
      </c>
      <c r="AH124" s="29" t="inlineStr">
        <is>
          <t>You lose 2 life</t>
        </is>
      </c>
      <c r="AI124" s="29" t="n"/>
      <c r="AJ124" s="2" t="n"/>
    </row>
    <row r="125" ht="15" customHeight="1" s="79">
      <c r="A125" s="2" t="inlineStr">
        <is>
          <t>Rootborn Defenses</t>
        </is>
      </c>
      <c r="B125" s="2">
        <f>IF(AND(F125&lt;&gt;0,E125=F125),"In Hand",IF(AND(E125&lt;&gt;0,E125&lt;F125,SUM(M125:R125)=0,SUM(T125:Y125)&gt;0),"Extra-Sub",IF(AND(E125=0,E125&lt;F125,SUM(M125:R125)=0,SUM(T125:Y125)&gt;0),"Bench-Sub",IF(AND(E125=0,F125&gt;0),"Bench",IF(E125&lt;F125,"Extra",IF(AND(J125="",E125&gt;F125),"To Buy",IF(SUM(J125,F125)&lt;E125,"To Buy",IF(AND(SUM(J125,F125)&gt;=E125,J125&lt;&gt;""),"Ordered",IF(AND(E125=0,F125=0,D125="B3"),"B3 Option",IF(AND(E125=0,F125=0),"Remove","To Buy"))))))))))</f>
        <v/>
      </c>
      <c r="D125" t="inlineStr">
        <is>
          <t>B2</t>
        </is>
      </c>
      <c r="E125" s="3">
        <f>SUM(M125:S125)</f>
        <v/>
      </c>
      <c r="F125" s="3">
        <f>SUM(T125:Z125)</f>
        <v/>
      </c>
      <c r="G125" s="3">
        <f>IF((F125-E125)&gt;=0,F125-E125,0)</f>
        <v/>
      </c>
      <c r="H125" s="3">
        <f>MAX(0,$E125-$F125-$J125)</f>
        <v/>
      </c>
      <c r="I125" s="37" t="inlineStr">
        <is>
          <t>TCG</t>
        </is>
      </c>
      <c r="J125" s="3" t="n">
        <v>1</v>
      </c>
      <c r="K125" s="4" t="n">
        <v>0.18</v>
      </c>
      <c r="L125" s="4">
        <f>IF(AND($H125&gt;0,ISNUMBER($K125)),$H125*$K125,0)</f>
        <v/>
      </c>
      <c r="M125" s="3" t="n"/>
      <c r="N125" s="3" t="n"/>
      <c r="O125" s="3" t="n"/>
      <c r="P125" s="3" t="n"/>
      <c r="Q125" s="3" t="n"/>
      <c r="R125" s="3" t="n"/>
      <c r="S125" s="3">
        <f>IF(AND(J125&lt;&gt;"",SUM(M125:R125)=0),J125,"")</f>
        <v/>
      </c>
      <c r="T125" s="3" t="n"/>
      <c r="U125" s="3" t="n"/>
      <c r="V125" s="3" t="n"/>
      <c r="W125" s="3" t="n"/>
      <c r="X125" s="3" t="n"/>
      <c r="Y125" s="3" t="n"/>
      <c r="Z125" s="3" t="n"/>
      <c r="AA125" s="2" t="inlineStr">
        <is>
          <t>Instant</t>
        </is>
      </c>
      <c r="AB125" s="2" t="n"/>
      <c r="AC125" s="2" t="inlineStr">
        <is>
          <t>W</t>
        </is>
      </c>
      <c r="AD125" s="3" t="n">
        <v>3</v>
      </c>
      <c r="AE125" s="29" t="inlineStr">
        <is>
          <t>Return to Ravnica</t>
        </is>
      </c>
      <c r="AF125" s="29" t="inlineStr">
        <is>
          <t>Protection</t>
        </is>
      </c>
      <c r="AG125" s="29" t="inlineStr">
        <is>
          <t>Creatures you control gain indestructible until end of turn</t>
        </is>
      </c>
      <c r="AH125" s="29" t="inlineStr">
        <is>
          <t>Populate: creates a copy of a creature token you control</t>
        </is>
      </c>
      <c r="AI125" s="29" t="n"/>
      <c r="AJ125" s="2" t="inlineStr">
        <is>
          <t>D4 target removed 2026-09-02 (bench sub Guardian of Faith in place)</t>
        </is>
      </c>
    </row>
    <row r="126" ht="15" customHeight="1" s="79">
      <c r="A126" s="2" t="inlineStr">
        <is>
          <t>Sandsteppe Citadel</t>
        </is>
      </c>
      <c r="B126" s="2">
        <f>IF(AND(F126&lt;&gt;0,E126=F126),"In Hand",IF(AND(E126&lt;&gt;0,E126&lt;F126,SUM(M126:R126)=0,SUM(T126:Y126)&gt;0),"Extra-Sub",IF(AND(E126=0,E126&lt;F126,SUM(M126:R126)=0,SUM(T126:Y126)&gt;0),"Bench-Sub",IF(AND(E126=0,F126&gt;0),"Bench",IF(E126&lt;F126,"Extra",IF(AND(J126="",E126&gt;F126),"To Buy",IF(SUM(J126,F126)&lt;E126,"To Buy",IF(AND(SUM(J126,F126)&gt;=E126,J126&lt;&gt;""),"Ordered",IF(AND(E126=0,F126=0,D126="B3"),"B3 Option",IF(AND(E126=0,F126=0),"Remove","To Buy"))))))))))</f>
        <v/>
      </c>
      <c r="D126" t="inlineStr">
        <is>
          <t>B2</t>
        </is>
      </c>
      <c r="E126" s="3">
        <f>SUM(M126:S126)</f>
        <v/>
      </c>
      <c r="F126" s="3">
        <f>SUM(T126:Z126)</f>
        <v/>
      </c>
      <c r="G126" s="3">
        <f>IF((F126-E126)&gt;=0,F126-E126,0)</f>
        <v/>
      </c>
      <c r="H126" s="3">
        <f>MAX(0,$E126-$F126-$J126)</f>
        <v/>
      </c>
      <c r="I126" s="37" t="inlineStr">
        <is>
          <t>TCG</t>
        </is>
      </c>
      <c r="J126" s="3" t="n">
        <v>1</v>
      </c>
      <c r="K126" s="4" t="n">
        <v>0.39</v>
      </c>
      <c r="L126" s="4">
        <f>IF(AND($H126&gt;0,ISNUMBER($K126)),$H126*$K126,0)</f>
        <v/>
      </c>
      <c r="M126" s="3" t="n"/>
      <c r="N126" s="3" t="n"/>
      <c r="O126" s="3" t="n"/>
      <c r="P126" s="3" t="n">
        <v>1</v>
      </c>
      <c r="Q126" s="3" t="n"/>
      <c r="R126" s="3" t="n"/>
      <c r="S126" s="3">
        <f>IF(AND(J126&lt;&gt;"",SUM(M126:R126)=0),J126,"")</f>
        <v/>
      </c>
      <c r="T126" s="3" t="n"/>
      <c r="U126" s="3" t="n"/>
      <c r="V126" s="3" t="n"/>
      <c r="W126" s="3" t="n"/>
      <c r="X126" s="3" t="n"/>
      <c r="Y126" s="3" t="n"/>
      <c r="Z126" s="3" t="n"/>
      <c r="AA126" s="2" t="inlineStr">
        <is>
          <t>Land</t>
        </is>
      </c>
      <c r="AB126" s="2" t="n"/>
      <c r="AC126" s="2" t="inlineStr">
        <is>
          <t>L</t>
        </is>
      </c>
      <c r="AD126" s="3" t="n">
        <v>0</v>
      </c>
      <c r="AE126" s="29" t="inlineStr">
        <is>
          <t>Khans of Tarkir</t>
        </is>
      </c>
      <c r="AF126" s="29" t="inlineStr">
        <is>
          <t>Land</t>
        </is>
      </c>
      <c r="AG126" s="29" t="inlineStr">
        <is>
          <t>Taps for {W}, {B}, or {G}</t>
        </is>
      </c>
      <c r="AH126" s="29" t="inlineStr">
        <is>
          <t>Enters tapped</t>
        </is>
      </c>
      <c r="AI126" s="29" t="n"/>
      <c r="AJ126" s="2" t="n"/>
    </row>
    <row r="127" ht="15" customHeight="1" s="79">
      <c r="A127" s="2" t="inlineStr">
        <is>
          <t>Seaside Citadel</t>
        </is>
      </c>
      <c r="B127" s="2">
        <f>IF(AND(F127&lt;&gt;0,E127=F127),"In Hand",IF(AND(E127&lt;&gt;0,E127&lt;F127,SUM(M127:R127)=0,SUM(T127:Y127)&gt;0),"Extra-Sub",IF(AND(E127=0,E127&lt;F127,SUM(M127:R127)=0,SUM(T127:Y127)&gt;0),"Bench-Sub",IF(AND(E127=0,F127&gt;0),"Bench",IF(E127&lt;F127,"Extra",IF(AND(J127="",E127&gt;F127),"To Buy",IF(SUM(J127,F127)&lt;E127,"To Buy",IF(AND(SUM(J127,F127)&gt;=E127,J127&lt;&gt;""),"Ordered",IF(AND(E127=0,F127=0,D127="B3"),"B3 Option",IF(AND(E127=0,F127=0),"Remove","To Buy"))))))))))</f>
        <v/>
      </c>
      <c r="D127" t="inlineStr">
        <is>
          <t>B2</t>
        </is>
      </c>
      <c r="E127" s="3">
        <f>SUM(M127:S127)</f>
        <v/>
      </c>
      <c r="F127" s="3">
        <f>SUM(T127:Z127)</f>
        <v/>
      </c>
      <c r="G127" s="3">
        <f>IF((F127-E127)&gt;=0,F127-E127,0)</f>
        <v/>
      </c>
      <c r="H127" s="3">
        <f>MAX(0,$E127-$F127-$J127)</f>
        <v/>
      </c>
      <c r="I127" s="37" t="inlineStr">
        <is>
          <t>TCG</t>
        </is>
      </c>
      <c r="J127" s="3" t="n">
        <v>1</v>
      </c>
      <c r="K127" s="4" t="n">
        <v>0.37</v>
      </c>
      <c r="L127" s="4">
        <f>IF(AND($H127&gt;0,ISNUMBER($K127)),$H127*$K127,0)</f>
        <v/>
      </c>
      <c r="M127" s="3" t="n"/>
      <c r="N127" s="3" t="n">
        <v>1</v>
      </c>
      <c r="O127" s="3" t="n"/>
      <c r="P127" s="3" t="n"/>
      <c r="Q127" s="3" t="n"/>
      <c r="R127" s="3" t="n"/>
      <c r="S127" s="3">
        <f>IF(AND(J127&lt;&gt;"",SUM(M127:R127)=0),J127,"")</f>
        <v/>
      </c>
      <c r="T127" s="3" t="n"/>
      <c r="U127" s="3" t="n"/>
      <c r="V127" s="3" t="n"/>
      <c r="W127" s="3" t="n"/>
      <c r="X127" s="3" t="n"/>
      <c r="Y127" s="3" t="n"/>
      <c r="Z127" s="3" t="n"/>
      <c r="AA127" s="2" t="inlineStr">
        <is>
          <t>Land</t>
        </is>
      </c>
      <c r="AB127" s="2" t="n"/>
      <c r="AC127" s="2" t="inlineStr">
        <is>
          <t>L</t>
        </is>
      </c>
      <c r="AD127" s="3" t="n">
        <v>0</v>
      </c>
      <c r="AE127" s="29" t="inlineStr">
        <is>
          <t>Shards of Alara</t>
        </is>
      </c>
      <c r="AF127" s="29" t="inlineStr">
        <is>
          <t>Land</t>
        </is>
      </c>
      <c r="AG127" s="29" t="inlineStr">
        <is>
          <t>Taps for {G}, {W}, or {U}</t>
        </is>
      </c>
      <c r="AH127" s="29" t="inlineStr">
        <is>
          <t>Enters tapped</t>
        </is>
      </c>
      <c r="AI127" s="29" t="n"/>
      <c r="AJ127" s="2" t="inlineStr">
        <is>
          <t>Tuned add</t>
        </is>
      </c>
    </row>
    <row r="128" ht="15" customHeight="1" s="79">
      <c r="A128" s="2" t="inlineStr">
        <is>
          <t>Selesnya Signet</t>
        </is>
      </c>
      <c r="B128" s="2">
        <f>IF(AND(F128&lt;&gt;0,E128=F128),"In Hand",IF(AND(E128&lt;&gt;0,E128&lt;F128,SUM(M128:R128)=0,SUM(T128:Y128)&gt;0),"Extra-Sub",IF(AND(E128=0,E128&lt;F128,SUM(M128:R128)=0,SUM(T128:Y128)&gt;0),"Bench-Sub",IF(AND(E128=0,F128&gt;0),"Bench",IF(E128&lt;F128,"Extra",IF(AND(J128="",E128&gt;F128),"To Buy",IF(SUM(J128,F128)&lt;E128,"To Buy",IF(AND(SUM(J128,F128)&gt;=E128,J128&lt;&gt;""),"Ordered",IF(AND(E128=0,F128=0,D128="B3"),"B3 Option",IF(AND(E128=0,F128=0),"Remove","To Buy"))))))))))</f>
        <v/>
      </c>
      <c r="D128" t="inlineStr">
        <is>
          <t>B2</t>
        </is>
      </c>
      <c r="E128" s="3">
        <f>SUM(M128:S128)</f>
        <v/>
      </c>
      <c r="F128" s="3">
        <f>SUM(T128:Z128)</f>
        <v/>
      </c>
      <c r="G128" s="3">
        <f>IF((F128-E128)&gt;=0,F128-E128,0)</f>
        <v/>
      </c>
      <c r="H128" s="3">
        <f>MAX(0,$E128-$F128-$J128)</f>
        <v/>
      </c>
      <c r="I128" s="37" t="inlineStr">
        <is>
          <t>TCG</t>
        </is>
      </c>
      <c r="J128" s="3" t="n">
        <v>1</v>
      </c>
      <c r="K128" s="4" t="n">
        <v>0.43</v>
      </c>
      <c r="L128" s="4">
        <f>IF(AND($H128&gt;0,ISNUMBER($K128)),$H128*$K128,0)</f>
        <v/>
      </c>
      <c r="M128" s="3" t="n"/>
      <c r="N128" s="3" t="n"/>
      <c r="O128" s="3" t="n"/>
      <c r="P128" s="3" t="n">
        <v>1</v>
      </c>
      <c r="Q128" s="3" t="n"/>
      <c r="R128" s="3" t="n"/>
      <c r="S128" s="3">
        <f>IF(AND(J128&lt;&gt;"",SUM(M128:R128)=0),J128,"")</f>
        <v/>
      </c>
      <c r="T128" s="3" t="n"/>
      <c r="U128" s="3" t="n"/>
      <c r="V128" s="3" t="n"/>
      <c r="W128" s="3" t="n"/>
      <c r="X128" s="3" t="n"/>
      <c r="Y128" s="3" t="n"/>
      <c r="Z128" s="3" t="n"/>
      <c r="AA128" s="2" t="inlineStr">
        <is>
          <t>Artifact</t>
        </is>
      </c>
      <c r="AB128" s="2" t="n"/>
      <c r="AC128" s="2" t="inlineStr">
        <is>
          <t>Multi</t>
        </is>
      </c>
      <c r="AD128" s="3" t="n">
        <v>2</v>
      </c>
      <c r="AE128" s="29" t="inlineStr">
        <is>
          <t>Salvat 2005</t>
        </is>
      </c>
      <c r="AF128" s="29" t="inlineStr">
        <is>
          <t>Mana Rock</t>
        </is>
      </c>
      <c r="AG128" s="29" t="inlineStr">
        <is>
          <t>{1}, tap: add {G}{W}</t>
        </is>
      </c>
      <c r="AH128" s="29" t="n"/>
      <c r="AI128" s="29" t="n"/>
      <c r="AJ128" s="2" t="n"/>
    </row>
    <row r="129" ht="15" customHeight="1" s="79">
      <c r="A129" s="2" t="inlineStr">
        <is>
          <t>Shadrix Silverquill</t>
        </is>
      </c>
      <c r="B129" s="2">
        <f>IF(AND(F129&lt;&gt;0,E129=F129),"In Hand",IF(AND(E129&lt;&gt;0,E129&lt;F129,SUM(M129:R129)=0,SUM(T129:Y129)&gt;0),"Extra-Sub",IF(AND(E129=0,E129&lt;F129,SUM(M129:R129)=0,SUM(T129:Y129)&gt;0),"Bench-Sub",IF(AND(E129=0,F129&gt;0),"Bench",IF(E129&lt;F129,"Extra",IF(AND(J129="",E129&gt;F129),"To Buy",IF(SUM(J129,F129)&lt;E129,"To Buy",IF(AND(SUM(J129,F129)&gt;=E129,J129&lt;&gt;""),"Ordered",IF(AND(E129=0,F129=0,D129="B3"),"B3 Option",IF(AND(E129=0,F129=0),"Remove","To Buy"))))))))))</f>
        <v/>
      </c>
      <c r="D129" t="inlineStr">
        <is>
          <t>B2</t>
        </is>
      </c>
      <c r="E129" s="3">
        <f>SUM(M129:S129)</f>
        <v/>
      </c>
      <c r="F129" s="3">
        <f>SUM(T129:Z129)</f>
        <v/>
      </c>
      <c r="G129" s="3">
        <f>IF((F129-E129)&gt;=0,F129-E129,0)</f>
        <v/>
      </c>
      <c r="H129" s="3">
        <f>MAX(0,$E129-$F129-$J129)</f>
        <v/>
      </c>
      <c r="I129" s="37" t="inlineStr">
        <is>
          <t>TCG</t>
        </is>
      </c>
      <c r="J129" s="3" t="n">
        <v>1</v>
      </c>
      <c r="K129" s="4" t="n">
        <v>0.34</v>
      </c>
      <c r="L129" s="4">
        <f>IF(AND($H129&gt;0,ISNUMBER($K129)),$H129*$K129,0)</f>
        <v/>
      </c>
      <c r="M129" s="3" t="n"/>
      <c r="N129" s="3" t="n"/>
      <c r="O129" s="3" t="n"/>
      <c r="P129" s="3" t="n"/>
      <c r="Q129" s="3" t="n">
        <v>1</v>
      </c>
      <c r="R129" s="3" t="n"/>
      <c r="S129" s="3">
        <f>IF(AND(J129&lt;&gt;"",SUM(M129:R129)=0),J129,"")</f>
        <v/>
      </c>
      <c r="T129" s="3" t="n"/>
      <c r="U129" s="3" t="n"/>
      <c r="V129" s="3" t="n"/>
      <c r="W129" s="3" t="n"/>
      <c r="X129" s="3" t="n"/>
      <c r="Y129" s="3" t="n"/>
      <c r="Z129" s="3" t="n"/>
      <c r="AA129" s="2" t="inlineStr">
        <is>
          <t>Legendary Creature</t>
        </is>
      </c>
      <c r="AB129" s="2" t="inlineStr">
        <is>
          <t>Elder Dragon</t>
        </is>
      </c>
      <c r="AC129" s="2" t="inlineStr">
        <is>
          <t>Multi</t>
        </is>
      </c>
      <c r="AD129" s="3" t="n">
        <v>5</v>
      </c>
      <c r="AE129" s="29" t="inlineStr">
        <is>
          <t>Strixhaven: School of Mages</t>
        </is>
      </c>
      <c r="AF129" s="29" t="inlineStr">
        <is>
          <t>Commander</t>
        </is>
      </c>
      <c r="AG129" s="29" t="inlineStr">
        <is>
          <t>Combat: choose two modes, each targeting a different player</t>
        </is>
      </c>
      <c r="AH129" s="29" t="inlineStr">
        <is>
          <t>Modes make a 2/1 flying token, draw+lose life, or add +1/+1 counters</t>
        </is>
      </c>
      <c r="AI129" s="29" t="inlineStr">
        <is>
          <t>Flying double strike body</t>
        </is>
      </c>
      <c r="AJ129" s="2" t="inlineStr">
        <is>
          <t>Commander - D5</t>
        </is>
      </c>
    </row>
    <row r="130" ht="15" customHeight="1" s="79">
      <c r="A130" s="2" t="inlineStr">
        <is>
          <t>Siege-Gang Commander</t>
        </is>
      </c>
      <c r="B130" s="2">
        <f>IF(AND(F130&lt;&gt;0,E130=F130),"In Hand",IF(AND(E130&lt;&gt;0,E130&lt;F130,SUM(M130:R130)=0,SUM(T130:Y130)&gt;0),"Extra-Sub",IF(AND(E130=0,E130&lt;F130,SUM(M130:R130)=0,SUM(T130:Y130)&gt;0),"Bench-Sub",IF(AND(E130=0,F130&gt;0),"Bench",IF(E130&lt;F130,"Extra",IF(AND(J130="",E130&gt;F130),"To Buy",IF(SUM(J130,F130)&lt;E130,"To Buy",IF(AND(SUM(J130,F130)&gt;=E130,J130&lt;&gt;""),"Ordered",IF(AND(E130=0,F130=0,D130="B3"),"B3 Option",IF(AND(E130=0,F130=0),"Remove","To Buy"))))))))))</f>
        <v/>
      </c>
      <c r="D130" t="inlineStr">
        <is>
          <t>B2</t>
        </is>
      </c>
      <c r="E130" s="3">
        <f>SUM(M130:S130)</f>
        <v/>
      </c>
      <c r="F130" s="3">
        <f>SUM(T130:Z130)</f>
        <v/>
      </c>
      <c r="G130" s="3">
        <f>IF((F130-E130)&gt;=0,F130-E130,0)</f>
        <v/>
      </c>
      <c r="H130" s="3">
        <f>MAX(0,$E130-$F130-$J130)</f>
        <v/>
      </c>
      <c r="I130" s="3" t="inlineStr">
        <is>
          <t>TCG</t>
        </is>
      </c>
      <c r="J130" s="3" t="n">
        <v>1</v>
      </c>
      <c r="K130" s="4" t="n">
        <v>0.27</v>
      </c>
      <c r="L130" s="4">
        <f>IF(AND($H130&gt;0,ISNUMBER($K130)),$H130*$K130,0)</f>
        <v/>
      </c>
      <c r="M130" s="3" t="n"/>
      <c r="N130" s="3" t="n"/>
      <c r="O130" s="3" t="n"/>
      <c r="P130" s="3" t="n"/>
      <c r="Q130" s="3" t="n"/>
      <c r="R130" s="3" t="n">
        <v>1</v>
      </c>
      <c r="S130" s="3">
        <f>IF(AND(J130&lt;&gt;"",SUM(M130:R130)=0),J130,"")</f>
        <v/>
      </c>
      <c r="T130" s="3" t="n"/>
      <c r="U130" s="3" t="n"/>
      <c r="V130" s="3" t="n"/>
      <c r="W130" s="3" t="n"/>
      <c r="X130" s="3" t="n"/>
      <c r="Y130" s="3" t="n"/>
      <c r="Z130" s="3" t="n"/>
      <c r="AA130" s="2" t="inlineStr">
        <is>
          <t>Creature</t>
        </is>
      </c>
      <c r="AB130" s="2" t="inlineStr">
        <is>
          <t>Goblin</t>
        </is>
      </c>
      <c r="AC130" s="2" t="inlineStr">
        <is>
          <t>R</t>
        </is>
      </c>
      <c r="AD130" s="3" t="n">
        <v>5</v>
      </c>
      <c r="AE130" s="29" t="inlineStr">
        <is>
          <t>Scourge</t>
        </is>
      </c>
      <c r="AF130" s="29" t="inlineStr">
        <is>
          <t>Token Producer</t>
        </is>
      </c>
      <c r="AG130" s="29" t="inlineStr">
        <is>
          <t>Creates three 1/1 Goblin tokens when it enters</t>
        </is>
      </c>
      <c r="AH130" s="29" t="inlineStr">
        <is>
          <t>{1}{R}, sacrifice a Goblin: deals 2 damage to any target</t>
        </is>
      </c>
      <c r="AI130" s="29" t="n"/>
      <c r="AJ130" s="2" t="inlineStr">
        <is>
          <t>Ordered 2026-09-02: TCGplayer $0.27 LP from The WKGR Online</t>
        </is>
      </c>
    </row>
    <row r="131" ht="15" customHeight="1" s="79">
      <c r="A131" s="2" t="inlineStr">
        <is>
          <t>Simic Signet</t>
        </is>
      </c>
      <c r="B131" s="2">
        <f>IF(AND(F131&lt;&gt;0,E131=F131),"In Hand",IF(AND(E131&lt;&gt;0,E131&lt;F131,SUM(M131:R131)=0,SUM(T131:Y131)&gt;0),"Extra-Sub",IF(AND(E131=0,E131&lt;F131,SUM(M131:R131)=0,SUM(T131:Y131)&gt;0),"Bench-Sub",IF(AND(E131=0,F131&gt;0),"Bench",IF(E131&lt;F131,"Extra",IF(AND(J131="",E131&gt;F131),"To Buy",IF(SUM(J131,F131)&lt;E131,"To Buy",IF(AND(SUM(J131,F131)&gt;=E131,J131&lt;&gt;""),"Ordered",IF(AND(E131=0,F131=0,D131="B3"),"B3 Option",IF(AND(E131=0,F131=0),"Remove","To Buy"))))))))))</f>
        <v/>
      </c>
      <c r="D131" t="inlineStr">
        <is>
          <t>B2</t>
        </is>
      </c>
      <c r="E131" s="3">
        <f>SUM(M131:S131)</f>
        <v/>
      </c>
      <c r="F131" s="3">
        <f>SUM(T131:Z131)</f>
        <v/>
      </c>
      <c r="G131" s="3">
        <f>IF((F131-E131)&gt;=0,F131-E131,0)</f>
        <v/>
      </c>
      <c r="H131" s="3">
        <f>MAX(0,$E131-$F131-$J131)</f>
        <v/>
      </c>
      <c r="I131" s="3" t="inlineStr">
        <is>
          <t>TCG</t>
        </is>
      </c>
      <c r="J131" s="3" t="n">
        <v>1</v>
      </c>
      <c r="K131" s="4" t="n">
        <v>0.35</v>
      </c>
      <c r="L131" s="4">
        <f>IF(AND($H131&gt;0,ISNUMBER($K131)),$H131*$K131,0)</f>
        <v/>
      </c>
      <c r="M131" s="3" t="n"/>
      <c r="N131" s="3" t="n"/>
      <c r="O131" s="3" t="n">
        <v>1</v>
      </c>
      <c r="P131" s="3" t="n"/>
      <c r="Q131" s="3" t="n"/>
      <c r="R131" s="3" t="n"/>
      <c r="S131" s="3">
        <f>IF(AND(J131&lt;&gt;"",SUM(M131:R131)=0),J131,"")</f>
        <v/>
      </c>
      <c r="T131" s="3" t="n"/>
      <c r="U131" s="3" t="n"/>
      <c r="V131" s="3" t="n"/>
      <c r="W131" s="3" t="n"/>
      <c r="X131" s="3" t="n"/>
      <c r="Y131" s="3" t="n"/>
      <c r="Z131" s="3" t="n"/>
      <c r="AA131" s="2" t="inlineStr">
        <is>
          <t>Artifact</t>
        </is>
      </c>
      <c r="AB131" s="2" t="n"/>
      <c r="AC131" s="2" t="inlineStr">
        <is>
          <t>Multi</t>
        </is>
      </c>
      <c r="AD131" s="3" t="n">
        <v>2</v>
      </c>
      <c r="AE131" s="29" t="inlineStr">
        <is>
          <t>Dissension</t>
        </is>
      </c>
      <c r="AF131" s="29" t="inlineStr">
        <is>
          <t>Mana Rock</t>
        </is>
      </c>
      <c r="AG131" s="29" t="inlineStr">
        <is>
          <t>{1}, tap: add {G}{U}</t>
        </is>
      </c>
      <c r="AH131" s="29" t="n"/>
      <c r="AI131" s="29" t="n"/>
      <c r="AJ131" s="2" t="inlineStr">
        <is>
          <t>Tuned add; mana fixing; Ordered 2026-09-02: TCGplayer $0.21 LP from The WKGR Online</t>
        </is>
      </c>
    </row>
    <row r="132" ht="15" customHeight="1" s="79">
      <c r="A132" s="2" t="inlineStr">
        <is>
          <t>Skirk Prospector</t>
        </is>
      </c>
      <c r="B132" s="2">
        <f>IF(AND(F132&lt;&gt;0,E132=F132),"In Hand",IF(AND(E132&lt;&gt;0,E132&lt;F132,SUM(M132:R132)=0,SUM(T132:Y132)&gt;0),"Extra-Sub",IF(AND(E132=0,E132&lt;F132,SUM(M132:R132)=0,SUM(T132:Y132)&gt;0),"Bench-Sub",IF(AND(E132=0,F132&gt;0),"Bench",IF(E132&lt;F132,"Extra",IF(AND(J132="",E132&gt;F132),"To Buy",IF(SUM(J132,F132)&lt;E132,"To Buy",IF(AND(SUM(J132,F132)&gt;=E132,J132&lt;&gt;""),"Ordered",IF(AND(E132=0,F132=0,D132="B3"),"B3 Option",IF(AND(E132=0,F132=0),"Remove","To Buy"))))))))))</f>
        <v/>
      </c>
      <c r="D132" t="inlineStr">
        <is>
          <t>B2</t>
        </is>
      </c>
      <c r="E132" s="3">
        <f>SUM(M132:S132)</f>
        <v/>
      </c>
      <c r="F132" s="3">
        <f>SUM(T132:Z132)</f>
        <v/>
      </c>
      <c r="G132" s="3">
        <f>IF((F132-E132)&gt;=0,F132-E132,0)</f>
        <v/>
      </c>
      <c r="H132" s="3">
        <f>MAX(0,$E132-$F132-$J132)</f>
        <v/>
      </c>
      <c r="I132" s="3" t="inlineStr">
        <is>
          <t>TCG</t>
        </is>
      </c>
      <c r="J132" s="3" t="n">
        <v>1</v>
      </c>
      <c r="K132" s="4" t="n">
        <v>0.37</v>
      </c>
      <c r="L132" s="4">
        <f>IF(AND($H132&gt;0,ISNUMBER($K132)),$H132*$K132,0)</f>
        <v/>
      </c>
      <c r="M132" s="3" t="n"/>
      <c r="N132" s="3" t="n"/>
      <c r="O132" s="3" t="n"/>
      <c r="P132" s="3" t="n"/>
      <c r="Q132" s="3" t="n"/>
      <c r="R132" s="3" t="n">
        <v>1</v>
      </c>
      <c r="S132" s="3">
        <f>IF(AND(J132&lt;&gt;"",SUM(M132:R132)=0),J132,"")</f>
        <v/>
      </c>
      <c r="T132" s="3" t="n"/>
      <c r="U132" s="3" t="n"/>
      <c r="V132" s="3" t="n"/>
      <c r="W132" s="3" t="n"/>
      <c r="X132" s="3" t="n"/>
      <c r="Y132" s="3" t="n"/>
      <c r="Z132" s="3" t="n"/>
      <c r="AA132" s="2" t="inlineStr">
        <is>
          <t>Creature</t>
        </is>
      </c>
      <c r="AB132" s="2" t="inlineStr">
        <is>
          <t>Goblin</t>
        </is>
      </c>
      <c r="AC132" s="2" t="inlineStr">
        <is>
          <t>R</t>
        </is>
      </c>
      <c r="AD132" s="3" t="n">
        <v>1</v>
      </c>
      <c r="AE132" s="29" t="inlineStr">
        <is>
          <t>Onslaught</t>
        </is>
      </c>
      <c r="AF132" s="29" t="inlineStr">
        <is>
          <t>Sacrifice Outlet</t>
        </is>
      </c>
      <c r="AG132" s="29" t="inlineStr">
        <is>
          <t>Sacrifice a Goblin: add {R}</t>
        </is>
      </c>
      <c r="AH132" s="29" t="n"/>
      <c r="AI132" s="29" t="n"/>
      <c r="AJ132" s="2" t="inlineStr">
        <is>
          <t>Ordered 2026-09-02: TCGplayer $0.28 LP from The WKGR Online</t>
        </is>
      </c>
    </row>
    <row r="133" ht="15" customHeight="1" s="79">
      <c r="A133" s="2" t="inlineStr">
        <is>
          <t>Soulherder</t>
        </is>
      </c>
      <c r="B133" s="2">
        <f>IF(AND(F133&lt;&gt;0,E133=F133),"In Hand",IF(AND(E133&lt;&gt;0,E133&lt;F133,SUM(M133:R133)=0,SUM(T133:Y133)&gt;0),"Extra-Sub",IF(AND(E133=0,E133&lt;F133,SUM(M133:R133)=0,SUM(T133:Y133)&gt;0),"Bench-Sub",IF(AND(E133=0,F133&gt;0),"Bench",IF(E133&lt;F133,"Extra",IF(AND(J133="",E133&gt;F133),"To Buy",IF(SUM(J133,F133)&lt;E133,"To Buy",IF(AND(SUM(J133,F133)&gt;=E133,J133&lt;&gt;""),"Ordered",IF(AND(E133=0,F133=0,D133="B3"),"B3 Option",IF(AND(E133=0,F133=0),"Remove","To Buy"))))))))))</f>
        <v/>
      </c>
      <c r="D133" t="inlineStr">
        <is>
          <t>B2</t>
        </is>
      </c>
      <c r="E133" s="3">
        <f>SUM(M133:S133)</f>
        <v/>
      </c>
      <c r="F133" s="3">
        <f>SUM(T133:Z133)</f>
        <v/>
      </c>
      <c r="G133" s="3">
        <f>IF((F133-E133)&gt;=0,F133-E133,0)</f>
        <v/>
      </c>
      <c r="H133" s="3">
        <f>MAX(0,$E133-$F133-$J133)</f>
        <v/>
      </c>
      <c r="I133" s="3" t="inlineStr">
        <is>
          <t>TCG</t>
        </is>
      </c>
      <c r="J133" s="3" t="n">
        <v>1</v>
      </c>
      <c r="K133" s="4" t="n">
        <v>1.93</v>
      </c>
      <c r="L133" s="4">
        <f>IF(AND($H133&gt;0,ISNUMBER($K133)),$H133*$K133,0)</f>
        <v/>
      </c>
      <c r="M133" s="3" t="n"/>
      <c r="N133" s="3" t="n">
        <v>1</v>
      </c>
      <c r="O133" s="3" t="n"/>
      <c r="P133" s="3" t="n"/>
      <c r="Q133" s="3" t="n"/>
      <c r="R133" s="3" t="n"/>
      <c r="S133" s="3">
        <f>IF(AND(J133&lt;&gt;"",SUM(M133:R133)=0),J133,"")</f>
        <v/>
      </c>
      <c r="T133" s="3" t="n"/>
      <c r="U133" s="3" t="n"/>
      <c r="V133" s="3" t="n"/>
      <c r="W133" s="3" t="n"/>
      <c r="X133" s="3" t="n"/>
      <c r="Y133" s="3" t="n"/>
      <c r="Z133" s="3" t="n"/>
      <c r="AA133" s="2" t="inlineStr">
        <is>
          <t>Creature</t>
        </is>
      </c>
      <c r="AB133" s="2" t="inlineStr">
        <is>
          <t>Spirit</t>
        </is>
      </c>
      <c r="AC133" s="2" t="inlineStr">
        <is>
          <t>Multi</t>
        </is>
      </c>
      <c r="AD133" s="3" t="n">
        <v>3</v>
      </c>
      <c r="AE133" s="29" t="inlineStr">
        <is>
          <t>Modern Horizons</t>
        </is>
      </c>
      <c r="AF133" s="29" t="inlineStr">
        <is>
          <t>Blink</t>
        </is>
      </c>
      <c r="AG133" s="29" t="inlineStr">
        <is>
          <t>End step: may exile then return another target creature you control</t>
        </is>
      </c>
      <c r="AH133" s="29" t="inlineStr">
        <is>
          <t>Gets a +1/+1 counter whenever a creature is exiled from the battlefield</t>
        </is>
      </c>
      <c r="AI133" s="29" t="n"/>
      <c r="AJ133" s="2" t="inlineStr">
        <is>
          <t>Tuned add; Ordered 2026-09-02: TCGplayer $1.89 NM from The Next Level Games</t>
        </is>
      </c>
    </row>
    <row r="134" ht="15" customHeight="1" s="79">
      <c r="A134" s="2" t="inlineStr">
        <is>
          <t>Steady Progress</t>
        </is>
      </c>
      <c r="B134" s="2">
        <f>IF(AND(F134&lt;&gt;0,E134=F134),"In Hand",IF(AND(E134&lt;&gt;0,E134&lt;F134,SUM(M134:R134)=0,SUM(T134:Y134)&gt;0),"Extra-Sub",IF(AND(E134=0,E134&lt;F134,SUM(M134:R134)=0,SUM(T134:Y134)&gt;0),"Bench-Sub",IF(AND(E134=0,F134&gt;0),"Bench",IF(E134&lt;F134,"Extra",IF(AND(J134="",E134&gt;F134),"To Buy",IF(SUM(J134,F134)&lt;E134,"To Buy",IF(AND(SUM(J134,F134)&gt;=E134,J134&lt;&gt;""),"Ordered",IF(AND(E134=0,F134=0,D134="B3"),"B3 Option",IF(AND(E134=0,F134=0),"Remove","To Buy"))))))))))</f>
        <v/>
      </c>
      <c r="D134" t="inlineStr">
        <is>
          <t>B2</t>
        </is>
      </c>
      <c r="E134" s="3">
        <f>SUM(M134:S134)</f>
        <v/>
      </c>
      <c r="F134" s="3">
        <f>SUM(T134:Z134)</f>
        <v/>
      </c>
      <c r="G134" s="3">
        <f>IF((F134-E134)&gt;=0,F134-E134,0)</f>
        <v/>
      </c>
      <c r="H134" s="3">
        <f>MAX(0,$E134-$F134-$J134)</f>
        <v/>
      </c>
      <c r="I134" s="37" t="inlineStr">
        <is>
          <t>TCG</t>
        </is>
      </c>
      <c r="J134" s="3" t="n">
        <v>1</v>
      </c>
      <c r="K134" s="4" t="n">
        <v>0.29</v>
      </c>
      <c r="L134" s="4">
        <f>IF(AND($H134&gt;0,ISNUMBER($K134)),$H134*$K134,0)</f>
        <v/>
      </c>
      <c r="M134" s="3" t="n"/>
      <c r="N134" s="3" t="n"/>
      <c r="O134" s="3" t="n">
        <v>1</v>
      </c>
      <c r="P134" s="3" t="n"/>
      <c r="Q134" s="3" t="n"/>
      <c r="R134" s="3" t="n"/>
      <c r="S134" s="3">
        <f>IF(AND(J134&lt;&gt;"",SUM(M134:R134)=0),J134,"")</f>
        <v/>
      </c>
      <c r="T134" s="3" t="n"/>
      <c r="U134" s="3" t="n"/>
      <c r="V134" s="3" t="n"/>
      <c r="W134" s="3" t="n"/>
      <c r="X134" s="3" t="n"/>
      <c r="Y134" s="3" t="n"/>
      <c r="Z134" s="3" t="n"/>
      <c r="AA134" s="2" t="inlineStr">
        <is>
          <t>Instant</t>
        </is>
      </c>
      <c r="AB134" s="2" t="n"/>
      <c r="AC134" s="2" t="inlineStr">
        <is>
          <t>U</t>
        </is>
      </c>
      <c r="AD134" s="3" t="n">
        <v>3</v>
      </c>
      <c r="AE134" s="29" t="inlineStr">
        <is>
          <t>Scars of Mirrodin</t>
        </is>
      </c>
      <c r="AF134" s="29" t="inlineStr">
        <is>
          <t>Proliferate</t>
        </is>
      </c>
      <c r="AG134" s="29" t="inlineStr">
        <is>
          <t>Proliferate, then draw a card</t>
        </is>
      </c>
      <c r="AH134" s="29" t="n"/>
      <c r="AI134" s="29" t="n"/>
      <c r="AJ134" s="2" t="inlineStr">
        <is>
          <t>Tuned add</t>
        </is>
      </c>
    </row>
    <row r="135" ht="15" customHeight="1" s="79">
      <c r="A135" s="2" t="inlineStr">
        <is>
          <t>Strixhaven Stadium</t>
        </is>
      </c>
      <c r="B135" s="2">
        <f>IF(AND(F135&lt;&gt;0,E135=F135),"In Hand",IF(AND(E135&lt;&gt;0,E135&lt;F135,SUM(M135:R135)=0,SUM(T135:Y135)&gt;0),"Extra-Sub",IF(AND(E135=0,E135&lt;F135,SUM(M135:R135)=0,SUM(T135:Y135)&gt;0),"Bench-Sub",IF(AND(E135=0,F135&gt;0),"Bench",IF(E135&lt;F135,"Extra",IF(AND(J135="",E135&gt;F135),"To Buy",IF(SUM(J135,F135)&lt;E135,"To Buy",IF(AND(SUM(J135,F135)&gt;=E135,J135&lt;&gt;""),"Ordered",IF(AND(E135=0,F135=0,D135="B3"),"B3 Option",IF(AND(E135=0,F135=0),"Remove","To Buy"))))))))))</f>
        <v/>
      </c>
      <c r="D135" t="inlineStr">
        <is>
          <t>B2</t>
        </is>
      </c>
      <c r="E135" s="3">
        <f>SUM(M135:S135)</f>
        <v/>
      </c>
      <c r="F135" s="3">
        <f>SUM(T135:Z135)</f>
        <v/>
      </c>
      <c r="G135" s="3">
        <f>IF((F135-E135)&gt;=0,F135-E135,0)</f>
        <v/>
      </c>
      <c r="H135" s="3">
        <f>MAX(0,$E135-$F135-$J135)</f>
        <v/>
      </c>
      <c r="I135" s="37" t="inlineStr">
        <is>
          <t>TCG</t>
        </is>
      </c>
      <c r="J135" s="3" t="n">
        <v>1</v>
      </c>
      <c r="K135" s="4" t="n">
        <v>0.41</v>
      </c>
      <c r="L135" s="4">
        <f>IF(AND($H135&gt;0,ISNUMBER($K135)),$H135*$K135,0)</f>
        <v/>
      </c>
      <c r="M135" s="3" t="n"/>
      <c r="N135" s="3" t="n"/>
      <c r="O135" s="3" t="n"/>
      <c r="P135" s="3" t="n"/>
      <c r="Q135" s="3" t="n"/>
      <c r="R135" s="3" t="n"/>
      <c r="S135" s="3">
        <f>IF(AND(J135&lt;&gt;"",SUM(M135:R135)=0),J135,"")</f>
        <v/>
      </c>
      <c r="T135" s="3" t="n"/>
      <c r="U135" s="3" t="n"/>
      <c r="V135" s="3" t="n"/>
      <c r="W135" s="3" t="n"/>
      <c r="X135" s="3" t="n"/>
      <c r="Y135" s="3" t="n"/>
      <c r="Z135" s="3" t="n"/>
      <c r="AA135" s="2" t="inlineStr">
        <is>
          <t>Artifact</t>
        </is>
      </c>
      <c r="AB135" s="2" t="n"/>
      <c r="AC135" s="2" t="inlineStr">
        <is>
          <t>C</t>
        </is>
      </c>
      <c r="AD135" s="3" t="n">
        <v>3</v>
      </c>
      <c r="AE135" s="29" t="inlineStr">
        <is>
          <t>Strixhaven: School of Mages</t>
        </is>
      </c>
      <c r="AF135" s="29" t="inlineStr">
        <is>
          <t>Mana Rock</t>
        </is>
      </c>
      <c r="AG135" s="29" t="inlineStr">
        <is>
          <t>Taps for {C}, gaining a point counter</t>
        </is>
      </c>
      <c r="AH135" s="29" t="inlineStr">
        <is>
          <t>10+ point counters from combat damage causes an opponent to lose the game</t>
        </is>
      </c>
      <c r="AI135" s="29" t="inlineStr">
        <is>
          <t>Loses counters when you take combat damage</t>
        </is>
      </c>
      <c r="AJ135" s="2" t="inlineStr">
        <is>
          <t>arrives -&gt; Bench (slot was upgraded)</t>
        </is>
      </c>
    </row>
    <row r="136" ht="15" customHeight="1" s="79">
      <c r="A136" s="2" t="inlineStr">
        <is>
          <t>Swords to Plowshares</t>
        </is>
      </c>
      <c r="B136" s="2">
        <f>IF(AND(F136&lt;&gt;0,E136=F136),"In Hand",IF(AND(E136&lt;&gt;0,E136&lt;F136,SUM(M136:R136)=0,SUM(T136:Y136)&gt;0),"Extra-Sub",IF(AND(E136=0,E136&lt;F136,SUM(M136:R136)=0,SUM(T136:Y136)&gt;0),"Bench-Sub",IF(AND(E136=0,F136&gt;0),"Bench",IF(E136&lt;F136,"Extra",IF(AND(J136="",E136&gt;F136),"To Buy",IF(SUM(J136,F136)&lt;E136,"To Buy",IF(AND(SUM(J136,F136)&gt;=E136,J136&lt;&gt;""),"Ordered",IF(AND(E136=0,F136=0,D136="B3"),"B3 Option",IF(AND(E136=0,F136=0),"Remove","To Buy"))))))))))</f>
        <v/>
      </c>
      <c r="D136" t="inlineStr">
        <is>
          <t>B2</t>
        </is>
      </c>
      <c r="E136" s="3">
        <f>SUM(M136:S136)</f>
        <v/>
      </c>
      <c r="F136" s="3">
        <f>SUM(T136:Z136)</f>
        <v/>
      </c>
      <c r="G136" s="3">
        <f>IF((F136-E136)&gt;=0,F136-E136,0)</f>
        <v/>
      </c>
      <c r="H136" s="3">
        <f>MAX(0,$E136-$F136-$J136)</f>
        <v/>
      </c>
      <c r="I136" s="3" t="inlineStr">
        <is>
          <t>TCG</t>
        </is>
      </c>
      <c r="J136" s="3" t="n">
        <v>1</v>
      </c>
      <c r="K136" s="4" t="n">
        <v>1.47</v>
      </c>
      <c r="L136" s="4">
        <f>IF(AND($H136&gt;0,ISNUMBER($K136)),$H136*$K136,0)</f>
        <v/>
      </c>
      <c r="M136" s="3" t="n">
        <v>1</v>
      </c>
      <c r="N136" s="3" t="n"/>
      <c r="O136" s="3" t="n"/>
      <c r="P136" s="3" t="n"/>
      <c r="Q136" s="3" t="n">
        <v>1</v>
      </c>
      <c r="R136" s="3" t="n"/>
      <c r="S136" s="3">
        <f>IF(AND(J136&lt;&gt;"",SUM(M136:R136)=0),J136,"")</f>
        <v/>
      </c>
      <c r="T136" s="3" t="n">
        <v>1</v>
      </c>
      <c r="U136" s="3" t="n"/>
      <c r="V136" s="3" t="n"/>
      <c r="W136" s="3" t="n"/>
      <c r="X136" s="3" t="n"/>
      <c r="Y136" s="3" t="n"/>
      <c r="Z136" s="3" t="n"/>
      <c r="AA136" s="2" t="inlineStr">
        <is>
          <t>Instant</t>
        </is>
      </c>
      <c r="AB136" s="2" t="n"/>
      <c r="AC136" s="2" t="inlineStr">
        <is>
          <t>W</t>
        </is>
      </c>
      <c r="AD136" s="3" t="n">
        <v>1</v>
      </c>
      <c r="AE136" s="29" t="inlineStr">
        <is>
          <t>Limited Edition Alpha</t>
        </is>
      </c>
      <c r="AF136" s="29" t="inlineStr">
        <is>
          <t>Removal</t>
        </is>
      </c>
      <c r="AG136" s="29" t="inlineStr">
        <is>
          <t>Exiles target creature</t>
        </is>
      </c>
      <c r="AH136" s="29" t="inlineStr">
        <is>
          <t>Its controller gains life equal to its power</t>
        </is>
      </c>
      <c r="AI136" s="29" t="n"/>
      <c r="AJ136" s="2" t="inlineStr">
        <is>
          <t>own 1 of 2 needed; Ordered 2026-09-02: TCGplayer $1.41 LP from The WKGR Online</t>
        </is>
      </c>
    </row>
    <row r="137" ht="15" customHeight="1" s="79">
      <c r="A137" s="2" t="inlineStr">
        <is>
          <t>Tekuthal, Inquiry Dominus</t>
        </is>
      </c>
      <c r="B137" s="2">
        <f>IF(AND(F137&lt;&gt;0,E137=F137),"In Hand",IF(AND(E137&lt;&gt;0,E137&lt;F137,SUM(M137:R137)=0,SUM(T137:Y137)&gt;0),"Extra-Sub",IF(AND(E137=0,E137&lt;F137,SUM(M137:R137)=0,SUM(T137:Y137)&gt;0),"Bench-Sub",IF(AND(E137=0,F137&gt;0),"Bench",IF(E137&lt;F137,"Extra",IF(AND(J137="",E137&gt;F137),"To Buy",IF(SUM(J137,F137)&lt;E137,"To Buy",IF(AND(SUM(J137,F137)&gt;=E137,J137&lt;&gt;""),"Ordered",IF(AND(E137=0,F137=0,D137="B3"),"B3 Option",IF(AND(E137=0,F137=0),"Remove","To Buy"))))))))))</f>
        <v/>
      </c>
      <c r="D137" t="inlineStr">
        <is>
          <t>B2</t>
        </is>
      </c>
      <c r="E137" s="3">
        <f>SUM(M137:S137)</f>
        <v/>
      </c>
      <c r="F137" s="3">
        <f>SUM(T137:Z137)</f>
        <v/>
      </c>
      <c r="G137" s="3">
        <f>IF((F137-E137)&gt;=0,F137-E137,0)</f>
        <v/>
      </c>
      <c r="H137" s="3">
        <f>MAX(0,$E137-$F137-$J137)</f>
        <v/>
      </c>
      <c r="I137" s="3" t="inlineStr">
        <is>
          <t>TCG</t>
        </is>
      </c>
      <c r="J137" s="3" t="n">
        <v>1</v>
      </c>
      <c r="K137" s="4" t="n">
        <v>1.47</v>
      </c>
      <c r="L137" s="4">
        <f>IF(AND($H137&gt;0,ISNUMBER($K137)),$H137*$K137,0)</f>
        <v/>
      </c>
      <c r="M137" s="3" t="n"/>
      <c r="N137" s="3" t="n"/>
      <c r="O137" s="3" t="n">
        <v>1</v>
      </c>
      <c r="P137" s="3" t="n"/>
      <c r="Q137" s="3" t="n"/>
      <c r="R137" s="3" t="n"/>
      <c r="S137" s="3">
        <f>IF(AND(J137&lt;&gt;"",SUM(M137:R137)=0),J137,"")</f>
        <v/>
      </c>
      <c r="T137" s="3" t="n"/>
      <c r="U137" s="3" t="n"/>
      <c r="V137" s="3" t="n"/>
      <c r="W137" s="3" t="n"/>
      <c r="X137" s="3" t="n"/>
      <c r="Y137" s="3" t="n"/>
      <c r="Z137" s="3" t="n"/>
      <c r="AA137" s="2" t="inlineStr">
        <is>
          <t>Legendary Creature</t>
        </is>
      </c>
      <c r="AB137" s="2" t="inlineStr">
        <is>
          <t>Phyrexian Horror</t>
        </is>
      </c>
      <c r="AC137" s="2" t="inlineStr">
        <is>
          <t>U</t>
        </is>
      </c>
      <c r="AD137" s="3" t="n">
        <v>3</v>
      </c>
      <c r="AE137" s="29" t="inlineStr">
        <is>
          <t>Phyrexia: All Will Be One</t>
        </is>
      </c>
      <c r="AF137" s="29" t="inlineStr">
        <is>
          <t>Proliferate</t>
        </is>
      </c>
      <c r="AG137" s="29" t="inlineStr">
        <is>
          <t>Doubles your proliferate triggers into two proliferates</t>
        </is>
      </c>
      <c r="AH137" s="29" t="inlineStr">
        <is>
          <t>Remove three counters from your permanents to add an indestructible counter to itself</t>
        </is>
      </c>
      <c r="AI137" s="29" t="inlineStr">
        <is>
          <t>Flying body</t>
        </is>
      </c>
      <c r="AJ137" s="2" t="inlineStr">
        <is>
          <t>Tuned add; doubles every proliferate; Ordered 2026-09-02: TCGplayer $1.41 NM from The Next Level Games</t>
        </is>
      </c>
    </row>
    <row r="138" ht="15" customHeight="1" s="79">
      <c r="A138" s="2" t="inlineStr">
        <is>
          <t>Temple of the False God</t>
        </is>
      </c>
      <c r="B138" s="2">
        <f>IF(AND(F138&lt;&gt;0,E138=F138),"In Hand",IF(AND(E138&lt;&gt;0,E138&lt;F138,SUM(M138:R138)=0,SUM(T138:Y138)&gt;0),"Extra-Sub",IF(AND(E138=0,E138&lt;F138,SUM(M138:R138)=0,SUM(T138:Y138)&gt;0),"Bench-Sub",IF(AND(E138=0,F138&gt;0),"Bench",IF(E138&lt;F138,"Extra",IF(AND(J138="",E138&gt;F138),"To Buy",IF(SUM(J138,F138)&lt;E138,"To Buy",IF(AND(SUM(J138,F138)&gt;=E138,J138&lt;&gt;""),"Ordered",IF(AND(E138=0,F138=0,D138="B3"),"B3 Option",IF(AND(E138=0,F138=0),"Remove","To Buy"))))))))))</f>
        <v/>
      </c>
      <c r="D138" t="inlineStr">
        <is>
          <t>B2</t>
        </is>
      </c>
      <c r="E138" s="3">
        <f>SUM(M138:S138)</f>
        <v/>
      </c>
      <c r="F138" s="3">
        <f>SUM(T138:Z138)</f>
        <v/>
      </c>
      <c r="G138" s="3">
        <f>IF((F138-E138)&gt;=0,F138-E138,0)</f>
        <v/>
      </c>
      <c r="H138" s="3">
        <f>MAX(0,$E138-$F138-$J138)</f>
        <v/>
      </c>
      <c r="I138" s="37" t="inlineStr">
        <is>
          <t>TCG</t>
        </is>
      </c>
      <c r="J138" s="3" t="n">
        <v>1</v>
      </c>
      <c r="K138" s="4" t="n">
        <v>0.27</v>
      </c>
      <c r="L138" s="4">
        <f>IF(AND($H138&gt;0,ISNUMBER($K138)),$H138*$K138,0)</f>
        <v/>
      </c>
      <c r="M138" s="3" t="n"/>
      <c r="N138" s="3" t="n"/>
      <c r="O138" s="3" t="n"/>
      <c r="P138" s="3" t="n"/>
      <c r="Q138" s="3" t="n"/>
      <c r="R138" s="3" t="n"/>
      <c r="S138" s="3">
        <f>IF(AND(J138&lt;&gt;"",SUM(M138:R138)=0),J138,"")</f>
        <v/>
      </c>
      <c r="T138" s="3" t="n"/>
      <c r="U138" s="3" t="n"/>
      <c r="V138" s="3" t="n"/>
      <c r="W138" s="3" t="n"/>
      <c r="X138" s="3" t="n"/>
      <c r="Y138" s="3" t="n"/>
      <c r="Z138" s="21" t="n"/>
      <c r="AA138" s="2" t="inlineStr">
        <is>
          <t>Land</t>
        </is>
      </c>
      <c r="AB138" s="2" t="n"/>
      <c r="AC138" s="2" t="inlineStr">
        <is>
          <t>L</t>
        </is>
      </c>
      <c r="AD138" s="3" t="n">
        <v>0</v>
      </c>
      <c r="AE138" s="29" t="inlineStr">
        <is>
          <t>Scourge</t>
        </is>
      </c>
      <c r="AF138" s="29" t="inlineStr">
        <is>
          <t>Land</t>
        </is>
      </c>
      <c r="AG138" s="29" t="inlineStr">
        <is>
          <t>Taps for {C}{C} if you control five or more lands</t>
        </is>
      </c>
      <c r="AH138" s="29" t="n"/>
      <c r="AI138" s="29" t="n"/>
      <c r="AJ138" s="2" t="inlineStr">
        <is>
          <t>arrives -&gt; Bench (slot was upgraded)</t>
        </is>
      </c>
    </row>
    <row r="139" ht="15" customHeight="1" s="79">
      <c r="A139" s="2" t="inlineStr">
        <is>
          <t>Thrilling Discovery</t>
        </is>
      </c>
      <c r="B139" s="2">
        <f>IF(AND(F139&lt;&gt;0,E139=F139),"In Hand",IF(AND(E139&lt;&gt;0,E139&lt;F139,SUM(M139:R139)=0,SUM(T139:Y139)&gt;0),"Extra-Sub",IF(AND(E139=0,E139&lt;F139,SUM(M139:R139)=0,SUM(T139:Y139)&gt;0),"Bench-Sub",IF(AND(E139=0,F139&gt;0),"Bench",IF(E139&lt;F139,"Extra",IF(AND(J139="",E139&gt;F139),"To Buy",IF(SUM(J139,F139)&lt;E139,"To Buy",IF(AND(SUM(J139,F139)&gt;=E139,J139&lt;&gt;""),"Ordered",IF(AND(E139=0,F139=0,D139="B3"),"B3 Option",IF(AND(E139=0,F139=0),"Remove","To Buy"))))))))))</f>
        <v/>
      </c>
      <c r="D139" t="inlineStr">
        <is>
          <t>B2</t>
        </is>
      </c>
      <c r="E139" s="3">
        <f>SUM(M139:S139)</f>
        <v/>
      </c>
      <c r="F139" s="3">
        <f>SUM(T139:Z139)</f>
        <v/>
      </c>
      <c r="G139" s="3">
        <f>IF((F139-E139)&gt;=0,F139-E139,0)</f>
        <v/>
      </c>
      <c r="H139" s="3">
        <f>MAX(0,$E139-$F139-$J139)</f>
        <v/>
      </c>
      <c r="I139" s="3" t="inlineStr">
        <is>
          <t>TCG</t>
        </is>
      </c>
      <c r="J139" s="3" t="n">
        <v>1</v>
      </c>
      <c r="K139" s="4" t="n">
        <v>0.39</v>
      </c>
      <c r="L139" s="4">
        <f>IF(AND($H139&gt;0,ISNUMBER($K139)),$H139*$K139,0)</f>
        <v/>
      </c>
      <c r="M139" s="3" t="n">
        <v>1</v>
      </c>
      <c r="N139" s="3" t="n"/>
      <c r="O139" s="3" t="n"/>
      <c r="P139" s="3" t="n"/>
      <c r="Q139" s="3" t="n"/>
      <c r="R139" s="3" t="n"/>
      <c r="S139" s="3">
        <f>IF(AND(J139&lt;&gt;"",SUM(M139:R139)=0),J139,"")</f>
        <v/>
      </c>
      <c r="T139" s="3" t="n"/>
      <c r="U139" s="3" t="n"/>
      <c r="V139" s="3" t="n"/>
      <c r="W139" s="3" t="n"/>
      <c r="X139" s="3" t="n"/>
      <c r="Y139" s="3" t="n"/>
      <c r="Z139" s="3" t="n"/>
      <c r="AA139" s="2" t="inlineStr">
        <is>
          <t>Sorcery</t>
        </is>
      </c>
      <c r="AB139" s="2" t="n"/>
      <c r="AC139" s="2" t="inlineStr">
        <is>
          <t>Multi</t>
        </is>
      </c>
      <c r="AD139" s="3" t="n">
        <v>2</v>
      </c>
      <c r="AE139" s="29" t="inlineStr">
        <is>
          <t>Strixhaven: School of Mages</t>
        </is>
      </c>
      <c r="AF139" s="29" t="inlineStr">
        <is>
          <t>Card Draw</t>
        </is>
      </c>
      <c r="AG139" s="29" t="inlineStr">
        <is>
          <t>Gain 2 life</t>
        </is>
      </c>
      <c r="AH139" s="29" t="inlineStr">
        <is>
          <t>May discard two cards to draw three</t>
        </is>
      </c>
      <c r="AI139" s="29" t="n"/>
      <c r="AJ139" s="2" t="inlineStr">
        <is>
          <t>Tuned add; Ordered 2026-09-02: TCGplayer $0.28 LP from The WKGR Online</t>
        </is>
      </c>
    </row>
    <row r="140" ht="15" customHeight="1" s="79">
      <c r="A140" s="2" t="inlineStr">
        <is>
          <t>Throne of Geth</t>
        </is>
      </c>
      <c r="B140" s="2">
        <f>IF(AND(F140&lt;&gt;0,E140=F140),"In Hand",IF(AND(E140&lt;&gt;0,E140&lt;F140,SUM(M140:R140)=0,SUM(T140:Y140)&gt;0),"Extra-Sub",IF(AND(E140=0,E140&lt;F140,SUM(M140:R140)=0,SUM(T140:Y140)&gt;0),"Bench-Sub",IF(AND(E140=0,F140&gt;0),"Bench",IF(E140&lt;F140,"Extra",IF(AND(J140="",E140&gt;F140),"To Buy",IF(SUM(J140,F140)&lt;E140,"To Buy",IF(AND(SUM(J140,F140)&gt;=E140,J140&lt;&gt;""),"Ordered",IF(AND(E140=0,F140=0,D140="B3"),"B3 Option",IF(AND(E140=0,F140=0),"Remove","To Buy"))))))))))</f>
        <v/>
      </c>
      <c r="D140" t="inlineStr">
        <is>
          <t>B2</t>
        </is>
      </c>
      <c r="E140" s="3">
        <f>SUM(M140:S140)</f>
        <v/>
      </c>
      <c r="F140" s="3">
        <f>SUM(T140:Z140)</f>
        <v/>
      </c>
      <c r="G140" s="3">
        <f>IF((F140-E140)&gt;=0,F140-E140,0)</f>
        <v/>
      </c>
      <c r="H140" s="3">
        <f>MAX(0,$E140-$F140-$J140)</f>
        <v/>
      </c>
      <c r="I140" s="37" t="inlineStr">
        <is>
          <t>TCG</t>
        </is>
      </c>
      <c r="J140" s="3" t="n">
        <v>1</v>
      </c>
      <c r="K140" s="4" t="n">
        <v>1.2</v>
      </c>
      <c r="L140" s="4">
        <f>IF(AND($H140&gt;0,ISNUMBER($K140)),$H140*$K140,0)</f>
        <v/>
      </c>
      <c r="M140" s="3" t="n"/>
      <c r="N140" s="3" t="n"/>
      <c r="O140" s="3" t="n">
        <v>1</v>
      </c>
      <c r="P140" s="3" t="n"/>
      <c r="Q140" s="3" t="n"/>
      <c r="R140" s="3" t="n"/>
      <c r="S140" s="3">
        <f>IF(AND(J140&lt;&gt;"",SUM(M140:R140)=0),J140,"")</f>
        <v/>
      </c>
      <c r="T140" s="3" t="n"/>
      <c r="U140" s="3" t="n"/>
      <c r="V140" s="3" t="n"/>
      <c r="W140" s="3" t="n"/>
      <c r="X140" s="3" t="n"/>
      <c r="Y140" s="3" t="n"/>
      <c r="Z140" s="3" t="n"/>
      <c r="AA140" s="2" t="inlineStr">
        <is>
          <t>Artifact</t>
        </is>
      </c>
      <c r="AB140" s="2" t="n"/>
      <c r="AC140" s="2" t="inlineStr">
        <is>
          <t>C</t>
        </is>
      </c>
      <c r="AD140" s="3" t="n">
        <v>2</v>
      </c>
      <c r="AE140" s="29" t="inlineStr">
        <is>
          <t>Scars of Mirrodin</t>
        </is>
      </c>
      <c r="AF140" s="29" t="inlineStr">
        <is>
          <t>Proliferate</t>
        </is>
      </c>
      <c r="AG140" s="29" t="inlineStr">
        <is>
          <t>Sacrifice an artifact to proliferate</t>
        </is>
      </c>
      <c r="AH140" s="29" t="n"/>
      <c r="AI140" s="29" t="n"/>
      <c r="AJ140" s="2" t="inlineStr">
        <is>
          <t>Tuned add</t>
        </is>
      </c>
    </row>
    <row r="141" ht="15" customHeight="1" s="79">
      <c r="A141" s="2" t="inlineStr">
        <is>
          <t>Tithe Taker</t>
        </is>
      </c>
      <c r="B141" s="2">
        <f>IF(AND(F141&lt;&gt;0,E141=F141),"In Hand",IF(AND(E141&lt;&gt;0,E141&lt;F141,SUM(M141:R141)=0,SUM(T141:Y141)&gt;0),"Extra-Sub",IF(AND(E141=0,E141&lt;F141,SUM(M141:R141)=0,SUM(T141:Y141)&gt;0),"Bench-Sub",IF(AND(E141=0,F141&gt;0),"Bench",IF(E141&lt;F141,"Extra",IF(AND(J141="",E141&gt;F141),"To Buy",IF(SUM(J141,F141)&lt;E141,"To Buy",IF(AND(SUM(J141,F141)&gt;=E141,J141&lt;&gt;""),"Ordered",IF(AND(E141=0,F141=0,D141="B3"),"B3 Option",IF(AND(E141=0,F141=0),"Remove","To Buy"))))))))))</f>
        <v/>
      </c>
      <c r="D141" t="inlineStr">
        <is>
          <t>B2</t>
        </is>
      </c>
      <c r="E141" s="3">
        <f>SUM(M141:S141)</f>
        <v/>
      </c>
      <c r="F141" s="3">
        <f>SUM(T141:Z141)</f>
        <v/>
      </c>
      <c r="G141" s="3">
        <f>IF((F141-E141)&gt;=0,F141-E141,0)</f>
        <v/>
      </c>
      <c r="H141" s="3">
        <f>MAX(0,$E141-$F141-$J141)</f>
        <v/>
      </c>
      <c r="I141" s="3" t="inlineStr">
        <is>
          <t>TCG</t>
        </is>
      </c>
      <c r="J141" s="3" t="n">
        <v>1</v>
      </c>
      <c r="K141" s="4" t="n">
        <v>0.35</v>
      </c>
      <c r="L141" s="4">
        <f>IF(AND($H141&gt;0,ISNUMBER($K141)),$H141*$K141,0)</f>
        <v/>
      </c>
      <c r="M141" s="3" t="n"/>
      <c r="N141" s="3" t="n"/>
      <c r="O141" s="3" t="n"/>
      <c r="P141" s="3" t="n"/>
      <c r="Q141" s="3" t="n">
        <v>1</v>
      </c>
      <c r="R141" s="3" t="n"/>
      <c r="S141" s="3">
        <f>IF(AND(J141&lt;&gt;"",SUM(M141:R141)=0),J141,"")</f>
        <v/>
      </c>
      <c r="T141" s="3" t="n"/>
      <c r="U141" s="3" t="n"/>
      <c r="V141" s="3" t="n"/>
      <c r="W141" s="3" t="n"/>
      <c r="X141" s="3" t="n"/>
      <c r="Y141" s="3" t="n"/>
      <c r="Z141" s="3" t="n"/>
      <c r="AA141" s="2" t="inlineStr">
        <is>
          <t>Creature</t>
        </is>
      </c>
      <c r="AB141" s="2" t="inlineStr">
        <is>
          <t>Human Soldier</t>
        </is>
      </c>
      <c r="AC141" s="2" t="inlineStr">
        <is>
          <t>W</t>
        </is>
      </c>
      <c r="AD141" s="3" t="n">
        <v>2</v>
      </c>
      <c r="AE141" s="29" t="inlineStr">
        <is>
          <t>Ravnica Allegiance</t>
        </is>
      </c>
      <c r="AF141" s="29" t="inlineStr">
        <is>
          <t>Stax/Tax</t>
        </is>
      </c>
      <c r="AG141" s="29" t="inlineStr">
        <is>
          <t>Your opponents' spells and abilities cost {1} more on your turn</t>
        </is>
      </c>
      <c r="AH141" s="29" t="inlineStr">
        <is>
          <t>Creates a 1/1 flying Spirit token when it dies</t>
        </is>
      </c>
      <c r="AI141" s="29" t="n"/>
      <c r="AJ141" s="2" t="inlineStr">
        <is>
          <t>Ordered 2026-09-02: TCGplayer $0.32 LP from The WKGR Online</t>
        </is>
      </c>
    </row>
    <row r="142" ht="15" customHeight="1" s="79">
      <c r="A142" s="2" t="inlineStr">
        <is>
          <t>Tower Defense</t>
        </is>
      </c>
      <c r="B142" s="2">
        <f>IF(AND(F142&lt;&gt;0,E142=F142),"In Hand",IF(AND(E142&lt;&gt;0,E142&lt;F142,SUM(M142:R142)=0,SUM(T142:Y142)&gt;0),"Extra-Sub",IF(AND(E142=0,E142&lt;F142,SUM(M142:R142)=0,SUM(T142:Y142)&gt;0),"Bench-Sub",IF(AND(E142=0,F142&gt;0),"Bench",IF(E142&lt;F142,"Extra",IF(AND(J142="",E142&gt;F142),"To Buy",IF(SUM(J142,F142)&lt;E142,"To Buy",IF(AND(SUM(J142,F142)&gt;=E142,J142&lt;&gt;""),"Ordered",IF(AND(E142=0,F142=0,D142="B3"),"B3 Option",IF(AND(E142=0,F142=0),"Remove","To Buy"))))))))))</f>
        <v/>
      </c>
      <c r="D142" t="inlineStr">
        <is>
          <t>B2</t>
        </is>
      </c>
      <c r="E142" s="3">
        <f>SUM(M142:S142)</f>
        <v/>
      </c>
      <c r="F142" s="3">
        <f>SUM(T142:Z142)</f>
        <v/>
      </c>
      <c r="G142" s="3">
        <f>IF((F142-E142)&gt;=0,F142-E142,0)</f>
        <v/>
      </c>
      <c r="H142" s="3">
        <f>MAX(0,$E142-$F142-$J142)</f>
        <v/>
      </c>
      <c r="I142" s="37" t="inlineStr">
        <is>
          <t>TCG</t>
        </is>
      </c>
      <c r="J142" s="3" t="n">
        <v>1</v>
      </c>
      <c r="K142" s="4" t="n">
        <v>0.28</v>
      </c>
      <c r="L142" s="4">
        <f>IF(AND($H142&gt;0,ISNUMBER($K142)),$H142*$K142,0)</f>
        <v/>
      </c>
      <c r="M142" s="3" t="n"/>
      <c r="N142" s="3" t="n"/>
      <c r="O142" s="3" t="n"/>
      <c r="P142" s="3" t="n">
        <v>1</v>
      </c>
      <c r="Q142" s="3" t="n"/>
      <c r="R142" s="3" t="n"/>
      <c r="S142" s="3">
        <f>IF(AND(J142&lt;&gt;"",SUM(M142:R142)=0),J142,"")</f>
        <v/>
      </c>
      <c r="T142" s="3" t="n"/>
      <c r="U142" s="3" t="n"/>
      <c r="V142" s="3" t="n"/>
      <c r="W142" s="3" t="n"/>
      <c r="X142" s="3" t="n"/>
      <c r="Y142" s="3" t="n"/>
      <c r="Z142" s="3" t="n"/>
      <c r="AA142" s="2" t="inlineStr">
        <is>
          <t>Instant</t>
        </is>
      </c>
      <c r="AB142" s="2" t="n"/>
      <c r="AC142" s="2" t="inlineStr">
        <is>
          <t>G</t>
        </is>
      </c>
      <c r="AD142" s="3" t="n">
        <v>2</v>
      </c>
      <c r="AE142" s="29" t="inlineStr">
        <is>
          <t>Gatecrash</t>
        </is>
      </c>
      <c r="AF142" s="29" t="inlineStr">
        <is>
          <t>Combat Trick</t>
        </is>
      </c>
      <c r="AG142" s="29" t="inlineStr">
        <is>
          <t>Your creatures get +0/+5 and gain reach until end of turn</t>
        </is>
      </c>
      <c r="AH142" s="29" t="n"/>
      <c r="AI142" s="29" t="n"/>
      <c r="AJ142" s="2" t="n"/>
    </row>
    <row r="143" ht="15" customHeight="1" s="79">
      <c r="A143" s="2" t="inlineStr">
        <is>
          <t>Vandalblast</t>
        </is>
      </c>
      <c r="B143" s="2">
        <f>IF(AND(F143&lt;&gt;0,E143=F143),"In Hand",IF(AND(E143&lt;&gt;0,E143&lt;F143,SUM(M143:R143)=0,SUM(T143:Y143)&gt;0),"Extra-Sub",IF(AND(E143=0,E143&lt;F143,SUM(M143:R143)=0,SUM(T143:Y143)&gt;0),"Bench-Sub",IF(AND(E143=0,F143&gt;0),"Bench",IF(E143&lt;F143,"Extra",IF(AND(J143="",E143&gt;F143),"To Buy",IF(SUM(J143,F143)&lt;E143,"To Buy",IF(AND(SUM(J143,F143)&gt;=E143,J143&lt;&gt;""),"Ordered",IF(AND(E143=0,F143=0,D143="B3"),"B3 Option",IF(AND(E143=0,F143=0),"Remove","To Buy"))))))))))</f>
        <v/>
      </c>
      <c r="D143" t="inlineStr">
        <is>
          <t>B2</t>
        </is>
      </c>
      <c r="E143" s="3">
        <f>SUM(M143:S143)</f>
        <v/>
      </c>
      <c r="F143" s="3">
        <f>SUM(T143:Z143)</f>
        <v/>
      </c>
      <c r="G143" s="3">
        <f>IF((F143-E143)&gt;=0,F143-E143,0)</f>
        <v/>
      </c>
      <c r="H143" s="3">
        <f>MAX(0,$E143-$F143-$J143)</f>
        <v/>
      </c>
      <c r="I143" s="3" t="inlineStr">
        <is>
          <t>TCG</t>
        </is>
      </c>
      <c r="J143" s="3" t="n">
        <v>1</v>
      </c>
      <c r="K143" s="4" t="n">
        <v>1.51</v>
      </c>
      <c r="L143" s="4">
        <f>IF(AND($H143&gt;0,ISNUMBER($K143)),$H143*$K143,0)</f>
        <v/>
      </c>
      <c r="M143" s="3" t="n"/>
      <c r="N143" s="3" t="n"/>
      <c r="O143" s="3" t="n"/>
      <c r="P143" s="3" t="n"/>
      <c r="Q143" s="3" t="n"/>
      <c r="R143" s="3" t="n">
        <v>1</v>
      </c>
      <c r="S143" s="3">
        <f>IF(AND(J143&lt;&gt;"",SUM(M143:R143)=0),J143,"")</f>
        <v/>
      </c>
      <c r="T143" s="3" t="n"/>
      <c r="U143" s="3" t="n"/>
      <c r="V143" s="3" t="n"/>
      <c r="W143" s="3" t="n"/>
      <c r="X143" s="3" t="n"/>
      <c r="Y143" s="3" t="n"/>
      <c r="Z143" s="3" t="n"/>
      <c r="AA143" s="2" t="inlineStr">
        <is>
          <t>Sorcery</t>
        </is>
      </c>
      <c r="AB143" s="2" t="n"/>
      <c r="AC143" s="2" t="inlineStr">
        <is>
          <t>R</t>
        </is>
      </c>
      <c r="AD143" s="3" t="n">
        <v>1</v>
      </c>
      <c r="AE143" s="29" t="inlineStr">
        <is>
          <t>Return to Ravnica</t>
        </is>
      </c>
      <c r="AF143" s="29" t="inlineStr">
        <is>
          <t>Artifact/Enchantment Removal</t>
        </is>
      </c>
      <c r="AG143" s="29" t="inlineStr">
        <is>
          <t>Destroys target artifact you don't control</t>
        </is>
      </c>
      <c r="AH143" s="29" t="inlineStr">
        <is>
          <t>Overload {4}{R}: destroys every artifact you don't control</t>
        </is>
      </c>
      <c r="AI143" s="29" t="n"/>
      <c r="AJ143" s="2" t="inlineStr">
        <is>
          <t>Ordered 2026-09-02: TCGplayer $1.91 LP from The WKGR Online</t>
        </is>
      </c>
    </row>
    <row r="144" ht="15" customHeight="1" s="79">
      <c r="A144" s="2" t="inlineStr">
        <is>
          <t>Vault of the Archangel</t>
        </is>
      </c>
      <c r="B144" s="2">
        <f>IF(AND(F144&lt;&gt;0,E144=F144),"In Hand",IF(AND(E144&lt;&gt;0,E144&lt;F144,SUM(M144:R144)=0,SUM(T144:Y144)&gt;0),"Extra-Sub",IF(AND(E144=0,E144&lt;F144,SUM(M144:R144)=0,SUM(T144:Y144)&gt;0),"Bench-Sub",IF(AND(E144=0,F144&gt;0),"Bench",IF(E144&lt;F144,"Extra",IF(AND(J144="",E144&gt;F144),"To Buy",IF(SUM(J144,F144)&lt;E144,"To Buy",IF(AND(SUM(J144,F144)&gt;=E144,J144&lt;&gt;""),"Ordered",IF(AND(E144=0,F144=0,D144="B3"),"B3 Option",IF(AND(E144=0,F144=0),"Remove","To Buy"))))))))))</f>
        <v/>
      </c>
      <c r="D144" t="inlineStr">
        <is>
          <t>B2</t>
        </is>
      </c>
      <c r="E144" s="3">
        <f>SUM(M144:S144)</f>
        <v/>
      </c>
      <c r="F144" s="3">
        <f>SUM(T144:Z144)</f>
        <v/>
      </c>
      <c r="G144" s="3">
        <f>IF((F144-E144)&gt;=0,F144-E144,0)</f>
        <v/>
      </c>
      <c r="H144" s="3">
        <f>MAX(0,$E144-$F144-$J144)</f>
        <v/>
      </c>
      <c r="I144" s="3" t="inlineStr">
        <is>
          <t>TCG</t>
        </is>
      </c>
      <c r="J144" s="3" t="n">
        <v>1</v>
      </c>
      <c r="K144" s="4" t="n">
        <v>0.76</v>
      </c>
      <c r="L144" s="4">
        <f>IF(AND($H144&gt;0,ISNUMBER($K144)),$H144*$K144,0)</f>
        <v/>
      </c>
      <c r="M144" s="3" t="n"/>
      <c r="N144" s="3" t="n"/>
      <c r="O144" s="3" t="n"/>
      <c r="P144" s="3" t="n"/>
      <c r="Q144" s="3" t="n">
        <v>1</v>
      </c>
      <c r="R144" s="3" t="n"/>
      <c r="S144" s="3">
        <f>IF(AND(J144&lt;&gt;"",SUM(M144:R144)=0),J144,"")</f>
        <v/>
      </c>
      <c r="T144" s="3" t="n"/>
      <c r="U144" s="3" t="n"/>
      <c r="V144" s="3" t="n"/>
      <c r="W144" s="3" t="n"/>
      <c r="X144" s="3" t="n"/>
      <c r="Y144" s="3" t="n"/>
      <c r="Z144" s="3" t="n"/>
      <c r="AA144" s="2" t="inlineStr">
        <is>
          <t>Land</t>
        </is>
      </c>
      <c r="AB144" s="2" t="n"/>
      <c r="AC144" s="2" t="inlineStr">
        <is>
          <t>L</t>
        </is>
      </c>
      <c r="AD144" s="3" t="n">
        <v>0</v>
      </c>
      <c r="AE144" s="29" t="inlineStr">
        <is>
          <t>Dark Ascension</t>
        </is>
      </c>
      <c r="AF144" s="29" t="inlineStr">
        <is>
          <t>Land</t>
        </is>
      </c>
      <c r="AG144" s="29" t="inlineStr">
        <is>
          <t>Taps for {C}</t>
        </is>
      </c>
      <c r="AH144" s="29" t="inlineStr">
        <is>
          <t>{2}{W}{B}, tap: creatures you control gain deathtouch and lifelink</t>
        </is>
      </c>
      <c r="AI144" s="29" t="n"/>
      <c r="AJ144" s="2" t="inlineStr">
        <is>
          <t>Ordered 2026-09-02: TCGplayer $1.96 NM from Harb's Cards</t>
        </is>
      </c>
    </row>
    <row r="145" ht="15" customHeight="1" s="79">
      <c r="A145" s="2" t="inlineStr">
        <is>
          <t>Village Rites</t>
        </is>
      </c>
      <c r="B145" s="2">
        <f>IF(AND(F145&lt;&gt;0,E145=F145),"In Hand",IF(AND(E145&lt;&gt;0,E145&lt;F145,SUM(M145:R145)=0,SUM(T145:Y145)&gt;0),"Extra-Sub",IF(AND(E145=0,E145&lt;F145,SUM(M145:R145)=0,SUM(T145:Y145)&gt;0),"Bench-Sub",IF(AND(E145=0,F145&gt;0),"Bench",IF(E145&lt;F145,"Extra",IF(AND(J145="",E145&gt;F145),"To Buy",IF(SUM(J145,F145)&lt;E145,"To Buy",IF(AND(SUM(J145,F145)&gt;=E145,J145&lt;&gt;""),"Ordered",IF(AND(E145=0,F145=0,D145="B3"),"B3 Option",IF(AND(E145=0,F145=0),"Remove","To Buy"))))))))))</f>
        <v/>
      </c>
      <c r="D145" t="inlineStr">
        <is>
          <t>B2</t>
        </is>
      </c>
      <c r="E145" s="3">
        <f>SUM(M145:S145)</f>
        <v/>
      </c>
      <c r="F145" s="3">
        <f>SUM(T145:Z145)</f>
        <v/>
      </c>
      <c r="G145" s="3">
        <f>IF((F145-E145)&gt;=0,F145-E145,0)</f>
        <v/>
      </c>
      <c r="H145" s="3">
        <f>MAX(0,$E145-$F145-$J145)</f>
        <v/>
      </c>
      <c r="I145" s="3" t="inlineStr">
        <is>
          <t>TCG</t>
        </is>
      </c>
      <c r="J145" s="3" t="n">
        <v>1</v>
      </c>
      <c r="K145" s="4" t="n">
        <v>0.39</v>
      </c>
      <c r="L145" s="4">
        <f>IF(AND($H145&gt;0,ISNUMBER($K145)),$H145*$K145,0)</f>
        <v/>
      </c>
      <c r="M145" s="3" t="n"/>
      <c r="N145" s="3" t="n"/>
      <c r="O145" s="3" t="n"/>
      <c r="P145" s="3" t="n"/>
      <c r="Q145" s="3" t="n">
        <v>1</v>
      </c>
      <c r="R145" s="3" t="n"/>
      <c r="S145" s="3">
        <f>IF(AND(J145&lt;&gt;"",SUM(M145:R145)=0),J145,"")</f>
        <v/>
      </c>
      <c r="T145" s="3" t="n"/>
      <c r="U145" s="3" t="n"/>
      <c r="V145" s="3" t="n"/>
      <c r="W145" s="3" t="n"/>
      <c r="X145" s="3" t="n"/>
      <c r="Y145" s="3" t="n"/>
      <c r="Z145" s="3" t="n"/>
      <c r="AA145" s="2" t="inlineStr">
        <is>
          <t>Instant</t>
        </is>
      </c>
      <c r="AB145" s="2" t="n"/>
      <c r="AC145" s="2" t="inlineStr">
        <is>
          <t>B</t>
        </is>
      </c>
      <c r="AD145" s="3" t="n">
        <v>1</v>
      </c>
      <c r="AE145" s="29" t="inlineStr">
        <is>
          <t>Core Set 2021</t>
        </is>
      </c>
      <c r="AF145" s="29" t="inlineStr">
        <is>
          <t>Sacrifice Outlet</t>
        </is>
      </c>
      <c r="AG145" s="29" t="inlineStr">
        <is>
          <t>Sacrifice a creature to draw two cards</t>
        </is>
      </c>
      <c r="AH145" s="29" t="n"/>
      <c r="AI145" s="29" t="n"/>
      <c r="AJ145" s="2" t="inlineStr">
        <is>
          <t>Ordered 2026-09-02: TCGplayer $0.33 LP from The WKGR Online</t>
        </is>
      </c>
    </row>
    <row r="146" ht="15" customHeight="1" s="79">
      <c r="A146" s="2" t="inlineStr">
        <is>
          <t>Viscera Seer</t>
        </is>
      </c>
      <c r="B146" s="2">
        <f>IF(AND(F146&lt;&gt;0,E146=F146),"In Hand",IF(AND(E146&lt;&gt;0,E146&lt;F146,SUM(M146:R146)=0,SUM(T146:Y146)&gt;0),"Extra-Sub",IF(AND(E146=0,E146&lt;F146,SUM(M146:R146)=0,SUM(T146:Y146)&gt;0),"Bench-Sub",IF(AND(E146=0,F146&gt;0),"Bench",IF(E146&lt;F146,"Extra",IF(AND(J146="",E146&gt;F146),"To Buy",IF(SUM(J146,F146)&lt;E146,"To Buy",IF(AND(SUM(J146,F146)&gt;=E146,J146&lt;&gt;""),"Ordered",IF(AND(E146=0,F146=0,D146="B3"),"B3 Option",IF(AND(E146=0,F146=0),"Remove","To Buy"))))))))))</f>
        <v/>
      </c>
      <c r="D146" t="inlineStr">
        <is>
          <t>B2</t>
        </is>
      </c>
      <c r="E146" s="3">
        <f>SUM(M146:S146)</f>
        <v/>
      </c>
      <c r="F146" s="3">
        <f>SUM(T146:Z146)</f>
        <v/>
      </c>
      <c r="G146" s="3">
        <f>IF((F146-E146)&gt;=0,F146-E146,0)</f>
        <v/>
      </c>
      <c r="H146" s="3">
        <f>MAX(0,$E146-$F146-$J146)</f>
        <v/>
      </c>
      <c r="I146" s="3" t="inlineStr">
        <is>
          <t>TCG</t>
        </is>
      </c>
      <c r="J146" s="3" t="n">
        <v>1</v>
      </c>
      <c r="K146" s="4" t="n">
        <v>0.41</v>
      </c>
      <c r="L146" s="4">
        <f>IF(AND($H146&gt;0,ISNUMBER($K146)),$H146*$K146,0)</f>
        <v/>
      </c>
      <c r="M146" s="3" t="n"/>
      <c r="N146" s="3" t="n"/>
      <c r="O146" s="3" t="n"/>
      <c r="P146" s="3" t="n"/>
      <c r="Q146" s="3" t="n">
        <v>1</v>
      </c>
      <c r="R146" s="3" t="n"/>
      <c r="S146" s="3">
        <f>IF(AND(J146&lt;&gt;"",SUM(M146:R146)=0),J146,"")</f>
        <v/>
      </c>
      <c r="T146" s="3" t="n"/>
      <c r="U146" s="3" t="n"/>
      <c r="V146" s="3" t="n"/>
      <c r="W146" s="3" t="n"/>
      <c r="X146" s="3" t="n"/>
      <c r="Y146" s="3" t="n"/>
      <c r="Z146" s="3" t="n"/>
      <c r="AA146" s="2" t="inlineStr">
        <is>
          <t>Creature</t>
        </is>
      </c>
      <c r="AB146" s="2" t="inlineStr">
        <is>
          <t>Vampire Wizard</t>
        </is>
      </c>
      <c r="AC146" s="2" t="inlineStr">
        <is>
          <t>B</t>
        </is>
      </c>
      <c r="AD146" s="3" t="n">
        <v>1</v>
      </c>
      <c r="AE146" s="29" t="inlineStr">
        <is>
          <t>Magic 2011</t>
        </is>
      </c>
      <c r="AF146" s="29" t="inlineStr">
        <is>
          <t>Sacrifice Outlet</t>
        </is>
      </c>
      <c r="AG146" s="29" t="inlineStr">
        <is>
          <t>Sacrifice a creature: Scry 1</t>
        </is>
      </c>
      <c r="AH146" s="29" t="n"/>
      <c r="AI146" s="29" t="n"/>
      <c r="AJ146" s="2" t="inlineStr">
        <is>
          <t>Ordered 2026-09-02: TCGplayer $0.41 LP from The WKGR Online</t>
        </is>
      </c>
    </row>
    <row r="147" ht="15" customHeight="1" s="79">
      <c r="A147" s="2" t="inlineStr">
        <is>
          <t>Voyager Staff</t>
        </is>
      </c>
      <c r="B147" s="2">
        <f>IF(AND(F147&lt;&gt;0,E147=F147),"In Hand",IF(AND(E147&lt;&gt;0,E147&lt;F147,SUM(M147:R147)=0,SUM(T147:Y147)&gt;0),"Extra-Sub",IF(AND(E147=0,E147&lt;F147,SUM(M147:R147)=0,SUM(T147:Y147)&gt;0),"Bench-Sub",IF(AND(E147=0,F147&gt;0),"Bench",IF(E147&lt;F147,"Extra",IF(AND(J147="",E147&gt;F147),"To Buy",IF(SUM(J147,F147)&lt;E147,"To Buy",IF(AND(SUM(J147,F147)&gt;=E147,J147&lt;&gt;""),"Ordered",IF(AND(E147=0,F147=0,D147="B3"),"B3 Option",IF(AND(E147=0,F147=0),"Remove","To Buy"))))))))))</f>
        <v/>
      </c>
      <c r="D147" t="inlineStr">
        <is>
          <t>B2</t>
        </is>
      </c>
      <c r="E147" s="3">
        <f>SUM(M147:S147)</f>
        <v/>
      </c>
      <c r="F147" s="3">
        <f>SUM(T147:Z147)</f>
        <v/>
      </c>
      <c r="G147" s="3">
        <f>IF((F147-E147)&gt;=0,F147-E147,0)</f>
        <v/>
      </c>
      <c r="H147" s="3">
        <f>MAX(0,$E147-$F147-$J147)</f>
        <v/>
      </c>
      <c r="I147" s="37" t="inlineStr">
        <is>
          <t>TCG</t>
        </is>
      </c>
      <c r="J147" s="3" t="n">
        <v>1</v>
      </c>
      <c r="K147" s="4" t="n"/>
      <c r="L147" s="4">
        <f>IF(AND($H147&gt;0,ISNUMBER($K147)),$H147*$K147,0)</f>
        <v/>
      </c>
      <c r="M147" s="3" t="n"/>
      <c r="N147" s="3" t="n"/>
      <c r="O147" s="3" t="n"/>
      <c r="P147" s="3" t="n"/>
      <c r="Q147" s="3" t="n"/>
      <c r="R147" s="3" t="n"/>
      <c r="S147" s="3">
        <f>IF(AND(J147&lt;&gt;"",SUM(M147:R147)=0),J147,"")</f>
        <v/>
      </c>
      <c r="T147" s="3" t="n"/>
      <c r="U147" s="3" t="n"/>
      <c r="V147" s="3" t="n"/>
      <c r="W147" s="3" t="n"/>
      <c r="X147" s="3" t="n"/>
      <c r="Y147" s="3" t="n"/>
      <c r="Z147" s="3" t="n"/>
      <c r="AA147" s="2" t="inlineStr">
        <is>
          <t>?</t>
        </is>
      </c>
      <c r="AB147" s="2" t="n"/>
      <c r="AC147" s="2" t="inlineStr">
        <is>
          <t>C</t>
        </is>
      </c>
      <c r="AD147" s="3" t="n">
        <v>1</v>
      </c>
      <c r="AE147" s="29" t="inlineStr">
        <is>
          <t>Ravnica: City of Guilds</t>
        </is>
      </c>
      <c r="AF147" s="29" t="inlineStr">
        <is>
          <t>Blink</t>
        </is>
      </c>
      <c r="AG147" s="29" t="inlineStr">
        <is>
          <t>Sacrifice: exile target creature, return it at next end step</t>
        </is>
      </c>
      <c r="AH147" s="29" t="n"/>
      <c r="AI147" s="29" t="n"/>
      <c r="AJ147" s="2" t="inlineStr">
        <is>
          <t>arrives -&gt; Bench (slot was upgraded)</t>
        </is>
      </c>
    </row>
    <row r="148" ht="15" customHeight="1" s="79">
      <c r="A148" s="2" t="inlineStr">
        <is>
          <t>Walking Bulwark</t>
        </is>
      </c>
      <c r="B148" s="2">
        <f>IF(AND(F148&lt;&gt;0,E148=F148),"In Hand",IF(AND(E148&lt;&gt;0,E148&lt;F148,SUM(M148:R148)=0,SUM(T148:Y148)&gt;0),"Extra-Sub",IF(AND(E148=0,E148&lt;F148,SUM(M148:R148)=0,SUM(T148:Y148)&gt;0),"Bench-Sub",IF(AND(E148=0,F148&gt;0),"Bench",IF(E148&lt;F148,"Extra",IF(AND(J148="",E148&gt;F148),"To Buy",IF(SUM(J148,F148)&lt;E148,"To Buy",IF(AND(SUM(J148,F148)&gt;=E148,J148&lt;&gt;""),"Ordered",IF(AND(E148=0,F148=0,D148="B3"),"B3 Option",IF(AND(E148=0,F148=0),"Remove","To Buy"))))))))))</f>
        <v/>
      </c>
      <c r="D148" t="inlineStr">
        <is>
          <t>B2</t>
        </is>
      </c>
      <c r="E148" s="3">
        <f>SUM(M148:S148)</f>
        <v/>
      </c>
      <c r="F148" s="3">
        <f>SUM(T148:Z148)</f>
        <v/>
      </c>
      <c r="G148" s="3">
        <f>IF((F148-E148)&gt;=0,F148-E148,0)</f>
        <v/>
      </c>
      <c r="H148" s="3">
        <f>MAX(0,$E148-$F148-$J148)</f>
        <v/>
      </c>
      <c r="I148" s="37" t="inlineStr">
        <is>
          <t>TCG</t>
        </is>
      </c>
      <c r="J148" s="3" t="n">
        <v>1</v>
      </c>
      <c r="K148" s="4" t="n">
        <v>0.23</v>
      </c>
      <c r="L148" s="4">
        <f>IF(AND($H148&gt;0,ISNUMBER($K148)),$H148*$K148,0)</f>
        <v/>
      </c>
      <c r="M148" s="3" t="n"/>
      <c r="N148" s="3" t="n"/>
      <c r="O148" s="3" t="n"/>
      <c r="P148" s="3" t="n">
        <v>1</v>
      </c>
      <c r="Q148" s="3" t="n"/>
      <c r="R148" s="3" t="n"/>
      <c r="S148" s="3">
        <f>IF(AND(J148&lt;&gt;"",SUM(M148:R148)=0),J148,"")</f>
        <v/>
      </c>
      <c r="T148" s="3" t="n"/>
      <c r="U148" s="3" t="n"/>
      <c r="V148" s="3" t="n"/>
      <c r="W148" s="3" t="n"/>
      <c r="X148" s="3" t="n"/>
      <c r="Y148" s="3" t="n"/>
      <c r="Z148" s="3" t="n"/>
      <c r="AA148" s="2" t="inlineStr">
        <is>
          <t>Artifact Creature</t>
        </is>
      </c>
      <c r="AB148" s="2" t="inlineStr">
        <is>
          <t>Golem</t>
        </is>
      </c>
      <c r="AC148" s="2" t="inlineStr">
        <is>
          <t>C</t>
        </is>
      </c>
      <c r="AD148" s="3" t="n">
        <v>1</v>
      </c>
      <c r="AE148" s="29" t="inlineStr">
        <is>
          <t>Dominaria United</t>
        </is>
      </c>
      <c r="AF148" s="29" t="inlineStr">
        <is>
          <t>Toughness Payoff</t>
        </is>
      </c>
      <c r="AG148" s="29" t="inlineStr">
        <is>
          <t>Lets target defender attack, dealing damage equal to toughness</t>
        </is>
      </c>
      <c r="AH148" s="29" t="inlineStr">
        <is>
          <t>Defender body itself</t>
        </is>
      </c>
      <c r="AI148" s="29" t="n"/>
      <c r="AJ148" s="2" t="n"/>
    </row>
    <row r="149" ht="15" customHeight="1" s="79">
      <c r="A149" s="2" t="inlineStr">
        <is>
          <t>Wall of Limbs</t>
        </is>
      </c>
      <c r="B149" s="2">
        <f>IF(AND(F149&lt;&gt;0,E149=F149),"In Hand",IF(AND(E149&lt;&gt;0,E149&lt;F149,SUM(M149:R149)=0,SUM(T149:Y149)&gt;0),"Extra-Sub",IF(AND(E149=0,E149&lt;F149,SUM(M149:R149)=0,SUM(T149:Y149)&gt;0),"Bench-Sub",IF(AND(E149=0,F149&gt;0),"Bench",IF(E149&lt;F149,"Extra",IF(AND(J149="",E149&gt;F149),"To Buy",IF(SUM(J149,F149)&lt;E149,"To Buy",IF(AND(SUM(J149,F149)&gt;=E149,J149&lt;&gt;""),"Ordered",IF(AND(E149=0,F149=0,D149="B3"),"B3 Option",IF(AND(E149=0,F149=0),"Remove","To Buy"))))))))))</f>
        <v/>
      </c>
      <c r="D149" t="inlineStr">
        <is>
          <t>B2</t>
        </is>
      </c>
      <c r="E149" s="3">
        <f>SUM(M149:S149)</f>
        <v/>
      </c>
      <c r="F149" s="3">
        <f>SUM(T149:Z149)</f>
        <v/>
      </c>
      <c r="G149" s="3">
        <f>IF((F149-E149)&gt;=0,F149-E149,0)</f>
        <v/>
      </c>
      <c r="H149" s="3">
        <f>MAX(0,$E149-$F149-$J149)</f>
        <v/>
      </c>
      <c r="I149" s="37" t="inlineStr">
        <is>
          <t>TCG</t>
        </is>
      </c>
      <c r="J149" s="3" t="n">
        <v>1</v>
      </c>
      <c r="K149" s="4" t="n">
        <v>0.24</v>
      </c>
      <c r="L149" s="4">
        <f>IF(AND($H149&gt;0,ISNUMBER($K149)),$H149*$K149,0)</f>
        <v/>
      </c>
      <c r="M149" s="3" t="n"/>
      <c r="N149" s="3" t="n"/>
      <c r="O149" s="3" t="n"/>
      <c r="P149" s="3" t="n">
        <v>1</v>
      </c>
      <c r="Q149" s="3" t="n"/>
      <c r="R149" s="3" t="n"/>
      <c r="S149" s="3">
        <f>IF(AND(J149&lt;&gt;"",SUM(M149:R149)=0),J149,"")</f>
        <v/>
      </c>
      <c r="T149" s="3" t="n"/>
      <c r="U149" s="3" t="n"/>
      <c r="V149" s="3" t="n"/>
      <c r="W149" s="3" t="n"/>
      <c r="X149" s="3" t="n"/>
      <c r="Y149" s="3" t="n"/>
      <c r="Z149" s="3" t="n"/>
      <c r="AA149" s="2" t="inlineStr">
        <is>
          <t>Creature</t>
        </is>
      </c>
      <c r="AB149" s="2" t="inlineStr">
        <is>
          <t>Zombie Wall</t>
        </is>
      </c>
      <c r="AC149" s="2" t="inlineStr">
        <is>
          <t>B</t>
        </is>
      </c>
      <c r="AD149" s="3" t="n">
        <v>3</v>
      </c>
      <c r="AE149" s="29" t="inlineStr">
        <is>
          <t>Magic 2015</t>
        </is>
      </c>
      <c r="AF149" s="29" t="inlineStr">
        <is>
          <t>Toughness Payoff</t>
        </is>
      </c>
      <c r="AG149" s="29" t="inlineStr">
        <is>
          <t>Gets a +1/+1 counter whenever you gain life</t>
        </is>
      </c>
      <c r="AH149" s="29" t="inlineStr">
        <is>
          <t>Sacrifice: target player loses life equal to this creature's power</t>
        </is>
      </c>
      <c r="AI149" s="29" t="inlineStr">
        <is>
          <t>Defender body</t>
        </is>
      </c>
      <c r="AJ149" s="2" t="n"/>
    </row>
    <row r="150" ht="15" customHeight="1" s="79">
      <c r="A150" s="2" t="inlineStr">
        <is>
          <t>Wall of Omens</t>
        </is>
      </c>
      <c r="B150" s="2">
        <f>IF(AND(F150&lt;&gt;0,E150=F150),"In Hand",IF(AND(E150&lt;&gt;0,E150&lt;F150,SUM(M150:R150)=0,SUM(T150:Y150)&gt;0),"Extra-Sub",IF(AND(E150=0,E150&lt;F150,SUM(M150:R150)=0,SUM(T150:Y150)&gt;0),"Bench-Sub",IF(AND(E150=0,F150&gt;0),"Bench",IF(E150&lt;F150,"Extra",IF(AND(J150="",E150&gt;F150),"To Buy",IF(SUM(J150,F150)&lt;E150,"To Buy",IF(AND(SUM(J150,F150)&gt;=E150,J150&lt;&gt;""),"Ordered",IF(AND(E150=0,F150=0,D150="B3"),"B3 Option",IF(AND(E150=0,F150=0),"Remove","To Buy"))))))))))</f>
        <v/>
      </c>
      <c r="D150" t="inlineStr">
        <is>
          <t>B2</t>
        </is>
      </c>
      <c r="E150" s="3">
        <f>SUM(M150:S150)</f>
        <v/>
      </c>
      <c r="F150" s="3">
        <f>SUM(T150:Z150)</f>
        <v/>
      </c>
      <c r="G150" s="3">
        <f>IF((F150-E150)&gt;=0,F150-E150,0)</f>
        <v/>
      </c>
      <c r="H150" s="3">
        <f>MAX(0,$E150-$F150-$J150)</f>
        <v/>
      </c>
      <c r="I150" s="37" t="inlineStr">
        <is>
          <t>TCG</t>
        </is>
      </c>
      <c r="J150" s="3" t="n">
        <v>1</v>
      </c>
      <c r="K150" s="4" t="n">
        <v>0.28</v>
      </c>
      <c r="L150" s="4">
        <f>IF(AND($H150&gt;0,ISNUMBER($K150)),$H150*$K150,0)</f>
        <v/>
      </c>
      <c r="M150" s="3" t="n"/>
      <c r="N150" s="3" t="n"/>
      <c r="O150" s="3" t="n"/>
      <c r="P150" s="3" t="n">
        <v>1</v>
      </c>
      <c r="Q150" s="3" t="n"/>
      <c r="R150" s="3" t="n"/>
      <c r="S150" s="3">
        <f>IF(AND(J150&lt;&gt;"",SUM(M150:R150)=0),J150,"")</f>
        <v/>
      </c>
      <c r="T150" s="3" t="n"/>
      <c r="U150" s="3" t="n"/>
      <c r="V150" s="3" t="n"/>
      <c r="W150" s="3" t="n"/>
      <c r="X150" s="3" t="n"/>
      <c r="Y150" s="3" t="n"/>
      <c r="Z150" s="3" t="n"/>
      <c r="AA150" s="2" t="inlineStr">
        <is>
          <t>Creature</t>
        </is>
      </c>
      <c r="AB150" s="2" t="inlineStr">
        <is>
          <t>Wall</t>
        </is>
      </c>
      <c r="AC150" s="2" t="inlineStr">
        <is>
          <t>W</t>
        </is>
      </c>
      <c r="AD150" s="3" t="n">
        <v>2</v>
      </c>
      <c r="AE150" s="29" t="inlineStr">
        <is>
          <t>Rise of the Eldrazi</t>
        </is>
      </c>
      <c r="AF150" s="29" t="inlineStr">
        <is>
          <t>Card Draw</t>
        </is>
      </c>
      <c r="AG150" s="29" t="inlineStr">
        <is>
          <t>Draws a card when it enters</t>
        </is>
      </c>
      <c r="AH150" s="29" t="inlineStr">
        <is>
          <t>Defender body</t>
        </is>
      </c>
      <c r="AI150" s="29" t="n"/>
      <c r="AJ150" s="2" t="n"/>
    </row>
    <row r="151" ht="15" customHeight="1" s="79">
      <c r="A151" s="2" t="inlineStr">
        <is>
          <t>Wall of Reverence</t>
        </is>
      </c>
      <c r="B151" s="2">
        <f>IF(AND(F151&lt;&gt;0,E151=F151),"In Hand",IF(AND(E151&lt;&gt;0,E151&lt;F151,SUM(M151:R151)=0,SUM(T151:Y151)&gt;0),"Extra-Sub",IF(AND(E151=0,E151&lt;F151,SUM(M151:R151)=0,SUM(T151:Y151)&gt;0),"Bench-Sub",IF(AND(E151=0,F151&gt;0),"Bench",IF(E151&lt;F151,"Extra",IF(AND(J151="",E151&gt;F151),"To Buy",IF(SUM(J151,F151)&lt;E151,"To Buy",IF(AND(SUM(J151,F151)&gt;=E151,J151&lt;&gt;""),"Ordered",IF(AND(E151=0,F151=0,D151="B3"),"B3 Option",IF(AND(E151=0,F151=0),"Remove","To Buy"))))))))))</f>
        <v/>
      </c>
      <c r="D151" t="inlineStr">
        <is>
          <t>B2</t>
        </is>
      </c>
      <c r="E151" s="3">
        <f>SUM(M151:S151)</f>
        <v/>
      </c>
      <c r="F151" s="3">
        <f>SUM(T151:Z151)</f>
        <v/>
      </c>
      <c r="G151" s="3">
        <f>IF((F151-E151)&gt;=0,F151-E151,0)</f>
        <v/>
      </c>
      <c r="H151" s="3">
        <f>MAX(0,$E151-$F151-$J151)</f>
        <v/>
      </c>
      <c r="I151" s="37" t="inlineStr">
        <is>
          <t>TCG</t>
        </is>
      </c>
      <c r="J151" s="3" t="n">
        <v>1</v>
      </c>
      <c r="K151" s="4" t="n">
        <v>0.36</v>
      </c>
      <c r="L151" s="4">
        <f>IF(AND($H151&gt;0,ISNUMBER($K151)),$H151*$K151,0)</f>
        <v/>
      </c>
      <c r="M151" s="3" t="n"/>
      <c r="N151" s="3" t="n"/>
      <c r="O151" s="3" t="n"/>
      <c r="P151" s="3" t="n">
        <v>1</v>
      </c>
      <c r="Q151" s="3" t="n"/>
      <c r="R151" s="3" t="n"/>
      <c r="S151" s="3">
        <f>IF(AND(J151&lt;&gt;"",SUM(M151:R151)=0),J151,"")</f>
        <v/>
      </c>
      <c r="T151" s="3" t="n"/>
      <c r="U151" s="3" t="n"/>
      <c r="V151" s="3" t="n"/>
      <c r="W151" s="3" t="n"/>
      <c r="X151" s="3" t="n"/>
      <c r="Y151" s="3" t="n"/>
      <c r="Z151" s="3" t="n"/>
      <c r="AA151" s="2" t="inlineStr">
        <is>
          <t>Creature</t>
        </is>
      </c>
      <c r="AB151" s="2" t="inlineStr">
        <is>
          <t>Spirit Wall</t>
        </is>
      </c>
      <c r="AC151" s="2" t="inlineStr">
        <is>
          <t>W</t>
        </is>
      </c>
      <c r="AD151" s="3" t="n">
        <v>4</v>
      </c>
      <c r="AE151" s="29" t="inlineStr">
        <is>
          <t>Conflux</t>
        </is>
      </c>
      <c r="AF151" s="29" t="inlineStr">
        <is>
          <t>Lifegain</t>
        </is>
      </c>
      <c r="AG151" s="29" t="inlineStr">
        <is>
          <t>May gain life equal to a target creature's power each end step</t>
        </is>
      </c>
      <c r="AH151" s="29" t="inlineStr">
        <is>
          <t>Defender, flying body</t>
        </is>
      </c>
      <c r="AI151" s="29" t="n"/>
      <c r="AJ151" s="2" t="n"/>
    </row>
    <row r="152" ht="15" customHeight="1" s="79">
      <c r="A152" s="2" t="inlineStr">
        <is>
          <t>Wall of Roots</t>
        </is>
      </c>
      <c r="B152" s="2">
        <f>IF(AND(F152&lt;&gt;0,E152=F152),"In Hand",IF(AND(E152&lt;&gt;0,E152&lt;F152,SUM(M152:R152)=0,SUM(T152:Y152)&gt;0),"Extra-Sub",IF(AND(E152=0,E152&lt;F152,SUM(M152:R152)=0,SUM(T152:Y152)&gt;0),"Bench-Sub",IF(AND(E152=0,F152&gt;0),"Bench",IF(E152&lt;F152,"Extra",IF(AND(J152="",E152&gt;F152),"To Buy",IF(SUM(J152,F152)&lt;E152,"To Buy",IF(AND(SUM(J152,F152)&gt;=E152,J152&lt;&gt;""),"Ordered",IF(AND(E152=0,F152=0,D152="B3"),"B3 Option",IF(AND(E152=0,F152=0),"Remove","To Buy"))))))))))</f>
        <v/>
      </c>
      <c r="D152" t="inlineStr">
        <is>
          <t>B2</t>
        </is>
      </c>
      <c r="E152" s="3">
        <f>SUM(M152:S152)</f>
        <v/>
      </c>
      <c r="F152" s="3">
        <f>SUM(T152:Z152)</f>
        <v/>
      </c>
      <c r="G152" s="3">
        <f>IF((F152-E152)&gt;=0,F152-E152,0)</f>
        <v/>
      </c>
      <c r="H152" s="3">
        <f>MAX(0,$E152-$F152-$J152)</f>
        <v/>
      </c>
      <c r="I152" s="37" t="inlineStr">
        <is>
          <t>TCG</t>
        </is>
      </c>
      <c r="J152" s="3" t="n">
        <v>1</v>
      </c>
      <c r="K152" s="4" t="n">
        <v>0.23</v>
      </c>
      <c r="L152" s="4">
        <f>IF(AND($H152&gt;0,ISNUMBER($K152)),$H152*$K152,0)</f>
        <v/>
      </c>
      <c r="M152" s="3" t="n"/>
      <c r="N152" s="3" t="n"/>
      <c r="O152" s="3" t="n"/>
      <c r="P152" s="3" t="n">
        <v>1</v>
      </c>
      <c r="Q152" s="3" t="n"/>
      <c r="R152" s="3" t="n"/>
      <c r="S152" s="3">
        <f>IF(AND(J152&lt;&gt;"",SUM(M152:R152)=0),J152,"")</f>
        <v/>
      </c>
      <c r="T152" s="3" t="n"/>
      <c r="U152" s="3" t="n"/>
      <c r="V152" s="3" t="n"/>
      <c r="W152" s="3" t="n"/>
      <c r="X152" s="3" t="n"/>
      <c r="Y152" s="3" t="n"/>
      <c r="Z152" s="3" t="n"/>
      <c r="AA152" s="2" t="inlineStr">
        <is>
          <t>Creature</t>
        </is>
      </c>
      <c r="AB152" s="2" t="inlineStr">
        <is>
          <t>Plant Wall</t>
        </is>
      </c>
      <c r="AC152" s="2" t="inlineStr">
        <is>
          <t>G</t>
        </is>
      </c>
      <c r="AD152" s="3" t="n">
        <v>2</v>
      </c>
      <c r="AE152" s="29" t="inlineStr">
        <is>
          <t>Mirage</t>
        </is>
      </c>
      <c r="AF152" s="29" t="inlineStr">
        <is>
          <t>Ramp</t>
        </is>
      </c>
      <c r="AG152" s="29" t="inlineStr">
        <is>
          <t>Put a -0/-1 counter on itself to add {G}, once per turn</t>
        </is>
      </c>
      <c r="AH152" s="29" t="inlineStr">
        <is>
          <t>Defender body</t>
        </is>
      </c>
      <c r="AI152" s="29" t="n"/>
      <c r="AJ152" s="2" t="n"/>
    </row>
    <row r="153" ht="15" customHeight="1" s="79">
      <c r="A153" s="2" t="inlineStr">
        <is>
          <t>Wave of Reckoning</t>
        </is>
      </c>
      <c r="B153" s="2">
        <f>IF(AND(F153&lt;&gt;0,E153=F153),"In Hand",IF(AND(E153&lt;&gt;0,E153&lt;F153,SUM(M153:R153)=0,SUM(T153:Y153)&gt;0),"Extra-Sub",IF(AND(E153=0,E153&lt;F153,SUM(M153:R153)=0,SUM(T153:Y153)&gt;0),"Bench-Sub",IF(AND(E153=0,F153&gt;0),"Bench",IF(E153&lt;F153,"Extra",IF(AND(J153="",E153&gt;F153),"To Buy",IF(SUM(J153,F153)&lt;E153,"To Buy",IF(AND(SUM(J153,F153)&gt;=E153,J153&lt;&gt;""),"Ordered",IF(AND(E153=0,F153=0,D153="B3"),"B3 Option",IF(AND(E153=0,F153=0),"Remove","To Buy"))))))))))</f>
        <v/>
      </c>
      <c r="D153" t="inlineStr">
        <is>
          <t>B2</t>
        </is>
      </c>
      <c r="E153" s="3">
        <f>SUM(M153:S153)</f>
        <v/>
      </c>
      <c r="F153" s="3">
        <f>SUM(T153:Z153)</f>
        <v/>
      </c>
      <c r="G153" s="3">
        <f>IF((F153-E153)&gt;=0,F153-E153,0)</f>
        <v/>
      </c>
      <c r="H153" s="3">
        <f>MAX(0,$E153-$F153-$J153)</f>
        <v/>
      </c>
      <c r="I153" s="3" t="inlineStr">
        <is>
          <t>TCG</t>
        </is>
      </c>
      <c r="J153" s="3" t="n">
        <v>1</v>
      </c>
      <c r="K153" s="4" t="n">
        <v>0.4</v>
      </c>
      <c r="L153" s="4">
        <f>IF(AND($H153&gt;0,ISNUMBER($K153)),$H153*$K153,0)</f>
        <v/>
      </c>
      <c r="M153" s="3" t="n"/>
      <c r="N153" s="3" t="n"/>
      <c r="O153" s="3" t="n">
        <v>1</v>
      </c>
      <c r="P153" s="3" t="n">
        <v>1</v>
      </c>
      <c r="Q153" s="3" t="n"/>
      <c r="R153" s="3" t="n"/>
      <c r="S153" s="3">
        <f>IF(AND(J153&lt;&gt;"",SUM(M153:R153)=0),J153,"")</f>
        <v/>
      </c>
      <c r="T153" s="3" t="n"/>
      <c r="U153" s="3" t="n"/>
      <c r="V153" s="3" t="n">
        <v>1</v>
      </c>
      <c r="W153" s="3" t="n"/>
      <c r="X153" s="3" t="n"/>
      <c r="Y153" s="3" t="n"/>
      <c r="Z153" s="3" t="n"/>
      <c r="AA153" s="2" t="inlineStr">
        <is>
          <t>Sorcery</t>
        </is>
      </c>
      <c r="AB153" s="2" t="n"/>
      <c r="AC153" s="2" t="inlineStr">
        <is>
          <t>W</t>
        </is>
      </c>
      <c r="AD153" s="3" t="n">
        <v>5</v>
      </c>
      <c r="AE153" s="29" t="inlineStr">
        <is>
          <t>Mercadian Masques</t>
        </is>
      </c>
      <c r="AF153" s="29" t="inlineStr">
        <is>
          <t>Board Wipe</t>
        </is>
      </c>
      <c r="AG153" s="29" t="inlineStr">
        <is>
          <t>Each creature deals damage to itself equal to its power</t>
        </is>
      </c>
      <c r="AH153" s="29" t="n"/>
      <c r="AI153" s="29" t="n"/>
      <c r="AJ153" s="2" t="inlineStr">
        <is>
          <t>own 1 of 2 needed; Ordered 2026-09-02: TCGplayer $0.40 NM from NostalgiAtog</t>
        </is>
      </c>
    </row>
    <row r="154" ht="15" customHeight="1" s="79">
      <c r="A154" s="2" t="inlineStr">
        <is>
          <t>Welcoming Vampire</t>
        </is>
      </c>
      <c r="B154" s="2">
        <f>IF(AND(F154&lt;&gt;0,E154=F154),"In Hand",IF(AND(E154&lt;&gt;0,E154&lt;F154,SUM(M154:R154)=0,SUM(T154:Y154)&gt;0),"Extra-Sub",IF(AND(E154=0,E154&lt;F154,SUM(M154:R154)=0,SUM(T154:Y154)&gt;0),"Bench-Sub",IF(AND(E154=0,F154&gt;0),"Bench",IF(E154&lt;F154,"Extra",IF(AND(J154="",E154&gt;F154),"To Buy",IF(SUM(J154,F154)&lt;E154,"To Buy",IF(AND(SUM(J154,F154)&gt;=E154,J154&lt;&gt;""),"Ordered",IF(AND(E154=0,F154=0,D154="B3"),"B3 Option",IF(AND(E154=0,F154=0),"Remove","To Buy"))))))))))</f>
        <v/>
      </c>
      <c r="D154" t="inlineStr">
        <is>
          <t>B2</t>
        </is>
      </c>
      <c r="E154" s="3">
        <f>SUM(M154:S154)</f>
        <v/>
      </c>
      <c r="F154" s="3">
        <f>SUM(T154:Z154)</f>
        <v/>
      </c>
      <c r="G154" s="3">
        <f>IF((F154-E154)&gt;=0,F154-E154,0)</f>
        <v/>
      </c>
      <c r="H154" s="3">
        <f>MAX(0,$E154-$F154-$J154)</f>
        <v/>
      </c>
      <c r="I154" s="3" t="inlineStr">
        <is>
          <t>TCG</t>
        </is>
      </c>
      <c r="J154" s="3" t="n">
        <v>1</v>
      </c>
      <c r="K154" s="4" t="n">
        <v>3.81</v>
      </c>
      <c r="L154" s="4">
        <f>IF(AND($H154&gt;0,ISNUMBER($K154)),$H154*$K154,0)</f>
        <v/>
      </c>
      <c r="M154" s="3" t="n"/>
      <c r="N154" s="3" t="n"/>
      <c r="O154" s="3" t="n"/>
      <c r="P154" s="3" t="n"/>
      <c r="Q154" s="3" t="n">
        <v>1</v>
      </c>
      <c r="R154" s="3" t="n"/>
      <c r="S154" s="3">
        <f>IF(AND(J154&lt;&gt;"",SUM(M154:R154)=0),J154,"")</f>
        <v/>
      </c>
      <c r="T154" s="3" t="n"/>
      <c r="U154" s="3" t="n"/>
      <c r="V154" s="3" t="n"/>
      <c r="W154" s="3" t="n"/>
      <c r="X154" s="3" t="n"/>
      <c r="Y154" s="3" t="n"/>
      <c r="Z154" s="3" t="n"/>
      <c r="AA154" s="2" t="inlineStr">
        <is>
          <t>Creature</t>
        </is>
      </c>
      <c r="AB154" s="2" t="inlineStr">
        <is>
          <t>Vampire</t>
        </is>
      </c>
      <c r="AC154" s="2" t="inlineStr">
        <is>
          <t>W</t>
        </is>
      </c>
      <c r="AD154" s="3" t="n">
        <v>3</v>
      </c>
      <c r="AE154" s="29" t="inlineStr">
        <is>
          <t>Innistrad: Crimson Vow</t>
        </is>
      </c>
      <c r="AF154" s="29" t="inlineStr">
        <is>
          <t>Card Draw</t>
        </is>
      </c>
      <c r="AG154" s="29" t="inlineStr">
        <is>
          <t>Draws a card (once per turn) when creatures with power 2 or less you control enter</t>
        </is>
      </c>
      <c r="AH154" s="29" t="inlineStr">
        <is>
          <t>Flying body</t>
        </is>
      </c>
      <c r="AI154" s="29" t="n"/>
      <c r="AJ154" s="2" t="inlineStr">
        <is>
          <t>Ordered 2026-09-02: TCGplayer $3.29 NM from NostalgiAtog</t>
        </is>
      </c>
    </row>
    <row r="155" ht="15" customHeight="1" s="79">
      <c r="A155" s="2" t="inlineStr">
        <is>
          <t>Witty Roastmaster</t>
        </is>
      </c>
      <c r="B155" s="2">
        <f>IF(AND(F155&lt;&gt;0,E155=F155),"In Hand",IF(AND(E155&lt;&gt;0,E155&lt;F155,SUM(M155:R155)=0,SUM(T155:Y155)&gt;0),"Extra-Sub",IF(AND(E155=0,E155&lt;F155,SUM(M155:R155)=0,SUM(T155:Y155)&gt;0),"Bench-Sub",IF(AND(E155=0,F155&gt;0),"Bench",IF(E155&lt;F155,"Extra",IF(AND(J155="",E155&gt;F155),"To Buy",IF(SUM(J155,F155)&lt;E155,"To Buy",IF(AND(SUM(J155,F155)&gt;=E155,J155&lt;&gt;""),"Ordered",IF(AND(E155=0,F155=0,D155="B3"),"B3 Option",IF(AND(E155=0,F155=0),"Remove","To Buy"))))))))))</f>
        <v/>
      </c>
      <c r="D155" t="inlineStr">
        <is>
          <t>B2</t>
        </is>
      </c>
      <c r="E155" s="3">
        <f>SUM(M155:S155)</f>
        <v/>
      </c>
      <c r="F155" s="3">
        <f>SUM(T155:Z155)</f>
        <v/>
      </c>
      <c r="G155" s="3">
        <f>IF((F155-E155)&gt;=0,F155-E155,0)</f>
        <v/>
      </c>
      <c r="H155" s="3">
        <f>MAX(0,$E155-$F155-$J155)</f>
        <v/>
      </c>
      <c r="I155" s="3" t="inlineStr">
        <is>
          <t>TCG</t>
        </is>
      </c>
      <c r="J155" s="3" t="n">
        <v>1</v>
      </c>
      <c r="K155" s="4" t="n">
        <v>1.45</v>
      </c>
      <c r="L155" s="4">
        <f>IF(AND($H155&gt;0,ISNUMBER($K155)),$H155*$K155,0)</f>
        <v/>
      </c>
      <c r="M155" s="3" t="n"/>
      <c r="N155" s="3" t="n"/>
      <c r="O155" s="3" t="n"/>
      <c r="P155" s="3" t="n"/>
      <c r="Q155" s="3" t="n"/>
      <c r="R155" s="3" t="n">
        <v>1</v>
      </c>
      <c r="S155" s="3">
        <f>IF(AND(J155&lt;&gt;"",SUM(M155:R155)=0),J155,"")</f>
        <v/>
      </c>
      <c r="T155" s="3" t="n"/>
      <c r="U155" s="3" t="n"/>
      <c r="V155" s="3" t="n"/>
      <c r="W155" s="3" t="n"/>
      <c r="X155" s="3" t="n"/>
      <c r="Y155" s="3" t="n"/>
      <c r="Z155" s="3" t="n"/>
      <c r="AA155" s="2" t="inlineStr">
        <is>
          <t>Creature</t>
        </is>
      </c>
      <c r="AB155" s="2" t="inlineStr">
        <is>
          <t>Devil Citizen</t>
        </is>
      </c>
      <c r="AC155" s="2" t="inlineStr">
        <is>
          <t>R</t>
        </is>
      </c>
      <c r="AD155" s="3" t="n">
        <v>3</v>
      </c>
      <c r="AE155" s="29" t="inlineStr">
        <is>
          <t>Streets of New Capenna</t>
        </is>
      </c>
      <c r="AF155" s="29" t="inlineStr">
        <is>
          <t>Burn</t>
        </is>
      </c>
      <c r="AG155" s="29" t="inlineStr">
        <is>
          <t>Whenever another creature you control enters, deals 1 damage to each opponent</t>
        </is>
      </c>
      <c r="AH155" s="29" t="n"/>
      <c r="AI155" s="29" t="n"/>
      <c r="AJ155" s="2" t="inlineStr">
        <is>
          <t>Ordered 2026-09-02: TCGplayer $1.85 LPF from The WKGR Online</t>
        </is>
      </c>
    </row>
    <row r="156" ht="15" customHeight="1" s="79">
      <c r="A156" s="2" t="inlineStr">
        <is>
          <t>Zetalpa, Primal Dawn</t>
        </is>
      </c>
      <c r="B156" s="2">
        <f>IF(AND(F156&lt;&gt;0,E156=F156),"In Hand",IF(AND(E156&lt;&gt;0,E156&lt;F156,SUM(M156:R156)=0,SUM(T156:Y156)&gt;0),"Extra-Sub",IF(AND(E156=0,E156&lt;F156,SUM(M156:R156)=0,SUM(T156:Y156)&gt;0),"Bench-Sub",IF(AND(E156=0,F156&gt;0),"Bench",IF(E156&lt;F156,"Extra",IF(AND(J156="",E156&gt;F156),"To Buy",IF(SUM(J156,F156)&lt;E156,"To Buy",IF(AND(SUM(J156,F156)&gt;=E156,J156&lt;&gt;""),"Ordered",IF(AND(E156=0,F156=0,D156="B3"),"B3 Option",IF(AND(E156=0,F156=0),"Remove","To Buy"))))))))))</f>
        <v/>
      </c>
      <c r="D156" t="inlineStr">
        <is>
          <t>B2</t>
        </is>
      </c>
      <c r="E156" s="3">
        <f>SUM(M156:S156)</f>
        <v/>
      </c>
      <c r="F156" s="3">
        <f>SUM(T156:Z156)</f>
        <v/>
      </c>
      <c r="G156" s="3">
        <f>IF((F156-E156)&gt;=0,F156-E156,0)</f>
        <v/>
      </c>
      <c r="H156" s="3">
        <f>MAX(0,$E156-$F156-$J156)</f>
        <v/>
      </c>
      <c r="I156" s="37" t="inlineStr">
        <is>
          <t>TCG</t>
        </is>
      </c>
      <c r="J156" s="3" t="n">
        <v>1</v>
      </c>
      <c r="K156" s="4" t="n">
        <v>0.31</v>
      </c>
      <c r="L156" s="4">
        <f>IF(AND($H156&gt;0,ISNUMBER($K156)),$H156*$K156,0)</f>
        <v/>
      </c>
      <c r="M156" s="3" t="n"/>
      <c r="N156" s="3" t="n"/>
      <c r="O156" s="3" t="n"/>
      <c r="P156" s="3" t="n">
        <v>1</v>
      </c>
      <c r="Q156" s="3" t="n"/>
      <c r="R156" s="3" t="n"/>
      <c r="S156" s="3">
        <f>IF(AND(J156&lt;&gt;"",SUM(M156:R156)=0),J156,"")</f>
        <v/>
      </c>
      <c r="T156" s="3" t="n"/>
      <c r="U156" s="3" t="n"/>
      <c r="V156" s="3" t="n"/>
      <c r="W156" s="3" t="n"/>
      <c r="X156" s="3" t="n"/>
      <c r="Y156" s="3" t="n"/>
      <c r="Z156" s="3" t="n"/>
      <c r="AA156" s="2" t="inlineStr">
        <is>
          <t>Legendary Creature</t>
        </is>
      </c>
      <c r="AB156" s="2" t="inlineStr">
        <is>
          <t>Elder Dinosaur</t>
        </is>
      </c>
      <c r="AC156" s="2" t="inlineStr">
        <is>
          <t>W</t>
        </is>
      </c>
      <c r="AD156" s="3" t="n">
        <v>8</v>
      </c>
      <c r="AE156" s="29" t="inlineStr">
        <is>
          <t>Rivals of Ixalan</t>
        </is>
      </c>
      <c r="AF156" s="29" t="inlineStr">
        <is>
          <t>Finisher</t>
        </is>
      </c>
      <c r="AG156" s="29" t="inlineStr">
        <is>
          <t>Evasive double-strike attacker that dodges most removal</t>
        </is>
      </c>
      <c r="AH156" s="29" t="inlineStr">
        <is>
          <t>Very hard to kill in combat or by damage</t>
        </is>
      </c>
      <c r="AI156" s="29" t="n"/>
      <c r="AJ156" s="2" t="n"/>
    </row>
    <row r="157" ht="15" customHeight="1" s="79">
      <c r="A157" s="2" t="inlineStr">
        <is>
          <t>Zulaport Cutthroat</t>
        </is>
      </c>
      <c r="B157" s="2">
        <f>IF(AND(F157&lt;&gt;0,E157=F157),"In Hand",IF(AND(E157&lt;&gt;0,E157&lt;F157,SUM(M157:R157)=0,SUM(T157:Y157)&gt;0),"Extra-Sub",IF(AND(E157=0,E157&lt;F157,SUM(M157:R157)=0,SUM(T157:Y157)&gt;0),"Bench-Sub",IF(AND(E157=0,F157&gt;0),"Bench",IF(E157&lt;F157,"Extra",IF(AND(J157="",E157&gt;F157),"To Buy",IF(SUM(J157,F157)&lt;E157,"To Buy",IF(AND(SUM(J157,F157)&gt;=E157,J157&lt;&gt;""),"Ordered",IF(AND(E157=0,F157=0,D157="B3"),"B3 Option",IF(AND(E157=0,F157=0),"Remove","To Buy"))))))))))</f>
        <v/>
      </c>
      <c r="D157" t="inlineStr">
        <is>
          <t>B2</t>
        </is>
      </c>
      <c r="E157" s="3">
        <f>SUM(M157:S157)</f>
        <v/>
      </c>
      <c r="F157" s="3">
        <f>SUM(T157:Z157)</f>
        <v/>
      </c>
      <c r="G157" s="3">
        <f>IF((F157-E157)&gt;=0,F157-E157,0)</f>
        <v/>
      </c>
      <c r="H157" s="3">
        <f>MAX(0,$E157-$F157-$J157)</f>
        <v/>
      </c>
      <c r="I157" s="3" t="inlineStr">
        <is>
          <t>TCG</t>
        </is>
      </c>
      <c r="J157" s="3" t="n">
        <v>1</v>
      </c>
      <c r="K157" s="4" t="n">
        <v>1.32</v>
      </c>
      <c r="L157" s="4">
        <f>IF(AND($H157&gt;0,ISNUMBER($K157)),$H157*$K157,0)</f>
        <v/>
      </c>
      <c r="M157" s="3" t="n"/>
      <c r="N157" s="3" t="n"/>
      <c r="O157" s="3" t="n"/>
      <c r="P157" s="3" t="n"/>
      <c r="Q157" s="3" t="n">
        <v>1</v>
      </c>
      <c r="R157" s="3" t="n"/>
      <c r="S157" s="3">
        <f>IF(AND(J157&lt;&gt;"",SUM(M157:R157)=0),J157,"")</f>
        <v/>
      </c>
      <c r="T157" s="3" t="n"/>
      <c r="U157" s="3" t="n"/>
      <c r="V157" s="3" t="n"/>
      <c r="W157" s="3" t="n"/>
      <c r="X157" s="3" t="n"/>
      <c r="Y157" s="3" t="n"/>
      <c r="Z157" s="3" t="n"/>
      <c r="AA157" s="2" t="inlineStr">
        <is>
          <t>Creature</t>
        </is>
      </c>
      <c r="AB157" s="2" t="inlineStr">
        <is>
          <t>Human Rogue Ally</t>
        </is>
      </c>
      <c r="AC157" s="2" t="inlineStr">
        <is>
          <t>B</t>
        </is>
      </c>
      <c r="AD157" s="3" t="n">
        <v>2</v>
      </c>
      <c r="AE157" s="29" t="inlineStr">
        <is>
          <t>Battle for Zendikar</t>
        </is>
      </c>
      <c r="AF157" s="29" t="inlineStr">
        <is>
          <t>Drain Payoff</t>
        </is>
      </c>
      <c r="AG157" s="29" t="inlineStr">
        <is>
          <t>Whenever it or another creature you control dies, each opponent loses 1 life and you gain 1 life</t>
        </is>
      </c>
      <c r="AH157" s="29" t="n"/>
      <c r="AI157" s="29" t="n"/>
      <c r="AJ157" s="2" t="inlineStr">
        <is>
          <t>Ordered 2026-09-02: TCGplayer $0.96 LP from The Next Level Games</t>
        </is>
      </c>
    </row>
    <row r="158" ht="15" customHeight="1" s="79">
      <c r="A158" s="2" t="inlineStr">
        <is>
          <t>Arcane Signet</t>
        </is>
      </c>
      <c r="B158" s="2">
        <f>IF(AND(F158&lt;&gt;0,E158=F158),"In Hand",IF(AND(E158&lt;&gt;0,E158&lt;F158,SUM(M158:R158)=0,SUM(T158:Y158)&gt;0),"Extra-Sub",IF(AND(E158=0,E158&lt;F158,SUM(M158:R158)=0,SUM(T158:Y158)&gt;0),"Bench-Sub",IF(AND(E158=0,F158&gt;0),"Bench",IF(E158&lt;F158,"Extra",IF(AND(J158="",E158&gt;F158),"To Buy",IF(SUM(J158,F158)&lt;E158,"To Buy",IF(AND(SUM(J158,F158)&gt;=E158,J158&lt;&gt;""),"Ordered",IF(AND(E158=0,F158=0,D158="B3"),"B3 Option",IF(AND(E158=0,F158=0),"Remove","To Buy"))))))))))</f>
        <v/>
      </c>
      <c r="D158" t="inlineStr">
        <is>
          <t>B2</t>
        </is>
      </c>
      <c r="E158" s="3">
        <f>SUM(M158:S158)</f>
        <v/>
      </c>
      <c r="F158" s="3">
        <f>SUM(T158:Z158)</f>
        <v/>
      </c>
      <c r="G158" s="3">
        <f>IF((F158-E158)&gt;=0,F158-E158,0)</f>
        <v/>
      </c>
      <c r="H158" s="3">
        <f>MAX(0,$E158-$F158-$J158)</f>
        <v/>
      </c>
      <c r="I158" s="3" t="inlineStr">
        <is>
          <t>TCG x2</t>
        </is>
      </c>
      <c r="J158" s="3" t="n">
        <v>2</v>
      </c>
      <c r="K158" s="4" t="n">
        <v>0.58</v>
      </c>
      <c r="L158" s="4">
        <f>IF(AND($H158&gt;0,ISNUMBER($K158)),$H158*$K158,0)</f>
        <v/>
      </c>
      <c r="M158" s="3" t="n">
        <v>1</v>
      </c>
      <c r="N158" s="3" t="n"/>
      <c r="O158" s="3" t="n"/>
      <c r="P158" s="3" t="n"/>
      <c r="Q158" s="3" t="n">
        <v>1</v>
      </c>
      <c r="R158" s="3" t="n">
        <v>1</v>
      </c>
      <c r="S158" s="3">
        <f>IF(AND(J158&lt;&gt;"",SUM(M158:R158)=0),J158,"")</f>
        <v/>
      </c>
      <c r="T158" s="3" t="n">
        <v>1</v>
      </c>
      <c r="U158" s="3" t="n"/>
      <c r="V158" s="3" t="n"/>
      <c r="W158" s="3" t="n"/>
      <c r="X158" s="3" t="n"/>
      <c r="Y158" s="3" t="n"/>
      <c r="Z158" s="3" t="n"/>
      <c r="AA158" s="2" t="inlineStr">
        <is>
          <t>Artifact</t>
        </is>
      </c>
      <c r="AB158" s="2" t="n"/>
      <c r="AC158" s="2" t="inlineStr">
        <is>
          <t>C</t>
        </is>
      </c>
      <c r="AD158" s="3" t="n">
        <v>2</v>
      </c>
      <c r="AE158" s="29" t="inlineStr">
        <is>
          <t>Throne of Eldraine</t>
        </is>
      </c>
      <c r="AF158" s="29" t="inlineStr">
        <is>
          <t>Mana Rock</t>
        </is>
      </c>
      <c r="AG158" s="29" t="inlineStr">
        <is>
          <t>Taps for any color in your commander's color identity</t>
        </is>
      </c>
      <c r="AH158" s="29" t="n"/>
      <c r="AI158" s="29" t="n"/>
      <c r="AJ158" s="2" t="inlineStr">
        <is>
          <t>own 1 of 3 needed; Ordered 2026-09-02: TCGplayer $0.58 NM x2 from NostalgiAtog</t>
        </is>
      </c>
    </row>
    <row r="159" ht="15" customHeight="1" s="79">
      <c r="A159" s="2" t="inlineStr">
        <is>
          <t>Mind Stone</t>
        </is>
      </c>
      <c r="B159" s="2">
        <f>IF(AND(F159&lt;&gt;0,E159=F159),"In Hand",IF(AND(E159&lt;&gt;0,E159&lt;F159,SUM(M159:R159)=0,SUM(T159:Y159)&gt;0),"Extra-Sub",IF(AND(E159=0,E159&lt;F159,SUM(M159:R159)=0,SUM(T159:Y159)&gt;0),"Bench-Sub",IF(AND(E159=0,F159&gt;0),"Bench",IF(E159&lt;F159,"Extra",IF(AND(J159="",E159&gt;F159),"To Buy",IF(SUM(J159,F159)&lt;E159,"To Buy",IF(AND(SUM(J159,F159)&gt;=E159,J159&lt;&gt;""),"Ordered",IF(AND(E159=0,F159=0,D159="B3"),"B3 Option",IF(AND(E159=0,F159=0),"Remove","To Buy"))))))))))</f>
        <v/>
      </c>
      <c r="D159" t="inlineStr">
        <is>
          <t>B2</t>
        </is>
      </c>
      <c r="E159" s="3">
        <f>SUM(M159:S159)</f>
        <v/>
      </c>
      <c r="F159" s="3">
        <f>SUM(T159:Z159)</f>
        <v/>
      </c>
      <c r="G159" s="3">
        <f>IF((F159-E159)&gt;=0,F159-E159,0)</f>
        <v/>
      </c>
      <c r="H159" s="3">
        <f>MAX(0,$E159-$F159-$J159)</f>
        <v/>
      </c>
      <c r="I159" s="3" t="inlineStr">
        <is>
          <t>TCG x2</t>
        </is>
      </c>
      <c r="J159" s="3" t="n">
        <v>2</v>
      </c>
      <c r="K159" s="4" t="n">
        <v>0.29</v>
      </c>
      <c r="L159" s="4">
        <f>IF(AND($H159&gt;0,ISNUMBER($K159)),$H159*$K159,0)</f>
        <v/>
      </c>
      <c r="M159" s="3" t="n">
        <v>1</v>
      </c>
      <c r="N159" s="3" t="n"/>
      <c r="O159" s="3" t="n"/>
      <c r="P159" s="3" t="n"/>
      <c r="Q159" s="3" t="n">
        <v>1</v>
      </c>
      <c r="R159" s="3" t="n">
        <v>1</v>
      </c>
      <c r="S159" s="3">
        <f>IF(AND(J159&lt;&gt;"",SUM(M159:R159)=0),J159,"")</f>
        <v/>
      </c>
      <c r="T159" s="3" t="n">
        <v>1</v>
      </c>
      <c r="U159" s="3" t="n"/>
      <c r="V159" s="3" t="n"/>
      <c r="W159" s="3" t="n"/>
      <c r="X159" s="3" t="n"/>
      <c r="Y159" s="3" t="n"/>
      <c r="Z159" s="3" t="n"/>
      <c r="AA159" s="2" t="inlineStr">
        <is>
          <t>Artifact</t>
        </is>
      </c>
      <c r="AB159" s="2" t="n"/>
      <c r="AC159" s="2" t="inlineStr">
        <is>
          <t>C</t>
        </is>
      </c>
      <c r="AD159" s="3" t="n">
        <v>2</v>
      </c>
      <c r="AE159" s="29" t="inlineStr">
        <is>
          <t>Weatherlight</t>
        </is>
      </c>
      <c r="AF159" s="29" t="inlineStr">
        <is>
          <t>Mana Rock</t>
        </is>
      </c>
      <c r="AG159" s="29" t="inlineStr">
        <is>
          <t>Taps for {C}</t>
        </is>
      </c>
      <c r="AH159" s="29" t="inlineStr">
        <is>
          <t>Pay {1}, tap, sacrifice: draw a card</t>
        </is>
      </c>
      <c r="AI159" s="29" t="n"/>
      <c r="AJ159" s="2" t="inlineStr">
        <is>
          <t>own 1 of 3 needed; Ordered 2026-09-02: TCGplayer $0.30 LP from The WKGR Online, $0.32 LP from The WKGR Online</t>
        </is>
      </c>
    </row>
    <row r="160" ht="15" customHeight="1" s="79">
      <c r="A160" s="2" t="inlineStr">
        <is>
          <t>Orzhov Signet</t>
        </is>
      </c>
      <c r="B160" s="2">
        <f>IF(AND(F160&lt;&gt;0,E160=F160),"In Hand",IF(AND(E160&lt;&gt;0,E160&lt;F160,SUM(M160:R160)=0,SUM(T160:Y160)&gt;0),"Extra-Sub",IF(AND(E160=0,E160&lt;F160,SUM(M160:R160)=0,SUM(T160:Y160)&gt;0),"Bench-Sub",IF(AND(E160=0,F160&gt;0),"Bench",IF(E160&lt;F160,"Extra",IF(AND(J160="",E160&gt;F160),"To Buy",IF(SUM(J160,F160)&lt;E160,"To Buy",IF(AND(SUM(J160,F160)&gt;=E160,J160&lt;&gt;""),"Ordered",IF(AND(E160=0,F160=0,D160="B3"),"B3 Option",IF(AND(E160=0,F160=0),"Remove","To Buy"))))))))))</f>
        <v/>
      </c>
      <c r="D160" t="inlineStr">
        <is>
          <t>B2</t>
        </is>
      </c>
      <c r="E160" s="3">
        <f>SUM(M160:S160)</f>
        <v/>
      </c>
      <c r="F160" s="3">
        <f>SUM(T160:Z160)</f>
        <v/>
      </c>
      <c r="G160" s="3">
        <f>IF((F160-E160)&gt;=0,F160-E160,0)</f>
        <v/>
      </c>
      <c r="H160" s="3">
        <f>MAX(0,$E160-$F160-$J160)</f>
        <v/>
      </c>
      <c r="I160" s="3" t="inlineStr">
        <is>
          <t>TCG x2</t>
        </is>
      </c>
      <c r="J160" s="3" t="n">
        <v>2</v>
      </c>
      <c r="K160" s="4" t="n">
        <v>0.36</v>
      </c>
      <c r="L160" s="4">
        <f>IF(AND($H160&gt;0,ISNUMBER($K160)),$H160*$K160,0)</f>
        <v/>
      </c>
      <c r="M160" s="3" t="n"/>
      <c r="N160" s="3" t="n"/>
      <c r="O160" s="3" t="n"/>
      <c r="P160" s="3" t="n">
        <v>1</v>
      </c>
      <c r="Q160" s="3" t="n">
        <v>1</v>
      </c>
      <c r="R160" s="3" t="n"/>
      <c r="S160" s="3">
        <f>IF(AND(J160&lt;&gt;"",SUM(M160:R160)=0),J160,"")</f>
        <v/>
      </c>
      <c r="T160" s="3" t="n"/>
      <c r="U160" s="3" t="n"/>
      <c r="V160" s="3" t="n"/>
      <c r="W160" s="3" t="n"/>
      <c r="X160" s="3" t="n"/>
      <c r="Y160" s="3" t="n"/>
      <c r="Z160" s="3" t="n"/>
      <c r="AA160" s="2" t="inlineStr">
        <is>
          <t>Artifact</t>
        </is>
      </c>
      <c r="AB160" s="2" t="n"/>
      <c r="AC160" s="2" t="inlineStr">
        <is>
          <t>Multi</t>
        </is>
      </c>
      <c r="AD160" s="3" t="n">
        <v>2</v>
      </c>
      <c r="AE160" s="29" t="inlineStr">
        <is>
          <t>Guildpact</t>
        </is>
      </c>
      <c r="AF160" s="29" t="inlineStr">
        <is>
          <t>Mana Rock</t>
        </is>
      </c>
      <c r="AG160" s="29" t="inlineStr">
        <is>
          <t>{1}, tap: add {W}{B}</t>
        </is>
      </c>
      <c r="AH160" s="29" t="n"/>
      <c r="AI160" s="29" t="n"/>
      <c r="AJ160" s="2" t="inlineStr">
        <is>
          <t>Cart 2x matches the 2 needed (D4+D5) per the owned list; an older deck note claimed you own 1 - if so, set Owned=1 and drop one from cart; Ordered 2026-09-02: TCGplayer $0.33 LP x2 from The WKGR Online</t>
        </is>
      </c>
    </row>
    <row r="161" ht="15" customHeight="1" s="79">
      <c r="A161" s="2" t="inlineStr">
        <is>
          <t>Sol Ring</t>
        </is>
      </c>
      <c r="B161" s="2">
        <f>IF(AND(F161&lt;&gt;0,E161=F161),"In Hand",IF(AND(E161&lt;&gt;0,E161&lt;F161,SUM(M161:R161)=0,SUM(T161:Y161)&gt;0),"Extra-Sub",IF(AND(E161=0,E161&lt;F161,SUM(M161:R161)=0,SUM(T161:Y161)&gt;0),"Bench-Sub",IF(AND(E161=0,F161&gt;0),"Bench",IF(E161&lt;F161,"Extra",IF(AND(J161="",E161&gt;F161),"To Buy",IF(SUM(J161,F161)&lt;E161,"To Buy",IF(AND(SUM(J161,F161)&gt;=E161,J161&lt;&gt;""),"Ordered",IF(AND(E161=0,F161=0,D161="B3"),"B3 Option",IF(AND(E161=0,F161=0),"Remove","To Buy"))))))))))</f>
        <v/>
      </c>
      <c r="D161" t="inlineStr">
        <is>
          <t>B2</t>
        </is>
      </c>
      <c r="E161" s="3">
        <f>SUM(M161:S161)</f>
        <v/>
      </c>
      <c r="F161" s="3">
        <f>SUM(T161:Z161)</f>
        <v/>
      </c>
      <c r="G161" s="3">
        <f>IF((F161-E161)&gt;=0,F161-E161,0)</f>
        <v/>
      </c>
      <c r="H161" s="3">
        <f>MAX(0,$E161-$F161-$J161)</f>
        <v/>
      </c>
      <c r="I161" s="3" t="inlineStr">
        <is>
          <t>TCG x2</t>
        </is>
      </c>
      <c r="J161" s="3" t="n">
        <v>2</v>
      </c>
      <c r="K161" s="4" t="n">
        <v>1.56</v>
      </c>
      <c r="L161" s="4">
        <f>IF(AND($H161&gt;0,ISNUMBER($K161)),$H161*$K161,0)</f>
        <v/>
      </c>
      <c r="M161" s="3" t="n">
        <v>1</v>
      </c>
      <c r="N161" s="3" t="n"/>
      <c r="O161" s="3" t="n"/>
      <c r="P161" s="3" t="n"/>
      <c r="Q161" s="3" t="n">
        <v>1</v>
      </c>
      <c r="R161" s="3" t="n">
        <v>1</v>
      </c>
      <c r="S161" s="3">
        <f>IF(AND(J161&lt;&gt;"",SUM(M161:R161)=0),J161,"")</f>
        <v/>
      </c>
      <c r="T161" s="3" t="n">
        <v>1</v>
      </c>
      <c r="U161" s="3" t="n"/>
      <c r="V161" s="3" t="n"/>
      <c r="W161" s="3" t="n"/>
      <c r="X161" s="3" t="n"/>
      <c r="Y161" s="3" t="n"/>
      <c r="Z161" s="3" t="n"/>
      <c r="AA161" s="2" t="inlineStr">
        <is>
          <t>Artifact</t>
        </is>
      </c>
      <c r="AB161" s="2" t="n"/>
      <c r="AC161" s="2" t="inlineStr">
        <is>
          <t>C</t>
        </is>
      </c>
      <c r="AD161" s="3" t="n">
        <v>1</v>
      </c>
      <c r="AE161" s="29" t="inlineStr">
        <is>
          <t>Limited Edition Alpha</t>
        </is>
      </c>
      <c r="AF161" s="29" t="inlineStr">
        <is>
          <t>Mana Rock</t>
        </is>
      </c>
      <c r="AG161" s="29" t="inlineStr">
        <is>
          <t>Taps for {C}{C}</t>
        </is>
      </c>
      <c r="AH161" s="29" t="n"/>
      <c r="AI161" s="29" t="n"/>
      <c r="AJ161" s="2" t="inlineStr">
        <is>
          <t>own 1 of 3 needed; Ordered 2026-09-02: TCGplayer $1.65 NM from The Next Level Games, $1.70 LPF from The Next Level Games</t>
        </is>
      </c>
    </row>
    <row r="162" ht="15" customHeight="1" s="79">
      <c r="A162" s="2" t="inlineStr">
        <is>
          <t>Betor, Ancestor's Voice</t>
        </is>
      </c>
      <c r="B162" s="2">
        <f>IF(AND(F162&lt;&gt;0,E162=F162),"In Hand",IF(AND(E162&lt;&gt;0,E162&lt;F162,SUM(M162:R162)=0,SUM(T162:Y162)&gt;0),"Extra-Sub",IF(AND(E162=0,E162&lt;F162,SUM(M162:R162)=0,SUM(T162:Y162)&gt;0),"Bench-Sub",IF(AND(E162=0,F162&gt;0),"Bench",IF(E162&lt;F162,"Extra",IF(AND(J162="",E162&gt;F162),"To Buy",IF(SUM(J162,F162)&lt;E162,"To Buy",IF(AND(SUM(J162,F162)&gt;=E162,J162&lt;&gt;""),"Ordered",IF(AND(E162=0,F162=0,D162="B3"),"B3 Option",IF(AND(E162=0,F162=0),"Remove","To Buy"))))))))))</f>
        <v/>
      </c>
      <c r="D162" t="inlineStr">
        <is>
          <t>B2</t>
        </is>
      </c>
      <c r="E162" s="3">
        <f>SUM(M162:S162)</f>
        <v/>
      </c>
      <c r="F162" s="3">
        <f>SUM(T162:Z162)</f>
        <v/>
      </c>
      <c r="G162" s="3">
        <f>IF((F162-E162)&gt;=0,F162-E162,0)</f>
        <v/>
      </c>
      <c r="H162" s="3">
        <f>MAX(0,$E162-$F162-$J162)</f>
        <v/>
      </c>
      <c r="I162" s="37" t="n"/>
      <c r="J162" s="3" t="n"/>
      <c r="K162" s="4" t="n">
        <v>3.68</v>
      </c>
      <c r="L162" s="4">
        <f>IF(AND($H162&gt;0,ISNUMBER($K162)),$H162*$K162,0)</f>
        <v/>
      </c>
      <c r="M162" s="3" t="n"/>
      <c r="N162" s="3" t="n"/>
      <c r="O162" s="3" t="n"/>
      <c r="P162" s="3" t="n">
        <v>1</v>
      </c>
      <c r="Q162" s="3" t="n"/>
      <c r="R162" s="3" t="n"/>
      <c r="S162" s="3">
        <f>IF(AND(J162&lt;&gt;"",SUM(M162:R162)=0),J162,"")</f>
        <v/>
      </c>
      <c r="T162" s="3" t="n"/>
      <c r="U162" s="3" t="n"/>
      <c r="V162" s="3" t="n"/>
      <c r="W162" s="3" t="n">
        <v>1</v>
      </c>
      <c r="X162" s="3" t="n"/>
      <c r="Y162" s="3" t="n"/>
      <c r="Z162" s="3" t="n"/>
      <c r="AA162" s="2" t="inlineStr">
        <is>
          <t>Legendary Creature</t>
        </is>
      </c>
      <c r="AB162" s="2" t="inlineStr">
        <is>
          <t>Spirit Dragon</t>
        </is>
      </c>
      <c r="AC162" s="2" t="inlineStr">
        <is>
          <t>Multi</t>
        </is>
      </c>
      <c r="AD162" s="3" t="n">
        <v>5</v>
      </c>
      <c r="AE162" s="29" t="inlineStr">
        <is>
          <t>Tarkir: Dragonstorm Commander</t>
        </is>
      </c>
      <c r="AF162" s="29" t="inlineStr">
        <is>
          <t>Commander</t>
        </is>
      </c>
      <c r="AG162" s="29" t="inlineStr">
        <is>
          <t>End step: put +1/+1 counters on a creature equal to life gained this turn</t>
        </is>
      </c>
      <c r="AH162" s="29" t="inlineStr">
        <is>
          <t>End step: reanimate a creature MV ≤ life lost this turn</t>
        </is>
      </c>
      <c r="AI162" s="29" t="inlineStr">
        <is>
          <t>Flying lifelink body</t>
        </is>
      </c>
      <c r="AJ162" s="2" t="inlineStr">
        <is>
          <t>Commander - D4</t>
        </is>
      </c>
    </row>
    <row r="163" ht="15" customHeight="1" s="79">
      <c r="A163" s="2" t="inlineStr">
        <is>
          <t>Fell the Mighty</t>
        </is>
      </c>
      <c r="B163" s="2">
        <f>IF(AND(F163&lt;&gt;0,E163=F163),"In Hand",IF(AND(E163&lt;&gt;0,E163&lt;F163,SUM(M163:R163)=0,SUM(T163:Y163)&gt;0),"Extra-Sub",IF(AND(E163=0,E163&lt;F163,SUM(M163:R163)=0,SUM(T163:Y163)&gt;0),"Bench-Sub",IF(AND(E163=0,F163&gt;0),"Bench",IF(E163&lt;F163,"Extra",IF(AND(J163="",E163&gt;F163),"To Buy",IF(SUM(J163,F163)&lt;E163,"To Buy",IF(AND(SUM(J163,F163)&gt;=E163,J163&lt;&gt;""),"Ordered",IF(AND(E163=0,F163=0,D163="B3"),"B3 Option",IF(AND(E163=0,F163=0),"Remove","To Buy"))))))))))</f>
        <v/>
      </c>
      <c r="D163" t="inlineStr">
        <is>
          <t>B2</t>
        </is>
      </c>
      <c r="E163" s="3">
        <f>SUM(M163:S163)</f>
        <v/>
      </c>
      <c r="F163" s="3">
        <f>SUM(T163:Z163)</f>
        <v/>
      </c>
      <c r="G163" s="3">
        <f>IF((F163-E163)&gt;=0,F163-E163,0)</f>
        <v/>
      </c>
      <c r="H163" s="3">
        <f>MAX(0,$E163-$F163-$J163)</f>
        <v/>
      </c>
      <c r="I163" s="3" t="n"/>
      <c r="J163" s="3" t="n"/>
      <c r="K163" s="4" t="n">
        <v>0.28</v>
      </c>
      <c r="L163" s="4">
        <f>IF(AND($H163&gt;0,ISNUMBER($K163)),$H163*$K163,0)</f>
        <v/>
      </c>
      <c r="M163" s="3" t="n"/>
      <c r="N163" s="3" t="n"/>
      <c r="O163" s="3" t="n"/>
      <c r="P163" s="3" t="n">
        <v>1</v>
      </c>
      <c r="Q163" s="3" t="n"/>
      <c r="R163" s="3" t="n"/>
      <c r="S163" s="3">
        <f>IF(AND(J163&lt;&gt;"",SUM(M163:R163)=0),J163,"")</f>
        <v/>
      </c>
      <c r="T163" s="3" t="n"/>
      <c r="U163" s="3" t="n"/>
      <c r="V163" s="3" t="n"/>
      <c r="W163" s="3" t="n">
        <v>1</v>
      </c>
      <c r="X163" s="3" t="n"/>
      <c r="Y163" s="3" t="n"/>
      <c r="Z163" s="3" t="n"/>
      <c r="AA163" s="2" t="inlineStr">
        <is>
          <t>Sorcery</t>
        </is>
      </c>
      <c r="AB163" s="2" t="n"/>
      <c r="AC163" s="2" t="inlineStr">
        <is>
          <t>W</t>
        </is>
      </c>
      <c r="AD163" s="3" t="n">
        <v>5</v>
      </c>
      <c r="AE163" s="29" t="inlineStr">
        <is>
          <t>Commander 2014</t>
        </is>
      </c>
      <c r="AF163" s="29" t="inlineStr">
        <is>
          <t>Board Wipe</t>
        </is>
      </c>
      <c r="AG163" s="29" t="inlineStr">
        <is>
          <t>Destroys all creatures with power greater than target creature's power</t>
        </is>
      </c>
      <c r="AH163" s="29" t="n"/>
      <c r="AI163" s="29" t="n"/>
      <c r="AJ163" s="2" t="inlineStr">
        <is>
          <t>Tuned add; Ordered 2026-09-02: TCGplayer $0.22 LP from The WKGR Online</t>
        </is>
      </c>
    </row>
    <row r="164" ht="15" customHeight="1" s="79">
      <c r="A164" s="2" t="inlineStr">
        <is>
          <t>Felothar the Steadfast</t>
        </is>
      </c>
      <c r="B164" s="2">
        <f>IF(AND(F164&lt;&gt;0,E164=F164),"In Hand",IF(AND(E164&lt;&gt;0,E164&lt;F164,SUM(M164:R164)=0,SUM(T164:Y164)&gt;0),"Extra-Sub",IF(AND(E164=0,E164&lt;F164,SUM(M164:R164)=0,SUM(T164:Y164)&gt;0),"Bench-Sub",IF(AND(E164=0,F164&gt;0),"Bench",IF(E164&lt;F164,"Extra",IF(AND(J164="",E164&gt;F164),"To Buy",IF(SUM(J164,F164)&lt;E164,"To Buy",IF(AND(SUM(J164,F164)&gt;=E164,J164&lt;&gt;""),"Ordered",IF(AND(E164=0,F164=0,D164="B3"),"B3 Option",IF(AND(E164=0,F164=0),"Remove","To Buy"))))))))))</f>
        <v/>
      </c>
      <c r="D164" t="inlineStr">
        <is>
          <t>B2</t>
        </is>
      </c>
      <c r="E164" s="3">
        <f>SUM(M164:S164)</f>
        <v/>
      </c>
      <c r="F164" s="3">
        <f>SUM(T164:Z164)</f>
        <v/>
      </c>
      <c r="G164" s="3">
        <f>IF((F164-E164)&gt;=0,F164-E164,0)</f>
        <v/>
      </c>
      <c r="H164" s="3">
        <f>MAX(0,$E164-$F164-$J164)</f>
        <v/>
      </c>
      <c r="I164" s="37" t="n"/>
      <c r="J164" s="3" t="n"/>
      <c r="K164" s="4" t="n">
        <v>3.05</v>
      </c>
      <c r="L164" s="4">
        <f>IF(AND($H164&gt;0,ISNUMBER($K164)),$H164*$K164,0)</f>
        <v/>
      </c>
      <c r="M164" s="3" t="n"/>
      <c r="N164" s="3" t="n"/>
      <c r="O164" s="3" t="n"/>
      <c r="P164" s="3" t="n">
        <v>1</v>
      </c>
      <c r="Q164" s="3" t="n"/>
      <c r="R164" s="3" t="n"/>
      <c r="S164" s="3">
        <f>IF(AND(J164&lt;&gt;"",SUM(M164:R164)=0),J164,"")</f>
        <v/>
      </c>
      <c r="T164" s="3" t="n"/>
      <c r="U164" s="3" t="n"/>
      <c r="V164" s="3" t="n"/>
      <c r="W164" s="3" t="n">
        <v>1</v>
      </c>
      <c r="X164" s="3" t="n"/>
      <c r="Y164" s="3" t="n"/>
      <c r="Z164" s="3" t="n"/>
      <c r="AA164" s="2" t="inlineStr">
        <is>
          <t>Legendary Creature</t>
        </is>
      </c>
      <c r="AB164" s="2" t="inlineStr">
        <is>
          <t>Human Warrior</t>
        </is>
      </c>
      <c r="AC164" s="2" t="inlineStr">
        <is>
          <t>Multi</t>
        </is>
      </c>
      <c r="AD164" s="3" t="n">
        <v>4</v>
      </c>
      <c r="AE164" s="29" t="inlineStr">
        <is>
          <t>Tarkir: Dragonstorm Commander</t>
        </is>
      </c>
      <c r="AF164" s="29" t="inlineStr">
        <is>
          <t>Sacrifice Outlet</t>
        </is>
      </c>
      <c r="AG164" s="29" t="inlineStr">
        <is>
          <t>Your creatures assign combat damage equal to toughness</t>
        </is>
      </c>
      <c r="AH164" s="29" t="inlineStr">
        <is>
          <t>Your defender creatures can attack</t>
        </is>
      </c>
      <c r="AI164" s="29" t="inlineStr">
        <is>
          <t>Sacrifice a creature: draw cards equal to its toughness, discard equal to power</t>
        </is>
      </c>
      <c r="AJ164" s="2" t="n"/>
    </row>
    <row r="165" ht="15" customHeight="1" s="79">
      <c r="A165" s="2" t="inlineStr">
        <is>
          <t>Goblin Rabblemaster</t>
        </is>
      </c>
      <c r="B165" s="2">
        <f>IF(AND(F165&lt;&gt;0,E165=F165),"In Hand",IF(AND(E165&lt;&gt;0,E165&lt;F165,SUM(M165:R165)=0,SUM(T165:Y165)&gt;0),"Extra-Sub",IF(AND(E165=0,E165&lt;F165,SUM(M165:R165)=0,SUM(T165:Y165)&gt;0),"Bench-Sub",IF(AND(E165=0,F165&gt;0),"Bench",IF(E165&lt;F165,"Extra",IF(AND(J165="",E165&gt;F165),"To Buy",IF(SUM(J165,F165)&lt;E165,"To Buy",IF(AND(SUM(J165,F165)&gt;=E165,J165&lt;&gt;""),"Ordered",IF(AND(E165=0,F165=0,D165="B3"),"B3 Option",IF(AND(E165=0,F165=0),"Remove","To Buy"))))))))))</f>
        <v/>
      </c>
      <c r="D165" t="inlineStr">
        <is>
          <t>B3</t>
        </is>
      </c>
      <c r="E165" s="3">
        <f>SUM(M165:S165)</f>
        <v/>
      </c>
      <c r="F165" s="3">
        <f>SUM(T165:Z165)</f>
        <v/>
      </c>
      <c r="G165" s="3">
        <f>IF((F165-E165)&gt;=0,F165-E165,0)</f>
        <v/>
      </c>
      <c r="H165" s="3">
        <f>MAX(0,$E165-$F165-$J165)</f>
        <v/>
      </c>
      <c r="I165" s="3" t="n"/>
      <c r="J165" s="3" t="n"/>
      <c r="K165" s="4" t="n">
        <v>0.66</v>
      </c>
      <c r="L165" s="4">
        <f>IF(AND($H165&gt;0,ISNUMBER($K165)),$H165*$K165,0)</f>
        <v/>
      </c>
      <c r="M165" s="3" t="n"/>
      <c r="N165" s="3" t="n"/>
      <c r="O165" s="3" t="n"/>
      <c r="P165" s="3" t="n"/>
      <c r="Q165" s="3" t="n"/>
      <c r="R165" s="3" t="n">
        <v>1</v>
      </c>
      <c r="S165" s="3">
        <f>IF(AND(J165&lt;&gt;"",SUM(M165:R165)=0),J165,"")</f>
        <v/>
      </c>
      <c r="T165" s="3" t="n"/>
      <c r="U165" s="3" t="n"/>
      <c r="V165" s="3" t="n"/>
      <c r="W165" s="3" t="n"/>
      <c r="X165" s="3" t="n"/>
      <c r="Y165" s="3" t="n">
        <v>1</v>
      </c>
      <c r="Z165" s="3" t="n"/>
      <c r="AA165" s="2" t="inlineStr">
        <is>
          <t>Creature</t>
        </is>
      </c>
      <c r="AB165" s="2" t="inlineStr">
        <is>
          <t>Goblin Warrior</t>
        </is>
      </c>
      <c r="AC165" s="2" t="inlineStr">
        <is>
          <t>R</t>
        </is>
      </c>
      <c r="AD165" s="3" t="n">
        <v>3</v>
      </c>
      <c r="AE165" s="29" t="inlineStr">
        <is>
          <t>Magic 2015 Promos</t>
        </is>
      </c>
      <c r="AF165" s="29" t="inlineStr">
        <is>
          <t>Token Producer</t>
        </is>
      </c>
      <c r="AG165" s="29" t="inlineStr">
        <is>
          <t>Creates a 1/1 Goblin that must attack at each of your combats</t>
        </is>
      </c>
      <c r="AH165" s="29" t="inlineStr">
        <is>
          <t>Gets +1/+0 per other attacking Goblin; other Goblins must attack</t>
        </is>
      </c>
      <c r="AI165" s="29" t="n"/>
      <c r="AJ165" s="2" t="inlineStr">
        <is>
          <t>D5/D6 Tuned upgrade bought in place of Goblin Oriflamme (2026-09-02); Ordered 2026-09-02: Game Theory Raleigh $1.1</t>
        </is>
      </c>
    </row>
    <row r="166" ht="15" customHeight="1" s="79">
      <c r="A166" s="2" t="inlineStr">
        <is>
          <t>Hinterland Harbor</t>
        </is>
      </c>
      <c r="B166" s="2">
        <f>IF(AND(F166&lt;&gt;0,E166=F166),"In Hand",IF(AND(E166&lt;&gt;0,E166&lt;F166,SUM(M166:R166)=0,SUM(T166:Y166)&gt;0),"Extra-Sub",IF(AND(E166=0,E166&lt;F166,SUM(M166:R166)=0,SUM(T166:Y166)&gt;0),"Bench-Sub",IF(AND(E166=0,F166&gt;0),"Bench",IF(E166&lt;F166,"Extra",IF(AND(J166="",E166&gt;F166),"To Buy",IF(SUM(J166,F166)&lt;E166,"To Buy",IF(AND(SUM(J166,F166)&gt;=E166,J166&lt;&gt;""),"Ordered",IF(AND(E166=0,F166=0,D166="B3"),"B3 Option",IF(AND(E166=0,F166=0),"Remove","To Buy"))))))))))</f>
        <v/>
      </c>
      <c r="D166" t="inlineStr">
        <is>
          <t>B2</t>
        </is>
      </c>
      <c r="E166" s="3">
        <f>SUM(M166:S166)</f>
        <v/>
      </c>
      <c r="F166" s="3">
        <f>SUM(T166:Z166)</f>
        <v/>
      </c>
      <c r="G166" s="3">
        <f>IF((F166-E166)&gt;=0,F166-E166,0)</f>
        <v/>
      </c>
      <c r="H166" s="3">
        <f>MAX(0,$E166-$F166-$J166)</f>
        <v/>
      </c>
      <c r="I166" s="37" t="n"/>
      <c r="J166" s="3" t="n"/>
      <c r="K166" s="4" t="n">
        <v>0.3</v>
      </c>
      <c r="L166" s="4">
        <f>IF(AND($H166&gt;0,ISNUMBER($K166)),$H166*$K166,0)</f>
        <v/>
      </c>
      <c r="M166" s="3" t="n"/>
      <c r="N166" s="3" t="n">
        <v>1</v>
      </c>
      <c r="O166" s="3" t="n"/>
      <c r="P166" s="3" t="n"/>
      <c r="Q166" s="3" t="n"/>
      <c r="R166" s="3" t="n"/>
      <c r="S166" s="3">
        <f>IF(AND(J166&lt;&gt;"",SUM(M166:R166)=0),J166,"")</f>
        <v/>
      </c>
      <c r="T166" s="3" t="n"/>
      <c r="U166" s="3" t="n">
        <v>1</v>
      </c>
      <c r="V166" s="3" t="n"/>
      <c r="W166" s="3" t="n"/>
      <c r="X166" s="3" t="n"/>
      <c r="Y166" s="3" t="n"/>
      <c r="Z166" s="3" t="n"/>
      <c r="AA166" s="2" t="inlineStr">
        <is>
          <t>Land</t>
        </is>
      </c>
      <c r="AB166" s="2" t="n"/>
      <c r="AC166" s="2" t="inlineStr">
        <is>
          <t>L</t>
        </is>
      </c>
      <c r="AD166" s="3" t="n">
        <v>0</v>
      </c>
      <c r="AE166" s="29" t="inlineStr">
        <is>
          <t>Innistrad</t>
        </is>
      </c>
      <c r="AF166" s="29" t="inlineStr">
        <is>
          <t>Land</t>
        </is>
      </c>
      <c r="AG166" s="29" t="inlineStr">
        <is>
          <t>Taps for {G} or {U}</t>
        </is>
      </c>
      <c r="AH166" s="29" t="inlineStr">
        <is>
          <t>Enters untapped if you control a Forest or Island</t>
        </is>
      </c>
      <c r="AI166" s="29" t="n"/>
      <c r="AJ166" s="2" t="n"/>
    </row>
    <row r="167" ht="15" customHeight="1" s="79">
      <c r="A167" s="2" t="inlineStr">
        <is>
          <t>Painful Truths</t>
        </is>
      </c>
      <c r="B167" s="2">
        <f>IF(AND(F167&lt;&gt;0,E167=F167),"In Hand",IF(AND(E167&lt;&gt;0,E167&lt;F167,SUM(M167:R167)=0,SUM(T167:Y167)&gt;0),"Extra-Sub",IF(AND(E167=0,E167&lt;F167,SUM(M167:R167)=0,SUM(T167:Y167)&gt;0),"Bench-Sub",IF(AND(E167=0,F167&gt;0),"Bench",IF(E167&lt;F167,"Extra",IF(AND(J167="",E167&gt;F167),"To Buy",IF(SUM(J167,F167)&lt;E167,"To Buy",IF(AND(SUM(J167,F167)&gt;=E167,J167&lt;&gt;""),"Ordered",IF(AND(E167=0,F167=0,D167="B3"),"B3 Option",IF(AND(E167=0,F167=0),"Remove","To Buy"))))))))))</f>
        <v/>
      </c>
      <c r="D167" t="inlineStr">
        <is>
          <t>B2</t>
        </is>
      </c>
      <c r="E167" s="3">
        <f>SUM(M167:S167)</f>
        <v/>
      </c>
      <c r="F167" s="3">
        <f>SUM(T167:Z167)</f>
        <v/>
      </c>
      <c r="G167" s="3">
        <f>IF((F167-E167)&gt;=0,F167-E167,0)</f>
        <v/>
      </c>
      <c r="H167" s="3">
        <f>MAX(0,$E167-$F167-$J167)</f>
        <v/>
      </c>
      <c r="I167" s="3" t="n"/>
      <c r="J167" s="3" t="n"/>
      <c r="K167" s="4" t="n">
        <v>0.27</v>
      </c>
      <c r="L167" s="4">
        <f>IF(AND($H167&gt;0,ISNUMBER($K167)),$H167*$K167,0)</f>
        <v/>
      </c>
      <c r="M167" s="3" t="n"/>
      <c r="N167" s="3" t="n"/>
      <c r="O167" s="3" t="n"/>
      <c r="P167" s="3" t="n">
        <v>1</v>
      </c>
      <c r="Q167" s="3" t="n"/>
      <c r="R167" s="3" t="n"/>
      <c r="S167" s="3">
        <f>IF(AND(J167&lt;&gt;"",SUM(M167:R167)=0),J167,"")</f>
        <v/>
      </c>
      <c r="T167" s="3" t="n"/>
      <c r="U167" s="3" t="n"/>
      <c r="V167" s="3" t="n"/>
      <c r="W167" s="3" t="n">
        <v>1</v>
      </c>
      <c r="X167" s="3" t="n"/>
      <c r="Y167" s="3" t="n"/>
      <c r="Z167" s="3" t="n"/>
      <c r="AA167" s="2" t="inlineStr">
        <is>
          <t>Sorcery</t>
        </is>
      </c>
      <c r="AB167" s="2" t="n"/>
      <c r="AC167" s="2" t="inlineStr">
        <is>
          <t>B</t>
        </is>
      </c>
      <c r="AD167" s="3" t="n">
        <v>3</v>
      </c>
      <c r="AE167" s="29" t="inlineStr">
        <is>
          <t>Battle for Zendikar</t>
        </is>
      </c>
      <c r="AF167" s="29" t="inlineStr">
        <is>
          <t>Card Draw</t>
        </is>
      </c>
      <c r="AG167" s="29" t="inlineStr">
        <is>
          <t>Draws cards equal to colors of mana spent to cast it, loses that much life</t>
        </is>
      </c>
      <c r="AH167" s="29" t="n"/>
      <c r="AI167" s="29" t="n"/>
      <c r="AJ167" s="2" t="inlineStr">
        <is>
          <t>Ordered 2026-09-02: Game Theory Raleigh $0.4</t>
        </is>
      </c>
    </row>
    <row r="168" ht="15" customHeight="1" s="79">
      <c r="A168" s="2" t="inlineStr">
        <is>
          <t>Pawn of Ulamog</t>
        </is>
      </c>
      <c r="B168" s="2">
        <f>IF(AND(F168&lt;&gt;0,E168=F168),"In Hand",IF(AND(E168&lt;&gt;0,E168&lt;F168,SUM(M168:R168)=0,SUM(T168:Y168)&gt;0),"Extra-Sub",IF(AND(E168=0,E168&lt;F168,SUM(M168:R168)=0,SUM(T168:Y168)&gt;0),"Bench-Sub",IF(AND(E168=0,F168&gt;0),"Bench",IF(E168&lt;F168,"Extra",IF(AND(J168="",E168&gt;F168),"To Buy",IF(SUM(J168,F168)&lt;E168,"To Buy",IF(AND(SUM(J168,F168)&gt;=E168,J168&lt;&gt;""),"Ordered",IF(AND(E168=0,F168=0,D168="B3"),"B3 Option",IF(AND(E168=0,F168=0),"Remove","To Buy"))))))))))</f>
        <v/>
      </c>
      <c r="D168" t="inlineStr">
        <is>
          <t>B2</t>
        </is>
      </c>
      <c r="E168" s="3">
        <f>SUM(M168:S168)</f>
        <v/>
      </c>
      <c r="F168" s="3">
        <f>SUM(T168:Z168)</f>
        <v/>
      </c>
      <c r="G168" s="3">
        <f>IF((F168-E168)&gt;=0,F168-E168,0)</f>
        <v/>
      </c>
      <c r="H168" s="3">
        <f>MAX(0,$E168-$F168-$J168)</f>
        <v/>
      </c>
      <c r="I168" s="3" t="n"/>
      <c r="J168" s="3" t="n"/>
      <c r="K168" s="4" t="n">
        <v>0.57</v>
      </c>
      <c r="L168" s="4">
        <f>IF(AND($H168&gt;0,ISNUMBER($K168)),$H168*$K168,0)</f>
        <v/>
      </c>
      <c r="M168" s="3" t="n"/>
      <c r="N168" s="3" t="n"/>
      <c r="O168" s="3" t="n"/>
      <c r="P168" s="3" t="n"/>
      <c r="Q168" s="3" t="n">
        <v>1</v>
      </c>
      <c r="R168" s="3" t="n"/>
      <c r="S168" s="3">
        <f>IF(AND(J168&lt;&gt;"",SUM(M168:R168)=0),J168,"")</f>
        <v/>
      </c>
      <c r="T168" s="3" t="n"/>
      <c r="U168" s="3" t="n"/>
      <c r="V168" s="3" t="n"/>
      <c r="W168" s="3" t="n"/>
      <c r="X168" s="3" t="n">
        <v>1</v>
      </c>
      <c r="Y168" s="3" t="n"/>
      <c r="Z168" s="3" t="n"/>
      <c r="AA168" s="2" t="inlineStr">
        <is>
          <t>Creature</t>
        </is>
      </c>
      <c r="AB168" s="2" t="inlineStr">
        <is>
          <t>Vampire Shaman</t>
        </is>
      </c>
      <c r="AC168" s="2" t="inlineStr">
        <is>
          <t>B</t>
        </is>
      </c>
      <c r="AD168" s="3" t="n">
        <v>3</v>
      </c>
      <c r="AE168" s="29" t="inlineStr">
        <is>
          <t>Rise of the Eldrazi</t>
        </is>
      </c>
      <c r="AF168" s="29" t="inlineStr">
        <is>
          <t>Token Producer</t>
        </is>
      </c>
      <c r="AG168" s="29" t="inlineStr">
        <is>
          <t>Whenever it or another nontoken creature you control dies, may create a mana-producing Eldrazi Spawn token</t>
        </is>
      </c>
      <c r="AH168" s="29" t="n"/>
      <c r="AI168" s="29" t="n"/>
      <c r="AJ168" s="2" t="inlineStr">
        <is>
          <t>Ordered 2026-09-02: TCGplayer $0.81 LP from The Next Level Games</t>
        </is>
      </c>
    </row>
    <row r="169" ht="15" customHeight="1" s="79">
      <c r="A169" s="2" t="inlineStr">
        <is>
          <t>Protector of the Wastes</t>
        </is>
      </c>
      <c r="B169" s="2">
        <f>IF(AND(F169&lt;&gt;0,E169=F169),"In Hand",IF(AND(E169&lt;&gt;0,E169&lt;F169,SUM(M169:R169)=0,SUM(T169:Y169)&gt;0),"Extra-Sub",IF(AND(E169=0,E169&lt;F169,SUM(M169:R169)=0,SUM(T169:Y169)&gt;0),"Bench-Sub",IF(AND(E169=0,F169&gt;0),"Bench",IF(E169&lt;F169,"Extra",IF(AND(J169="",E169&gt;F169),"To Buy",IF(SUM(J169,F169)&lt;E169,"To Buy",IF(AND(SUM(J169,F169)&gt;=E169,J169&lt;&gt;""),"Ordered",IF(AND(E169=0,F169=0,D169="B3"),"B3 Option",IF(AND(E169=0,F169=0),"Remove","To Buy"))))))))))</f>
        <v/>
      </c>
      <c r="D169" t="inlineStr">
        <is>
          <t>B2</t>
        </is>
      </c>
      <c r="E169" s="3">
        <f>SUM(M169:S169)</f>
        <v/>
      </c>
      <c r="F169" s="3">
        <f>SUM(T169:Z169)</f>
        <v/>
      </c>
      <c r="G169" s="3">
        <f>IF((F169-E169)&gt;=0,F169-E169,0)</f>
        <v/>
      </c>
      <c r="H169" s="3">
        <f>MAX(0,$E169-$F169-$J169)</f>
        <v/>
      </c>
      <c r="I169" s="37" t="n"/>
      <c r="J169" s="3" t="n"/>
      <c r="K169" s="4" t="n">
        <v>0.26</v>
      </c>
      <c r="L169" s="4">
        <f>IF(AND($H169&gt;0,ISNUMBER($K169)),$H169*$K169,0)</f>
        <v/>
      </c>
      <c r="M169" s="3" t="n"/>
      <c r="N169" s="3" t="n"/>
      <c r="O169" s="3" t="n"/>
      <c r="P169" s="3" t="n">
        <v>1</v>
      </c>
      <c r="Q169" s="3" t="n"/>
      <c r="R169" s="3" t="n"/>
      <c r="S169" s="3">
        <f>IF(AND(J169&lt;&gt;"",SUM(M169:R169)=0),J169,"")</f>
        <v/>
      </c>
      <c r="T169" s="3" t="n"/>
      <c r="U169" s="3" t="n"/>
      <c r="V169" s="3" t="n"/>
      <c r="W169" s="3" t="n">
        <v>1</v>
      </c>
      <c r="X169" s="3" t="n"/>
      <c r="Y169" s="3" t="n"/>
      <c r="Z169" s="3" t="n"/>
      <c r="AA169" s="2" t="inlineStr">
        <is>
          <t>Creature</t>
        </is>
      </c>
      <c r="AB169" s="2" t="inlineStr">
        <is>
          <t>Dragon</t>
        </is>
      </c>
      <c r="AC169" s="2" t="inlineStr">
        <is>
          <t>W</t>
        </is>
      </c>
      <c r="AD169" s="3" t="n">
        <v>6</v>
      </c>
      <c r="AE169" s="29" t="inlineStr">
        <is>
          <t>Tarkir: Dragonstorm Commander</t>
        </is>
      </c>
      <c r="AF169" s="29" t="inlineStr">
        <is>
          <t>Removal</t>
        </is>
      </c>
      <c r="AG169" s="29" t="inlineStr">
        <is>
          <t>Exiles up to two target artifacts/enchantments when it enters or becomes monstrous</t>
        </is>
      </c>
      <c r="AH169" s="29" t="inlineStr">
        <is>
          <t>Flying body</t>
        </is>
      </c>
      <c r="AI169" s="29" t="inlineStr">
        <is>
          <t>{4}{W}: Monstrosity 3, adds three +1/+1 counters</t>
        </is>
      </c>
      <c r="AJ169" s="2" t="n"/>
    </row>
    <row r="170" ht="15" customHeight="1" s="79">
      <c r="A170" s="2" t="inlineStr">
        <is>
          <t>Purphoros's Intervention</t>
        </is>
      </c>
      <c r="B170" s="2">
        <f>IF(AND(F170&lt;&gt;0,E170=F170),"In Hand",IF(AND(E170&lt;&gt;0,E170&lt;F170,SUM(M170:R170)=0,SUM(T170:Y170)&gt;0),"Extra-Sub",IF(AND(E170=0,E170&lt;F170,SUM(M170:R170)=0,SUM(T170:Y170)&gt;0),"Bench-Sub",IF(AND(E170=0,F170&gt;0),"Bench",IF(E170&lt;F170,"Extra",IF(AND(J170="",E170&gt;F170),"To Buy",IF(SUM(J170,F170)&lt;E170,"To Buy",IF(AND(SUM(J170,F170)&gt;=E170,J170&lt;&gt;""),"Ordered",IF(AND(E170=0,F170=0,D170="B3"),"B3 Option",IF(AND(E170=0,F170=0),"Remove","To Buy"))))))))))</f>
        <v/>
      </c>
      <c r="D170" t="inlineStr">
        <is>
          <t>B3</t>
        </is>
      </c>
      <c r="E170" s="3">
        <f>SUM(M170:S170)</f>
        <v/>
      </c>
      <c r="F170" s="3">
        <f>SUM(T170:Z170)</f>
        <v/>
      </c>
      <c r="G170" s="3">
        <f>IF((F170-E170)&gt;=0,F170-E170,0)</f>
        <v/>
      </c>
      <c r="H170" s="3">
        <f>MAX(0,$E170-$F170-$J170)</f>
        <v/>
      </c>
      <c r="I170" s="3" t="n"/>
      <c r="J170" s="3" t="n"/>
      <c r="K170" s="4" t="n">
        <v>0.28</v>
      </c>
      <c r="L170" s="4">
        <f>IF(AND($H170&gt;0,ISNUMBER($K170)),$H170*$K170,0)</f>
        <v/>
      </c>
      <c r="M170" s="3" t="n"/>
      <c r="N170" s="3" t="n"/>
      <c r="O170" s="3" t="n"/>
      <c r="P170" s="3" t="n"/>
      <c r="Q170" s="3" t="n"/>
      <c r="R170" s="3" t="n">
        <v>1</v>
      </c>
      <c r="S170" s="3">
        <f>IF(AND(J170&lt;&gt;"",SUM(M170:R170)=0),J170,"")</f>
        <v/>
      </c>
      <c r="T170" s="3" t="n"/>
      <c r="U170" s="3" t="n"/>
      <c r="V170" s="3" t="n"/>
      <c r="W170" s="3" t="n"/>
      <c r="X170" s="3" t="n"/>
      <c r="Y170" s="3" t="n">
        <v>1</v>
      </c>
      <c r="Z170" s="3" t="n"/>
      <c r="AA170" s="2" t="inlineStr">
        <is>
          <t>Sorcery</t>
        </is>
      </c>
      <c r="AB170" s="2" t="n"/>
      <c r="AC170" s="2" t="inlineStr">
        <is>
          <t>R</t>
        </is>
      </c>
      <c r="AD170" s="3" t="n">
        <v>1</v>
      </c>
      <c r="AE170" s="29" t="inlineStr">
        <is>
          <t>Theros Beyond Death</t>
        </is>
      </c>
      <c r="AF170" s="29" t="inlineStr">
        <is>
          <t>Removal</t>
        </is>
      </c>
      <c r="AG170" s="29" t="inlineStr">
        <is>
          <t>X damage to target creature/planeswalker, or make an X/1 hasty trampler</t>
        </is>
      </c>
      <c r="AH170" s="29" t="n"/>
      <c r="AI170" s="29" t="n"/>
      <c r="AJ170" s="2" t="inlineStr">
        <is>
          <t>D5/D6 Tuned upgrade bought in place of Goblin Motivator (2026-09-02); Ordered 2026-09-02: Game Theory Raleigh $0.3</t>
        </is>
      </c>
    </row>
    <row r="171" ht="15" customHeight="1" s="79">
      <c r="A171" s="2" t="inlineStr">
        <is>
          <t>Temple of Silence</t>
        </is>
      </c>
      <c r="B171" s="2">
        <f>IF(AND(F171&lt;&gt;0,E171=F171),"In Hand",IF(AND(E171&lt;&gt;0,E171&lt;F171,SUM(M171:R171)=0,SUM(T171:Y171)&gt;0),"Extra-Sub",IF(AND(E171=0,E171&lt;F171,SUM(M171:R171)=0,SUM(T171:Y171)&gt;0),"Bench-Sub",IF(AND(E171=0,F171&gt;0),"Bench",IF(E171&lt;F171,"Extra",IF(AND(J171="",E171&gt;F171),"To Buy",IF(SUM(J171,F171)&lt;E171,"To Buy",IF(AND(SUM(J171,F171)&gt;=E171,J171&lt;&gt;""),"Ordered",IF(AND(E171=0,F171=0,D171="B3"),"B3 Option",IF(AND(E171=0,F171=0),"Remove","To Buy"))))))))))</f>
        <v/>
      </c>
      <c r="D171" t="inlineStr">
        <is>
          <t>B2</t>
        </is>
      </c>
      <c r="E171" s="3">
        <f>SUM(M171:S171)</f>
        <v/>
      </c>
      <c r="F171" s="3">
        <f>SUM(T171:Z171)</f>
        <v/>
      </c>
      <c r="G171" s="3">
        <f>IF((F171-E171)&gt;=0,F171-E171,0)</f>
        <v/>
      </c>
      <c r="H171" s="3">
        <f>MAX(0,$E171-$F171-$J171)</f>
        <v/>
      </c>
      <c r="I171" s="37" t="n"/>
      <c r="J171" s="3" t="n"/>
      <c r="K171" s="4" t="n">
        <v>0.35</v>
      </c>
      <c r="L171" s="4">
        <f>IF(AND($H171&gt;0,ISNUMBER($K171)),$H171*$K171,0)</f>
        <v/>
      </c>
      <c r="M171" s="3" t="n"/>
      <c r="N171" s="3" t="n"/>
      <c r="O171" s="3" t="n"/>
      <c r="P171" s="3" t="n"/>
      <c r="Q171" s="3" t="n">
        <v>1</v>
      </c>
      <c r="R171" s="3" t="n"/>
      <c r="S171" s="3">
        <f>IF(AND(J171&lt;&gt;"",SUM(M171:R171)=0),J171,"")</f>
        <v/>
      </c>
      <c r="T171" s="3" t="n"/>
      <c r="U171" s="3" t="n"/>
      <c r="V171" s="3" t="n"/>
      <c r="W171" s="3" t="n"/>
      <c r="X171" s="3" t="n">
        <v>1</v>
      </c>
      <c r="Y171" s="3" t="n"/>
      <c r="Z171" s="3" t="n"/>
      <c r="AA171" s="2" t="inlineStr">
        <is>
          <t>Land</t>
        </is>
      </c>
      <c r="AB171" s="2" t="n"/>
      <c r="AC171" s="2" t="inlineStr">
        <is>
          <t>L</t>
        </is>
      </c>
      <c r="AD171" s="3" t="n">
        <v>0</v>
      </c>
      <c r="AE171" s="29" t="inlineStr">
        <is>
          <t>Theros</t>
        </is>
      </c>
      <c r="AF171" s="29" t="inlineStr">
        <is>
          <t>Land</t>
        </is>
      </c>
      <c r="AG171" s="29" t="inlineStr">
        <is>
          <t>Taps for {W} or {B}</t>
        </is>
      </c>
      <c r="AH171" s="29" t="inlineStr">
        <is>
          <t>Enters tapped; scry 1 when it enters</t>
        </is>
      </c>
      <c r="AI171" s="29" t="n"/>
      <c r="AJ171" s="2" t="n"/>
    </row>
    <row r="172" ht="15" customHeight="1" s="79">
      <c r="A172" s="2" t="inlineStr">
        <is>
          <t>Conspicuous Snoop</t>
        </is>
      </c>
      <c r="B172" s="2">
        <f>IF(AND(F172&lt;&gt;0,E172=F172),"In Hand",IF(AND(E172&lt;&gt;0,E172&lt;F172,SUM(M172:R172)=0,SUM(T172:Y172)&gt;0),"Extra-Sub",IF(AND(E172=0,E172&lt;F172,SUM(M172:R172)=0,SUM(T172:Y172)&gt;0),"Bench-Sub",IF(AND(E172=0,F172&gt;0),"Bench",IF(E172&lt;F172,"Extra",IF(AND(J172="",E172&gt;F172),"To Buy",IF(SUM(J172,F172)&lt;E172,"To Buy",IF(AND(SUM(J172,F172)&gt;=E172,J172&lt;&gt;""),"Ordered",IF(AND(E172=0,F172=0,D172="B3"),"B3 Option",IF(AND(E172=0,F172=0),"Remove","To Buy"))))))))))</f>
        <v/>
      </c>
      <c r="D172" t="inlineStr">
        <is>
          <t>B3</t>
        </is>
      </c>
      <c r="E172" s="3">
        <f>SUM(M172:S172)</f>
        <v/>
      </c>
      <c r="F172" s="3">
        <f>SUM(T172:Z172)</f>
        <v/>
      </c>
      <c r="G172" s="3">
        <f>IF((F172-E172)&gt;=0,F172-E172,0)</f>
        <v/>
      </c>
      <c r="H172" s="3">
        <f>MAX(0,$E172-$F172-$J172)</f>
        <v/>
      </c>
      <c r="I172" s="3" t="n"/>
      <c r="J172" s="3" t="n"/>
      <c r="K172" s="4" t="n">
        <v>4.85</v>
      </c>
      <c r="L172" s="4">
        <f>IF(AND($H172&gt;0,ISNUMBER($K172)),$H172*$K172,0)</f>
        <v/>
      </c>
      <c r="M172" s="3" t="n"/>
      <c r="N172" s="3" t="n"/>
      <c r="O172" s="3" t="n"/>
      <c r="P172" s="3" t="n"/>
      <c r="Q172" s="3" t="n"/>
      <c r="R172" s="3" t="n">
        <v>1</v>
      </c>
      <c r="S172" s="3">
        <f>IF(AND(J172&lt;&gt;"",SUM(M172:R172)=0),J172,"")</f>
        <v/>
      </c>
      <c r="T172" s="3" t="n"/>
      <c r="U172" s="3" t="n"/>
      <c r="V172" s="3" t="n"/>
      <c r="W172" s="3" t="n"/>
      <c r="X172" s="3" t="n"/>
      <c r="Y172" s="3" t="n">
        <v>1</v>
      </c>
      <c r="Z172" s="3" t="n"/>
      <c r="AA172" s="2" t="inlineStr">
        <is>
          <t>Creature</t>
        </is>
      </c>
      <c r="AB172" s="2" t="inlineStr">
        <is>
          <t>Goblin Rogue</t>
        </is>
      </c>
      <c r="AC172" s="2" t="inlineStr">
        <is>
          <t>R</t>
        </is>
      </c>
      <c r="AD172" s="3" t="n">
        <v>2</v>
      </c>
      <c r="AE172" s="29" t="inlineStr">
        <is>
          <t>Core Set 2021</t>
        </is>
      </c>
      <c r="AF172" s="29" t="inlineStr">
        <is>
          <t>Tuned add</t>
        </is>
      </c>
      <c r="AG172" s="29" t="inlineStr">
        <is>
          <t>Play with the top card of your library revealed.
You may cast Goblin spells from the top of your library.
As long as the</t>
        </is>
      </c>
      <c r="AH172" s="29" t="n"/>
      <c r="AI172" s="29" t="n"/>
      <c r="AJ172" s="2" t="inlineStr">
        <is>
          <t>D6 Tuned add; targeted 2026-09-02; replaces Voldaren Epicure; In cart: Game Theory Raleigh $5.00 NM-Mint [M21] (2026-09-03)</t>
        </is>
      </c>
      <c r="AK172" t="inlineStr">
        <is>
          <t>[T] targeted D6 (Tuned add, replaces Voldaren Epicure); [A later] -&gt;D6 when bought</t>
        </is>
      </c>
    </row>
    <row r="173" ht="15" customHeight="1" s="79">
      <c r="A173" s="2" t="inlineStr">
        <is>
          <t>Goblin Chieftain</t>
        </is>
      </c>
      <c r="B173" s="2">
        <f>IF(AND(F173&lt;&gt;0,E173=F173),"In Hand",IF(AND(E173&lt;&gt;0,E173&lt;F173,SUM(M173:R173)=0,SUM(T173:Y173)&gt;0),"Extra-Sub",IF(AND(E173=0,E173&lt;F173,SUM(M173:R173)=0,SUM(T173:Y173)&gt;0),"Bench-Sub",IF(AND(E173=0,F173&gt;0),"Bench",IF(E173&lt;F173,"Extra",IF(AND(J173="",E173&gt;F173),"To Buy",IF(SUM(J173,F173)&lt;E173,"To Buy",IF(AND(SUM(J173,F173)&gt;=E173,J173&lt;&gt;""),"Ordered",IF(AND(E173=0,F173=0,D173="B3"),"B3 Option",IF(AND(E173=0,F173=0),"Remove","To Buy"))))))))))</f>
        <v/>
      </c>
      <c r="D173" t="inlineStr">
        <is>
          <t>B3</t>
        </is>
      </c>
      <c r="E173" s="3">
        <f>SUM(M173:S173)</f>
        <v/>
      </c>
      <c r="F173" s="3">
        <f>SUM(T173:Z173)</f>
        <v/>
      </c>
      <c r="G173" s="3">
        <f>IF((F173-E173)&gt;=0,F173-E173,0)</f>
        <v/>
      </c>
      <c r="H173" s="3">
        <f>MAX(0,$E173-$F173-$J173)</f>
        <v/>
      </c>
      <c r="I173" s="3" t="n"/>
      <c r="J173" s="3" t="n"/>
      <c r="K173" s="4" t="n">
        <v>5.94</v>
      </c>
      <c r="L173" s="4">
        <f>IF(AND($H173&gt;0,ISNUMBER($K173)),$H173*$K173,0)</f>
        <v/>
      </c>
      <c r="M173" s="3" t="n"/>
      <c r="N173" s="3" t="n"/>
      <c r="O173" s="3" t="n"/>
      <c r="P173" s="3" t="n"/>
      <c r="Q173" s="3" t="n"/>
      <c r="R173" s="3" t="n">
        <v>1</v>
      </c>
      <c r="S173" s="3">
        <f>IF(AND(J173&lt;&gt;"",SUM(M173:R173)=0),J173,"")</f>
        <v/>
      </c>
      <c r="T173" s="3" t="n"/>
      <c r="U173" s="3" t="n"/>
      <c r="V173" s="3" t="n"/>
      <c r="W173" s="3" t="n"/>
      <c r="X173" s="3" t="n"/>
      <c r="Y173" s="3" t="n">
        <v>1</v>
      </c>
      <c r="Z173" s="3" t="n"/>
      <c r="AA173" s="2" t="inlineStr">
        <is>
          <t>Creature</t>
        </is>
      </c>
      <c r="AB173" s="2" t="inlineStr">
        <is>
          <t>Goblin</t>
        </is>
      </c>
      <c r="AC173" s="2" t="inlineStr">
        <is>
          <t>R</t>
        </is>
      </c>
      <c r="AD173" s="3" t="n">
        <v>3</v>
      </c>
      <c r="AE173" s="29" t="inlineStr">
        <is>
          <t>Magic 2010</t>
        </is>
      </c>
      <c r="AF173" s="29" t="inlineStr">
        <is>
          <t>Tuned add</t>
        </is>
      </c>
      <c r="AG173" s="29" t="inlineStr">
        <is>
          <t xml:space="preserve">Haste (This creature can attack and {T} as soon as it comes under your control.)
Other Goblin creatures you control get </t>
        </is>
      </c>
      <c r="AH173" s="29" t="n"/>
      <c r="AI173" s="29" t="n"/>
      <c r="AJ173" s="2" t="inlineStr">
        <is>
          <t>D6 Tuned add; targeted 2026-09-02; replaces Cinder Strike; In cart: Game Theory Raleigh $4.80 NM-Mint [M10] (2026-09-03)</t>
        </is>
      </c>
      <c r="AK173" t="inlineStr">
        <is>
          <t>[T] targeted D6 (Tuned add, replaces Cinder Strike); [A later] -&gt;D6 when bought</t>
        </is>
      </c>
    </row>
    <row r="174" ht="15" customHeight="1" s="79">
      <c r="A174" s="2" t="inlineStr">
        <is>
          <t>Goblin Trashmaster</t>
        </is>
      </c>
      <c r="B174" s="2">
        <f>IF(AND(F174&lt;&gt;0,E174=F174),"In Hand",IF(AND(E174&lt;&gt;0,E174&lt;F174,SUM(M174:R174)=0,SUM(T174:Y174)&gt;0),"Extra-Sub",IF(AND(E174=0,E174&lt;F174,SUM(M174:R174)=0,SUM(T174:Y174)&gt;0),"Bench-Sub",IF(AND(E174=0,F174&gt;0),"Bench",IF(E174&lt;F174,"Extra",IF(AND(J174="",E174&gt;F174),"To Buy",IF(SUM(J174,F174)&lt;E174,"To Buy",IF(AND(SUM(J174,F174)&gt;=E174,J174&lt;&gt;""),"Ordered",IF(AND(E174=0,F174=0,D174="B3"),"B3 Option",IF(AND(E174=0,F174=0),"Remove","To Buy"))))))))))</f>
        <v/>
      </c>
      <c r="D174" t="inlineStr">
        <is>
          <t>B3</t>
        </is>
      </c>
      <c r="E174" s="3">
        <f>SUM(M174:S174)</f>
        <v/>
      </c>
      <c r="F174" s="3">
        <f>SUM(T174:Z174)</f>
        <v/>
      </c>
      <c r="G174" s="3">
        <f>IF((F174-E174)&gt;=0,F174-E174,0)</f>
        <v/>
      </c>
      <c r="H174" s="3">
        <f>MAX(0,$E174-$F174-$J174)</f>
        <v/>
      </c>
      <c r="I174" s="3" t="n"/>
      <c r="J174" s="3" t="n"/>
      <c r="K174" s="4" t="n">
        <v>7.78</v>
      </c>
      <c r="L174" s="4">
        <f>IF(AND($H174&gt;0,ISNUMBER($K174)),$H174*$K174,0)</f>
        <v/>
      </c>
      <c r="M174" s="3" t="n"/>
      <c r="N174" s="3" t="n"/>
      <c r="O174" s="3" t="n"/>
      <c r="P174" s="3" t="n"/>
      <c r="Q174" s="3" t="n"/>
      <c r="R174" s="3" t="n">
        <v>1</v>
      </c>
      <c r="S174" s="3">
        <f>IF(AND(J174&lt;&gt;"",SUM(M174:R174)=0),J174,"")</f>
        <v/>
      </c>
      <c r="T174" s="3" t="n"/>
      <c r="U174" s="3" t="n"/>
      <c r="V174" s="3" t="n"/>
      <c r="W174" s="3" t="n"/>
      <c r="X174" s="3" t="n"/>
      <c r="Y174" s="3" t="n">
        <v>1</v>
      </c>
      <c r="Z174" s="3" t="n"/>
      <c r="AA174" s="2" t="inlineStr">
        <is>
          <t>Creature</t>
        </is>
      </c>
      <c r="AB174" s="2" t="inlineStr">
        <is>
          <t>Goblin Warrior</t>
        </is>
      </c>
      <c r="AC174" s="2" t="inlineStr">
        <is>
          <t>R</t>
        </is>
      </c>
      <c r="AD174" s="3" t="n">
        <v>4</v>
      </c>
      <c r="AE174" s="29" t="inlineStr">
        <is>
          <t>Core Set 2019</t>
        </is>
      </c>
      <c r="AF174" s="29" t="inlineStr">
        <is>
          <t>Tuned add</t>
        </is>
      </c>
      <c r="AG174" s="29" t="inlineStr">
        <is>
          <t>Other Goblins you control get +1/+1.
Sacrifice a Goblin: Destroy target artifact.</t>
        </is>
      </c>
      <c r="AH174" s="29" t="n"/>
      <c r="AI174" s="29" t="n"/>
      <c r="AJ174" s="2" t="inlineStr">
        <is>
          <t>D6 Tuned add; targeted 2026-09-02; replaces Tweeze; In cart: Game Theory Raleigh $7.90 NM-Mint [M19] (2026-09-03)</t>
        </is>
      </c>
      <c r="AK174" t="inlineStr">
        <is>
          <t>[T] targeted D6 (Tuned add, replaces Tweeze); [A later] -&gt;D6 when bought</t>
        </is>
      </c>
    </row>
    <row r="175" ht="15" customHeight="1" s="79">
      <c r="A175" s="2" t="inlineStr">
        <is>
          <t>Mirkwood</t>
        </is>
      </c>
      <c r="B175" s="2">
        <f>IF(AND(F175&lt;&gt;0,E175=F175),"In Hand",IF(AND(E175&lt;&gt;0,E175&lt;F175,SUM(M175:R175)=0,SUM(T175:Y175)&gt;0),"Extra-Sub",IF(AND(E175=0,E175&lt;F175,SUM(M175:R175)=0,SUM(T175:Y175)&gt;0),"Bench-Sub",IF(AND(E175=0,F175&gt;0),"Bench",IF(E175&lt;F175,"Extra",IF(AND(J175="",E175&gt;F175),"To Buy",IF(SUM(J175,F175)&lt;E175,"To Buy",IF(AND(SUM(J175,F175)&gt;=E175,J175&lt;&gt;""),"Ordered",IF(AND(E175=0,F175=0,D175="B3"),"B3 Option",IF(AND(E175=0,F175=0),"Remove","To Buy"))))))))))</f>
        <v/>
      </c>
      <c r="D175" t="inlineStr">
        <is>
          <t>B2</t>
        </is>
      </c>
      <c r="E175" s="3">
        <f>SUM(M175:S175)</f>
        <v/>
      </c>
      <c r="F175" s="3">
        <f>SUM(T175:Z175)</f>
        <v/>
      </c>
      <c r="G175" s="3">
        <f>IF((F175-E175)&gt;=0,F175-E175,0)</f>
        <v/>
      </c>
      <c r="H175" s="3">
        <f>MAX(0,$E175-$F175-$J175)</f>
        <v/>
      </c>
      <c r="I175" s="3" t="n"/>
      <c r="J175" s="3" t="n"/>
      <c r="K175" s="4" t="n">
        <v>0.18</v>
      </c>
      <c r="L175" s="4">
        <f>IF(AND($H175&gt;0,ISNUMBER($K175)),$H175*$K175,0)</f>
        <v/>
      </c>
      <c r="M175" s="3" t="n"/>
      <c r="N175" s="3" t="n"/>
      <c r="O175" s="3" t="n">
        <v>1</v>
      </c>
      <c r="P175" s="3" t="n"/>
      <c r="Q175" s="3" t="n"/>
      <c r="R175" s="3" t="n"/>
      <c r="S175" s="3">
        <f>IF(AND(J175&lt;&gt;"",SUM(M175:R175)=0),J175,"")</f>
        <v/>
      </c>
      <c r="T175" s="3" t="n"/>
      <c r="U175" s="3" t="n"/>
      <c r="V175" s="3" t="n">
        <v>1</v>
      </c>
      <c r="W175" s="3" t="n"/>
      <c r="X175" s="3" t="n"/>
      <c r="Y175" s="3" t="n"/>
      <c r="Z175" s="3" t="n"/>
      <c r="AA175" s="2" t="inlineStr">
        <is>
          <t>Land</t>
        </is>
      </c>
      <c r="AB175" s="2" t="n"/>
      <c r="AC175" s="2" t="inlineStr">
        <is>
          <t>L</t>
        </is>
      </c>
      <c r="AD175" s="3" t="n">
        <v>0</v>
      </c>
      <c r="AE175" s="29" t="inlineStr">
        <is>
          <t>The Hobbit</t>
        </is>
      </c>
      <c r="AF175" s="29" t="inlineStr">
        <is>
          <t>Land</t>
        </is>
      </c>
      <c r="AG175" s="29" t="inlineStr">
        <is>
          <t>Taps for {B} or {G}</t>
        </is>
      </c>
      <c r="AH175" s="29" t="inlineStr">
        <is>
          <t>Sacrifice to put two +1/+1 counters on target Bear, Spider, or Wolf you control</t>
        </is>
      </c>
      <c r="AI175" s="29" t="n"/>
      <c r="AJ175" s="2" t="n"/>
    </row>
    <row r="176" ht="15" customHeight="1" s="79">
      <c r="A176" s="2" t="inlineStr">
        <is>
          <t>Vampire Hexmage</t>
        </is>
      </c>
      <c r="B176" s="2">
        <f>IF(AND(F176&lt;&gt;0,E176=F176),"In Hand",IF(AND(E176&lt;&gt;0,E176&lt;F176,SUM(M176:R176)=0,SUM(T176:Y176)&gt;0),"Extra-Sub",IF(AND(E176=0,E176&lt;F176,SUM(M176:R176)=0,SUM(T176:Y176)&gt;0),"Bench-Sub",IF(AND(E176=0,F176&gt;0),"Bench",IF(E176&lt;F176,"Extra",IF(AND(J176="",E176&gt;F176),"To Buy",IF(SUM(J176,F176)&lt;E176,"To Buy",IF(AND(SUM(J176,F176)&gt;=E176,J176&lt;&gt;""),"Ordered",IF(AND(E176=0,F176=0,D176="B3"),"B3 Option",IF(AND(E176=0,F176=0),"Remove","To Buy"))))))))))</f>
        <v/>
      </c>
      <c r="D176" t="inlineStr">
        <is>
          <t>B2</t>
        </is>
      </c>
      <c r="E176" s="3">
        <f>SUM(M176:S176)</f>
        <v/>
      </c>
      <c r="F176" s="3">
        <f>SUM(T176:Z176)</f>
        <v/>
      </c>
      <c r="G176" s="3">
        <f>IF((F176-E176)&gt;=0,F176-E176,0)</f>
        <v/>
      </c>
      <c r="H176" s="3">
        <f>MAX(0,$E176-$F176-$J176)</f>
        <v/>
      </c>
      <c r="I176" s="3" t="n"/>
      <c r="J176" s="3" t="n"/>
      <c r="K176" s="4" t="n">
        <v>0.27</v>
      </c>
      <c r="L176" s="4">
        <f>IF(AND($H176&gt;0,ISNUMBER($K176)),$H176*$K176,0)</f>
        <v/>
      </c>
      <c r="M176" s="3" t="n"/>
      <c r="N176" s="3" t="n"/>
      <c r="O176" s="3" t="n">
        <v>1</v>
      </c>
      <c r="P176" s="3" t="n"/>
      <c r="Q176" s="3" t="n"/>
      <c r="R176" s="3" t="n"/>
      <c r="S176" s="3">
        <f>IF(AND(J176&lt;&gt;"",SUM(M176:R176)=0),J176,"")</f>
        <v/>
      </c>
      <c r="T176" s="3" t="n"/>
      <c r="U176" s="3" t="n"/>
      <c r="V176" s="3" t="n">
        <v>1</v>
      </c>
      <c r="W176" s="3" t="n"/>
      <c r="X176" s="3" t="n"/>
      <c r="Y176" s="3" t="n"/>
      <c r="Z176" s="3" t="n"/>
      <c r="AA176" s="2" t="inlineStr">
        <is>
          <t>Creature</t>
        </is>
      </c>
      <c r="AB176" s="2" t="inlineStr">
        <is>
          <t>Vampire Shaman</t>
        </is>
      </c>
      <c r="AC176" s="2" t="inlineStr">
        <is>
          <t>B</t>
        </is>
      </c>
      <c r="AD176" s="3" t="n">
        <v>2</v>
      </c>
      <c r="AE176" s="29" t="inlineStr">
        <is>
          <t>Zendikar</t>
        </is>
      </c>
      <c r="AF176" s="29" t="inlineStr">
        <is>
          <t>Removal</t>
        </is>
      </c>
      <c r="AG176" s="29" t="inlineStr">
        <is>
          <t>Sacrifice: remove all counters from target permanent (can kill planeswalkers)</t>
        </is>
      </c>
      <c r="AH176" s="29" t="inlineStr">
        <is>
          <t>First strike body</t>
        </is>
      </c>
      <c r="AI176" s="29" t="n"/>
      <c r="AJ176" s="2" t="inlineStr">
        <is>
          <t>Tuned add; strips ALL counters off one permanent; Received/settled (was in cart 2026-09-02: Game Theory Wake Forest $0.5 Near Mint)</t>
        </is>
      </c>
    </row>
    <row r="177" ht="15" customHeight="1" s="79">
      <c r="A177" s="2" t="inlineStr">
        <is>
          <t>Abigale, Eloquent First-Year</t>
        </is>
      </c>
      <c r="B177" s="2">
        <f>IF(AND(F177&lt;&gt;0,E177=F177),"In Hand",IF(AND(E177&lt;&gt;0,E177&lt;F177,SUM(M177:R177)=0,SUM(T177:Y177)&gt;0),"Extra-Sub",IF(AND(E177=0,E177&lt;F177,SUM(M177:R177)=0,SUM(T177:Y177)&gt;0),"Bench-Sub",IF(AND(E177=0,F177&gt;0),"Bench",IF(E177&lt;F177,"Extra",IF(AND(J177="",E177&gt;F177),"To Buy",IF(SUM(J177,F177)&lt;E177,"To Buy",IF(AND(SUM(J177,F177)&gt;=E177,J177&lt;&gt;""),"Ordered",IF(AND(E177=0,F177=0,D177="B3"),"B3 Option",IF(AND(E177=0,F177=0),"Remove","To Buy"))))))))))</f>
        <v/>
      </c>
      <c r="D177" t="inlineStr">
        <is>
          <t>B2</t>
        </is>
      </c>
      <c r="E177" s="3">
        <f>SUM(M177:S177)</f>
        <v/>
      </c>
      <c r="F177" s="3">
        <f>SUM(T177:Z177)</f>
        <v/>
      </c>
      <c r="G177" s="3">
        <f>IF((F177-E177)&gt;=0,F177-E177,0)</f>
        <v/>
      </c>
      <c r="H177" s="3">
        <f>MAX(0,$E177-$F177-$J177)</f>
        <v/>
      </c>
      <c r="I177" s="3" t="n"/>
      <c r="J177" s="3" t="n"/>
      <c r="K177" s="4" t="n">
        <v>0.38</v>
      </c>
      <c r="L177" s="4">
        <f>IF(AND($H177&gt;0,ISNUMBER($K177)),$H177*$K177,0)</f>
        <v/>
      </c>
      <c r="M177" s="3" t="n"/>
      <c r="N177" s="3" t="n"/>
      <c r="O177" s="3" t="n">
        <v>1</v>
      </c>
      <c r="P177" s="3" t="n"/>
      <c r="Q177" s="3" t="n"/>
      <c r="R177" s="3" t="n"/>
      <c r="S177" s="3">
        <f>IF(AND(J177&lt;&gt;"",SUM(M177:R177)=0),J177,"")</f>
        <v/>
      </c>
      <c r="T177" s="3" t="n"/>
      <c r="U177" s="3" t="n"/>
      <c r="V177" s="3" t="n">
        <v>1</v>
      </c>
      <c r="W177" s="3" t="n"/>
      <c r="X177" s="3" t="n"/>
      <c r="Y177" s="3" t="n"/>
      <c r="Z177" s="3" t="n"/>
      <c r="AA177" s="2" t="inlineStr">
        <is>
          <t>Legendary Creature</t>
        </is>
      </c>
      <c r="AB177" s="2" t="inlineStr">
        <is>
          <t>Bird Bard</t>
        </is>
      </c>
      <c r="AC177" s="2" t="inlineStr">
        <is>
          <t>Multi</t>
        </is>
      </c>
      <c r="AD177" s="3" t="n">
        <v>2</v>
      </c>
      <c r="AE177" s="29" t="inlineStr">
        <is>
          <t>Lorwyn Eclipsed</t>
        </is>
      </c>
      <c r="AF177" s="29" t="inlineStr">
        <is>
          <t>Removal</t>
        </is>
      </c>
      <c r="AG177" s="29" t="inlineStr">
        <is>
          <t>Up to one target creature loses all abilities and gains a flying, first strike, and lifelink counter when Abigale enters</t>
        </is>
      </c>
      <c r="AH177" s="29" t="inlineStr">
        <is>
          <t>Gains you life equal to damage it deals</t>
        </is>
      </c>
      <c r="AI177" s="29" t="n"/>
      <c r="AJ177" s="2" t="n"/>
    </row>
    <row r="178" ht="15" customHeight="1" s="79">
      <c r="A178" s="2" t="inlineStr">
        <is>
          <t>Abrade</t>
        </is>
      </c>
      <c r="B178" s="2">
        <f>IF(AND(F178&lt;&gt;0,E178=F178),"In Hand",IF(AND(E178&lt;&gt;0,E178&lt;F178,SUM(M178:R178)=0,SUM(T178:Y178)&gt;0),"Extra-Sub",IF(AND(E178=0,E178&lt;F178,SUM(M178:R178)=0,SUM(T178:Y178)&gt;0),"Bench-Sub",IF(AND(E178=0,F178&gt;0),"Bench",IF(E178&lt;F178,"Extra",IF(AND(J178="",E178&gt;F178),"To Buy",IF(SUM(J178,F178)&lt;E178,"To Buy",IF(AND(SUM(J178,F178)&gt;=E178,J178&lt;&gt;""),"Ordered",IF(AND(E178=0,F178=0,D178="B3"),"B3 Option",IF(AND(E178=0,F178=0),"Remove","To Buy"))))))))))</f>
        <v/>
      </c>
      <c r="D178" t="inlineStr">
        <is>
          <t>B2</t>
        </is>
      </c>
      <c r="E178" s="3">
        <f>SUM(M178:S178)</f>
        <v/>
      </c>
      <c r="F178" s="3">
        <f>SUM(T178:Z178)</f>
        <v/>
      </c>
      <c r="G178" s="3">
        <f>IF((F178-E178)&gt;=0,F178-E178,0)</f>
        <v/>
      </c>
      <c r="H178" s="3">
        <f>MAX(0,$E178-$F178-$J178)</f>
        <v/>
      </c>
      <c r="I178" s="3" t="n"/>
      <c r="J178" s="3" t="n"/>
      <c r="K178" s="4" t="n">
        <v>0.34</v>
      </c>
      <c r="L178" s="4">
        <f>IF(AND($H178&gt;0,ISNUMBER($K178)),$H178*$K178,0)</f>
        <v/>
      </c>
      <c r="M178" s="3" t="n"/>
      <c r="N178" s="3" t="n"/>
      <c r="O178" s="3" t="n"/>
      <c r="P178" s="3" t="n"/>
      <c r="Q178" s="3" t="n"/>
      <c r="R178" s="3" t="n">
        <v>1</v>
      </c>
      <c r="S178" s="3">
        <f>IF(AND(J178&lt;&gt;"",SUM(M178:R178)=0),J178,"")</f>
        <v/>
      </c>
      <c r="T178" s="3" t="n"/>
      <c r="U178" s="3" t="n"/>
      <c r="V178" s="3" t="n"/>
      <c r="W178" s="3" t="n"/>
      <c r="X178" s="3" t="n"/>
      <c r="Y178" s="3" t="n">
        <v>1</v>
      </c>
      <c r="Z178" s="3" t="n"/>
      <c r="AA178" s="2" t="inlineStr">
        <is>
          <t>Instant</t>
        </is>
      </c>
      <c r="AB178" s="2" t="n"/>
      <c r="AC178" s="2" t="inlineStr">
        <is>
          <t>R</t>
        </is>
      </c>
      <c r="AD178" s="3" t="n">
        <v>2</v>
      </c>
      <c r="AE178" s="29" t="inlineStr">
        <is>
          <t>Hour of Devastation</t>
        </is>
      </c>
      <c r="AF178" s="29" t="inlineStr">
        <is>
          <t>Removal</t>
        </is>
      </c>
      <c r="AG178" s="29" t="inlineStr">
        <is>
          <t>Deals 3 damage to target creature, or destroys target artifact</t>
        </is>
      </c>
      <c r="AH178" s="29" t="n"/>
      <c r="AI178" s="29" t="n"/>
      <c r="AJ178" s="2" t="inlineStr">
        <is>
          <t>Received/settled (was in cart 2026-09-02: Game Theory Wake Forest $0.3 Near Mint)</t>
        </is>
      </c>
    </row>
    <row r="179" ht="15" customHeight="1" s="79">
      <c r="A179" s="2" t="inlineStr">
        <is>
          <t>Advanced Reconstruction</t>
        </is>
      </c>
      <c r="B179" s="2">
        <f>IF(AND(F179&lt;&gt;0,E179=F179),"In Hand",IF(AND(E179&lt;&gt;0,E179&lt;F179,SUM(M179:R179)=0,SUM(T179:Y179)&gt;0),"Extra-Sub",IF(AND(E179=0,E179&lt;F179,SUM(M179:R179)=0,SUM(T179:Y179)&gt;0),"Bench-Sub",IF(AND(E179=0,F179&gt;0),"Bench",IF(E179&lt;F179,"Extra",IF(AND(J179="",E179&gt;F179),"To Buy",IF(SUM(J179,F179)&lt;E179,"To Buy",IF(AND(SUM(J179,F179)&gt;=E179,J179&lt;&gt;""),"Ordered",IF(AND(E179=0,F179=0,D179="B3"),"B3 Option",IF(AND(E179=0,F179=0),"Remove","To Buy"))))))))))</f>
        <v/>
      </c>
      <c r="D179" t="inlineStr">
        <is>
          <t>B2</t>
        </is>
      </c>
      <c r="E179" s="3">
        <f>SUM(M179:S179)</f>
        <v/>
      </c>
      <c r="F179" s="3">
        <f>SUM(T179:Z179)</f>
        <v/>
      </c>
      <c r="G179" s="3">
        <f>IF((F179-E179)&gt;=0,F179-E179,0)</f>
        <v/>
      </c>
      <c r="H179" s="3">
        <f>MAX(0,$E179-$F179-$J179)</f>
        <v/>
      </c>
      <c r="I179" s="3" t="n"/>
      <c r="J179" s="3" t="n"/>
      <c r="K179" s="4" t="n">
        <v>0.37</v>
      </c>
      <c r="L179" s="4">
        <f>IF(AND($H179&gt;0,ISNUMBER($K179)),$H179*$K179,0)</f>
        <v/>
      </c>
      <c r="M179" s="3" t="n">
        <v>1</v>
      </c>
      <c r="N179" s="3" t="n"/>
      <c r="O179" s="3" t="n"/>
      <c r="P179" s="3" t="n"/>
      <c r="Q179" s="3" t="n"/>
      <c r="R179" s="3" t="n"/>
      <c r="S179" s="3">
        <f>IF(AND(J179&lt;&gt;"",SUM(M179:R179)=0),J179,"")</f>
        <v/>
      </c>
      <c r="T179" s="3" t="n">
        <v>1</v>
      </c>
      <c r="U179" s="3" t="n"/>
      <c r="V179" s="3" t="n"/>
      <c r="W179" s="3" t="n"/>
      <c r="X179" s="3" t="n"/>
      <c r="Y179" s="3" t="n"/>
      <c r="Z179" s="3" t="n"/>
      <c r="AA179" s="2" t="inlineStr">
        <is>
          <t>Enchantment</t>
        </is>
      </c>
      <c r="AB179" s="2" t="inlineStr">
        <is>
          <t>Class</t>
        </is>
      </c>
      <c r="AC179" s="2" t="inlineStr">
        <is>
          <t>R</t>
        </is>
      </c>
      <c r="AD179" s="3" t="n">
        <v>4</v>
      </c>
      <c r="AE179" s="29" t="inlineStr">
        <is>
          <t>Secrets of Strixhaven Commander</t>
        </is>
      </c>
      <c r="AF179" s="29" t="inlineStr">
        <is>
          <t>Card Advantage</t>
        </is>
      </c>
      <c r="AG179" s="29" t="inlineStr">
        <is>
          <t>Main phase: mill a card, then exile a random graveyard card you may play this turn</t>
        </is>
      </c>
      <c r="AH179" s="29" t="inlineStr">
        <is>
          <t>Level 2: deals 2 damage to each opponent when cards leave your graveyard</t>
        </is>
      </c>
      <c r="AI179" s="29" t="inlineStr">
        <is>
          <t>Level 3: spells cast from anywhere but hand cost {2} less</t>
        </is>
      </c>
      <c r="AJ179" s="2" t="n"/>
    </row>
    <row r="180" ht="15" customHeight="1" s="79">
      <c r="A180" s="2" t="inlineStr">
        <is>
          <t>Aetheric Amplifier</t>
        </is>
      </c>
      <c r="B180" s="2">
        <f>IF(AND(F180&lt;&gt;0,E180=F180),"In Hand",IF(AND(E180&lt;&gt;0,E180&lt;F180,SUM(M180:R180)=0,SUM(T180:Y180)&gt;0),"Extra-Sub",IF(AND(E180=0,E180&lt;F180,SUM(M180:R180)=0,SUM(T180:Y180)&gt;0),"Bench-Sub",IF(AND(E180=0,F180&gt;0),"Bench",IF(E180&lt;F180,"Extra",IF(AND(J180="",E180&gt;F180),"To Buy",IF(SUM(J180,F180)&lt;E180,"To Buy",IF(AND(SUM(J180,F180)&gt;=E180,J180&lt;&gt;""),"Ordered",IF(AND(E180=0,F180=0,D180="B3"),"B3 Option",IF(AND(E180=0,F180=0),"Remove","To Buy"))))))))))</f>
        <v/>
      </c>
      <c r="D180" t="inlineStr">
        <is>
          <t>B2</t>
        </is>
      </c>
      <c r="E180" s="3">
        <f>SUM(M180:S180)</f>
        <v/>
      </c>
      <c r="F180" s="3">
        <f>SUM(T180:Z180)</f>
        <v/>
      </c>
      <c r="G180" s="3">
        <f>IF((F180-E180)&gt;=0,F180-E180,0)</f>
        <v/>
      </c>
      <c r="H180" s="3">
        <f>MAX(0,$E180-$F180-$J180)</f>
        <v/>
      </c>
      <c r="I180" s="3" t="n"/>
      <c r="J180" s="3" t="n"/>
      <c r="K180" s="4" t="n">
        <v>0.51</v>
      </c>
      <c r="L180" s="4">
        <f>IF(AND($H180&gt;0,ISNUMBER($K180)),$H180*$K180,0)</f>
        <v/>
      </c>
      <c r="M180" s="3" t="n"/>
      <c r="N180" s="3" t="n"/>
      <c r="O180" s="3" t="n"/>
      <c r="P180" s="3" t="n"/>
      <c r="Q180" s="3" t="n">
        <v>1</v>
      </c>
      <c r="R180" s="3" t="n"/>
      <c r="S180" s="3">
        <f>IF(AND(J180&lt;&gt;"",SUM(M180:R180)=0),J180,"")</f>
        <v/>
      </c>
      <c r="T180" s="3" t="n"/>
      <c r="U180" s="3" t="n"/>
      <c r="V180" s="3" t="n"/>
      <c r="W180" s="3" t="n"/>
      <c r="X180" s="3" t="n">
        <v>1</v>
      </c>
      <c r="Y180" s="3" t="n"/>
      <c r="Z180" s="3" t="n"/>
      <c r="AA180" s="2" t="inlineStr">
        <is>
          <t>Artifact</t>
        </is>
      </c>
      <c r="AB180" s="2" t="n"/>
      <c r="AC180" s="2" t="inlineStr">
        <is>
          <t>C</t>
        </is>
      </c>
      <c r="AD180" s="3" t="n">
        <v>3</v>
      </c>
      <c r="AE180" s="29" t="inlineStr">
        <is>
          <t>Aetherdrift Commander</t>
        </is>
      </c>
      <c r="AF180" s="29" t="inlineStr">
        <is>
          <t>Mana Rock</t>
        </is>
      </c>
      <c r="AG180" s="29" t="inlineStr">
        <is>
          <t>Taps for one mana of any color</t>
        </is>
      </c>
      <c r="AH180" s="29" t="inlineStr">
        <is>
          <t>Pay {4} and tap to double the counters of a kind on target permanent</t>
        </is>
      </c>
      <c r="AI180" s="29" t="inlineStr">
        <is>
          <t>Or double each kind of counter you have</t>
        </is>
      </c>
      <c r="AJ180" s="2" t="n"/>
      <c r="AK180" t="inlineStr">
        <is>
          <t>[B3 later] D5-&gt;B when Anointed Procession is bought</t>
        </is>
      </c>
    </row>
    <row r="181" ht="15" customHeight="1" s="79">
      <c r="A181" s="2" t="inlineStr">
        <is>
          <t>Ancient Greenwarden</t>
        </is>
      </c>
      <c r="B181" s="2">
        <f>IF(AND(F181&lt;&gt;0,E181=F181),"In Hand",IF(AND(E181&lt;&gt;0,E181&lt;F181,SUM(M181:R181)=0,SUM(T181:Y181)&gt;0),"Extra-Sub",IF(AND(E181=0,E181&lt;F181,SUM(M181:R181)=0,SUM(T181:Y181)&gt;0),"Bench-Sub",IF(AND(E181=0,F181&gt;0),"Bench",IF(E181&lt;F181,"Extra",IF(AND(J181="",E181&gt;F181),"To Buy",IF(SUM(J181,F181)&lt;E181,"To Buy",IF(AND(SUM(J181,F181)&gt;=E181,J181&lt;&gt;""),"Ordered",IF(AND(E181=0,F181=0,D181="B3"),"B3 Option",IF(AND(E181=0,F181=0),"Remove","To Buy"))))))))))</f>
        <v/>
      </c>
      <c r="D181" t="inlineStr">
        <is>
          <t>B2</t>
        </is>
      </c>
      <c r="E181" s="3">
        <f>SUM(M181:S181)</f>
        <v/>
      </c>
      <c r="F181" s="3">
        <f>SUM(T181:Z181)</f>
        <v/>
      </c>
      <c r="G181" s="3">
        <f>IF((F181-E181)&gt;=0,F181-E181,0)</f>
        <v/>
      </c>
      <c r="H181" s="3">
        <f>MAX(0,$E181-$F181-$J181)</f>
        <v/>
      </c>
      <c r="I181" s="3" t="n"/>
      <c r="J181" s="3" t="n"/>
      <c r="K181" s="4" t="n">
        <v>12.31</v>
      </c>
      <c r="L181" s="4">
        <f>IF(AND($H181&gt;0,ISNUMBER($K181)),$H181*$K181,0)</f>
        <v/>
      </c>
      <c r="M181" s="3" t="n"/>
      <c r="N181" s="3" t="n">
        <v>1</v>
      </c>
      <c r="O181" s="3" t="n"/>
      <c r="P181" s="3" t="n"/>
      <c r="Q181" s="3" t="n"/>
      <c r="R181" s="3" t="n"/>
      <c r="S181" s="3">
        <f>IF(AND(J181&lt;&gt;"",SUM(M181:R181)=0),J181,"")</f>
        <v/>
      </c>
      <c r="T181" s="3" t="n"/>
      <c r="U181" s="3" t="n">
        <v>1</v>
      </c>
      <c r="V181" s="3" t="n"/>
      <c r="W181" s="3" t="n"/>
      <c r="X181" s="3" t="n"/>
      <c r="Y181" s="3" t="n"/>
      <c r="Z181" s="3" t="n"/>
      <c r="AA181" s="2" t="inlineStr">
        <is>
          <t>Creature</t>
        </is>
      </c>
      <c r="AB181" s="2" t="inlineStr">
        <is>
          <t>Elemental</t>
        </is>
      </c>
      <c r="AC181" s="2" t="inlineStr">
        <is>
          <t>G</t>
        </is>
      </c>
      <c r="AD181" s="3" t="n">
        <v>6</v>
      </c>
      <c r="AE181" s="29" t="inlineStr">
        <is>
          <t>Zendikar Rising</t>
        </is>
      </c>
      <c r="AF181" s="29" t="inlineStr">
        <is>
          <t>Value Engine</t>
        </is>
      </c>
      <c r="AG181" s="29" t="inlineStr">
        <is>
          <t>You may play lands from your graveyard</t>
        </is>
      </c>
      <c r="AH181" s="29" t="inlineStr">
        <is>
          <t>Triggered abilities from a land entering trigger an additional time</t>
        </is>
      </c>
      <c r="AI181" s="29" t="n"/>
      <c r="AJ181" s="2" t="n"/>
    </row>
    <row r="182" ht="15" customHeight="1" s="79">
      <c r="A182" s="2" t="inlineStr">
        <is>
          <t>Angel of Indemnity</t>
        </is>
      </c>
      <c r="B182" s="2">
        <f>IF(AND(F182&lt;&gt;0,E182=F182),"In Hand",IF(AND(E182&lt;&gt;0,E182&lt;F182,SUM(M182:R182)=0,SUM(T182:Y182)&gt;0),"Extra-Sub",IF(AND(E182=0,E182&lt;F182,SUM(M182:R182)=0,SUM(T182:Y182)&gt;0),"Bench-Sub",IF(AND(E182=0,F182&gt;0),"Bench",IF(E182&lt;F182,"Extra",IF(AND(J182="",E182&gt;F182),"To Buy",IF(SUM(J182,F182)&lt;E182,"To Buy",IF(AND(SUM(J182,F182)&gt;=E182,J182&lt;&gt;""),"Ordered",IF(AND(E182=0,F182=0,D182="B3"),"B3 Option",IF(AND(E182=0,F182=0),"Remove","To Buy"))))))))))</f>
        <v/>
      </c>
      <c r="D182" t="inlineStr">
        <is>
          <t>B2</t>
        </is>
      </c>
      <c r="E182" s="3">
        <f>SUM(M182:S182)</f>
        <v/>
      </c>
      <c r="F182" s="3">
        <f>SUM(T182:Z182)</f>
        <v/>
      </c>
      <c r="G182" s="3">
        <f>IF((F182-E182)&gt;=0,F182-E182,0)</f>
        <v/>
      </c>
      <c r="H182" s="3">
        <f>MAX(0,$E182-$F182-$J182)</f>
        <v/>
      </c>
      <c r="I182" s="3" t="n"/>
      <c r="J182" s="3" t="n"/>
      <c r="K182" s="4" t="n">
        <v>0.38</v>
      </c>
      <c r="L182" s="4">
        <f>IF(AND($H182&gt;0,ISNUMBER($K182)),$H182*$K182,0)</f>
        <v/>
      </c>
      <c r="M182" s="3" t="n"/>
      <c r="N182" s="3" t="n">
        <v>1</v>
      </c>
      <c r="O182" s="3" t="n"/>
      <c r="P182" s="3" t="n"/>
      <c r="Q182" s="3" t="n"/>
      <c r="R182" s="3" t="n"/>
      <c r="S182" s="3">
        <f>IF(AND(J182&lt;&gt;"",SUM(M182:R182)=0),J182,"")</f>
        <v/>
      </c>
      <c r="T182" s="3" t="n"/>
      <c r="U182" s="3" t="n">
        <v>1</v>
      </c>
      <c r="V182" s="3" t="n"/>
      <c r="W182" s="3" t="n"/>
      <c r="X182" s="3" t="n"/>
      <c r="Y182" s="3" t="n"/>
      <c r="Z182" s="3" t="n"/>
      <c r="AA182" s="2" t="inlineStr">
        <is>
          <t>Creature</t>
        </is>
      </c>
      <c r="AB182" s="2" t="inlineStr">
        <is>
          <t>Angel Warrior</t>
        </is>
      </c>
      <c r="AC182" s="2" t="inlineStr">
        <is>
          <t>W</t>
        </is>
      </c>
      <c r="AD182" s="3" t="n">
        <v>6</v>
      </c>
      <c r="AE182" s="29" t="inlineStr">
        <is>
          <t>Outlaws of Thunder Junction Commander</t>
        </is>
      </c>
      <c r="AF182" s="29" t="inlineStr">
        <is>
          <t>Recursion</t>
        </is>
      </c>
      <c r="AG182" s="29" t="inlineStr">
        <is>
          <t>Returns a permanent card MV 4 or less from graveyard when it enters</t>
        </is>
      </c>
      <c r="AH182" s="29" t="inlineStr">
        <is>
          <t>Encore: exile from graveyard to make attacking token copies for each opponent</t>
        </is>
      </c>
      <c r="AI182" s="29" t="inlineStr">
        <is>
          <t>Flying lifelink body</t>
        </is>
      </c>
      <c r="AJ182" s="2" t="n"/>
    </row>
    <row r="183" ht="15" customHeight="1" s="79">
      <c r="A183" s="2" t="inlineStr">
        <is>
          <t>Anger</t>
        </is>
      </c>
      <c r="B183" s="2">
        <f>IF(AND(F183&lt;&gt;0,E183=F183),"In Hand",IF(AND(E183&lt;&gt;0,E183&lt;F183,SUM(M183:R183)=0,SUM(T183:Y183)&gt;0),"Extra-Sub",IF(AND(E183=0,E183&lt;F183,SUM(M183:R183)=0,SUM(T183:Y183)&gt;0),"Bench-Sub",IF(AND(E183=0,F183&gt;0),"Bench",IF(E183&lt;F183,"Extra",IF(AND(J183="",E183&gt;F183),"To Buy",IF(SUM(J183,F183)&lt;E183,"To Buy",IF(AND(SUM(J183,F183)&gt;=E183,J183&lt;&gt;""),"Ordered",IF(AND(E183=0,F183=0,D183="B3"),"B3 Option",IF(AND(E183=0,F183=0),"Remove","To Buy"))))))))))</f>
        <v/>
      </c>
      <c r="D183" t="inlineStr">
        <is>
          <t>B2</t>
        </is>
      </c>
      <c r="E183" s="3">
        <f>SUM(M183:S183)</f>
        <v/>
      </c>
      <c r="F183" s="3">
        <f>SUM(T183:Z183)</f>
        <v/>
      </c>
      <c r="G183" s="3">
        <f>IF((F183-E183)&gt;=0,F183-E183,0)</f>
        <v/>
      </c>
      <c r="H183" s="3">
        <f>MAX(0,$E183-$F183-$J183)</f>
        <v/>
      </c>
      <c r="I183" s="3" t="n"/>
      <c r="J183" s="3" t="n"/>
      <c r="K183" s="4" t="n">
        <v>0.6</v>
      </c>
      <c r="L183" s="4">
        <f>IF(AND($H183&gt;0,ISNUMBER($K183)),$H183*$K183,0)</f>
        <v/>
      </c>
      <c r="M183" s="3" t="n">
        <v>1</v>
      </c>
      <c r="N183" s="3" t="n"/>
      <c r="O183" s="3" t="n"/>
      <c r="P183" s="3" t="n"/>
      <c r="Q183" s="3" t="n"/>
      <c r="R183" s="3" t="n"/>
      <c r="S183" s="3">
        <f>IF(AND(J183&lt;&gt;"",SUM(M183:R183)=0),J183,"")</f>
        <v/>
      </c>
      <c r="T183" s="3" t="n">
        <v>1</v>
      </c>
      <c r="U183" s="3" t="n"/>
      <c r="V183" s="3" t="n"/>
      <c r="W183" s="3" t="n"/>
      <c r="X183" s="3" t="n"/>
      <c r="Y183" s="3" t="n"/>
      <c r="Z183" s="3" t="n"/>
      <c r="AA183" s="2" t="inlineStr">
        <is>
          <t>Creature</t>
        </is>
      </c>
      <c r="AB183" s="2" t="inlineStr">
        <is>
          <t>Incarnation</t>
        </is>
      </c>
      <c r="AC183" s="2" t="inlineStr">
        <is>
          <t>R</t>
        </is>
      </c>
      <c r="AD183" s="3" t="n">
        <v>4</v>
      </c>
      <c r="AE183" s="29" t="inlineStr">
        <is>
          <t>Judgment</t>
        </is>
      </c>
      <c r="AF183" s="29" t="inlineStr">
        <is>
          <t>Haste Enabler</t>
        </is>
      </c>
      <c r="AG183" s="29" t="inlineStr">
        <is>
          <t>While in your graveyard with a Mountain, your creatures can attack the turn they enter</t>
        </is>
      </c>
      <c r="AH183" s="29" t="n"/>
      <c r="AI183" s="29" t="n"/>
      <c r="AJ183" s="2" t="n"/>
    </row>
    <row r="184" ht="15" customHeight="1" s="79">
      <c r="A184" s="2" t="inlineStr">
        <is>
          <t>Anointer Priest</t>
        </is>
      </c>
      <c r="B184" s="2">
        <f>IF(AND(F184&lt;&gt;0,E184=F184),"In Hand",IF(AND(E184&lt;&gt;0,E184&lt;F184,SUM(M184:R184)=0,SUM(T184:Y184)&gt;0),"Extra-Sub",IF(AND(E184=0,E184&lt;F184,SUM(M184:R184)=0,SUM(T184:Y184)&gt;0),"Bench-Sub",IF(AND(E184=0,F184&gt;0),"Bench",IF(E184&lt;F184,"Extra",IF(AND(J184="",E184&gt;F184),"To Buy",IF(SUM(J184,F184)&lt;E184,"To Buy",IF(AND(SUM(J184,F184)&gt;=E184,J184&lt;&gt;""),"Ordered",IF(AND(E184=0,F184=0,D184="B3"),"B3 Option",IF(AND(E184=0,F184=0),"Remove","To Buy"))))))))))</f>
        <v/>
      </c>
      <c r="D184" t="inlineStr">
        <is>
          <t>B2</t>
        </is>
      </c>
      <c r="E184" s="3">
        <f>SUM(M184:S184)</f>
        <v/>
      </c>
      <c r="F184" s="3">
        <f>SUM(T184:Z184)</f>
        <v/>
      </c>
      <c r="G184" s="3">
        <f>IF((F184-E184)&gt;=0,F184-E184,0)</f>
        <v/>
      </c>
      <c r="H184" s="3">
        <f>MAX(0,$E184-$F184-$J184)</f>
        <v/>
      </c>
      <c r="I184" s="3" t="n"/>
      <c r="J184" s="3" t="n"/>
      <c r="K184" s="4" t="n">
        <v>0.17</v>
      </c>
      <c r="L184" s="4">
        <f>IF(AND($H184&gt;0,ISNUMBER($K184)),$H184*$K184,0)</f>
        <v/>
      </c>
      <c r="M184" s="3" t="n"/>
      <c r="N184" s="3" t="n"/>
      <c r="O184" s="3" t="n"/>
      <c r="P184" s="3" t="n"/>
      <c r="Q184" s="3" t="n">
        <v>1</v>
      </c>
      <c r="R184" s="3" t="n"/>
      <c r="S184" s="3">
        <f>IF(AND(J184&lt;&gt;"",SUM(M184:R184)=0),J184,"")</f>
        <v/>
      </c>
      <c r="T184" s="3" t="n"/>
      <c r="U184" s="3" t="n"/>
      <c r="V184" s="3" t="n"/>
      <c r="W184" s="3" t="n"/>
      <c r="X184" s="3" t="n">
        <v>1</v>
      </c>
      <c r="Y184" s="3" t="n"/>
      <c r="Z184" s="3" t="n"/>
      <c r="AA184" s="2" t="inlineStr">
        <is>
          <t>Creature</t>
        </is>
      </c>
      <c r="AB184" s="2" t="inlineStr">
        <is>
          <t>Human Cleric</t>
        </is>
      </c>
      <c r="AC184" s="2" t="inlineStr">
        <is>
          <t>W</t>
        </is>
      </c>
      <c r="AD184" s="3" t="n">
        <v>2</v>
      </c>
      <c r="AE184" s="29" t="inlineStr">
        <is>
          <t>Amonkhet</t>
        </is>
      </c>
      <c r="AF184" s="29" t="inlineStr">
        <is>
          <t>Lifegain</t>
        </is>
      </c>
      <c r="AG184" s="29" t="inlineStr">
        <is>
          <t>Gains 1 life whenever a creature token you control enters</t>
        </is>
      </c>
      <c r="AH184" s="29" t="inlineStr">
        <is>
          <t>Embalm {3}{W}: exile from graveyard to make a token copy of itself</t>
        </is>
      </c>
      <c r="AI184" s="29" t="n"/>
      <c r="AJ184" s="2" t="inlineStr">
        <is>
          <t>Received/settled (was in cart 2026-09-02: Game Theory Wake Forest $0.2 Near Mint)</t>
        </is>
      </c>
    </row>
    <row r="185" ht="15" customHeight="1" s="79">
      <c r="A185" s="2" t="inlineStr">
        <is>
          <t>Ao, the Dawn Sky</t>
        </is>
      </c>
      <c r="B185" s="2">
        <f>IF(AND(F185&lt;&gt;0,E185=F185),"In Hand",IF(AND(E185&lt;&gt;0,E185&lt;F185,SUM(M185:R185)=0,SUM(T185:Y185)&gt;0),"Extra-Sub",IF(AND(E185=0,E185&lt;F185,SUM(M185:R185)=0,SUM(T185:Y185)&gt;0),"Bench-Sub",IF(AND(E185=0,F185&gt;0),"Bench",IF(E185&lt;F185,"Extra",IF(AND(J185="",E185&gt;F185),"To Buy",IF(SUM(J185,F185)&lt;E185,"To Buy",IF(AND(SUM(J185,F185)&gt;=E185,J185&lt;&gt;""),"Ordered",IF(AND(E185=0,F185=0,D185="B3"),"B3 Option",IF(AND(E185=0,F185=0),"Remove","To Buy"))))))))))</f>
        <v/>
      </c>
      <c r="D185" t="inlineStr">
        <is>
          <t>B2</t>
        </is>
      </c>
      <c r="E185" s="3">
        <f>SUM(M185:S185)</f>
        <v/>
      </c>
      <c r="F185" s="3">
        <f>SUM(T185:Z185)</f>
        <v/>
      </c>
      <c r="G185" s="3">
        <f>IF((F185-E185)&gt;=0,F185-E185,0)</f>
        <v/>
      </c>
      <c r="H185" s="3">
        <f>MAX(0,$E185-$F185-$J185)</f>
        <v/>
      </c>
      <c r="I185" s="3" t="n"/>
      <c r="J185" s="3" t="n"/>
      <c r="K185" s="4" t="n"/>
      <c r="L185" s="4">
        <f>IF(AND($H185&gt;0,ISNUMBER($K185)),$H185*$K185,0)</f>
        <v/>
      </c>
      <c r="M185" s="3" t="n"/>
      <c r="N185" s="3" t="n"/>
      <c r="O185" s="3" t="n"/>
      <c r="P185" s="3" t="n"/>
      <c r="Q185" s="3" t="n">
        <v>1</v>
      </c>
      <c r="R185" s="3" t="n"/>
      <c r="S185" s="3">
        <f>IF(AND(J185&lt;&gt;"",SUM(M185:R185)=0),J185,"")</f>
        <v/>
      </c>
      <c r="T185" s="3" t="n"/>
      <c r="U185" s="3" t="n"/>
      <c r="V185" s="3" t="n"/>
      <c r="W185" s="3" t="n"/>
      <c r="X185" s="3" t="n">
        <v>1</v>
      </c>
      <c r="Y185" s="3" t="n"/>
      <c r="Z185" s="3" t="n"/>
      <c r="AA185" s="2" t="inlineStr">
        <is>
          <t>Legendary Creature</t>
        </is>
      </c>
      <c r="AB185" s="2" t="inlineStr">
        <is>
          <t>Dragon Spirit</t>
        </is>
      </c>
      <c r="AC185" s="2" t="inlineStr">
        <is>
          <t>W</t>
        </is>
      </c>
      <c r="AD185" s="3" t="n">
        <v>5</v>
      </c>
      <c r="AE185" s="29" t="inlineStr">
        <is>
          <t>Kamigawa: Neon Dynasty</t>
        </is>
      </c>
      <c r="AF185" s="29" t="inlineStr">
        <is>
          <t>Value Engine</t>
        </is>
      </c>
      <c r="AG185" s="29" t="inlineStr">
        <is>
          <t>When it dies, puts nonland permanents totaling mana value 4 or less from top 7 onto the battlefield</t>
        </is>
      </c>
      <c r="AH185" s="29" t="inlineStr">
        <is>
          <t>Or puts two +1/+1 counters on each creature and Vehicle you control</t>
        </is>
      </c>
      <c r="AI185" s="29" t="n"/>
      <c r="AJ185" s="2" t="inlineStr">
        <is>
          <t>Bench sub -&gt; D5 for Wild Pack Squad (2026-09-02)</t>
        </is>
      </c>
      <c r="AK185" t="inlineStr">
        <is>
          <t>[T+A] B-&gt;D5 (bench sub) [done 2026-09-03]</t>
        </is>
      </c>
    </row>
    <row r="186" ht="15" customHeight="1" s="79">
      <c r="A186" s="2" t="inlineStr">
        <is>
          <t>Arbaaz Mir</t>
        </is>
      </c>
      <c r="B186" s="2">
        <f>IF(AND(F186&lt;&gt;0,E186=F186),"In Hand",IF(AND(E186&lt;&gt;0,E186&lt;F186,SUM(M186:R186)=0,SUM(T186:Y186)&gt;0),"Extra-Sub",IF(AND(E186=0,E186&lt;F186,SUM(M186:R186)=0,SUM(T186:Y186)&gt;0),"Bench-Sub",IF(AND(E186=0,F186&gt;0),"Bench",IF(E186&lt;F186,"Extra",IF(AND(J186="",E186&gt;F186),"To Buy",IF(SUM(J186,F186)&lt;E186,"To Buy",IF(AND(SUM(J186,F186)&gt;=E186,J186&lt;&gt;""),"Ordered",IF(AND(E186=0,F186=0,D186="B3"),"B3 Option",IF(AND(E186=0,F186=0),"Remove","To Buy"))))))))))</f>
        <v/>
      </c>
      <c r="D186" t="inlineStr">
        <is>
          <t>B2</t>
        </is>
      </c>
      <c r="E186" s="3">
        <f>SUM(M186:S186)</f>
        <v/>
      </c>
      <c r="F186" s="3">
        <f>SUM(T186:Z186)</f>
        <v/>
      </c>
      <c r="G186" s="3">
        <f>IF((F186-E186)&gt;=0,F186-E186,0)</f>
        <v/>
      </c>
      <c r="H186" s="3">
        <f>MAX(0,$E186-$F186-$J186)</f>
        <v/>
      </c>
      <c r="I186" s="3" t="n"/>
      <c r="J186" s="3" t="n"/>
      <c r="K186" s="4" t="n">
        <v>0.33</v>
      </c>
      <c r="L186" s="4">
        <f>IF(AND($H186&gt;0,ISNUMBER($K186)),$H186*$K186,0)</f>
        <v/>
      </c>
      <c r="M186" s="3" t="n">
        <v>1</v>
      </c>
      <c r="N186" s="3" t="n"/>
      <c r="O186" s="3" t="n"/>
      <c r="P186" s="3" t="n"/>
      <c r="Q186" s="3" t="n"/>
      <c r="R186" s="3" t="n"/>
      <c r="S186" s="3">
        <f>IF(AND(J186&lt;&gt;"",SUM(M186:R186)=0),J186,"")</f>
        <v/>
      </c>
      <c r="T186" s="3" t="n">
        <v>1</v>
      </c>
      <c r="U186" s="3" t="n"/>
      <c r="V186" s="3" t="n"/>
      <c r="W186" s="3" t="n"/>
      <c r="X186" s="3" t="n"/>
      <c r="Y186" s="3" t="n"/>
      <c r="Z186" s="3" t="n"/>
      <c r="AA186" s="2" t="inlineStr">
        <is>
          <t>Legendary Creature</t>
        </is>
      </c>
      <c r="AB186" s="2" t="inlineStr">
        <is>
          <t>Human Assassin</t>
        </is>
      </c>
      <c r="AC186" s="2" t="inlineStr">
        <is>
          <t>Multi</t>
        </is>
      </c>
      <c r="AD186" s="3" t="n">
        <v>2</v>
      </c>
      <c r="AE186" s="29" t="inlineStr">
        <is>
          <t>Assassin's Creed</t>
        </is>
      </c>
      <c r="AF186" s="29" t="inlineStr">
        <is>
          <t>Value Engine</t>
        </is>
      </c>
      <c r="AG186" s="29" t="inlineStr">
        <is>
          <t>Whenever a historic permanent you control enters, deals 1 damage to each opponent and gains you 1 life</t>
        </is>
      </c>
      <c r="AH186" s="29" t="n"/>
      <c r="AI186" s="29" t="n"/>
      <c r="AJ186" s="2" t="inlineStr">
        <is>
          <t>Added this session (replaced Repel Calamity)</t>
        </is>
      </c>
    </row>
    <row r="187" ht="15" customHeight="1" s="79">
      <c r="A187" s="2" t="inlineStr">
        <is>
          <t>Arcades, the Strategist</t>
        </is>
      </c>
      <c r="B187" s="2">
        <f>IF(AND(F187&lt;&gt;0,E187=F187),"In Hand",IF(AND(E187&lt;&gt;0,E187&lt;F187,SUM(M187:R187)=0,SUM(T187:Y187)&gt;0),"Extra-Sub",IF(AND(E187=0,E187&lt;F187,SUM(M187:R187)=0,SUM(T187:Y187)&gt;0),"Bench-Sub",IF(AND(E187=0,F187&gt;0),"Bench",IF(E187&lt;F187,"Extra",IF(AND(J187="",E187&gt;F187),"To Buy",IF(SUM(J187,F187)&lt;E187,"To Buy",IF(AND(SUM(J187,F187)&gt;=E187,J187&lt;&gt;""),"Ordered",IF(AND(E187=0,F187=0,D187="B3"),"B3 Option",IF(AND(E187=0,F187=0),"Remove","To Buy"))))))))))</f>
        <v/>
      </c>
      <c r="D187" t="inlineStr">
        <is>
          <t>B2</t>
        </is>
      </c>
      <c r="E187" s="3">
        <f>SUM(M187:S187)</f>
        <v/>
      </c>
      <c r="F187" s="3">
        <f>SUM(T187:Z187)</f>
        <v/>
      </c>
      <c r="G187" s="3">
        <f>IF((F187-E187)&gt;=0,F187-E187,0)</f>
        <v/>
      </c>
      <c r="H187" s="3">
        <f>MAX(0,$E187-$F187-$J187)</f>
        <v/>
      </c>
      <c r="I187" s="3" t="n"/>
      <c r="J187" s="3" t="n"/>
      <c r="K187" s="4" t="n">
        <v>4.35</v>
      </c>
      <c r="L187" s="4">
        <f>IF(AND($H187&gt;0,ISNUMBER($K187)),$H187*$K187,0)</f>
        <v/>
      </c>
      <c r="M187" s="3" t="n"/>
      <c r="N187" s="3" t="n">
        <v>1</v>
      </c>
      <c r="O187" s="3" t="n"/>
      <c r="P187" s="3" t="n"/>
      <c r="Q187" s="3" t="n"/>
      <c r="R187" s="3" t="n"/>
      <c r="S187" s="3">
        <f>IF(AND(J187&lt;&gt;"",SUM(M187:R187)=0),J187,"")</f>
        <v/>
      </c>
      <c r="T187" s="3" t="n"/>
      <c r="U187" s="3" t="n">
        <v>1</v>
      </c>
      <c r="V187" s="3" t="n"/>
      <c r="W187" s="3" t="n"/>
      <c r="X187" s="3" t="n"/>
      <c r="Y187" s="3" t="n"/>
      <c r="Z187" s="3" t="n"/>
      <c r="AA187" s="2" t="inlineStr">
        <is>
          <t>Legendary Creature</t>
        </is>
      </c>
      <c r="AB187" s="2" t="inlineStr">
        <is>
          <t>Elder Dragon</t>
        </is>
      </c>
      <c r="AC187" s="2" t="inlineStr">
        <is>
          <t>Multi</t>
        </is>
      </c>
      <c r="AD187" s="3" t="n">
        <v>4</v>
      </c>
      <c r="AE187" s="29" t="inlineStr">
        <is>
          <t>Core Set 2019</t>
        </is>
      </c>
      <c r="AF187" s="29" t="inlineStr">
        <is>
          <t>Defender Ramp</t>
        </is>
      </c>
      <c r="AG187" s="29" t="inlineStr">
        <is>
          <t>Draws a card whenever a creature you control with defender enters</t>
        </is>
      </c>
      <c r="AH187" s="29" t="inlineStr">
        <is>
          <t>Creatures you control with defender deal damage equal to toughness and can attack</t>
        </is>
      </c>
      <c r="AI187" s="29" t="n"/>
      <c r="AJ187" s="2" t="n"/>
    </row>
    <row r="188" ht="15" customHeight="1" s="79">
      <c r="A188" s="2" t="inlineStr">
        <is>
          <t>Arcane Sanctum</t>
        </is>
      </c>
      <c r="B188" s="2">
        <f>IF(AND(F188&lt;&gt;0,E188=F188),"In Hand",IF(AND(E188&lt;&gt;0,E188&lt;F188,SUM(M188:R188)=0,SUM(T188:Y188)&gt;0),"Extra-Sub",IF(AND(E188=0,E188&lt;F188,SUM(M188:R188)=0,SUM(T188:Y188)&gt;0),"Bench-Sub",IF(AND(E188=0,F188&gt;0),"Bench",IF(E188&lt;F188,"Extra",IF(AND(J188="",E188&gt;F188),"To Buy",IF(SUM(J188,F188)&lt;E188,"To Buy",IF(AND(SUM(J188,F188)&gt;=E188,J188&lt;&gt;""),"Ordered",IF(AND(E188=0,F188=0,D188="B3"),"B3 Option",IF(AND(E188=0,F188=0),"Remove","To Buy"))))))))))</f>
        <v/>
      </c>
      <c r="D188" t="inlineStr">
        <is>
          <t>B2</t>
        </is>
      </c>
      <c r="E188" s="3">
        <f>SUM(M188:S188)</f>
        <v/>
      </c>
      <c r="F188" s="3">
        <f>SUM(T188:Z188)</f>
        <v/>
      </c>
      <c r="G188" s="3">
        <f>IF((F188-E188)&gt;=0,F188-E188,0)</f>
        <v/>
      </c>
      <c r="H188" s="3">
        <f>MAX(0,$E188-$F188-$J188)</f>
        <v/>
      </c>
      <c r="I188" s="3" t="n"/>
      <c r="J188" s="3" t="n"/>
      <c r="K188" s="4" t="n"/>
      <c r="L188" s="4">
        <f>IF(AND($H188&gt;0,ISNUMBER($K188)),$H188*$K188,0)</f>
        <v/>
      </c>
      <c r="M188" s="3" t="n"/>
      <c r="N188" s="3" t="n"/>
      <c r="O188" s="3" t="n">
        <v>1</v>
      </c>
      <c r="P188" s="3" t="n"/>
      <c r="Q188" s="3" t="n"/>
      <c r="R188" s="3" t="n"/>
      <c r="S188" s="3">
        <f>IF(AND(J188&lt;&gt;"",SUM(M188:R188)=0),J188,"")</f>
        <v/>
      </c>
      <c r="T188" s="3" t="n"/>
      <c r="U188" s="3" t="n"/>
      <c r="V188" s="3" t="n">
        <v>1</v>
      </c>
      <c r="W188" s="3" t="n"/>
      <c r="X188" s="3" t="n"/>
      <c r="Y188" s="3" t="n"/>
      <c r="Z188" s="3" t="n"/>
      <c r="AA188" s="19" t="inlineStr">
        <is>
          <t>Land</t>
        </is>
      </c>
      <c r="AB188" s="19" t="n"/>
      <c r="AC188" s="19" t="inlineStr">
        <is>
          <t>L</t>
        </is>
      </c>
      <c r="AD188" s="3" t="n">
        <v>0</v>
      </c>
      <c r="AE188" s="29" t="inlineStr">
        <is>
          <t>Shards of Alara</t>
        </is>
      </c>
      <c r="AF188" s="29" t="inlineStr">
        <is>
          <t>Land</t>
        </is>
      </c>
      <c r="AG188" s="29" t="inlineStr">
        <is>
          <t>Taps for {W}, {U}, or {B}</t>
        </is>
      </c>
      <c r="AH188" s="29" t="inlineStr">
        <is>
          <t>Enters tapped</t>
        </is>
      </c>
      <c r="AI188" s="29" t="n"/>
      <c r="AJ188" s="2" t="inlineStr">
        <is>
          <t>arrives -&gt; Bench (slot was upgraded); Bench sub -&gt; D3 for Llanowar Wastes (2026-09-02)</t>
        </is>
      </c>
      <c r="AK188" t="inlineStr">
        <is>
          <t>[T+A] B-&gt;D3 (bench sub) [done 2026-09-03]</t>
        </is>
      </c>
    </row>
    <row r="189" ht="15" customHeight="1" s="79">
      <c r="A189" s="2" t="inlineStr">
        <is>
          <t>Archaeomancer's Map</t>
        </is>
      </c>
      <c r="B189" s="2">
        <f>IF(AND(F189&lt;&gt;0,E189=F189),"In Hand",IF(AND(E189&lt;&gt;0,E189&lt;F189,SUM(M189:R189)=0,SUM(T189:Y189)&gt;0),"Extra-Sub",IF(AND(E189=0,E189&lt;F189,SUM(M189:R189)=0,SUM(T189:Y189)&gt;0),"Bench-Sub",IF(AND(E189=0,F189&gt;0),"Bench",IF(E189&lt;F189,"Extra",IF(AND(J189="",E189&gt;F189),"To Buy",IF(SUM(J189,F189)&lt;E189,"To Buy",IF(AND(SUM(J189,F189)&gt;=E189,J189&lt;&gt;""),"Ordered",IF(AND(E189=0,F189=0,D189="B3"),"B3 Option",IF(AND(E189=0,F189=0),"Remove","To Buy"))))))))))</f>
        <v/>
      </c>
      <c r="D189" t="inlineStr">
        <is>
          <t>B2</t>
        </is>
      </c>
      <c r="E189" s="3">
        <f>SUM(M189:S189)</f>
        <v/>
      </c>
      <c r="F189" s="3">
        <f>SUM(T189:Z189)</f>
        <v/>
      </c>
      <c r="G189" s="3">
        <f>IF((F189-E189)&gt;=0,F189-E189,0)</f>
        <v/>
      </c>
      <c r="H189" s="3">
        <f>MAX(0,$E189-$F189-$J189)</f>
        <v/>
      </c>
      <c r="I189" s="3" t="n"/>
      <c r="J189" s="3" t="n"/>
      <c r="K189" s="4" t="n">
        <v>1.18</v>
      </c>
      <c r="L189" s="4">
        <f>IF(AND($H189&gt;0,ISNUMBER($K189)),$H189*$K189,0)</f>
        <v/>
      </c>
      <c r="M189" s="3" t="n">
        <v>1</v>
      </c>
      <c r="N189" s="3" t="n"/>
      <c r="O189" s="3" t="n"/>
      <c r="P189" s="3" t="n"/>
      <c r="Q189" s="3" t="n"/>
      <c r="R189" s="3" t="n"/>
      <c r="S189" s="3">
        <f>IF(AND(J189&lt;&gt;"",SUM(M189:R189)=0),J189,"")</f>
        <v/>
      </c>
      <c r="T189" s="3" t="n">
        <v>1</v>
      </c>
      <c r="U189" s="3" t="n"/>
      <c r="V189" s="3" t="n"/>
      <c r="W189" s="3" t="n"/>
      <c r="X189" s="3" t="n"/>
      <c r="Y189" s="3" t="n"/>
      <c r="Z189" s="3" t="n"/>
      <c r="AA189" s="2" t="inlineStr">
        <is>
          <t>Artifact</t>
        </is>
      </c>
      <c r="AB189" s="2" t="n"/>
      <c r="AC189" s="2" t="inlineStr">
        <is>
          <t>W</t>
        </is>
      </c>
      <c r="AD189" s="3" t="n">
        <v>3</v>
      </c>
      <c r="AE189" s="29" t="inlineStr">
        <is>
          <t>Commander 2021</t>
        </is>
      </c>
      <c r="AF189" s="29" t="inlineStr">
        <is>
          <t>Ramp</t>
        </is>
      </c>
      <c r="AG189" s="29" t="inlineStr">
        <is>
          <t>Enters: search for up to two basic Plains, put them into hand</t>
        </is>
      </c>
      <c r="AH189" s="29" t="inlineStr">
        <is>
          <t>An opponent with more lands playing a land lets you put a land from hand onto the battlefield</t>
        </is>
      </c>
      <c r="AI189" s="29" t="n"/>
      <c r="AJ189" s="2" t="n"/>
    </row>
    <row r="190" ht="15" customHeight="1" s="79">
      <c r="A190" s="2" t="inlineStr">
        <is>
          <t>Atraxa, Praetors' Voice</t>
        </is>
      </c>
      <c r="B190" s="2">
        <f>IF(AND(F190&lt;&gt;0,E190=F190),"In Hand",IF(AND(E190&lt;&gt;0,E190&lt;F190,SUM(M190:R190)=0,SUM(T190:Y190)&gt;0),"Extra-Sub",IF(AND(E190=0,E190&lt;F190,SUM(M190:R190)=0,SUM(T190:Y190)&gt;0),"Bench-Sub",IF(AND(E190=0,F190&gt;0),"Bench",IF(E190&lt;F190,"Extra",IF(AND(J190="",E190&gt;F190),"To Buy",IF(SUM(J190,F190)&lt;E190,"To Buy",IF(AND(SUM(J190,F190)&gt;=E190,J190&lt;&gt;""),"Ordered",IF(AND(E190=0,F190=0,D190="B3"),"B3 Option",IF(AND(E190=0,F190=0),"Remove","To Buy"))))))))))</f>
        <v/>
      </c>
      <c r="D190" t="inlineStr">
        <is>
          <t>B2</t>
        </is>
      </c>
      <c r="E190" s="3">
        <f>SUM(M190:S190)</f>
        <v/>
      </c>
      <c r="F190" s="3">
        <f>SUM(T190:Z190)</f>
        <v/>
      </c>
      <c r="G190" s="3">
        <f>IF((F190-E190)&gt;=0,F190-E190,0)</f>
        <v/>
      </c>
      <c r="H190" s="3">
        <f>MAX(0,$E190-$F190-$J190)</f>
        <v/>
      </c>
      <c r="I190" s="3" t="n"/>
      <c r="J190" s="3" t="n"/>
      <c r="K190" s="4" t="n">
        <v>29.43</v>
      </c>
      <c r="L190" s="4">
        <f>IF(AND($H190&gt;0,ISNUMBER($K190)),$H190*$K190,0)</f>
        <v/>
      </c>
      <c r="M190" s="3" t="n"/>
      <c r="N190" s="3" t="n"/>
      <c r="O190" s="3" t="n">
        <v>1</v>
      </c>
      <c r="P190" s="3" t="n"/>
      <c r="Q190" s="3" t="n"/>
      <c r="R190" s="3" t="n"/>
      <c r="S190" s="3">
        <f>IF(AND(J190&lt;&gt;"",SUM(M190:R190)=0),J190,"")</f>
        <v/>
      </c>
      <c r="T190" s="3" t="n"/>
      <c r="U190" s="3" t="n"/>
      <c r="V190" s="3" t="n">
        <v>1</v>
      </c>
      <c r="W190" s="3" t="n"/>
      <c r="X190" s="3" t="n"/>
      <c r="Y190" s="3" t="n"/>
      <c r="Z190" s="3" t="n"/>
      <c r="AA190" s="2" t="inlineStr">
        <is>
          <t>Legendary Creature</t>
        </is>
      </c>
      <c r="AB190" s="2" t="inlineStr">
        <is>
          <t>Phyrexian Angel Horror</t>
        </is>
      </c>
      <c r="AC190" s="2" t="inlineStr">
        <is>
          <t>Multi</t>
        </is>
      </c>
      <c r="AD190" s="3" t="n">
        <v>4</v>
      </c>
      <c r="AE190" s="29" t="inlineStr">
        <is>
          <t>Commander 2016</t>
        </is>
      </c>
      <c r="AF190" s="29" t="inlineStr">
        <is>
          <t>Commander</t>
        </is>
      </c>
      <c r="AG190" s="29" t="inlineStr">
        <is>
          <t>Proliferates at the beginning of your end step</t>
        </is>
      </c>
      <c r="AH190" s="29" t="inlineStr">
        <is>
          <t>Destroys anything it deals damage to</t>
        </is>
      </c>
      <c r="AI190" s="29" t="inlineStr">
        <is>
          <t>Gains you life equal to damage it deals</t>
        </is>
      </c>
      <c r="AJ190" s="2" t="inlineStr">
        <is>
          <t>Commander - D3</t>
        </is>
      </c>
    </row>
    <row r="191" ht="15" customHeight="1" s="79">
      <c r="A191" s="2" t="inlineStr">
        <is>
          <t>Atsushi, the Blazing Sky</t>
        </is>
      </c>
      <c r="B191" s="2">
        <f>IF(AND(F191&lt;&gt;0,E191=F191),"In Hand",IF(AND(E191&lt;&gt;0,E191&lt;F191,SUM(M191:R191)=0,SUM(T191:Y191)&gt;0),"Extra-Sub",IF(AND(E191=0,E191&lt;F191,SUM(M191:R191)=0,SUM(T191:Y191)&gt;0),"Bench-Sub",IF(AND(E191=0,F191&gt;0),"Bench",IF(E191&lt;F191,"Extra",IF(AND(J191="",E191&gt;F191),"To Buy",IF(SUM(J191,F191)&lt;E191,"To Buy",IF(AND(SUM(J191,F191)&gt;=E191,J191&lt;&gt;""),"Ordered",IF(AND(E191=0,F191=0,D191="B3"),"B3 Option",IF(AND(E191=0,F191=0),"Remove","To Buy"))))))))))</f>
        <v/>
      </c>
      <c r="D191" t="inlineStr">
        <is>
          <t>B2</t>
        </is>
      </c>
      <c r="E191" s="3">
        <f>SUM(M191:S191)</f>
        <v/>
      </c>
      <c r="F191" s="3">
        <f>SUM(T191:Z191)</f>
        <v/>
      </c>
      <c r="G191" s="3">
        <f>IF((F191-E191)&gt;=0,F191-E191,0)</f>
        <v/>
      </c>
      <c r="H191" s="3">
        <f>MAX(0,$E191-$F191-$J191)</f>
        <v/>
      </c>
      <c r="I191" s="3" t="n"/>
      <c r="J191" s="3" t="n"/>
      <c r="K191" s="4" t="n">
        <v>0.41</v>
      </c>
      <c r="L191" s="4">
        <f>IF(AND($H191&gt;0,ISNUMBER($K191)),$H191*$K191,0)</f>
        <v/>
      </c>
      <c r="M191" s="3" t="n">
        <v>1</v>
      </c>
      <c r="N191" s="3" t="n"/>
      <c r="O191" s="3" t="n"/>
      <c r="P191" s="3" t="n"/>
      <c r="Q191" s="3" t="n"/>
      <c r="R191" s="3" t="n"/>
      <c r="S191" s="3">
        <f>IF(AND(J191&lt;&gt;"",SUM(M191:R191)=0),J191,"")</f>
        <v/>
      </c>
      <c r="T191" s="3" t="n">
        <v>1</v>
      </c>
      <c r="U191" s="3" t="n"/>
      <c r="V191" s="3" t="n"/>
      <c r="W191" s="3" t="n"/>
      <c r="X191" s="3" t="n"/>
      <c r="Y191" s="3" t="n"/>
      <c r="Z191" s="3" t="n"/>
      <c r="AA191" s="2" t="inlineStr">
        <is>
          <t>Legendary Creature</t>
        </is>
      </c>
      <c r="AB191" s="2" t="inlineStr">
        <is>
          <t>Dragon Spirit</t>
        </is>
      </c>
      <c r="AC191" s="2" t="inlineStr">
        <is>
          <t>R</t>
        </is>
      </c>
      <c r="AD191" s="3" t="n">
        <v>4</v>
      </c>
      <c r="AE191" s="29" t="inlineStr">
        <is>
          <t>Kamigawa: Neon Dynasty</t>
        </is>
      </c>
      <c r="AF191" s="29" t="inlineStr">
        <is>
          <t>Value Engine</t>
        </is>
      </c>
      <c r="AG191" s="29" t="inlineStr">
        <is>
          <t>Flying body that deals extra combat damage through blockers</t>
        </is>
      </c>
      <c r="AH191" s="29" t="inlineStr">
        <is>
          <t>Dies: exile top two library cards to play until next turn's end</t>
        </is>
      </c>
      <c r="AI191" s="29" t="inlineStr">
        <is>
          <t>Or dies: create three Treasure tokens</t>
        </is>
      </c>
      <c r="AJ191" s="2" t="n"/>
    </row>
    <row r="192" ht="15" customHeight="1" s="79">
      <c r="A192" s="2" t="inlineStr">
        <is>
          <t>Augusta, Order Returned</t>
        </is>
      </c>
      <c r="B192" s="2">
        <f>IF(AND(F192&lt;&gt;0,E192=F192),"In Hand",IF(AND(E192&lt;&gt;0,E192&lt;F192,SUM(M192:R192)=0,SUM(T192:Y192)&gt;0),"Extra-Sub",IF(AND(E192=0,E192&lt;F192,SUM(M192:R192)=0,SUM(T192:Y192)&gt;0),"Bench-Sub",IF(AND(E192=0,F192&gt;0),"Bench",IF(E192&lt;F192,"Extra",IF(AND(J192="",E192&gt;F192),"To Buy",IF(SUM(J192,F192)&lt;E192,"To Buy",IF(AND(SUM(J192,F192)&gt;=E192,J192&lt;&gt;""),"Ordered",IF(AND(E192=0,F192=0,D192="B3"),"B3 Option",IF(AND(E192=0,F192=0),"Remove","To Buy"))))))))))</f>
        <v/>
      </c>
      <c r="D192" t="inlineStr">
        <is>
          <t>B2</t>
        </is>
      </c>
      <c r="E192" s="3">
        <f>SUM(M192:S192)</f>
        <v/>
      </c>
      <c r="F192" s="3">
        <f>SUM(T192:Z192)</f>
        <v/>
      </c>
      <c r="G192" s="3">
        <f>IF((F192-E192)&gt;=0,F192-E192,0)</f>
        <v/>
      </c>
      <c r="H192" s="3">
        <f>MAX(0,$E192-$F192-$J192)</f>
        <v/>
      </c>
      <c r="I192" s="3" t="n"/>
      <c r="J192" s="3" t="n"/>
      <c r="K192" s="4" t="n">
        <v>0.2</v>
      </c>
      <c r="L192" s="4">
        <f>IF(AND($H192&gt;0,ISNUMBER($K192)),$H192*$K192,0)</f>
        <v/>
      </c>
      <c r="M192" s="3" t="n">
        <v>1</v>
      </c>
      <c r="N192" s="3" t="n"/>
      <c r="O192" s="3" t="n"/>
      <c r="P192" s="3" t="n"/>
      <c r="Q192" s="3" t="n"/>
      <c r="R192" s="3" t="n"/>
      <c r="S192" s="3">
        <f>IF(AND(J192&lt;&gt;"",SUM(M192:R192)=0),J192,"")</f>
        <v/>
      </c>
      <c r="T192" s="3" t="n">
        <v>1</v>
      </c>
      <c r="U192" s="3" t="n"/>
      <c r="V192" s="3" t="n"/>
      <c r="W192" s="3" t="n"/>
      <c r="X192" s="3" t="n"/>
      <c r="Y192" s="3" t="n"/>
      <c r="Z192" s="3" t="n"/>
      <c r="AA192" s="2" t="inlineStr">
        <is>
          <t>Legendary Creature</t>
        </is>
      </c>
      <c r="AB192" s="2" t="inlineStr">
        <is>
          <t>Spirit Advisor</t>
        </is>
      </c>
      <c r="AC192" s="2" t="inlineStr">
        <is>
          <t>W</t>
        </is>
      </c>
      <c r="AD192" s="3" t="n">
        <v>3</v>
      </c>
      <c r="AE192" s="29" t="inlineStr">
        <is>
          <t>Secrets of Strixhaven Commander</t>
        </is>
      </c>
      <c r="AF192" s="29" t="inlineStr">
        <is>
          <t>Graveyard Hate</t>
        </is>
      </c>
      <c r="AG192" s="29" t="inlineStr">
        <is>
          <t>Flying body that also stays untapped when attacking</t>
        </is>
      </c>
      <c r="AH192" s="29" t="inlineStr">
        <is>
          <t>Attacking makes each player exile a card from their graveyard</t>
        </is>
      </c>
      <c r="AI192" s="29" t="inlineStr">
        <is>
          <t>Puts a +1/+1 counter on an attacker for each nonland card exiled this way</t>
        </is>
      </c>
      <c r="AJ192" s="2" t="n"/>
    </row>
    <row r="193" ht="15" customHeight="1" s="79">
      <c r="A193" s="2" t="inlineStr">
        <is>
          <t>Axebane Guardian</t>
        </is>
      </c>
      <c r="B193" s="2">
        <f>IF(AND(F193&lt;&gt;0,E193=F193),"In Hand",IF(AND(E193&lt;&gt;0,E193&lt;F193,SUM(M193:R193)=0,SUM(T193:Y193)&gt;0),"Extra-Sub",IF(AND(E193=0,E193&lt;F193,SUM(M193:R193)=0,SUM(T193:Y193)&gt;0),"Bench-Sub",IF(AND(E193=0,F193&gt;0),"Bench",IF(E193&lt;F193,"Extra",IF(AND(J193="",E193&gt;F193),"To Buy",IF(SUM(J193,F193)&lt;E193,"To Buy",IF(AND(SUM(J193,F193)&gt;=E193,J193&lt;&gt;""),"Ordered",IF(AND(E193=0,F193=0,D193="B3"),"B3 Option",IF(AND(E193=0,F193=0),"Remove","To Buy"))))))))))</f>
        <v/>
      </c>
      <c r="D193" t="inlineStr">
        <is>
          <t>B2</t>
        </is>
      </c>
      <c r="E193" s="3">
        <f>SUM(M193:S193)</f>
        <v/>
      </c>
      <c r="F193" s="3">
        <f>SUM(T193:Z193)</f>
        <v/>
      </c>
      <c r="G193" s="3">
        <f>IF((F193-E193)&gt;=0,F193-E193,0)</f>
        <v/>
      </c>
      <c r="H193" s="3">
        <f>MAX(0,$E193-$F193-$J193)</f>
        <v/>
      </c>
      <c r="I193" s="3" t="n"/>
      <c r="J193" s="3" t="n"/>
      <c r="K193" s="4" t="n">
        <v>0.34</v>
      </c>
      <c r="L193" s="4">
        <f>IF(AND($H193&gt;0,ISNUMBER($K193)),$H193*$K193,0)</f>
        <v/>
      </c>
      <c r="M193" s="3" t="n"/>
      <c r="N193" s="3" t="n">
        <v>1</v>
      </c>
      <c r="O193" s="3" t="n">
        <v>1</v>
      </c>
      <c r="P193" s="3" t="n">
        <v>1</v>
      </c>
      <c r="Q193" s="3" t="n"/>
      <c r="R193" s="3" t="n"/>
      <c r="S193" s="3">
        <f>IF(AND(J193&lt;&gt;"",SUM(M193:R193)=0),J193,"")</f>
        <v/>
      </c>
      <c r="T193" s="3" t="n"/>
      <c r="U193" s="3" t="n">
        <v>1</v>
      </c>
      <c r="V193" s="3" t="n">
        <v>1</v>
      </c>
      <c r="W193" s="3" t="n">
        <v>1</v>
      </c>
      <c r="X193" s="3" t="n"/>
      <c r="Y193" s="3" t="n"/>
      <c r="Z193" s="3" t="n"/>
      <c r="AA193" s="2" t="inlineStr">
        <is>
          <t>Creature</t>
        </is>
      </c>
      <c r="AB193" s="2" t="inlineStr">
        <is>
          <t>Human Druid</t>
        </is>
      </c>
      <c r="AC193" s="2" t="inlineStr">
        <is>
          <t>G</t>
        </is>
      </c>
      <c r="AD193" s="3" t="n">
        <v>3</v>
      </c>
      <c r="AE193" s="29" t="inlineStr">
        <is>
          <t>Return to Ravnica</t>
        </is>
      </c>
      <c r="AF193" s="29" t="inlineStr">
        <is>
          <t>Defender Ramp</t>
        </is>
      </c>
      <c r="AG193" s="29" t="inlineStr">
        <is>
          <t>Taps for X mana of any colors, X = creatures you control with defender</t>
        </is>
      </c>
      <c r="AH193" s="29" t="n"/>
      <c r="AI193" s="29" t="n"/>
      <c r="AJ193" s="2" t="inlineStr">
        <is>
          <t>own 2 of 3 needed; Received/settled (was in cart 2026-09-02: Game Theory Wake Forest $0.3 Near Mint)</t>
        </is>
      </c>
    </row>
    <row r="194" ht="15" customHeight="1" s="79">
      <c r="A194" s="2" t="inlineStr">
        <is>
          <t>Bag of Holding</t>
        </is>
      </c>
      <c r="B194" s="2">
        <f>IF(AND(F194&lt;&gt;0,E194=F194),"In Hand",IF(AND(E194&lt;&gt;0,E194&lt;F194,SUM(M194:R194)=0,SUM(T194:Y194)&gt;0),"Extra-Sub",IF(AND(E194=0,E194&lt;F194,SUM(M194:R194)=0,SUM(T194:Y194)&gt;0),"Bench-Sub",IF(AND(E194=0,F194&gt;0),"Bench",IF(E194&lt;F194,"Extra",IF(AND(J194="",E194&gt;F194),"To Buy",IF(SUM(J194,F194)&lt;E194,"To Buy",IF(AND(SUM(J194,F194)&gt;=E194,J194&lt;&gt;""),"Ordered",IF(AND(E194=0,F194=0,D194="B3"),"B3 Option",IF(AND(E194=0,F194=0),"Remove","To Buy"))))))))))</f>
        <v/>
      </c>
      <c r="D194" t="inlineStr">
        <is>
          <t>B2</t>
        </is>
      </c>
      <c r="E194" s="3">
        <f>SUM(M194:S194)</f>
        <v/>
      </c>
      <c r="F194" s="3">
        <f>SUM(T194:Z194)</f>
        <v/>
      </c>
      <c r="G194" s="3">
        <f>IF((F194-E194)&gt;=0,F194-E194,0)</f>
        <v/>
      </c>
      <c r="H194" s="3">
        <f>MAX(0,$E194-$F194-$J194)</f>
        <v/>
      </c>
      <c r="I194" s="3" t="n"/>
      <c r="J194" s="3" t="n"/>
      <c r="K194" s="4" t="n"/>
      <c r="L194" s="4">
        <f>IF(AND($H194&gt;0,ISNUMBER($K194)),$H194*$K194,0)</f>
        <v/>
      </c>
      <c r="M194" s="3" t="n"/>
      <c r="N194" s="3" t="n"/>
      <c r="O194" s="3" t="n"/>
      <c r="P194" s="3" t="n"/>
      <c r="Q194" s="3" t="n"/>
      <c r="R194" s="3" t="n">
        <v>1</v>
      </c>
      <c r="S194" s="3">
        <f>IF(AND(J194&lt;&gt;"",SUM(M194:R194)=0),J194,"")</f>
        <v/>
      </c>
      <c r="T194" s="3" t="n">
        <v>1</v>
      </c>
      <c r="U194" s="3" t="n"/>
      <c r="V194" s="3" t="n"/>
      <c r="W194" s="3" t="n"/>
      <c r="X194" s="3" t="n"/>
      <c r="Y194" s="3" t="n"/>
      <c r="Z194" s="3" t="n"/>
      <c r="AA194" s="2" t="inlineStr">
        <is>
          <t>Artifact</t>
        </is>
      </c>
      <c r="AB194" s="2" t="n"/>
      <c r="AC194" s="2" t="inlineStr">
        <is>
          <t>C</t>
        </is>
      </c>
      <c r="AD194" s="3" t="n">
        <v>1</v>
      </c>
      <c r="AE194" s="29" t="inlineStr">
        <is>
          <t>Core Set 2020</t>
        </is>
      </c>
      <c r="AF194" s="29" t="inlineStr">
        <is>
          <t>Discard/Looting</t>
        </is>
      </c>
      <c r="AG194" s="29" t="inlineStr">
        <is>
          <t>Discarding a card exiles it from your graveyard</t>
        </is>
      </c>
      <c r="AH194" s="29" t="inlineStr">
        <is>
          <t>Pay {2}, tap: draw a card, then discard a card</t>
        </is>
      </c>
      <c r="AI194" s="29" t="inlineStr">
        <is>
          <t>Pay {4}, tap, sacrifice: return all cards exiled with it to your hand</t>
        </is>
      </c>
      <c r="AJ194" s="2" t="inlineStr">
        <is>
          <t>Cut in Tuned (redundant discard payoff; mass-return sac is a nonbo); Bench sub -&gt; D6 for Fateful Tempest (2026-09-02)</t>
        </is>
      </c>
      <c r="AK194" t="inlineStr">
        <is>
          <t>[T+A] D1-&gt;D6 (bench sub) [done 2026-09-03]; [B3 later] D6-&gt;B when Pashalik Mons is bought</t>
        </is>
      </c>
    </row>
    <row r="195" ht="15" customHeight="1" s="79">
      <c r="A195" s="2" t="inlineStr">
        <is>
          <t>Balefire Liege</t>
        </is>
      </c>
      <c r="B195" s="2">
        <f>IF(AND(F195&lt;&gt;0,E195=F195),"In Hand",IF(AND(E195&lt;&gt;0,E195&lt;F195,SUM(M195:R195)=0,SUM(T195:Y195)&gt;0),"Extra-Sub",IF(AND(E195=0,E195&lt;F195,SUM(M195:R195)=0,SUM(T195:Y195)&gt;0),"Bench-Sub",IF(AND(E195=0,F195&gt;0),"Bench",IF(E195&lt;F195,"Extra",IF(AND(J195="",E195&gt;F195),"To Buy",IF(SUM(J195,F195)&lt;E195,"To Buy",IF(AND(SUM(J195,F195)&gt;=E195,J195&lt;&gt;""),"Ordered",IF(AND(E195=0,F195=0,D195="B3"),"B3 Option",IF(AND(E195=0,F195=0),"Remove","To Buy"))))))))))</f>
        <v/>
      </c>
      <c r="D195" t="inlineStr">
        <is>
          <t>B2</t>
        </is>
      </c>
      <c r="E195" s="3">
        <f>SUM(M195:S195)</f>
        <v/>
      </c>
      <c r="F195" s="3">
        <f>SUM(T195:Z195)</f>
        <v/>
      </c>
      <c r="G195" s="3">
        <f>IF((F195-E195)&gt;=0,F195-E195,0)</f>
        <v/>
      </c>
      <c r="H195" s="3">
        <f>MAX(0,$E195-$F195-$J195)</f>
        <v/>
      </c>
      <c r="I195" s="3" t="n"/>
      <c r="J195" s="3" t="n"/>
      <c r="K195" s="4" t="n">
        <v>0.62</v>
      </c>
      <c r="L195" s="4">
        <f>IF(AND($H195&gt;0,ISNUMBER($K195)),$H195*$K195,0)</f>
        <v/>
      </c>
      <c r="M195" s="3" t="n">
        <v>1</v>
      </c>
      <c r="N195" s="3" t="n"/>
      <c r="O195" s="3" t="n"/>
      <c r="P195" s="3" t="n"/>
      <c r="Q195" s="3" t="n"/>
      <c r="R195" s="3" t="n"/>
      <c r="S195" s="3">
        <f>IF(AND(J195&lt;&gt;"",SUM(M195:R195)=0),J195,"")</f>
        <v/>
      </c>
      <c r="T195" s="3" t="n">
        <v>1</v>
      </c>
      <c r="U195" s="3" t="n"/>
      <c r="V195" s="3" t="n"/>
      <c r="W195" s="3" t="n"/>
      <c r="X195" s="3" t="n"/>
      <c r="Y195" s="3" t="n"/>
      <c r="Z195" s="3" t="n"/>
      <c r="AA195" s="2" t="inlineStr">
        <is>
          <t>Creature</t>
        </is>
      </c>
      <c r="AB195" s="2" t="inlineStr">
        <is>
          <t>Spirit Horror</t>
        </is>
      </c>
      <c r="AC195" s="2" t="inlineStr">
        <is>
          <t>Multi</t>
        </is>
      </c>
      <c r="AD195" s="3" t="n">
        <v>5</v>
      </c>
      <c r="AE195" s="29" t="inlineStr">
        <is>
          <t>Eventide</t>
        </is>
      </c>
      <c r="AF195" s="29" t="inlineStr">
        <is>
          <t>Lord/Anthem</t>
        </is>
      </c>
      <c r="AG195" s="29" t="inlineStr">
        <is>
          <t>Other red creatures get +1/+1; other white creatures get +1/+1</t>
        </is>
      </c>
      <c r="AH195" s="29" t="inlineStr">
        <is>
          <t>Casting a red spell deals 3 damage to a player or planeswalker</t>
        </is>
      </c>
      <c r="AI195" s="29" t="inlineStr">
        <is>
          <t>Casting a white spell gains you 3 life</t>
        </is>
      </c>
      <c r="AJ195" s="2" t="n"/>
    </row>
    <row r="196" ht="15" customHeight="1" s="79">
      <c r="A196" s="2" t="inlineStr">
        <is>
          <t>Bant Panorama</t>
        </is>
      </c>
      <c r="B196" s="2">
        <f>IF(AND(F196&lt;&gt;0,E196=F196),"In Hand",IF(AND(E196&lt;&gt;0,E196&lt;F196,SUM(M196:R196)=0,SUM(T196:Y196)&gt;0),"Extra-Sub",IF(AND(E196=0,E196&lt;F196,SUM(M196:R196)=0,SUM(T196:Y196)&gt;0),"Bench-Sub",IF(AND(E196=0,F196&gt;0),"Bench",IF(E196&lt;F196,"Extra",IF(AND(J196="",E196&gt;F196),"To Buy",IF(SUM(J196,F196)&lt;E196,"To Buy",IF(AND(SUM(J196,F196)&gt;=E196,J196&lt;&gt;""),"Ordered",IF(AND(E196=0,F196=0,D196="B3"),"B3 Option",IF(AND(E196=0,F196=0),"Remove","To Buy"))))))))))</f>
        <v/>
      </c>
      <c r="D196" t="inlineStr">
        <is>
          <t>B2</t>
        </is>
      </c>
      <c r="E196" s="3">
        <f>SUM(M196:S196)</f>
        <v/>
      </c>
      <c r="F196" s="3">
        <f>SUM(T196:Z196)</f>
        <v/>
      </c>
      <c r="G196" s="3">
        <f>IF((F196-E196)&gt;=0,F196-E196,0)</f>
        <v/>
      </c>
      <c r="H196" s="3">
        <f>MAX(0,$E196-$F196-$J196)</f>
        <v/>
      </c>
      <c r="I196" s="3" t="n"/>
      <c r="J196" s="3" t="n"/>
      <c r="K196" s="4" t="n">
        <v>0.34</v>
      </c>
      <c r="L196" s="4">
        <f>IF(AND($H196&gt;0,ISNUMBER($K196)),$H196*$K196,0)</f>
        <v/>
      </c>
      <c r="M196" s="3" t="n"/>
      <c r="N196" s="3" t="n">
        <v>1</v>
      </c>
      <c r="O196" s="3" t="n"/>
      <c r="P196" s="3" t="n"/>
      <c r="Q196" s="3" t="n"/>
      <c r="R196" s="3" t="n"/>
      <c r="S196" s="3">
        <f>IF(AND(J196&lt;&gt;"",SUM(M196:R196)=0),J196,"")</f>
        <v/>
      </c>
      <c r="T196" s="3" t="n"/>
      <c r="U196" s="3" t="n">
        <v>1</v>
      </c>
      <c r="V196" s="3" t="n"/>
      <c r="W196" s="3" t="n"/>
      <c r="X196" s="3" t="n"/>
      <c r="Y196" s="3" t="n"/>
      <c r="Z196" s="3" t="n"/>
      <c r="AA196" s="2" t="inlineStr">
        <is>
          <t>Land</t>
        </is>
      </c>
      <c r="AB196" s="2" t="n"/>
      <c r="AC196" s="2" t="inlineStr">
        <is>
          <t>L</t>
        </is>
      </c>
      <c r="AD196" s="3" t="n">
        <v>0</v>
      </c>
      <c r="AE196" s="29" t="inlineStr">
        <is>
          <t>Shards of Alara</t>
        </is>
      </c>
      <c r="AF196" s="29" t="inlineStr">
        <is>
          <t>Land</t>
        </is>
      </c>
      <c r="AG196" s="29" t="inlineStr">
        <is>
          <t>Taps for {C}</t>
        </is>
      </c>
      <c r="AH196" s="29" t="inlineStr">
        <is>
          <t>Sacrifice to search for a basic Forest, Plains, or Island card, put tapped</t>
        </is>
      </c>
      <c r="AI196" s="29" t="n"/>
      <c r="AJ196" s="2" t="n"/>
    </row>
    <row r="197" ht="15" customHeight="1" s="79">
      <c r="A197" s="2" t="inlineStr">
        <is>
          <t>Barrage of Expendables</t>
        </is>
      </c>
      <c r="B197" s="2">
        <f>IF(AND(F197&lt;&gt;0,E197=F197),"In Hand",IF(AND(E197&lt;&gt;0,E197&lt;F197,SUM(M197:R197)=0,SUM(T197:Y197)&gt;0),"Extra-Sub",IF(AND(E197=0,E197&lt;F197,SUM(M197:R197)=0,SUM(T197:Y197)&gt;0),"Bench-Sub",IF(AND(E197=0,F197&gt;0),"Bench",IF(E197&lt;F197,"Extra",IF(AND(J197="",E197&gt;F197),"To Buy",IF(SUM(J197,F197)&lt;E197,"To Buy",IF(AND(SUM(J197,F197)&gt;=E197,J197&lt;&gt;""),"Ordered",IF(AND(E197=0,F197=0,D197="B3"),"B3 Option",IF(AND(E197=0,F197=0),"Remove","To Buy"))))))))))</f>
        <v/>
      </c>
      <c r="D197" t="inlineStr">
        <is>
          <t>B2</t>
        </is>
      </c>
      <c r="E197" s="3">
        <f>SUM(M197:S197)</f>
        <v/>
      </c>
      <c r="F197" s="3">
        <f>SUM(T197:Z197)</f>
        <v/>
      </c>
      <c r="G197" s="3">
        <f>IF((F197-E197)&gt;=0,F197-E197,0)</f>
        <v/>
      </c>
      <c r="H197" s="3">
        <f>MAX(0,$E197-$F197-$J197)</f>
        <v/>
      </c>
      <c r="I197" s="3" t="n"/>
      <c r="J197" s="3" t="n"/>
      <c r="K197" s="4" t="n">
        <v>0.31</v>
      </c>
      <c r="L197" s="4">
        <f>IF(AND($H197&gt;0,ISNUMBER($K197)),$H197*$K197,0)</f>
        <v/>
      </c>
      <c r="M197" s="3" t="n"/>
      <c r="N197" s="3" t="n"/>
      <c r="O197" s="3" t="n"/>
      <c r="P197" s="3" t="n"/>
      <c r="Q197" s="3" t="n"/>
      <c r="R197" s="3" t="n">
        <v>1</v>
      </c>
      <c r="S197" s="3">
        <f>IF(AND(J197&lt;&gt;"",SUM(M197:R197)=0),J197,"")</f>
        <v/>
      </c>
      <c r="T197" s="3" t="n"/>
      <c r="U197" s="3" t="n"/>
      <c r="V197" s="3" t="n"/>
      <c r="W197" s="3" t="n"/>
      <c r="X197" s="3" t="n"/>
      <c r="Y197" s="3" t="n">
        <v>1</v>
      </c>
      <c r="Z197" s="3" t="n"/>
      <c r="AA197" s="2" t="inlineStr">
        <is>
          <t>Enchantment</t>
        </is>
      </c>
      <c r="AB197" s="2" t="n"/>
      <c r="AC197" s="2" t="inlineStr">
        <is>
          <t>R</t>
        </is>
      </c>
      <c r="AD197" s="3" t="n">
        <v>1</v>
      </c>
      <c r="AE197" s="29" t="inlineStr">
        <is>
          <t>Magic 2014</t>
        </is>
      </c>
      <c r="AF197" s="29" t="inlineStr">
        <is>
          <t>Sacrifice Outlet</t>
        </is>
      </c>
      <c r="AG197" s="29" t="inlineStr">
        <is>
          <t>{R}, sacrifice a creature: deals 1 damage to any target</t>
        </is>
      </c>
      <c r="AH197" s="29" t="n"/>
      <c r="AI197" s="29" t="n"/>
      <c r="AJ197" s="2" t="inlineStr">
        <is>
          <t>Received/settled (was in cart 2026-09-02: Game Theory Wake Forest $0.3 Near Mint)</t>
        </is>
      </c>
    </row>
    <row r="198" ht="15" customHeight="1" s="79">
      <c r="A198" s="2" t="inlineStr">
        <is>
          <t>Battlefield Forge</t>
        </is>
      </c>
      <c r="B198" s="2">
        <f>IF(AND(F198&lt;&gt;0,E198=F198),"In Hand",IF(AND(E198&lt;&gt;0,E198&lt;F198,SUM(M198:R198)=0,SUM(T198:Y198)&gt;0),"Extra-Sub",IF(AND(E198=0,E198&lt;F198,SUM(M198:R198)=0,SUM(T198:Y198)&gt;0),"Bench-Sub",IF(AND(E198=0,F198&gt;0),"Bench",IF(E198&lt;F198,"Extra",IF(AND(J198="",E198&gt;F198),"To Buy",IF(SUM(J198,F198)&lt;E198,"To Buy",IF(AND(SUM(J198,F198)&gt;=E198,J198&lt;&gt;""),"Ordered",IF(AND(E198=0,F198=0,D198="B3"),"B3 Option",IF(AND(E198=0,F198=0),"Remove","To Buy"))))))))))</f>
        <v/>
      </c>
      <c r="D198" t="inlineStr">
        <is>
          <t>B2</t>
        </is>
      </c>
      <c r="E198" s="3">
        <f>SUM(M198:S198)</f>
        <v/>
      </c>
      <c r="F198" s="3">
        <f>SUM(T198:Z198)</f>
        <v/>
      </c>
      <c r="G198" s="3">
        <f>IF((F198-E198)&gt;=0,F198-E198,0)</f>
        <v/>
      </c>
      <c r="H198" s="3">
        <f>MAX(0,$E198-$F198-$J198)</f>
        <v/>
      </c>
      <c r="I198" s="3" t="n"/>
      <c r="J198" s="3" t="n"/>
      <c r="K198" s="4" t="n">
        <v>0.34</v>
      </c>
      <c r="L198" s="4">
        <f>IF(AND($H198&gt;0,ISNUMBER($K198)),$H198*$K198,0)</f>
        <v/>
      </c>
      <c r="M198" s="3" t="n">
        <v>1</v>
      </c>
      <c r="N198" s="3" t="n"/>
      <c r="O198" s="3" t="n"/>
      <c r="P198" s="3" t="n"/>
      <c r="Q198" s="3" t="n"/>
      <c r="R198" s="3" t="n"/>
      <c r="S198" s="3">
        <f>IF(AND(J198&lt;&gt;"",SUM(M198:R198)=0),J198,"")</f>
        <v/>
      </c>
      <c r="T198" s="3" t="n">
        <v>1</v>
      </c>
      <c r="U198" s="3" t="n"/>
      <c r="V198" s="3" t="n"/>
      <c r="W198" s="3" t="n"/>
      <c r="X198" s="3" t="n"/>
      <c r="Y198" s="3" t="n"/>
      <c r="Z198" s="3" t="n"/>
      <c r="AA198" s="2" t="inlineStr">
        <is>
          <t>Land</t>
        </is>
      </c>
      <c r="AB198" s="2" t="n"/>
      <c r="AC198" s="2" t="inlineStr">
        <is>
          <t>L</t>
        </is>
      </c>
      <c r="AD198" s="3" t="n">
        <v>0</v>
      </c>
      <c r="AE198" s="29" t="inlineStr">
        <is>
          <t>Apocalypse</t>
        </is>
      </c>
      <c r="AF198" s="29" t="inlineStr">
        <is>
          <t>Land</t>
        </is>
      </c>
      <c r="AG198" s="29" t="inlineStr">
        <is>
          <t>Taps for {C}</t>
        </is>
      </c>
      <c r="AH198" s="29" t="inlineStr">
        <is>
          <t>Taps for {R} or {W}, dealing 1 damage to you</t>
        </is>
      </c>
      <c r="AI198" s="29" t="n"/>
      <c r="AJ198" s="2" t="n"/>
    </row>
    <row r="199" ht="15" customHeight="1" s="79">
      <c r="A199" s="2" t="inlineStr">
        <is>
          <t>Bilbo Baggins, Burglar</t>
        </is>
      </c>
      <c r="B199" s="2">
        <f>IF(AND(F199&lt;&gt;0,E199=F199),"In Hand",IF(AND(E199&lt;&gt;0,E199&lt;F199,SUM(M199:R199)=0,SUM(T199:Y199)&gt;0),"Extra-Sub",IF(AND(E199=0,E199&lt;F199,SUM(M199:R199)=0,SUM(T199:Y199)&gt;0),"Bench-Sub",IF(AND(E199=0,F199&gt;0),"Bench",IF(E199&lt;F199,"Extra",IF(AND(J199="",E199&gt;F199),"To Buy",IF(SUM(J199,F199)&lt;E199,"To Buy",IF(AND(SUM(J199,F199)&gt;=E199,J199&lt;&gt;""),"Ordered",IF(AND(E199=0,F199=0,D199="B3"),"B3 Option",IF(AND(E199=0,F199=0),"Remove","To Buy"))))))))))</f>
        <v/>
      </c>
      <c r="D199" t="inlineStr">
        <is>
          <t>B2</t>
        </is>
      </c>
      <c r="E199" s="3">
        <f>SUM(M199:S199)</f>
        <v/>
      </c>
      <c r="F199" s="3">
        <f>SUM(T199:Z199)</f>
        <v/>
      </c>
      <c r="G199" s="3">
        <f>IF((F199-E199)&gt;=0,F199-E199,0)</f>
        <v/>
      </c>
      <c r="H199" s="3">
        <f>MAX(0,$E199-$F199-$J199)</f>
        <v/>
      </c>
      <c r="I199" s="3" t="n"/>
      <c r="J199" s="3" t="n"/>
      <c r="K199" s="4" t="n">
        <v>0.11</v>
      </c>
      <c r="L199" s="4">
        <f>IF(AND($H199&gt;0,ISNUMBER($K199)),$H199*$K199,0)</f>
        <v/>
      </c>
      <c r="M199" s="3" t="n"/>
      <c r="N199" s="3" t="n">
        <v>1</v>
      </c>
      <c r="O199" s="3" t="n"/>
      <c r="P199" s="3" t="n"/>
      <c r="Q199" s="3" t="n"/>
      <c r="R199" s="3" t="n"/>
      <c r="S199" s="3">
        <f>IF(AND(J199&lt;&gt;"",SUM(M199:R199)=0),J199,"")</f>
        <v/>
      </c>
      <c r="T199" s="3" t="n"/>
      <c r="U199" s="3" t="n">
        <v>1</v>
      </c>
      <c r="V199" s="3" t="n"/>
      <c r="W199" s="3" t="n"/>
      <c r="X199" s="3" t="n"/>
      <c r="Y199" s="3" t="n"/>
      <c r="Z199" s="3" t="n"/>
      <c r="AA199" s="2" t="inlineStr">
        <is>
          <t>Legendary Creature</t>
        </is>
      </c>
      <c r="AB199" s="2" t="inlineStr">
        <is>
          <t>Halfling Rogue</t>
        </is>
      </c>
      <c r="AC199" s="2" t="inlineStr">
        <is>
          <t>U</t>
        </is>
      </c>
      <c r="AD199" s="3" t="n">
        <v>3</v>
      </c>
      <c r="AE199" s="29" t="inlineStr">
        <is>
          <t>The Hobbit</t>
        </is>
      </c>
      <c r="AF199" s="29" t="inlineStr">
        <is>
          <t>Card Draw</t>
        </is>
      </c>
      <c r="AG199" s="29" t="inlineStr">
        <is>
          <t>Draw a card when Bilbo enters</t>
        </is>
      </c>
      <c r="AH199" s="29" t="inlineStr">
        <is>
          <t>Adventure: Scry 2 before casting the creature</t>
        </is>
      </c>
      <c r="AI199" s="29" t="n"/>
      <c r="AJ199" s="2" t="n"/>
    </row>
    <row r="200" ht="15" customHeight="1" s="79">
      <c r="A200" s="2" t="inlineStr">
        <is>
          <t>Bitterthorn, Nissa's Animus</t>
        </is>
      </c>
      <c r="B200" s="2">
        <f>IF(AND(F200&lt;&gt;0,E200=F200),"In Hand",IF(AND(E200&lt;&gt;0,E200&lt;F200,SUM(M200:R200)=0,SUM(T200:Y200)&gt;0),"Extra-Sub",IF(AND(E200=0,E200&lt;F200,SUM(M200:R200)=0,SUM(T200:Y200)&gt;0),"Bench-Sub",IF(AND(E200=0,F200&gt;0),"Bench",IF(E200&lt;F200,"Extra",IF(AND(J200="",E200&gt;F200),"To Buy",IF(SUM(J200,F200)&lt;E200,"To Buy",IF(AND(SUM(J200,F200)&gt;=E200,J200&lt;&gt;""),"Ordered",IF(AND(E200=0,F200=0,D200="B3"),"B3 Option",IF(AND(E200=0,F200=0),"Remove","To Buy"))))))))))</f>
        <v/>
      </c>
      <c r="D200" t="inlineStr">
        <is>
          <t>B2</t>
        </is>
      </c>
      <c r="E200" s="3">
        <f>SUM(M200:S200)</f>
        <v/>
      </c>
      <c r="F200" s="3">
        <f>SUM(T200:Z200)</f>
        <v/>
      </c>
      <c r="G200" s="3">
        <f>IF((F200-E200)&gt;=0,F200-E200,0)</f>
        <v/>
      </c>
      <c r="H200" s="3">
        <f>MAX(0,$E200-$F200-$J200)</f>
        <v/>
      </c>
      <c r="I200" s="3" t="n"/>
      <c r="J200" s="3" t="n"/>
      <c r="K200" s="4" t="n">
        <v>6.19</v>
      </c>
      <c r="L200" s="4">
        <f>IF(AND($H200&gt;0,ISNUMBER($K200)),$H200*$K200,0)</f>
        <v/>
      </c>
      <c r="M200" s="3" t="n"/>
      <c r="N200" s="3" t="n"/>
      <c r="O200" s="3" t="n">
        <v>1</v>
      </c>
      <c r="P200" s="3" t="n"/>
      <c r="Q200" s="3" t="n"/>
      <c r="R200" s="3" t="n"/>
      <c r="S200" s="3">
        <f>IF(AND(J200&lt;&gt;"",SUM(M200:R200)=0),J200,"")</f>
        <v/>
      </c>
      <c r="T200" s="3" t="n"/>
      <c r="U200" s="3" t="n"/>
      <c r="V200" s="3" t="n">
        <v>1</v>
      </c>
      <c r="W200" s="3" t="n"/>
      <c r="X200" s="3" t="n"/>
      <c r="Y200" s="3" t="n"/>
      <c r="Z200" s="3" t="n"/>
      <c r="AA200" s="2" t="inlineStr">
        <is>
          <t>Legendary Artifact</t>
        </is>
      </c>
      <c r="AB200" s="2" t="inlineStr">
        <is>
          <t>Equipment</t>
        </is>
      </c>
      <c r="AC200" s="2" t="inlineStr">
        <is>
          <t>C</t>
        </is>
      </c>
      <c r="AD200" s="3" t="n">
        <v>3</v>
      </c>
      <c r="AE200" s="29" t="inlineStr">
        <is>
          <t>March of the Machine Commander</t>
        </is>
      </c>
      <c r="AF200" s="29" t="inlineStr">
        <is>
          <t>Ramp</t>
        </is>
      </c>
      <c r="AG200" s="29" t="inlineStr">
        <is>
          <t>Creates a 0/0 Germ token and attaches to it when it enters</t>
        </is>
      </c>
      <c r="AH200" s="29" t="inlineStr">
        <is>
          <t>Equipped creature gets +1/+1</t>
        </is>
      </c>
      <c r="AI200" s="29" t="inlineStr">
        <is>
          <t>Searches for a basic land onto the battlefield tapped whenever equipped creature attacks</t>
        </is>
      </c>
      <c r="AJ200" s="2" t="n"/>
    </row>
    <row r="201" ht="15" customHeight="1" s="79">
      <c r="A201" s="2" t="inlineStr">
        <is>
          <t>Blight Pile</t>
        </is>
      </c>
      <c r="B201" s="2">
        <f>IF(AND(F201&lt;&gt;0,E201=F201),"In Hand",IF(AND(E201&lt;&gt;0,E201&lt;F201,SUM(M201:R201)=0,SUM(T201:Y201)&gt;0),"Extra-Sub",IF(AND(E201=0,E201&lt;F201,SUM(M201:R201)=0,SUM(T201:Y201)&gt;0),"Bench-Sub",IF(AND(E201=0,F201&gt;0),"Bench",IF(E201&lt;F201,"Extra",IF(AND(J201="",E201&gt;F201),"To Buy",IF(SUM(J201,F201)&lt;E201,"To Buy",IF(AND(SUM(J201,F201)&gt;=E201,J201&lt;&gt;""),"Ordered",IF(AND(E201=0,F201=0,D201="B3"),"B3 Option",IF(AND(E201=0,F201=0),"Remove","To Buy"))))))))))</f>
        <v/>
      </c>
      <c r="D201" t="inlineStr">
        <is>
          <t>B2</t>
        </is>
      </c>
      <c r="E201" s="3">
        <f>SUM(M201:S201)</f>
        <v/>
      </c>
      <c r="F201" s="3">
        <f>SUM(T201:Z201)</f>
        <v/>
      </c>
      <c r="G201" s="3">
        <f>IF((F201-E201)&gt;=0,F201-E201,0)</f>
        <v/>
      </c>
      <c r="H201" s="3">
        <f>MAX(0,$E201-$F201-$J201)</f>
        <v/>
      </c>
      <c r="I201" s="3" t="n"/>
      <c r="J201" s="3" t="n"/>
      <c r="K201" s="4" t="n">
        <v>0.24</v>
      </c>
      <c r="L201" s="4">
        <f>IF(AND($H201&gt;0,ISNUMBER($K201)),$H201*$K201,0)</f>
        <v/>
      </c>
      <c r="M201" s="3" t="n"/>
      <c r="N201" s="3" t="n"/>
      <c r="O201" s="3" t="n">
        <v>1</v>
      </c>
      <c r="P201" s="3" t="n"/>
      <c r="Q201" s="3" t="n"/>
      <c r="R201" s="3" t="n"/>
      <c r="S201" s="3">
        <f>IF(AND(J201&lt;&gt;"",SUM(M201:R201)=0),J201,"")</f>
        <v/>
      </c>
      <c r="T201" s="3" t="n"/>
      <c r="U201" s="3" t="n"/>
      <c r="V201" s="3" t="n">
        <v>1</v>
      </c>
      <c r="W201" s="3" t="n"/>
      <c r="X201" s="3" t="n"/>
      <c r="Y201" s="3" t="n"/>
      <c r="Z201" s="3" t="n"/>
      <c r="AA201" s="2" t="inlineStr">
        <is>
          <t>Creature</t>
        </is>
      </c>
      <c r="AB201" s="2" t="inlineStr">
        <is>
          <t>Phyrexian</t>
        </is>
      </c>
      <c r="AC201" s="2" t="inlineStr">
        <is>
          <t>B</t>
        </is>
      </c>
      <c r="AD201" s="3" t="n">
        <v>2</v>
      </c>
      <c r="AE201" s="29" t="inlineStr">
        <is>
          <t>Dominaria United</t>
        </is>
      </c>
      <c r="AF201" s="29" t="inlineStr">
        <is>
          <t>Drain Payoff</t>
        </is>
      </c>
      <c r="AG201" s="29" t="inlineStr">
        <is>
          <t>Pay {2}{B} and tap: each opponent loses life equal to the number of defenders you control</t>
        </is>
      </c>
      <c r="AH201" s="29" t="n"/>
      <c r="AI201" s="29" t="n"/>
      <c r="AJ201" s="2" t="n"/>
    </row>
    <row r="202" ht="15" customHeight="1" s="79">
      <c r="A202" s="2" t="inlineStr">
        <is>
          <t>Blossoming Sands</t>
        </is>
      </c>
      <c r="B202" s="2">
        <f>IF(AND(F202&lt;&gt;0,E202=F202),"In Hand",IF(AND(E202&lt;&gt;0,E202&lt;F202,SUM(M202:R202)=0,SUM(T202:Y202)&gt;0),"Extra-Sub",IF(AND(E202=0,E202&lt;F202,SUM(M202:R202)=0,SUM(T202:Y202)&gt;0),"Bench-Sub",IF(AND(E202=0,F202&gt;0),"Bench",IF(E202&lt;F202,"Extra",IF(AND(J202="",E202&gt;F202),"To Buy",IF(SUM(J202,F202)&lt;E202,"To Buy",IF(AND(SUM(J202,F202)&gt;=E202,J202&lt;&gt;""),"Ordered",IF(AND(E202=0,F202=0,D202="B3"),"B3 Option",IF(AND(E202=0,F202=0),"Remove","To Buy"))))))))))</f>
        <v/>
      </c>
      <c r="D202" t="inlineStr">
        <is>
          <t>B2</t>
        </is>
      </c>
      <c r="E202" s="3">
        <f>SUM(M202:S202)</f>
        <v/>
      </c>
      <c r="F202" s="3">
        <f>SUM(T202:Z202)</f>
        <v/>
      </c>
      <c r="G202" s="3">
        <f>IF((F202-E202)&gt;=0,F202-E202,0)</f>
        <v/>
      </c>
      <c r="H202" s="3">
        <f>MAX(0,$E202-$F202-$J202)</f>
        <v/>
      </c>
      <c r="I202" s="3" t="n"/>
      <c r="J202" s="3" t="n"/>
      <c r="K202" s="4" t="n">
        <v>0.19</v>
      </c>
      <c r="L202" s="4">
        <f>IF(AND($H202&gt;0,ISNUMBER($K202)),$H202*$K202,0)</f>
        <v/>
      </c>
      <c r="M202" s="3" t="n"/>
      <c r="N202" s="3" t="n">
        <v>1</v>
      </c>
      <c r="O202" s="3" t="n"/>
      <c r="P202" s="3" t="n">
        <v>1</v>
      </c>
      <c r="Q202" s="3" t="n"/>
      <c r="R202" s="3" t="n"/>
      <c r="S202" s="3">
        <f>IF(AND(J202&lt;&gt;"",SUM(M202:R202)=0),J202,"")</f>
        <v/>
      </c>
      <c r="T202" s="3" t="n"/>
      <c r="U202" s="3" t="n">
        <v>1</v>
      </c>
      <c r="V202" s="3" t="n"/>
      <c r="W202" s="3" t="n">
        <v>1</v>
      </c>
      <c r="X202" s="3" t="n"/>
      <c r="Y202" s="3" t="n"/>
      <c r="Z202" s="3" t="n"/>
      <c r="AA202" s="2" t="inlineStr">
        <is>
          <t>Land</t>
        </is>
      </c>
      <c r="AB202" s="2" t="n"/>
      <c r="AC202" s="2" t="inlineStr">
        <is>
          <t>L</t>
        </is>
      </c>
      <c r="AD202" s="3" t="n">
        <v>0</v>
      </c>
      <c r="AE202" s="29" t="inlineStr">
        <is>
          <t>Khans of Tarkir</t>
        </is>
      </c>
      <c r="AF202" s="29" t="inlineStr">
        <is>
          <t>Land</t>
        </is>
      </c>
      <c r="AG202" s="29" t="inlineStr">
        <is>
          <t>Taps for {G} or {W}</t>
        </is>
      </c>
      <c r="AH202" s="29" t="inlineStr">
        <is>
          <t>Enters tapped</t>
        </is>
      </c>
      <c r="AI202" s="29" t="inlineStr">
        <is>
          <t>Gain 1 life when it enters</t>
        </is>
      </c>
      <c r="AJ202" s="2" t="inlineStr">
        <is>
          <t>Bench sub -&gt; D4 for Llanowar Wastes (2026-09-02)</t>
        </is>
      </c>
      <c r="AK202" t="inlineStr">
        <is>
          <t>[T+A] D3-&gt;D4 (bench sub) [done 2026-09-03]</t>
        </is>
      </c>
    </row>
    <row r="203" ht="15" customHeight="1" s="79">
      <c r="A203" s="2" t="inlineStr">
        <is>
          <t>Boar-q-pine</t>
        </is>
      </c>
      <c r="B203" s="2">
        <f>IF(AND(F203&lt;&gt;0,E203=F203),"In Hand",IF(AND(E203&lt;&gt;0,E203&lt;F203,SUM(M203:R203)=0,SUM(T203:Y203)&gt;0),"Extra-Sub",IF(AND(E203=0,E203&lt;F203,SUM(M203:R203)=0,SUM(T203:Y203)&gt;0),"Bench-Sub",IF(AND(E203=0,F203&gt;0),"Bench",IF(E203&lt;F203,"Extra",IF(AND(J203="",E203&gt;F203),"To Buy",IF(SUM(J203,F203)&lt;E203,"To Buy",IF(AND(SUM(J203,F203)&gt;=E203,J203&lt;&gt;""),"Ordered",IF(AND(E203=0,F203=0,D203="B3"),"B3 Option",IF(AND(E203=0,F203=0),"Remove","To Buy"))))))))))</f>
        <v/>
      </c>
      <c r="D203" t="inlineStr">
        <is>
          <t>B2</t>
        </is>
      </c>
      <c r="E203" s="3">
        <f>SUM(M203:S203)</f>
        <v/>
      </c>
      <c r="F203" s="3">
        <f>SUM(T203:Z203)</f>
        <v/>
      </c>
      <c r="G203" s="3">
        <f>IF((F203-E203)&gt;=0,F203-E203,0)</f>
        <v/>
      </c>
      <c r="H203" s="3">
        <f>MAX(0,$E203-$F203-$J203)</f>
        <v/>
      </c>
      <c r="I203" s="3" t="n"/>
      <c r="J203" s="3" t="n"/>
      <c r="K203" s="4" t="n">
        <v>0.12</v>
      </c>
      <c r="L203" s="4">
        <f>IF(AND($H203&gt;0,ISNUMBER($K203)),$H203*$K203,0)</f>
        <v/>
      </c>
      <c r="M203" s="3" t="n"/>
      <c r="N203" s="3" t="n"/>
      <c r="O203" s="3" t="n"/>
      <c r="P203" s="3" t="n"/>
      <c r="Q203" s="3" t="n"/>
      <c r="R203" s="3" t="n">
        <v>1</v>
      </c>
      <c r="S203" s="3">
        <f>IF(AND(J203&lt;&gt;"",SUM(M203:R203)=0),J203,"")</f>
        <v/>
      </c>
      <c r="T203" s="3" t="n"/>
      <c r="U203" s="3" t="n"/>
      <c r="V203" s="3" t="n"/>
      <c r="W203" s="3" t="n"/>
      <c r="X203" s="3" t="n"/>
      <c r="Y203" s="3" t="n">
        <v>1</v>
      </c>
      <c r="Z203" s="3" t="n"/>
      <c r="AA203" s="2" t="inlineStr">
        <is>
          <t>Creature</t>
        </is>
      </c>
      <c r="AB203" s="2" t="inlineStr">
        <is>
          <t>Boar Porcupine</t>
        </is>
      </c>
      <c r="AC203" s="2" t="inlineStr">
        <is>
          <t>R</t>
        </is>
      </c>
      <c r="AD203" s="3" t="n">
        <v>3</v>
      </c>
      <c r="AE203" s="29" t="inlineStr">
        <is>
          <t>Avatar: The Last Airbender</t>
        </is>
      </c>
      <c r="AF203" s="29" t="inlineStr">
        <is>
          <t>Utility Creature</t>
        </is>
      </c>
      <c r="AG203" s="29" t="inlineStr">
        <is>
          <t>Gets a +1/+1 counter whenever you cast a noncreature spell</t>
        </is>
      </c>
      <c r="AH203" s="29" t="n"/>
      <c r="AI203" s="29" t="n"/>
      <c r="AJ203" s="2" t="n"/>
      <c r="AK203" t="inlineStr">
        <is>
          <t>[B3 later] D6-&gt;B when Muxus, Goblin Grandee is bought</t>
        </is>
      </c>
    </row>
    <row r="204" ht="15" customHeight="1" s="79">
      <c r="A204" s="2" t="inlineStr">
        <is>
          <t>Boggart Mischief</t>
        </is>
      </c>
      <c r="B204" s="2">
        <f>IF(AND(F204&lt;&gt;0,E204=F204),"In Hand",IF(AND(E204&lt;&gt;0,E204&lt;F204,SUM(M204:R204)=0,SUM(T204:Y204)&gt;0),"Extra-Sub",IF(AND(E204=0,E204&lt;F204,SUM(M204:R204)=0,SUM(T204:Y204)&gt;0),"Bench-Sub",IF(AND(E204=0,F204&gt;0),"Bench",IF(E204&lt;F204,"Extra",IF(AND(J204="",E204&gt;F204),"To Buy",IF(SUM(J204,F204)&lt;E204,"To Buy",IF(AND(SUM(J204,F204)&gt;=E204,J204&lt;&gt;""),"Ordered",IF(AND(E204=0,F204=0,D204="B3"),"B3 Option",IF(AND(E204=0,F204=0),"Remove","To Buy"))))))))))</f>
        <v/>
      </c>
      <c r="D204" t="inlineStr">
        <is>
          <t>B2</t>
        </is>
      </c>
      <c r="E204" s="3">
        <f>SUM(M204:S204)</f>
        <v/>
      </c>
      <c r="F204" s="3">
        <f>SUM(T204:Z204)</f>
        <v/>
      </c>
      <c r="G204" s="3">
        <f>IF((F204-E204)&gt;=0,F204-E204,0)</f>
        <v/>
      </c>
      <c r="H204" s="3">
        <f>MAX(0,$E204-$F204-$J204)</f>
        <v/>
      </c>
      <c r="I204" s="3" t="n"/>
      <c r="J204" s="3" t="n"/>
      <c r="K204" s="4" t="n">
        <v>0.31</v>
      </c>
      <c r="L204" s="4">
        <f>IF(AND($H204&gt;0,ISNUMBER($K204)),$H204*$K204,0)</f>
        <v/>
      </c>
      <c r="M204" s="3" t="n"/>
      <c r="N204" s="3" t="n"/>
      <c r="O204" s="3" t="n">
        <v>1</v>
      </c>
      <c r="P204" s="3" t="n"/>
      <c r="Q204" s="3" t="n"/>
      <c r="R204" s="3" t="n"/>
      <c r="S204" s="3">
        <f>IF(AND(J204&lt;&gt;"",SUM(M204:R204)=0),J204,"")</f>
        <v/>
      </c>
      <c r="T204" s="3" t="n"/>
      <c r="U204" s="3" t="n"/>
      <c r="V204" s="3" t="n">
        <v>1</v>
      </c>
      <c r="W204" s="3" t="n"/>
      <c r="X204" s="3" t="n"/>
      <c r="Y204" s="3" t="n"/>
      <c r="Z204" s="3" t="n"/>
      <c r="AA204" s="2" t="inlineStr">
        <is>
          <t>Kindred Enchantment</t>
        </is>
      </c>
      <c r="AB204" s="2" t="inlineStr">
        <is>
          <t>Goblin</t>
        </is>
      </c>
      <c r="AC204" s="2" t="inlineStr">
        <is>
          <t>B</t>
        </is>
      </c>
      <c r="AD204" s="3" t="n">
        <v>3</v>
      </c>
      <c r="AE204" s="29" t="inlineStr">
        <is>
          <t>Lorwyn Eclipsed</t>
        </is>
      </c>
      <c r="AF204" s="29" t="inlineStr">
        <is>
          <t>Token Producer</t>
        </is>
      </c>
      <c r="AG204" s="29" t="inlineStr">
        <is>
          <t>Put a -1/-1 counter on a creature you control to create two 1/1 Goblin tokens when it enters</t>
        </is>
      </c>
      <c r="AH204" s="29" t="inlineStr">
        <is>
          <t>Each opponent loses 1 life and you gain 1 life whenever a Goblin you control dies</t>
        </is>
      </c>
      <c r="AI204" s="29" t="n"/>
      <c r="AJ204" s="2" t="n"/>
    </row>
    <row r="205" ht="15" customHeight="1" s="79">
      <c r="A205" s="2" t="inlineStr">
        <is>
          <t>Bristlebane Battler</t>
        </is>
      </c>
      <c r="B205" s="2">
        <f>IF(AND(F205&lt;&gt;0,E205=F205),"In Hand",IF(AND(E205&lt;&gt;0,E205&lt;F205,SUM(M205:R205)=0,SUM(T205:Y205)&gt;0),"Extra-Sub",IF(AND(E205=0,E205&lt;F205,SUM(M205:R205)=0,SUM(T205:Y205)&gt;0),"Bench-Sub",IF(AND(E205=0,F205&gt;0),"Bench",IF(E205&lt;F205,"Extra",IF(AND(J205="",E205&gt;F205),"To Buy",IF(SUM(J205,F205)&lt;E205,"To Buy",IF(AND(SUM(J205,F205)&gt;=E205,J205&lt;&gt;""),"Ordered",IF(AND(E205=0,F205=0,D205="B3"),"B3 Option",IF(AND(E205=0,F205=0),"Remove","To Buy"))))))))))</f>
        <v/>
      </c>
      <c r="D205" t="inlineStr">
        <is>
          <t>B2</t>
        </is>
      </c>
      <c r="E205" s="3">
        <f>SUM(M205:S205)</f>
        <v/>
      </c>
      <c r="F205" s="3">
        <f>SUM(T205:Z205)</f>
        <v/>
      </c>
      <c r="G205" s="3">
        <f>IF((F205-E205)&gt;=0,F205-E205,0)</f>
        <v/>
      </c>
      <c r="H205" s="3">
        <f>MAX(0,$E205-$F205-$J205)</f>
        <v/>
      </c>
      <c r="I205" s="3" t="n"/>
      <c r="J205" s="3" t="n"/>
      <c r="K205" s="4" t="n">
        <v>0.3</v>
      </c>
      <c r="L205" s="4">
        <f>IF(AND($H205&gt;0,ISNUMBER($K205)),$H205*$K205,0)</f>
        <v/>
      </c>
      <c r="M205" s="3" t="n"/>
      <c r="N205" s="3" t="n"/>
      <c r="O205" s="3" t="n">
        <v>1</v>
      </c>
      <c r="P205" s="3" t="n"/>
      <c r="Q205" s="3" t="n"/>
      <c r="R205" s="3" t="n"/>
      <c r="S205" s="3">
        <f>IF(AND(J205&lt;&gt;"",SUM(M205:R205)=0),J205,"")</f>
        <v/>
      </c>
      <c r="T205" s="3" t="n"/>
      <c r="U205" s="3" t="n"/>
      <c r="V205" s="3" t="n">
        <v>1</v>
      </c>
      <c r="W205" s="3" t="n"/>
      <c r="X205" s="3" t="n"/>
      <c r="Y205" s="3" t="n"/>
      <c r="Z205" s="3" t="n"/>
      <c r="AA205" s="2" t="inlineStr">
        <is>
          <t>Creature</t>
        </is>
      </c>
      <c r="AB205" s="2" t="inlineStr">
        <is>
          <t>Kithkin Soldier</t>
        </is>
      </c>
      <c r="AC205" s="2" t="inlineStr">
        <is>
          <t>G</t>
        </is>
      </c>
      <c r="AD205" s="3" t="n">
        <v>2</v>
      </c>
      <c r="AE205" s="29" t="inlineStr">
        <is>
          <t>Lorwyn Eclipsed</t>
        </is>
      </c>
      <c r="AF205" s="29" t="inlineStr">
        <is>
          <t>Counters Payoff</t>
        </is>
      </c>
      <c r="AG205" s="29" t="inlineStr">
        <is>
          <t>Enters with five -1/-1 counters on it</t>
        </is>
      </c>
      <c r="AH205" s="29" t="inlineStr">
        <is>
          <t>Removes a -1/-1 counter from itself whenever another creature you control enters</t>
        </is>
      </c>
      <c r="AI205" s="29" t="n"/>
      <c r="AJ205" s="2" t="n"/>
    </row>
    <row r="206" ht="15" customHeight="1" s="79">
      <c r="A206" s="2" t="inlineStr">
        <is>
          <t>Bronze Guardian</t>
        </is>
      </c>
      <c r="B206" s="2">
        <f>IF(AND(F206&lt;&gt;0,E206=F206),"In Hand",IF(AND(E206&lt;&gt;0,E206&lt;F206,SUM(M206:R206)=0,SUM(T206:Y206)&gt;0),"Extra-Sub",IF(AND(E206=0,E206&lt;F206,SUM(M206:R206)=0,SUM(T206:Y206)&gt;0),"Bench-Sub",IF(AND(E206=0,F206&gt;0),"Bench",IF(E206&lt;F206,"Extra",IF(AND(J206="",E206&gt;F206),"To Buy",IF(SUM(J206,F206)&lt;E206,"To Buy",IF(AND(SUM(J206,F206)&gt;=E206,J206&lt;&gt;""),"Ordered",IF(AND(E206=0,F206=0,D206="B3"),"B3 Option",IF(AND(E206=0,F206=0),"Remove","To Buy"))))))))))</f>
        <v/>
      </c>
      <c r="D206" t="inlineStr">
        <is>
          <t>B2</t>
        </is>
      </c>
      <c r="E206" s="3">
        <f>SUM(M206:S206)</f>
        <v/>
      </c>
      <c r="F206" s="3">
        <f>SUM(T206:Z206)</f>
        <v/>
      </c>
      <c r="G206" s="3">
        <f>IF((F206-E206)&gt;=0,F206-E206,0)</f>
        <v/>
      </c>
      <c r="H206" s="3">
        <f>MAX(0,$E206-$F206-$J206)</f>
        <v/>
      </c>
      <c r="I206" s="3" t="n"/>
      <c r="J206" s="3" t="n"/>
      <c r="K206" s="4" t="n">
        <v>1.36</v>
      </c>
      <c r="L206" s="4">
        <f>IF(AND($H206&gt;0,ISNUMBER($K206)),$H206*$K206,0)</f>
        <v/>
      </c>
      <c r="M206" s="3" t="n"/>
      <c r="N206" s="3" t="n"/>
      <c r="O206" s="3" t="n"/>
      <c r="P206" s="3" t="n">
        <v>1</v>
      </c>
      <c r="Q206" s="3" t="n"/>
      <c r="R206" s="3" t="n"/>
      <c r="S206" s="3">
        <f>IF(AND(J206&lt;&gt;"",SUM(M206:R206)=0),J206,"")</f>
        <v/>
      </c>
      <c r="T206" s="3" t="n"/>
      <c r="U206" s="3" t="n"/>
      <c r="V206" s="3" t="n"/>
      <c r="W206" s="3" t="n">
        <v>1</v>
      </c>
      <c r="X206" s="3" t="n"/>
      <c r="Y206" s="3" t="n"/>
      <c r="Z206" s="3" t="n"/>
      <c r="AA206" s="2" t="inlineStr">
        <is>
          <t>Artifact Creature</t>
        </is>
      </c>
      <c r="AB206" s="2" t="inlineStr">
        <is>
          <t>Golem</t>
        </is>
      </c>
      <c r="AC206" s="2" t="inlineStr">
        <is>
          <t>W</t>
        </is>
      </c>
      <c r="AD206" s="3" t="n">
        <v>5</v>
      </c>
      <c r="AE206" s="29" t="inlineStr">
        <is>
          <t>Commander 2021</t>
        </is>
      </c>
      <c r="AF206" s="29" t="inlineStr">
        <is>
          <t>Protection</t>
        </is>
      </c>
      <c r="AG206" s="29" t="inlineStr">
        <is>
          <t>Its power equals the number of artifacts you control</t>
        </is>
      </c>
      <c r="AH206" s="29" t="inlineStr">
        <is>
          <t>Other artifacts you control can't be targeted by opponents without them paying {2}</t>
        </is>
      </c>
      <c r="AI206" s="29" t="inlineStr">
        <is>
          <t>Deals combat damage twice each combat</t>
        </is>
      </c>
      <c r="AJ206" s="2" t="n"/>
    </row>
    <row r="207" ht="15" customHeight="1" s="79">
      <c r="A207" s="2" t="inlineStr">
        <is>
          <t>Burdened Stoneback</t>
        </is>
      </c>
      <c r="B207" s="2">
        <f>IF(AND(F207&lt;&gt;0,E207=F207),"In Hand",IF(AND(E207&lt;&gt;0,E207&lt;F207,SUM(M207:R207)=0,SUM(T207:Y207)&gt;0),"Extra-Sub",IF(AND(E207=0,E207&lt;F207,SUM(M207:R207)=0,SUM(T207:Y207)&gt;0),"Bench-Sub",IF(AND(E207=0,F207&gt;0),"Bench",IF(E207&lt;F207,"Extra",IF(AND(J207="",E207&gt;F207),"To Buy",IF(SUM(J207,F207)&lt;E207,"To Buy",IF(AND(SUM(J207,F207)&gt;=E207,J207&lt;&gt;""),"Ordered",IF(AND(E207=0,F207=0,D207="B3"),"B3 Option",IF(AND(E207=0,F207=0),"Remove","To Buy"))))))))))</f>
        <v/>
      </c>
      <c r="D207" t="inlineStr">
        <is>
          <t>B2</t>
        </is>
      </c>
      <c r="E207" s="3">
        <f>SUM(M207:S207)</f>
        <v/>
      </c>
      <c r="F207" s="3">
        <f>SUM(T207:Z207)</f>
        <v/>
      </c>
      <c r="G207" s="3">
        <f>IF((F207-E207)&gt;=0,F207-E207,0)</f>
        <v/>
      </c>
      <c r="H207" s="3">
        <f>MAX(0,$E207-$F207-$J207)</f>
        <v/>
      </c>
      <c r="I207" s="3" t="n"/>
      <c r="J207" s="3" t="n"/>
      <c r="K207" s="4" t="n">
        <v>0.16</v>
      </c>
      <c r="L207" s="4">
        <f>IF(AND($H207&gt;0,ISNUMBER($K207)),$H207*$K207,0)</f>
        <v/>
      </c>
      <c r="M207" s="3" t="n"/>
      <c r="N207" s="3" t="n"/>
      <c r="O207" s="3" t="n">
        <v>1</v>
      </c>
      <c r="P207" s="3" t="n"/>
      <c r="Q207" s="3" t="n"/>
      <c r="R207" s="3" t="n"/>
      <c r="S207" s="3">
        <f>IF(AND(J207&lt;&gt;"",SUM(M207:R207)=0),J207,"")</f>
        <v/>
      </c>
      <c r="T207" s="3" t="n"/>
      <c r="U207" s="3" t="n"/>
      <c r="V207" s="3" t="n">
        <v>1</v>
      </c>
      <c r="W207" s="3" t="n"/>
      <c r="X207" s="3" t="n"/>
      <c r="Y207" s="3" t="n"/>
      <c r="Z207" s="3" t="n"/>
      <c r="AA207" s="2" t="inlineStr">
        <is>
          <t>Creature</t>
        </is>
      </c>
      <c r="AB207" s="2" t="inlineStr">
        <is>
          <t>Giant Warrior</t>
        </is>
      </c>
      <c r="AC207" s="2" t="inlineStr">
        <is>
          <t>W</t>
        </is>
      </c>
      <c r="AD207" s="3" t="n">
        <v>2</v>
      </c>
      <c r="AE207" s="29" t="inlineStr">
        <is>
          <t>Lorwyn Eclipsed</t>
        </is>
      </c>
      <c r="AF207" s="29" t="inlineStr">
        <is>
          <t>Protection</t>
        </is>
      </c>
      <c r="AG207" s="29" t="inlineStr">
        <is>
          <t>Enters with two -1/-1 counters on itself</t>
        </is>
      </c>
      <c r="AH207" s="29" t="inlineStr">
        <is>
          <t>Remove a counter: give target creature indestructible until end of turn</t>
        </is>
      </c>
      <c r="AI207" s="29" t="n"/>
      <c r="AJ207" s="2" t="n"/>
    </row>
    <row r="208" ht="15" customHeight="1" s="79">
      <c r="A208" s="2" t="inlineStr">
        <is>
          <t>Burnished Hart</t>
        </is>
      </c>
      <c r="B208" s="2">
        <f>IF(AND(F208&lt;&gt;0,E208=F208),"In Hand",IF(AND(E208&lt;&gt;0,E208&lt;F208,SUM(M208:R208)=0,SUM(T208:Y208)&gt;0),"Extra-Sub",IF(AND(E208=0,E208&lt;F208,SUM(M208:R208)=0,SUM(T208:Y208)&gt;0),"Bench-Sub",IF(AND(E208=0,F208&gt;0),"Bench",IF(E208&lt;F208,"Extra",IF(AND(J208="",E208&gt;F208),"To Buy",IF(SUM(J208,F208)&lt;E208,"To Buy",IF(AND(SUM(J208,F208)&gt;=E208,J208&lt;&gt;""),"Ordered",IF(AND(E208=0,F208=0,D208="B3"),"B3 Option",IF(AND(E208=0,F208=0),"Remove","To Buy"))))))))))</f>
        <v/>
      </c>
      <c r="D208" t="inlineStr">
        <is>
          <t>B2</t>
        </is>
      </c>
      <c r="E208" s="3">
        <f>SUM(M208:S208)</f>
        <v/>
      </c>
      <c r="F208" s="3">
        <f>SUM(T208:Z208)</f>
        <v/>
      </c>
      <c r="G208" s="3">
        <f>IF((F208-E208)&gt;=0,F208-E208,0)</f>
        <v/>
      </c>
      <c r="H208" s="3">
        <f>MAX(0,$E208-$F208-$J208)</f>
        <v/>
      </c>
      <c r="I208" s="3" t="n"/>
      <c r="J208" s="3" t="n"/>
      <c r="K208" s="4" t="n">
        <v>0.28</v>
      </c>
      <c r="L208" s="4">
        <f>IF(AND($H208&gt;0,ISNUMBER($K208)),$H208*$K208,0)</f>
        <v/>
      </c>
      <c r="M208" s="3" t="n">
        <v>1</v>
      </c>
      <c r="N208" s="3" t="n"/>
      <c r="O208" s="3" t="n"/>
      <c r="P208" s="3" t="n"/>
      <c r="Q208" s="3" t="n"/>
      <c r="R208" s="3" t="n"/>
      <c r="S208" s="3">
        <f>IF(AND(J208&lt;&gt;"",SUM(M208:R208)=0),J208,"")</f>
        <v/>
      </c>
      <c r="T208" s="3" t="n">
        <v>1</v>
      </c>
      <c r="U208" s="3" t="n"/>
      <c r="V208" s="3" t="n"/>
      <c r="W208" s="3" t="n"/>
      <c r="X208" s="3" t="n"/>
      <c r="Y208" s="3" t="n"/>
      <c r="Z208" s="3" t="n"/>
      <c r="AA208" s="2" t="inlineStr">
        <is>
          <t>Artifact Creature</t>
        </is>
      </c>
      <c r="AB208" s="2" t="inlineStr">
        <is>
          <t>Elk</t>
        </is>
      </c>
      <c r="AC208" s="2" t="inlineStr">
        <is>
          <t>C</t>
        </is>
      </c>
      <c r="AD208" s="3" t="n">
        <v>3</v>
      </c>
      <c r="AE208" s="29" t="inlineStr">
        <is>
          <t>Theros</t>
        </is>
      </c>
      <c r="AF208" s="29" t="inlineStr">
        <is>
          <t>Ramp</t>
        </is>
      </c>
      <c r="AG208" s="29" t="inlineStr">
        <is>
          <t>3/3 body</t>
        </is>
      </c>
      <c r="AH208" s="29" t="inlineStr">
        <is>
          <t>Sacrifice: search for two basic lands, put them into play tapped</t>
        </is>
      </c>
      <c r="AI208" s="29" t="n"/>
      <c r="AJ208" s="2" t="n"/>
    </row>
    <row r="209" ht="15" customHeight="1" s="79">
      <c r="A209" s="2" t="inlineStr">
        <is>
          <t>Canopy Gargantuan</t>
        </is>
      </c>
      <c r="B209" s="2">
        <f>IF(AND(F209&lt;&gt;0,E209=F209),"In Hand",IF(AND(E209&lt;&gt;0,E209&lt;F209,SUM(M209:R209)=0,SUM(T209:Y209)&gt;0),"Extra-Sub",IF(AND(E209=0,E209&lt;F209,SUM(M209:R209)=0,SUM(T209:Y209)&gt;0),"Bench-Sub",IF(AND(E209=0,F209&gt;0),"Bench",IF(E209&lt;F209,"Extra",IF(AND(J209="",E209&gt;F209),"To Buy",IF(SUM(J209,F209)&lt;E209,"To Buy",IF(AND(SUM(J209,F209)&gt;=E209,J209&lt;&gt;""),"Ordered",IF(AND(E209=0,F209=0,D209="B3"),"B3 Option",IF(AND(E209=0,F209=0),"Remove","To Buy"))))))))))</f>
        <v/>
      </c>
      <c r="D209" t="inlineStr">
        <is>
          <t>B2</t>
        </is>
      </c>
      <c r="E209" s="3">
        <f>SUM(M209:S209)</f>
        <v/>
      </c>
      <c r="F209" s="3">
        <f>SUM(T209:Z209)</f>
        <v/>
      </c>
      <c r="G209" s="3">
        <f>IF((F209-E209)&gt;=0,F209-E209,0)</f>
        <v/>
      </c>
      <c r="H209" s="3">
        <f>MAX(0,$E209-$F209-$J209)</f>
        <v/>
      </c>
      <c r="I209" s="3" t="n"/>
      <c r="J209" s="3" t="n"/>
      <c r="K209" s="4" t="n"/>
      <c r="L209" s="4">
        <f>IF(AND($H209&gt;0,ISNUMBER($K209)),$H209*$K209,0)</f>
        <v/>
      </c>
      <c r="M209" s="3" t="n"/>
      <c r="N209" s="3" t="n"/>
      <c r="O209" s="3" t="n"/>
      <c r="P209" s="3" t="n">
        <v>1</v>
      </c>
      <c r="Q209" s="3" t="n"/>
      <c r="R209" s="3" t="n"/>
      <c r="S209" s="3">
        <f>IF(AND(J209&lt;&gt;"",SUM(M209:R209)=0),J209,"")</f>
        <v/>
      </c>
      <c r="T209" s="3" t="n"/>
      <c r="U209" s="3" t="n"/>
      <c r="V209" s="3" t="n"/>
      <c r="W209" s="3" t="n">
        <v>1</v>
      </c>
      <c r="X209" s="3" t="n"/>
      <c r="Y209" s="3" t="n"/>
      <c r="Z209" s="3" t="n"/>
      <c r="AA209" s="2" t="inlineStr">
        <is>
          <t>Creature</t>
        </is>
      </c>
      <c r="AB209" s="2" t="inlineStr">
        <is>
          <t>Dragon</t>
        </is>
      </c>
      <c r="AC209" s="2" t="inlineStr">
        <is>
          <t>G</t>
        </is>
      </c>
      <c r="AD209" s="3" t="n">
        <v>7</v>
      </c>
      <c r="AE209" s="29" t="inlineStr">
        <is>
          <t>Tarkir: Dragonstorm Commander</t>
        </is>
      </c>
      <c r="AF209" s="29" t="inlineStr">
        <is>
          <t>Counters Payoff</t>
        </is>
      </c>
      <c r="AG209" s="29" t="inlineStr">
        <is>
          <t>Flying body that resists opposing spells</t>
        </is>
      </c>
      <c r="AH209" s="29" t="inlineStr">
        <is>
          <t>Upkeep: put +1/+1 counters equal to toughness on each other creature you control</t>
        </is>
      </c>
      <c r="AI209" s="29" t="n"/>
      <c r="AJ209" s="2" t="inlineStr">
        <is>
          <t>arrives -&gt; Bench (slot was upgraded); Bench sub -&gt; D4 for Slaughter Specialist (2026-09-02)</t>
        </is>
      </c>
      <c r="AK209" t="inlineStr">
        <is>
          <t>[T+A] B-&gt;D4 (bench sub) [done 2026-09-03]</t>
        </is>
      </c>
    </row>
    <row r="210" ht="15" customHeight="1" s="79">
      <c r="A210" s="2" t="inlineStr">
        <is>
          <t>Cast Out</t>
        </is>
      </c>
      <c r="B210" s="2">
        <f>IF(AND(F210&lt;&gt;0,E210=F210),"In Hand",IF(AND(E210&lt;&gt;0,E210&lt;F210,SUM(M210:R210)=0,SUM(T210:Y210)&gt;0),"Extra-Sub",IF(AND(E210=0,E210&lt;F210,SUM(M210:R210)=0,SUM(T210:Y210)&gt;0),"Bench-Sub",IF(AND(E210=0,F210&gt;0),"Bench",IF(E210&lt;F210,"Extra",IF(AND(J210="",E210&gt;F210),"To Buy",IF(SUM(J210,F210)&lt;E210,"To Buy",IF(AND(SUM(J210,F210)&gt;=E210,J210&lt;&gt;""),"Ordered",IF(AND(E210=0,F210=0,D210="B3"),"B3 Option",IF(AND(E210=0,F210=0),"Remove","To Buy"))))))))))</f>
        <v/>
      </c>
      <c r="D210" t="inlineStr">
        <is>
          <t>B2</t>
        </is>
      </c>
      <c r="E210" s="3">
        <f>SUM(M210:S210)</f>
        <v/>
      </c>
      <c r="F210" s="3">
        <f>SUM(T210:Z210)</f>
        <v/>
      </c>
      <c r="G210" s="3">
        <f>IF((F210-E210)&gt;=0,F210-E210,0)</f>
        <v/>
      </c>
      <c r="H210" s="3">
        <f>MAX(0,$E210-$F210-$J210)</f>
        <v/>
      </c>
      <c r="I210" s="3" t="n"/>
      <c r="J210" s="3" t="n"/>
      <c r="K210" s="4" t="n">
        <v>0.27</v>
      </c>
      <c r="L210" s="4">
        <f>IF(AND($H210&gt;0,ISNUMBER($K210)),$H210*$K210,0)</f>
        <v/>
      </c>
      <c r="M210" s="3" t="n">
        <v>1</v>
      </c>
      <c r="N210" s="3" t="n">
        <v>1</v>
      </c>
      <c r="O210" s="3" t="n">
        <v>1</v>
      </c>
      <c r="P210" s="3" t="n"/>
      <c r="Q210" s="3" t="n"/>
      <c r="R210" s="3" t="n"/>
      <c r="S210" s="3">
        <f>IF(AND(J210&lt;&gt;"",SUM(M210:R210)=0),J210,"")</f>
        <v/>
      </c>
      <c r="T210" s="3" t="n">
        <v>1</v>
      </c>
      <c r="U210" s="3" t="n">
        <v>1</v>
      </c>
      <c r="V210" s="3" t="n">
        <v>1</v>
      </c>
      <c r="W210" s="3" t="n"/>
      <c r="X210" s="3" t="n"/>
      <c r="Y210" s="3" t="n"/>
      <c r="Z210" s="3" t="n"/>
      <c r="AA210" s="2" t="inlineStr">
        <is>
          <t>Enchantment</t>
        </is>
      </c>
      <c r="AB210" s="2" t="n"/>
      <c r="AC210" s="2" t="inlineStr">
        <is>
          <t>W</t>
        </is>
      </c>
      <c r="AD210" s="3" t="n">
        <v>4</v>
      </c>
      <c r="AE210" s="29" t="inlineStr">
        <is>
          <t>Amonkhet</t>
        </is>
      </c>
      <c r="AF210" s="29" t="inlineStr">
        <is>
          <t>Removal</t>
        </is>
      </c>
      <c r="AG210" s="29" t="inlineStr">
        <is>
          <t>Can be cast at instant speed</t>
        </is>
      </c>
      <c r="AH210" s="29" t="inlineStr">
        <is>
          <t>Enters: exiles target nonland permanent an opponent controls until this leaves</t>
        </is>
      </c>
      <c r="AI210" s="29" t="inlineStr">
        <is>
          <t>Discard for {W} to draw a card instead of casting</t>
        </is>
      </c>
      <c r="AJ210" s="2" t="n"/>
    </row>
    <row r="211" ht="15" customHeight="1" s="79">
      <c r="A211" s="2" t="inlineStr">
        <is>
          <t>Cathar Commando</t>
        </is>
      </c>
      <c r="B211" s="2">
        <f>IF(AND(F211&lt;&gt;0,E211=F211),"In Hand",IF(AND(E211&lt;&gt;0,E211&lt;F211,SUM(M211:R211)=0,SUM(T211:Y211)&gt;0),"Extra-Sub",IF(AND(E211=0,E211&lt;F211,SUM(M211:R211)=0,SUM(T211:Y211)&gt;0),"Bench-Sub",IF(AND(E211=0,F211&gt;0),"Bench",IF(E211&lt;F211,"Extra",IF(AND(J211="",E211&gt;F211),"To Buy",IF(SUM(J211,F211)&lt;E211,"To Buy",IF(AND(SUM(J211,F211)&gt;=E211,J211&lt;&gt;""),"Ordered",IF(AND(E211=0,F211=0,D211="B3"),"B3 Option",IF(AND(E211=0,F211=0),"Remove","To Buy"))))))))))</f>
        <v/>
      </c>
      <c r="D211" t="inlineStr">
        <is>
          <t>B2</t>
        </is>
      </c>
      <c r="E211" s="3">
        <f>SUM(M211:S211)</f>
        <v/>
      </c>
      <c r="F211" s="3">
        <f>SUM(T211:Z211)</f>
        <v/>
      </c>
      <c r="G211" s="3">
        <f>IF((F211-E211)&gt;=0,F211-E211,0)</f>
        <v/>
      </c>
      <c r="H211" s="3">
        <f>MAX(0,$E211-$F211-$J211)</f>
        <v/>
      </c>
      <c r="I211" s="3" t="n"/>
      <c r="J211" s="3" t="n"/>
      <c r="K211" s="4" t="n">
        <v>0.21</v>
      </c>
      <c r="L211" s="4">
        <f>IF(AND($H211&gt;0,ISNUMBER($K211)),$H211*$K211,0)</f>
        <v/>
      </c>
      <c r="M211" s="3" t="n"/>
      <c r="N211" s="3" t="n"/>
      <c r="O211" s="3" t="n"/>
      <c r="P211" s="3" t="n"/>
      <c r="Q211" s="3" t="n">
        <v>1</v>
      </c>
      <c r="R211" s="3" t="n"/>
      <c r="S211" s="3">
        <f>IF(AND(J211&lt;&gt;"",SUM(M211:R211)=0),J211,"")</f>
        <v/>
      </c>
      <c r="T211" s="3" t="n"/>
      <c r="U211" s="3" t="n"/>
      <c r="V211" s="3" t="n"/>
      <c r="W211" s="3" t="n"/>
      <c r="X211" s="3" t="n">
        <v>1</v>
      </c>
      <c r="Y211" s="3" t="n"/>
      <c r="Z211" s="3" t="n"/>
      <c r="AA211" s="2" t="inlineStr">
        <is>
          <t>Creature</t>
        </is>
      </c>
      <c r="AB211" s="2" t="inlineStr">
        <is>
          <t>Human Soldier</t>
        </is>
      </c>
      <c r="AC211" s="2" t="inlineStr">
        <is>
          <t>W</t>
        </is>
      </c>
      <c r="AD211" s="3" t="n">
        <v>2</v>
      </c>
      <c r="AE211" s="29" t="inlineStr">
        <is>
          <t>Innistrad: Midnight Hunt</t>
        </is>
      </c>
      <c r="AF211" s="29" t="inlineStr">
        <is>
          <t>Artifact/Enchantment Removal</t>
        </is>
      </c>
      <c r="AG211" s="29" t="inlineStr">
        <is>
          <t>Sacrifice this creature to destroy target artifact or enchantment</t>
        </is>
      </c>
      <c r="AH211" s="29" t="n"/>
      <c r="AI211" s="29" t="n"/>
      <c r="AJ211" s="2" t="n"/>
    </row>
    <row r="212" ht="15" customHeight="1" s="79">
      <c r="A212" s="2" t="inlineStr">
        <is>
          <t>Cathartic Reunion</t>
        </is>
      </c>
      <c r="B212" s="2">
        <f>IF(AND(F212&lt;&gt;0,E212=F212),"In Hand",IF(AND(E212&lt;&gt;0,E212&lt;F212,SUM(M212:R212)=0,SUM(T212:Y212)&gt;0),"Extra-Sub",IF(AND(E212=0,E212&lt;F212,SUM(M212:R212)=0,SUM(T212:Y212)&gt;0),"Bench-Sub",IF(AND(E212=0,F212&gt;0),"Bench",IF(E212&lt;F212,"Extra",IF(AND(J212="",E212&gt;F212),"To Buy",IF(SUM(J212,F212)&lt;E212,"To Buy",IF(AND(SUM(J212,F212)&gt;=E212,J212&lt;&gt;""),"Ordered",IF(AND(E212=0,F212=0,D212="B3"),"B3 Option",IF(AND(E212=0,F212=0),"Remove","To Buy"))))))))))</f>
        <v/>
      </c>
      <c r="D212" t="inlineStr">
        <is>
          <t>B2</t>
        </is>
      </c>
      <c r="E212" s="3">
        <f>SUM(M212:S212)</f>
        <v/>
      </c>
      <c r="F212" s="3">
        <f>SUM(T212:Z212)</f>
        <v/>
      </c>
      <c r="G212" s="3">
        <f>IF((F212-E212)&gt;=0,F212-E212,0)</f>
        <v/>
      </c>
      <c r="H212" s="3">
        <f>MAX(0,$E212-$F212-$J212)</f>
        <v/>
      </c>
      <c r="I212" s="3" t="n"/>
      <c r="J212" s="3" t="n"/>
      <c r="K212" s="4" t="n">
        <v>0.27</v>
      </c>
      <c r="L212" s="4">
        <f>IF(AND($H212&gt;0,ISNUMBER($K212)),$H212*$K212,0)</f>
        <v/>
      </c>
      <c r="M212" s="3" t="n"/>
      <c r="N212" s="3" t="n"/>
      <c r="O212" s="3" t="n"/>
      <c r="P212" s="3" t="n"/>
      <c r="Q212" s="3" t="n"/>
      <c r="R212" s="3" t="n">
        <v>1</v>
      </c>
      <c r="S212" s="3">
        <f>IF(AND(J212&lt;&gt;"",SUM(M212:R212)=0),J212,"")</f>
        <v/>
      </c>
      <c r="T212" s="3" t="n"/>
      <c r="U212" s="3" t="n"/>
      <c r="V212" s="3" t="n"/>
      <c r="W212" s="3" t="n"/>
      <c r="X212" s="3" t="n"/>
      <c r="Y212" s="3" t="n">
        <v>1</v>
      </c>
      <c r="Z212" s="3" t="n"/>
      <c r="AA212" s="2" t="inlineStr">
        <is>
          <t>Sorcery</t>
        </is>
      </c>
      <c r="AB212" s="2" t="n"/>
      <c r="AC212" s="2" t="inlineStr">
        <is>
          <t>R</t>
        </is>
      </c>
      <c r="AD212" s="3" t="n">
        <v>2</v>
      </c>
      <c r="AE212" s="29" t="inlineStr">
        <is>
          <t>Kaladesh</t>
        </is>
      </c>
      <c r="AF212" s="29" t="inlineStr">
        <is>
          <t>Discard/Looting</t>
        </is>
      </c>
      <c r="AG212" s="29" t="inlineStr">
        <is>
          <t>Discard two cards to draw three cards</t>
        </is>
      </c>
      <c r="AH212" s="29" t="n"/>
      <c r="AI212" s="29" t="n"/>
      <c r="AJ212" s="2" t="inlineStr">
        <is>
          <t>Received/settled (was in cart 2026-09-02: Game Theory Wake Forest $0.3 Near Mint)</t>
        </is>
      </c>
    </row>
    <row r="213" ht="15" customHeight="1" s="79">
      <c r="A213" s="2" t="inlineStr">
        <is>
          <t>Ceaseless Conflict</t>
        </is>
      </c>
      <c r="B213" s="2">
        <f>IF(AND(F213&lt;&gt;0,E213=F213),"In Hand",IF(AND(E213&lt;&gt;0,E213&lt;F213,SUM(M213:R213)=0,SUM(T213:Y213)&gt;0),"Extra-Sub",IF(AND(E213=0,E213&lt;F213,SUM(M213:R213)=0,SUM(T213:Y213)&gt;0),"Bench-Sub",IF(AND(E213=0,F213&gt;0),"Bench",IF(E213&lt;F213,"Extra",IF(AND(J213="",E213&gt;F213),"To Buy",IF(SUM(J213,F213)&lt;E213,"To Buy",IF(AND(SUM(J213,F213)&gt;=E213,J213&lt;&gt;""),"Ordered",IF(AND(E213=0,F213=0,D213="B3"),"B3 Option",IF(AND(E213=0,F213=0),"Remove","To Buy"))))))))))</f>
        <v/>
      </c>
      <c r="D213" t="inlineStr">
        <is>
          <t>B2</t>
        </is>
      </c>
      <c r="E213" s="3">
        <f>SUM(M213:S213)</f>
        <v/>
      </c>
      <c r="F213" s="3">
        <f>SUM(T213:Z213)</f>
        <v/>
      </c>
      <c r="G213" s="3">
        <f>IF((F213-E213)&gt;=0,F213-E213,0)</f>
        <v/>
      </c>
      <c r="H213" s="3">
        <f>MAX(0,$E213-$F213-$J213)</f>
        <v/>
      </c>
      <c r="I213" s="3" t="n"/>
      <c r="J213" s="3" t="n"/>
      <c r="K213" s="4" t="n">
        <v>0.3</v>
      </c>
      <c r="L213" s="4">
        <f>IF(AND($H213&gt;0,ISNUMBER($K213)),$H213*$K213,0)</f>
        <v/>
      </c>
      <c r="M213" s="3" t="n">
        <v>1</v>
      </c>
      <c r="N213" s="3" t="n"/>
      <c r="O213" s="3" t="n"/>
      <c r="P213" s="3" t="n"/>
      <c r="Q213" s="3" t="n"/>
      <c r="R213" s="3" t="n"/>
      <c r="S213" s="3">
        <f>IF(AND(J213&lt;&gt;"",SUM(M213:R213)=0),J213,"")</f>
        <v/>
      </c>
      <c r="T213" s="3" t="n">
        <v>1</v>
      </c>
      <c r="U213" s="3" t="n"/>
      <c r="V213" s="3" t="n"/>
      <c r="W213" s="3" t="n"/>
      <c r="X213" s="3" t="n"/>
      <c r="Y213" s="3" t="n"/>
      <c r="Z213" s="3" t="n"/>
      <c r="AA213" s="2" t="inlineStr">
        <is>
          <t>Sorcery</t>
        </is>
      </c>
      <c r="AB213" s="2" t="n"/>
      <c r="AC213" s="2" t="inlineStr">
        <is>
          <t>W</t>
        </is>
      </c>
      <c r="AD213" s="3" t="n">
        <v>5</v>
      </c>
      <c r="AE213" s="29" t="inlineStr">
        <is>
          <t>Secrets of Strixhaven Commander</t>
        </is>
      </c>
      <c r="AF213" s="29" t="inlineStr">
        <is>
          <t>Board Wipe</t>
        </is>
      </c>
      <c r="AG213" s="29" t="inlineStr">
        <is>
          <t>Destroys all creatures</t>
        </is>
      </c>
      <c r="AH213" s="29" t="inlineStr">
        <is>
          <t>Creates a 3/2 Spirit token for each of your nontoken creatures destroyed this way</t>
        </is>
      </c>
      <c r="AI213" s="29" t="n"/>
      <c r="AJ213" s="2" t="n"/>
      <c r="AK213" t="inlineStr">
        <is>
          <t>[B3 later] D1-&gt;B when Farewell is bought</t>
        </is>
      </c>
    </row>
    <row r="214" ht="15" customHeight="1" s="79">
      <c r="A214" s="2" t="inlineStr">
        <is>
          <t>Chain Assassination</t>
        </is>
      </c>
      <c r="B214" s="2">
        <f>IF(AND(F214&lt;&gt;0,E214=F214),"In Hand",IF(AND(E214&lt;&gt;0,E214&lt;F214,SUM(M214:R214)=0,SUM(T214:Y214)&gt;0),"Extra-Sub",IF(AND(E214=0,E214&lt;F214,SUM(M214:R214)=0,SUM(T214:Y214)&gt;0),"Bench-Sub",IF(AND(E214=0,F214&gt;0),"Bench",IF(E214&lt;F214,"Extra",IF(AND(J214="",E214&gt;F214),"To Buy",IF(SUM(J214,F214)&lt;E214,"To Buy",IF(AND(SUM(J214,F214)&gt;=E214,J214&lt;&gt;""),"Ordered",IF(AND(E214=0,F214=0,D214="B3"),"B3 Option",IF(AND(E214=0,F214=0),"Remove","To Buy"))))))))))</f>
        <v/>
      </c>
      <c r="D214" t="inlineStr">
        <is>
          <t>B2</t>
        </is>
      </c>
      <c r="E214" s="3">
        <f>SUM(M214:S214)</f>
        <v/>
      </c>
      <c r="F214" s="3">
        <f>SUM(T214:Z214)</f>
        <v/>
      </c>
      <c r="G214" s="3">
        <f>IF((F214-E214)&gt;=0,F214-E214,0)</f>
        <v/>
      </c>
      <c r="H214" s="3">
        <f>MAX(0,$E214-$F214-$J214)</f>
        <v/>
      </c>
      <c r="I214" s="3" t="n"/>
      <c r="J214" s="3" t="n"/>
      <c r="K214" s="4" t="n"/>
      <c r="L214" s="4">
        <f>IF(AND($H214&gt;0,ISNUMBER($K214)),$H214*$K214,0)</f>
        <v/>
      </c>
      <c r="M214" s="3" t="n"/>
      <c r="N214" s="3" t="n"/>
      <c r="O214" s="3" t="n"/>
      <c r="P214" s="3" t="n"/>
      <c r="Q214" s="3" t="n">
        <v>1</v>
      </c>
      <c r="R214" s="3" t="n"/>
      <c r="S214" s="3">
        <f>IF(AND(J214&lt;&gt;"",SUM(M214:R214)=0),J214,"")</f>
        <v/>
      </c>
      <c r="T214" s="3" t="n"/>
      <c r="U214" s="3" t="n"/>
      <c r="V214" s="3" t="n"/>
      <c r="W214" s="3" t="n"/>
      <c r="X214" s="3" t="n">
        <v>1</v>
      </c>
      <c r="Y214" s="3" t="n"/>
      <c r="Z214" s="3" t="n"/>
      <c r="AA214" s="2" t="inlineStr">
        <is>
          <t>Instant</t>
        </is>
      </c>
      <c r="AB214" s="2" t="n"/>
      <c r="AC214" s="2" t="inlineStr">
        <is>
          <t>B</t>
        </is>
      </c>
      <c r="AD214" s="3" t="n">
        <v>4</v>
      </c>
      <c r="AE214" s="29" t="inlineStr">
        <is>
          <t>Assassin's Creed</t>
        </is>
      </c>
      <c r="AF214" s="29" t="inlineStr">
        <is>
          <t>Removal</t>
        </is>
      </c>
      <c r="AG214" s="29" t="inlineStr">
        <is>
          <t>Destroys target creature</t>
        </is>
      </c>
      <c r="AH214" s="29" t="inlineStr">
        <is>
          <t>Draw a card if another creature died this turn</t>
        </is>
      </c>
      <c r="AI214" s="29" t="inlineStr">
        <is>
          <t>Can be cast for less if you dealt combat damage with an Assassin or commander</t>
        </is>
      </c>
      <c r="AJ214" s="2" t="inlineStr">
        <is>
          <t>arrives -&gt; Bench (slot was upgraded); Bench sub -&gt; D5 for Utter End (2026-09-02)</t>
        </is>
      </c>
      <c r="AK214" t="inlineStr">
        <is>
          <t>[T+A] B-&gt;D5 (bench sub) [done 2026-09-03]</t>
        </is>
      </c>
    </row>
    <row r="215" ht="15" customHeight="1" s="79">
      <c r="A215" s="2" t="inlineStr">
        <is>
          <t>Clachan Festival</t>
        </is>
      </c>
      <c r="B215" s="2">
        <f>IF(AND(F215&lt;&gt;0,E215=F215),"In Hand",IF(AND(E215&lt;&gt;0,E215&lt;F215,SUM(M215:R215)=0,SUM(T215:Y215)&gt;0),"Extra-Sub",IF(AND(E215=0,E215&lt;F215,SUM(M215:R215)=0,SUM(T215:Y215)&gt;0),"Bench-Sub",IF(AND(E215=0,F215&gt;0),"Bench",IF(E215&lt;F215,"Extra",IF(AND(J215="",E215&gt;F215),"To Buy",IF(SUM(J215,F215)&lt;E215,"To Buy",IF(AND(SUM(J215,F215)&gt;=E215,J215&lt;&gt;""),"Ordered",IF(AND(E215=0,F215=0,D215="B3"),"B3 Option",IF(AND(E215=0,F215=0),"Remove","To Buy"))))))))))</f>
        <v/>
      </c>
      <c r="D215" t="inlineStr">
        <is>
          <t>B2</t>
        </is>
      </c>
      <c r="E215" s="3">
        <f>SUM(M215:S215)</f>
        <v/>
      </c>
      <c r="F215" s="3">
        <f>SUM(T215:Z215)</f>
        <v/>
      </c>
      <c r="G215" s="3">
        <f>IF((F215-E215)&gt;=0,F215-E215,0)</f>
        <v/>
      </c>
      <c r="H215" s="3">
        <f>MAX(0,$E215-$F215-$J215)</f>
        <v/>
      </c>
      <c r="I215" s="3" t="n"/>
      <c r="J215" s="3" t="n"/>
      <c r="K215" s="4" t="n"/>
      <c r="L215" s="4">
        <f>IF(AND($H215&gt;0,ISNUMBER($K215)),$H215*$K215,0)</f>
        <v/>
      </c>
      <c r="M215" s="3" t="n"/>
      <c r="N215" s="3" t="n"/>
      <c r="O215" s="3" t="n"/>
      <c r="P215" s="3" t="n"/>
      <c r="Q215" s="3" t="n">
        <v>1</v>
      </c>
      <c r="R215" s="3" t="n"/>
      <c r="S215" s="3">
        <f>IF(AND(J215&lt;&gt;"",SUM(M215:R215)=0),J215,"")</f>
        <v/>
      </c>
      <c r="T215" s="3" t="n"/>
      <c r="U215" s="3" t="n"/>
      <c r="V215" s="3" t="n"/>
      <c r="W215" s="3" t="n"/>
      <c r="X215" s="3" t="n">
        <v>1</v>
      </c>
      <c r="Y215" s="3" t="n"/>
      <c r="Z215" s="3" t="n"/>
      <c r="AA215" s="2" t="inlineStr">
        <is>
          <t>Kindred Enchantment</t>
        </is>
      </c>
      <c r="AB215" s="2" t="inlineStr">
        <is>
          <t>Kithkin</t>
        </is>
      </c>
      <c r="AC215" s="2" t="inlineStr">
        <is>
          <t>W</t>
        </is>
      </c>
      <c r="AD215" s="3" t="n">
        <v>3</v>
      </c>
      <c r="AE215" s="29" t="inlineStr">
        <is>
          <t>Lorwyn Eclipsed</t>
        </is>
      </c>
      <c r="AF215" s="29" t="inlineStr">
        <is>
          <t>Token Producer</t>
        </is>
      </c>
      <c r="AG215" s="29" t="inlineStr">
        <is>
          <t>Creates two 1/1 Kithkin tokens when it enters</t>
        </is>
      </c>
      <c r="AH215" s="29" t="inlineStr">
        <is>
          <t>Pay {4}{W} to create another 1/1 Kithkin token</t>
        </is>
      </c>
      <c r="AI215" s="29" t="n"/>
      <c r="AJ215" s="2" t="inlineStr">
        <is>
          <t>Cut in Tuned; Bench sub -&gt; D5 for Gather the Townsfolk (2026-09-02)</t>
        </is>
      </c>
      <c r="AK215" t="inlineStr">
        <is>
          <t>[T+A] D2-&gt;D5 (bench sub) [done 2026-09-03]</t>
        </is>
      </c>
    </row>
    <row r="216" ht="15" customHeight="1" s="79">
      <c r="A216" s="2" t="inlineStr">
        <is>
          <t>Claim Jumper</t>
        </is>
      </c>
      <c r="B216" s="2">
        <f>IF(AND(F216&lt;&gt;0,E216=F216),"In Hand",IF(AND(E216&lt;&gt;0,E216&lt;F216,SUM(M216:R216)=0,SUM(T216:Y216)&gt;0),"Extra-Sub",IF(AND(E216=0,E216&lt;F216,SUM(M216:R216)=0,SUM(T216:Y216)&gt;0),"Bench-Sub",IF(AND(E216=0,F216&gt;0),"Bench",IF(E216&lt;F216,"Extra",IF(AND(J216="",E216&gt;F216),"To Buy",IF(SUM(J216,F216)&lt;E216,"To Buy",IF(AND(SUM(J216,F216)&gt;=E216,J216&lt;&gt;""),"Ordered",IF(AND(E216=0,F216=0,D216="B3"),"B3 Option",IF(AND(E216=0,F216=0),"Remove","To Buy"))))))))))</f>
        <v/>
      </c>
      <c r="D216" t="inlineStr">
        <is>
          <t>B2</t>
        </is>
      </c>
      <c r="E216" s="3">
        <f>SUM(M216:S216)</f>
        <v/>
      </c>
      <c r="F216" s="3">
        <f>SUM(T216:Z216)</f>
        <v/>
      </c>
      <c r="G216" s="3">
        <f>IF((F216-E216)&gt;=0,F216-E216,0)</f>
        <v/>
      </c>
      <c r="H216" s="3">
        <f>MAX(0,$E216-$F216-$J216)</f>
        <v/>
      </c>
      <c r="I216" s="3" t="n"/>
      <c r="J216" s="3" t="n"/>
      <c r="K216" s="4" t="n">
        <v>0.31</v>
      </c>
      <c r="L216" s="4">
        <f>IF(AND($H216&gt;0,ISNUMBER($K216)),$H216*$K216,0)</f>
        <v/>
      </c>
      <c r="M216" s="3" t="n"/>
      <c r="N216" s="3" t="n">
        <v>1</v>
      </c>
      <c r="O216" s="3" t="n"/>
      <c r="P216" s="3" t="n"/>
      <c r="Q216" s="3" t="n"/>
      <c r="R216" s="3" t="n"/>
      <c r="S216" s="3">
        <f>IF(AND(J216&lt;&gt;"",SUM(M216:R216)=0),J216,"")</f>
        <v/>
      </c>
      <c r="T216" s="3" t="n"/>
      <c r="U216" s="3" t="n">
        <v>1</v>
      </c>
      <c r="V216" s="3" t="n"/>
      <c r="W216" s="3" t="n"/>
      <c r="X216" s="3" t="n"/>
      <c r="Y216" s="3" t="n"/>
      <c r="Z216" s="3" t="n"/>
      <c r="AA216" s="2" t="inlineStr">
        <is>
          <t>Creature</t>
        </is>
      </c>
      <c r="AB216" s="2" t="inlineStr">
        <is>
          <t>Rabbit Mercenary</t>
        </is>
      </c>
      <c r="AC216" s="2" t="inlineStr">
        <is>
          <t>W</t>
        </is>
      </c>
      <c r="AD216" s="3" t="n">
        <v>3</v>
      </c>
      <c r="AE216" s="29" t="inlineStr">
        <is>
          <t>Outlaws of Thunder Junction</t>
        </is>
      </c>
      <c r="AF216" s="29" t="inlineStr">
        <is>
          <t>Ramp</t>
        </is>
      </c>
      <c r="AG216" s="29" t="inlineStr">
        <is>
          <t>Fetches a Plains onto the battlefield tapped if you're land-light</t>
        </is>
      </c>
      <c r="AH216" s="29" t="inlineStr">
        <is>
          <t>Repeats the fetch once more if still behind on lands</t>
        </is>
      </c>
      <c r="AI216" s="29" t="n"/>
      <c r="AJ216" s="2" t="n"/>
    </row>
    <row r="217" ht="15" customHeight="1" s="79">
      <c r="A217" s="2" t="inlineStr">
        <is>
          <t>Clifftop Retreat</t>
        </is>
      </c>
      <c r="B217" s="2">
        <f>IF(AND(F217&lt;&gt;0,E217=F217),"In Hand",IF(AND(E217&lt;&gt;0,E217&lt;F217,SUM(M217:R217)=0,SUM(T217:Y217)&gt;0),"Extra-Sub",IF(AND(E217=0,E217&lt;F217,SUM(M217:R217)=0,SUM(T217:Y217)&gt;0),"Bench-Sub",IF(AND(E217=0,F217&gt;0),"Bench",IF(E217&lt;F217,"Extra",IF(AND(J217="",E217&gt;F217),"To Buy",IF(SUM(J217,F217)&lt;E217,"To Buy",IF(AND(SUM(J217,F217)&gt;=E217,J217&lt;&gt;""),"Ordered",IF(AND(E217=0,F217=0,D217="B3"),"B3 Option",IF(AND(E217=0,F217=0),"Remove","To Buy"))))))))))</f>
        <v/>
      </c>
      <c r="D217" t="inlineStr">
        <is>
          <t>B2</t>
        </is>
      </c>
      <c r="E217" s="3">
        <f>SUM(M217:S217)</f>
        <v/>
      </c>
      <c r="F217" s="3">
        <f>SUM(T217:Z217)</f>
        <v/>
      </c>
      <c r="G217" s="3">
        <f>IF((F217-E217)&gt;=0,F217-E217,0)</f>
        <v/>
      </c>
      <c r="H217" s="3">
        <f>MAX(0,$E217-$F217-$J217)</f>
        <v/>
      </c>
      <c r="I217" s="3" t="n"/>
      <c r="J217" s="3" t="n"/>
      <c r="K217" s="4" t="n">
        <v>0.27</v>
      </c>
      <c r="L217" s="4">
        <f>IF(AND($H217&gt;0,ISNUMBER($K217)),$H217*$K217,0)</f>
        <v/>
      </c>
      <c r="M217" s="3" t="n">
        <v>1</v>
      </c>
      <c r="N217" s="3" t="n"/>
      <c r="O217" s="3" t="n"/>
      <c r="P217" s="3" t="n"/>
      <c r="Q217" s="3" t="n"/>
      <c r="R217" s="3" t="n"/>
      <c r="S217" s="3">
        <f>IF(AND(J217&lt;&gt;"",SUM(M217:R217)=0),J217,"")</f>
        <v/>
      </c>
      <c r="T217" s="3" t="n">
        <v>1</v>
      </c>
      <c r="U217" s="3" t="n"/>
      <c r="V217" s="3" t="n"/>
      <c r="W217" s="3" t="n"/>
      <c r="X217" s="3" t="n"/>
      <c r="Y217" s="3" t="n"/>
      <c r="Z217" s="3" t="n"/>
      <c r="AA217" s="2" t="inlineStr">
        <is>
          <t>Land</t>
        </is>
      </c>
      <c r="AB217" s="2" t="n"/>
      <c r="AC217" s="2" t="inlineStr">
        <is>
          <t>L</t>
        </is>
      </c>
      <c r="AD217" s="3" t="n">
        <v>0</v>
      </c>
      <c r="AE217" s="29" t="inlineStr">
        <is>
          <t>Innistrad</t>
        </is>
      </c>
      <c r="AF217" s="29" t="inlineStr">
        <is>
          <t>Land</t>
        </is>
      </c>
      <c r="AG217" s="29" t="inlineStr">
        <is>
          <t>Taps for {R} or {W}</t>
        </is>
      </c>
      <c r="AH217" s="29" t="inlineStr">
        <is>
          <t>Enters tapped unless you control a Mountain or Plains</t>
        </is>
      </c>
      <c r="AI217" s="29" t="n"/>
      <c r="AJ217" s="2" t="n"/>
    </row>
    <row r="218" ht="15" customHeight="1" s="79">
      <c r="A218" s="2" t="inlineStr">
        <is>
          <t>Cloud's Limit Break</t>
        </is>
      </c>
      <c r="B218" s="2">
        <f>IF(AND(F218&lt;&gt;0,E218=F218),"In Hand",IF(AND(E218&lt;&gt;0,E218&lt;F218,SUM(M218:R218)=0,SUM(T218:Y218)&gt;0),"Extra-Sub",IF(AND(E218=0,E218&lt;F218,SUM(M218:R218)=0,SUM(T218:Y218)&gt;0),"Bench-Sub",IF(AND(E218=0,F218&gt;0),"Bench",IF(E218&lt;F218,"Extra",IF(AND(J218="",E218&gt;F218),"To Buy",IF(SUM(J218,F218)&lt;E218,"To Buy",IF(AND(SUM(J218,F218)&gt;=E218,J218&lt;&gt;""),"Ordered",IF(AND(E218=0,F218=0,D218="B3"),"B3 Option",IF(AND(E218=0,F218=0),"Remove","To Buy"))))))))))</f>
        <v/>
      </c>
      <c r="D218" t="inlineStr">
        <is>
          <t>B2</t>
        </is>
      </c>
      <c r="E218" s="3">
        <f>SUM(M218:S218)</f>
        <v/>
      </c>
      <c r="F218" s="3">
        <f>SUM(T218:Z218)</f>
        <v/>
      </c>
      <c r="G218" s="3">
        <f>IF((F218-E218)&gt;=0,F218-E218,0)</f>
        <v/>
      </c>
      <c r="H218" s="3">
        <f>MAX(0,$E218-$F218-$J218)</f>
        <v/>
      </c>
      <c r="I218" s="3" t="n"/>
      <c r="J218" s="3" t="n"/>
      <c r="K218" s="4" t="n">
        <v>0.29</v>
      </c>
      <c r="L218" s="4">
        <f>IF(AND($H218&gt;0,ISNUMBER($K218)),$H218*$K218,0)</f>
        <v/>
      </c>
      <c r="M218" s="3" t="n"/>
      <c r="N218" s="3" t="n"/>
      <c r="O218" s="3" t="n"/>
      <c r="P218" s="3" t="n"/>
      <c r="Q218" s="3" t="n">
        <v>1</v>
      </c>
      <c r="R218" s="3" t="n"/>
      <c r="S218" s="3">
        <f>IF(AND(J218&lt;&gt;"",SUM(M218:R218)=0),J218,"")</f>
        <v/>
      </c>
      <c r="T218" s="3" t="n"/>
      <c r="U218" s="3" t="n"/>
      <c r="V218" s="3" t="n"/>
      <c r="W218" s="3" t="n"/>
      <c r="X218" s="3" t="n">
        <v>1</v>
      </c>
      <c r="Y218" s="3" t="n"/>
      <c r="Z218" s="3" t="n"/>
      <c r="AA218" s="2" t="inlineStr">
        <is>
          <t>Instant</t>
        </is>
      </c>
      <c r="AB218" s="2" t="n"/>
      <c r="AC218" s="2" t="inlineStr">
        <is>
          <t>W</t>
        </is>
      </c>
      <c r="AD218" s="3" t="n">
        <v>2</v>
      </c>
      <c r="AE218" s="29" t="inlineStr">
        <is>
          <t>Final Fantasy Commander</t>
        </is>
      </c>
      <c r="AF218" s="29" t="inlineStr">
        <is>
          <t>Removal</t>
        </is>
      </c>
      <c r="AG218" s="29" t="inlineStr">
        <is>
          <t>Destroy target tapped creature</t>
        </is>
      </c>
      <c r="AH218" s="29" t="inlineStr">
        <is>
          <t>Or destroy any number of target tapped creatures with different controllers</t>
        </is>
      </c>
      <c r="AI218" s="29" t="inlineStr">
        <is>
          <t>Or destroy all tapped creatures for {3}{W} more</t>
        </is>
      </c>
      <c r="AJ218" s="2" t="n"/>
    </row>
    <row r="219" ht="15" customHeight="1" s="79">
      <c r="A219" s="2" t="inlineStr">
        <is>
          <t>Coiling Oracle</t>
        </is>
      </c>
      <c r="B219" s="2">
        <f>IF(AND(F219&lt;&gt;0,E219=F219),"In Hand",IF(AND(E219&lt;&gt;0,E219&lt;F219,SUM(M219:R219)=0,SUM(T219:Y219)&gt;0),"Extra-Sub",IF(AND(E219=0,E219&lt;F219,SUM(M219:R219)=0,SUM(T219:Y219)&gt;0),"Bench-Sub",IF(AND(E219=0,F219&gt;0),"Bench",IF(E219&lt;F219,"Extra",IF(AND(J219="",E219&gt;F219),"To Buy",IF(SUM(J219,F219)&lt;E219,"To Buy",IF(AND(SUM(J219,F219)&gt;=E219,J219&lt;&gt;""),"Ordered",IF(AND(E219=0,F219=0,D219="B3"),"B3 Option",IF(AND(E219=0,F219=0),"Remove","To Buy"))))))))))</f>
        <v/>
      </c>
      <c r="D219" t="inlineStr">
        <is>
          <t>B2</t>
        </is>
      </c>
      <c r="E219" s="3">
        <f>SUM(M219:S219)</f>
        <v/>
      </c>
      <c r="F219" s="3">
        <f>SUM(T219:Z219)</f>
        <v/>
      </c>
      <c r="G219" s="3">
        <f>IF((F219-E219)&gt;=0,F219-E219,0)</f>
        <v/>
      </c>
      <c r="H219" s="3">
        <f>MAX(0,$E219-$F219-$J219)</f>
        <v/>
      </c>
      <c r="I219" s="3" t="n"/>
      <c r="J219" s="3" t="n"/>
      <c r="K219" s="4" t="n">
        <v>0.23</v>
      </c>
      <c r="L219" s="4">
        <f>IF(AND($H219&gt;0,ISNUMBER($K219)),$H219*$K219,0)</f>
        <v/>
      </c>
      <c r="M219" s="3" t="n"/>
      <c r="N219" s="3" t="n">
        <v>1</v>
      </c>
      <c r="O219" s="3" t="n"/>
      <c r="P219" s="3" t="n"/>
      <c r="Q219" s="3" t="n"/>
      <c r="R219" s="3" t="n"/>
      <c r="S219" s="3">
        <f>IF(AND(J219&lt;&gt;"",SUM(M219:R219)=0),J219,"")</f>
        <v/>
      </c>
      <c r="T219" s="3" t="n"/>
      <c r="U219" s="3" t="n">
        <v>1</v>
      </c>
      <c r="V219" s="3" t="n"/>
      <c r="W219" s="3" t="n"/>
      <c r="X219" s="3" t="n"/>
      <c r="Y219" s="3" t="n"/>
      <c r="Z219" s="3" t="n"/>
      <c r="AA219" s="2" t="inlineStr">
        <is>
          <t>Creature</t>
        </is>
      </c>
      <c r="AB219" s="2" t="inlineStr">
        <is>
          <t>Snake Elf Druid</t>
        </is>
      </c>
      <c r="AC219" s="2" t="inlineStr">
        <is>
          <t>Multi</t>
        </is>
      </c>
      <c r="AD219" s="3" t="n">
        <v>2</v>
      </c>
      <c r="AE219" s="29" t="inlineStr">
        <is>
          <t>Dissension</t>
        </is>
      </c>
      <c r="AF219" s="29" t="inlineStr">
        <is>
          <t>Ramp</t>
        </is>
      </c>
      <c r="AG219" s="29" t="inlineStr">
        <is>
          <t>Reveals top card of library; puts it onto the battlefield if a land, otherwise to hand</t>
        </is>
      </c>
      <c r="AH219" s="29" t="n"/>
      <c r="AI219" s="29" t="n"/>
      <c r="AJ219" s="2" t="inlineStr">
        <is>
          <t>Tuned add; Received/settled (was in cart 2026-09-02: Game Theory Wake Forest $0.3 Near Mint)</t>
        </is>
      </c>
    </row>
    <row r="220" ht="15" customHeight="1" s="79">
      <c r="A220" s="2" t="inlineStr">
        <is>
          <t>Collective Effort</t>
        </is>
      </c>
      <c r="B220" s="2">
        <f>IF(AND(F220&lt;&gt;0,E220=F220),"In Hand",IF(AND(E220&lt;&gt;0,E220&lt;F220,SUM(M220:R220)=0,SUM(T220:Y220)&gt;0),"Extra-Sub",IF(AND(E220=0,E220&lt;F220,SUM(M220:R220)=0,SUM(T220:Y220)&gt;0),"Bench-Sub",IF(AND(E220=0,F220&gt;0),"Bench",IF(E220&lt;F220,"Extra",IF(AND(J220="",E220&gt;F220),"To Buy",IF(SUM(J220,F220)&lt;E220,"To Buy",IF(AND(SUM(J220,F220)&gt;=E220,J220&lt;&gt;""),"Ordered",IF(AND(E220=0,F220=0,D220="B3"),"B3 Option",IF(AND(E220=0,F220=0),"Remove","To Buy"))))))))))</f>
        <v/>
      </c>
      <c r="D220" t="inlineStr">
        <is>
          <t>B2</t>
        </is>
      </c>
      <c r="E220" s="3">
        <f>SUM(M220:S220)</f>
        <v/>
      </c>
      <c r="F220" s="3">
        <f>SUM(T220:Z220)</f>
        <v/>
      </c>
      <c r="G220" s="3">
        <f>IF((F220-E220)&gt;=0,F220-E220,0)</f>
        <v/>
      </c>
      <c r="H220" s="3">
        <f>MAX(0,$E220-$F220-$J220)</f>
        <v/>
      </c>
      <c r="I220" s="3" t="n"/>
      <c r="J220" s="3" t="n"/>
      <c r="K220" s="4" t="n">
        <v>0.23</v>
      </c>
      <c r="L220" s="4">
        <f>IF(AND($H220&gt;0,ISNUMBER($K220)),$H220*$K220,0)</f>
        <v/>
      </c>
      <c r="M220" s="3" t="n"/>
      <c r="N220" s="3" t="n"/>
      <c r="O220" s="3" t="n"/>
      <c r="P220" s="3" t="n">
        <v>1</v>
      </c>
      <c r="Q220" s="3" t="n"/>
      <c r="R220" s="3" t="n"/>
      <c r="S220" s="3">
        <f>IF(AND(J220&lt;&gt;"",SUM(M220:R220)=0),J220,"")</f>
        <v/>
      </c>
      <c r="T220" s="3" t="n"/>
      <c r="U220" s="3" t="n"/>
      <c r="V220" s="3" t="n"/>
      <c r="W220" s="3" t="n">
        <v>1</v>
      </c>
      <c r="X220" s="3" t="n"/>
      <c r="Y220" s="3" t="n"/>
      <c r="Z220" s="3" t="n"/>
      <c r="AA220" s="2" t="inlineStr">
        <is>
          <t>Sorcery</t>
        </is>
      </c>
      <c r="AB220" s="2" t="n"/>
      <c r="AC220" s="2" t="inlineStr">
        <is>
          <t>W</t>
        </is>
      </c>
      <c r="AD220" s="3" t="n">
        <v>3</v>
      </c>
      <c r="AE220" s="29" t="inlineStr">
        <is>
          <t>Eldritch Moon</t>
        </is>
      </c>
      <c r="AF220" s="29" t="inlineStr">
        <is>
          <t>Removal</t>
        </is>
      </c>
      <c r="AG220" s="29" t="inlineStr">
        <is>
          <t>Escalate: tap creatures to add modes beyond the first</t>
        </is>
      </c>
      <c r="AH220" s="29" t="inlineStr">
        <is>
          <t>Modes: destroy power 4+ creature, destroy enchantment, or counter creatures</t>
        </is>
      </c>
      <c r="AI220" s="29" t="n"/>
      <c r="AJ220" s="2" t="n"/>
      <c r="AK220" t="inlineStr">
        <is>
          <t>[B3 later] D4-&gt;B when The Meathook Massacre is bought</t>
        </is>
      </c>
    </row>
    <row r="221" ht="15" customHeight="1" s="79">
      <c r="A221" s="2" t="inlineStr">
        <is>
          <t>Combustion Technique</t>
        </is>
      </c>
      <c r="B221" s="2">
        <f>IF(AND(F221&lt;&gt;0,E221=F221),"In Hand",IF(AND(E221&lt;&gt;0,E221&lt;F221,SUM(M221:R221)=0,SUM(T221:Y221)&gt;0),"Extra-Sub",IF(AND(E221=0,E221&lt;F221,SUM(M221:R221)=0,SUM(T221:Y221)&gt;0),"Bench-Sub",IF(AND(E221=0,F221&gt;0),"Bench",IF(E221&lt;F221,"Extra",IF(AND(J221="",E221&gt;F221),"To Buy",IF(SUM(J221,F221)&lt;E221,"To Buy",IF(AND(SUM(J221,F221)&gt;=E221,J221&lt;&gt;""),"Ordered",IF(AND(E221=0,F221=0,D221="B3"),"B3 Option",IF(AND(E221=0,F221=0),"Remove","To Buy"))))))))))</f>
        <v/>
      </c>
      <c r="D221" t="inlineStr">
        <is>
          <t>B2</t>
        </is>
      </c>
      <c r="E221" s="3">
        <f>SUM(M221:S221)</f>
        <v/>
      </c>
      <c r="F221" s="3">
        <f>SUM(T221:Z221)</f>
        <v/>
      </c>
      <c r="G221" s="3">
        <f>IF((F221-E221)&gt;=0,F221-E221,0)</f>
        <v/>
      </c>
      <c r="H221" s="3">
        <f>MAX(0,$E221-$F221-$J221)</f>
        <v/>
      </c>
      <c r="I221" s="3" t="n"/>
      <c r="J221" s="3" t="n"/>
      <c r="K221" s="4" t="n">
        <v>0.3</v>
      </c>
      <c r="L221" s="4">
        <f>IF(AND($H221&gt;0,ISNUMBER($K221)),$H221*$K221,0)</f>
        <v/>
      </c>
      <c r="M221" s="3" t="n"/>
      <c r="N221" s="3" t="n"/>
      <c r="O221" s="3" t="n"/>
      <c r="P221" s="3" t="n"/>
      <c r="Q221" s="3" t="n"/>
      <c r="R221" s="3" t="n">
        <v>1</v>
      </c>
      <c r="S221" s="3">
        <f>IF(AND(J221&lt;&gt;"",SUM(M221:R221)=0),J221,"")</f>
        <v/>
      </c>
      <c r="T221" s="3" t="n"/>
      <c r="U221" s="3" t="n"/>
      <c r="V221" s="3" t="n"/>
      <c r="W221" s="3" t="n"/>
      <c r="X221" s="3" t="n"/>
      <c r="Y221" s="3" t="n">
        <v>1</v>
      </c>
      <c r="Z221" s="3" t="n"/>
      <c r="AA221" s="2" t="inlineStr">
        <is>
          <t>Instant</t>
        </is>
      </c>
      <c r="AB221" s="2" t="inlineStr">
        <is>
          <t>Lesson</t>
        </is>
      </c>
      <c r="AC221" s="2" t="inlineStr">
        <is>
          <t>R</t>
        </is>
      </c>
      <c r="AD221" s="3" t="n">
        <v>2</v>
      </c>
      <c r="AE221" s="29" t="inlineStr">
        <is>
          <t>Avatar: The Last Airbender</t>
        </is>
      </c>
      <c r="AF221" s="29" t="inlineStr">
        <is>
          <t>Removal</t>
        </is>
      </c>
      <c r="AG221" s="29" t="inlineStr">
        <is>
          <t>Deals 2 plus Lesson cards in graveyard damage to target creature</t>
        </is>
      </c>
      <c r="AH221" s="29" t="inlineStr">
        <is>
          <t>Exiles that creature instead of letting it die this turn</t>
        </is>
      </c>
      <c r="AI221" s="29" t="n"/>
      <c r="AJ221" s="2" t="n"/>
      <c r="AK221" t="inlineStr">
        <is>
          <t>[B3 later] D6-&gt;B when Jeska's Will is bought</t>
        </is>
      </c>
    </row>
    <row r="222" ht="15" customHeight="1" s="79">
      <c r="A222" s="2" t="inlineStr">
        <is>
          <t>Command Tower</t>
        </is>
      </c>
      <c r="B222" s="2">
        <f>IF(AND(F222&lt;&gt;0,E222=F222),"In Hand",IF(AND(E222&lt;&gt;0,E222&lt;F222,SUM(M222:R222)=0,SUM(T222:Y222)&gt;0),"Extra-Sub",IF(AND(E222=0,E222&lt;F222,SUM(M222:R222)=0,SUM(T222:Y222)&gt;0),"Bench-Sub",IF(AND(E222=0,F222&gt;0),"Bench",IF(E222&lt;F222,"Extra",IF(AND(J222="",E222&gt;F222),"To Buy",IF(SUM(J222,F222)&lt;E222,"To Buy",IF(AND(SUM(J222,F222)&gt;=E222,J222&lt;&gt;""),"Ordered",IF(AND(E222=0,F222=0,D222="B3"),"B3 Option",IF(AND(E222=0,F222=0),"Remove","To Buy"))))))))))</f>
        <v/>
      </c>
      <c r="D222" t="inlineStr">
        <is>
          <t>B2</t>
        </is>
      </c>
      <c r="E222" s="3">
        <f>SUM(M222:S222)</f>
        <v/>
      </c>
      <c r="F222" s="3">
        <f>SUM(T222:Z222)</f>
        <v/>
      </c>
      <c r="G222" s="3">
        <f>IF((F222-E222)&gt;=0,F222-E222,0)</f>
        <v/>
      </c>
      <c r="H222" s="3">
        <f>MAX(0,$E222-$F222-$J222)</f>
        <v/>
      </c>
      <c r="I222" s="3" t="n"/>
      <c r="J222" s="3" t="n"/>
      <c r="K222" s="4" t="n">
        <v>0.33</v>
      </c>
      <c r="L222" s="4">
        <f>IF(AND($H222&gt;0,ISNUMBER($K222)),$H222*$K222,0)</f>
        <v/>
      </c>
      <c r="M222" s="3" t="n">
        <v>1</v>
      </c>
      <c r="N222" s="3" t="n"/>
      <c r="O222" s="3" t="n"/>
      <c r="P222" s="3" t="n"/>
      <c r="Q222" s="3" t="n"/>
      <c r="R222" s="3" t="n"/>
      <c r="S222" s="3">
        <f>IF(AND(J222&lt;&gt;"",SUM(M222:R222)=0),J222,"")</f>
        <v/>
      </c>
      <c r="T222" s="3" t="n">
        <v>1</v>
      </c>
      <c r="U222" s="3" t="n"/>
      <c r="V222" s="3" t="n"/>
      <c r="W222" s="3" t="n"/>
      <c r="X222" s="3" t="n"/>
      <c r="Y222" s="3" t="n"/>
      <c r="Z222" s="3" t="n"/>
      <c r="AA222" s="2" t="inlineStr">
        <is>
          <t>Land</t>
        </is>
      </c>
      <c r="AB222" s="2" t="n"/>
      <c r="AC222" s="2" t="inlineStr">
        <is>
          <t>L</t>
        </is>
      </c>
      <c r="AD222" s="3" t="n">
        <v>0</v>
      </c>
      <c r="AE222" s="29" t="inlineStr">
        <is>
          <t>Commander 2011</t>
        </is>
      </c>
      <c r="AF222" s="29" t="inlineStr">
        <is>
          <t>Land</t>
        </is>
      </c>
      <c r="AG222" s="29" t="inlineStr">
        <is>
          <t>Taps for any color in your commander's color identity</t>
        </is>
      </c>
      <c r="AH222" s="29" t="n"/>
      <c r="AI222" s="29" t="n"/>
      <c r="AJ222" s="2" t="n"/>
    </row>
    <row r="223" ht="15" customHeight="1" s="79">
      <c r="A223" s="2" t="inlineStr">
        <is>
          <t>Conspiracy Theorist</t>
        </is>
      </c>
      <c r="B223" s="2">
        <f>IF(AND(F223&lt;&gt;0,E223=F223),"In Hand",IF(AND(E223&lt;&gt;0,E223&lt;F223,SUM(M223:R223)=0,SUM(T223:Y223)&gt;0),"Extra-Sub",IF(AND(E223=0,E223&lt;F223,SUM(M223:R223)=0,SUM(T223:Y223)&gt;0),"Bench-Sub",IF(AND(E223=0,F223&gt;0),"Bench",IF(E223&lt;F223,"Extra",IF(AND(J223="",E223&gt;F223),"To Buy",IF(SUM(J223,F223)&lt;E223,"To Buy",IF(AND(SUM(J223,F223)&gt;=E223,J223&lt;&gt;""),"Ordered",IF(AND(E223=0,F223=0,D223="B3"),"B3 Option",IF(AND(E223=0,F223=0),"Remove","To Buy"))))))))))</f>
        <v/>
      </c>
      <c r="D223" t="inlineStr">
        <is>
          <t>B2</t>
        </is>
      </c>
      <c r="E223" s="3">
        <f>SUM(M223:S223)</f>
        <v/>
      </c>
      <c r="F223" s="3">
        <f>SUM(T223:Z223)</f>
        <v/>
      </c>
      <c r="G223" s="3">
        <f>IF((F223-E223)&gt;=0,F223-E223,0)</f>
        <v/>
      </c>
      <c r="H223" s="3">
        <f>MAX(0,$E223-$F223-$J223)</f>
        <v/>
      </c>
      <c r="I223" s="3" t="n"/>
      <c r="J223" s="3" t="n"/>
      <c r="K223" s="4" t="n">
        <v>0.3</v>
      </c>
      <c r="L223" s="4">
        <f>IF(AND($H223&gt;0,ISNUMBER($K223)),$H223*$K223,0)</f>
        <v/>
      </c>
      <c r="M223" s="3" t="n">
        <v>1</v>
      </c>
      <c r="N223" s="3" t="n"/>
      <c r="O223" s="3" t="n"/>
      <c r="P223" s="3" t="n"/>
      <c r="Q223" s="3" t="n"/>
      <c r="R223" s="3" t="n"/>
      <c r="S223" s="3">
        <f>IF(AND(J223&lt;&gt;"",SUM(M223:R223)=0),J223,"")</f>
        <v/>
      </c>
      <c r="T223" s="3" t="n">
        <v>1</v>
      </c>
      <c r="U223" s="3" t="n"/>
      <c r="V223" s="3" t="n"/>
      <c r="W223" s="3" t="n"/>
      <c r="X223" s="3" t="n"/>
      <c r="Y223" s="3" t="n"/>
      <c r="Z223" s="3" t="n"/>
      <c r="AA223" s="2" t="inlineStr">
        <is>
          <t>Creature</t>
        </is>
      </c>
      <c r="AB223" s="2" t="inlineStr">
        <is>
          <t>Human Shaman</t>
        </is>
      </c>
      <c r="AC223" s="2" t="inlineStr">
        <is>
          <t>R</t>
        </is>
      </c>
      <c r="AD223" s="3" t="n">
        <v>2</v>
      </c>
      <c r="AE223" s="29" t="inlineStr">
        <is>
          <t>Strixhaven: School of Mages</t>
        </is>
      </c>
      <c r="AF223" s="29" t="inlineStr">
        <is>
          <t>Card Draw</t>
        </is>
      </c>
      <c r="AG223" s="29" t="inlineStr">
        <is>
          <t>Attacking lets you pay {1} and discard a card to draw a card</t>
        </is>
      </c>
      <c r="AH223" s="29" t="inlineStr">
        <is>
          <t>Discarding a nonland card lets you exile it and cast it this turn</t>
        </is>
      </c>
      <c r="AI223" s="29" t="n"/>
      <c r="AJ223" s="2" t="n"/>
    </row>
    <row r="224" ht="15" customHeight="1" s="79">
      <c r="A224" s="2" t="inlineStr">
        <is>
          <t>Containment Construct</t>
        </is>
      </c>
      <c r="B224" s="2">
        <f>IF(AND(F224&lt;&gt;0,E224=F224),"In Hand",IF(AND(E224&lt;&gt;0,E224&lt;F224,SUM(M224:R224)=0,SUM(T224:Y224)&gt;0),"Extra-Sub",IF(AND(E224=0,E224&lt;F224,SUM(M224:R224)=0,SUM(T224:Y224)&gt;0),"Bench-Sub",IF(AND(E224=0,F224&gt;0),"Bench",IF(E224&lt;F224,"Extra",IF(AND(J224="",E224&gt;F224),"To Buy",IF(SUM(J224,F224)&lt;E224,"To Buy",IF(AND(SUM(J224,F224)&gt;=E224,J224&lt;&gt;""),"Ordered",IF(AND(E224=0,F224=0,D224="B3"),"B3 Option",IF(AND(E224=0,F224=0),"Remove","To Buy"))))))))))</f>
        <v/>
      </c>
      <c r="D224" t="inlineStr">
        <is>
          <t>B2</t>
        </is>
      </c>
      <c r="E224" s="3">
        <f>SUM(M224:S224)</f>
        <v/>
      </c>
      <c r="F224" s="3">
        <f>SUM(T224:Z224)</f>
        <v/>
      </c>
      <c r="G224" s="3">
        <f>IF((F224-E224)&gt;=0,F224-E224,0)</f>
        <v/>
      </c>
      <c r="H224" s="3">
        <f>MAX(0,$E224-$F224-$J224)</f>
        <v/>
      </c>
      <c r="I224" s="3" t="n"/>
      <c r="J224" s="3" t="n"/>
      <c r="K224" s="4" t="n">
        <v>0.31</v>
      </c>
      <c r="L224" s="4">
        <f>IF(AND($H224&gt;0,ISNUMBER($K224)),$H224*$K224,0)</f>
        <v/>
      </c>
      <c r="M224" s="3" t="n">
        <v>1</v>
      </c>
      <c r="N224" s="3" t="n"/>
      <c r="O224" s="3" t="n"/>
      <c r="P224" s="3" t="n"/>
      <c r="Q224" s="3" t="n"/>
      <c r="R224" s="3" t="n"/>
      <c r="S224" s="3">
        <f>IF(AND(J224&lt;&gt;"",SUM(M224:R224)=0),J224,"")</f>
        <v/>
      </c>
      <c r="T224" s="3" t="n">
        <v>1</v>
      </c>
      <c r="U224" s="3" t="n"/>
      <c r="V224" s="3" t="n"/>
      <c r="W224" s="3" t="n"/>
      <c r="X224" s="3" t="n"/>
      <c r="Y224" s="3" t="n"/>
      <c r="Z224" s="3" t="n"/>
      <c r="AA224" s="2" t="inlineStr">
        <is>
          <t>Artifact Creature</t>
        </is>
      </c>
      <c r="AB224" s="2" t="inlineStr">
        <is>
          <t>Construct</t>
        </is>
      </c>
      <c r="AC224" s="2" t="inlineStr">
        <is>
          <t>C</t>
        </is>
      </c>
      <c r="AD224" s="3" t="n">
        <v>2</v>
      </c>
      <c r="AE224" s="29" t="inlineStr">
        <is>
          <t>Kamigawa: Neon Dynasty</t>
        </is>
      </c>
      <c r="AF224" s="29" t="inlineStr">
        <is>
          <t>Recursion</t>
        </is>
      </c>
      <c r="AG224" s="29" t="inlineStr">
        <is>
          <t>Discarding a card lets you exile it from graveyard and play it this turn</t>
        </is>
      </c>
      <c r="AH224" s="29" t="n"/>
      <c r="AI224" s="29" t="n"/>
      <c r="AJ224" s="2" t="n"/>
    </row>
    <row r="225" ht="15" customHeight="1" s="79">
      <c r="A225" s="2" t="inlineStr">
        <is>
          <t>Counterspell</t>
        </is>
      </c>
      <c r="B225" s="2">
        <f>IF(AND(F225&lt;&gt;0,E225=F225),"In Hand",IF(AND(E225&lt;&gt;0,E225&lt;F225,SUM(M225:R225)=0,SUM(T225:Y225)&gt;0),"Extra-Sub",IF(AND(E225=0,E225&lt;F225,SUM(M225:R225)=0,SUM(T225:Y225)&gt;0),"Bench-Sub",IF(AND(E225=0,F225&gt;0),"Bench",IF(E225&lt;F225,"Extra",IF(AND(J225="",E225&gt;F225),"To Buy",IF(SUM(J225,F225)&lt;E225,"To Buy",IF(AND(SUM(J225,F225)&gt;=E225,J225&lt;&gt;""),"Ordered",IF(AND(E225=0,F225=0,D225="B3"),"B3 Option",IF(AND(E225=0,F225=0),"Remove","To Buy"))))))))))</f>
        <v/>
      </c>
      <c r="D225" t="inlineStr">
        <is>
          <t>B2</t>
        </is>
      </c>
      <c r="E225" s="3">
        <f>SUM(M225:S225)</f>
        <v/>
      </c>
      <c r="F225" s="3">
        <f>SUM(T225:Z225)</f>
        <v/>
      </c>
      <c r="G225" s="3">
        <f>IF((F225-E225)&gt;=0,F225-E225,0)</f>
        <v/>
      </c>
      <c r="H225" s="3">
        <f>MAX(0,$E225-$F225-$J225)</f>
        <v/>
      </c>
      <c r="I225" s="3" t="n"/>
      <c r="J225" s="3" t="n"/>
      <c r="K225" s="4" t="n">
        <v>4</v>
      </c>
      <c r="L225" s="4">
        <f>IF(AND($H225&gt;0,ISNUMBER($K225)),$H225*$K225,0)</f>
        <v/>
      </c>
      <c r="M225" s="3" t="n"/>
      <c r="N225" s="3" t="n">
        <v>1</v>
      </c>
      <c r="O225" s="3" t="n"/>
      <c r="P225" s="3" t="n"/>
      <c r="Q225" s="3" t="n"/>
      <c r="R225" s="3" t="n"/>
      <c r="S225" s="3">
        <f>IF(AND(J225&lt;&gt;"",SUM(M225:R225)=0),J225,"")</f>
        <v/>
      </c>
      <c r="T225" s="3" t="n"/>
      <c r="U225" s="3" t="n">
        <v>1</v>
      </c>
      <c r="V225" s="3" t="n"/>
      <c r="W225" s="3" t="n"/>
      <c r="X225" s="3" t="n"/>
      <c r="Y225" s="3" t="n"/>
      <c r="Z225" s="3" t="n"/>
      <c r="AA225" s="2" t="inlineStr">
        <is>
          <t>Instant</t>
        </is>
      </c>
      <c r="AB225" s="2" t="n"/>
      <c r="AC225" s="2" t="inlineStr">
        <is>
          <t>U</t>
        </is>
      </c>
      <c r="AD225" s="3" t="n">
        <v>2</v>
      </c>
      <c r="AE225" s="29" t="inlineStr">
        <is>
          <t>Limited Edition Alpha</t>
        </is>
      </c>
      <c r="AF225" s="29" t="inlineStr">
        <is>
          <t>Interaction</t>
        </is>
      </c>
      <c r="AG225" s="29" t="inlineStr">
        <is>
          <t>Counters target spell</t>
        </is>
      </c>
      <c r="AH225" s="29" t="n"/>
      <c r="AI225" s="29" t="n"/>
      <c r="AJ225" s="2" t="n"/>
    </row>
    <row r="226" ht="15" customHeight="1" s="79">
      <c r="A226" s="2" t="inlineStr">
        <is>
          <t>Court Street Denizen</t>
        </is>
      </c>
      <c r="B226" s="2">
        <f>IF(AND(F226&lt;&gt;0,E226=F226),"In Hand",IF(AND(E226&lt;&gt;0,E226&lt;F226,SUM(M226:R226)=0,SUM(T226:Y226)&gt;0),"Extra-Sub",IF(AND(E226=0,E226&lt;F226,SUM(M226:R226)=0,SUM(T226:Y226)&gt;0),"Bench-Sub",IF(AND(E226=0,F226&gt;0),"Bench",IF(E226&lt;F226,"Extra",IF(AND(J226="",E226&gt;F226),"To Buy",IF(SUM(J226,F226)&lt;E226,"To Buy",IF(AND(SUM(J226,F226)&gt;=E226,J226&lt;&gt;""),"Ordered",IF(AND(E226=0,F226=0,D226="B3"),"B3 Option",IF(AND(E226=0,F226=0),"Remove","To Buy"))))))))))</f>
        <v/>
      </c>
      <c r="D226" t="inlineStr">
        <is>
          <t>B2</t>
        </is>
      </c>
      <c r="E226" s="3">
        <f>SUM(M226:S226)</f>
        <v/>
      </c>
      <c r="F226" s="3">
        <f>SUM(T226:Z226)</f>
        <v/>
      </c>
      <c r="G226" s="3">
        <f>IF((F226-E226)&gt;=0,F226-E226,0)</f>
        <v/>
      </c>
      <c r="H226" s="3">
        <f>MAX(0,$E226-$F226-$J226)</f>
        <v/>
      </c>
      <c r="I226" s="3" t="n"/>
      <c r="J226" s="3" t="n"/>
      <c r="K226" s="4" t="n">
        <v>0.21</v>
      </c>
      <c r="L226" s="4">
        <f>IF(AND($H226&gt;0,ISNUMBER($K226)),$H226*$K226,0)</f>
        <v/>
      </c>
      <c r="M226" s="3" t="n"/>
      <c r="N226" s="3" t="n"/>
      <c r="O226" s="3" t="n"/>
      <c r="P226" s="3" t="n"/>
      <c r="Q226" s="3" t="n">
        <v>1</v>
      </c>
      <c r="R226" s="3" t="n"/>
      <c r="S226" s="3">
        <f>IF(AND(J226&lt;&gt;"",SUM(M226:R226)=0),J226,"")</f>
        <v/>
      </c>
      <c r="T226" s="3" t="n"/>
      <c r="U226" s="3" t="n"/>
      <c r="V226" s="3" t="n"/>
      <c r="W226" s="3" t="n"/>
      <c r="X226" s="3" t="n">
        <v>1</v>
      </c>
      <c r="Y226" s="3" t="n"/>
      <c r="Z226" s="3" t="n"/>
      <c r="AA226" s="2" t="inlineStr">
        <is>
          <t>Creature</t>
        </is>
      </c>
      <c r="AB226" s="2" t="inlineStr">
        <is>
          <t>Human Soldier</t>
        </is>
      </c>
      <c r="AC226" s="2" t="inlineStr">
        <is>
          <t>W</t>
        </is>
      </c>
      <c r="AD226" s="3" t="n">
        <v>3</v>
      </c>
      <c r="AE226" s="29" t="inlineStr">
        <is>
          <t>Gatecrash</t>
        </is>
      </c>
      <c r="AF226" s="29" t="inlineStr">
        <is>
          <t>Utility Creature</t>
        </is>
      </c>
      <c r="AG226" s="29" t="inlineStr">
        <is>
          <t>Taps target creature an opponent controls whenever another white creature you control enters</t>
        </is>
      </c>
      <c r="AH226" s="29" t="n"/>
      <c r="AI226" s="29" t="n"/>
      <c r="AJ226" s="2" t="inlineStr">
        <is>
          <t>Received/settled (was in cart 2026-09-02: Game Theory Wake Forest $0.2 Near Mint)</t>
        </is>
      </c>
      <c r="AK226" t="inlineStr">
        <is>
          <t>[B3 later] D5-&gt;B when Elenda, the Dusk Rose is bought</t>
        </is>
      </c>
    </row>
    <row r="227" ht="15" customHeight="1" s="79">
      <c r="A227" s="2" t="inlineStr">
        <is>
          <t>Crashing Drawbridge</t>
        </is>
      </c>
      <c r="B227" s="2">
        <f>IF(AND(F227&lt;&gt;0,E227=F227),"In Hand",IF(AND(E227&lt;&gt;0,E227&lt;F227,SUM(M227:R227)=0,SUM(T227:Y227)&gt;0),"Extra-Sub",IF(AND(E227=0,E227&lt;F227,SUM(M227:R227)=0,SUM(T227:Y227)&gt;0),"Bench-Sub",IF(AND(E227=0,F227&gt;0),"Bench",IF(E227&lt;F227,"Extra",IF(AND(J227="",E227&gt;F227),"To Buy",IF(SUM(J227,F227)&lt;E227,"To Buy",IF(AND(SUM(J227,F227)&gt;=E227,J227&lt;&gt;""),"Ordered",IF(AND(E227=0,F227=0,D227="B3"),"B3 Option",IF(AND(E227=0,F227=0),"Remove","To Buy"))))))))))</f>
        <v/>
      </c>
      <c r="D227" t="inlineStr">
        <is>
          <t>B2</t>
        </is>
      </c>
      <c r="E227" s="3">
        <f>SUM(M227:S227)</f>
        <v/>
      </c>
      <c r="F227" s="3">
        <f>SUM(T227:Z227)</f>
        <v/>
      </c>
      <c r="G227" s="3">
        <f>IF((F227-E227)&gt;=0,F227-E227,0)</f>
        <v/>
      </c>
      <c r="H227" s="3">
        <f>MAX(0,$E227-$F227-$J227)</f>
        <v/>
      </c>
      <c r="I227" s="3" t="n"/>
      <c r="J227" s="3" t="n"/>
      <c r="K227" s="4" t="n">
        <v>0.75</v>
      </c>
      <c r="L227" s="4">
        <f>IF(AND($H227&gt;0,ISNUMBER($K227)),$H227*$K227,0)</f>
        <v/>
      </c>
      <c r="M227" s="3" t="n"/>
      <c r="N227" s="3" t="n"/>
      <c r="O227" s="3" t="n"/>
      <c r="P227" s="3" t="n">
        <v>1</v>
      </c>
      <c r="Q227" s="3" t="n"/>
      <c r="R227" s="3" t="n"/>
      <c r="S227" s="3">
        <f>IF(AND(J227&lt;&gt;"",SUM(M227:R227)=0),J227,"")</f>
        <v/>
      </c>
      <c r="T227" s="3" t="n"/>
      <c r="U227" s="3" t="n"/>
      <c r="V227" s="3" t="n"/>
      <c r="W227" s="3" t="n">
        <v>1</v>
      </c>
      <c r="X227" s="3" t="n"/>
      <c r="Y227" s="3" t="n"/>
      <c r="Z227" s="3" t="n"/>
      <c r="AA227" s="2" t="inlineStr">
        <is>
          <t>Artifact Creature</t>
        </is>
      </c>
      <c r="AB227" s="2" t="inlineStr">
        <is>
          <t>Wall</t>
        </is>
      </c>
      <c r="AC227" s="2" t="inlineStr">
        <is>
          <t>C</t>
        </is>
      </c>
      <c r="AD227" s="3" t="n">
        <v>2</v>
      </c>
      <c r="AE227" s="29" t="inlineStr">
        <is>
          <t>Throne of Eldraine</t>
        </is>
      </c>
      <c r="AF227" s="29" t="inlineStr">
        <is>
          <t>Haste Enabler</t>
        </is>
      </c>
      <c r="AG227" s="29" t="inlineStr">
        <is>
          <t>Tap to give your creatures haste until end of turn</t>
        </is>
      </c>
      <c r="AH227" s="29" t="n"/>
      <c r="AI227" s="29" t="n"/>
      <c r="AJ227" s="2" t="n"/>
      <c r="AK227" t="inlineStr">
        <is>
          <t>[B3 later] D4-&gt;B when Guardian Project is bought</t>
        </is>
      </c>
    </row>
    <row r="228" ht="15" customHeight="1" s="79">
      <c r="A228" s="2" t="inlineStr">
        <is>
          <t>Dawn-Blessed Pennant</t>
        </is>
      </c>
      <c r="B228" s="2">
        <f>IF(AND(F228&lt;&gt;0,E228=F228),"In Hand",IF(AND(E228&lt;&gt;0,E228&lt;F228,SUM(M228:R228)=0,SUM(T228:Y228)&gt;0),"Extra-Sub",IF(AND(E228=0,E228&lt;F228,SUM(M228:R228)=0,SUM(T228:Y228)&gt;0),"Bench-Sub",IF(AND(E228=0,F228&gt;0),"Bench",IF(E228&lt;F228,"Extra",IF(AND(J228="",E228&gt;F228),"To Buy",IF(SUM(J228,F228)&lt;E228,"To Buy",IF(AND(SUM(J228,F228)&gt;=E228,J228&lt;&gt;""),"Ordered",IF(AND(E228=0,F228=0,D228="B3"),"B3 Option",IF(AND(E228=0,F228=0),"Remove","To Buy"))))))))))</f>
        <v/>
      </c>
      <c r="D228" t="inlineStr">
        <is>
          <t>B2</t>
        </is>
      </c>
      <c r="E228" s="3">
        <f>SUM(M228:S228)</f>
        <v/>
      </c>
      <c r="F228" s="3">
        <f>SUM(T228:Z228)</f>
        <v/>
      </c>
      <c r="G228" s="3">
        <f>IF((F228-E228)&gt;=0,F228-E228,0)</f>
        <v/>
      </c>
      <c r="H228" s="3">
        <f>MAX(0,$E228-$F228-$J228)</f>
        <v/>
      </c>
      <c r="I228" s="3" t="n"/>
      <c r="J228" s="3" t="n"/>
      <c r="K228" s="4" t="n">
        <v>0.33</v>
      </c>
      <c r="L228" s="4">
        <f>IF(AND($H228&gt;0,ISNUMBER($K228)),$H228*$K228,0)</f>
        <v/>
      </c>
      <c r="M228" s="3" t="n"/>
      <c r="N228" s="3" t="n"/>
      <c r="O228" s="3" t="n"/>
      <c r="P228" s="3" t="n"/>
      <c r="Q228" s="3" t="n">
        <v>1</v>
      </c>
      <c r="R228" s="3" t="n"/>
      <c r="S228" s="3">
        <f>IF(AND(J228&lt;&gt;"",SUM(M228:R228)=0),J228,"")</f>
        <v/>
      </c>
      <c r="T228" s="3" t="n"/>
      <c r="U228" s="3" t="n"/>
      <c r="V228" s="3" t="n"/>
      <c r="W228" s="3" t="n"/>
      <c r="X228" s="3" t="n">
        <v>1</v>
      </c>
      <c r="Y228" s="3" t="n"/>
      <c r="Z228" s="3" t="n"/>
      <c r="AA228" s="2" t="inlineStr">
        <is>
          <t>Artifact</t>
        </is>
      </c>
      <c r="AB228" s="2" t="n"/>
      <c r="AC228" s="2" t="inlineStr">
        <is>
          <t>C</t>
        </is>
      </c>
      <c r="AD228" s="3" t="n">
        <v>1</v>
      </c>
      <c r="AE228" s="29" t="inlineStr">
        <is>
          <t>Lorwyn Eclipsed</t>
        </is>
      </c>
      <c r="AF228" s="29" t="inlineStr">
        <is>
          <t>Lifegain</t>
        </is>
      </c>
      <c r="AG228" s="29" t="inlineStr">
        <is>
          <t>Gain 1 life whenever a permanent of the chosen type enters</t>
        </is>
      </c>
      <c r="AH228" s="29" t="inlineStr">
        <is>
          <t>Sacrifice and pay {2} to return a card of the chosen type from graveyard to hand</t>
        </is>
      </c>
      <c r="AI228" s="29" t="n"/>
      <c r="AJ228" s="2" t="n"/>
      <c r="AK228" t="inlineStr">
        <is>
          <t>[B3 later] D5-&gt;B when Ashnod's Altar is bought</t>
        </is>
      </c>
    </row>
    <row r="229" ht="15" customHeight="1" s="79">
      <c r="A229" s="2" t="inlineStr">
        <is>
          <t>Day of Black Sun</t>
        </is>
      </c>
      <c r="B229" s="2">
        <f>IF(AND(F229&lt;&gt;0,E229=F229),"In Hand",IF(AND(E229&lt;&gt;0,E229&lt;F229,SUM(M229:R229)=0,SUM(T229:Y229)&gt;0),"Extra-Sub",IF(AND(E229=0,E229&lt;F229,SUM(M229:R229)=0,SUM(T229:Y229)&gt;0),"Bench-Sub",IF(AND(E229=0,F229&gt;0),"Bench",IF(E229&lt;F229,"Extra",IF(AND(J229="",E229&gt;F229),"To Buy",IF(SUM(J229,F229)&lt;E229,"To Buy",IF(AND(SUM(J229,F229)&gt;=E229,J229&lt;&gt;""),"Ordered",IF(AND(E229=0,F229=0,D229="B3"),"B3 Option",IF(AND(E229=0,F229=0),"Remove","To Buy"))))))))))</f>
        <v/>
      </c>
      <c r="D229" t="inlineStr">
        <is>
          <t>B2</t>
        </is>
      </c>
      <c r="E229" s="3">
        <f>SUM(M229:S229)</f>
        <v/>
      </c>
      <c r="F229" s="3">
        <f>SUM(T229:Z229)</f>
        <v/>
      </c>
      <c r="G229" s="3">
        <f>IF((F229-E229)&gt;=0,F229-E229,0)</f>
        <v/>
      </c>
      <c r="H229" s="3">
        <f>MAX(0,$E229-$F229-$J229)</f>
        <v/>
      </c>
      <c r="I229" s="3" t="n"/>
      <c r="J229" s="3" t="n"/>
      <c r="K229" s="4" t="n">
        <v>1.03</v>
      </c>
      <c r="L229" s="4">
        <f>IF(AND($H229&gt;0,ISNUMBER($K229)),$H229*$K229,0)</f>
        <v/>
      </c>
      <c r="M229" s="3" t="n"/>
      <c r="N229" s="3" t="n"/>
      <c r="O229" s="3" t="n">
        <v>1</v>
      </c>
      <c r="P229" s="3" t="n"/>
      <c r="Q229" s="3" t="n"/>
      <c r="R229" s="3" t="n"/>
      <c r="S229" s="3">
        <f>IF(AND(J229&lt;&gt;"",SUM(M229:R229)=0),J229,"")</f>
        <v/>
      </c>
      <c r="T229" s="3" t="n"/>
      <c r="U229" s="3" t="n"/>
      <c r="V229" s="3" t="n">
        <v>1</v>
      </c>
      <c r="W229" s="3" t="n"/>
      <c r="X229" s="3" t="n"/>
      <c r="Y229" s="3" t="n"/>
      <c r="Z229" s="3" t="n"/>
      <c r="AA229" s="2" t="inlineStr">
        <is>
          <t>Sorcery</t>
        </is>
      </c>
      <c r="AB229" s="2" t="n"/>
      <c r="AC229" s="2" t="inlineStr">
        <is>
          <t>B</t>
        </is>
      </c>
      <c r="AD229" s="3" t="n">
        <v>2</v>
      </c>
      <c r="AE229" s="29" t="inlineStr">
        <is>
          <t>Avatar: The Last Airbender</t>
        </is>
      </c>
      <c r="AF229" s="29" t="inlineStr">
        <is>
          <t>Board Wipe</t>
        </is>
      </c>
      <c r="AG229" s="29" t="inlineStr">
        <is>
          <t>Creatures with mana value X or less lose all abilities and are destroyed</t>
        </is>
      </c>
      <c r="AH229" s="29" t="n"/>
      <c r="AI229" s="29" t="n"/>
      <c r="AJ229" s="2" t="n"/>
    </row>
    <row r="230" ht="15" customHeight="1" s="79">
      <c r="A230" s="2" t="inlineStr">
        <is>
          <t>Deputy of Detention</t>
        </is>
      </c>
      <c r="B230" s="2">
        <f>IF(AND(F230&lt;&gt;0,E230=F230),"In Hand",IF(AND(E230&lt;&gt;0,E230&lt;F230,SUM(M230:R230)=0,SUM(T230:Y230)&gt;0),"Extra-Sub",IF(AND(E230=0,E230&lt;F230,SUM(M230:R230)=0,SUM(T230:Y230)&gt;0),"Bench-Sub",IF(AND(E230=0,F230&gt;0),"Bench",IF(E230&lt;F230,"Extra",IF(AND(J230="",E230&gt;F230),"To Buy",IF(SUM(J230,F230)&lt;E230,"To Buy",IF(AND(SUM(J230,F230)&gt;=E230,J230&lt;&gt;""),"Ordered",IF(AND(E230=0,F230=0,D230="B3"),"B3 Option",IF(AND(E230=0,F230=0),"Remove","To Buy"))))))))))</f>
        <v/>
      </c>
      <c r="D230" t="inlineStr">
        <is>
          <t>B2</t>
        </is>
      </c>
      <c r="E230" s="3">
        <f>SUM(M230:S230)</f>
        <v/>
      </c>
      <c r="F230" s="3">
        <f>SUM(T230:Z230)</f>
        <v/>
      </c>
      <c r="G230" s="3">
        <f>IF((F230-E230)&gt;=0,F230-E230,0)</f>
        <v/>
      </c>
      <c r="H230" s="3">
        <f>MAX(0,$E230-$F230-$J230)</f>
        <v/>
      </c>
      <c r="I230" s="3" t="n"/>
      <c r="J230" s="3" t="n"/>
      <c r="K230" s="4" t="n">
        <v>0.36</v>
      </c>
      <c r="L230" s="4">
        <f>IF(AND($H230&gt;0,ISNUMBER($K230)),$H230*$K230,0)</f>
        <v/>
      </c>
      <c r="M230" s="3" t="n"/>
      <c r="N230" s="3" t="n">
        <v>1</v>
      </c>
      <c r="O230" s="3" t="n"/>
      <c r="P230" s="3" t="n"/>
      <c r="Q230" s="3" t="n"/>
      <c r="R230" s="3" t="n"/>
      <c r="S230" s="3">
        <f>IF(AND(J230&lt;&gt;"",SUM(M230:R230)=0),J230,"")</f>
        <v/>
      </c>
      <c r="T230" s="3" t="n"/>
      <c r="U230" s="3" t="n">
        <v>1</v>
      </c>
      <c r="V230" s="3" t="n"/>
      <c r="W230" s="3" t="n"/>
      <c r="X230" s="3" t="n"/>
      <c r="Y230" s="3" t="n"/>
      <c r="Z230" s="3" t="n"/>
      <c r="AA230" s="2" t="inlineStr">
        <is>
          <t>Creature</t>
        </is>
      </c>
      <c r="AB230" s="2" t="inlineStr">
        <is>
          <t>Vedalken Wizard</t>
        </is>
      </c>
      <c r="AC230" s="2" t="inlineStr">
        <is>
          <t>Multi</t>
        </is>
      </c>
      <c r="AD230" s="3" t="n">
        <v>3</v>
      </c>
      <c r="AE230" s="29" t="inlineStr">
        <is>
          <t>Ravnica Allegiance</t>
        </is>
      </c>
      <c r="AF230" s="29" t="inlineStr">
        <is>
          <t>Removal</t>
        </is>
      </c>
      <c r="AG230" s="29" t="inlineStr">
        <is>
          <t>Exiles target nonland permanent and same-named copies its controller has until this leaves</t>
        </is>
      </c>
      <c r="AH230" s="29" t="n"/>
      <c r="AI230" s="29" t="n"/>
      <c r="AJ230" s="2" t="inlineStr">
        <is>
          <t>Received/settled (was in cart 2026-09-02: Game Theory Wake Forest $0.4 Near Mint)</t>
        </is>
      </c>
    </row>
    <row r="231" ht="15" customHeight="1" s="79">
      <c r="A231" s="2" t="inlineStr">
        <is>
          <t>Disenchant</t>
        </is>
      </c>
      <c r="B231" s="2">
        <f>IF(AND(F231&lt;&gt;0,E231=F231),"In Hand",IF(AND(E231&lt;&gt;0,E231&lt;F231,SUM(M231:R231)=0,SUM(T231:Y231)&gt;0),"Extra-Sub",IF(AND(E231=0,E231&lt;F231,SUM(M231:R231)=0,SUM(T231:Y231)&gt;0),"Bench-Sub",IF(AND(E231=0,F231&gt;0),"Bench",IF(E231&lt;F231,"Extra",IF(AND(J231="",E231&gt;F231),"To Buy",IF(SUM(J231,F231)&lt;E231,"To Buy",IF(AND(SUM(J231,F231)&gt;=E231,J231&lt;&gt;""),"Ordered",IF(AND(E231=0,F231=0,D231="B3"),"B3 Option",IF(AND(E231=0,F231=0),"Remove","To Buy"))))))))))</f>
        <v/>
      </c>
      <c r="D231" t="inlineStr">
        <is>
          <t>B2</t>
        </is>
      </c>
      <c r="E231" s="3">
        <f>SUM(M231:S231)</f>
        <v/>
      </c>
      <c r="F231" s="3">
        <f>SUM(T231:Z231)</f>
        <v/>
      </c>
      <c r="G231" s="3">
        <f>IF((F231-E231)&gt;=0,F231-E231,0)</f>
        <v/>
      </c>
      <c r="H231" s="3">
        <f>MAX(0,$E231-$F231-$J231)</f>
        <v/>
      </c>
      <c r="I231" s="3" t="n"/>
      <c r="J231" s="3" t="n"/>
      <c r="K231" s="4" t="n">
        <v>0.1</v>
      </c>
      <c r="L231" s="4">
        <f>IF(AND($H231&gt;0,ISNUMBER($K231)),$H231*$K231,0)</f>
        <v/>
      </c>
      <c r="M231" s="3" t="n"/>
      <c r="N231" s="3" t="n"/>
      <c r="O231" s="3" t="n"/>
      <c r="P231" s="3" t="n"/>
      <c r="Q231" s="3" t="n">
        <v>1</v>
      </c>
      <c r="R231" s="3" t="n"/>
      <c r="S231" s="3">
        <f>IF(AND(J231&lt;&gt;"",SUM(M231:R231)=0),J231,"")</f>
        <v/>
      </c>
      <c r="T231" s="3" t="n"/>
      <c r="U231" s="3" t="n"/>
      <c r="V231" s="3" t="n"/>
      <c r="W231" s="3" t="n"/>
      <c r="X231" s="3" t="n">
        <v>1</v>
      </c>
      <c r="Y231" s="3" t="n"/>
      <c r="Z231" s="3" t="n"/>
      <c r="AA231" s="2" t="inlineStr">
        <is>
          <t>Instant</t>
        </is>
      </c>
      <c r="AB231" s="2" t="n"/>
      <c r="AC231" s="2" t="inlineStr">
        <is>
          <t>W</t>
        </is>
      </c>
      <c r="AD231" s="3" t="n">
        <v>2</v>
      </c>
      <c r="AE231" s="29" t="inlineStr">
        <is>
          <t>Limited Edition Alpha</t>
        </is>
      </c>
      <c r="AF231" s="29" t="inlineStr">
        <is>
          <t>Artifact/Enchantment Removal</t>
        </is>
      </c>
      <c r="AG231" s="29" t="inlineStr">
        <is>
          <t>Destroys target artifact or enchantment</t>
        </is>
      </c>
      <c r="AH231" s="29" t="n"/>
      <c r="AI231" s="29" t="n"/>
      <c r="AJ231" s="2" t="n"/>
    </row>
    <row r="232" ht="15" customHeight="1" s="79">
      <c r="A232" s="2" t="inlineStr">
        <is>
          <t>Dragon Fodder</t>
        </is>
      </c>
      <c r="B232" s="2">
        <f>IF(AND(F232&lt;&gt;0,E232=F232),"In Hand",IF(AND(E232&lt;&gt;0,E232&lt;F232,SUM(M232:R232)=0,SUM(T232:Y232)&gt;0),"Extra-Sub",IF(AND(E232=0,E232&lt;F232,SUM(M232:R232)=0,SUM(T232:Y232)&gt;0),"Bench-Sub",IF(AND(E232=0,F232&gt;0),"Bench",IF(E232&lt;F232,"Extra",IF(AND(J232="",E232&gt;F232),"To Buy",IF(SUM(J232,F232)&lt;E232,"To Buy",IF(AND(SUM(J232,F232)&gt;=E232,J232&lt;&gt;""),"Ordered",IF(AND(E232=0,F232=0,D232="B3"),"B3 Option",IF(AND(E232=0,F232=0),"Remove","To Buy"))))))))))</f>
        <v/>
      </c>
      <c r="D232" t="inlineStr">
        <is>
          <t>B2</t>
        </is>
      </c>
      <c r="E232" s="3">
        <f>SUM(M232:S232)</f>
        <v/>
      </c>
      <c r="F232" s="3">
        <f>SUM(T232:Z232)</f>
        <v/>
      </c>
      <c r="G232" s="3">
        <f>IF((F232-E232)&gt;=0,F232-E232,0)</f>
        <v/>
      </c>
      <c r="H232" s="3">
        <f>MAX(0,$E232-$F232-$J232)</f>
        <v/>
      </c>
      <c r="I232" s="3" t="n"/>
      <c r="J232" s="3" t="n"/>
      <c r="K232" s="4" t="n">
        <v>0.1</v>
      </c>
      <c r="L232" s="4">
        <f>IF(AND($H232&gt;0,ISNUMBER($K232)),$H232*$K232,0)</f>
        <v/>
      </c>
      <c r="M232" s="3" t="n"/>
      <c r="N232" s="3" t="n"/>
      <c r="O232" s="3" t="n"/>
      <c r="P232" s="3" t="n"/>
      <c r="Q232" s="3" t="n"/>
      <c r="R232" s="3" t="n">
        <v>1</v>
      </c>
      <c r="S232" s="3">
        <f>IF(AND(J232&lt;&gt;"",SUM(M232:R232)=0),J232,"")</f>
        <v/>
      </c>
      <c r="T232" s="3" t="n"/>
      <c r="U232" s="3" t="n"/>
      <c r="V232" s="3" t="n"/>
      <c r="W232" s="3" t="n"/>
      <c r="X232" s="3" t="n"/>
      <c r="Y232" s="3" t="n">
        <v>1</v>
      </c>
      <c r="Z232" s="3" t="n"/>
      <c r="AA232" s="2" t="inlineStr">
        <is>
          <t>Sorcery</t>
        </is>
      </c>
      <c r="AB232" s="2" t="n"/>
      <c r="AC232" s="2" t="inlineStr">
        <is>
          <t>R</t>
        </is>
      </c>
      <c r="AD232" s="3" t="n">
        <v>2</v>
      </c>
      <c r="AE232" s="29" t="inlineStr">
        <is>
          <t>Shards of Alara</t>
        </is>
      </c>
      <c r="AF232" s="29" t="inlineStr">
        <is>
          <t>Token Producer</t>
        </is>
      </c>
      <c r="AG232" s="29" t="inlineStr">
        <is>
          <t>Creates two 1/1 Goblin tokens</t>
        </is>
      </c>
      <c r="AH232" s="29" t="n"/>
      <c r="AI232" s="29" t="n"/>
      <c r="AJ232" s="2" t="inlineStr">
        <is>
          <t>Received/settled (was in cart 2026-09-02: Game Theory Wake Forest $0.2 Near Mint)</t>
        </is>
      </c>
    </row>
    <row r="233" ht="15" customHeight="1" s="79">
      <c r="A233" s="2" t="inlineStr">
        <is>
          <t>Dragonlord Dromoka</t>
        </is>
      </c>
      <c r="B233" s="2">
        <f>IF(AND(F233&lt;&gt;0,E233=F233),"In Hand",IF(AND(E233&lt;&gt;0,E233&lt;F233,SUM(M233:R233)=0,SUM(T233:Y233)&gt;0),"Extra-Sub",IF(AND(E233=0,E233&lt;F233,SUM(M233:R233)=0,SUM(T233:Y233)&gt;0),"Bench-Sub",IF(AND(E233=0,F233&gt;0),"Bench",IF(E233&lt;F233,"Extra",IF(AND(J233="",E233&gt;F233),"To Buy",IF(SUM(J233,F233)&lt;E233,"To Buy",IF(AND(SUM(J233,F233)&gt;=E233,J233&lt;&gt;""),"Ordered",IF(AND(E233=0,F233=0,D233="B3"),"B3 Option",IF(AND(E233=0,F233=0),"Remove","To Buy"))))))))))</f>
        <v/>
      </c>
      <c r="D233" t="inlineStr">
        <is>
          <t>B2</t>
        </is>
      </c>
      <c r="E233" s="3">
        <f>SUM(M233:S233)</f>
        <v/>
      </c>
      <c r="F233" s="3">
        <f>SUM(T233:Z233)</f>
        <v/>
      </c>
      <c r="G233" s="3">
        <f>IF((F233-E233)&gt;=0,F233-E233,0)</f>
        <v/>
      </c>
      <c r="H233" s="3">
        <f>MAX(0,$E233-$F233-$J233)</f>
        <v/>
      </c>
      <c r="I233" s="3" t="n"/>
      <c r="J233" s="3" t="n"/>
      <c r="K233" s="4" t="n">
        <v>1.79</v>
      </c>
      <c r="L233" s="4">
        <f>IF(AND($H233&gt;0,ISNUMBER($K233)),$H233*$K233,0)</f>
        <v/>
      </c>
      <c r="M233" s="3" t="n"/>
      <c r="N233" s="3" t="n"/>
      <c r="O233" s="3" t="n"/>
      <c r="P233" s="3" t="n">
        <v>1</v>
      </c>
      <c r="Q233" s="3" t="n"/>
      <c r="R233" s="3" t="n"/>
      <c r="S233" s="3">
        <f>IF(AND(J233&lt;&gt;"",SUM(M233:R233)=0),J233,"")</f>
        <v/>
      </c>
      <c r="T233" s="3" t="n"/>
      <c r="U233" s="3" t="n"/>
      <c r="V233" s="3" t="n"/>
      <c r="W233" s="3" t="n">
        <v>1</v>
      </c>
      <c r="X233" s="3" t="n"/>
      <c r="Y233" s="3" t="n"/>
      <c r="Z233" s="3" t="n"/>
      <c r="AA233" s="2" t="inlineStr">
        <is>
          <t>Legendary Creature</t>
        </is>
      </c>
      <c r="AB233" s="2" t="inlineStr">
        <is>
          <t>Elder Dragon</t>
        </is>
      </c>
      <c r="AC233" s="2" t="inlineStr">
        <is>
          <t>Multi</t>
        </is>
      </c>
      <c r="AD233" s="3" t="n">
        <v>6</v>
      </c>
      <c r="AE233" s="29" t="inlineStr">
        <is>
          <t>Dragons of Tarkir</t>
        </is>
      </c>
      <c r="AF233" s="29" t="inlineStr">
        <is>
          <t>Finisher</t>
        </is>
      </c>
      <c r="AG233" s="29" t="inlineStr">
        <is>
          <t>Opponents can't cast spells during your turn</t>
        </is>
      </c>
      <c r="AH233" s="29" t="inlineStr">
        <is>
          <t>This spell can't be countered</t>
        </is>
      </c>
      <c r="AI233" s="29" t="inlineStr">
        <is>
          <t>Flying lifelink body</t>
        </is>
      </c>
      <c r="AJ233" s="2" t="n"/>
    </row>
    <row r="234" ht="15" customHeight="1" s="79">
      <c r="A234" s="2" t="inlineStr">
        <is>
          <t>Drogskol Shieldmate</t>
        </is>
      </c>
      <c r="B234" s="2">
        <f>IF(AND(F234&lt;&gt;0,E234=F234),"In Hand",IF(AND(E234&lt;&gt;0,E234&lt;F234,SUM(M234:R234)=0,SUM(T234:Y234)&gt;0),"Extra-Sub",IF(AND(E234=0,E234&lt;F234,SUM(M234:R234)=0,SUM(T234:Y234)&gt;0),"Bench-Sub",IF(AND(E234=0,F234&gt;0),"Bench",IF(E234&lt;F234,"Extra",IF(AND(J234="",E234&gt;F234),"To Buy",IF(SUM(J234,F234)&lt;E234,"To Buy",IF(AND(SUM(J234,F234)&gt;=E234,J234&lt;&gt;""),"Ordered",IF(AND(E234=0,F234=0,D234="B3"),"B3 Option",IF(AND(E234=0,F234=0),"Remove","To Buy"))))))))))</f>
        <v/>
      </c>
      <c r="D234" t="inlineStr">
        <is>
          <t>B2</t>
        </is>
      </c>
      <c r="E234" s="3">
        <f>SUM(M234:S234)</f>
        <v/>
      </c>
      <c r="F234" s="3">
        <f>SUM(T234:Z234)</f>
        <v/>
      </c>
      <c r="G234" s="3">
        <f>IF((F234-E234)&gt;=0,F234-E234,0)</f>
        <v/>
      </c>
      <c r="H234" s="3">
        <f>MAX(0,$E234-$F234-$J234)</f>
        <v/>
      </c>
      <c r="I234" s="3" t="n"/>
      <c r="J234" s="3" t="n"/>
      <c r="K234" s="4" t="n">
        <v>0.1</v>
      </c>
      <c r="L234" s="4">
        <f>IF(AND($H234&gt;0,ISNUMBER($K234)),$H234*$K234,0)</f>
        <v/>
      </c>
      <c r="M234" s="3" t="n"/>
      <c r="N234" s="3" t="n">
        <v>1</v>
      </c>
      <c r="O234" s="3" t="n"/>
      <c r="P234" s="3" t="n"/>
      <c r="Q234" s="3" t="n"/>
      <c r="R234" s="3" t="n"/>
      <c r="S234" s="3">
        <f>IF(AND(J234&lt;&gt;"",SUM(M234:R234)=0),J234,"")</f>
        <v/>
      </c>
      <c r="T234" s="3" t="n"/>
      <c r="U234" s="3" t="n">
        <v>1</v>
      </c>
      <c r="V234" s="3" t="n"/>
      <c r="W234" s="3" t="n"/>
      <c r="X234" s="3" t="n"/>
      <c r="Y234" s="3" t="n"/>
      <c r="Z234" s="3" t="n"/>
      <c r="AA234" s="2" t="inlineStr">
        <is>
          <t>Creature</t>
        </is>
      </c>
      <c r="AB234" s="2" t="inlineStr">
        <is>
          <t>Spirit Soldier</t>
        </is>
      </c>
      <c r="AC234" s="2" t="inlineStr">
        <is>
          <t>W</t>
        </is>
      </c>
      <c r="AD234" s="3" t="n">
        <v>3</v>
      </c>
      <c r="AE234" s="29" t="inlineStr">
        <is>
          <t>Eldritch Moon</t>
        </is>
      </c>
      <c r="AF234" s="29" t="inlineStr">
        <is>
          <t>Combat Trick</t>
        </is>
      </c>
      <c r="AG234" s="29" t="inlineStr">
        <is>
          <t>Gives other creatures you control +0/+1 until end of turn when it enters</t>
        </is>
      </c>
      <c r="AH234" s="29" t="inlineStr">
        <is>
          <t>Flash creature</t>
        </is>
      </c>
      <c r="AI234" s="29" t="n"/>
      <c r="AJ234" s="2" t="n"/>
    </row>
    <row r="235" ht="15" customHeight="1" s="79">
      <c r="A235" s="2" t="inlineStr">
        <is>
          <t>Drowned Catacomb</t>
        </is>
      </c>
      <c r="B235" s="2">
        <f>IF(AND(F235&lt;&gt;0,E235=F235),"In Hand",IF(AND(E235&lt;&gt;0,E235&lt;F235,SUM(M235:R235)=0,SUM(T235:Y235)&gt;0),"Extra-Sub",IF(AND(E235=0,E235&lt;F235,SUM(M235:R235)=0,SUM(T235:Y235)&gt;0),"Bench-Sub",IF(AND(E235=0,F235&gt;0),"Bench",IF(E235&lt;F235,"Extra",IF(AND(J235="",E235&gt;F235),"To Buy",IF(SUM(J235,F235)&lt;E235,"To Buy",IF(AND(SUM(J235,F235)&gt;=E235,J235&lt;&gt;""),"Ordered",IF(AND(E235=0,F235=0,D235="B3"),"B3 Option",IF(AND(E235=0,F235=0),"Remove","To Buy"))))))))))</f>
        <v/>
      </c>
      <c r="D235" t="inlineStr">
        <is>
          <t>B2</t>
        </is>
      </c>
      <c r="E235" s="3">
        <f>SUM(M235:S235)</f>
        <v/>
      </c>
      <c r="F235" s="3">
        <f>SUM(T235:Z235)</f>
        <v/>
      </c>
      <c r="G235" s="3">
        <f>IF((F235-E235)&gt;=0,F235-E235,0)</f>
        <v/>
      </c>
      <c r="H235" s="3">
        <f>MAX(0,$E235-$F235-$J235)</f>
        <v/>
      </c>
      <c r="I235" s="3" t="n"/>
      <c r="J235" s="3" t="n"/>
      <c r="K235" s="4" t="n"/>
      <c r="L235" s="4">
        <f>IF(AND($H235&gt;0,ISNUMBER($K235)),$H235*$K235,0)</f>
        <v/>
      </c>
      <c r="M235" s="3" t="n"/>
      <c r="N235" s="3" t="n"/>
      <c r="O235" s="3" t="n">
        <v>1</v>
      </c>
      <c r="P235" s="3" t="n"/>
      <c r="Q235" s="3" t="n"/>
      <c r="R235" s="3" t="n"/>
      <c r="S235" s="3">
        <f>IF(AND(J235&lt;&gt;"",SUM(M235:R235)=0),J235,"")</f>
        <v/>
      </c>
      <c r="T235" s="3" t="n"/>
      <c r="U235" s="3" t="n"/>
      <c r="V235" s="3" t="n">
        <v>1</v>
      </c>
      <c r="W235" s="3" t="n"/>
      <c r="X235" s="3" t="n"/>
      <c r="Y235" s="3" t="n"/>
      <c r="Z235" s="3" t="n"/>
      <c r="AA235" s="19" t="inlineStr">
        <is>
          <t>Land</t>
        </is>
      </c>
      <c r="AB235" s="19" t="n"/>
      <c r="AC235" s="19" t="inlineStr">
        <is>
          <t>L</t>
        </is>
      </c>
      <c r="AD235" s="3" t="n">
        <v>0</v>
      </c>
      <c r="AE235" s="29" t="inlineStr">
        <is>
          <t>Magic 2010</t>
        </is>
      </c>
      <c r="AF235" s="29" t="inlineStr">
        <is>
          <t>Land</t>
        </is>
      </c>
      <c r="AG235" s="29" t="inlineStr">
        <is>
          <t>Taps for {U} or {B}</t>
        </is>
      </c>
      <c r="AH235" s="29" t="inlineStr">
        <is>
          <t>Enters tapped unless you control an Island or Swamp</t>
        </is>
      </c>
      <c r="AI235" s="29" t="n"/>
      <c r="AJ235" s="2" t="inlineStr">
        <is>
          <t>arrives -&gt; Bench (slot was upgraded); Bench sub -&gt; D3 for Brushland (2026-09-02)</t>
        </is>
      </c>
      <c r="AK235" t="inlineStr">
        <is>
          <t>[T+A] B-&gt;D3 (bench sub) [done 2026-09-03]</t>
        </is>
      </c>
    </row>
    <row r="236" ht="15" customHeight="1" s="79">
      <c r="A236" s="2" t="inlineStr">
        <is>
          <t>Drumbellower</t>
        </is>
      </c>
      <c r="B236" s="2">
        <f>IF(AND(F236&lt;&gt;0,E236=F236),"In Hand",IF(AND(E236&lt;&gt;0,E236&lt;F236,SUM(M236:R236)=0,SUM(T236:Y236)&gt;0),"Extra-Sub",IF(AND(E236=0,E236&lt;F236,SUM(M236:R236)=0,SUM(T236:Y236)&gt;0),"Bench-Sub",IF(AND(E236=0,F236&gt;0),"Bench",IF(E236&lt;F236,"Extra",IF(AND(J236="",E236&gt;F236),"To Buy",IF(SUM(J236,F236)&lt;E236,"To Buy",IF(AND(SUM(J236,F236)&gt;=E236,J236&lt;&gt;""),"Ordered",IF(AND(E236=0,F236=0,D236="B3"),"B3 Option",IF(AND(E236=0,F236=0),"Remove","To Buy"))))))))))</f>
        <v/>
      </c>
      <c r="D236" t="inlineStr">
        <is>
          <t>B2</t>
        </is>
      </c>
      <c r="E236" s="3">
        <f>SUM(M236:S236)</f>
        <v/>
      </c>
      <c r="F236" s="3">
        <f>SUM(T236:Z236)</f>
        <v/>
      </c>
      <c r="G236" s="3">
        <f>IF((F236-E236)&gt;=0,F236-E236,0)</f>
        <v/>
      </c>
      <c r="H236" s="3">
        <f>MAX(0,$E236-$F236-$J236)</f>
        <v/>
      </c>
      <c r="I236" s="3" t="n"/>
      <c r="J236" s="3" t="n"/>
      <c r="K236" s="4" t="n">
        <v>2.8</v>
      </c>
      <c r="L236" s="4">
        <f>IF(AND($H236&gt;0,ISNUMBER($K236)),$H236*$K236,0)</f>
        <v/>
      </c>
      <c r="M236" s="3" t="n"/>
      <c r="N236" s="3" t="n">
        <v>1</v>
      </c>
      <c r="O236" s="3" t="n"/>
      <c r="P236" s="3" t="n"/>
      <c r="Q236" s="3" t="n"/>
      <c r="R236" s="3" t="n"/>
      <c r="S236" s="3">
        <f>IF(AND(J236&lt;&gt;"",SUM(M236:R236)=0),J236,"")</f>
        <v/>
      </c>
      <c r="T236" s="3" t="n"/>
      <c r="U236" s="3" t="n">
        <v>1</v>
      </c>
      <c r="V236" s="3" t="n"/>
      <c r="W236" s="3" t="n"/>
      <c r="X236" s="3" t="n"/>
      <c r="Y236" s="3" t="n"/>
      <c r="Z236" s="3" t="n"/>
      <c r="AA236" s="2" t="inlineStr">
        <is>
          <t>Creature</t>
        </is>
      </c>
      <c r="AB236" s="2" t="inlineStr">
        <is>
          <t>Spirit</t>
        </is>
      </c>
      <c r="AC236" s="2" t="inlineStr">
        <is>
          <t>W</t>
        </is>
      </c>
      <c r="AD236" s="3" t="n">
        <v>3</v>
      </c>
      <c r="AE236" s="29" t="inlineStr">
        <is>
          <t>Neon Dynasty Commander</t>
        </is>
      </c>
      <c r="AF236" s="29" t="inlineStr">
        <is>
          <t>Utility Creature</t>
        </is>
      </c>
      <c r="AG236" s="29" t="inlineStr">
        <is>
          <t>Untaps all your creatures during each opponent's untap step</t>
        </is>
      </c>
      <c r="AH236" s="29" t="inlineStr">
        <is>
          <t>Flying body</t>
        </is>
      </c>
      <c r="AI236" s="29" t="n"/>
      <c r="AJ236" s="2" t="n"/>
    </row>
    <row r="237" ht="15" customHeight="1" s="79">
      <c r="A237" s="2" t="inlineStr">
        <is>
          <t>Earth Kingdom Jailer</t>
        </is>
      </c>
      <c r="B237" s="2">
        <f>IF(AND(F237&lt;&gt;0,E237=F237),"In Hand",IF(AND(E237&lt;&gt;0,E237&lt;F237,SUM(M237:R237)=0,SUM(T237:Y237)&gt;0),"Extra-Sub",IF(AND(E237=0,E237&lt;F237,SUM(M237:R237)=0,SUM(T237:Y237)&gt;0),"Bench-Sub",IF(AND(E237=0,F237&gt;0),"Bench",IF(E237&lt;F237,"Extra",IF(AND(J237="",E237&gt;F237),"To Buy",IF(SUM(J237,F237)&lt;E237,"To Buy",IF(AND(SUM(J237,F237)&gt;=E237,J237&lt;&gt;""),"Ordered",IF(AND(E237=0,F237=0,D237="B3"),"B3 Option",IF(AND(E237=0,F237=0),"Remove","To Buy"))))))))))</f>
        <v/>
      </c>
      <c r="D237" t="inlineStr">
        <is>
          <t>B2</t>
        </is>
      </c>
      <c r="E237" s="3">
        <f>SUM(M237:S237)</f>
        <v/>
      </c>
      <c r="F237" s="3">
        <f>SUM(T237:Z237)</f>
        <v/>
      </c>
      <c r="G237" s="3">
        <f>IF((F237-E237)&gt;=0,F237-E237,0)</f>
        <v/>
      </c>
      <c r="H237" s="3">
        <f>MAX(0,$E237-$F237-$J237)</f>
        <v/>
      </c>
      <c r="I237" s="3" t="n"/>
      <c r="J237" s="3" t="n"/>
      <c r="K237" s="4" t="n">
        <v>0.18</v>
      </c>
      <c r="L237" s="4">
        <f>IF(AND($H237&gt;0,ISNUMBER($K237)),$H237*$K237,0)</f>
        <v/>
      </c>
      <c r="M237" s="3" t="n"/>
      <c r="N237" s="3" t="n">
        <v>1</v>
      </c>
      <c r="O237" s="3" t="n"/>
      <c r="P237" s="3" t="n"/>
      <c r="Q237" s="3" t="n"/>
      <c r="R237" s="3" t="n"/>
      <c r="S237" s="3">
        <f>IF(AND(J237&lt;&gt;"",SUM(M237:R237)=0),J237,"")</f>
        <v/>
      </c>
      <c r="T237" s="3" t="n"/>
      <c r="U237" s="3" t="n">
        <v>1</v>
      </c>
      <c r="V237" s="3" t="n"/>
      <c r="W237" s="3" t="n"/>
      <c r="X237" s="3" t="n"/>
      <c r="Y237" s="3" t="n"/>
      <c r="Z237" s="3" t="n"/>
      <c r="AA237" s="2" t="inlineStr">
        <is>
          <t>Creature</t>
        </is>
      </c>
      <c r="AB237" s="2" t="inlineStr">
        <is>
          <t>Human Soldier Ally</t>
        </is>
      </c>
      <c r="AC237" s="2" t="inlineStr">
        <is>
          <t>W</t>
        </is>
      </c>
      <c r="AD237" s="3" t="n">
        <v>3</v>
      </c>
      <c r="AE237" s="29" t="inlineStr">
        <is>
          <t>Avatar: The Last Airbender</t>
        </is>
      </c>
      <c r="AF237" s="29" t="inlineStr">
        <is>
          <t>Removal</t>
        </is>
      </c>
      <c r="AG237" s="29" t="inlineStr">
        <is>
          <t>Exiles an opponent's permanent (MV 3+) when it enters</t>
        </is>
      </c>
      <c r="AH237" s="29" t="inlineStr">
        <is>
          <t>Exiled permanent returns if this creature leaves</t>
        </is>
      </c>
      <c r="AI237" s="29" t="n"/>
      <c r="AJ237" s="2" t="n"/>
    </row>
    <row r="238" ht="15" customHeight="1" s="79">
      <c r="A238" s="2" t="inlineStr">
        <is>
          <t>Emeria, the Sky Ruin</t>
        </is>
      </c>
      <c r="B238" s="2">
        <f>IF(AND(F238&lt;&gt;0,E238=F238),"In Hand",IF(AND(E238&lt;&gt;0,E238&lt;F238,SUM(M238:R238)=0,SUM(T238:Y238)&gt;0),"Extra-Sub",IF(AND(E238=0,E238&lt;F238,SUM(M238:R238)=0,SUM(T238:Y238)&gt;0),"Bench-Sub",IF(AND(E238=0,F238&gt;0),"Bench",IF(E238&lt;F238,"Extra",IF(AND(J238="",E238&gt;F238),"To Buy",IF(SUM(J238,F238)&lt;E238,"To Buy",IF(AND(SUM(J238,F238)&gt;=E238,J238&lt;&gt;""),"Ordered",IF(AND(E238=0,F238=0,D238="B3"),"B3 Option",IF(AND(E238=0,F238=0),"Remove","To Buy"))))))))))</f>
        <v/>
      </c>
      <c r="D238" t="inlineStr">
        <is>
          <t>B2</t>
        </is>
      </c>
      <c r="E238" s="3">
        <f>SUM(M238:S238)</f>
        <v/>
      </c>
      <c r="F238" s="3">
        <f>SUM(T238:Z238)</f>
        <v/>
      </c>
      <c r="G238" s="3">
        <f>IF((F238-E238)&gt;=0,F238-E238,0)</f>
        <v/>
      </c>
      <c r="H238" s="3">
        <f>MAX(0,$E238-$F238-$J238)</f>
        <v/>
      </c>
      <c r="I238" s="3" t="n"/>
      <c r="J238" s="3" t="n"/>
      <c r="K238" s="4" t="n">
        <v>6.41</v>
      </c>
      <c r="L238" s="4">
        <f>IF(AND($H238&gt;0,ISNUMBER($K238)),$H238*$K238,0)</f>
        <v/>
      </c>
      <c r="M238" s="3" t="n">
        <v>1</v>
      </c>
      <c r="N238" s="3" t="n"/>
      <c r="O238" s="3" t="n"/>
      <c r="P238" s="3" t="n"/>
      <c r="Q238" s="3" t="n"/>
      <c r="R238" s="3" t="n"/>
      <c r="S238" s="3">
        <f>IF(AND(J238&lt;&gt;"",SUM(M238:R238)=0),J238,"")</f>
        <v/>
      </c>
      <c r="T238" s="3" t="n">
        <v>1</v>
      </c>
      <c r="U238" s="3" t="n"/>
      <c r="V238" s="3" t="n"/>
      <c r="W238" s="3" t="n"/>
      <c r="X238" s="3" t="n"/>
      <c r="Y238" s="3" t="n"/>
      <c r="Z238" s="3" t="n"/>
      <c r="AA238" s="2" t="inlineStr">
        <is>
          <t>Land</t>
        </is>
      </c>
      <c r="AB238" s="2" t="n"/>
      <c r="AC238" s="2" t="inlineStr">
        <is>
          <t>L</t>
        </is>
      </c>
      <c r="AD238" s="3" t="n">
        <v>0</v>
      </c>
      <c r="AE238" s="29" t="inlineStr">
        <is>
          <t>Zendikar</t>
        </is>
      </c>
      <c r="AF238" s="29" t="inlineStr">
        <is>
          <t>Land</t>
        </is>
      </c>
      <c r="AG238" s="29" t="inlineStr">
        <is>
          <t>Taps for {W}</t>
        </is>
      </c>
      <c r="AH238" s="29" t="inlineStr">
        <is>
          <t>Enters tapped</t>
        </is>
      </c>
      <c r="AI238" s="29" t="inlineStr">
        <is>
          <t>Upkeep: if you control 7+ Plains, return a creature card from graveyard to battlefield</t>
        </is>
      </c>
      <c r="AJ238" s="2" t="n"/>
    </row>
    <row r="239" ht="15" customHeight="1" s="79">
      <c r="A239" s="2" t="inlineStr">
        <is>
          <t>Enraged Flamecaster</t>
        </is>
      </c>
      <c r="B239" s="2">
        <f>IF(AND(F239&lt;&gt;0,E239=F239),"In Hand",IF(AND(E239&lt;&gt;0,E239&lt;F239,SUM(M239:R239)=0,SUM(T239:Y239)&gt;0),"Extra-Sub",IF(AND(E239=0,E239&lt;F239,SUM(M239:R239)=0,SUM(T239:Y239)&gt;0),"Bench-Sub",IF(AND(E239=0,F239&gt;0),"Bench",IF(E239&lt;F239,"Extra",IF(AND(J239="",E239&gt;F239),"To Buy",IF(SUM(J239,F239)&lt;E239,"To Buy",IF(AND(SUM(J239,F239)&gt;=E239,J239&lt;&gt;""),"Ordered",IF(AND(E239=0,F239=0,D239="B3"),"B3 Option",IF(AND(E239=0,F239=0),"Remove","To Buy"))))))))))</f>
        <v/>
      </c>
      <c r="D239" t="inlineStr">
        <is>
          <t>B2</t>
        </is>
      </c>
      <c r="E239" s="3">
        <f>SUM(M239:S239)</f>
        <v/>
      </c>
      <c r="F239" s="3">
        <f>SUM(T239:Z239)</f>
        <v/>
      </c>
      <c r="G239" s="3">
        <f>IF((F239-E239)&gt;=0,F239-E239,0)</f>
        <v/>
      </c>
      <c r="H239" s="3">
        <f>MAX(0,$E239-$F239-$J239)</f>
        <v/>
      </c>
      <c r="I239" s="3" t="n"/>
      <c r="J239" s="3" t="n"/>
      <c r="K239" s="4" t="n">
        <v>0.18</v>
      </c>
      <c r="L239" s="4">
        <f>IF(AND($H239&gt;0,ISNUMBER($K239)),$H239*$K239,0)</f>
        <v/>
      </c>
      <c r="M239" s="3" t="n"/>
      <c r="N239" s="3" t="n"/>
      <c r="O239" s="3" t="n"/>
      <c r="P239" s="3" t="n"/>
      <c r="Q239" s="3" t="n"/>
      <c r="R239" s="3" t="n">
        <v>1</v>
      </c>
      <c r="S239" s="3">
        <f>IF(AND(J239&lt;&gt;"",SUM(M239:R239)=0),J239,"")</f>
        <v/>
      </c>
      <c r="T239" s="3" t="n"/>
      <c r="U239" s="3" t="n"/>
      <c r="V239" s="3" t="n"/>
      <c r="W239" s="3" t="n"/>
      <c r="X239" s="3" t="n"/>
      <c r="Y239" s="3" t="n">
        <v>1</v>
      </c>
      <c r="Z239" s="3" t="n"/>
      <c r="AA239" s="2" t="inlineStr">
        <is>
          <t>Creature</t>
        </is>
      </c>
      <c r="AB239" s="2" t="inlineStr">
        <is>
          <t>Elemental Sorcerer</t>
        </is>
      </c>
      <c r="AC239" s="2" t="inlineStr">
        <is>
          <t>R</t>
        </is>
      </c>
      <c r="AD239" s="3" t="n">
        <v>3</v>
      </c>
      <c r="AE239" s="29" t="inlineStr">
        <is>
          <t>Lorwyn Eclipsed</t>
        </is>
      </c>
      <c r="AF239" s="29" t="inlineStr">
        <is>
          <t>Burn</t>
        </is>
      </c>
      <c r="AG239" s="29" t="inlineStr">
        <is>
          <t>Deals 2 damage to each opponent when you cast a spell MV 4 or greater</t>
        </is>
      </c>
      <c r="AH239" s="29" t="n"/>
      <c r="AI239" s="29" t="n"/>
      <c r="AJ239" s="2" t="n"/>
      <c r="AK239" t="inlineStr">
        <is>
          <t>[B3 later] D6-&gt;B when Professional Face-Breaker is bought</t>
        </is>
      </c>
    </row>
    <row r="240" ht="15" customHeight="1" s="79">
      <c r="A240" s="2" t="inlineStr">
        <is>
          <t>Ephemerate</t>
        </is>
      </c>
      <c r="B240" s="2">
        <f>IF(AND(F240&lt;&gt;0,E240=F240),"In Hand",IF(AND(E240&lt;&gt;0,E240&lt;F240,SUM(M240:R240)=0,SUM(T240:Y240)&gt;0),"Extra-Sub",IF(AND(E240=0,E240&lt;F240,SUM(M240:R240)=0,SUM(T240:Y240)&gt;0),"Bench-Sub",IF(AND(E240=0,F240&gt;0),"Bench",IF(E240&lt;F240,"Extra",IF(AND(J240="",E240&gt;F240),"To Buy",IF(SUM(J240,F240)&lt;E240,"To Buy",IF(AND(SUM(J240,F240)&gt;=E240,J240&lt;&gt;""),"Ordered",IF(AND(E240=0,F240=0,D240="B3"),"B3 Option",IF(AND(E240=0,F240=0),"Remove","To Buy"))))))))))</f>
        <v/>
      </c>
      <c r="D240" t="inlineStr">
        <is>
          <t>B2</t>
        </is>
      </c>
      <c r="E240" s="3">
        <f>SUM(M240:S240)</f>
        <v/>
      </c>
      <c r="F240" s="3">
        <f>SUM(T240:Z240)</f>
        <v/>
      </c>
      <c r="G240" s="3">
        <f>IF((F240-E240)&gt;=0,F240-E240,0)</f>
        <v/>
      </c>
      <c r="H240" s="3">
        <f>MAX(0,$E240-$F240-$J240)</f>
        <v/>
      </c>
      <c r="I240" s="3" t="n"/>
      <c r="J240" s="3" t="n"/>
      <c r="K240" s="4" t="n">
        <v>5.2</v>
      </c>
      <c r="L240" s="4">
        <f>IF(AND($H240&gt;0,ISNUMBER($K240)),$H240*$K240,0)</f>
        <v/>
      </c>
      <c r="M240" s="3" t="n"/>
      <c r="N240" s="3" t="n">
        <v>1</v>
      </c>
      <c r="O240" s="3" t="n"/>
      <c r="P240" s="3" t="n"/>
      <c r="Q240" s="3" t="n"/>
      <c r="R240" s="3" t="n"/>
      <c r="S240" s="3">
        <f>IF(AND(J240&lt;&gt;"",SUM(M240:R240)=0),J240,"")</f>
        <v/>
      </c>
      <c r="T240" s="3" t="n"/>
      <c r="U240" s="3" t="n">
        <v>1</v>
      </c>
      <c r="V240" s="3" t="n"/>
      <c r="W240" s="3" t="n"/>
      <c r="X240" s="3" t="n"/>
      <c r="Y240" s="3" t="n"/>
      <c r="Z240" s="3" t="n"/>
      <c r="AA240" s="2" t="inlineStr">
        <is>
          <t>Instant</t>
        </is>
      </c>
      <c r="AB240" s="2" t="n"/>
      <c r="AC240" s="2" t="inlineStr">
        <is>
          <t>W</t>
        </is>
      </c>
      <c r="AD240" s="3" t="n">
        <v>1</v>
      </c>
      <c r="AE240" s="29" t="inlineStr">
        <is>
          <t>Modern Horizons</t>
        </is>
      </c>
      <c r="AF240" s="29" t="inlineStr">
        <is>
          <t>Blink</t>
        </is>
      </c>
      <c r="AG240" s="29" t="inlineStr">
        <is>
          <t>Exiles then returns target creature you control</t>
        </is>
      </c>
      <c r="AH240" s="29" t="inlineStr">
        <is>
          <t>Rebound: cast again free next upkeep from exile</t>
        </is>
      </c>
      <c r="AI240" s="29" t="n"/>
      <c r="AJ240" s="2" t="inlineStr">
        <is>
          <t>Tuned add</t>
        </is>
      </c>
    </row>
    <row r="241" ht="15" customHeight="1" s="79">
      <c r="A241" s="2" t="inlineStr">
        <is>
          <t>Excava, the Risen Past</t>
        </is>
      </c>
      <c r="B241" s="2">
        <f>IF(AND(F241&lt;&gt;0,E241=F241),"In Hand",IF(AND(E241&lt;&gt;0,E241&lt;F241,SUM(M241:R241)=0,SUM(T241:Y241)&gt;0),"Extra-Sub",IF(AND(E241=0,E241&lt;F241,SUM(M241:R241)=0,SUM(T241:Y241)&gt;0),"Bench-Sub",IF(AND(E241=0,F241&gt;0),"Bench",IF(E241&lt;F241,"Extra",IF(AND(J241="",E241&gt;F241),"To Buy",IF(SUM(J241,F241)&lt;E241,"To Buy",IF(AND(SUM(J241,F241)&gt;=E241,J241&lt;&gt;""),"Ordered",IF(AND(E241=0,F241=0,D241="B3"),"B3 Option",IF(AND(E241=0,F241=0),"Remove","To Buy"))))))))))</f>
        <v/>
      </c>
      <c r="D241" t="inlineStr">
        <is>
          <t>B2</t>
        </is>
      </c>
      <c r="E241" s="3">
        <f>SUM(M241:S241)</f>
        <v/>
      </c>
      <c r="F241" s="3">
        <f>SUM(T241:Z241)</f>
        <v/>
      </c>
      <c r="G241" s="3">
        <f>IF((F241-E241)&gt;=0,F241-E241,0)</f>
        <v/>
      </c>
      <c r="H241" s="3">
        <f>MAX(0,$E241-$F241-$J241)</f>
        <v/>
      </c>
      <c r="I241" s="3" t="n"/>
      <c r="J241" s="3" t="n"/>
      <c r="K241" s="4" t="n">
        <v>0.77</v>
      </c>
      <c r="L241" s="4">
        <f>IF(AND($H241&gt;0,ISNUMBER($K241)),$H241*$K241,0)</f>
        <v/>
      </c>
      <c r="M241" s="3" t="n">
        <v>1</v>
      </c>
      <c r="N241" s="3" t="n"/>
      <c r="O241" s="3" t="n"/>
      <c r="P241" s="3" t="n"/>
      <c r="Q241" s="3" t="n"/>
      <c r="R241" s="3" t="n"/>
      <c r="S241" s="3">
        <f>IF(AND(J241&lt;&gt;"",SUM(M241:R241)=0),J241,"")</f>
        <v/>
      </c>
      <c r="T241" s="3" t="n">
        <v>1</v>
      </c>
      <c r="U241" s="3" t="n"/>
      <c r="V241" s="3" t="n"/>
      <c r="W241" s="3" t="n"/>
      <c r="X241" s="3" t="n"/>
      <c r="Y241" s="3" t="n"/>
      <c r="Z241" s="3" t="n"/>
      <c r="AA241" s="2" t="inlineStr">
        <is>
          <t>Legendary Creature</t>
        </is>
      </c>
      <c r="AB241" s="2" t="inlineStr">
        <is>
          <t>Spirit Horse</t>
        </is>
      </c>
      <c r="AC241" s="2" t="inlineStr">
        <is>
          <t>Multi</t>
        </is>
      </c>
      <c r="AD241" s="3" t="n">
        <v>4</v>
      </c>
      <c r="AE241" s="29" t="inlineStr">
        <is>
          <t>Secrets of Strixhaven Commander</t>
        </is>
      </c>
      <c r="AF241" s="29" t="inlineStr">
        <is>
          <t>Recursion</t>
        </is>
      </c>
      <c r="AG241" s="29" t="inlineStr">
        <is>
          <t>Can attack the turn it enters</t>
        </is>
      </c>
      <c r="AH241" s="29" t="inlineStr">
        <is>
          <t>Attacking returns a MV 3 or less artifact/creature/enchantment from graveyard as a 1/1 Spirit that gets exiled if it dies</t>
        </is>
      </c>
      <c r="AI241" s="29" t="n"/>
      <c r="AJ241" s="2" t="n"/>
    </row>
    <row r="242" ht="15" customHeight="1" s="79">
      <c r="A242" s="2" t="inlineStr">
        <is>
          <t>Exotic Orchard</t>
        </is>
      </c>
      <c r="B242" s="2">
        <f>IF(AND(F242&lt;&gt;0,E242=F242),"In Hand",IF(AND(E242&lt;&gt;0,E242&lt;F242,SUM(M242:R242)=0,SUM(T242:Y242)&gt;0),"Extra-Sub",IF(AND(E242=0,E242&lt;F242,SUM(M242:R242)=0,SUM(T242:Y242)&gt;0),"Bench-Sub",IF(AND(E242=0,F242&gt;0),"Bench",IF(E242&lt;F242,"Extra",IF(AND(J242="",E242&gt;F242),"To Buy",IF(SUM(J242,F242)&lt;E242,"To Buy",IF(AND(SUM(J242,F242)&gt;=E242,J242&lt;&gt;""),"Ordered",IF(AND(E242=0,F242=0,D242="B3"),"B3 Option",IF(AND(E242=0,F242=0),"Remove","To Buy"))))))))))</f>
        <v/>
      </c>
      <c r="D242" t="inlineStr">
        <is>
          <t>B2</t>
        </is>
      </c>
      <c r="E242" s="3">
        <f>SUM(M242:S242)</f>
        <v/>
      </c>
      <c r="F242" s="3">
        <f>SUM(T242:Z242)</f>
        <v/>
      </c>
      <c r="G242" s="3">
        <f>IF((F242-E242)&gt;=0,F242-E242,0)</f>
        <v/>
      </c>
      <c r="H242" s="3">
        <f>MAX(0,$E242-$F242-$J242)</f>
        <v/>
      </c>
      <c r="I242" s="3" t="n"/>
      <c r="J242" s="3" t="n"/>
      <c r="K242" s="4" t="n">
        <v>0.23</v>
      </c>
      <c r="L242" s="4">
        <f>IF(AND($H242&gt;0,ISNUMBER($K242)),$H242*$K242,0)</f>
        <v/>
      </c>
      <c r="M242" s="3" t="n">
        <v>1</v>
      </c>
      <c r="N242" s="3" t="n"/>
      <c r="O242" s="3" t="n"/>
      <c r="P242" s="3" t="n"/>
      <c r="Q242" s="3" t="n"/>
      <c r="R242" s="3" t="n"/>
      <c r="S242" s="3">
        <f>IF(AND(J242&lt;&gt;"",SUM(M242:R242)=0),J242,"")</f>
        <v/>
      </c>
      <c r="T242" s="3" t="n">
        <v>1</v>
      </c>
      <c r="U242" s="3" t="n"/>
      <c r="V242" s="3" t="n"/>
      <c r="W242" s="3" t="n"/>
      <c r="X242" s="3" t="n"/>
      <c r="Y242" s="3" t="n"/>
      <c r="Z242" s="3" t="n"/>
      <c r="AA242" s="2" t="inlineStr">
        <is>
          <t>Land</t>
        </is>
      </c>
      <c r="AB242" s="2" t="n"/>
      <c r="AC242" s="2" t="inlineStr">
        <is>
          <t>L</t>
        </is>
      </c>
      <c r="AD242" s="3" t="n">
        <v>0</v>
      </c>
      <c r="AE242" s="29" t="inlineStr">
        <is>
          <t>Conflux</t>
        </is>
      </c>
      <c r="AF242" s="29" t="inlineStr">
        <is>
          <t>Land</t>
        </is>
      </c>
      <c r="AG242" s="29" t="inlineStr">
        <is>
          <t>Taps for one mana of any color an opponent's land could produce</t>
        </is>
      </c>
      <c r="AH242" s="29" t="n"/>
      <c r="AI242" s="29" t="n"/>
      <c r="AJ242" s="2" t="n"/>
    </row>
    <row r="243" ht="15" customHeight="1" s="79">
      <c r="A243" s="2" t="inlineStr">
        <is>
          <t>Fabled Passage</t>
        </is>
      </c>
      <c r="B243" s="2">
        <f>IF(AND(F243&lt;&gt;0,E243=F243),"In Hand",IF(AND(E243&lt;&gt;0,E243&lt;F243,SUM(M243:R243)=0,SUM(T243:Y243)&gt;0),"Extra-Sub",IF(AND(E243=0,E243&lt;F243,SUM(M243:R243)=0,SUM(T243:Y243)&gt;0),"Bench-Sub",IF(AND(E243=0,F243&gt;0),"Bench",IF(E243&lt;F243,"Extra",IF(AND(J243="",E243&gt;F243),"To Buy",IF(SUM(J243,F243)&lt;E243,"To Buy",IF(AND(SUM(J243,F243)&gt;=E243,J243&lt;&gt;""),"Ordered",IF(AND(E243=0,F243=0,D243="B3"),"B3 Option",IF(AND(E243=0,F243=0),"Remove","To Buy"))))))))))</f>
        <v/>
      </c>
      <c r="D243" t="inlineStr">
        <is>
          <t>B2</t>
        </is>
      </c>
      <c r="E243" s="3">
        <f>SUM(M243:S243)</f>
        <v/>
      </c>
      <c r="F243" s="3">
        <f>SUM(T243:Z243)</f>
        <v/>
      </c>
      <c r="G243" s="3">
        <f>IF((F243-E243)&gt;=0,F243-E243,0)</f>
        <v/>
      </c>
      <c r="H243" s="3">
        <f>MAX(0,$E243-$F243-$J243)</f>
        <v/>
      </c>
      <c r="I243" s="3" t="n"/>
      <c r="J243" s="3" t="n"/>
      <c r="K243" s="4" t="n">
        <v>1.05</v>
      </c>
      <c r="L243" s="4">
        <f>IF(AND($H243&gt;0,ISNUMBER($K243)),$H243*$K243,0)</f>
        <v/>
      </c>
      <c r="M243" s="3" t="n">
        <v>1</v>
      </c>
      <c r="N243" s="3" t="n"/>
      <c r="O243" s="3" t="n"/>
      <c r="P243" s="3" t="n"/>
      <c r="Q243" s="3" t="n"/>
      <c r="R243" s="3" t="n"/>
      <c r="S243" s="3">
        <f>IF(AND(J243&lt;&gt;"",SUM(M243:R243)=0),J243,"")</f>
        <v/>
      </c>
      <c r="T243" s="3" t="n">
        <v>1</v>
      </c>
      <c r="U243" s="3" t="n"/>
      <c r="V243" s="3" t="n"/>
      <c r="W243" s="3" t="n"/>
      <c r="X243" s="3" t="n"/>
      <c r="Y243" s="3" t="n"/>
      <c r="Z243" s="3" t="n"/>
      <c r="AA243" s="2" t="inlineStr">
        <is>
          <t>Land</t>
        </is>
      </c>
      <c r="AB243" s="2" t="n"/>
      <c r="AC243" s="2" t="inlineStr">
        <is>
          <t>L</t>
        </is>
      </c>
      <c r="AD243" s="3" t="n">
        <v>0</v>
      </c>
      <c r="AE243" s="29" t="inlineStr">
        <is>
          <t>Throne of Eldraine</t>
        </is>
      </c>
      <c r="AF243" s="29" t="inlineStr">
        <is>
          <t>Land</t>
        </is>
      </c>
      <c r="AG243" s="29" t="inlineStr">
        <is>
          <t>Sacrifice, search a basic land, put it into play tapped</t>
        </is>
      </c>
      <c r="AH243" s="29" t="inlineStr">
        <is>
          <t>Untaps that land if you control 4+ lands</t>
        </is>
      </c>
      <c r="AI243" s="29" t="n"/>
      <c r="AJ243" s="2" t="n"/>
    </row>
    <row r="244" ht="15" customHeight="1" s="79">
      <c r="A244" s="2" t="inlineStr">
        <is>
          <t>Faeburrow Elder</t>
        </is>
      </c>
      <c r="B244" s="2">
        <f>IF(AND(F244&lt;&gt;0,E244=F244),"In Hand",IF(AND(E244&lt;&gt;0,E244&lt;F244,SUM(M244:R244)=0,SUM(T244:Y244)&gt;0),"Extra-Sub",IF(AND(E244=0,E244&lt;F244,SUM(M244:R244)=0,SUM(T244:Y244)&gt;0),"Bench-Sub",IF(AND(E244=0,F244&gt;0),"Bench",IF(E244&lt;F244,"Extra",IF(AND(J244="",E244&gt;F244),"To Buy",IF(SUM(J244,F244)&lt;E244,"To Buy",IF(AND(SUM(J244,F244)&gt;=E244,J244&lt;&gt;""),"Ordered",IF(AND(E244=0,F244=0,D244="B3"),"B3 Option",IF(AND(E244=0,F244=0),"Remove","To Buy"))))))))))</f>
        <v/>
      </c>
      <c r="D244" t="inlineStr">
        <is>
          <t>B2</t>
        </is>
      </c>
      <c r="E244" s="3">
        <f>SUM(M244:S244)</f>
        <v/>
      </c>
      <c r="F244" s="3">
        <f>SUM(T244:Z244)</f>
        <v/>
      </c>
      <c r="G244" s="3">
        <f>IF((F244-E244)&gt;=0,F244-E244,0)</f>
        <v/>
      </c>
      <c r="H244" s="3">
        <f>MAX(0,$E244-$F244-$J244)</f>
        <v/>
      </c>
      <c r="I244" s="3" t="n"/>
      <c r="J244" s="3" t="n"/>
      <c r="K244" s="4" t="n">
        <v>0.4</v>
      </c>
      <c r="L244" s="4">
        <f>IF(AND($H244&gt;0,ISNUMBER($K244)),$H244*$K244,0)</f>
        <v/>
      </c>
      <c r="M244" s="3" t="n"/>
      <c r="N244" s="3" t="n">
        <v>1</v>
      </c>
      <c r="O244" s="3" t="n"/>
      <c r="P244" s="3" t="n"/>
      <c r="Q244" s="3" t="n"/>
      <c r="R244" s="3" t="n"/>
      <c r="S244" s="3">
        <f>IF(AND(J244&lt;&gt;"",SUM(M244:R244)=0),J244,"")</f>
        <v/>
      </c>
      <c r="T244" s="3" t="n"/>
      <c r="U244" s="3" t="n">
        <v>1</v>
      </c>
      <c r="V244" s="3" t="n"/>
      <c r="W244" s="3" t="n"/>
      <c r="X244" s="3" t="n"/>
      <c r="Y244" s="3" t="n"/>
      <c r="Z244" s="3" t="n"/>
      <c r="AA244" s="2" t="inlineStr">
        <is>
          <t>Creature</t>
        </is>
      </c>
      <c r="AB244" s="2" t="inlineStr">
        <is>
          <t>Treefolk Druid</t>
        </is>
      </c>
      <c r="AC244" s="2" t="inlineStr">
        <is>
          <t>Multi</t>
        </is>
      </c>
      <c r="AD244" s="3" t="n">
        <v>3</v>
      </c>
      <c r="AE244" s="29" t="inlineStr">
        <is>
          <t>Throne of Eldraine</t>
        </is>
      </c>
      <c r="AF244" s="29" t="inlineStr">
        <is>
          <t>Ramp</t>
        </is>
      </c>
      <c r="AG244" s="29" t="inlineStr">
        <is>
          <t>Taps for one mana of each color among your permanents</t>
        </is>
      </c>
      <c r="AH244" s="29" t="inlineStr">
        <is>
          <t>Gets +1/+1 for each color among your permanents</t>
        </is>
      </c>
      <c r="AI244" s="29" t="n"/>
      <c r="AJ244" s="2" t="inlineStr">
        <is>
          <t>Tuned add</t>
        </is>
      </c>
    </row>
    <row r="245" ht="15" customHeight="1" s="79">
      <c r="A245" s="2" t="inlineStr">
        <is>
          <t>Fall of the First Civilization</t>
        </is>
      </c>
      <c r="B245" s="2">
        <f>IF(AND(F245&lt;&gt;0,E245=F245),"In Hand",IF(AND(E245&lt;&gt;0,E245&lt;F245,SUM(M245:R245)=0,SUM(T245:Y245)&gt;0),"Extra-Sub",IF(AND(E245=0,E245&lt;F245,SUM(M245:R245)=0,SUM(T245:Y245)&gt;0),"Bench-Sub",IF(AND(E245=0,F245&gt;0),"Bench",IF(E245&lt;F245,"Extra",IF(AND(J245="",E245&gt;F245),"To Buy",IF(SUM(J245,F245)&lt;E245,"To Buy",IF(AND(SUM(J245,F245)&gt;=E245,J245&lt;&gt;""),"Ordered",IF(AND(E245=0,F245=0,D245="B3"),"B3 Option",IF(AND(E245=0,F245=0),"Remove","To Buy"))))))))))</f>
        <v/>
      </c>
      <c r="D245" t="inlineStr">
        <is>
          <t>B2</t>
        </is>
      </c>
      <c r="E245" s="3">
        <f>SUM(M245:S245)</f>
        <v/>
      </c>
      <c r="F245" s="3">
        <f>SUM(T245:Z245)</f>
        <v/>
      </c>
      <c r="G245" s="3">
        <f>IF((F245-E245)&gt;=0,F245-E245,0)</f>
        <v/>
      </c>
      <c r="H245" s="3">
        <f>MAX(0,$E245-$F245-$J245)</f>
        <v/>
      </c>
      <c r="I245" s="3" t="n"/>
      <c r="J245" s="3" t="n"/>
      <c r="K245" s="4" t="n">
        <v>0.27</v>
      </c>
      <c r="L245" s="4">
        <f>IF(AND($H245&gt;0,ISNUMBER($K245)),$H245*$K245,0)</f>
        <v/>
      </c>
      <c r="M245" s="3" t="n"/>
      <c r="N245" s="3" t="n"/>
      <c r="O245" s="3" t="n">
        <v>1</v>
      </c>
      <c r="P245" s="3" t="n"/>
      <c r="Q245" s="3" t="n"/>
      <c r="R245" s="3" t="n"/>
      <c r="S245" s="3">
        <f>IF(AND(J245&lt;&gt;"",SUM(M245:R245)=0),J245,"")</f>
        <v/>
      </c>
      <c r="T245" s="3" t="n"/>
      <c r="U245" s="3" t="n"/>
      <c r="V245" s="3" t="n">
        <v>1</v>
      </c>
      <c r="W245" s="3" t="n"/>
      <c r="X245" s="3" t="n"/>
      <c r="Y245" s="3" t="n"/>
      <c r="Z245" s="3" t="n"/>
      <c r="AA245" s="2" t="inlineStr">
        <is>
          <t>Enchantment</t>
        </is>
      </c>
      <c r="AB245" s="2" t="inlineStr">
        <is>
          <t>Saga</t>
        </is>
      </c>
      <c r="AC245" s="2" t="inlineStr">
        <is>
          <t>W</t>
        </is>
      </c>
      <c r="AD245" s="3" t="n">
        <v>3</v>
      </c>
      <c r="AE245" s="29" t="inlineStr">
        <is>
          <t>Assassin's Creed</t>
        </is>
      </c>
      <c r="AF245" s="29" t="inlineStr">
        <is>
          <t>Board Wipe</t>
        </is>
      </c>
      <c r="AG245" s="29" t="inlineStr">
        <is>
          <t>Chapter I: you and an opponent each draw two cards</t>
        </is>
      </c>
      <c r="AH245" s="29" t="inlineStr">
        <is>
          <t>Chapter II: exile target opponent artifact</t>
        </is>
      </c>
      <c r="AI245" s="29" t="inlineStr">
        <is>
          <t>Chapter III: each player keeps 3 nonland permanents, rest destroyed</t>
        </is>
      </c>
      <c r="AJ245" s="2" t="n"/>
    </row>
    <row r="246" ht="15" customHeight="1" s="79">
      <c r="A246" s="2" t="inlineStr">
        <is>
          <t>Fanatical Firebrand</t>
        </is>
      </c>
      <c r="B246" s="2">
        <f>IF(AND(F246&lt;&gt;0,E246=F246),"In Hand",IF(AND(E246&lt;&gt;0,E246&lt;F246,SUM(M246:R246)=0,SUM(T246:Y246)&gt;0),"Extra-Sub",IF(AND(E246=0,E246&lt;F246,SUM(M246:R246)=0,SUM(T246:Y246)&gt;0),"Bench-Sub",IF(AND(E246=0,F246&gt;0),"Bench",IF(E246&lt;F246,"Extra",IF(AND(J246="",E246&gt;F246),"To Buy",IF(SUM(J246,F246)&lt;E246,"To Buy",IF(AND(SUM(J246,F246)&gt;=E246,J246&lt;&gt;""),"Ordered",IF(AND(E246=0,F246=0,D246="B3"),"B3 Option",IF(AND(E246=0,F246=0),"Remove","To Buy"))))))))))</f>
        <v/>
      </c>
      <c r="D246" t="inlineStr">
        <is>
          <t>B2</t>
        </is>
      </c>
      <c r="E246" s="3">
        <f>SUM(M246:S246)</f>
        <v/>
      </c>
      <c r="F246" s="3">
        <f>SUM(T246:Z246)</f>
        <v/>
      </c>
      <c r="G246" s="3">
        <f>IF((F246-E246)&gt;=0,F246-E246,0)</f>
        <v/>
      </c>
      <c r="H246" s="3">
        <f>MAX(0,$E246-$F246-$J246)</f>
        <v/>
      </c>
      <c r="I246" s="3" t="n"/>
      <c r="J246" s="3" t="n"/>
      <c r="K246" s="4" t="n">
        <v>0.25</v>
      </c>
      <c r="L246" s="4">
        <f>IF(AND($H246&gt;0,ISNUMBER($K246)),$H246*$K246,0)</f>
        <v/>
      </c>
      <c r="M246" s="3" t="n"/>
      <c r="N246" s="3" t="n"/>
      <c r="O246" s="3" t="n"/>
      <c r="P246" s="3" t="n"/>
      <c r="Q246" s="3" t="n"/>
      <c r="R246" s="3" t="n">
        <v>1</v>
      </c>
      <c r="S246" s="3">
        <f>IF(AND(J246&lt;&gt;"",SUM(M246:R246)=0),J246,"")</f>
        <v/>
      </c>
      <c r="T246" s="3" t="n"/>
      <c r="U246" s="3" t="n"/>
      <c r="V246" s="3" t="n"/>
      <c r="W246" s="3" t="n"/>
      <c r="X246" s="3" t="n"/>
      <c r="Y246" s="3" t="n">
        <v>1</v>
      </c>
      <c r="Z246" s="3" t="n"/>
      <c r="AA246" s="2" t="inlineStr">
        <is>
          <t>Creature</t>
        </is>
      </c>
      <c r="AB246" s="2" t="inlineStr">
        <is>
          <t>Goblin Pirate</t>
        </is>
      </c>
      <c r="AC246" s="2" t="inlineStr">
        <is>
          <t>R</t>
        </is>
      </c>
      <c r="AD246" s="3" t="n">
        <v>1</v>
      </c>
      <c r="AE246" s="29" t="inlineStr">
        <is>
          <t>Rivals of Ixalan</t>
        </is>
      </c>
      <c r="AF246" s="29" t="inlineStr">
        <is>
          <t>Burn</t>
        </is>
      </c>
      <c r="AG246" s="29" t="inlineStr">
        <is>
          <t>Sacrifice: deals 1 damage to any target</t>
        </is>
      </c>
      <c r="AH246" s="29" t="inlineStr">
        <is>
          <t>Can attack immediately (haste)</t>
        </is>
      </c>
      <c r="AI246" s="29" t="n"/>
      <c r="AJ246" s="2" t="inlineStr">
        <is>
          <t>Received/settled (was in cart 2026-09-02: Game Theory Wake Forest $0.2 Near Mint)</t>
        </is>
      </c>
    </row>
    <row r="247" ht="15" customHeight="1" s="79">
      <c r="A247" s="2" t="inlineStr">
        <is>
          <t>Farhaven Elf</t>
        </is>
      </c>
      <c r="B247" s="2">
        <f>IF(AND(F247&lt;&gt;0,E247=F247),"In Hand",IF(AND(E247&lt;&gt;0,E247&lt;F247,SUM(M247:R247)=0,SUM(T247:Y247)&gt;0),"Extra-Sub",IF(AND(E247=0,E247&lt;F247,SUM(M247:R247)=0,SUM(T247:Y247)&gt;0),"Bench-Sub",IF(AND(E247=0,F247&gt;0),"Bench",IF(E247&lt;F247,"Extra",IF(AND(J247="",E247&gt;F247),"To Buy",IF(SUM(J247,F247)&lt;E247,"To Buy",IF(AND(SUM(J247,F247)&gt;=E247,J247&lt;&gt;""),"Ordered",IF(AND(E247=0,F247=0,D247="B3"),"B3 Option",IF(AND(E247=0,F247=0),"Remove","To Buy"))))))))))</f>
        <v/>
      </c>
      <c r="D247" t="inlineStr">
        <is>
          <t>B2</t>
        </is>
      </c>
      <c r="E247" s="3">
        <f>SUM(M247:S247)</f>
        <v/>
      </c>
      <c r="F247" s="3">
        <f>SUM(T247:Z247)</f>
        <v/>
      </c>
      <c r="G247" s="3">
        <f>IF((F247-E247)&gt;=0,F247-E247,0)</f>
        <v/>
      </c>
      <c r="H247" s="3">
        <f>MAX(0,$E247-$F247-$J247)</f>
        <v/>
      </c>
      <c r="I247" s="3" t="n"/>
      <c r="J247" s="3" t="n"/>
      <c r="K247" s="4" t="n">
        <v>0.22</v>
      </c>
      <c r="L247" s="4">
        <f>IF(AND($H247&gt;0,ISNUMBER($K247)),$H247*$K247,0)</f>
        <v/>
      </c>
      <c r="M247" s="3" t="n"/>
      <c r="N247" s="3" t="n">
        <v>1</v>
      </c>
      <c r="O247" s="3" t="n"/>
      <c r="P247" s="3" t="n"/>
      <c r="Q247" s="3" t="n"/>
      <c r="R247" s="3" t="n"/>
      <c r="S247" s="3">
        <f>IF(AND(J247&lt;&gt;"",SUM(M247:R247)=0),J247,"")</f>
        <v/>
      </c>
      <c r="T247" s="3" t="n"/>
      <c r="U247" s="3" t="n">
        <v>1</v>
      </c>
      <c r="V247" s="3" t="n"/>
      <c r="W247" s="3" t="n"/>
      <c r="X247" s="3" t="n"/>
      <c r="Y247" s="3" t="n"/>
      <c r="Z247" s="3" t="n"/>
      <c r="AA247" s="2" t="inlineStr">
        <is>
          <t>Creature</t>
        </is>
      </c>
      <c r="AB247" s="2" t="inlineStr">
        <is>
          <t>Elf Druid</t>
        </is>
      </c>
      <c r="AC247" s="2" t="inlineStr">
        <is>
          <t>G</t>
        </is>
      </c>
      <c r="AD247" s="3" t="n">
        <v>3</v>
      </c>
      <c r="AE247" s="29" t="inlineStr">
        <is>
          <t>Shadowmoor</t>
        </is>
      </c>
      <c r="AF247" s="29" t="inlineStr">
        <is>
          <t>Ramp</t>
        </is>
      </c>
      <c r="AG247" s="29" t="inlineStr">
        <is>
          <t>Searches for a basic land and puts it onto the battlefield tapped when it enters</t>
        </is>
      </c>
      <c r="AH247" s="29" t="n"/>
      <c r="AI247" s="29" t="n"/>
      <c r="AJ247" s="2" t="inlineStr">
        <is>
          <t>Received/settled (was in cart 2026-09-02: Game Theory Wake Forest $0.3 Near Mint)</t>
        </is>
      </c>
    </row>
    <row r="248" ht="15" customHeight="1" s="79">
      <c r="A248" s="2" t="inlineStr">
        <is>
          <t>Farseek</t>
        </is>
      </c>
      <c r="B248" s="2">
        <f>IF(AND(F248&lt;&gt;0,E248=F248),"In Hand",IF(AND(E248&lt;&gt;0,E248&lt;F248,SUM(M248:R248)=0,SUM(T248:Y248)&gt;0),"Extra-Sub",IF(AND(E248=0,E248&lt;F248,SUM(M248:R248)=0,SUM(T248:Y248)&gt;0),"Bench-Sub",IF(AND(E248=0,F248&gt;0),"Bench",IF(E248&lt;F248,"Extra",IF(AND(J248="",E248&gt;F248),"To Buy",IF(SUM(J248,F248)&lt;E248,"To Buy",IF(AND(SUM(J248,F248)&gt;=E248,J248&lt;&gt;""),"Ordered",IF(AND(E248=0,F248=0,D248="B3"),"B3 Option",IF(AND(E248=0,F248=0),"Remove","To Buy"))))))))))</f>
        <v/>
      </c>
      <c r="D248" t="inlineStr">
        <is>
          <t>B2</t>
        </is>
      </c>
      <c r="E248" s="3">
        <f>SUM(M248:S248)</f>
        <v/>
      </c>
      <c r="F248" s="3">
        <f>SUM(T248:Z248)</f>
        <v/>
      </c>
      <c r="G248" s="3">
        <f>IF((F248-E248)&gt;=0,F248-E248,0)</f>
        <v/>
      </c>
      <c r="H248" s="3">
        <f>MAX(0,$E248-$F248-$J248)</f>
        <v/>
      </c>
      <c r="I248" s="3" t="n"/>
      <c r="J248" s="3" t="n"/>
      <c r="K248" s="4" t="n">
        <v>0.48</v>
      </c>
      <c r="L248" s="4">
        <f>IF(AND($H248&gt;0,ISNUMBER($K248)),$H248*$K248,0)</f>
        <v/>
      </c>
      <c r="M248" s="3" t="n"/>
      <c r="N248" s="3" t="n">
        <v>1</v>
      </c>
      <c r="O248" s="3" t="n"/>
      <c r="P248" s="3" t="n"/>
      <c r="Q248" s="3" t="n"/>
      <c r="R248" s="3" t="n"/>
      <c r="S248" s="3">
        <f>IF(AND(J248&lt;&gt;"",SUM(M248:R248)=0),J248,"")</f>
        <v/>
      </c>
      <c r="T248" s="3" t="n"/>
      <c r="U248" s="3" t="n">
        <v>1</v>
      </c>
      <c r="V248" s="3" t="n"/>
      <c r="W248" s="3" t="n"/>
      <c r="X248" s="3" t="n"/>
      <c r="Y248" s="3" t="n"/>
      <c r="Z248" s="3" t="n"/>
      <c r="AA248" s="2" t="inlineStr">
        <is>
          <t>Sorcery</t>
        </is>
      </c>
      <c r="AB248" s="2" t="n"/>
      <c r="AC248" s="2" t="inlineStr">
        <is>
          <t>G</t>
        </is>
      </c>
      <c r="AD248" s="3" t="n">
        <v>2</v>
      </c>
      <c r="AE248" s="29" t="inlineStr">
        <is>
          <t>Ravnica: City of Guilds</t>
        </is>
      </c>
      <c r="AF248" s="29" t="inlineStr">
        <is>
          <t>Ramp</t>
        </is>
      </c>
      <c r="AG248" s="29" t="inlineStr">
        <is>
          <t>Searches your library for a Plains, Island, Swamp, or Mountain card, puts it onto the battlefield tapped</t>
        </is>
      </c>
      <c r="AH248" s="29" t="n"/>
      <c r="AI248" s="29" t="n"/>
      <c r="AJ248" s="2" t="inlineStr">
        <is>
          <t>Tuned add</t>
        </is>
      </c>
    </row>
    <row r="249" ht="15" customHeight="1" s="79">
      <c r="A249" s="2" t="inlineStr">
        <is>
          <t>Feed the Swarm</t>
        </is>
      </c>
      <c r="B249" s="2">
        <f>IF(AND(F249&lt;&gt;0,E249=F249),"In Hand",IF(AND(E249&lt;&gt;0,E249&lt;F249,SUM(M249:R249)=0,SUM(T249:Y249)&gt;0),"Extra-Sub",IF(AND(E249=0,E249&lt;F249,SUM(M249:R249)=0,SUM(T249:Y249)&gt;0),"Bench-Sub",IF(AND(E249=0,F249&gt;0),"Bench",IF(E249&lt;F249,"Extra",IF(AND(J249="",E249&gt;F249),"To Buy",IF(SUM(J249,F249)&lt;E249,"To Buy",IF(AND(SUM(J249,F249)&gt;=E249,J249&lt;&gt;""),"Ordered",IF(AND(E249=0,F249=0,D249="B3"),"B3 Option",IF(AND(E249=0,F249=0),"Remove","To Buy"))))))))))</f>
        <v/>
      </c>
      <c r="D249" t="inlineStr">
        <is>
          <t>B2</t>
        </is>
      </c>
      <c r="E249" s="3">
        <f>SUM(M249:S249)</f>
        <v/>
      </c>
      <c r="F249" s="3">
        <f>SUM(T249:Z249)</f>
        <v/>
      </c>
      <c r="G249" s="3">
        <f>IF((F249-E249)&gt;=0,F249-E249,0)</f>
        <v/>
      </c>
      <c r="H249" s="3">
        <f>MAX(0,$E249-$F249-$J249)</f>
        <v/>
      </c>
      <c r="I249" s="3" t="n"/>
      <c r="J249" s="3" t="n"/>
      <c r="K249" s="4" t="n">
        <v>0.17</v>
      </c>
      <c r="L249" s="4">
        <f>IF(AND($H249&gt;0,ISNUMBER($K249)),$H249*$K249,0)</f>
        <v/>
      </c>
      <c r="M249" s="3" t="n"/>
      <c r="N249" s="3" t="n"/>
      <c r="O249" s="3" t="n"/>
      <c r="P249" s="3" t="n">
        <v>1</v>
      </c>
      <c r="Q249" s="3" t="n"/>
      <c r="R249" s="3" t="n"/>
      <c r="S249" s="3">
        <f>IF(AND(J249&lt;&gt;"",SUM(M249:R249)=0),J249,"")</f>
        <v/>
      </c>
      <c r="T249" s="3" t="n"/>
      <c r="U249" s="3" t="n"/>
      <c r="V249" s="3" t="n"/>
      <c r="W249" s="3" t="n">
        <v>1</v>
      </c>
      <c r="X249" s="3" t="n"/>
      <c r="Y249" s="3" t="n"/>
      <c r="Z249" s="3" t="n"/>
      <c r="AA249" s="2" t="inlineStr">
        <is>
          <t>Sorcery</t>
        </is>
      </c>
      <c r="AB249" s="2" t="n"/>
      <c r="AC249" s="2" t="inlineStr">
        <is>
          <t>B</t>
        </is>
      </c>
      <c r="AD249" s="3" t="n">
        <v>2</v>
      </c>
      <c r="AE249" s="29" t="inlineStr">
        <is>
          <t>Zendikar Rising</t>
        </is>
      </c>
      <c r="AF249" s="29" t="inlineStr">
        <is>
          <t>Removal</t>
        </is>
      </c>
      <c r="AG249" s="29" t="inlineStr">
        <is>
          <t>Destroy target creature or enchantment an opponent controls</t>
        </is>
      </c>
      <c r="AH249" s="29" t="inlineStr">
        <is>
          <t>You lose life equal to that permanent's mana value</t>
        </is>
      </c>
      <c r="AI249" s="29" t="n"/>
      <c r="AJ249" s="2" t="n"/>
    </row>
    <row r="250" ht="15" customHeight="1" s="79">
      <c r="A250" s="2" t="inlineStr">
        <is>
          <t>Fellwar Stone</t>
        </is>
      </c>
      <c r="B250" s="2">
        <f>IF(AND(F250&lt;&gt;0,E250=F250),"In Hand",IF(AND(E250&lt;&gt;0,E250&lt;F250,SUM(M250:R250)=0,SUM(T250:Y250)&gt;0),"Extra-Sub",IF(AND(E250=0,E250&lt;F250,SUM(M250:R250)=0,SUM(T250:Y250)&gt;0),"Bench-Sub",IF(AND(E250=0,F250&gt;0),"Bench",IF(E250&lt;F250,"Extra",IF(AND(J250="",E250&gt;F250),"To Buy",IF(SUM(J250,F250)&lt;E250,"To Buy",IF(AND(SUM(J250,F250)&gt;=E250,J250&lt;&gt;""),"Ordered",IF(AND(E250=0,F250=0,D250="B3"),"B3 Option",IF(AND(E250=0,F250=0),"Remove","To Buy"))))))))))</f>
        <v/>
      </c>
      <c r="D250" t="inlineStr">
        <is>
          <t>B2</t>
        </is>
      </c>
      <c r="E250" s="3">
        <f>SUM(M250:S250)</f>
        <v/>
      </c>
      <c r="F250" s="3">
        <f>SUM(T250:Z250)</f>
        <v/>
      </c>
      <c r="G250" s="3">
        <f>IF((F250-E250)&gt;=0,F250-E250,0)</f>
        <v/>
      </c>
      <c r="H250" s="3">
        <f>MAX(0,$E250-$F250-$J250)</f>
        <v/>
      </c>
      <c r="I250" s="3" t="n"/>
      <c r="J250" s="3" t="n"/>
      <c r="K250" s="4" t="n">
        <v>0.85</v>
      </c>
      <c r="L250" s="4">
        <f>IF(AND($H250&gt;0,ISNUMBER($K250)),$H250*$K250,0)</f>
        <v/>
      </c>
      <c r="M250" s="3" t="n">
        <v>1</v>
      </c>
      <c r="N250" s="3" t="n"/>
      <c r="O250" s="3" t="n"/>
      <c r="P250" s="3" t="n"/>
      <c r="Q250" s="3" t="n"/>
      <c r="R250" s="3" t="n"/>
      <c r="S250" s="3">
        <f>IF(AND(J250&lt;&gt;"",SUM(M250:R250)=0),J250,"")</f>
        <v/>
      </c>
      <c r="T250" s="3" t="n">
        <v>1</v>
      </c>
      <c r="U250" s="3" t="n"/>
      <c r="V250" s="3" t="n"/>
      <c r="W250" s="3" t="n"/>
      <c r="X250" s="3" t="n"/>
      <c r="Y250" s="3" t="n"/>
      <c r="Z250" s="3" t="n"/>
      <c r="AA250" s="2" t="inlineStr">
        <is>
          <t>Artifact</t>
        </is>
      </c>
      <c r="AB250" s="2" t="n"/>
      <c r="AC250" s="2" t="inlineStr">
        <is>
          <t>C</t>
        </is>
      </c>
      <c r="AD250" s="3" t="n">
        <v>2</v>
      </c>
      <c r="AE250" s="29" t="inlineStr">
        <is>
          <t>The Dark</t>
        </is>
      </c>
      <c r="AF250" s="29" t="inlineStr">
        <is>
          <t>Mana Rock</t>
        </is>
      </c>
      <c r="AG250" s="29" t="inlineStr">
        <is>
          <t>Taps for one mana of any color an opponent's land could produce</t>
        </is>
      </c>
      <c r="AH250" s="29" t="n"/>
      <c r="AI250" s="29" t="n"/>
      <c r="AJ250" s="2" t="n"/>
    </row>
    <row r="251" ht="15" customHeight="1" s="79">
      <c r="A251" s="2" t="inlineStr">
        <is>
          <t>Fertilid</t>
        </is>
      </c>
      <c r="B251" s="2">
        <f>IF(AND(F251&lt;&gt;0,E251=F251),"In Hand",IF(AND(E251&lt;&gt;0,E251&lt;F251,SUM(M251:R251)=0,SUM(T251:Y251)&gt;0),"Extra-Sub",IF(AND(E251=0,E251&lt;F251,SUM(M251:R251)=0,SUM(T251:Y251)&gt;0),"Bench-Sub",IF(AND(E251=0,F251&gt;0),"Bench",IF(E251&lt;F251,"Extra",IF(AND(J251="",E251&gt;F251),"To Buy",IF(SUM(J251,F251)&lt;E251,"To Buy",IF(AND(SUM(J251,F251)&gt;=E251,J251&lt;&gt;""),"Ordered",IF(AND(E251=0,F251=0,D251="B3"),"B3 Option",IF(AND(E251=0,F251=0),"Remove","To Buy"))))))))))</f>
        <v/>
      </c>
      <c r="D251" t="inlineStr">
        <is>
          <t>B2</t>
        </is>
      </c>
      <c r="E251" s="3">
        <f>SUM(M251:S251)</f>
        <v/>
      </c>
      <c r="F251" s="3">
        <f>SUM(T251:Z251)</f>
        <v/>
      </c>
      <c r="G251" s="3">
        <f>IF((F251-E251)&gt;=0,F251-E251,0)</f>
        <v/>
      </c>
      <c r="H251" s="3">
        <f>MAX(0,$E251-$F251-$J251)</f>
        <v/>
      </c>
      <c r="I251" s="3" t="n"/>
      <c r="J251" s="3" t="n"/>
      <c r="K251" s="4" t="n">
        <v>0.3</v>
      </c>
      <c r="L251" s="4">
        <f>IF(AND($H251&gt;0,ISNUMBER($K251)),$H251*$K251,0)</f>
        <v/>
      </c>
      <c r="M251" s="3" t="n"/>
      <c r="N251" s="3" t="n">
        <v>1</v>
      </c>
      <c r="O251" s="3" t="n">
        <v>1</v>
      </c>
      <c r="P251" s="3" t="n"/>
      <c r="Q251" s="3" t="n"/>
      <c r="R251" s="3" t="n"/>
      <c r="S251" s="3">
        <f>IF(AND(J251&lt;&gt;"",SUM(M251:R251)=0),J251,"")</f>
        <v/>
      </c>
      <c r="T251" s="3" t="n"/>
      <c r="U251" s="3" t="n">
        <v>1</v>
      </c>
      <c r="V251" s="3" t="n">
        <v>1</v>
      </c>
      <c r="W251" s="3" t="n"/>
      <c r="X251" s="3" t="n"/>
      <c r="Y251" s="3" t="n"/>
      <c r="Z251" s="3" t="n"/>
      <c r="AA251" s="2" t="inlineStr">
        <is>
          <t>Creature</t>
        </is>
      </c>
      <c r="AB251" s="2" t="inlineStr">
        <is>
          <t>Elemental</t>
        </is>
      </c>
      <c r="AC251" s="2" t="inlineStr">
        <is>
          <t>G</t>
        </is>
      </c>
      <c r="AD251" s="3" t="n">
        <v>3</v>
      </c>
      <c r="AE251" s="29" t="inlineStr">
        <is>
          <t>Morningtide</t>
        </is>
      </c>
      <c r="AF251" s="29" t="inlineStr">
        <is>
          <t>Ramp</t>
        </is>
      </c>
      <c r="AG251" s="29" t="inlineStr">
        <is>
          <t>Enters with two +1/+1 counters</t>
        </is>
      </c>
      <c r="AH251" s="29" t="inlineStr">
        <is>
          <t>Remove a counter: target player searches for a basic land onto the battlefield tapped</t>
        </is>
      </c>
      <c r="AI251" s="29" t="n"/>
      <c r="AJ251" s="2" t="inlineStr">
        <is>
          <t>Bench sub -&gt; D2 for Wood Elves (2026-09-02)</t>
        </is>
      </c>
      <c r="AK251" t="inlineStr">
        <is>
          <t>[T+A] B-&gt;D2 (bench sub) [done 2026-09-03]</t>
        </is>
      </c>
    </row>
    <row r="252" ht="15" customHeight="1" s="79">
      <c r="A252" s="2" t="inlineStr">
        <is>
          <t>Fields of Strife</t>
        </is>
      </c>
      <c r="B252" s="2">
        <f>IF(AND(F252&lt;&gt;0,E252=F252),"In Hand",IF(AND(E252&lt;&gt;0,E252&lt;F252,SUM(M252:R252)=0,SUM(T252:Y252)&gt;0),"Extra-Sub",IF(AND(E252=0,E252&lt;F252,SUM(M252:R252)=0,SUM(T252:Y252)&gt;0),"Bench-Sub",IF(AND(E252=0,F252&gt;0),"Bench",IF(E252&lt;F252,"Extra",IF(AND(J252="",E252&gt;F252),"To Buy",IF(SUM(J252,F252)&lt;E252,"To Buy",IF(AND(SUM(J252,F252)&gt;=E252,J252&lt;&gt;""),"Ordered",IF(AND(E252=0,F252=0,D252="B3"),"B3 Option",IF(AND(E252=0,F252=0),"Remove","To Buy"))))))))))</f>
        <v/>
      </c>
      <c r="D252" t="inlineStr">
        <is>
          <t>B2</t>
        </is>
      </c>
      <c r="E252" s="3">
        <f>SUM(M252:S252)</f>
        <v/>
      </c>
      <c r="F252" s="3">
        <f>SUM(T252:Z252)</f>
        <v/>
      </c>
      <c r="G252" s="3">
        <f>IF((F252-E252)&gt;=0,F252-E252,0)</f>
        <v/>
      </c>
      <c r="H252" s="3">
        <f>MAX(0,$E252-$F252-$J252)</f>
        <v/>
      </c>
      <c r="I252" s="3" t="n"/>
      <c r="J252" s="3" t="n"/>
      <c r="K252" s="4" t="n">
        <v>0.09</v>
      </c>
      <c r="L252" s="4">
        <f>IF(AND($H252&gt;0,ISNUMBER($K252)),$H252*$K252,0)</f>
        <v/>
      </c>
      <c r="M252" s="3" t="n">
        <v>1</v>
      </c>
      <c r="N252" s="3" t="n"/>
      <c r="O252" s="3" t="n"/>
      <c r="P252" s="3" t="n"/>
      <c r="Q252" s="3" t="n"/>
      <c r="R252" s="3" t="n"/>
      <c r="S252" s="3">
        <f>IF(AND(J252&lt;&gt;"",SUM(M252:R252)=0),J252,"")</f>
        <v/>
      </c>
      <c r="T252" s="3" t="n">
        <v>1</v>
      </c>
      <c r="U252" s="3" t="n"/>
      <c r="V252" s="3" t="n"/>
      <c r="W252" s="3" t="n"/>
      <c r="X252" s="3" t="n"/>
      <c r="Y252" s="3" t="n"/>
      <c r="Z252" s="3" t="n"/>
      <c r="AA252" s="2" t="inlineStr">
        <is>
          <t>Land</t>
        </is>
      </c>
      <c r="AB252" s="2" t="n"/>
      <c r="AC252" s="2" t="inlineStr">
        <is>
          <t>L</t>
        </is>
      </c>
      <c r="AD252" s="3" t="n">
        <v>0</v>
      </c>
      <c r="AE252" s="29" t="inlineStr">
        <is>
          <t>Secrets of Strixhaven</t>
        </is>
      </c>
      <c r="AF252" s="29" t="inlineStr">
        <is>
          <t>Land</t>
        </is>
      </c>
      <c r="AG252" s="29" t="inlineStr">
        <is>
          <t>Taps for {R} or {W}</t>
        </is>
      </c>
      <c r="AH252" s="29" t="inlineStr">
        <is>
          <t>Enters tapped</t>
        </is>
      </c>
      <c r="AI252" s="29" t="inlineStr">
        <is>
          <t>Pay mana, tap: look at top card, may put it in graveyard</t>
        </is>
      </c>
      <c r="AJ252" s="2" t="n"/>
      <c r="AK252" t="inlineStr">
        <is>
          <t>[B3 later] D1-&gt;B when Sunbaked Canyon is bought</t>
        </is>
      </c>
    </row>
    <row r="253" ht="15" customHeight="1" s="79">
      <c r="A253" s="2" t="inlineStr">
        <is>
          <t>Filigree Familiar</t>
        </is>
      </c>
      <c r="B253" s="2">
        <f>IF(AND(F253&lt;&gt;0,E253=F253),"In Hand",IF(AND(E253&lt;&gt;0,E253&lt;F253,SUM(M253:R253)=0,SUM(T253:Y253)&gt;0),"Extra-Sub",IF(AND(E253=0,E253&lt;F253,SUM(M253:R253)=0,SUM(T253:Y253)&gt;0),"Bench-Sub",IF(AND(E253=0,F253&gt;0),"Bench",IF(E253&lt;F253,"Extra",IF(AND(J253="",E253&gt;F253),"To Buy",IF(SUM(J253,F253)&lt;E253,"To Buy",IF(AND(SUM(J253,F253)&gt;=E253,J253&lt;&gt;""),"Ordered",IF(AND(E253=0,F253=0,D253="B3"),"B3 Option",IF(AND(E253=0,F253=0),"Remove","To Buy"))))))))))</f>
        <v/>
      </c>
      <c r="D253" t="inlineStr">
        <is>
          <t>B2</t>
        </is>
      </c>
      <c r="E253" s="3">
        <f>SUM(M253:S253)</f>
        <v/>
      </c>
      <c r="F253" s="3">
        <f>SUM(T253:Z253)</f>
        <v/>
      </c>
      <c r="G253" s="3">
        <f>IF((F253-E253)&gt;=0,F253-E253,0)</f>
        <v/>
      </c>
      <c r="H253" s="3">
        <f>MAX(0,$E253-$F253-$J253)</f>
        <v/>
      </c>
      <c r="I253" s="3" t="n"/>
      <c r="J253" s="3" t="n"/>
      <c r="K253" s="4" t="n">
        <v>0.28</v>
      </c>
      <c r="L253" s="4">
        <f>IF(AND($H253&gt;0,ISNUMBER($K253)),$H253*$K253,0)</f>
        <v/>
      </c>
      <c r="M253" s="3" t="n"/>
      <c r="N253" s="3" t="n">
        <v>1</v>
      </c>
      <c r="O253" s="3" t="n"/>
      <c r="P253" s="3" t="n"/>
      <c r="Q253" s="3" t="n"/>
      <c r="R253" s="3" t="n"/>
      <c r="S253" s="3">
        <f>IF(AND(J253&lt;&gt;"",SUM(M253:R253)=0),J253,"")</f>
        <v/>
      </c>
      <c r="T253" s="3" t="n"/>
      <c r="U253" s="3" t="n">
        <v>1</v>
      </c>
      <c r="V253" s="3" t="n"/>
      <c r="W253" s="3" t="n"/>
      <c r="X253" s="3" t="n"/>
      <c r="Y253" s="3" t="n"/>
      <c r="Z253" s="3" t="n"/>
      <c r="AA253" s="2" t="inlineStr">
        <is>
          <t>Artifact Creature</t>
        </is>
      </c>
      <c r="AB253" s="2" t="inlineStr">
        <is>
          <t>Fox</t>
        </is>
      </c>
      <c r="AC253" s="2" t="inlineStr">
        <is>
          <t>C</t>
        </is>
      </c>
      <c r="AD253" s="3" t="n">
        <v>3</v>
      </c>
      <c r="AE253" s="29" t="inlineStr">
        <is>
          <t>Kaladesh</t>
        </is>
      </c>
      <c r="AF253" s="29" t="inlineStr">
        <is>
          <t>Value Engine</t>
        </is>
      </c>
      <c r="AG253" s="29" t="inlineStr">
        <is>
          <t>Gain 2 life when it enters</t>
        </is>
      </c>
      <c r="AH253" s="29" t="inlineStr">
        <is>
          <t>Draws a card when it dies</t>
        </is>
      </c>
      <c r="AI253" s="29" t="n"/>
      <c r="AJ253" s="2" t="n"/>
    </row>
    <row r="254" ht="15" customHeight="1" s="79">
      <c r="A254" s="2" t="inlineStr">
        <is>
          <t>Flux Channeler</t>
        </is>
      </c>
      <c r="B254" s="2">
        <f>IF(AND(F254&lt;&gt;0,E254=F254),"In Hand",IF(AND(E254&lt;&gt;0,E254&lt;F254,SUM(M254:R254)=0,SUM(T254:Y254)&gt;0),"Extra-Sub",IF(AND(E254=0,E254&lt;F254,SUM(M254:R254)=0,SUM(T254:Y254)&gt;0),"Bench-Sub",IF(AND(E254=0,F254&gt;0),"Bench",IF(E254&lt;F254,"Extra",IF(AND(J254="",E254&gt;F254),"To Buy",IF(SUM(J254,F254)&lt;E254,"To Buy",IF(AND(SUM(J254,F254)&gt;=E254,J254&lt;&gt;""),"Ordered",IF(AND(E254=0,F254=0,D254="B3"),"B3 Option",IF(AND(E254=0,F254=0),"Remove","To Buy"))))))))))</f>
        <v/>
      </c>
      <c r="D254" t="inlineStr">
        <is>
          <t>B2</t>
        </is>
      </c>
      <c r="E254" s="3">
        <f>SUM(M254:S254)</f>
        <v/>
      </c>
      <c r="F254" s="3">
        <f>SUM(T254:Z254)</f>
        <v/>
      </c>
      <c r="G254" s="3">
        <f>IF((F254-E254)&gt;=0,F254-E254,0)</f>
        <v/>
      </c>
      <c r="H254" s="3">
        <f>MAX(0,$E254-$F254-$J254)</f>
        <v/>
      </c>
      <c r="I254" s="3" t="n"/>
      <c r="J254" s="3" t="n"/>
      <c r="K254" s="4" t="n">
        <v>3.49</v>
      </c>
      <c r="L254" s="4">
        <f>IF(AND($H254&gt;0,ISNUMBER($K254)),$H254*$K254,0)</f>
        <v/>
      </c>
      <c r="M254" s="3" t="n"/>
      <c r="N254" s="3" t="n"/>
      <c r="O254" s="3" t="n">
        <v>1</v>
      </c>
      <c r="P254" s="3" t="n"/>
      <c r="Q254" s="3" t="n"/>
      <c r="R254" s="3" t="n"/>
      <c r="S254" s="3">
        <f>IF(AND(J254&lt;&gt;"",SUM(M254:R254)=0),J254,"")</f>
        <v/>
      </c>
      <c r="T254" s="3" t="n"/>
      <c r="U254" s="3" t="n"/>
      <c r="V254" s="3" t="n">
        <v>1</v>
      </c>
      <c r="W254" s="3" t="n"/>
      <c r="X254" s="3" t="n"/>
      <c r="Y254" s="3" t="n"/>
      <c r="Z254" s="3" t="n"/>
      <c r="AA254" s="2" t="inlineStr">
        <is>
          <t>Creature</t>
        </is>
      </c>
      <c r="AB254" s="2" t="inlineStr">
        <is>
          <t>Human Wizard</t>
        </is>
      </c>
      <c r="AC254" s="2" t="inlineStr">
        <is>
          <t>U</t>
        </is>
      </c>
      <c r="AD254" s="3" t="n">
        <v>3</v>
      </c>
      <c r="AE254" s="29" t="inlineStr">
        <is>
          <t>War of the Spark</t>
        </is>
      </c>
      <c r="AF254" s="29" t="inlineStr">
        <is>
          <t>Proliferate</t>
        </is>
      </c>
      <c r="AG254" s="29" t="inlineStr">
        <is>
          <t>Proliferate whenever you cast a noncreature spell</t>
        </is>
      </c>
      <c r="AH254" s="29" t="n"/>
      <c r="AI254" s="29" t="n"/>
      <c r="AJ254" s="2" t="n"/>
    </row>
    <row r="255" ht="15" customHeight="1" s="79">
      <c r="A255" s="2" t="inlineStr">
        <is>
          <t>Fortified Village</t>
        </is>
      </c>
      <c r="B255" s="2">
        <f>IF(AND(F255&lt;&gt;0,E255=F255),"In Hand",IF(AND(E255&lt;&gt;0,E255&lt;F255,SUM(M255:R255)=0,SUM(T255:Y255)&gt;0),"Extra-Sub",IF(AND(E255=0,E255&lt;F255,SUM(M255:R255)=0,SUM(T255:Y255)&gt;0),"Bench-Sub",IF(AND(E255=0,F255&gt;0),"Bench",IF(E255&lt;F255,"Extra",IF(AND(J255="",E255&gt;F255),"To Buy",IF(SUM(J255,F255)&lt;E255,"To Buy",IF(AND(SUM(J255,F255)&gt;=E255,J255&lt;&gt;""),"Ordered",IF(AND(E255=0,F255=0,D255="B3"),"B3 Option",IF(AND(E255=0,F255=0),"Remove","To Buy"))))))))))</f>
        <v/>
      </c>
      <c r="D255" t="inlineStr">
        <is>
          <t>B2</t>
        </is>
      </c>
      <c r="E255" s="3">
        <f>SUM(M255:S255)</f>
        <v/>
      </c>
      <c r="F255" s="3">
        <f>SUM(T255:Z255)</f>
        <v/>
      </c>
      <c r="G255" s="3">
        <f>IF((F255-E255)&gt;=0,F255-E255,0)</f>
        <v/>
      </c>
      <c r="H255" s="3">
        <f>MAX(0,$E255-$F255-$J255)</f>
        <v/>
      </c>
      <c r="I255" s="3" t="n"/>
      <c r="J255" s="3" t="n"/>
      <c r="K255" s="4" t="n">
        <v>0.33</v>
      </c>
      <c r="L255" s="4">
        <f>IF(AND($H255&gt;0,ISNUMBER($K255)),$H255*$K255,0)</f>
        <v/>
      </c>
      <c r="M255" s="3" t="n"/>
      <c r="N255" s="3" t="n"/>
      <c r="O255" s="3" t="n"/>
      <c r="P255" s="3" t="n">
        <v>1</v>
      </c>
      <c r="Q255" s="3" t="n"/>
      <c r="R255" s="3" t="n"/>
      <c r="S255" s="3">
        <f>IF(AND(J255&lt;&gt;"",SUM(M255:R255)=0),J255,"")</f>
        <v/>
      </c>
      <c r="T255" s="3" t="n"/>
      <c r="U255" s="3" t="n"/>
      <c r="V255" s="3" t="n"/>
      <c r="W255" s="3" t="n">
        <v>1</v>
      </c>
      <c r="X255" s="3" t="n"/>
      <c r="Y255" s="3" t="n"/>
      <c r="Z255" s="3" t="n"/>
      <c r="AA255" s="2" t="inlineStr">
        <is>
          <t>Land</t>
        </is>
      </c>
      <c r="AB255" s="2" t="n"/>
      <c r="AC255" s="2" t="inlineStr">
        <is>
          <t>L</t>
        </is>
      </c>
      <c r="AD255" s="3" t="n">
        <v>0</v>
      </c>
      <c r="AE255" s="29" t="inlineStr">
        <is>
          <t>Shadows over Innistrad</t>
        </is>
      </c>
      <c r="AF255" s="29" t="inlineStr">
        <is>
          <t>Land</t>
        </is>
      </c>
      <c r="AG255" s="29" t="inlineStr">
        <is>
          <t>Taps for {G} or {W}</t>
        </is>
      </c>
      <c r="AH255" s="29" t="inlineStr">
        <is>
          <t>Enters untapped if you reveal a Forest or Plains card from hand</t>
        </is>
      </c>
      <c r="AI255" s="29" t="n"/>
      <c r="AJ255" s="2" t="n"/>
    </row>
    <row r="256" ht="15" customHeight="1" s="79">
      <c r="A256" s="2" t="inlineStr">
        <is>
          <t>Foundry Street Denizen</t>
        </is>
      </c>
      <c r="B256" s="2">
        <f>IF(AND(F256&lt;&gt;0,E256=F256),"In Hand",IF(AND(E256&lt;&gt;0,E256&lt;F256,SUM(M256:R256)=0,SUM(T256:Y256)&gt;0),"Extra-Sub",IF(AND(E256=0,E256&lt;F256,SUM(M256:R256)=0,SUM(T256:Y256)&gt;0),"Bench-Sub",IF(AND(E256=0,F256&gt;0),"Bench",IF(E256&lt;F256,"Extra",IF(AND(J256="",E256&gt;F256),"To Buy",IF(SUM(J256,F256)&lt;E256,"To Buy",IF(AND(SUM(J256,F256)&gt;=E256,J256&lt;&gt;""),"Ordered",IF(AND(E256=0,F256=0,D256="B3"),"B3 Option",IF(AND(E256=0,F256=0),"Remove","To Buy"))))))))))</f>
        <v/>
      </c>
      <c r="D256" t="inlineStr">
        <is>
          <t>B2</t>
        </is>
      </c>
      <c r="E256" s="3">
        <f>SUM(M256:S256)</f>
        <v/>
      </c>
      <c r="F256" s="3">
        <f>SUM(T256:Z256)</f>
        <v/>
      </c>
      <c r="G256" s="3">
        <f>IF((F256-E256)&gt;=0,F256-E256,0)</f>
        <v/>
      </c>
      <c r="H256" s="3">
        <f>MAX(0,$E256-$F256-$J256)</f>
        <v/>
      </c>
      <c r="I256" s="3" t="n"/>
      <c r="J256" s="3" t="n"/>
      <c r="K256" s="4" t="n">
        <v>0.17</v>
      </c>
      <c r="L256" s="4">
        <f>IF(AND($H256&gt;0,ISNUMBER($K256)),$H256*$K256,0)</f>
        <v/>
      </c>
      <c r="M256" s="3" t="n"/>
      <c r="N256" s="3" t="n"/>
      <c r="O256" s="3" t="n"/>
      <c r="P256" s="3" t="n"/>
      <c r="Q256" s="3" t="n"/>
      <c r="R256" s="3" t="n">
        <v>1</v>
      </c>
      <c r="S256" s="3">
        <f>IF(AND(J256&lt;&gt;"",SUM(M256:R256)=0),J256,"")</f>
        <v/>
      </c>
      <c r="T256" s="3" t="n"/>
      <c r="U256" s="3" t="n"/>
      <c r="V256" s="3" t="n"/>
      <c r="W256" s="3" t="n"/>
      <c r="X256" s="3" t="n"/>
      <c r="Y256" s="3" t="n">
        <v>1</v>
      </c>
      <c r="Z256" s="3" t="n"/>
      <c r="AA256" s="2" t="inlineStr">
        <is>
          <t>Creature</t>
        </is>
      </c>
      <c r="AB256" s="2" t="inlineStr">
        <is>
          <t>Goblin Warrior</t>
        </is>
      </c>
      <c r="AC256" s="2" t="inlineStr">
        <is>
          <t>R</t>
        </is>
      </c>
      <c r="AD256" s="3" t="n">
        <v>1</v>
      </c>
      <c r="AE256" s="29" t="inlineStr">
        <is>
          <t>Gatecrash</t>
        </is>
      </c>
      <c r="AF256" s="29" t="inlineStr">
        <is>
          <t>Lord/Anthem</t>
        </is>
      </c>
      <c r="AG256" s="29" t="inlineStr">
        <is>
          <t>Gets +1/+0 until end of turn whenever another red creature you control enters</t>
        </is>
      </c>
      <c r="AH256" s="29" t="n"/>
      <c r="AI256" s="29" t="n"/>
      <c r="AJ256" s="2" t="inlineStr">
        <is>
          <t>Received/settled (was in cart 2026-09-02: Game Theory Wake Forest $0.3 Near Mint)</t>
        </is>
      </c>
    </row>
    <row r="257" ht="15" customHeight="1" s="79">
      <c r="A257" s="2" t="inlineStr">
        <is>
          <t>Freyalise, Llanowar's Fury</t>
        </is>
      </c>
      <c r="B257" s="2">
        <f>IF(AND(F257&lt;&gt;0,E257=F257),"In Hand",IF(AND(E257&lt;&gt;0,E257&lt;F257,SUM(M257:R257)=0,SUM(T257:Y257)&gt;0),"Extra-Sub",IF(AND(E257=0,E257&lt;F257,SUM(M257:R257)=0,SUM(T257:Y257)&gt;0),"Bench-Sub",IF(AND(E257=0,F257&gt;0),"Bench",IF(E257&lt;F257,"Extra",IF(AND(J257="",E257&gt;F257),"To Buy",IF(SUM(J257,F257)&lt;E257,"To Buy",IF(AND(SUM(J257,F257)&gt;=E257,J257&lt;&gt;""),"Ordered",IF(AND(E257=0,F257=0,D257="B3"),"B3 Option",IF(AND(E257=0,F257=0),"Remove","To Buy"))))))))))</f>
        <v/>
      </c>
      <c r="D257" t="inlineStr">
        <is>
          <t>B2</t>
        </is>
      </c>
      <c r="E257" s="3">
        <f>SUM(M257:S257)</f>
        <v/>
      </c>
      <c r="F257" s="3">
        <f>SUM(T257:Z257)</f>
        <v/>
      </c>
      <c r="G257" s="3">
        <f>IF((F257-E257)&gt;=0,F257-E257,0)</f>
        <v/>
      </c>
      <c r="H257" s="3">
        <f>MAX(0,$E257-$F257-$J257)</f>
        <v/>
      </c>
      <c r="I257" s="3" t="n"/>
      <c r="J257" s="3" t="n"/>
      <c r="K257" s="4" t="n">
        <v>4.47</v>
      </c>
      <c r="L257" s="4">
        <f>IF(AND($H257&gt;0,ISNUMBER($K257)),$H257*$K257,0)</f>
        <v/>
      </c>
      <c r="M257" s="3" t="n"/>
      <c r="N257" s="3" t="n"/>
      <c r="O257" s="3" t="n"/>
      <c r="P257" s="3" t="n">
        <v>1</v>
      </c>
      <c r="Q257" s="3" t="n"/>
      <c r="R257" s="3" t="n"/>
      <c r="S257" s="3">
        <f>IF(AND(J257&lt;&gt;"",SUM(M257:R257)=0),J257,"")</f>
        <v/>
      </c>
      <c r="T257" s="3" t="n"/>
      <c r="U257" s="3" t="n"/>
      <c r="V257" s="3" t="n"/>
      <c r="W257" s="3" t="n">
        <v>1</v>
      </c>
      <c r="X257" s="3" t="n"/>
      <c r="Y257" s="3" t="n"/>
      <c r="Z257" s="3" t="n"/>
      <c r="AA257" s="2" t="inlineStr">
        <is>
          <t>Legendary Planeswalker</t>
        </is>
      </c>
      <c r="AB257" s="2" t="inlineStr">
        <is>
          <t>Freyalise</t>
        </is>
      </c>
      <c r="AC257" s="2" t="inlineStr">
        <is>
          <t>G</t>
        </is>
      </c>
      <c r="AD257" s="3" t="n">
        <v>5</v>
      </c>
      <c r="AE257" s="29" t="inlineStr">
        <is>
          <t>Commander 2014</t>
        </is>
      </c>
      <c r="AF257" s="29" t="inlineStr">
        <is>
          <t>Ramp</t>
        </is>
      </c>
      <c r="AG257" s="29" t="inlineStr">
        <is>
          <t>+2: creates a 1/1 Elf token that taps for {G}</t>
        </is>
      </c>
      <c r="AH257" s="29" t="inlineStr">
        <is>
          <t>-2: destroys target artifact or enchantment</t>
        </is>
      </c>
      <c r="AI257" s="29" t="inlineStr">
        <is>
          <t>-6: draws a card per green creature you control</t>
        </is>
      </c>
      <c r="AJ257" s="2" t="n"/>
    </row>
    <row r="258" ht="15" customHeight="1" s="79">
      <c r="A258" s="2" t="inlineStr">
        <is>
          <t>Furycalm Snarl</t>
        </is>
      </c>
      <c r="B258" s="2">
        <f>IF(AND(F258&lt;&gt;0,E258=F258),"In Hand",IF(AND(E258&lt;&gt;0,E258&lt;F258,SUM(M258:R258)=0,SUM(T258:Y258)&gt;0),"Extra-Sub",IF(AND(E258=0,E258&lt;F258,SUM(M258:R258)=0,SUM(T258:Y258)&gt;0),"Bench-Sub",IF(AND(E258=0,F258&gt;0),"Bench",IF(E258&lt;F258,"Extra",IF(AND(J258="",E258&gt;F258),"To Buy",IF(SUM(J258,F258)&lt;E258,"To Buy",IF(AND(SUM(J258,F258)&gt;=E258,J258&lt;&gt;""),"Ordered",IF(AND(E258=0,F258=0,D258="B3"),"B3 Option",IF(AND(E258=0,F258=0),"Remove","To Buy"))))))))))</f>
        <v/>
      </c>
      <c r="D258" t="inlineStr">
        <is>
          <t>B2</t>
        </is>
      </c>
      <c r="E258" s="3">
        <f>SUM(M258:S258)</f>
        <v/>
      </c>
      <c r="F258" s="3">
        <f>SUM(T258:Z258)</f>
        <v/>
      </c>
      <c r="G258" s="3">
        <f>IF((F258-E258)&gt;=0,F258-E258,0)</f>
        <v/>
      </c>
      <c r="H258" s="3">
        <f>MAX(0,$E258-$F258-$J258)</f>
        <v/>
      </c>
      <c r="I258" s="3" t="n"/>
      <c r="J258" s="3" t="n"/>
      <c r="K258" s="4" t="n">
        <v>0.22</v>
      </c>
      <c r="L258" s="4">
        <f>IF(AND($H258&gt;0,ISNUMBER($K258)),$H258*$K258,0)</f>
        <v/>
      </c>
      <c r="M258" s="3" t="n">
        <v>1</v>
      </c>
      <c r="N258" s="3" t="n"/>
      <c r="O258" s="3" t="n"/>
      <c r="P258" s="3" t="n"/>
      <c r="Q258" s="3" t="n"/>
      <c r="R258" s="3" t="n"/>
      <c r="S258" s="3">
        <f>IF(AND(J258&lt;&gt;"",SUM(M258:R258)=0),J258,"")</f>
        <v/>
      </c>
      <c r="T258" s="3" t="n">
        <v>1</v>
      </c>
      <c r="U258" s="3" t="n"/>
      <c r="V258" s="3" t="n"/>
      <c r="W258" s="3" t="n"/>
      <c r="X258" s="3" t="n"/>
      <c r="Y258" s="3" t="n"/>
      <c r="Z258" s="3" t="n"/>
      <c r="AA258" s="2" t="inlineStr">
        <is>
          <t>Land</t>
        </is>
      </c>
      <c r="AB258" s="2" t="n"/>
      <c r="AC258" s="2" t="inlineStr">
        <is>
          <t>L</t>
        </is>
      </c>
      <c r="AD258" s="3" t="n">
        <v>0</v>
      </c>
      <c r="AE258" s="29" t="inlineStr">
        <is>
          <t>Strixhaven: School of Mages</t>
        </is>
      </c>
      <c r="AF258" s="29" t="inlineStr">
        <is>
          <t>Land</t>
        </is>
      </c>
      <c r="AG258" s="29" t="inlineStr">
        <is>
          <t>Taps for {R} or {W}</t>
        </is>
      </c>
      <c r="AH258" s="29" t="inlineStr">
        <is>
          <t>Enters tapped unless you reveal a Mountain or Plains from hand</t>
        </is>
      </c>
      <c r="AI258" s="29" t="n"/>
      <c r="AJ258" s="2" t="n"/>
    </row>
    <row r="259" ht="15" customHeight="1" s="79">
      <c r="A259" s="2" t="inlineStr">
        <is>
          <t>Ghor-Clan Wrecker</t>
        </is>
      </c>
      <c r="B259" s="2">
        <f>IF(AND(F259&lt;&gt;0,E259=F259),"In Hand",IF(AND(E259&lt;&gt;0,E259&lt;F259,SUM(M259:R259)=0,SUM(T259:Y259)&gt;0),"Extra-Sub",IF(AND(E259=0,E259&lt;F259,SUM(M259:R259)=0,SUM(T259:Y259)&gt;0),"Bench-Sub",IF(AND(E259=0,F259&gt;0),"Bench",IF(E259&lt;F259,"Extra",IF(AND(J259="",E259&gt;F259),"To Buy",IF(SUM(J259,F259)&lt;E259,"To Buy",IF(AND(SUM(J259,F259)&gt;=E259,J259&lt;&gt;""),"Ordered",IF(AND(E259=0,F259=0,D259="B3"),"B3 Option",IF(AND(E259=0,F259=0),"Remove","To Buy"))))))))))</f>
        <v/>
      </c>
      <c r="D259" t="inlineStr">
        <is>
          <t>B2</t>
        </is>
      </c>
      <c r="E259" s="3">
        <f>SUM(M259:S259)</f>
        <v/>
      </c>
      <c r="F259" s="3">
        <f>SUM(T259:Z259)</f>
        <v/>
      </c>
      <c r="G259" s="3">
        <f>IF((F259-E259)&gt;=0,F259-E259,0)</f>
        <v/>
      </c>
      <c r="H259" s="3">
        <f>MAX(0,$E259-$F259-$J259)</f>
        <v/>
      </c>
      <c r="I259" s="3" t="n"/>
      <c r="J259" s="3" t="n"/>
      <c r="K259" s="4" t="n">
        <v>0.15</v>
      </c>
      <c r="L259" s="4">
        <f>IF(AND($H259&gt;0,ISNUMBER($K259)),$H259*$K259,0)</f>
        <v/>
      </c>
      <c r="M259" s="3" t="n"/>
      <c r="N259" s="3" t="n"/>
      <c r="O259" s="3" t="n"/>
      <c r="P259" s="3" t="n"/>
      <c r="Q259" s="3" t="n"/>
      <c r="R259" s="3" t="n">
        <v>1</v>
      </c>
      <c r="S259" s="3">
        <f>IF(AND(J259&lt;&gt;"",SUM(M259:R259)=0),J259,"")</f>
        <v/>
      </c>
      <c r="T259" s="3" t="n"/>
      <c r="U259" s="3" t="n"/>
      <c r="V259" s="3" t="n"/>
      <c r="W259" s="3" t="n"/>
      <c r="X259" s="3" t="n"/>
      <c r="Y259" s="3" t="n">
        <v>1</v>
      </c>
      <c r="Z259" s="3" t="n"/>
      <c r="AA259" s="2" t="inlineStr">
        <is>
          <t>Creature</t>
        </is>
      </c>
      <c r="AB259" s="2" t="inlineStr">
        <is>
          <t>Human Warrior</t>
        </is>
      </c>
      <c r="AC259" s="2" t="inlineStr">
        <is>
          <t>R</t>
        </is>
      </c>
      <c r="AD259" s="3" t="n">
        <v>4</v>
      </c>
      <c r="AE259" s="29" t="inlineStr">
        <is>
          <t>Ravnica Allegiance</t>
        </is>
      </c>
      <c r="AF259" s="29" t="inlineStr">
        <is>
          <t>Finisher</t>
        </is>
      </c>
      <c r="AG259" s="29" t="inlineStr">
        <is>
          <t>Enters with a +1/+1 counter or haste, your choice</t>
        </is>
      </c>
      <c r="AH259" s="29" t="inlineStr">
        <is>
          <t>Can't be blocked except by two or more creatures</t>
        </is>
      </c>
      <c r="AI259" s="29" t="n"/>
      <c r="AJ259" s="2" t="n"/>
      <c r="AK259" t="inlineStr">
        <is>
          <t>[B3 later] D6-&gt;B when Goblin Piledriver is bought</t>
        </is>
      </c>
    </row>
    <row r="260" ht="15" customHeight="1" s="79">
      <c r="A260" s="2" t="inlineStr">
        <is>
          <t>Ghost Vacuum</t>
        </is>
      </c>
      <c r="B260" s="2">
        <f>IF(AND(F260&lt;&gt;0,E260=F260),"In Hand",IF(AND(E260&lt;&gt;0,E260&lt;F260,SUM(M260:R260)=0,SUM(T260:Y260)&gt;0),"Extra-Sub",IF(AND(E260=0,E260&lt;F260,SUM(M260:R260)=0,SUM(T260:Y260)&gt;0),"Bench-Sub",IF(AND(E260=0,F260&gt;0),"Bench",IF(E260&lt;F260,"Extra",IF(AND(J260="",E260&gt;F260),"To Buy",IF(SUM(J260,F260)&lt;E260,"To Buy",IF(AND(SUM(J260,F260)&gt;=E260,J260&lt;&gt;""),"Ordered",IF(AND(E260=0,F260=0,D260="B3"),"B3 Option",IF(AND(E260=0,F260=0),"Remove","To Buy"))))))))))</f>
        <v/>
      </c>
      <c r="D260" t="inlineStr">
        <is>
          <t>B2</t>
        </is>
      </c>
      <c r="E260" s="3">
        <f>SUM(M260:S260)</f>
        <v/>
      </c>
      <c r="F260" s="3">
        <f>SUM(T260:Z260)</f>
        <v/>
      </c>
      <c r="G260" s="3">
        <f>IF((F260-E260)&gt;=0,F260-E260,0)</f>
        <v/>
      </c>
      <c r="H260" s="3">
        <f>MAX(0,$E260-$F260-$J260)</f>
        <v/>
      </c>
      <c r="I260" s="3" t="n"/>
      <c r="J260" s="3" t="n"/>
      <c r="K260" s="4" t="n">
        <v>4.15</v>
      </c>
      <c r="L260" s="4">
        <f>IF(AND($H260&gt;0,ISNUMBER($K260)),$H260*$K260,0)</f>
        <v/>
      </c>
      <c r="M260" s="3" t="n">
        <v>1</v>
      </c>
      <c r="N260" s="3" t="n"/>
      <c r="O260" s="3" t="n"/>
      <c r="P260" s="3" t="n"/>
      <c r="Q260" s="3" t="n"/>
      <c r="R260" s="3" t="n"/>
      <c r="S260" s="3">
        <f>IF(AND(J260&lt;&gt;"",SUM(M260:R260)=0),J260,"")</f>
        <v/>
      </c>
      <c r="T260" s="3" t="n">
        <v>1</v>
      </c>
      <c r="U260" s="3" t="n"/>
      <c r="V260" s="3" t="n"/>
      <c r="W260" s="3" t="n"/>
      <c r="X260" s="3" t="n"/>
      <c r="Y260" s="3" t="n"/>
      <c r="Z260" s="3" t="n"/>
      <c r="AA260" s="2" t="inlineStr">
        <is>
          <t>Artifact</t>
        </is>
      </c>
      <c r="AB260" s="2" t="n"/>
      <c r="AC260" s="2" t="inlineStr">
        <is>
          <t>C</t>
        </is>
      </c>
      <c r="AD260" s="3" t="n">
        <v>1</v>
      </c>
      <c r="AE260" s="29" t="inlineStr">
        <is>
          <t>Duskmourn: House of Horror</t>
        </is>
      </c>
      <c r="AF260" s="29" t="inlineStr">
        <is>
          <t>Graveyard Hate</t>
        </is>
      </c>
      <c r="AG260" s="29" t="inlineStr">
        <is>
          <t>Tap: exile target card from a graveyard</t>
        </is>
      </c>
      <c r="AH260" s="29" t="inlineStr">
        <is>
          <t>Pay {6}, tap, sacrifice: put all creatures exiled with it onto the battlefield as 1/1 flying Spirits</t>
        </is>
      </c>
      <c r="AI260" s="29" t="n"/>
      <c r="AJ260" s="2" t="inlineStr">
        <is>
          <t>Tuned add; repeatable graveyard-exile = a Spirit trigger every turn</t>
        </is>
      </c>
    </row>
    <row r="261" ht="15" customHeight="1" s="79">
      <c r="A261" s="2" t="inlineStr">
        <is>
          <t>Gilt-Leaf's Embrace</t>
        </is>
      </c>
      <c r="B261" s="2">
        <f>IF(AND(F261&lt;&gt;0,E261=F261),"In Hand",IF(AND(E261&lt;&gt;0,E261&lt;F261,SUM(M261:R261)=0,SUM(T261:Y261)&gt;0),"Extra-Sub",IF(AND(E261=0,E261&lt;F261,SUM(M261:R261)=0,SUM(T261:Y261)&gt;0),"Bench-Sub",IF(AND(E261=0,F261&gt;0),"Bench",IF(E261&lt;F261,"Extra",IF(AND(J261="",E261&gt;F261),"To Buy",IF(SUM(J261,F261)&lt;E261,"To Buy",IF(AND(SUM(J261,F261)&gt;=E261,J261&lt;&gt;""),"Ordered",IF(AND(E261=0,F261=0,D261="B3"),"B3 Option",IF(AND(E261=0,F261=0),"Remove","To Buy"))))))))))</f>
        <v/>
      </c>
      <c r="D261" t="inlineStr">
        <is>
          <t>B2</t>
        </is>
      </c>
      <c r="E261" s="3">
        <f>SUM(M261:S261)</f>
        <v/>
      </c>
      <c r="F261" s="3">
        <f>SUM(T261:Z261)</f>
        <v/>
      </c>
      <c r="G261" s="3">
        <f>IF((F261-E261)&gt;=0,F261-E261,0)</f>
        <v/>
      </c>
      <c r="H261" s="3">
        <f>MAX(0,$E261-$F261-$J261)</f>
        <v/>
      </c>
      <c r="I261" s="3" t="n"/>
      <c r="J261" s="3" t="n"/>
      <c r="K261" s="4" t="n">
        <v>0.13</v>
      </c>
      <c r="L261" s="4">
        <f>IF(AND($H261&gt;0,ISNUMBER($K261)),$H261*$K261,0)</f>
        <v/>
      </c>
      <c r="M261" s="3" t="n"/>
      <c r="N261" s="3" t="n">
        <v>1</v>
      </c>
      <c r="O261" s="3" t="n"/>
      <c r="P261" s="3" t="n"/>
      <c r="Q261" s="3" t="n"/>
      <c r="R261" s="3" t="n"/>
      <c r="S261" s="3">
        <f>IF(AND(J261&lt;&gt;"",SUM(M261:R261)=0),J261,"")</f>
        <v/>
      </c>
      <c r="T261" s="3" t="n"/>
      <c r="U261" s="3" t="n">
        <v>1</v>
      </c>
      <c r="V261" s="3" t="n"/>
      <c r="W261" s="3" t="n"/>
      <c r="X261" s="3" t="n"/>
      <c r="Y261" s="3" t="n"/>
      <c r="Z261" s="3" t="n"/>
      <c r="AA261" s="2" t="inlineStr">
        <is>
          <t>Enchantment</t>
        </is>
      </c>
      <c r="AB261" s="2" t="inlineStr">
        <is>
          <t>Aura</t>
        </is>
      </c>
      <c r="AC261" s="2" t="inlineStr">
        <is>
          <t>G</t>
        </is>
      </c>
      <c r="AD261" s="3" t="n">
        <v>3</v>
      </c>
      <c r="AE261" s="29" t="inlineStr">
        <is>
          <t>Lorwyn Eclipsed</t>
        </is>
      </c>
      <c r="AF261" s="29" t="inlineStr">
        <is>
          <t>Combat Trick</t>
        </is>
      </c>
      <c r="AG261" s="29" t="inlineStr">
        <is>
          <t>Enchanted creature gets +2/+0</t>
        </is>
      </c>
      <c r="AH261" s="29" t="inlineStr">
        <is>
          <t>Enchanted creature can't be destroyed and its damage carries through blockers until end of turn, when it enters</t>
        </is>
      </c>
      <c r="AI261" s="29" t="n"/>
      <c r="AJ261" s="2" t="n"/>
    </row>
    <row r="262" ht="15" customHeight="1" s="79">
      <c r="A262" s="2" t="inlineStr">
        <is>
          <t>Glamermite</t>
        </is>
      </c>
      <c r="B262" s="2">
        <f>IF(AND(F262&lt;&gt;0,E262=F262),"In Hand",IF(AND(E262&lt;&gt;0,E262&lt;F262,SUM(M262:R262)=0,SUM(T262:Y262)&gt;0),"Extra-Sub",IF(AND(E262=0,E262&lt;F262,SUM(M262:R262)=0,SUM(T262:Y262)&gt;0),"Bench-Sub",IF(AND(E262=0,F262&gt;0),"Bench",IF(E262&lt;F262,"Extra",IF(AND(J262="",E262&gt;F262),"To Buy",IF(SUM(J262,F262)&lt;E262,"To Buy",IF(AND(SUM(J262,F262)&gt;=E262,J262&lt;&gt;""),"Ordered",IF(AND(E262=0,F262=0,D262="B3"),"B3 Option",IF(AND(E262=0,F262=0),"Remove","To Buy"))))))))))</f>
        <v/>
      </c>
      <c r="D262" t="inlineStr">
        <is>
          <t>B2</t>
        </is>
      </c>
      <c r="E262" s="3">
        <f>SUM(M262:S262)</f>
        <v/>
      </c>
      <c r="F262" s="3">
        <f>SUM(T262:Z262)</f>
        <v/>
      </c>
      <c r="G262" s="3">
        <f>IF((F262-E262)&gt;=0,F262-E262,0)</f>
        <v/>
      </c>
      <c r="H262" s="3">
        <f>MAX(0,$E262-$F262-$J262)</f>
        <v/>
      </c>
      <c r="I262" s="3" t="n"/>
      <c r="J262" s="3" t="n"/>
      <c r="K262" s="4" t="n">
        <v>0.24</v>
      </c>
      <c r="L262" s="4">
        <f>IF(AND($H262&gt;0,ISNUMBER($K262)),$H262*$K262,0)</f>
        <v/>
      </c>
      <c r="M262" s="3" t="n"/>
      <c r="N262" s="3" t="n">
        <v>1</v>
      </c>
      <c r="O262" s="3" t="n"/>
      <c r="P262" s="3" t="n"/>
      <c r="Q262" s="3" t="n"/>
      <c r="R262" s="3" t="n"/>
      <c r="S262" s="3">
        <f>IF(AND(J262&lt;&gt;"",SUM(M262:R262)=0),J262,"")</f>
        <v/>
      </c>
      <c r="T262" s="3" t="n"/>
      <c r="U262" s="3" t="n">
        <v>1</v>
      </c>
      <c r="V262" s="3" t="n"/>
      <c r="W262" s="3" t="n"/>
      <c r="X262" s="3" t="n"/>
      <c r="Y262" s="3" t="n"/>
      <c r="Z262" s="3" t="n"/>
      <c r="AA262" s="2" t="inlineStr">
        <is>
          <t>Creature</t>
        </is>
      </c>
      <c r="AB262" s="2" t="inlineStr">
        <is>
          <t>Faerie Rogue</t>
        </is>
      </c>
      <c r="AC262" s="2" t="inlineStr">
        <is>
          <t>U</t>
        </is>
      </c>
      <c r="AD262" s="3" t="n">
        <v>3</v>
      </c>
      <c r="AE262" s="29" t="inlineStr">
        <is>
          <t>Lorwyn Eclipsed</t>
        </is>
      </c>
      <c r="AF262" s="29" t="inlineStr">
        <is>
          <t>Utility Creature</t>
        </is>
      </c>
      <c r="AG262" s="29" t="inlineStr">
        <is>
          <t>Taps or untaps target creature when it enters</t>
        </is>
      </c>
      <c r="AH262" s="29" t="inlineStr">
        <is>
          <t>Flash flying body</t>
        </is>
      </c>
      <c r="AI262" s="29" t="n"/>
      <c r="AJ262" s="2" t="n"/>
      <c r="AK262" t="inlineStr">
        <is>
          <t>[B3 later] D2-&gt;B when Guardian Project is bought</t>
        </is>
      </c>
    </row>
    <row r="263" ht="15" customHeight="1" s="79">
      <c r="A263" s="2" t="inlineStr">
        <is>
          <t>Glittering Massif</t>
        </is>
      </c>
      <c r="B263" s="2">
        <f>IF(AND(F263&lt;&gt;0,E263=F263),"In Hand",IF(AND(E263&lt;&gt;0,E263&lt;F263,SUM(M263:R263)=0,SUM(T263:Y263)&gt;0),"Extra-Sub",IF(AND(E263=0,E263&lt;F263,SUM(M263:R263)=0,SUM(T263:Y263)&gt;0),"Bench-Sub",IF(AND(E263=0,F263&gt;0),"Bench",IF(E263&lt;F263,"Extra",IF(AND(J263="",E263&gt;F263),"To Buy",IF(SUM(J263,F263)&lt;E263,"To Buy",IF(AND(SUM(J263,F263)&gt;=E263,J263&lt;&gt;""),"Ordered",IF(AND(E263=0,F263=0,D263="B3"),"B3 Option",IF(AND(E263=0,F263=0),"Remove","To Buy"))))))))))</f>
        <v/>
      </c>
      <c r="D263" t="inlineStr">
        <is>
          <t>B2</t>
        </is>
      </c>
      <c r="E263" s="3">
        <f>SUM(M263:S263)</f>
        <v/>
      </c>
      <c r="F263" s="3">
        <f>SUM(T263:Z263)</f>
        <v/>
      </c>
      <c r="G263" s="3">
        <f>IF((F263-E263)&gt;=0,F263-E263,0)</f>
        <v/>
      </c>
      <c r="H263" s="3">
        <f>MAX(0,$E263-$F263-$J263)</f>
        <v/>
      </c>
      <c r="I263" s="3" t="n"/>
      <c r="J263" s="3" t="n"/>
      <c r="K263" s="4" t="n">
        <v>0.26</v>
      </c>
      <c r="L263" s="4">
        <f>IF(AND($H263&gt;0,ISNUMBER($K263)),$H263*$K263,0)</f>
        <v/>
      </c>
      <c r="M263" s="3" t="n">
        <v>1</v>
      </c>
      <c r="N263" s="3" t="n"/>
      <c r="O263" s="3" t="n"/>
      <c r="P263" s="3" t="n"/>
      <c r="Q263" s="3" t="n"/>
      <c r="R263" s="3" t="n"/>
      <c r="S263" s="3">
        <f>IF(AND(J263&lt;&gt;"",SUM(M263:R263)=0),J263,"")</f>
        <v/>
      </c>
      <c r="T263" s="3" t="n">
        <v>1</v>
      </c>
      <c r="U263" s="3" t="n"/>
      <c r="V263" s="3" t="n"/>
      <c r="W263" s="3" t="n"/>
      <c r="X263" s="3" t="n"/>
      <c r="Y263" s="3" t="n"/>
      <c r="Z263" s="3" t="n"/>
      <c r="AA263" s="2" t="inlineStr">
        <is>
          <t>Land</t>
        </is>
      </c>
      <c r="AB263" s="2" t="inlineStr">
        <is>
          <t>Mountain Plains</t>
        </is>
      </c>
      <c r="AC263" s="2" t="inlineStr">
        <is>
          <t>L</t>
        </is>
      </c>
      <c r="AD263" s="3" t="n">
        <v>0</v>
      </c>
      <c r="AE263" s="29" t="inlineStr">
        <is>
          <t>Edge of Eternities Commander</t>
        </is>
      </c>
      <c r="AF263" s="29" t="inlineStr">
        <is>
          <t>Land</t>
        </is>
      </c>
      <c r="AG263" s="29" t="inlineStr">
        <is>
          <t>Taps for {R} or {W}</t>
        </is>
      </c>
      <c r="AH263" s="29" t="inlineStr">
        <is>
          <t>Enters tapped</t>
        </is>
      </c>
      <c r="AI263" s="29" t="inlineStr">
        <is>
          <t>Discard for {2} to draw a card instead of playing it</t>
        </is>
      </c>
      <c r="AJ263" s="2" t="n"/>
    </row>
    <row r="264" ht="15" customHeight="1" s="79">
      <c r="A264" s="2" t="inlineStr">
        <is>
          <t>Go for the Throat</t>
        </is>
      </c>
      <c r="B264" s="2">
        <f>IF(AND(F264&lt;&gt;0,E264=F264),"In Hand",IF(AND(E264&lt;&gt;0,E264&lt;F264,SUM(M264:R264)=0,SUM(T264:Y264)&gt;0),"Extra-Sub",IF(AND(E264=0,E264&lt;F264,SUM(M264:R264)=0,SUM(T264:Y264)&gt;0),"Bench-Sub",IF(AND(E264=0,F264&gt;0),"Bench",IF(E264&lt;F264,"Extra",IF(AND(J264="",E264&gt;F264),"To Buy",IF(SUM(J264,F264)&lt;E264,"To Buy",IF(AND(SUM(J264,F264)&gt;=E264,J264&lt;&gt;""),"Ordered",IF(AND(E264=0,F264=0,D264="B3"),"B3 Option",IF(AND(E264=0,F264=0),"Remove","To Buy"))))))))))</f>
        <v/>
      </c>
      <c r="D264" t="inlineStr">
        <is>
          <t>B2</t>
        </is>
      </c>
      <c r="E264" s="3">
        <f>SUM(M264:S264)</f>
        <v/>
      </c>
      <c r="F264" s="3">
        <f>SUM(T264:Z264)</f>
        <v/>
      </c>
      <c r="G264" s="3">
        <f>IF((F264-E264)&gt;=0,F264-E264,0)</f>
        <v/>
      </c>
      <c r="H264" s="3">
        <f>MAX(0,$E264-$F264-$J264)</f>
        <v/>
      </c>
      <c r="I264" s="3" t="n"/>
      <c r="J264" s="3" t="n"/>
      <c r="K264" s="4" t="n">
        <v>0.57</v>
      </c>
      <c r="L264" s="4">
        <f>IF(AND($H264&gt;0,ISNUMBER($K264)),$H264*$K264,0)</f>
        <v/>
      </c>
      <c r="M264" s="3" t="n"/>
      <c r="N264" s="3" t="n"/>
      <c r="O264" s="3" t="n">
        <v>1</v>
      </c>
      <c r="P264" s="3" t="n"/>
      <c r="Q264" s="3" t="n"/>
      <c r="R264" s="3" t="n"/>
      <c r="S264" s="3">
        <f>IF(AND(J264&lt;&gt;"",SUM(M264:R264)=0),J264,"")</f>
        <v/>
      </c>
      <c r="T264" s="3" t="n"/>
      <c r="U264" s="3" t="n"/>
      <c r="V264" s="3" t="n">
        <v>1</v>
      </c>
      <c r="W264" s="3" t="n"/>
      <c r="X264" s="3" t="n"/>
      <c r="Y264" s="3" t="n"/>
      <c r="Z264" s="3" t="n"/>
      <c r="AA264" s="2" t="inlineStr">
        <is>
          <t>Instant</t>
        </is>
      </c>
      <c r="AB264" s="2" t="n"/>
      <c r="AC264" s="2" t="inlineStr">
        <is>
          <t>B</t>
        </is>
      </c>
      <c r="AD264" s="3" t="n">
        <v>2</v>
      </c>
      <c r="AE264" s="29" t="inlineStr">
        <is>
          <t>Mirrodin Besieged</t>
        </is>
      </c>
      <c r="AF264" s="29" t="inlineStr">
        <is>
          <t>Removal</t>
        </is>
      </c>
      <c r="AG264" s="29" t="inlineStr">
        <is>
          <t>Destroys target nonartifact creature</t>
        </is>
      </c>
      <c r="AH264" s="29" t="n"/>
      <c r="AI264" s="29" t="n"/>
      <c r="AJ264" s="2" t="n"/>
    </row>
    <row r="265" ht="15" customHeight="1" s="79">
      <c r="A265" s="2" t="inlineStr">
        <is>
          <t>Goblin Gathering</t>
        </is>
      </c>
      <c r="B265" s="2">
        <f>IF(AND(F265&lt;&gt;0,E265=F265),"In Hand",IF(AND(E265&lt;&gt;0,E265&lt;F265,SUM(M265:R265)=0,SUM(T265:Y265)&gt;0),"Extra-Sub",IF(AND(E265=0,E265&lt;F265,SUM(M265:R265)=0,SUM(T265:Y265)&gt;0),"Bench-Sub",IF(AND(E265=0,F265&gt;0),"Bench",IF(E265&lt;F265,"Extra",IF(AND(J265="",E265&gt;F265),"To Buy",IF(SUM(J265,F265)&lt;E265,"To Buy",IF(AND(SUM(J265,F265)&gt;=E265,J265&lt;&gt;""),"Ordered",IF(AND(E265=0,F265=0,D265="B3"),"B3 Option",IF(AND(E265=0,F265=0),"Remove","To Buy"))))))))))</f>
        <v/>
      </c>
      <c r="D265" t="inlineStr">
        <is>
          <t>B2</t>
        </is>
      </c>
      <c r="E265" s="3">
        <f>SUM(M265:S265)</f>
        <v/>
      </c>
      <c r="F265" s="3">
        <f>SUM(T265:Z265)</f>
        <v/>
      </c>
      <c r="G265" s="3">
        <f>IF((F265-E265)&gt;=0,F265-E265,0)</f>
        <v/>
      </c>
      <c r="H265" s="3">
        <f>MAX(0,$E265-$F265-$J265)</f>
        <v/>
      </c>
      <c r="I265" s="3" t="n"/>
      <c r="J265" s="3" t="n"/>
      <c r="K265" s="4" t="n">
        <v>0.11</v>
      </c>
      <c r="L265" s="4">
        <f>IF(AND($H265&gt;0,ISNUMBER($K265)),$H265*$K265,0)</f>
        <v/>
      </c>
      <c r="M265" s="3" t="n"/>
      <c r="N265" s="3" t="n"/>
      <c r="O265" s="3" t="n"/>
      <c r="P265" s="3" t="n"/>
      <c r="Q265" s="3" t="n"/>
      <c r="R265" s="3" t="n">
        <v>1</v>
      </c>
      <c r="S265" s="3">
        <f>IF(AND(J265&lt;&gt;"",SUM(M265:R265)=0),J265,"")</f>
        <v/>
      </c>
      <c r="T265" s="3" t="n"/>
      <c r="U265" s="3" t="n"/>
      <c r="V265" s="3" t="n"/>
      <c r="W265" s="3" t="n"/>
      <c r="X265" s="3" t="n"/>
      <c r="Y265" s="3" t="n">
        <v>1</v>
      </c>
      <c r="Z265" s="3" t="n"/>
      <c r="AA265" s="2" t="inlineStr">
        <is>
          <t>Sorcery</t>
        </is>
      </c>
      <c r="AB265" s="2" t="n"/>
      <c r="AC265" s="2" t="inlineStr">
        <is>
          <t>R</t>
        </is>
      </c>
      <c r="AD265" s="3" t="n">
        <v>3</v>
      </c>
      <c r="AE265" s="29" t="inlineStr">
        <is>
          <t>Ravnica Allegiance</t>
        </is>
      </c>
      <c r="AF265" s="29" t="inlineStr">
        <is>
          <t>Token Producer</t>
        </is>
      </c>
      <c r="AG265" s="29" t="inlineStr">
        <is>
          <t>Creates two 1/1 Goblin tokens, plus one more per copy in your graveyard</t>
        </is>
      </c>
      <c r="AH265" s="29" t="n"/>
      <c r="AI265" s="29" t="n"/>
      <c r="AJ265" s="2" t="n"/>
      <c r="AK265" t="inlineStr">
        <is>
          <t>[B3 later] D6-&gt;B when Underworld Breach is bought</t>
        </is>
      </c>
    </row>
    <row r="266" ht="15" customHeight="1" s="79">
      <c r="A266" s="2" t="inlineStr">
        <is>
          <t>Goblin Rally</t>
        </is>
      </c>
      <c r="B266" s="2">
        <f>IF(AND(F266&lt;&gt;0,E266=F266),"In Hand",IF(AND(E266&lt;&gt;0,E266&lt;F266,SUM(M266:R266)=0,SUM(T266:Y266)&gt;0),"Extra-Sub",IF(AND(E266=0,E266&lt;F266,SUM(M266:R266)=0,SUM(T266:Y266)&gt;0),"Bench-Sub",IF(AND(E266=0,F266&gt;0),"Bench",IF(E266&lt;F266,"Extra",IF(AND(J266="",E266&gt;F266),"To Buy",IF(SUM(J266,F266)&lt;E266,"To Buy",IF(AND(SUM(J266,F266)&gt;=E266,J266&lt;&gt;""),"Ordered",IF(AND(E266=0,F266=0,D266="B3"),"B3 Option",IF(AND(E266=0,F266=0),"Remove","To Buy"))))))))))</f>
        <v/>
      </c>
      <c r="D266" t="inlineStr">
        <is>
          <t>B2</t>
        </is>
      </c>
      <c r="E266" s="3">
        <f>SUM(M266:S266)</f>
        <v/>
      </c>
      <c r="F266" s="3">
        <f>SUM(T266:Z266)</f>
        <v/>
      </c>
      <c r="G266" s="3">
        <f>IF((F266-E266)&gt;=0,F266-E266,0)</f>
        <v/>
      </c>
      <c r="H266" s="3">
        <f>MAX(0,$E266-$F266-$J266)</f>
        <v/>
      </c>
      <c r="I266" s="3" t="n"/>
      <c r="J266" s="3" t="n"/>
      <c r="K266" s="4" t="n">
        <v>0.36</v>
      </c>
      <c r="L266" s="4">
        <f>IF(AND($H266&gt;0,ISNUMBER($K266)),$H266*$K266,0)</f>
        <v/>
      </c>
      <c r="M266" s="3" t="n"/>
      <c r="N266" s="3" t="n"/>
      <c r="O266" s="3" t="n"/>
      <c r="P266" s="3" t="n"/>
      <c r="Q266" s="3" t="n"/>
      <c r="R266" s="3" t="n">
        <v>1</v>
      </c>
      <c r="S266" s="3">
        <f>IF(AND(J266&lt;&gt;"",SUM(M266:R266)=0),J266,"")</f>
        <v/>
      </c>
      <c r="T266" s="3" t="n"/>
      <c r="U266" s="3" t="n"/>
      <c r="V266" s="3" t="n"/>
      <c r="W266" s="3" t="n"/>
      <c r="X266" s="3" t="n"/>
      <c r="Y266" s="3" t="n">
        <v>1</v>
      </c>
      <c r="Z266" s="3" t="n"/>
      <c r="AA266" s="2" t="inlineStr">
        <is>
          <t>Sorcery</t>
        </is>
      </c>
      <c r="AB266" s="2" t="n"/>
      <c r="AC266" s="2" t="inlineStr">
        <is>
          <t>R</t>
        </is>
      </c>
      <c r="AD266" s="3" t="n">
        <v>5</v>
      </c>
      <c r="AE266" s="29" t="inlineStr">
        <is>
          <t>Return to Ravnica</t>
        </is>
      </c>
      <c r="AF266" s="29" t="inlineStr">
        <is>
          <t>Token Producer</t>
        </is>
      </c>
      <c r="AG266" s="29" t="inlineStr">
        <is>
          <t>Creates four 1/1 Goblin tokens</t>
        </is>
      </c>
      <c r="AH266" s="29" t="n"/>
      <c r="AI266" s="29" t="n"/>
      <c r="AJ266" s="2" t="inlineStr">
        <is>
          <t>Received/settled (was in cart 2026-09-02: Game Theory Wake Forest $0.4 Near Mint)</t>
        </is>
      </c>
    </row>
    <row r="267" ht="15" customHeight="1" s="79">
      <c r="A267" s="2" t="inlineStr">
        <is>
          <t>Gollum, Riddle Master</t>
        </is>
      </c>
      <c r="B267" s="2">
        <f>IF(AND(F267&lt;&gt;0,E267=F267),"In Hand",IF(AND(E267&lt;&gt;0,E267&lt;F267,SUM(M267:R267)=0,SUM(T267:Y267)&gt;0),"Extra-Sub",IF(AND(E267=0,E267&lt;F267,SUM(M267:R267)=0,SUM(T267:Y267)&gt;0),"Bench-Sub",IF(AND(E267=0,F267&gt;0),"Bench",IF(E267&lt;F267,"Extra",IF(AND(J267="",E267&gt;F267),"To Buy",IF(SUM(J267,F267)&lt;E267,"To Buy",IF(AND(SUM(J267,F267)&gt;=E267,J267&lt;&gt;""),"Ordered",IF(AND(E267=0,F267=0,D267="B3"),"B3 Option",IF(AND(E267=0,F267=0),"Remove","To Buy"))))))))))</f>
        <v/>
      </c>
      <c r="D267" t="inlineStr">
        <is>
          <t>B2</t>
        </is>
      </c>
      <c r="E267" s="3">
        <f>SUM(M267:S267)</f>
        <v/>
      </c>
      <c r="F267" s="3">
        <f>SUM(T267:Z267)</f>
        <v/>
      </c>
      <c r="G267" s="3">
        <f>IF((F267-E267)&gt;=0,F267-E267,0)</f>
        <v/>
      </c>
      <c r="H267" s="3">
        <f>MAX(0,$E267-$F267-$J267)</f>
        <v/>
      </c>
      <c r="I267" s="3" t="n"/>
      <c r="J267" s="3" t="n"/>
      <c r="K267" s="4" t="n">
        <v>2.52</v>
      </c>
      <c r="L267" s="4">
        <f>IF(AND($H267&gt;0,ISNUMBER($K267)),$H267*$K267,0)</f>
        <v/>
      </c>
      <c r="M267" s="3" t="n"/>
      <c r="N267" s="3" t="n"/>
      <c r="O267" s="3" t="n">
        <v>1</v>
      </c>
      <c r="P267" s="3" t="n"/>
      <c r="Q267" s="3" t="n"/>
      <c r="R267" s="3" t="n"/>
      <c r="S267" s="3">
        <f>IF(AND(J267&lt;&gt;"",SUM(M267:R267)=0),J267,"")</f>
        <v/>
      </c>
      <c r="T267" s="3" t="n"/>
      <c r="U267" s="3" t="n"/>
      <c r="V267" s="3" t="n">
        <v>1</v>
      </c>
      <c r="W267" s="3" t="n"/>
      <c r="X267" s="3" t="n"/>
      <c r="Y267" s="3" t="n"/>
      <c r="Z267" s="3" t="n"/>
      <c r="AA267" s="2" t="inlineStr">
        <is>
          <t>Legendary Creature</t>
        </is>
      </c>
      <c r="AB267" s="2" t="inlineStr">
        <is>
          <t>Halfling Horror</t>
        </is>
      </c>
      <c r="AC267" s="2" t="inlineStr">
        <is>
          <t>B</t>
        </is>
      </c>
      <c r="AD267" s="3" t="n">
        <v>2</v>
      </c>
      <c r="AE267" s="29" t="inlineStr">
        <is>
          <t>The Hobbit</t>
        </is>
      </c>
      <c r="AF267" s="29" t="inlineStr">
        <is>
          <t>Value Engine</t>
        </is>
      </c>
      <c r="AG267" s="29" t="inlineStr">
        <is>
          <t>Whenever an opponent casts a spell of the chosen parity, choose an unused mode</t>
        </is>
      </c>
      <c r="AH267" s="29" t="inlineStr">
        <is>
          <t>Modes: add a counter to it, drain 2 life, or draw a card</t>
        </is>
      </c>
      <c r="AI267" s="29" t="n"/>
      <c r="AJ267" s="2" t="n"/>
    </row>
    <row r="268" ht="15" customHeight="1" s="79">
      <c r="A268" s="2" t="inlineStr">
        <is>
          <t>Grazing Gladehart</t>
        </is>
      </c>
      <c r="B268" s="2">
        <f>IF(AND(F268&lt;&gt;0,E268=F268),"In Hand",IF(AND(E268&lt;&gt;0,E268&lt;F268,SUM(M268:R268)=0,SUM(T268:Y268)&gt;0),"Extra-Sub",IF(AND(E268=0,E268&lt;F268,SUM(M268:R268)=0,SUM(T268:Y268)&gt;0),"Bench-Sub",IF(AND(E268=0,F268&gt;0),"Bench",IF(E268&lt;F268,"Extra",IF(AND(J268="",E268&gt;F268),"To Buy",IF(SUM(J268,F268)&lt;E268,"To Buy",IF(AND(SUM(J268,F268)&gt;=E268,J268&lt;&gt;""),"Ordered",IF(AND(E268=0,F268=0,D268="B3"),"B3 Option",IF(AND(E268=0,F268=0),"Remove","To Buy"))))))))))</f>
        <v/>
      </c>
      <c r="D268" t="inlineStr">
        <is>
          <t>B2</t>
        </is>
      </c>
      <c r="E268" s="3">
        <f>SUM(M268:S268)</f>
        <v/>
      </c>
      <c r="F268" s="3">
        <f>SUM(T268:Z268)</f>
        <v/>
      </c>
      <c r="G268" s="3">
        <f>IF((F268-E268)&gt;=0,F268-E268,0)</f>
        <v/>
      </c>
      <c r="H268" s="3">
        <f>MAX(0,$E268-$F268-$J268)</f>
        <v/>
      </c>
      <c r="I268" s="3" t="n"/>
      <c r="J268" s="3" t="n"/>
      <c r="K268" s="4" t="n"/>
      <c r="L268" s="4">
        <f>IF(AND($H268&gt;0,ISNUMBER($K268)),$H268*$K268,0)</f>
        <v/>
      </c>
      <c r="M268" s="3" t="n"/>
      <c r="N268" s="3" t="n"/>
      <c r="O268" s="3" t="n"/>
      <c r="P268" s="3" t="n">
        <v>1</v>
      </c>
      <c r="Q268" s="3" t="n"/>
      <c r="R268" s="3" t="n"/>
      <c r="S268" s="3">
        <f>IF(AND(J268&lt;&gt;"",SUM(M268:R268)=0),J268,"")</f>
        <v/>
      </c>
      <c r="T268" s="3" t="n"/>
      <c r="U268" s="3" t="n"/>
      <c r="V268" s="3" t="n"/>
      <c r="W268" s="3" t="n">
        <v>1</v>
      </c>
      <c r="X268" s="3" t="n"/>
      <c r="Y268" s="3" t="n"/>
      <c r="Z268" s="3" t="n"/>
      <c r="AA268" s="2" t="inlineStr">
        <is>
          <t>Creature</t>
        </is>
      </c>
      <c r="AB268" s="2" t="inlineStr">
        <is>
          <t>Antelope</t>
        </is>
      </c>
      <c r="AC268" s="2" t="inlineStr">
        <is>
          <t>G</t>
        </is>
      </c>
      <c r="AD268" s="3" t="n">
        <v>3</v>
      </c>
      <c r="AE268" s="29" t="inlineStr">
        <is>
          <t>Zendikar</t>
        </is>
      </c>
      <c r="AF268" s="29" t="inlineStr">
        <is>
          <t>Lifegain</t>
        </is>
      </c>
      <c r="AG268" s="29" t="inlineStr">
        <is>
          <t>Gains 2 life when a land you control enters</t>
        </is>
      </c>
      <c r="AH268" s="29" t="n"/>
      <c r="AI268" s="29" t="n"/>
      <c r="AJ268" s="2" t="inlineStr">
        <is>
          <t>Cut in Tuned; Bench sub -&gt; D4 for Frontline Medic (2026-09-02)</t>
        </is>
      </c>
      <c r="AK268" t="inlineStr">
        <is>
          <t>[T+A] B-&gt;D4 (bench sub) [done 2026-09-03]</t>
        </is>
      </c>
    </row>
    <row r="269" ht="15" customHeight="1" s="79">
      <c r="A269" s="2" t="inlineStr">
        <is>
          <t>Gristle Glutton</t>
        </is>
      </c>
      <c r="B269" s="2">
        <f>IF(AND(F269&lt;&gt;0,E269=F269),"In Hand",IF(AND(E269&lt;&gt;0,E269&lt;F269,SUM(M269:R269)=0,SUM(T269:Y269)&gt;0),"Extra-Sub",IF(AND(E269=0,E269&lt;F269,SUM(M269:R269)=0,SUM(T269:Y269)&gt;0),"Bench-Sub",IF(AND(E269=0,F269&gt;0),"Bench",IF(E269&lt;F269,"Extra",IF(AND(J269="",E269&gt;F269),"To Buy",IF(SUM(J269,F269)&lt;E269,"To Buy",IF(AND(SUM(J269,F269)&gt;=E269,J269&lt;&gt;""),"Ordered",IF(AND(E269=0,F269=0,D269="B3"),"B3 Option",IF(AND(E269=0,F269=0),"Remove","To Buy"))))))))))</f>
        <v/>
      </c>
      <c r="D269" t="inlineStr">
        <is>
          <t>B2</t>
        </is>
      </c>
      <c r="E269" s="3">
        <f>SUM(M269:S269)</f>
        <v/>
      </c>
      <c r="F269" s="3">
        <f>SUM(T269:Z269)</f>
        <v/>
      </c>
      <c r="G269" s="3">
        <f>IF((F269-E269)&gt;=0,F269-E269,0)</f>
        <v/>
      </c>
      <c r="H269" s="3">
        <f>MAX(0,$E269-$F269-$J269)</f>
        <v/>
      </c>
      <c r="I269" s="3" t="n"/>
      <c r="J269" s="3" t="n"/>
      <c r="K269" s="4" t="n">
        <v>0.28</v>
      </c>
      <c r="L269" s="4">
        <f>IF(AND($H269&gt;0,ISNUMBER($K269)),$H269*$K269,0)</f>
        <v/>
      </c>
      <c r="M269" s="3" t="n"/>
      <c r="N269" s="3" t="n"/>
      <c r="O269" s="3" t="n"/>
      <c r="P269" s="3" t="n"/>
      <c r="Q269" s="3" t="n"/>
      <c r="R269" s="3" t="n">
        <v>1</v>
      </c>
      <c r="S269" s="3">
        <f>IF(AND(J269&lt;&gt;"",SUM(M269:R269)=0),J269,"")</f>
        <v/>
      </c>
      <c r="T269" s="3" t="n"/>
      <c r="U269" s="3" t="n"/>
      <c r="V269" s="3" t="n"/>
      <c r="W269" s="3" t="n"/>
      <c r="X269" s="3" t="n"/>
      <c r="Y269" s="3" t="n">
        <v>1</v>
      </c>
      <c r="Z269" s="3" t="n"/>
      <c r="AA269" s="2" t="inlineStr">
        <is>
          <t>Creature</t>
        </is>
      </c>
      <c r="AB269" s="2" t="inlineStr">
        <is>
          <t>Goblin Scout</t>
        </is>
      </c>
      <c r="AC269" s="2" t="inlineStr">
        <is>
          <t>R</t>
        </is>
      </c>
      <c r="AD269" s="3" t="n">
        <v>2</v>
      </c>
      <c r="AE269" s="29" t="inlineStr">
        <is>
          <t>Lorwyn Eclipsed</t>
        </is>
      </c>
      <c r="AF269" s="29" t="inlineStr">
        <is>
          <t>Discard/Looting</t>
        </is>
      </c>
      <c r="AG269" s="29" t="inlineStr">
        <is>
          <t>Put a -1/-1 counter on a creature to loot (discard then draw)</t>
        </is>
      </c>
      <c r="AH269" s="29" t="n"/>
      <c r="AI269" s="29" t="n"/>
      <c r="AJ269" s="2" t="n"/>
      <c r="AK269" t="inlineStr">
        <is>
          <t>[B3 later] D6-&gt;B when Idol of Oblivion is bought</t>
        </is>
      </c>
    </row>
    <row r="270" ht="15" customHeight="1" s="79">
      <c r="A270" s="2" t="inlineStr">
        <is>
          <t>Guardian of Faith</t>
        </is>
      </c>
      <c r="B270" s="2">
        <f>IF(AND(F270&lt;&gt;0,E270=F270),"In Hand",IF(AND(E270&lt;&gt;0,E270&lt;F270,SUM(M270:R270)=0,SUM(T270:Y270)&gt;0),"Extra-Sub",IF(AND(E270=0,E270&lt;F270,SUM(M270:R270)=0,SUM(T270:Y270)&gt;0),"Bench-Sub",IF(AND(E270=0,F270&gt;0),"Bench",IF(E270&lt;F270,"Extra",IF(AND(J270="",E270&gt;F270),"To Buy",IF(SUM(J270,F270)&lt;E270,"To Buy",IF(AND(SUM(J270,F270)&gt;=E270,J270&lt;&gt;""),"Ordered",IF(AND(E270=0,F270=0,D270="B3"),"B3 Option",IF(AND(E270=0,F270=0),"Remove","To Buy"))))))))))</f>
        <v/>
      </c>
      <c r="D270" t="inlineStr">
        <is>
          <t>B2</t>
        </is>
      </c>
      <c r="E270" s="3">
        <f>SUM(M270:S270)</f>
        <v/>
      </c>
      <c r="F270" s="3">
        <f>SUM(T270:Z270)</f>
        <v/>
      </c>
      <c r="G270" s="3">
        <f>IF((F270-E270)&gt;=0,F270-E270,0)</f>
        <v/>
      </c>
      <c r="H270" s="3">
        <f>MAX(0,$E270-$F270-$J270)</f>
        <v/>
      </c>
      <c r="I270" s="3" t="n"/>
      <c r="J270" s="3" t="n"/>
      <c r="K270" s="4" t="n"/>
      <c r="L270" s="4">
        <f>IF(AND($H270&gt;0,ISNUMBER($K270)),$H270*$K270,0)</f>
        <v/>
      </c>
      <c r="M270" s="3" t="n"/>
      <c r="N270" s="3" t="n"/>
      <c r="O270" s="3" t="n"/>
      <c r="P270" s="3" t="n">
        <v>1</v>
      </c>
      <c r="Q270" s="3" t="n"/>
      <c r="R270" s="3" t="n"/>
      <c r="S270" s="3">
        <f>IF(AND(J270&lt;&gt;"",SUM(M270:R270)=0),J270,"")</f>
        <v/>
      </c>
      <c r="T270" s="3" t="n">
        <v>1</v>
      </c>
      <c r="U270" s="3" t="n"/>
      <c r="V270" s="3" t="n"/>
      <c r="W270" s="3" t="n"/>
      <c r="X270" s="3" t="n"/>
      <c r="Y270" s="3" t="n"/>
      <c r="Z270" s="3" t="n"/>
      <c r="AA270" s="2" t="inlineStr">
        <is>
          <t>Creature</t>
        </is>
      </c>
      <c r="AB270" s="2" t="inlineStr">
        <is>
          <t>Spirit Knight</t>
        </is>
      </c>
      <c r="AC270" s="2" t="inlineStr">
        <is>
          <t>W</t>
        </is>
      </c>
      <c r="AD270" s="3" t="n">
        <v>3</v>
      </c>
      <c r="AE270" s="29" t="inlineStr">
        <is>
          <t>Adventures in the Forgotten Realms</t>
        </is>
      </c>
      <c r="AF270" s="29" t="inlineStr">
        <is>
          <t>Protection</t>
        </is>
      </c>
      <c r="AG270" s="29" t="inlineStr">
        <is>
          <t>Can be cast at instant speed</t>
        </is>
      </c>
      <c r="AH270" s="29" t="inlineStr">
        <is>
          <t>Enters: any number of your other creatures become temporarily untargetable and safe from harm</t>
        </is>
      </c>
      <c r="AI270" s="29" t="n"/>
      <c r="AJ270" s="2" t="inlineStr">
        <is>
          <t>Cut in Tuned; Bench sub -&gt; D4 for Rootborn Defenses (2026-09-02)</t>
        </is>
      </c>
      <c r="AK270" t="inlineStr">
        <is>
          <t>[T+A] D1-&gt;D4 (bench sub) [done 2026-09-03]</t>
        </is>
      </c>
    </row>
    <row r="271" ht="15" customHeight="1" s="79">
      <c r="A271" s="2" t="inlineStr">
        <is>
          <t>Guardian Scalelord</t>
        </is>
      </c>
      <c r="B271" s="2">
        <f>IF(AND(F271&lt;&gt;0,E271=F271),"In Hand",IF(AND(E271&lt;&gt;0,E271&lt;F271,SUM(M271:R271)=0,SUM(T271:Y271)&gt;0),"Extra-Sub",IF(AND(E271=0,E271&lt;F271,SUM(M271:R271)=0,SUM(T271:Y271)&gt;0),"Bench-Sub",IF(AND(E271=0,F271&gt;0),"Bench",IF(E271&lt;F271,"Extra",IF(AND(J271="",E271&gt;F271),"To Buy",IF(SUM(J271,F271)&lt;E271,"To Buy",IF(AND(SUM(J271,F271)&gt;=E271,J271&lt;&gt;""),"Ordered",IF(AND(E271=0,F271=0,D271="B3"),"B3 Option",IF(AND(E271=0,F271=0),"Remove","To Buy"))))))))))</f>
        <v/>
      </c>
      <c r="D271" t="inlineStr">
        <is>
          <t>B2</t>
        </is>
      </c>
      <c r="E271" s="3">
        <f>SUM(M271:S271)</f>
        <v/>
      </c>
      <c r="F271" s="3">
        <f>SUM(T271:Z271)</f>
        <v/>
      </c>
      <c r="G271" s="3">
        <f>IF((F271-E271)&gt;=0,F271-E271,0)</f>
        <v/>
      </c>
      <c r="H271" s="3">
        <f>MAX(0,$E271-$F271-$J271)</f>
        <v/>
      </c>
      <c r="I271" s="3" t="n"/>
      <c r="J271" s="3" t="n"/>
      <c r="K271" s="4" t="n">
        <v>0.3</v>
      </c>
      <c r="L271" s="4">
        <f>IF(AND($H271&gt;0,ISNUMBER($K271)),$H271*$K271,0)</f>
        <v/>
      </c>
      <c r="M271" s="3" t="n"/>
      <c r="N271" s="3" t="n"/>
      <c r="O271" s="3" t="n">
        <v>1</v>
      </c>
      <c r="P271" s="3" t="n"/>
      <c r="Q271" s="3" t="n"/>
      <c r="R271" s="3" t="n"/>
      <c r="S271" s="3">
        <f>IF(AND(J271&lt;&gt;"",SUM(M271:R271)=0),J271,"")</f>
        <v/>
      </c>
      <c r="T271" s="3" t="n"/>
      <c r="U271" s="3" t="n"/>
      <c r="V271" s="3" t="n">
        <v>1</v>
      </c>
      <c r="W271" s="3" t="n"/>
      <c r="X271" s="3" t="n"/>
      <c r="Y271" s="3" t="n"/>
      <c r="Z271" s="3" t="n"/>
      <c r="AA271" s="2" t="inlineStr">
        <is>
          <t>Creature</t>
        </is>
      </c>
      <c r="AB271" s="2" t="inlineStr">
        <is>
          <t>Dragon</t>
        </is>
      </c>
      <c r="AC271" s="2" t="inlineStr">
        <is>
          <t>W</t>
        </is>
      </c>
      <c r="AD271" s="3" t="n">
        <v>5</v>
      </c>
      <c r="AE271" s="29" t="inlineStr">
        <is>
          <t>March of the Machine Commander</t>
        </is>
      </c>
      <c r="AF271" s="29" t="inlineStr">
        <is>
          <t>Recursion</t>
        </is>
      </c>
      <c r="AG271" s="29" t="inlineStr">
        <is>
          <t>Backup 1: puts a +1/+1 counter on target creature, may share flying</t>
        </is>
      </c>
      <c r="AH271" s="29" t="inlineStr">
        <is>
          <t>Attacking returns a permanent MV ≤ its power from graveyard</t>
        </is>
      </c>
      <c r="AI271" s="29" t="n"/>
      <c r="AJ271" s="2" t="n"/>
    </row>
    <row r="272" ht="15" customHeight="1" s="79">
      <c r="A272" s="2" t="inlineStr">
        <is>
          <t>Gundabad Opportunist</t>
        </is>
      </c>
      <c r="B272" s="2">
        <f>IF(AND(F272&lt;&gt;0,E272=F272),"In Hand",IF(AND(E272&lt;&gt;0,E272&lt;F272,SUM(M272:R272)=0,SUM(T272:Y272)&gt;0),"Extra-Sub",IF(AND(E272=0,E272&lt;F272,SUM(M272:R272)=0,SUM(T272:Y272)&gt;0),"Bench-Sub",IF(AND(E272=0,F272&gt;0),"Bench",IF(E272&lt;F272,"Extra",IF(AND(J272="",E272&gt;F272),"To Buy",IF(SUM(J272,F272)&lt;E272,"To Buy",IF(AND(SUM(J272,F272)&gt;=E272,J272&lt;&gt;""),"Ordered",IF(AND(E272=0,F272=0,D272="B3"),"B3 Option",IF(AND(E272=0,F272=0),"Remove","To Buy"))))))))))</f>
        <v/>
      </c>
      <c r="D272" t="inlineStr">
        <is>
          <t>B2</t>
        </is>
      </c>
      <c r="E272" s="3">
        <f>SUM(M272:S272)</f>
        <v/>
      </c>
      <c r="F272" s="3">
        <f>SUM(T272:Z272)</f>
        <v/>
      </c>
      <c r="G272" s="3">
        <f>IF((F272-E272)&gt;=0,F272-E272,0)</f>
        <v/>
      </c>
      <c r="H272" s="3">
        <f>MAX(0,$E272-$F272-$J272)</f>
        <v/>
      </c>
      <c r="I272" s="20" t="n"/>
      <c r="J272" s="20" t="n"/>
      <c r="K272" s="20" t="n"/>
      <c r="L272" s="4">
        <f>IF(AND($H272&gt;0,ISNUMBER($K272)),$H272*$K272,0)</f>
        <v/>
      </c>
      <c r="M272" s="20" t="n"/>
      <c r="N272" s="20" t="n"/>
      <c r="O272" s="20" t="n"/>
      <c r="P272" s="20" t="n"/>
      <c r="Q272" s="20" t="n"/>
      <c r="R272" s="20" t="n">
        <v>1</v>
      </c>
      <c r="S272" s="3">
        <f>IF(AND(J272&lt;&gt;"",SUM(M272:R272)=0),J272,"")</f>
        <v/>
      </c>
      <c r="T272" s="3" t="n"/>
      <c r="U272" s="3" t="n"/>
      <c r="V272" s="3" t="n"/>
      <c r="W272" s="3" t="n"/>
      <c r="X272" s="3" t="n"/>
      <c r="Y272" s="3" t="n">
        <v>1</v>
      </c>
      <c r="Z272" s="3" t="n"/>
      <c r="AA272" s="2" t="inlineStr">
        <is>
          <t>Creature</t>
        </is>
      </c>
      <c r="AB272" s="2" t="inlineStr">
        <is>
          <t>Goblin Rogue</t>
        </is>
      </c>
      <c r="AC272" s="2" t="inlineStr">
        <is>
          <t>R</t>
        </is>
      </c>
      <c r="AD272" s="20" t="n">
        <v>4</v>
      </c>
      <c r="AE272" s="30" t="inlineStr">
        <is>
          <t>The Hobbit</t>
        </is>
      </c>
      <c r="AF272" s="30" t="inlineStr">
        <is>
          <t>Card Advantage</t>
        </is>
      </c>
      <c r="AG272" s="30" t="inlineStr">
        <is>
          <t>Exiles the top card of your library when it enters; you may play it until your next turn ends</t>
        </is>
      </c>
      <c r="AH272" s="30" t="n"/>
      <c r="AI272" s="30" t="n"/>
      <c r="AJ272" s="20" t="inlineStr">
        <is>
          <t>Bench sub -&gt; D6 for Rummaging Goblin (2026-09-02)</t>
        </is>
      </c>
      <c r="AK272" t="inlineStr">
        <is>
          <t>[T+A] B-&gt;D6 (bench sub) [done 2026-09-03]</t>
        </is>
      </c>
    </row>
    <row r="273" ht="15" customHeight="1" s="79">
      <c r="A273" s="2" t="inlineStr">
        <is>
          <t>Heirloom Auntie</t>
        </is>
      </c>
      <c r="B273" s="2">
        <f>IF(AND(F273&lt;&gt;0,E273=F273),"In Hand",IF(AND(E273&lt;&gt;0,E273&lt;F273,SUM(M273:R273)=0,SUM(T273:Y273)&gt;0),"Extra-Sub",IF(AND(E273=0,E273&lt;F273,SUM(M273:R273)=0,SUM(T273:Y273)&gt;0),"Bench-Sub",IF(AND(E273=0,F273&gt;0),"Bench",IF(E273&lt;F273,"Extra",IF(AND(J273="",E273&gt;F273),"To Buy",IF(SUM(J273,F273)&lt;E273,"To Buy",IF(AND(SUM(J273,F273)&gt;=E273,J273&lt;&gt;""),"Ordered",IF(AND(E273=0,F273=0,D273="B3"),"B3 Option",IF(AND(E273=0,F273=0),"Remove","To Buy"))))))))))</f>
        <v/>
      </c>
      <c r="D273" t="inlineStr">
        <is>
          <t>B2</t>
        </is>
      </c>
      <c r="E273" s="3">
        <f>SUM(M273:S273)</f>
        <v/>
      </c>
      <c r="F273" s="3">
        <f>SUM(T273:Z273)</f>
        <v/>
      </c>
      <c r="G273" s="3">
        <f>IF((F273-E273)&gt;=0,F273-E273,0)</f>
        <v/>
      </c>
      <c r="H273" s="3">
        <f>MAX(0,$E273-$F273-$J273)</f>
        <v/>
      </c>
      <c r="I273" s="3" t="n"/>
      <c r="J273" s="3" t="n"/>
      <c r="K273" s="4" t="n">
        <v>0.14</v>
      </c>
      <c r="L273" s="4">
        <f>IF(AND($H273&gt;0,ISNUMBER($K273)),$H273*$K273,0)</f>
        <v/>
      </c>
      <c r="M273" s="3" t="n"/>
      <c r="N273" s="3" t="n"/>
      <c r="O273" s="3" t="n">
        <v>1</v>
      </c>
      <c r="P273" s="3" t="n"/>
      <c r="Q273" s="3" t="n"/>
      <c r="R273" s="3" t="n"/>
      <c r="S273" s="3">
        <f>IF(AND(J273&lt;&gt;"",SUM(M273:R273)=0),J273,"")</f>
        <v/>
      </c>
      <c r="T273" s="3" t="n"/>
      <c r="U273" s="3" t="n"/>
      <c r="V273" s="3" t="n">
        <v>1</v>
      </c>
      <c r="W273" s="3" t="n"/>
      <c r="X273" s="3" t="n"/>
      <c r="Y273" s="3" t="n"/>
      <c r="Z273" s="3" t="n"/>
      <c r="AA273" s="2" t="inlineStr">
        <is>
          <t>Creature</t>
        </is>
      </c>
      <c r="AB273" s="2" t="inlineStr">
        <is>
          <t>Goblin Warlock</t>
        </is>
      </c>
      <c r="AC273" s="2" t="inlineStr">
        <is>
          <t>B</t>
        </is>
      </c>
      <c r="AD273" s="3" t="n">
        <v>3</v>
      </c>
      <c r="AE273" s="29" t="inlineStr">
        <is>
          <t>Lorwyn Eclipsed</t>
        </is>
      </c>
      <c r="AF273" s="29" t="inlineStr">
        <is>
          <t>Counters Payoff</t>
        </is>
      </c>
      <c r="AG273" s="29" t="inlineStr">
        <is>
          <t>Enters with two -1/-1 counters on it</t>
        </is>
      </c>
      <c r="AH273" s="29" t="inlineStr">
        <is>
          <t>Surveils 1 and removes a -1/-1 counter from itself whenever another creature you control dies</t>
        </is>
      </c>
      <c r="AI273" s="29" t="n"/>
      <c r="AJ273" s="2" t="n"/>
    </row>
    <row r="274" ht="15" customHeight="1" s="79">
      <c r="A274" s="2" t="inlineStr">
        <is>
          <t>Hofri Ghostforge</t>
        </is>
      </c>
      <c r="B274" s="2">
        <f>IF(AND(F274&lt;&gt;0,E274=F274),"In Hand",IF(AND(E274&lt;&gt;0,E274&lt;F274,SUM(M274:R274)=0,SUM(T274:Y274)&gt;0),"Extra-Sub",IF(AND(E274=0,E274&lt;F274,SUM(M274:R274)=0,SUM(T274:Y274)&gt;0),"Bench-Sub",IF(AND(E274=0,F274&gt;0),"Bench",IF(E274&lt;F274,"Extra",IF(AND(J274="",E274&gt;F274),"To Buy",IF(SUM(J274,F274)&lt;E274,"To Buy",IF(AND(SUM(J274,F274)&gt;=E274,J274&lt;&gt;""),"Ordered",IF(AND(E274=0,F274=0,D274="B3"),"B3 Option",IF(AND(E274=0,F274=0),"Remove","To Buy"))))))))))</f>
        <v/>
      </c>
      <c r="D274" t="inlineStr">
        <is>
          <t>B2</t>
        </is>
      </c>
      <c r="E274" s="3">
        <f>SUM(M274:S274)</f>
        <v/>
      </c>
      <c r="F274" s="3">
        <f>SUM(T274:Z274)</f>
        <v/>
      </c>
      <c r="G274" s="3">
        <f>IF((F274-E274)&gt;=0,F274-E274,0)</f>
        <v/>
      </c>
      <c r="H274" s="3">
        <f>MAX(0,$E274-$F274-$J274)</f>
        <v/>
      </c>
      <c r="I274" s="3" t="n"/>
      <c r="J274" s="3" t="n"/>
      <c r="K274" s="4" t="n">
        <v>0.27</v>
      </c>
      <c r="L274" s="4">
        <f>IF(AND($H274&gt;0,ISNUMBER($K274)),$H274*$K274,0)</f>
        <v/>
      </c>
      <c r="M274" s="3" t="n">
        <v>1</v>
      </c>
      <c r="N274" s="3" t="n"/>
      <c r="O274" s="3" t="n"/>
      <c r="P274" s="3" t="n"/>
      <c r="Q274" s="3" t="n"/>
      <c r="R274" s="3" t="n"/>
      <c r="S274" s="3">
        <f>IF(AND(J274&lt;&gt;"",SUM(M274:R274)=0),J274,"")</f>
        <v/>
      </c>
      <c r="T274" s="3" t="n">
        <v>1</v>
      </c>
      <c r="U274" s="3" t="n"/>
      <c r="V274" s="3" t="n"/>
      <c r="W274" s="3" t="n"/>
      <c r="X274" s="3" t="n"/>
      <c r="Y274" s="3" t="n"/>
      <c r="Z274" s="3" t="n"/>
      <c r="AA274" s="2" t="inlineStr">
        <is>
          <t>Legendary Creature</t>
        </is>
      </c>
      <c r="AB274" s="2" t="inlineStr">
        <is>
          <t>Dwarf Cleric</t>
        </is>
      </c>
      <c r="AC274" s="2" t="inlineStr">
        <is>
          <t>Multi</t>
        </is>
      </c>
      <c r="AD274" s="3" t="n">
        <v>5</v>
      </c>
      <c r="AE274" s="29" t="inlineStr">
        <is>
          <t>Strixhaven: School of Mages</t>
        </is>
      </c>
      <c r="AF274" s="29" t="inlineStr">
        <is>
          <t>Lord/Anthem</t>
        </is>
      </c>
      <c r="AG274" s="29" t="inlineStr">
        <is>
          <t>Spirits you control get +1/+1 and can attack the turn they enter</t>
        </is>
      </c>
      <c r="AH274" s="29" t="inlineStr">
        <is>
          <t>Another nontoken creature dying lets you exile it and make a Spirit copy token</t>
        </is>
      </c>
      <c r="AI274" s="29" t="n"/>
      <c r="AJ274" s="2" t="n"/>
    </row>
    <row r="275" ht="15" customHeight="1" s="79">
      <c r="A275" s="2" t="inlineStr">
        <is>
          <t>Ikra Shidiqi, the Usurper</t>
        </is>
      </c>
      <c r="B275" s="2">
        <f>IF(AND(F275&lt;&gt;0,E275=F275),"In Hand",IF(AND(E275&lt;&gt;0,E275&lt;F275,SUM(M275:R275)=0,SUM(T275:Y275)&gt;0),"Extra-Sub",IF(AND(E275=0,E275&lt;F275,SUM(M275:R275)=0,SUM(T275:Y275)&gt;0),"Bench-Sub",IF(AND(E275=0,F275&gt;0),"Bench",IF(E275&lt;F275,"Extra",IF(AND(J275="",E275&gt;F275),"To Buy",IF(SUM(J275,F275)&lt;E275,"To Buy",IF(AND(SUM(J275,F275)&gt;=E275,J275&lt;&gt;""),"Ordered",IF(AND(E275=0,F275=0,D275="B3"),"B3 Option",IF(AND(E275=0,F275=0),"Remove","To Buy"))))))))))</f>
        <v/>
      </c>
      <c r="D275" t="inlineStr">
        <is>
          <t>B2</t>
        </is>
      </c>
      <c r="E275" s="3">
        <f>SUM(M275:S275)</f>
        <v/>
      </c>
      <c r="F275" s="3">
        <f>SUM(T275:Z275)</f>
        <v/>
      </c>
      <c r="G275" s="3">
        <f>IF((F275-E275)&gt;=0,F275-E275,0)</f>
        <v/>
      </c>
      <c r="H275" s="3">
        <f>MAX(0,$E275-$F275-$J275)</f>
        <v/>
      </c>
      <c r="I275" s="3" t="n"/>
      <c r="J275" s="3" t="n"/>
      <c r="K275" s="4" t="n">
        <v>0.43</v>
      </c>
      <c r="L275" s="4">
        <f>IF(AND($H275&gt;0,ISNUMBER($K275)),$H275*$K275,0)</f>
        <v/>
      </c>
      <c r="M275" s="3" t="n"/>
      <c r="N275" s="3" t="n"/>
      <c r="O275" s="3" t="n">
        <v>1</v>
      </c>
      <c r="P275" s="3" t="n"/>
      <c r="Q275" s="3" t="n"/>
      <c r="R275" s="3" t="n"/>
      <c r="S275" s="3">
        <f>IF(AND(J275&lt;&gt;"",SUM(M275:R275)=0),J275,"")</f>
        <v/>
      </c>
      <c r="T275" s="3" t="n"/>
      <c r="U275" s="3" t="n"/>
      <c r="V275" s="3" t="n">
        <v>1</v>
      </c>
      <c r="W275" s="3" t="n"/>
      <c r="X275" s="3" t="n"/>
      <c r="Y275" s="3" t="n"/>
      <c r="Z275" s="3" t="n"/>
      <c r="AA275" s="2" t="inlineStr">
        <is>
          <t>Legendary Creature</t>
        </is>
      </c>
      <c r="AB275" s="2" t="inlineStr">
        <is>
          <t>Snake Wizard</t>
        </is>
      </c>
      <c r="AC275" s="2" t="inlineStr">
        <is>
          <t>Multi</t>
        </is>
      </c>
      <c r="AD275" s="3" t="n">
        <v>5</v>
      </c>
      <c r="AE275" s="29" t="inlineStr">
        <is>
          <t>Commander 2016</t>
        </is>
      </c>
      <c r="AF275" s="29" t="inlineStr">
        <is>
          <t>Lifegain</t>
        </is>
      </c>
      <c r="AG275" s="29" t="inlineStr">
        <is>
          <t>Gain life equal to a creature's toughness whenever it deals combat damage to a player</t>
        </is>
      </c>
      <c r="AH275" s="29" t="inlineStr">
        <is>
          <t>Can have two commanders if paired with another partner commander</t>
        </is>
      </c>
      <c r="AI275" s="29" t="n"/>
      <c r="AJ275" s="2" t="n"/>
    </row>
    <row r="276" ht="15" customHeight="1" s="79">
      <c r="A276" s="2" t="inlineStr">
        <is>
          <t>Impassioned Orator</t>
        </is>
      </c>
      <c r="B276" s="2">
        <f>IF(AND(F276&lt;&gt;0,E276=F276),"In Hand",IF(AND(E276&lt;&gt;0,E276&lt;F276,SUM(M276:R276)=0,SUM(T276:Y276)&gt;0),"Extra-Sub",IF(AND(E276=0,E276&lt;F276,SUM(M276:R276)=0,SUM(T276:Y276)&gt;0),"Bench-Sub",IF(AND(E276=0,F276&gt;0),"Bench",IF(E276&lt;F276,"Extra",IF(AND(J276="",E276&gt;F276),"To Buy",IF(SUM(J276,F276)&lt;E276,"To Buy",IF(AND(SUM(J276,F276)&gt;=E276,J276&lt;&gt;""),"Ordered",IF(AND(E276=0,F276=0,D276="B3"),"B3 Option",IF(AND(E276=0,F276=0),"Remove","To Buy"))))))))))</f>
        <v/>
      </c>
      <c r="D276" t="inlineStr">
        <is>
          <t>B2</t>
        </is>
      </c>
      <c r="E276" s="3">
        <f>SUM(M276:S276)</f>
        <v/>
      </c>
      <c r="F276" s="3">
        <f>SUM(T276:Z276)</f>
        <v/>
      </c>
      <c r="G276" s="3">
        <f>IF((F276-E276)&gt;=0,F276-E276,0)</f>
        <v/>
      </c>
      <c r="H276" s="3">
        <f>MAX(0,$E276-$F276-$J276)</f>
        <v/>
      </c>
      <c r="I276" s="3" t="n"/>
      <c r="J276" s="3" t="n"/>
      <c r="K276" s="4" t="n">
        <v>0.32</v>
      </c>
      <c r="L276" s="4">
        <f>IF(AND($H276&gt;0,ISNUMBER($K276)),$H276*$K276,0)</f>
        <v/>
      </c>
      <c r="M276" s="3" t="n"/>
      <c r="N276" s="3" t="n">
        <v>1</v>
      </c>
      <c r="O276" s="3" t="n"/>
      <c r="P276" s="3" t="n"/>
      <c r="Q276" s="3" t="n"/>
      <c r="R276" s="3" t="n"/>
      <c r="S276" s="3">
        <f>IF(AND(J276&lt;&gt;"",SUM(M276:R276)=0),J276,"")</f>
        <v/>
      </c>
      <c r="T276" s="3" t="n"/>
      <c r="U276" s="3" t="n">
        <v>1</v>
      </c>
      <c r="V276" s="3" t="n"/>
      <c r="W276" s="3" t="n"/>
      <c r="X276" s="3" t="n"/>
      <c r="Y276" s="3" t="n"/>
      <c r="Z276" s="3" t="n"/>
      <c r="AA276" s="2" t="inlineStr">
        <is>
          <t>Creature</t>
        </is>
      </c>
      <c r="AB276" s="2" t="inlineStr">
        <is>
          <t>Human Cleric</t>
        </is>
      </c>
      <c r="AC276" s="2" t="inlineStr">
        <is>
          <t>W</t>
        </is>
      </c>
      <c r="AD276" s="3" t="n">
        <v>2</v>
      </c>
      <c r="AE276" s="29" t="inlineStr">
        <is>
          <t>Ravnica Allegiance</t>
        </is>
      </c>
      <c r="AF276" s="29" t="inlineStr">
        <is>
          <t>Lifegain</t>
        </is>
      </c>
      <c r="AG276" s="29" t="inlineStr">
        <is>
          <t>Gain 1 life whenever another creature you control enters</t>
        </is>
      </c>
      <c r="AH276" s="29" t="n"/>
      <c r="AI276" s="29" t="n"/>
      <c r="AJ276" s="2" t="n"/>
    </row>
    <row r="277" ht="15" customHeight="1" s="79">
      <c r="A277" s="2" t="inlineStr">
        <is>
          <t>Indomitable Ancients</t>
        </is>
      </c>
      <c r="B277" s="2">
        <f>IF(AND(F277&lt;&gt;0,E277=F277),"In Hand",IF(AND(E277&lt;&gt;0,E277&lt;F277,SUM(M277:R277)=0,SUM(T277:Y277)&gt;0),"Extra-Sub",IF(AND(E277=0,E277&lt;F277,SUM(M277:R277)=0,SUM(T277:Y277)&gt;0),"Bench-Sub",IF(AND(E277=0,F277&gt;0),"Bench",IF(E277&lt;F277,"Extra",IF(AND(J277="",E277&gt;F277),"To Buy",IF(SUM(J277,F277)&lt;E277,"To Buy",IF(AND(SUM(J277,F277)&gt;=E277,J277&lt;&gt;""),"Ordered",IF(AND(E277=0,F277=0,D277="B3"),"B3 Option",IF(AND(E277=0,F277=0),"Remove","To Buy"))))))))))</f>
        <v/>
      </c>
      <c r="D277" t="inlineStr">
        <is>
          <t>B2</t>
        </is>
      </c>
      <c r="E277" s="3">
        <f>SUM(M277:S277)</f>
        <v/>
      </c>
      <c r="F277" s="3">
        <f>SUM(T277:Z277)</f>
        <v/>
      </c>
      <c r="G277" s="3">
        <f>IF((F277-E277)&gt;=0,F277-E277,0)</f>
        <v/>
      </c>
      <c r="H277" s="3">
        <f>MAX(0,$E277-$F277-$J277)</f>
        <v/>
      </c>
      <c r="I277" s="3" t="n"/>
      <c r="J277" s="3" t="n"/>
      <c r="K277" s="4" t="n">
        <v>0.38</v>
      </c>
      <c r="L277" s="4">
        <f>IF(AND($H277&gt;0,ISNUMBER($K277)),$H277*$K277,0)</f>
        <v/>
      </c>
      <c r="M277" s="3" t="n"/>
      <c r="N277" s="3" t="n"/>
      <c r="O277" s="3" t="n"/>
      <c r="P277" s="3" t="n">
        <v>1</v>
      </c>
      <c r="Q277" s="3" t="n"/>
      <c r="R277" s="3" t="n"/>
      <c r="S277" s="3">
        <f>IF(AND(J277&lt;&gt;"",SUM(M277:R277)=0),J277,"")</f>
        <v/>
      </c>
      <c r="T277" s="3" t="n"/>
      <c r="U277" s="3" t="n"/>
      <c r="V277" s="3" t="n"/>
      <c r="W277" s="3" t="n">
        <v>1</v>
      </c>
      <c r="X277" s="3" t="n"/>
      <c r="Y277" s="3" t="n"/>
      <c r="Z277" s="3" t="n"/>
      <c r="AA277" s="2" t="inlineStr">
        <is>
          <t>Creature</t>
        </is>
      </c>
      <c r="AB277" s="2" t="inlineStr">
        <is>
          <t>Treefolk Warrior</t>
        </is>
      </c>
      <c r="AC277" s="2" t="inlineStr">
        <is>
          <t>W</t>
        </is>
      </c>
      <c r="AD277" s="3" t="n">
        <v>4</v>
      </c>
      <c r="AE277" s="29" t="inlineStr">
        <is>
          <t>Morningtide</t>
        </is>
      </c>
      <c r="AF277" s="29" t="inlineStr">
        <is>
          <t>Utility Creature</t>
        </is>
      </c>
      <c r="AG277" s="29" t="inlineStr">
        <is>
          <t>Vanilla creature with no abilities (body only)</t>
        </is>
      </c>
      <c r="AH277" s="29" t="n"/>
      <c r="AI277" s="29" t="n"/>
      <c r="AJ277" s="2" t="n"/>
    </row>
    <row r="278" ht="15" customHeight="1" s="79">
      <c r="A278" s="2" t="inlineStr">
        <is>
          <t>Indulging Patrician</t>
        </is>
      </c>
      <c r="B278" s="2">
        <f>IF(AND(F278&lt;&gt;0,E278=F278),"In Hand",IF(AND(E278&lt;&gt;0,E278&lt;F278,SUM(M278:R278)=0,SUM(T278:Y278)&gt;0),"Extra-Sub",IF(AND(E278=0,E278&lt;F278,SUM(M278:R278)=0,SUM(T278:Y278)&gt;0),"Bench-Sub",IF(AND(E278=0,F278&gt;0),"Bench",IF(E278&lt;F278,"Extra",IF(AND(J278="",E278&gt;F278),"To Buy",IF(SUM(J278,F278)&lt;E278,"To Buy",IF(AND(SUM(J278,F278)&gt;=E278,J278&lt;&gt;""),"Ordered",IF(AND(E278=0,F278=0,D278="B3"),"B3 Option",IF(AND(E278=0,F278=0),"Remove","To Buy"))))))))))</f>
        <v/>
      </c>
      <c r="D278" t="inlineStr">
        <is>
          <t>B2</t>
        </is>
      </c>
      <c r="E278" s="3">
        <f>SUM(M278:S278)</f>
        <v/>
      </c>
      <c r="F278" s="3">
        <f>SUM(T278:Z278)</f>
        <v/>
      </c>
      <c r="G278" s="3">
        <f>IF((F278-E278)&gt;=0,F278-E278,0)</f>
        <v/>
      </c>
      <c r="H278" s="3">
        <f>MAX(0,$E278-$F278-$J278)</f>
        <v/>
      </c>
      <c r="I278" s="3" t="n"/>
      <c r="J278" s="3" t="n"/>
      <c r="K278" s="4" t="n">
        <v>0.33</v>
      </c>
      <c r="L278" s="4">
        <f>IF(AND($H278&gt;0,ISNUMBER($K278)),$H278*$K278,0)</f>
        <v/>
      </c>
      <c r="M278" s="3" t="n"/>
      <c r="N278" s="3" t="n"/>
      <c r="O278" s="3" t="n"/>
      <c r="P278" s="3" t="n">
        <v>1</v>
      </c>
      <c r="Q278" s="3" t="n"/>
      <c r="R278" s="3" t="n"/>
      <c r="S278" s="3">
        <f>IF(AND(J278&lt;&gt;"",SUM(M278:R278)=0),J278,"")</f>
        <v/>
      </c>
      <c r="T278" s="3" t="n"/>
      <c r="U278" s="3" t="n"/>
      <c r="V278" s="3" t="n"/>
      <c r="W278" s="3" t="n">
        <v>1</v>
      </c>
      <c r="X278" s="3" t="n"/>
      <c r="Y278" s="3" t="n"/>
      <c r="Z278" s="3" t="n"/>
      <c r="AA278" s="2" t="inlineStr">
        <is>
          <t>Creature</t>
        </is>
      </c>
      <c r="AB278" s="2" t="inlineStr">
        <is>
          <t>Vampire Noble</t>
        </is>
      </c>
      <c r="AC278" s="2" t="inlineStr">
        <is>
          <t>Multi</t>
        </is>
      </c>
      <c r="AD278" s="3" t="n">
        <v>3</v>
      </c>
      <c r="AE278" s="29" t="inlineStr">
        <is>
          <t>Core Set 2021</t>
        </is>
      </c>
      <c r="AF278" s="29" t="inlineStr">
        <is>
          <t>Drain Payoff</t>
        </is>
      </c>
      <c r="AG278" s="29" t="inlineStr">
        <is>
          <t>Each opponent loses 3 life at your end step if you gained 3 or more life that turn</t>
        </is>
      </c>
      <c r="AH278" s="29" t="inlineStr">
        <is>
          <t>Gains you life equal to damage it deals</t>
        </is>
      </c>
      <c r="AI278" s="29" t="n"/>
      <c r="AJ278" s="2" t="n"/>
    </row>
    <row r="279" ht="15" customHeight="1" s="79">
      <c r="A279" s="2" t="inlineStr">
        <is>
          <t>Intangible Virtue</t>
        </is>
      </c>
      <c r="B279" s="2">
        <f>IF(AND(F279&lt;&gt;0,E279=F279),"In Hand",IF(AND(E279&lt;&gt;0,E279&lt;F279,SUM(M279:R279)=0,SUM(T279:Y279)&gt;0),"Extra-Sub",IF(AND(E279=0,E279&lt;F279,SUM(M279:R279)=0,SUM(T279:Y279)&gt;0),"Bench-Sub",IF(AND(E279=0,F279&gt;0),"Bench",IF(E279&lt;F279,"Extra",IF(AND(J279="",E279&gt;F279),"To Buy",IF(SUM(J279,F279)&lt;E279,"To Buy",IF(AND(SUM(J279,F279)&gt;=E279,J279&lt;&gt;""),"Ordered",IF(AND(E279=0,F279=0,D279="B3"),"B3 Option",IF(AND(E279=0,F279=0),"Remove","To Buy"))))))))))</f>
        <v/>
      </c>
      <c r="D279" t="inlineStr">
        <is>
          <t>B2</t>
        </is>
      </c>
      <c r="E279" s="3">
        <f>SUM(M279:S279)</f>
        <v/>
      </c>
      <c r="F279" s="3">
        <f>SUM(T279:Z279)</f>
        <v/>
      </c>
      <c r="G279" s="3">
        <f>IF((F279-E279)&gt;=0,F279-E279,0)</f>
        <v/>
      </c>
      <c r="H279" s="3">
        <f>MAX(0,$E279-$F279-$J279)</f>
        <v/>
      </c>
      <c r="I279" s="3" t="n"/>
      <c r="J279" s="3" t="n"/>
      <c r="K279" s="4" t="n">
        <v>0.29</v>
      </c>
      <c r="L279" s="4">
        <f>IF(AND($H279&gt;0,ISNUMBER($K279)),$H279*$K279,0)</f>
        <v/>
      </c>
      <c r="M279" s="3" t="n"/>
      <c r="N279" s="3" t="n"/>
      <c r="O279" s="3" t="n"/>
      <c r="P279" s="3" t="n"/>
      <c r="Q279" s="3" t="n">
        <v>1</v>
      </c>
      <c r="R279" s="3" t="n"/>
      <c r="S279" s="3">
        <f>IF(AND(J279&lt;&gt;"",SUM(M279:R279)=0),J279,"")</f>
        <v/>
      </c>
      <c r="T279" s="3" t="n"/>
      <c r="U279" s="3" t="n"/>
      <c r="V279" s="3" t="n"/>
      <c r="W279" s="3" t="n"/>
      <c r="X279" s="3" t="n">
        <v>1</v>
      </c>
      <c r="Y279" s="3" t="n"/>
      <c r="Z279" s="3" t="n"/>
      <c r="AA279" s="2" t="inlineStr">
        <is>
          <t>Enchantment</t>
        </is>
      </c>
      <c r="AB279" s="2" t="n"/>
      <c r="AC279" s="2" t="inlineStr">
        <is>
          <t>W</t>
        </is>
      </c>
      <c r="AD279" s="3" t="n">
        <v>2</v>
      </c>
      <c r="AE279" s="29" t="inlineStr">
        <is>
          <t>Innistrad</t>
        </is>
      </c>
      <c r="AF279" s="29" t="inlineStr">
        <is>
          <t>Lord/Anthem</t>
        </is>
      </c>
      <c r="AG279" s="29" t="inlineStr">
        <is>
          <t>Your creature tokens get +1/+1</t>
        </is>
      </c>
      <c r="AH279" s="29" t="inlineStr">
        <is>
          <t>Your creature tokens have vigilance</t>
        </is>
      </c>
      <c r="AI279" s="29" t="n"/>
      <c r="AJ279" s="2" t="inlineStr">
        <is>
          <t>Cut in Tuned</t>
        </is>
      </c>
    </row>
    <row r="280" ht="15" customHeight="1" s="79">
      <c r="A280" s="2" t="inlineStr">
        <is>
          <t>Isolated Chapel</t>
        </is>
      </c>
      <c r="B280" s="2">
        <f>IF(AND(F280&lt;&gt;0,E280=F280),"In Hand",IF(AND(E280&lt;&gt;0,E280&lt;F280,SUM(M280:R280)=0,SUM(T280:Y280)&gt;0),"Extra-Sub",IF(AND(E280=0,E280&lt;F280,SUM(M280:R280)=0,SUM(T280:Y280)&gt;0),"Bench-Sub",IF(AND(E280=0,F280&gt;0),"Bench",IF(E280&lt;F280,"Extra",IF(AND(J280="",E280&gt;F280),"To Buy",IF(SUM(J280,F280)&lt;E280,"To Buy",IF(AND(SUM(J280,F280)&gt;=E280,J280&lt;&gt;""),"Ordered",IF(AND(E280=0,F280=0,D280="B3"),"B3 Option",IF(AND(E280=0,F280=0),"Remove","To Buy"))))))))))</f>
        <v/>
      </c>
      <c r="D280" t="inlineStr">
        <is>
          <t>B2</t>
        </is>
      </c>
      <c r="E280" s="3">
        <f>SUM(M280:S280)</f>
        <v/>
      </c>
      <c r="F280" s="3">
        <f>SUM(T280:Z280)</f>
        <v/>
      </c>
      <c r="G280" s="3">
        <f>IF((F280-E280)&gt;=0,F280-E280,0)</f>
        <v/>
      </c>
      <c r="H280" s="3">
        <f>MAX(0,$E280-$F280-$J280)</f>
        <v/>
      </c>
      <c r="I280" s="3" t="n"/>
      <c r="J280" s="3" t="n"/>
      <c r="K280" s="4" t="n">
        <v>0.39</v>
      </c>
      <c r="L280" s="4">
        <f>IF(AND($H280&gt;0,ISNUMBER($K280)),$H280*$K280,0)</f>
        <v/>
      </c>
      <c r="M280" s="3" t="n"/>
      <c r="N280" s="3" t="n"/>
      <c r="O280" s="3" t="n"/>
      <c r="P280" s="3" t="n">
        <v>1</v>
      </c>
      <c r="Q280" s="3" t="n">
        <v>1</v>
      </c>
      <c r="R280" s="3" t="n"/>
      <c r="S280" s="3">
        <f>IF(AND(J280&lt;&gt;"",SUM(M280:R280)=0),J280,"")</f>
        <v/>
      </c>
      <c r="T280" s="3" t="n"/>
      <c r="U280" s="3" t="n"/>
      <c r="V280" s="3" t="n"/>
      <c r="W280" s="3" t="n">
        <v>1</v>
      </c>
      <c r="X280" s="3" t="n">
        <v>1</v>
      </c>
      <c r="Y280" s="3" t="n"/>
      <c r="Z280" s="3" t="n"/>
      <c r="AA280" s="2" t="inlineStr">
        <is>
          <t>Land</t>
        </is>
      </c>
      <c r="AB280" s="2" t="n"/>
      <c r="AC280" s="2" t="inlineStr">
        <is>
          <t>L</t>
        </is>
      </c>
      <c r="AD280" s="3" t="n">
        <v>0</v>
      </c>
      <c r="AE280" s="29" t="inlineStr">
        <is>
          <t>Innistrad</t>
        </is>
      </c>
      <c r="AF280" s="29" t="inlineStr">
        <is>
          <t>Land</t>
        </is>
      </c>
      <c r="AG280" s="29" t="inlineStr">
        <is>
          <t>Taps for {W} or {B}</t>
        </is>
      </c>
      <c r="AH280" s="29" t="inlineStr">
        <is>
          <t>Enters tapped unless you control a Plains or Swamp</t>
        </is>
      </c>
      <c r="AI280" s="29" t="n"/>
      <c r="AJ280" s="2" t="inlineStr">
        <is>
          <t>Bench sub -&gt; D5 for Concealed Courtyard (2026-09-02)</t>
        </is>
      </c>
      <c r="AK280" t="inlineStr">
        <is>
          <t>[T+A] B-&gt;D5 (bench sub) [done 2026-09-03]</t>
        </is>
      </c>
    </row>
    <row r="281" ht="15" customHeight="1" s="79">
      <c r="A281" s="2" t="inlineStr">
        <is>
          <t>Jungle Barrier</t>
        </is>
      </c>
      <c r="B281" s="2">
        <f>IF(AND(F281&lt;&gt;0,E281=F281),"In Hand",IF(AND(E281&lt;&gt;0,E281&lt;F281,SUM(M281:R281)=0,SUM(T281:Y281)&gt;0),"Extra-Sub",IF(AND(E281=0,E281&lt;F281,SUM(M281:R281)=0,SUM(T281:Y281)&gt;0),"Bench-Sub",IF(AND(E281=0,F281&gt;0),"Bench",IF(E281&lt;F281,"Extra",IF(AND(J281="",E281&gt;F281),"To Buy",IF(SUM(J281,F281)&lt;E281,"To Buy",IF(AND(SUM(J281,F281)&gt;=E281,J281&lt;&gt;""),"Ordered",IF(AND(E281=0,F281=0,D281="B3"),"B3 Option",IF(AND(E281=0,F281=0),"Remove","To Buy"))))))))))</f>
        <v/>
      </c>
      <c r="D281" t="inlineStr">
        <is>
          <t>B2</t>
        </is>
      </c>
      <c r="E281" s="3">
        <f>SUM(M281:S281)</f>
        <v/>
      </c>
      <c r="F281" s="3">
        <f>SUM(T281:Z281)</f>
        <v/>
      </c>
      <c r="G281" s="3">
        <f>IF((F281-E281)&gt;=0,F281-E281,0)</f>
        <v/>
      </c>
      <c r="H281" s="3">
        <f>MAX(0,$E281-$F281-$J281)</f>
        <v/>
      </c>
      <c r="I281" s="3" t="n"/>
      <c r="J281" s="3" t="n"/>
      <c r="K281" s="4" t="n">
        <v>0.29</v>
      </c>
      <c r="L281" s="4">
        <f>IF(AND($H281&gt;0,ISNUMBER($K281)),$H281*$K281,0)</f>
        <v/>
      </c>
      <c r="M281" s="3" t="n"/>
      <c r="N281" s="3" t="n">
        <v>1</v>
      </c>
      <c r="O281" s="3" t="n"/>
      <c r="P281" s="3" t="n"/>
      <c r="Q281" s="3" t="n"/>
      <c r="R281" s="3" t="n"/>
      <c r="S281" s="3">
        <f>IF(AND(J281&lt;&gt;"",SUM(M281:R281)=0),J281,"")</f>
        <v/>
      </c>
      <c r="T281" s="3" t="n"/>
      <c r="U281" s="3" t="n">
        <v>1</v>
      </c>
      <c r="V281" s="3" t="n"/>
      <c r="W281" s="3" t="n"/>
      <c r="X281" s="3" t="n"/>
      <c r="Y281" s="3" t="n"/>
      <c r="Z281" s="3" t="n"/>
      <c r="AA281" s="2" t="inlineStr">
        <is>
          <t>Creature</t>
        </is>
      </c>
      <c r="AB281" s="2" t="inlineStr">
        <is>
          <t>Plant Wall</t>
        </is>
      </c>
      <c r="AC281" s="2" t="inlineStr">
        <is>
          <t>Multi</t>
        </is>
      </c>
      <c r="AD281" s="3" t="n">
        <v>4</v>
      </c>
      <c r="AE281" s="29" t="inlineStr">
        <is>
          <t>Apocalypse</t>
        </is>
      </c>
      <c r="AF281" s="29" t="inlineStr">
        <is>
          <t>Card Draw</t>
        </is>
      </c>
      <c r="AG281" s="29" t="inlineStr">
        <is>
          <t>Draws a card when it enters</t>
        </is>
      </c>
      <c r="AH281" s="29" t="n"/>
      <c r="AI281" s="29" t="n"/>
      <c r="AJ281" s="2" t="n"/>
    </row>
    <row r="282" ht="15" customHeight="1" s="79">
      <c r="A282" s="2" t="inlineStr">
        <is>
          <t>Kami of Ancient Law</t>
        </is>
      </c>
      <c r="B282" s="2">
        <f>IF(AND(F282&lt;&gt;0,E282=F282),"In Hand",IF(AND(E282&lt;&gt;0,E282&lt;F282,SUM(M282:R282)=0,SUM(T282:Y282)&gt;0),"Extra-Sub",IF(AND(E282=0,E282&lt;F282,SUM(M282:R282)=0,SUM(T282:Y282)&gt;0),"Bench-Sub",IF(AND(E282=0,F282&gt;0),"Bench",IF(E282&lt;F282,"Extra",IF(AND(J282="",E282&gt;F282),"To Buy",IF(SUM(J282,F282)&lt;E282,"To Buy",IF(AND(SUM(J282,F282)&gt;=E282,J282&lt;&gt;""),"Ordered",IF(AND(E282=0,F282=0,D282="B3"),"B3 Option",IF(AND(E282=0,F282=0),"Remove","To Buy"))))))))))</f>
        <v/>
      </c>
      <c r="D282" t="inlineStr">
        <is>
          <t>B2</t>
        </is>
      </c>
      <c r="E282" s="3">
        <f>SUM(M282:S282)</f>
        <v/>
      </c>
      <c r="F282" s="3">
        <f>SUM(T282:Z282)</f>
        <v/>
      </c>
      <c r="G282" s="3">
        <f>IF((F282-E282)&gt;=0,F282-E282,0)</f>
        <v/>
      </c>
      <c r="H282" s="3">
        <f>MAX(0,$E282-$F282-$J282)</f>
        <v/>
      </c>
      <c r="I282" s="3" t="n"/>
      <c r="J282" s="3" t="n"/>
      <c r="K282" s="4" t="n">
        <v>0.2</v>
      </c>
      <c r="L282" s="4">
        <f>IF(AND($H282&gt;0,ISNUMBER($K282)),$H282*$K282,0)</f>
        <v/>
      </c>
      <c r="M282" s="3" t="n"/>
      <c r="N282" s="3" t="n">
        <v>1</v>
      </c>
      <c r="O282" s="3" t="n"/>
      <c r="P282" s="3" t="n"/>
      <c r="Q282" s="3" t="n"/>
      <c r="R282" s="3" t="n"/>
      <c r="S282" s="3">
        <f>IF(AND(J282&lt;&gt;"",SUM(M282:R282)=0),J282,"")</f>
        <v/>
      </c>
      <c r="T282" s="3" t="n"/>
      <c r="U282" s="3" t="n">
        <v>1</v>
      </c>
      <c r="V282" s="3" t="n"/>
      <c r="W282" s="3" t="n"/>
      <c r="X282" s="3" t="n"/>
      <c r="Y282" s="3" t="n"/>
      <c r="Z282" s="3" t="n"/>
      <c r="AA282" s="2" t="inlineStr">
        <is>
          <t>Creature</t>
        </is>
      </c>
      <c r="AB282" s="2" t="inlineStr">
        <is>
          <t>Spirit</t>
        </is>
      </c>
      <c r="AC282" s="2" t="inlineStr">
        <is>
          <t>W</t>
        </is>
      </c>
      <c r="AD282" s="3" t="n">
        <v>2</v>
      </c>
      <c r="AE282" s="29" t="inlineStr">
        <is>
          <t>Champions of Kamigawa</t>
        </is>
      </c>
      <c r="AF282" s="29" t="inlineStr">
        <is>
          <t>Artifact/Enchantment Removal</t>
        </is>
      </c>
      <c r="AG282" s="29" t="inlineStr">
        <is>
          <t>Sacrifice this creature to destroy target enchantment</t>
        </is>
      </c>
      <c r="AH282" s="29" t="n"/>
      <c r="AI282" s="29" t="n"/>
      <c r="AJ282" s="2" t="n"/>
    </row>
    <row r="283" ht="15" customHeight="1" s="79">
      <c r="A283" s="2" t="inlineStr">
        <is>
          <t>Karmic Guide</t>
        </is>
      </c>
      <c r="B283" s="2">
        <f>IF(AND(F283&lt;&gt;0,E283=F283),"In Hand",IF(AND(E283&lt;&gt;0,E283&lt;F283,SUM(M283:R283)=0,SUM(T283:Y283)&gt;0),"Extra-Sub",IF(AND(E283=0,E283&lt;F283,SUM(M283:R283)=0,SUM(T283:Y283)&gt;0),"Bench-Sub",IF(AND(E283=0,F283&gt;0),"Bench",IF(E283&lt;F283,"Extra",IF(AND(J283="",E283&gt;F283),"To Buy",IF(SUM(J283,F283)&lt;E283,"To Buy",IF(AND(SUM(J283,F283)&gt;=E283,J283&lt;&gt;""),"Ordered",IF(AND(E283=0,F283=0,D283="B3"),"B3 Option",IF(AND(E283=0,F283=0),"Remove","To Buy"))))))))))</f>
        <v/>
      </c>
      <c r="D283" t="inlineStr">
        <is>
          <t>B2</t>
        </is>
      </c>
      <c r="E283" s="3">
        <f>SUM(M283:S283)</f>
        <v/>
      </c>
      <c r="F283" s="3">
        <f>SUM(T283:Z283)</f>
        <v/>
      </c>
      <c r="G283" s="3">
        <f>IF((F283-E283)&gt;=0,F283-E283,0)</f>
        <v/>
      </c>
      <c r="H283" s="3">
        <f>MAX(0,$E283-$F283-$J283)</f>
        <v/>
      </c>
      <c r="I283" s="3" t="n"/>
      <c r="J283" s="3" t="n"/>
      <c r="K283" s="4" t="n">
        <v>0.33</v>
      </c>
      <c r="L283" s="4">
        <f>IF(AND($H283&gt;0,ISNUMBER($K283)),$H283*$K283,0)</f>
        <v/>
      </c>
      <c r="M283" s="3" t="n">
        <v>1</v>
      </c>
      <c r="N283" s="3" t="n"/>
      <c r="O283" s="3" t="n"/>
      <c r="P283" s="3" t="n"/>
      <c r="Q283" s="3" t="n"/>
      <c r="R283" s="3" t="n"/>
      <c r="S283" s="3">
        <f>IF(AND(J283&lt;&gt;"",SUM(M283:R283)=0),J283,"")</f>
        <v/>
      </c>
      <c r="T283" s="3" t="n">
        <v>1</v>
      </c>
      <c r="U283" s="3" t="n"/>
      <c r="V283" s="3" t="n"/>
      <c r="W283" s="3" t="n"/>
      <c r="X283" s="3" t="n"/>
      <c r="Y283" s="3" t="n"/>
      <c r="Z283" s="3" t="n"/>
      <c r="AA283" s="2" t="inlineStr">
        <is>
          <t>Creature</t>
        </is>
      </c>
      <c r="AB283" s="2" t="inlineStr">
        <is>
          <t>Angel Spirit</t>
        </is>
      </c>
      <c r="AC283" s="2" t="inlineStr">
        <is>
          <t>W</t>
        </is>
      </c>
      <c r="AD283" s="3" t="n">
        <v>5</v>
      </c>
      <c r="AE283" s="29" t="inlineStr">
        <is>
          <t>Urza's Legacy</t>
        </is>
      </c>
      <c r="AF283" s="29" t="inlineStr">
        <is>
          <t>Recursion</t>
        </is>
      </c>
      <c r="AG283" s="29" t="inlineStr">
        <is>
          <t>Flying body that can't be blocked or targeted by black</t>
        </is>
      </c>
      <c r="AH283" s="29" t="inlineStr">
        <is>
          <t>Enters: return target creature card from graveyard to battlefield</t>
        </is>
      </c>
      <c r="AI283" s="29" t="inlineStr">
        <is>
          <t>Must pay {3}{W}{W} next upkeep or be sacrificed</t>
        </is>
      </c>
      <c r="AJ283" s="2" t="n"/>
    </row>
    <row r="284" ht="15" customHeight="1" s="79">
      <c r="A284" s="2" t="inlineStr">
        <is>
          <t>Karn's Bastion</t>
        </is>
      </c>
      <c r="B284" s="2">
        <f>IF(AND(F284&lt;&gt;0,E284=F284),"In Hand",IF(AND(E284&lt;&gt;0,E284&lt;F284,SUM(M284:R284)=0,SUM(T284:Y284)&gt;0),"Extra-Sub",IF(AND(E284=0,E284&lt;F284,SUM(M284:R284)=0,SUM(T284:Y284)&gt;0),"Bench-Sub",IF(AND(E284=0,F284&gt;0),"Bench",IF(E284&lt;F284,"Extra",IF(AND(J284="",E284&gt;F284),"To Buy",IF(SUM(J284,F284)&lt;E284,"To Buy",IF(AND(SUM(J284,F284)&gt;=E284,J284&lt;&gt;""),"Ordered",IF(AND(E284=0,F284=0,D284="B3"),"B3 Option",IF(AND(E284=0,F284=0),"Remove","To Buy"))))))))))</f>
        <v/>
      </c>
      <c r="D284" t="inlineStr">
        <is>
          <t>B2</t>
        </is>
      </c>
      <c r="E284" s="3">
        <f>SUM(M284:S284)</f>
        <v/>
      </c>
      <c r="F284" s="3">
        <f>SUM(T284:Z284)</f>
        <v/>
      </c>
      <c r="G284" s="3">
        <f>IF((F284-E284)&gt;=0,F284-E284,0)</f>
        <v/>
      </c>
      <c r="H284" s="3">
        <f>MAX(0,$E284-$F284-$J284)</f>
        <v/>
      </c>
      <c r="I284" s="3" t="n"/>
      <c r="J284" s="3" t="n"/>
      <c r="K284" s="4" t="n">
        <v>2.55</v>
      </c>
      <c r="L284" s="4">
        <f>IF(AND($H284&gt;0,ISNUMBER($K284)),$H284*$K284,0)</f>
        <v/>
      </c>
      <c r="M284" s="3" t="n"/>
      <c r="N284" s="3" t="n"/>
      <c r="O284" s="3" t="n">
        <v>1</v>
      </c>
      <c r="P284" s="3" t="n"/>
      <c r="Q284" s="3" t="n"/>
      <c r="R284" s="3" t="n"/>
      <c r="S284" s="3">
        <f>IF(AND(J284&lt;&gt;"",SUM(M284:R284)=0),J284,"")</f>
        <v/>
      </c>
      <c r="T284" s="3" t="n"/>
      <c r="U284" s="3" t="n"/>
      <c r="V284" s="3" t="n">
        <v>1</v>
      </c>
      <c r="W284" s="3" t="n"/>
      <c r="X284" s="3" t="n"/>
      <c r="Y284" s="3" t="n"/>
      <c r="Z284" s="3" t="n"/>
      <c r="AA284" s="2" t="inlineStr">
        <is>
          <t>Land</t>
        </is>
      </c>
      <c r="AB284" s="2" t="n"/>
      <c r="AC284" s="2" t="inlineStr">
        <is>
          <t>L</t>
        </is>
      </c>
      <c r="AD284" s="3" t="n">
        <v>0</v>
      </c>
      <c r="AE284" s="29" t="inlineStr">
        <is>
          <t>War of the Spark</t>
        </is>
      </c>
      <c r="AF284" s="29" t="inlineStr">
        <is>
          <t>Proliferate</t>
        </is>
      </c>
      <c r="AG284" s="29" t="inlineStr">
        <is>
          <t>Taps for {C}</t>
        </is>
      </c>
      <c r="AH284" s="29" t="inlineStr">
        <is>
          <t>Pay {4} and tap to proliferate</t>
        </is>
      </c>
      <c r="AI284" s="29" t="n"/>
      <c r="AJ284" s="2" t="inlineStr">
        <is>
          <t>Tuned add</t>
        </is>
      </c>
    </row>
    <row r="285" ht="15" customHeight="1" s="79">
      <c r="A285" s="2" t="inlineStr">
        <is>
          <t>Kin-Tree Invocation</t>
        </is>
      </c>
      <c r="B285" s="2">
        <f>IF(AND(F285&lt;&gt;0,E285=F285),"In Hand",IF(AND(E285&lt;&gt;0,E285&lt;F285,SUM(M285:R285)=0,SUM(T285:Y285)&gt;0),"Extra-Sub",IF(AND(E285=0,E285&lt;F285,SUM(M285:R285)=0,SUM(T285:Y285)&gt;0),"Bench-Sub",IF(AND(E285=0,F285&gt;0),"Bench",IF(E285&lt;F285,"Extra",IF(AND(J285="",E285&gt;F285),"To Buy",IF(SUM(J285,F285)&lt;E285,"To Buy",IF(AND(SUM(J285,F285)&gt;=E285,J285&lt;&gt;""),"Ordered",IF(AND(E285=0,F285=0,D285="B3"),"B3 Option",IF(AND(E285=0,F285=0),"Remove","To Buy"))))))))))</f>
        <v/>
      </c>
      <c r="D285" t="inlineStr">
        <is>
          <t>B2</t>
        </is>
      </c>
      <c r="E285" s="3">
        <f>SUM(M285:S285)</f>
        <v/>
      </c>
      <c r="F285" s="3">
        <f>SUM(T285:Z285)</f>
        <v/>
      </c>
      <c r="G285" s="3">
        <f>IF((F285-E285)&gt;=0,F285-E285,0)</f>
        <v/>
      </c>
      <c r="H285" s="3">
        <f>MAX(0,$E285-$F285-$J285)</f>
        <v/>
      </c>
      <c r="I285" s="3" t="n"/>
      <c r="J285" s="3" t="n"/>
      <c r="K285" s="4" t="n">
        <v>0.11</v>
      </c>
      <c r="L285" s="4">
        <f>IF(AND($H285&gt;0,ISNUMBER($K285)),$H285*$K285,0)</f>
        <v/>
      </c>
      <c r="M285" s="3" t="n"/>
      <c r="N285" s="3" t="n"/>
      <c r="O285" s="3" t="n"/>
      <c r="P285" s="3" t="n">
        <v>1</v>
      </c>
      <c r="Q285" s="3" t="n"/>
      <c r="R285" s="3" t="n"/>
      <c r="S285" s="3">
        <f>IF(AND(J285&lt;&gt;"",SUM(M285:R285)=0),J285,"")</f>
        <v/>
      </c>
      <c r="T285" s="3" t="n"/>
      <c r="U285" s="3" t="n"/>
      <c r="V285" s="3" t="n"/>
      <c r="W285" s="3" t="n">
        <v>1</v>
      </c>
      <c r="X285" s="3" t="n"/>
      <c r="Y285" s="3" t="n"/>
      <c r="Z285" s="3" t="n"/>
      <c r="AA285" s="2" t="inlineStr">
        <is>
          <t>Sorcery</t>
        </is>
      </c>
      <c r="AB285" s="2" t="n"/>
      <c r="AC285" s="2" t="inlineStr">
        <is>
          <t>Multi</t>
        </is>
      </c>
      <c r="AD285" s="3" t="n">
        <v>2</v>
      </c>
      <c r="AE285" s="29" t="inlineStr">
        <is>
          <t>Khans of Tarkir</t>
        </is>
      </c>
      <c r="AF285" s="29" t="inlineStr">
        <is>
          <t>Token Producer</t>
        </is>
      </c>
      <c r="AG285" s="29" t="inlineStr">
        <is>
          <t>Creates an X/X token, X = greatest toughness among your creatures</t>
        </is>
      </c>
      <c r="AH285" s="29" t="n"/>
      <c r="AI285" s="29" t="n"/>
      <c r="AJ285" s="2" t="inlineStr">
        <is>
          <t>Received/settled (was in cart 2026-09-02: Game Theory Wake Forest $0.2 Near Mint)</t>
        </is>
      </c>
    </row>
    <row r="286" ht="15" customHeight="1" s="79">
      <c r="A286" s="2" t="inlineStr">
        <is>
          <t>Kirol, History Buff // Pack a Punch</t>
        </is>
      </c>
      <c r="B286" s="2">
        <f>IF(AND(F286&lt;&gt;0,E286=F286),"In Hand",IF(AND(E286&lt;&gt;0,E286&lt;F286,SUM(M286:R286)=0,SUM(T286:Y286)&gt;0),"Extra-Sub",IF(AND(E286=0,E286&lt;F286,SUM(M286:R286)=0,SUM(T286:Y286)&gt;0),"Bench-Sub",IF(AND(E286=0,F286&gt;0),"Bench",IF(E286&lt;F286,"Extra",IF(AND(J286="",E286&gt;F286),"To Buy",IF(SUM(J286,F286)&lt;E286,"To Buy",IF(AND(SUM(J286,F286)&gt;=E286,J286&lt;&gt;""),"Ordered",IF(AND(E286=0,F286=0,D286="B3"),"B3 Option",IF(AND(E286=0,F286=0),"Remove","To Buy"))))))))))</f>
        <v/>
      </c>
      <c r="D286" t="inlineStr">
        <is>
          <t>B2</t>
        </is>
      </c>
      <c r="E286" s="3">
        <f>SUM(M286:S286)</f>
        <v/>
      </c>
      <c r="F286" s="3">
        <f>SUM(T286:Z286)</f>
        <v/>
      </c>
      <c r="G286" s="3">
        <f>IF((F286-E286)&gt;=0,F286-E286,0)</f>
        <v/>
      </c>
      <c r="H286" s="3">
        <f>MAX(0,$E286-$F286-$J286)</f>
        <v/>
      </c>
      <c r="I286" s="3" t="n"/>
      <c r="J286" s="3" t="n"/>
      <c r="K286" s="4" t="n">
        <v>0.17</v>
      </c>
      <c r="L286" s="4">
        <f>IF(AND($H286&gt;0,ISNUMBER($K286)),$H286*$K286,0)</f>
        <v/>
      </c>
      <c r="M286" s="3" t="n">
        <v>1</v>
      </c>
      <c r="N286" s="3" t="n"/>
      <c r="O286" s="3" t="n"/>
      <c r="P286" s="3" t="n"/>
      <c r="Q286" s="3" t="n"/>
      <c r="R286" s="3" t="n"/>
      <c r="S286" s="3">
        <f>IF(AND(J286&lt;&gt;"",SUM(M286:R286)=0),J286,"")</f>
        <v/>
      </c>
      <c r="T286" s="3" t="n">
        <v>1</v>
      </c>
      <c r="U286" s="3" t="n"/>
      <c r="V286" s="3" t="n"/>
      <c r="W286" s="3" t="n"/>
      <c r="X286" s="3" t="n"/>
      <c r="Y286" s="3" t="n"/>
      <c r="Z286" s="3" t="n"/>
      <c r="AA286" s="2" t="inlineStr">
        <is>
          <t>Legendary Creature</t>
        </is>
      </c>
      <c r="AB286" s="2" t="inlineStr">
        <is>
          <t>Vampire Cleric</t>
        </is>
      </c>
      <c r="AC286" s="2" t="inlineStr">
        <is>
          <t>Multi</t>
        </is>
      </c>
      <c r="AD286" s="3" t="n">
        <v>2</v>
      </c>
      <c r="AE286" s="29" t="inlineStr">
        <is>
          <t>Secrets of Strixhaven</t>
        </is>
      </c>
      <c r="AF286" s="29" t="inlineStr">
        <is>
          <t>Value Engine</t>
        </is>
      </c>
      <c r="AG286" s="29" t="inlineStr">
        <is>
          <t>Cards leaving your graveyard lets you cast a copy of its other half</t>
        </is>
      </c>
      <c r="AH286" s="29" t="inlineStr">
        <is>
          <t>Other half: mill a card, put two +1/+1 counters on target creature</t>
        </is>
      </c>
      <c r="AI286" s="29" t="inlineStr">
        <is>
          <t>Other half also lets that creature push through blockers this turn</t>
        </is>
      </c>
      <c r="AJ286" s="2" t="n"/>
    </row>
    <row r="287" ht="15" customHeight="1" s="79">
      <c r="A287" s="2" t="inlineStr">
        <is>
          <t>Knight of the White Orchid</t>
        </is>
      </c>
      <c r="B287" s="2">
        <f>IF(AND(F287&lt;&gt;0,E287=F287),"In Hand",IF(AND(E287&lt;&gt;0,E287&lt;F287,SUM(M287:R287)=0,SUM(T287:Y287)&gt;0),"Extra-Sub",IF(AND(E287=0,E287&lt;F287,SUM(M287:R287)=0,SUM(T287:Y287)&gt;0),"Bench-Sub",IF(AND(E287=0,F287&gt;0),"Bench",IF(E287&lt;F287,"Extra",IF(AND(J287="",E287&gt;F287),"To Buy",IF(SUM(J287,F287)&lt;E287,"To Buy",IF(AND(SUM(J287,F287)&gt;=E287,J287&lt;&gt;""),"Ordered",IF(AND(E287=0,F287=0,D287="B3"),"B3 Option",IF(AND(E287=0,F287=0),"Remove","To Buy"))))))))))</f>
        <v/>
      </c>
      <c r="D287" t="inlineStr">
        <is>
          <t>B2</t>
        </is>
      </c>
      <c r="E287" s="3">
        <f>SUM(M287:S287)</f>
        <v/>
      </c>
      <c r="F287" s="3">
        <f>SUM(T287:Z287)</f>
        <v/>
      </c>
      <c r="G287" s="3">
        <f>IF((F287-E287)&gt;=0,F287-E287,0)</f>
        <v/>
      </c>
      <c r="H287" s="3">
        <f>MAX(0,$E287-$F287-$J287)</f>
        <v/>
      </c>
      <c r="I287" s="3" t="n"/>
      <c r="J287" s="3" t="n"/>
      <c r="K287" s="4" t="n">
        <v>4.3</v>
      </c>
      <c r="L287" s="4">
        <f>IF(AND($H287&gt;0,ISNUMBER($K287)),$H287*$K287,0)</f>
        <v/>
      </c>
      <c r="M287" s="3" t="n">
        <v>1</v>
      </c>
      <c r="N287" s="3" t="n"/>
      <c r="O287" s="3" t="n"/>
      <c r="P287" s="3" t="n"/>
      <c r="Q287" s="3" t="n"/>
      <c r="R287" s="3" t="n"/>
      <c r="S287" s="3">
        <f>IF(AND(J287&lt;&gt;"",SUM(M287:R287)=0),J287,"")</f>
        <v/>
      </c>
      <c r="T287" s="3" t="n">
        <v>1</v>
      </c>
      <c r="U287" s="3" t="n"/>
      <c r="V287" s="3" t="n"/>
      <c r="W287" s="3" t="n"/>
      <c r="X287" s="3" t="n"/>
      <c r="Y287" s="3" t="n"/>
      <c r="Z287" s="3" t="n"/>
      <c r="AA287" s="2" t="inlineStr">
        <is>
          <t>Creature</t>
        </is>
      </c>
      <c r="AB287" s="2" t="inlineStr">
        <is>
          <t>Human Knight</t>
        </is>
      </c>
      <c r="AC287" s="2" t="inlineStr">
        <is>
          <t>W</t>
        </is>
      </c>
      <c r="AD287" s="3" t="n">
        <v>2</v>
      </c>
      <c r="AE287" s="29" t="inlineStr">
        <is>
          <t>Shards of Alara</t>
        </is>
      </c>
      <c r="AF287" s="29" t="inlineStr">
        <is>
          <t>Ramp</t>
        </is>
      </c>
      <c r="AG287" s="29" t="inlineStr">
        <is>
          <t>Deals combat damage before normal-speed blockers</t>
        </is>
      </c>
      <c r="AH287" s="29" t="inlineStr">
        <is>
          <t>Enters: if an opponent has more lands, search for a Plains onto the battlefield</t>
        </is>
      </c>
      <c r="AI287" s="29" t="n"/>
      <c r="AJ287" s="2" t="n"/>
    </row>
    <row r="288" ht="15" customHeight="1" s="79">
      <c r="A288" s="2" t="inlineStr">
        <is>
          <t>Kor Cartographer</t>
        </is>
      </c>
      <c r="B288" s="2">
        <f>IF(AND(F288&lt;&gt;0,E288=F288),"In Hand",IF(AND(E288&lt;&gt;0,E288&lt;F288,SUM(M288:R288)=0,SUM(T288:Y288)&gt;0),"Extra-Sub",IF(AND(E288=0,E288&lt;F288,SUM(M288:R288)=0,SUM(T288:Y288)&gt;0),"Bench-Sub",IF(AND(E288=0,F288&gt;0),"Bench",IF(E288&lt;F288,"Extra",IF(AND(J288="",E288&gt;F288),"To Buy",IF(SUM(J288,F288)&lt;E288,"To Buy",IF(AND(SUM(J288,F288)&gt;=E288,J288&lt;&gt;""),"Ordered",IF(AND(E288=0,F288=0,D288="B3"),"B3 Option",IF(AND(E288=0,F288=0),"Remove","To Buy"))))))))))</f>
        <v/>
      </c>
      <c r="D288" t="inlineStr">
        <is>
          <t>B2</t>
        </is>
      </c>
      <c r="E288" s="3">
        <f>SUM(M288:S288)</f>
        <v/>
      </c>
      <c r="F288" s="3">
        <f>SUM(T288:Z288)</f>
        <v/>
      </c>
      <c r="G288" s="3">
        <f>IF((F288-E288)&gt;=0,F288-E288,0)</f>
        <v/>
      </c>
      <c r="H288" s="3">
        <f>MAX(0,$E288-$F288-$J288)</f>
        <v/>
      </c>
      <c r="I288" s="3" t="n"/>
      <c r="J288" s="3" t="n"/>
      <c r="K288" s="4" t="n">
        <v>0.22</v>
      </c>
      <c r="L288" s="4">
        <f>IF(AND($H288&gt;0,ISNUMBER($K288)),$H288*$K288,0)</f>
        <v/>
      </c>
      <c r="M288" s="3" t="n"/>
      <c r="N288" s="3" t="n"/>
      <c r="O288" s="3" t="n"/>
      <c r="P288" s="3" t="n">
        <v>1</v>
      </c>
      <c r="Q288" s="3" t="n"/>
      <c r="R288" s="3" t="n"/>
      <c r="S288" s="3">
        <f>IF(AND(J288&lt;&gt;"",SUM(M288:R288)=0),J288,"")</f>
        <v/>
      </c>
      <c r="T288" s="3" t="n"/>
      <c r="U288" s="3" t="n"/>
      <c r="V288" s="3" t="n"/>
      <c r="W288" s="3" t="n">
        <v>1</v>
      </c>
      <c r="X288" s="3" t="n"/>
      <c r="Y288" s="3" t="n"/>
      <c r="Z288" s="3" t="n"/>
      <c r="AA288" s="2" t="inlineStr">
        <is>
          <t>Creature</t>
        </is>
      </c>
      <c r="AB288" s="2" t="inlineStr">
        <is>
          <t>Kor Scout</t>
        </is>
      </c>
      <c r="AC288" s="2" t="inlineStr">
        <is>
          <t>W</t>
        </is>
      </c>
      <c r="AD288" s="3" t="n">
        <v>4</v>
      </c>
      <c r="AE288" s="29" t="inlineStr">
        <is>
          <t>Zendikar</t>
        </is>
      </c>
      <c r="AF288" s="29" t="inlineStr">
        <is>
          <t>Ramp</t>
        </is>
      </c>
      <c r="AG288" s="29" t="inlineStr">
        <is>
          <t>Searches your library for a Plains card and puts it onto the battlefield tapped when it enters</t>
        </is>
      </c>
      <c r="AH288" s="29" t="n"/>
      <c r="AI288" s="29" t="n"/>
      <c r="AJ288" s="2" t="inlineStr">
        <is>
          <t>Bench sub -&gt; D4 for Solemn Simulacrum (2026-09-02)</t>
        </is>
      </c>
      <c r="AK288" t="inlineStr">
        <is>
          <t>[T+A] B-&gt;D4 (bench sub) [done 2026-09-03]</t>
        </is>
      </c>
    </row>
    <row r="289" ht="15" customHeight="1" s="79">
      <c r="A289" s="2" t="inlineStr">
        <is>
          <t>Kulrath Zealot</t>
        </is>
      </c>
      <c r="B289" s="2">
        <f>IF(AND(F289&lt;&gt;0,E289=F289),"In Hand",IF(AND(E289&lt;&gt;0,E289&lt;F289,SUM(M289:R289)=0,SUM(T289:Y289)&gt;0),"Extra-Sub",IF(AND(E289=0,E289&lt;F289,SUM(M289:R289)=0,SUM(T289:Y289)&gt;0),"Bench-Sub",IF(AND(E289=0,F289&gt;0),"Bench",IF(E289&lt;F289,"Extra",IF(AND(J289="",E289&gt;F289),"To Buy",IF(SUM(J289,F289)&lt;E289,"To Buy",IF(AND(SUM(J289,F289)&gt;=E289,J289&lt;&gt;""),"Ordered",IF(AND(E289=0,F289=0,D289="B3"),"B3 Option",IF(AND(E289=0,F289=0),"Remove","To Buy"))))))))))</f>
        <v/>
      </c>
      <c r="D289" t="inlineStr">
        <is>
          <t>B2</t>
        </is>
      </c>
      <c r="E289" s="3">
        <f>SUM(M289:S289)</f>
        <v/>
      </c>
      <c r="F289" s="3">
        <f>SUM(T289:Z289)</f>
        <v/>
      </c>
      <c r="G289" s="3">
        <f>IF((F289-E289)&gt;=0,F289-E289,0)</f>
        <v/>
      </c>
      <c r="H289" s="3">
        <f>MAX(0,$E289-$F289-$J289)</f>
        <v/>
      </c>
      <c r="I289" s="3" t="n"/>
      <c r="J289" s="3" t="n"/>
      <c r="K289" s="4" t="n">
        <v>0.14</v>
      </c>
      <c r="L289" s="4">
        <f>IF(AND($H289&gt;0,ISNUMBER($K289)),$H289*$K289,0)</f>
        <v/>
      </c>
      <c r="M289" s="3" t="n"/>
      <c r="N289" s="3" t="n"/>
      <c r="O289" s="3" t="n"/>
      <c r="P289" s="3" t="n"/>
      <c r="Q289" s="3" t="n"/>
      <c r="R289" s="3" t="n">
        <v>1</v>
      </c>
      <c r="S289" s="3">
        <f>IF(AND(J289&lt;&gt;"",SUM(M289:R289)=0),J289,"")</f>
        <v/>
      </c>
      <c r="T289" s="3" t="n"/>
      <c r="U289" s="3" t="n"/>
      <c r="V289" s="3" t="n"/>
      <c r="W289" s="3" t="n"/>
      <c r="X289" s="3" t="n"/>
      <c r="Y289" s="3" t="n">
        <v>1</v>
      </c>
      <c r="Z289" s="3" t="n"/>
      <c r="AA289" s="2" t="inlineStr">
        <is>
          <t>Creature</t>
        </is>
      </c>
      <c r="AB289" s="2" t="inlineStr">
        <is>
          <t>Elemental Warrior</t>
        </is>
      </c>
      <c r="AC289" s="2" t="inlineStr">
        <is>
          <t>R</t>
        </is>
      </c>
      <c r="AD289" s="3" t="n">
        <v>6</v>
      </c>
      <c r="AE289" s="29" t="inlineStr">
        <is>
          <t>Lorwyn Eclipsed</t>
        </is>
      </c>
      <c r="AF289" s="29" t="inlineStr">
        <is>
          <t>Card Selection</t>
        </is>
      </c>
      <c r="AG289" s="29" t="inlineStr">
        <is>
          <t>Exiles top card of library to play until end of next turn</t>
        </is>
      </c>
      <c r="AH289" s="29" t="inlineStr">
        <is>
          <t>Can discard for {1}{R} to tutor a basic land to hand</t>
        </is>
      </c>
      <c r="AI289" s="29" t="n"/>
      <c r="AJ289" s="2" t="n"/>
      <c r="AK289" t="inlineStr">
        <is>
          <t>[B3 later] D6-&gt;B when Goblin Recruiter is bought</t>
        </is>
      </c>
    </row>
    <row r="290" ht="15" customHeight="1" s="79">
      <c r="A290" s="2" t="inlineStr">
        <is>
          <t>Laelia, the Blade Reforged</t>
        </is>
      </c>
      <c r="B290" s="2">
        <f>IF(AND(F290&lt;&gt;0,E290=F290),"In Hand",IF(AND(E290&lt;&gt;0,E290&lt;F290,SUM(M290:R290)=0,SUM(T290:Y290)&gt;0),"Extra-Sub",IF(AND(E290=0,E290&lt;F290,SUM(M290:R290)=0,SUM(T290:Y290)&gt;0),"Bench-Sub",IF(AND(E290=0,F290&gt;0),"Bench",IF(E290&lt;F290,"Extra",IF(AND(J290="",E290&gt;F290),"To Buy",IF(SUM(J290,F290)&lt;E290,"To Buy",IF(AND(SUM(J290,F290)&gt;=E290,J290&lt;&gt;""),"Ordered",IF(AND(E290=0,F290=0,D290="B3"),"B3 Option",IF(AND(E290=0,F290=0),"Remove","To Buy"))))))))))</f>
        <v/>
      </c>
      <c r="D290" t="inlineStr">
        <is>
          <t>B2</t>
        </is>
      </c>
      <c r="E290" s="3">
        <f>SUM(M290:S290)</f>
        <v/>
      </c>
      <c r="F290" s="3">
        <f>SUM(T290:Z290)</f>
        <v/>
      </c>
      <c r="G290" s="3">
        <f>IF((F290-E290)&gt;=0,F290-E290,0)</f>
        <v/>
      </c>
      <c r="H290" s="3">
        <f>MAX(0,$E290-$F290-$J290)</f>
        <v/>
      </c>
      <c r="I290" s="3" t="n"/>
      <c r="J290" s="3" t="n"/>
      <c r="K290" s="4" t="n">
        <v>0.3</v>
      </c>
      <c r="L290" s="4">
        <f>IF(AND($H290&gt;0,ISNUMBER($K290)),$H290*$K290,0)</f>
        <v/>
      </c>
      <c r="M290" s="3" t="n">
        <v>1</v>
      </c>
      <c r="N290" s="3" t="n"/>
      <c r="O290" s="3" t="n"/>
      <c r="P290" s="3" t="n"/>
      <c r="Q290" s="3" t="n"/>
      <c r="R290" s="3" t="n"/>
      <c r="S290" s="3">
        <f>IF(AND(J290&lt;&gt;"",SUM(M290:R290)=0),J290,"")</f>
        <v/>
      </c>
      <c r="T290" s="3" t="n">
        <v>1</v>
      </c>
      <c r="U290" s="3" t="n"/>
      <c r="V290" s="3" t="n"/>
      <c r="W290" s="3" t="n"/>
      <c r="X290" s="3" t="n"/>
      <c r="Y290" s="3" t="n"/>
      <c r="Z290" s="3" t="n"/>
      <c r="AA290" s="2" t="inlineStr">
        <is>
          <t>Legendary Creature</t>
        </is>
      </c>
      <c r="AB290" s="2" t="inlineStr">
        <is>
          <t>Spirit Warrior</t>
        </is>
      </c>
      <c r="AC290" s="2" t="inlineStr">
        <is>
          <t>R</t>
        </is>
      </c>
      <c r="AD290" s="3" t="n">
        <v>3</v>
      </c>
      <c r="AE290" s="29" t="inlineStr">
        <is>
          <t>Commander 2021</t>
        </is>
      </c>
      <c r="AF290" s="29" t="inlineStr">
        <is>
          <t>Card Advantage</t>
        </is>
      </c>
      <c r="AG290" s="29" t="inlineStr">
        <is>
          <t>Can attack the turn it enters</t>
        </is>
      </c>
      <c r="AH290" s="29" t="inlineStr">
        <is>
          <t>Attacking exiles the top library card to play this turn</t>
        </is>
      </c>
      <c r="AI290" s="29" t="inlineStr">
        <is>
          <t>Gets a +1/+1 counter whenever cards are exiled from library or graveyard</t>
        </is>
      </c>
      <c r="AJ290" s="2" t="n"/>
    </row>
    <row r="291" ht="15" customHeight="1" s="79">
      <c r="A291" s="2" t="inlineStr">
        <is>
          <t>Lethal Scheme</t>
        </is>
      </c>
      <c r="B291" s="2">
        <f>IF(AND(F291&lt;&gt;0,E291=F291),"In Hand",IF(AND(E291&lt;&gt;0,E291&lt;F291,SUM(M291:R291)=0,SUM(T291:Y291)&gt;0),"Extra-Sub",IF(AND(E291=0,E291&lt;F291,SUM(M291:R291)=0,SUM(T291:Y291)&gt;0),"Bench-Sub",IF(AND(E291=0,F291&gt;0),"Bench",IF(E291&lt;F291,"Extra",IF(AND(J291="",E291&gt;F291),"To Buy",IF(SUM(J291,F291)&lt;E291,"To Buy",IF(AND(SUM(J291,F291)&gt;=E291,J291&lt;&gt;""),"Ordered",IF(AND(E291=0,F291=0,D291="B3"),"B3 Option",IF(AND(E291=0,F291=0),"Remove","To Buy"))))))))))</f>
        <v/>
      </c>
      <c r="D291" t="inlineStr">
        <is>
          <t>B2</t>
        </is>
      </c>
      <c r="E291" s="3">
        <f>SUM(M291:S291)</f>
        <v/>
      </c>
      <c r="F291" s="3">
        <f>SUM(T291:Z291)</f>
        <v/>
      </c>
      <c r="G291" s="3">
        <f>IF((F291-E291)&gt;=0,F291-E291,0)</f>
        <v/>
      </c>
      <c r="H291" s="3">
        <f>MAX(0,$E291-$F291-$J291)</f>
        <v/>
      </c>
      <c r="I291" s="3" t="n"/>
      <c r="J291" s="3" t="n"/>
      <c r="K291" s="4" t="n">
        <v>0.25</v>
      </c>
      <c r="L291" s="4">
        <f>IF(AND($H291&gt;0,ISNUMBER($K291)),$H291*$K291,0)</f>
        <v/>
      </c>
      <c r="M291" s="3" t="n"/>
      <c r="N291" s="3" t="n"/>
      <c r="O291" s="3" t="n"/>
      <c r="P291" s="3" t="n"/>
      <c r="Q291" s="3" t="n">
        <v>1</v>
      </c>
      <c r="R291" s="3" t="n"/>
      <c r="S291" s="3">
        <f>IF(AND(J291&lt;&gt;"",SUM(M291:R291)=0),J291,"")</f>
        <v/>
      </c>
      <c r="T291" s="3" t="n"/>
      <c r="U291" s="3" t="n"/>
      <c r="V291" s="3" t="n"/>
      <c r="W291" s="3" t="n"/>
      <c r="X291" s="3" t="n">
        <v>1</v>
      </c>
      <c r="Y291" s="3" t="n"/>
      <c r="Z291" s="3" t="n"/>
      <c r="AA291" s="2" t="inlineStr">
        <is>
          <t>Instant</t>
        </is>
      </c>
      <c r="AB291" s="2" t="n"/>
      <c r="AC291" s="2" t="inlineStr">
        <is>
          <t>B</t>
        </is>
      </c>
      <c r="AD291" s="3" t="n">
        <v>4</v>
      </c>
      <c r="AE291" s="29" t="inlineStr">
        <is>
          <t>New Capenna Commander</t>
        </is>
      </c>
      <c r="AF291" s="29" t="inlineStr">
        <is>
          <t>Removal</t>
        </is>
      </c>
      <c r="AG291" s="29" t="inlineStr">
        <is>
          <t>Destroys target creature or planeswalker</t>
        </is>
      </c>
      <c r="AH291" s="29" t="inlineStr">
        <is>
          <t>Convoking creatures connive (draw then discard, maybe +1/+1 counter)</t>
        </is>
      </c>
      <c r="AI291" s="29" t="n"/>
      <c r="AJ291" s="2" t="n"/>
    </row>
    <row r="292" ht="15" customHeight="1" s="79">
      <c r="A292" s="2" t="inlineStr">
        <is>
          <t>Lingering Souls</t>
        </is>
      </c>
      <c r="B292" s="2">
        <f>IF(AND(F292&lt;&gt;0,E292=F292),"In Hand",IF(AND(E292&lt;&gt;0,E292&lt;F292,SUM(M292:R292)=0,SUM(T292:Y292)&gt;0),"Extra-Sub",IF(AND(E292=0,E292&lt;F292,SUM(M292:R292)=0,SUM(T292:Y292)&gt;0),"Bench-Sub",IF(AND(E292=0,F292&gt;0),"Bench",IF(E292&lt;F292,"Extra",IF(AND(J292="",E292&gt;F292),"To Buy",IF(SUM(J292,F292)&lt;E292,"To Buy",IF(AND(SUM(J292,F292)&gt;=E292,J292&lt;&gt;""),"Ordered",IF(AND(E292=0,F292=0,D292="B3"),"B3 Option",IF(AND(E292=0,F292=0),"Remove","To Buy"))))))))))</f>
        <v/>
      </c>
      <c r="D292" t="inlineStr">
        <is>
          <t>B2</t>
        </is>
      </c>
      <c r="E292" s="3">
        <f>SUM(M292:S292)</f>
        <v/>
      </c>
      <c r="F292" s="3">
        <f>SUM(T292:Z292)</f>
        <v/>
      </c>
      <c r="G292" s="3">
        <f>IF((F292-E292)&gt;=0,F292-E292,0)</f>
        <v/>
      </c>
      <c r="H292" s="3">
        <f>MAX(0,$E292-$F292-$J292)</f>
        <v/>
      </c>
      <c r="I292" s="3" t="n"/>
      <c r="J292" s="3" t="n"/>
      <c r="K292" s="4" t="n">
        <v>0.32</v>
      </c>
      <c r="L292" s="4">
        <f>IF(AND($H292&gt;0,ISNUMBER($K292)),$H292*$K292,0)</f>
        <v/>
      </c>
      <c r="M292" s="3" t="n"/>
      <c r="N292" s="3" t="n"/>
      <c r="O292" s="3" t="n"/>
      <c r="P292" s="3" t="n"/>
      <c r="Q292" s="3" t="n">
        <v>1</v>
      </c>
      <c r="R292" s="3" t="n"/>
      <c r="S292" s="3">
        <f>IF(AND(J292&lt;&gt;"",SUM(M292:R292)=0),J292,"")</f>
        <v/>
      </c>
      <c r="T292" s="3" t="n"/>
      <c r="U292" s="3" t="n"/>
      <c r="V292" s="3" t="n"/>
      <c r="W292" s="3" t="n"/>
      <c r="X292" s="3" t="n">
        <v>1</v>
      </c>
      <c r="Y292" s="3" t="n"/>
      <c r="Z292" s="3" t="n"/>
      <c r="AA292" s="2" t="inlineStr">
        <is>
          <t>Sorcery</t>
        </is>
      </c>
      <c r="AB292" s="2" t="n"/>
      <c r="AC292" s="2" t="inlineStr">
        <is>
          <t>Multi</t>
        </is>
      </c>
      <c r="AD292" s="3" t="n">
        <v>3</v>
      </c>
      <c r="AE292" s="29" t="inlineStr">
        <is>
          <t>Dark Ascension</t>
        </is>
      </c>
      <c r="AF292" s="29" t="inlineStr">
        <is>
          <t>Token Producer</t>
        </is>
      </c>
      <c r="AG292" s="29" t="inlineStr">
        <is>
          <t>Creates two 1/1 flying Spirit tokens</t>
        </is>
      </c>
      <c r="AH292" s="29" t="inlineStr">
        <is>
          <t>Flashback {1}{B} to cast again from graveyard</t>
        </is>
      </c>
      <c r="AI292" s="29" t="n"/>
      <c r="AJ292" s="2" t="inlineStr">
        <is>
          <t>Received/settled (was in cart 2026-09-02: Game Theory Wake Forest $0.3 Near Mint)</t>
        </is>
      </c>
    </row>
    <row r="293" ht="15" customHeight="1" s="79">
      <c r="A293" s="2" t="inlineStr">
        <is>
          <t>Long Goodbye</t>
        </is>
      </c>
      <c r="B293" s="2">
        <f>IF(AND(F293&lt;&gt;0,E293=F293),"In Hand",IF(AND(E293&lt;&gt;0,E293&lt;F293,SUM(M293:R293)=0,SUM(T293:Y293)&gt;0),"Extra-Sub",IF(AND(E293=0,E293&lt;F293,SUM(M293:R293)=0,SUM(T293:Y293)&gt;0),"Bench-Sub",IF(AND(E293=0,F293&gt;0),"Bench",IF(E293&lt;F293,"Extra",IF(AND(J293="",E293&gt;F293),"To Buy",IF(SUM(J293,F293)&lt;E293,"To Buy",IF(AND(SUM(J293,F293)&gt;=E293,J293&lt;&gt;""),"Ordered",IF(AND(E293=0,F293=0,D293="B3"),"B3 Option",IF(AND(E293=0,F293=0),"Remove","To Buy"))))))))))</f>
        <v/>
      </c>
      <c r="D293" t="inlineStr">
        <is>
          <t>B2</t>
        </is>
      </c>
      <c r="E293" s="3">
        <f>SUM(M293:S293)</f>
        <v/>
      </c>
      <c r="F293" s="3">
        <f>SUM(T293:Z293)</f>
        <v/>
      </c>
      <c r="G293" s="3">
        <f>IF((F293-E293)&gt;=0,F293-E293,0)</f>
        <v/>
      </c>
      <c r="H293" s="3">
        <f>MAX(0,$E293-$F293-$J293)</f>
        <v/>
      </c>
      <c r="I293" s="3" t="n"/>
      <c r="J293" s="3" t="n"/>
      <c r="K293" s="4" t="n">
        <v>0.25</v>
      </c>
      <c r="L293" s="4">
        <f>IF(AND($H293&gt;0,ISNUMBER($K293)),$H293*$K293,0)</f>
        <v/>
      </c>
      <c r="M293" s="3" t="n"/>
      <c r="N293" s="3" t="n"/>
      <c r="O293" s="3" t="n">
        <v>1</v>
      </c>
      <c r="P293" s="3" t="n"/>
      <c r="Q293" s="3" t="n"/>
      <c r="R293" s="3" t="n"/>
      <c r="S293" s="3">
        <f>IF(AND(J293&lt;&gt;"",SUM(M293:R293)=0),J293,"")</f>
        <v/>
      </c>
      <c r="T293" s="3" t="n"/>
      <c r="U293" s="3" t="n"/>
      <c r="V293" s="3" t="n">
        <v>1</v>
      </c>
      <c r="W293" s="3" t="n"/>
      <c r="X293" s="3" t="n"/>
      <c r="Y293" s="3" t="n"/>
      <c r="Z293" s="3" t="n"/>
      <c r="AA293" s="2" t="inlineStr">
        <is>
          <t>Instant</t>
        </is>
      </c>
      <c r="AB293" s="2" t="n"/>
      <c r="AC293" s="2" t="inlineStr">
        <is>
          <t>B</t>
        </is>
      </c>
      <c r="AD293" s="3" t="n">
        <v>2</v>
      </c>
      <c r="AE293" s="29" t="inlineStr">
        <is>
          <t>Murders at Karlov Manor</t>
        </is>
      </c>
      <c r="AF293" s="29" t="inlineStr">
        <is>
          <t>Removal</t>
        </is>
      </c>
      <c r="AG293" s="29" t="inlineStr">
        <is>
          <t>Destroys target creature or planeswalker with mana value 3 or less</t>
        </is>
      </c>
      <c r="AH293" s="29" t="inlineStr">
        <is>
          <t>Can't be countered</t>
        </is>
      </c>
      <c r="AI293" s="29" t="n"/>
      <c r="AJ293" s="2" t="n"/>
    </row>
    <row r="294" ht="15" customHeight="1" s="79">
      <c r="A294" s="2" t="inlineStr">
        <is>
          <t>Lorehold Archivist // Restore Relic</t>
        </is>
      </c>
      <c r="B294" s="2">
        <f>IF(AND(F294&lt;&gt;0,E294=F294),"In Hand",IF(AND(E294&lt;&gt;0,E294&lt;F294,SUM(M294:R294)=0,SUM(T294:Y294)&gt;0),"Extra-Sub",IF(AND(E294=0,E294&lt;F294,SUM(M294:R294)=0,SUM(T294:Y294)&gt;0),"Bench-Sub",IF(AND(E294=0,F294&gt;0),"Bench",IF(E294&lt;F294,"Extra",IF(AND(J294="",E294&gt;F294),"To Buy",IF(SUM(J294,F294)&lt;E294,"To Buy",IF(AND(SUM(J294,F294)&gt;=E294,J294&lt;&gt;""),"Ordered",IF(AND(E294=0,F294=0,D294="B3"),"B3 Option",IF(AND(E294=0,F294=0),"Remove","To Buy"))))))))))</f>
        <v/>
      </c>
      <c r="D294" t="inlineStr">
        <is>
          <t>B2</t>
        </is>
      </c>
      <c r="E294" s="3">
        <f>SUM(M294:S294)</f>
        <v/>
      </c>
      <c r="F294" s="3">
        <f>SUM(T294:Z294)</f>
        <v/>
      </c>
      <c r="G294" s="3">
        <f>IF((F294-E294)&gt;=0,F294-E294,0)</f>
        <v/>
      </c>
      <c r="H294" s="3">
        <f>MAX(0,$E294-$F294-$J294)</f>
        <v/>
      </c>
      <c r="I294" s="3" t="n"/>
      <c r="J294" s="3" t="n"/>
      <c r="K294" s="4" t="n">
        <v>0.27</v>
      </c>
      <c r="L294" s="4">
        <f>IF(AND($H294&gt;0,ISNUMBER($K294)),$H294*$K294,0)</f>
        <v/>
      </c>
      <c r="M294" s="3" t="n">
        <v>1</v>
      </c>
      <c r="N294" s="3" t="n"/>
      <c r="O294" s="3" t="n"/>
      <c r="P294" s="3" t="n"/>
      <c r="Q294" s="3" t="n"/>
      <c r="R294" s="3" t="n"/>
      <c r="S294" s="3">
        <f>IF(AND(J294&lt;&gt;"",SUM(M294:R294)=0),J294,"")</f>
        <v/>
      </c>
      <c r="T294" s="3" t="n">
        <v>1</v>
      </c>
      <c r="U294" s="3" t="n"/>
      <c r="V294" s="3" t="n"/>
      <c r="W294" s="3" t="n"/>
      <c r="X294" s="3" t="n"/>
      <c r="Y294" s="3" t="n"/>
      <c r="Z294" s="3" t="n"/>
      <c r="AA294" s="2" t="inlineStr">
        <is>
          <t>Creature</t>
        </is>
      </c>
      <c r="AB294" s="2" t="inlineStr">
        <is>
          <t>Dwarf Artificer</t>
        </is>
      </c>
      <c r="AC294" s="2" t="inlineStr">
        <is>
          <t>Multi</t>
        </is>
      </c>
      <c r="AD294" s="3" t="n">
        <v>3</v>
      </c>
      <c r="AE294" s="29" t="inlineStr">
        <is>
          <t>Secrets of Strixhaven Commander</t>
        </is>
      </c>
      <c r="AF294" s="29" t="inlineStr">
        <is>
          <t>Recursion</t>
        </is>
      </c>
      <c r="AG294" s="29" t="inlineStr">
        <is>
          <t>Deals combat damage before normal-speed blockers</t>
        </is>
      </c>
      <c r="AH294" s="29" t="inlineStr">
        <is>
          <t>Upkeep: if 3+ artifacts/creatures are in your graveyard, you may cast a copy of its other half</t>
        </is>
      </c>
      <c r="AI294" s="29" t="inlineStr">
        <is>
          <t>Other half: exile an artifact or creature card from graveyard, create a copy token</t>
        </is>
      </c>
      <c r="AJ294" s="2" t="n"/>
    </row>
    <row r="295" ht="15" customHeight="1" s="79">
      <c r="A295" s="2" t="inlineStr">
        <is>
          <t>Lorehold Campus</t>
        </is>
      </c>
      <c r="B295" s="2">
        <f>IF(AND(F295&lt;&gt;0,E295=F295),"In Hand",IF(AND(E295&lt;&gt;0,E295&lt;F295,SUM(M295:R295)=0,SUM(T295:Y295)&gt;0),"Extra-Sub",IF(AND(E295=0,E295&lt;F295,SUM(M295:R295)=0,SUM(T295:Y295)&gt;0),"Bench-Sub",IF(AND(E295=0,F295&gt;0),"Bench",IF(E295&lt;F295,"Extra",IF(AND(J295="",E295&gt;F295),"To Buy",IF(SUM(J295,F295)&lt;E295,"To Buy",IF(AND(SUM(J295,F295)&gt;=E295,J295&lt;&gt;""),"Ordered",IF(AND(E295=0,F295=0,D295="B3"),"B3 Option",IF(AND(E295=0,F295=0),"Remove","To Buy"))))))))))</f>
        <v/>
      </c>
      <c r="D295" t="inlineStr">
        <is>
          <t>B2</t>
        </is>
      </c>
      <c r="E295" s="3">
        <f>SUM(M295:S295)</f>
        <v/>
      </c>
      <c r="F295" s="3">
        <f>SUM(T295:Z295)</f>
        <v/>
      </c>
      <c r="G295" s="3">
        <f>IF((F295-E295)&gt;=0,F295-E295,0)</f>
        <v/>
      </c>
      <c r="H295" s="3">
        <f>MAX(0,$E295-$F295-$J295)</f>
        <v/>
      </c>
      <c r="I295" s="3" t="n"/>
      <c r="J295" s="3" t="n"/>
      <c r="K295" s="4" t="n">
        <v>0.22</v>
      </c>
      <c r="L295" s="4">
        <f>IF(AND($H295&gt;0,ISNUMBER($K295)),$H295*$K295,0)</f>
        <v/>
      </c>
      <c r="M295" s="3" t="n">
        <v>1</v>
      </c>
      <c r="N295" s="3" t="n"/>
      <c r="O295" s="3" t="n"/>
      <c r="P295" s="3" t="n"/>
      <c r="Q295" s="3" t="n"/>
      <c r="R295" s="3" t="n"/>
      <c r="S295" s="3">
        <f>IF(AND(J295&lt;&gt;"",SUM(M295:R295)=0),J295,"")</f>
        <v/>
      </c>
      <c r="T295" s="3" t="n">
        <v>1</v>
      </c>
      <c r="U295" s="3" t="n"/>
      <c r="V295" s="3" t="n"/>
      <c r="W295" s="3" t="n"/>
      <c r="X295" s="3" t="n"/>
      <c r="Y295" s="3" t="n"/>
      <c r="Z295" s="3" t="n"/>
      <c r="AA295" s="2" t="inlineStr">
        <is>
          <t>Land</t>
        </is>
      </c>
      <c r="AB295" s="2" t="n"/>
      <c r="AC295" s="2" t="inlineStr">
        <is>
          <t>L</t>
        </is>
      </c>
      <c r="AD295" s="3" t="n">
        <v>0</v>
      </c>
      <c r="AE295" s="29" t="inlineStr">
        <is>
          <t>Strixhaven: School of Mages</t>
        </is>
      </c>
      <c r="AF295" s="29" t="inlineStr">
        <is>
          <t>Land</t>
        </is>
      </c>
      <c r="AG295" s="29" t="inlineStr">
        <is>
          <t>Taps for {R} or {W}</t>
        </is>
      </c>
      <c r="AH295" s="29" t="inlineStr">
        <is>
          <t>Enters tapped</t>
        </is>
      </c>
      <c r="AI295" s="29" t="inlineStr">
        <is>
          <t>Pay {4}, tap: look at top card, may put it on bottom</t>
        </is>
      </c>
      <c r="AJ295" s="2" t="n"/>
    </row>
    <row r="296" ht="15" customHeight="1" s="79">
      <c r="A296" s="2" t="inlineStr">
        <is>
          <t>Lorehold Charm</t>
        </is>
      </c>
      <c r="B296" s="2">
        <f>IF(AND(F296&lt;&gt;0,E296=F296),"In Hand",IF(AND(E296&lt;&gt;0,E296&lt;F296,SUM(M296:R296)=0,SUM(T296:Y296)&gt;0),"Extra-Sub",IF(AND(E296=0,E296&lt;F296,SUM(M296:R296)=0,SUM(T296:Y296)&gt;0),"Bench-Sub",IF(AND(E296=0,F296&gt;0),"Bench",IF(E296&lt;F296,"Extra",IF(AND(J296="",E296&gt;F296),"To Buy",IF(SUM(J296,F296)&lt;E296,"To Buy",IF(AND(SUM(J296,F296)&gt;=E296,J296&lt;&gt;""),"Ordered",IF(AND(E296=0,F296=0,D296="B3"),"B3 Option",IF(AND(E296=0,F296=0),"Remove","To Buy"))))))))))</f>
        <v/>
      </c>
      <c r="D296" t="inlineStr">
        <is>
          <t>B2</t>
        </is>
      </c>
      <c r="E296" s="3">
        <f>SUM(M296:S296)</f>
        <v/>
      </c>
      <c r="F296" s="3">
        <f>SUM(T296:Z296)</f>
        <v/>
      </c>
      <c r="G296" s="3">
        <f>IF((F296-E296)&gt;=0,F296-E296,0)</f>
        <v/>
      </c>
      <c r="H296" s="3">
        <f>MAX(0,$E296-$F296-$J296)</f>
        <v/>
      </c>
      <c r="I296" s="3" t="n"/>
      <c r="J296" s="3" t="n"/>
      <c r="K296" s="4" t="n">
        <v>0.25</v>
      </c>
      <c r="L296" s="4">
        <f>IF(AND($H296&gt;0,ISNUMBER($K296)),$H296*$K296,0)</f>
        <v/>
      </c>
      <c r="M296" s="3" t="n">
        <v>1</v>
      </c>
      <c r="N296" s="3" t="n"/>
      <c r="O296" s="3" t="n"/>
      <c r="P296" s="3" t="n"/>
      <c r="Q296" s="3" t="n"/>
      <c r="R296" s="3" t="n"/>
      <c r="S296" s="3">
        <f>IF(AND(J296&lt;&gt;"",SUM(M296:R296)=0),J296,"")</f>
        <v/>
      </c>
      <c r="T296" s="3" t="n">
        <v>1</v>
      </c>
      <c r="U296" s="3" t="n"/>
      <c r="V296" s="3" t="n"/>
      <c r="W296" s="3" t="n"/>
      <c r="X296" s="3" t="n"/>
      <c r="Y296" s="3" t="n"/>
      <c r="Z296" s="3" t="n"/>
      <c r="AA296" s="2" t="inlineStr">
        <is>
          <t>Instant</t>
        </is>
      </c>
      <c r="AB296" s="2" t="n"/>
      <c r="AC296" s="2" t="inlineStr">
        <is>
          <t>Multi</t>
        </is>
      </c>
      <c r="AD296" s="3" t="n">
        <v>2</v>
      </c>
      <c r="AE296" s="29" t="inlineStr">
        <is>
          <t>Secrets of Strixhaven</t>
        </is>
      </c>
      <c r="AF296" s="29" t="inlineStr">
        <is>
          <t>Interaction</t>
        </is>
      </c>
      <c r="AG296" s="29" t="inlineStr">
        <is>
          <t>Choose one: each opponent sacrifices a nontoken artifact</t>
        </is>
      </c>
      <c r="AH296" s="29" t="inlineStr">
        <is>
          <t>Or returns a MV 2 or less artifact/creature from graveyard to battlefield</t>
        </is>
      </c>
      <c r="AI296" s="29" t="inlineStr">
        <is>
          <t>Or your creatures get +1/+1 and push through blockers this turn</t>
        </is>
      </c>
      <c r="AJ296" s="2" t="n"/>
    </row>
    <row r="297" ht="15" customHeight="1" s="79">
      <c r="A297" s="2" t="inlineStr">
        <is>
          <t>Lotus Field</t>
        </is>
      </c>
      <c r="B297" s="2">
        <f>IF(AND(F297&lt;&gt;0,E297=F297),"In Hand",IF(AND(E297&lt;&gt;0,E297&lt;F297,SUM(M297:R297)=0,SUM(T297:Y297)&gt;0),"Extra-Sub",IF(AND(E297=0,E297&lt;F297,SUM(M297:R297)=0,SUM(T297:Y297)&gt;0),"Bench-Sub",IF(AND(E297=0,F297&gt;0),"Bench",IF(E297&lt;F297,"Extra",IF(AND(J297="",E297&gt;F297),"To Buy",IF(SUM(J297,F297)&lt;E297,"To Buy",IF(AND(SUM(J297,F297)&gt;=E297,J297&lt;&gt;""),"Ordered",IF(AND(E297=0,F297=0,D297="B3"),"B3 Option",IF(AND(E297=0,F297=0),"Remove","To Buy"))))))))))</f>
        <v/>
      </c>
      <c r="D297" t="inlineStr">
        <is>
          <t>B2</t>
        </is>
      </c>
      <c r="E297" s="3">
        <f>SUM(M297:S297)</f>
        <v/>
      </c>
      <c r="F297" s="3">
        <f>SUM(T297:Z297)</f>
        <v/>
      </c>
      <c r="G297" s="3">
        <f>IF((F297-E297)&gt;=0,F297-E297,0)</f>
        <v/>
      </c>
      <c r="H297" s="3">
        <f>MAX(0,$E297-$F297-$J297)</f>
        <v/>
      </c>
      <c r="I297" s="3" t="n"/>
      <c r="J297" s="3" t="n"/>
      <c r="K297" s="4" t="n">
        <v>2.63</v>
      </c>
      <c r="L297" s="4">
        <f>IF(AND($H297&gt;0,ISNUMBER($K297)),$H297*$K297,0)</f>
        <v/>
      </c>
      <c r="M297" s="3" t="n"/>
      <c r="N297" s="3" t="n"/>
      <c r="O297" s="3" t="n">
        <v>1</v>
      </c>
      <c r="P297" s="3" t="n"/>
      <c r="Q297" s="3" t="n"/>
      <c r="R297" s="3" t="n"/>
      <c r="S297" s="3">
        <f>IF(AND(J297&lt;&gt;"",SUM(M297:R297)=0),J297,"")</f>
        <v/>
      </c>
      <c r="T297" s="3" t="n"/>
      <c r="U297" s="3" t="n"/>
      <c r="V297" s="3" t="n">
        <v>1</v>
      </c>
      <c r="W297" s="3" t="n"/>
      <c r="X297" s="3" t="n"/>
      <c r="Y297" s="3" t="n"/>
      <c r="Z297" s="3" t="n"/>
      <c r="AA297" s="2" t="inlineStr">
        <is>
          <t>Land</t>
        </is>
      </c>
      <c r="AB297" s="2" t="n"/>
      <c r="AC297" s="2" t="inlineStr">
        <is>
          <t>L</t>
        </is>
      </c>
      <c r="AD297" s="3" t="n">
        <v>0</v>
      </c>
      <c r="AE297" s="29" t="inlineStr">
        <is>
          <t>Core Set 2020</t>
        </is>
      </c>
      <c r="AF297" s="29" t="inlineStr">
        <is>
          <t>Ramp</t>
        </is>
      </c>
      <c r="AG297" s="29" t="inlineStr">
        <is>
          <t>Taps for three mana of one color</t>
        </is>
      </c>
      <c r="AH297" s="29" t="inlineStr">
        <is>
          <t>Sacrifice two lands when it enters</t>
        </is>
      </c>
      <c r="AI297" s="29" t="n"/>
      <c r="AJ297" s="2" t="n"/>
    </row>
    <row r="298" ht="15" customHeight="1" s="79">
      <c r="A298" s="2" t="inlineStr">
        <is>
          <t>Loyal Inventor</t>
        </is>
      </c>
      <c r="B298" s="2">
        <f>IF(AND(F298&lt;&gt;0,E298=F298),"In Hand",IF(AND(E298&lt;&gt;0,E298&lt;F298,SUM(M298:R298)=0,SUM(T298:Y298)&gt;0),"Extra-Sub",IF(AND(E298=0,E298&lt;F298,SUM(M298:R298)=0,SUM(T298:Y298)&gt;0),"Bench-Sub",IF(AND(E298=0,F298&gt;0),"Bench",IF(E298&lt;F298,"Extra",IF(AND(J298="",E298&gt;F298),"To Buy",IF(SUM(J298,F298)&lt;E298,"To Buy",IF(AND(SUM(J298,F298)&gt;=E298,J298&lt;&gt;""),"Ordered",IF(AND(E298=0,F298=0,D298="B3"),"B3 Option",IF(AND(E298=0,F298=0),"Remove","To Buy"))))))))))</f>
        <v/>
      </c>
      <c r="D298" t="inlineStr">
        <is>
          <t>B2</t>
        </is>
      </c>
      <c r="E298" s="3">
        <f>SUM(M298:S298)</f>
        <v/>
      </c>
      <c r="F298" s="3">
        <f>SUM(T298:Z298)</f>
        <v/>
      </c>
      <c r="G298" s="3">
        <f>IF((F298-E298)&gt;=0,F298-E298,0)</f>
        <v/>
      </c>
      <c r="H298" s="3">
        <f>MAX(0,$E298-$F298-$J298)</f>
        <v/>
      </c>
      <c r="I298" s="3" t="n"/>
      <c r="J298" s="3" t="n"/>
      <c r="K298" s="4" t="n">
        <v>0.25</v>
      </c>
      <c r="L298" s="4">
        <f>IF(AND($H298&gt;0,ISNUMBER($K298)),$H298*$K298,0)</f>
        <v/>
      </c>
      <c r="M298" s="3" t="n"/>
      <c r="N298" s="3" t="n">
        <v>1</v>
      </c>
      <c r="O298" s="3" t="n"/>
      <c r="P298" s="3" t="n"/>
      <c r="Q298" s="3" t="n"/>
      <c r="R298" s="3" t="n"/>
      <c r="S298" s="3">
        <f>IF(AND(J298&lt;&gt;"",SUM(M298:R298)=0),J298,"")</f>
        <v/>
      </c>
      <c r="T298" s="3" t="n"/>
      <c r="U298" s="3" t="n">
        <v>1</v>
      </c>
      <c r="V298" s="3" t="n"/>
      <c r="W298" s="3" t="n"/>
      <c r="X298" s="3" t="n"/>
      <c r="Y298" s="3" t="n"/>
      <c r="Z298" s="3" t="n"/>
      <c r="AA298" s="2" t="inlineStr">
        <is>
          <t>Creature</t>
        </is>
      </c>
      <c r="AB298" s="2" t="inlineStr">
        <is>
          <t>Human Artificer</t>
        </is>
      </c>
      <c r="AC298" s="2" t="inlineStr">
        <is>
          <t>U</t>
        </is>
      </c>
      <c r="AD298" s="3" t="n">
        <v>3</v>
      </c>
      <c r="AE298" s="29" t="inlineStr">
        <is>
          <t>Assassin's Creed</t>
        </is>
      </c>
      <c r="AF298" s="29" t="inlineStr">
        <is>
          <t>Tutor</t>
        </is>
      </c>
      <c r="AG298" s="29" t="inlineStr">
        <is>
          <t>Searches library for an artifact card when it enters</t>
        </is>
      </c>
      <c r="AH298" s="29" t="inlineStr">
        <is>
          <t>Puts it in hand if you control an Assassin, else on top of library</t>
        </is>
      </c>
      <c r="AI298" s="29" t="n"/>
      <c r="AJ298" s="2" t="n"/>
    </row>
    <row r="299" ht="15" customHeight="1" s="79">
      <c r="A299" s="2" t="inlineStr">
        <is>
          <t>Maralen, Fae Ascendant</t>
        </is>
      </c>
      <c r="B299" s="2">
        <f>IF(AND(F299&lt;&gt;0,E299=F299),"In Hand",IF(AND(E299&lt;&gt;0,E299&lt;F299,SUM(M299:R299)=0,SUM(T299:Y299)&gt;0),"Extra-Sub",IF(AND(E299=0,E299&lt;F299,SUM(M299:R299)=0,SUM(T299:Y299)&gt;0),"Bench-Sub",IF(AND(E299=0,F299&gt;0),"Bench",IF(E299&lt;F299,"Extra",IF(AND(J299="",E299&gt;F299),"To Buy",IF(SUM(J299,F299)&lt;E299,"To Buy",IF(AND(SUM(J299,F299)&gt;=E299,J299&lt;&gt;""),"Ordered",IF(AND(E299=0,F299=0,D299="B3"),"B3 Option",IF(AND(E299=0,F299=0),"Remove","To Buy"))))))))))</f>
        <v/>
      </c>
      <c r="D299" t="inlineStr">
        <is>
          <t>B2</t>
        </is>
      </c>
      <c r="E299" s="3">
        <f>SUM(M299:S299)</f>
        <v/>
      </c>
      <c r="F299" s="3">
        <f>SUM(T299:Z299)</f>
        <v/>
      </c>
      <c r="G299" s="3">
        <f>IF((F299-E299)&gt;=0,F299-E299,0)</f>
        <v/>
      </c>
      <c r="H299" s="3">
        <f>MAX(0,$E299-$F299-$J299)</f>
        <v/>
      </c>
      <c r="I299" s="3" t="n"/>
      <c r="J299" s="3" t="n"/>
      <c r="K299" s="4" t="n">
        <v>0.4</v>
      </c>
      <c r="L299" s="4">
        <f>IF(AND($H299&gt;0,ISNUMBER($K299)),$H299*$K299,0)</f>
        <v/>
      </c>
      <c r="M299" s="3" t="n"/>
      <c r="N299" s="3" t="n"/>
      <c r="O299" s="3" t="n">
        <v>1</v>
      </c>
      <c r="P299" s="3" t="n"/>
      <c r="Q299" s="3" t="n"/>
      <c r="R299" s="3" t="n"/>
      <c r="S299" s="3">
        <f>IF(AND(J299&lt;&gt;"",SUM(M299:R299)=0),J299,"")</f>
        <v/>
      </c>
      <c r="T299" s="3" t="n"/>
      <c r="U299" s="3" t="n"/>
      <c r="V299" s="3" t="n">
        <v>1</v>
      </c>
      <c r="W299" s="3" t="n"/>
      <c r="X299" s="3" t="n"/>
      <c r="Y299" s="3" t="n"/>
      <c r="Z299" s="3" t="n"/>
      <c r="AA299" s="2" t="inlineStr">
        <is>
          <t>Legendary Creature</t>
        </is>
      </c>
      <c r="AB299" s="2" t="inlineStr">
        <is>
          <t>Elf Faerie Noble</t>
        </is>
      </c>
      <c r="AC299" s="2" t="inlineStr">
        <is>
          <t>Multi</t>
        </is>
      </c>
      <c r="AD299" s="3" t="n">
        <v>5</v>
      </c>
      <c r="AE299" s="29" t="inlineStr">
        <is>
          <t>Lorwyn Eclipsed</t>
        </is>
      </c>
      <c r="AF299" s="29" t="inlineStr">
        <is>
          <t>Value Engine</t>
        </is>
      </c>
      <c r="AG299" s="29" t="inlineStr">
        <is>
          <t>Exiles two cards from opponent's library on Elf/Faerie ETB</t>
        </is>
      </c>
      <c r="AH299" s="29" t="inlineStr">
        <is>
          <t>Free-casts exiled spells with MV ≤ Elves/Faeries you control</t>
        </is>
      </c>
      <c r="AI299" s="29" t="n"/>
      <c r="AJ299" s="2" t="n"/>
    </row>
    <row r="300" ht="15" customHeight="1" s="79">
      <c r="A300" s="2" t="inlineStr">
        <is>
          <t>Meandering Towershell</t>
        </is>
      </c>
      <c r="B300" s="2">
        <f>IF(AND(F300&lt;&gt;0,E300=F300),"In Hand",IF(AND(E300&lt;&gt;0,E300&lt;F300,SUM(M300:R300)=0,SUM(T300:Y300)&gt;0),"Extra-Sub",IF(AND(E300=0,E300&lt;F300,SUM(M300:R300)=0,SUM(T300:Y300)&gt;0),"Bench-Sub",IF(AND(E300=0,F300&gt;0),"Bench",IF(E300&lt;F300,"Extra",IF(AND(J300="",E300&gt;F300),"To Buy",IF(SUM(J300,F300)&lt;E300,"To Buy",IF(AND(SUM(J300,F300)&gt;=E300,J300&lt;&gt;""),"Ordered",IF(AND(E300=0,F300=0,D300="B3"),"B3 Option",IF(AND(E300=0,F300=0),"Remove","To Buy"))))))))))</f>
        <v/>
      </c>
      <c r="D300" t="inlineStr">
        <is>
          <t>B2</t>
        </is>
      </c>
      <c r="E300" s="3">
        <f>SUM(M300:S300)</f>
        <v/>
      </c>
      <c r="F300" s="3">
        <f>SUM(T300:Z300)</f>
        <v/>
      </c>
      <c r="G300" s="3">
        <f>IF((F300-E300)&gt;=0,F300-E300,0)</f>
        <v/>
      </c>
      <c r="H300" s="3">
        <f>MAX(0,$E300-$F300-$J300)</f>
        <v/>
      </c>
      <c r="I300" s="3" t="n"/>
      <c r="J300" s="3" t="n"/>
      <c r="K300" s="4" t="n">
        <v>0.15</v>
      </c>
      <c r="L300" s="4">
        <f>IF(AND($H300&gt;0,ISNUMBER($K300)),$H300*$K300,0)</f>
        <v/>
      </c>
      <c r="M300" s="3" t="n"/>
      <c r="N300" s="3" t="n"/>
      <c r="O300" s="3" t="n"/>
      <c r="P300" s="3" t="n">
        <v>1</v>
      </c>
      <c r="Q300" s="3" t="n"/>
      <c r="R300" s="3" t="n"/>
      <c r="S300" s="3">
        <f>IF(AND(J300&lt;&gt;"",SUM(M300:R300)=0),J300,"")</f>
        <v/>
      </c>
      <c r="T300" s="3" t="n"/>
      <c r="U300" s="3" t="n"/>
      <c r="V300" s="3" t="n"/>
      <c r="W300" s="3" t="n">
        <v>1</v>
      </c>
      <c r="X300" s="3" t="n"/>
      <c r="Y300" s="3" t="n"/>
      <c r="Z300" s="3" t="n"/>
      <c r="AA300" s="2" t="inlineStr">
        <is>
          <t>Creature</t>
        </is>
      </c>
      <c r="AB300" s="2" t="inlineStr">
        <is>
          <t>Turtle</t>
        </is>
      </c>
      <c r="AC300" s="2" t="inlineStr">
        <is>
          <t>G</t>
        </is>
      </c>
      <c r="AD300" s="3" t="n">
        <v>5</v>
      </c>
      <c r="AE300" s="29" t="inlineStr">
        <is>
          <t>Khans of Tarkir</t>
        </is>
      </c>
      <c r="AF300" s="29" t="inlineStr">
        <is>
          <t>Utility Creature</t>
        </is>
      </c>
      <c r="AG300" s="29" t="inlineStr">
        <is>
          <t>Can't be blocked while defender controls an Island</t>
        </is>
      </c>
      <c r="AH300" s="29" t="inlineStr">
        <is>
          <t>Exiles itself when attacking, returns tapped and attacking next turn</t>
        </is>
      </c>
      <c r="AI300" s="29" t="n"/>
      <c r="AJ300" s="2" t="inlineStr">
        <is>
          <t>Bench sub -&gt; D4 for Knight of Old Benalia (2026-09-02)</t>
        </is>
      </c>
      <c r="AK300" t="inlineStr">
        <is>
          <t>[T+A] B-&gt;D4 (bench sub) [done 2026-09-03]; [B3 later] D4-&gt;B when Doran, the Siege Tower is bought</t>
        </is>
      </c>
    </row>
    <row r="301" ht="15" customHeight="1" s="79">
      <c r="A301" s="2" t="inlineStr">
        <is>
          <t>Merfolk Skydiver</t>
        </is>
      </c>
      <c r="B301" s="2">
        <f>IF(AND(F301&lt;&gt;0,E301=F301),"In Hand",IF(AND(E301&lt;&gt;0,E301&lt;F301,SUM(M301:R301)=0,SUM(T301:Y301)&gt;0),"Extra-Sub",IF(AND(E301=0,E301&lt;F301,SUM(M301:R301)=0,SUM(T301:Y301)&gt;0),"Bench-Sub",IF(AND(E301=0,F301&gt;0),"Bench",IF(E301&lt;F301,"Extra",IF(AND(J301="",E301&gt;F301),"To Buy",IF(SUM(J301,F301)&lt;E301,"To Buy",IF(AND(SUM(J301,F301)&gt;=E301,J301&lt;&gt;""),"Ordered",IF(AND(E301=0,F301=0,D301="B3"),"B3 Option",IF(AND(E301=0,F301=0),"Remove","To Buy"))))))))))</f>
        <v/>
      </c>
      <c r="D301" t="inlineStr">
        <is>
          <t>B2</t>
        </is>
      </c>
      <c r="E301" s="3">
        <f>SUM(M301:S301)</f>
        <v/>
      </c>
      <c r="F301" s="3">
        <f>SUM(T301:Z301)</f>
        <v/>
      </c>
      <c r="G301" s="3">
        <f>IF((F301-E301)&gt;=0,F301-E301,0)</f>
        <v/>
      </c>
      <c r="H301" s="3">
        <f>MAX(0,$E301-$F301-$J301)</f>
        <v/>
      </c>
      <c r="I301" s="3" t="n"/>
      <c r="J301" s="3" t="n"/>
      <c r="K301" s="4" t="n">
        <v>0.24</v>
      </c>
      <c r="L301" s="4">
        <f>IF(AND($H301&gt;0,ISNUMBER($K301)),$H301*$K301,0)</f>
        <v/>
      </c>
      <c r="M301" s="3" t="n"/>
      <c r="N301" s="3" t="n"/>
      <c r="O301" s="3" t="n">
        <v>1</v>
      </c>
      <c r="P301" s="3" t="n"/>
      <c r="Q301" s="3" t="n"/>
      <c r="R301" s="3" t="n"/>
      <c r="S301" s="3">
        <f>IF(AND(J301&lt;&gt;"",SUM(M301:R301)=0),J301,"")</f>
        <v/>
      </c>
      <c r="T301" s="3" t="n"/>
      <c r="U301" s="3" t="n"/>
      <c r="V301" s="3" t="n">
        <v>1</v>
      </c>
      <c r="W301" s="3" t="n"/>
      <c r="X301" s="3" t="n"/>
      <c r="Y301" s="3" t="n"/>
      <c r="Z301" s="3" t="n"/>
      <c r="AA301" s="2" t="inlineStr">
        <is>
          <t>Creature</t>
        </is>
      </c>
      <c r="AB301" s="2" t="inlineStr">
        <is>
          <t>Merfolk Mutant</t>
        </is>
      </c>
      <c r="AC301" s="2" t="inlineStr">
        <is>
          <t>Multi</t>
        </is>
      </c>
      <c r="AD301" s="3" t="n">
        <v>2</v>
      </c>
      <c r="AE301" s="29" t="inlineStr">
        <is>
          <t>War of the Spark</t>
        </is>
      </c>
      <c r="AF301" s="29" t="inlineStr">
        <is>
          <t>Proliferate</t>
        </is>
      </c>
      <c r="AG301" s="29" t="inlineStr">
        <is>
          <t>Puts a +1/+1 counter on target creature you control when it enters</t>
        </is>
      </c>
      <c r="AH301" s="29" t="inlineStr">
        <is>
          <t>Pay {3}{G}{U} to proliferate</t>
        </is>
      </c>
      <c r="AI301" s="29" t="n"/>
      <c r="AJ301" s="2" t="inlineStr">
        <is>
          <t>Tuned add</t>
        </is>
      </c>
    </row>
    <row r="302" ht="15" customHeight="1" s="79">
      <c r="A302" s="2" t="inlineStr">
        <is>
          <t>Millikin</t>
        </is>
      </c>
      <c r="B302" s="2">
        <f>IF(AND(F302&lt;&gt;0,E302=F302),"In Hand",IF(AND(E302&lt;&gt;0,E302&lt;F302,SUM(M302:R302)=0,SUM(T302:Y302)&gt;0),"Extra-Sub",IF(AND(E302=0,E302&lt;F302,SUM(M302:R302)=0,SUM(T302:Y302)&gt;0),"Bench-Sub",IF(AND(E302=0,F302&gt;0),"Bench",IF(E302&lt;F302,"Extra",IF(AND(J302="",E302&gt;F302),"To Buy",IF(SUM(J302,F302)&lt;E302,"To Buy",IF(AND(SUM(J302,F302)&gt;=E302,J302&lt;&gt;""),"Ordered",IF(AND(E302=0,F302=0,D302="B3"),"B3 Option",IF(AND(E302=0,F302=0),"Remove","To Buy"))))))))))</f>
        <v/>
      </c>
      <c r="D302" t="inlineStr">
        <is>
          <t>B2</t>
        </is>
      </c>
      <c r="E302" s="3">
        <f>SUM(M302:S302)</f>
        <v/>
      </c>
      <c r="F302" s="3">
        <f>SUM(T302:Z302)</f>
        <v/>
      </c>
      <c r="G302" s="3">
        <f>IF((F302-E302)&gt;=0,F302-E302,0)</f>
        <v/>
      </c>
      <c r="H302" s="3">
        <f>MAX(0,$E302-$F302-$J302)</f>
        <v/>
      </c>
      <c r="I302" s="3" t="n"/>
      <c r="J302" s="3" t="n"/>
      <c r="K302" s="4" t="n">
        <v>0.27</v>
      </c>
      <c r="L302" s="4">
        <f>IF(AND($H302&gt;0,ISNUMBER($K302)),$H302*$K302,0)</f>
        <v/>
      </c>
      <c r="M302" s="3" t="n">
        <v>1</v>
      </c>
      <c r="N302" s="3" t="n"/>
      <c r="O302" s="3" t="n"/>
      <c r="P302" s="3" t="n"/>
      <c r="Q302" s="3" t="n"/>
      <c r="R302" s="3" t="n"/>
      <c r="S302" s="3">
        <f>IF(AND(J302&lt;&gt;"",SUM(M302:R302)=0),J302,"")</f>
        <v/>
      </c>
      <c r="T302" s="3" t="n">
        <v>1</v>
      </c>
      <c r="U302" s="3" t="n"/>
      <c r="V302" s="3" t="n"/>
      <c r="W302" s="3" t="n"/>
      <c r="X302" s="3" t="n"/>
      <c r="Y302" s="3" t="n"/>
      <c r="Z302" s="3" t="n"/>
      <c r="AA302" s="2" t="inlineStr">
        <is>
          <t>Artifact Creature</t>
        </is>
      </c>
      <c r="AB302" s="2" t="inlineStr">
        <is>
          <t>Construct</t>
        </is>
      </c>
      <c r="AC302" s="2" t="inlineStr">
        <is>
          <t>C</t>
        </is>
      </c>
      <c r="AD302" s="3" t="n">
        <v>2</v>
      </c>
      <c r="AE302" s="29" t="inlineStr">
        <is>
          <t>Odyssey</t>
        </is>
      </c>
      <c r="AF302" s="29" t="inlineStr">
        <is>
          <t>Mana Rock</t>
        </is>
      </c>
      <c r="AG302" s="29" t="inlineStr">
        <is>
          <t>Mill a card, tap: add {C}</t>
        </is>
      </c>
      <c r="AH302" s="29" t="n"/>
      <c r="AI302" s="29" t="n"/>
      <c r="AJ302" s="2" t="n"/>
      <c r="AK302" t="inlineStr">
        <is>
          <t>[B3 later] D1-&gt;B when Smothering Tithe is bought</t>
        </is>
      </c>
    </row>
    <row r="303" ht="15" customHeight="1" s="79">
      <c r="A303" s="2" t="inlineStr">
        <is>
          <t>Ministrant of Obligation</t>
        </is>
      </c>
      <c r="B303" s="2">
        <f>IF(AND(F303&lt;&gt;0,E303=F303),"In Hand",IF(AND(E303&lt;&gt;0,E303&lt;F303,SUM(M303:R303)=0,SUM(T303:Y303)&gt;0),"Extra-Sub",IF(AND(E303=0,E303&lt;F303,SUM(M303:R303)=0,SUM(T303:Y303)&gt;0),"Bench-Sub",IF(AND(E303=0,F303&gt;0),"Bench",IF(E303&lt;F303,"Extra",IF(AND(J303="",E303&gt;F303),"To Buy",IF(SUM(J303,F303)&lt;E303,"To Buy",IF(AND(SUM(J303,F303)&gt;=E303,J303&lt;&gt;""),"Ordered",IF(AND(E303=0,F303=0,D303="B3"),"B3 Option",IF(AND(E303=0,F303=0),"Remove","To Buy"))))))))))</f>
        <v/>
      </c>
      <c r="D303" t="inlineStr">
        <is>
          <t>B2</t>
        </is>
      </c>
      <c r="E303" s="3">
        <f>SUM(M303:S303)</f>
        <v/>
      </c>
      <c r="F303" s="3">
        <f>SUM(T303:Z303)</f>
        <v/>
      </c>
      <c r="G303" s="3">
        <f>IF((F303-E303)&gt;=0,F303-E303,0)</f>
        <v/>
      </c>
      <c r="H303" s="3">
        <f>MAX(0,$E303-$F303-$J303)</f>
        <v/>
      </c>
      <c r="I303" s="3" t="n"/>
      <c r="J303" s="3" t="n"/>
      <c r="K303" s="4" t="n">
        <v>0.33</v>
      </c>
      <c r="L303" s="4">
        <f>IF(AND($H303&gt;0,ISNUMBER($K303)),$H303*$K303,0)</f>
        <v/>
      </c>
      <c r="M303" s="3" t="n"/>
      <c r="N303" s="3" t="n"/>
      <c r="O303" s="3" t="n"/>
      <c r="P303" s="3" t="n"/>
      <c r="Q303" s="3" t="n">
        <v>1</v>
      </c>
      <c r="R303" s="3" t="n"/>
      <c r="S303" s="3">
        <f>IF(AND(J303&lt;&gt;"",SUM(M303:R303)=0),J303,"")</f>
        <v/>
      </c>
      <c r="T303" s="3" t="n"/>
      <c r="U303" s="3" t="n"/>
      <c r="V303" s="3" t="n"/>
      <c r="W303" s="3" t="n"/>
      <c r="X303" s="3" t="n">
        <v>1</v>
      </c>
      <c r="Y303" s="3" t="n"/>
      <c r="Z303" s="3" t="n"/>
      <c r="AA303" s="2" t="inlineStr">
        <is>
          <t>Creature</t>
        </is>
      </c>
      <c r="AB303" s="2" t="inlineStr">
        <is>
          <t>Human Cleric</t>
        </is>
      </c>
      <c r="AC303" s="2" t="inlineStr">
        <is>
          <t>W</t>
        </is>
      </c>
      <c r="AD303" s="3" t="n">
        <v>3</v>
      </c>
      <c r="AE303" s="29" t="inlineStr">
        <is>
          <t>Ravnica Allegiance</t>
        </is>
      </c>
      <c r="AF303" s="29" t="inlineStr">
        <is>
          <t>Token Producer</t>
        </is>
      </c>
      <c r="AG303" s="29" t="inlineStr">
        <is>
          <t>Creates two 1/1 flying Spirit tokens when it dies</t>
        </is>
      </c>
      <c r="AH303" s="29" t="n"/>
      <c r="AI303" s="29" t="n"/>
      <c r="AJ303" s="2" t="inlineStr">
        <is>
          <t>Received/settled (was in cart 2026-09-02: Game Theory Wake Forest $0.2 Near Mint)</t>
        </is>
      </c>
    </row>
    <row r="304" ht="15" customHeight="1" s="79">
      <c r="A304" s="2" t="inlineStr">
        <is>
          <t>Mirrodin Avenged</t>
        </is>
      </c>
      <c r="B304" s="2">
        <f>IF(AND(F304&lt;&gt;0,E304=F304),"In Hand",IF(AND(E304&lt;&gt;0,E304&lt;F304,SUM(M304:R304)=0,SUM(T304:Y304)&gt;0),"Extra-Sub",IF(AND(E304=0,E304&lt;F304,SUM(M304:R304)=0,SUM(T304:Y304)&gt;0),"Bench-Sub",IF(AND(E304=0,F304&gt;0),"Bench",IF(E304&lt;F304,"Extra",IF(AND(J304="",E304&gt;F304),"To Buy",IF(SUM(J304,F304)&lt;E304,"To Buy",IF(AND(SUM(J304,F304)&gt;=E304,J304&lt;&gt;""),"Ordered",IF(AND(E304=0,F304=0,D304="B3"),"B3 Option",IF(AND(E304=0,F304=0),"Remove","To Buy"))))))))))</f>
        <v/>
      </c>
      <c r="D304" t="inlineStr">
        <is>
          <t>B2</t>
        </is>
      </c>
      <c r="E304" s="3">
        <f>SUM(M304:S304)</f>
        <v/>
      </c>
      <c r="F304" s="3">
        <f>SUM(T304:Z304)</f>
        <v/>
      </c>
      <c r="G304" s="3">
        <f>IF((F304-E304)&gt;=0,F304-E304,0)</f>
        <v/>
      </c>
      <c r="H304" s="3">
        <f>MAX(0,$E304-$F304-$J304)</f>
        <v/>
      </c>
      <c r="I304" s="3" t="n"/>
      <c r="J304" s="3" t="n"/>
      <c r="K304" s="4" t="n">
        <v>0.13</v>
      </c>
      <c r="L304" s="4">
        <f>IF(AND($H304&gt;0,ISNUMBER($K304)),$H304*$K304,0)</f>
        <v/>
      </c>
      <c r="M304" s="3" t="n"/>
      <c r="N304" s="3" t="n"/>
      <c r="O304" s="3" t="n">
        <v>1</v>
      </c>
      <c r="P304" s="3" t="n"/>
      <c r="Q304" s="3" t="n"/>
      <c r="R304" s="3" t="n"/>
      <c r="S304" s="3">
        <f>IF(AND(J304&lt;&gt;"",SUM(M304:R304)=0),J304,"")</f>
        <v/>
      </c>
      <c r="T304" s="3" t="n"/>
      <c r="U304" s="3" t="n"/>
      <c r="V304" s="3" t="n">
        <v>1</v>
      </c>
      <c r="W304" s="3" t="n"/>
      <c r="X304" s="3" t="n"/>
      <c r="Y304" s="3" t="n"/>
      <c r="Z304" s="3" t="n"/>
      <c r="AA304" s="2" t="inlineStr">
        <is>
          <t>Instant</t>
        </is>
      </c>
      <c r="AB304" s="2" t="n"/>
      <c r="AC304" s="2" t="inlineStr">
        <is>
          <t>B</t>
        </is>
      </c>
      <c r="AD304" s="3" t="n">
        <v>1</v>
      </c>
      <c r="AE304" s="29" t="inlineStr">
        <is>
          <t>March of the Machine</t>
        </is>
      </c>
      <c r="AF304" s="29" t="inlineStr">
        <is>
          <t>Removal</t>
        </is>
      </c>
      <c r="AG304" s="29" t="inlineStr">
        <is>
          <t>Destroys target creature that was dealt damage this turn</t>
        </is>
      </c>
      <c r="AH304" s="29" t="inlineStr">
        <is>
          <t>Draws a card</t>
        </is>
      </c>
      <c r="AI304" s="29" t="n"/>
      <c r="AJ304" s="2" t="n"/>
      <c r="AK304" t="inlineStr">
        <is>
          <t>[B3 later] D3-&gt;B when Phyrexian Arena is bought</t>
        </is>
      </c>
    </row>
    <row r="305" ht="15" customHeight="1" s="79">
      <c r="A305" s="2" t="inlineStr">
        <is>
          <t>Mistmeadow Witch</t>
        </is>
      </c>
      <c r="B305" s="2">
        <f>IF(AND(F305&lt;&gt;0,E305=F305),"In Hand",IF(AND(E305&lt;&gt;0,E305&lt;F305,SUM(M305:R305)=0,SUM(T305:Y305)&gt;0),"Extra-Sub",IF(AND(E305=0,E305&lt;F305,SUM(M305:R305)=0,SUM(T305:Y305)&gt;0),"Bench-Sub",IF(AND(E305=0,F305&gt;0),"Bench",IF(E305&lt;F305,"Extra",IF(AND(J305="",E305&gt;F305),"To Buy",IF(SUM(J305,F305)&lt;E305,"To Buy",IF(AND(SUM(J305,F305)&gt;=E305,J305&lt;&gt;""),"Ordered",IF(AND(E305=0,F305=0,D305="B3"),"B3 Option",IF(AND(E305=0,F305=0),"Remove","To Buy"))))))))))</f>
        <v/>
      </c>
      <c r="D305" t="inlineStr">
        <is>
          <t>B2</t>
        </is>
      </c>
      <c r="E305" s="3">
        <f>SUM(M305:S305)</f>
        <v/>
      </c>
      <c r="F305" s="3">
        <f>SUM(T305:Z305)</f>
        <v/>
      </c>
      <c r="G305" s="3">
        <f>IF((F305-E305)&gt;=0,F305-E305,0)</f>
        <v/>
      </c>
      <c r="H305" s="3">
        <f>MAX(0,$E305-$F305-$J305)</f>
        <v/>
      </c>
      <c r="I305" s="3" t="n"/>
      <c r="J305" s="3" t="n"/>
      <c r="K305" s="4" t="n">
        <v>0.23</v>
      </c>
      <c r="L305" s="4">
        <f>IF(AND($H305&gt;0,ISNUMBER($K305)),$H305*$K305,0)</f>
        <v/>
      </c>
      <c r="M305" s="3" t="n"/>
      <c r="N305" s="3" t="n">
        <v>1</v>
      </c>
      <c r="O305" s="3" t="n"/>
      <c r="P305" s="3" t="n"/>
      <c r="Q305" s="3" t="n"/>
      <c r="R305" s="3" t="n"/>
      <c r="S305" s="3">
        <f>IF(AND(J305&lt;&gt;"",SUM(M305:R305)=0),J305,"")</f>
        <v/>
      </c>
      <c r="T305" s="3" t="n"/>
      <c r="U305" s="3" t="n">
        <v>1</v>
      </c>
      <c r="V305" s="3" t="n"/>
      <c r="W305" s="3" t="n"/>
      <c r="X305" s="3" t="n"/>
      <c r="Y305" s="3" t="n"/>
      <c r="Z305" s="3" t="n"/>
      <c r="AA305" s="2" t="inlineStr">
        <is>
          <t>Creature</t>
        </is>
      </c>
      <c r="AB305" s="2" t="inlineStr">
        <is>
          <t>Kithkin Wizard</t>
        </is>
      </c>
      <c r="AC305" s="2" t="inlineStr">
        <is>
          <t>Multi</t>
        </is>
      </c>
      <c r="AD305" s="3" t="n">
        <v>2</v>
      </c>
      <c r="AE305" s="29" t="inlineStr">
        <is>
          <t>Shadowmoor</t>
        </is>
      </c>
      <c r="AF305" s="29" t="inlineStr">
        <is>
          <t>Blink</t>
        </is>
      </c>
      <c r="AG305" s="29" t="inlineStr">
        <is>
          <t>Exiles a creature, returning it at the next end step</t>
        </is>
      </c>
      <c r="AH305" s="29" t="n"/>
      <c r="AI305" s="29" t="n"/>
      <c r="AJ305" s="2" t="n"/>
    </row>
    <row r="306" ht="15" customHeight="1" s="79">
      <c r="A306" s="2" t="inlineStr">
        <is>
          <t>Mistveil Plains</t>
        </is>
      </c>
      <c r="B306" s="2">
        <f>IF(AND(F306&lt;&gt;0,E306=F306),"In Hand",IF(AND(E306&lt;&gt;0,E306&lt;F306,SUM(M306:R306)=0,SUM(T306:Y306)&gt;0),"Extra-Sub",IF(AND(E306=0,E306&lt;F306,SUM(M306:R306)=0,SUM(T306:Y306)&gt;0),"Bench-Sub",IF(AND(E306=0,F306&gt;0),"Bench",IF(E306&lt;F306,"Extra",IF(AND(J306="",E306&gt;F306),"To Buy",IF(SUM(J306,F306)&lt;E306,"To Buy",IF(AND(SUM(J306,F306)&gt;=E306,J306&lt;&gt;""),"Ordered",IF(AND(E306=0,F306=0,D306="B3"),"B3 Option",IF(AND(E306=0,F306=0),"Remove","To Buy"))))))))))</f>
        <v/>
      </c>
      <c r="D306" t="inlineStr">
        <is>
          <t>B2</t>
        </is>
      </c>
      <c r="E306" s="3">
        <f>SUM(M306:S306)</f>
        <v/>
      </c>
      <c r="F306" s="3">
        <f>SUM(T306:Z306)</f>
        <v/>
      </c>
      <c r="G306" s="3">
        <f>IF((F306-E306)&gt;=0,F306-E306,0)</f>
        <v/>
      </c>
      <c r="H306" s="3">
        <f>MAX(0,$E306-$F306-$J306)</f>
        <v/>
      </c>
      <c r="I306" s="3" t="n"/>
      <c r="J306" s="3" t="n"/>
      <c r="K306" s="4" t="n">
        <v>0.27</v>
      </c>
      <c r="L306" s="4">
        <f>IF(AND($H306&gt;0,ISNUMBER($K306)),$H306*$K306,0)</f>
        <v/>
      </c>
      <c r="M306" s="3" t="n">
        <v>1</v>
      </c>
      <c r="N306" s="3" t="n"/>
      <c r="O306" s="3" t="n"/>
      <c r="P306" s="3" t="n"/>
      <c r="Q306" s="3" t="n"/>
      <c r="R306" s="3" t="n"/>
      <c r="S306" s="3">
        <f>IF(AND(J306&lt;&gt;"",SUM(M306:R306)=0),J306,"")</f>
        <v/>
      </c>
      <c r="T306" s="3" t="n">
        <v>1</v>
      </c>
      <c r="U306" s="3" t="n"/>
      <c r="V306" s="3" t="n"/>
      <c r="W306" s="3" t="n"/>
      <c r="X306" s="3" t="n"/>
      <c r="Y306" s="3" t="n"/>
      <c r="Z306" s="3" t="n"/>
      <c r="AA306" s="2" t="inlineStr">
        <is>
          <t>Land</t>
        </is>
      </c>
      <c r="AB306" s="2" t="inlineStr">
        <is>
          <t>Plains</t>
        </is>
      </c>
      <c r="AC306" s="2" t="inlineStr">
        <is>
          <t>L</t>
        </is>
      </c>
      <c r="AD306" s="3" t="n">
        <v>0</v>
      </c>
      <c r="AE306" s="29" t="inlineStr">
        <is>
          <t>Shadowmoor</t>
        </is>
      </c>
      <c r="AF306" s="29" t="inlineStr">
        <is>
          <t>Land</t>
        </is>
      </c>
      <c r="AG306" s="29" t="inlineStr">
        <is>
          <t>Taps for {W}</t>
        </is>
      </c>
      <c r="AH306" s="29" t="inlineStr">
        <is>
          <t>Enters tapped</t>
        </is>
      </c>
      <c r="AI306" s="29" t="inlineStr">
        <is>
          <t>Pay {W}, tap: put a card from graveyard on bottom of library</t>
        </is>
      </c>
      <c r="AJ306" s="2" t="n"/>
    </row>
    <row r="307" ht="15" customHeight="1" s="79">
      <c r="A307" s="2" t="inlineStr">
        <is>
          <t>Momentary Blink</t>
        </is>
      </c>
      <c r="B307" s="2">
        <f>IF(AND(F307&lt;&gt;0,E307=F307),"In Hand",IF(AND(E307&lt;&gt;0,E307&lt;F307,SUM(M307:R307)=0,SUM(T307:Y307)&gt;0),"Extra-Sub",IF(AND(E307=0,E307&lt;F307,SUM(M307:R307)=0,SUM(T307:Y307)&gt;0),"Bench-Sub",IF(AND(E307=0,F307&gt;0),"Bench",IF(E307&lt;F307,"Extra",IF(AND(J307="",E307&gt;F307),"To Buy",IF(SUM(J307,F307)&lt;E307,"To Buy",IF(AND(SUM(J307,F307)&gt;=E307,J307&lt;&gt;""),"Ordered",IF(AND(E307=0,F307=0,D307="B3"),"B3 Option",IF(AND(E307=0,F307=0),"Remove","To Buy"))))))))))</f>
        <v/>
      </c>
      <c r="D307" t="inlineStr">
        <is>
          <t>B2</t>
        </is>
      </c>
      <c r="E307" s="3">
        <f>SUM(M307:S307)</f>
        <v/>
      </c>
      <c r="F307" s="3">
        <f>SUM(T307:Z307)</f>
        <v/>
      </c>
      <c r="G307" s="3">
        <f>IF((F307-E307)&gt;=0,F307-E307,0)</f>
        <v/>
      </c>
      <c r="H307" s="3">
        <f>MAX(0,$E307-$F307-$J307)</f>
        <v/>
      </c>
      <c r="I307" s="3" t="n"/>
      <c r="J307" s="3" t="n"/>
      <c r="K307" s="4" t="n">
        <v>0.19</v>
      </c>
      <c r="L307" s="4">
        <f>IF(AND($H307&gt;0,ISNUMBER($K307)),$H307*$K307,0)</f>
        <v/>
      </c>
      <c r="M307" s="3" t="n"/>
      <c r="N307" s="3" t="n">
        <v>1</v>
      </c>
      <c r="O307" s="3" t="n"/>
      <c r="P307" s="3" t="n"/>
      <c r="Q307" s="3" t="n"/>
      <c r="R307" s="3" t="n"/>
      <c r="S307" s="3">
        <f>IF(AND(J307&lt;&gt;"",SUM(M307:R307)=0),J307,"")</f>
        <v/>
      </c>
      <c r="T307" s="3" t="n"/>
      <c r="U307" s="3" t="n">
        <v>1</v>
      </c>
      <c r="V307" s="3" t="n"/>
      <c r="W307" s="3" t="n"/>
      <c r="X307" s="3" t="n"/>
      <c r="Y307" s="3" t="n"/>
      <c r="Z307" s="3" t="n"/>
      <c r="AA307" s="2" t="inlineStr">
        <is>
          <t>Instant</t>
        </is>
      </c>
      <c r="AB307" s="2" t="n"/>
      <c r="AC307" s="2" t="inlineStr">
        <is>
          <t>Multi</t>
        </is>
      </c>
      <c r="AD307" s="3" t="n">
        <v>2</v>
      </c>
      <c r="AE307" s="29" t="inlineStr">
        <is>
          <t>Time Spiral</t>
        </is>
      </c>
      <c r="AF307" s="29" t="inlineStr">
        <is>
          <t>Blink</t>
        </is>
      </c>
      <c r="AG307" s="29" t="inlineStr">
        <is>
          <t>Exiles then returns target creature you control</t>
        </is>
      </c>
      <c r="AH307" s="29" t="inlineStr">
        <is>
          <t>Flashback {3}{U}</t>
        </is>
      </c>
      <c r="AI307" s="29" t="n"/>
      <c r="AJ307" s="2" t="inlineStr">
        <is>
          <t>Tuned add; Received/settled (was in cart 2026-09-02: Game Theory Wake Forest $0.3 Near Mint)</t>
        </is>
      </c>
    </row>
    <row r="308" ht="15" customHeight="1" s="79">
      <c r="A308" s="2" t="inlineStr">
        <is>
          <t>Monologue Tax</t>
        </is>
      </c>
      <c r="B308" s="2">
        <f>IF(AND(F308&lt;&gt;0,E308=F308),"In Hand",IF(AND(E308&lt;&gt;0,E308&lt;F308,SUM(M308:R308)=0,SUM(T308:Y308)&gt;0),"Extra-Sub",IF(AND(E308=0,E308&lt;F308,SUM(M308:R308)=0,SUM(T308:Y308)&gt;0),"Bench-Sub",IF(AND(E308=0,F308&gt;0),"Bench",IF(E308&lt;F308,"Extra",IF(AND(J308="",E308&gt;F308),"To Buy",IF(SUM(J308,F308)&lt;E308,"To Buy",IF(AND(SUM(J308,F308)&gt;=E308,J308&lt;&gt;""),"Ordered",IF(AND(E308=0,F308=0,D308="B3"),"B3 Option",IF(AND(E308=0,F308=0),"Remove","To Buy"))))))))))</f>
        <v/>
      </c>
      <c r="D308" t="inlineStr">
        <is>
          <t>B2</t>
        </is>
      </c>
      <c r="E308" s="3">
        <f>SUM(M308:S308)</f>
        <v/>
      </c>
      <c r="F308" s="3">
        <f>SUM(T308:Z308)</f>
        <v/>
      </c>
      <c r="G308" s="3">
        <f>IF((F308-E308)&gt;=0,F308-E308,0)</f>
        <v/>
      </c>
      <c r="H308" s="3">
        <f>MAX(0,$E308-$F308-$J308)</f>
        <v/>
      </c>
      <c r="I308" s="3" t="n"/>
      <c r="J308" s="3" t="n"/>
      <c r="K308" s="4" t="n">
        <v>0.96</v>
      </c>
      <c r="L308" s="4">
        <f>IF(AND($H308&gt;0,ISNUMBER($K308)),$H308*$K308,0)</f>
        <v/>
      </c>
      <c r="M308" s="3" t="n"/>
      <c r="N308" s="3" t="n"/>
      <c r="O308" s="3" t="n">
        <v>1</v>
      </c>
      <c r="P308" s="3" t="n"/>
      <c r="Q308" s="3" t="n"/>
      <c r="R308" s="3" t="n"/>
      <c r="S308" s="3">
        <f>IF(AND(J308&lt;&gt;"",SUM(M308:R308)=0),J308,"")</f>
        <v/>
      </c>
      <c r="T308" s="3" t="n"/>
      <c r="U308" s="3" t="n"/>
      <c r="V308" s="3" t="n">
        <v>1</v>
      </c>
      <c r="W308" s="3" t="n"/>
      <c r="X308" s="3" t="n"/>
      <c r="Y308" s="3" t="n"/>
      <c r="Z308" s="3" t="n"/>
      <c r="AA308" s="2" t="inlineStr">
        <is>
          <t>Enchantment</t>
        </is>
      </c>
      <c r="AB308" s="2" t="n"/>
      <c r="AC308" s="2" t="inlineStr">
        <is>
          <t>W</t>
        </is>
      </c>
      <c r="AD308" s="3" t="n">
        <v>3</v>
      </c>
      <c r="AE308" s="29" t="inlineStr">
        <is>
          <t>Commander 2021</t>
        </is>
      </c>
      <c r="AF308" s="29" t="inlineStr">
        <is>
          <t>Stax/Tax</t>
        </is>
      </c>
      <c r="AG308" s="29" t="inlineStr">
        <is>
          <t>Creates a Treasure token when an opponent casts their second spell each turn</t>
        </is>
      </c>
      <c r="AH308" s="29" t="n"/>
      <c r="AI308" s="29" t="n"/>
      <c r="AJ308" s="2" t="n"/>
    </row>
    <row r="309" ht="15" customHeight="1" s="79">
      <c r="A309" s="2" t="inlineStr">
        <is>
          <t>Moonlit Lamenter</t>
        </is>
      </c>
      <c r="B309" s="2">
        <f>IF(AND(F309&lt;&gt;0,E309=F309),"In Hand",IF(AND(E309&lt;&gt;0,E309&lt;F309,SUM(M309:R309)=0,SUM(T309:Y309)&gt;0),"Extra-Sub",IF(AND(E309=0,E309&lt;F309,SUM(M309:R309)=0,SUM(T309:Y309)&gt;0),"Bench-Sub",IF(AND(E309=0,F309&gt;0),"Bench",IF(E309&lt;F309,"Extra",IF(AND(J309="",E309&gt;F309),"To Buy",IF(SUM(J309,F309)&lt;E309,"To Buy",IF(AND(SUM(J309,F309)&gt;=E309,J309&lt;&gt;""),"Ordered",IF(AND(E309=0,F309=0,D309="B3"),"B3 Option",IF(AND(E309=0,F309=0),"Remove","To Buy"))))))))))</f>
        <v/>
      </c>
      <c r="D309" t="inlineStr">
        <is>
          <t>B2</t>
        </is>
      </c>
      <c r="E309" s="3">
        <f>SUM(M309:S309)</f>
        <v/>
      </c>
      <c r="F309" s="3">
        <f>SUM(T309:Z309)</f>
        <v/>
      </c>
      <c r="G309" s="3">
        <f>IF((F309-E309)&gt;=0,F309-E309,0)</f>
        <v/>
      </c>
      <c r="H309" s="3">
        <f>MAX(0,$E309-$F309-$J309)</f>
        <v/>
      </c>
      <c r="I309" s="3" t="n"/>
      <c r="J309" s="3" t="n"/>
      <c r="K309" s="4" t="n">
        <v>0.19</v>
      </c>
      <c r="L309" s="4">
        <f>IF(AND($H309&gt;0,ISNUMBER($K309)),$H309*$K309,0)</f>
        <v/>
      </c>
      <c r="M309" s="3" t="n"/>
      <c r="N309" s="3" t="n"/>
      <c r="O309" s="3" t="n">
        <v>1</v>
      </c>
      <c r="P309" s="3" t="n"/>
      <c r="Q309" s="3" t="n"/>
      <c r="R309" s="3" t="n"/>
      <c r="S309" s="3">
        <f>IF(AND(J309&lt;&gt;"",SUM(M309:R309)=0),J309,"")</f>
        <v/>
      </c>
      <c r="T309" s="3" t="n"/>
      <c r="U309" s="3" t="n"/>
      <c r="V309" s="3" t="n">
        <v>1</v>
      </c>
      <c r="W309" s="3" t="n"/>
      <c r="X309" s="3" t="n"/>
      <c r="Y309" s="3" t="n"/>
      <c r="Z309" s="3" t="n"/>
      <c r="AA309" s="2" t="inlineStr">
        <is>
          <t>Creature</t>
        </is>
      </c>
      <c r="AB309" s="2" t="inlineStr">
        <is>
          <t>Treefolk Cleric</t>
        </is>
      </c>
      <c r="AC309" s="2" t="inlineStr">
        <is>
          <t>W</t>
        </is>
      </c>
      <c r="AD309" s="3" t="n">
        <v>3</v>
      </c>
      <c r="AE309" s="29" t="inlineStr">
        <is>
          <t>Lorwyn Eclipsed</t>
        </is>
      </c>
      <c r="AF309" s="29" t="inlineStr">
        <is>
          <t>Card Draw</t>
        </is>
      </c>
      <c r="AG309" s="29" t="inlineStr">
        <is>
          <t>Enters with a -1/-1 counter on itself</t>
        </is>
      </c>
      <c r="AH309" s="29" t="inlineStr">
        <is>
          <t>Remove the counter (sorcery speed) to draw a card</t>
        </is>
      </c>
      <c r="AI309" s="29" t="n"/>
      <c r="AJ309" s="2" t="n"/>
    </row>
    <row r="310" ht="15" customHeight="1" s="79">
      <c r="A310" s="2" t="inlineStr">
        <is>
          <t>Moonshaker Cavalry</t>
        </is>
      </c>
      <c r="B310" s="2">
        <f>IF(AND(F310&lt;&gt;0,E310=F310),"In Hand",IF(AND(E310&lt;&gt;0,E310&lt;F310,SUM(M310:R310)=0,SUM(T310:Y310)&gt;0),"Extra-Sub",IF(AND(E310=0,E310&lt;F310,SUM(M310:R310)=0,SUM(T310:Y310)&gt;0),"Bench-Sub",IF(AND(E310=0,F310&gt;0),"Bench",IF(E310&lt;F310,"Extra",IF(AND(J310="",E310&gt;F310),"To Buy",IF(SUM(J310,F310)&lt;E310,"To Buy",IF(AND(SUM(J310,F310)&gt;=E310,J310&lt;&gt;""),"Ordered",IF(AND(E310=0,F310=0,D310="B3"),"B3 Option",IF(AND(E310=0,F310=0),"Remove","To Buy"))))))))))</f>
        <v/>
      </c>
      <c r="D310" t="inlineStr">
        <is>
          <t>B2</t>
        </is>
      </c>
      <c r="E310" s="3">
        <f>SUM(M310:S310)</f>
        <v/>
      </c>
      <c r="F310" s="3">
        <f>SUM(T310:Z310)</f>
        <v/>
      </c>
      <c r="G310" s="3">
        <f>IF((F310-E310)&gt;=0,F310-E310,0)</f>
        <v/>
      </c>
      <c r="H310" s="3">
        <f>MAX(0,$E310-$F310-$J310)</f>
        <v/>
      </c>
      <c r="I310" s="3" t="n"/>
      <c r="J310" s="3" t="n"/>
      <c r="K310" s="4" t="n">
        <v>9.57</v>
      </c>
      <c r="L310" s="4">
        <f>IF(AND($H310&gt;0,ISNUMBER($K310)),$H310*$K310,0)</f>
        <v/>
      </c>
      <c r="M310" s="3" t="n">
        <v>1</v>
      </c>
      <c r="N310" s="3" t="n"/>
      <c r="O310" s="3" t="n"/>
      <c r="P310" s="3" t="n"/>
      <c r="Q310" s="3" t="n"/>
      <c r="R310" s="3" t="n"/>
      <c r="S310" s="3">
        <f>IF(AND(J310&lt;&gt;"",SUM(M310:R310)=0),J310,"")</f>
        <v/>
      </c>
      <c r="T310" s="3" t="n">
        <v>1</v>
      </c>
      <c r="U310" s="3" t="n"/>
      <c r="V310" s="3" t="n"/>
      <c r="W310" s="3" t="n"/>
      <c r="X310" s="3" t="n"/>
      <c r="Y310" s="3" t="n"/>
      <c r="Z310" s="3" t="n"/>
      <c r="AA310" s="2" t="inlineStr">
        <is>
          <t>Creature</t>
        </is>
      </c>
      <c r="AB310" s="2" t="inlineStr">
        <is>
          <t>Spirit Knight</t>
        </is>
      </c>
      <c r="AC310" s="2" t="inlineStr">
        <is>
          <t>W</t>
        </is>
      </c>
      <c r="AD310" s="3" t="n">
        <v>8</v>
      </c>
      <c r="AE310" s="29" t="inlineStr">
        <is>
          <t>Wilds of Eldraine</t>
        </is>
      </c>
      <c r="AF310" s="29" t="inlineStr">
        <is>
          <t>Finisher</t>
        </is>
      </c>
      <c r="AG310" s="29" t="inlineStr">
        <is>
          <t>Flying body</t>
        </is>
      </c>
      <c r="AH310" s="29" t="inlineStr">
        <is>
          <t>Enters: creatures you control get +X/+X and can fly until end of turn, X = creatures you control</t>
        </is>
      </c>
      <c r="AI310" s="29" t="n"/>
      <c r="AJ310" s="2" t="n"/>
    </row>
    <row r="311" ht="15" customHeight="1" s="79">
      <c r="A311" s="2" t="inlineStr">
        <is>
          <t>Mortify</t>
        </is>
      </c>
      <c r="B311" s="2">
        <f>IF(AND(F311&lt;&gt;0,E311=F311),"In Hand",IF(AND(E311&lt;&gt;0,E311&lt;F311,SUM(M311:R311)=0,SUM(T311:Y311)&gt;0),"Extra-Sub",IF(AND(E311=0,E311&lt;F311,SUM(M311:R311)=0,SUM(T311:Y311)&gt;0),"Bench-Sub",IF(AND(E311=0,F311&gt;0),"Bench",IF(E311&lt;F311,"Extra",IF(AND(J311="",E311&gt;F311),"To Buy",IF(SUM(J311,F311)&lt;E311,"To Buy",IF(AND(SUM(J311,F311)&gt;=E311,J311&lt;&gt;""),"Ordered",IF(AND(E311=0,F311=0,D311="B3"),"B3 Option",IF(AND(E311=0,F311=0),"Remove","To Buy"))))))))))</f>
        <v/>
      </c>
      <c r="D311" t="inlineStr">
        <is>
          <t>B2</t>
        </is>
      </c>
      <c r="E311" s="3">
        <f>SUM(M311:S311)</f>
        <v/>
      </c>
      <c r="F311" s="3">
        <f>SUM(T311:Z311)</f>
        <v/>
      </c>
      <c r="G311" s="3">
        <f>IF((F311-E311)&gt;=0,F311-E311,0)</f>
        <v/>
      </c>
      <c r="H311" s="3">
        <f>MAX(0,$E311-$F311-$J311)</f>
        <v/>
      </c>
      <c r="I311" s="3" t="n"/>
      <c r="J311" s="3" t="n"/>
      <c r="K311" s="4" t="n">
        <v>0.18</v>
      </c>
      <c r="L311" s="4">
        <f>IF(AND($H311&gt;0,ISNUMBER($K311)),$H311*$K311,0)</f>
        <v/>
      </c>
      <c r="M311" s="3" t="n"/>
      <c r="N311" s="3" t="n"/>
      <c r="O311" s="3" t="n">
        <v>1</v>
      </c>
      <c r="P311" s="3" t="n"/>
      <c r="Q311" s="3" t="n"/>
      <c r="R311" s="3" t="n"/>
      <c r="S311" s="3">
        <f>IF(AND(J311&lt;&gt;"",SUM(M311:R311)=0),J311,"")</f>
        <v/>
      </c>
      <c r="T311" s="3" t="n"/>
      <c r="U311" s="3" t="n"/>
      <c r="V311" s="3" t="n">
        <v>1</v>
      </c>
      <c r="W311" s="3" t="n"/>
      <c r="X311" s="3" t="n"/>
      <c r="Y311" s="3" t="n"/>
      <c r="Z311" s="3" t="n"/>
      <c r="AA311" s="2" t="inlineStr">
        <is>
          <t>Instant</t>
        </is>
      </c>
      <c r="AB311" s="2" t="n"/>
      <c r="AC311" s="2" t="inlineStr">
        <is>
          <t>Multi</t>
        </is>
      </c>
      <c r="AD311" s="3" t="n">
        <v>3</v>
      </c>
      <c r="AE311" s="29" t="inlineStr">
        <is>
          <t>Guildpact</t>
        </is>
      </c>
      <c r="AF311" s="29" t="inlineStr">
        <is>
          <t>Removal</t>
        </is>
      </c>
      <c r="AG311" s="29" t="inlineStr">
        <is>
          <t>Destroys target creature or enchantment</t>
        </is>
      </c>
      <c r="AH311" s="29" t="n"/>
      <c r="AI311" s="29" t="n"/>
      <c r="AJ311" s="2" t="inlineStr">
        <is>
          <t>own 1 of 2 needed; Bench sub available in D5: Terror (2026-09-02); D5 target removed 2026-09-02 (bench sub in place)</t>
        </is>
      </c>
    </row>
    <row r="312" ht="15" customHeight="1" s="79">
      <c r="A312" s="2" t="inlineStr">
        <is>
          <t>Mulch</t>
        </is>
      </c>
      <c r="B312" s="2">
        <f>IF(AND(F312&lt;&gt;0,E312=F312),"In Hand",IF(AND(E312&lt;&gt;0,E312&lt;F312,SUM(M312:R312)=0,SUM(T312:Y312)&gt;0),"Extra-Sub",IF(AND(E312=0,E312&lt;F312,SUM(M312:R312)=0,SUM(T312:Y312)&gt;0),"Bench-Sub",IF(AND(E312=0,F312&gt;0),"Bench",IF(E312&lt;F312,"Extra",IF(AND(J312="",E312&gt;F312),"To Buy",IF(SUM(J312,F312)&lt;E312,"To Buy",IF(AND(SUM(J312,F312)&gt;=E312,J312&lt;&gt;""),"Ordered",IF(AND(E312=0,F312=0,D312="B3"),"B3 Option",IF(AND(E312=0,F312=0),"Remove","To Buy"))))))))))</f>
        <v/>
      </c>
      <c r="D312" t="inlineStr">
        <is>
          <t>B2</t>
        </is>
      </c>
      <c r="E312" s="3">
        <f>SUM(M312:S312)</f>
        <v/>
      </c>
      <c r="F312" s="3">
        <f>SUM(T312:Z312)</f>
        <v/>
      </c>
      <c r="G312" s="3">
        <f>IF((F312-E312)&gt;=0,F312-E312,0)</f>
        <v/>
      </c>
      <c r="H312" s="3">
        <f>MAX(0,$E312-$F312-$J312)</f>
        <v/>
      </c>
      <c r="I312" s="3" t="n"/>
      <c r="J312" s="3" t="n"/>
      <c r="K312" s="4" t="n">
        <v>0.3</v>
      </c>
      <c r="L312" s="4">
        <f>IF(AND($H312&gt;0,ISNUMBER($K312)),$H312*$K312,0)</f>
        <v/>
      </c>
      <c r="M312" s="3" t="n"/>
      <c r="N312" s="3" t="n">
        <v>1</v>
      </c>
      <c r="O312" s="3" t="n"/>
      <c r="P312" s="3" t="n"/>
      <c r="Q312" s="3" t="n"/>
      <c r="R312" s="3" t="n"/>
      <c r="S312" s="3">
        <f>IF(AND(J312&lt;&gt;"",SUM(M312:R312)=0),J312,"")</f>
        <v/>
      </c>
      <c r="T312" s="3" t="n"/>
      <c r="U312" s="3" t="n">
        <v>1</v>
      </c>
      <c r="V312" s="3" t="n"/>
      <c r="W312" s="3" t="n"/>
      <c r="X312" s="3" t="n"/>
      <c r="Y312" s="3" t="n"/>
      <c r="Z312" s="3" t="n"/>
      <c r="AA312" s="2" t="inlineStr">
        <is>
          <t>Sorcery</t>
        </is>
      </c>
      <c r="AB312" s="2" t="n"/>
      <c r="AC312" s="2" t="inlineStr">
        <is>
          <t>G</t>
        </is>
      </c>
      <c r="AD312" s="3" t="n">
        <v>2</v>
      </c>
      <c r="AE312" s="29" t="inlineStr">
        <is>
          <t>Stronghold</t>
        </is>
      </c>
      <c r="AF312" s="29" t="inlineStr">
        <is>
          <t>Card Selection</t>
        </is>
      </c>
      <c r="AG312" s="29" t="inlineStr">
        <is>
          <t>Reveals top four cards; puts land cards into your hand and the rest into your graveyard</t>
        </is>
      </c>
      <c r="AH312" s="29" t="n"/>
      <c r="AI312" s="29" t="n"/>
      <c r="AJ312" s="2" t="n"/>
    </row>
    <row r="313" ht="15" customHeight="1" s="79">
      <c r="A313" s="2" t="inlineStr">
        <is>
          <t>Myriad Landscape</t>
        </is>
      </c>
      <c r="B313" s="2">
        <f>IF(AND(F313&lt;&gt;0,E313=F313),"In Hand",IF(AND(E313&lt;&gt;0,E313&lt;F313,SUM(M313:R313)=0,SUM(T313:Y313)&gt;0),"Extra-Sub",IF(AND(E313=0,E313&lt;F313,SUM(M313:R313)=0,SUM(T313:Y313)&gt;0),"Bench-Sub",IF(AND(E313=0,F313&gt;0),"Bench",IF(E313&lt;F313,"Extra",IF(AND(J313="",E313&gt;F313),"To Buy",IF(SUM(J313,F313)&lt;E313,"To Buy",IF(AND(SUM(J313,F313)&gt;=E313,J313&lt;&gt;""),"Ordered",IF(AND(E313=0,F313=0,D313="B3"),"B3 Option",IF(AND(E313=0,F313=0),"Remove","To Buy"))))))))))</f>
        <v/>
      </c>
      <c r="D313" t="inlineStr">
        <is>
          <t>B2</t>
        </is>
      </c>
      <c r="E313" s="3">
        <f>SUM(M313:S313)</f>
        <v/>
      </c>
      <c r="F313" s="3">
        <f>SUM(T313:Z313)</f>
        <v/>
      </c>
      <c r="G313" s="3">
        <f>IF((F313-E313)&gt;=0,F313-E313,0)</f>
        <v/>
      </c>
      <c r="H313" s="3">
        <f>MAX(0,$E313-$F313-$J313)</f>
        <v/>
      </c>
      <c r="I313" s="3" t="n"/>
      <c r="J313" s="3" t="n"/>
      <c r="K313" s="4" t="n">
        <v>0.29</v>
      </c>
      <c r="L313" s="4">
        <f>IF(AND($H313&gt;0,ISNUMBER($K313)),$H313*$K313,0)</f>
        <v/>
      </c>
      <c r="M313" s="3" t="n"/>
      <c r="N313" s="3" t="n"/>
      <c r="O313" s="3" t="n"/>
      <c r="P313" s="3" t="n">
        <v>1</v>
      </c>
      <c r="Q313" s="3" t="n"/>
      <c r="R313" s="3" t="n"/>
      <c r="S313" s="3">
        <f>IF(AND(J313&lt;&gt;"",SUM(M313:R313)=0),J313,"")</f>
        <v/>
      </c>
      <c r="T313" s="3" t="n"/>
      <c r="U313" s="3" t="n"/>
      <c r="V313" s="3" t="n"/>
      <c r="W313" s="3" t="n">
        <v>1</v>
      </c>
      <c r="X313" s="3" t="n"/>
      <c r="Y313" s="3" t="n"/>
      <c r="Z313" s="3" t="n"/>
      <c r="AA313" s="2" t="inlineStr">
        <is>
          <t>Land</t>
        </is>
      </c>
      <c r="AB313" s="2" t="n"/>
      <c r="AC313" s="2" t="inlineStr">
        <is>
          <t>L</t>
        </is>
      </c>
      <c r="AD313" s="3" t="n">
        <v>0</v>
      </c>
      <c r="AE313" s="29" t="inlineStr">
        <is>
          <t>Commander 2014</t>
        </is>
      </c>
      <c r="AF313" s="29" t="inlineStr">
        <is>
          <t>Flexible Fixing</t>
        </is>
      </c>
      <c r="AG313" s="29" t="inlineStr">
        <is>
          <t>Taps for {C}</t>
        </is>
      </c>
      <c r="AH313" s="29" t="inlineStr">
        <is>
          <t>Sacrifice: search for two basic lands sharing a land type, tapped</t>
        </is>
      </c>
      <c r="AI313" s="29" t="n"/>
      <c r="AJ313" s="2" t="n"/>
    </row>
    <row r="314" ht="15" customHeight="1" s="79">
      <c r="A314" s="2" t="inlineStr">
        <is>
          <t>Naktamun Lorespinner // Wheel of Fortune</t>
        </is>
      </c>
      <c r="B314" s="2">
        <f>IF(AND(F314&lt;&gt;0,E314=F314),"In Hand",IF(AND(E314&lt;&gt;0,E314&lt;F314,SUM(M314:R314)=0,SUM(T314:Y314)&gt;0),"Extra-Sub",IF(AND(E314=0,E314&lt;F314,SUM(M314:R314)=0,SUM(T314:Y314)&gt;0),"Bench-Sub",IF(AND(E314=0,F314&gt;0),"Bench",IF(E314&lt;F314,"Extra",IF(AND(J314="",E314&gt;F314),"To Buy",IF(SUM(J314,F314)&lt;E314,"To Buy",IF(AND(SUM(J314,F314)&gt;=E314,J314&lt;&gt;""),"Ordered",IF(AND(E314=0,F314=0,D314="B3"),"B3 Option",IF(AND(E314=0,F314=0),"Remove","To Buy"))))))))))</f>
        <v/>
      </c>
      <c r="D314" t="inlineStr">
        <is>
          <t>B2</t>
        </is>
      </c>
      <c r="E314" s="3">
        <f>SUM(M314:S314)</f>
        <v/>
      </c>
      <c r="F314" s="3">
        <f>SUM(T314:Z314)</f>
        <v/>
      </c>
      <c r="G314" s="3">
        <f>IF((F314-E314)&gt;=0,F314-E314,0)</f>
        <v/>
      </c>
      <c r="H314" s="3">
        <f>MAX(0,$E314-$F314-$J314)</f>
        <v/>
      </c>
      <c r="I314" s="3" t="n"/>
      <c r="J314" s="3" t="n"/>
      <c r="K314" s="4" t="n">
        <v>1.69</v>
      </c>
      <c r="L314" s="4">
        <f>IF(AND($H314&gt;0,ISNUMBER($K314)),$H314*$K314,0)</f>
        <v/>
      </c>
      <c r="M314" s="3" t="n"/>
      <c r="N314" s="3" t="n"/>
      <c r="O314" s="3" t="n"/>
      <c r="P314" s="3" t="n"/>
      <c r="Q314" s="3" t="n"/>
      <c r="R314" s="3" t="n">
        <v>1</v>
      </c>
      <c r="S314" s="3">
        <f>IF(AND(J314&lt;&gt;"",SUM(M314:R314)=0),J314,"")</f>
        <v/>
      </c>
      <c r="T314" s="3" t="n"/>
      <c r="U314" s="3" t="n"/>
      <c r="V314" s="3" t="n"/>
      <c r="W314" s="3" t="n"/>
      <c r="X314" s="3" t="n"/>
      <c r="Y314" s="3" t="n">
        <v>1</v>
      </c>
      <c r="Z314" s="3" t="n"/>
      <c r="AA314" s="2" t="inlineStr">
        <is>
          <t>Creature</t>
        </is>
      </c>
      <c r="AB314" s="2" t="inlineStr">
        <is>
          <t>Jackal Wizard</t>
        </is>
      </c>
      <c r="AC314" s="2" t="inlineStr">
        <is>
          <t>R</t>
        </is>
      </c>
      <c r="AD314" s="3" t="n">
        <v>3</v>
      </c>
      <c r="AE314" s="29" t="inlineStr">
        <is>
          <t>Secrets of Strixhaven Commander</t>
        </is>
      </c>
      <c r="AF314" s="29" t="inlineStr">
        <is>
          <t>Wheel</t>
        </is>
      </c>
      <c r="AG314" s="29" t="inlineStr">
        <is>
          <t>Front: becomes prepared to recast its spell when a player is low on cards</t>
        </is>
      </c>
      <c r="AH314" s="29" t="inlineStr">
        <is>
          <t>Back (Wheel of Fortune): each player discards hand, draws seven</t>
        </is>
      </c>
      <c r="AI314" s="29" t="n"/>
      <c r="AJ314" s="2" t="n"/>
    </row>
    <row r="315" ht="15" customHeight="1" s="79">
      <c r="A315" s="2" t="inlineStr">
        <is>
          <t>Night Market</t>
        </is>
      </c>
      <c r="B315" s="2">
        <f>IF(AND(F315&lt;&gt;0,E315=F315),"In Hand",IF(AND(E315&lt;&gt;0,E315&lt;F315,SUM(M315:R315)=0,SUM(T315:Y315)&gt;0),"Extra-Sub",IF(AND(E315=0,E315&lt;F315,SUM(M315:R315)=0,SUM(T315:Y315)&gt;0),"Bench-Sub",IF(AND(E315=0,F315&gt;0),"Bench",IF(E315&lt;F315,"Extra",IF(AND(J315="",E315&gt;F315),"To Buy",IF(SUM(J315,F315)&lt;E315,"To Buy",IF(AND(SUM(J315,F315)&gt;=E315,J315&lt;&gt;""),"Ordered",IF(AND(E315=0,F315=0,D315="B3"),"B3 Option",IF(AND(E315=0,F315=0),"Remove","To Buy"))))))))))</f>
        <v/>
      </c>
      <c r="D315" t="inlineStr">
        <is>
          <t>B2</t>
        </is>
      </c>
      <c r="E315" s="3">
        <f>SUM(M315:S315)</f>
        <v/>
      </c>
      <c r="F315" s="3">
        <f>SUM(T315:Z315)</f>
        <v/>
      </c>
      <c r="G315" s="3">
        <f>IF((F315-E315)&gt;=0,F315-E315,0)</f>
        <v/>
      </c>
      <c r="H315" s="3">
        <f>MAX(0,$E315-$F315-$J315)</f>
        <v/>
      </c>
      <c r="I315" s="3" t="n"/>
      <c r="J315" s="3" t="n"/>
      <c r="K315" s="4" t="n">
        <v>0.26</v>
      </c>
      <c r="L315" s="4">
        <f>IF(AND($H315&gt;0,ISNUMBER($K315)),$H315*$K315,0)</f>
        <v/>
      </c>
      <c r="M315" s="3" t="n">
        <v>1</v>
      </c>
      <c r="N315" s="3" t="n"/>
      <c r="O315" s="3" t="n"/>
      <c r="P315" s="3" t="n"/>
      <c r="Q315" s="3" t="n"/>
      <c r="R315" s="3" t="n"/>
      <c r="S315" s="3">
        <f>IF(AND(J315&lt;&gt;"",SUM(M315:R315)=0),J315,"")</f>
        <v/>
      </c>
      <c r="T315" s="3" t="n">
        <v>1</v>
      </c>
      <c r="U315" s="3" t="n"/>
      <c r="V315" s="3" t="n"/>
      <c r="W315" s="3" t="n"/>
      <c r="X315" s="3" t="n"/>
      <c r="Y315" s="3" t="n"/>
      <c r="Z315" s="3" t="n"/>
      <c r="AA315" s="2" t="inlineStr">
        <is>
          <t>Land</t>
        </is>
      </c>
      <c r="AB315" s="2" t="n"/>
      <c r="AC315" s="2" t="inlineStr">
        <is>
          <t>L</t>
        </is>
      </c>
      <c r="AD315" s="3" t="n">
        <v>0</v>
      </c>
      <c r="AE315" s="29" t="inlineStr">
        <is>
          <t>Aetherdrift</t>
        </is>
      </c>
      <c r="AF315" s="29" t="inlineStr">
        <is>
          <t>Land</t>
        </is>
      </c>
      <c r="AG315" s="29" t="inlineStr">
        <is>
          <t>Taps for a chosen color</t>
        </is>
      </c>
      <c r="AH315" s="29" t="inlineStr">
        <is>
          <t>Enters tapped</t>
        </is>
      </c>
      <c r="AI315" s="29" t="inlineStr">
        <is>
          <t>Discard for {3} to draw a card instead of playing it</t>
        </is>
      </c>
      <c r="AJ315" s="2" t="n"/>
    </row>
    <row r="316" ht="15" customHeight="1" s="79">
      <c r="A316" s="2" t="inlineStr">
        <is>
          <t>Nightmare Sower</t>
        </is>
      </c>
      <c r="B316" s="2">
        <f>IF(AND(F316&lt;&gt;0,E316=F316),"In Hand",IF(AND(E316&lt;&gt;0,E316&lt;F316,SUM(M316:R316)=0,SUM(T316:Y316)&gt;0),"Extra-Sub",IF(AND(E316=0,E316&lt;F316,SUM(M316:R316)=0,SUM(T316:Y316)&gt;0),"Bench-Sub",IF(AND(E316=0,F316&gt;0),"Bench",IF(E316&lt;F316,"Extra",IF(AND(J316="",E316&gt;F316),"To Buy",IF(SUM(J316,F316)&lt;E316,"To Buy",IF(AND(SUM(J316,F316)&gt;=E316,J316&lt;&gt;""),"Ordered",IF(AND(E316=0,F316=0,D316="B3"),"B3 Option",IF(AND(E316=0,F316=0),"Remove","To Buy"))))))))))</f>
        <v/>
      </c>
      <c r="D316" t="inlineStr">
        <is>
          <t>B2</t>
        </is>
      </c>
      <c r="E316" s="3">
        <f>SUM(M316:S316)</f>
        <v/>
      </c>
      <c r="F316" s="3">
        <f>SUM(T316:Z316)</f>
        <v/>
      </c>
      <c r="G316" s="3">
        <f>IF((F316-E316)&gt;=0,F316-E316,0)</f>
        <v/>
      </c>
      <c r="H316" s="3">
        <f>MAX(0,$E316-$F316-$J316)</f>
        <v/>
      </c>
      <c r="I316" s="3" t="n"/>
      <c r="J316" s="3" t="n"/>
      <c r="K316" s="4" t="n">
        <v>0.22</v>
      </c>
      <c r="L316" s="4">
        <f>IF(AND($H316&gt;0,ISNUMBER($K316)),$H316*$K316,0)</f>
        <v/>
      </c>
      <c r="M316" s="3" t="n"/>
      <c r="N316" s="3" t="n"/>
      <c r="O316" s="3" t="n">
        <v>1</v>
      </c>
      <c r="P316" s="3" t="n"/>
      <c r="Q316" s="3" t="n"/>
      <c r="R316" s="3" t="n"/>
      <c r="S316" s="3">
        <f>IF(AND(J316&lt;&gt;"",SUM(M316:R316)=0),J316,"")</f>
        <v/>
      </c>
      <c r="T316" s="3" t="n"/>
      <c r="U316" s="3" t="n"/>
      <c r="V316" s="3" t="n">
        <v>1</v>
      </c>
      <c r="W316" s="3" t="n"/>
      <c r="X316" s="3" t="n"/>
      <c r="Y316" s="3" t="n"/>
      <c r="Z316" s="3" t="n"/>
      <c r="AA316" s="2" t="inlineStr">
        <is>
          <t>Creature</t>
        </is>
      </c>
      <c r="AB316" s="2" t="inlineStr">
        <is>
          <t>Faerie Assassin</t>
        </is>
      </c>
      <c r="AC316" s="2" t="inlineStr">
        <is>
          <t>B</t>
        </is>
      </c>
      <c r="AD316" s="3" t="n">
        <v>4</v>
      </c>
      <c r="AE316" s="29" t="inlineStr">
        <is>
          <t>Lorwyn Eclipsed</t>
        </is>
      </c>
      <c r="AF316" s="29" t="inlineStr">
        <is>
          <t>Removal</t>
        </is>
      </c>
      <c r="AG316" s="29" t="inlineStr">
        <is>
          <t>Puts a -1/-1 counter on up to one target creature whenever you cast a spell during an opponent's turn</t>
        </is>
      </c>
      <c r="AH316" s="29" t="inlineStr">
        <is>
          <t>Gains you life equal to damage it deals</t>
        </is>
      </c>
      <c r="AI316" s="29" t="n"/>
      <c r="AJ316" s="2" t="n"/>
      <c r="AK316" t="inlineStr">
        <is>
          <t>[B3 later] D3-&gt;B when Vorinclex, Monstrous Raider is bought</t>
        </is>
      </c>
    </row>
    <row r="317" ht="15" customHeight="1" s="79">
      <c r="A317" s="2" t="inlineStr">
        <is>
          <t>Overgrown Battlement</t>
        </is>
      </c>
      <c r="B317" s="2">
        <f>IF(AND(F317&lt;&gt;0,E317=F317),"In Hand",IF(AND(E317&lt;&gt;0,E317&lt;F317,SUM(M317:R317)=0,SUM(T317:Y317)&gt;0),"Extra-Sub",IF(AND(E317=0,E317&lt;F317,SUM(M317:R317)=0,SUM(T317:Y317)&gt;0),"Bench-Sub",IF(AND(E317=0,F317&gt;0),"Bench",IF(E317&lt;F317,"Extra",IF(AND(J317="",E317&gt;F317),"To Buy",IF(SUM(J317,F317)&lt;E317,"To Buy",IF(AND(SUM(J317,F317)&gt;=E317,J317&lt;&gt;""),"Ordered",IF(AND(E317=0,F317=0,D317="B3"),"B3 Option",IF(AND(E317=0,F317=0),"Remove","To Buy"))))))))))</f>
        <v/>
      </c>
      <c r="D317" t="inlineStr">
        <is>
          <t>B2</t>
        </is>
      </c>
      <c r="E317" s="3">
        <f>SUM(M317:S317)</f>
        <v/>
      </c>
      <c r="F317" s="3">
        <f>SUM(T317:Z317)</f>
        <v/>
      </c>
      <c r="G317" s="3">
        <f>IF((F317-E317)&gt;=0,F317-E317,0)</f>
        <v/>
      </c>
      <c r="H317" s="3">
        <f>MAX(0,$E317-$F317-$J317)</f>
        <v/>
      </c>
      <c r="I317" s="3" t="n"/>
      <c r="J317" s="3" t="n"/>
      <c r="K317" s="4" t="n">
        <v>0.34</v>
      </c>
      <c r="L317" s="4">
        <f>IF(AND($H317&gt;0,ISNUMBER($K317)),$H317*$K317,0)</f>
        <v/>
      </c>
      <c r="M317" s="3" t="n"/>
      <c r="N317" s="3" t="n">
        <v>1</v>
      </c>
      <c r="O317" s="3" t="n"/>
      <c r="P317" s="3" t="n">
        <v>1</v>
      </c>
      <c r="Q317" s="3" t="n"/>
      <c r="R317" s="3" t="n"/>
      <c r="S317" s="3">
        <f>IF(AND(J317&lt;&gt;"",SUM(M317:R317)=0),J317,"")</f>
        <v/>
      </c>
      <c r="T317" s="3" t="n"/>
      <c r="U317" s="3" t="n">
        <v>1</v>
      </c>
      <c r="V317" s="3" t="n"/>
      <c r="W317" s="3" t="n">
        <v>1</v>
      </c>
      <c r="X317" s="3" t="n"/>
      <c r="Y317" s="3" t="n"/>
      <c r="Z317" s="3" t="n"/>
      <c r="AA317" s="2" t="inlineStr">
        <is>
          <t>Creature</t>
        </is>
      </c>
      <c r="AB317" s="2" t="inlineStr">
        <is>
          <t>Wall</t>
        </is>
      </c>
      <c r="AC317" s="2" t="inlineStr">
        <is>
          <t>G</t>
        </is>
      </c>
      <c r="AD317" s="3" t="n">
        <v>2</v>
      </c>
      <c r="AE317" s="29" t="inlineStr">
        <is>
          <t>Rise of the Eldrazi</t>
        </is>
      </c>
      <c r="AF317" s="29" t="inlineStr">
        <is>
          <t>Defender Ramp</t>
        </is>
      </c>
      <c r="AG317" s="29" t="inlineStr">
        <is>
          <t>Taps for {G} for each creature you control with defender</t>
        </is>
      </c>
      <c r="AH317" s="29" t="n"/>
      <c r="AI317" s="29" t="n"/>
      <c r="AJ317" s="2" t="inlineStr">
        <is>
          <t>own 1 of 2 needed; own 1 of 2 needed (D2 copy in hand; buy 2nd for D4) - old Orders row was the same copy, not an extra; Received/settled (was in cart 2026-09-02: Game Theory Wake Forest $0.4 Near Mint)</t>
        </is>
      </c>
    </row>
    <row r="318" ht="15" customHeight="1" s="79">
      <c r="A318" s="2" t="inlineStr">
        <is>
          <t>Patchwork Banner</t>
        </is>
      </c>
      <c r="B318" s="2">
        <f>IF(AND(F318&lt;&gt;0,E318=F318),"In Hand",IF(AND(E318&lt;&gt;0,E318&lt;F318,SUM(M318:R318)=0,SUM(T318:Y318)&gt;0),"Extra-Sub",IF(AND(E318=0,E318&lt;F318,SUM(M318:R318)=0,SUM(T318:Y318)&gt;0),"Bench-Sub",IF(AND(E318=0,F318&gt;0),"Bench",IF(E318&lt;F318,"Extra",IF(AND(J318="",E318&gt;F318),"To Buy",IF(SUM(J318,F318)&lt;E318,"To Buy",IF(AND(SUM(J318,F318)&gt;=E318,J318&lt;&gt;""),"Ordered",IF(AND(E318=0,F318=0,D318="B3"),"B3 Option",IF(AND(E318=0,F318=0),"Remove","To Buy"))))))))))</f>
        <v/>
      </c>
      <c r="D318" t="inlineStr">
        <is>
          <t>B2</t>
        </is>
      </c>
      <c r="E318" s="3">
        <f>SUM(M318:S318)</f>
        <v/>
      </c>
      <c r="F318" s="3">
        <f>SUM(T318:Z318)</f>
        <v/>
      </c>
      <c r="G318" s="3">
        <f>IF((F318-E318)&gt;=0,F318-E318,0)</f>
        <v/>
      </c>
      <c r="H318" s="3">
        <f>MAX(0,$E318-$F318-$J318)</f>
        <v/>
      </c>
      <c r="I318" s="3" t="n"/>
      <c r="J318" s="3" t="n"/>
      <c r="K318" s="4" t="n">
        <v>2.52</v>
      </c>
      <c r="L318" s="4">
        <f>IF(AND($H318&gt;0,ISNUMBER($K318)),$H318*$K318,0)</f>
        <v/>
      </c>
      <c r="M318" s="3" t="n">
        <v>1</v>
      </c>
      <c r="N318" s="3" t="n"/>
      <c r="O318" s="3" t="n"/>
      <c r="P318" s="3" t="n"/>
      <c r="Q318" s="3" t="n"/>
      <c r="R318" s="3" t="n"/>
      <c r="S318" s="3">
        <f>IF(AND(J318&lt;&gt;"",SUM(M318:R318)=0),J318,"")</f>
        <v/>
      </c>
      <c r="T318" s="3" t="n">
        <v>1</v>
      </c>
      <c r="U318" s="3" t="n"/>
      <c r="V318" s="3" t="n"/>
      <c r="W318" s="3" t="n"/>
      <c r="X318" s="3" t="n"/>
      <c r="Y318" s="3" t="n"/>
      <c r="Z318" s="3" t="n"/>
      <c r="AA318" s="2" t="inlineStr">
        <is>
          <t>Artifact</t>
        </is>
      </c>
      <c r="AB318" s="2" t="n"/>
      <c r="AC318" s="2" t="inlineStr">
        <is>
          <t>C</t>
        </is>
      </c>
      <c r="AD318" s="3" t="n">
        <v>3</v>
      </c>
      <c r="AE318" s="29" t="inlineStr">
        <is>
          <t>Bloomburrow</t>
        </is>
      </c>
      <c r="AF318" s="29" t="inlineStr">
        <is>
          <t>Lord/Anthem</t>
        </is>
      </c>
      <c r="AG318" s="29" t="inlineStr">
        <is>
          <t>Choose a creature type; those creatures get +1/+1</t>
        </is>
      </c>
      <c r="AH318" s="29" t="inlineStr">
        <is>
          <t>Taps for one mana of any color</t>
        </is>
      </c>
      <c r="AI318" s="29" t="n"/>
      <c r="AJ318" s="2" t="n"/>
    </row>
    <row r="319" ht="15" customHeight="1" s="79">
      <c r="A319" s="2" t="inlineStr">
        <is>
          <t>Path of Ancestry</t>
        </is>
      </c>
      <c r="B319" s="2">
        <f>IF(AND(F319&lt;&gt;0,E319=F319),"In Hand",IF(AND(E319&lt;&gt;0,E319&lt;F319,SUM(M319:R319)=0,SUM(T319:Y319)&gt;0),"Extra-Sub",IF(AND(E319=0,E319&lt;F319,SUM(M319:R319)=0,SUM(T319:Y319)&gt;0),"Bench-Sub",IF(AND(E319=0,F319&gt;0),"Bench",IF(E319&lt;F319,"Extra",IF(AND(J319="",E319&gt;F319),"To Buy",IF(SUM(J319,F319)&lt;E319,"To Buy",IF(AND(SUM(J319,F319)&gt;=E319,J319&lt;&gt;""),"Ordered",IF(AND(E319=0,F319=0,D319="B3"),"B3 Option",IF(AND(E319=0,F319=0),"Remove","To Buy"))))))))))</f>
        <v/>
      </c>
      <c r="D319" t="inlineStr">
        <is>
          <t>B2</t>
        </is>
      </c>
      <c r="E319" s="3">
        <f>SUM(M319:S319)</f>
        <v/>
      </c>
      <c r="F319" s="3">
        <f>SUM(T319:Z319)</f>
        <v/>
      </c>
      <c r="G319" s="3">
        <f>IF((F319-E319)&gt;=0,F319-E319,0)</f>
        <v/>
      </c>
      <c r="H319" s="3">
        <f>MAX(0,$E319-$F319-$J319)</f>
        <v/>
      </c>
      <c r="I319" s="3" t="n"/>
      <c r="J319" s="3" t="n"/>
      <c r="K319" s="4" t="n">
        <v>0.22</v>
      </c>
      <c r="L319" s="4">
        <f>IF(AND($H319&gt;0,ISNUMBER($K319)),$H319*$K319,0)</f>
        <v/>
      </c>
      <c r="M319" s="3" t="n"/>
      <c r="N319" s="3" t="n"/>
      <c r="O319" s="3" t="n"/>
      <c r="P319" s="3" t="n">
        <v>1</v>
      </c>
      <c r="Q319" s="3" t="n"/>
      <c r="R319" s="3" t="n"/>
      <c r="S319" s="3">
        <f>IF(AND(J319&lt;&gt;"",SUM(M319:R319)=0),J319,"")</f>
        <v/>
      </c>
      <c r="T319" s="3" t="n"/>
      <c r="U319" s="3" t="n"/>
      <c r="V319" s="3" t="n"/>
      <c r="W319" s="3" t="n">
        <v>1</v>
      </c>
      <c r="X319" s="3" t="n"/>
      <c r="Y319" s="3" t="n"/>
      <c r="Z319" s="3" t="n"/>
      <c r="AA319" s="2" t="inlineStr">
        <is>
          <t>Land</t>
        </is>
      </c>
      <c r="AB319" s="2" t="n"/>
      <c r="AC319" s="2" t="inlineStr">
        <is>
          <t>L</t>
        </is>
      </c>
      <c r="AD319" s="3" t="n">
        <v>0</v>
      </c>
      <c r="AE319" s="29" t="inlineStr">
        <is>
          <t>Commander 2017</t>
        </is>
      </c>
      <c r="AF319" s="29" t="inlineStr">
        <is>
          <t>Land</t>
        </is>
      </c>
      <c r="AG319" s="29" t="inlineStr">
        <is>
          <t>Taps for one mana in your commander's color identity</t>
        </is>
      </c>
      <c r="AH319" s="29" t="inlineStr">
        <is>
          <t>Scry 1 when that mana casts a creature sharing a type with your commander</t>
        </is>
      </c>
      <c r="AI319" s="29" t="n"/>
      <c r="AJ319" s="2" t="n"/>
    </row>
    <row r="320" ht="15" customHeight="1" s="79">
      <c r="A320" s="2" t="inlineStr">
        <is>
          <t>Path to Exile</t>
        </is>
      </c>
      <c r="B320" s="2">
        <f>IF(AND(F320&lt;&gt;0,E320=F320),"In Hand",IF(AND(E320&lt;&gt;0,E320&lt;F320,SUM(M320:R320)=0,SUM(T320:Y320)&gt;0),"Extra-Sub",IF(AND(E320=0,E320&lt;F320,SUM(M320:R320)=0,SUM(T320:Y320)&gt;0),"Bench-Sub",IF(AND(E320=0,F320&gt;0),"Bench",IF(E320&lt;F320,"Extra",IF(AND(J320="",E320&gt;F320),"To Buy",IF(SUM(J320,F320)&lt;E320,"To Buy",IF(AND(SUM(J320,F320)&gt;=E320,J320&lt;&gt;""),"Ordered",IF(AND(E320=0,F320=0,D320="B3"),"B3 Option",IF(AND(E320=0,F320=0),"Remove","To Buy"))))))))))</f>
        <v/>
      </c>
      <c r="D320" t="inlineStr">
        <is>
          <t>B2</t>
        </is>
      </c>
      <c r="E320" s="3">
        <f>SUM(M320:S320)</f>
        <v/>
      </c>
      <c r="F320" s="3">
        <f>SUM(T320:Z320)</f>
        <v/>
      </c>
      <c r="G320" s="3">
        <f>IF((F320-E320)&gt;=0,F320-E320,0)</f>
        <v/>
      </c>
      <c r="H320" s="3">
        <f>MAX(0,$E320-$F320-$J320)</f>
        <v/>
      </c>
      <c r="I320" s="3" t="n"/>
      <c r="J320" s="3" t="n"/>
      <c r="K320" s="4" t="n">
        <v>1.38</v>
      </c>
      <c r="L320" s="4">
        <f>IF(AND($H320&gt;0,ISNUMBER($K320)),$H320*$K320,0)</f>
        <v/>
      </c>
      <c r="M320" s="3" t="n">
        <v>1</v>
      </c>
      <c r="N320" s="3" t="n"/>
      <c r="O320" s="3" t="n"/>
      <c r="P320" s="3" t="n"/>
      <c r="Q320" s="3" t="n"/>
      <c r="R320" s="3" t="n"/>
      <c r="S320" s="3">
        <f>IF(AND(J320&lt;&gt;"",SUM(M320:R320)=0),J320,"")</f>
        <v/>
      </c>
      <c r="T320" s="3" t="n">
        <v>1</v>
      </c>
      <c r="U320" s="3" t="n"/>
      <c r="V320" s="3" t="n"/>
      <c r="W320" s="3" t="n"/>
      <c r="X320" s="3" t="n"/>
      <c r="Y320" s="3" t="n"/>
      <c r="Z320" s="3" t="n"/>
      <c r="AA320" s="2" t="inlineStr">
        <is>
          <t>Instant</t>
        </is>
      </c>
      <c r="AB320" s="2" t="n"/>
      <c r="AC320" s="2" t="inlineStr">
        <is>
          <t>W</t>
        </is>
      </c>
      <c r="AD320" s="3" t="n">
        <v>1</v>
      </c>
      <c r="AE320" s="29" t="inlineStr">
        <is>
          <t>Conflux</t>
        </is>
      </c>
      <c r="AF320" s="29" t="inlineStr">
        <is>
          <t>Removal</t>
        </is>
      </c>
      <c r="AG320" s="29" t="inlineStr">
        <is>
          <t>Exiles target creature</t>
        </is>
      </c>
      <c r="AH320" s="29" t="inlineStr">
        <is>
          <t>Its controller may search for a basic land onto the battlefield tapped</t>
        </is>
      </c>
      <c r="AI320" s="29" t="n"/>
      <c r="AJ320" s="2" t="n"/>
    </row>
    <row r="321" ht="15" customHeight="1" s="79">
      <c r="A321" s="2" t="inlineStr">
        <is>
          <t>Pilgrim's Eye</t>
        </is>
      </c>
      <c r="B321" s="2">
        <f>IF(AND(F321&lt;&gt;0,E321=F321),"In Hand",IF(AND(E321&lt;&gt;0,E321&lt;F321,SUM(M321:R321)=0,SUM(T321:Y321)&gt;0),"Extra-Sub",IF(AND(E321=0,E321&lt;F321,SUM(M321:R321)=0,SUM(T321:Y321)&gt;0),"Bench-Sub",IF(AND(E321=0,F321&gt;0),"Bench",IF(E321&lt;F321,"Extra",IF(AND(J321="",E321&gt;F321),"To Buy",IF(SUM(J321,F321)&lt;E321,"To Buy",IF(AND(SUM(J321,F321)&gt;=E321,J321&lt;&gt;""),"Ordered",IF(AND(E321=0,F321=0,D321="B3"),"B3 Option",IF(AND(E321=0,F321=0),"Remove","To Buy"))))))))))</f>
        <v/>
      </c>
      <c r="D321" t="inlineStr">
        <is>
          <t>B2</t>
        </is>
      </c>
      <c r="E321" s="3">
        <f>SUM(M321:S321)</f>
        <v/>
      </c>
      <c r="F321" s="3">
        <f>SUM(T321:Z321)</f>
        <v/>
      </c>
      <c r="G321" s="3">
        <f>IF((F321-E321)&gt;=0,F321-E321,0)</f>
        <v/>
      </c>
      <c r="H321" s="3">
        <f>MAX(0,$E321-$F321-$J321)</f>
        <v/>
      </c>
      <c r="I321" s="3" t="n"/>
      <c r="J321" s="3" t="n"/>
      <c r="K321" s="4" t="n">
        <v>0.17</v>
      </c>
      <c r="L321" s="4">
        <f>IF(AND($H321&gt;0,ISNUMBER($K321)),$H321*$K321,0)</f>
        <v/>
      </c>
      <c r="M321" s="3" t="n">
        <v>1</v>
      </c>
      <c r="N321" s="3" t="n">
        <v>1</v>
      </c>
      <c r="O321" s="3" t="n">
        <v>1</v>
      </c>
      <c r="P321" s="3" t="n"/>
      <c r="Q321" s="3" t="n"/>
      <c r="R321" s="3" t="n"/>
      <c r="S321" s="3">
        <f>IF(AND(J321&lt;&gt;"",SUM(M321:R321)=0),J321,"")</f>
        <v/>
      </c>
      <c r="T321" s="3" t="n">
        <v>1</v>
      </c>
      <c r="U321" s="3" t="n">
        <v>1</v>
      </c>
      <c r="V321" s="3" t="n">
        <v>1</v>
      </c>
      <c r="W321" s="3" t="n"/>
      <c r="X321" s="3" t="n"/>
      <c r="Y321" s="3" t="n"/>
      <c r="Z321" s="3" t="n"/>
      <c r="AA321" s="2" t="inlineStr">
        <is>
          <t>Artifact Creature</t>
        </is>
      </c>
      <c r="AB321" s="2" t="inlineStr">
        <is>
          <t>Thopter</t>
        </is>
      </c>
      <c r="AC321" s="2" t="inlineStr">
        <is>
          <t>C</t>
        </is>
      </c>
      <c r="AD321" s="3" t="n">
        <v>3</v>
      </c>
      <c r="AE321" s="29" t="inlineStr">
        <is>
          <t>Worldwake</t>
        </is>
      </c>
      <c r="AF321" s="29" t="inlineStr">
        <is>
          <t>Ramp</t>
        </is>
      </c>
      <c r="AG321" s="29" t="inlineStr">
        <is>
          <t>2/2 body that can block fliers</t>
        </is>
      </c>
      <c r="AH321" s="29" t="inlineStr">
        <is>
          <t>Enters: search library for a basic land, put it into hand</t>
        </is>
      </c>
      <c r="AI321" s="29" t="n"/>
      <c r="AJ321" s="2" t="n"/>
    </row>
    <row r="322" ht="15" customHeight="1" s="79">
      <c r="A322" s="2" t="inlineStr">
        <is>
          <t>Plaguemaw Beast</t>
        </is>
      </c>
      <c r="B322" s="2">
        <f>IF(AND(F322&lt;&gt;0,E322=F322),"In Hand",IF(AND(E322&lt;&gt;0,E322&lt;F322,SUM(M322:R322)=0,SUM(T322:Y322)&gt;0),"Extra-Sub",IF(AND(E322=0,E322&lt;F322,SUM(M322:R322)=0,SUM(T322:Y322)&gt;0),"Bench-Sub",IF(AND(E322=0,F322&gt;0),"Bench",IF(E322&lt;F322,"Extra",IF(AND(J322="",E322&gt;F322),"To Buy",IF(SUM(J322,F322)&lt;E322,"To Buy",IF(AND(SUM(J322,F322)&gt;=E322,J322&lt;&gt;""),"Ordered",IF(AND(E322=0,F322=0,D322="B3"),"B3 Option",IF(AND(E322=0,F322=0),"Remove","To Buy"))))))))))</f>
        <v/>
      </c>
      <c r="D322" t="inlineStr">
        <is>
          <t>B2</t>
        </is>
      </c>
      <c r="E322" s="3">
        <f>SUM(M322:S322)</f>
        <v/>
      </c>
      <c r="F322" s="3">
        <f>SUM(T322:Z322)</f>
        <v/>
      </c>
      <c r="G322" s="3">
        <f>IF((F322-E322)&gt;=0,F322-E322,0)</f>
        <v/>
      </c>
      <c r="H322" s="3">
        <f>MAX(0,$E322-$F322-$J322)</f>
        <v/>
      </c>
      <c r="I322" s="3" t="n"/>
      <c r="J322" s="3" t="n"/>
      <c r="K322" s="4" t="n">
        <v>0.22</v>
      </c>
      <c r="L322" s="4">
        <f>IF(AND($H322&gt;0,ISNUMBER($K322)),$H322*$K322,0)</f>
        <v/>
      </c>
      <c r="M322" s="3" t="n"/>
      <c r="N322" s="3" t="n"/>
      <c r="O322" s="3" t="n">
        <v>1</v>
      </c>
      <c r="P322" s="3" t="n"/>
      <c r="Q322" s="3" t="n"/>
      <c r="R322" s="3" t="n"/>
      <c r="S322" s="3">
        <f>IF(AND(J322&lt;&gt;"",SUM(M322:R322)=0),J322,"")</f>
        <v/>
      </c>
      <c r="T322" s="3" t="n"/>
      <c r="U322" s="3" t="n"/>
      <c r="V322" s="3" t="n">
        <v>1</v>
      </c>
      <c r="W322" s="3" t="n"/>
      <c r="X322" s="3" t="n"/>
      <c r="Y322" s="3" t="n"/>
      <c r="Z322" s="3" t="n"/>
      <c r="AA322" s="2" t="inlineStr">
        <is>
          <t>Creature</t>
        </is>
      </c>
      <c r="AB322" s="2" t="inlineStr">
        <is>
          <t>Phyrexian Beast</t>
        </is>
      </c>
      <c r="AC322" s="2" t="inlineStr">
        <is>
          <t>G</t>
        </is>
      </c>
      <c r="AD322" s="3" t="n">
        <v>5</v>
      </c>
      <c r="AE322" s="29" t="inlineStr">
        <is>
          <t>Mirrodin Besieged</t>
        </is>
      </c>
      <c r="AF322" s="29" t="inlineStr">
        <is>
          <t>Proliferate</t>
        </is>
      </c>
      <c r="AG322" s="29" t="inlineStr">
        <is>
          <t>Sacrifice a creature and tap to proliferate</t>
        </is>
      </c>
      <c r="AH322" s="29" t="n"/>
      <c r="AI322" s="29" t="n"/>
      <c r="AJ322" s="2" t="inlineStr">
        <is>
          <t>Tuned add</t>
        </is>
      </c>
    </row>
    <row r="323" ht="15" customHeight="1" s="79">
      <c r="A323" s="2" t="inlineStr">
        <is>
          <t>Platypus-Bear</t>
        </is>
      </c>
      <c r="B323" s="2">
        <f>IF(AND(F323&lt;&gt;0,E323=F323),"In Hand",IF(AND(E323&lt;&gt;0,E323&lt;F323,SUM(M323:R323)=0,SUM(T323:Y323)&gt;0),"Extra-Sub",IF(AND(E323=0,E323&lt;F323,SUM(M323:R323)=0,SUM(T323:Y323)&gt;0),"Bench-Sub",IF(AND(E323=0,F323&gt;0),"Bench",IF(E323&lt;F323,"Extra",IF(AND(J323="",E323&gt;F323),"To Buy",IF(SUM(J323,F323)&lt;E323,"To Buy",IF(AND(SUM(J323,F323)&gt;=E323,J323&lt;&gt;""),"Ordered",IF(AND(E323=0,F323=0,D323="B3"),"B3 Option",IF(AND(E323=0,F323=0),"Remove","To Buy"))))))))))</f>
        <v/>
      </c>
      <c r="D323" t="inlineStr">
        <is>
          <t>B2</t>
        </is>
      </c>
      <c r="E323" s="3">
        <f>SUM(M323:S323)</f>
        <v/>
      </c>
      <c r="F323" s="3">
        <f>SUM(T323:Z323)</f>
        <v/>
      </c>
      <c r="G323" s="3">
        <f>IF((F323-E323)&gt;=0,F323-E323,0)</f>
        <v/>
      </c>
      <c r="H323" s="3">
        <f>MAX(0,$E323-$F323-$J323)</f>
        <v/>
      </c>
      <c r="I323" s="3" t="n"/>
      <c r="J323" s="3" t="n"/>
      <c r="K323" s="4" t="n">
        <v>0.13</v>
      </c>
      <c r="L323" s="4">
        <f>IF(AND($H323&gt;0,ISNUMBER($K323)),$H323*$K323,0)</f>
        <v/>
      </c>
      <c r="M323" s="3" t="n"/>
      <c r="N323" s="3" t="n">
        <v>1</v>
      </c>
      <c r="O323" s="3" t="n"/>
      <c r="P323" s="3" t="n"/>
      <c r="Q323" s="3" t="n"/>
      <c r="R323" s="3" t="n"/>
      <c r="S323" s="3">
        <f>IF(AND(J323&lt;&gt;"",SUM(M323:R323)=0),J323,"")</f>
        <v/>
      </c>
      <c r="T323" s="3" t="n"/>
      <c r="U323" s="3" t="n">
        <v>1</v>
      </c>
      <c r="V323" s="3" t="n"/>
      <c r="W323" s="3" t="n"/>
      <c r="X323" s="3" t="n"/>
      <c r="Y323" s="3" t="n"/>
      <c r="Z323" s="3" t="n"/>
      <c r="AA323" s="2" t="inlineStr">
        <is>
          <t>Creature</t>
        </is>
      </c>
      <c r="AB323" s="2" t="inlineStr">
        <is>
          <t>Platypus Bear</t>
        </is>
      </c>
      <c r="AC323" s="2" t="inlineStr">
        <is>
          <t>Multi</t>
        </is>
      </c>
      <c r="AD323" s="3" t="n">
        <v>2</v>
      </c>
      <c r="AE323" s="29" t="inlineStr">
        <is>
          <t>Avatar: The Last Airbender</t>
        </is>
      </c>
      <c r="AF323" s="29" t="inlineStr">
        <is>
          <t>Utility Creature</t>
        </is>
      </c>
      <c r="AG323" s="29" t="inlineStr">
        <is>
          <t>Mills two cards when it enters</t>
        </is>
      </c>
      <c r="AH323" s="29" t="inlineStr">
        <is>
          <t>Can attack if a Lesson is in your graveyard</t>
        </is>
      </c>
      <c r="AI323" s="29" t="n"/>
      <c r="AJ323" s="2" t="n"/>
      <c r="AK323" t="inlineStr">
        <is>
          <t>[B3 later] D2-&gt;B when Panharmonicon is bought</t>
        </is>
      </c>
    </row>
    <row r="324" ht="15" customHeight="1" s="79">
      <c r="A324" s="2" t="inlineStr">
        <is>
          <t>Portcullis Vine</t>
        </is>
      </c>
      <c r="B324" s="2">
        <f>IF(AND(F324&lt;&gt;0,E324=F324),"In Hand",IF(AND(E324&lt;&gt;0,E324&lt;F324,SUM(M324:R324)=0,SUM(T324:Y324)&gt;0),"Extra-Sub",IF(AND(E324=0,E324&lt;F324,SUM(M324:R324)=0,SUM(T324:Y324)&gt;0),"Bench-Sub",IF(AND(E324=0,F324&gt;0),"Bench",IF(E324&lt;F324,"Extra",IF(AND(J324="",E324&gt;F324),"To Buy",IF(SUM(J324,F324)&lt;E324,"To Buy",IF(AND(SUM(J324,F324)&gt;=E324,J324&lt;&gt;""),"Ordered",IF(AND(E324=0,F324=0,D324="B3"),"B3 Option",IF(AND(E324=0,F324=0),"Remove","To Buy"))))))))))</f>
        <v/>
      </c>
      <c r="D324" t="inlineStr">
        <is>
          <t>B2</t>
        </is>
      </c>
      <c r="E324" s="3">
        <f>SUM(M324:S324)</f>
        <v/>
      </c>
      <c r="F324" s="3">
        <f>SUM(T324:Z324)</f>
        <v/>
      </c>
      <c r="G324" s="3">
        <f>IF((F324-E324)&gt;=0,F324-E324,0)</f>
        <v/>
      </c>
      <c r="H324" s="3">
        <f>MAX(0,$E324-$F324-$J324)</f>
        <v/>
      </c>
      <c r="I324" s="3" t="n"/>
      <c r="J324" s="3" t="n"/>
      <c r="K324" s="4" t="n">
        <v>0.22</v>
      </c>
      <c r="L324" s="4">
        <f>IF(AND($H324&gt;0,ISNUMBER($K324)),$H324*$K324,0)</f>
        <v/>
      </c>
      <c r="M324" s="3" t="n"/>
      <c r="N324" s="3" t="n">
        <v>1</v>
      </c>
      <c r="O324" s="3" t="n"/>
      <c r="P324" s="3" t="n">
        <v>1</v>
      </c>
      <c r="Q324" s="3" t="n"/>
      <c r="R324" s="3" t="n"/>
      <c r="S324" s="3">
        <f>IF(AND(J324&lt;&gt;"",SUM(M324:R324)=0),J324,"")</f>
        <v/>
      </c>
      <c r="T324" s="3" t="n"/>
      <c r="U324" s="3" t="n">
        <v>1</v>
      </c>
      <c r="V324" s="3" t="n"/>
      <c r="W324" s="3" t="n">
        <v>1</v>
      </c>
      <c r="X324" s="3" t="n"/>
      <c r="Y324" s="3" t="n"/>
      <c r="Z324" s="3" t="n"/>
      <c r="AA324" s="2" t="inlineStr">
        <is>
          <t>Creature</t>
        </is>
      </c>
      <c r="AB324" s="2" t="inlineStr">
        <is>
          <t>Plant Wall</t>
        </is>
      </c>
      <c r="AC324" s="2" t="inlineStr">
        <is>
          <t>G</t>
        </is>
      </c>
      <c r="AD324" s="3" t="n">
        <v>1</v>
      </c>
      <c r="AE324" s="29" t="inlineStr">
        <is>
          <t>Guilds of Ravnica</t>
        </is>
      </c>
      <c r="AF324" s="29" t="inlineStr">
        <is>
          <t>Defender Ramp</t>
        </is>
      </c>
      <c r="AG324" s="29" t="inlineStr">
        <is>
          <t>Can't attack</t>
        </is>
      </c>
      <c r="AH324" s="29" t="inlineStr">
        <is>
          <t>Pay {2}, tap, sacrifice a creature that can't attack: draw a card</t>
        </is>
      </c>
      <c r="AI324" s="29" t="n"/>
      <c r="AJ324" s="2" t="inlineStr">
        <is>
          <t>Orders-sheet row = same physical copy (duplicate rule); not an extra; Bench sub -&gt; D4 for Wall of Blossoms (2026-09-02)</t>
        </is>
      </c>
      <c r="AK324" t="inlineStr">
        <is>
          <t>[T+A] B-&gt;D4 (bench sub) [done 2026-09-03]</t>
        </is>
      </c>
    </row>
    <row r="325" ht="15" customHeight="1" s="79">
      <c r="A325" s="2" t="inlineStr">
        <is>
          <t>Primary Research</t>
        </is>
      </c>
      <c r="B325" s="2">
        <f>IF(AND(F325&lt;&gt;0,E325=F325),"In Hand",IF(AND(E325&lt;&gt;0,E325&lt;F325,SUM(M325:R325)=0,SUM(T325:Y325)&gt;0),"Extra-Sub",IF(AND(E325=0,E325&lt;F325,SUM(M325:R325)=0,SUM(T325:Y325)&gt;0),"Bench-Sub",IF(AND(E325=0,F325&gt;0),"Bench",IF(E325&lt;F325,"Extra",IF(AND(J325="",E325&gt;F325),"To Buy",IF(SUM(J325,F325)&lt;E325,"To Buy",IF(AND(SUM(J325,F325)&gt;=E325,J325&lt;&gt;""),"Ordered",IF(AND(E325=0,F325=0,D325="B3"),"B3 Option",IF(AND(E325=0,F325=0),"Remove","To Buy"))))))))))</f>
        <v/>
      </c>
      <c r="D325" t="inlineStr">
        <is>
          <t>B2</t>
        </is>
      </c>
      <c r="E325" s="3">
        <f>SUM(M325:S325)</f>
        <v/>
      </c>
      <c r="F325" s="3">
        <f>SUM(T325:Z325)</f>
        <v/>
      </c>
      <c r="G325" s="3">
        <f>IF((F325-E325)&gt;=0,F325-E325,0)</f>
        <v/>
      </c>
      <c r="H325" s="3">
        <f>MAX(0,$E325-$F325-$J325)</f>
        <v/>
      </c>
      <c r="I325" s="3" t="n"/>
      <c r="J325" s="3" t="n"/>
      <c r="K325" s="4" t="n">
        <v>0.22</v>
      </c>
      <c r="L325" s="4">
        <f>IF(AND($H325&gt;0,ISNUMBER($K325)),$H325*$K325,0)</f>
        <v/>
      </c>
      <c r="M325" s="3" t="n">
        <v>1</v>
      </c>
      <c r="N325" s="3" t="n"/>
      <c r="O325" s="3" t="n"/>
      <c r="P325" s="3" t="n"/>
      <c r="Q325" s="3" t="n"/>
      <c r="R325" s="3" t="n"/>
      <c r="S325" s="3">
        <f>IF(AND(J325&lt;&gt;"",SUM(M325:R325)=0),J325,"")</f>
        <v/>
      </c>
      <c r="T325" s="3" t="n">
        <v>1</v>
      </c>
      <c r="U325" s="3" t="n"/>
      <c r="V325" s="3" t="n"/>
      <c r="W325" s="3" t="n"/>
      <c r="X325" s="3" t="n"/>
      <c r="Y325" s="3" t="n"/>
      <c r="Z325" s="3" t="n"/>
      <c r="AA325" s="2" t="inlineStr">
        <is>
          <t>Enchantment</t>
        </is>
      </c>
      <c r="AB325" s="2" t="n"/>
      <c r="AC325" s="2" t="inlineStr">
        <is>
          <t>W</t>
        </is>
      </c>
      <c r="AD325" s="3" t="n">
        <v>5</v>
      </c>
      <c r="AE325" s="29" t="inlineStr">
        <is>
          <t>Secrets of Strixhaven</t>
        </is>
      </c>
      <c r="AF325" s="29" t="inlineStr">
        <is>
          <t>Recursion</t>
        </is>
      </c>
      <c r="AG325" s="29" t="inlineStr">
        <is>
          <t>Enters: return a MV 3 or less nonland permanent card from graveyard to battlefield</t>
        </is>
      </c>
      <c r="AH325" s="29" t="inlineStr">
        <is>
          <t>End step: draw a card if a card left your graveyard this turn</t>
        </is>
      </c>
      <c r="AI325" s="29" t="n"/>
      <c r="AJ325" s="2" t="n"/>
      <c r="AK325" t="inlineStr">
        <is>
          <t>[B3 later] D1-&gt;B when Fable of the Mirror-Breaker is bought</t>
        </is>
      </c>
    </row>
    <row r="326" ht="15" customHeight="1" s="79">
      <c r="A326" s="2" t="inlineStr">
        <is>
          <t>Prophetic Prism</t>
        </is>
      </c>
      <c r="B326" s="2">
        <f>IF(AND(F326&lt;&gt;0,E326=F326),"In Hand",IF(AND(E326&lt;&gt;0,E326&lt;F326,SUM(M326:R326)=0,SUM(T326:Y326)&gt;0),"Extra-Sub",IF(AND(E326=0,E326&lt;F326,SUM(M326:R326)=0,SUM(T326:Y326)&gt;0),"Bench-Sub",IF(AND(E326=0,F326&gt;0),"Bench",IF(E326&lt;F326,"Extra",IF(AND(J326="",E326&gt;F326),"To Buy",IF(SUM(J326,F326)&lt;E326,"To Buy",IF(AND(SUM(J326,F326)&gt;=E326,J326&lt;&gt;""),"Ordered",IF(AND(E326=0,F326=0,D326="B3"),"B3 Option",IF(AND(E326=0,F326=0),"Remove","To Buy"))))))))))</f>
        <v/>
      </c>
      <c r="D326" t="inlineStr">
        <is>
          <t>B2</t>
        </is>
      </c>
      <c r="E326" s="3">
        <f>SUM(M326:S326)</f>
        <v/>
      </c>
      <c r="F326" s="3">
        <f>SUM(T326:Z326)</f>
        <v/>
      </c>
      <c r="G326" s="3">
        <f>IF((F326-E326)&gt;=0,F326-E326,0)</f>
        <v/>
      </c>
      <c r="H326" s="3">
        <f>MAX(0,$E326-$F326-$J326)</f>
        <v/>
      </c>
      <c r="I326" s="3" t="n"/>
      <c r="J326" s="3" t="n"/>
      <c r="K326" s="4" t="n">
        <v>0.2</v>
      </c>
      <c r="L326" s="4">
        <f>IF(AND($H326&gt;0,ISNUMBER($K326)),$H326*$K326,0)</f>
        <v/>
      </c>
      <c r="M326" s="3" t="n"/>
      <c r="N326" s="3" t="n">
        <v>1</v>
      </c>
      <c r="O326" s="3" t="n">
        <v>1</v>
      </c>
      <c r="P326" s="3" t="n"/>
      <c r="Q326" s="3" t="n"/>
      <c r="R326" s="3" t="n"/>
      <c r="S326" s="3">
        <f>IF(AND(J326&lt;&gt;"",SUM(M326:R326)=0),J326,"")</f>
        <v/>
      </c>
      <c r="T326" s="3" t="n"/>
      <c r="U326" s="3" t="n">
        <v>1</v>
      </c>
      <c r="V326" s="3" t="n">
        <v>1</v>
      </c>
      <c r="W326" s="3" t="n"/>
      <c r="X326" s="3" t="n"/>
      <c r="Y326" s="3" t="n"/>
      <c r="Z326" s="3" t="n"/>
      <c r="AA326" s="2" t="inlineStr">
        <is>
          <t>Artifact</t>
        </is>
      </c>
      <c r="AB326" s="2" t="n"/>
      <c r="AC326" s="2" t="inlineStr">
        <is>
          <t>C</t>
        </is>
      </c>
      <c r="AD326" s="3" t="n">
        <v>2</v>
      </c>
      <c r="AE326" s="29" t="inlineStr">
        <is>
          <t>Rise of the Eldrazi</t>
        </is>
      </c>
      <c r="AF326" s="29" t="inlineStr">
        <is>
          <t>Mana Rock</t>
        </is>
      </c>
      <c r="AG326" s="29" t="inlineStr">
        <is>
          <t>Taps for one mana of any color</t>
        </is>
      </c>
      <c r="AH326" s="29" t="inlineStr">
        <is>
          <t>Draws a card when it enters</t>
        </is>
      </c>
      <c r="AI326" s="29" t="n"/>
      <c r="AJ326" s="2" t="n"/>
    </row>
    <row r="327" ht="15" customHeight="1" s="79">
      <c r="A327" s="2" t="inlineStr">
        <is>
          <t>Purphoros, God of the Forge</t>
        </is>
      </c>
      <c r="B327" s="2">
        <f>IF(AND(F327&lt;&gt;0,E327=F327),"In Hand",IF(AND(E327&lt;&gt;0,E327&lt;F327,SUM(M327:R327)=0,SUM(T327:Y327)&gt;0),"Extra-Sub",IF(AND(E327=0,E327&lt;F327,SUM(M327:R327)=0,SUM(T327:Y327)&gt;0),"Bench-Sub",IF(AND(E327=0,F327&gt;0),"Bench",IF(E327&lt;F327,"Extra",IF(AND(J327="",E327&gt;F327),"To Buy",IF(SUM(J327,F327)&lt;E327,"To Buy",IF(AND(SUM(J327,F327)&gt;=E327,J327&lt;&gt;""),"Ordered",IF(AND(E327=0,F327=0,D327="B3"),"B3 Option",IF(AND(E327=0,F327=0),"Remove","To Buy"))))))))))</f>
        <v/>
      </c>
      <c r="D327" t="inlineStr">
        <is>
          <t>B2</t>
        </is>
      </c>
      <c r="E327" s="3">
        <f>SUM(M327:S327)</f>
        <v/>
      </c>
      <c r="F327" s="3">
        <f>SUM(T327:Z327)</f>
        <v/>
      </c>
      <c r="G327" s="3">
        <f>IF((F327-E327)&gt;=0,F327-E327,0)</f>
        <v/>
      </c>
      <c r="H327" s="3">
        <f>MAX(0,$E327-$F327-$J327)</f>
        <v/>
      </c>
      <c r="I327" s="3" t="n"/>
      <c r="J327" s="3" t="n"/>
      <c r="K327" s="4" t="n">
        <v>31.48</v>
      </c>
      <c r="L327" s="4">
        <f>IF(AND($H327&gt;0,ISNUMBER($K327)),$H327*$K327,0)</f>
        <v/>
      </c>
      <c r="M327" s="3" t="n"/>
      <c r="N327" s="3" t="n"/>
      <c r="O327" s="3" t="n"/>
      <c r="P327" s="3" t="n"/>
      <c r="Q327" s="3" t="n"/>
      <c r="R327" s="3" t="n">
        <v>1</v>
      </c>
      <c r="S327" s="3">
        <f>IF(AND(J327&lt;&gt;"",SUM(M327:R327)=0),J327,"")</f>
        <v/>
      </c>
      <c r="T327" s="3" t="n"/>
      <c r="U327" s="3" t="n"/>
      <c r="V327" s="3" t="n"/>
      <c r="W327" s="3" t="n"/>
      <c r="X327" s="3" t="n"/>
      <c r="Y327" s="3" t="n">
        <v>1</v>
      </c>
      <c r="Z327" s="3" t="n"/>
      <c r="AA327" s="2" t="inlineStr">
        <is>
          <t>Legendary Enchantment Creature</t>
        </is>
      </c>
      <c r="AB327" s="2" t="inlineStr">
        <is>
          <t>God</t>
        </is>
      </c>
      <c r="AC327" s="2" t="inlineStr">
        <is>
          <t>R</t>
        </is>
      </c>
      <c r="AD327" s="3" t="n">
        <v>4</v>
      </c>
      <c r="AE327" s="29" t="inlineStr">
        <is>
          <t>Theros</t>
        </is>
      </c>
      <c r="AF327" s="29" t="inlineStr">
        <is>
          <t>Commander</t>
        </is>
      </c>
      <c r="AG327" s="29" t="inlineStr">
        <is>
          <t>Deals 2 damage to each opponent when another creature you control enters</t>
        </is>
      </c>
      <c r="AH327" s="29" t="inlineStr">
        <is>
          <t>{2}{R}: your creatures get +1/+0 until end of turn</t>
        </is>
      </c>
      <c r="AI327" s="29" t="inlineStr">
        <is>
          <t>Indestructible; only a creature at devotion to red 5+</t>
        </is>
      </c>
      <c r="AJ327" s="2" t="inlineStr">
        <is>
          <t>Commander - D6</t>
        </is>
      </c>
    </row>
    <row r="328" ht="15" customHeight="1" s="79">
      <c r="A328" s="2" t="inlineStr">
        <is>
          <t>Putrefy</t>
        </is>
      </c>
      <c r="B328" s="2">
        <f>IF(AND(F328&lt;&gt;0,E328=F328),"In Hand",IF(AND(E328&lt;&gt;0,E328&lt;F328,SUM(M328:R328)=0,SUM(T328:Y328)&gt;0),"Extra-Sub",IF(AND(E328=0,E328&lt;F328,SUM(M328:R328)=0,SUM(T328:Y328)&gt;0),"Bench-Sub",IF(AND(E328=0,F328&gt;0),"Bench",IF(E328&lt;F328,"Extra",IF(AND(J328="",E328&gt;F328),"To Buy",IF(SUM(J328,F328)&lt;E328,"To Buy",IF(AND(SUM(J328,F328)&gt;=E328,J328&lt;&gt;""),"Ordered",IF(AND(E328=0,F328=0,D328="B3"),"B3 Option",IF(AND(E328=0,F328=0),"Remove","To Buy"))))))))))</f>
        <v/>
      </c>
      <c r="D328" t="inlineStr">
        <is>
          <t>B2</t>
        </is>
      </c>
      <c r="E328" s="3">
        <f>SUM(M328:S328)</f>
        <v/>
      </c>
      <c r="F328" s="3">
        <f>SUM(T328:Z328)</f>
        <v/>
      </c>
      <c r="G328" s="3">
        <f>IF((F328-E328)&gt;=0,F328-E328,0)</f>
        <v/>
      </c>
      <c r="H328" s="3">
        <f>MAX(0,$E328-$F328-$J328)</f>
        <v/>
      </c>
      <c r="I328" s="3" t="n"/>
      <c r="J328" s="3" t="n"/>
      <c r="K328" s="4" t="n">
        <v>0.34</v>
      </c>
      <c r="L328" s="4">
        <f>IF(AND($H328&gt;0,ISNUMBER($K328)),$H328*$K328,0)</f>
        <v/>
      </c>
      <c r="M328" s="3" t="n"/>
      <c r="N328" s="3" t="n"/>
      <c r="O328" s="3" t="n"/>
      <c r="P328" s="3" t="n">
        <v>1</v>
      </c>
      <c r="Q328" s="3" t="n"/>
      <c r="R328" s="3" t="n"/>
      <c r="S328" s="3">
        <f>IF(AND(J328&lt;&gt;"",SUM(M328:R328)=0),J328,"")</f>
        <v/>
      </c>
      <c r="T328" s="3" t="n"/>
      <c r="U328" s="3" t="n"/>
      <c r="V328" s="3" t="n"/>
      <c r="W328" s="3" t="n">
        <v>1</v>
      </c>
      <c r="X328" s="3" t="n"/>
      <c r="Y328" s="3" t="n"/>
      <c r="Z328" s="3" t="n"/>
      <c r="AA328" s="2" t="inlineStr">
        <is>
          <t>Instant</t>
        </is>
      </c>
      <c r="AB328" s="2" t="n"/>
      <c r="AC328" s="2" t="inlineStr">
        <is>
          <t>Multi</t>
        </is>
      </c>
      <c r="AD328" s="3" t="n">
        <v>3</v>
      </c>
      <c r="AE328" s="29" t="inlineStr">
        <is>
          <t>Ravnica: City of Guilds</t>
        </is>
      </c>
      <c r="AF328" s="29" t="inlineStr">
        <is>
          <t>Removal</t>
        </is>
      </c>
      <c r="AG328" s="29" t="inlineStr">
        <is>
          <t>Destroys target artifact or creature; it can't be regenerated</t>
        </is>
      </c>
      <c r="AH328" s="29" t="n"/>
      <c r="AI328" s="29" t="n"/>
      <c r="AJ328" s="2" t="n"/>
    </row>
    <row r="329" ht="15" customHeight="1" s="79">
      <c r="A329" s="2" t="inlineStr">
        <is>
          <t>Quintorius, Field Historian</t>
        </is>
      </c>
      <c r="B329" s="2">
        <f>IF(AND(F329&lt;&gt;0,E329=F329),"In Hand",IF(AND(E329&lt;&gt;0,E329&lt;F329,SUM(M329:R329)=0,SUM(T329:Y329)&gt;0),"Extra-Sub",IF(AND(E329=0,E329&lt;F329,SUM(M329:R329)=0,SUM(T329:Y329)&gt;0),"Bench-Sub",IF(AND(E329=0,F329&gt;0),"Bench",IF(E329&lt;F329,"Extra",IF(AND(J329="",E329&gt;F329),"To Buy",IF(SUM(J329,F329)&lt;E329,"To Buy",IF(AND(SUM(J329,F329)&gt;=E329,J329&lt;&gt;""),"Ordered",IF(AND(E329=0,F329=0,D329="B3"),"B3 Option",IF(AND(E329=0,F329=0),"Remove","To Buy"))))))))))</f>
        <v/>
      </c>
      <c r="D329" t="inlineStr">
        <is>
          <t>B2</t>
        </is>
      </c>
      <c r="E329" s="3">
        <f>SUM(M329:S329)</f>
        <v/>
      </c>
      <c r="F329" s="3">
        <f>SUM(T329:Z329)</f>
        <v/>
      </c>
      <c r="G329" s="3">
        <f>IF((F329-E329)&gt;=0,F329-E329,0)</f>
        <v/>
      </c>
      <c r="H329" s="3">
        <f>MAX(0,$E329-$F329-$J329)</f>
        <v/>
      </c>
      <c r="I329" s="3" t="n"/>
      <c r="J329" s="3" t="n"/>
      <c r="K329" s="4" t="n">
        <v>0.23</v>
      </c>
      <c r="L329" s="4">
        <f>IF(AND($H329&gt;0,ISNUMBER($K329)),$H329*$K329,0)</f>
        <v/>
      </c>
      <c r="M329" s="3" t="n">
        <v>1</v>
      </c>
      <c r="N329" s="3" t="n"/>
      <c r="O329" s="3" t="n"/>
      <c r="P329" s="3" t="n"/>
      <c r="Q329" s="3" t="n"/>
      <c r="R329" s="3" t="n"/>
      <c r="S329" s="3">
        <f>IF(AND(J329&lt;&gt;"",SUM(M329:R329)=0),J329,"")</f>
        <v/>
      </c>
      <c r="T329" s="3" t="n">
        <v>1</v>
      </c>
      <c r="U329" s="3" t="n"/>
      <c r="V329" s="3" t="n"/>
      <c r="W329" s="3" t="n"/>
      <c r="X329" s="3" t="n"/>
      <c r="Y329" s="3" t="n"/>
      <c r="Z329" s="3" t="n"/>
      <c r="AA329" s="2" t="inlineStr">
        <is>
          <t>Legendary Creature</t>
        </is>
      </c>
      <c r="AB329" s="2" t="inlineStr">
        <is>
          <t>Elephant Cleric</t>
        </is>
      </c>
      <c r="AC329" s="2" t="inlineStr">
        <is>
          <t>Multi</t>
        </is>
      </c>
      <c r="AD329" s="3" t="n">
        <v>5</v>
      </c>
      <c r="AE329" s="29" t="inlineStr">
        <is>
          <t>Strixhaven: School of Mages</t>
        </is>
      </c>
      <c r="AF329" s="29" t="inlineStr">
        <is>
          <t>Token Producer</t>
        </is>
      </c>
      <c r="AG329" s="29" t="inlineStr">
        <is>
          <t>Spirits you control get +1/+0</t>
        </is>
      </c>
      <c r="AH329" s="29" t="inlineStr">
        <is>
          <t>Whenever cards leave your graveyard, create a 3/2 Spirit token</t>
        </is>
      </c>
      <c r="AI329" s="29" t="n"/>
      <c r="AJ329" s="2" t="n"/>
    </row>
    <row r="330" ht="15" customHeight="1" s="79">
      <c r="A330" s="2" t="inlineStr">
        <is>
          <t>Quintorius, History Chaser</t>
        </is>
      </c>
      <c r="B330" s="2">
        <f>IF(AND(F330&lt;&gt;0,E330=F330),"In Hand",IF(AND(E330&lt;&gt;0,E330&lt;F330,SUM(M330:R330)=0,SUM(T330:Y330)&gt;0),"Extra-Sub",IF(AND(E330=0,E330&lt;F330,SUM(M330:R330)=0,SUM(T330:Y330)&gt;0),"Bench-Sub",IF(AND(E330=0,F330&gt;0),"Bench",IF(E330&lt;F330,"Extra",IF(AND(J330="",E330&gt;F330),"To Buy",IF(SUM(J330,F330)&lt;E330,"To Buy",IF(AND(SUM(J330,F330)&gt;=E330,J330&lt;&gt;""),"Ordered",IF(AND(E330=0,F330=0,D330="B3"),"B3 Option",IF(AND(E330=0,F330=0),"Remove","To Buy"))))))))))</f>
        <v/>
      </c>
      <c r="D330" t="inlineStr">
        <is>
          <t>B2</t>
        </is>
      </c>
      <c r="E330" s="3">
        <f>SUM(M330:S330)</f>
        <v/>
      </c>
      <c r="F330" s="3">
        <f>SUM(T330:Z330)</f>
        <v/>
      </c>
      <c r="G330" s="3">
        <f>IF((F330-E330)&gt;=0,F330-E330,0)</f>
        <v/>
      </c>
      <c r="H330" s="3">
        <f>MAX(0,$E330-$F330-$J330)</f>
        <v/>
      </c>
      <c r="I330" s="3" t="n"/>
      <c r="J330" s="3" t="n"/>
      <c r="K330" s="4" t="n">
        <v>0.64</v>
      </c>
      <c r="L330" s="4">
        <f>IF(AND($H330&gt;0,ISNUMBER($K330)),$H330*$K330,0)</f>
        <v/>
      </c>
      <c r="M330" s="3" t="n">
        <v>1</v>
      </c>
      <c r="N330" s="3" t="n"/>
      <c r="O330" s="3" t="n"/>
      <c r="P330" s="3" t="n"/>
      <c r="Q330" s="3" t="n"/>
      <c r="R330" s="3" t="n"/>
      <c r="S330" s="3">
        <f>IF(AND(J330&lt;&gt;"",SUM(M330:R330)=0),J330,"")</f>
        <v/>
      </c>
      <c r="T330" s="3" t="n">
        <v>1</v>
      </c>
      <c r="U330" s="3" t="n"/>
      <c r="V330" s="3" t="n"/>
      <c r="W330" s="3" t="n"/>
      <c r="X330" s="3" t="n"/>
      <c r="Y330" s="3" t="n"/>
      <c r="Z330" s="3" t="n"/>
      <c r="AA330" s="2" t="inlineStr">
        <is>
          <t>Legendary Planeswalker</t>
        </is>
      </c>
      <c r="AB330" s="2" t="inlineStr">
        <is>
          <t>Quintorius</t>
        </is>
      </c>
      <c r="AC330" s="2" t="inlineStr">
        <is>
          <t>Multi</t>
        </is>
      </c>
      <c r="AD330" s="3" t="n">
        <v>4</v>
      </c>
      <c r="AE330" s="29" t="inlineStr">
        <is>
          <t>Secrets of Strixhaven Commander</t>
        </is>
      </c>
      <c r="AF330" s="29" t="inlineStr">
        <is>
          <t>Token Producer</t>
        </is>
      </c>
      <c r="AG330" s="29" t="inlineStr">
        <is>
          <t>Whenever cards leave your graveyard, create a 3/2 Spirit token</t>
        </is>
      </c>
      <c r="AH330" s="29" t="inlineStr">
        <is>
          <t>+1: discard a card to draw two cards, then mill one</t>
        </is>
      </c>
      <c r="AI330" s="29" t="inlineStr">
        <is>
          <t>-4: Spirits you control get extra combat abilities this turn</t>
        </is>
      </c>
      <c r="AJ330" s="2" t="n"/>
    </row>
    <row r="331" ht="15" customHeight="1" s="79">
      <c r="A331" s="2" t="inlineStr">
        <is>
          <t>Quintorius, Loremaster</t>
        </is>
      </c>
      <c r="B331" s="2">
        <f>IF(AND(F331&lt;&gt;0,E331=F331),"In Hand",IF(AND(E331&lt;&gt;0,E331&lt;F331,SUM(M331:R331)=0,SUM(T331:Y331)&gt;0),"Extra-Sub",IF(AND(E331=0,E331&lt;F331,SUM(M331:R331)=0,SUM(T331:Y331)&gt;0),"Bench-Sub",IF(AND(E331=0,F331&gt;0),"Bench",IF(E331&lt;F331,"Extra",IF(AND(J331="",E331&gt;F331),"To Buy",IF(SUM(J331,F331)&lt;E331,"To Buy",IF(AND(SUM(J331,F331)&gt;=E331,J331&lt;&gt;""),"Ordered",IF(AND(E331=0,F331=0,D331="B3"),"B3 Option",IF(AND(E331=0,F331=0),"Remove","To Buy"))))))))))</f>
        <v/>
      </c>
      <c r="D331" t="inlineStr">
        <is>
          <t>B2</t>
        </is>
      </c>
      <c r="E331" s="3">
        <f>SUM(M331:S331)</f>
        <v/>
      </c>
      <c r="F331" s="3">
        <f>SUM(T331:Z331)</f>
        <v/>
      </c>
      <c r="G331" s="3">
        <f>IF((F331-E331)&gt;=0,F331-E331,0)</f>
        <v/>
      </c>
      <c r="H331" s="3">
        <f>MAX(0,$E331-$F331-$J331)</f>
        <v/>
      </c>
      <c r="I331" s="3" t="n"/>
      <c r="J331" s="3" t="n"/>
      <c r="K331" s="4" t="n">
        <v>0.18</v>
      </c>
      <c r="L331" s="4">
        <f>IF(AND($H331&gt;0,ISNUMBER($K331)),$H331*$K331,0)</f>
        <v/>
      </c>
      <c r="M331" s="3" t="n">
        <v>1</v>
      </c>
      <c r="N331" s="3" t="n"/>
      <c r="O331" s="3" t="n"/>
      <c r="P331" s="3" t="n"/>
      <c r="Q331" s="3" t="n"/>
      <c r="R331" s="3" t="n"/>
      <c r="S331" s="3">
        <f>IF(AND(J331&lt;&gt;"",SUM(M331:R331)=0),J331,"")</f>
        <v/>
      </c>
      <c r="T331" s="3" t="n">
        <v>1</v>
      </c>
      <c r="U331" s="3" t="n"/>
      <c r="V331" s="3" t="n"/>
      <c r="W331" s="3" t="n"/>
      <c r="X331" s="3" t="n"/>
      <c r="Y331" s="3" t="n"/>
      <c r="Z331" s="3" t="n"/>
      <c r="AA331" s="2" t="inlineStr">
        <is>
          <t>Legendary Creature</t>
        </is>
      </c>
      <c r="AB331" s="2" t="inlineStr">
        <is>
          <t>Elephant Cleric</t>
        </is>
      </c>
      <c r="AC331" s="2" t="inlineStr">
        <is>
          <t>Multi</t>
        </is>
      </c>
      <c r="AD331" s="3" t="n">
        <v>5</v>
      </c>
      <c r="AE331" s="29" t="inlineStr">
        <is>
          <t>March of the Machine</t>
        </is>
      </c>
      <c r="AF331" s="29" t="inlineStr">
        <is>
          <t>Value Engine</t>
        </is>
      </c>
      <c r="AG331" s="29" t="inlineStr">
        <is>
          <t>Vigilant 3/2ish body</t>
        </is>
      </c>
      <c r="AH331" s="29" t="inlineStr">
        <is>
          <t>End step: exile a noncreature nonland card from graveyard, create a 3/2 Spirit token</t>
        </is>
      </c>
      <c r="AI331" s="29" t="inlineStr">
        <is>
          <t>Sacrifice a Spirit: cast an exiled card for free this turn</t>
        </is>
      </c>
      <c r="AJ331" s="2" t="inlineStr">
        <is>
          <t>Commander - D1</t>
        </is>
      </c>
    </row>
    <row r="332" ht="15" customHeight="1" s="79">
      <c r="A332" s="2" t="inlineStr">
        <is>
          <t>Radiant Summit</t>
        </is>
      </c>
      <c r="B332" s="2">
        <f>IF(AND(F332&lt;&gt;0,E332=F332),"In Hand",IF(AND(E332&lt;&gt;0,E332&lt;F332,SUM(M332:R332)=0,SUM(T332:Y332)&gt;0),"Extra-Sub",IF(AND(E332=0,E332&lt;F332,SUM(M332:R332)=0,SUM(T332:Y332)&gt;0),"Bench-Sub",IF(AND(E332=0,F332&gt;0),"Bench",IF(E332&lt;F332,"Extra",IF(AND(J332="",E332&gt;F332),"To Buy",IF(SUM(J332,F332)&lt;E332,"To Buy",IF(AND(SUM(J332,F332)&gt;=E332,J332&lt;&gt;""),"Ordered",IF(AND(E332=0,F332=0,D332="B3"),"B3 Option",IF(AND(E332=0,F332=0),"Remove","To Buy"))))))))))</f>
        <v/>
      </c>
      <c r="D332" t="inlineStr">
        <is>
          <t>B2</t>
        </is>
      </c>
      <c r="E332" s="3">
        <f>SUM(M332:S332)</f>
        <v/>
      </c>
      <c r="F332" s="3">
        <f>SUM(T332:Z332)</f>
        <v/>
      </c>
      <c r="G332" s="3">
        <f>IF((F332-E332)&gt;=0,F332-E332,0)</f>
        <v/>
      </c>
      <c r="H332" s="3">
        <f>MAX(0,$E332-$F332-$J332)</f>
        <v/>
      </c>
      <c r="I332" s="3" t="n"/>
      <c r="J332" s="3" t="n"/>
      <c r="K332" s="4" t="n">
        <v>0.4</v>
      </c>
      <c r="L332" s="4">
        <f>IF(AND($H332&gt;0,ISNUMBER($K332)),$H332*$K332,0)</f>
        <v/>
      </c>
      <c r="M332" s="3" t="n">
        <v>1</v>
      </c>
      <c r="N332" s="3" t="n"/>
      <c r="O332" s="3" t="n"/>
      <c r="P332" s="3" t="n"/>
      <c r="Q332" s="3" t="n"/>
      <c r="R332" s="3" t="n"/>
      <c r="S332" s="3">
        <f>IF(AND(J332&lt;&gt;"",SUM(M332:R332)=0),J332,"")</f>
        <v/>
      </c>
      <c r="T332" s="3" t="n">
        <v>1</v>
      </c>
      <c r="U332" s="3" t="n"/>
      <c r="V332" s="3" t="n"/>
      <c r="W332" s="3" t="n"/>
      <c r="X332" s="3" t="n"/>
      <c r="Y332" s="3" t="n"/>
      <c r="Z332" s="3" t="n"/>
      <c r="AA332" s="2" t="inlineStr">
        <is>
          <t>Land</t>
        </is>
      </c>
      <c r="AB332" s="2" t="inlineStr">
        <is>
          <t>Mountain Plains</t>
        </is>
      </c>
      <c r="AC332" s="2" t="inlineStr">
        <is>
          <t>L</t>
        </is>
      </c>
      <c r="AD332" s="3" t="n">
        <v>0</v>
      </c>
      <c r="AE332" s="29" t="inlineStr">
        <is>
          <t>Edge of Eternities Commander</t>
        </is>
      </c>
      <c r="AF332" s="29" t="inlineStr">
        <is>
          <t>Land</t>
        </is>
      </c>
      <c r="AG332" s="29" t="inlineStr">
        <is>
          <t>Taps for {R} or {W}</t>
        </is>
      </c>
      <c r="AH332" s="29" t="inlineStr">
        <is>
          <t>Enters tapped unless you control two or more basic lands</t>
        </is>
      </c>
      <c r="AI332" s="29" t="n"/>
      <c r="AJ332" s="2" t="n"/>
    </row>
    <row r="333" ht="15" customHeight="1" s="79">
      <c r="A333" s="2" t="inlineStr">
        <is>
          <t>Ragged Short Spear</t>
        </is>
      </c>
      <c r="B333" s="2">
        <f>IF(AND(F333&lt;&gt;0,E333=F333),"In Hand",IF(AND(E333&lt;&gt;0,E333&lt;F333,SUM(M333:R333)=0,SUM(T333:Y333)&gt;0),"Extra-Sub",IF(AND(E333=0,E333&lt;F333,SUM(M333:R333)=0,SUM(T333:Y333)&gt;0),"Bench-Sub",IF(AND(E333=0,F333&gt;0),"Bench",IF(E333&lt;F333,"Extra",IF(AND(J333="",E333&gt;F333),"To Buy",IF(SUM(J333,F333)&lt;E333,"To Buy",IF(AND(SUM(J333,F333)&gt;=E333,J333&lt;&gt;""),"Ordered",IF(AND(E333=0,F333=0,D333="B3"),"B3 Option",IF(AND(E333=0,F333=0),"Remove","To Buy"))))))))))</f>
        <v/>
      </c>
      <c r="D333" t="inlineStr">
        <is>
          <t>B2</t>
        </is>
      </c>
      <c r="E333" s="3">
        <f>SUM(M333:S333)</f>
        <v/>
      </c>
      <c r="F333" s="3">
        <f>SUM(T333:Z333)</f>
        <v/>
      </c>
      <c r="G333" s="3">
        <f>IF((F333-E333)&gt;=0,F333-E333,0)</f>
        <v/>
      </c>
      <c r="H333" s="3">
        <f>MAX(0,$E333-$F333-$J333)</f>
        <v/>
      </c>
      <c r="I333" s="3" t="n"/>
      <c r="J333" s="3" t="n"/>
      <c r="K333" s="4" t="n">
        <v>0.14</v>
      </c>
      <c r="L333" s="4">
        <f>IF(AND($H333&gt;0,ISNUMBER($K333)),$H333*$K333,0)</f>
        <v/>
      </c>
      <c r="M333" s="3" t="n">
        <v>1</v>
      </c>
      <c r="N333" s="3" t="n"/>
      <c r="O333" s="3" t="n"/>
      <c r="P333" s="3" t="n"/>
      <c r="Q333" s="3" t="n"/>
      <c r="R333" s="3" t="n"/>
      <c r="S333" s="3">
        <f>IF(AND(J333&lt;&gt;"",SUM(M333:R333)=0),J333,"")</f>
        <v/>
      </c>
      <c r="T333" s="3" t="n">
        <v>1</v>
      </c>
      <c r="U333" s="3" t="n"/>
      <c r="V333" s="3" t="n"/>
      <c r="W333" s="3" t="n"/>
      <c r="X333" s="3" t="n"/>
      <c r="Y333" s="3" t="n"/>
      <c r="Z333" s="3" t="n"/>
      <c r="AA333" s="2" t="inlineStr">
        <is>
          <t>Artifact</t>
        </is>
      </c>
      <c r="AB333" s="2" t="inlineStr">
        <is>
          <t>Equipment</t>
        </is>
      </c>
      <c r="AC333" s="2" t="inlineStr">
        <is>
          <t>R</t>
        </is>
      </c>
      <c r="AD333" s="3" t="n">
        <v>2</v>
      </c>
      <c r="AE333" s="29" t="inlineStr">
        <is>
          <t>The Hobbit</t>
        </is>
      </c>
      <c r="AF333" s="29" t="inlineStr">
        <is>
          <t>Card Draw</t>
        </is>
      </c>
      <c r="AG333" s="29" t="inlineStr">
        <is>
          <t>Enters: discard a card to draw two</t>
        </is>
      </c>
      <c r="AH333" s="29" t="inlineStr">
        <is>
          <t>Equipped creature gets +2/+0</t>
        </is>
      </c>
      <c r="AI333" s="29" t="n"/>
      <c r="AJ333" s="2" t="inlineStr">
        <is>
          <t>Tuned add</t>
        </is>
      </c>
    </row>
    <row r="334" ht="15" customHeight="1" s="79">
      <c r="A334" s="2" t="inlineStr">
        <is>
          <t>Raid Bombardment</t>
        </is>
      </c>
      <c r="B334" s="2">
        <f>IF(AND(F334&lt;&gt;0,E334=F334),"In Hand",IF(AND(E334&lt;&gt;0,E334&lt;F334,SUM(M334:R334)=0,SUM(T334:Y334)&gt;0),"Extra-Sub",IF(AND(E334=0,E334&lt;F334,SUM(M334:R334)=0,SUM(T334:Y334)&gt;0),"Bench-Sub",IF(AND(E334=0,F334&gt;0),"Bench",IF(E334&lt;F334,"Extra",IF(AND(J334="",E334&gt;F334),"To Buy",IF(SUM(J334,F334)&lt;E334,"To Buy",IF(AND(SUM(J334,F334)&gt;=E334,J334&lt;&gt;""),"Ordered",IF(AND(E334=0,F334=0,D334="B3"),"B3 Option",IF(AND(E334=0,F334=0),"Remove","To Buy"))))))))))</f>
        <v/>
      </c>
      <c r="D334" t="inlineStr">
        <is>
          <t>B2</t>
        </is>
      </c>
      <c r="E334" s="3">
        <f>SUM(M334:S334)</f>
        <v/>
      </c>
      <c r="F334" s="3">
        <f>SUM(T334:Z334)</f>
        <v/>
      </c>
      <c r="G334" s="3">
        <f>IF((F334-E334)&gt;=0,F334-E334,0)</f>
        <v/>
      </c>
      <c r="H334" s="3">
        <f>MAX(0,$E334-$F334-$J334)</f>
        <v/>
      </c>
      <c r="I334" s="3" t="n"/>
      <c r="J334" s="3" t="n"/>
      <c r="K334" s="4" t="n">
        <v>0.3</v>
      </c>
      <c r="L334" s="4">
        <f>IF(AND($H334&gt;0,ISNUMBER($K334)),$H334*$K334,0)</f>
        <v/>
      </c>
      <c r="M334" s="3" t="n"/>
      <c r="N334" s="3" t="n"/>
      <c r="O334" s="3" t="n"/>
      <c r="P334" s="3" t="n"/>
      <c r="Q334" s="3" t="n"/>
      <c r="R334" s="3" t="n">
        <v>1</v>
      </c>
      <c r="S334" s="3">
        <f>IF(AND(J334&lt;&gt;"",SUM(M334:R334)=0),J334,"")</f>
        <v/>
      </c>
      <c r="T334" s="3" t="n"/>
      <c r="U334" s="3" t="n"/>
      <c r="V334" s="3" t="n"/>
      <c r="W334" s="3" t="n"/>
      <c r="X334" s="3" t="n"/>
      <c r="Y334" s="3" t="n"/>
      <c r="Z334" s="3" t="n">
        <v>1</v>
      </c>
      <c r="AA334" s="2" t="inlineStr">
        <is>
          <t>Enchantment</t>
        </is>
      </c>
      <c r="AB334" s="2" t="n"/>
      <c r="AC334" s="2" t="inlineStr">
        <is>
          <t>R</t>
        </is>
      </c>
      <c r="AD334" s="3" t="n">
        <v>3</v>
      </c>
      <c r="AE334" s="29" t="inlineStr">
        <is>
          <t>Rise of the Eldrazi</t>
        </is>
      </c>
      <c r="AF334" s="29" t="inlineStr">
        <is>
          <t>Burn</t>
        </is>
      </c>
      <c r="AG334" s="29" t="inlineStr">
        <is>
          <t>Whenever a creature you control with power 2 or less attacks, deals 1 damage to what it's attacking</t>
        </is>
      </c>
      <c r="AH334" s="29" t="n"/>
      <c r="AI334" s="29" t="n"/>
      <c r="AJ334" s="2" t="inlineStr">
        <is>
          <t>Received/settled (was in cart 2026-09-02: Game Theory Wake Forest $0.3 Lightly Played)</t>
        </is>
      </c>
    </row>
    <row r="335" ht="15" customHeight="1" s="79">
      <c r="A335" s="2" t="inlineStr">
        <is>
          <t>Raise the Alarm</t>
        </is>
      </c>
      <c r="B335" s="2">
        <f>IF(AND(F335&lt;&gt;0,E335=F335),"In Hand",IF(AND(E335&lt;&gt;0,E335&lt;F335,SUM(M335:R335)=0,SUM(T335:Y335)&gt;0),"Extra-Sub",IF(AND(E335=0,E335&lt;F335,SUM(M335:R335)=0,SUM(T335:Y335)&gt;0),"Bench-Sub",IF(AND(E335=0,F335&gt;0),"Bench",IF(E335&lt;F335,"Extra",IF(AND(J335="",E335&gt;F335),"To Buy",IF(SUM(J335,F335)&lt;E335,"To Buy",IF(AND(SUM(J335,F335)&gt;=E335,J335&lt;&gt;""),"Ordered",IF(AND(E335=0,F335=0,D335="B3"),"B3 Option",IF(AND(E335=0,F335=0),"Remove","To Buy"))))))))))</f>
        <v/>
      </c>
      <c r="D335" t="inlineStr">
        <is>
          <t>B2</t>
        </is>
      </c>
      <c r="E335" s="3">
        <f>SUM(M335:S335)</f>
        <v/>
      </c>
      <c r="F335" s="3">
        <f>SUM(T335:Z335)</f>
        <v/>
      </c>
      <c r="G335" s="3">
        <f>IF((F335-E335)&gt;=0,F335-E335,0)</f>
        <v/>
      </c>
      <c r="H335" s="3">
        <f>MAX(0,$E335-$F335-$J335)</f>
        <v/>
      </c>
      <c r="I335" s="3" t="n"/>
      <c r="J335" s="3" t="n"/>
      <c r="K335" s="4" t="n">
        <v>0.28</v>
      </c>
      <c r="L335" s="4">
        <f>IF(AND($H335&gt;0,ISNUMBER($K335)),$H335*$K335,0)</f>
        <v/>
      </c>
      <c r="M335" s="3" t="n"/>
      <c r="N335" s="3" t="n"/>
      <c r="O335" s="3" t="n"/>
      <c r="P335" s="3" t="n"/>
      <c r="Q335" s="3" t="n">
        <v>1</v>
      </c>
      <c r="R335" s="3" t="n"/>
      <c r="S335" s="3">
        <f>IF(AND(J335&lt;&gt;"",SUM(M335:R335)=0),J335,"")</f>
        <v/>
      </c>
      <c r="T335" s="3" t="n"/>
      <c r="U335" s="3" t="n"/>
      <c r="V335" s="3" t="n"/>
      <c r="W335" s="3" t="n"/>
      <c r="X335" s="3" t="n">
        <v>1</v>
      </c>
      <c r="Y335" s="3" t="n"/>
      <c r="Z335" s="3" t="n"/>
      <c r="AA335" s="2" t="inlineStr">
        <is>
          <t>Instant</t>
        </is>
      </c>
      <c r="AB335" s="2" t="n"/>
      <c r="AC335" s="2" t="inlineStr">
        <is>
          <t>W</t>
        </is>
      </c>
      <c r="AD335" s="3" t="n">
        <v>2</v>
      </c>
      <c r="AE335" s="29" t="inlineStr">
        <is>
          <t>Mirrodin</t>
        </is>
      </c>
      <c r="AF335" s="29" t="inlineStr">
        <is>
          <t>Token Producer</t>
        </is>
      </c>
      <c r="AG335" s="29" t="inlineStr">
        <is>
          <t>Creates two 1/1 white Soldier tokens</t>
        </is>
      </c>
      <c r="AH335" s="29" t="n"/>
      <c r="AI335" s="29" t="n"/>
      <c r="AJ335" s="2" t="inlineStr">
        <is>
          <t>Received/settled (was in cart 2026-09-02: Game Theory Wake Forest $0.2 Near Mint)</t>
        </is>
      </c>
    </row>
    <row r="336" ht="15" customHeight="1" s="79">
      <c r="A336" s="2" t="inlineStr">
        <is>
          <t>Ratonhnhaké꞉ton</t>
        </is>
      </c>
      <c r="B336" s="2">
        <f>IF(AND(F336&lt;&gt;0,E336=F336),"In Hand",IF(AND(E336&lt;&gt;0,E336&lt;F336,SUM(M336:R336)=0,SUM(T336:Y336)&gt;0),"Extra-Sub",IF(AND(E336=0,E336&lt;F336,SUM(M336:R336)=0,SUM(T336:Y336)&gt;0),"Bench-Sub",IF(AND(E336=0,F336&gt;0),"Bench",IF(E336&lt;F336,"Extra",IF(AND(J336="",E336&gt;F336),"To Buy",IF(SUM(J336,F336)&lt;E336,"To Buy",IF(AND(SUM(J336,F336)&gt;=E336,J336&lt;&gt;""),"Ordered",IF(AND(E336=0,F336=0,D336="B3"),"B3 Option",IF(AND(E336=0,F336=0),"Remove","To Buy"))))))))))</f>
        <v/>
      </c>
      <c r="D336" t="inlineStr">
        <is>
          <t>B2</t>
        </is>
      </c>
      <c r="E336" s="3">
        <f>SUM(M336:S336)</f>
        <v/>
      </c>
      <c r="F336" s="3">
        <f>SUM(T336:Z336)</f>
        <v/>
      </c>
      <c r="G336" s="3">
        <f>IF((F336-E336)&gt;=0,F336-E336,0)</f>
        <v/>
      </c>
      <c r="H336" s="3">
        <f>MAX(0,$E336-$F336-$J336)</f>
        <v/>
      </c>
      <c r="I336" s="3" t="n"/>
      <c r="J336" s="3" t="n"/>
      <c r="K336" s="4" t="n">
        <v>0.35</v>
      </c>
      <c r="L336" s="4">
        <f>IF(AND($H336&gt;0,ISNUMBER($K336)),$H336*$K336,0)</f>
        <v/>
      </c>
      <c r="M336" s="3" t="n"/>
      <c r="N336" s="3" t="n"/>
      <c r="O336" s="3" t="n">
        <v>1</v>
      </c>
      <c r="P336" s="3" t="n"/>
      <c r="Q336" s="3" t="n"/>
      <c r="R336" s="3" t="n"/>
      <c r="S336" s="3">
        <f>IF(AND(J336&lt;&gt;"",SUM(M336:R336)=0),J336,"")</f>
        <v/>
      </c>
      <c r="T336" s="3" t="n"/>
      <c r="U336" s="3" t="n"/>
      <c r="V336" s="3" t="n">
        <v>1</v>
      </c>
      <c r="W336" s="3" t="n"/>
      <c r="X336" s="3" t="n"/>
      <c r="Y336" s="3" t="n"/>
      <c r="Z336" s="3" t="n"/>
      <c r="AA336" s="2" t="inlineStr">
        <is>
          <t>Legendary Creature</t>
        </is>
      </c>
      <c r="AB336" s="2" t="inlineStr">
        <is>
          <t>Human Assassin</t>
        </is>
      </c>
      <c r="AC336" s="2" t="inlineStr">
        <is>
          <t>Multi</t>
        </is>
      </c>
      <c r="AD336" s="3" t="n">
        <v>3</v>
      </c>
      <c r="AE336" s="29" t="inlineStr">
        <is>
          <t>Assassin's Creed</t>
        </is>
      </c>
      <c r="AF336" s="29" t="inlineStr">
        <is>
          <t>Token Producer</t>
        </is>
      </c>
      <c r="AG336" s="29" t="inlineStr">
        <is>
          <t>Unblockable and hexproof until it first deals damage</t>
        </is>
      </c>
      <c r="AH336" s="29" t="inlineStr">
        <is>
          <t>Combat damage makes a 1/1 Assassin token</t>
        </is>
      </c>
      <c r="AI336" s="29" t="inlineStr">
        <is>
          <t>Also reanimates target Equipment onto that token</t>
        </is>
      </c>
      <c r="AJ336" s="2" t="inlineStr">
        <is>
          <t>aka "Ratonhnhake:ton" (Scryfall canonical spelling used here)</t>
        </is>
      </c>
    </row>
    <row r="337" ht="15" customHeight="1" s="79">
      <c r="A337" s="2" t="inlineStr">
        <is>
          <t>Reaping Willow</t>
        </is>
      </c>
      <c r="B337" s="2">
        <f>IF(AND(F337&lt;&gt;0,E337=F337),"In Hand",IF(AND(E337&lt;&gt;0,E337&lt;F337,SUM(M337:R337)=0,SUM(T337:Y337)&gt;0),"Extra-Sub",IF(AND(E337=0,E337&lt;F337,SUM(M337:R337)=0,SUM(T337:Y337)&gt;0),"Bench-Sub",IF(AND(E337=0,F337&gt;0),"Bench",IF(E337&lt;F337,"Extra",IF(AND(J337="",E337&gt;F337),"To Buy",IF(SUM(J337,F337)&lt;E337,"To Buy",IF(AND(SUM(J337,F337)&gt;=E337,J337&lt;&gt;""),"Ordered",IF(AND(E337=0,F337=0,D337="B3"),"B3 Option",IF(AND(E337=0,F337=0),"Remove","To Buy"))))))))))</f>
        <v/>
      </c>
      <c r="D337" t="inlineStr">
        <is>
          <t>B2</t>
        </is>
      </c>
      <c r="E337" s="3">
        <f>SUM(M337:S337)</f>
        <v/>
      </c>
      <c r="F337" s="3">
        <f>SUM(T337:Z337)</f>
        <v/>
      </c>
      <c r="G337" s="3">
        <f>IF((F337-E337)&gt;=0,F337-E337,0)</f>
        <v/>
      </c>
      <c r="H337" s="3">
        <f>MAX(0,$E337-$F337-$J337)</f>
        <v/>
      </c>
      <c r="I337" s="3" t="n"/>
      <c r="J337" s="3" t="n"/>
      <c r="K337" s="4" t="n">
        <v>0.24</v>
      </c>
      <c r="L337" s="4">
        <f>IF(AND($H337&gt;0,ISNUMBER($K337)),$H337*$K337,0)</f>
        <v/>
      </c>
      <c r="M337" s="3" t="n"/>
      <c r="N337" s="3" t="n"/>
      <c r="O337" s="3" t="n">
        <v>1</v>
      </c>
      <c r="P337" s="3" t="n"/>
      <c r="Q337" s="3" t="n"/>
      <c r="R337" s="3" t="n"/>
      <c r="S337" s="3">
        <f>IF(AND(J337&lt;&gt;"",SUM(M337:R337)=0),J337,"")</f>
        <v/>
      </c>
      <c r="T337" s="3" t="n"/>
      <c r="U337" s="3" t="n"/>
      <c r="V337" s="3" t="n">
        <v>1</v>
      </c>
      <c r="W337" s="3" t="n"/>
      <c r="X337" s="3" t="n"/>
      <c r="Y337" s="3" t="n"/>
      <c r="Z337" s="3" t="n"/>
      <c r="AA337" s="2" t="inlineStr">
        <is>
          <t>Creature</t>
        </is>
      </c>
      <c r="AB337" s="2" t="inlineStr">
        <is>
          <t>Treefolk Cleric</t>
        </is>
      </c>
      <c r="AC337" s="2" t="inlineStr">
        <is>
          <t>Multi</t>
        </is>
      </c>
      <c r="AD337" s="3" t="n">
        <v>4</v>
      </c>
      <c r="AE337" s="29" t="inlineStr">
        <is>
          <t>Lorwyn Eclipsed</t>
        </is>
      </c>
      <c r="AF337" s="29" t="inlineStr">
        <is>
          <t>Reanimation</t>
        </is>
      </c>
      <c r="AG337" s="29" t="inlineStr">
        <is>
          <t>Enters with two -1/-1 counters on itself</t>
        </is>
      </c>
      <c r="AH337" s="29" t="inlineStr">
        <is>
          <t>Remove counters: reanimate a creature card MV 3 or less</t>
        </is>
      </c>
      <c r="AI337" s="29" t="n"/>
      <c r="AJ337" s="2" t="n"/>
    </row>
    <row r="338" ht="15" customHeight="1" s="79">
      <c r="A338" s="2" t="inlineStr">
        <is>
          <t>Rebellious Captives</t>
        </is>
      </c>
      <c r="B338" s="2">
        <f>IF(AND(F338&lt;&gt;0,E338=F338),"In Hand",IF(AND(E338&lt;&gt;0,E338&lt;F338,SUM(M338:R338)=0,SUM(T338:Y338)&gt;0),"Extra-Sub",IF(AND(E338=0,E338&lt;F338,SUM(M338:R338)=0,SUM(T338:Y338)&gt;0),"Bench-Sub",IF(AND(E338=0,F338&gt;0),"Bench",IF(E338&lt;F338,"Extra",IF(AND(J338="",E338&gt;F338),"To Buy",IF(SUM(J338,F338)&lt;E338,"To Buy",IF(AND(SUM(J338,F338)&gt;=E338,J338&lt;&gt;""),"Ordered",IF(AND(E338=0,F338=0,D338="B3"),"B3 Option",IF(AND(E338=0,F338=0),"Remove","To Buy"))))))))))</f>
        <v/>
      </c>
      <c r="D338" t="inlineStr">
        <is>
          <t>B2</t>
        </is>
      </c>
      <c r="E338" s="3">
        <f>SUM(M338:S338)</f>
        <v/>
      </c>
      <c r="F338" s="3">
        <f>SUM(T338:Z338)</f>
        <v/>
      </c>
      <c r="G338" s="3">
        <f>IF((F338-E338)&gt;=0,F338-E338,0)</f>
        <v/>
      </c>
      <c r="H338" s="3">
        <f>MAX(0,$E338-$F338-$J338)</f>
        <v/>
      </c>
      <c r="I338" s="3" t="n"/>
      <c r="J338" s="3" t="n"/>
      <c r="K338" s="4" t="n">
        <v>0.08</v>
      </c>
      <c r="L338" s="4">
        <f>IF(AND($H338&gt;0,ISNUMBER($K338)),$H338*$K338,0)</f>
        <v/>
      </c>
      <c r="M338" s="3" t="n"/>
      <c r="N338" s="3" t="n"/>
      <c r="O338" s="3" t="n">
        <v>1</v>
      </c>
      <c r="P338" s="3" t="n"/>
      <c r="Q338" s="3" t="n"/>
      <c r="R338" s="3" t="n"/>
      <c r="S338" s="3">
        <f>IF(AND(J338&lt;&gt;"",SUM(M338:R338)=0),J338,"")</f>
        <v/>
      </c>
      <c r="T338" s="3" t="n"/>
      <c r="U338" s="3" t="n"/>
      <c r="V338" s="3" t="n">
        <v>1</v>
      </c>
      <c r="W338" s="3" t="n"/>
      <c r="X338" s="3" t="n"/>
      <c r="Y338" s="3" t="n"/>
      <c r="Z338" s="3" t="n"/>
      <c r="AA338" s="2" t="inlineStr">
        <is>
          <t>Creature</t>
        </is>
      </c>
      <c r="AB338" s="2" t="inlineStr">
        <is>
          <t>Human Peasant Ally</t>
        </is>
      </c>
      <c r="AC338" s="2" t="inlineStr">
        <is>
          <t>G</t>
        </is>
      </c>
      <c r="AD338" s="3" t="n">
        <v>2</v>
      </c>
      <c r="AE338" s="29" t="inlineStr">
        <is>
          <t>Avatar: The Last Airbender</t>
        </is>
      </c>
      <c r="AF338" s="29" t="inlineStr">
        <is>
          <t>Counters Payoff</t>
        </is>
      </c>
      <c r="AG338" s="29" t="inlineStr">
        <is>
          <t>Pay {6} once to put two +1/+1 counters on itself</t>
        </is>
      </c>
      <c r="AH338" s="29" t="inlineStr">
        <is>
          <t>Then animates target land into a 0/0 hasty creature with two +1/+1 counters</t>
        </is>
      </c>
      <c r="AI338" s="29" t="n"/>
      <c r="AJ338" s="2" t="n"/>
      <c r="AK338" t="inlineStr">
        <is>
          <t>[B3 later] D3-&gt;B when Ichormoon Gauntlet is bought</t>
        </is>
      </c>
    </row>
    <row r="339" ht="15" customHeight="1" s="79">
      <c r="A339" s="2" t="inlineStr">
        <is>
          <t>Reckless Ransacking</t>
        </is>
      </c>
      <c r="B339" s="2">
        <f>IF(AND(F339&lt;&gt;0,E339=F339),"In Hand",IF(AND(E339&lt;&gt;0,E339&lt;F339,SUM(M339:R339)=0,SUM(T339:Y339)&gt;0),"Extra-Sub",IF(AND(E339=0,E339&lt;F339,SUM(M339:R339)=0,SUM(T339:Y339)&gt;0),"Bench-Sub",IF(AND(E339=0,F339&gt;0),"Bench",IF(E339&lt;F339,"Extra",IF(AND(J339="",E339&gt;F339),"To Buy",IF(SUM(J339,F339)&lt;E339,"To Buy",IF(AND(SUM(J339,F339)&gt;=E339,J339&lt;&gt;""),"Ordered",IF(AND(E339=0,F339=0,D339="B3"),"B3 Option",IF(AND(E339=0,F339=0),"Remove","To Buy"))))))))))</f>
        <v/>
      </c>
      <c r="D339" t="inlineStr">
        <is>
          <t>B2</t>
        </is>
      </c>
      <c r="E339" s="3">
        <f>SUM(M339:S339)</f>
        <v/>
      </c>
      <c r="F339" s="3">
        <f>SUM(T339:Z339)</f>
        <v/>
      </c>
      <c r="G339" s="3">
        <f>IF((F339-E339)&gt;=0,F339-E339,0)</f>
        <v/>
      </c>
      <c r="H339" s="3">
        <f>MAX(0,$E339-$F339-$J339)</f>
        <v/>
      </c>
      <c r="I339" s="3" t="n"/>
      <c r="J339" s="3" t="n"/>
      <c r="K339" s="4" t="n">
        <v>0.27</v>
      </c>
      <c r="L339" s="4">
        <f>IF(AND($H339&gt;0,ISNUMBER($K339)),$H339*$K339,0)</f>
        <v/>
      </c>
      <c r="M339" s="3" t="n"/>
      <c r="N339" s="3" t="n"/>
      <c r="O339" s="3" t="n"/>
      <c r="P339" s="3" t="n"/>
      <c r="Q339" s="3" t="n"/>
      <c r="R339" s="3" t="n">
        <v>1</v>
      </c>
      <c r="S339" s="3">
        <f>IF(AND(J339&lt;&gt;"",SUM(M339:R339)=0),J339,"")</f>
        <v/>
      </c>
      <c r="T339" s="3" t="n"/>
      <c r="U339" s="3" t="n"/>
      <c r="V339" s="3" t="n"/>
      <c r="W339" s="3" t="n"/>
      <c r="X339" s="3" t="n"/>
      <c r="Y339" s="3" t="n">
        <v>1</v>
      </c>
      <c r="Z339" s="3" t="n"/>
      <c r="AA339" s="2" t="inlineStr">
        <is>
          <t>Instant</t>
        </is>
      </c>
      <c r="AB339" s="2" t="n"/>
      <c r="AC339" s="2" t="inlineStr">
        <is>
          <t>R</t>
        </is>
      </c>
      <c r="AD339" s="3" t="n">
        <v>2</v>
      </c>
      <c r="AE339" s="29" t="inlineStr">
        <is>
          <t>Lorwyn Eclipsed</t>
        </is>
      </c>
      <c r="AF339" s="29" t="inlineStr">
        <is>
          <t>Combat Trick</t>
        </is>
      </c>
      <c r="AG339" s="29" t="inlineStr">
        <is>
          <t>Target creature gets +3/+2 until end of turn</t>
        </is>
      </c>
      <c r="AH339" s="29" t="inlineStr">
        <is>
          <t>Creates a Treasure token</t>
        </is>
      </c>
      <c r="AI339" s="29" t="n"/>
      <c r="AJ339" s="2" t="n"/>
    </row>
    <row r="340" ht="15" customHeight="1" s="79">
      <c r="A340" s="2" t="inlineStr">
        <is>
          <t>Reclamation Sage</t>
        </is>
      </c>
      <c r="B340" s="2">
        <f>IF(AND(F340&lt;&gt;0,E340=F340),"In Hand",IF(AND(E340&lt;&gt;0,E340&lt;F340,SUM(M340:R340)=0,SUM(T340:Y340)&gt;0),"Extra-Sub",IF(AND(E340=0,E340&lt;F340,SUM(M340:R340)=0,SUM(T340:Y340)&gt;0),"Bench-Sub",IF(AND(E340=0,F340&gt;0),"Bench",IF(E340&lt;F340,"Extra",IF(AND(J340="",E340&gt;F340),"To Buy",IF(SUM(J340,F340)&lt;E340,"To Buy",IF(AND(SUM(J340,F340)&gt;=E340,J340&lt;&gt;""),"Ordered",IF(AND(E340=0,F340=0,D340="B3"),"B3 Option",IF(AND(E340=0,F340=0),"Remove","To Buy"))))))))))</f>
        <v/>
      </c>
      <c r="D340" t="inlineStr">
        <is>
          <t>B2</t>
        </is>
      </c>
      <c r="E340" s="3">
        <f>SUM(M340:S340)</f>
        <v/>
      </c>
      <c r="F340" s="3">
        <f>SUM(T340:Z340)</f>
        <v/>
      </c>
      <c r="G340" s="3">
        <f>IF((F340-E340)&gt;=0,F340-E340,0)</f>
        <v/>
      </c>
      <c r="H340" s="3">
        <f>MAX(0,$E340-$F340-$J340)</f>
        <v/>
      </c>
      <c r="I340" s="3" t="n"/>
      <c r="J340" s="3" t="n"/>
      <c r="K340" s="4" t="n">
        <v>0.35</v>
      </c>
      <c r="L340" s="4">
        <f>IF(AND($H340&gt;0,ISNUMBER($K340)),$H340*$K340,0)</f>
        <v/>
      </c>
      <c r="M340" s="3" t="n"/>
      <c r="N340" s="3" t="n">
        <v>1</v>
      </c>
      <c r="O340" s="3" t="n"/>
      <c r="P340" s="3" t="n"/>
      <c r="Q340" s="3" t="n"/>
      <c r="R340" s="3" t="n"/>
      <c r="S340" s="3">
        <f>IF(AND(J340&lt;&gt;"",SUM(M340:R340)=0),J340,"")</f>
        <v/>
      </c>
      <c r="T340" s="3" t="n"/>
      <c r="U340" s="3" t="n">
        <v>1</v>
      </c>
      <c r="V340" s="3" t="n"/>
      <c r="W340" s="3" t="n"/>
      <c r="X340" s="3" t="n"/>
      <c r="Y340" s="3" t="n"/>
      <c r="Z340" s="3" t="n"/>
      <c r="AA340" s="2" t="inlineStr">
        <is>
          <t>Creature</t>
        </is>
      </c>
      <c r="AB340" s="2" t="inlineStr">
        <is>
          <t>Elf Shaman</t>
        </is>
      </c>
      <c r="AC340" s="2" t="inlineStr">
        <is>
          <t>G</t>
        </is>
      </c>
      <c r="AD340" s="3" t="n">
        <v>3</v>
      </c>
      <c r="AE340" s="29" t="inlineStr">
        <is>
          <t>Magic 2015</t>
        </is>
      </c>
      <c r="AF340" s="29" t="inlineStr">
        <is>
          <t>Artifact/Enchantment Removal</t>
        </is>
      </c>
      <c r="AG340" s="29" t="inlineStr">
        <is>
          <t>Destroys target artifact or enchantment when it enters</t>
        </is>
      </c>
      <c r="AH340" s="29" t="n"/>
      <c r="AI340" s="29" t="n"/>
      <c r="AJ340" s="2" t="n"/>
    </row>
    <row r="341" ht="15" customHeight="1" s="79">
      <c r="A341" s="2" t="inlineStr">
        <is>
          <t>Reflector Mage</t>
        </is>
      </c>
      <c r="B341" s="2">
        <f>IF(AND(F341&lt;&gt;0,E341=F341),"In Hand",IF(AND(E341&lt;&gt;0,E341&lt;F341,SUM(M341:R341)=0,SUM(T341:Y341)&gt;0),"Extra-Sub",IF(AND(E341=0,E341&lt;F341,SUM(M341:R341)=0,SUM(T341:Y341)&gt;0),"Bench-Sub",IF(AND(E341=0,F341&gt;0),"Bench",IF(E341&lt;F341,"Extra",IF(AND(J341="",E341&gt;F341),"To Buy",IF(SUM(J341,F341)&lt;E341,"To Buy",IF(AND(SUM(J341,F341)&gt;=E341,J341&lt;&gt;""),"Ordered",IF(AND(E341=0,F341=0,D341="B3"),"B3 Option",IF(AND(E341=0,F341=0),"Remove","To Buy"))))))))))</f>
        <v/>
      </c>
      <c r="D341" t="inlineStr">
        <is>
          <t>B2</t>
        </is>
      </c>
      <c r="E341" s="3">
        <f>SUM(M341:S341)</f>
        <v/>
      </c>
      <c r="F341" s="3">
        <f>SUM(T341:Z341)</f>
        <v/>
      </c>
      <c r="G341" s="3">
        <f>IF((F341-E341)&gt;=0,F341-E341,0)</f>
        <v/>
      </c>
      <c r="H341" s="3">
        <f>MAX(0,$E341-$F341-$J341)</f>
        <v/>
      </c>
      <c r="I341" s="3" t="n"/>
      <c r="J341" s="3" t="n"/>
      <c r="K341" s="4" t="n">
        <v>0.5</v>
      </c>
      <c r="L341" s="4">
        <f>IF(AND($H341&gt;0,ISNUMBER($K341)),$H341*$K341,0)</f>
        <v/>
      </c>
      <c r="M341" s="3" t="n"/>
      <c r="N341" s="3" t="n">
        <v>1</v>
      </c>
      <c r="O341" s="3" t="n"/>
      <c r="P341" s="3" t="n"/>
      <c r="Q341" s="3" t="n"/>
      <c r="R341" s="3" t="n"/>
      <c r="S341" s="3">
        <f>IF(AND(J341&lt;&gt;"",SUM(M341:R341)=0),J341,"")</f>
        <v/>
      </c>
      <c r="T341" s="3" t="n"/>
      <c r="U341" s="3" t="n">
        <v>1</v>
      </c>
      <c r="V341" s="3" t="n"/>
      <c r="W341" s="3" t="n"/>
      <c r="X341" s="3" t="n"/>
      <c r="Y341" s="3" t="n"/>
      <c r="Z341" s="3" t="n"/>
      <c r="AA341" s="2" t="inlineStr">
        <is>
          <t>Creature</t>
        </is>
      </c>
      <c r="AB341" s="2" t="inlineStr">
        <is>
          <t>Human Wizard</t>
        </is>
      </c>
      <c r="AC341" s="2" t="inlineStr">
        <is>
          <t>Multi</t>
        </is>
      </c>
      <c r="AD341" s="3" t="n">
        <v>3</v>
      </c>
      <c r="AE341" s="29" t="inlineStr">
        <is>
          <t>Oath of the Gatewatch</t>
        </is>
      </c>
      <c r="AF341" s="29" t="inlineStr">
        <is>
          <t>Removal</t>
        </is>
      </c>
      <c r="AG341" s="29" t="inlineStr">
        <is>
          <t>Bounces target opponent creature to hand when it enters</t>
        </is>
      </c>
      <c r="AH341" s="29" t="inlineStr">
        <is>
          <t>That creature's owner can't recast it until your next turn</t>
        </is>
      </c>
      <c r="AI341" s="29" t="n"/>
      <c r="AJ341" s="2" t="n"/>
    </row>
    <row r="342" ht="15" customHeight="1" s="79">
      <c r="A342" s="2" t="inlineStr">
        <is>
          <t>Relic Retriever</t>
        </is>
      </c>
      <c r="B342" s="2">
        <f>IF(AND(F342&lt;&gt;0,E342=F342),"In Hand",IF(AND(E342&lt;&gt;0,E342&lt;F342,SUM(M342:R342)=0,SUM(T342:Y342)&gt;0),"Extra-Sub",IF(AND(E342=0,E342&lt;F342,SUM(M342:R342)=0,SUM(T342:Y342)&gt;0),"Bench-Sub",IF(AND(E342=0,F342&gt;0),"Bench",IF(E342&lt;F342,"Extra",IF(AND(J342="",E342&gt;F342),"To Buy",IF(SUM(J342,F342)&lt;E342,"To Buy",IF(AND(SUM(J342,F342)&gt;=E342,J342&lt;&gt;""),"Ordered",IF(AND(E342=0,F342=0,D342="B3"),"B3 Option",IF(AND(E342=0,F342=0),"Remove","To Buy"))))))))))</f>
        <v/>
      </c>
      <c r="D342" t="inlineStr">
        <is>
          <t>B2</t>
        </is>
      </c>
      <c r="E342" s="3">
        <f>SUM(M342:S342)</f>
        <v/>
      </c>
      <c r="F342" s="3">
        <f>SUM(T342:Z342)</f>
        <v/>
      </c>
      <c r="G342" s="3">
        <f>IF((F342-E342)&gt;=0,F342-E342,0)</f>
        <v/>
      </c>
      <c r="H342" s="3">
        <f>MAX(0,$E342-$F342-$J342)</f>
        <v/>
      </c>
      <c r="I342" s="3" t="n"/>
      <c r="J342" s="3" t="n"/>
      <c r="K342" s="4" t="n">
        <v>0.24</v>
      </c>
      <c r="L342" s="4">
        <f>IF(AND($H342&gt;0,ISNUMBER($K342)),$H342*$K342,0)</f>
        <v/>
      </c>
      <c r="M342" s="3" t="n">
        <v>1</v>
      </c>
      <c r="N342" s="3" t="n"/>
      <c r="O342" s="3" t="n"/>
      <c r="P342" s="3" t="n"/>
      <c r="Q342" s="3" t="n"/>
      <c r="R342" s="3" t="n"/>
      <c r="S342" s="3">
        <f>IF(AND(J342&lt;&gt;"",SUM(M342:R342)=0),J342,"")</f>
        <v/>
      </c>
      <c r="T342" s="3" t="n">
        <v>1</v>
      </c>
      <c r="U342" s="3" t="n"/>
      <c r="V342" s="3" t="n"/>
      <c r="W342" s="3" t="n"/>
      <c r="X342" s="3" t="n"/>
      <c r="Y342" s="3" t="n"/>
      <c r="Z342" s="3" t="n"/>
      <c r="AA342" s="2" t="inlineStr">
        <is>
          <t>Creature</t>
        </is>
      </c>
      <c r="AB342" s="2" t="inlineStr">
        <is>
          <t>Spirit Monkey</t>
        </is>
      </c>
      <c r="AC342" s="2" t="inlineStr">
        <is>
          <t>R</t>
        </is>
      </c>
      <c r="AD342" s="3" t="n">
        <v>2</v>
      </c>
      <c r="AE342" s="29" t="inlineStr">
        <is>
          <t>Secrets of Strixhaven Commander</t>
        </is>
      </c>
      <c r="AF342" s="29" t="inlineStr">
        <is>
          <t>Value Engine</t>
        </is>
      </c>
      <c r="AG342" s="29" t="inlineStr">
        <is>
          <t>Deals combat damage before normal-speed blockers</t>
        </is>
      </c>
      <c r="AH342" s="29" t="inlineStr">
        <is>
          <t>End step: create a Treasure token if a card left your graveyard this turn</t>
        </is>
      </c>
      <c r="AI342" s="29" t="n"/>
      <c r="AJ342" s="2" t="n"/>
      <c r="AK342" t="inlineStr">
        <is>
          <t>[B3 later] D1-&gt;B when Anim Pakal, Thousandth Moon is bought</t>
        </is>
      </c>
    </row>
    <row r="343" ht="15" customHeight="1" s="79">
      <c r="A343" s="2" t="inlineStr">
        <is>
          <t>Reluctant Dounguard</t>
        </is>
      </c>
      <c r="B343" s="2">
        <f>IF(AND(F343&lt;&gt;0,E343=F343),"In Hand",IF(AND(E343&lt;&gt;0,E343&lt;F343,SUM(M343:R343)=0,SUM(T343:Y343)&gt;0),"Extra-Sub",IF(AND(E343=0,E343&lt;F343,SUM(M343:R343)=0,SUM(T343:Y343)&gt;0),"Bench-Sub",IF(AND(E343=0,F343&gt;0),"Bench",IF(E343&lt;F343,"Extra",IF(AND(J343="",E343&gt;F343),"To Buy",IF(SUM(J343,F343)&lt;E343,"To Buy",IF(AND(SUM(J343,F343)&gt;=E343,J343&lt;&gt;""),"Ordered",IF(AND(E343=0,F343=0,D343="B3"),"B3 Option",IF(AND(E343=0,F343=0),"Remove","To Buy"))))))))))</f>
        <v/>
      </c>
      <c r="D343" t="inlineStr">
        <is>
          <t>B2</t>
        </is>
      </c>
      <c r="E343" s="3">
        <f>SUM(M343:S343)</f>
        <v/>
      </c>
      <c r="F343" s="3">
        <f>SUM(T343:Z343)</f>
        <v/>
      </c>
      <c r="G343" s="3">
        <f>IF((F343-E343)&gt;=0,F343-E343,0)</f>
        <v/>
      </c>
      <c r="H343" s="3">
        <f>MAX(0,$E343-$F343-$J343)</f>
        <v/>
      </c>
      <c r="I343" s="3" t="n"/>
      <c r="J343" s="3" t="n"/>
      <c r="K343" s="4" t="n">
        <v>0.08</v>
      </c>
      <c r="L343" s="4">
        <f>IF(AND($H343&gt;0,ISNUMBER($K343)),$H343*$K343,0)</f>
        <v/>
      </c>
      <c r="M343" s="3" t="n"/>
      <c r="N343" s="3" t="n"/>
      <c r="O343" s="3" t="n">
        <v>1</v>
      </c>
      <c r="P343" s="3" t="n"/>
      <c r="Q343" s="3" t="n"/>
      <c r="R343" s="3" t="n"/>
      <c r="S343" s="3">
        <f>IF(AND(J343&lt;&gt;"",SUM(M343:R343)=0),J343,"")</f>
        <v/>
      </c>
      <c r="T343" s="3" t="n"/>
      <c r="U343" s="3" t="n"/>
      <c r="V343" s="3" t="n">
        <v>1</v>
      </c>
      <c r="W343" s="3" t="n"/>
      <c r="X343" s="3" t="n"/>
      <c r="Y343" s="3" t="n"/>
      <c r="Z343" s="3" t="n"/>
      <c r="AA343" s="2" t="inlineStr">
        <is>
          <t>Creature</t>
        </is>
      </c>
      <c r="AB343" s="2" t="inlineStr">
        <is>
          <t>Kithkin Soldier</t>
        </is>
      </c>
      <c r="AC343" s="2" t="inlineStr">
        <is>
          <t>W</t>
        </is>
      </c>
      <c r="AD343" s="3" t="n">
        <v>3</v>
      </c>
      <c r="AE343" s="29" t="inlineStr">
        <is>
          <t>Lorwyn Eclipsed</t>
        </is>
      </c>
      <c r="AF343" s="29" t="inlineStr">
        <is>
          <t>Counters Payoff</t>
        </is>
      </c>
      <c r="AG343" s="29" t="inlineStr">
        <is>
          <t>Enters with two -1/-1 counters on itself</t>
        </is>
      </c>
      <c r="AH343" s="29" t="inlineStr">
        <is>
          <t>Removes one of its own counters whenever another creature you control enters</t>
        </is>
      </c>
      <c r="AI343" s="29" t="n"/>
      <c r="AJ343" s="2" t="n"/>
    </row>
    <row r="344" ht="15" customHeight="1" s="79">
      <c r="A344" s="2" t="inlineStr">
        <is>
          <t>Remorseful Cleric</t>
        </is>
      </c>
      <c r="B344" s="2">
        <f>IF(AND(F344&lt;&gt;0,E344=F344),"In Hand",IF(AND(E344&lt;&gt;0,E344&lt;F344,SUM(M344:R344)=0,SUM(T344:Y344)&gt;0),"Extra-Sub",IF(AND(E344=0,E344&lt;F344,SUM(M344:R344)=0,SUM(T344:Y344)&gt;0),"Bench-Sub",IF(AND(E344=0,F344&gt;0),"Bench",IF(E344&lt;F344,"Extra",IF(AND(J344="",E344&gt;F344),"To Buy",IF(SUM(J344,F344)&lt;E344,"To Buy",IF(AND(SUM(J344,F344)&gt;=E344,J344&lt;&gt;""),"Ordered",IF(AND(E344=0,F344=0,D344="B3"),"B3 Option",IF(AND(E344=0,F344=0),"Remove","To Buy"))))))))))</f>
        <v/>
      </c>
      <c r="D344" t="inlineStr">
        <is>
          <t>B2</t>
        </is>
      </c>
      <c r="E344" s="3">
        <f>SUM(M344:S344)</f>
        <v/>
      </c>
      <c r="F344" s="3">
        <f>SUM(T344:Z344)</f>
        <v/>
      </c>
      <c r="G344" s="3">
        <f>IF((F344-E344)&gt;=0,F344-E344,0)</f>
        <v/>
      </c>
      <c r="H344" s="3">
        <f>MAX(0,$E344-$F344-$J344)</f>
        <v/>
      </c>
      <c r="I344" s="3" t="n"/>
      <c r="J344" s="3" t="n"/>
      <c r="K344" s="4" t="n">
        <v>0.29</v>
      </c>
      <c r="L344" s="4">
        <f>IF(AND($H344&gt;0,ISNUMBER($K344)),$H344*$K344,0)</f>
        <v/>
      </c>
      <c r="M344" s="3" t="n">
        <v>1</v>
      </c>
      <c r="N344" s="3" t="n"/>
      <c r="O344" s="3" t="n"/>
      <c r="P344" s="3" t="n"/>
      <c r="Q344" s="3" t="n"/>
      <c r="R344" s="3" t="n"/>
      <c r="S344" s="3">
        <f>IF(AND(J344&lt;&gt;"",SUM(M344:R344)=0),J344,"")</f>
        <v/>
      </c>
      <c r="T344" s="3" t="n">
        <v>1</v>
      </c>
      <c r="U344" s="3" t="n"/>
      <c r="V344" s="3" t="n"/>
      <c r="W344" s="3" t="n"/>
      <c r="X344" s="3" t="n"/>
      <c r="Y344" s="3" t="n"/>
      <c r="Z344" s="3" t="n"/>
      <c r="AA344" s="2" t="inlineStr">
        <is>
          <t>Creature</t>
        </is>
      </c>
      <c r="AB344" s="2" t="inlineStr">
        <is>
          <t>Spirit Cleric</t>
        </is>
      </c>
      <c r="AC344" s="2" t="inlineStr">
        <is>
          <t>W</t>
        </is>
      </c>
      <c r="AD344" s="3" t="n">
        <v>2</v>
      </c>
      <c r="AE344" s="29" t="inlineStr">
        <is>
          <t>Core Set 2019</t>
        </is>
      </c>
      <c r="AF344" s="29" t="inlineStr">
        <is>
          <t>Graveyard Hate</t>
        </is>
      </c>
      <c r="AG344" s="29" t="inlineStr">
        <is>
          <t>Flying body</t>
        </is>
      </c>
      <c r="AH344" s="29" t="inlineStr">
        <is>
          <t>Sacrifice: exile target player's entire graveyard</t>
        </is>
      </c>
      <c r="AI344" s="29" t="n"/>
      <c r="AJ344" s="2" t="n"/>
    </row>
    <row r="345" ht="15" customHeight="1" s="79">
      <c r="A345" s="2" t="inlineStr">
        <is>
          <t>Repel Calamity</t>
        </is>
      </c>
      <c r="B345" s="2">
        <f>IF(AND(F345&lt;&gt;0,E345=F345),"In Hand",IF(AND(E345&lt;&gt;0,E345&lt;F345,SUM(M345:R345)=0,SUM(T345:Y345)&gt;0),"Extra-Sub",IF(AND(E345=0,E345&lt;F345,SUM(M345:R345)=0,SUM(T345:Y345)&gt;0),"Bench-Sub",IF(AND(E345=0,F345&gt;0),"Bench",IF(E345&lt;F345,"Extra",IF(AND(J345="",E345&gt;F345),"To Buy",IF(SUM(J345,F345)&lt;E345,"To Buy",IF(AND(SUM(J345,F345)&gt;=E345,J345&lt;&gt;""),"Ordered",IF(AND(E345=0,F345=0,D345="B3"),"B3 Option",IF(AND(E345=0,F345=0),"Remove","To Buy"))))))))))</f>
        <v/>
      </c>
      <c r="D345" t="inlineStr">
        <is>
          <t>B2</t>
        </is>
      </c>
      <c r="E345" s="3">
        <f>SUM(M345:S345)</f>
        <v/>
      </c>
      <c r="F345" s="3">
        <f>SUM(T345:Z345)</f>
        <v/>
      </c>
      <c r="G345" s="3">
        <f>IF((F345-E345)&gt;=0,F345-E345,0)</f>
        <v/>
      </c>
      <c r="H345" s="3">
        <f>MAX(0,$E345-$F345-$J345)</f>
        <v/>
      </c>
      <c r="I345" s="3" t="n"/>
      <c r="J345" s="3" t="n"/>
      <c r="K345" s="4" t="n">
        <v>0.15</v>
      </c>
      <c r="L345" s="4">
        <f>IF(AND($H345&gt;0,ISNUMBER($K345)),$H345*$K345,0)</f>
        <v/>
      </c>
      <c r="M345" s="3" t="n"/>
      <c r="N345" s="3" t="n"/>
      <c r="O345" s="3" t="n">
        <v>1</v>
      </c>
      <c r="P345" s="3" t="n"/>
      <c r="Q345" s="3" t="n"/>
      <c r="R345" s="3" t="n"/>
      <c r="S345" s="3">
        <f>IF(AND(J345&lt;&gt;"",SUM(M345:R345)=0),J345,"")</f>
        <v/>
      </c>
      <c r="T345" s="3" t="n"/>
      <c r="U345" s="3" t="n"/>
      <c r="V345" s="3" t="n">
        <v>1</v>
      </c>
      <c r="W345" s="3" t="n"/>
      <c r="X345" s="3" t="n"/>
      <c r="Y345" s="3" t="n"/>
      <c r="Z345" s="3" t="n"/>
      <c r="AA345" s="2" t="inlineStr">
        <is>
          <t>Instant</t>
        </is>
      </c>
      <c r="AB345" s="2" t="n"/>
      <c r="AC345" s="2" t="inlineStr">
        <is>
          <t>W</t>
        </is>
      </c>
      <c r="AD345" s="3" t="n">
        <v>2</v>
      </c>
      <c r="AE345" s="29" t="inlineStr">
        <is>
          <t>Bloomburrow</t>
        </is>
      </c>
      <c r="AF345" s="29" t="inlineStr">
        <is>
          <t>Removal</t>
        </is>
      </c>
      <c r="AG345" s="29" t="inlineStr">
        <is>
          <t>Destroys target creature with power or toughness 4 or greater</t>
        </is>
      </c>
      <c r="AH345" s="29" t="n"/>
      <c r="AI345" s="29" t="n"/>
      <c r="AJ345" s="2" t="n"/>
    </row>
    <row r="346" ht="15" customHeight="1" s="79">
      <c r="A346" s="2" t="inlineStr">
        <is>
          <t>Requiem Angel</t>
        </is>
      </c>
      <c r="B346" s="2">
        <f>IF(AND(F346&lt;&gt;0,E346=F346),"In Hand",IF(AND(E346&lt;&gt;0,E346&lt;F346,SUM(M346:R346)=0,SUM(T346:Y346)&gt;0),"Extra-Sub",IF(AND(E346=0,E346&lt;F346,SUM(M346:R346)=0,SUM(T346:Y346)&gt;0),"Bench-Sub",IF(AND(E346=0,F346&gt;0),"Bench",IF(E346&lt;F346,"Extra",IF(AND(J346="",E346&gt;F346),"To Buy",IF(SUM(J346,F346)&lt;E346,"To Buy",IF(AND(SUM(J346,F346)&gt;=E346,J346&lt;&gt;""),"Ordered",IF(AND(E346=0,F346=0,D346="B3"),"B3 Option",IF(AND(E346=0,F346=0),"Remove","To Buy"))))))))))</f>
        <v/>
      </c>
      <c r="D346" t="inlineStr">
        <is>
          <t>B3</t>
        </is>
      </c>
      <c r="E346" s="3">
        <f>SUM(M346:S346)</f>
        <v/>
      </c>
      <c r="F346" s="3">
        <f>SUM(T346:Z346)</f>
        <v/>
      </c>
      <c r="G346" s="3">
        <f>IF((F346-E346)&gt;=0,F346-E346,0)</f>
        <v/>
      </c>
      <c r="H346" s="3">
        <f>MAX(0,$E346-$F346-$J346)</f>
        <v/>
      </c>
      <c r="I346" s="3" t="n"/>
      <c r="J346" s="3" t="n"/>
      <c r="K346" s="4" t="n">
        <v>0.84</v>
      </c>
      <c r="L346" s="4">
        <f>IF(AND($H346&gt;0,ISNUMBER($K346)),$H346*$K346,0)</f>
        <v/>
      </c>
      <c r="M346" s="3" t="n"/>
      <c r="N346" s="3" t="n"/>
      <c r="O346" s="3" t="n"/>
      <c r="P346" s="3" t="n"/>
      <c r="Q346" s="3" t="n">
        <v>1</v>
      </c>
      <c r="R346" s="3" t="n"/>
      <c r="S346" s="3">
        <f>IF(AND(J346&lt;&gt;"",SUM(M346:R346)=0),J346,"")</f>
        <v/>
      </c>
      <c r="T346" s="3" t="n"/>
      <c r="U346" s="3" t="n"/>
      <c r="V346" s="3" t="n"/>
      <c r="W346" s="3" t="n"/>
      <c r="X346" s="3" t="n">
        <v>1</v>
      </c>
      <c r="Y346" s="3" t="n"/>
      <c r="Z346" s="3" t="n"/>
      <c r="AA346" s="2" t="inlineStr">
        <is>
          <t>Creature</t>
        </is>
      </c>
      <c r="AB346" s="2" t="inlineStr">
        <is>
          <t>Angel</t>
        </is>
      </c>
      <c r="AC346" s="2" t="inlineStr">
        <is>
          <t>W</t>
        </is>
      </c>
      <c r="AD346" s="3" t="n">
        <v>6</v>
      </c>
      <c r="AE346" s="29" t="inlineStr">
        <is>
          <t>Dark Ascension</t>
        </is>
      </c>
      <c r="AF346" s="29" t="inlineStr">
        <is>
          <t>Token Producer</t>
        </is>
      </c>
      <c r="AG346" s="29" t="inlineStr">
        <is>
          <t>Whenever another non-Spirit creature you control dies, create a 1/1 flying Spirit</t>
        </is>
      </c>
      <c r="AH346" s="29" t="inlineStr">
        <is>
          <t>5/4 flying body</t>
        </is>
      </c>
      <c r="AI346" s="29" t="n"/>
      <c r="AJ346" s="2" t="inlineStr">
        <is>
          <t>D5/D6 Tuned upgrade bought in place of Inspiring Overseer (2026-09-02); Received/settled (was in cart 2026-09-02: Game Theory Wake Forest $0.7 Near Mint)</t>
        </is>
      </c>
    </row>
    <row r="347" ht="15" customHeight="1" s="79">
      <c r="A347" s="2" t="inlineStr">
        <is>
          <t>Return to Dust</t>
        </is>
      </c>
      <c r="B347" s="2">
        <f>IF(AND(F347&lt;&gt;0,E347=F347),"In Hand",IF(AND(E347&lt;&gt;0,E347&lt;F347,SUM(M347:R347)=0,SUM(T347:Y347)&gt;0),"Extra-Sub",IF(AND(E347=0,E347&lt;F347,SUM(M347:R347)=0,SUM(T347:Y347)&gt;0),"Bench-Sub",IF(AND(E347=0,F347&gt;0),"Bench",IF(E347&lt;F347,"Extra",IF(AND(J347="",E347&gt;F347),"To Buy",IF(SUM(J347,F347)&lt;E347,"To Buy",IF(AND(SUM(J347,F347)&gt;=E347,J347&lt;&gt;""),"Ordered",IF(AND(E347=0,F347=0,D347="B3"),"B3 Option",IF(AND(E347=0,F347=0),"Remove","To Buy"))))))))))</f>
        <v/>
      </c>
      <c r="D347" t="inlineStr">
        <is>
          <t>B2</t>
        </is>
      </c>
      <c r="E347" s="3">
        <f>SUM(M347:S347)</f>
        <v/>
      </c>
      <c r="F347" s="3">
        <f>SUM(T347:Z347)</f>
        <v/>
      </c>
      <c r="G347" s="3">
        <f>IF((F347-E347)&gt;=0,F347-E347,0)</f>
        <v/>
      </c>
      <c r="H347" s="3">
        <f>MAX(0,$E347-$F347-$J347)</f>
        <v/>
      </c>
      <c r="I347" s="3" t="n"/>
      <c r="J347" s="3" t="n"/>
      <c r="K347" s="4" t="n">
        <v>0.3</v>
      </c>
      <c r="L347" s="4">
        <f>IF(AND($H347&gt;0,ISNUMBER($K347)),$H347*$K347,0)</f>
        <v/>
      </c>
      <c r="M347" s="3" t="n">
        <v>1</v>
      </c>
      <c r="N347" s="3" t="n"/>
      <c r="O347" s="3" t="n"/>
      <c r="P347" s="3" t="n"/>
      <c r="Q347" s="3" t="n"/>
      <c r="R347" s="3" t="n"/>
      <c r="S347" s="3">
        <f>IF(AND(J347&lt;&gt;"",SUM(M347:R347)=0),J347,"")</f>
        <v/>
      </c>
      <c r="T347" s="3" t="n">
        <v>1</v>
      </c>
      <c r="U347" s="3" t="n"/>
      <c r="V347" s="3" t="n"/>
      <c r="W347" s="3" t="n"/>
      <c r="X347" s="3" t="n"/>
      <c r="Y347" s="3" t="n"/>
      <c r="Z347" s="3" t="n"/>
      <c r="AA347" s="2" t="inlineStr">
        <is>
          <t>Instant</t>
        </is>
      </c>
      <c r="AB347" s="2" t="n"/>
      <c r="AC347" s="2" t="inlineStr">
        <is>
          <t>W</t>
        </is>
      </c>
      <c r="AD347" s="3" t="n">
        <v>4</v>
      </c>
      <c r="AE347" s="29" t="inlineStr">
        <is>
          <t>Time Spiral</t>
        </is>
      </c>
      <c r="AF347" s="29" t="inlineStr">
        <is>
          <t>Artifact/Enchantment Removal</t>
        </is>
      </c>
      <c r="AG347" s="29" t="inlineStr">
        <is>
          <t>Exiles target artifact or enchantment</t>
        </is>
      </c>
      <c r="AH347" s="29" t="inlineStr">
        <is>
          <t>During your main phase, may exile a second artifact or enchantment</t>
        </is>
      </c>
      <c r="AI347" s="29" t="n"/>
      <c r="AJ347" s="2" t="n"/>
    </row>
    <row r="348" ht="15" customHeight="1" s="79">
      <c r="A348" s="2" t="inlineStr">
        <is>
          <t>Rhox Faithmender</t>
        </is>
      </c>
      <c r="B348" s="2">
        <f>IF(AND(F348&lt;&gt;0,E348=F348),"In Hand",IF(AND(E348&lt;&gt;0,E348&lt;F348,SUM(M348:R348)=0,SUM(T348:Y348)&gt;0),"Extra-Sub",IF(AND(E348=0,E348&lt;F348,SUM(M348:R348)=0,SUM(T348:Y348)&gt;0),"Bench-Sub",IF(AND(E348=0,F348&gt;0),"Bench",IF(E348&lt;F348,"Extra",IF(AND(J348="",E348&gt;F348),"To Buy",IF(SUM(J348,F348)&lt;E348,"To Buy",IF(AND(SUM(J348,F348)&gt;=E348,J348&lt;&gt;""),"Ordered",IF(AND(E348=0,F348=0,D348="B3"),"B3 Option",IF(AND(E348=0,F348=0),"Remove","To Buy"))))))))))</f>
        <v/>
      </c>
      <c r="D348" t="inlineStr">
        <is>
          <t>B2</t>
        </is>
      </c>
      <c r="E348" s="3">
        <f>SUM(M348:S348)</f>
        <v/>
      </c>
      <c r="F348" s="3">
        <f>SUM(T348:Z348)</f>
        <v/>
      </c>
      <c r="G348" s="3">
        <f>IF((F348-E348)&gt;=0,F348-E348,0)</f>
        <v/>
      </c>
      <c r="H348" s="3">
        <f>MAX(0,$E348-$F348-$J348)</f>
        <v/>
      </c>
      <c r="I348" s="3" t="n"/>
      <c r="J348" s="3" t="n"/>
      <c r="K348" s="4" t="n">
        <v>2.09</v>
      </c>
      <c r="L348" s="4">
        <f>IF(AND($H348&gt;0,ISNUMBER($K348)),$H348*$K348,0)</f>
        <v/>
      </c>
      <c r="M348" s="3" t="n"/>
      <c r="N348" s="3" t="n"/>
      <c r="O348" s="3" t="n">
        <v>1</v>
      </c>
      <c r="P348" s="3" t="n"/>
      <c r="Q348" s="3" t="n"/>
      <c r="R348" s="3" t="n"/>
      <c r="S348" s="3">
        <f>IF(AND(J348&lt;&gt;"",SUM(M348:R348)=0),J348,"")</f>
        <v/>
      </c>
      <c r="T348" s="3" t="n"/>
      <c r="U348" s="3" t="n"/>
      <c r="V348" s="3" t="n">
        <v>1</v>
      </c>
      <c r="W348" s="3" t="n"/>
      <c r="X348" s="3" t="n"/>
      <c r="Y348" s="3" t="n"/>
      <c r="Z348" s="3" t="n"/>
      <c r="AA348" s="2" t="inlineStr">
        <is>
          <t>Creature</t>
        </is>
      </c>
      <c r="AB348" s="2" t="inlineStr">
        <is>
          <t>Rhino Monk</t>
        </is>
      </c>
      <c r="AC348" s="2" t="inlineStr">
        <is>
          <t>W</t>
        </is>
      </c>
      <c r="AD348" s="3" t="n">
        <v>4</v>
      </c>
      <c r="AE348" s="29" t="inlineStr">
        <is>
          <t>Magic 2013</t>
        </is>
      </c>
      <c r="AF348" s="29" t="inlineStr">
        <is>
          <t>Lifegain</t>
        </is>
      </c>
      <c r="AG348" s="29" t="inlineStr">
        <is>
          <t>Doubles all life you gain</t>
        </is>
      </c>
      <c r="AH348" s="29" t="inlineStr">
        <is>
          <t>Lifelink body</t>
        </is>
      </c>
      <c r="AI348" s="29" t="n"/>
      <c r="AJ348" s="2" t="n"/>
    </row>
    <row r="349" ht="15" customHeight="1" s="79">
      <c r="A349" s="2" t="inlineStr">
        <is>
          <t>Rip Apart</t>
        </is>
      </c>
      <c r="B349" s="2">
        <f>IF(AND(F349&lt;&gt;0,E349=F349),"In Hand",IF(AND(E349&lt;&gt;0,E349&lt;F349,SUM(M349:R349)=0,SUM(T349:Y349)&gt;0),"Extra-Sub",IF(AND(E349=0,E349&lt;F349,SUM(M349:R349)=0,SUM(T349:Y349)&gt;0),"Bench-Sub",IF(AND(E349=0,F349&gt;0),"Bench",IF(E349&lt;F349,"Extra",IF(AND(J349="",E349&gt;F349),"To Buy",IF(SUM(J349,F349)&lt;E349,"To Buy",IF(AND(SUM(J349,F349)&gt;=E349,J349&lt;&gt;""),"Ordered",IF(AND(E349=0,F349=0,D349="B3"),"B3 Option",IF(AND(E349=0,F349=0),"Remove","To Buy"))))))))))</f>
        <v/>
      </c>
      <c r="D349" t="inlineStr">
        <is>
          <t>B2</t>
        </is>
      </c>
      <c r="E349" s="3">
        <f>SUM(M349:S349)</f>
        <v/>
      </c>
      <c r="F349" s="3">
        <f>SUM(T349:Z349)</f>
        <v/>
      </c>
      <c r="G349" s="3">
        <f>IF((F349-E349)&gt;=0,F349-E349,0)</f>
        <v/>
      </c>
      <c r="H349" s="3">
        <f>MAX(0,$E349-$F349-$J349)</f>
        <v/>
      </c>
      <c r="I349" s="3" t="n"/>
      <c r="J349" s="3" t="n"/>
      <c r="K349" s="4" t="n">
        <v>0.21</v>
      </c>
      <c r="L349" s="4">
        <f>IF(AND($H349&gt;0,ISNUMBER($K349)),$H349*$K349,0)</f>
        <v/>
      </c>
      <c r="M349" s="3" t="n">
        <v>1</v>
      </c>
      <c r="N349" s="3" t="n"/>
      <c r="O349" s="3" t="n"/>
      <c r="P349" s="3" t="n"/>
      <c r="Q349" s="3" t="n"/>
      <c r="R349" s="3" t="n"/>
      <c r="S349" s="3">
        <f>IF(AND(J349&lt;&gt;"",SUM(M349:R349)=0),J349,"")</f>
        <v/>
      </c>
      <c r="T349" s="3" t="n">
        <v>1</v>
      </c>
      <c r="U349" s="3" t="n"/>
      <c r="V349" s="3" t="n"/>
      <c r="W349" s="3" t="n"/>
      <c r="X349" s="3" t="n"/>
      <c r="Y349" s="3" t="n"/>
      <c r="Z349" s="3" t="n"/>
      <c r="AA349" s="2" t="inlineStr">
        <is>
          <t>Sorcery</t>
        </is>
      </c>
      <c r="AB349" s="2" t="n"/>
      <c r="AC349" s="2" t="inlineStr">
        <is>
          <t>Multi</t>
        </is>
      </c>
      <c r="AD349" s="3" t="n">
        <v>2</v>
      </c>
      <c r="AE349" s="29" t="inlineStr">
        <is>
          <t>Strixhaven: School of Mages</t>
        </is>
      </c>
      <c r="AF349" s="29" t="inlineStr">
        <is>
          <t>Removal</t>
        </is>
      </c>
      <c r="AG349" s="29" t="inlineStr">
        <is>
          <t>Choose one: deals 3 damage to target creature or planeswalker</t>
        </is>
      </c>
      <c r="AH349" s="29" t="inlineStr">
        <is>
          <t>Or destroys target artifact or enchantment</t>
        </is>
      </c>
      <c r="AI349" s="29" t="n"/>
      <c r="AJ349" s="2" t="n"/>
    </row>
    <row r="350" ht="15" customHeight="1" s="79">
      <c r="A350" s="2" t="inlineStr">
        <is>
          <t>Ritual of Soot</t>
        </is>
      </c>
      <c r="B350" s="2">
        <f>IF(AND(F350&lt;&gt;0,E350=F350),"In Hand",IF(AND(E350&lt;&gt;0,E350&lt;F350,SUM(M350:R350)=0,SUM(T350:Y350)&gt;0),"Extra-Sub",IF(AND(E350=0,E350&lt;F350,SUM(M350:R350)=0,SUM(T350:Y350)&gt;0),"Bench-Sub",IF(AND(E350=0,F350&gt;0),"Bench",IF(E350&lt;F350,"Extra",IF(AND(J350="",E350&gt;F350),"To Buy",IF(SUM(J350,F350)&lt;E350,"To Buy",IF(AND(SUM(J350,F350)&gt;=E350,J350&lt;&gt;""),"Ordered",IF(AND(E350=0,F350=0,D350="B3"),"B3 Option",IF(AND(E350=0,F350=0),"Remove","To Buy"))))))))))</f>
        <v/>
      </c>
      <c r="D350" t="inlineStr">
        <is>
          <t>B2</t>
        </is>
      </c>
      <c r="E350" s="3">
        <f>SUM(M350:S350)</f>
        <v/>
      </c>
      <c r="F350" s="3">
        <f>SUM(T350:Z350)</f>
        <v/>
      </c>
      <c r="G350" s="3">
        <f>IF((F350-E350)&gt;=0,F350-E350,0)</f>
        <v/>
      </c>
      <c r="H350" s="3">
        <f>MAX(0,$E350-$F350-$J350)</f>
        <v/>
      </c>
      <c r="I350" s="3" t="n"/>
      <c r="J350" s="3" t="n"/>
      <c r="K350" s="4" t="n">
        <v>0.28</v>
      </c>
      <c r="L350" s="4">
        <f>IF(AND($H350&gt;0,ISNUMBER($K350)),$H350*$K350,0)</f>
        <v/>
      </c>
      <c r="M350" s="3" t="n"/>
      <c r="N350" s="3" t="n"/>
      <c r="O350" s="3" t="n"/>
      <c r="P350" s="3" t="n">
        <v>1</v>
      </c>
      <c r="Q350" s="3" t="n"/>
      <c r="R350" s="3" t="n"/>
      <c r="S350" s="3">
        <f>IF(AND(J350&lt;&gt;"",SUM(M350:R350)=0),J350,"")</f>
        <v/>
      </c>
      <c r="T350" s="3" t="n"/>
      <c r="U350" s="3" t="n"/>
      <c r="V350" s="3" t="n"/>
      <c r="W350" s="3" t="n">
        <v>1</v>
      </c>
      <c r="X350" s="3" t="n"/>
      <c r="Y350" s="3" t="n"/>
      <c r="Z350" s="3" t="n"/>
      <c r="AA350" s="2" t="inlineStr">
        <is>
          <t>Sorcery</t>
        </is>
      </c>
      <c r="AB350" s="2" t="n"/>
      <c r="AC350" s="2" t="inlineStr">
        <is>
          <t>B</t>
        </is>
      </c>
      <c r="AD350" s="3" t="n">
        <v>4</v>
      </c>
      <c r="AE350" s="29" t="inlineStr">
        <is>
          <t>Guilds of Ravnica</t>
        </is>
      </c>
      <c r="AF350" s="29" t="inlineStr">
        <is>
          <t>Board Wipe</t>
        </is>
      </c>
      <c r="AG350" s="29" t="inlineStr">
        <is>
          <t>Destroys all creatures with mana value 3 or less</t>
        </is>
      </c>
      <c r="AH350" s="29" t="n"/>
      <c r="AI350" s="29" t="n"/>
      <c r="AJ350" s="2" t="n"/>
    </row>
    <row r="351" ht="15" customHeight="1" s="79">
      <c r="A351" s="2" t="inlineStr">
        <is>
          <t>Roon of the Hidden Realm</t>
        </is>
      </c>
      <c r="B351" s="2">
        <f>IF(AND(F351&lt;&gt;0,E351=F351),"In Hand",IF(AND(E351&lt;&gt;0,E351&lt;F351,SUM(M351:R351)=0,SUM(T351:Y351)&gt;0),"Extra-Sub",IF(AND(E351=0,E351&lt;F351,SUM(M351:R351)=0,SUM(T351:Y351)&gt;0),"Bench-Sub",IF(AND(E351=0,F351&gt;0),"Bench",IF(E351&lt;F351,"Extra",IF(AND(J351="",E351&gt;F351),"To Buy",IF(SUM(J351,F351)&lt;E351,"To Buy",IF(AND(SUM(J351,F351)&gt;=E351,J351&lt;&gt;""),"Ordered",IF(AND(E351=0,F351=0,D351="B3"),"B3 Option",IF(AND(E351=0,F351=0),"Remove","To Buy"))))))))))</f>
        <v/>
      </c>
      <c r="D351" t="inlineStr">
        <is>
          <t>B2</t>
        </is>
      </c>
      <c r="E351" s="3">
        <f>SUM(M351:S351)</f>
        <v/>
      </c>
      <c r="F351" s="3">
        <f>SUM(T351:Z351)</f>
        <v/>
      </c>
      <c r="G351" s="3">
        <f>IF((F351-E351)&gt;=0,F351-E351,0)</f>
        <v/>
      </c>
      <c r="H351" s="3">
        <f>MAX(0,$E351-$F351-$J351)</f>
        <v/>
      </c>
      <c r="I351" s="3" t="n"/>
      <c r="J351" s="3" t="n"/>
      <c r="K351" s="4" t="n">
        <v>0.31</v>
      </c>
      <c r="L351" s="4">
        <f>IF(AND($H351&gt;0,ISNUMBER($K351)),$H351*$K351,0)</f>
        <v/>
      </c>
      <c r="M351" s="3" t="n"/>
      <c r="N351" s="3" t="n">
        <v>1</v>
      </c>
      <c r="O351" s="3" t="n"/>
      <c r="P351" s="3" t="n"/>
      <c r="Q351" s="3" t="n"/>
      <c r="R351" s="3" t="n"/>
      <c r="S351" s="3">
        <f>IF(AND(J351&lt;&gt;"",SUM(M351:R351)=0),J351,"")</f>
        <v/>
      </c>
      <c r="T351" s="3" t="n"/>
      <c r="U351" s="3" t="n">
        <v>1</v>
      </c>
      <c r="V351" s="3" t="n"/>
      <c r="W351" s="3" t="n"/>
      <c r="X351" s="3" t="n"/>
      <c r="Y351" s="3" t="n"/>
      <c r="Z351" s="3" t="n"/>
      <c r="AA351" s="2" t="inlineStr">
        <is>
          <t>Legendary Creature</t>
        </is>
      </c>
      <c r="AB351" s="2" t="inlineStr">
        <is>
          <t>Rhino Soldier</t>
        </is>
      </c>
      <c r="AC351" s="2" t="inlineStr">
        <is>
          <t>Multi</t>
        </is>
      </c>
      <c r="AD351" s="3" t="n">
        <v>5</v>
      </c>
      <c r="AE351" s="29" t="inlineStr">
        <is>
          <t>Commander 2013</t>
        </is>
      </c>
      <c r="AF351" s="29" t="inlineStr">
        <is>
          <t>Blink</t>
        </is>
      </c>
      <c r="AG351" s="29" t="inlineStr">
        <is>
          <t>Exiles another creature, returns it at next end step</t>
        </is>
      </c>
      <c r="AH351" s="29" t="inlineStr">
        <is>
          <t>Repeatable via {2}, tap activated ability</t>
        </is>
      </c>
      <c r="AI351" s="29" t="n"/>
      <c r="AJ351" s="2" t="inlineStr">
        <is>
          <t>Orders-sheet row = same physical copy (duplicate rule); not an extra</t>
        </is>
      </c>
    </row>
    <row r="352" ht="15" customHeight="1" s="79">
      <c r="A352" s="2" t="inlineStr">
        <is>
          <t>Rugged Prairie</t>
        </is>
      </c>
      <c r="B352" s="2">
        <f>IF(AND(F352&lt;&gt;0,E352=F352),"In Hand",IF(AND(E352&lt;&gt;0,E352&lt;F352,SUM(M352:R352)=0,SUM(T352:Y352)&gt;0),"Extra-Sub",IF(AND(E352=0,E352&lt;F352,SUM(M352:R352)=0,SUM(T352:Y352)&gt;0),"Bench-Sub",IF(AND(E352=0,F352&gt;0),"Bench",IF(E352&lt;F352,"Extra",IF(AND(J352="",E352&gt;F352),"To Buy",IF(SUM(J352,F352)&lt;E352,"To Buy",IF(AND(SUM(J352,F352)&gt;=E352,J352&lt;&gt;""),"Ordered",IF(AND(E352=0,F352=0,D352="B3"),"B3 Option",IF(AND(E352=0,F352=0),"Remove","To Buy"))))))))))</f>
        <v/>
      </c>
      <c r="D352" t="inlineStr">
        <is>
          <t>B2</t>
        </is>
      </c>
      <c r="E352" s="3">
        <f>SUM(M352:S352)</f>
        <v/>
      </c>
      <c r="F352" s="3">
        <f>SUM(T352:Z352)</f>
        <v/>
      </c>
      <c r="G352" s="3">
        <f>IF((F352-E352)&gt;=0,F352-E352,0)</f>
        <v/>
      </c>
      <c r="H352" s="3">
        <f>MAX(0,$E352-$F352-$J352)</f>
        <v/>
      </c>
      <c r="I352" s="3" t="n"/>
      <c r="J352" s="3" t="n"/>
      <c r="K352" s="4" t="n">
        <v>0.3</v>
      </c>
      <c r="L352" s="4">
        <f>IF(AND($H352&gt;0,ISNUMBER($K352)),$H352*$K352,0)</f>
        <v/>
      </c>
      <c r="M352" s="3" t="n">
        <v>1</v>
      </c>
      <c r="N352" s="3" t="n"/>
      <c r="O352" s="3" t="n"/>
      <c r="P352" s="3" t="n"/>
      <c r="Q352" s="3" t="n"/>
      <c r="R352" s="3" t="n"/>
      <c r="S352" s="3">
        <f>IF(AND(J352&lt;&gt;"",SUM(M352:R352)=0),J352,"")</f>
        <v/>
      </c>
      <c r="T352" s="3" t="n">
        <v>1</v>
      </c>
      <c r="U352" s="3" t="n"/>
      <c r="V352" s="3" t="n"/>
      <c r="W352" s="3" t="n"/>
      <c r="X352" s="3" t="n"/>
      <c r="Y352" s="3" t="n"/>
      <c r="Z352" s="3" t="n"/>
      <c r="AA352" s="2" t="inlineStr">
        <is>
          <t>Land</t>
        </is>
      </c>
      <c r="AB352" s="2" t="n"/>
      <c r="AC352" s="2" t="inlineStr">
        <is>
          <t>L</t>
        </is>
      </c>
      <c r="AD352" s="3" t="n">
        <v>0</v>
      </c>
      <c r="AE352" s="29" t="inlineStr">
        <is>
          <t>Eventide</t>
        </is>
      </c>
      <c r="AF352" s="29" t="inlineStr">
        <is>
          <t>Land</t>
        </is>
      </c>
      <c r="AG352" s="29" t="inlineStr">
        <is>
          <t>Taps for {C}</t>
        </is>
      </c>
      <c r="AH352" s="29" t="inlineStr">
        <is>
          <t>Pay a hybrid mana, tap: add two red and/or white mana</t>
        </is>
      </c>
      <c r="AI352" s="29" t="n"/>
      <c r="AJ352" s="2" t="n"/>
    </row>
    <row r="353" ht="15" customHeight="1" s="79">
      <c r="A353" s="2" t="inlineStr">
        <is>
          <t>Sacred Peaks</t>
        </is>
      </c>
      <c r="B353" s="2">
        <f>IF(AND(F353&lt;&gt;0,E353=F353),"In Hand",IF(AND(E353&lt;&gt;0,E353&lt;F353,SUM(M353:R353)=0,SUM(T353:Y353)&gt;0),"Extra-Sub",IF(AND(E353=0,E353&lt;F353,SUM(M353:R353)=0,SUM(T353:Y353)&gt;0),"Bench-Sub",IF(AND(E353=0,F353&gt;0),"Bench",IF(E353&lt;F353,"Extra",IF(AND(J353="",E353&gt;F353),"To Buy",IF(SUM(J353,F353)&lt;E353,"To Buy",IF(AND(SUM(J353,F353)&gt;=E353,J353&lt;&gt;""),"Ordered",IF(AND(E353=0,F353=0,D353="B3"),"B3 Option",IF(AND(E353=0,F353=0),"Remove","To Buy"))))))))))</f>
        <v/>
      </c>
      <c r="D353" t="inlineStr">
        <is>
          <t>B2</t>
        </is>
      </c>
      <c r="E353" s="3">
        <f>SUM(M353:S353)</f>
        <v/>
      </c>
      <c r="F353" s="3">
        <f>SUM(T353:Z353)</f>
        <v/>
      </c>
      <c r="G353" s="3">
        <f>IF((F353-E353)&gt;=0,F353-E353,0)</f>
        <v/>
      </c>
      <c r="H353" s="3">
        <f>MAX(0,$E353-$F353-$J353)</f>
        <v/>
      </c>
      <c r="I353" s="3" t="n"/>
      <c r="J353" s="3" t="n"/>
      <c r="K353" s="4" t="n">
        <v>0.28</v>
      </c>
      <c r="L353" s="4">
        <f>IF(AND($H353&gt;0,ISNUMBER($K353)),$H353*$K353,0)</f>
        <v/>
      </c>
      <c r="M353" s="3" t="n">
        <v>1</v>
      </c>
      <c r="N353" s="3" t="n"/>
      <c r="O353" s="3" t="n"/>
      <c r="P353" s="3" t="n"/>
      <c r="Q353" s="3" t="n"/>
      <c r="R353" s="3" t="n"/>
      <c r="S353" s="3">
        <f>IF(AND(J353&lt;&gt;"",SUM(M353:R353)=0),J353,"")</f>
        <v/>
      </c>
      <c r="T353" s="3" t="n">
        <v>1</v>
      </c>
      <c r="U353" s="3" t="n"/>
      <c r="V353" s="3" t="n"/>
      <c r="W353" s="3" t="n"/>
      <c r="X353" s="3" t="n"/>
      <c r="Y353" s="3" t="n"/>
      <c r="Z353" s="3" t="n"/>
      <c r="AA353" s="2" t="inlineStr">
        <is>
          <t>Land</t>
        </is>
      </c>
      <c r="AB353" s="2" t="inlineStr">
        <is>
          <t>Mountain Plains</t>
        </is>
      </c>
      <c r="AC353" s="2" t="inlineStr">
        <is>
          <t>L</t>
        </is>
      </c>
      <c r="AD353" s="3" t="n">
        <v>0</v>
      </c>
      <c r="AE353" s="29" t="inlineStr">
        <is>
          <t>Dominaria United</t>
        </is>
      </c>
      <c r="AF353" s="29" t="inlineStr">
        <is>
          <t>Land</t>
        </is>
      </c>
      <c r="AG353" s="29" t="inlineStr">
        <is>
          <t>Taps for {R} or {W}</t>
        </is>
      </c>
      <c r="AH353" s="29" t="inlineStr">
        <is>
          <t>Enters tapped</t>
        </is>
      </c>
      <c r="AI353" s="29" t="n"/>
      <c r="AJ353" s="2" t="n"/>
    </row>
    <row r="354" ht="15" customHeight="1" s="79">
      <c r="A354" s="2" t="inlineStr">
        <is>
          <t>Salvation Colossus</t>
        </is>
      </c>
      <c r="B354" s="2">
        <f>IF(AND(F354&lt;&gt;0,E354=F354),"In Hand",IF(AND(E354&lt;&gt;0,E354&lt;F354,SUM(M354:R354)=0,SUM(T354:Y354)&gt;0),"Extra-Sub",IF(AND(E354=0,E354&lt;F354,SUM(M354:R354)=0,SUM(T354:Y354)&gt;0),"Bench-Sub",IF(AND(E354=0,F354&gt;0),"Bench",IF(E354&lt;F354,"Extra",IF(AND(J354="",E354&gt;F354),"To Buy",IF(SUM(J354,F354)&lt;E354,"To Buy",IF(AND(SUM(J354,F354)&gt;=E354,J354&lt;&gt;""),"Ordered",IF(AND(E354=0,F354=0,D354="B3"),"B3 Option",IF(AND(E354=0,F354=0),"Remove","To Buy"))))))))))</f>
        <v/>
      </c>
      <c r="D354" t="inlineStr">
        <is>
          <t>B2</t>
        </is>
      </c>
      <c r="E354" s="3">
        <f>SUM(M354:S354)</f>
        <v/>
      </c>
      <c r="F354" s="3">
        <f>SUM(T354:Z354)</f>
        <v/>
      </c>
      <c r="G354" s="3">
        <f>IF((F354-E354)&gt;=0,F354-E354,0)</f>
        <v/>
      </c>
      <c r="H354" s="3">
        <f>MAX(0,$E354-$F354-$J354)</f>
        <v/>
      </c>
      <c r="I354" s="3" t="n"/>
      <c r="J354" s="3" t="n"/>
      <c r="K354" s="4" t="n">
        <v>0.73</v>
      </c>
      <c r="L354" s="4">
        <f>IF(AND($H354&gt;0,ISNUMBER($K354)),$H354*$K354,0)</f>
        <v/>
      </c>
      <c r="M354" s="3" t="n"/>
      <c r="N354" s="3" t="n"/>
      <c r="O354" s="3" t="n"/>
      <c r="P354" s="3" t="n">
        <v>1</v>
      </c>
      <c r="Q354" s="3" t="n"/>
      <c r="R354" s="3" t="n"/>
      <c r="S354" s="3">
        <f>IF(AND(J354&lt;&gt;"",SUM(M354:R354)=0),J354,"")</f>
        <v/>
      </c>
      <c r="T354" s="3" t="n"/>
      <c r="U354" s="3" t="n"/>
      <c r="V354" s="3" t="n"/>
      <c r="W354" s="3" t="n">
        <v>1</v>
      </c>
      <c r="X354" s="3" t="n"/>
      <c r="Y354" s="3" t="n"/>
      <c r="Z354" s="3" t="n"/>
      <c r="AA354" s="2" t="inlineStr">
        <is>
          <t>Artifact Creature</t>
        </is>
      </c>
      <c r="AB354" s="2" t="inlineStr">
        <is>
          <t>Construct</t>
        </is>
      </c>
      <c r="AC354" s="2" t="inlineStr">
        <is>
          <t>W</t>
        </is>
      </c>
      <c r="AD354" s="3" t="n">
        <v>8</v>
      </c>
      <c r="AE354" s="29" t="inlineStr">
        <is>
          <t>Modern Horizons 3 Commander</t>
        </is>
      </c>
      <c r="AF354" s="29" t="inlineStr">
        <is>
          <t>Finisher</t>
        </is>
      </c>
      <c r="AG354" s="29" t="inlineStr">
        <is>
          <t>Other creatures you control get +2/+2 and become indestructible when you attack</t>
        </is>
      </c>
      <c r="AH354" s="29" t="inlineStr">
        <is>
          <t>Can return from graveyard to the battlefield with haste by paying eight energy, then gets exiled</t>
        </is>
      </c>
      <c r="AI354" s="29" t="n"/>
      <c r="AJ354" s="2" t="n"/>
    </row>
    <row r="355" ht="15" customHeight="1" s="79">
      <c r="A355" s="2" t="inlineStr">
        <is>
          <t>Sapling of Colfenor</t>
        </is>
      </c>
      <c r="B355" s="2">
        <f>IF(AND(F355&lt;&gt;0,E355=F355),"In Hand",IF(AND(E355&lt;&gt;0,E355&lt;F355,SUM(M355:R355)=0,SUM(T355:Y355)&gt;0),"Extra-Sub",IF(AND(E355=0,E355&lt;F355,SUM(M355:R355)=0,SUM(T355:Y355)&gt;0),"Bench-Sub",IF(AND(E355=0,F355&gt;0),"Bench",IF(E355&lt;F355,"Extra",IF(AND(J355="",E355&gt;F355),"To Buy",IF(SUM(J355,F355)&lt;E355,"To Buy",IF(AND(SUM(J355,F355)&gt;=E355,J355&lt;&gt;""),"Ordered",IF(AND(E355=0,F355=0,D355="B3"),"B3 Option",IF(AND(E355=0,F355=0),"Remove","To Buy"))))))))))</f>
        <v/>
      </c>
      <c r="D355" t="inlineStr">
        <is>
          <t>B2</t>
        </is>
      </c>
      <c r="E355" s="3">
        <f>SUM(M355:S355)</f>
        <v/>
      </c>
      <c r="F355" s="3">
        <f>SUM(T355:Z355)</f>
        <v/>
      </c>
      <c r="G355" s="3">
        <f>IF((F355-E355)&gt;=0,F355-E355,0)</f>
        <v/>
      </c>
      <c r="H355" s="3">
        <f>MAX(0,$E355-$F355-$J355)</f>
        <v/>
      </c>
      <c r="I355" s="3" t="n"/>
      <c r="J355" s="3" t="n"/>
      <c r="K355" s="4" t="n">
        <v>6.74</v>
      </c>
      <c r="L355" s="4">
        <f>IF(AND($H355&gt;0,ISNUMBER($K355)),$H355*$K355,0)</f>
        <v/>
      </c>
      <c r="M355" s="3" t="n"/>
      <c r="N355" s="3" t="n"/>
      <c r="O355" s="3" t="n"/>
      <c r="P355" s="3" t="n">
        <v>1</v>
      </c>
      <c r="Q355" s="3" t="n"/>
      <c r="R355" s="3" t="n"/>
      <c r="S355" s="3">
        <f>IF(AND(J355&lt;&gt;"",SUM(M355:R355)=0),J355,"")</f>
        <v/>
      </c>
      <c r="T355" s="3" t="n"/>
      <c r="U355" s="3" t="n"/>
      <c r="V355" s="3" t="n"/>
      <c r="W355" s="3" t="n">
        <v>1</v>
      </c>
      <c r="X355" s="3" t="n"/>
      <c r="Y355" s="3" t="n"/>
      <c r="Z355" s="3" t="n"/>
      <c r="AA355" s="2" t="inlineStr">
        <is>
          <t>Legendary Creature</t>
        </is>
      </c>
      <c r="AB355" s="2" t="inlineStr">
        <is>
          <t>Treefolk Shaman</t>
        </is>
      </c>
      <c r="AC355" s="2" t="inlineStr">
        <is>
          <t>Opt-BG</t>
        </is>
      </c>
      <c r="AD355" s="3" t="n">
        <v>5</v>
      </c>
      <c r="AE355" s="29" t="inlineStr">
        <is>
          <t>Eventide</t>
        </is>
      </c>
      <c r="AF355" s="29" t="inlineStr">
        <is>
          <t>Card Advantage</t>
        </is>
      </c>
      <c r="AG355" s="29" t="inlineStr">
        <is>
          <t>Attacking reveals top card; if creature, gain life equal to its toughness</t>
        </is>
      </c>
      <c r="AH355" s="29" t="inlineStr">
        <is>
          <t>Lose life equal to that creature's power, then put it into hand</t>
        </is>
      </c>
      <c r="AI355" s="29" t="inlineStr">
        <is>
          <t>Indestructible body</t>
        </is>
      </c>
      <c r="AJ355" s="2" t="inlineStr">
        <is>
          <t>Tuned add</t>
        </is>
      </c>
    </row>
    <row r="356" ht="15" customHeight="1" s="79">
      <c r="A356" s="2" t="inlineStr">
        <is>
          <t>Satyr Wayfinder</t>
        </is>
      </c>
      <c r="B356" s="2">
        <f>IF(AND(F356&lt;&gt;0,E356=F356),"In Hand",IF(AND(E356&lt;&gt;0,E356&lt;F356,SUM(M356:R356)=0,SUM(T356:Y356)&gt;0),"Extra-Sub",IF(AND(E356=0,E356&lt;F356,SUM(M356:R356)=0,SUM(T356:Y356)&gt;0),"Bench-Sub",IF(AND(E356=0,F356&gt;0),"Bench",IF(E356&lt;F356,"Extra",IF(AND(J356="",E356&gt;F356),"To Buy",IF(SUM(J356,F356)&lt;E356,"To Buy",IF(AND(SUM(J356,F356)&gt;=E356,J356&lt;&gt;""),"Ordered",IF(AND(E356=0,F356=0,D356="B3"),"B3 Option",IF(AND(E356=0,F356=0),"Remove","To Buy"))))))))))</f>
        <v/>
      </c>
      <c r="D356" t="inlineStr">
        <is>
          <t>B2</t>
        </is>
      </c>
      <c r="E356" s="3">
        <f>SUM(M356:S356)</f>
        <v/>
      </c>
      <c r="F356" s="3">
        <f>SUM(T356:Z356)</f>
        <v/>
      </c>
      <c r="G356" s="3">
        <f>IF((F356-E356)&gt;=0,F356-E356,0)</f>
        <v/>
      </c>
      <c r="H356" s="3">
        <f>MAX(0,$E356-$F356-$J356)</f>
        <v/>
      </c>
      <c r="I356" s="3" t="n"/>
      <c r="J356" s="3" t="n"/>
      <c r="K356" s="4" t="n">
        <v>0.23</v>
      </c>
      <c r="L356" s="4">
        <f>IF(AND($H356&gt;0,ISNUMBER($K356)),$H356*$K356,0)</f>
        <v/>
      </c>
      <c r="M356" s="3" t="n"/>
      <c r="N356" s="3" t="n">
        <v>1</v>
      </c>
      <c r="O356" s="3" t="n"/>
      <c r="P356" s="3" t="n"/>
      <c r="Q356" s="3" t="n"/>
      <c r="R356" s="3" t="n"/>
      <c r="S356" s="3">
        <f>IF(AND(J356&lt;&gt;"",SUM(M356:R356)=0),J356,"")</f>
        <v/>
      </c>
      <c r="T356" s="3" t="n"/>
      <c r="U356" s="3" t="n">
        <v>1</v>
      </c>
      <c r="V356" s="3" t="n"/>
      <c r="W356" s="3" t="n"/>
      <c r="X356" s="3" t="n"/>
      <c r="Y356" s="3" t="n"/>
      <c r="Z356" s="3" t="n"/>
      <c r="AA356" s="2" t="inlineStr">
        <is>
          <t>Creature</t>
        </is>
      </c>
      <c r="AB356" s="2" t="inlineStr">
        <is>
          <t>Satyr</t>
        </is>
      </c>
      <c r="AC356" s="2" t="inlineStr">
        <is>
          <t>G</t>
        </is>
      </c>
      <c r="AD356" s="3" t="n">
        <v>2</v>
      </c>
      <c r="AE356" s="29" t="inlineStr">
        <is>
          <t>Born of the Gods</t>
        </is>
      </c>
      <c r="AF356" s="29" t="inlineStr">
        <is>
          <t>Card Selection</t>
        </is>
      </c>
      <c r="AG356" s="29" t="inlineStr">
        <is>
          <t>Reveals top four cards; puts a land card into your hand and the rest into your graveyard</t>
        </is>
      </c>
      <c r="AH356" s="29" t="n"/>
      <c r="AI356" s="29" t="n"/>
      <c r="AJ356" s="2" t="n"/>
    </row>
    <row r="357" ht="15" customHeight="1" s="79">
      <c r="A357" s="2" t="inlineStr">
        <is>
          <t>Scoured Barrens</t>
        </is>
      </c>
      <c r="B357" s="2">
        <f>IF(AND(F357&lt;&gt;0,E357=F357),"In Hand",IF(AND(E357&lt;&gt;0,E357&lt;F357,SUM(M357:R357)=0,SUM(T357:Y357)&gt;0),"Extra-Sub",IF(AND(E357=0,E357&lt;F357,SUM(M357:R357)=0,SUM(T357:Y357)&gt;0),"Bench-Sub",IF(AND(E357=0,F357&gt;0),"Bench",IF(E357&lt;F357,"Extra",IF(AND(J357="",E357&gt;F357),"To Buy",IF(SUM(J357,F357)&lt;E357,"To Buy",IF(AND(SUM(J357,F357)&gt;=E357,J357&lt;&gt;""),"Ordered",IF(AND(E357=0,F357=0,D357="B3"),"B3 Option",IF(AND(E357=0,F357=0),"Remove","To Buy"))))))))))</f>
        <v/>
      </c>
      <c r="D357" t="inlineStr">
        <is>
          <t>B2</t>
        </is>
      </c>
      <c r="E357" s="3">
        <f>SUM(M357:S357)</f>
        <v/>
      </c>
      <c r="F357" s="3">
        <f>SUM(T357:Z357)</f>
        <v/>
      </c>
      <c r="G357" s="3">
        <f>IF((F357-E357)&gt;=0,F357-E357,0)</f>
        <v/>
      </c>
      <c r="H357" s="3">
        <f>MAX(0,$E357-$F357-$J357)</f>
        <v/>
      </c>
      <c r="I357" s="3" t="n"/>
      <c r="J357" s="3" t="n"/>
      <c r="K357" s="4" t="n">
        <v>0.23</v>
      </c>
      <c r="L357" s="4">
        <f>IF(AND($H357&gt;0,ISNUMBER($K357)),$H357*$K357,0)</f>
        <v/>
      </c>
      <c r="M357" s="3" t="n"/>
      <c r="N357" s="3" t="n"/>
      <c r="O357" s="3" t="n"/>
      <c r="P357" s="3" t="n"/>
      <c r="Q357" s="3" t="n">
        <v>1</v>
      </c>
      <c r="R357" s="3" t="n"/>
      <c r="S357" s="3">
        <f>IF(AND(J357&lt;&gt;"",SUM(M357:R357)=0),J357,"")</f>
        <v/>
      </c>
      <c r="T357" s="3" t="n"/>
      <c r="U357" s="3" t="n"/>
      <c r="V357" s="3" t="n"/>
      <c r="W357" s="3" t="n"/>
      <c r="X357" s="3" t="n">
        <v>1</v>
      </c>
      <c r="Y357" s="3" t="n"/>
      <c r="Z357" s="3" t="n"/>
      <c r="AA357" s="2" t="inlineStr">
        <is>
          <t>Land</t>
        </is>
      </c>
      <c r="AB357" s="2" t="n"/>
      <c r="AC357" s="2" t="inlineStr">
        <is>
          <t>L</t>
        </is>
      </c>
      <c r="AD357" s="3" t="n">
        <v>0</v>
      </c>
      <c r="AE357" s="29" t="inlineStr">
        <is>
          <t>Khans of Tarkir</t>
        </is>
      </c>
      <c r="AF357" s="29" t="inlineStr">
        <is>
          <t>Land</t>
        </is>
      </c>
      <c r="AG357" s="29" t="inlineStr">
        <is>
          <t>Taps for {W} or {B}</t>
        </is>
      </c>
      <c r="AH357" s="29" t="inlineStr">
        <is>
          <t>Gain 1 life when it enters</t>
        </is>
      </c>
      <c r="AI357" s="29" t="n"/>
      <c r="AJ357" s="2" t="n"/>
      <c r="AK357" t="inlineStr">
        <is>
          <t>[B3 later] D5-&gt;B when Brightclimb Pathway is bought</t>
        </is>
      </c>
    </row>
    <row r="358" ht="15" customHeight="1" s="79">
      <c r="A358" s="2" t="inlineStr">
        <is>
          <t>Secret Rendezvous</t>
        </is>
      </c>
      <c r="B358" s="2">
        <f>IF(AND(F358&lt;&gt;0,E358=F358),"In Hand",IF(AND(E358&lt;&gt;0,E358&lt;F358,SUM(M358:R358)=0,SUM(T358:Y358)&gt;0),"Extra-Sub",IF(AND(E358=0,E358&lt;F358,SUM(M358:R358)=0,SUM(T358:Y358)&gt;0),"Bench-Sub",IF(AND(E358=0,F358&gt;0),"Bench",IF(E358&lt;F358,"Extra",IF(AND(J358="",E358&gt;F358),"To Buy",IF(SUM(J358,F358)&lt;E358,"To Buy",IF(AND(SUM(J358,F358)&gt;=E358,J358&lt;&gt;""),"Ordered",IF(AND(E358=0,F358=0,D358="B3"),"B3 Option",IF(AND(E358=0,F358=0),"Remove","To Buy"))))))))))</f>
        <v/>
      </c>
      <c r="D358" t="inlineStr">
        <is>
          <t>B2</t>
        </is>
      </c>
      <c r="E358" s="3">
        <f>SUM(M358:S358)</f>
        <v/>
      </c>
      <c r="F358" s="3">
        <f>SUM(T358:Z358)</f>
        <v/>
      </c>
      <c r="G358" s="3">
        <f>IF((F358-E358)&gt;=0,F358-E358,0)</f>
        <v/>
      </c>
      <c r="H358" s="3">
        <f>MAX(0,$E358-$F358-$J358)</f>
        <v/>
      </c>
      <c r="I358" s="3" t="n"/>
      <c r="J358" s="3" t="n"/>
      <c r="K358" s="4" t="n"/>
      <c r="L358" s="4">
        <f>IF(AND($H358&gt;0,ISNUMBER($K358)),$H358*$K358,0)</f>
        <v/>
      </c>
      <c r="M358" s="3" t="n"/>
      <c r="N358" s="3" t="n"/>
      <c r="O358" s="3" t="n"/>
      <c r="P358" s="3" t="n"/>
      <c r="Q358" s="3" t="n">
        <v>1</v>
      </c>
      <c r="R358" s="3" t="n"/>
      <c r="S358" s="3">
        <f>IF(AND(J358&lt;&gt;"",SUM(M358:R358)=0),J358,"")</f>
        <v/>
      </c>
      <c r="T358" s="3" t="n"/>
      <c r="U358" s="3" t="n"/>
      <c r="V358" s="3" t="n"/>
      <c r="W358" s="3" t="n"/>
      <c r="X358" s="3" t="n">
        <v>1</v>
      </c>
      <c r="Y358" s="3" t="n"/>
      <c r="Z358" s="3" t="n"/>
      <c r="AA358" s="2" t="inlineStr">
        <is>
          <t>Sorcery</t>
        </is>
      </c>
      <c r="AB358" s="2" t="n"/>
      <c r="AC358" s="2" t="inlineStr">
        <is>
          <t>W</t>
        </is>
      </c>
      <c r="AD358" s="3" t="n">
        <v>3</v>
      </c>
      <c r="AE358" s="29" t="inlineStr">
        <is>
          <t>Strixhaven: School of Mages</t>
        </is>
      </c>
      <c r="AF358" s="29" t="inlineStr">
        <is>
          <t>Card Draw</t>
        </is>
      </c>
      <c r="AG358" s="29" t="inlineStr">
        <is>
          <t>You and target opponent each draw three cards</t>
        </is>
      </c>
      <c r="AH358" s="29" t="n"/>
      <c r="AI358" s="29" t="n"/>
      <c r="AJ358" s="2" t="inlineStr">
        <is>
          <t>Cut in Tuned; Bench sub -&gt; D5 for Sign in Blood (2026-09-02)</t>
        </is>
      </c>
      <c r="AK358" t="inlineStr">
        <is>
          <t>[T+A] D2-&gt;D5 (bench sub) [done 2026-09-03]</t>
        </is>
      </c>
    </row>
    <row r="359" ht="15" customHeight="1" s="79">
      <c r="A359" s="2" t="inlineStr">
        <is>
          <t>Seize the Spoils</t>
        </is>
      </c>
      <c r="B359" s="2">
        <f>IF(AND(F359&lt;&gt;0,E359=F359),"In Hand",IF(AND(E359&lt;&gt;0,E359&lt;F359,SUM(M359:R359)=0,SUM(T359:Y359)&gt;0),"Extra-Sub",IF(AND(E359=0,E359&lt;F359,SUM(M359:R359)=0,SUM(T359:Y359)&gt;0),"Bench-Sub",IF(AND(E359=0,F359&gt;0),"Bench",IF(E359&lt;F359,"Extra",IF(AND(J359="",E359&gt;F359),"To Buy",IF(SUM(J359,F359)&lt;E359,"To Buy",IF(AND(SUM(J359,F359)&gt;=E359,J359&lt;&gt;""),"Ordered",IF(AND(E359=0,F359=0,D359="B3"),"B3 Option",IF(AND(E359=0,F359=0),"Remove","To Buy"))))))))))</f>
        <v/>
      </c>
      <c r="D359" t="inlineStr">
        <is>
          <t>B2</t>
        </is>
      </c>
      <c r="E359" s="3">
        <f>SUM(M359:S359)</f>
        <v/>
      </c>
      <c r="F359" s="3">
        <f>SUM(T359:Z359)</f>
        <v/>
      </c>
      <c r="G359" s="3">
        <f>IF((F359-E359)&gt;=0,F359-E359,0)</f>
        <v/>
      </c>
      <c r="H359" s="3">
        <f>MAX(0,$E359-$F359-$J359)</f>
        <v/>
      </c>
      <c r="I359" s="3" t="n"/>
      <c r="J359" s="3" t="n"/>
      <c r="K359" s="4" t="n">
        <v>0.22</v>
      </c>
      <c r="L359" s="4">
        <f>IF(AND($H359&gt;0,ISNUMBER($K359)),$H359*$K359,0)</f>
        <v/>
      </c>
      <c r="M359" s="3" t="n">
        <v>1</v>
      </c>
      <c r="N359" s="3" t="n"/>
      <c r="O359" s="3" t="n"/>
      <c r="P359" s="3" t="n"/>
      <c r="Q359" s="3" t="n"/>
      <c r="R359" s="3" t="n"/>
      <c r="S359" s="3">
        <f>IF(AND(J359&lt;&gt;"",SUM(M359:R359)=0),J359,"")</f>
        <v/>
      </c>
      <c r="T359" s="3" t="n">
        <v>1</v>
      </c>
      <c r="U359" s="3" t="n"/>
      <c r="V359" s="3" t="n"/>
      <c r="W359" s="3" t="n"/>
      <c r="X359" s="3" t="n"/>
      <c r="Y359" s="3" t="n"/>
      <c r="Z359" s="3" t="n"/>
      <c r="AA359" s="2" t="inlineStr">
        <is>
          <t>Sorcery</t>
        </is>
      </c>
      <c r="AB359" s="2" t="n"/>
      <c r="AC359" s="2" t="inlineStr">
        <is>
          <t>R</t>
        </is>
      </c>
      <c r="AD359" s="3" t="n">
        <v>3</v>
      </c>
      <c r="AE359" s="29" t="inlineStr">
        <is>
          <t>Kaldheim</t>
        </is>
      </c>
      <c r="AF359" s="29" t="inlineStr">
        <is>
          <t>Card Draw</t>
        </is>
      </c>
      <c r="AG359" s="29" t="inlineStr">
        <is>
          <t>Discard a card as an additional cost</t>
        </is>
      </c>
      <c r="AH359" s="29" t="inlineStr">
        <is>
          <t>Draw two cards and create a Treasure token</t>
        </is>
      </c>
      <c r="AI359" s="29" t="n"/>
      <c r="AJ359" s="2" t="n"/>
    </row>
    <row r="360" ht="15" customHeight="1" s="79">
      <c r="A360" s="2" t="inlineStr">
        <is>
          <t>Selfless Spirit</t>
        </is>
      </c>
      <c r="B360" s="2">
        <f>IF(AND(F360&lt;&gt;0,E360=F360),"In Hand",IF(AND(E360&lt;&gt;0,E360&lt;F360,SUM(M360:R360)=0,SUM(T360:Y360)&gt;0),"Extra-Sub",IF(AND(E360=0,E360&lt;F360,SUM(M360:R360)=0,SUM(T360:Y360)&gt;0),"Bench-Sub",IF(AND(E360=0,F360&gt;0),"Bench",IF(E360&lt;F360,"Extra",IF(AND(J360="",E360&gt;F360),"To Buy",IF(SUM(J360,F360)&lt;E360,"To Buy",IF(AND(SUM(J360,F360)&gt;=E360,J360&lt;&gt;""),"Ordered",IF(AND(E360=0,F360=0,D360="B3"),"B3 Option",IF(AND(E360=0,F360=0),"Remove","To Buy"))))))))))</f>
        <v/>
      </c>
      <c r="D360" t="inlineStr">
        <is>
          <t>B2</t>
        </is>
      </c>
      <c r="E360" s="3">
        <f>SUM(M360:S360)</f>
        <v/>
      </c>
      <c r="F360" s="3">
        <f>SUM(T360:Z360)</f>
        <v/>
      </c>
      <c r="G360" s="3">
        <f>IF((F360-E360)&gt;=0,F360-E360,0)</f>
        <v/>
      </c>
      <c r="H360" s="3">
        <f>MAX(0,$E360-$F360-$J360)</f>
        <v/>
      </c>
      <c r="I360" s="3" t="n"/>
      <c r="J360" s="3" t="n"/>
      <c r="K360" s="4" t="n">
        <v>0.4</v>
      </c>
      <c r="L360" s="4">
        <f>IF(AND($H360&gt;0,ISNUMBER($K360)),$H360*$K360,0)</f>
        <v/>
      </c>
      <c r="M360" s="3" t="n">
        <v>1</v>
      </c>
      <c r="N360" s="3" t="n"/>
      <c r="O360" s="3" t="n"/>
      <c r="P360" s="3" t="n"/>
      <c r="Q360" s="3" t="n"/>
      <c r="R360" s="3" t="n"/>
      <c r="S360" s="3">
        <f>IF(AND(J360&lt;&gt;"",SUM(M360:R360)=0),J360,"")</f>
        <v/>
      </c>
      <c r="T360" s="3" t="n">
        <v>1</v>
      </c>
      <c r="U360" s="3" t="n"/>
      <c r="V360" s="3" t="n"/>
      <c r="W360" s="3" t="n"/>
      <c r="X360" s="3" t="n"/>
      <c r="Y360" s="3" t="n"/>
      <c r="Z360" s="3" t="n"/>
      <c r="AA360" s="2" t="inlineStr">
        <is>
          <t>Creature</t>
        </is>
      </c>
      <c r="AB360" s="2" t="inlineStr">
        <is>
          <t>Spirit Cleric</t>
        </is>
      </c>
      <c r="AC360" s="2" t="inlineStr">
        <is>
          <t>W</t>
        </is>
      </c>
      <c r="AD360" s="3" t="n">
        <v>2</v>
      </c>
      <c r="AE360" s="29" t="inlineStr">
        <is>
          <t>Eldritch Moon</t>
        </is>
      </c>
      <c r="AF360" s="29" t="inlineStr">
        <is>
          <t>Protection</t>
        </is>
      </c>
      <c r="AG360" s="29" t="inlineStr">
        <is>
          <t>Flying body</t>
        </is>
      </c>
      <c r="AH360" s="29" t="inlineStr">
        <is>
          <t>Sacrifice: your creatures can't be destroyed until end of turn</t>
        </is>
      </c>
      <c r="AI360" s="29" t="n"/>
      <c r="AJ360" s="2" t="n"/>
    </row>
    <row r="361" ht="15" customHeight="1" s="79">
      <c r="A361" s="2" t="inlineStr">
        <is>
          <t>Serra Paragon</t>
        </is>
      </c>
      <c r="B361" s="2">
        <f>IF(AND(F361&lt;&gt;0,E361=F361),"In Hand",IF(AND(E361&lt;&gt;0,E361&lt;F361,SUM(M361:R361)=0,SUM(T361:Y361)&gt;0),"Extra-Sub",IF(AND(E361=0,E361&lt;F361,SUM(M361:R361)=0,SUM(T361:Y361)&gt;0),"Bench-Sub",IF(AND(E361=0,F361&gt;0),"Bench",IF(E361&lt;F361,"Extra",IF(AND(J361="",E361&gt;F361),"To Buy",IF(SUM(J361,F361)&lt;E361,"To Buy",IF(AND(SUM(J361,F361)&gt;=E361,J361&lt;&gt;""),"Ordered",IF(AND(E361=0,F361=0,D361="B3"),"B3 Option",IF(AND(E361=0,F361=0),"Remove","To Buy"))))))))))</f>
        <v/>
      </c>
      <c r="D361" t="inlineStr">
        <is>
          <t>B2</t>
        </is>
      </c>
      <c r="E361" s="3">
        <f>SUM(M361:S361)</f>
        <v/>
      </c>
      <c r="F361" s="3">
        <f>SUM(T361:Z361)</f>
        <v/>
      </c>
      <c r="G361" s="3">
        <f>IF((F361-E361)&gt;=0,F361-E361,0)</f>
        <v/>
      </c>
      <c r="H361" s="3">
        <f>MAX(0,$E361-$F361-$J361)</f>
        <v/>
      </c>
      <c r="I361" s="3" t="n"/>
      <c r="J361" s="3" t="n"/>
      <c r="K361" s="4" t="n">
        <v>0.57</v>
      </c>
      <c r="L361" s="4">
        <f>IF(AND($H361&gt;0,ISNUMBER($K361)),$H361*$K361,0)</f>
        <v/>
      </c>
      <c r="M361" s="3" t="n">
        <v>1</v>
      </c>
      <c r="N361" s="3" t="n"/>
      <c r="O361" s="3" t="n"/>
      <c r="P361" s="3" t="n"/>
      <c r="Q361" s="3" t="n"/>
      <c r="R361" s="3" t="n"/>
      <c r="S361" s="3">
        <f>IF(AND(J361&lt;&gt;"",SUM(M361:R361)=0),J361,"")</f>
        <v/>
      </c>
      <c r="T361" s="3" t="n">
        <v>1</v>
      </c>
      <c r="U361" s="3" t="n"/>
      <c r="V361" s="3" t="n"/>
      <c r="W361" s="3" t="n"/>
      <c r="X361" s="3" t="n"/>
      <c r="Y361" s="3" t="n"/>
      <c r="Z361" s="3" t="n"/>
      <c r="AA361" s="2" t="inlineStr">
        <is>
          <t>Creature</t>
        </is>
      </c>
      <c r="AB361" s="2" t="inlineStr">
        <is>
          <t>Angel</t>
        </is>
      </c>
      <c r="AC361" s="2" t="inlineStr">
        <is>
          <t>W</t>
        </is>
      </c>
      <c r="AD361" s="3" t="n">
        <v>4</v>
      </c>
      <c r="AE361" s="29" t="inlineStr">
        <is>
          <t>Dominaria United</t>
        </is>
      </c>
      <c r="AF361" s="29" t="inlineStr">
        <is>
          <t>Recursion</t>
        </is>
      </c>
      <c r="AG361" s="29" t="inlineStr">
        <is>
          <t>Flying body</t>
        </is>
      </c>
      <c r="AH361" s="29" t="inlineStr">
        <is>
          <t>Once per turn, play a land or cast a MV 3 or less permanent spell from your graveyard</t>
        </is>
      </c>
      <c r="AI361" s="29" t="inlineStr">
        <is>
          <t>That permanent exiles itself and gains you 2 life when it leaves the battlefield</t>
        </is>
      </c>
      <c r="AJ361" s="2" t="n"/>
    </row>
    <row r="362" ht="15" customHeight="1" s="79">
      <c r="A362" s="2" t="inlineStr">
        <is>
          <t>Sevinne's Reclamation</t>
        </is>
      </c>
      <c r="B362" s="2">
        <f>IF(AND(F362&lt;&gt;0,E362=F362),"In Hand",IF(AND(E362&lt;&gt;0,E362&lt;F362,SUM(M362:R362)=0,SUM(T362:Y362)&gt;0),"Extra-Sub",IF(AND(E362=0,E362&lt;F362,SUM(M362:R362)=0,SUM(T362:Y362)&gt;0),"Bench-Sub",IF(AND(E362=0,F362&gt;0),"Bench",IF(E362&lt;F362,"Extra",IF(AND(J362="",E362&gt;F362),"To Buy",IF(SUM(J362,F362)&lt;E362,"To Buy",IF(AND(SUM(J362,F362)&gt;=E362,J362&lt;&gt;""),"Ordered",IF(AND(E362=0,F362=0,D362="B3"),"B3 Option",IF(AND(E362=0,F362=0),"Remove","To Buy"))))))))))</f>
        <v/>
      </c>
      <c r="D362" t="inlineStr">
        <is>
          <t>B2</t>
        </is>
      </c>
      <c r="E362" s="3">
        <f>SUM(M362:S362)</f>
        <v/>
      </c>
      <c r="F362" s="3">
        <f>SUM(T362:Z362)</f>
        <v/>
      </c>
      <c r="G362" s="3">
        <f>IF((F362-E362)&gt;=0,F362-E362,0)</f>
        <v/>
      </c>
      <c r="H362" s="3">
        <f>MAX(0,$E362-$F362-$J362)</f>
        <v/>
      </c>
      <c r="I362" s="3" t="n"/>
      <c r="J362" s="3" t="n"/>
      <c r="K362" s="4" t="n">
        <v>0.39</v>
      </c>
      <c r="L362" s="4">
        <f>IF(AND($H362&gt;0,ISNUMBER($K362)),$H362*$K362,0)</f>
        <v/>
      </c>
      <c r="M362" s="3" t="n">
        <v>1</v>
      </c>
      <c r="N362" s="3" t="n">
        <v>1</v>
      </c>
      <c r="O362" s="3" t="n"/>
      <c r="P362" s="3" t="n"/>
      <c r="Q362" s="3" t="n"/>
      <c r="R362" s="3" t="n"/>
      <c r="S362" s="3">
        <f>IF(AND(J362&lt;&gt;"",SUM(M362:R362)=0),J362,"")</f>
        <v/>
      </c>
      <c r="T362" s="3" t="n">
        <v>1</v>
      </c>
      <c r="U362" s="3" t="n">
        <v>1</v>
      </c>
      <c r="V362" s="3" t="n"/>
      <c r="W362" s="3" t="n"/>
      <c r="X362" s="3" t="n"/>
      <c r="Y362" s="3" t="n"/>
      <c r="Z362" s="3" t="n"/>
      <c r="AA362" s="2" t="inlineStr">
        <is>
          <t>Sorcery</t>
        </is>
      </c>
      <c r="AB362" s="2" t="n"/>
      <c r="AC362" s="2" t="inlineStr">
        <is>
          <t>W</t>
        </is>
      </c>
      <c r="AD362" s="3" t="n">
        <v>3</v>
      </c>
      <c r="AE362" s="29" t="inlineStr">
        <is>
          <t>Commander 2019</t>
        </is>
      </c>
      <c r="AF362" s="29" t="inlineStr">
        <is>
          <t>Recursion</t>
        </is>
      </c>
      <c r="AG362" s="29" t="inlineStr">
        <is>
          <t>Returns a MV 3 or less permanent from graveyard to battlefield</t>
        </is>
      </c>
      <c r="AH362" s="29" t="inlineStr">
        <is>
          <t>If cast from graveyard, copy the spell with a new target</t>
        </is>
      </c>
      <c r="AI362" s="29" t="inlineStr">
        <is>
          <t>Flashback lets you cast it from graveyard</t>
        </is>
      </c>
      <c r="AJ362" s="2" t="n"/>
    </row>
    <row r="363" ht="15" customHeight="1" s="79">
      <c r="A363" s="2" t="inlineStr">
        <is>
          <t>Shalai, Voice of Plenty</t>
        </is>
      </c>
      <c r="B363" s="2">
        <f>IF(AND(F363&lt;&gt;0,E363=F363),"In Hand",IF(AND(E363&lt;&gt;0,E363&lt;F363,SUM(M363:R363)=0,SUM(T363:Y363)&gt;0),"Extra-Sub",IF(AND(E363=0,E363&lt;F363,SUM(M363:R363)=0,SUM(T363:Y363)&gt;0),"Bench-Sub",IF(AND(E363=0,F363&gt;0),"Bench",IF(E363&lt;F363,"Extra",IF(AND(J363="",E363&gt;F363),"To Buy",IF(SUM(J363,F363)&lt;E363,"To Buy",IF(AND(SUM(J363,F363)&gt;=E363,J363&lt;&gt;""),"Ordered",IF(AND(E363=0,F363=0,D363="B3"),"B3 Option",IF(AND(E363=0,F363=0),"Remove","To Buy"))))))))))</f>
        <v/>
      </c>
      <c r="D363" t="inlineStr">
        <is>
          <t>B2</t>
        </is>
      </c>
      <c r="E363" s="3">
        <f>SUM(M363:S363)</f>
        <v/>
      </c>
      <c r="F363" s="3">
        <f>SUM(T363:Z363)</f>
        <v/>
      </c>
      <c r="G363" s="3">
        <f>IF((F363-E363)&gt;=0,F363-E363,0)</f>
        <v/>
      </c>
      <c r="H363" s="3">
        <f>MAX(0,$E363-$F363-$J363)</f>
        <v/>
      </c>
      <c r="I363" s="3" t="n"/>
      <c r="J363" s="3" t="n"/>
      <c r="K363" s="4" t="n">
        <v>1.16</v>
      </c>
      <c r="L363" s="4">
        <f>IF(AND($H363&gt;0,ISNUMBER($K363)),$H363*$K363,0)</f>
        <v/>
      </c>
      <c r="M363" s="3" t="n"/>
      <c r="N363" s="3" t="n"/>
      <c r="O363" s="3" t="n"/>
      <c r="P363" s="3" t="n">
        <v>1</v>
      </c>
      <c r="Q363" s="3" t="n"/>
      <c r="R363" s="3" t="n"/>
      <c r="S363" s="3">
        <f>IF(AND(J363&lt;&gt;"",SUM(M363:R363)=0),J363,"")</f>
        <v/>
      </c>
      <c r="T363" s="3" t="n"/>
      <c r="U363" s="3" t="n"/>
      <c r="V363" s="3" t="n"/>
      <c r="W363" s="3" t="n">
        <v>1</v>
      </c>
      <c r="X363" s="3" t="n"/>
      <c r="Y363" s="3" t="n"/>
      <c r="Z363" s="3" t="n"/>
      <c r="AA363" s="2" t="inlineStr">
        <is>
          <t>Legendary Creature</t>
        </is>
      </c>
      <c r="AB363" s="2" t="inlineStr">
        <is>
          <t>Angel</t>
        </is>
      </c>
      <c r="AC363" s="2" t="inlineStr">
        <is>
          <t>W</t>
        </is>
      </c>
      <c r="AD363" s="3" t="n">
        <v>4</v>
      </c>
      <c r="AE363" s="29" t="inlineStr">
        <is>
          <t>Dominaria</t>
        </is>
      </c>
      <c r="AF363" s="29" t="inlineStr">
        <is>
          <t>Protection</t>
        </is>
      </c>
      <c r="AG363" s="29" t="inlineStr">
        <is>
          <t>You, your planeswalkers, and your other creatures can't be targeted by opponents</t>
        </is>
      </c>
      <c r="AH363" s="29" t="inlineStr">
        <is>
          <t>Pay {4}{G}{G} to put a +1/+1 counter on each creature you control</t>
        </is>
      </c>
      <c r="AI363" s="29" t="n"/>
      <c r="AJ363" s="2" t="n"/>
    </row>
    <row r="364" ht="15" customHeight="1" s="79">
      <c r="A364" s="2" t="inlineStr">
        <is>
          <t>Sheltering Word</t>
        </is>
      </c>
      <c r="B364" s="2">
        <f>IF(AND(F364&lt;&gt;0,E364=F364),"In Hand",IF(AND(E364&lt;&gt;0,E364&lt;F364,SUM(M364:R364)=0,SUM(T364:Y364)&gt;0),"Extra-Sub",IF(AND(E364=0,E364&lt;F364,SUM(M364:R364)=0,SUM(T364:Y364)&gt;0),"Bench-Sub",IF(AND(E364=0,F364&gt;0),"Bench",IF(E364&lt;F364,"Extra",IF(AND(J364="",E364&gt;F364),"To Buy",IF(SUM(J364,F364)&lt;E364,"To Buy",IF(AND(SUM(J364,F364)&gt;=E364,J364&lt;&gt;""),"Ordered",IF(AND(E364=0,F364=0,D364="B3"),"B3 Option",IF(AND(E364=0,F364=0),"Remove","To Buy"))))))))))</f>
        <v/>
      </c>
      <c r="D364" t="inlineStr">
        <is>
          <t>B2</t>
        </is>
      </c>
      <c r="E364" s="3">
        <f>SUM(M364:S364)</f>
        <v/>
      </c>
      <c r="F364" s="3">
        <f>SUM(T364:Z364)</f>
        <v/>
      </c>
      <c r="G364" s="3">
        <f>IF((F364-E364)&gt;=0,F364-E364,0)</f>
        <v/>
      </c>
      <c r="H364" s="3">
        <f>MAX(0,$E364-$F364-$J364)</f>
        <v/>
      </c>
      <c r="I364" s="3" t="n"/>
      <c r="J364" s="3" t="n"/>
      <c r="K364" s="4" t="n">
        <v>0.19</v>
      </c>
      <c r="L364" s="4">
        <f>IF(AND($H364&gt;0,ISNUMBER($K364)),$H364*$K364,0)</f>
        <v/>
      </c>
      <c r="M364" s="3" t="n"/>
      <c r="N364" s="3" t="n">
        <v>1</v>
      </c>
      <c r="O364" s="3" t="n"/>
      <c r="P364" s="3" t="n"/>
      <c r="Q364" s="3" t="n"/>
      <c r="R364" s="3" t="n"/>
      <c r="S364" s="3">
        <f>IF(AND(J364&lt;&gt;"",SUM(M364:R364)=0),J364,"")</f>
        <v/>
      </c>
      <c r="T364" s="3" t="n"/>
      <c r="U364" s="3" t="n">
        <v>1</v>
      </c>
      <c r="V364" s="3" t="n"/>
      <c r="W364" s="3" t="n"/>
      <c r="X364" s="3" t="n"/>
      <c r="Y364" s="3" t="n"/>
      <c r="Z364" s="3" t="n"/>
      <c r="AA364" s="2" t="inlineStr">
        <is>
          <t>Instant</t>
        </is>
      </c>
      <c r="AB364" s="2" t="n"/>
      <c r="AC364" s="2" t="inlineStr">
        <is>
          <t>G</t>
        </is>
      </c>
      <c r="AD364" s="3" t="n">
        <v>2</v>
      </c>
      <c r="AE364" s="29" t="inlineStr">
        <is>
          <t>Avacyn Restored</t>
        </is>
      </c>
      <c r="AF364" s="29" t="inlineStr">
        <is>
          <t>Protection</t>
        </is>
      </c>
      <c r="AG364" s="29" t="inlineStr">
        <is>
          <t>Target creature you control can't be targeted by opponents until end of turn</t>
        </is>
      </c>
      <c r="AH364" s="29" t="inlineStr">
        <is>
          <t>You gain life equal to that creature's toughness</t>
        </is>
      </c>
      <c r="AI364" s="29" t="n"/>
      <c r="AJ364" s="2" t="n"/>
    </row>
    <row r="365" ht="15" customHeight="1" s="79">
      <c r="A365" s="2" t="inlineStr">
        <is>
          <t>Shinestriker</t>
        </is>
      </c>
      <c r="B365" s="2">
        <f>IF(AND(F365&lt;&gt;0,E365=F365),"In Hand",IF(AND(E365&lt;&gt;0,E365&lt;F365,SUM(M365:R365)=0,SUM(T365:Y365)&gt;0),"Extra-Sub",IF(AND(E365=0,E365&lt;F365,SUM(M365:R365)=0,SUM(T365:Y365)&gt;0),"Bench-Sub",IF(AND(E365=0,F365&gt;0),"Bench",IF(E365&lt;F365,"Extra",IF(AND(J365="",E365&gt;F365),"To Buy",IF(SUM(J365,F365)&lt;E365,"To Buy",IF(AND(SUM(J365,F365)&gt;=E365,J365&lt;&gt;""),"Ordered",IF(AND(E365=0,F365=0,D365="B3"),"B3 Option",IF(AND(E365=0,F365=0),"Remove","To Buy"))))))))))</f>
        <v/>
      </c>
      <c r="D365" t="inlineStr">
        <is>
          <t>B2</t>
        </is>
      </c>
      <c r="E365" s="3">
        <f>SUM(M365:S365)</f>
        <v/>
      </c>
      <c r="F365" s="3">
        <f>SUM(T365:Z365)</f>
        <v/>
      </c>
      <c r="G365" s="3">
        <f>IF((F365-E365)&gt;=0,F365-E365,0)</f>
        <v/>
      </c>
      <c r="H365" s="3">
        <f>MAX(0,$E365-$F365-$J365)</f>
        <v/>
      </c>
      <c r="I365" s="3" t="n"/>
      <c r="J365" s="3" t="n"/>
      <c r="K365" s="4" t="n">
        <v>0.26</v>
      </c>
      <c r="L365" s="4">
        <f>IF(AND($H365&gt;0,ISNUMBER($K365)),$H365*$K365,0)</f>
        <v/>
      </c>
      <c r="M365" s="3" t="n"/>
      <c r="N365" s="3" t="n">
        <v>1</v>
      </c>
      <c r="O365" s="3" t="n"/>
      <c r="P365" s="3" t="n"/>
      <c r="Q365" s="3" t="n"/>
      <c r="R365" s="3" t="n"/>
      <c r="S365" s="3">
        <f>IF(AND(J365&lt;&gt;"",SUM(M365:R365)=0),J365,"")</f>
        <v/>
      </c>
      <c r="T365" s="3" t="n"/>
      <c r="U365" s="3" t="n">
        <v>1</v>
      </c>
      <c r="V365" s="3" t="n"/>
      <c r="W365" s="3" t="n"/>
      <c r="X365" s="3" t="n"/>
      <c r="Y365" s="3" t="n"/>
      <c r="Z365" s="3" t="n"/>
      <c r="AA365" s="2" t="inlineStr">
        <is>
          <t>Creature</t>
        </is>
      </c>
      <c r="AB365" s="2" t="inlineStr">
        <is>
          <t>Elemental</t>
        </is>
      </c>
      <c r="AC365" s="2" t="inlineStr">
        <is>
          <t>U</t>
        </is>
      </c>
      <c r="AD365" s="3" t="n">
        <v>6</v>
      </c>
      <c r="AE365" s="29" t="inlineStr">
        <is>
          <t>Lorwyn Eclipsed</t>
        </is>
      </c>
      <c r="AF365" s="29" t="inlineStr">
        <is>
          <t>Card Draw</t>
        </is>
      </c>
      <c r="AG365" s="29" t="inlineStr">
        <is>
          <t>Draws a card for each color among permanents you control</t>
        </is>
      </c>
      <c r="AH365" s="29" t="n"/>
      <c r="AI365" s="29" t="n"/>
      <c r="AJ365" s="2" t="n"/>
    </row>
    <row r="366" ht="15" customHeight="1" s="79">
      <c r="A366" s="2" t="inlineStr">
        <is>
          <t>Shore Lurker</t>
        </is>
      </c>
      <c r="B366" s="2">
        <f>IF(AND(F366&lt;&gt;0,E366=F366),"In Hand",IF(AND(E366&lt;&gt;0,E366&lt;F366,SUM(M366:R366)=0,SUM(T366:Y366)&gt;0),"Extra-Sub",IF(AND(E366=0,E366&lt;F366,SUM(M366:R366)=0,SUM(T366:Y366)&gt;0),"Bench-Sub",IF(AND(E366=0,F366&gt;0),"Bench",IF(E366&lt;F366,"Extra",IF(AND(J366="",E366&gt;F366),"To Buy",IF(SUM(J366,F366)&lt;E366,"To Buy",IF(AND(SUM(J366,F366)&gt;=E366,J366&lt;&gt;""),"Ordered",IF(AND(E366=0,F366=0,D366="B3"),"B3 Option",IF(AND(E366=0,F366=0),"Remove","To Buy"))))))))))</f>
        <v/>
      </c>
      <c r="D366" t="inlineStr">
        <is>
          <t>B2</t>
        </is>
      </c>
      <c r="E366" s="3">
        <f>SUM(M366:S366)</f>
        <v/>
      </c>
      <c r="F366" s="3">
        <f>SUM(T366:Z366)</f>
        <v/>
      </c>
      <c r="G366" s="3">
        <f>IF((F366-E366)&gt;=0,F366-E366,0)</f>
        <v/>
      </c>
      <c r="H366" s="3">
        <f>MAX(0,$E366-$F366-$J366)</f>
        <v/>
      </c>
      <c r="I366" s="3" t="n"/>
      <c r="J366" s="3" t="n"/>
      <c r="K366" s="4" t="n">
        <v>0.11</v>
      </c>
      <c r="L366" s="4">
        <f>IF(AND($H366&gt;0,ISNUMBER($K366)),$H366*$K366,0)</f>
        <v/>
      </c>
      <c r="M366" s="3" t="n"/>
      <c r="N366" s="3" t="n">
        <v>1</v>
      </c>
      <c r="O366" s="3" t="n"/>
      <c r="P366" s="3" t="n"/>
      <c r="Q366" s="3" t="n"/>
      <c r="R366" s="3" t="n"/>
      <c r="S366" s="3">
        <f>IF(AND(J366&lt;&gt;"",SUM(M366:R366)=0),J366,"")</f>
        <v/>
      </c>
      <c r="T366" s="3" t="n"/>
      <c r="U366" s="3" t="n">
        <v>1</v>
      </c>
      <c r="V366" s="3" t="n"/>
      <c r="W366" s="3" t="n"/>
      <c r="X366" s="3" t="n"/>
      <c r="Y366" s="3" t="n"/>
      <c r="Z366" s="3" t="n"/>
      <c r="AA366" s="2" t="inlineStr">
        <is>
          <t>Creature</t>
        </is>
      </c>
      <c r="AB366" s="2" t="inlineStr">
        <is>
          <t>Merfolk Scout</t>
        </is>
      </c>
      <c r="AC366" s="2" t="inlineStr">
        <is>
          <t>W</t>
        </is>
      </c>
      <c r="AD366" s="3" t="n">
        <v>4</v>
      </c>
      <c r="AE366" s="29" t="inlineStr">
        <is>
          <t>Lorwyn Eclipsed</t>
        </is>
      </c>
      <c r="AF366" s="29" t="inlineStr">
        <is>
          <t>Card Selection</t>
        </is>
      </c>
      <c r="AG366" s="29" t="inlineStr">
        <is>
          <t>Surveil 1 when it enters</t>
        </is>
      </c>
      <c r="AH366" s="29" t="inlineStr">
        <is>
          <t>Flying body</t>
        </is>
      </c>
      <c r="AI366" s="29" t="n"/>
      <c r="AJ366" s="2" t="n"/>
      <c r="AK366" t="inlineStr">
        <is>
          <t>[B3 later] D2-&gt;B when Rhystic Study is bought</t>
        </is>
      </c>
    </row>
    <row r="367" ht="15" customHeight="1" s="79">
      <c r="A367" s="2" t="inlineStr">
        <is>
          <t>Sidar Kondo of Jamuraa</t>
        </is>
      </c>
      <c r="B367" s="2">
        <f>IF(AND(F367&lt;&gt;0,E367=F367),"In Hand",IF(AND(E367&lt;&gt;0,E367&lt;F367,SUM(M367:R367)=0,SUM(T367:Y367)&gt;0),"Extra-Sub",IF(AND(E367=0,E367&lt;F367,SUM(M367:R367)=0,SUM(T367:Y367)&gt;0),"Bench-Sub",IF(AND(E367=0,F367&gt;0),"Bench",IF(E367&lt;F367,"Extra",IF(AND(J367="",E367&gt;F367),"To Buy",IF(SUM(J367,F367)&lt;E367,"To Buy",IF(AND(SUM(J367,F367)&gt;=E367,J367&lt;&gt;""),"Ordered",IF(AND(E367=0,F367=0,D367="B3"),"B3 Option",IF(AND(E367=0,F367=0),"Remove","To Buy"))))))))))</f>
        <v/>
      </c>
      <c r="D367" t="inlineStr">
        <is>
          <t>B2</t>
        </is>
      </c>
      <c r="E367" s="3">
        <f>SUM(M367:S367)</f>
        <v/>
      </c>
      <c r="F367" s="3">
        <f>SUM(T367:Z367)</f>
        <v/>
      </c>
      <c r="G367" s="3">
        <f>IF((F367-E367)&gt;=0,F367-E367,0)</f>
        <v/>
      </c>
      <c r="H367" s="3">
        <f>MAX(0,$E367-$F367-$J367)</f>
        <v/>
      </c>
      <c r="I367" s="3" t="n"/>
      <c r="J367" s="3" t="n"/>
      <c r="K367" s="4" t="n">
        <v>0.28</v>
      </c>
      <c r="L367" s="4">
        <f>IF(AND($H367&gt;0,ISNUMBER($K367)),$H367*$K367,0)</f>
        <v/>
      </c>
      <c r="M367" s="3" t="n"/>
      <c r="N367" s="3" t="n"/>
      <c r="O367" s="3" t="n"/>
      <c r="P367" s="3" t="n">
        <v>1</v>
      </c>
      <c r="Q367" s="3" t="n"/>
      <c r="R367" s="3" t="n"/>
      <c r="S367" s="3">
        <f>IF(AND(J367&lt;&gt;"",SUM(M367:R367)=0),J367,"")</f>
        <v/>
      </c>
      <c r="T367" s="3" t="n"/>
      <c r="U367" s="3" t="n"/>
      <c r="V367" s="3" t="n"/>
      <c r="W367" s="3" t="n">
        <v>1</v>
      </c>
      <c r="X367" s="3" t="n"/>
      <c r="Y367" s="3" t="n"/>
      <c r="Z367" s="3" t="n"/>
      <c r="AA367" s="2" t="inlineStr">
        <is>
          <t>Legendary Creature</t>
        </is>
      </c>
      <c r="AB367" s="2" t="inlineStr">
        <is>
          <t>Human Knight</t>
        </is>
      </c>
      <c r="AC367" s="2" t="inlineStr">
        <is>
          <t>Multi</t>
        </is>
      </c>
      <c r="AD367" s="3" t="n">
        <v>4</v>
      </c>
      <c r="AE367" s="29" t="inlineStr">
        <is>
          <t>Commander 2016</t>
        </is>
      </c>
      <c r="AF367" s="29" t="inlineStr">
        <is>
          <t>Evasion</t>
        </is>
      </c>
      <c r="AG367" s="29" t="inlineStr">
        <is>
          <t>Your creatures with power 2 or less can't be blocked by creatures without flying or reach</t>
        </is>
      </c>
      <c r="AH367" s="29" t="inlineStr">
        <is>
          <t>Can have two commanders if paired with another partner commander</t>
        </is>
      </c>
      <c r="AI367" s="29" t="n"/>
      <c r="AJ367" s="2" t="n"/>
    </row>
    <row r="368" ht="15" customHeight="1" s="79">
      <c r="A368" s="2" t="inlineStr">
        <is>
          <t>Siren's Ruse</t>
        </is>
      </c>
      <c r="B368" s="2">
        <f>IF(AND(F368&lt;&gt;0,E368=F368),"In Hand",IF(AND(E368&lt;&gt;0,E368&lt;F368,SUM(M368:R368)=0,SUM(T368:Y368)&gt;0),"Extra-Sub",IF(AND(E368=0,E368&lt;F368,SUM(M368:R368)=0,SUM(T368:Y368)&gt;0),"Bench-Sub",IF(AND(E368=0,F368&gt;0),"Bench",IF(E368&lt;F368,"Extra",IF(AND(J368="",E368&gt;F368),"To Buy",IF(SUM(J368,F368)&lt;E368,"To Buy",IF(AND(SUM(J368,F368)&gt;=E368,J368&lt;&gt;""),"Ordered",IF(AND(E368=0,F368=0,D368="B3"),"B3 Option",IF(AND(E368=0,F368=0),"Remove","To Buy"))))))))))</f>
        <v/>
      </c>
      <c r="D368" t="inlineStr">
        <is>
          <t>B2</t>
        </is>
      </c>
      <c r="E368" s="3">
        <f>SUM(M368:S368)</f>
        <v/>
      </c>
      <c r="F368" s="3">
        <f>SUM(T368:Z368)</f>
        <v/>
      </c>
      <c r="G368" s="3">
        <f>IF((F368-E368)&gt;=0,F368-E368,0)</f>
        <v/>
      </c>
      <c r="H368" s="3">
        <f>MAX(0,$E368-$F368-$J368)</f>
        <v/>
      </c>
      <c r="I368" s="3" t="n"/>
      <c r="J368" s="3" t="n"/>
      <c r="K368" s="4" t="n">
        <v>0.23</v>
      </c>
      <c r="L368" s="4">
        <f>IF(AND($H368&gt;0,ISNUMBER($K368)),$H368*$K368,0)</f>
        <v/>
      </c>
      <c r="M368" s="3" t="n"/>
      <c r="N368" s="3" t="n">
        <v>1</v>
      </c>
      <c r="O368" s="3" t="n"/>
      <c r="P368" s="3" t="n"/>
      <c r="Q368" s="3" t="n"/>
      <c r="R368" s="3" t="n"/>
      <c r="S368" s="3">
        <f>IF(AND(J368&lt;&gt;"",SUM(M368:R368)=0),J368,"")</f>
        <v/>
      </c>
      <c r="T368" s="3" t="n"/>
      <c r="U368" s="3" t="n">
        <v>1</v>
      </c>
      <c r="V368" s="3" t="n"/>
      <c r="W368" s="3" t="n"/>
      <c r="X368" s="3" t="n"/>
      <c r="Y368" s="3" t="n"/>
      <c r="Z368" s="3" t="n"/>
      <c r="AA368" s="2" t="inlineStr">
        <is>
          <t>Instant</t>
        </is>
      </c>
      <c r="AB368" s="2" t="n"/>
      <c r="AC368" s="2" t="inlineStr">
        <is>
          <t>U</t>
        </is>
      </c>
      <c r="AD368" s="3" t="n">
        <v>2</v>
      </c>
      <c r="AE368" s="29" t="inlineStr">
        <is>
          <t>Ixalan</t>
        </is>
      </c>
      <c r="AF368" s="29" t="inlineStr">
        <is>
          <t>Blink</t>
        </is>
      </c>
      <c r="AG368" s="29" t="inlineStr">
        <is>
          <t>Exiles then returns target creature you control</t>
        </is>
      </c>
      <c r="AH368" s="29" t="inlineStr">
        <is>
          <t>Draw a card if the exiled creature was a Pirate</t>
        </is>
      </c>
      <c r="AI368" s="29" t="n"/>
      <c r="AJ368" s="2" t="n"/>
    </row>
    <row r="369" ht="15" customHeight="1" s="79">
      <c r="A369" s="2" t="inlineStr">
        <is>
          <t>Skyclave Apparition</t>
        </is>
      </c>
      <c r="B369" s="2">
        <f>IF(AND(F369&lt;&gt;0,E369=F369),"In Hand",IF(AND(E369&lt;&gt;0,E369&lt;F369,SUM(M369:R369)=0,SUM(T369:Y369)&gt;0),"Extra-Sub",IF(AND(E369=0,E369&lt;F369,SUM(M369:R369)=0,SUM(T369:Y369)&gt;0),"Bench-Sub",IF(AND(E369=0,F369&gt;0),"Bench",IF(E369&lt;F369,"Extra",IF(AND(J369="",E369&gt;F369),"To Buy",IF(SUM(J369,F369)&lt;E369,"To Buy",IF(AND(SUM(J369,F369)&gt;=E369,J369&lt;&gt;""),"Ordered",IF(AND(E369=0,F369=0,D369="B3"),"B3 Option",IF(AND(E369=0,F369=0),"Remove","To Buy"))))))))))</f>
        <v/>
      </c>
      <c r="D369" t="inlineStr">
        <is>
          <t>B2</t>
        </is>
      </c>
      <c r="E369" s="3">
        <f>SUM(M369:S369)</f>
        <v/>
      </c>
      <c r="F369" s="3">
        <f>SUM(T369:Z369)</f>
        <v/>
      </c>
      <c r="G369" s="3">
        <f>IF((F369-E369)&gt;=0,F369-E369,0)</f>
        <v/>
      </c>
      <c r="H369" s="3">
        <f>MAX(0,$E369-$F369-$J369)</f>
        <v/>
      </c>
      <c r="I369" s="3" t="n"/>
      <c r="J369" s="3" t="n"/>
      <c r="K369" s="4" t="n">
        <v>0.33</v>
      </c>
      <c r="L369" s="4">
        <f>IF(AND($H369&gt;0,ISNUMBER($K369)),$H369*$K369,0)</f>
        <v/>
      </c>
      <c r="M369" s="3" t="n">
        <v>1</v>
      </c>
      <c r="N369" s="3" t="n"/>
      <c r="O369" s="3" t="n"/>
      <c r="P369" s="3" t="n"/>
      <c r="Q369" s="3" t="n"/>
      <c r="R369" s="3" t="n"/>
      <c r="S369" s="3">
        <f>IF(AND(J369&lt;&gt;"",SUM(M369:R369)=0),J369,"")</f>
        <v/>
      </c>
      <c r="T369" s="3" t="n">
        <v>1</v>
      </c>
      <c r="U369" s="3" t="n"/>
      <c r="V369" s="3" t="n"/>
      <c r="W369" s="3" t="n"/>
      <c r="X369" s="3" t="n"/>
      <c r="Y369" s="3" t="n"/>
      <c r="Z369" s="3" t="n"/>
      <c r="AA369" s="2" t="inlineStr">
        <is>
          <t>Creature</t>
        </is>
      </c>
      <c r="AB369" s="2" t="inlineStr">
        <is>
          <t>Kor Spirit</t>
        </is>
      </c>
      <c r="AC369" s="2" t="inlineStr">
        <is>
          <t>W</t>
        </is>
      </c>
      <c r="AD369" s="3" t="n">
        <v>3</v>
      </c>
      <c r="AE369" s="29" t="inlineStr">
        <is>
          <t>Zendikar Rising</t>
        </is>
      </c>
      <c r="AF369" s="29" t="inlineStr">
        <is>
          <t>Removal</t>
        </is>
      </c>
      <c r="AG369" s="29" t="inlineStr">
        <is>
          <t>Enters: exile a nonland, nontoken permanent an opponent controls with MV 4 or less</t>
        </is>
      </c>
      <c r="AH369" s="29" t="inlineStr">
        <is>
          <t>Leaves the battlefield: that permanent's owner gets an X/X token, X = its mana value</t>
        </is>
      </c>
      <c r="AI369" s="29" t="n"/>
      <c r="AJ369" s="2" t="n"/>
    </row>
    <row r="370" ht="15" customHeight="1" s="79">
      <c r="A370" s="2" t="inlineStr">
        <is>
          <t>Skyshroud Claim</t>
        </is>
      </c>
      <c r="B370" s="2">
        <f>IF(AND(F370&lt;&gt;0,E370=F370),"In Hand",IF(AND(E370&lt;&gt;0,E370&lt;F370,SUM(M370:R370)=0,SUM(T370:Y370)&gt;0),"Extra-Sub",IF(AND(E370=0,E370&lt;F370,SUM(M370:R370)=0,SUM(T370:Y370)&gt;0),"Bench-Sub",IF(AND(E370=0,F370&gt;0),"Bench",IF(E370&lt;F370,"Extra",IF(AND(J370="",E370&gt;F370),"To Buy",IF(SUM(J370,F370)&lt;E370,"To Buy",IF(AND(SUM(J370,F370)&gt;=E370,J370&lt;&gt;""),"Ordered",IF(AND(E370=0,F370=0,D370="B3"),"B3 Option",IF(AND(E370=0,F370=0),"Remove","To Buy"))))))))))</f>
        <v/>
      </c>
      <c r="D370" t="inlineStr">
        <is>
          <t>B2</t>
        </is>
      </c>
      <c r="E370" s="3">
        <f>SUM(M370:S370)</f>
        <v/>
      </c>
      <c r="F370" s="3">
        <f>SUM(T370:Z370)</f>
        <v/>
      </c>
      <c r="G370" s="3">
        <f>IF((F370-E370)&gt;=0,F370-E370,0)</f>
        <v/>
      </c>
      <c r="H370" s="3">
        <f>MAX(0,$E370-$F370-$J370)</f>
        <v/>
      </c>
      <c r="I370" s="3" t="n"/>
      <c r="J370" s="3" t="n"/>
      <c r="K370" s="4" t="n">
        <v>1.06</v>
      </c>
      <c r="L370" s="4">
        <f>IF(AND($H370&gt;0,ISNUMBER($K370)),$H370*$K370,0)</f>
        <v/>
      </c>
      <c r="M370" s="3" t="n"/>
      <c r="N370" s="3" t="n">
        <v>1</v>
      </c>
      <c r="O370" s="3" t="n"/>
      <c r="P370" s="3" t="n"/>
      <c r="Q370" s="3" t="n"/>
      <c r="R370" s="3" t="n"/>
      <c r="S370" s="3">
        <f>IF(AND(J370&lt;&gt;"",SUM(M370:R370)=0),J370,"")</f>
        <v/>
      </c>
      <c r="T370" s="3" t="n"/>
      <c r="U370" s="3" t="n">
        <v>1</v>
      </c>
      <c r="V370" s="3" t="n"/>
      <c r="W370" s="3" t="n"/>
      <c r="X370" s="3" t="n"/>
      <c r="Y370" s="3" t="n"/>
      <c r="Z370" s="3" t="n"/>
      <c r="AA370" s="2" t="inlineStr">
        <is>
          <t>Sorcery</t>
        </is>
      </c>
      <c r="AB370" s="2" t="n"/>
      <c r="AC370" s="2" t="inlineStr">
        <is>
          <t>G</t>
        </is>
      </c>
      <c r="AD370" s="3" t="n">
        <v>4</v>
      </c>
      <c r="AE370" s="29" t="inlineStr">
        <is>
          <t>Nemesis</t>
        </is>
      </c>
      <c r="AF370" s="29" t="inlineStr">
        <is>
          <t>Ramp</t>
        </is>
      </c>
      <c r="AG370" s="29" t="inlineStr">
        <is>
          <t>Searches for up to two Forest cards and puts them onto the battlefield</t>
        </is>
      </c>
      <c r="AH370" s="29" t="n"/>
      <c r="AI370" s="29" t="n"/>
      <c r="AJ370" s="2" t="n"/>
    </row>
    <row r="371" ht="15" customHeight="1" s="79">
      <c r="A371" s="2" t="inlineStr">
        <is>
          <t>Smuggler's Copter</t>
        </is>
      </c>
      <c r="B371" s="2">
        <f>IF(AND(F371&lt;&gt;0,E371=F371),"In Hand",IF(AND(E371&lt;&gt;0,E371&lt;F371,SUM(M371:R371)=0,SUM(T371:Y371)&gt;0),"Extra-Sub",IF(AND(E371=0,E371&lt;F371,SUM(M371:R371)=0,SUM(T371:Y371)&gt;0),"Bench-Sub",IF(AND(E371=0,F371&gt;0),"Bench",IF(E371&lt;F371,"Extra",IF(AND(J371="",E371&gt;F371),"To Buy",IF(SUM(J371,F371)&lt;E371,"To Buy",IF(AND(SUM(J371,F371)&gt;=E371,J371&lt;&gt;""),"Ordered",IF(AND(E371=0,F371=0,D371="B3"),"B3 Option",IF(AND(E371=0,F371=0),"Remove","To Buy"))))))))))</f>
        <v/>
      </c>
      <c r="D371" t="inlineStr">
        <is>
          <t>B2</t>
        </is>
      </c>
      <c r="E371" s="3">
        <f>SUM(M371:S371)</f>
        <v/>
      </c>
      <c r="F371" s="3">
        <f>SUM(T371:Z371)</f>
        <v/>
      </c>
      <c r="G371" s="3">
        <f>IF((F371-E371)&gt;=0,F371-E371,0)</f>
        <v/>
      </c>
      <c r="H371" s="3">
        <f>MAX(0,$E371-$F371-$J371)</f>
        <v/>
      </c>
      <c r="I371" s="3" t="n"/>
      <c r="J371" s="3" t="n"/>
      <c r="K371" s="4" t="n">
        <v>1.71</v>
      </c>
      <c r="L371" s="4">
        <f>IF(AND($H371&gt;0,ISNUMBER($K371)),$H371*$K371,0)</f>
        <v/>
      </c>
      <c r="M371" s="3" t="n"/>
      <c r="N371" s="3" t="n"/>
      <c r="O371" s="3" t="n">
        <v>1</v>
      </c>
      <c r="P371" s="3" t="n"/>
      <c r="Q371" s="3" t="n"/>
      <c r="R371" s="3" t="n"/>
      <c r="S371" s="3">
        <f>IF(AND(J371&lt;&gt;"",SUM(M371:R371)=0),J371,"")</f>
        <v/>
      </c>
      <c r="T371" s="3" t="n"/>
      <c r="U371" s="3" t="n"/>
      <c r="V371" s="3" t="n">
        <v>1</v>
      </c>
      <c r="W371" s="3" t="n"/>
      <c r="X371" s="3" t="n"/>
      <c r="Y371" s="3" t="n"/>
      <c r="Z371" s="3" t="n"/>
      <c r="AA371" s="2" t="inlineStr">
        <is>
          <t>Artifact</t>
        </is>
      </c>
      <c r="AB371" s="2" t="inlineStr">
        <is>
          <t>Vehicle</t>
        </is>
      </c>
      <c r="AC371" s="2" t="inlineStr">
        <is>
          <t>C</t>
        </is>
      </c>
      <c r="AD371" s="3" t="n">
        <v>2</v>
      </c>
      <c r="AE371" s="29" t="inlineStr">
        <is>
          <t>Kaladesh</t>
        </is>
      </c>
      <c r="AF371" s="29" t="inlineStr">
        <is>
          <t>Discard/Looting</t>
        </is>
      </c>
      <c r="AG371" s="29" t="inlineStr">
        <is>
          <t>Draws then discards a card when it attacks or blocks</t>
        </is>
      </c>
      <c r="AH371" s="29" t="inlineStr">
        <is>
          <t>Crews for 1 power to become a creature until end of turn</t>
        </is>
      </c>
      <c r="AI371" s="29" t="n"/>
      <c r="AJ371" s="2" t="inlineStr">
        <is>
          <t>Orders-sheet row = same physical copy (duplicate rule); not an extra</t>
        </is>
      </c>
    </row>
    <row r="372" ht="15" customHeight="1" s="79">
      <c r="A372" s="2" t="inlineStr">
        <is>
          <t>Song of the Dryads</t>
        </is>
      </c>
      <c r="B372" s="2">
        <f>IF(AND(F372&lt;&gt;0,E372=F372),"In Hand",IF(AND(E372&lt;&gt;0,E372&lt;F372,SUM(M372:R372)=0,SUM(T372:Y372)&gt;0),"Extra-Sub",IF(AND(E372=0,E372&lt;F372,SUM(M372:R372)=0,SUM(T372:Y372)&gt;0),"Bench-Sub",IF(AND(E372=0,F372&gt;0),"Bench",IF(E372&lt;F372,"Extra",IF(AND(J372="",E372&gt;F372),"To Buy",IF(SUM(J372,F372)&lt;E372,"To Buy",IF(AND(SUM(J372,F372)&gt;=E372,J372&lt;&gt;""),"Ordered",IF(AND(E372=0,F372=0,D372="B3"),"B3 Option",IF(AND(E372=0,F372=0),"Remove","To Buy"))))))))))</f>
        <v/>
      </c>
      <c r="D372" t="inlineStr">
        <is>
          <t>B2</t>
        </is>
      </c>
      <c r="E372" s="3">
        <f>SUM(M372:S372)</f>
        <v/>
      </c>
      <c r="F372" s="3">
        <f>SUM(T372:Z372)</f>
        <v/>
      </c>
      <c r="G372" s="3">
        <f>IF((F372-E372)&gt;=0,F372-E372,0)</f>
        <v/>
      </c>
      <c r="H372" s="3">
        <f>MAX(0,$E372-$F372-$J372)</f>
        <v/>
      </c>
      <c r="I372" s="3" t="n"/>
      <c r="J372" s="3" t="n"/>
      <c r="K372" s="4" t="n">
        <v>5.79</v>
      </c>
      <c r="L372" s="4">
        <f>IF(AND($H372&gt;0,ISNUMBER($K372)),$H372*$K372,0)</f>
        <v/>
      </c>
      <c r="M372" s="3" t="n"/>
      <c r="N372" s="3" t="n">
        <v>1</v>
      </c>
      <c r="O372" s="3" t="n"/>
      <c r="P372" s="3" t="n"/>
      <c r="Q372" s="3" t="n"/>
      <c r="R372" s="3" t="n"/>
      <c r="S372" s="3">
        <f>IF(AND(J372&lt;&gt;"",SUM(M372:R372)=0),J372,"")</f>
        <v/>
      </c>
      <c r="T372" s="3" t="n"/>
      <c r="U372" s="3" t="n">
        <v>1</v>
      </c>
      <c r="V372" s="3" t="n"/>
      <c r="W372" s="3" t="n"/>
      <c r="X372" s="3" t="n"/>
      <c r="Y372" s="3" t="n"/>
      <c r="Z372" s="3" t="n"/>
      <c r="AA372" s="2" t="inlineStr">
        <is>
          <t>Enchantment</t>
        </is>
      </c>
      <c r="AB372" s="2" t="inlineStr">
        <is>
          <t>Aura</t>
        </is>
      </c>
      <c r="AC372" s="2" t="inlineStr">
        <is>
          <t>G</t>
        </is>
      </c>
      <c r="AD372" s="3" t="n">
        <v>3</v>
      </c>
      <c r="AE372" s="29" t="inlineStr">
        <is>
          <t>Commander 2014</t>
        </is>
      </c>
      <c r="AF372" s="29" t="inlineStr">
        <is>
          <t>Removal</t>
        </is>
      </c>
      <c r="AG372" s="29" t="inlineStr">
        <is>
          <t>Turns enchanted permanent into a colorless Forest land, removing its abilities</t>
        </is>
      </c>
      <c r="AH372" s="29" t="n"/>
      <c r="AI372" s="29" t="n"/>
      <c r="AJ372" s="2" t="n"/>
    </row>
    <row r="373" ht="15" customHeight="1" s="79">
      <c r="A373" s="2" t="inlineStr">
        <is>
          <t>Soul of New Phyrexia</t>
        </is>
      </c>
      <c r="B373" s="2">
        <f>IF(AND(F373&lt;&gt;0,E373=F373),"In Hand",IF(AND(E373&lt;&gt;0,E373&lt;F373,SUM(M373:R373)=0,SUM(T373:Y373)&gt;0),"Extra-Sub",IF(AND(E373=0,E373&lt;F373,SUM(M373:R373)=0,SUM(T373:Y373)&gt;0),"Bench-Sub",IF(AND(E373=0,F373&gt;0),"Bench",IF(E373&lt;F373,"Extra",IF(AND(J373="",E373&gt;F373),"To Buy",IF(SUM(J373,F373)&lt;E373,"To Buy",IF(AND(SUM(J373,F373)&gt;=E373,J373&lt;&gt;""),"Ordered",IF(AND(E373=0,F373=0,D373="B3"),"B3 Option",IF(AND(E373=0,F373=0),"Remove","To Buy"))))))))))</f>
        <v/>
      </c>
      <c r="D373" t="inlineStr">
        <is>
          <t>B2</t>
        </is>
      </c>
      <c r="E373" s="3">
        <f>SUM(M373:S373)</f>
        <v/>
      </c>
      <c r="F373" s="3">
        <f>SUM(T373:Z373)</f>
        <v/>
      </c>
      <c r="G373" s="3">
        <f>IF((F373-E373)&gt;=0,F373-E373,0)</f>
        <v/>
      </c>
      <c r="H373" s="3">
        <f>MAX(0,$E373-$F373-$J373)</f>
        <v/>
      </c>
      <c r="I373" s="3" t="n"/>
      <c r="J373" s="3" t="n"/>
      <c r="K373" s="4" t="n">
        <v>0.89</v>
      </c>
      <c r="L373" s="4">
        <f>IF(AND($H373&gt;0,ISNUMBER($K373)),$H373*$K373,0)</f>
        <v/>
      </c>
      <c r="M373" s="3" t="n"/>
      <c r="N373" s="3" t="n"/>
      <c r="O373" s="3" t="n"/>
      <c r="P373" s="3" t="n">
        <v>1</v>
      </c>
      <c r="Q373" s="3" t="n"/>
      <c r="R373" s="3" t="n"/>
      <c r="S373" s="3">
        <f>IF(AND(J373&lt;&gt;"",SUM(M373:R373)=0),J373,"")</f>
        <v/>
      </c>
      <c r="T373" s="3" t="n"/>
      <c r="U373" s="3" t="n"/>
      <c r="V373" s="3" t="n"/>
      <c r="W373" s="3" t="n">
        <v>1</v>
      </c>
      <c r="X373" s="3" t="n"/>
      <c r="Y373" s="3" t="n"/>
      <c r="Z373" s="3" t="n"/>
      <c r="AA373" s="2" t="inlineStr">
        <is>
          <t>Artifact Creature</t>
        </is>
      </c>
      <c r="AB373" s="2" t="inlineStr">
        <is>
          <t>Phyrexian Avatar</t>
        </is>
      </c>
      <c r="AC373" s="2" t="inlineStr">
        <is>
          <t>C</t>
        </is>
      </c>
      <c r="AD373" s="3" t="n">
        <v>6</v>
      </c>
      <c r="AE373" s="29" t="inlineStr">
        <is>
          <t>Magic 2015</t>
        </is>
      </c>
      <c r="AF373" s="29" t="inlineStr">
        <is>
          <t>Protection</t>
        </is>
      </c>
      <c r="AG373" s="29" t="inlineStr">
        <is>
          <t>Pay {5} to give your permanents indestructible until end of turn</t>
        </is>
      </c>
      <c r="AH373" s="29" t="inlineStr">
        <is>
          <t>Exile this from graveyard and pay {5} for the same effect</t>
        </is>
      </c>
      <c r="AI373" s="29" t="n"/>
      <c r="AJ373" s="2" t="n"/>
    </row>
    <row r="374" ht="15" customHeight="1" s="79">
      <c r="A374" s="2" t="inlineStr">
        <is>
          <t>Sourbread Auntie</t>
        </is>
      </c>
      <c r="B374" s="2">
        <f>IF(AND(F374&lt;&gt;0,E374=F374),"In Hand",IF(AND(E374&lt;&gt;0,E374&lt;F374,SUM(M374:R374)=0,SUM(T374:Y374)&gt;0),"Extra-Sub",IF(AND(E374=0,E374&lt;F374,SUM(M374:R374)=0,SUM(T374:Y374)&gt;0),"Bench-Sub",IF(AND(E374=0,F374&gt;0),"Bench",IF(E374&lt;F374,"Extra",IF(AND(J374="",E374&gt;F374),"To Buy",IF(SUM(J374,F374)&lt;E374,"To Buy",IF(AND(SUM(J374,F374)&gt;=E374,J374&lt;&gt;""),"Ordered",IF(AND(E374=0,F374=0,D374="B3"),"B3 Option",IF(AND(E374=0,F374=0),"Remove","To Buy"))))))))))</f>
        <v/>
      </c>
      <c r="D374" t="inlineStr">
        <is>
          <t>B2</t>
        </is>
      </c>
      <c r="E374" s="3">
        <f>SUM(M374:S374)</f>
        <v/>
      </c>
      <c r="F374" s="3">
        <f>SUM(T374:Z374)</f>
        <v/>
      </c>
      <c r="G374" s="3">
        <f>IF((F374-E374)&gt;=0,F374-E374,0)</f>
        <v/>
      </c>
      <c r="H374" s="3">
        <f>MAX(0,$E374-$F374-$J374)</f>
        <v/>
      </c>
      <c r="I374" s="3" t="n"/>
      <c r="J374" s="3" t="n"/>
      <c r="K374" s="4" t="n">
        <v>0.28</v>
      </c>
      <c r="L374" s="4">
        <f>IF(AND($H374&gt;0,ISNUMBER($K374)),$H374*$K374,0)</f>
        <v/>
      </c>
      <c r="M374" s="3" t="n"/>
      <c r="N374" s="3" t="n"/>
      <c r="O374" s="3" t="n"/>
      <c r="P374" s="3" t="n"/>
      <c r="Q374" s="3" t="n"/>
      <c r="R374" s="3" t="n">
        <v>1</v>
      </c>
      <c r="S374" s="3">
        <f>IF(AND(J374&lt;&gt;"",SUM(M374:R374)=0),J374,"")</f>
        <v/>
      </c>
      <c r="T374" s="3" t="n"/>
      <c r="U374" s="3" t="n"/>
      <c r="V374" s="3" t="n"/>
      <c r="W374" s="3" t="n"/>
      <c r="X374" s="3" t="n"/>
      <c r="Y374" s="3" t="n">
        <v>1</v>
      </c>
      <c r="Z374" s="3" t="n"/>
      <c r="AA374" s="2" t="inlineStr">
        <is>
          <t>Creature</t>
        </is>
      </c>
      <c r="AB374" s="2" t="inlineStr">
        <is>
          <t>Goblin Warrior</t>
        </is>
      </c>
      <c r="AC374" s="2" t="inlineStr">
        <is>
          <t>R</t>
        </is>
      </c>
      <c r="AD374" s="3" t="n">
        <v>4</v>
      </c>
      <c r="AE374" s="29" t="inlineStr">
        <is>
          <t>Lorwyn Eclipsed</t>
        </is>
      </c>
      <c r="AF374" s="29" t="inlineStr">
        <is>
          <t>Token Producer</t>
        </is>
      </c>
      <c r="AG374" s="29" t="inlineStr">
        <is>
          <t>May put two -1/-1 counters on a creature to make two Goblin tokens</t>
        </is>
      </c>
      <c r="AH374" s="29" t="n"/>
      <c r="AI374" s="29" t="n"/>
      <c r="AJ374" s="2" t="n"/>
    </row>
    <row r="375" ht="15" customHeight="1" s="79">
      <c r="A375" s="2" t="inlineStr">
        <is>
          <t>Spectral Procession</t>
        </is>
      </c>
      <c r="B375" s="2">
        <f>IF(AND(F375&lt;&gt;0,E375=F375),"In Hand",IF(AND(E375&lt;&gt;0,E375&lt;F375,SUM(M375:R375)=0,SUM(T375:Y375)&gt;0),"Extra-Sub",IF(AND(E375=0,E375&lt;F375,SUM(M375:R375)=0,SUM(T375:Y375)&gt;0),"Bench-Sub",IF(AND(E375=0,F375&gt;0),"Bench",IF(E375&lt;F375,"Extra",IF(AND(J375="",E375&gt;F375),"To Buy",IF(SUM(J375,F375)&lt;E375,"To Buy",IF(AND(SUM(J375,F375)&gt;=E375,J375&lt;&gt;""),"Ordered",IF(AND(E375=0,F375=0,D375="B3"),"B3 Option",IF(AND(E375=0,F375=0),"Remove","To Buy"))))))))))</f>
        <v/>
      </c>
      <c r="D375" t="inlineStr">
        <is>
          <t>B2</t>
        </is>
      </c>
      <c r="E375" s="3">
        <f>SUM(M375:S375)</f>
        <v/>
      </c>
      <c r="F375" s="3">
        <f>SUM(T375:Z375)</f>
        <v/>
      </c>
      <c r="G375" s="3">
        <f>IF((F375-E375)&gt;=0,F375-E375,0)</f>
        <v/>
      </c>
      <c r="H375" s="3">
        <f>MAX(0,$E375-$F375-$J375)</f>
        <v/>
      </c>
      <c r="I375" s="3" t="n"/>
      <c r="J375" s="3" t="n"/>
      <c r="K375" s="4" t="n">
        <v>0.33</v>
      </c>
      <c r="L375" s="4">
        <f>IF(AND($H375&gt;0,ISNUMBER($K375)),$H375*$K375,0)</f>
        <v/>
      </c>
      <c r="M375" s="3" t="n"/>
      <c r="N375" s="3" t="n"/>
      <c r="O375" s="3" t="n"/>
      <c r="P375" s="3" t="n"/>
      <c r="Q375" s="3" t="n">
        <v>1</v>
      </c>
      <c r="R375" s="3" t="n"/>
      <c r="S375" s="3">
        <f>IF(AND(J375&lt;&gt;"",SUM(M375:R375)=0),J375,"")</f>
        <v/>
      </c>
      <c r="T375" s="3" t="n"/>
      <c r="U375" s="3" t="n"/>
      <c r="V375" s="3" t="n"/>
      <c r="W375" s="3" t="n"/>
      <c r="X375" s="3" t="n">
        <v>1</v>
      </c>
      <c r="Y375" s="3" t="n"/>
      <c r="Z375" s="3" t="n"/>
      <c r="AA375" s="2" t="inlineStr">
        <is>
          <t>Sorcery</t>
        </is>
      </c>
      <c r="AB375" s="2" t="n"/>
      <c r="AC375" s="2" t="inlineStr">
        <is>
          <t>W</t>
        </is>
      </c>
      <c r="AD375" s="3" t="n">
        <v>6</v>
      </c>
      <c r="AE375" s="29" t="inlineStr">
        <is>
          <t>Shadowmoor</t>
        </is>
      </c>
      <c r="AF375" s="29" t="inlineStr">
        <is>
          <t>Token Producer</t>
        </is>
      </c>
      <c r="AG375" s="29" t="inlineStr">
        <is>
          <t>Creates three 1/1 flying Spirit tokens</t>
        </is>
      </c>
      <c r="AH375" s="29" t="n"/>
      <c r="AI375" s="29" t="n"/>
      <c r="AJ375" s="2" t="inlineStr">
        <is>
          <t>Received/settled (was in cart 2026-09-02: Game Theory Wake Forest $0.4 Near Mint)</t>
        </is>
      </c>
    </row>
    <row r="376" ht="15" customHeight="1" s="79">
      <c r="A376" s="2" t="inlineStr">
        <is>
          <t>Spiral into Solitude</t>
        </is>
      </c>
      <c r="B376" s="2">
        <f>IF(AND(F376&lt;&gt;0,E376=F376),"In Hand",IF(AND(E376&lt;&gt;0,E376&lt;F376,SUM(M376:R376)=0,SUM(T376:Y376)&gt;0),"Extra-Sub",IF(AND(E376=0,E376&lt;F376,SUM(M376:R376)=0,SUM(T376:Y376)&gt;0),"Bench-Sub",IF(AND(E376=0,F376&gt;0),"Bench",IF(E376&lt;F376,"Extra",IF(AND(J376="",E376&gt;F376),"To Buy",IF(SUM(J376,F376)&lt;E376,"To Buy",IF(AND(SUM(J376,F376)&gt;=E376,J376&lt;&gt;""),"Ordered",IF(AND(E376=0,F376=0,D376="B3"),"B3 Option",IF(AND(E376=0,F376=0),"Remove","To Buy"))))))))))</f>
        <v/>
      </c>
      <c r="D376" t="inlineStr">
        <is>
          <t>B2</t>
        </is>
      </c>
      <c r="E376" s="3">
        <f>SUM(M376:S376)</f>
        <v/>
      </c>
      <c r="F376" s="3">
        <f>SUM(T376:Z376)</f>
        <v/>
      </c>
      <c r="G376" s="3">
        <f>IF((F376-E376)&gt;=0,F376-E376,0)</f>
        <v/>
      </c>
      <c r="H376" s="3">
        <f>MAX(0,$E376-$F376-$J376)</f>
        <v/>
      </c>
      <c r="I376" s="3" t="n"/>
      <c r="J376" s="3" t="n"/>
      <c r="K376" s="4" t="n">
        <v>0.16</v>
      </c>
      <c r="L376" s="4">
        <f>IF(AND($H376&gt;0,ISNUMBER($K376)),$H376*$K376,0)</f>
        <v/>
      </c>
      <c r="M376" s="3" t="n"/>
      <c r="N376" s="3" t="n"/>
      <c r="O376" s="3" t="n">
        <v>1</v>
      </c>
      <c r="P376" s="3" t="n"/>
      <c r="Q376" s="3" t="n"/>
      <c r="R376" s="3" t="n"/>
      <c r="S376" s="3">
        <f>IF(AND(J376&lt;&gt;"",SUM(M376:R376)=0),J376,"")</f>
        <v/>
      </c>
      <c r="T376" s="3" t="n"/>
      <c r="U376" s="3" t="n"/>
      <c r="V376" s="3" t="n">
        <v>1</v>
      </c>
      <c r="W376" s="3" t="n"/>
      <c r="X376" s="3" t="n"/>
      <c r="Y376" s="3" t="n"/>
      <c r="Z376" s="3" t="n"/>
      <c r="AA376" s="2" t="inlineStr">
        <is>
          <t>Enchantment</t>
        </is>
      </c>
      <c r="AB376" s="2" t="inlineStr">
        <is>
          <t>Aura</t>
        </is>
      </c>
      <c r="AC376" s="2" t="inlineStr">
        <is>
          <t>W</t>
        </is>
      </c>
      <c r="AD376" s="3" t="n">
        <v>2</v>
      </c>
      <c r="AE376" s="29" t="inlineStr">
        <is>
          <t>Lorwyn Eclipsed</t>
        </is>
      </c>
      <c r="AF376" s="29" t="inlineStr">
        <is>
          <t>Removal</t>
        </is>
      </c>
      <c r="AG376" s="29" t="inlineStr">
        <is>
          <t>Enchanted creature can't attack or block</t>
        </is>
      </c>
      <c r="AH376" s="29" t="inlineStr">
        <is>
          <t>Pay {1}{W}, blight 1, sacrifice: exile enchanted creature</t>
        </is>
      </c>
      <c r="AI376" s="29" t="n"/>
      <c r="AJ376" s="2" t="n"/>
    </row>
    <row r="377" ht="15" customHeight="1" s="79">
      <c r="A377" s="2" t="inlineStr">
        <is>
          <t>Spirit of Resilience</t>
        </is>
      </c>
      <c r="B377" s="2">
        <f>IF(AND(F377&lt;&gt;0,E377=F377),"In Hand",IF(AND(E377&lt;&gt;0,E377&lt;F377,SUM(M377:R377)=0,SUM(T377:Y377)&gt;0),"Extra-Sub",IF(AND(E377=0,E377&lt;F377,SUM(M377:R377)=0,SUM(T377:Y377)&gt;0),"Bench-Sub",IF(AND(E377=0,F377&gt;0),"Bench",IF(E377&lt;F377,"Extra",IF(AND(J377="",E377&gt;F377),"To Buy",IF(SUM(J377,F377)&lt;E377,"To Buy",IF(AND(SUM(J377,F377)&gt;=E377,J377&lt;&gt;""),"Ordered",IF(AND(E377=0,F377=0,D377="B3"),"B3 Option",IF(AND(E377=0,F377=0),"Remove","To Buy"))))))))))</f>
        <v/>
      </c>
      <c r="D377" t="inlineStr">
        <is>
          <t>B2</t>
        </is>
      </c>
      <c r="E377" s="3">
        <f>SUM(M377:S377)</f>
        <v/>
      </c>
      <c r="F377" s="3">
        <f>SUM(T377:Z377)</f>
        <v/>
      </c>
      <c r="G377" s="3">
        <f>IF((F377-E377)&gt;=0,F377-E377,0)</f>
        <v/>
      </c>
      <c r="H377" s="3">
        <f>MAX(0,$E377-$F377-$J377)</f>
        <v/>
      </c>
      <c r="I377" s="3" t="n"/>
      <c r="J377" s="3" t="n"/>
      <c r="K377" s="4" t="n">
        <v>0.17</v>
      </c>
      <c r="L377" s="4">
        <f>IF(AND($H377&gt;0,ISNUMBER($K377)),$H377*$K377,0)</f>
        <v/>
      </c>
      <c r="M377" s="3" t="n">
        <v>1</v>
      </c>
      <c r="N377" s="3" t="n"/>
      <c r="O377" s="3" t="n"/>
      <c r="P377" s="3" t="n"/>
      <c r="Q377" s="3" t="n"/>
      <c r="R377" s="3" t="n"/>
      <c r="S377" s="3">
        <f>IF(AND(J377&lt;&gt;"",SUM(M377:R377)=0),J377,"")</f>
        <v/>
      </c>
      <c r="T377" s="3" t="n">
        <v>1</v>
      </c>
      <c r="U377" s="3" t="n"/>
      <c r="V377" s="3" t="n"/>
      <c r="W377" s="3" t="n"/>
      <c r="X377" s="3" t="n"/>
      <c r="Y377" s="3" t="n"/>
      <c r="Z377" s="3" t="n"/>
      <c r="AA377" s="2" t="inlineStr">
        <is>
          <t>Creature</t>
        </is>
      </c>
      <c r="AB377" s="2" t="inlineStr">
        <is>
          <t>Spirit Warrior</t>
        </is>
      </c>
      <c r="AC377" s="2" t="inlineStr">
        <is>
          <t>R</t>
        </is>
      </c>
      <c r="AD377" s="3" t="n">
        <v>3</v>
      </c>
      <c r="AE377" s="29" t="inlineStr">
        <is>
          <t>Secrets of Strixhaven Commander</t>
        </is>
      </c>
      <c r="AF377" s="29" t="inlineStr">
        <is>
          <t>Value Engine</t>
        </is>
      </c>
      <c r="AG377" s="29" t="inlineStr">
        <is>
          <t>Gets a +1/+1 counter whenever cards leave your graveyard</t>
        </is>
      </c>
      <c r="AH377" s="29" t="inlineStr">
        <is>
          <t>May become a copy of an artifact/creature card that just left your graveyard until end of turn</t>
        </is>
      </c>
      <c r="AI377" s="29" t="n"/>
      <c r="AJ377" s="2" t="n"/>
      <c r="AK377" t="inlineStr">
        <is>
          <t>[B3 later] D1-&gt;B when Boros Charm is bought</t>
        </is>
      </c>
    </row>
    <row r="378" ht="15" customHeight="1" s="79">
      <c r="A378" s="2" t="inlineStr">
        <is>
          <t>Squee, Dubious Monarch</t>
        </is>
      </c>
      <c r="B378" s="2">
        <f>IF(AND(F378&lt;&gt;0,E378=F378),"In Hand",IF(AND(E378&lt;&gt;0,E378&lt;F378,SUM(M378:R378)=0,SUM(T378:Y378)&gt;0),"Extra-Sub",IF(AND(E378=0,E378&lt;F378,SUM(M378:R378)=0,SUM(T378:Y378)&gt;0),"Bench-Sub",IF(AND(E378=0,F378&gt;0),"Bench",IF(E378&lt;F378,"Extra",IF(AND(J378="",E378&gt;F378),"To Buy",IF(SUM(J378,F378)&lt;E378,"To Buy",IF(AND(SUM(J378,F378)&gt;=E378,J378&lt;&gt;""),"Ordered",IF(AND(E378=0,F378=0,D378="B3"),"B3 Option",IF(AND(E378=0,F378=0),"Remove","To Buy"))))))))))</f>
        <v/>
      </c>
      <c r="D378" t="inlineStr">
        <is>
          <t>B2</t>
        </is>
      </c>
      <c r="E378" s="3">
        <f>SUM(M378:S378)</f>
        <v/>
      </c>
      <c r="F378" s="3">
        <f>SUM(T378:Z378)</f>
        <v/>
      </c>
      <c r="G378" s="3">
        <f>IF((F378-E378)&gt;=0,F378-E378,0)</f>
        <v/>
      </c>
      <c r="H378" s="3">
        <f>MAX(0,$E378-$F378-$J378)</f>
        <v/>
      </c>
      <c r="I378" s="3" t="n"/>
      <c r="J378" s="3" t="n"/>
      <c r="K378" s="4" t="n">
        <v>0.67</v>
      </c>
      <c r="L378" s="4">
        <f>IF(AND($H378&gt;0,ISNUMBER($K378)),$H378*$K378,0)</f>
        <v/>
      </c>
      <c r="M378" s="3" t="n">
        <v>1</v>
      </c>
      <c r="N378" s="3" t="n"/>
      <c r="O378" s="3" t="n"/>
      <c r="P378" s="3" t="n"/>
      <c r="Q378" s="3" t="n"/>
      <c r="R378" s="3" t="n"/>
      <c r="S378" s="3">
        <f>IF(AND(J378&lt;&gt;"",SUM(M378:R378)=0),J378,"")</f>
        <v/>
      </c>
      <c r="T378" s="3" t="n">
        <v>1</v>
      </c>
      <c r="U378" s="3" t="n"/>
      <c r="V378" s="3" t="n"/>
      <c r="W378" s="3" t="n"/>
      <c r="X378" s="3" t="n"/>
      <c r="Y378" s="3" t="n"/>
      <c r="Z378" s="3" t="n"/>
      <c r="AA378" s="2" t="inlineStr">
        <is>
          <t>Legendary Creature</t>
        </is>
      </c>
      <c r="AB378" s="2" t="inlineStr">
        <is>
          <t>Goblin Noble</t>
        </is>
      </c>
      <c r="AC378" s="2" t="inlineStr">
        <is>
          <t>R</t>
        </is>
      </c>
      <c r="AD378" s="3" t="n">
        <v>3</v>
      </c>
      <c r="AE378" s="29" t="inlineStr">
        <is>
          <t>Dominaria United</t>
        </is>
      </c>
      <c r="AF378" s="29" t="inlineStr">
        <is>
          <t>Token Producer</t>
        </is>
      </c>
      <c r="AG378" s="29" t="inlineStr">
        <is>
          <t>Can attack the turn it enters</t>
        </is>
      </c>
      <c r="AH378" s="29" t="inlineStr">
        <is>
          <t>Attacking creates a tapped and attacking 1/1 Goblin token</t>
        </is>
      </c>
      <c r="AI378" s="29" t="inlineStr">
        <is>
          <t>Can be cast from graveyard by exiling four other graveyard cards instead of paying its cost</t>
        </is>
      </c>
      <c r="AJ378" s="2" t="n"/>
    </row>
    <row r="379" ht="15" customHeight="1" s="79">
      <c r="A379" s="2" t="inlineStr">
        <is>
          <t>Squee, Goblin Nabob</t>
        </is>
      </c>
      <c r="B379" s="2">
        <f>IF(AND(F379&lt;&gt;0,E379=F379),"In Hand",IF(AND(E379&lt;&gt;0,E379&lt;F379,SUM(M379:R379)=0,SUM(T379:Y379)&gt;0),"Extra-Sub",IF(AND(E379=0,E379&lt;F379,SUM(M379:R379)=0,SUM(T379:Y379)&gt;0),"Bench-Sub",IF(AND(E379=0,F379&gt;0),"Bench",IF(E379&lt;F379,"Extra",IF(AND(J379="",E379&gt;F379),"To Buy",IF(SUM(J379,F379)&lt;E379,"To Buy",IF(AND(SUM(J379,F379)&gt;=E379,J379&lt;&gt;""),"Ordered",IF(AND(E379=0,F379=0,D379="B3"),"B3 Option",IF(AND(E379=0,F379=0),"Remove","To Buy"))))))))))</f>
        <v/>
      </c>
      <c r="D379" t="inlineStr">
        <is>
          <t>B2</t>
        </is>
      </c>
      <c r="E379" s="3">
        <f>SUM(M379:S379)</f>
        <v/>
      </c>
      <c r="F379" s="3">
        <f>SUM(T379:Z379)</f>
        <v/>
      </c>
      <c r="G379" s="3">
        <f>IF((F379-E379)&gt;=0,F379-E379,0)</f>
        <v/>
      </c>
      <c r="H379" s="3">
        <f>MAX(0,$E379-$F379-$J379)</f>
        <v/>
      </c>
      <c r="I379" s="3" t="n"/>
      <c r="J379" s="3" t="n"/>
      <c r="K379" s="4" t="n">
        <v>0.3</v>
      </c>
      <c r="L379" s="4">
        <f>IF(AND($H379&gt;0,ISNUMBER($K379)),$H379*$K379,0)</f>
        <v/>
      </c>
      <c r="M379" s="3" t="n">
        <v>1</v>
      </c>
      <c r="N379" s="3" t="n"/>
      <c r="O379" s="3" t="n"/>
      <c r="P379" s="3" t="n"/>
      <c r="Q379" s="3" t="n"/>
      <c r="R379" s="3" t="n"/>
      <c r="S379" s="3">
        <f>IF(AND(J379&lt;&gt;"",SUM(M379:R379)=0),J379,"")</f>
        <v/>
      </c>
      <c r="T379" s="3" t="n">
        <v>1</v>
      </c>
      <c r="U379" s="3" t="n"/>
      <c r="V379" s="3" t="n"/>
      <c r="W379" s="3" t="n"/>
      <c r="X379" s="3" t="n"/>
      <c r="Y379" s="3" t="n"/>
      <c r="Z379" s="3" t="n"/>
      <c r="AA379" s="2" t="inlineStr">
        <is>
          <t>Legendary Creature</t>
        </is>
      </c>
      <c r="AB379" s="2" t="inlineStr">
        <is>
          <t>Goblin</t>
        </is>
      </c>
      <c r="AC379" s="2" t="inlineStr">
        <is>
          <t>R</t>
        </is>
      </c>
      <c r="AD379" s="3" t="n">
        <v>3</v>
      </c>
      <c r="AE379" s="29" t="inlineStr">
        <is>
          <t>Mercadian Masques</t>
        </is>
      </c>
      <c r="AF379" s="29" t="inlineStr">
        <is>
          <t>Recursion</t>
        </is>
      </c>
      <c r="AG379" s="29" t="inlineStr">
        <is>
          <t>Upkeep: you may return this card from graveyard to your hand</t>
        </is>
      </c>
      <c r="AH379" s="29" t="n"/>
      <c r="AI379" s="29" t="n"/>
      <c r="AJ379" s="2" t="n"/>
    </row>
    <row r="380" ht="15" customHeight="1" s="79">
      <c r="A380" s="2" t="inlineStr">
        <is>
          <t>Staff of the Storyteller</t>
        </is>
      </c>
      <c r="B380" s="2">
        <f>IF(AND(F380&lt;&gt;0,E380=F380),"In Hand",IF(AND(E380&lt;&gt;0,E380&lt;F380,SUM(M380:R380)=0,SUM(T380:Y380)&gt;0),"Extra-Sub",IF(AND(E380=0,E380&lt;F380,SUM(M380:R380)=0,SUM(T380:Y380)&gt;0),"Bench-Sub",IF(AND(E380=0,F380&gt;0),"Bench",IF(E380&lt;F380,"Extra",IF(AND(J380="",E380&gt;F380),"To Buy",IF(SUM(J380,F380)&lt;E380,"To Buy",IF(AND(SUM(J380,F380)&gt;=E380,J380&lt;&gt;""),"Ordered",IF(AND(E380=0,F380=0,D380="B3"),"B3 Option",IF(AND(E380=0,F380=0),"Remove","To Buy"))))))))))</f>
        <v/>
      </c>
      <c r="D380" t="inlineStr">
        <is>
          <t>B2</t>
        </is>
      </c>
      <c r="E380" s="3">
        <f>SUM(M380:S380)</f>
        <v/>
      </c>
      <c r="F380" s="3">
        <f>SUM(T380:Z380)</f>
        <v/>
      </c>
      <c r="G380" s="3">
        <f>IF((F380-E380)&gt;=0,F380-E380,0)</f>
        <v/>
      </c>
      <c r="H380" s="3">
        <f>MAX(0,$E380-$F380-$J380)</f>
        <v/>
      </c>
      <c r="I380" s="3" t="n"/>
      <c r="J380" s="3" t="n"/>
      <c r="K380" s="4" t="n">
        <v>0.44</v>
      </c>
      <c r="L380" s="4">
        <f>IF(AND($H380&gt;0,ISNUMBER($K380)),$H380*$K380,0)</f>
        <v/>
      </c>
      <c r="M380" s="3" t="n">
        <v>1</v>
      </c>
      <c r="N380" s="3" t="n"/>
      <c r="O380" s="3" t="n"/>
      <c r="P380" s="3" t="n"/>
      <c r="Q380" s="3" t="n"/>
      <c r="R380" s="3" t="n"/>
      <c r="S380" s="3">
        <f>IF(AND(J380&lt;&gt;"",SUM(M380:R380)=0),J380,"")</f>
        <v/>
      </c>
      <c r="T380" s="3" t="n">
        <v>1</v>
      </c>
      <c r="U380" s="3" t="n"/>
      <c r="V380" s="3" t="n"/>
      <c r="W380" s="3" t="n"/>
      <c r="X380" s="3" t="n"/>
      <c r="Y380" s="3" t="n"/>
      <c r="Z380" s="3" t="n"/>
      <c r="AA380" s="2" t="inlineStr">
        <is>
          <t>Artifact</t>
        </is>
      </c>
      <c r="AB380" s="2" t="n"/>
      <c r="AC380" s="2" t="inlineStr">
        <is>
          <t>W</t>
        </is>
      </c>
      <c r="AD380" s="3" t="n">
        <v>2</v>
      </c>
      <c r="AE380" s="29" t="inlineStr">
        <is>
          <t>Phyrexia: All Will Be One Commander</t>
        </is>
      </c>
      <c r="AF380" s="29" t="inlineStr">
        <is>
          <t>Token Producer</t>
        </is>
      </c>
      <c r="AG380" s="29" t="inlineStr">
        <is>
          <t>Enters: create a 1/1 flying Spirit token</t>
        </is>
      </c>
      <c r="AH380" s="29" t="inlineStr">
        <is>
          <t>Creating creature tokens adds a story counter to this</t>
        </is>
      </c>
      <c r="AI380" s="29" t="inlineStr">
        <is>
          <t>Pay {W}, tap, remove a story counter: draw a card</t>
        </is>
      </c>
      <c r="AJ380" s="2" t="n"/>
    </row>
    <row r="381" ht="15" customHeight="1" s="79">
      <c r="A381" s="2" t="inlineStr">
        <is>
          <t>Stone Quarry</t>
        </is>
      </c>
      <c r="B381" s="2">
        <f>IF(AND(F381&lt;&gt;0,E381=F381),"In Hand",IF(AND(E381&lt;&gt;0,E381&lt;F381,SUM(M381:R381)=0,SUM(T381:Y381)&gt;0),"Extra-Sub",IF(AND(E381=0,E381&lt;F381,SUM(M381:R381)=0,SUM(T381:Y381)&gt;0),"Bench-Sub",IF(AND(E381=0,F381&gt;0),"Bench",IF(E381&lt;F381,"Extra",IF(AND(J381="",E381&gt;F381),"To Buy",IF(SUM(J381,F381)&lt;E381,"To Buy",IF(AND(SUM(J381,F381)&gt;=E381,J381&lt;&gt;""),"Ordered",IF(AND(E381=0,F381=0,D381="B3"),"B3 Option",IF(AND(E381=0,F381=0),"Remove","To Buy"))))))))))</f>
        <v/>
      </c>
      <c r="D381" t="inlineStr">
        <is>
          <t>B2</t>
        </is>
      </c>
      <c r="E381" s="3">
        <f>SUM(M381:S381)</f>
        <v/>
      </c>
      <c r="F381" s="3">
        <f>SUM(T381:Z381)</f>
        <v/>
      </c>
      <c r="G381" s="3">
        <f>IF((F381-E381)&gt;=0,F381-E381,0)</f>
        <v/>
      </c>
      <c r="H381" s="3">
        <f>MAX(0,$E381-$F381-$J381)</f>
        <v/>
      </c>
      <c r="I381" s="3" t="n"/>
      <c r="J381" s="3" t="n"/>
      <c r="K381" s="4" t="n">
        <v>0.17</v>
      </c>
      <c r="L381" s="4">
        <f>IF(AND($H381&gt;0,ISNUMBER($K381)),$H381*$K381,0)</f>
        <v/>
      </c>
      <c r="M381" s="3" t="n">
        <v>1</v>
      </c>
      <c r="N381" s="3" t="n"/>
      <c r="O381" s="3" t="n"/>
      <c r="P381" s="3" t="n"/>
      <c r="Q381" s="3" t="n"/>
      <c r="R381" s="3" t="n"/>
      <c r="S381" s="3">
        <f>IF(AND(J381&lt;&gt;"",SUM(M381:R381)=0),J381,"")</f>
        <v/>
      </c>
      <c r="T381" s="3" t="n">
        <v>1</v>
      </c>
      <c r="U381" s="3" t="n"/>
      <c r="V381" s="3" t="n"/>
      <c r="W381" s="3" t="n"/>
      <c r="X381" s="3" t="n"/>
      <c r="Y381" s="3" t="n"/>
      <c r="Z381" s="3" t="n"/>
      <c r="AA381" s="2" t="inlineStr">
        <is>
          <t>Land</t>
        </is>
      </c>
      <c r="AB381" s="2" t="n"/>
      <c r="AC381" s="2" t="inlineStr">
        <is>
          <t>L</t>
        </is>
      </c>
      <c r="AD381" s="3" t="n">
        <v>0</v>
      </c>
      <c r="AE381" s="29" t="inlineStr">
        <is>
          <t>Shadows over Innistrad</t>
        </is>
      </c>
      <c r="AF381" s="29" t="inlineStr">
        <is>
          <t>Land</t>
        </is>
      </c>
      <c r="AG381" s="29" t="inlineStr">
        <is>
          <t>Taps for {R} or {W}</t>
        </is>
      </c>
      <c r="AH381" s="29" t="inlineStr">
        <is>
          <t>Enters tapped</t>
        </is>
      </c>
      <c r="AI381" s="29" t="n"/>
      <c r="AJ381" s="2" t="n"/>
      <c r="AK381" t="inlineStr">
        <is>
          <t>[B3 later] D1-&gt;B when Inspiring Vantage is bought</t>
        </is>
      </c>
    </row>
    <row r="382" ht="15" customHeight="1" s="79">
      <c r="A382" s="2" t="inlineStr">
        <is>
          <t>Stony Strength</t>
        </is>
      </c>
      <c r="B382" s="2">
        <f>IF(AND(F382&lt;&gt;0,E382=F382),"In Hand",IF(AND(E382&lt;&gt;0,E382&lt;F382,SUM(M382:R382)=0,SUM(T382:Y382)&gt;0),"Extra-Sub",IF(AND(E382=0,E382&lt;F382,SUM(M382:R382)=0,SUM(T382:Y382)&gt;0),"Bench-Sub",IF(AND(E382=0,F382&gt;0),"Bench",IF(E382&lt;F382,"Extra",IF(AND(J382="",E382&gt;F382),"To Buy",IF(SUM(J382,F382)&lt;E382,"To Buy",IF(AND(SUM(J382,F382)&gt;=E382,J382&lt;&gt;""),"Ordered",IF(AND(E382=0,F382=0,D382="B3"),"B3 Option",IF(AND(E382=0,F382=0),"Remove","To Buy"))))))))))</f>
        <v/>
      </c>
      <c r="D382" t="inlineStr">
        <is>
          <t>B2</t>
        </is>
      </c>
      <c r="E382" s="3">
        <f>SUM(M382:S382)</f>
        <v/>
      </c>
      <c r="F382" s="3">
        <f>SUM(T382:Z382)</f>
        <v/>
      </c>
      <c r="G382" s="3">
        <f>IF((F382-E382)&gt;=0,F382-E382,0)</f>
        <v/>
      </c>
      <c r="H382" s="3">
        <f>MAX(0,$E382-$F382-$J382)</f>
        <v/>
      </c>
      <c r="I382" s="3" t="n"/>
      <c r="J382" s="3" t="n"/>
      <c r="K382" s="4" t="n">
        <v>0.12</v>
      </c>
      <c r="L382" s="4">
        <f>IF(AND($H382&gt;0,ISNUMBER($K382)),$H382*$K382,0)</f>
        <v/>
      </c>
      <c r="M382" s="3" t="n"/>
      <c r="N382" s="3" t="n"/>
      <c r="O382" s="3" t="n">
        <v>1</v>
      </c>
      <c r="P382" s="3" t="n"/>
      <c r="Q382" s="3" t="n"/>
      <c r="R382" s="3" t="n"/>
      <c r="S382" s="3">
        <f>IF(AND(J382&lt;&gt;"",SUM(M382:R382)=0),J382,"")</f>
        <v/>
      </c>
      <c r="T382" s="3" t="n"/>
      <c r="U382" s="3" t="n"/>
      <c r="V382" s="3" t="n">
        <v>1</v>
      </c>
      <c r="W382" s="3" t="n"/>
      <c r="X382" s="3" t="n"/>
      <c r="Y382" s="3" t="n"/>
      <c r="Z382" s="3" t="n"/>
      <c r="AA382" s="2" t="inlineStr">
        <is>
          <t>Instant</t>
        </is>
      </c>
      <c r="AB382" s="2" t="n"/>
      <c r="AC382" s="2" t="inlineStr">
        <is>
          <t>G</t>
        </is>
      </c>
      <c r="AD382" s="3" t="n">
        <v>1</v>
      </c>
      <c r="AE382" s="29" t="inlineStr">
        <is>
          <t>Ravnica Allegiance</t>
        </is>
      </c>
      <c r="AF382" s="29" t="inlineStr">
        <is>
          <t>Counters Payoff</t>
        </is>
      </c>
      <c r="AG382" s="29" t="inlineStr">
        <is>
          <t>Puts a +1/+1 counter on target creature you control and untaps it</t>
        </is>
      </c>
      <c r="AH382" s="29" t="n"/>
      <c r="AI382" s="29" t="n"/>
      <c r="AJ382" s="2" t="n"/>
      <c r="AK382" t="inlineStr">
        <is>
          <t>[B3 later] D3-&gt;B when Pir, Imaginative Rascal is bought</t>
        </is>
      </c>
    </row>
    <row r="383" ht="15" customHeight="1" s="79">
      <c r="A383" s="2" t="inlineStr">
        <is>
          <t>Stratosoarer</t>
        </is>
      </c>
      <c r="B383" s="2">
        <f>IF(AND(F383&lt;&gt;0,E383=F383),"In Hand",IF(AND(E383&lt;&gt;0,E383&lt;F383,SUM(M383:R383)=0,SUM(T383:Y383)&gt;0),"Extra-Sub",IF(AND(E383=0,E383&lt;F383,SUM(M383:R383)=0,SUM(T383:Y383)&gt;0),"Bench-Sub",IF(AND(E383=0,F383&gt;0),"Bench",IF(E383&lt;F383,"Extra",IF(AND(J383="",E383&gt;F383),"To Buy",IF(SUM(J383,F383)&lt;E383,"To Buy",IF(AND(SUM(J383,F383)&gt;=E383,J383&lt;&gt;""),"Ordered",IF(AND(E383=0,F383=0,D383="B3"),"B3 Option",IF(AND(E383=0,F383=0),"Remove","To Buy"))))))))))</f>
        <v/>
      </c>
      <c r="D383" t="inlineStr">
        <is>
          <t>B2</t>
        </is>
      </c>
      <c r="E383" s="3">
        <f>SUM(M383:S383)</f>
        <v/>
      </c>
      <c r="F383" s="3">
        <f>SUM(T383:Z383)</f>
        <v/>
      </c>
      <c r="G383" s="3">
        <f>IF((F383-E383)&gt;=0,F383-E383,0)</f>
        <v/>
      </c>
      <c r="H383" s="3">
        <f>MAX(0,$E383-$F383-$J383)</f>
        <v/>
      </c>
      <c r="I383" s="3" t="n"/>
      <c r="J383" s="3" t="n"/>
      <c r="K383" s="4" t="n">
        <v>0.09</v>
      </c>
      <c r="L383" s="4">
        <f>IF(AND($H383&gt;0,ISNUMBER($K383)),$H383*$K383,0)</f>
        <v/>
      </c>
      <c r="M383" s="3" t="n"/>
      <c r="N383" s="3" t="n">
        <v>1</v>
      </c>
      <c r="O383" s="3" t="n"/>
      <c r="P383" s="3" t="n"/>
      <c r="Q383" s="3" t="n"/>
      <c r="R383" s="3" t="n"/>
      <c r="S383" s="3">
        <f>IF(AND(J383&lt;&gt;"",SUM(M383:R383)=0),J383,"")</f>
        <v/>
      </c>
      <c r="T383" s="3" t="n"/>
      <c r="U383" s="3" t="n">
        <v>1</v>
      </c>
      <c r="V383" s="3" t="n"/>
      <c r="W383" s="3" t="n"/>
      <c r="X383" s="3" t="n"/>
      <c r="Y383" s="3" t="n"/>
      <c r="Z383" s="3" t="n"/>
      <c r="AA383" s="2" t="inlineStr">
        <is>
          <t>Creature</t>
        </is>
      </c>
      <c r="AB383" s="2" t="inlineStr">
        <is>
          <t>Elemental</t>
        </is>
      </c>
      <c r="AC383" s="2" t="inlineStr">
        <is>
          <t>U</t>
        </is>
      </c>
      <c r="AD383" s="3" t="n">
        <v>5</v>
      </c>
      <c r="AE383" s="29" t="inlineStr">
        <is>
          <t>Lorwyn Eclipsed</t>
        </is>
      </c>
      <c r="AF383" s="29" t="inlineStr">
        <is>
          <t>Flexible Fixing</t>
        </is>
      </c>
      <c r="AG383" s="29" t="inlineStr">
        <is>
          <t>Gives target creature flying until end of turn when it enters</t>
        </is>
      </c>
      <c r="AH383" s="29" t="inlineStr">
        <is>
          <t>Basic landcycling: discard for {1}{U} to fetch a basic land</t>
        </is>
      </c>
      <c r="AI383" s="29" t="n"/>
      <c r="AJ383" s="2" t="n"/>
    </row>
    <row r="384" ht="15" customHeight="1" s="79">
      <c r="A384" s="2" t="inlineStr">
        <is>
          <t>Study Hall</t>
        </is>
      </c>
      <c r="B384" s="2">
        <f>IF(AND(F384&lt;&gt;0,E384=F384),"In Hand",IF(AND(E384&lt;&gt;0,E384&lt;F384,SUM(M384:R384)=0,SUM(T384:Y384)&gt;0),"Extra-Sub",IF(AND(E384=0,E384&lt;F384,SUM(M384:R384)=0,SUM(T384:Y384)&gt;0),"Bench-Sub",IF(AND(E384=0,F384&gt;0),"Bench",IF(E384&lt;F384,"Extra",IF(AND(J384="",E384&gt;F384),"To Buy",IF(SUM(J384,F384)&lt;E384,"To Buy",IF(AND(SUM(J384,F384)&gt;=E384,J384&lt;&gt;""),"Ordered",IF(AND(E384=0,F384=0,D384="B3"),"B3 Option",IF(AND(E384=0,F384=0),"Remove","To Buy"))))))))))</f>
        <v/>
      </c>
      <c r="D384" t="inlineStr">
        <is>
          <t>B2</t>
        </is>
      </c>
      <c r="E384" s="3">
        <f>SUM(M384:S384)</f>
        <v/>
      </c>
      <c r="F384" s="3">
        <f>SUM(T384:Z384)</f>
        <v/>
      </c>
      <c r="G384" s="3">
        <f>IF((F384-E384)&gt;=0,F384-E384,0)</f>
        <v/>
      </c>
      <c r="H384" s="3">
        <f>MAX(0,$E384-$F384-$J384)</f>
        <v/>
      </c>
      <c r="I384" s="3" t="n"/>
      <c r="J384" s="3" t="n"/>
      <c r="K384" s="4" t="n">
        <v>0.23</v>
      </c>
      <c r="L384" s="4">
        <f>IF(AND($H384&gt;0,ISNUMBER($K384)),$H384*$K384,0)</f>
        <v/>
      </c>
      <c r="M384" s="3" t="n">
        <v>1</v>
      </c>
      <c r="N384" s="3" t="n"/>
      <c r="O384" s="3" t="n"/>
      <c r="P384" s="3" t="n"/>
      <c r="Q384" s="3" t="n"/>
      <c r="R384" s="3" t="n"/>
      <c r="S384" s="3">
        <f>IF(AND(J384&lt;&gt;"",SUM(M384:R384)=0),J384,"")</f>
        <v/>
      </c>
      <c r="T384" s="3" t="n">
        <v>1</v>
      </c>
      <c r="U384" s="3" t="n"/>
      <c r="V384" s="3" t="n"/>
      <c r="W384" s="3" t="n"/>
      <c r="X384" s="3" t="n"/>
      <c r="Y384" s="3" t="n"/>
      <c r="Z384" s="3" t="n"/>
      <c r="AA384" s="2" t="inlineStr">
        <is>
          <t>Land</t>
        </is>
      </c>
      <c r="AB384" s="2" t="n"/>
      <c r="AC384" s="2" t="inlineStr">
        <is>
          <t>L</t>
        </is>
      </c>
      <c r="AD384" s="3" t="n">
        <v>0</v>
      </c>
      <c r="AE384" s="29" t="inlineStr">
        <is>
          <t>Commander 2021</t>
        </is>
      </c>
      <c r="AF384" s="29" t="inlineStr">
        <is>
          <t>Land</t>
        </is>
      </c>
      <c r="AG384" s="29" t="inlineStr">
        <is>
          <t>Taps for {C}</t>
        </is>
      </c>
      <c r="AH384" s="29" t="inlineStr">
        <is>
          <t>Pay {1}, tap: add one mana of any color</t>
        </is>
      </c>
      <c r="AI384" s="29" t="inlineStr">
        <is>
          <t>Scries when that mana casts your commander</t>
        </is>
      </c>
      <c r="AJ384" s="2" t="n"/>
      <c r="AK384" t="inlineStr">
        <is>
          <t>[B3 later] D1-&gt;B when War Room is bought</t>
        </is>
      </c>
    </row>
    <row r="385" ht="15" customHeight="1" s="79">
      <c r="A385" s="2" t="inlineStr">
        <is>
          <t>Sun Titan</t>
        </is>
      </c>
      <c r="B385" s="2">
        <f>IF(AND(F385&lt;&gt;0,E385=F385),"In Hand",IF(AND(E385&lt;&gt;0,E385&lt;F385,SUM(M385:R385)=0,SUM(T385:Y385)&gt;0),"Extra-Sub",IF(AND(E385=0,E385&lt;F385,SUM(M385:R385)=0,SUM(T385:Y385)&gt;0),"Bench-Sub",IF(AND(E385=0,F385&gt;0),"Bench",IF(E385&lt;F385,"Extra",IF(AND(J385="",E385&gt;F385),"To Buy",IF(SUM(J385,F385)&lt;E385,"To Buy",IF(AND(SUM(J385,F385)&gt;=E385,J385&lt;&gt;""),"Ordered",IF(AND(E385=0,F385=0,D385="B3"),"B3 Option",IF(AND(E385=0,F385=0),"Remove","To Buy"))))))))))</f>
        <v/>
      </c>
      <c r="D385" t="inlineStr">
        <is>
          <t>B2</t>
        </is>
      </c>
      <c r="E385" s="3">
        <f>SUM(M385:S385)</f>
        <v/>
      </c>
      <c r="F385" s="3">
        <f>SUM(T385:Z385)</f>
        <v/>
      </c>
      <c r="G385" s="3">
        <f>IF((F385-E385)&gt;=0,F385-E385,0)</f>
        <v/>
      </c>
      <c r="H385" s="3">
        <f>MAX(0,$E385-$F385-$J385)</f>
        <v/>
      </c>
      <c r="I385" s="3" t="n"/>
      <c r="J385" s="3" t="n"/>
      <c r="K385" s="4" t="n">
        <v>0.34</v>
      </c>
      <c r="L385" s="4">
        <f>IF(AND($H385&gt;0,ISNUMBER($K385)),$H385*$K385,0)</f>
        <v/>
      </c>
      <c r="M385" s="3" t="n">
        <v>1</v>
      </c>
      <c r="N385" s="3" t="n"/>
      <c r="O385" s="3" t="n"/>
      <c r="P385" s="3" t="n">
        <v>1</v>
      </c>
      <c r="Q385" s="3" t="n"/>
      <c r="R385" s="3" t="n"/>
      <c r="S385" s="3">
        <f>IF(AND(J385&lt;&gt;"",SUM(M385:R385)=0),J385,"")</f>
        <v/>
      </c>
      <c r="T385" s="3" t="n">
        <v>1</v>
      </c>
      <c r="U385" s="3" t="n"/>
      <c r="V385" s="3" t="n"/>
      <c r="W385" s="3" t="n">
        <v>1</v>
      </c>
      <c r="X385" s="3" t="n"/>
      <c r="Y385" s="3" t="n"/>
      <c r="Z385" s="3" t="n"/>
      <c r="AA385" s="2" t="inlineStr">
        <is>
          <t>Creature</t>
        </is>
      </c>
      <c r="AB385" s="2" t="inlineStr">
        <is>
          <t>Giant</t>
        </is>
      </c>
      <c r="AC385" s="2" t="inlineStr">
        <is>
          <t>W</t>
        </is>
      </c>
      <c r="AD385" s="3" t="n">
        <v>6</v>
      </c>
      <c r="AE385" s="29" t="inlineStr">
        <is>
          <t>Magic 2011</t>
        </is>
      </c>
      <c r="AF385" s="29" t="inlineStr">
        <is>
          <t>Recursion</t>
        </is>
      </c>
      <c r="AG385" s="29" t="inlineStr">
        <is>
          <t>6/6 body that can block after attacking</t>
        </is>
      </c>
      <c r="AH385" s="29" t="inlineStr">
        <is>
          <t>Enters or attacks: return a MV 3 or less permanent from graveyard to battlefield</t>
        </is>
      </c>
      <c r="AI385" s="29" t="n"/>
      <c r="AJ385" s="2" t="inlineStr">
        <is>
          <t>Bench sub -&gt; D4 for Colfenor, the Last Yew (2026-09-02)</t>
        </is>
      </c>
      <c r="AK385" t="inlineStr">
        <is>
          <t>[T+A] B-&gt;D4 (bench sub) [done 2026-09-03]</t>
        </is>
      </c>
    </row>
    <row r="386" ht="15" customHeight="1" s="79">
      <c r="A386" s="2" t="inlineStr">
        <is>
          <t>Sun-Dappled Celebrant</t>
        </is>
      </c>
      <c r="B386" s="2">
        <f>IF(AND(F386&lt;&gt;0,E386=F386),"In Hand",IF(AND(E386&lt;&gt;0,E386&lt;F386,SUM(M386:R386)=0,SUM(T386:Y386)&gt;0),"Extra-Sub",IF(AND(E386=0,E386&lt;F386,SUM(M386:R386)=0,SUM(T386:Y386)&gt;0),"Bench-Sub",IF(AND(E386=0,F386&gt;0),"Bench",IF(E386&lt;F386,"Extra",IF(AND(J386="",E386&gt;F386),"To Buy",IF(SUM(J386,F386)&lt;E386,"To Buy",IF(AND(SUM(J386,F386)&gt;=E386,J386&lt;&gt;""),"Ordered",IF(AND(E386=0,F386=0,D386="B3"),"B3 Option",IF(AND(E386=0,F386=0),"Remove","To Buy"))))))))))</f>
        <v/>
      </c>
      <c r="D386" t="inlineStr">
        <is>
          <t>B2</t>
        </is>
      </c>
      <c r="E386" s="3">
        <f>SUM(M386:S386)</f>
        <v/>
      </c>
      <c r="F386" s="3">
        <f>SUM(T386:Z386)</f>
        <v/>
      </c>
      <c r="G386" s="3">
        <f>IF((F386-E386)&gt;=0,F386-E386,0)</f>
        <v/>
      </c>
      <c r="H386" s="3">
        <f>MAX(0,$E386-$F386-$J386)</f>
        <v/>
      </c>
      <c r="I386" s="3" t="n"/>
      <c r="J386" s="3" t="n"/>
      <c r="K386" s="4" t="n">
        <v>0.16</v>
      </c>
      <c r="L386" s="4">
        <f>IF(AND($H386&gt;0,ISNUMBER($K386)),$H386*$K386,0)</f>
        <v/>
      </c>
      <c r="M386" s="3" t="n"/>
      <c r="N386" s="3" t="n">
        <v>1</v>
      </c>
      <c r="O386" s="3" t="n"/>
      <c r="P386" s="3" t="n"/>
      <c r="Q386" s="3" t="n"/>
      <c r="R386" s="3" t="n"/>
      <c r="S386" s="3">
        <f>IF(AND(J386&lt;&gt;"",SUM(M386:R386)=0),J386,"")</f>
        <v/>
      </c>
      <c r="T386" s="3" t="n"/>
      <c r="U386" s="3" t="n">
        <v>1</v>
      </c>
      <c r="V386" s="3" t="n"/>
      <c r="W386" s="3" t="n"/>
      <c r="X386" s="3" t="n"/>
      <c r="Y386" s="3" t="n"/>
      <c r="Z386" s="3" t="n"/>
      <c r="AA386" s="2" t="inlineStr">
        <is>
          <t>Creature</t>
        </is>
      </c>
      <c r="AB386" s="2" t="inlineStr">
        <is>
          <t>Treefolk Cleric</t>
        </is>
      </c>
      <c r="AC386" s="2" t="inlineStr">
        <is>
          <t>W</t>
        </is>
      </c>
      <c r="AD386" s="3" t="n">
        <v>6</v>
      </c>
      <c r="AE386" s="29" t="inlineStr">
        <is>
          <t>Lorwyn Eclipsed</t>
        </is>
      </c>
      <c r="AF386" s="29" t="inlineStr">
        <is>
          <t>Utility Creature</t>
        </is>
      </c>
      <c r="AG386" s="29" t="inlineStr">
        <is>
          <t>Can be cast for less by tapping creatures (convoke)</t>
        </is>
      </c>
      <c r="AH386" s="29" t="inlineStr">
        <is>
          <t>Vigilance body</t>
        </is>
      </c>
      <c r="AI386" s="29" t="n"/>
      <c r="AJ386" s="2" t="n"/>
      <c r="AK386" t="inlineStr">
        <is>
          <t>[B3 later] D2-&gt;B when Beast Whisperer is bought</t>
        </is>
      </c>
    </row>
    <row r="387" ht="15" customHeight="1" s="79">
      <c r="A387" s="2" t="inlineStr">
        <is>
          <t>Sunscorched Divide</t>
        </is>
      </c>
      <c r="B387" s="2">
        <f>IF(AND(F387&lt;&gt;0,E387=F387),"In Hand",IF(AND(E387&lt;&gt;0,E387&lt;F387,SUM(M387:R387)=0,SUM(T387:Y387)&gt;0),"Extra-Sub",IF(AND(E387=0,E387&lt;F387,SUM(M387:R387)=0,SUM(T387:Y387)&gt;0),"Bench-Sub",IF(AND(E387=0,F387&gt;0),"Bench",IF(E387&lt;F387,"Extra",IF(AND(J387="",E387&gt;F387),"To Buy",IF(SUM(J387,F387)&lt;E387,"To Buy",IF(AND(SUM(J387,F387)&gt;=E387,J387&lt;&gt;""),"Ordered",IF(AND(E387=0,F387=0,D387="B3"),"B3 Option",IF(AND(E387=0,F387=0),"Remove","To Buy"))))))))))</f>
        <v/>
      </c>
      <c r="D387" t="inlineStr">
        <is>
          <t>B2</t>
        </is>
      </c>
      <c r="E387" s="3">
        <f>SUM(M387:S387)</f>
        <v/>
      </c>
      <c r="F387" s="3">
        <f>SUM(T387:Z387)</f>
        <v/>
      </c>
      <c r="G387" s="3">
        <f>IF((F387-E387)&gt;=0,F387-E387,0)</f>
        <v/>
      </c>
      <c r="H387" s="3">
        <f>MAX(0,$E387-$F387-$J387)</f>
        <v/>
      </c>
      <c r="I387" s="3" t="n"/>
      <c r="J387" s="3" t="n"/>
      <c r="K387" s="4" t="n">
        <v>0.29</v>
      </c>
      <c r="L387" s="4">
        <f>IF(AND($H387&gt;0,ISNUMBER($K387)),$H387*$K387,0)</f>
        <v/>
      </c>
      <c r="M387" s="3" t="n">
        <v>1</v>
      </c>
      <c r="N387" s="3" t="n"/>
      <c r="O387" s="3" t="n"/>
      <c r="P387" s="3" t="n"/>
      <c r="Q387" s="3" t="n"/>
      <c r="R387" s="3" t="n"/>
      <c r="S387" s="3">
        <f>IF(AND(J387&lt;&gt;"",SUM(M387:R387)=0),J387,"")</f>
        <v/>
      </c>
      <c r="T387" s="3" t="n">
        <v>1</v>
      </c>
      <c r="U387" s="3" t="n"/>
      <c r="V387" s="3" t="n"/>
      <c r="W387" s="3" t="n"/>
      <c r="X387" s="3" t="n"/>
      <c r="Y387" s="3" t="n"/>
      <c r="Z387" s="3" t="n"/>
      <c r="AA387" s="2" t="inlineStr">
        <is>
          <t>Land</t>
        </is>
      </c>
      <c r="AB387" s="2" t="n"/>
      <c r="AC387" s="2" t="inlineStr">
        <is>
          <t>L</t>
        </is>
      </c>
      <c r="AD387" s="3" t="n">
        <v>0</v>
      </c>
      <c r="AE387" s="29" t="inlineStr">
        <is>
          <t>Fallout</t>
        </is>
      </c>
      <c r="AF387" s="29" t="inlineStr">
        <is>
          <t>Land</t>
        </is>
      </c>
      <c r="AG387" s="29" t="inlineStr">
        <is>
          <t>Pay {1}, tap: add {R}{W}</t>
        </is>
      </c>
      <c r="AH387" s="29" t="n"/>
      <c r="AI387" s="29" t="n"/>
      <c r="AJ387" s="2" t="n"/>
    </row>
    <row r="388" ht="15" customHeight="1" s="79">
      <c r="A388" s="2" t="inlineStr">
        <is>
          <t>Sword of the Animist</t>
        </is>
      </c>
      <c r="B388" s="2">
        <f>IF(AND(F388&lt;&gt;0,E388=F388),"In Hand",IF(AND(E388&lt;&gt;0,E388&lt;F388,SUM(M388:R388)=0,SUM(T388:Y388)&gt;0),"Extra-Sub",IF(AND(E388=0,E388&lt;F388,SUM(M388:R388)=0,SUM(T388:Y388)&gt;0),"Bench-Sub",IF(AND(E388=0,F388&gt;0),"Bench",IF(E388&lt;F388,"Extra",IF(AND(J388="",E388&gt;F388),"To Buy",IF(SUM(J388,F388)&lt;E388,"To Buy",IF(AND(SUM(J388,F388)&gt;=E388,J388&lt;&gt;""),"Ordered",IF(AND(E388=0,F388=0,D388="B3"),"B3 Option",IF(AND(E388=0,F388=0),"Remove","To Buy"))))))))))</f>
        <v/>
      </c>
      <c r="D388" t="inlineStr">
        <is>
          <t>B2</t>
        </is>
      </c>
      <c r="E388" s="3">
        <f>SUM(M388:S388)</f>
        <v/>
      </c>
      <c r="F388" s="3">
        <f>SUM(T388:Z388)</f>
        <v/>
      </c>
      <c r="G388" s="3">
        <f>IF((F388-E388)&gt;=0,F388-E388,0)</f>
        <v/>
      </c>
      <c r="H388" s="3">
        <f>MAX(0,$E388-$F388-$J388)</f>
        <v/>
      </c>
      <c r="I388" s="3" t="n"/>
      <c r="J388" s="3" t="n"/>
      <c r="K388" s="4" t="n">
        <v>6.13</v>
      </c>
      <c r="L388" s="4">
        <f>IF(AND($H388&gt;0,ISNUMBER($K388)),$H388*$K388,0)</f>
        <v/>
      </c>
      <c r="M388" s="3" t="n">
        <v>1</v>
      </c>
      <c r="N388" s="3" t="n"/>
      <c r="O388" s="3" t="n"/>
      <c r="P388" s="3" t="n"/>
      <c r="Q388" s="3" t="n"/>
      <c r="R388" s="3" t="n">
        <v>1</v>
      </c>
      <c r="S388" s="3">
        <f>IF(AND(J388&lt;&gt;"",SUM(M388:R388)=0),J388,"")</f>
        <v/>
      </c>
      <c r="T388" s="3" t="n">
        <v>1</v>
      </c>
      <c r="U388" s="3" t="n"/>
      <c r="V388" s="3" t="n"/>
      <c r="W388" s="3" t="n"/>
      <c r="X388" s="3" t="n"/>
      <c r="Y388" s="3" t="n">
        <v>1</v>
      </c>
      <c r="Z388" s="3" t="n"/>
      <c r="AA388" s="2" t="inlineStr">
        <is>
          <t>Legendary Artifact</t>
        </is>
      </c>
      <c r="AB388" s="2" t="inlineStr">
        <is>
          <t>Equipment</t>
        </is>
      </c>
      <c r="AC388" s="2" t="inlineStr">
        <is>
          <t>C</t>
        </is>
      </c>
      <c r="AD388" s="3" t="n">
        <v>2</v>
      </c>
      <c r="AE388" s="29" t="inlineStr">
        <is>
          <t>Magic Origins</t>
        </is>
      </c>
      <c r="AF388" s="29" t="inlineStr">
        <is>
          <t>Ramp</t>
        </is>
      </c>
      <c r="AG388" s="29" t="inlineStr">
        <is>
          <t>Equipped creature gets +1/+1</t>
        </is>
      </c>
      <c r="AH388" s="29" t="inlineStr">
        <is>
          <t>Attacking fetches a basic land onto the battlefield tapped</t>
        </is>
      </c>
      <c r="AI388" s="29" t="n"/>
      <c r="AJ388" s="2" t="inlineStr">
        <is>
          <t>Orders-sheet row = same physical copy (duplicate rule); not an extra; Bench sub -&gt; D6 for Fire Diamond (2026-09-02)</t>
        </is>
      </c>
      <c r="AK388" t="inlineStr">
        <is>
          <t>[T+A] B-&gt;D6 (bench sub) [done 2026-09-03]</t>
        </is>
      </c>
    </row>
    <row r="389" ht="15" customHeight="1" s="79">
      <c r="A389" s="2" t="inlineStr">
        <is>
          <t>Sylvan Caryatid</t>
        </is>
      </c>
      <c r="B389" s="2">
        <f>IF(AND(F389&lt;&gt;0,E389=F389),"In Hand",IF(AND(E389&lt;&gt;0,E389&lt;F389,SUM(M389:R389)=0,SUM(T389:Y389)&gt;0),"Extra-Sub",IF(AND(E389=0,E389&lt;F389,SUM(M389:R389)=0,SUM(T389:Y389)&gt;0),"Bench-Sub",IF(AND(E389=0,F389&gt;0),"Bench",IF(E389&lt;F389,"Extra",IF(AND(J389="",E389&gt;F389),"To Buy",IF(SUM(J389,F389)&lt;E389,"To Buy",IF(AND(SUM(J389,F389)&gt;=E389,J389&lt;&gt;""),"Ordered",IF(AND(E389=0,F389=0,D389="B3"),"B3 Option",IF(AND(E389=0,F389=0),"Remove","To Buy"))))))))))</f>
        <v/>
      </c>
      <c r="D389" t="inlineStr">
        <is>
          <t>B2</t>
        </is>
      </c>
      <c r="E389" s="3">
        <f>SUM(M389:S389)</f>
        <v/>
      </c>
      <c r="F389" s="3">
        <f>SUM(T389:Z389)</f>
        <v/>
      </c>
      <c r="G389" s="3">
        <f>IF((F389-E389)&gt;=0,F389-E389,0)</f>
        <v/>
      </c>
      <c r="H389" s="3">
        <f>MAX(0,$E389-$F389-$J389)</f>
        <v/>
      </c>
      <c r="I389" s="3" t="n"/>
      <c r="J389" s="3" t="n"/>
      <c r="K389" s="4" t="n">
        <v>0.99</v>
      </c>
      <c r="L389" s="4">
        <f>IF(AND($H389&gt;0,ISNUMBER($K389)),$H389*$K389,0)</f>
        <v/>
      </c>
      <c r="M389" s="3" t="n"/>
      <c r="N389" s="3" t="n"/>
      <c r="O389" s="3" t="n"/>
      <c r="P389" s="3" t="n">
        <v>1</v>
      </c>
      <c r="Q389" s="3" t="n"/>
      <c r="R389" s="3" t="n"/>
      <c r="S389" s="3">
        <f>IF(AND(J389&lt;&gt;"",SUM(M389:R389)=0),J389,"")</f>
        <v/>
      </c>
      <c r="T389" s="3" t="n"/>
      <c r="U389" s="3" t="n"/>
      <c r="V389" s="3" t="n"/>
      <c r="W389" s="3" t="n">
        <v>1</v>
      </c>
      <c r="X389" s="3" t="n"/>
      <c r="Y389" s="3" t="n"/>
      <c r="Z389" s="3" t="n"/>
      <c r="AA389" s="2" t="inlineStr">
        <is>
          <t>Creature</t>
        </is>
      </c>
      <c r="AB389" s="2" t="inlineStr">
        <is>
          <t>Plant</t>
        </is>
      </c>
      <c r="AC389" s="2" t="inlineStr">
        <is>
          <t>G</t>
        </is>
      </c>
      <c r="AD389" s="3" t="n">
        <v>2</v>
      </c>
      <c r="AE389" s="29" t="inlineStr">
        <is>
          <t>Theros</t>
        </is>
      </c>
      <c r="AF389" s="29" t="inlineStr">
        <is>
          <t>Defender Ramp</t>
        </is>
      </c>
      <c r="AG389" s="29" t="inlineStr">
        <is>
          <t>Taps for one mana of any color</t>
        </is>
      </c>
      <c r="AH389" s="29" t="inlineStr">
        <is>
          <t>Can't attack; can't be targeted by opponents' spells or abilities</t>
        </is>
      </c>
      <c r="AI389" s="29" t="n"/>
      <c r="AJ389" s="2" t="n"/>
    </row>
    <row r="390" ht="15" customHeight="1" s="79">
      <c r="A390" s="2" t="inlineStr">
        <is>
          <t>Sylvan Ranger</t>
        </is>
      </c>
      <c r="B390" s="2">
        <f>IF(AND(F390&lt;&gt;0,E390=F390),"In Hand",IF(AND(E390&lt;&gt;0,E390&lt;F390,SUM(M390:R390)=0,SUM(T390:Y390)&gt;0),"Extra-Sub",IF(AND(E390=0,E390&lt;F390,SUM(M390:R390)=0,SUM(T390:Y390)&gt;0),"Bench-Sub",IF(AND(E390=0,F390&gt;0),"Bench",IF(E390&lt;F390,"Extra",IF(AND(J390="",E390&gt;F390),"To Buy",IF(SUM(J390,F390)&lt;E390,"To Buy",IF(AND(SUM(J390,F390)&gt;=E390,J390&lt;&gt;""),"Ordered",IF(AND(E390=0,F390=0,D390="B3"),"B3 Option",IF(AND(E390=0,F390=0),"Remove","To Buy"))))))))))</f>
        <v/>
      </c>
      <c r="D390" t="inlineStr">
        <is>
          <t>B2</t>
        </is>
      </c>
      <c r="E390" s="3">
        <f>SUM(M390:S390)</f>
        <v/>
      </c>
      <c r="F390" s="3">
        <f>SUM(T390:Z390)</f>
        <v/>
      </c>
      <c r="G390" s="3">
        <f>IF((F390-E390)&gt;=0,F390-E390,0)</f>
        <v/>
      </c>
      <c r="H390" s="3">
        <f>MAX(0,$E390-$F390-$J390)</f>
        <v/>
      </c>
      <c r="I390" s="3" t="n"/>
      <c r="J390" s="3" t="n"/>
      <c r="K390" s="4" t="n">
        <v>0.31</v>
      </c>
      <c r="L390" s="4">
        <f>IF(AND($H390&gt;0,ISNUMBER($K390)),$H390*$K390,0)</f>
        <v/>
      </c>
      <c r="M390" s="3" t="n"/>
      <c r="N390" s="3" t="n">
        <v>1</v>
      </c>
      <c r="O390" s="3" t="n"/>
      <c r="P390" s="3" t="n"/>
      <c r="Q390" s="3" t="n"/>
      <c r="R390" s="3" t="n"/>
      <c r="S390" s="3">
        <f>IF(AND(J390&lt;&gt;"",SUM(M390:R390)=0),J390,"")</f>
        <v/>
      </c>
      <c r="T390" s="3" t="n"/>
      <c r="U390" s="3" t="n">
        <v>1</v>
      </c>
      <c r="V390" s="3" t="n"/>
      <c r="W390" s="3" t="n"/>
      <c r="X390" s="3" t="n"/>
      <c r="Y390" s="3" t="n"/>
      <c r="Z390" s="3" t="n"/>
      <c r="AA390" s="2" t="inlineStr">
        <is>
          <t>Creature</t>
        </is>
      </c>
      <c r="AB390" s="2" t="inlineStr">
        <is>
          <t>Elf Scout Ranger</t>
        </is>
      </c>
      <c r="AC390" s="2" t="inlineStr">
        <is>
          <t>G</t>
        </is>
      </c>
      <c r="AD390" s="3" t="n">
        <v>2</v>
      </c>
      <c r="AE390" s="29" t="inlineStr">
        <is>
          <t>Magic 2011</t>
        </is>
      </c>
      <c r="AF390" s="29" t="inlineStr">
        <is>
          <t>Ramp</t>
        </is>
      </c>
      <c r="AG390" s="29" t="inlineStr">
        <is>
          <t>Searches your library for a basic land card and puts it into your hand when it enters</t>
        </is>
      </c>
      <c r="AH390" s="29" t="n"/>
      <c r="AI390" s="29" t="n"/>
      <c r="AJ390" s="2" t="n"/>
    </row>
    <row r="391" ht="15" customHeight="1" s="79">
      <c r="A391" s="2" t="inlineStr">
        <is>
          <t>Temple of Enlightenment</t>
        </is>
      </c>
      <c r="B391" s="2">
        <f>IF(AND(F391&lt;&gt;0,E391=F391),"In Hand",IF(AND(E391&lt;&gt;0,E391&lt;F391,SUM(M391:R391)=0,SUM(T391:Y391)&gt;0),"Extra-Sub",IF(AND(E391=0,E391&lt;F391,SUM(M391:R391)=0,SUM(T391:Y391)&gt;0),"Bench-Sub",IF(AND(E391=0,F391&gt;0),"Bench",IF(E391&lt;F391,"Extra",IF(AND(J391="",E391&gt;F391),"To Buy",IF(SUM(J391,F391)&lt;E391,"To Buy",IF(AND(SUM(J391,F391)&gt;=E391,J391&lt;&gt;""),"Ordered",IF(AND(E391=0,F391=0,D391="B3"),"B3 Option",IF(AND(E391=0,F391=0),"Remove","To Buy"))))))))))</f>
        <v/>
      </c>
      <c r="D391" t="inlineStr">
        <is>
          <t>B2</t>
        </is>
      </c>
      <c r="E391" s="3">
        <f>SUM(M391:S391)</f>
        <v/>
      </c>
      <c r="F391" s="3">
        <f>SUM(T391:Z391)</f>
        <v/>
      </c>
      <c r="G391" s="3">
        <f>IF((F391-E391)&gt;=0,F391-E391,0)</f>
        <v/>
      </c>
      <c r="H391" s="3">
        <f>MAX(0,$E391-$F391-$J391)</f>
        <v/>
      </c>
      <c r="I391" s="3" t="n"/>
      <c r="J391" s="3" t="n"/>
      <c r="K391" s="4" t="n">
        <v>0.27</v>
      </c>
      <c r="L391" s="4">
        <f>IF(AND($H391&gt;0,ISNUMBER($K391)),$H391*$K391,0)</f>
        <v/>
      </c>
      <c r="M391" s="3" t="n"/>
      <c r="N391" s="3" t="n">
        <v>1</v>
      </c>
      <c r="O391" s="3" t="n"/>
      <c r="P391" s="3" t="n"/>
      <c r="Q391" s="3" t="n"/>
      <c r="R391" s="3" t="n"/>
      <c r="S391" s="3">
        <f>IF(AND(J391&lt;&gt;"",SUM(M391:R391)=0),J391,"")</f>
        <v/>
      </c>
      <c r="T391" s="3" t="n"/>
      <c r="U391" s="3" t="n">
        <v>1</v>
      </c>
      <c r="V391" s="3" t="n"/>
      <c r="W391" s="3" t="n"/>
      <c r="X391" s="3" t="n"/>
      <c r="Y391" s="3" t="n"/>
      <c r="Z391" s="3" t="n"/>
      <c r="AA391" s="2" t="inlineStr">
        <is>
          <t>Land</t>
        </is>
      </c>
      <c r="AB391" s="2" t="n"/>
      <c r="AC391" s="2" t="inlineStr">
        <is>
          <t>L</t>
        </is>
      </c>
      <c r="AD391" s="3" t="n">
        <v>0</v>
      </c>
      <c r="AE391" s="29" t="inlineStr">
        <is>
          <t>Born of the Gods</t>
        </is>
      </c>
      <c r="AF391" s="29" t="inlineStr">
        <is>
          <t>Land</t>
        </is>
      </c>
      <c r="AG391" s="29" t="inlineStr">
        <is>
          <t>Taps for {W} or {U}</t>
        </is>
      </c>
      <c r="AH391" s="29" t="inlineStr">
        <is>
          <t>Scry 1 when it enters</t>
        </is>
      </c>
      <c r="AI391" s="29" t="n"/>
      <c r="AJ391" s="2" t="inlineStr">
        <is>
          <t>Orders-sheet row = same physical copy (duplicate rule); not an extra</t>
        </is>
      </c>
    </row>
    <row r="392" ht="15" customHeight="1" s="79">
      <c r="A392" s="2" t="inlineStr">
        <is>
          <t>Temple of Triumph</t>
        </is>
      </c>
      <c r="B392" s="2">
        <f>IF(AND(F392&lt;&gt;0,E392=F392),"In Hand",IF(AND(E392&lt;&gt;0,E392&lt;F392,SUM(M392:R392)=0,SUM(T392:Y392)&gt;0),"Extra-Sub",IF(AND(E392=0,E392&lt;F392,SUM(M392:R392)=0,SUM(T392:Y392)&gt;0),"Bench-Sub",IF(AND(E392=0,F392&gt;0),"Bench",IF(E392&lt;F392,"Extra",IF(AND(J392="",E392&gt;F392),"To Buy",IF(SUM(J392,F392)&lt;E392,"To Buy",IF(AND(SUM(J392,F392)&gt;=E392,J392&lt;&gt;""),"Ordered",IF(AND(E392=0,F392=0,D392="B3"),"B3 Option",IF(AND(E392=0,F392=0),"Remove","To Buy"))))))))))</f>
        <v/>
      </c>
      <c r="D392" t="inlineStr">
        <is>
          <t>B2</t>
        </is>
      </c>
      <c r="E392" s="3">
        <f>SUM(M392:S392)</f>
        <v/>
      </c>
      <c r="F392" s="3">
        <f>SUM(T392:Z392)</f>
        <v/>
      </c>
      <c r="G392" s="3">
        <f>IF((F392-E392)&gt;=0,F392-E392,0)</f>
        <v/>
      </c>
      <c r="H392" s="3">
        <f>MAX(0,$E392-$F392-$J392)</f>
        <v/>
      </c>
      <c r="I392" s="3" t="n"/>
      <c r="J392" s="3" t="n"/>
      <c r="K392" s="4" t="n">
        <v>0.31</v>
      </c>
      <c r="L392" s="4">
        <f>IF(AND($H392&gt;0,ISNUMBER($K392)),$H392*$K392,0)</f>
        <v/>
      </c>
      <c r="M392" s="3" t="n">
        <v>1</v>
      </c>
      <c r="N392" s="3" t="n"/>
      <c r="O392" s="3" t="n"/>
      <c r="P392" s="3" t="n"/>
      <c r="Q392" s="3" t="n"/>
      <c r="R392" s="3" t="n"/>
      <c r="S392" s="3">
        <f>IF(AND(J392&lt;&gt;"",SUM(M392:R392)=0),J392,"")</f>
        <v/>
      </c>
      <c r="T392" s="3" t="n">
        <v>1</v>
      </c>
      <c r="U392" s="3" t="n"/>
      <c r="V392" s="3" t="n"/>
      <c r="W392" s="3" t="n"/>
      <c r="X392" s="3" t="n"/>
      <c r="Y392" s="3" t="n"/>
      <c r="Z392" s="3" t="n"/>
      <c r="AA392" s="2" t="inlineStr">
        <is>
          <t>Land</t>
        </is>
      </c>
      <c r="AB392" s="2" t="n"/>
      <c r="AC392" s="2" t="inlineStr">
        <is>
          <t>L</t>
        </is>
      </c>
      <c r="AD392" s="3" t="n">
        <v>0</v>
      </c>
      <c r="AE392" s="29" t="inlineStr">
        <is>
          <t>Theros</t>
        </is>
      </c>
      <c r="AF392" s="29" t="inlineStr">
        <is>
          <t>Land</t>
        </is>
      </c>
      <c r="AG392" s="29" t="inlineStr">
        <is>
          <t>Taps for {R} or {W}</t>
        </is>
      </c>
      <c r="AH392" s="29" t="inlineStr">
        <is>
          <t>Enters tapped</t>
        </is>
      </c>
      <c r="AI392" s="29" t="inlineStr">
        <is>
          <t>Scries 1 when it enters</t>
        </is>
      </c>
      <c r="AJ392" s="2" t="n"/>
    </row>
    <row r="393" ht="15" customHeight="1" s="79">
      <c r="A393" s="2" t="inlineStr">
        <is>
          <t>Tempt with Vengeance</t>
        </is>
      </c>
      <c r="B393" s="2">
        <f>IF(AND(F393&lt;&gt;0,E393=F393),"In Hand",IF(AND(E393&lt;&gt;0,E393&lt;F393,SUM(M393:R393)=0,SUM(T393:Y393)&gt;0),"Extra-Sub",IF(AND(E393=0,E393&lt;F393,SUM(M393:R393)=0,SUM(T393:Y393)&gt;0),"Bench-Sub",IF(AND(E393=0,F393&gt;0),"Bench",IF(E393&lt;F393,"Extra",IF(AND(J393="",E393&gt;F393),"To Buy",IF(SUM(J393,F393)&lt;E393,"To Buy",IF(AND(SUM(J393,F393)&gt;=E393,J393&lt;&gt;""),"Ordered",IF(AND(E393=0,F393=0,D393="B3"),"B3 Option",IF(AND(E393=0,F393=0),"Remove","To Buy"))))))))))</f>
        <v/>
      </c>
      <c r="D393" t="inlineStr">
        <is>
          <t>B2</t>
        </is>
      </c>
      <c r="E393" s="3">
        <f>SUM(M393:S393)</f>
        <v/>
      </c>
      <c r="F393" s="3">
        <f>SUM(T393:Z393)</f>
        <v/>
      </c>
      <c r="G393" s="3">
        <f>IF((F393-E393)&gt;=0,F393-E393,0)</f>
        <v/>
      </c>
      <c r="H393" s="3">
        <f>MAX(0,$E393-$F393-$J393)</f>
        <v/>
      </c>
      <c r="I393" s="3" t="n"/>
      <c r="J393" s="3" t="n"/>
      <c r="K393" s="4" t="n">
        <v>0.32</v>
      </c>
      <c r="L393" s="4">
        <f>IF(AND($H393&gt;0,ISNUMBER($K393)),$H393*$K393,0)</f>
        <v/>
      </c>
      <c r="M393" s="3" t="n"/>
      <c r="N393" s="3" t="n"/>
      <c r="O393" s="3" t="n"/>
      <c r="P393" s="3" t="n"/>
      <c r="Q393" s="3" t="n"/>
      <c r="R393" s="3" t="n">
        <v>1</v>
      </c>
      <c r="S393" s="3">
        <f>IF(AND(J393&lt;&gt;"",SUM(M393:R393)=0),J393,"")</f>
        <v/>
      </c>
      <c r="T393" s="3" t="n"/>
      <c r="U393" s="3" t="n"/>
      <c r="V393" s="3" t="n"/>
      <c r="W393" s="3" t="n"/>
      <c r="X393" s="3" t="n"/>
      <c r="Y393" s="3" t="n"/>
      <c r="Z393" s="3" t="n">
        <v>1</v>
      </c>
      <c r="AA393" s="2" t="inlineStr">
        <is>
          <t>Sorcery</t>
        </is>
      </c>
      <c r="AB393" s="2" t="n"/>
      <c r="AC393" s="2" t="inlineStr">
        <is>
          <t>R</t>
        </is>
      </c>
      <c r="AD393" s="3" t="n">
        <v>1</v>
      </c>
      <c r="AE393" s="29" t="inlineStr">
        <is>
          <t>Commander 2013</t>
        </is>
      </c>
      <c r="AF393" s="29" t="inlineStr">
        <is>
          <t>Token Producer</t>
        </is>
      </c>
      <c r="AG393" s="29" t="inlineStr">
        <is>
          <t>Creates X 1/1 hasty Elemental tokens</t>
        </is>
      </c>
      <c r="AH393" s="29" t="inlineStr">
        <is>
          <t>Opponents may match it, then you get that many more tokens</t>
        </is>
      </c>
      <c r="AI393" s="29" t="n"/>
      <c r="AJ393" s="2" t="inlineStr">
        <is>
          <t>Received/settled (was in cart 2026-09-02: Game Theory Wake Forest $1.9 Lightly Played)</t>
        </is>
      </c>
    </row>
    <row r="394" ht="15" customHeight="1" s="79">
      <c r="A394" s="2" t="inlineStr">
        <is>
          <t>Terramorphic Expanse</t>
        </is>
      </c>
      <c r="B394" s="2">
        <f>IF(AND(F394&lt;&gt;0,E394=F394),"In Hand",IF(AND(E394&lt;&gt;0,E394&lt;F394,SUM(M394:R394)=0,SUM(T394:Y394)&gt;0),"Extra-Sub",IF(AND(E394=0,E394&lt;F394,SUM(M394:R394)=0,SUM(T394:Y394)&gt;0),"Bench-Sub",IF(AND(E394=0,F394&gt;0),"Bench",IF(E394&lt;F394,"Extra",IF(AND(J394="",E394&gt;F394),"To Buy",IF(SUM(J394,F394)&lt;E394,"To Buy",IF(AND(SUM(J394,F394)&gt;=E394,J394&lt;&gt;""),"Ordered",IF(AND(E394=0,F394=0,D394="B3"),"B3 Option",IF(AND(E394=0,F394=0),"Remove","To Buy"))))))))))</f>
        <v/>
      </c>
      <c r="D394" t="inlineStr">
        <is>
          <t>B2</t>
        </is>
      </c>
      <c r="E394" s="3">
        <f>SUM(M394:S394)</f>
        <v/>
      </c>
      <c r="F394" s="3">
        <f>SUM(T394:Z394)</f>
        <v/>
      </c>
      <c r="G394" s="3">
        <f>IF((F394-E394)&gt;=0,F394-E394,0)</f>
        <v/>
      </c>
      <c r="H394" s="3">
        <f>MAX(0,$E394-$F394-$J394)</f>
        <v/>
      </c>
      <c r="I394" s="3" t="n"/>
      <c r="J394" s="3" t="n"/>
      <c r="K394" s="4" t="n">
        <v>0.25</v>
      </c>
      <c r="L394" s="4">
        <f>IF(AND($H394&gt;0,ISNUMBER($K394)),$H394*$K394,0)</f>
        <v/>
      </c>
      <c r="M394" s="3" t="n">
        <v>1</v>
      </c>
      <c r="N394" s="3" t="n">
        <v>1</v>
      </c>
      <c r="O394" s="3" t="n"/>
      <c r="P394" s="3" t="n"/>
      <c r="Q394" s="3" t="n"/>
      <c r="R394" s="3" t="n"/>
      <c r="S394" s="3">
        <f>IF(AND(J394&lt;&gt;"",SUM(M394:R394)=0),J394,"")</f>
        <v/>
      </c>
      <c r="T394" s="3" t="n">
        <v>1</v>
      </c>
      <c r="U394" s="3" t="n">
        <v>1</v>
      </c>
      <c r="V394" s="3" t="n"/>
      <c r="W394" s="3" t="n"/>
      <c r="X394" s="3" t="n"/>
      <c r="Y394" s="3" t="n"/>
      <c r="Z394" s="3" t="n"/>
      <c r="AA394" s="2" t="inlineStr">
        <is>
          <t>Land</t>
        </is>
      </c>
      <c r="AB394" s="2" t="n"/>
      <c r="AC394" s="2" t="inlineStr">
        <is>
          <t>L</t>
        </is>
      </c>
      <c r="AD394" s="3" t="n">
        <v>0</v>
      </c>
      <c r="AE394" s="29" t="inlineStr">
        <is>
          <t>Salvat 2005</t>
        </is>
      </c>
      <c r="AF394" s="29" t="inlineStr">
        <is>
          <t>Land</t>
        </is>
      </c>
      <c r="AG394" s="29" t="inlineStr">
        <is>
          <t>Sacrifice, search a basic land, put it into play tapped</t>
        </is>
      </c>
      <c r="AH394" s="29" t="n"/>
      <c r="AI394" s="29" t="n"/>
      <c r="AJ394" s="2" t="n"/>
    </row>
    <row r="395" ht="15" customHeight="1" s="79">
      <c r="A395" s="2" t="inlineStr">
        <is>
          <t>Teshar, Ancestor's Apostle</t>
        </is>
      </c>
      <c r="B395" s="2">
        <f>IF(AND(F395&lt;&gt;0,E395=F395),"In Hand",IF(AND(E395&lt;&gt;0,E395&lt;F395,SUM(M395:R395)=0,SUM(T395:Y395)&gt;0),"Extra-Sub",IF(AND(E395=0,E395&lt;F395,SUM(M395:R395)=0,SUM(T395:Y395)&gt;0),"Bench-Sub",IF(AND(E395=0,F395&gt;0),"Bench",IF(E395&lt;F395,"Extra",IF(AND(J395="",E395&gt;F395),"To Buy",IF(SUM(J395,F395)&lt;E395,"To Buy",IF(AND(SUM(J395,F395)&gt;=E395,J395&lt;&gt;""),"Ordered",IF(AND(E395=0,F395=0,D395="B3"),"B3 Option",IF(AND(E395=0,F395=0),"Remove","To Buy"))))))))))</f>
        <v/>
      </c>
      <c r="D395" t="inlineStr">
        <is>
          <t>B2</t>
        </is>
      </c>
      <c r="E395" s="3">
        <f>SUM(M395:S395)</f>
        <v/>
      </c>
      <c r="F395" s="3">
        <f>SUM(T395:Z395)</f>
        <v/>
      </c>
      <c r="G395" s="3">
        <f>IF((F395-E395)&gt;=0,F395-E395,0)</f>
        <v/>
      </c>
      <c r="H395" s="3">
        <f>MAX(0,$E395-$F395-$J395)</f>
        <v/>
      </c>
      <c r="I395" s="3" t="n"/>
      <c r="J395" s="3" t="n"/>
      <c r="K395" s="4" t="n">
        <v>0.29</v>
      </c>
      <c r="L395" s="4">
        <f>IF(AND($H395&gt;0,ISNUMBER($K395)),$H395*$K395,0)</f>
        <v/>
      </c>
      <c r="M395" s="3" t="n">
        <v>1</v>
      </c>
      <c r="N395" s="3" t="n"/>
      <c r="O395" s="3" t="n"/>
      <c r="P395" s="3" t="n"/>
      <c r="Q395" s="3" t="n"/>
      <c r="R395" s="3" t="n"/>
      <c r="S395" s="3">
        <f>IF(AND(J395&lt;&gt;"",SUM(M395:R395)=0),J395,"")</f>
        <v/>
      </c>
      <c r="T395" s="3" t="n">
        <v>1</v>
      </c>
      <c r="U395" s="3" t="n"/>
      <c r="V395" s="3" t="n"/>
      <c r="W395" s="3" t="n"/>
      <c r="X395" s="3" t="n"/>
      <c r="Y395" s="3" t="n"/>
      <c r="Z395" s="3" t="n"/>
      <c r="AA395" s="2" t="inlineStr">
        <is>
          <t>Legendary Creature</t>
        </is>
      </c>
      <c r="AB395" s="2" t="inlineStr">
        <is>
          <t>Bird Cleric</t>
        </is>
      </c>
      <c r="AC395" s="2" t="inlineStr">
        <is>
          <t>W</t>
        </is>
      </c>
      <c r="AD395" s="3" t="n">
        <v>4</v>
      </c>
      <c r="AE395" s="29" t="inlineStr">
        <is>
          <t>Dominaria</t>
        </is>
      </c>
      <c r="AF395" s="29" t="inlineStr">
        <is>
          <t>Recursion</t>
        </is>
      </c>
      <c r="AG395" s="29" t="inlineStr">
        <is>
          <t>Flying body</t>
        </is>
      </c>
      <c r="AH395" s="29" t="inlineStr">
        <is>
          <t>Casting a historic spell returns a MV 3 or less creature card from graveyard to battlefield</t>
        </is>
      </c>
      <c r="AI395" s="29" t="n"/>
      <c r="AJ395" s="2" t="n"/>
    </row>
    <row r="396" ht="15" customHeight="1" s="79">
      <c r="A396" s="2" t="inlineStr">
        <is>
          <t>Tezzeret's Gambit</t>
        </is>
      </c>
      <c r="B396" s="2">
        <f>IF(AND(F396&lt;&gt;0,E396=F396),"In Hand",IF(AND(E396&lt;&gt;0,E396&lt;F396,SUM(M396:R396)=0,SUM(T396:Y396)&gt;0),"Extra-Sub",IF(AND(E396=0,E396&lt;F396,SUM(M396:R396)=0,SUM(T396:Y396)&gt;0),"Bench-Sub",IF(AND(E396=0,F396&gt;0),"Bench",IF(E396&lt;F396,"Extra",IF(AND(J396="",E396&gt;F396),"To Buy",IF(SUM(J396,F396)&lt;E396,"To Buy",IF(AND(SUM(J396,F396)&gt;=E396,J396&lt;&gt;""),"Ordered",IF(AND(E396=0,F396=0,D396="B3"),"B3 Option",IF(AND(E396=0,F396=0),"Remove","To Buy"))))))))))</f>
        <v/>
      </c>
      <c r="D396" t="inlineStr">
        <is>
          <t>B2</t>
        </is>
      </c>
      <c r="E396" s="3">
        <f>SUM(M396:S396)</f>
        <v/>
      </c>
      <c r="F396" s="3">
        <f>SUM(T396:Z396)</f>
        <v/>
      </c>
      <c r="G396" s="3">
        <f>IF((F396-E396)&gt;=0,F396-E396,0)</f>
        <v/>
      </c>
      <c r="H396" s="3">
        <f>MAX(0,$E396-$F396-$J396)</f>
        <v/>
      </c>
      <c r="I396" s="3" t="n"/>
      <c r="J396" s="3" t="n"/>
      <c r="K396" s="4" t="n">
        <v>0.27</v>
      </c>
      <c r="L396" s="4">
        <f>IF(AND($H396&gt;0,ISNUMBER($K396)),$H396*$K396,0)</f>
        <v/>
      </c>
      <c r="M396" s="3" t="n"/>
      <c r="N396" s="3" t="n"/>
      <c r="O396" s="3" t="n">
        <v>1</v>
      </c>
      <c r="P396" s="3" t="n"/>
      <c r="Q396" s="3" t="n"/>
      <c r="R396" s="3" t="n"/>
      <c r="S396" s="3">
        <f>IF(AND(J396&lt;&gt;"",SUM(M396:R396)=0),J396,"")</f>
        <v/>
      </c>
      <c r="T396" s="3" t="n"/>
      <c r="U396" s="3" t="n"/>
      <c r="V396" s="3" t="n">
        <v>1</v>
      </c>
      <c r="W396" s="3" t="n"/>
      <c r="X396" s="3" t="n"/>
      <c r="Y396" s="3" t="n"/>
      <c r="Z396" s="3" t="n"/>
      <c r="AA396" s="2" t="inlineStr">
        <is>
          <t>Sorcery</t>
        </is>
      </c>
      <c r="AB396" s="2" t="n"/>
      <c r="AC396" s="2" t="inlineStr">
        <is>
          <t>U</t>
        </is>
      </c>
      <c r="AD396" s="3" t="n">
        <v>4</v>
      </c>
      <c r="AE396" s="29" t="inlineStr">
        <is>
          <t>New Phyrexia</t>
        </is>
      </c>
      <c r="AF396" s="29" t="inlineStr">
        <is>
          <t>Proliferate</t>
        </is>
      </c>
      <c r="AG396" s="29" t="inlineStr">
        <is>
          <t>Draw two cards, then proliferate</t>
        </is>
      </c>
      <c r="AH396" s="29" t="inlineStr">
        <is>
          <t>Can pay 2 life instead of {U}</t>
        </is>
      </c>
      <c r="AI396" s="29" t="n"/>
      <c r="AJ396" s="2" t="inlineStr">
        <is>
          <t>Tuned add</t>
        </is>
      </c>
    </row>
    <row r="397" ht="15" customHeight="1" s="79">
      <c r="A397" s="2" t="inlineStr">
        <is>
          <t>The Eternal Wanderer</t>
        </is>
      </c>
      <c r="B397" s="2">
        <f>IF(AND(F397&lt;&gt;0,E397=F397),"In Hand",IF(AND(E397&lt;&gt;0,E397&lt;F397,SUM(M397:R397)=0,SUM(T397:Y397)&gt;0),"Extra-Sub",IF(AND(E397=0,E397&lt;F397,SUM(M397:R397)=0,SUM(T397:Y397)&gt;0),"Bench-Sub",IF(AND(E397=0,F397&gt;0),"Bench",IF(E397&lt;F397,"Extra",IF(AND(J397="",E397&gt;F397),"To Buy",IF(SUM(J397,F397)&lt;E397,"To Buy",IF(AND(SUM(J397,F397)&gt;=E397,J397&lt;&gt;""),"Ordered",IF(AND(E397=0,F397=0,D397="B3"),"B3 Option",IF(AND(E397=0,F397=0),"Remove","To Buy"))))))))))</f>
        <v/>
      </c>
      <c r="D397" t="inlineStr">
        <is>
          <t>B2</t>
        </is>
      </c>
      <c r="E397" s="3">
        <f>SUM(M397:S397)</f>
        <v/>
      </c>
      <c r="F397" s="3">
        <f>SUM(T397:Z397)</f>
        <v/>
      </c>
      <c r="G397" s="3">
        <f>IF((F397-E397)&gt;=0,F397-E397,0)</f>
        <v/>
      </c>
      <c r="H397" s="3">
        <f>MAX(0,$E397-$F397-$J397)</f>
        <v/>
      </c>
      <c r="I397" s="3" t="n"/>
      <c r="J397" s="3" t="n"/>
      <c r="K397" s="4" t="n">
        <v>1.13</v>
      </c>
      <c r="L397" s="4">
        <f>IF(AND($H397&gt;0,ISNUMBER($K397)),$H397*$K397,0)</f>
        <v/>
      </c>
      <c r="M397" s="3" t="n"/>
      <c r="N397" s="3" t="n">
        <v>1</v>
      </c>
      <c r="O397" s="3" t="n"/>
      <c r="P397" s="3" t="n"/>
      <c r="Q397" s="3" t="n"/>
      <c r="R397" s="3" t="n"/>
      <c r="S397" s="3">
        <f>IF(AND(J397&lt;&gt;"",SUM(M397:R397)=0),J397,"")</f>
        <v/>
      </c>
      <c r="T397" s="3" t="n"/>
      <c r="U397" s="3" t="n">
        <v>1</v>
      </c>
      <c r="V397" s="3" t="n"/>
      <c r="W397" s="3" t="n"/>
      <c r="X397" s="3" t="n"/>
      <c r="Y397" s="3" t="n"/>
      <c r="Z397" s="3" t="n"/>
      <c r="AA397" s="2" t="inlineStr">
        <is>
          <t>Legendary Planeswalker</t>
        </is>
      </c>
      <c r="AB397" s="2" t="n"/>
      <c r="AC397" s="2" t="inlineStr">
        <is>
          <t>W</t>
        </is>
      </c>
      <c r="AD397" s="3" t="n">
        <v>6</v>
      </c>
      <c r="AE397" s="29" t="inlineStr">
        <is>
          <t>Phyrexia: All Will Be One</t>
        </is>
      </c>
      <c r="AF397" s="29" t="inlineStr">
        <is>
          <t>Blink</t>
        </is>
      </c>
      <c r="AG397" s="29" t="inlineStr">
        <is>
          <t>+1: exiles an artifact or creature, returns it at that player's next end step</t>
        </is>
      </c>
      <c r="AH397" s="29" t="inlineStr">
        <is>
          <t>0: creates a 2/2 white Samurai token with double strike</t>
        </is>
      </c>
      <c r="AI397" s="29" t="inlineStr">
        <is>
          <t>-4: each player keeps one chosen creature, sacrifices the rest</t>
        </is>
      </c>
      <c r="AJ397" s="2" t="n"/>
    </row>
    <row r="398" ht="15" customHeight="1" s="79">
      <c r="A398" s="2" t="inlineStr">
        <is>
          <t>The Restoration of Eiganjo</t>
        </is>
      </c>
      <c r="B398" s="2">
        <f>IF(AND(F398&lt;&gt;0,E398=F398),"In Hand",IF(AND(E398&lt;&gt;0,E398&lt;F398,SUM(M398:R398)=0,SUM(T398:Y398)&gt;0),"Extra-Sub",IF(AND(E398=0,E398&lt;F398,SUM(M398:R398)=0,SUM(T398:Y398)&gt;0),"Bench-Sub",IF(AND(E398=0,F398&gt;0),"Bench",IF(E398&lt;F398,"Extra",IF(AND(J398="",E398&gt;F398),"To Buy",IF(SUM(J398,F398)&lt;E398,"To Buy",IF(AND(SUM(J398,F398)&gt;=E398,J398&lt;&gt;""),"Ordered",IF(AND(E398=0,F398=0,D398="B3"),"B3 Option",IF(AND(E398=0,F398=0),"Remove","To Buy"))))))))))</f>
        <v/>
      </c>
      <c r="D398" t="inlineStr">
        <is>
          <t>B2</t>
        </is>
      </c>
      <c r="E398" s="3">
        <f>SUM(M398:S398)</f>
        <v/>
      </c>
      <c r="F398" s="3">
        <f>SUM(T398:Z398)</f>
        <v/>
      </c>
      <c r="G398" s="3">
        <f>IF((F398-E398)&gt;=0,F398-E398,0)</f>
        <v/>
      </c>
      <c r="H398" s="3">
        <f>MAX(0,$E398-$F398-$J398)</f>
        <v/>
      </c>
      <c r="I398" s="3" t="n"/>
      <c r="J398" s="3" t="n"/>
      <c r="K398" s="4" t="n">
        <v>0.57</v>
      </c>
      <c r="L398" s="4">
        <f>IF(AND($H398&gt;0,ISNUMBER($K398)),$H398*$K398,0)</f>
        <v/>
      </c>
      <c r="M398" s="3" t="n"/>
      <c r="N398" s="3" t="n"/>
      <c r="O398" s="3" t="n">
        <v>1</v>
      </c>
      <c r="P398" s="3" t="n"/>
      <c r="Q398" s="3" t="n"/>
      <c r="R398" s="3" t="n"/>
      <c r="S398" s="3">
        <f>IF(AND(J398&lt;&gt;"",SUM(M398:R398)=0),J398,"")</f>
        <v/>
      </c>
      <c r="T398" s="3" t="n"/>
      <c r="U398" s="3" t="n"/>
      <c r="V398" s="3" t="n">
        <v>1</v>
      </c>
      <c r="W398" s="3" t="n"/>
      <c r="X398" s="3" t="n"/>
      <c r="Y398" s="3" t="n"/>
      <c r="Z398" s="3" t="n"/>
      <c r="AA398" s="2" t="inlineStr">
        <is>
          <t>Enchantment</t>
        </is>
      </c>
      <c r="AB398" s="2" t="inlineStr">
        <is>
          <t>Saga</t>
        </is>
      </c>
      <c r="AC398" s="2" t="inlineStr">
        <is>
          <t>W</t>
        </is>
      </c>
      <c r="AD398" s="3" t="n">
        <v>3</v>
      </c>
      <c r="AE398" s="29" t="inlineStr">
        <is>
          <t>Kamigawa: Neon Dynasty</t>
        </is>
      </c>
      <c r="AF398" s="29" t="inlineStr">
        <is>
          <t>Recursion</t>
        </is>
      </c>
      <c r="AG398" s="29" t="inlineStr">
        <is>
          <t>Chapter I: search library for a basic Plains to hand</t>
        </is>
      </c>
      <c r="AH398" s="29" t="inlineStr">
        <is>
          <t>Chapter II: discard a card to reanimate a permanent MV 2 or less</t>
        </is>
      </c>
      <c r="AI398" s="29" t="inlineStr">
        <is>
          <t>Chapter III: transforms into a creature that makes Spirit tokens on attack/block</t>
        </is>
      </c>
      <c r="AJ398" s="2" t="n"/>
    </row>
    <row r="399" ht="15" customHeight="1" s="79">
      <c r="A399" s="2" t="inlineStr">
        <is>
          <t>Thousand-Year Elixir</t>
        </is>
      </c>
      <c r="B399" s="2">
        <f>IF(AND(F399&lt;&gt;0,E399=F399),"In Hand",IF(AND(E399&lt;&gt;0,E399&lt;F399,SUM(M399:R399)=0,SUM(T399:Y399)&gt;0),"Extra-Sub",IF(AND(E399=0,E399&lt;F399,SUM(M399:R399)=0,SUM(T399:Y399)&gt;0),"Bench-Sub",IF(AND(E399=0,F399&gt;0),"Bench",IF(E399&lt;F399,"Extra",IF(AND(J399="",E399&gt;F399),"To Buy",IF(SUM(J399,F399)&lt;E399,"To Buy",IF(AND(SUM(J399,F399)&gt;=E399,J399&lt;&gt;""),"Ordered",IF(AND(E399=0,F399=0,D399="B3"),"B3 Option",IF(AND(E399=0,F399=0),"Remove","To Buy"))))))))))</f>
        <v/>
      </c>
      <c r="D399" t="inlineStr">
        <is>
          <t>B2</t>
        </is>
      </c>
      <c r="E399" s="3">
        <f>SUM(M399:S399)</f>
        <v/>
      </c>
      <c r="F399" s="3">
        <f>SUM(T399:Z399)</f>
        <v/>
      </c>
      <c r="G399" s="3">
        <f>IF((F399-E399)&gt;=0,F399-E399,0)</f>
        <v/>
      </c>
      <c r="H399" s="3">
        <f>MAX(0,$E399-$F399-$J399)</f>
        <v/>
      </c>
      <c r="I399" s="3" t="n"/>
      <c r="J399" s="3" t="n"/>
      <c r="K399" s="4" t="n">
        <v>14.61</v>
      </c>
      <c r="L399" s="4">
        <f>IF(AND($H399&gt;0,ISNUMBER($K399)),$H399*$K399,0)</f>
        <v/>
      </c>
      <c r="M399" s="3" t="n"/>
      <c r="N399" s="3" t="n">
        <v>1</v>
      </c>
      <c r="O399" s="3" t="n"/>
      <c r="P399" s="3" t="n"/>
      <c r="Q399" s="3" t="n"/>
      <c r="R399" s="3" t="n"/>
      <c r="S399" s="3">
        <f>IF(AND(J399&lt;&gt;"",SUM(M399:R399)=0),J399,"")</f>
        <v/>
      </c>
      <c r="T399" s="3" t="n"/>
      <c r="U399" s="3" t="n">
        <v>1</v>
      </c>
      <c r="V399" s="3" t="n"/>
      <c r="W399" s="3" t="n"/>
      <c r="X399" s="3" t="n"/>
      <c r="Y399" s="3" t="n"/>
      <c r="Z399" s="3" t="n"/>
      <c r="AA399" s="2" t="inlineStr">
        <is>
          <t>Artifact</t>
        </is>
      </c>
      <c r="AB399" s="2" t="n"/>
      <c r="AC399" s="2" t="inlineStr">
        <is>
          <t>C</t>
        </is>
      </c>
      <c r="AD399" s="3" t="n">
        <v>3</v>
      </c>
      <c r="AE399" s="29" t="inlineStr">
        <is>
          <t>Lorwyn</t>
        </is>
      </c>
      <c r="AF399" s="29" t="inlineStr">
        <is>
          <t>Haste Enabler</t>
        </is>
      </c>
      <c r="AG399" s="29" t="inlineStr">
        <is>
          <t>Your creatures can use tap abilities the turn they enter</t>
        </is>
      </c>
      <c r="AH399" s="29" t="inlineStr">
        <is>
          <t>Pay {1} and tap to untap target creature</t>
        </is>
      </c>
      <c r="AI399" s="29" t="n"/>
      <c r="AJ399" s="2" t="n"/>
    </row>
    <row r="400" ht="15" customHeight="1" s="79">
      <c r="A400" s="2" t="inlineStr">
        <is>
          <t>Thrill of Possibility</t>
        </is>
      </c>
      <c r="B400" s="2">
        <f>IF(AND(F400&lt;&gt;0,E400=F400),"In Hand",IF(AND(E400&lt;&gt;0,E400&lt;F400,SUM(M400:R400)=0,SUM(T400:Y400)&gt;0),"Extra-Sub",IF(AND(E400=0,E400&lt;F400,SUM(M400:R400)=0,SUM(T400:Y400)&gt;0),"Bench-Sub",IF(AND(E400=0,F400&gt;0),"Bench",IF(E400&lt;F400,"Extra",IF(AND(J400="",E400&gt;F400),"To Buy",IF(SUM(J400,F400)&lt;E400,"To Buy",IF(AND(SUM(J400,F400)&gt;=E400,J400&lt;&gt;""),"Ordered",IF(AND(E400=0,F400=0,D400="B3"),"B3 Option",IF(AND(E400=0,F400=0),"Remove","To Buy"))))))))))</f>
        <v/>
      </c>
      <c r="D400" t="inlineStr">
        <is>
          <t>B2</t>
        </is>
      </c>
      <c r="E400" s="3">
        <f>SUM(M400:S400)</f>
        <v/>
      </c>
      <c r="F400" s="3">
        <f>SUM(T400:Z400)</f>
        <v/>
      </c>
      <c r="G400" s="3">
        <f>IF((F400-E400)&gt;=0,F400-E400,0)</f>
        <v/>
      </c>
      <c r="H400" s="3">
        <f>MAX(0,$E400-$F400-$J400)</f>
        <v/>
      </c>
      <c r="I400" s="3" t="n"/>
      <c r="J400" s="3" t="n"/>
      <c r="K400" s="4" t="n">
        <v>0.3</v>
      </c>
      <c r="L400" s="4">
        <f>IF(AND($H400&gt;0,ISNUMBER($K400)),$H400*$K400,0)</f>
        <v/>
      </c>
      <c r="M400" s="3" t="n">
        <v>1</v>
      </c>
      <c r="N400" s="3" t="n"/>
      <c r="O400" s="3" t="n"/>
      <c r="P400" s="3" t="n"/>
      <c r="Q400" s="3" t="n"/>
      <c r="R400" s="3" t="n"/>
      <c r="S400" s="3">
        <f>IF(AND(J400&lt;&gt;"",SUM(M400:R400)=0),J400,"")</f>
        <v/>
      </c>
      <c r="T400" s="3" t="n">
        <v>1</v>
      </c>
      <c r="U400" s="3" t="n"/>
      <c r="V400" s="3" t="n"/>
      <c r="W400" s="3" t="n"/>
      <c r="X400" s="3" t="n"/>
      <c r="Y400" s="3" t="n"/>
      <c r="Z400" s="3" t="n"/>
      <c r="AA400" s="2" t="inlineStr">
        <is>
          <t>Instant</t>
        </is>
      </c>
      <c r="AB400" s="2" t="n"/>
      <c r="AC400" s="2" t="inlineStr">
        <is>
          <t>R</t>
        </is>
      </c>
      <c r="AD400" s="3" t="n">
        <v>2</v>
      </c>
      <c r="AE400" s="29" t="inlineStr">
        <is>
          <t>Throne of Eldraine</t>
        </is>
      </c>
      <c r="AF400" s="29" t="inlineStr">
        <is>
          <t>Card Draw</t>
        </is>
      </c>
      <c r="AG400" s="29" t="inlineStr">
        <is>
          <t>Discard a card as an additional cost</t>
        </is>
      </c>
      <c r="AH400" s="29" t="inlineStr">
        <is>
          <t>Draw two cards</t>
        </is>
      </c>
      <c r="AI400" s="29" t="n"/>
      <c r="AJ400" s="2" t="inlineStr">
        <is>
          <t>Tuned add</t>
        </is>
      </c>
    </row>
    <row r="401" ht="15" customHeight="1" s="79">
      <c r="A401" s="2" t="inlineStr">
        <is>
          <t>Thrummingbird</t>
        </is>
      </c>
      <c r="B401" s="2">
        <f>IF(AND(F401&lt;&gt;0,E401=F401),"In Hand",IF(AND(E401&lt;&gt;0,E401&lt;F401,SUM(M401:R401)=0,SUM(T401:Y401)&gt;0),"Extra-Sub",IF(AND(E401=0,E401&lt;F401,SUM(M401:R401)=0,SUM(T401:Y401)&gt;0),"Bench-Sub",IF(AND(E401=0,F401&gt;0),"Bench",IF(E401&lt;F401,"Extra",IF(AND(J401="",E401&gt;F401),"To Buy",IF(SUM(J401,F401)&lt;E401,"To Buy",IF(AND(SUM(J401,F401)&gt;=E401,J401&lt;&gt;""),"Ordered",IF(AND(E401=0,F401=0,D401="B3"),"B3 Option",IF(AND(E401=0,F401=0),"Remove","To Buy"))))))))))</f>
        <v/>
      </c>
      <c r="D401" t="inlineStr">
        <is>
          <t>B2</t>
        </is>
      </c>
      <c r="E401" s="3">
        <f>SUM(M401:S401)</f>
        <v/>
      </c>
      <c r="F401" s="3">
        <f>SUM(T401:Z401)</f>
        <v/>
      </c>
      <c r="G401" s="3">
        <f>IF((F401-E401)&gt;=0,F401-E401,0)</f>
        <v/>
      </c>
      <c r="H401" s="3">
        <f>MAX(0,$E401-$F401-$J401)</f>
        <v/>
      </c>
      <c r="I401" s="3" t="n"/>
      <c r="J401" s="3" t="n"/>
      <c r="K401" s="4" t="n">
        <v>0.21</v>
      </c>
      <c r="L401" s="4">
        <f>IF(AND($H401&gt;0,ISNUMBER($K401)),$H401*$K401,0)</f>
        <v/>
      </c>
      <c r="M401" s="3" t="n"/>
      <c r="N401" s="3" t="n"/>
      <c r="O401" s="3" t="n">
        <v>1</v>
      </c>
      <c r="P401" s="3" t="n"/>
      <c r="Q401" s="3" t="n"/>
      <c r="R401" s="3" t="n"/>
      <c r="S401" s="3">
        <f>IF(AND(J401&lt;&gt;"",SUM(M401:R401)=0),J401,"")</f>
        <v/>
      </c>
      <c r="T401" s="3" t="n"/>
      <c r="U401" s="3" t="n"/>
      <c r="V401" s="3" t="n">
        <v>1</v>
      </c>
      <c r="W401" s="3" t="n"/>
      <c r="X401" s="3" t="n"/>
      <c r="Y401" s="3" t="n"/>
      <c r="Z401" s="3" t="n"/>
      <c r="AA401" s="2" t="inlineStr">
        <is>
          <t>Creature</t>
        </is>
      </c>
      <c r="AB401" s="2" t="inlineStr">
        <is>
          <t>Phyrexian Bird Horror</t>
        </is>
      </c>
      <c r="AC401" s="2" t="inlineStr">
        <is>
          <t>U</t>
        </is>
      </c>
      <c r="AD401" s="3" t="n">
        <v>2</v>
      </c>
      <c r="AE401" s="29" t="inlineStr">
        <is>
          <t>Scars of Mirrodin</t>
        </is>
      </c>
      <c r="AF401" s="29" t="inlineStr">
        <is>
          <t>Proliferate</t>
        </is>
      </c>
      <c r="AG401" s="29" t="inlineStr">
        <is>
          <t>Proliferate when it deals combat damage to a player</t>
        </is>
      </c>
      <c r="AH401" s="29" t="inlineStr">
        <is>
          <t>Flying body</t>
        </is>
      </c>
      <c r="AI401" s="29" t="n"/>
      <c r="AJ401" s="2" t="inlineStr">
        <is>
          <t>Tuned add</t>
        </is>
      </c>
    </row>
    <row r="402" ht="15" customHeight="1" s="79">
      <c r="A402" s="2" t="inlineStr">
        <is>
          <t>Tidus, Yuna's Guardian</t>
        </is>
      </c>
      <c r="B402" s="2">
        <f>IF(AND(F402&lt;&gt;0,E402=F402),"In Hand",IF(AND(E402&lt;&gt;0,E402&lt;F402,SUM(M402:R402)=0,SUM(T402:Y402)&gt;0),"Extra-Sub",IF(AND(E402=0,E402&lt;F402,SUM(M402:R402)=0,SUM(T402:Y402)&gt;0),"Bench-Sub",IF(AND(E402=0,F402&gt;0),"Bench",IF(E402&lt;F402,"Extra",IF(AND(J402="",E402&gt;F402),"To Buy",IF(SUM(J402,F402)&lt;E402,"To Buy",IF(AND(SUM(J402,F402)&gt;=E402,J402&lt;&gt;""),"Ordered",IF(AND(E402=0,F402=0,D402="B3"),"B3 Option",IF(AND(E402=0,F402=0),"Remove","To Buy"))))))))))</f>
        <v/>
      </c>
      <c r="D402" t="inlineStr">
        <is>
          <t>B2</t>
        </is>
      </c>
      <c r="E402" s="3">
        <f>SUM(M402:S402)</f>
        <v/>
      </c>
      <c r="F402" s="3">
        <f>SUM(T402:Z402)</f>
        <v/>
      </c>
      <c r="G402" s="3">
        <f>IF((F402-E402)&gt;=0,F402-E402,0)</f>
        <v/>
      </c>
      <c r="H402" s="3">
        <f>MAX(0,$E402-$F402-$J402)</f>
        <v/>
      </c>
      <c r="I402" s="3" t="n"/>
      <c r="J402" s="3" t="n"/>
      <c r="K402" s="4" t="n">
        <v>2.65</v>
      </c>
      <c r="L402" s="4">
        <f>IF(AND($H402&gt;0,ISNUMBER($K402)),$H402*$K402,0)</f>
        <v/>
      </c>
      <c r="M402" s="3" t="n"/>
      <c r="N402" s="3" t="n"/>
      <c r="O402" s="3" t="n">
        <v>1</v>
      </c>
      <c r="P402" s="3" t="n"/>
      <c r="Q402" s="3" t="n"/>
      <c r="R402" s="3" t="n"/>
      <c r="S402" s="3">
        <f>IF(AND(J402&lt;&gt;"",SUM(M402:R402)=0),J402,"")</f>
        <v/>
      </c>
      <c r="T402" s="3" t="n"/>
      <c r="U402" s="3" t="n"/>
      <c r="V402" s="3" t="n">
        <v>1</v>
      </c>
      <c r="W402" s="3" t="n"/>
      <c r="X402" s="3" t="n"/>
      <c r="Y402" s="3" t="n"/>
      <c r="Z402" s="3" t="n"/>
      <c r="AA402" s="2" t="inlineStr">
        <is>
          <t>Creature</t>
        </is>
      </c>
      <c r="AB402" s="2" t="inlineStr">
        <is>
          <t>Human Warrior</t>
        </is>
      </c>
      <c r="AC402" s="2" t="inlineStr">
        <is>
          <t>Multi</t>
        </is>
      </c>
      <c r="AD402" s="3" t="n">
        <v>3</v>
      </c>
      <c r="AE402" s="29" t="inlineStr">
        <is>
          <t>Final Fantasy Commander</t>
        </is>
      </c>
      <c r="AF402" s="29" t="inlineStr">
        <is>
          <t>Proliferate</t>
        </is>
      </c>
      <c r="AG402" s="29" t="inlineStr">
        <is>
          <t>Moves a counter from one creature you control to another</t>
        </is>
      </c>
      <c r="AH402" s="29" t="inlineStr">
        <is>
          <t>Draw a card and proliferate when countered creatures deal damage</t>
        </is>
      </c>
      <c r="AI402" s="29" t="n"/>
      <c r="AJ402" s="2" t="n"/>
    </row>
    <row r="403" ht="15" customHeight="1" s="79">
      <c r="A403" s="2" t="inlineStr">
        <is>
          <t>Tireless Provisioner</t>
        </is>
      </c>
      <c r="B403" s="2">
        <f>IF(AND(F403&lt;&gt;0,E403=F403),"In Hand",IF(AND(E403&lt;&gt;0,E403&lt;F403,SUM(M403:R403)=0,SUM(T403:Y403)&gt;0),"Extra-Sub",IF(AND(E403=0,E403&lt;F403,SUM(M403:R403)=0,SUM(T403:Y403)&gt;0),"Bench-Sub",IF(AND(E403=0,F403&gt;0),"Bench",IF(E403&lt;F403,"Extra",IF(AND(J403="",E403&gt;F403),"To Buy",IF(SUM(J403,F403)&lt;E403,"To Buy",IF(AND(SUM(J403,F403)&gt;=E403,J403&lt;&gt;""),"Ordered",IF(AND(E403=0,F403=0,D403="B3"),"B3 Option",IF(AND(E403=0,F403=0),"Remove","To Buy"))))))))))</f>
        <v/>
      </c>
      <c r="D403" t="inlineStr">
        <is>
          <t>B2</t>
        </is>
      </c>
      <c r="E403" s="3">
        <f>SUM(M403:S403)</f>
        <v/>
      </c>
      <c r="F403" s="3">
        <f>SUM(T403:Z403)</f>
        <v/>
      </c>
      <c r="G403" s="3">
        <f>IF((F403-E403)&gt;=0,F403-E403,0)</f>
        <v/>
      </c>
      <c r="H403" s="3">
        <f>MAX(0,$E403-$F403-$J403)</f>
        <v/>
      </c>
      <c r="I403" s="3" t="n"/>
      <c r="J403" s="3" t="n"/>
      <c r="K403" s="4" t="n">
        <v>4.33</v>
      </c>
      <c r="L403" s="4">
        <f>IF(AND($H403&gt;0,ISNUMBER($K403)),$H403*$K403,0)</f>
        <v/>
      </c>
      <c r="M403" s="3" t="n"/>
      <c r="N403" s="3" t="n">
        <v>1</v>
      </c>
      <c r="O403" s="3" t="n"/>
      <c r="P403" s="3" t="n"/>
      <c r="Q403" s="3" t="n"/>
      <c r="R403" s="3" t="n"/>
      <c r="S403" s="3">
        <f>IF(AND(J403&lt;&gt;"",SUM(M403:R403)=0),J403,"")</f>
        <v/>
      </c>
      <c r="T403" s="3" t="n"/>
      <c r="U403" s="3" t="n">
        <v>1</v>
      </c>
      <c r="V403" s="3" t="n"/>
      <c r="W403" s="3" t="n"/>
      <c r="X403" s="3" t="n"/>
      <c r="Y403" s="3" t="n"/>
      <c r="Z403" s="3" t="n"/>
      <c r="AA403" s="2" t="inlineStr">
        <is>
          <t>Creature</t>
        </is>
      </c>
      <c r="AB403" s="2" t="inlineStr">
        <is>
          <t>Elf Scout</t>
        </is>
      </c>
      <c r="AC403" s="2" t="inlineStr">
        <is>
          <t>G</t>
        </is>
      </c>
      <c r="AD403" s="3" t="n">
        <v>3</v>
      </c>
      <c r="AE403" s="29" t="inlineStr">
        <is>
          <t>Modern Horizons 2</t>
        </is>
      </c>
      <c r="AF403" s="29" t="inlineStr">
        <is>
          <t>Ramp</t>
        </is>
      </c>
      <c r="AG403" s="29" t="inlineStr">
        <is>
          <t>Creates a Food or Treasure token whenever a land you control enters</t>
        </is>
      </c>
      <c r="AH403" s="29" t="n"/>
      <c r="AI403" s="29" t="n"/>
      <c r="AJ403" s="2" t="n"/>
    </row>
    <row r="404" ht="15" customHeight="1" s="79">
      <c r="A404" s="2" t="inlineStr">
        <is>
          <t>Tocasia's Welcome</t>
        </is>
      </c>
      <c r="B404" s="2">
        <f>IF(AND(F404&lt;&gt;0,E404=F404),"In Hand",IF(AND(E404&lt;&gt;0,E404&lt;F404,SUM(M404:R404)=0,SUM(T404:Y404)&gt;0),"Extra-Sub",IF(AND(E404=0,E404&lt;F404,SUM(M404:R404)=0,SUM(T404:Y404)&gt;0),"Bench-Sub",IF(AND(E404=0,F404&gt;0),"Bench",IF(E404&lt;F404,"Extra",IF(AND(J404="",E404&gt;F404),"To Buy",IF(SUM(J404,F404)&lt;E404,"To Buy",IF(AND(SUM(J404,F404)&gt;=E404,J404&lt;&gt;""),"Ordered",IF(AND(E404=0,F404=0,D404="B3"),"B3 Option",IF(AND(E404=0,F404=0),"Remove","To Buy"))))))))))</f>
        <v/>
      </c>
      <c r="D404" t="inlineStr">
        <is>
          <t>B2</t>
        </is>
      </c>
      <c r="E404" s="3">
        <f>SUM(M404:S404)</f>
        <v/>
      </c>
      <c r="F404" s="3">
        <f>SUM(T404:Z404)</f>
        <v/>
      </c>
      <c r="G404" s="3">
        <f>IF((F404-E404)&gt;=0,F404-E404,0)</f>
        <v/>
      </c>
      <c r="H404" s="3">
        <f>MAX(0,$E404-$F404-$J404)</f>
        <v/>
      </c>
      <c r="I404" s="3" t="n"/>
      <c r="J404" s="3" t="n"/>
      <c r="K404" s="4" t="n">
        <v>1.07</v>
      </c>
      <c r="L404" s="4">
        <f>IF(AND($H404&gt;0,ISNUMBER($K404)),$H404*$K404,0)</f>
        <v/>
      </c>
      <c r="M404" s="3" t="n">
        <v>1</v>
      </c>
      <c r="N404" s="3" t="n"/>
      <c r="O404" s="3" t="n"/>
      <c r="P404" s="3" t="n"/>
      <c r="Q404" s="3" t="n"/>
      <c r="R404" s="3" t="n"/>
      <c r="S404" s="3">
        <f>IF(AND(J404&lt;&gt;"",SUM(M404:R404)=0),J404,"")</f>
        <v/>
      </c>
      <c r="T404" s="3" t="n">
        <v>1</v>
      </c>
      <c r="U404" s="3" t="n"/>
      <c r="V404" s="3" t="n"/>
      <c r="W404" s="3" t="n"/>
      <c r="X404" s="3" t="n"/>
      <c r="Y404" s="3" t="n"/>
      <c r="Z404" s="3" t="n"/>
      <c r="AA404" s="2" t="inlineStr">
        <is>
          <t>Enchantment</t>
        </is>
      </c>
      <c r="AB404" s="2" t="n"/>
      <c r="AC404" s="2" t="inlineStr">
        <is>
          <t>W</t>
        </is>
      </c>
      <c r="AD404" s="3" t="n">
        <v>3</v>
      </c>
      <c r="AE404" s="29" t="inlineStr">
        <is>
          <t>The Brothers' War</t>
        </is>
      </c>
      <c r="AF404" s="29" t="inlineStr">
        <is>
          <t>Card Draw</t>
        </is>
      </c>
      <c r="AG404" s="29" t="inlineStr">
        <is>
          <t>Creatures with MV 3 or less entering draws a card, once per turn</t>
        </is>
      </c>
      <c r="AH404" s="29" t="n"/>
      <c r="AI404" s="29" t="n"/>
      <c r="AJ404" s="2" t="n"/>
    </row>
    <row r="405" ht="15" customHeight="1" s="79">
      <c r="A405" s="2" t="inlineStr">
        <is>
          <t>Tome of Legends</t>
        </is>
      </c>
      <c r="B405" s="2">
        <f>IF(AND(F405&lt;&gt;0,E405=F405),"In Hand",IF(AND(E405&lt;&gt;0,E405&lt;F405,SUM(M405:R405)=0,SUM(T405:Y405)&gt;0),"Extra-Sub",IF(AND(E405=0,E405&lt;F405,SUM(M405:R405)=0,SUM(T405:Y405)&gt;0),"Bench-Sub",IF(AND(E405=0,F405&gt;0),"Bench",IF(E405&lt;F405,"Extra",IF(AND(J405="",E405&gt;F405),"To Buy",IF(SUM(J405,F405)&lt;E405,"To Buy",IF(AND(SUM(J405,F405)&gt;=E405,J405&lt;&gt;""),"Ordered",IF(AND(E405=0,F405=0,D405="B3"),"B3 Option",IF(AND(E405=0,F405=0),"Remove","To Buy"))))))))))</f>
        <v/>
      </c>
      <c r="D405" t="inlineStr">
        <is>
          <t>B2</t>
        </is>
      </c>
      <c r="E405" s="3">
        <f>SUM(M405:S405)</f>
        <v/>
      </c>
      <c r="F405" s="3">
        <f>SUM(T405:Z405)</f>
        <v/>
      </c>
      <c r="G405" s="3">
        <f>IF((F405-E405)&gt;=0,F405-E405,0)</f>
        <v/>
      </c>
      <c r="H405" s="3">
        <f>MAX(0,$E405-$F405-$J405)</f>
        <v/>
      </c>
      <c r="I405" s="3" t="n"/>
      <c r="J405" s="3" t="n"/>
      <c r="K405" s="4" t="n">
        <v>0.28</v>
      </c>
      <c r="L405" s="4">
        <f>IF(AND($H405&gt;0,ISNUMBER($K405)),$H405*$K405,0)</f>
        <v/>
      </c>
      <c r="M405" s="3" t="n"/>
      <c r="N405" s="3" t="n"/>
      <c r="O405" s="3" t="n"/>
      <c r="P405" s="3" t="n"/>
      <c r="Q405" s="3" t="n">
        <v>1</v>
      </c>
      <c r="R405" s="3" t="n"/>
      <c r="S405" s="3">
        <f>IF(AND(J405&lt;&gt;"",SUM(M405:R405)=0),J405,"")</f>
        <v/>
      </c>
      <c r="T405" s="3" t="n"/>
      <c r="U405" s="3" t="n"/>
      <c r="V405" s="3" t="n"/>
      <c r="W405" s="3" t="n"/>
      <c r="X405" s="3" t="n">
        <v>1</v>
      </c>
      <c r="Y405" s="3" t="n"/>
      <c r="Z405" s="3" t="n"/>
      <c r="AA405" s="2" t="inlineStr">
        <is>
          <t>Artifact</t>
        </is>
      </c>
      <c r="AB405" s="2" t="inlineStr">
        <is>
          <t>Book</t>
        </is>
      </c>
      <c r="AC405" s="2" t="inlineStr">
        <is>
          <t>C</t>
        </is>
      </c>
      <c r="AD405" s="3" t="n">
        <v>2</v>
      </c>
      <c r="AE405" s="29" t="inlineStr">
        <is>
          <t>Throne of Eldraine</t>
        </is>
      </c>
      <c r="AF405" s="29" t="inlineStr">
        <is>
          <t>Card Draw</t>
        </is>
      </c>
      <c r="AG405" s="29" t="inlineStr">
        <is>
          <t>Gets a page counter when your commander enters or attacks</t>
        </is>
      </c>
      <c r="AH405" s="29" t="inlineStr">
        <is>
          <t>Remove a page counter, pay {1}, tap: draw a card</t>
        </is>
      </c>
      <c r="AI405" s="29" t="n"/>
      <c r="AJ405" s="2" t="n"/>
    </row>
    <row r="406" ht="15" customHeight="1" s="79">
      <c r="A406" s="2" t="inlineStr">
        <is>
          <t>Tragic Arrogance</t>
        </is>
      </c>
      <c r="B406" s="2">
        <f>IF(AND(F406&lt;&gt;0,E406=F406),"In Hand",IF(AND(E406&lt;&gt;0,E406&lt;F406,SUM(M406:R406)=0,SUM(T406:Y406)&gt;0),"Extra-Sub",IF(AND(E406=0,E406&lt;F406,SUM(M406:R406)=0,SUM(T406:Y406)&gt;0),"Bench-Sub",IF(AND(E406=0,F406&gt;0),"Bench",IF(E406&lt;F406,"Extra",IF(AND(J406="",E406&gt;F406),"To Buy",IF(SUM(J406,F406)&lt;E406,"To Buy",IF(AND(SUM(J406,F406)&gt;=E406,J406&lt;&gt;""),"Ordered",IF(AND(E406=0,F406=0,D406="B3"),"B3 Option",IF(AND(E406=0,F406=0),"Remove","To Buy"))))))))))</f>
        <v/>
      </c>
      <c r="D406" t="inlineStr">
        <is>
          <t>B2</t>
        </is>
      </c>
      <c r="E406" s="3">
        <f>SUM(M406:S406)</f>
        <v/>
      </c>
      <c r="F406" s="3">
        <f>SUM(T406:Z406)</f>
        <v/>
      </c>
      <c r="G406" s="3">
        <f>IF((F406-E406)&gt;=0,F406-E406,0)</f>
        <v/>
      </c>
      <c r="H406" s="3">
        <f>MAX(0,$E406-$F406-$J406)</f>
        <v/>
      </c>
      <c r="I406" s="3" t="n"/>
      <c r="J406" s="3" t="n"/>
      <c r="K406" s="4" t="n">
        <v>0.25</v>
      </c>
      <c r="L406" s="4">
        <f>IF(AND($H406&gt;0,ISNUMBER($K406)),$H406*$K406,0)</f>
        <v/>
      </c>
      <c r="M406" s="3" t="n"/>
      <c r="N406" s="3" t="n"/>
      <c r="O406" s="3" t="n">
        <v>1</v>
      </c>
      <c r="P406" s="3" t="n"/>
      <c r="Q406" s="3" t="n"/>
      <c r="R406" s="3" t="n"/>
      <c r="S406" s="3">
        <f>IF(AND(J406&lt;&gt;"",SUM(M406:R406)=0),J406,"")</f>
        <v/>
      </c>
      <c r="T406" s="3" t="n"/>
      <c r="U406" s="3" t="n"/>
      <c r="V406" s="3" t="n">
        <v>1</v>
      </c>
      <c r="W406" s="3" t="n"/>
      <c r="X406" s="3" t="n"/>
      <c r="Y406" s="3" t="n"/>
      <c r="Z406" s="3" t="n"/>
      <c r="AA406" s="2" t="inlineStr">
        <is>
          <t>Sorcery</t>
        </is>
      </c>
      <c r="AB406" s="2" t="n"/>
      <c r="AC406" s="2" t="inlineStr">
        <is>
          <t>W</t>
        </is>
      </c>
      <c r="AD406" s="3" t="n">
        <v>5</v>
      </c>
      <c r="AE406" s="29" t="inlineStr">
        <is>
          <t>Magic Origins</t>
        </is>
      </c>
      <c r="AF406" s="29" t="inlineStr">
        <is>
          <t>Board Wipe</t>
        </is>
      </c>
      <c r="AG406" s="29" t="inlineStr">
        <is>
          <t>Each player keeps one artifact, creature, enchantment, and planeswalker</t>
        </is>
      </c>
      <c r="AH406" s="29" t="inlineStr">
        <is>
          <t>Sacrifices all other nonland permanents</t>
        </is>
      </c>
      <c r="AI406" s="29" t="n"/>
      <c r="AJ406" s="2" t="n"/>
    </row>
    <row r="407" ht="15" customHeight="1" s="79">
      <c r="A407" s="2" t="inlineStr">
        <is>
          <t>Tree of Redemption</t>
        </is>
      </c>
      <c r="B407" s="2">
        <f>IF(AND(F407&lt;&gt;0,E407=F407),"In Hand",IF(AND(E407&lt;&gt;0,E407&lt;F407,SUM(M407:R407)=0,SUM(T407:Y407)&gt;0),"Extra-Sub",IF(AND(E407=0,E407&lt;F407,SUM(M407:R407)=0,SUM(T407:Y407)&gt;0),"Bench-Sub",IF(AND(E407=0,F407&gt;0),"Bench",IF(E407&lt;F407,"Extra",IF(AND(J407="",E407&gt;F407),"To Buy",IF(SUM(J407,F407)&lt;E407,"To Buy",IF(AND(SUM(J407,F407)&gt;=E407,J407&lt;&gt;""),"Ordered",IF(AND(E407=0,F407=0,D407="B3"),"B3 Option",IF(AND(E407=0,F407=0),"Remove","To Buy"))))))))))</f>
        <v/>
      </c>
      <c r="D407" t="inlineStr">
        <is>
          <t>B2</t>
        </is>
      </c>
      <c r="E407" s="3">
        <f>SUM(M407:S407)</f>
        <v/>
      </c>
      <c r="F407" s="3">
        <f>SUM(T407:Z407)</f>
        <v/>
      </c>
      <c r="G407" s="3">
        <f>IF((F407-E407)&gt;=0,F407-E407,0)</f>
        <v/>
      </c>
      <c r="H407" s="3">
        <f>MAX(0,$E407-$F407-$J407)</f>
        <v/>
      </c>
      <c r="I407" s="3" t="n"/>
      <c r="J407" s="3" t="n"/>
      <c r="K407" s="4" t="n">
        <v>0.63</v>
      </c>
      <c r="L407" s="4">
        <f>IF(AND($H407&gt;0,ISNUMBER($K407)),$H407*$K407,0)</f>
        <v/>
      </c>
      <c r="M407" s="3" t="n"/>
      <c r="N407" s="3" t="n"/>
      <c r="O407" s="3" t="n"/>
      <c r="P407" s="3" t="n">
        <v>1</v>
      </c>
      <c r="Q407" s="3" t="n"/>
      <c r="R407" s="3" t="n"/>
      <c r="S407" s="3">
        <f>IF(AND(J407&lt;&gt;"",SUM(M407:R407)=0),J407,"")</f>
        <v/>
      </c>
      <c r="T407" s="3" t="n"/>
      <c r="U407" s="3" t="n"/>
      <c r="V407" s="3" t="n"/>
      <c r="W407" s="3" t="n">
        <v>1</v>
      </c>
      <c r="X407" s="3" t="n"/>
      <c r="Y407" s="3" t="n"/>
      <c r="Z407" s="3" t="n"/>
      <c r="AA407" s="2" t="inlineStr">
        <is>
          <t>Creature</t>
        </is>
      </c>
      <c r="AB407" s="2" t="inlineStr">
        <is>
          <t>Plant</t>
        </is>
      </c>
      <c r="AC407" s="2" t="inlineStr">
        <is>
          <t>G</t>
        </is>
      </c>
      <c r="AD407" s="3" t="n">
        <v>4</v>
      </c>
      <c r="AE407" s="29" t="inlineStr">
        <is>
          <t>Innistrad</t>
        </is>
      </c>
      <c r="AF407" s="29" t="inlineStr">
        <is>
          <t>Lifegain</t>
        </is>
      </c>
      <c r="AG407" s="29" t="inlineStr">
        <is>
          <t>Tap to swap your life total with this creature's toughness</t>
        </is>
      </c>
      <c r="AH407" s="29" t="n"/>
      <c r="AI407" s="29" t="n"/>
      <c r="AJ407" s="2" t="n"/>
    </row>
    <row r="408" ht="15" customHeight="1" s="79">
      <c r="A408" s="2" t="inlineStr">
        <is>
          <t>Treefolk Umbra</t>
        </is>
      </c>
      <c r="B408" s="2">
        <f>IF(AND(F408&lt;&gt;0,E408=F408),"In Hand",IF(AND(E408&lt;&gt;0,E408&lt;F408,SUM(M408:R408)=0,SUM(T408:Y408)&gt;0),"Extra-Sub",IF(AND(E408=0,E408&lt;F408,SUM(M408:R408)=0,SUM(T408:Y408)&gt;0),"Bench-Sub",IF(AND(E408=0,F408&gt;0),"Bench",IF(E408&lt;F408,"Extra",IF(AND(J408="",E408&gt;F408),"To Buy",IF(SUM(J408,F408)&lt;E408,"To Buy",IF(AND(SUM(J408,F408)&gt;=E408,J408&lt;&gt;""),"Ordered",IF(AND(E408=0,F408=0,D408="B3"),"B3 Option",IF(AND(E408=0,F408=0),"Remove","To Buy"))))))))))</f>
        <v/>
      </c>
      <c r="D408" t="inlineStr">
        <is>
          <t>B2</t>
        </is>
      </c>
      <c r="E408" s="3">
        <f>SUM(M408:S408)</f>
        <v/>
      </c>
      <c r="F408" s="3">
        <f>SUM(T408:Z408)</f>
        <v/>
      </c>
      <c r="G408" s="3">
        <f>IF((F408-E408)&gt;=0,F408-E408,0)</f>
        <v/>
      </c>
      <c r="H408" s="3">
        <f>MAX(0,$E408-$F408-$J408)</f>
        <v/>
      </c>
      <c r="I408" s="3" t="n"/>
      <c r="J408" s="3" t="n"/>
      <c r="K408" s="4" t="n">
        <v>0.19</v>
      </c>
      <c r="L408" s="4">
        <f>IF(AND($H408&gt;0,ISNUMBER($K408)),$H408*$K408,0)</f>
        <v/>
      </c>
      <c r="M408" s="3" t="n"/>
      <c r="N408" s="3" t="n"/>
      <c r="O408" s="3" t="n">
        <v>1</v>
      </c>
      <c r="P408" s="3" t="n"/>
      <c r="Q408" s="3" t="n"/>
      <c r="R408" s="3" t="n"/>
      <c r="S408" s="3">
        <f>IF(AND(J408&lt;&gt;"",SUM(M408:R408)=0),J408,"")</f>
        <v/>
      </c>
      <c r="T408" s="3" t="n"/>
      <c r="U408" s="3" t="n"/>
      <c r="V408" s="3" t="n">
        <v>1</v>
      </c>
      <c r="W408" s="3" t="n"/>
      <c r="X408" s="3" t="n"/>
      <c r="Y408" s="3" t="n"/>
      <c r="Z408" s="3" t="n"/>
      <c r="AA408" s="2" t="inlineStr">
        <is>
          <t>Enchantment</t>
        </is>
      </c>
      <c r="AB408" s="2" t="inlineStr">
        <is>
          <t>Aura</t>
        </is>
      </c>
      <c r="AC408" s="2" t="inlineStr">
        <is>
          <t>G</t>
        </is>
      </c>
      <c r="AD408" s="3" t="n">
        <v>3</v>
      </c>
      <c r="AE408" s="29" t="inlineStr">
        <is>
          <t>Modern Horizons</t>
        </is>
      </c>
      <c r="AF408" s="29" t="inlineStr">
        <is>
          <t>Toughness Payoff</t>
        </is>
      </c>
      <c r="AG408" s="29" t="inlineStr">
        <is>
          <t>Enchanted creature gets +0/+2 and deals combat damage equal to its toughness instead of power</t>
        </is>
      </c>
      <c r="AH408" s="29" t="inlineStr">
        <is>
          <t>If enchanted creature would be destroyed, instead remove all damage and destroy this Aura</t>
        </is>
      </c>
      <c r="AI408" s="29" t="n"/>
      <c r="AJ408" s="2" t="inlineStr">
        <is>
          <t>Orders-sheet row = same physical copy (duplicate rule); not an extra</t>
        </is>
      </c>
    </row>
    <row r="409" ht="15" customHeight="1" s="79">
      <c r="A409" s="2" t="inlineStr">
        <is>
          <t>Troll Negotiations</t>
        </is>
      </c>
      <c r="B409" s="2">
        <f>IF(AND(F409&lt;&gt;0,E409=F409),"In Hand",IF(AND(E409&lt;&gt;0,E409&lt;F409,SUM(M409:R409)=0,SUM(T409:Y409)&gt;0),"Extra-Sub",IF(AND(E409=0,E409&lt;F409,SUM(M409:R409)=0,SUM(T409:Y409)&gt;0),"Bench-Sub",IF(AND(E409=0,F409&gt;0),"Bench",IF(E409&lt;F409,"Extra",IF(AND(J409="",E409&gt;F409),"To Buy",IF(SUM(J409,F409)&lt;E409,"To Buy",IF(AND(SUM(J409,F409)&gt;=E409,J409&lt;&gt;""),"Ordered",IF(AND(E409=0,F409=0,D409="B3"),"B3 Option",IF(AND(E409=0,F409=0),"Remove","To Buy"))))))))))</f>
        <v/>
      </c>
      <c r="D409" t="inlineStr">
        <is>
          <t>B2</t>
        </is>
      </c>
      <c r="E409" s="3">
        <f>SUM(M409:S409)</f>
        <v/>
      </c>
      <c r="F409" s="3">
        <f>SUM(T409:Z409)</f>
        <v/>
      </c>
      <c r="G409" s="3">
        <f>IF((F409-E409)&gt;=0,F409-E409,0)</f>
        <v/>
      </c>
      <c r="H409" s="3">
        <f>MAX(0,$E409-$F409-$J409)</f>
        <v/>
      </c>
      <c r="I409" s="3" t="n"/>
      <c r="J409" s="3" t="n"/>
      <c r="K409" s="4" t="n">
        <v>0.14</v>
      </c>
      <c r="L409" s="4">
        <f>IF(AND($H409&gt;0,ISNUMBER($K409)),$H409*$K409,0)</f>
        <v/>
      </c>
      <c r="M409" s="3" t="n"/>
      <c r="N409" s="3" t="n"/>
      <c r="O409" s="3" t="n">
        <v>1</v>
      </c>
      <c r="P409" s="3" t="n"/>
      <c r="Q409" s="3" t="n"/>
      <c r="R409" s="3" t="n"/>
      <c r="S409" s="3">
        <f>IF(AND(J409&lt;&gt;"",SUM(M409:R409)=0),J409,"")</f>
        <v/>
      </c>
      <c r="T409" s="3" t="n"/>
      <c r="U409" s="3" t="n"/>
      <c r="V409" s="3" t="n">
        <v>1</v>
      </c>
      <c r="W409" s="3" t="n"/>
      <c r="X409" s="3" t="n"/>
      <c r="Y409" s="3" t="n"/>
      <c r="Z409" s="3" t="n"/>
      <c r="AA409" s="2" t="inlineStr">
        <is>
          <t>Sorcery</t>
        </is>
      </c>
      <c r="AB409" s="2" t="n"/>
      <c r="AC409" s="2" t="inlineStr">
        <is>
          <t>G</t>
        </is>
      </c>
      <c r="AD409" s="3" t="n">
        <v>4</v>
      </c>
      <c r="AE409" s="29" t="inlineStr">
        <is>
          <t>The Hobbit</t>
        </is>
      </c>
      <c r="AF409" s="29" t="inlineStr">
        <is>
          <t>Removal</t>
        </is>
      </c>
      <c r="AG409" s="29" t="inlineStr">
        <is>
          <t>Puts two +1/+1 counters on target creature you control, then it fights an opponent's creature</t>
        </is>
      </c>
      <c r="AH409" s="29" t="n"/>
      <c r="AI409" s="29" t="n"/>
      <c r="AJ409" s="2" t="n"/>
      <c r="AK409" t="inlineStr">
        <is>
          <t>[B3 later] D3-&gt;B when Night's Whisper is bought</t>
        </is>
      </c>
    </row>
    <row r="410" ht="15" customHeight="1" s="79">
      <c r="A410" s="2" t="inlineStr">
        <is>
          <t>Turbulent Steppe</t>
        </is>
      </c>
      <c r="B410" s="2">
        <f>IF(AND(F410&lt;&gt;0,E410=F410),"In Hand",IF(AND(E410&lt;&gt;0,E410&lt;F410,SUM(M410:R410)=0,SUM(T410:Y410)&gt;0),"Extra-Sub",IF(AND(E410=0,E410&lt;F410,SUM(M410:R410)=0,SUM(T410:Y410)&gt;0),"Bench-Sub",IF(AND(E410=0,F410&gt;0),"Bench",IF(E410&lt;F410,"Extra",IF(AND(J410="",E410&gt;F410),"To Buy",IF(SUM(J410,F410)&lt;E410,"To Buy",IF(AND(SUM(J410,F410)&gt;=E410,J410&lt;&gt;""),"Ordered",IF(AND(E410=0,F410=0,D410="B3"),"B3 Option",IF(AND(E410=0,F410=0),"Remove","To Buy"))))))))))</f>
        <v/>
      </c>
      <c r="D410" t="inlineStr">
        <is>
          <t>B2</t>
        </is>
      </c>
      <c r="E410" s="3">
        <f>SUM(M410:S410)</f>
        <v/>
      </c>
      <c r="F410" s="3">
        <f>SUM(T410:Z410)</f>
        <v/>
      </c>
      <c r="G410" s="3">
        <f>IF((F410-E410)&gt;=0,F410-E410,0)</f>
        <v/>
      </c>
      <c r="H410" s="3">
        <f>MAX(0,$E410-$F410-$J410)</f>
        <v/>
      </c>
      <c r="I410" s="3" t="n"/>
      <c r="J410" s="3" t="n"/>
      <c r="K410" s="4" t="n">
        <v>5.38</v>
      </c>
      <c r="L410" s="4">
        <f>IF(AND($H410&gt;0,ISNUMBER($K410)),$H410*$K410,0)</f>
        <v/>
      </c>
      <c r="M410" s="3" t="n">
        <v>1</v>
      </c>
      <c r="N410" s="3" t="n"/>
      <c r="O410" s="3" t="n"/>
      <c r="P410" s="3" t="n"/>
      <c r="Q410" s="3" t="n"/>
      <c r="R410" s="3" t="n"/>
      <c r="S410" s="3">
        <f>IF(AND(J410&lt;&gt;"",SUM(M410:R410)=0),J410,"")</f>
        <v/>
      </c>
      <c r="T410" s="3" t="n">
        <v>1</v>
      </c>
      <c r="U410" s="3" t="n"/>
      <c r="V410" s="3" t="n"/>
      <c r="W410" s="3" t="n"/>
      <c r="X410" s="3" t="n"/>
      <c r="Y410" s="3" t="n"/>
      <c r="Z410" s="3" t="n"/>
      <c r="AA410" s="2" t="inlineStr">
        <is>
          <t>Land</t>
        </is>
      </c>
      <c r="AB410" s="2" t="inlineStr">
        <is>
          <t>Mountain Plains</t>
        </is>
      </c>
      <c r="AC410" s="2" t="inlineStr">
        <is>
          <t>L</t>
        </is>
      </c>
      <c r="AD410" s="3" t="n">
        <v>0</v>
      </c>
      <c r="AE410" s="29" t="inlineStr">
        <is>
          <t>Secrets of Strixhaven Commander</t>
        </is>
      </c>
      <c r="AF410" s="29" t="inlineStr">
        <is>
          <t>Land</t>
        </is>
      </c>
      <c r="AG410" s="29" t="inlineStr">
        <is>
          <t>Taps for {R} or {W}</t>
        </is>
      </c>
      <c r="AH410" s="29" t="inlineStr">
        <is>
          <t>Enters tapped unless opponents control 8+ lands</t>
        </is>
      </c>
      <c r="AI410" s="29" t="n"/>
      <c r="AJ410" s="2" t="n"/>
    </row>
    <row r="411" ht="15" customHeight="1" s="79">
      <c r="A411" s="2" t="inlineStr">
        <is>
          <t>Unbury</t>
        </is>
      </c>
      <c r="B411" s="2">
        <f>IF(AND(F411&lt;&gt;0,E411=F411),"In Hand",IF(AND(E411&lt;&gt;0,E411&lt;F411,SUM(M411:R411)=0,SUM(T411:Y411)&gt;0),"Extra-Sub",IF(AND(E411=0,E411&lt;F411,SUM(M411:R411)=0,SUM(T411:Y411)&gt;0),"Bench-Sub",IF(AND(E411=0,F411&gt;0),"Bench",IF(E411&lt;F411,"Extra",IF(AND(J411="",E411&gt;F411),"To Buy",IF(SUM(J411,F411)&lt;E411,"To Buy",IF(AND(SUM(J411,F411)&gt;=E411,J411&lt;&gt;""),"Ordered",IF(AND(E411=0,F411=0,D411="B3"),"B3 Option",IF(AND(E411=0,F411=0),"Remove","To Buy"))))))))))</f>
        <v/>
      </c>
      <c r="D411" t="inlineStr">
        <is>
          <t>B2</t>
        </is>
      </c>
      <c r="E411" s="3">
        <f>SUM(M411:S411)</f>
        <v/>
      </c>
      <c r="F411" s="3">
        <f>SUM(T411:Z411)</f>
        <v/>
      </c>
      <c r="G411" s="3">
        <f>IF((F411-E411)&gt;=0,F411-E411,0)</f>
        <v/>
      </c>
      <c r="H411" s="3">
        <f>MAX(0,$E411-$F411-$J411)</f>
        <v/>
      </c>
      <c r="I411" s="3" t="n"/>
      <c r="J411" s="3" t="n"/>
      <c r="K411" s="4" t="n"/>
      <c r="L411" s="4">
        <f>IF(AND($H411&gt;0,ISNUMBER($K411)),$H411*$K411,0)</f>
        <v/>
      </c>
      <c r="M411" s="3" t="n"/>
      <c r="N411" s="3" t="n"/>
      <c r="O411" s="3" t="n"/>
      <c r="P411" s="3" t="n"/>
      <c r="Q411" s="3" t="n">
        <v>1</v>
      </c>
      <c r="R411" s="3" t="n"/>
      <c r="S411" s="3">
        <f>IF(AND(J411&lt;&gt;"",SUM(M411:R411)=0),J411,"")</f>
        <v/>
      </c>
      <c r="T411" s="3" t="n"/>
      <c r="U411" s="3" t="n"/>
      <c r="V411" s="3" t="n"/>
      <c r="W411" s="3" t="n"/>
      <c r="X411" s="3" t="n">
        <v>1</v>
      </c>
      <c r="Y411" s="3" t="n"/>
      <c r="Z411" s="3" t="n"/>
      <c r="AA411" s="2" t="inlineStr">
        <is>
          <t>Instant</t>
        </is>
      </c>
      <c r="AB411" s="2" t="n"/>
      <c r="AC411" s="2" t="inlineStr">
        <is>
          <t>B</t>
        </is>
      </c>
      <c r="AD411" s="3" t="n">
        <v>2</v>
      </c>
      <c r="AE411" s="29" t="inlineStr">
        <is>
          <t>Lorwyn Eclipsed</t>
        </is>
      </c>
      <c r="AF411" s="29" t="inlineStr">
        <is>
          <t>Recursion</t>
        </is>
      </c>
      <c r="AG411" s="29" t="inlineStr">
        <is>
          <t>Returns target creature card from your graveyard to hand</t>
        </is>
      </c>
      <c r="AH411" s="29" t="inlineStr">
        <is>
          <t>Or returns two target creature cards sharing a type from your graveyard to hand</t>
        </is>
      </c>
      <c r="AI411" s="29" t="n"/>
      <c r="AJ411" s="2" t="inlineStr">
        <is>
          <t>Cut in Tuned; Bench sub -&gt; D5 for Priest of Fell Rites (2026-09-02)</t>
        </is>
      </c>
      <c r="AK411" t="inlineStr">
        <is>
          <t>[T+A] D3-&gt;D5 (bench sub) [done 2026-09-03]</t>
        </is>
      </c>
    </row>
    <row r="412" ht="15" customHeight="1" s="79">
      <c r="A412" s="2" t="inlineStr">
        <is>
          <t>Valakut Exploration</t>
        </is>
      </c>
      <c r="B412" s="2">
        <f>IF(AND(F412&lt;&gt;0,E412=F412),"In Hand",IF(AND(E412&lt;&gt;0,E412&lt;F412,SUM(M412:R412)=0,SUM(T412:Y412)&gt;0),"Extra-Sub",IF(AND(E412=0,E412&lt;F412,SUM(M412:R412)=0,SUM(T412:Y412)&gt;0),"Bench-Sub",IF(AND(E412=0,F412&gt;0),"Bench",IF(E412&lt;F412,"Extra",IF(AND(J412="",E412&gt;F412),"To Buy",IF(SUM(J412,F412)&lt;E412,"To Buy",IF(AND(SUM(J412,F412)&gt;=E412,J412&lt;&gt;""),"Ordered",IF(AND(E412=0,F412=0,D412="B3"),"B3 Option",IF(AND(E412=0,F412=0),"Remove","To Buy"))))))))))</f>
        <v/>
      </c>
      <c r="D412" t="inlineStr">
        <is>
          <t>B2</t>
        </is>
      </c>
      <c r="E412" s="3">
        <f>SUM(M412:S412)</f>
        <v/>
      </c>
      <c r="F412" s="3">
        <f>SUM(T412:Z412)</f>
        <v/>
      </c>
      <c r="G412" s="3">
        <f>IF((F412-E412)&gt;=0,F412-E412,0)</f>
        <v/>
      </c>
      <c r="H412" s="3">
        <f>MAX(0,$E412-$F412-$J412)</f>
        <v/>
      </c>
      <c r="I412" s="3" t="n"/>
      <c r="J412" s="3" t="n"/>
      <c r="K412" s="4" t="n">
        <v>4.11</v>
      </c>
      <c r="L412" s="4">
        <f>IF(AND($H412&gt;0,ISNUMBER($K412)),$H412*$K412,0)</f>
        <v/>
      </c>
      <c r="M412" s="3" t="n">
        <v>1</v>
      </c>
      <c r="N412" s="3" t="n"/>
      <c r="O412" s="3" t="n"/>
      <c r="P412" s="3" t="n"/>
      <c r="Q412" s="3" t="n"/>
      <c r="R412" s="3" t="n"/>
      <c r="S412" s="3">
        <f>IF(AND(J412&lt;&gt;"",SUM(M412:R412)=0),J412,"")</f>
        <v/>
      </c>
      <c r="T412" s="3" t="n">
        <v>1</v>
      </c>
      <c r="U412" s="3" t="n"/>
      <c r="V412" s="3" t="n"/>
      <c r="W412" s="3" t="n"/>
      <c r="X412" s="3" t="n"/>
      <c r="Y412" s="3" t="n"/>
      <c r="Z412" s="3" t="n"/>
      <c r="AA412" s="2" t="inlineStr">
        <is>
          <t>Enchantment</t>
        </is>
      </c>
      <c r="AB412" s="2" t="n"/>
      <c r="AC412" s="2" t="inlineStr">
        <is>
          <t>R</t>
        </is>
      </c>
      <c r="AD412" s="3" t="n">
        <v>3</v>
      </c>
      <c r="AE412" s="29" t="inlineStr">
        <is>
          <t>Zendikar Rising</t>
        </is>
      </c>
      <c r="AF412" s="29" t="inlineStr">
        <is>
          <t>Card Advantage</t>
        </is>
      </c>
      <c r="AG412" s="29" t="inlineStr">
        <is>
          <t>A land you control entering exiles the top library card, playable while exiled</t>
        </is>
      </c>
      <c r="AH412" s="29" t="inlineStr">
        <is>
          <t>End step: cards exiled this way go to graveyard and deal that much damage to each opponent</t>
        </is>
      </c>
      <c r="AI412" s="29" t="n"/>
      <c r="AJ412" s="2" t="n"/>
    </row>
    <row r="413" ht="15" customHeight="1" s="79">
      <c r="A413" s="2" t="inlineStr">
        <is>
          <t>Valorous Stance</t>
        </is>
      </c>
      <c r="B413" s="2">
        <f>IF(AND(F413&lt;&gt;0,E413=F413),"In Hand",IF(AND(E413&lt;&gt;0,E413&lt;F413,SUM(M413:R413)=0,SUM(T413:Y413)&gt;0),"Extra-Sub",IF(AND(E413=0,E413&lt;F413,SUM(M413:R413)=0,SUM(T413:Y413)&gt;0),"Bench-Sub",IF(AND(E413=0,F413&gt;0),"Bench",IF(E413&lt;F413,"Extra",IF(AND(J413="",E413&gt;F413),"To Buy",IF(SUM(J413,F413)&lt;E413,"To Buy",IF(AND(SUM(J413,F413)&gt;=E413,J413&lt;&gt;""),"Ordered",IF(AND(E413=0,F413=0,D413="B3"),"B3 Option",IF(AND(E413=0,F413=0),"Remove","To Buy"))))))))))</f>
        <v/>
      </c>
      <c r="D413" t="inlineStr">
        <is>
          <t>B2</t>
        </is>
      </c>
      <c r="E413" s="3">
        <f>SUM(M413:S413)</f>
        <v/>
      </c>
      <c r="F413" s="3">
        <f>SUM(T413:Z413)</f>
        <v/>
      </c>
      <c r="G413" s="3">
        <f>IF((F413-E413)&gt;=0,F413-E413,0)</f>
        <v/>
      </c>
      <c r="H413" s="3">
        <f>MAX(0,$E413-$F413-$J413)</f>
        <v/>
      </c>
      <c r="I413" s="3" t="n"/>
      <c r="J413" s="3" t="n"/>
      <c r="K413" s="4" t="n">
        <v>0.18</v>
      </c>
      <c r="L413" s="4">
        <f>IF(AND($H413&gt;0,ISNUMBER($K413)),$H413*$K413,0)</f>
        <v/>
      </c>
      <c r="M413" s="3" t="n">
        <v>1</v>
      </c>
      <c r="N413" s="3" t="n">
        <v>1</v>
      </c>
      <c r="O413" s="3" t="n">
        <v>1</v>
      </c>
      <c r="P413" s="3" t="n"/>
      <c r="Q413" s="3" t="n"/>
      <c r="R413" s="3" t="n"/>
      <c r="S413" s="3">
        <f>IF(AND(J413&lt;&gt;"",SUM(M413:R413)=0),J413,"")</f>
        <v/>
      </c>
      <c r="T413" s="3" t="n">
        <v>1</v>
      </c>
      <c r="U413" s="3" t="n">
        <v>1</v>
      </c>
      <c r="V413" s="3" t="n">
        <v>1</v>
      </c>
      <c r="W413" s="3" t="n"/>
      <c r="X413" s="3" t="n"/>
      <c r="Y413" s="3" t="n"/>
      <c r="Z413" s="3" t="n"/>
      <c r="AA413" s="2" t="inlineStr">
        <is>
          <t>Instant</t>
        </is>
      </c>
      <c r="AB413" s="2" t="n"/>
      <c r="AC413" s="2" t="inlineStr">
        <is>
          <t>W</t>
        </is>
      </c>
      <c r="AD413" s="3" t="n">
        <v>2</v>
      </c>
      <c r="AE413" s="29" t="inlineStr">
        <is>
          <t>Fate Reforged</t>
        </is>
      </c>
      <c r="AF413" s="29" t="inlineStr">
        <is>
          <t>Protection</t>
        </is>
      </c>
      <c r="AG413" s="29" t="inlineStr">
        <is>
          <t>Choose one: target creature can't be destroyed this turn</t>
        </is>
      </c>
      <c r="AH413" s="29" t="inlineStr">
        <is>
          <t>Or destroys target creature with toughness 4 or greater</t>
        </is>
      </c>
      <c r="AI413" s="29" t="n"/>
      <c r="AJ413" s="2" t="n"/>
    </row>
    <row r="414" ht="15" customHeight="1" s="79">
      <c r="A414" s="2" t="inlineStr">
        <is>
          <t>Vanguard of the Restless</t>
        </is>
      </c>
      <c r="B414" s="2">
        <f>IF(AND(F414&lt;&gt;0,E414=F414),"In Hand",IF(AND(E414&lt;&gt;0,E414&lt;F414,SUM(M414:R414)=0,SUM(T414:Y414)&gt;0),"Extra-Sub",IF(AND(E414=0,E414&lt;F414,SUM(M414:R414)=0,SUM(T414:Y414)&gt;0),"Bench-Sub",IF(AND(E414=0,F414&gt;0),"Bench",IF(E414&lt;F414,"Extra",IF(AND(J414="",E414&gt;F414),"To Buy",IF(SUM(J414,F414)&lt;E414,"To Buy",IF(AND(SUM(J414,F414)&gt;=E414,J414&lt;&gt;""),"Ordered",IF(AND(E414=0,F414=0,D414="B3"),"B3 Option",IF(AND(E414=0,F414=0),"Remove","To Buy"))))))))))</f>
        <v/>
      </c>
      <c r="D414" t="inlineStr">
        <is>
          <t>B2</t>
        </is>
      </c>
      <c r="E414" s="3">
        <f>SUM(M414:S414)</f>
        <v/>
      </c>
      <c r="F414" s="3">
        <f>SUM(T414:Z414)</f>
        <v/>
      </c>
      <c r="G414" s="3">
        <f>IF((F414-E414)&gt;=0,F414-E414,0)</f>
        <v/>
      </c>
      <c r="H414" s="3">
        <f>MAX(0,$E414-$F414-$J414)</f>
        <v/>
      </c>
      <c r="I414" s="3" t="n"/>
      <c r="J414" s="3" t="n"/>
      <c r="K414" s="4" t="n">
        <v>0.28</v>
      </c>
      <c r="L414" s="4">
        <f>IF(AND($H414&gt;0,ISNUMBER($K414)),$H414*$K414,0)</f>
        <v/>
      </c>
      <c r="M414" s="3" t="n"/>
      <c r="N414" s="3" t="n"/>
      <c r="O414" s="3" t="n"/>
      <c r="P414" s="3" t="n"/>
      <c r="Q414" s="3" t="n">
        <v>1</v>
      </c>
      <c r="R414" s="3" t="n"/>
      <c r="S414" s="3">
        <f>IF(AND(J414&lt;&gt;"",SUM(M414:R414)=0),J414,"")</f>
        <v/>
      </c>
      <c r="T414" s="3" t="n">
        <v>1</v>
      </c>
      <c r="U414" s="3" t="n"/>
      <c r="V414" s="3" t="n"/>
      <c r="W414" s="3" t="n"/>
      <c r="X414" s="3" t="n"/>
      <c r="Y414" s="3" t="n"/>
      <c r="Z414" s="3" t="n"/>
      <c r="AA414" s="2" t="inlineStr">
        <is>
          <t>Creature</t>
        </is>
      </c>
      <c r="AB414" s="2" t="inlineStr">
        <is>
          <t>Spirit Knight</t>
        </is>
      </c>
      <c r="AC414" s="2" t="inlineStr">
        <is>
          <t>W</t>
        </is>
      </c>
      <c r="AD414" s="3" t="n">
        <v>3</v>
      </c>
      <c r="AE414" s="29" t="inlineStr">
        <is>
          <t>Secrets of Strixhaven Commander</t>
        </is>
      </c>
      <c r="AF414" s="29" t="inlineStr">
        <is>
          <t>Lord/Anthem</t>
        </is>
      </c>
      <c r="AG414" s="29" t="inlineStr">
        <is>
          <t>Flying body</t>
        </is>
      </c>
      <c r="AH414" s="29" t="inlineStr">
        <is>
          <t>Spirits you control get +1/+1 for each time you've cast your commander from the command zone</t>
        </is>
      </c>
      <c r="AI414" s="29" t="inlineStr">
        <is>
          <t>A Spirit entering lets you pay {2}{W} to return this from graveyard to battlefield</t>
        </is>
      </c>
      <c r="AJ414" s="2" t="inlineStr">
        <is>
          <t>Bench sub -&gt; D5 for Explorer's Scope (2026-09-02)</t>
        </is>
      </c>
      <c r="AK414" t="inlineStr">
        <is>
          <t>[T+A] D1-&gt;D5 (bench sub) [done 2026-09-03]</t>
        </is>
      </c>
    </row>
    <row r="415" ht="15" customHeight="1" s="79">
      <c r="A415" s="2" t="inlineStr">
        <is>
          <t>Venerable Warsinger</t>
        </is>
      </c>
      <c r="B415" s="2">
        <f>IF(AND(F415&lt;&gt;0,E415=F415),"In Hand",IF(AND(E415&lt;&gt;0,E415&lt;F415,SUM(M415:R415)=0,SUM(T415:Y415)&gt;0),"Extra-Sub",IF(AND(E415=0,E415&lt;F415,SUM(M415:R415)=0,SUM(T415:Y415)&gt;0),"Bench-Sub",IF(AND(E415=0,F415&gt;0),"Bench",IF(E415&lt;F415,"Extra",IF(AND(J415="",E415&gt;F415),"To Buy",IF(SUM(J415,F415)&lt;E415,"To Buy",IF(AND(SUM(J415,F415)&gt;=E415,J415&lt;&gt;""),"Ordered",IF(AND(E415=0,F415=0,D415="B3"),"B3 Option",IF(AND(E415=0,F415=0),"Remove","To Buy"))))))))))</f>
        <v/>
      </c>
      <c r="D415" t="inlineStr">
        <is>
          <t>B2</t>
        </is>
      </c>
      <c r="E415" s="3">
        <f>SUM(M415:S415)</f>
        <v/>
      </c>
      <c r="F415" s="3">
        <f>SUM(T415:Z415)</f>
        <v/>
      </c>
      <c r="G415" s="3">
        <f>IF((F415-E415)&gt;=0,F415-E415,0)</f>
        <v/>
      </c>
      <c r="H415" s="3">
        <f>MAX(0,$E415-$F415-$J415)</f>
        <v/>
      </c>
      <c r="I415" s="3" t="n"/>
      <c r="J415" s="3" t="n"/>
      <c r="K415" s="4" t="n">
        <v>0.22</v>
      </c>
      <c r="L415" s="4">
        <f>IF(AND($H415&gt;0,ISNUMBER($K415)),$H415*$K415,0)</f>
        <v/>
      </c>
      <c r="M415" s="3" t="n">
        <v>1</v>
      </c>
      <c r="N415" s="3" t="n"/>
      <c r="O415" s="3" t="n"/>
      <c r="P415" s="3" t="n"/>
      <c r="Q415" s="3" t="n"/>
      <c r="R415" s="3" t="n"/>
      <c r="S415" s="3">
        <f>IF(AND(J415&lt;&gt;"",SUM(M415:R415)=0),J415,"")</f>
        <v/>
      </c>
      <c r="T415" s="3" t="n">
        <v>1</v>
      </c>
      <c r="U415" s="3" t="n"/>
      <c r="V415" s="3" t="n"/>
      <c r="W415" s="3" t="n"/>
      <c r="X415" s="3" t="n"/>
      <c r="Y415" s="3" t="n"/>
      <c r="Z415" s="3" t="n"/>
      <c r="AA415" s="2" t="inlineStr">
        <is>
          <t>Creature</t>
        </is>
      </c>
      <c r="AB415" s="2" t="inlineStr">
        <is>
          <t>Spirit Cleric</t>
        </is>
      </c>
      <c r="AC415" s="2" t="inlineStr">
        <is>
          <t>Multi</t>
        </is>
      </c>
      <c r="AD415" s="3" t="n">
        <v>3</v>
      </c>
      <c r="AE415" s="29" t="inlineStr">
        <is>
          <t>Strixhaven: School of Mages</t>
        </is>
      </c>
      <c r="AF415" s="29" t="inlineStr">
        <is>
          <t>Recursion</t>
        </is>
      </c>
      <c r="AG415" s="29" t="inlineStr">
        <is>
          <t>Can attack past blockers while staying untapped</t>
        </is>
      </c>
      <c r="AH415" s="29" t="inlineStr">
        <is>
          <t>Combat damage to a player returns a creature card from graveyard with MV up to that damage</t>
        </is>
      </c>
      <c r="AI415" s="29" t="n"/>
      <c r="AJ415" s="2" t="n"/>
    </row>
    <row r="416" ht="15" customHeight="1" s="79">
      <c r="A416" s="2" t="inlineStr">
        <is>
          <t>Vindicate</t>
        </is>
      </c>
      <c r="B416" s="2">
        <f>IF(AND(F416&lt;&gt;0,E416=F416),"In Hand",IF(AND(E416&lt;&gt;0,E416&lt;F416,SUM(M416:R416)=0,SUM(T416:Y416)&gt;0),"Extra-Sub",IF(AND(E416=0,E416&lt;F416,SUM(M416:R416)=0,SUM(T416:Y416)&gt;0),"Bench-Sub",IF(AND(E416=0,F416&gt;0),"Bench",IF(E416&lt;F416,"Extra",IF(AND(J416="",E416&gt;F416),"To Buy",IF(SUM(J416,F416)&lt;E416,"To Buy",IF(AND(SUM(J416,F416)&gt;=E416,J416&lt;&gt;""),"Ordered",IF(AND(E416=0,F416=0,D416="B3"),"B3 Option",IF(AND(E416=0,F416=0),"Remove","To Buy"))))))))))</f>
        <v/>
      </c>
      <c r="D416" t="inlineStr">
        <is>
          <t>B2</t>
        </is>
      </c>
      <c r="E416" s="3">
        <f>SUM(M416:S416)</f>
        <v/>
      </c>
      <c r="F416" s="3">
        <f>SUM(T416:Z416)</f>
        <v/>
      </c>
      <c r="G416" s="3">
        <f>IF((F416-E416)&gt;=0,F416-E416,0)</f>
        <v/>
      </c>
      <c r="H416" s="3">
        <f>MAX(0,$E416-$F416-$J416)</f>
        <v/>
      </c>
      <c r="I416" s="3" t="n"/>
      <c r="J416" s="3" t="n"/>
      <c r="K416" s="4" t="n">
        <v>0.76</v>
      </c>
      <c r="L416" s="4">
        <f>IF(AND($H416&gt;0,ISNUMBER($K416)),$H416*$K416,0)</f>
        <v/>
      </c>
      <c r="M416" s="3" t="n"/>
      <c r="N416" s="3" t="n"/>
      <c r="O416" s="3" t="n"/>
      <c r="P416" s="3" t="n">
        <v>1</v>
      </c>
      <c r="Q416" s="3" t="n"/>
      <c r="R416" s="3" t="n"/>
      <c r="S416" s="3">
        <f>IF(AND(J416&lt;&gt;"",SUM(M416:R416)=0),J416,"")</f>
        <v/>
      </c>
      <c r="T416" s="3" t="n"/>
      <c r="U416" s="3" t="n"/>
      <c r="V416" s="3" t="n"/>
      <c r="W416" s="3" t="n">
        <v>1</v>
      </c>
      <c r="X416" s="3" t="n"/>
      <c r="Y416" s="3" t="n"/>
      <c r="Z416" s="3" t="n"/>
      <c r="AA416" s="2" t="inlineStr">
        <is>
          <t>Sorcery</t>
        </is>
      </c>
      <c r="AB416" s="2" t="n"/>
      <c r="AC416" s="2" t="inlineStr">
        <is>
          <t>Multi</t>
        </is>
      </c>
      <c r="AD416" s="3" t="n">
        <v>3</v>
      </c>
      <c r="AE416" s="29" t="inlineStr">
        <is>
          <t>Apocalypse</t>
        </is>
      </c>
      <c r="AF416" s="29" t="inlineStr">
        <is>
          <t>Removal</t>
        </is>
      </c>
      <c r="AG416" s="29" t="inlineStr">
        <is>
          <t>Destroys target permanent of any type</t>
        </is>
      </c>
      <c r="AH416" s="29" t="n"/>
      <c r="AI416" s="29" t="n"/>
      <c r="AJ416" s="2" t="n"/>
    </row>
    <row r="417" ht="15" customHeight="1" s="79">
      <c r="A417" s="2" t="inlineStr">
        <is>
          <t>Viral Drake</t>
        </is>
      </c>
      <c r="B417" s="2">
        <f>IF(AND(F417&lt;&gt;0,E417=F417),"In Hand",IF(AND(E417&lt;&gt;0,E417&lt;F417,SUM(M417:R417)=0,SUM(T417:Y417)&gt;0),"Extra-Sub",IF(AND(E417=0,E417&lt;F417,SUM(M417:R417)=0,SUM(T417:Y417)&gt;0),"Bench-Sub",IF(AND(E417=0,F417&gt;0),"Bench",IF(E417&lt;F417,"Extra",IF(AND(J417="",E417&gt;F417),"To Buy",IF(SUM(J417,F417)&lt;E417,"To Buy",IF(AND(SUM(J417,F417)&gt;=E417,J417&lt;&gt;""),"Ordered",IF(AND(E417=0,F417=0,D417="B3"),"B3 Option",IF(AND(E417=0,F417=0),"Remove","To Buy"))))))))))</f>
        <v/>
      </c>
      <c r="D417" t="inlineStr">
        <is>
          <t>B2</t>
        </is>
      </c>
      <c r="E417" s="3">
        <f>SUM(M417:S417)</f>
        <v/>
      </c>
      <c r="F417" s="3">
        <f>SUM(T417:Z417)</f>
        <v/>
      </c>
      <c r="G417" s="3">
        <f>IF((F417-E417)&gt;=0,F417-E417,0)</f>
        <v/>
      </c>
      <c r="H417" s="3">
        <f>MAX(0,$E417-$F417-$J417)</f>
        <v/>
      </c>
      <c r="I417" s="3" t="n"/>
      <c r="J417" s="3" t="n"/>
      <c r="K417" s="4" t="n">
        <v>1.94</v>
      </c>
      <c r="L417" s="4">
        <f>IF(AND($H417&gt;0,ISNUMBER($K417)),$H417*$K417,0)</f>
        <v/>
      </c>
      <c r="M417" s="3" t="n"/>
      <c r="N417" s="3" t="n"/>
      <c r="O417" s="3" t="n">
        <v>1</v>
      </c>
      <c r="P417" s="3" t="n"/>
      <c r="Q417" s="3" t="n"/>
      <c r="R417" s="3" t="n"/>
      <c r="S417" s="3">
        <f>IF(AND(J417&lt;&gt;"",SUM(M417:R417)=0),J417,"")</f>
        <v/>
      </c>
      <c r="T417" s="3" t="n"/>
      <c r="U417" s="3" t="n"/>
      <c r="V417" s="3" t="n">
        <v>1</v>
      </c>
      <c r="W417" s="3" t="n"/>
      <c r="X417" s="3" t="n"/>
      <c r="Y417" s="3" t="n"/>
      <c r="Z417" s="3" t="n"/>
      <c r="AA417" s="2" t="inlineStr">
        <is>
          <t>Creature</t>
        </is>
      </c>
      <c r="AB417" s="2" t="inlineStr">
        <is>
          <t>Phyrexian Drake</t>
        </is>
      </c>
      <c r="AC417" s="2" t="inlineStr">
        <is>
          <t>U</t>
        </is>
      </c>
      <c r="AD417" s="3" t="n">
        <v>4</v>
      </c>
      <c r="AE417" s="29" t="inlineStr">
        <is>
          <t>New Phyrexia</t>
        </is>
      </c>
      <c r="AF417" s="29" t="inlineStr">
        <is>
          <t>Proliferate</t>
        </is>
      </c>
      <c r="AG417" s="29" t="inlineStr">
        <is>
          <t>Deals damage as -1/-1 counters to creatures, poison counters to players</t>
        </is>
      </c>
      <c r="AH417" s="29" t="inlineStr">
        <is>
          <t>{3}{U}: Proliferate</t>
        </is>
      </c>
      <c r="AI417" s="29" t="inlineStr">
        <is>
          <t>Flying body</t>
        </is>
      </c>
      <c r="AJ417" s="2" t="n"/>
    </row>
    <row r="418" ht="15" customHeight="1" s="79">
      <c r="A418" s="2" t="inlineStr">
        <is>
          <t>Voracious Tome-Skimmer</t>
        </is>
      </c>
      <c r="B418" s="2">
        <f>IF(AND(F418&lt;&gt;0,E418=F418),"In Hand",IF(AND(E418&lt;&gt;0,E418&lt;F418,SUM(M418:R418)=0,SUM(T418:Y418)&gt;0),"Extra-Sub",IF(AND(E418=0,E418&lt;F418,SUM(M418:R418)=0,SUM(T418:Y418)&gt;0),"Bench-Sub",IF(AND(E418=0,F418&gt;0),"Bench",IF(E418&lt;F418,"Extra",IF(AND(J418="",E418&gt;F418),"To Buy",IF(SUM(J418,F418)&lt;E418,"To Buy",IF(AND(SUM(J418,F418)&gt;=E418,J418&lt;&gt;""),"Ordered",IF(AND(E418=0,F418=0,D418="B3"),"B3 Option",IF(AND(E418=0,F418=0),"Remove","To Buy"))))))))))</f>
        <v/>
      </c>
      <c r="D418" t="inlineStr">
        <is>
          <t>B2</t>
        </is>
      </c>
      <c r="E418" s="3">
        <f>SUM(M418:S418)</f>
        <v/>
      </c>
      <c r="F418" s="3">
        <f>SUM(T418:Z418)</f>
        <v/>
      </c>
      <c r="G418" s="3">
        <f>IF((F418-E418)&gt;=0,F418-E418,0)</f>
        <v/>
      </c>
      <c r="H418" s="3">
        <f>MAX(0,$E418-$F418-$J418)</f>
        <v/>
      </c>
      <c r="I418" s="3" t="n"/>
      <c r="J418" s="3" t="n"/>
      <c r="K418" s="4" t="n">
        <v>0.31</v>
      </c>
      <c r="L418" s="4">
        <f>IF(AND($H418&gt;0,ISNUMBER($K418)),$H418*$K418,0)</f>
        <v/>
      </c>
      <c r="M418" s="3" t="n"/>
      <c r="N418" s="3" t="n"/>
      <c r="O418" s="3" t="n">
        <v>1</v>
      </c>
      <c r="P418" s="3" t="n"/>
      <c r="Q418" s="3" t="n"/>
      <c r="R418" s="3" t="n"/>
      <c r="S418" s="3">
        <f>IF(AND(J418&lt;&gt;"",SUM(M418:R418)=0),J418,"")</f>
        <v/>
      </c>
      <c r="T418" s="3" t="n"/>
      <c r="U418" s="3" t="n"/>
      <c r="V418" s="3" t="n">
        <v>1</v>
      </c>
      <c r="W418" s="3" t="n"/>
      <c r="X418" s="3" t="n"/>
      <c r="Y418" s="3" t="n"/>
      <c r="Z418" s="3" t="n"/>
      <c r="AA418" s="2" t="inlineStr">
        <is>
          <t>Creature</t>
        </is>
      </c>
      <c r="AB418" s="2" t="inlineStr">
        <is>
          <t>Faerie Rogue</t>
        </is>
      </c>
      <c r="AC418" s="2" t="inlineStr">
        <is>
          <t>Multi</t>
        </is>
      </c>
      <c r="AD418" s="3" t="n">
        <v>3</v>
      </c>
      <c r="AE418" s="29" t="inlineStr">
        <is>
          <t>Lorwyn Eclipsed</t>
        </is>
      </c>
      <c r="AF418" s="29" t="inlineStr">
        <is>
          <t>Card Draw</t>
        </is>
      </c>
      <c r="AG418" s="29" t="inlineStr">
        <is>
          <t>Pay 1 life to draw a card when you cast on opponent's turn</t>
        </is>
      </c>
      <c r="AH418" s="29" t="n"/>
      <c r="AI418" s="29" t="n"/>
      <c r="AJ418" s="2" t="n"/>
    </row>
    <row r="419" ht="15" customHeight="1" s="79">
      <c r="A419" s="2" t="inlineStr">
        <is>
          <t>Wakestone Gargoyle</t>
        </is>
      </c>
      <c r="B419" s="2">
        <f>IF(AND(F419&lt;&gt;0,E419=F419),"In Hand",IF(AND(E419&lt;&gt;0,E419&lt;F419,SUM(M419:R419)=0,SUM(T419:Y419)&gt;0),"Extra-Sub",IF(AND(E419=0,E419&lt;F419,SUM(M419:R419)=0,SUM(T419:Y419)&gt;0),"Bench-Sub",IF(AND(E419=0,F419&gt;0),"Bench",IF(E419&lt;F419,"Extra",IF(AND(J419="",E419&gt;F419),"To Buy",IF(SUM(J419,F419)&lt;E419,"To Buy",IF(AND(SUM(J419,F419)&gt;=E419,J419&lt;&gt;""),"Ordered",IF(AND(E419=0,F419=0,D419="B3"),"B3 Option",IF(AND(E419=0,F419=0),"Remove","To Buy"))))))))))</f>
        <v/>
      </c>
      <c r="D419" t="inlineStr">
        <is>
          <t>B2</t>
        </is>
      </c>
      <c r="E419" s="3">
        <f>SUM(M419:S419)</f>
        <v/>
      </c>
      <c r="F419" s="3">
        <f>SUM(T419:Z419)</f>
        <v/>
      </c>
      <c r="G419" s="3">
        <f>IF((F419-E419)&gt;=0,F419-E419,0)</f>
        <v/>
      </c>
      <c r="H419" s="3">
        <f>MAX(0,$E419-$F419-$J419)</f>
        <v/>
      </c>
      <c r="I419" s="3" t="n"/>
      <c r="J419" s="3" t="n"/>
      <c r="K419" s="4" t="n">
        <v>0.29</v>
      </c>
      <c r="L419" s="4">
        <f>IF(AND($H419&gt;0,ISNUMBER($K419)),$H419*$K419,0)</f>
        <v/>
      </c>
      <c r="M419" s="3" t="n"/>
      <c r="N419" s="3" t="n">
        <v>1</v>
      </c>
      <c r="O419" s="3" t="n"/>
      <c r="P419" s="3" t="n"/>
      <c r="Q419" s="3" t="n"/>
      <c r="R419" s="3" t="n"/>
      <c r="S419" s="3">
        <f>IF(AND(J419&lt;&gt;"",SUM(M419:R419)=0),J419,"")</f>
        <v/>
      </c>
      <c r="T419" s="3" t="n"/>
      <c r="U419" s="3" t="n">
        <v>1</v>
      </c>
      <c r="V419" s="3" t="n"/>
      <c r="W419" s="3" t="n"/>
      <c r="X419" s="3" t="n"/>
      <c r="Y419" s="3" t="n"/>
      <c r="Z419" s="3" t="n"/>
      <c r="AA419" s="2" t="inlineStr">
        <is>
          <t>Creature</t>
        </is>
      </c>
      <c r="AB419" s="2" t="inlineStr">
        <is>
          <t>Gargoyle</t>
        </is>
      </c>
      <c r="AC419" s="2" t="inlineStr">
        <is>
          <t>W</t>
        </is>
      </c>
      <c r="AD419" s="3" t="n">
        <v>4</v>
      </c>
      <c r="AE419" s="29" t="inlineStr">
        <is>
          <t>Dissension</t>
        </is>
      </c>
      <c r="AF419" s="29" t="inlineStr">
        <is>
          <t>Defender Ramp</t>
        </is>
      </c>
      <c r="AG419" s="29" t="inlineStr">
        <is>
          <t>Lets your defender creatures attack this turn for {1}{W}</t>
        </is>
      </c>
      <c r="AH419" s="29" t="inlineStr">
        <is>
          <t>Defender, flying body</t>
        </is>
      </c>
      <c r="AI419" s="29" t="n"/>
      <c r="AJ419" s="2" t="inlineStr">
        <is>
          <t>Orders-sheet row = same physical copy (duplicate rule); not an extra</t>
        </is>
      </c>
    </row>
    <row r="420" ht="15" customHeight="1" s="79">
      <c r="A420" s="2" t="inlineStr">
        <is>
          <t>Wall of Mulch</t>
        </is>
      </c>
      <c r="B420" s="2">
        <f>IF(AND(F420&lt;&gt;0,E420=F420),"In Hand",IF(AND(E420&lt;&gt;0,E420&lt;F420,SUM(M420:R420)=0,SUM(T420:Y420)&gt;0),"Extra-Sub",IF(AND(E420=0,E420&lt;F420,SUM(M420:R420)=0,SUM(T420:Y420)&gt;0),"Bench-Sub",IF(AND(E420=0,F420&gt;0),"Bench",IF(E420&lt;F420,"Extra",IF(AND(J420="",E420&gt;F420),"To Buy",IF(SUM(J420,F420)&lt;E420,"To Buy",IF(AND(SUM(J420,F420)&gt;=E420,J420&lt;&gt;""),"Ordered",IF(AND(E420=0,F420=0,D420="B3"),"B3 Option",IF(AND(E420=0,F420=0),"Remove","To Buy"))))))))))</f>
        <v/>
      </c>
      <c r="D420" t="inlineStr">
        <is>
          <t>B2</t>
        </is>
      </c>
      <c r="E420" s="3">
        <f>SUM(M420:S420)</f>
        <v/>
      </c>
      <c r="F420" s="3">
        <f>SUM(T420:Z420)</f>
        <v/>
      </c>
      <c r="G420" s="3">
        <f>IF((F420-E420)&gt;=0,F420-E420,0)</f>
        <v/>
      </c>
      <c r="H420" s="3">
        <f>MAX(0,$E420-$F420-$J420)</f>
        <v/>
      </c>
      <c r="I420" s="3" t="n"/>
      <c r="J420" s="3" t="n"/>
      <c r="K420" s="4" t="n">
        <v>0.26</v>
      </c>
      <c r="L420" s="4">
        <f>IF(AND($H420&gt;0,ISNUMBER($K420)),$H420*$K420,0)</f>
        <v/>
      </c>
      <c r="M420" s="3" t="n"/>
      <c r="N420" s="3" t="n">
        <v>1</v>
      </c>
      <c r="O420" s="3" t="n"/>
      <c r="P420" s="3" t="n"/>
      <c r="Q420" s="3" t="n"/>
      <c r="R420" s="3" t="n"/>
      <c r="S420" s="3">
        <f>IF(AND(J420&lt;&gt;"",SUM(M420:R420)=0),J420,"")</f>
        <v/>
      </c>
      <c r="T420" s="3" t="n"/>
      <c r="U420" s="3" t="n">
        <v>1</v>
      </c>
      <c r="V420" s="3" t="n"/>
      <c r="W420" s="3" t="n"/>
      <c r="X420" s="3" t="n"/>
      <c r="Y420" s="3" t="n"/>
      <c r="Z420" s="3" t="n"/>
      <c r="AA420" s="2" t="inlineStr">
        <is>
          <t>Creature</t>
        </is>
      </c>
      <c r="AB420" s="2" t="inlineStr">
        <is>
          <t>Wall</t>
        </is>
      </c>
      <c r="AC420" s="2" t="inlineStr">
        <is>
          <t>G</t>
        </is>
      </c>
      <c r="AD420" s="3" t="n">
        <v>2</v>
      </c>
      <c r="AE420" s="29" t="inlineStr">
        <is>
          <t>Onslaught</t>
        </is>
      </c>
      <c r="AF420" s="29" t="inlineStr">
        <is>
          <t>Card Draw</t>
        </is>
      </c>
      <c r="AG420" s="29" t="inlineStr">
        <is>
          <t>Sacrifice a Wall and pay {G} to draw a card</t>
        </is>
      </c>
      <c r="AH420" s="29" t="n"/>
      <c r="AI420" s="29" t="n"/>
      <c r="AJ420" s="2" t="n"/>
    </row>
    <row r="421" ht="15" customHeight="1" s="79">
      <c r="A421" s="2" t="inlineStr">
        <is>
          <t>Wall of Resurgence</t>
        </is>
      </c>
      <c r="B421" s="2">
        <f>IF(AND(F421&lt;&gt;0,E421=F421),"In Hand",IF(AND(E421&lt;&gt;0,E421&lt;F421,SUM(M421:R421)=0,SUM(T421:Y421)&gt;0),"Extra-Sub",IF(AND(E421=0,E421&lt;F421,SUM(M421:R421)=0,SUM(T421:Y421)&gt;0),"Bench-Sub",IF(AND(E421=0,F421&gt;0),"Bench",IF(E421&lt;F421,"Extra",IF(AND(J421="",E421&gt;F421),"To Buy",IF(SUM(J421,F421)&lt;E421,"To Buy",IF(AND(SUM(J421,F421)&gt;=E421,J421&lt;&gt;""),"Ordered",IF(AND(E421=0,F421=0,D421="B3"),"B3 Option",IF(AND(E421=0,F421=0),"Remove","To Buy"))))))))))</f>
        <v/>
      </c>
      <c r="D421" t="inlineStr">
        <is>
          <t>B2</t>
        </is>
      </c>
      <c r="E421" s="3">
        <f>SUM(M421:S421)</f>
        <v/>
      </c>
      <c r="F421" s="3">
        <f>SUM(T421:Z421)</f>
        <v/>
      </c>
      <c r="G421" s="3">
        <f>IF((F421-E421)&gt;=0,F421-E421,0)</f>
        <v/>
      </c>
      <c r="H421" s="3">
        <f>MAX(0,$E421-$F421-$J421)</f>
        <v/>
      </c>
      <c r="I421" s="3" t="n"/>
      <c r="J421" s="3" t="n"/>
      <c r="K421" s="4" t="n">
        <v>0.1</v>
      </c>
      <c r="L421" s="4">
        <f>IF(AND($H421&gt;0,ISNUMBER($K421)),$H421*$K421,0)</f>
        <v/>
      </c>
      <c r="M421" s="3" t="n"/>
      <c r="N421" s="3" t="n"/>
      <c r="O421" s="3" t="n">
        <v>1</v>
      </c>
      <c r="P421" s="3" t="n"/>
      <c r="Q421" s="3" t="n"/>
      <c r="R421" s="3" t="n"/>
      <c r="S421" s="3">
        <f>IF(AND(J421&lt;&gt;"",SUM(M421:R421)=0),J421,"")</f>
        <v/>
      </c>
      <c r="T421" s="3" t="n"/>
      <c r="U421" s="3" t="n"/>
      <c r="V421" s="3" t="n">
        <v>1</v>
      </c>
      <c r="W421" s="3" t="n"/>
      <c r="X421" s="3" t="n"/>
      <c r="Y421" s="3" t="n"/>
      <c r="Z421" s="3" t="n"/>
      <c r="AA421" s="2" t="inlineStr">
        <is>
          <t>Creature</t>
        </is>
      </c>
      <c r="AB421" s="2" t="inlineStr">
        <is>
          <t>Wall</t>
        </is>
      </c>
      <c r="AC421" s="2" t="inlineStr">
        <is>
          <t>W</t>
        </is>
      </c>
      <c r="AD421" s="3" t="n">
        <v>3</v>
      </c>
      <c r="AE421" s="29" t="inlineStr">
        <is>
          <t>Oath of the Gatewatch</t>
        </is>
      </c>
      <c r="AF421" s="29" t="inlineStr">
        <is>
          <t>Counters Payoff</t>
        </is>
      </c>
      <c r="AG421" s="29" t="inlineStr">
        <is>
          <t>Puts three +1/+1 counters on target land you control when it enters</t>
        </is>
      </c>
      <c r="AH421" s="29" t="inlineStr">
        <is>
          <t>That land becomes a 3/3 creature with haste (still a land)</t>
        </is>
      </c>
      <c r="AI421" s="29" t="n"/>
      <c r="AJ421" s="2" t="n"/>
    </row>
    <row r="422" ht="15" customHeight="1" s="79">
      <c r="A422" s="2" t="inlineStr">
        <is>
          <t>Wavesifter</t>
        </is>
      </c>
      <c r="B422" s="2">
        <f>IF(AND(F422&lt;&gt;0,E422=F422),"In Hand",IF(AND(E422&lt;&gt;0,E422&lt;F422,SUM(M422:R422)=0,SUM(T422:Y422)&gt;0),"Extra-Sub",IF(AND(E422=0,E422&lt;F422,SUM(M422:R422)=0,SUM(T422:Y422)&gt;0),"Bench-Sub",IF(AND(E422=0,F422&gt;0),"Bench",IF(E422&lt;F422,"Extra",IF(AND(J422="",E422&gt;F422),"To Buy",IF(SUM(J422,F422)&lt;E422,"To Buy",IF(AND(SUM(J422,F422)&gt;=E422,J422&lt;&gt;""),"Ordered",IF(AND(E422=0,F422=0,D422="B3"),"B3 Option",IF(AND(E422=0,F422=0),"Remove","To Buy"))))))))))</f>
        <v/>
      </c>
      <c r="D422" t="inlineStr">
        <is>
          <t>B2</t>
        </is>
      </c>
      <c r="E422" s="3">
        <f>SUM(M422:S422)</f>
        <v/>
      </c>
      <c r="F422" s="3">
        <f>SUM(T422:Z422)</f>
        <v/>
      </c>
      <c r="G422" s="3">
        <f>IF((F422-E422)&gt;=0,F422-E422,0)</f>
        <v/>
      </c>
      <c r="H422" s="3">
        <f>MAX(0,$E422-$F422-$J422)</f>
        <v/>
      </c>
      <c r="I422" s="3" t="n"/>
      <c r="J422" s="3" t="n"/>
      <c r="K422" s="4" t="n">
        <v>0.29</v>
      </c>
      <c r="L422" s="4">
        <f>IF(AND($H422&gt;0,ISNUMBER($K422)),$H422*$K422,0)</f>
        <v/>
      </c>
      <c r="M422" s="3" t="n"/>
      <c r="N422" s="3" t="n">
        <v>1</v>
      </c>
      <c r="O422" s="3" t="n"/>
      <c r="P422" s="3" t="n"/>
      <c r="Q422" s="3" t="n"/>
      <c r="R422" s="3" t="n"/>
      <c r="S422" s="3">
        <f>IF(AND(J422&lt;&gt;"",SUM(M422:R422)=0),J422,"")</f>
        <v/>
      </c>
      <c r="T422" s="3" t="n"/>
      <c r="U422" s="3" t="n">
        <v>1</v>
      </c>
      <c r="V422" s="3" t="n"/>
      <c r="W422" s="3" t="n"/>
      <c r="X422" s="3" t="n"/>
      <c r="Y422" s="3" t="n"/>
      <c r="Z422" s="3" t="n"/>
      <c r="AA422" s="2" t="inlineStr">
        <is>
          <t>Creature</t>
        </is>
      </c>
      <c r="AB422" s="2" t="inlineStr">
        <is>
          <t>Elemental</t>
        </is>
      </c>
      <c r="AC422" s="2" t="inlineStr">
        <is>
          <t>Multi</t>
        </is>
      </c>
      <c r="AD422" s="3" t="n">
        <v>5</v>
      </c>
      <c r="AE422" s="29" t="inlineStr">
        <is>
          <t>Modern Horizons 2</t>
        </is>
      </c>
      <c r="AF422" s="29" t="inlineStr">
        <is>
          <t>Card Draw</t>
        </is>
      </c>
      <c r="AG422" s="29" t="inlineStr">
        <is>
          <t>Creates two Clue tokens (sac, {2}: draw a card)</t>
        </is>
      </c>
      <c r="AH422" s="29" t="inlineStr">
        <is>
          <t>Can be cast for its evoke cost, then sacrificed</t>
        </is>
      </c>
      <c r="AI422" s="29" t="n"/>
      <c r="AJ422" s="2" t="n"/>
    </row>
    <row r="423" ht="15" customHeight="1" s="79">
      <c r="A423" s="2" t="inlineStr">
        <is>
          <t>Wayward Swordtooth</t>
        </is>
      </c>
      <c r="B423" s="2">
        <f>IF(AND(F423&lt;&gt;0,E423=F423),"In Hand",IF(AND(E423&lt;&gt;0,E423&lt;F423,SUM(M423:R423)=0,SUM(T423:Y423)&gt;0),"Extra-Sub",IF(AND(E423=0,E423&lt;F423,SUM(M423:R423)=0,SUM(T423:Y423)&gt;0),"Bench-Sub",IF(AND(E423=0,F423&gt;0),"Bench",IF(E423&lt;F423,"Extra",IF(AND(J423="",E423&gt;F423),"To Buy",IF(SUM(J423,F423)&lt;E423,"To Buy",IF(AND(SUM(J423,F423)&gt;=E423,J423&lt;&gt;""),"Ordered",IF(AND(E423=0,F423=0,D423="B3"),"B3 Option",IF(AND(E423=0,F423=0),"Remove","To Buy"))))))))))</f>
        <v/>
      </c>
      <c r="D423" t="inlineStr">
        <is>
          <t>B2</t>
        </is>
      </c>
      <c r="E423" s="3">
        <f>SUM(M423:S423)</f>
        <v/>
      </c>
      <c r="F423" s="3">
        <f>SUM(T423:Z423)</f>
        <v/>
      </c>
      <c r="G423" s="3">
        <f>IF((F423-E423)&gt;=0,F423-E423,0)</f>
        <v/>
      </c>
      <c r="H423" s="3">
        <f>MAX(0,$E423-$F423-$J423)</f>
        <v/>
      </c>
      <c r="I423" s="3" t="n"/>
      <c r="J423" s="3" t="n"/>
      <c r="K423" s="4" t="n">
        <v>3.98</v>
      </c>
      <c r="L423" s="4">
        <f>IF(AND($H423&gt;0,ISNUMBER($K423)),$H423*$K423,0)</f>
        <v/>
      </c>
      <c r="M423" s="3" t="n"/>
      <c r="N423" s="3" t="n"/>
      <c r="O423" s="3" t="n">
        <v>1</v>
      </c>
      <c r="P423" s="3" t="n"/>
      <c r="Q423" s="3" t="n"/>
      <c r="R423" s="3" t="n"/>
      <c r="S423" s="3">
        <f>IF(AND(J423&lt;&gt;"",SUM(M423:R423)=0),J423,"")</f>
        <v/>
      </c>
      <c r="T423" s="3" t="n"/>
      <c r="U423" s="3" t="n"/>
      <c r="V423" s="3" t="n">
        <v>1</v>
      </c>
      <c r="W423" s="3" t="n"/>
      <c r="X423" s="3" t="n"/>
      <c r="Y423" s="3" t="n"/>
      <c r="Z423" s="3" t="n"/>
      <c r="AA423" s="2" t="inlineStr">
        <is>
          <t>Creature</t>
        </is>
      </c>
      <c r="AB423" s="2" t="inlineStr">
        <is>
          <t>Dinosaur</t>
        </is>
      </c>
      <c r="AC423" s="2" t="inlineStr">
        <is>
          <t>G</t>
        </is>
      </c>
      <c r="AD423" s="3" t="n">
        <v>3</v>
      </c>
      <c r="AE423" s="29" t="inlineStr">
        <is>
          <t>Rivals of Ixalan</t>
        </is>
      </c>
      <c r="AF423" s="29" t="inlineStr">
        <is>
          <t>Ramp</t>
        </is>
      </c>
      <c r="AG423" s="29" t="inlineStr">
        <is>
          <t>You may play an additional land each turn</t>
        </is>
      </c>
      <c r="AH423" s="29" t="inlineStr">
        <is>
          <t>Can't attack or block unless you control ten or more permanents</t>
        </is>
      </c>
      <c r="AI423" s="29" t="n"/>
      <c r="AJ423" s="2" t="n"/>
    </row>
    <row r="424" ht="15" customHeight="1" s="79">
      <c r="A424" s="2" t="inlineStr">
        <is>
          <t>Weathered Wayfarer</t>
        </is>
      </c>
      <c r="B424" s="2">
        <f>IF(AND(F424&lt;&gt;0,E424=F424),"In Hand",IF(AND(E424&lt;&gt;0,E424&lt;F424,SUM(M424:R424)=0,SUM(T424:Y424)&gt;0),"Extra-Sub",IF(AND(E424=0,E424&lt;F424,SUM(M424:R424)=0,SUM(T424:Y424)&gt;0),"Bench-Sub",IF(AND(E424=0,F424&gt;0),"Bench",IF(E424&lt;F424,"Extra",IF(AND(J424="",E424&gt;F424),"To Buy",IF(SUM(J424,F424)&lt;E424,"To Buy",IF(AND(SUM(J424,F424)&gt;=E424,J424&lt;&gt;""),"Ordered",IF(AND(E424=0,F424=0,D424="B3"),"B3 Option",IF(AND(E424=0,F424=0),"Remove","To Buy"))))))))))</f>
        <v/>
      </c>
      <c r="D424" t="inlineStr">
        <is>
          <t>B2</t>
        </is>
      </c>
      <c r="E424" s="3">
        <f>SUM(M424:S424)</f>
        <v/>
      </c>
      <c r="F424" s="3">
        <f>SUM(T424:Z424)</f>
        <v/>
      </c>
      <c r="G424" s="3">
        <f>IF((F424-E424)&gt;=0,F424-E424,0)</f>
        <v/>
      </c>
      <c r="H424" s="3">
        <f>MAX(0,$E424-$F424-$J424)</f>
        <v/>
      </c>
      <c r="I424" s="3" t="n"/>
      <c r="J424" s="3" t="n"/>
      <c r="K424" s="4" t="n">
        <v>2.03</v>
      </c>
      <c r="L424" s="4">
        <f>IF(AND($H424&gt;0,ISNUMBER($K424)),$H424*$K424,0)</f>
        <v/>
      </c>
      <c r="M424" s="3" t="n">
        <v>1</v>
      </c>
      <c r="N424" s="3" t="n">
        <v>1</v>
      </c>
      <c r="O424" s="3" t="n"/>
      <c r="P424" s="3" t="n"/>
      <c r="Q424" s="3" t="n"/>
      <c r="R424" s="3" t="n"/>
      <c r="S424" s="3">
        <f>IF(AND(J424&lt;&gt;"",SUM(M424:R424)=0),J424,"")</f>
        <v/>
      </c>
      <c r="T424" s="3" t="n">
        <v>1</v>
      </c>
      <c r="U424" s="3" t="n">
        <v>1</v>
      </c>
      <c r="V424" s="3" t="n"/>
      <c r="W424" s="3" t="n"/>
      <c r="X424" s="3" t="n"/>
      <c r="Y424" s="3" t="n"/>
      <c r="Z424" s="3" t="n"/>
      <c r="AA424" s="2" t="inlineStr">
        <is>
          <t>Creature</t>
        </is>
      </c>
      <c r="AB424" s="2" t="inlineStr">
        <is>
          <t>Human Nomad Cleric</t>
        </is>
      </c>
      <c r="AC424" s="2" t="inlineStr">
        <is>
          <t>W</t>
        </is>
      </c>
      <c r="AD424" s="3" t="n">
        <v>1</v>
      </c>
      <c r="AE424" s="29" t="inlineStr">
        <is>
          <t>Onslaught</t>
        </is>
      </c>
      <c r="AF424" s="29" t="inlineStr">
        <is>
          <t>Ramp</t>
        </is>
      </c>
      <c r="AG424" s="29" t="inlineStr">
        <is>
          <t>1/1 body</t>
        </is>
      </c>
      <c r="AH424" s="29" t="inlineStr">
        <is>
          <t>Tap: search library for a land card to hand if an opponent has more lands</t>
        </is>
      </c>
      <c r="AI424" s="29" t="n"/>
      <c r="AJ424" s="2" t="n"/>
    </row>
    <row r="425" ht="15" customHeight="1" s="79">
      <c r="A425" s="2" t="inlineStr">
        <is>
          <t>White Orchid Phantom</t>
        </is>
      </c>
      <c r="B425" s="2">
        <f>IF(AND(F425&lt;&gt;0,E425=F425),"In Hand",IF(AND(E425&lt;&gt;0,E425&lt;F425,SUM(M425:R425)=0,SUM(T425:Y425)&gt;0),"Extra-Sub",IF(AND(E425=0,E425&lt;F425,SUM(M425:R425)=0,SUM(T425:Y425)&gt;0),"Bench-Sub",IF(AND(E425=0,F425&gt;0),"Bench",IF(E425&lt;F425,"Extra",IF(AND(J425="",E425&gt;F425),"To Buy",IF(SUM(J425,F425)&lt;E425,"To Buy",IF(AND(SUM(J425,F425)&gt;=E425,J425&lt;&gt;""),"Ordered",IF(AND(E425=0,F425=0,D425="B3"),"B3 Option",IF(AND(E425=0,F425=0),"Remove","To Buy"))))))))))</f>
        <v/>
      </c>
      <c r="D425" t="inlineStr">
        <is>
          <t>B2</t>
        </is>
      </c>
      <c r="E425" s="3">
        <f>SUM(M425:S425)</f>
        <v/>
      </c>
      <c r="F425" s="3">
        <f>SUM(T425:Z425)</f>
        <v/>
      </c>
      <c r="G425" s="3">
        <f>IF((F425-E425)&gt;=0,F425-E425,0)</f>
        <v/>
      </c>
      <c r="H425" s="3">
        <f>MAX(0,$E425-$F425-$J425)</f>
        <v/>
      </c>
      <c r="I425" s="3" t="n"/>
      <c r="J425" s="3" t="n"/>
      <c r="K425" s="4" t="n">
        <v>0.23</v>
      </c>
      <c r="L425" s="4">
        <f>IF(AND($H425&gt;0,ISNUMBER($K425)),$H425*$K425,0)</f>
        <v/>
      </c>
      <c r="M425" s="3" t="n"/>
      <c r="N425" s="3" t="n">
        <v>1</v>
      </c>
      <c r="O425" s="3" t="n"/>
      <c r="P425" s="3" t="n"/>
      <c r="Q425" s="3" t="n"/>
      <c r="R425" s="3" t="n"/>
      <c r="S425" s="3">
        <f>IF(AND(J425&lt;&gt;"",SUM(M425:R425)=0),J425,"")</f>
        <v/>
      </c>
      <c r="T425" s="3" t="n"/>
      <c r="U425" s="3" t="n">
        <v>1</v>
      </c>
      <c r="V425" s="3" t="n"/>
      <c r="W425" s="3" t="n"/>
      <c r="X425" s="3" t="n"/>
      <c r="Y425" s="3" t="n"/>
      <c r="Z425" s="3" t="n"/>
      <c r="AA425" s="2" t="inlineStr">
        <is>
          <t>Creature</t>
        </is>
      </c>
      <c r="AB425" s="2" t="inlineStr">
        <is>
          <t>Spirit Knight</t>
        </is>
      </c>
      <c r="AC425" s="2" t="inlineStr">
        <is>
          <t>W</t>
        </is>
      </c>
      <c r="AD425" s="3" t="n">
        <v>2</v>
      </c>
      <c r="AE425" s="29" t="inlineStr">
        <is>
          <t>Modern Horizons 3</t>
        </is>
      </c>
      <c r="AF425" s="29" t="inlineStr">
        <is>
          <t>Removal</t>
        </is>
      </c>
      <c r="AG425" s="29" t="inlineStr">
        <is>
          <t>Destroys target nonbasic land when it enters</t>
        </is>
      </c>
      <c r="AH425" s="29" t="inlineStr">
        <is>
          <t>Its controller may search for a basic land instead</t>
        </is>
      </c>
      <c r="AI425" s="29" t="inlineStr">
        <is>
          <t>Flying first strike body</t>
        </is>
      </c>
      <c r="AJ425" s="2" t="n"/>
    </row>
    <row r="426" ht="15" customHeight="1" s="79">
      <c r="A426" s="2" t="inlineStr">
        <is>
          <t>Wilderness Reclamation</t>
        </is>
      </c>
      <c r="B426" s="2">
        <f>IF(AND(F426&lt;&gt;0,E426=F426),"In Hand",IF(AND(E426&lt;&gt;0,E426&lt;F426,SUM(M426:R426)=0,SUM(T426:Y426)&gt;0),"Extra-Sub",IF(AND(E426=0,E426&lt;F426,SUM(M426:R426)=0,SUM(T426:Y426)&gt;0),"Bench-Sub",IF(AND(E426=0,F426&gt;0),"Bench",IF(E426&lt;F426,"Extra",IF(AND(J426="",E426&gt;F426),"To Buy",IF(SUM(J426,F426)&lt;E426,"To Buy",IF(AND(SUM(J426,F426)&gt;=E426,J426&lt;&gt;""),"Ordered",IF(AND(E426=0,F426=0,D426="B3"),"B3 Option",IF(AND(E426=0,F426=0),"Remove","To Buy"))))))))))</f>
        <v/>
      </c>
      <c r="D426" t="inlineStr">
        <is>
          <t>B2</t>
        </is>
      </c>
      <c r="E426" s="3">
        <f>SUM(M426:S426)</f>
        <v/>
      </c>
      <c r="F426" s="3">
        <f>SUM(T426:Z426)</f>
        <v/>
      </c>
      <c r="G426" s="3">
        <f>IF((F426-E426)&gt;=0,F426-E426,0)</f>
        <v/>
      </c>
      <c r="H426" s="3">
        <f>MAX(0,$E426-$F426-$J426)</f>
        <v/>
      </c>
      <c r="I426" s="3" t="n"/>
      <c r="J426" s="3" t="n"/>
      <c r="K426" s="4" t="n">
        <v>3.49</v>
      </c>
      <c r="L426" s="4">
        <f>IF(AND($H426&gt;0,ISNUMBER($K426)),$H426*$K426,0)</f>
        <v/>
      </c>
      <c r="M426" s="3" t="n"/>
      <c r="N426" s="3" t="n">
        <v>1</v>
      </c>
      <c r="O426" s="3" t="n"/>
      <c r="P426" s="3" t="n"/>
      <c r="Q426" s="3" t="n"/>
      <c r="R426" s="3" t="n"/>
      <c r="S426" s="3">
        <f>IF(AND(J426&lt;&gt;"",SUM(M426:R426)=0),J426,"")</f>
        <v/>
      </c>
      <c r="T426" s="3" t="n"/>
      <c r="U426" s="3" t="n">
        <v>1</v>
      </c>
      <c r="V426" s="3" t="n"/>
      <c r="W426" s="3" t="n"/>
      <c r="X426" s="3" t="n"/>
      <c r="Y426" s="3" t="n"/>
      <c r="Z426" s="3" t="n"/>
      <c r="AA426" s="2" t="inlineStr">
        <is>
          <t>Enchantment</t>
        </is>
      </c>
      <c r="AB426" s="2" t="n"/>
      <c r="AC426" s="2" t="inlineStr">
        <is>
          <t>G</t>
        </is>
      </c>
      <c r="AD426" s="3" t="n">
        <v>4</v>
      </c>
      <c r="AE426" s="29" t="inlineStr">
        <is>
          <t>Ravnica Allegiance</t>
        </is>
      </c>
      <c r="AF426" s="29" t="inlineStr">
        <is>
          <t>Mana Sink</t>
        </is>
      </c>
      <c r="AG426" s="29" t="inlineStr">
        <is>
          <t>Untaps all your lands at the beginning of your end step</t>
        </is>
      </c>
      <c r="AH426" s="29" t="n"/>
      <c r="AI426" s="29" t="n"/>
      <c r="AJ426" s="2" t="n"/>
    </row>
    <row r="427" ht="15" customHeight="1" s="79">
      <c r="A427" s="2" t="inlineStr">
        <is>
          <t>Winds of Abandon</t>
        </is>
      </c>
      <c r="B427" s="2">
        <f>IF(AND(F427&lt;&gt;0,E427=F427),"In Hand",IF(AND(E427&lt;&gt;0,E427&lt;F427,SUM(M427:R427)=0,SUM(T427:Y427)&gt;0),"Extra-Sub",IF(AND(E427=0,E427&lt;F427,SUM(M427:R427)=0,SUM(T427:Y427)&gt;0),"Bench-Sub",IF(AND(E427=0,F427&gt;0),"Bench",IF(E427&lt;F427,"Extra",IF(AND(J427="",E427&gt;F427),"To Buy",IF(SUM(J427,F427)&lt;E427,"To Buy",IF(AND(SUM(J427,F427)&gt;=E427,J427&lt;&gt;""),"Ordered",IF(AND(E427=0,F427=0,D427="B3"),"B3 Option",IF(AND(E427=0,F427=0),"Remove","To Buy"))))))))))</f>
        <v/>
      </c>
      <c r="D427" t="inlineStr">
        <is>
          <t>B2</t>
        </is>
      </c>
      <c r="E427" s="3">
        <f>SUM(M427:S427)</f>
        <v/>
      </c>
      <c r="F427" s="3">
        <f>SUM(T427:Z427)</f>
        <v/>
      </c>
      <c r="G427" s="3">
        <f>IF((F427-E427)&gt;=0,F427-E427,0)</f>
        <v/>
      </c>
      <c r="H427" s="3">
        <f>MAX(0,$E427-$F427-$J427)</f>
        <v/>
      </c>
      <c r="I427" s="3" t="n"/>
      <c r="J427" s="3" t="n"/>
      <c r="K427" s="4" t="n">
        <v>4.56</v>
      </c>
      <c r="L427" s="4">
        <f>IF(AND($H427&gt;0,ISNUMBER($K427)),$H427*$K427,0)</f>
        <v/>
      </c>
      <c r="M427" s="3" t="n">
        <v>1</v>
      </c>
      <c r="N427" s="3" t="n"/>
      <c r="O427" s="3" t="n"/>
      <c r="P427" s="3" t="n"/>
      <c r="Q427" s="3" t="n"/>
      <c r="R427" s="3" t="n"/>
      <c r="S427" s="3">
        <f>IF(AND(J427&lt;&gt;"",SUM(M427:R427)=0),J427,"")</f>
        <v/>
      </c>
      <c r="T427" s="3" t="n">
        <v>1</v>
      </c>
      <c r="U427" s="3" t="n"/>
      <c r="V427" s="3" t="n"/>
      <c r="W427" s="3" t="n"/>
      <c r="X427" s="3" t="n"/>
      <c r="Y427" s="3" t="n"/>
      <c r="Z427" s="3" t="n"/>
      <c r="AA427" s="2" t="inlineStr">
        <is>
          <t>Sorcery</t>
        </is>
      </c>
      <c r="AB427" s="2" t="n"/>
      <c r="AC427" s="2" t="inlineStr">
        <is>
          <t>W</t>
        </is>
      </c>
      <c r="AD427" s="3" t="n">
        <v>2</v>
      </c>
      <c r="AE427" s="29" t="inlineStr">
        <is>
          <t>Modern Horizons</t>
        </is>
      </c>
      <c r="AF427" s="29" t="inlineStr">
        <is>
          <t>Removal</t>
        </is>
      </c>
      <c r="AG427" s="29" t="inlineStr">
        <is>
          <t>Exiles target creature you don't control</t>
        </is>
      </c>
      <c r="AH427" s="29" t="inlineStr">
        <is>
          <t>Its controller searches for a basic land put onto the battlefield tapped</t>
        </is>
      </c>
      <c r="AI427" s="29" t="inlineStr">
        <is>
          <t>Overload cost hits every creature you don't control</t>
        </is>
      </c>
      <c r="AJ427" s="2" t="n"/>
    </row>
    <row r="428" ht="15" customHeight="1" s="79">
      <c r="A428" s="2" t="inlineStr">
        <is>
          <t>Wind-Scarred Crag</t>
        </is>
      </c>
      <c r="B428" s="2">
        <f>IF(AND(F428&lt;&gt;0,E428=F428),"In Hand",IF(AND(E428&lt;&gt;0,E428&lt;F428,SUM(M428:R428)=0,SUM(T428:Y428)&gt;0),"Extra-Sub",IF(AND(E428=0,E428&lt;F428,SUM(M428:R428)=0,SUM(T428:Y428)&gt;0),"Bench-Sub",IF(AND(E428=0,F428&gt;0),"Bench",IF(E428&lt;F428,"Extra",IF(AND(J428="",E428&gt;F428),"To Buy",IF(SUM(J428,F428)&lt;E428,"To Buy",IF(AND(SUM(J428,F428)&gt;=E428,J428&lt;&gt;""),"Ordered",IF(AND(E428=0,F428=0,D428="B3"),"B3 Option",IF(AND(E428=0,F428=0),"Remove","To Buy"))))))))))</f>
        <v/>
      </c>
      <c r="D428" t="inlineStr">
        <is>
          <t>B2</t>
        </is>
      </c>
      <c r="E428" s="3">
        <f>SUM(M428:S428)</f>
        <v/>
      </c>
      <c r="F428" s="3">
        <f>SUM(T428:Z428)</f>
        <v/>
      </c>
      <c r="G428" s="3">
        <f>IF((F428-E428)&gt;=0,F428-E428,0)</f>
        <v/>
      </c>
      <c r="H428" s="3">
        <f>MAX(0,$E428-$F428-$J428)</f>
        <v/>
      </c>
      <c r="I428" s="3" t="n"/>
      <c r="J428" s="3" t="n"/>
      <c r="K428" s="4" t="n">
        <v>0.15</v>
      </c>
      <c r="L428" s="4">
        <f>IF(AND($H428&gt;0,ISNUMBER($K428)),$H428*$K428,0)</f>
        <v/>
      </c>
      <c r="M428" s="3" t="n">
        <v>1</v>
      </c>
      <c r="N428" s="3" t="n"/>
      <c r="O428" s="3" t="n"/>
      <c r="P428" s="3" t="n"/>
      <c r="Q428" s="3" t="n"/>
      <c r="R428" s="3" t="n"/>
      <c r="S428" s="3">
        <f>IF(AND(J428&lt;&gt;"",SUM(M428:R428)=0),J428,"")</f>
        <v/>
      </c>
      <c r="T428" s="3" t="n">
        <v>1</v>
      </c>
      <c r="U428" s="3" t="n"/>
      <c r="V428" s="3" t="n"/>
      <c r="W428" s="3" t="n"/>
      <c r="X428" s="3" t="n"/>
      <c r="Y428" s="3" t="n"/>
      <c r="Z428" s="3" t="n"/>
      <c r="AA428" s="2" t="inlineStr">
        <is>
          <t>Land</t>
        </is>
      </c>
      <c r="AB428" s="2" t="n"/>
      <c r="AC428" s="2" t="inlineStr">
        <is>
          <t>L</t>
        </is>
      </c>
      <c r="AD428" s="3" t="n">
        <v>0</v>
      </c>
      <c r="AE428" s="29" t="inlineStr">
        <is>
          <t>Khans of Tarkir</t>
        </is>
      </c>
      <c r="AF428" s="29" t="inlineStr">
        <is>
          <t>Land</t>
        </is>
      </c>
      <c r="AG428" s="29" t="inlineStr">
        <is>
          <t>Taps for {R} or {W}</t>
        </is>
      </c>
      <c r="AH428" s="29" t="inlineStr">
        <is>
          <t>Enters tapped</t>
        </is>
      </c>
      <c r="AI428" s="29" t="inlineStr">
        <is>
          <t>Gain 1 life when it enters</t>
        </is>
      </c>
      <c r="AJ428" s="2" t="n"/>
    </row>
    <row r="429" ht="15" customHeight="1" s="79">
      <c r="A429" s="2" t="inlineStr">
        <is>
          <t>Wingmantle Chaplain</t>
        </is>
      </c>
      <c r="B429" s="2">
        <f>IF(AND(F429&lt;&gt;0,E429=F429),"In Hand",IF(AND(E429&lt;&gt;0,E429&lt;F429,SUM(M429:R429)=0,SUM(T429:Y429)&gt;0),"Extra-Sub",IF(AND(E429=0,E429&lt;F429,SUM(M429:R429)=0,SUM(T429:Y429)&gt;0),"Bench-Sub",IF(AND(E429=0,F429&gt;0),"Bench",IF(E429&lt;F429,"Extra",IF(AND(J429="",E429&gt;F429),"To Buy",IF(SUM(J429,F429)&lt;E429,"To Buy",IF(AND(SUM(J429,F429)&gt;=E429,J429&lt;&gt;""),"Ordered",IF(AND(E429=0,F429=0,D429="B3"),"B3 Option",IF(AND(E429=0,F429=0),"Remove","To Buy"))))))))))</f>
        <v/>
      </c>
      <c r="D429" t="inlineStr">
        <is>
          <t>B2</t>
        </is>
      </c>
      <c r="E429" s="3">
        <f>SUM(M429:S429)</f>
        <v/>
      </c>
      <c r="F429" s="3">
        <f>SUM(T429:Z429)</f>
        <v/>
      </c>
      <c r="G429" s="3">
        <f>IF((F429-E429)&gt;=0,F429-E429,0)</f>
        <v/>
      </c>
      <c r="H429" s="3">
        <f>MAX(0,$E429-$F429-$J429)</f>
        <v/>
      </c>
      <c r="I429" s="3" t="n"/>
      <c r="J429" s="3" t="n"/>
      <c r="K429" s="4" t="n">
        <v>0.3</v>
      </c>
      <c r="L429" s="4">
        <f>IF(AND($H429&gt;0,ISNUMBER($K429)),$H429*$K429,0)</f>
        <v/>
      </c>
      <c r="M429" s="3" t="n"/>
      <c r="N429" s="3" t="n">
        <v>1</v>
      </c>
      <c r="O429" s="3" t="n"/>
      <c r="P429" s="3" t="n"/>
      <c r="Q429" s="3" t="n"/>
      <c r="R429" s="3" t="n"/>
      <c r="S429" s="3">
        <f>IF(AND(J429&lt;&gt;"",SUM(M429:R429)=0),J429,"")</f>
        <v/>
      </c>
      <c r="T429" s="3" t="n"/>
      <c r="U429" s="3" t="n">
        <v>1</v>
      </c>
      <c r="V429" s="3" t="n"/>
      <c r="W429" s="3" t="n"/>
      <c r="X429" s="3" t="n"/>
      <c r="Y429" s="3" t="n"/>
      <c r="Z429" s="3" t="n"/>
      <c r="AA429" s="2" t="inlineStr">
        <is>
          <t>Creature</t>
        </is>
      </c>
      <c r="AB429" s="2" t="inlineStr">
        <is>
          <t>Human Cleric</t>
        </is>
      </c>
      <c r="AC429" s="2" t="inlineStr">
        <is>
          <t>W</t>
        </is>
      </c>
      <c r="AD429" s="3" t="n">
        <v>4</v>
      </c>
      <c r="AE429" s="29" t="inlineStr">
        <is>
          <t>Dominaria United</t>
        </is>
      </c>
      <c r="AF429" s="29" t="inlineStr">
        <is>
          <t>Token Producer</t>
        </is>
      </c>
      <c r="AG429" s="29" t="inlineStr">
        <is>
          <t>Creates a 1/1 flying Bird token for each defender you control, on ETB</t>
        </is>
      </c>
      <c r="AH429" s="29" t="inlineStr">
        <is>
          <t>Creates another Bird token whenever a defender creature enters</t>
        </is>
      </c>
      <c r="AI429" s="29" t="n"/>
      <c r="AJ429" s="2" t="n"/>
    </row>
    <row r="430" ht="15" customHeight="1" s="79">
      <c r="A430" s="2" t="inlineStr">
        <is>
          <t>Winnowing</t>
        </is>
      </c>
      <c r="B430" s="2">
        <f>IF(AND(F430&lt;&gt;0,E430=F430),"In Hand",IF(AND(E430&lt;&gt;0,E430&lt;F430,SUM(M430:R430)=0,SUM(T430:Y430)&gt;0),"Extra-Sub",IF(AND(E430=0,E430&lt;F430,SUM(M430:R430)=0,SUM(T430:Y430)&gt;0),"Bench-Sub",IF(AND(E430=0,F430&gt;0),"Bench",IF(E430&lt;F430,"Extra",IF(AND(J430="",E430&gt;F430),"To Buy",IF(SUM(J430,F430)&lt;E430,"To Buy",IF(AND(SUM(J430,F430)&gt;=E430,J430&lt;&gt;""),"Ordered",IF(AND(E430=0,F430=0,D430="B3"),"B3 Option",IF(AND(E430=0,F430=0),"Remove","To Buy"))))))))))</f>
        <v/>
      </c>
      <c r="D430" t="inlineStr">
        <is>
          <t>B2</t>
        </is>
      </c>
      <c r="E430" s="3">
        <f>SUM(M430:S430)</f>
        <v/>
      </c>
      <c r="F430" s="3">
        <f>SUM(T430:Z430)</f>
        <v/>
      </c>
      <c r="G430" s="3">
        <f>IF((F430-E430)&gt;=0,F430-E430,0)</f>
        <v/>
      </c>
      <c r="H430" s="3">
        <f>MAX(0,$E430-$F430-$J430)</f>
        <v/>
      </c>
      <c r="I430" s="3" t="n"/>
      <c r="J430" s="3" t="n"/>
      <c r="K430" s="4" t="n">
        <v>0.29</v>
      </c>
      <c r="L430" s="4">
        <f>IF(AND($H430&gt;0,ISNUMBER($K430)),$H430*$K430,0)</f>
        <v/>
      </c>
      <c r="M430" s="3" t="n"/>
      <c r="N430" s="3" t="n">
        <v>1</v>
      </c>
      <c r="O430" s="3" t="n"/>
      <c r="P430" s="3" t="n"/>
      <c r="Q430" s="3" t="n"/>
      <c r="R430" s="3" t="n"/>
      <c r="S430" s="3">
        <f>IF(AND(J430&lt;&gt;"",SUM(M430:R430)=0),J430,"")</f>
        <v/>
      </c>
      <c r="T430" s="3" t="n"/>
      <c r="U430" s="3" t="n">
        <v>1</v>
      </c>
      <c r="V430" s="3" t="n"/>
      <c r="W430" s="3" t="n"/>
      <c r="X430" s="3" t="n"/>
      <c r="Y430" s="3" t="n"/>
      <c r="Z430" s="3" t="n"/>
      <c r="AA430" s="2" t="inlineStr">
        <is>
          <t>Sorcery</t>
        </is>
      </c>
      <c r="AB430" s="2" t="n"/>
      <c r="AC430" s="2" t="inlineStr">
        <is>
          <t>W</t>
        </is>
      </c>
      <c r="AD430" s="3" t="n">
        <v>6</v>
      </c>
      <c r="AE430" s="29" t="inlineStr">
        <is>
          <t>Lorwyn Eclipsed</t>
        </is>
      </c>
      <c r="AF430" s="29" t="inlineStr">
        <is>
          <t>Board Wipe</t>
        </is>
      </c>
      <c r="AG430" s="29" t="inlineStr">
        <is>
          <t>Each player sacrifices creatures not sharing a type with a chosen one</t>
        </is>
      </c>
      <c r="AH430" s="29" t="inlineStr">
        <is>
          <t>Can be cast for less by tapping creatures (convoke)</t>
        </is>
      </c>
      <c r="AI430" s="29" t="n"/>
      <c r="AJ430" s="2" t="n"/>
      <c r="AK430" t="inlineStr">
        <is>
          <t>[B3 later] D2-&gt;B when Teleportation Circle is bought</t>
        </is>
      </c>
    </row>
    <row r="431" ht="15" customHeight="1" s="79">
      <c r="A431" s="2" t="inlineStr">
        <is>
          <t>Yavimaya Elder</t>
        </is>
      </c>
      <c r="B431" s="2">
        <f>IF(AND(F431&lt;&gt;0,E431=F431),"In Hand",IF(AND(E431&lt;&gt;0,E431&lt;F431,SUM(M431:R431)=0,SUM(T431:Y431)&gt;0),"Extra-Sub",IF(AND(E431=0,E431&lt;F431,SUM(M431:R431)=0,SUM(T431:Y431)&gt;0),"Bench-Sub",IF(AND(E431=0,F431&gt;0),"Bench",IF(E431&lt;F431,"Extra",IF(AND(J431="",E431&gt;F431),"To Buy",IF(SUM(J431,F431)&lt;E431,"To Buy",IF(AND(SUM(J431,F431)&gt;=E431,J431&lt;&gt;""),"Ordered",IF(AND(E431=0,F431=0,D431="B3"),"B3 Option",IF(AND(E431=0,F431=0),"Remove","To Buy"))))))))))</f>
        <v/>
      </c>
      <c r="D431" t="inlineStr">
        <is>
          <t>B2</t>
        </is>
      </c>
      <c r="E431" s="3">
        <f>SUM(M431:S431)</f>
        <v/>
      </c>
      <c r="F431" s="3">
        <f>SUM(T431:Z431)</f>
        <v/>
      </c>
      <c r="G431" s="3">
        <f>IF((F431-E431)&gt;=0,F431-E431,0)</f>
        <v/>
      </c>
      <c r="H431" s="3">
        <f>MAX(0,$E431-$F431-$J431)</f>
        <v/>
      </c>
      <c r="I431" s="3" t="n"/>
      <c r="J431" s="3" t="n"/>
      <c r="K431" s="4" t="n">
        <v>0.21</v>
      </c>
      <c r="L431" s="4">
        <f>IF(AND($H431&gt;0,ISNUMBER($K431)),$H431*$K431,0)</f>
        <v/>
      </c>
      <c r="M431" s="3" t="n"/>
      <c r="N431" s="3" t="n">
        <v>1</v>
      </c>
      <c r="O431" s="3" t="n"/>
      <c r="P431" s="3" t="n"/>
      <c r="Q431" s="3" t="n"/>
      <c r="R431" s="3" t="n"/>
      <c r="S431" s="3">
        <f>IF(AND(J431&lt;&gt;"",SUM(M431:R431)=0),J431,"")</f>
        <v/>
      </c>
      <c r="T431" s="3" t="n"/>
      <c r="U431" s="3" t="n">
        <v>1</v>
      </c>
      <c r="V431" s="3" t="n"/>
      <c r="W431" s="3" t="n"/>
      <c r="X431" s="3" t="n"/>
      <c r="Y431" s="3" t="n"/>
      <c r="Z431" s="3" t="n"/>
      <c r="AA431" s="2" t="inlineStr">
        <is>
          <t>Creature</t>
        </is>
      </c>
      <c r="AB431" s="2" t="inlineStr">
        <is>
          <t>Human Druid</t>
        </is>
      </c>
      <c r="AC431" s="2" t="inlineStr">
        <is>
          <t>G</t>
        </is>
      </c>
      <c r="AD431" s="3" t="n">
        <v>3</v>
      </c>
      <c r="AE431" s="29" t="inlineStr">
        <is>
          <t>Urza's Destiny</t>
        </is>
      </c>
      <c r="AF431" s="29" t="inlineStr">
        <is>
          <t>Card Draw</t>
        </is>
      </c>
      <c r="AG431" s="29" t="inlineStr">
        <is>
          <t>Searches for up to two basic lands to your hand when it dies</t>
        </is>
      </c>
      <c r="AH431" s="29" t="inlineStr">
        <is>
          <t>Sacrifice to draw a card</t>
        </is>
      </c>
      <c r="AI431" s="29" t="n"/>
      <c r="AJ431" s="2" t="n"/>
    </row>
    <row r="432" ht="15" customHeight="1" s="79">
      <c r="A432" s="2" t="inlineStr">
        <is>
          <t>Zack Fair</t>
        </is>
      </c>
      <c r="B432" s="2">
        <f>IF(AND(F432&lt;&gt;0,E432=F432),"In Hand",IF(AND(E432&lt;&gt;0,E432&lt;F432,SUM(M432:R432)=0,SUM(T432:Y432)&gt;0),"Extra-Sub",IF(AND(E432=0,E432&lt;F432,SUM(M432:R432)=0,SUM(T432:Y432)&gt;0),"Bench-Sub",IF(AND(E432=0,F432&gt;0),"Bench",IF(E432&lt;F432,"Extra",IF(AND(J432="",E432&gt;F432),"To Buy",IF(SUM(J432,F432)&lt;E432,"To Buy",IF(AND(SUM(J432,F432)&gt;=E432,J432&lt;&gt;""),"Ordered",IF(AND(E432=0,F432=0,D432="B3"),"B3 Option",IF(AND(E432=0,F432=0),"Remove","To Buy"))))))))))</f>
        <v/>
      </c>
      <c r="D432" t="inlineStr">
        <is>
          <t>B2</t>
        </is>
      </c>
      <c r="E432" s="3">
        <f>SUM(M432:S432)</f>
        <v/>
      </c>
      <c r="F432" s="3">
        <f>SUM(T432:Z432)</f>
        <v/>
      </c>
      <c r="G432" s="3">
        <f>IF((F432-E432)&gt;=0,F432-E432,0)</f>
        <v/>
      </c>
      <c r="H432" s="3">
        <f>MAX(0,$E432-$F432-$J432)</f>
        <v/>
      </c>
      <c r="I432" s="3" t="n"/>
      <c r="J432" s="3" t="n"/>
      <c r="K432" s="4" t="n">
        <v>0.26</v>
      </c>
      <c r="L432" s="4">
        <f>IF(AND($H432&gt;0,ISNUMBER($K432)),$H432*$K432,0)</f>
        <v/>
      </c>
      <c r="M432" s="3" t="n"/>
      <c r="N432" s="3" t="n"/>
      <c r="O432" s="3" t="n"/>
      <c r="P432" s="3" t="n"/>
      <c r="Q432" s="3" t="n">
        <v>1</v>
      </c>
      <c r="R432" s="3" t="n"/>
      <c r="S432" s="3">
        <f>IF(AND(J432&lt;&gt;"",SUM(M432:R432)=0),J432,"")</f>
        <v/>
      </c>
      <c r="T432" s="3" t="n"/>
      <c r="U432" s="3" t="n"/>
      <c r="V432" s="3" t="n"/>
      <c r="W432" s="3" t="n"/>
      <c r="X432" s="3" t="n">
        <v>1</v>
      </c>
      <c r="Y432" s="3" t="n"/>
      <c r="Z432" s="3" t="n"/>
      <c r="AA432" s="2" t="inlineStr">
        <is>
          <t>Legendary Creature</t>
        </is>
      </c>
      <c r="AB432" s="2" t="inlineStr">
        <is>
          <t>Human Soldier</t>
        </is>
      </c>
      <c r="AC432" s="2" t="inlineStr">
        <is>
          <t>W</t>
        </is>
      </c>
      <c r="AD432" s="3" t="n">
        <v>1</v>
      </c>
      <c r="AE432" s="29" t="inlineStr">
        <is>
          <t>Final Fantasy</t>
        </is>
      </c>
      <c r="AF432" s="29" t="inlineStr">
        <is>
          <t>Sacrifice Outlet</t>
        </is>
      </c>
      <c r="AG432" s="29" t="inlineStr">
        <is>
          <t>Enters with a +1/+1 counter on itself</t>
        </is>
      </c>
      <c r="AH432" s="29" t="inlineStr">
        <is>
          <t>Sacrifice: target creature gains indestructible and gets its counters/Equipment</t>
        </is>
      </c>
      <c r="AI432" s="29" t="n"/>
      <c r="AJ432" s="2" t="n"/>
      <c r="AK432" t="inlineStr">
        <is>
          <t>[B3 later] D5-&gt;B when Pitiless Plunderer is bought</t>
        </is>
      </c>
    </row>
    <row r="433" ht="15" customHeight="1" s="79">
      <c r="A433" s="2" t="inlineStr">
        <is>
          <t>Despark</t>
        </is>
      </c>
      <c r="B433" s="2">
        <f>IF(AND(F433&lt;&gt;0,E433=F433),"In Hand",IF(AND(E433&lt;&gt;0,E433&lt;F433,SUM(M433:R433)=0,SUM(T433:Y433)&gt;0),"Extra-Sub",IF(AND(E433=0,E433&lt;F433,SUM(M433:R433)=0,SUM(T433:Y433)&gt;0),"Bench-Sub",IF(AND(E433=0,F433&gt;0),"Bench",IF(E433&lt;F433,"Extra",IF(AND(J433="",E433&gt;F433),"To Buy",IF(SUM(J433,F433)&lt;E433,"To Buy",IF(AND(SUM(J433,F433)&gt;=E433,J433&lt;&gt;""),"Ordered",IF(AND(E433=0,F433=0,D433="B3"),"B3 Option",IF(AND(E433=0,F433=0),"Remove","To Buy"))))))))))</f>
        <v/>
      </c>
      <c r="D433" t="inlineStr">
        <is>
          <t>B2</t>
        </is>
      </c>
      <c r="E433" s="3">
        <f>SUM(M433:S433)</f>
        <v/>
      </c>
      <c r="F433" s="3">
        <f>SUM(T433:Z433)</f>
        <v/>
      </c>
      <c r="G433" s="3">
        <f>IF((F433-E433)&gt;=0,F433-E433,0)</f>
        <v/>
      </c>
      <c r="H433" s="3">
        <f>MAX(0,$E433-$F433-$J433)</f>
        <v/>
      </c>
      <c r="I433" s="37" t="n"/>
      <c r="J433" s="3" t="n"/>
      <c r="K433" s="4" t="n">
        <v>0.38</v>
      </c>
      <c r="L433" s="4">
        <f>IF(AND($H433&gt;0,ISNUMBER($K433)),$H433*$K433,0)</f>
        <v/>
      </c>
      <c r="M433" s="3" t="n"/>
      <c r="N433" s="3" t="n"/>
      <c r="O433" s="3" t="n"/>
      <c r="P433" s="3" t="n">
        <v>1</v>
      </c>
      <c r="Q433" s="3" t="n"/>
      <c r="R433" s="3" t="n"/>
      <c r="S433" s="3">
        <f>IF(AND(J433&lt;&gt;"",SUM(M433:R433)=0),J433,"")</f>
        <v/>
      </c>
      <c r="T433" s="3" t="n"/>
      <c r="U433" s="3" t="n"/>
      <c r="V433" s="3" t="n"/>
      <c r="W433" s="3" t="n">
        <v>1</v>
      </c>
      <c r="X433" s="3" t="n"/>
      <c r="Y433" s="3" t="n"/>
      <c r="Z433" s="77" t="n">
        <v>1</v>
      </c>
      <c r="AA433" s="2" t="inlineStr">
        <is>
          <t>Instant</t>
        </is>
      </c>
      <c r="AB433" s="2" t="n"/>
      <c r="AC433" s="2" t="inlineStr">
        <is>
          <t>Multi</t>
        </is>
      </c>
      <c r="AD433" s="3" t="n">
        <v>2</v>
      </c>
      <c r="AE433" s="29" t="inlineStr">
        <is>
          <t>War of the Spark</t>
        </is>
      </c>
      <c r="AF433" s="29" t="inlineStr">
        <is>
          <t>Removal</t>
        </is>
      </c>
      <c r="AG433" s="29" t="inlineStr">
        <is>
          <t>Exiles target permanent with mana value 4 or greater</t>
        </is>
      </c>
      <c r="AH433" s="29" t="n"/>
      <c r="AI433" s="29" t="n"/>
      <c r="AJ433" s="2" t="n"/>
    </row>
    <row r="434" ht="15" customHeight="1" s="79">
      <c r="A434" s="2" t="inlineStr">
        <is>
          <t>Hanweir Garrison</t>
        </is>
      </c>
      <c r="B434" s="2">
        <f>IF(AND(F434&lt;&gt;0,E434=F434),"In Hand",IF(AND(E434&lt;&gt;0,E434&lt;F434,SUM(M434:R434)=0,SUM(T434:Y434)&gt;0),"Extra-Sub",IF(AND(E434=0,E434&lt;F434,SUM(M434:R434)=0,SUM(T434:Y434)&gt;0),"Bench-Sub",IF(AND(E434=0,F434&gt;0),"Bench",IF(E434&lt;F434,"Extra",IF(AND(J434="",E434&gt;F434),"To Buy",IF(SUM(J434,F434)&lt;E434,"To Buy",IF(AND(SUM(J434,F434)&gt;=E434,J434&lt;&gt;""),"Ordered",IF(AND(E434=0,F434=0,D434="B3"),"B3 Option",IF(AND(E434=0,F434=0),"Remove","To Buy"))))))))))</f>
        <v/>
      </c>
      <c r="D434" t="inlineStr">
        <is>
          <t>B2</t>
        </is>
      </c>
      <c r="E434" s="3">
        <f>SUM(M434:S434)</f>
        <v/>
      </c>
      <c r="F434" s="3">
        <f>SUM(T434:Z434)</f>
        <v/>
      </c>
      <c r="G434" s="3">
        <f>IF((F434-E434)&gt;=0,F434-E434,0)</f>
        <v/>
      </c>
      <c r="H434" s="3">
        <f>MAX(0,$E434-$F434-$J434)</f>
        <v/>
      </c>
      <c r="I434" s="3" t="n"/>
      <c r="J434" s="3" t="n"/>
      <c r="K434" s="4" t="n">
        <v>2.03</v>
      </c>
      <c r="L434" s="4">
        <f>IF(AND($H434&gt;0,ISNUMBER($K434)),$H434*$K434,0)</f>
        <v/>
      </c>
      <c r="M434" s="3" t="n"/>
      <c r="N434" s="3" t="n"/>
      <c r="O434" s="3" t="n"/>
      <c r="P434" s="3" t="n"/>
      <c r="Q434" s="3" t="n"/>
      <c r="R434" s="3" t="n">
        <v>1</v>
      </c>
      <c r="S434" s="3">
        <f>IF(AND(J434&lt;&gt;"",SUM(M434:R434)=0),J434,"")</f>
        <v/>
      </c>
      <c r="T434" s="3" t="n"/>
      <c r="U434" s="3" t="n"/>
      <c r="V434" s="3" t="n"/>
      <c r="W434" s="3" t="n"/>
      <c r="X434" s="3" t="n"/>
      <c r="Y434" s="3" t="n">
        <v>1</v>
      </c>
      <c r="Z434" s="3" t="n">
        <v>1</v>
      </c>
      <c r="AA434" s="2" t="inlineStr">
        <is>
          <t>Creature</t>
        </is>
      </c>
      <c r="AB434" s="2" t="inlineStr">
        <is>
          <t>Human Soldier</t>
        </is>
      </c>
      <c r="AC434" s="2" t="inlineStr">
        <is>
          <t>R</t>
        </is>
      </c>
      <c r="AD434" s="3" t="n">
        <v>3</v>
      </c>
      <c r="AE434" s="29" t="inlineStr">
        <is>
          <t>Eldritch Moon</t>
        </is>
      </c>
      <c r="AF434" s="29" t="inlineStr">
        <is>
          <t>Token Producer</t>
        </is>
      </c>
      <c r="AG434" s="29" t="inlineStr">
        <is>
          <t>Creates two 1/1 Human tokens, tapped and attacking, whenever it attacks</t>
        </is>
      </c>
      <c r="AH434" s="29" t="n"/>
      <c r="AI434" s="29" t="n"/>
      <c r="AJ434" s="2" t="inlineStr">
        <is>
          <t>Ordered 2026-09-02: Game Theory Raleigh $1.7</t>
        </is>
      </c>
    </row>
    <row r="435" ht="15" customHeight="1" s="79">
      <c r="A435" s="2" t="inlineStr">
        <is>
          <t>Krenko's Command</t>
        </is>
      </c>
      <c r="B435" s="2">
        <f>IF(AND(F435&lt;&gt;0,E435=F435),"In Hand",IF(AND(E435&lt;&gt;0,E435&lt;F435,SUM(M435:R435)=0,SUM(T435:Y435)&gt;0),"Extra-Sub",IF(AND(E435=0,E435&lt;F435,SUM(M435:R435)=0,SUM(T435:Y435)&gt;0),"Bench-Sub",IF(AND(E435=0,F435&gt;0),"Bench",IF(E435&lt;F435,"Extra",IF(AND(J435="",E435&gt;F435),"To Buy",IF(SUM(J435,F435)&lt;E435,"To Buy",IF(AND(SUM(J435,F435)&gt;=E435,J435&lt;&gt;""),"Ordered",IF(AND(E435=0,F435=0,D435="B3"),"B3 Option",IF(AND(E435=0,F435=0),"Remove","To Buy"))))))))))</f>
        <v/>
      </c>
      <c r="D435" t="inlineStr">
        <is>
          <t>B2</t>
        </is>
      </c>
      <c r="E435" s="3">
        <f>SUM(M435:S435)</f>
        <v/>
      </c>
      <c r="F435" s="3">
        <f>SUM(T435:Z435)</f>
        <v/>
      </c>
      <c r="G435" s="3">
        <f>IF((F435-E435)&gt;=0,F435-E435,0)</f>
        <v/>
      </c>
      <c r="H435" s="3">
        <f>MAX(0,$E435-$F435-$J435)</f>
        <v/>
      </c>
      <c r="I435" s="3" t="n"/>
      <c r="J435" s="3" t="n"/>
      <c r="K435" s="4" t="n">
        <v>0.24</v>
      </c>
      <c r="L435" s="4">
        <f>IF(AND($H435&gt;0,ISNUMBER($K435)),$H435*$K435,0)</f>
        <v/>
      </c>
      <c r="M435" s="3" t="n"/>
      <c r="N435" s="3" t="n"/>
      <c r="O435" s="3" t="n"/>
      <c r="P435" s="3" t="n"/>
      <c r="Q435" s="3" t="n"/>
      <c r="R435" s="3" t="n">
        <v>1</v>
      </c>
      <c r="S435" s="3">
        <f>IF(AND(J435&lt;&gt;"",SUM(M435:R435)=0),J435,"")</f>
        <v/>
      </c>
      <c r="T435" s="3" t="n"/>
      <c r="U435" s="3" t="n"/>
      <c r="V435" s="3" t="n"/>
      <c r="W435" s="3" t="n"/>
      <c r="X435" s="3" t="n"/>
      <c r="Y435" s="3" t="n">
        <v>1</v>
      </c>
      <c r="Z435" s="3" t="n">
        <v>1</v>
      </c>
      <c r="AA435" s="2" t="inlineStr">
        <is>
          <t>Sorcery</t>
        </is>
      </c>
      <c r="AB435" s="2" t="n"/>
      <c r="AC435" s="2" t="inlineStr">
        <is>
          <t>R</t>
        </is>
      </c>
      <c r="AD435" s="3" t="n">
        <v>2</v>
      </c>
      <c r="AE435" s="29" t="inlineStr">
        <is>
          <t>Magic 2013</t>
        </is>
      </c>
      <c r="AF435" s="29" t="inlineStr">
        <is>
          <t>Token Producer</t>
        </is>
      </c>
      <c r="AG435" s="29" t="inlineStr">
        <is>
          <t>Creates two 1/1 Goblin tokens</t>
        </is>
      </c>
      <c r="AH435" s="29" t="n"/>
      <c r="AI435" s="29" t="n"/>
      <c r="AJ435" s="2" t="inlineStr">
        <is>
          <t>Ordered 2026-09-02: Game Theory Raleigh $0.3</t>
        </is>
      </c>
    </row>
    <row r="436" ht="15" customHeight="1" s="79">
      <c r="A436" s="2" t="inlineStr">
        <is>
          <t>Blight Rot</t>
        </is>
      </c>
      <c r="B436" s="2">
        <f>IF(AND(F436&lt;&gt;0,E436=F436),"In Hand",IF(AND(E436&lt;&gt;0,E436&lt;F436,SUM(M436:R436)=0,SUM(T436:Y436)&gt;0),"Extra-Sub",IF(AND(E436=0,E436&lt;F436,SUM(M436:R436)=0,SUM(T436:Y436)&gt;0),"Bench-Sub",IF(AND(E436=0,F436&gt;0),"Bench",IF(E436&lt;F436,"Extra",IF(AND(J436="",E436&gt;F436),"To Buy",IF(SUM(J436,F436)&lt;E436,"To Buy",IF(AND(SUM(J436,F436)&gt;=E436,J436&lt;&gt;""),"Ordered",IF(AND(E436=0,F436=0,D436="B3"),"B3 Option",IF(AND(E436=0,F436=0),"Remove","To Buy"))))))))))</f>
        <v/>
      </c>
      <c r="D436" t="inlineStr">
        <is>
          <t>B2</t>
        </is>
      </c>
      <c r="E436" s="3">
        <f>SUM(M436:S436)</f>
        <v/>
      </c>
      <c r="F436" s="3">
        <f>SUM(T436:Z436)</f>
        <v/>
      </c>
      <c r="G436" s="3">
        <f>IF((F436-E436)&gt;=0,F436-E436,0)</f>
        <v/>
      </c>
      <c r="H436" s="3">
        <f>MAX(0,$E436-$F436-$J436)</f>
        <v/>
      </c>
      <c r="I436" s="3" t="n"/>
      <c r="J436" s="3" t="n"/>
      <c r="K436" s="4" t="n">
        <v>0.25</v>
      </c>
      <c r="L436" s="4">
        <f>IF(AND($H436&gt;0,ISNUMBER($K436)),$H436*$K436,0)</f>
        <v/>
      </c>
      <c r="M436" s="3" t="n"/>
      <c r="N436" s="3" t="n"/>
      <c r="O436" s="3" t="n">
        <v>1</v>
      </c>
      <c r="P436" s="3" t="n"/>
      <c r="Q436" s="3" t="n"/>
      <c r="R436" s="3" t="n"/>
      <c r="S436" s="3">
        <f>IF(AND(J436&lt;&gt;"",SUM(M436:R436)=0),J436,"")</f>
        <v/>
      </c>
      <c r="T436" s="3" t="n"/>
      <c r="U436" s="3" t="n"/>
      <c r="V436" s="3" t="n">
        <v>1</v>
      </c>
      <c r="W436" s="3" t="n"/>
      <c r="X436" s="3" t="n"/>
      <c r="Y436" s="3" t="n"/>
      <c r="Z436" s="3" t="n">
        <v>1</v>
      </c>
      <c r="AA436" s="2" t="inlineStr">
        <is>
          <t>Instant</t>
        </is>
      </c>
      <c r="AB436" s="2" t="n"/>
      <c r="AC436" s="2" t="inlineStr">
        <is>
          <t>B</t>
        </is>
      </c>
      <c r="AD436" s="3" t="n">
        <v>3</v>
      </c>
      <c r="AE436" s="29" t="inlineStr">
        <is>
          <t>Lorwyn Eclipsed</t>
        </is>
      </c>
      <c r="AF436" s="29" t="inlineStr">
        <is>
          <t>Removal</t>
        </is>
      </c>
      <c r="AG436" s="29" t="inlineStr">
        <is>
          <t>Puts four -1/-1 counters on target creature</t>
        </is>
      </c>
      <c r="AH436" s="29" t="n"/>
      <c r="AI436" s="29" t="n"/>
      <c r="AJ436" s="2" t="n"/>
    </row>
    <row r="437" ht="15" customHeight="1" s="79">
      <c r="A437" s="2" t="inlineStr">
        <is>
          <t>Dundoolin Weaver</t>
        </is>
      </c>
      <c r="B437" s="2">
        <f>IF(AND(F437&lt;&gt;0,E437=F437),"In Hand",IF(AND(E437&lt;&gt;0,E437&lt;F437,SUM(M437:R437)=0,SUM(T437:Y437)&gt;0),"Extra-Sub",IF(AND(E437=0,E437&lt;F437,SUM(M437:R437)=0,SUM(T437:Y437)&gt;0),"Bench-Sub",IF(AND(E437=0,F437&gt;0),"Bench",IF(E437&lt;F437,"Extra",IF(AND(J437="",E437&gt;F437),"To Buy",IF(SUM(J437,F437)&lt;E437,"To Buy",IF(AND(SUM(J437,F437)&gt;=E437,J437&lt;&gt;""),"Ordered",IF(AND(E437=0,F437=0,D437="B3"),"B3 Option",IF(AND(E437=0,F437=0),"Remove","To Buy"))))))))))</f>
        <v/>
      </c>
      <c r="D437" t="inlineStr">
        <is>
          <t>B2</t>
        </is>
      </c>
      <c r="E437" s="3">
        <f>SUM(M437:S437)</f>
        <v/>
      </c>
      <c r="F437" s="3">
        <f>SUM(T437:Z437)</f>
        <v/>
      </c>
      <c r="G437" s="3">
        <f>IF((F437-E437)&gt;=0,F437-E437,0)</f>
        <v/>
      </c>
      <c r="H437" s="3">
        <f>MAX(0,$E437-$F437-$J437)</f>
        <v/>
      </c>
      <c r="I437" s="3" t="n"/>
      <c r="J437" s="3" t="n"/>
      <c r="K437" s="4" t="n">
        <v>0.22</v>
      </c>
      <c r="L437" s="4">
        <f>IF(AND($H437&gt;0,ISNUMBER($K437)),$H437*$K437,0)</f>
        <v/>
      </c>
      <c r="M437" s="3" t="n"/>
      <c r="N437" s="3" t="n">
        <v>1</v>
      </c>
      <c r="O437" s="3" t="n"/>
      <c r="P437" s="3" t="n"/>
      <c r="Q437" s="3" t="n"/>
      <c r="R437" s="3" t="n"/>
      <c r="S437" s="3">
        <f>IF(AND(J437&lt;&gt;"",SUM(M437:R437)=0),J437,"")</f>
        <v/>
      </c>
      <c r="T437" s="3" t="n"/>
      <c r="U437" s="3" t="n">
        <v>1</v>
      </c>
      <c r="V437" s="3" t="n"/>
      <c r="W437" s="3" t="n"/>
      <c r="X437" s="3" t="n"/>
      <c r="Y437" s="3" t="n"/>
      <c r="Z437" s="3" t="n">
        <v>1</v>
      </c>
      <c r="AA437" s="2" t="inlineStr">
        <is>
          <t>Creature</t>
        </is>
      </c>
      <c r="AB437" s="2" t="inlineStr">
        <is>
          <t>Kithkin Druid</t>
        </is>
      </c>
      <c r="AC437" s="2" t="inlineStr">
        <is>
          <t>G</t>
        </is>
      </c>
      <c r="AD437" s="3" t="n">
        <v>2</v>
      </c>
      <c r="AE437" s="29" t="inlineStr">
        <is>
          <t>Lorwyn Eclipsed</t>
        </is>
      </c>
      <c r="AF437" s="29" t="inlineStr">
        <is>
          <t>Recursion</t>
        </is>
      </c>
      <c r="AG437" s="29" t="inlineStr">
        <is>
          <t>Enters: if you control three or more creatures, return a permanent card from graveyard to hand</t>
        </is>
      </c>
      <c r="AH437" s="29" t="n"/>
      <c r="AI437" s="29" t="n"/>
      <c r="AJ437" s="2" t="inlineStr">
        <is>
          <t>Bench sub -&gt; D2 for Eternal Witness (2026-09-02)</t>
        </is>
      </c>
    </row>
    <row r="438" ht="15" customHeight="1" s="79">
      <c r="A438" s="2" t="inlineStr">
        <is>
          <t>Evolving Wilds</t>
        </is>
      </c>
      <c r="B438" s="2">
        <f>IF(AND(F438&lt;&gt;0,E438=F438),"In Hand",IF(AND(E438&lt;&gt;0,E438&lt;F438,SUM(M438:R438)=0,SUM(T438:Y438)&gt;0),"Extra-Sub",IF(AND(E438=0,E438&lt;F438,SUM(M438:R438)=0,SUM(T438:Y438)&gt;0),"Bench-Sub",IF(AND(E438=0,F438&gt;0),"Bench",IF(E438&lt;F438,"Extra",IF(AND(J438="",E438&gt;F438),"To Buy",IF(SUM(J438,F438)&lt;E438,"To Buy",IF(AND(SUM(J438,F438)&gt;=E438,J438&lt;&gt;""),"Ordered",IF(AND(E438=0,F438=0,D438="B3"),"B3 Option",IF(AND(E438=0,F438=0),"Remove","To Buy"))))))))))</f>
        <v/>
      </c>
      <c r="D438" t="inlineStr">
        <is>
          <t>B2</t>
        </is>
      </c>
      <c r="E438" s="3">
        <f>SUM(M438:S438)</f>
        <v/>
      </c>
      <c r="F438" s="3">
        <f>SUM(T438:Z438)</f>
        <v/>
      </c>
      <c r="G438" s="3">
        <f>IF((F438-E438)&gt;=0,F438-E438,0)</f>
        <v/>
      </c>
      <c r="H438" s="3">
        <f>MAX(0,$E438-$F438-$J438)</f>
        <v/>
      </c>
      <c r="I438" s="3" t="n"/>
      <c r="J438" s="3" t="n"/>
      <c r="K438" s="4" t="n">
        <v>0.22</v>
      </c>
      <c r="L438" s="4">
        <f>IF(AND($H438&gt;0,ISNUMBER($K438)),$H438*$K438,0)</f>
        <v/>
      </c>
      <c r="M438" s="3" t="n">
        <v>1</v>
      </c>
      <c r="N438" s="3" t="n">
        <v>1</v>
      </c>
      <c r="O438" s="3" t="n">
        <v>1</v>
      </c>
      <c r="P438" s="3" t="n"/>
      <c r="Q438" s="3" t="n"/>
      <c r="R438" s="3" t="n"/>
      <c r="S438" s="3">
        <f>IF(AND(J438&lt;&gt;"",SUM(M438:R438)=0),J438,"")</f>
        <v/>
      </c>
      <c r="T438" s="3" t="n">
        <v>1</v>
      </c>
      <c r="U438" s="3" t="n">
        <v>1</v>
      </c>
      <c r="V438" s="3" t="n">
        <v>1</v>
      </c>
      <c r="W438" s="3" t="n"/>
      <c r="X438" s="3" t="n"/>
      <c r="Y438" s="3" t="n"/>
      <c r="Z438" s="3" t="n">
        <v>1</v>
      </c>
      <c r="AA438" s="2" t="inlineStr">
        <is>
          <t>Land</t>
        </is>
      </c>
      <c r="AB438" s="2" t="n"/>
      <c r="AC438" s="2" t="inlineStr">
        <is>
          <t>L</t>
        </is>
      </c>
      <c r="AD438" s="3" t="n">
        <v>0</v>
      </c>
      <c r="AE438" s="29" t="inlineStr">
        <is>
          <t>Rise of the Eldrazi</t>
        </is>
      </c>
      <c r="AF438" s="29" t="inlineStr">
        <is>
          <t>Land</t>
        </is>
      </c>
      <c r="AG438" s="29" t="inlineStr">
        <is>
          <t>Sacrifice, search a basic land, put it into play tapped</t>
        </is>
      </c>
      <c r="AH438" s="29" t="n"/>
      <c r="AI438" s="29" t="n"/>
      <c r="AJ438" s="2" t="n"/>
    </row>
    <row r="439" ht="15" customHeight="1" s="79">
      <c r="A439" s="2" t="inlineStr">
        <is>
          <t>Forest</t>
        </is>
      </c>
      <c r="B439" s="2">
        <f>IF(AND(F439&lt;&gt;0,E439=F439),"In Hand",IF(AND(E439&lt;&gt;0,E439&lt;F439,SUM(M439:R439)=0,SUM(T439:Y439)&gt;0),"Extra-Sub",IF(AND(E439=0,E439&lt;F439,SUM(M439:R439)=0,SUM(T439:Y439)&gt;0),"Bench-Sub",IF(AND(E439=0,F439&gt;0),"Bench",IF(E439&lt;F439,"Extra",IF(AND(J439="",E439&gt;F439),"To Buy",IF(SUM(J439,F439)&lt;E439,"To Buy",IF(AND(SUM(J439,F439)&gt;=E439,J439&lt;&gt;""),"Ordered",IF(AND(E439=0,F439=0,D439="B3"),"B3 Option",IF(AND(E439=0,F439=0),"Remove","To Buy"))))))))))</f>
        <v/>
      </c>
      <c r="D439" t="inlineStr">
        <is>
          <t>B2</t>
        </is>
      </c>
      <c r="E439" s="3">
        <f>SUM(M439:S439)</f>
        <v/>
      </c>
      <c r="F439" s="3">
        <f>SUM(T439:Z439)</f>
        <v/>
      </c>
      <c r="G439" s="3">
        <f>IF((F439-E439)&gt;=0,F439-E439,0)</f>
        <v/>
      </c>
      <c r="H439" s="3">
        <f>MAX(0,$E439-$F439-$J439)</f>
        <v/>
      </c>
      <c r="I439" s="3" t="n"/>
      <c r="J439" s="3" t="n"/>
      <c r="K439" s="4" t="n">
        <v>0.1</v>
      </c>
      <c r="L439" s="4">
        <f>IF(AND($H439&gt;0,ISNUMBER($K439)),$H439*$K439,0)</f>
        <v/>
      </c>
      <c r="M439" s="3" t="n"/>
      <c r="N439" s="3" t="n">
        <v>8</v>
      </c>
      <c r="O439" s="3" t="n">
        <v>6</v>
      </c>
      <c r="P439" s="3" t="n">
        <v>10</v>
      </c>
      <c r="Q439" s="3" t="n"/>
      <c r="R439" s="3" t="n"/>
      <c r="S439" s="3">
        <f>IF(AND(J439&lt;&gt;"",SUM(M439:R439)=0),J439,"")</f>
        <v/>
      </c>
      <c r="T439" s="3" t="n"/>
      <c r="U439" s="3" t="n">
        <v>8</v>
      </c>
      <c r="V439" s="3" t="n">
        <v>6</v>
      </c>
      <c r="W439" s="3" t="n">
        <v>10</v>
      </c>
      <c r="X439" s="3" t="n"/>
      <c r="Y439" s="3" t="n"/>
      <c r="Z439" s="3" t="n">
        <v>56</v>
      </c>
      <c r="AA439" s="2" t="inlineStr">
        <is>
          <t>Basic Land</t>
        </is>
      </c>
      <c r="AB439" s="2" t="inlineStr">
        <is>
          <t>Forest</t>
        </is>
      </c>
      <c r="AC439" s="2" t="inlineStr">
        <is>
          <t>L</t>
        </is>
      </c>
      <c r="AD439" s="3" t="n">
        <v>0</v>
      </c>
      <c r="AE439" s="29" t="inlineStr">
        <is>
          <t>Limited Edition Alpha</t>
        </is>
      </c>
      <c r="AF439" s="29" t="inlineStr">
        <is>
          <t>Land</t>
        </is>
      </c>
      <c r="AG439" s="29" t="inlineStr">
        <is>
          <t>Taps for {G}</t>
        </is>
      </c>
      <c r="AH439" s="29" t="n"/>
      <c r="AI439" s="29" t="n"/>
      <c r="AJ439" s="2" t="n"/>
    </row>
    <row r="440" ht="15" customHeight="1" s="79">
      <c r="A440" s="2" t="inlineStr">
        <is>
          <t>Island</t>
        </is>
      </c>
      <c r="B440" s="2">
        <f>IF(AND(F440&lt;&gt;0,E440=F440),"In Hand",IF(AND(E440&lt;&gt;0,E440&lt;F440,SUM(M440:R440)=0,SUM(T440:Y440)&gt;0),"Extra-Sub",IF(AND(E440=0,E440&lt;F440,SUM(M440:R440)=0,SUM(T440:Y440)&gt;0),"Bench-Sub",IF(AND(E440=0,F440&gt;0),"Bench",IF(E440&lt;F440,"Extra",IF(AND(J440="",E440&gt;F440),"To Buy",IF(SUM(J440,F440)&lt;E440,"To Buy",IF(AND(SUM(J440,F440)&gt;=E440,J440&lt;&gt;""),"Ordered",IF(AND(E440=0,F440=0,D440="B3"),"B3 Option",IF(AND(E440=0,F440=0),"Remove","To Buy"))))))))))</f>
        <v/>
      </c>
      <c r="D440" t="inlineStr">
        <is>
          <t>B2</t>
        </is>
      </c>
      <c r="E440" s="3">
        <f>SUM(M440:S440)</f>
        <v/>
      </c>
      <c r="F440" s="3">
        <f>SUM(T440:Z440)</f>
        <v/>
      </c>
      <c r="G440" s="3">
        <f>IF((F440-E440)&gt;=0,F440-E440,0)</f>
        <v/>
      </c>
      <c r="H440" s="3">
        <f>MAX(0,$E440-$F440-$J440)</f>
        <v/>
      </c>
      <c r="I440" s="3" t="n"/>
      <c r="J440" s="3" t="n"/>
      <c r="K440" s="4" t="n">
        <v>0.1</v>
      </c>
      <c r="L440" s="4">
        <f>IF(AND($H440&gt;0,ISNUMBER($K440)),$H440*$K440,0)</f>
        <v/>
      </c>
      <c r="M440" s="3" t="n"/>
      <c r="N440" s="3" t="n">
        <v>5</v>
      </c>
      <c r="O440" s="3" t="n">
        <v>5</v>
      </c>
      <c r="P440" s="3" t="n"/>
      <c r="Q440" s="3" t="n"/>
      <c r="R440" s="3" t="n"/>
      <c r="S440" s="3">
        <f>IF(AND(J440&lt;&gt;"",SUM(M440:R440)=0),J440,"")</f>
        <v/>
      </c>
      <c r="T440" s="3" t="n"/>
      <c r="U440" s="3" t="n">
        <v>5</v>
      </c>
      <c r="V440" s="3" t="n">
        <v>5</v>
      </c>
      <c r="W440" s="3" t="n"/>
      <c r="X440" s="3" t="n"/>
      <c r="Y440" s="3" t="n"/>
      <c r="Z440" s="3" t="n">
        <v>72</v>
      </c>
      <c r="AA440" s="2" t="inlineStr">
        <is>
          <t>Basic Land</t>
        </is>
      </c>
      <c r="AB440" s="2" t="inlineStr">
        <is>
          <t>Island</t>
        </is>
      </c>
      <c r="AC440" s="2" t="inlineStr">
        <is>
          <t>L</t>
        </is>
      </c>
      <c r="AD440" s="3" t="n">
        <v>0</v>
      </c>
      <c r="AE440" s="29" t="inlineStr">
        <is>
          <t>Limited Edition Alpha</t>
        </is>
      </c>
      <c r="AF440" s="29" t="inlineStr">
        <is>
          <t>Land</t>
        </is>
      </c>
      <c r="AG440" s="29" t="inlineStr">
        <is>
          <t>Taps for {U}</t>
        </is>
      </c>
      <c r="AH440" s="29" t="n"/>
      <c r="AI440" s="29" t="n"/>
      <c r="AJ440" s="2" t="n"/>
    </row>
    <row r="441" ht="15" customHeight="1" s="79">
      <c r="A441" s="2" t="inlineStr">
        <is>
          <t>Mountain</t>
        </is>
      </c>
      <c r="B441" s="2">
        <f>IF(AND(F441&lt;&gt;0,E441=F441),"In Hand",IF(AND(E441&lt;&gt;0,E441&lt;F441,SUM(M441:R441)=0,SUM(T441:Y441)&gt;0),"Extra-Sub",IF(AND(E441=0,E441&lt;F441,SUM(M441:R441)=0,SUM(T441:Y441)&gt;0),"Bench-Sub",IF(AND(E441=0,F441&gt;0),"Bench",IF(E441&lt;F441,"Extra",IF(AND(J441="",E441&gt;F441),"To Buy",IF(SUM(J441,F441)&lt;E441,"To Buy",IF(AND(SUM(J441,F441)&gt;=E441,J441&lt;&gt;""),"Ordered",IF(AND(E441=0,F441=0,D441="B3"),"B3 Option",IF(AND(E441=0,F441=0),"Remove","To Buy"))))))))))</f>
        <v/>
      </c>
      <c r="D441" t="inlineStr">
        <is>
          <t>B2</t>
        </is>
      </c>
      <c r="E441" s="3">
        <f>SUM(M441:S441)</f>
        <v/>
      </c>
      <c r="F441" s="3">
        <f>SUM(T441:Z441)</f>
        <v/>
      </c>
      <c r="G441" s="3">
        <f>IF((F441-E441)&gt;=0,F441-E441,0)</f>
        <v/>
      </c>
      <c r="H441" s="3">
        <f>MAX(0,$E441-$F441-$J441)</f>
        <v/>
      </c>
      <c r="I441" s="3" t="n"/>
      <c r="J441" s="3" t="n"/>
      <c r="K441" s="4" t="n">
        <v>0.1</v>
      </c>
      <c r="L441" s="4">
        <f>IF(AND($H441&gt;0,ISNUMBER($K441)),$H441*$K441,0)</f>
        <v/>
      </c>
      <c r="M441" s="3" t="n">
        <v>5</v>
      </c>
      <c r="N441" s="3" t="n"/>
      <c r="O441" s="3" t="n"/>
      <c r="P441" s="3" t="n"/>
      <c r="Q441" s="3" t="n"/>
      <c r="R441" s="3" t="n">
        <v>34</v>
      </c>
      <c r="S441" s="3">
        <f>IF(AND(J441&lt;&gt;"",SUM(M441:R441)=0),J441,"")</f>
        <v/>
      </c>
      <c r="T441" s="3" t="n">
        <v>5</v>
      </c>
      <c r="U441" s="3" t="n"/>
      <c r="V441" s="3" t="n"/>
      <c r="W441" s="3" t="n"/>
      <c r="X441" s="3" t="n"/>
      <c r="Y441" s="3" t="n">
        <v>34</v>
      </c>
      <c r="Z441" s="3" t="n">
        <v>49</v>
      </c>
      <c r="AA441" s="2" t="inlineStr">
        <is>
          <t>Basic Land</t>
        </is>
      </c>
      <c r="AB441" s="2" t="inlineStr">
        <is>
          <t>Mountain</t>
        </is>
      </c>
      <c r="AC441" s="2" t="inlineStr">
        <is>
          <t>L</t>
        </is>
      </c>
      <c r="AD441" s="3" t="n">
        <v>0</v>
      </c>
      <c r="AE441" s="29" t="inlineStr">
        <is>
          <t>Limited Edition Alpha</t>
        </is>
      </c>
      <c r="AF441" s="29" t="inlineStr">
        <is>
          <t>Land</t>
        </is>
      </c>
      <c r="AG441" s="29" t="inlineStr">
        <is>
          <t>Taps for {R}</t>
        </is>
      </c>
      <c r="AH441" s="29" t="n"/>
      <c r="AI441" s="29" t="n"/>
      <c r="AJ441" s="2" t="inlineStr">
        <is>
          <t>12 in Box So Far; Bench sub -&gt; D6 for Great Furnace (2026-09-02)</t>
        </is>
      </c>
      <c r="AK441" t="inlineStr">
        <is>
          <t>[T+A] B-&gt;D6 (bench sub) [done 2026-09-03]; [B3 later] D6-&gt;B when Den of the Bugbear is bought</t>
        </is>
      </c>
    </row>
    <row r="442" ht="15" customHeight="1" s="79">
      <c r="A442" s="2" t="inlineStr">
        <is>
          <t>Origin of Metalbending</t>
        </is>
      </c>
      <c r="B442" s="2">
        <f>IF(AND(F442&lt;&gt;0,E442=F442),"In Hand",IF(AND(E442&lt;&gt;0,E442&lt;F442,SUM(M442:R442)=0,SUM(T442:Y442)&gt;0),"Extra-Sub",IF(AND(E442=0,E442&lt;F442,SUM(M442:R442)=0,SUM(T442:Y442)&gt;0),"Bench-Sub",IF(AND(E442=0,F442&gt;0),"Bench",IF(E442&lt;F442,"Extra",IF(AND(J442="",E442&gt;F442),"To Buy",IF(SUM(J442,F442)&lt;E442,"To Buy",IF(AND(SUM(J442,F442)&gt;=E442,J442&lt;&gt;""),"Ordered",IF(AND(E442=0,F442=0,D442="B3"),"B3 Option",IF(AND(E442=0,F442=0),"Remove","To Buy"))))))))))</f>
        <v/>
      </c>
      <c r="D442" t="inlineStr">
        <is>
          <t>B2</t>
        </is>
      </c>
      <c r="E442" s="3">
        <f>SUM(M442:S442)</f>
        <v/>
      </c>
      <c r="F442" s="3">
        <f>SUM(T442:Z442)</f>
        <v/>
      </c>
      <c r="G442" s="3">
        <f>IF((F442-E442)&gt;=0,F442-E442,0)</f>
        <v/>
      </c>
      <c r="H442" s="3">
        <f>MAX(0,$E442-$F442-$J442)</f>
        <v/>
      </c>
      <c r="I442" s="3" t="n"/>
      <c r="J442" s="3" t="n"/>
      <c r="K442" s="4" t="n">
        <v>0.28</v>
      </c>
      <c r="L442" s="4">
        <f>IF(AND($H442&gt;0,ISNUMBER($K442)),$H442*$K442,0)</f>
        <v/>
      </c>
      <c r="M442" s="3" t="n"/>
      <c r="N442" s="3" t="n"/>
      <c r="O442" s="3" t="n">
        <v>1</v>
      </c>
      <c r="P442" s="3" t="n"/>
      <c r="Q442" s="3" t="n"/>
      <c r="R442" s="3" t="n"/>
      <c r="S442" s="3">
        <f>IF(AND(J442&lt;&gt;"",SUM(M442:R442)=0),J442,"")</f>
        <v/>
      </c>
      <c r="T442" s="3" t="n"/>
      <c r="U442" s="3" t="n"/>
      <c r="V442" s="3" t="n">
        <v>1</v>
      </c>
      <c r="W442" s="3" t="n"/>
      <c r="X442" s="3" t="n"/>
      <c r="Y442" s="3" t="n"/>
      <c r="Z442" s="3" t="n">
        <v>2</v>
      </c>
      <c r="AA442" s="2" t="inlineStr">
        <is>
          <t>Instant</t>
        </is>
      </c>
      <c r="AB442" s="2" t="inlineStr">
        <is>
          <t>Lesson</t>
        </is>
      </c>
      <c r="AC442" s="2" t="inlineStr">
        <is>
          <t>G</t>
        </is>
      </c>
      <c r="AD442" s="3" t="n">
        <v>2</v>
      </c>
      <c r="AE442" s="29" t="inlineStr">
        <is>
          <t>Avatar: The Last Airbender</t>
        </is>
      </c>
      <c r="AF442" s="29" t="inlineStr">
        <is>
          <t>Artifact/Enchantment Removal</t>
        </is>
      </c>
      <c r="AG442" s="29" t="inlineStr">
        <is>
          <t>Choose one: destroys target artifact or enchantment</t>
        </is>
      </c>
      <c r="AH442" s="29" t="inlineStr">
        <is>
          <t>Or puts a +1/+1 counter on your creature; it can't be destroyed this turn</t>
        </is>
      </c>
      <c r="AI442" s="29" t="n"/>
      <c r="AJ442" s="2" t="n"/>
      <c r="AK442" t="inlineStr">
        <is>
          <t>[B3 later] D3-&gt;B when Nature's Lore is bought</t>
        </is>
      </c>
    </row>
    <row r="443" ht="15" customHeight="1" s="79">
      <c r="A443" s="2" t="inlineStr">
        <is>
          <t>Plains</t>
        </is>
      </c>
      <c r="B443" s="2">
        <f>IF(AND(F443&lt;&gt;0,E443=F443),"In Hand",IF(AND(E443&lt;&gt;0,E443&lt;F443,SUM(M443:R443)=0,SUM(T443:Y443)&gt;0),"Extra-Sub",IF(AND(E443=0,E443&lt;F443,SUM(M443:R443)=0,SUM(T443:Y443)&gt;0),"Bench-Sub",IF(AND(E443=0,F443&gt;0),"Bench",IF(E443&lt;F443,"Extra",IF(AND(J443="",E443&gt;F443),"To Buy",IF(SUM(J443,F443)&lt;E443,"To Buy",IF(AND(SUM(J443,F443)&gt;=E443,J443&lt;&gt;""),"Ordered",IF(AND(E443=0,F443=0,D443="B3"),"B3 Option",IF(AND(E443=0,F443=0),"Remove","To Buy"))))))))))</f>
        <v/>
      </c>
      <c r="D443" t="inlineStr">
        <is>
          <t>B2</t>
        </is>
      </c>
      <c r="E443" s="3">
        <f>SUM(M443:S443)</f>
        <v/>
      </c>
      <c r="F443" s="3">
        <f>SUM(T443:Z443)</f>
        <v/>
      </c>
      <c r="G443" s="3">
        <f>IF((F443-E443)&gt;=0,F443-E443,0)</f>
        <v/>
      </c>
      <c r="H443" s="3">
        <f>MAX(0,$E443-$F443-$J443)</f>
        <v/>
      </c>
      <c r="I443" s="3" t="n"/>
      <c r="J443" s="3" t="n"/>
      <c r="K443" s="4" t="n">
        <v>0.1</v>
      </c>
      <c r="L443" s="4">
        <f>IF(AND($H443&gt;0,ISNUMBER($K443)),$H443*$K443,0)</f>
        <v/>
      </c>
      <c r="M443" s="3" t="n">
        <v>7</v>
      </c>
      <c r="N443" s="3" t="n">
        <v>8</v>
      </c>
      <c r="O443" s="3" t="n">
        <v>8</v>
      </c>
      <c r="P443" s="3" t="n">
        <v>10</v>
      </c>
      <c r="Q443" s="3" t="n">
        <v>18</v>
      </c>
      <c r="R443" s="3" t="n"/>
      <c r="S443" s="3">
        <f>IF(AND(J443&lt;&gt;"",SUM(M443:R443)=0),J443,"")</f>
        <v/>
      </c>
      <c r="T443" s="3" t="n">
        <v>7</v>
      </c>
      <c r="U443" s="3" t="n">
        <v>8</v>
      </c>
      <c r="V443" s="3" t="n">
        <v>8</v>
      </c>
      <c r="W443" s="3" t="n">
        <v>10</v>
      </c>
      <c r="X443" s="3" t="n">
        <v>18</v>
      </c>
      <c r="Y443" s="3" t="n"/>
      <c r="Z443" s="3" t="n">
        <v>42</v>
      </c>
      <c r="AA443" s="2" t="inlineStr">
        <is>
          <t>Basic Land</t>
        </is>
      </c>
      <c r="AB443" s="2" t="inlineStr">
        <is>
          <t>Plains</t>
        </is>
      </c>
      <c r="AC443" s="2" t="inlineStr">
        <is>
          <t>L</t>
        </is>
      </c>
      <c r="AD443" s="3" t="n">
        <v>0</v>
      </c>
      <c r="AE443" s="29" t="inlineStr">
        <is>
          <t>Limited Edition Alpha</t>
        </is>
      </c>
      <c r="AF443" s="29" t="inlineStr">
        <is>
          <t>Land</t>
        </is>
      </c>
      <c r="AG443" s="29" t="inlineStr">
        <is>
          <t>Taps for {W}</t>
        </is>
      </c>
      <c r="AH443" s="29" t="n"/>
      <c r="AI443" s="29" t="n"/>
      <c r="AJ443" s="2" t="inlineStr">
        <is>
          <t>Bench sub -&gt; D5 for Shineshadow Snarl (2026-09-02)</t>
        </is>
      </c>
      <c r="AK443" t="inlineStr">
        <is>
          <t>[T+A] B-&gt;D5 (bench sub) [done 2026-09-03]</t>
        </is>
      </c>
    </row>
    <row r="444" ht="15" customHeight="1" s="79">
      <c r="A444" s="2" t="inlineStr">
        <is>
          <t>Pretending Poxbearers</t>
        </is>
      </c>
      <c r="B444" s="2">
        <f>IF(AND(F444&lt;&gt;0,E444=F444),"In Hand",IF(AND(E444&lt;&gt;0,E444&lt;F444,SUM(M444:R444)=0,SUM(T444:Y444)&gt;0),"Extra-Sub",IF(AND(E444=0,E444&lt;F444,SUM(M444:R444)=0,SUM(T444:Y444)&gt;0),"Bench-Sub",IF(AND(E444=0,F444&gt;0),"Bench",IF(E444&lt;F444,"Extra",IF(AND(J444="",E444&gt;F444),"To Buy",IF(SUM(J444,F444)&lt;E444,"To Buy",IF(AND(SUM(J444,F444)&gt;=E444,J444&lt;&gt;""),"Ordered",IF(AND(E444=0,F444=0,D444="B3"),"B3 Option",IF(AND(E444=0,F444=0),"Remove","To Buy"))))))))))</f>
        <v/>
      </c>
      <c r="D444" t="inlineStr">
        <is>
          <t>B2</t>
        </is>
      </c>
      <c r="E444" s="3">
        <f>SUM(M444:S444)</f>
        <v/>
      </c>
      <c r="F444" s="3">
        <f>SUM(T444:Z444)</f>
        <v/>
      </c>
      <c r="G444" s="3">
        <f>IF((F444-E444)&gt;=0,F444-E444,0)</f>
        <v/>
      </c>
      <c r="H444" s="3">
        <f>MAX(0,$E444-$F444-$J444)</f>
        <v/>
      </c>
      <c r="I444" s="3" t="n"/>
      <c r="J444" s="3" t="n"/>
      <c r="K444" s="4" t="n"/>
      <c r="L444" s="4">
        <f>IF(AND($H444&gt;0,ISNUMBER($K444)),$H444*$K444,0)</f>
        <v/>
      </c>
      <c r="M444" s="3" t="n"/>
      <c r="N444" s="3" t="n"/>
      <c r="O444" s="3" t="n"/>
      <c r="P444" s="3" t="n"/>
      <c r="Q444" s="3" t="n">
        <v>1</v>
      </c>
      <c r="R444" s="3" t="n"/>
      <c r="S444" s="3">
        <f>IF(AND(J444&lt;&gt;"",SUM(M444:R444)=0),J444,"")</f>
        <v/>
      </c>
      <c r="T444" s="3" t="n"/>
      <c r="U444" s="3" t="n"/>
      <c r="V444" s="3" t="n"/>
      <c r="W444" s="3" t="n"/>
      <c r="X444" s="3" t="n"/>
      <c r="Y444" s="3" t="n"/>
      <c r="Z444" s="3" t="n">
        <v>2</v>
      </c>
      <c r="AA444" s="2" t="inlineStr">
        <is>
          <t>Creature</t>
        </is>
      </c>
      <c r="AB444" s="2" t="inlineStr">
        <is>
          <t>Human Citizen Ally</t>
        </is>
      </c>
      <c r="AC444" s="2" t="inlineStr">
        <is>
          <t>Opt-WB</t>
        </is>
      </c>
      <c r="AD444" s="3" t="n">
        <v>2</v>
      </c>
      <c r="AE444" s="29" t="inlineStr">
        <is>
          <t>Avatar: The Last Airbender</t>
        </is>
      </c>
      <c r="AF444" s="29" t="inlineStr">
        <is>
          <t>Token Producer</t>
        </is>
      </c>
      <c r="AG444" s="29" t="inlineStr">
        <is>
          <t>Dies: create a 1/1 white Ally token</t>
        </is>
      </c>
      <c r="AH444" s="29" t="n"/>
      <c r="AI444" s="29" t="n"/>
      <c r="AJ444" s="2" t="inlineStr">
        <is>
          <t>Cut in Tuned (for Azorius Signet); Bench sub -&gt; D5 for Hunted Witness (2026-09-02)</t>
        </is>
      </c>
      <c r="AK444" t="inlineStr">
        <is>
          <t>[T+A] B-&gt;D5 (bench sub) [done 2026-09-03]</t>
        </is>
      </c>
    </row>
    <row r="445" ht="15" customHeight="1" s="79">
      <c r="A445" s="2" t="inlineStr">
        <is>
          <t>Spectacular Tactics</t>
        </is>
      </c>
      <c r="B445" s="2">
        <f>IF(AND(F445&lt;&gt;0,E445=F445),"In Hand",IF(AND(E445&lt;&gt;0,E445&lt;F445,SUM(M445:R445)=0,SUM(T445:Y445)&gt;0),"Extra-Sub",IF(AND(E445=0,E445&lt;F445,SUM(M445:R445)=0,SUM(T445:Y445)&gt;0),"Bench-Sub",IF(AND(E445=0,F445&gt;0),"Bench",IF(E445&lt;F445,"Extra",IF(AND(J445="",E445&gt;F445),"To Buy",IF(SUM(J445,F445)&lt;E445,"To Buy",IF(AND(SUM(J445,F445)&gt;=E445,J445&lt;&gt;""),"Ordered",IF(AND(E445=0,F445=0,D445="B3"),"B3 Option",IF(AND(E445=0,F445=0),"Remove","To Buy"))))))))))</f>
        <v/>
      </c>
      <c r="D445" t="inlineStr">
        <is>
          <t>B2</t>
        </is>
      </c>
      <c r="E445" s="3">
        <f>SUM(M445:S445)</f>
        <v/>
      </c>
      <c r="F445" s="3">
        <f>SUM(T445:Z445)</f>
        <v/>
      </c>
      <c r="G445" s="3">
        <f>IF((F445-E445)&gt;=0,F445-E445,0)</f>
        <v/>
      </c>
      <c r="H445" s="3">
        <f>MAX(0,$E445-$F445-$J445)</f>
        <v/>
      </c>
      <c r="I445" s="3" t="n"/>
      <c r="J445" s="3" t="n"/>
      <c r="K445" s="4" t="n">
        <v>0.26</v>
      </c>
      <c r="L445" s="4">
        <f>IF(AND($H445&gt;0,ISNUMBER($K445)),$H445*$K445,0)</f>
        <v/>
      </c>
      <c r="M445" s="3" t="n"/>
      <c r="N445" s="3" t="n"/>
      <c r="O445" s="3" t="n"/>
      <c r="P445" s="3" t="n">
        <v>1</v>
      </c>
      <c r="Q445" s="3" t="n"/>
      <c r="R445" s="3" t="n"/>
      <c r="S445" s="3">
        <f>IF(AND(J445&lt;&gt;"",SUM(M445:R445)=0),J445,"")</f>
        <v/>
      </c>
      <c r="T445" s="3" t="n"/>
      <c r="U445" s="3" t="n"/>
      <c r="V445" s="3" t="n"/>
      <c r="W445" s="3" t="n"/>
      <c r="X445" s="3" t="n"/>
      <c r="Y445" s="3" t="n"/>
      <c r="Z445" s="3" t="n">
        <v>3</v>
      </c>
      <c r="AA445" s="2" t="inlineStr">
        <is>
          <t>Instant</t>
        </is>
      </c>
      <c r="AB445" s="2" t="n"/>
      <c r="AC445" s="2" t="inlineStr">
        <is>
          <t>W</t>
        </is>
      </c>
      <c r="AD445" s="3" t="n">
        <v>2</v>
      </c>
      <c r="AE445" s="29" t="inlineStr">
        <is>
          <t>Through the Omenpaths</t>
        </is>
      </c>
      <c r="AF445" s="29" t="inlineStr">
        <is>
          <t>Combat Trick</t>
        </is>
      </c>
      <c r="AG445" s="29" t="inlineStr">
        <is>
          <t>Choose one: put a +1/+1 counter on your creature, it becomes untargetable this turn</t>
        </is>
      </c>
      <c r="AH445" s="29" t="inlineStr">
        <is>
          <t>Or destroys target creature with power 4 or greater</t>
        </is>
      </c>
      <c r="AI445" s="29" t="n"/>
      <c r="AJ445" s="2" t="inlineStr">
        <is>
          <t>arrives -&gt; Bench (slot was upgraded); Cut in Tuned; Bench sub -&gt; D4 for Destroy Evil (2026-09-02)</t>
        </is>
      </c>
      <c r="AK445" t="inlineStr">
        <is>
          <t>[T+A] B-&gt;D4 (bench sub) [done 2026-09-03]</t>
        </is>
      </c>
    </row>
    <row r="446" ht="15" customHeight="1" s="79">
      <c r="A446" s="2" t="inlineStr">
        <is>
          <t>Sunpetal Grove</t>
        </is>
      </c>
      <c r="B446" s="2">
        <f>IF(AND(F446&lt;&gt;0,E446=F446),"In Hand",IF(AND(E446&lt;&gt;0,E446&lt;F446,SUM(M446:R446)=0,SUM(T446:Y446)&gt;0),"Extra-Sub",IF(AND(E446=0,E446&lt;F446,SUM(M446:R446)=0,SUM(T446:Y446)&gt;0),"Bench-Sub",IF(AND(E446=0,F446&gt;0),"Bench",IF(E446&lt;F446,"Extra",IF(AND(J446="",E446&gt;F446),"To Buy",IF(SUM(J446,F446)&lt;E446,"To Buy",IF(AND(SUM(J446,F446)&gt;=E446,J446&lt;&gt;""),"Ordered",IF(AND(E446=0,F446=0,D446="B3"),"B3 Option",IF(AND(E446=0,F446=0),"Remove","To Buy"))))))))))</f>
        <v/>
      </c>
      <c r="D446" t="inlineStr">
        <is>
          <t>B2</t>
        </is>
      </c>
      <c r="E446" s="3">
        <f>SUM(M446:S446)</f>
        <v/>
      </c>
      <c r="F446" s="3">
        <f>SUM(T446:Z446)</f>
        <v/>
      </c>
      <c r="G446" s="3">
        <f>IF((F446-E446)&gt;=0,F446-E446,0)</f>
        <v/>
      </c>
      <c r="H446" s="3">
        <f>MAX(0,$E446-$F446-$J446)</f>
        <v/>
      </c>
      <c r="I446" s="3" t="n"/>
      <c r="J446" s="3" t="n"/>
      <c r="K446" s="4" t="n">
        <v>0.36</v>
      </c>
      <c r="L446" s="4">
        <f>IF(AND($H446&gt;0,ISNUMBER($K446)),$H446*$K446,0)</f>
        <v/>
      </c>
      <c r="M446" s="3" t="n"/>
      <c r="N446" s="3" t="n"/>
      <c r="O446" s="3" t="n"/>
      <c r="P446" s="3" t="n">
        <v>1</v>
      </c>
      <c r="Q446" s="3" t="n"/>
      <c r="R446" s="3" t="n"/>
      <c r="S446" s="3">
        <f>IF(AND(J446&lt;&gt;"",SUM(M446:R446)=0),J446,"")</f>
        <v/>
      </c>
      <c r="T446" s="3" t="n"/>
      <c r="U446" s="3" t="n"/>
      <c r="V446" s="3" t="n"/>
      <c r="W446" s="3" t="n">
        <v>1</v>
      </c>
      <c r="X446" s="3" t="n"/>
      <c r="Y446" s="3" t="n"/>
      <c r="Z446" s="3" t="n">
        <v>1</v>
      </c>
      <c r="AA446" s="2" t="inlineStr">
        <is>
          <t>Land</t>
        </is>
      </c>
      <c r="AB446" s="2" t="n"/>
      <c r="AC446" s="2" t="inlineStr">
        <is>
          <t>L</t>
        </is>
      </c>
      <c r="AD446" s="3" t="n">
        <v>0</v>
      </c>
      <c r="AE446" s="29" t="inlineStr">
        <is>
          <t>Magic 2010</t>
        </is>
      </c>
      <c r="AF446" s="29" t="inlineStr">
        <is>
          <t>Land</t>
        </is>
      </c>
      <c r="AG446" s="29" t="inlineStr">
        <is>
          <t>Taps for {G} or {W}</t>
        </is>
      </c>
      <c r="AH446" s="29" t="inlineStr">
        <is>
          <t>Enters untapped if you control a Forest or Plains</t>
        </is>
      </c>
      <c r="AI446" s="29" t="n"/>
      <c r="AJ446" s="2" t="n"/>
    </row>
    <row r="447" ht="15" customHeight="1" s="79">
      <c r="A447" s="2" t="inlineStr">
        <is>
          <t>Swamp</t>
        </is>
      </c>
      <c r="B447" s="2">
        <f>IF(AND(F447&lt;&gt;0,E447=F447),"In Hand",IF(AND(E447&lt;&gt;0,E447&lt;F447,SUM(M447:R447)=0,SUM(T447:Y447)&gt;0),"Extra-Sub",IF(AND(E447=0,E447&lt;F447,SUM(M447:R447)=0,SUM(T447:Y447)&gt;0),"Bench-Sub",IF(AND(E447=0,F447&gt;0),"Bench",IF(E447&lt;F447,"Extra",IF(AND(J447="",E447&gt;F447),"To Buy",IF(SUM(J447,F447)&lt;E447,"To Buy",IF(AND(SUM(J447,F447)&gt;=E447,J447&lt;&gt;""),"Ordered",IF(AND(E447=0,F447=0,D447="B3"),"B3 Option",IF(AND(E447=0,F447=0),"Remove","To Buy"))))))))))</f>
        <v/>
      </c>
      <c r="D447" t="inlineStr">
        <is>
          <t>B2</t>
        </is>
      </c>
      <c r="E447" s="3">
        <f>SUM(M447:S447)</f>
        <v/>
      </c>
      <c r="F447" s="3">
        <f>SUM(T447:Z447)</f>
        <v/>
      </c>
      <c r="G447" s="3">
        <f>IF((F447-E447)&gt;=0,F447-E447,0)</f>
        <v/>
      </c>
      <c r="H447" s="3">
        <f>MAX(0,$E447-$F447-$J447)</f>
        <v/>
      </c>
      <c r="I447" s="3" t="n"/>
      <c r="J447" s="3" t="n"/>
      <c r="K447" s="4" t="n">
        <v>0.1</v>
      </c>
      <c r="L447" s="4">
        <f>IF(AND($H447&gt;0,ISNUMBER($K447)),$H447*$K447,0)</f>
        <v/>
      </c>
      <c r="M447" s="3" t="n"/>
      <c r="N447" s="3" t="n"/>
      <c r="O447" s="3" t="n">
        <v>8</v>
      </c>
      <c r="P447" s="3" t="n">
        <v>9</v>
      </c>
      <c r="Q447" s="3" t="n">
        <v>17</v>
      </c>
      <c r="R447" s="3" t="n"/>
      <c r="S447" s="3">
        <f>IF(AND(J447&lt;&gt;"",SUM(M447:R447)=0),J447,"")</f>
        <v/>
      </c>
      <c r="T447" s="3" t="n"/>
      <c r="U447" s="3" t="n"/>
      <c r="V447" s="3" t="n">
        <v>8</v>
      </c>
      <c r="W447" s="3" t="n">
        <v>9</v>
      </c>
      <c r="X447" s="3" t="n">
        <v>17</v>
      </c>
      <c r="Y447" s="3" t="n"/>
      <c r="Z447" s="3" t="n">
        <v>48</v>
      </c>
      <c r="AA447" s="2" t="inlineStr">
        <is>
          <t>Basic Land</t>
        </is>
      </c>
      <c r="AB447" s="2" t="inlineStr">
        <is>
          <t>Swamp</t>
        </is>
      </c>
      <c r="AC447" s="2" t="inlineStr">
        <is>
          <t>L</t>
        </is>
      </c>
      <c r="AD447" s="3" t="n">
        <v>0</v>
      </c>
      <c r="AE447" s="29" t="inlineStr">
        <is>
          <t>Limited Edition Alpha</t>
        </is>
      </c>
      <c r="AF447" s="29" t="inlineStr">
        <is>
          <t>Land</t>
        </is>
      </c>
      <c r="AG447" s="29" t="inlineStr">
        <is>
          <t>Taps for {B}</t>
        </is>
      </c>
      <c r="AH447" s="29" t="n"/>
      <c r="AI447" s="29" t="n"/>
      <c r="AJ447" s="2" t="inlineStr">
        <is>
          <t>Bench sub -&gt; D5 for Silverquill Campus (2026-09-02)</t>
        </is>
      </c>
      <c r="AK447" t="inlineStr">
        <is>
          <t>[T+A] B-&gt;D5 (bench sub) [done 2026-09-03]</t>
        </is>
      </c>
    </row>
    <row r="448" ht="15" customHeight="1" s="79">
      <c r="A448" s="2" t="inlineStr">
        <is>
          <t>Terror</t>
        </is>
      </c>
      <c r="B448" s="2">
        <f>IF(AND(F448&lt;&gt;0,E448=F448),"In Hand",IF(AND(E448&lt;&gt;0,E448&lt;F448,SUM(M448:R448)=0,SUM(T448:Y448)&gt;0),"Extra-Sub",IF(AND(E448=0,E448&lt;F448,SUM(M448:R448)=0,SUM(T448:Y448)&gt;0),"Bench-Sub",IF(AND(E448=0,F448&gt;0),"Bench",IF(E448&lt;F448,"Extra",IF(AND(J448="",E448&gt;F448),"To Buy",IF(SUM(J448,F448)&lt;E448,"To Buy",IF(AND(SUM(J448,F448)&gt;=E448,J448&lt;&gt;""),"Ordered",IF(AND(E448=0,F448=0,D448="B3"),"B3 Option",IF(AND(E448=0,F448=0),"Remove","To Buy"))))))))))</f>
        <v/>
      </c>
      <c r="D448" t="inlineStr">
        <is>
          <t>B2</t>
        </is>
      </c>
      <c r="E448" s="3">
        <f>SUM(M448:S448)</f>
        <v/>
      </c>
      <c r="F448" s="3">
        <f>SUM(T448:Z448)</f>
        <v/>
      </c>
      <c r="G448" s="3">
        <f>IF((F448-E448)&gt;=0,F448-E448,0)</f>
        <v/>
      </c>
      <c r="H448" s="3">
        <f>MAX(0,$E448-$F448-$J448)</f>
        <v/>
      </c>
      <c r="I448" s="3" t="n"/>
      <c r="J448" s="3" t="n"/>
      <c r="K448" s="4" t="n">
        <v>0.24</v>
      </c>
      <c r="L448" s="4">
        <f>IF(AND($H448&gt;0,ISNUMBER($K448)),$H448*$K448,0)</f>
        <v/>
      </c>
      <c r="M448" s="3" t="n"/>
      <c r="N448" s="3" t="n"/>
      <c r="O448" s="3" t="n"/>
      <c r="P448" s="3" t="n"/>
      <c r="Q448" s="3" t="n">
        <v>1</v>
      </c>
      <c r="R448" s="3" t="n"/>
      <c r="S448" s="3">
        <f>IF(AND(J448&lt;&gt;"",SUM(M448:R448)=0),J448,"")</f>
        <v/>
      </c>
      <c r="T448" s="3" t="n"/>
      <c r="U448" s="3" t="n"/>
      <c r="V448" s="3" t="n"/>
      <c r="W448" s="3" t="n"/>
      <c r="X448" s="3" t="n"/>
      <c r="Y448" s="3" t="n"/>
      <c r="Z448" s="3" t="n">
        <v>2</v>
      </c>
      <c r="AA448" s="2" t="inlineStr">
        <is>
          <t>Instant</t>
        </is>
      </c>
      <c r="AB448" s="2" t="n"/>
      <c r="AC448" s="2" t="inlineStr">
        <is>
          <t>B</t>
        </is>
      </c>
      <c r="AD448" s="3" t="n">
        <v>2</v>
      </c>
      <c r="AE448" s="29" t="inlineStr">
        <is>
          <t>Limited Edition Alpha</t>
        </is>
      </c>
      <c r="AF448" s="29" t="inlineStr">
        <is>
          <t>Removal</t>
        </is>
      </c>
      <c r="AG448" s="29" t="inlineStr">
        <is>
          <t>Destroys target nonartifact, nonblack creature</t>
        </is>
      </c>
      <c r="AH448" s="29" t="inlineStr">
        <is>
          <t>That creature can't be regenerated</t>
        </is>
      </c>
      <c r="AI448" s="29" t="n"/>
      <c r="AJ448" s="2" t="inlineStr">
        <is>
          <t>arrives -&gt; Bench (slot was upgraded); Cut in Tuned; Bench sub -&gt; D5 for Mortify (2026-09-02)</t>
        </is>
      </c>
      <c r="AK448" t="inlineStr">
        <is>
          <t>[T+A] B-&gt;D5 (bench sub) [done 2026-09-03]</t>
        </is>
      </c>
    </row>
    <row r="449" ht="15" customHeight="1" s="79">
      <c r="A449" s="2" t="inlineStr">
        <is>
          <t>Weathered Sentinels</t>
        </is>
      </c>
      <c r="B449" s="2">
        <f>IF(AND(F449&lt;&gt;0,E449=F449),"In Hand",IF(AND(E449&lt;&gt;0,E449&lt;F449,SUM(M449:R449)=0,SUM(T449:Y449)&gt;0),"Extra-Sub",IF(AND(E449=0,E449&lt;F449,SUM(M449:R449)=0,SUM(T449:Y449)&gt;0),"Bench-Sub",IF(AND(E449=0,F449&gt;0),"Bench",IF(E449&lt;F449,"Extra",IF(AND(J449="",E449&gt;F449),"To Buy",IF(SUM(J449,F449)&lt;E449,"To Buy",IF(AND(SUM(J449,F449)&gt;=E449,J449&lt;&gt;""),"Ordered",IF(AND(E449=0,F449=0,D449="B3"),"B3 Option",IF(AND(E449=0,F449=0),"Remove","To Buy"))))))))))</f>
        <v/>
      </c>
      <c r="D449" t="inlineStr">
        <is>
          <t>B2</t>
        </is>
      </c>
      <c r="E449" s="3">
        <f>SUM(M449:S449)</f>
        <v/>
      </c>
      <c r="F449" s="3">
        <f>SUM(T449:Z449)</f>
        <v/>
      </c>
      <c r="G449" s="3">
        <f>IF((F449-E449)&gt;=0,F449-E449,0)</f>
        <v/>
      </c>
      <c r="H449" s="3">
        <f>MAX(0,$E449-$F449-$J449)</f>
        <v/>
      </c>
      <c r="I449" s="3" t="n"/>
      <c r="J449" s="3" t="n"/>
      <c r="K449" s="4" t="n">
        <v>0.9</v>
      </c>
      <c r="L449" s="4">
        <f>IF(AND($H449&gt;0,ISNUMBER($K449)),$H449*$K449,0)</f>
        <v/>
      </c>
      <c r="M449" s="3" t="n"/>
      <c r="N449" s="3" t="n"/>
      <c r="O449" s="3" t="n"/>
      <c r="P449" s="3" t="n">
        <v>1</v>
      </c>
      <c r="Q449" s="3" t="n"/>
      <c r="R449" s="3" t="n"/>
      <c r="S449" s="3">
        <f>IF(AND(J449&lt;&gt;"",SUM(M449:R449)=0),J449,"")</f>
        <v/>
      </c>
      <c r="T449" s="3" t="n"/>
      <c r="U449" s="3" t="n"/>
      <c r="V449" s="3" t="n"/>
      <c r="W449" s="3" t="n">
        <v>1</v>
      </c>
      <c r="X449" s="3" t="n"/>
      <c r="Y449" s="3" t="n"/>
      <c r="Z449" s="3" t="n">
        <v>1</v>
      </c>
      <c r="AA449" s="2" t="inlineStr">
        <is>
          <t>Artifact Creature</t>
        </is>
      </c>
      <c r="AB449" s="2" t="inlineStr">
        <is>
          <t>Wall</t>
        </is>
      </c>
      <c r="AC449" s="2" t="inlineStr">
        <is>
          <t>C</t>
        </is>
      </c>
      <c r="AD449" s="3" t="n">
        <v>3</v>
      </c>
      <c r="AE449" s="29" t="inlineStr">
        <is>
          <t>New Capenna Commander</t>
        </is>
      </c>
      <c r="AF449" s="29" t="inlineStr">
        <is>
          <t>Finisher</t>
        </is>
      </c>
      <c r="AG449" s="29" t="inlineStr">
        <is>
          <t>Can attack players who attacked you last turn despite normally being unable to attack</t>
        </is>
      </c>
      <c r="AH449" s="29" t="inlineStr">
        <is>
          <t>Gets +3/+3 and becomes indestructible when it attacks</t>
        </is>
      </c>
      <c r="AI449" s="29" t="n"/>
      <c r="AJ449" s="2" t="n"/>
    </row>
    <row r="450" ht="15" customHeight="1" s="79">
      <c r="A450" s="2" t="inlineStr">
        <is>
          <t>Akoum Hellhound</t>
        </is>
      </c>
      <c r="B450" s="2">
        <f>IF(AND(F450&lt;&gt;0,E450=F450),"In Hand",IF(AND(E450&lt;&gt;0,E450&lt;F450,SUM(M450:R450)=0,SUM(T450:Y450)&gt;0),"Extra-Sub",IF(AND(E450=0,E450&lt;F450,SUM(M450:R450)=0,SUM(T450:Y450)&gt;0),"Bench-Sub",IF(AND(E450=0,F450&gt;0),"Bench",IF(E450&lt;F450,"Extra",IF(AND(J450="",E450&gt;F450),"To Buy",IF(SUM(J450,F450)&lt;E450,"To Buy",IF(AND(SUM(J450,F450)&gt;=E450,J450&lt;&gt;""),"Ordered",IF(AND(E450=0,F450=0,D450="B3"),"B3 Option",IF(AND(E450=0,F450=0),"Remove","To Buy"))))))))))</f>
        <v/>
      </c>
      <c r="D450" t="inlineStr">
        <is>
          <t>B2</t>
        </is>
      </c>
      <c r="E450" s="3">
        <f>SUM(M450:S450)</f>
        <v/>
      </c>
      <c r="F450" s="3">
        <f>SUM(T450:Z450)</f>
        <v/>
      </c>
      <c r="G450" s="3">
        <f>IF((F450-E450)&gt;=0,F450-E450,0)</f>
        <v/>
      </c>
      <c r="H450" s="3">
        <f>MAX(0,$E450-$F450-$J450)</f>
        <v/>
      </c>
      <c r="I450" s="3" t="n"/>
      <c r="J450" s="3" t="n"/>
      <c r="K450" s="4" t="n">
        <v>0.2</v>
      </c>
      <c r="L450" s="4">
        <f>IF(AND($H450&gt;0,ISNUMBER($K450)),$H450*$K450,0)</f>
        <v/>
      </c>
      <c r="M450" s="3" t="n"/>
      <c r="N450" s="3" t="n"/>
      <c r="O450" s="3" t="n"/>
      <c r="P450" s="3" t="n"/>
      <c r="Q450" s="3" t="n"/>
      <c r="R450" s="3" t="n"/>
      <c r="S450" s="3">
        <f>IF(AND(J450&lt;&gt;"",SUM(M450:R450)=0),J450,"")</f>
        <v/>
      </c>
      <c r="T450" s="3" t="n"/>
      <c r="U450" s="3" t="n"/>
      <c r="V450" s="3" t="n"/>
      <c r="W450" s="3" t="n"/>
      <c r="X450" s="3" t="n"/>
      <c r="Y450" s="3" t="n">
        <v>1</v>
      </c>
      <c r="Z450" s="3" t="n"/>
      <c r="AA450" s="2" t="inlineStr">
        <is>
          <t>Creature</t>
        </is>
      </c>
      <c r="AB450" s="2" t="inlineStr">
        <is>
          <t>Elemental Dog</t>
        </is>
      </c>
      <c r="AC450" s="2" t="inlineStr">
        <is>
          <t>R</t>
        </is>
      </c>
      <c r="AD450" s="3" t="n">
        <v>1</v>
      </c>
      <c r="AE450" s="29" t="inlineStr">
        <is>
          <t>Zendikar Rising</t>
        </is>
      </c>
      <c r="AF450" s="29" t="inlineStr">
        <is>
          <t>Combat Trick</t>
        </is>
      </c>
      <c r="AG450" s="29" t="inlineStr">
        <is>
          <t>Gets +2/+2 until end of turn when a land you control enters</t>
        </is>
      </c>
      <c r="AH450" s="29" t="n"/>
      <c r="AI450" s="29" t="n"/>
      <c r="AJ450" s="2" t="inlineStr">
        <is>
          <t>D6 target removed 2026-09-02: Tuned add Fervor takes the slot</t>
        </is>
      </c>
      <c r="AK450" t="inlineStr">
        <is>
          <t>[T] D6 target removed; [A later] D6-&gt;B when Fervor arrives</t>
        </is>
      </c>
    </row>
    <row r="451" ht="15" customHeight="1" s="79">
      <c r="A451" s="2" t="inlineStr">
        <is>
          <t>Alexios, Deimos of Kosmos</t>
        </is>
      </c>
      <c r="B451" s="2">
        <f>IF(AND(F451&lt;&gt;0,E451=F451),"In Hand",IF(AND(E451&lt;&gt;0,E451&lt;F451,SUM(M451:R451)=0,SUM(T451:Y451)&gt;0),"Extra-Sub",IF(AND(E451=0,E451&lt;F451,SUM(M451:R451)=0,SUM(T451:Y451)&gt;0),"Bench-Sub",IF(AND(E451=0,F451&gt;0),"Bench",IF(E451&lt;F451,"Extra",IF(AND(J451="",E451&gt;F451),"To Buy",IF(SUM(J451,F451)&lt;E451,"To Buy",IF(AND(SUM(J451,F451)&gt;=E451,J451&lt;&gt;""),"Ordered",IF(AND(E451=0,F451=0,D451="B3"),"B3 Option",IF(AND(E451=0,F451=0),"Remove","To Buy"))))))))))</f>
        <v/>
      </c>
      <c r="D451" t="inlineStr">
        <is>
          <t>B2</t>
        </is>
      </c>
      <c r="E451" s="3">
        <f>SUM(M451:S451)</f>
        <v/>
      </c>
      <c r="F451" s="3">
        <f>SUM(T451:Z451)</f>
        <v/>
      </c>
      <c r="G451" s="3">
        <f>IF((F451-E451)&gt;=0,F451-E451,0)</f>
        <v/>
      </c>
      <c r="H451" s="3">
        <f>MAX(0,$E451-$F451-$J451)</f>
        <v/>
      </c>
      <c r="I451" s="3" t="n"/>
      <c r="J451" s="3" t="n"/>
      <c r="K451" s="4" t="n">
        <v>0.39</v>
      </c>
      <c r="L451" s="4">
        <f>IF(AND($H451&gt;0,ISNUMBER($K451)),$H451*$K451,0)</f>
        <v/>
      </c>
      <c r="M451" s="3" t="n"/>
      <c r="N451" s="3" t="n"/>
      <c r="O451" s="3" t="n"/>
      <c r="P451" s="3" t="n"/>
      <c r="Q451" s="3" t="n"/>
      <c r="R451" s="3" t="n"/>
      <c r="S451" s="3">
        <f>IF(AND(J451&lt;&gt;"",SUM(M451:R451)=0),J451,"")</f>
        <v/>
      </c>
      <c r="T451" s="3" t="n"/>
      <c r="U451" s="3" t="n"/>
      <c r="V451" s="3" t="n"/>
      <c r="W451" s="3" t="n"/>
      <c r="X451" s="3" t="n"/>
      <c r="Y451" s="3" t="n">
        <v>1</v>
      </c>
      <c r="Z451" s="3" t="n"/>
      <c r="AA451" s="2" t="inlineStr">
        <is>
          <t>Legendary Creature</t>
        </is>
      </c>
      <c r="AB451" s="2" t="inlineStr">
        <is>
          <t>Human Berserker</t>
        </is>
      </c>
      <c r="AC451" s="2" t="inlineStr">
        <is>
          <t>R</t>
        </is>
      </c>
      <c r="AD451" s="3" t="n">
        <v>4</v>
      </c>
      <c r="AE451" s="29" t="inlineStr">
        <is>
          <t>Assassin's Creed</t>
        </is>
      </c>
      <c r="AF451" s="29" t="inlineStr">
        <is>
          <t>Finisher</t>
        </is>
      </c>
      <c r="AG451" s="29" t="inlineStr">
        <is>
          <t>Must attack each combat, can't be sacrificed or attack you</t>
        </is>
      </c>
      <c r="AH451" s="29" t="inlineStr">
        <is>
          <t>Passes to whoever's upkeep it is, untapped with a +1/+1 counter and haste</t>
        </is>
      </c>
      <c r="AI451" s="29" t="inlineStr">
        <is>
          <t>Trample body that grows every turn cycle</t>
        </is>
      </c>
      <c r="AJ451" s="2" t="inlineStr">
        <is>
          <t>D6 target removed 2026-09-02: Tuned add Shared Animosity takes the slot</t>
        </is>
      </c>
      <c r="AK451" t="inlineStr">
        <is>
          <t>[T] D6 target removed; [A later] D6-&gt;B when Shared Animosity arrives</t>
        </is>
      </c>
    </row>
    <row r="452" ht="15" customHeight="1" s="79">
      <c r="A452" s="2" t="inlineStr">
        <is>
          <t>Auntie's Sentence</t>
        </is>
      </c>
      <c r="B452" s="2">
        <f>IF(AND(F452&lt;&gt;0,E452=F452),"In Hand",IF(AND(E452&lt;&gt;0,E452&lt;F452,SUM(M452:R452)=0,SUM(T452:Y452)&gt;0),"Extra-Sub",IF(AND(E452=0,E452&lt;F452,SUM(M452:R452)=0,SUM(T452:Y452)&gt;0),"Bench-Sub",IF(AND(E452=0,F452&gt;0),"Bench",IF(E452&lt;F452,"Extra",IF(AND(J452="",E452&gt;F452),"To Buy",IF(SUM(J452,F452)&lt;E452,"To Buy",IF(AND(SUM(J452,F452)&gt;=E452,J452&lt;&gt;""),"Ordered",IF(AND(E452=0,F452=0,D452="B3"),"B3 Option",IF(AND(E452=0,F452=0),"Remove","To Buy"))))))))))</f>
        <v/>
      </c>
      <c r="D452" t="inlineStr">
        <is>
          <t>B2</t>
        </is>
      </c>
      <c r="E452" s="3">
        <f>SUM(M452:S452)</f>
        <v/>
      </c>
      <c r="F452" s="3">
        <f>SUM(T452:Z452)</f>
        <v/>
      </c>
      <c r="G452" s="3">
        <f>IF((F452-E452)&gt;=0,F452-E452,0)</f>
        <v/>
      </c>
      <c r="H452" s="3">
        <f>MAX(0,$E452-$F452-$J452)</f>
        <v/>
      </c>
      <c r="I452" s="3" t="n"/>
      <c r="J452" s="3" t="n"/>
      <c r="K452" s="4" t="n"/>
      <c r="L452" s="4">
        <f>IF(AND($H452&gt;0,ISNUMBER($K452)),$H452*$K452,0)</f>
        <v/>
      </c>
      <c r="M452" s="3" t="n"/>
      <c r="N452" s="3" t="n"/>
      <c r="O452" s="3" t="n"/>
      <c r="P452" s="3" t="n"/>
      <c r="Q452" s="3" t="n"/>
      <c r="R452" s="3" t="n"/>
      <c r="S452" s="3">
        <f>IF(AND(J452&lt;&gt;"",SUM(M452:R452)=0),J452,"")</f>
        <v/>
      </c>
      <c r="T452" s="3" t="n"/>
      <c r="U452" s="3" t="n"/>
      <c r="V452" s="3" t="n">
        <v>1</v>
      </c>
      <c r="W452" s="3" t="n"/>
      <c r="X452" s="3" t="n"/>
      <c r="Y452" s="3" t="n"/>
      <c r="Z452" s="3" t="n"/>
      <c r="AA452" s="2" t="inlineStr">
        <is>
          <t>Sorcery</t>
        </is>
      </c>
      <c r="AB452" s="2" t="n"/>
      <c r="AC452" s="2" t="inlineStr">
        <is>
          <t>B</t>
        </is>
      </c>
      <c r="AD452" s="3" t="n">
        <v>2</v>
      </c>
      <c r="AE452" s="29" t="inlineStr">
        <is>
          <t>Lorwyn Eclipsed</t>
        </is>
      </c>
      <c r="AF452" s="29" t="inlineStr">
        <is>
          <t>Removal</t>
        </is>
      </c>
      <c r="AG452" s="29" t="inlineStr">
        <is>
          <t>Target creature gets -2/-2 until end of turn</t>
        </is>
      </c>
      <c r="AH452" s="29" t="inlineStr">
        <is>
          <t>Or opponent reveals hand and discards a nonland permanent card you choose</t>
        </is>
      </c>
      <c r="AI452" s="29" t="n"/>
      <c r="AJ452" s="2" t="inlineStr">
        <is>
          <t>Cut in Tuned</t>
        </is>
      </c>
    </row>
    <row r="453" ht="15" customHeight="1" s="79">
      <c r="A453" s="2" t="inlineStr">
        <is>
          <t>Awaken the Erstwhile</t>
        </is>
      </c>
      <c r="B453" s="2">
        <f>IF(AND(F453&lt;&gt;0,E453=F453),"In Hand",IF(AND(E453&lt;&gt;0,E453&lt;F453,SUM(M453:R453)=0,SUM(T453:Y453)&gt;0),"Extra-Sub",IF(AND(E453=0,E453&lt;F453,SUM(M453:R453)=0,SUM(T453:Y453)&gt;0),"Bench-Sub",IF(AND(E453=0,F453&gt;0),"Bench",IF(E453&lt;F453,"Extra",IF(AND(J453="",E453&gt;F453),"To Buy",IF(SUM(J453,F453)&lt;E453,"To Buy",IF(AND(SUM(J453,F453)&gt;=E453,J453&lt;&gt;""),"Ordered",IF(AND(E453=0,F453=0,D453="B3"),"B3 Option",IF(AND(E453=0,F453=0),"Remove","To Buy"))))))))))</f>
        <v/>
      </c>
      <c r="D453" t="inlineStr">
        <is>
          <t>B2</t>
        </is>
      </c>
      <c r="E453" s="3">
        <f>SUM(M453:S453)</f>
        <v/>
      </c>
      <c r="F453" s="3">
        <f>SUM(T453:Z453)</f>
        <v/>
      </c>
      <c r="G453" s="3">
        <f>IF((F453-E453)&gt;=0,F453-E453,0)</f>
        <v/>
      </c>
      <c r="H453" s="3">
        <f>MAX(0,$E453-$F453-$J453)</f>
        <v/>
      </c>
      <c r="I453" s="3" t="n"/>
      <c r="J453" s="3" t="n"/>
      <c r="K453" s="4" t="n"/>
      <c r="L453" s="4">
        <f>IF(AND($H453&gt;0,ISNUMBER($K453)),$H453*$K453,0)</f>
        <v/>
      </c>
      <c r="M453" s="3" t="n"/>
      <c r="N453" s="3" t="n"/>
      <c r="O453" s="3" t="n"/>
      <c r="P453" s="3" t="n"/>
      <c r="Q453" s="3" t="n"/>
      <c r="R453" s="3" t="n"/>
      <c r="S453" s="3">
        <f>IF(AND(J453&lt;&gt;"",SUM(M453:R453)=0),J453,"")</f>
        <v/>
      </c>
      <c r="T453" s="3" t="n"/>
      <c r="U453" s="3" t="n"/>
      <c r="V453" s="3" t="n">
        <v>1</v>
      </c>
      <c r="W453" s="3" t="n"/>
      <c r="X453" s="3" t="n"/>
      <c r="Y453" s="3" t="n"/>
      <c r="Z453" s="3" t="n"/>
      <c r="AA453" s="2" t="inlineStr">
        <is>
          <t>Sorcery</t>
        </is>
      </c>
      <c r="AB453" s="2" t="n"/>
      <c r="AC453" s="2" t="inlineStr">
        <is>
          <t>B</t>
        </is>
      </c>
      <c r="AD453" s="3" t="n">
        <v>5</v>
      </c>
      <c r="AE453" s="29" t="inlineStr">
        <is>
          <t>Ravnica Allegiance</t>
        </is>
      </c>
      <c r="AF453" s="29" t="inlineStr">
        <is>
          <t>Token Producer</t>
        </is>
      </c>
      <c r="AG453" s="29" t="inlineStr">
        <is>
          <t>Each player discards their hand, then creates that many 2/2 Zombie tokens</t>
        </is>
      </c>
      <c r="AH453" s="29" t="n"/>
      <c r="AI453" s="29" t="n"/>
      <c r="AJ453" s="2" t="inlineStr">
        <is>
          <t>Cut in Tuned</t>
        </is>
      </c>
    </row>
    <row r="454" ht="15" customHeight="1" s="79">
      <c r="A454" s="2" t="inlineStr">
        <is>
          <t>Burning Curiosity</t>
        </is>
      </c>
      <c r="B454" s="2">
        <f>IF(AND(F454&lt;&gt;0,E454=F454),"In Hand",IF(AND(E454&lt;&gt;0,E454&lt;F454,SUM(M454:R454)=0,SUM(T454:Y454)&gt;0),"Extra-Sub",IF(AND(E454=0,E454&lt;F454,SUM(M454:R454)=0,SUM(T454:Y454)&gt;0),"Bench-Sub",IF(AND(E454=0,F454&gt;0),"Bench",IF(E454&lt;F454,"Extra",IF(AND(J454="",E454&gt;F454),"To Buy",IF(SUM(J454,F454)&lt;E454,"To Buy",IF(AND(SUM(J454,F454)&gt;=E454,J454&lt;&gt;""),"Ordered",IF(AND(E454=0,F454=0,D454="B3"),"B3 Option",IF(AND(E454=0,F454=0),"Remove","To Buy"))))))))))</f>
        <v/>
      </c>
      <c r="D454" t="inlineStr">
        <is>
          <t>B2</t>
        </is>
      </c>
      <c r="E454" s="3">
        <f>SUM(M454:S454)</f>
        <v/>
      </c>
      <c r="F454" s="3">
        <f>SUM(T454:Z454)</f>
        <v/>
      </c>
      <c r="G454" s="3">
        <f>IF((F454-E454)&gt;=0,F454-E454,0)</f>
        <v/>
      </c>
      <c r="H454" s="3">
        <f>MAX(0,$E454-$F454-$J454)</f>
        <v/>
      </c>
      <c r="I454" s="3" t="n"/>
      <c r="J454" s="3" t="n"/>
      <c r="K454" s="4" t="n"/>
      <c r="L454" s="4">
        <f>IF(AND($H454&gt;0,ISNUMBER($K454)),$H454*$K454,0)</f>
        <v/>
      </c>
      <c r="M454" s="3" t="n"/>
      <c r="N454" s="3" t="n"/>
      <c r="O454" s="3" t="n"/>
      <c r="P454" s="3" t="n"/>
      <c r="Q454" s="3" t="n"/>
      <c r="R454" s="3" t="n"/>
      <c r="S454" s="3">
        <f>IF(AND(J454&lt;&gt;"",SUM(M454:R454)=0),J454,"")</f>
        <v/>
      </c>
      <c r="T454" s="3" t="n"/>
      <c r="U454" s="3" t="n"/>
      <c r="V454" s="3" t="n"/>
      <c r="W454" s="3" t="n"/>
      <c r="X454" s="3" t="n"/>
      <c r="Y454" s="3" t="n">
        <v>1</v>
      </c>
      <c r="Z454" s="3" t="n"/>
      <c r="AA454" s="2" t="inlineStr">
        <is>
          <t>Sorcery</t>
        </is>
      </c>
      <c r="AB454" s="2" t="n"/>
      <c r="AC454" s="2" t="inlineStr">
        <is>
          <t>R</t>
        </is>
      </c>
      <c r="AD454" s="3" t="n">
        <v>3</v>
      </c>
      <c r="AE454" s="29" t="inlineStr">
        <is>
          <t>Lorwyn Eclipsed</t>
        </is>
      </c>
      <c r="AF454" s="29" t="inlineStr">
        <is>
          <t>Card Selection</t>
        </is>
      </c>
      <c r="AG454" s="29" t="inlineStr">
        <is>
          <t>Exiles top two cards of library to play until end of next turn</t>
        </is>
      </c>
      <c r="AH454" s="29" t="inlineStr">
        <is>
          <t>Optionally put a -1/-1 counter on a creature to exile three instead</t>
        </is>
      </c>
      <c r="AI454" s="29" t="n"/>
      <c r="AJ454" s="2" t="inlineStr">
        <is>
          <t>Cut in Tuned; D6 target removed 2026-09-02: Tuned add Rundvelt Hordemaster takes the slot</t>
        </is>
      </c>
      <c r="AK454" t="inlineStr">
        <is>
          <t>[T] D6 target removed; [A later] D6-&gt;B when Rundvelt Hordemaster arrives</t>
        </is>
      </c>
    </row>
    <row r="455" ht="15" customHeight="1" s="79">
      <c r="A455" s="2" t="inlineStr">
        <is>
          <t>Cinder Strike</t>
        </is>
      </c>
      <c r="B455" s="2">
        <f>IF(AND(F455&lt;&gt;0,E455=F455),"In Hand",IF(AND(E455&lt;&gt;0,E455&lt;F455,SUM(M455:R455)=0,SUM(T455:Y455)&gt;0),"Extra-Sub",IF(AND(E455=0,E455&lt;F455,SUM(M455:R455)=0,SUM(T455:Y455)&gt;0),"Bench-Sub",IF(AND(E455=0,F455&gt;0),"Bench",IF(E455&lt;F455,"Extra",IF(AND(J455="",E455&gt;F455),"To Buy",IF(SUM(J455,F455)&lt;E455,"To Buy",IF(AND(SUM(J455,F455)&gt;=E455,J455&lt;&gt;""),"Ordered",IF(AND(E455=0,F455=0,D455="B3"),"B3 Option",IF(AND(E455=0,F455=0),"Remove","To Buy"))))))))))</f>
        <v/>
      </c>
      <c r="D455" t="inlineStr">
        <is>
          <t>B2</t>
        </is>
      </c>
      <c r="E455" s="3">
        <f>SUM(M455:S455)</f>
        <v/>
      </c>
      <c r="F455" s="3">
        <f>SUM(T455:Z455)</f>
        <v/>
      </c>
      <c r="G455" s="3">
        <f>IF((F455-E455)&gt;=0,F455-E455,0)</f>
        <v/>
      </c>
      <c r="H455" s="3">
        <f>MAX(0,$E455-$F455-$J455)</f>
        <v/>
      </c>
      <c r="I455" s="3" t="n"/>
      <c r="J455" s="3" t="n"/>
      <c r="K455" s="4" t="n"/>
      <c r="L455" s="4">
        <f>IF(AND($H455&gt;0,ISNUMBER($K455)),$H455*$K455,0)</f>
        <v/>
      </c>
      <c r="M455" s="3" t="n"/>
      <c r="N455" s="3" t="n"/>
      <c r="O455" s="3" t="n"/>
      <c r="P455" s="3" t="n"/>
      <c r="Q455" s="3" t="n"/>
      <c r="R455" s="3" t="n"/>
      <c r="S455" s="3">
        <f>IF(AND(J455&lt;&gt;"",SUM(M455:R455)=0),J455,"")</f>
        <v/>
      </c>
      <c r="T455" s="3" t="n"/>
      <c r="U455" s="3" t="n"/>
      <c r="V455" s="3" t="n"/>
      <c r="W455" s="3" t="n"/>
      <c r="X455" s="3" t="n"/>
      <c r="Y455" s="3" t="n">
        <v>1</v>
      </c>
      <c r="Z455" s="3" t="n"/>
      <c r="AA455" s="2" t="inlineStr">
        <is>
          <t>Sorcery</t>
        </is>
      </c>
      <c r="AB455" s="2" t="n"/>
      <c r="AC455" s="2" t="inlineStr">
        <is>
          <t>R</t>
        </is>
      </c>
      <c r="AD455" s="3" t="n">
        <v>1</v>
      </c>
      <c r="AE455" s="29" t="inlineStr">
        <is>
          <t>Lorwyn Eclipsed</t>
        </is>
      </c>
      <c r="AF455" s="29" t="inlineStr">
        <is>
          <t>Removal</t>
        </is>
      </c>
      <c r="AG455" s="29" t="inlineStr">
        <is>
          <t>Deals 2 damage to target creature</t>
        </is>
      </c>
      <c r="AH455" s="29" t="inlineStr">
        <is>
          <t>Deals 4 instead if you put a -1/-1 counter on a creature you control</t>
        </is>
      </c>
      <c r="AI455" s="29" t="n"/>
      <c r="AJ455" s="2" t="inlineStr">
        <is>
          <t>Cut in Tuned; D6 target removed 2026-09-02: Tuned add Goblin Chieftain takes the slot</t>
        </is>
      </c>
      <c r="AK455" t="inlineStr">
        <is>
          <t>[T] D6 target removed; [A later] D6-&gt;B when Goblin Chieftain arrives</t>
        </is>
      </c>
    </row>
    <row r="456" ht="15" customHeight="1" s="79">
      <c r="A456" s="2" t="inlineStr">
        <is>
          <t>Civic Stalwart</t>
        </is>
      </c>
      <c r="B456" s="2">
        <f>IF(AND(F456&lt;&gt;0,E456=F456),"In Hand",IF(AND(E456&lt;&gt;0,E456&lt;F456,SUM(M456:R456)=0,SUM(T456:Y456)&gt;0),"Extra-Sub",IF(AND(E456=0,E456&lt;F456,SUM(M456:R456)=0,SUM(T456:Y456)&gt;0),"Bench-Sub",IF(AND(E456=0,F456&gt;0),"Bench",IF(E456&lt;F456,"Extra",IF(AND(J456="",E456&gt;F456),"To Buy",IF(SUM(J456,F456)&lt;E456,"To Buy",IF(AND(SUM(J456,F456)&gt;=E456,J456&lt;&gt;""),"Ordered",IF(AND(E456=0,F456=0,D456="B3"),"B3 Option",IF(AND(E456=0,F456=0),"Remove","To Buy"))))))))))</f>
        <v/>
      </c>
      <c r="D456" t="inlineStr">
        <is>
          <t>B2</t>
        </is>
      </c>
      <c r="E456" s="3">
        <f>SUM(M456:S456)</f>
        <v/>
      </c>
      <c r="F456" s="3">
        <f>SUM(T456:Z456)</f>
        <v/>
      </c>
      <c r="G456" s="3">
        <f>IF((F456-E456)&gt;=0,F456-E456,0)</f>
        <v/>
      </c>
      <c r="H456" s="3">
        <f>MAX(0,$E456-$F456-$J456)</f>
        <v/>
      </c>
      <c r="I456" s="3" t="n"/>
      <c r="J456" s="3" t="n"/>
      <c r="K456" s="4" t="n">
        <v>0.05</v>
      </c>
      <c r="L456" s="4">
        <f>IF(AND($H456&gt;0,ISNUMBER($K456)),$H456*$K456,0)</f>
        <v/>
      </c>
      <c r="M456" s="3" t="n"/>
      <c r="N456" s="3" t="n"/>
      <c r="O456" s="3" t="n"/>
      <c r="P456" s="3" t="n"/>
      <c r="Q456" s="3" t="n"/>
      <c r="R456" s="3" t="n"/>
      <c r="S456" s="3">
        <f>IF(AND(J456&lt;&gt;"",SUM(M456:R456)=0),J456,"")</f>
        <v/>
      </c>
      <c r="T456" s="3" t="n"/>
      <c r="U456" s="3" t="n">
        <v>1</v>
      </c>
      <c r="V456" s="3" t="n"/>
      <c r="W456" s="3" t="n"/>
      <c r="X456" s="3" t="n"/>
      <c r="Y456" s="3" t="n"/>
      <c r="Z456" s="3" t="n"/>
      <c r="AA456" s="2" t="inlineStr">
        <is>
          <t>Creature</t>
        </is>
      </c>
      <c r="AB456" s="2" t="inlineStr">
        <is>
          <t>Elephant Soldier</t>
        </is>
      </c>
      <c r="AC456" s="2" t="inlineStr">
        <is>
          <t>W</t>
        </is>
      </c>
      <c r="AD456" s="3" t="n">
        <v>4</v>
      </c>
      <c r="AE456" s="29" t="inlineStr">
        <is>
          <t>Ravnica Allegiance</t>
        </is>
      </c>
      <c r="AF456" s="29" t="inlineStr">
        <is>
          <t>Combat Trick</t>
        </is>
      </c>
      <c r="AG456" s="29" t="inlineStr">
        <is>
          <t>Creatures you control get +1/+1 until end of turn when it enters</t>
        </is>
      </c>
      <c r="AH456" s="29" t="n"/>
      <c r="AI456" s="29" t="n"/>
      <c r="AJ456" s="2" t="n"/>
    </row>
    <row r="457" ht="15" customHeight="1" s="79">
      <c r="A457" s="2" t="inlineStr">
        <is>
          <t>Curious Farm Animals</t>
        </is>
      </c>
      <c r="B457" s="2">
        <f>IF(AND(F457&lt;&gt;0,E457=F457),"In Hand",IF(AND(E457&lt;&gt;0,E457&lt;F457,SUM(M457:R457)=0,SUM(T457:Y457)&gt;0),"Extra-Sub",IF(AND(E457=0,E457&lt;F457,SUM(M457:R457)=0,SUM(T457:Y457)&gt;0),"Bench-Sub",IF(AND(E457=0,F457&gt;0),"Bench",IF(E457&lt;F457,"Extra",IF(AND(J457="",E457&gt;F457),"To Buy",IF(SUM(J457,F457)&lt;E457,"To Buy",IF(AND(SUM(J457,F457)&gt;=E457,J457&lt;&gt;""),"Ordered",IF(AND(E457=0,F457=0,D457="B3"),"B3 Option",IF(AND(E457=0,F457=0),"Remove","To Buy"))))))))))</f>
        <v/>
      </c>
      <c r="D457" t="inlineStr">
        <is>
          <t>B2</t>
        </is>
      </c>
      <c r="E457" s="3">
        <f>SUM(M457:S457)</f>
        <v/>
      </c>
      <c r="F457" s="3">
        <f>SUM(T457:Z457)</f>
        <v/>
      </c>
      <c r="G457" s="3">
        <f>IF((F457-E457)&gt;=0,F457-E457,0)</f>
        <v/>
      </c>
      <c r="H457" s="3">
        <f>MAX(0,$E457-$F457-$J457)</f>
        <v/>
      </c>
      <c r="I457" s="3" t="n"/>
      <c r="J457" s="3" t="n"/>
      <c r="K457" s="4" t="n"/>
      <c r="L457" s="4">
        <f>IF(AND($H457&gt;0,ISNUMBER($K457)),$H457*$K457,0)</f>
        <v/>
      </c>
      <c r="M457" s="3" t="n"/>
      <c r="N457" s="3" t="n"/>
      <c r="O457" s="3" t="n"/>
      <c r="P457" s="3" t="n"/>
      <c r="Q457" s="3" t="n"/>
      <c r="R457" s="3" t="n"/>
      <c r="S457" s="3">
        <f>IF(AND(J457&lt;&gt;"",SUM(M457:R457)=0),J457,"")</f>
        <v/>
      </c>
      <c r="T457" s="3" t="n"/>
      <c r="U457" s="3" t="n"/>
      <c r="V457" s="3" t="n"/>
      <c r="W457" s="3" t="n"/>
      <c r="X457" s="3" t="n">
        <v>1</v>
      </c>
      <c r="Y457" s="3" t="n"/>
      <c r="Z457" s="3" t="n"/>
      <c r="AA457" s="2" t="inlineStr">
        <is>
          <t>Creature</t>
        </is>
      </c>
      <c r="AB457" s="2" t="inlineStr">
        <is>
          <t>Boar Elk Bird Ox</t>
        </is>
      </c>
      <c r="AC457" s="2" t="inlineStr">
        <is>
          <t>W</t>
        </is>
      </c>
      <c r="AD457" s="3" t="n">
        <v>1</v>
      </c>
      <c r="AE457" s="29" t="inlineStr">
        <is>
          <t>Avatar: The Last Airbender</t>
        </is>
      </c>
      <c r="AF457" s="29" t="inlineStr">
        <is>
          <t>Artifact/Enchantment Removal</t>
        </is>
      </c>
      <c r="AG457" s="29" t="inlineStr">
        <is>
          <t>Gain 3 life when this creature dies</t>
        </is>
      </c>
      <c r="AH457" s="29" t="inlineStr">
        <is>
          <t>Sacrifice it to destroy target artifact or enchantment</t>
        </is>
      </c>
      <c r="AI457" s="29" t="n"/>
      <c r="AJ457" s="2" t="inlineStr">
        <is>
          <t>Cut in Tuned; D5 target removed 2026-09-02: replaced by Tuned add Elspeth, Sun's Nemesis</t>
        </is>
      </c>
      <c r="AK457" t="inlineStr">
        <is>
          <t>[T+A] D5-&gt;B (cut, replaced by Tuned add Elspeth, Sun's Nemesis) [done 2026-09-03]</t>
        </is>
      </c>
    </row>
    <row r="458" ht="15" customHeight="1" s="79">
      <c r="A458" s="2" t="inlineStr">
        <is>
          <t>Currency Converter</t>
        </is>
      </c>
      <c r="B458" s="2">
        <f>IF(AND(F458&lt;&gt;0,E458=F458),"In Hand",IF(AND(E458&lt;&gt;0,E458&lt;F458,SUM(M458:R458)=0,SUM(T458:Y458)&gt;0),"Extra-Sub",IF(AND(E458=0,E458&lt;F458,SUM(M458:R458)=0,SUM(T458:Y458)&gt;0),"Bench-Sub",IF(AND(E458=0,F458&gt;0),"Bench",IF(E458&lt;F458,"Extra",IF(AND(J458="",E458&gt;F458),"To Buy",IF(SUM(J458,F458)&lt;E458,"To Buy",IF(AND(SUM(J458,F458)&gt;=E458,J458&lt;&gt;""),"Ordered",IF(AND(E458=0,F458=0,D458="B3"),"B3 Option",IF(AND(E458=0,F458=0),"Remove","To Buy"))))))))))</f>
        <v/>
      </c>
      <c r="D458" t="inlineStr">
        <is>
          <t>B2</t>
        </is>
      </c>
      <c r="E458" s="3">
        <f>SUM(M458:S458)</f>
        <v/>
      </c>
      <c r="F458" s="3">
        <f>SUM(T458:Z458)</f>
        <v/>
      </c>
      <c r="G458" s="3">
        <f>IF((F458-E458)&gt;=0,F458-E458,0)</f>
        <v/>
      </c>
      <c r="H458" s="3">
        <f>MAX(0,$E458-$F458-$J458)</f>
        <v/>
      </c>
      <c r="I458" s="3" t="n"/>
      <c r="J458" s="3" t="n"/>
      <c r="K458" s="4" t="n"/>
      <c r="L458" s="4">
        <f>IF(AND($H458&gt;0,ISNUMBER($K458)),$H458*$K458,0)</f>
        <v/>
      </c>
      <c r="M458" s="3" t="n"/>
      <c r="N458" s="3" t="n"/>
      <c r="O458" s="3" t="n"/>
      <c r="P458" s="3" t="n"/>
      <c r="Q458" s="3" t="n"/>
      <c r="R458" s="3" t="n"/>
      <c r="S458" s="3">
        <f>IF(AND(J458&lt;&gt;"",SUM(M458:R458)=0),J458,"")</f>
        <v/>
      </c>
      <c r="T458" s="3" t="n">
        <v>1</v>
      </c>
      <c r="U458" s="3" t="n"/>
      <c r="V458" s="3" t="n"/>
      <c r="W458" s="3" t="n"/>
      <c r="X458" s="3" t="n"/>
      <c r="Y458" s="3" t="n"/>
      <c r="Z458" s="3" t="n"/>
      <c r="AA458" s="2" t="inlineStr">
        <is>
          <t>Artifact</t>
        </is>
      </c>
      <c r="AB458" s="2" t="n"/>
      <c r="AC458" s="2" t="inlineStr">
        <is>
          <t>C</t>
        </is>
      </c>
      <c r="AD458" s="3" t="n">
        <v>1</v>
      </c>
      <c r="AE458" s="29" t="inlineStr">
        <is>
          <t>New Capenna Commander</t>
        </is>
      </c>
      <c r="AF458" s="29" t="inlineStr">
        <is>
          <t>Discard/Looting</t>
        </is>
      </c>
      <c r="AG458" s="29" t="inlineStr">
        <is>
          <t>Discarding a card lets you exile it from your graveyard</t>
        </is>
      </c>
      <c r="AH458" s="29" t="inlineStr">
        <is>
          <t>Pay {2}, tap: draw a card, then discard a card</t>
        </is>
      </c>
      <c r="AI458" s="29" t="inlineStr">
        <is>
          <t>Tap: put an exiled card into graveyard, making a Treasure or a 2/2 Rogue token</t>
        </is>
      </c>
      <c r="AJ458" s="2" t="inlineStr">
        <is>
          <t>Cut in Tuned</t>
        </is>
      </c>
    </row>
    <row r="459" ht="15" customHeight="1" s="79">
      <c r="A459" s="2" t="inlineStr">
        <is>
          <t>Dismal Backwater</t>
        </is>
      </c>
      <c r="B459" s="2">
        <f>IF(AND(F459&lt;&gt;0,E459=F459),"In Hand",IF(AND(E459&lt;&gt;0,E459&lt;F459,SUM(M459:R459)=0,SUM(T459:Y459)&gt;0),"Extra-Sub",IF(AND(E459=0,E459&lt;F459,SUM(M459:R459)=0,SUM(T459:Y459)&gt;0),"Bench-Sub",IF(AND(E459=0,F459&gt;0),"Bench",IF(E459&lt;F459,"Extra",IF(AND(J459="",E459&gt;F459),"To Buy",IF(SUM(J459,F459)&lt;E459,"To Buy",IF(AND(SUM(J459,F459)&gt;=E459,J459&lt;&gt;""),"Ordered",IF(AND(E459=0,F459=0,D459="B3"),"B3 Option",IF(AND(E459=0,F459=0),"Remove","To Buy"))))))))))</f>
        <v/>
      </c>
      <c r="D459" t="inlineStr">
        <is>
          <t>B2</t>
        </is>
      </c>
      <c r="E459" s="3">
        <f>SUM(M459:S459)</f>
        <v/>
      </c>
      <c r="F459" s="3">
        <f>SUM(T459:Z459)</f>
        <v/>
      </c>
      <c r="G459" s="3">
        <f>IF((F459-E459)&gt;=0,F459-E459,0)</f>
        <v/>
      </c>
      <c r="H459" s="3">
        <f>MAX(0,$E459-$F459-$J459)</f>
        <v/>
      </c>
      <c r="I459" s="3" t="n"/>
      <c r="J459" s="3" t="n"/>
      <c r="K459" s="4" t="n">
        <v>0.29</v>
      </c>
      <c r="L459" s="4">
        <f>IF(AND($H459&gt;0,ISNUMBER($K459)),$H459*$K459,0)</f>
        <v/>
      </c>
      <c r="M459" s="3" t="n"/>
      <c r="N459" s="3" t="n"/>
      <c r="O459" s="3" t="n"/>
      <c r="P459" s="3" t="n"/>
      <c r="Q459" s="3" t="n"/>
      <c r="R459" s="3" t="n"/>
      <c r="S459" s="3">
        <f>IF(AND(J459&lt;&gt;"",SUM(M459:R459)=0),J459,"")</f>
        <v/>
      </c>
      <c r="T459" s="3" t="n"/>
      <c r="U459" s="3" t="n"/>
      <c r="V459" s="3" t="n">
        <v>1</v>
      </c>
      <c r="W459" s="3" t="n"/>
      <c r="X459" s="3" t="n"/>
      <c r="Y459" s="3" t="n"/>
      <c r="Z459" s="3" t="n"/>
      <c r="AA459" s="2" t="inlineStr">
        <is>
          <t>Land</t>
        </is>
      </c>
      <c r="AB459" s="2" t="n"/>
      <c r="AC459" s="2" t="inlineStr">
        <is>
          <t>L</t>
        </is>
      </c>
      <c r="AD459" s="3" t="n">
        <v>0</v>
      </c>
      <c r="AE459" s="29" t="inlineStr">
        <is>
          <t>Khans of Tarkir</t>
        </is>
      </c>
      <c r="AF459" s="29" t="inlineStr">
        <is>
          <t>Land</t>
        </is>
      </c>
      <c r="AG459" s="29" t="inlineStr">
        <is>
          <t>Taps for {U} or {B}</t>
        </is>
      </c>
      <c r="AH459" s="29" t="inlineStr">
        <is>
          <t>Gain 1 life when it enters</t>
        </is>
      </c>
      <c r="AI459" s="29" t="n"/>
      <c r="AJ459" s="2" t="n"/>
    </row>
    <row r="460" ht="15" customHeight="1" s="79">
      <c r="A460" s="2" t="inlineStr">
        <is>
          <t>Dwarven Mauler</t>
        </is>
      </c>
      <c r="B460" s="2">
        <f>IF(AND(F460&lt;&gt;0,E460=F460),"In Hand",IF(AND(E460&lt;&gt;0,E460&lt;F460,SUM(M460:R460)=0,SUM(T460:Y460)&gt;0),"Extra-Sub",IF(AND(E460=0,E460&lt;F460,SUM(M460:R460)=0,SUM(T460:Y460)&gt;0),"Bench-Sub",IF(AND(E460=0,F460&gt;0),"Bench",IF(E460&lt;F460,"Extra",IF(AND(J460="",E460&gt;F460),"To Buy",IF(SUM(J460,F460)&lt;E460,"To Buy",IF(AND(SUM(J460,F460)&gt;=E460,J460&lt;&gt;""),"Ordered",IF(AND(E460=0,F460=0,D460="B3"),"B3 Option",IF(AND(E460=0,F460=0),"Remove","To Buy"))))))))))</f>
        <v/>
      </c>
      <c r="D460" t="inlineStr">
        <is>
          <t>B2</t>
        </is>
      </c>
      <c r="E460" s="3">
        <f>SUM(M460:S460)</f>
        <v/>
      </c>
      <c r="F460" s="3">
        <f>SUM(T460:Z460)</f>
        <v/>
      </c>
      <c r="G460" s="3">
        <f>IF((F460-E460)&gt;=0,F460-E460,0)</f>
        <v/>
      </c>
      <c r="H460" s="3">
        <f>MAX(0,$E460-$F460-$J460)</f>
        <v/>
      </c>
      <c r="I460" s="3" t="n"/>
      <c r="J460" s="3" t="n"/>
      <c r="K460" s="4" t="n"/>
      <c r="L460" s="4">
        <f>IF(AND($H460&gt;0,ISNUMBER($K460)),$H460*$K460,0)</f>
        <v/>
      </c>
      <c r="M460" s="3" t="n"/>
      <c r="N460" s="3" t="n"/>
      <c r="O460" s="3" t="n"/>
      <c r="P460" s="3" t="n"/>
      <c r="Q460" s="3" t="n"/>
      <c r="R460" s="3" t="n"/>
      <c r="S460" s="3">
        <f>IF(AND(J460&lt;&gt;"",SUM(M460:R460)=0),J460,"")</f>
        <v/>
      </c>
      <c r="T460" s="3" t="n"/>
      <c r="U460" s="3" t="n"/>
      <c r="V460" s="3" t="n"/>
      <c r="W460" s="3" t="n"/>
      <c r="X460" s="3" t="n"/>
      <c r="Y460" s="3" t="n">
        <v>1</v>
      </c>
      <c r="Z460" s="3" t="n"/>
      <c r="AA460" s="2" t="inlineStr">
        <is>
          <t>Creature</t>
        </is>
      </c>
      <c r="AB460" s="2" t="inlineStr">
        <is>
          <t>Dwarf Warrior</t>
        </is>
      </c>
      <c r="AC460" s="2" t="inlineStr">
        <is>
          <t>R</t>
        </is>
      </c>
      <c r="AD460" s="3" t="n">
        <v>1</v>
      </c>
      <c r="AE460" s="29" t="inlineStr">
        <is>
          <t>The Hobbit</t>
        </is>
      </c>
      <c r="AF460" s="29" t="inlineStr">
        <is>
          <t>Cost Reducer</t>
        </is>
      </c>
      <c r="AG460" s="29" t="inlineStr">
        <is>
          <t>Reduces equip costs targeting itself by {2}</t>
        </is>
      </c>
      <c r="AH460" s="29" t="inlineStr">
        <is>
          <t>Cheap 1-drop body</t>
        </is>
      </c>
      <c r="AI460" s="29" t="n"/>
      <c r="AJ460" s="2" t="inlineStr">
        <is>
          <t>Cut in Tuned; D6 target removed 2026-09-02: Tuned add Ruby Medallion takes the slot</t>
        </is>
      </c>
      <c r="AK460" t="inlineStr">
        <is>
          <t>[T] D6 target removed; [A later] D6-&gt;B when Ruby Medallion arrives</t>
        </is>
      </c>
    </row>
    <row r="461" ht="15" customHeight="1" s="79">
      <c r="A461" s="2" t="inlineStr">
        <is>
          <t>Dwarven Shortsword</t>
        </is>
      </c>
      <c r="B461" s="2">
        <f>IF(AND(F461&lt;&gt;0,E461=F461),"In Hand",IF(AND(E461&lt;&gt;0,E461&lt;F461,SUM(M461:R461)=0,SUM(T461:Y461)&gt;0),"Extra-Sub",IF(AND(E461=0,E461&lt;F461,SUM(M461:R461)=0,SUM(T461:Y461)&gt;0),"Bench-Sub",IF(AND(E461=0,F461&gt;0),"Bench",IF(E461&lt;F461,"Extra",IF(AND(J461="",E461&gt;F461),"To Buy",IF(SUM(J461,F461)&lt;E461,"To Buy",IF(AND(SUM(J461,F461)&gt;=E461,J461&lt;&gt;""),"Ordered",IF(AND(E461=0,F461=0,D461="B3"),"B3 Option",IF(AND(E461=0,F461=0),"Remove","To Buy"))))))))))</f>
        <v/>
      </c>
      <c r="D461" t="inlineStr">
        <is>
          <t>B2</t>
        </is>
      </c>
      <c r="E461" s="3">
        <f>SUM(M461:S461)</f>
        <v/>
      </c>
      <c r="F461" s="3">
        <f>SUM(T461:Z461)</f>
        <v/>
      </c>
      <c r="G461" s="3">
        <f>IF((F461-E461)&gt;=0,F461-E461,0)</f>
        <v/>
      </c>
      <c r="H461" s="3">
        <f>MAX(0,$E461-$F461-$J461)</f>
        <v/>
      </c>
      <c r="I461" s="3" t="n"/>
      <c r="J461" s="3" t="n"/>
      <c r="K461" s="4" t="n">
        <v>0.1</v>
      </c>
      <c r="L461" s="4">
        <f>IF(AND($H461&gt;0,ISNUMBER($K461)),$H461*$K461,0)</f>
        <v/>
      </c>
      <c r="M461" s="3" t="n"/>
      <c r="N461" s="3" t="n"/>
      <c r="O461" s="3" t="n"/>
      <c r="P461" s="3" t="n"/>
      <c r="Q461" s="3" t="n"/>
      <c r="R461" s="3" t="n"/>
      <c r="S461" s="3">
        <f>IF(AND(J461&lt;&gt;"",SUM(M461:R461)=0),J461,"")</f>
        <v/>
      </c>
      <c r="T461" s="3" t="n"/>
      <c r="U461" s="3" t="n"/>
      <c r="V461" s="3" t="n"/>
      <c r="W461" s="3" t="n"/>
      <c r="X461" s="3" t="n">
        <v>1</v>
      </c>
      <c r="Y461" s="3" t="n"/>
      <c r="Z461" s="3" t="n"/>
      <c r="AA461" s="2" t="inlineStr">
        <is>
          <t>Artifact</t>
        </is>
      </c>
      <c r="AB461" s="2" t="inlineStr">
        <is>
          <t>Equipment</t>
        </is>
      </c>
      <c r="AC461" s="2" t="inlineStr">
        <is>
          <t>W</t>
        </is>
      </c>
      <c r="AD461" s="3" t="n">
        <v>4</v>
      </c>
      <c r="AE461" s="29" t="inlineStr">
        <is>
          <t>The Hobbit</t>
        </is>
      </c>
      <c r="AF461" s="29" t="inlineStr">
        <is>
          <t>Token Producer</t>
        </is>
      </c>
      <c r="AG461" s="29" t="inlineStr">
        <is>
          <t>Creates a 2/2 Dwarf token and attaches itself when it enters</t>
        </is>
      </c>
      <c r="AH461" s="29" t="inlineStr">
        <is>
          <t>Equipped creature gets +1/+2</t>
        </is>
      </c>
      <c r="AI461" s="29" t="inlineStr">
        <is>
          <t>Equip {2}</t>
        </is>
      </c>
      <c r="AJ461" s="2" t="inlineStr">
        <is>
          <t>D5 target removed 2026-09-02 (bench sub Prideful Feastling in place)</t>
        </is>
      </c>
      <c r="AK461" t="inlineStr">
        <is>
          <t>[T+A] D5-&gt;B (cut, replaced by bench card) [done 2026-09-03]</t>
        </is>
      </c>
    </row>
    <row r="462" ht="15" customHeight="1" s="79">
      <c r="A462" s="2" t="inlineStr">
        <is>
          <t>Explorer's Scope</t>
        </is>
      </c>
      <c r="B462" s="2">
        <f>IF(AND(F462&lt;&gt;0,E462=F462),"In Hand",IF(AND(E462&lt;&gt;0,E462&lt;F462,SUM(M462:R462)=0,SUM(T462:Y462)&gt;0),"Extra-Sub",IF(AND(E462=0,E462&lt;F462,SUM(M462:R462)=0,SUM(T462:Y462)&gt;0),"Bench-Sub",IF(AND(E462=0,F462&gt;0),"Bench",IF(E462&lt;F462,"Extra",IF(AND(J462="",E462&gt;F462),"To Buy",IF(SUM(J462,F462)&lt;E462,"To Buy",IF(AND(SUM(J462,F462)&gt;=E462,J462&lt;&gt;""),"Ordered",IF(AND(E462=0,F462=0,D462="B3"),"B3 Option",IF(AND(E462=0,F462=0),"Remove","To Buy"))))))))))</f>
        <v/>
      </c>
      <c r="D462" t="inlineStr">
        <is>
          <t>B2</t>
        </is>
      </c>
      <c r="E462" s="3">
        <f>SUM(M462:S462)</f>
        <v/>
      </c>
      <c r="F462" s="3">
        <f>SUM(T462:Z462)</f>
        <v/>
      </c>
      <c r="G462" s="3">
        <f>IF((F462-E462)&gt;=0,F462-E462,0)</f>
        <v/>
      </c>
      <c r="H462" s="3">
        <f>MAX(0,$E462-$F462-$J462)</f>
        <v/>
      </c>
      <c r="I462" s="3" t="n"/>
      <c r="J462" s="3" t="n"/>
      <c r="K462" s="4" t="n"/>
      <c r="L462" s="4">
        <f>IF(AND($H462&gt;0,ISNUMBER($K462)),$H462*$K462,0)</f>
        <v/>
      </c>
      <c r="M462" s="3" t="n"/>
      <c r="N462" s="3" t="n"/>
      <c r="O462" s="3" t="n"/>
      <c r="P462" s="3" t="n"/>
      <c r="Q462" s="3" t="n"/>
      <c r="R462" s="3" t="n"/>
      <c r="S462" s="3">
        <f>IF(AND(J462&lt;&gt;"",SUM(M462:R462)=0),J462,"")</f>
        <v/>
      </c>
      <c r="T462" s="3" t="n"/>
      <c r="U462" s="3" t="n"/>
      <c r="V462" s="3" t="n"/>
      <c r="W462" s="3" t="n"/>
      <c r="X462" s="3" t="n">
        <v>1</v>
      </c>
      <c r="Y462" s="3" t="n"/>
      <c r="Z462" s="3" t="n">
        <v>2</v>
      </c>
      <c r="AA462" s="2" t="inlineStr">
        <is>
          <t>Artifact</t>
        </is>
      </c>
      <c r="AB462" s="2" t="inlineStr">
        <is>
          <t>Equipment</t>
        </is>
      </c>
      <c r="AC462" s="2" t="inlineStr">
        <is>
          <t>C</t>
        </is>
      </c>
      <c r="AD462" s="3" t="n">
        <v>1</v>
      </c>
      <c r="AE462" s="29" t="inlineStr">
        <is>
          <t>Zendikar</t>
        </is>
      </c>
      <c r="AF462" s="29" t="inlineStr">
        <is>
          <t>Ramp</t>
        </is>
      </c>
      <c r="AG462" s="29" t="inlineStr">
        <is>
          <t>Attacking lets you look at the top library card and play a land there onto the battlefield tapped</t>
        </is>
      </c>
      <c r="AH462" s="29" t="n"/>
      <c r="AI462" s="29" t="n"/>
      <c r="AJ462" s="2" t="inlineStr">
        <is>
          <t>Cut in Tuned; D5 target removed 2026-09-02 (bench sub Vanguard of the Restless in place)</t>
        </is>
      </c>
      <c r="AK462" t="inlineStr">
        <is>
          <t>[T+A] D5-&gt;B (cut, replaced by bench card) [done 2026-09-03]</t>
        </is>
      </c>
    </row>
    <row r="463" ht="15" customHeight="1" s="79">
      <c r="A463" s="2" t="inlineStr">
        <is>
          <t>Faerie Duelist</t>
        </is>
      </c>
      <c r="B463" s="2">
        <f>IF(AND(F463&lt;&gt;0,E463=F463),"In Hand",IF(AND(E463&lt;&gt;0,E463&lt;F463,SUM(M463:R463)=0,SUM(T463:Y463)&gt;0),"Extra-Sub",IF(AND(E463=0,E463&lt;F463,SUM(M463:R463)=0,SUM(T463:Y463)&gt;0),"Bench-Sub",IF(AND(E463=0,F463&gt;0),"Bench",IF(E463&lt;F463,"Extra",IF(AND(J463="",E463&gt;F463),"To Buy",IF(SUM(J463,F463)&lt;E463,"To Buy",IF(AND(SUM(J463,F463)&gt;=E463,J463&lt;&gt;""),"Ordered",IF(AND(E463=0,F463=0,D463="B3"),"B3 Option",IF(AND(E463=0,F463=0),"Remove","To Buy"))))))))))</f>
        <v/>
      </c>
      <c r="D463" t="inlineStr">
        <is>
          <t>B2</t>
        </is>
      </c>
      <c r="E463" s="3">
        <f>SUM(M463:S463)</f>
        <v/>
      </c>
      <c r="F463" s="3">
        <f>SUM(T463:Z463)</f>
        <v/>
      </c>
      <c r="G463" s="3">
        <f>IF((F463-E463)&gt;=0,F463-E463,0)</f>
        <v/>
      </c>
      <c r="H463" s="3">
        <f>MAX(0,$E463-$F463-$J463)</f>
        <v/>
      </c>
      <c r="I463" s="3" t="n"/>
      <c r="J463" s="3" t="n"/>
      <c r="K463" s="4" t="n"/>
      <c r="L463" s="4">
        <f>IF(AND($H463&gt;0,ISNUMBER($K463)),$H463*$K463,0)</f>
        <v/>
      </c>
      <c r="M463" s="3" t="n"/>
      <c r="N463" s="3" t="n"/>
      <c r="O463" s="3" t="n"/>
      <c r="P463" s="3" t="n"/>
      <c r="Q463" s="3" t="n"/>
      <c r="R463" s="3" t="n"/>
      <c r="S463" s="3">
        <f>IF(AND(J463&lt;&gt;"",SUM(M463:R463)=0),J463,"")</f>
        <v/>
      </c>
      <c r="T463" s="3" t="n"/>
      <c r="U463" s="3" t="n">
        <v>1</v>
      </c>
      <c r="V463" s="3" t="n"/>
      <c r="W463" s="3" t="n"/>
      <c r="X463" s="3" t="n"/>
      <c r="Y463" s="3" t="n"/>
      <c r="Z463" s="3" t="n"/>
      <c r="AA463" s="2" t="inlineStr">
        <is>
          <t>Creature</t>
        </is>
      </c>
      <c r="AB463" s="2" t="inlineStr">
        <is>
          <t>Faerie Rogue</t>
        </is>
      </c>
      <c r="AC463" s="2" t="inlineStr">
        <is>
          <t>U</t>
        </is>
      </c>
      <c r="AD463" s="3" t="n">
        <v>2</v>
      </c>
      <c r="AE463" s="29" t="inlineStr">
        <is>
          <t>Ravnica Allegiance</t>
        </is>
      </c>
      <c r="AF463" s="29" t="inlineStr">
        <is>
          <t>Removal</t>
        </is>
      </c>
      <c r="AG463" s="29" t="inlineStr">
        <is>
          <t>Target opponent creature gets -2/-0 until end of turn when it enters</t>
        </is>
      </c>
      <c r="AH463" s="29" t="n"/>
      <c r="AI463" s="29" t="n"/>
      <c r="AJ463" s="2" t="inlineStr">
        <is>
          <t>Cut in Tuned</t>
        </is>
      </c>
    </row>
    <row r="464" ht="15" customHeight="1" s="79">
      <c r="A464" s="2" t="inlineStr">
        <is>
          <t>Fateful Tempest</t>
        </is>
      </c>
      <c r="B464" s="2">
        <f>IF(AND(F464&lt;&gt;0,E464=F464),"In Hand",IF(AND(E464&lt;&gt;0,E464&lt;F464,SUM(M464:R464)=0,SUM(T464:Y464)&gt;0),"Extra-Sub",IF(AND(E464=0,E464&lt;F464,SUM(M464:R464)=0,SUM(T464:Y464)&gt;0),"Bench-Sub",IF(AND(E464=0,F464&gt;0),"Bench",IF(E464&lt;F464,"Extra",IF(AND(J464="",E464&gt;F464),"To Buy",IF(SUM(J464,F464)&lt;E464,"To Buy",IF(AND(SUM(J464,F464)&gt;=E464,J464&lt;&gt;""),"Ordered",IF(AND(E464=0,F464=0,D464="B3"),"B3 Option",IF(AND(E464=0,F464=0),"Remove","To Buy"))))))))))</f>
        <v/>
      </c>
      <c r="D464" t="inlineStr">
        <is>
          <t>B2</t>
        </is>
      </c>
      <c r="E464" s="3">
        <f>SUM(M464:S464)</f>
        <v/>
      </c>
      <c r="F464" s="3">
        <f>SUM(T464:Z464)</f>
        <v/>
      </c>
      <c r="G464" s="3">
        <f>IF((F464-E464)&gt;=0,F464-E464,0)</f>
        <v/>
      </c>
      <c r="H464" s="3">
        <f>MAX(0,$E464-$F464-$J464)</f>
        <v/>
      </c>
      <c r="I464" s="3" t="n"/>
      <c r="J464" s="3" t="n"/>
      <c r="K464" s="4" t="n">
        <v>0.21</v>
      </c>
      <c r="L464" s="4">
        <f>IF(AND($H464&gt;0,ISNUMBER($K464)),$H464*$K464,0)</f>
        <v/>
      </c>
      <c r="M464" s="3" t="n"/>
      <c r="N464" s="3" t="n"/>
      <c r="O464" s="3" t="n"/>
      <c r="P464" s="3" t="n"/>
      <c r="Q464" s="3" t="n"/>
      <c r="R464" s="3" t="n"/>
      <c r="S464" s="3">
        <f>IF(AND(J464&lt;&gt;"",SUM(M464:R464)=0),J464,"")</f>
        <v/>
      </c>
      <c r="T464" s="3" t="n"/>
      <c r="U464" s="3" t="n"/>
      <c r="V464" s="3" t="n"/>
      <c r="W464" s="3" t="n"/>
      <c r="X464" s="3" t="n"/>
      <c r="Y464" s="3" t="n">
        <v>1</v>
      </c>
      <c r="Z464" s="3" t="n"/>
      <c r="AA464" s="2" t="inlineStr">
        <is>
          <t>Sorcery</t>
        </is>
      </c>
      <c r="AB464" s="2" t="n"/>
      <c r="AC464" s="2" t="inlineStr">
        <is>
          <t>R</t>
        </is>
      </c>
      <c r="AD464" s="3" t="n">
        <v>3</v>
      </c>
      <c r="AE464" s="29" t="inlineStr">
        <is>
          <t>Secrets of Strixhaven Commander</t>
        </is>
      </c>
      <c r="AF464" s="29" t="inlineStr">
        <is>
          <t>Burn</t>
        </is>
      </c>
      <c r="AG464" s="29" t="inlineStr">
        <is>
          <t>Deals damage to each opponent equal to mana value milled by votes</t>
        </is>
      </c>
      <c r="AH464" s="29" t="inlineStr">
        <is>
          <t>Exiles cards you may play until end of next turn for present votes</t>
        </is>
      </c>
      <c r="AI464" s="29" t="n"/>
      <c r="AJ464" s="2" t="inlineStr">
        <is>
          <t>D6 target removed 2026-09-02 (bench sub Bag of Holding in place)</t>
        </is>
      </c>
      <c r="AK464" t="inlineStr">
        <is>
          <t>[T+A] D6-&gt;B (cut, replaced by bench card) [done 2026-09-03]</t>
        </is>
      </c>
    </row>
    <row r="465" ht="15" customHeight="1" s="79">
      <c r="A465" s="2" t="inlineStr">
        <is>
          <t>Giant's Boulder</t>
        </is>
      </c>
      <c r="B465" s="2">
        <f>IF(AND(F465&lt;&gt;0,E465=F465),"In Hand",IF(AND(E465&lt;&gt;0,E465&lt;F465,SUM(M465:R465)=0,SUM(T465:Y465)&gt;0),"Extra-Sub",IF(AND(E465=0,E465&lt;F465,SUM(M465:R465)=0,SUM(T465:Y465)&gt;0),"Bench-Sub",IF(AND(E465=0,F465&gt;0),"Bench",IF(E465&lt;F465,"Extra",IF(AND(J465="",E465&gt;F465),"To Buy",IF(SUM(J465,F465)&lt;E465,"To Buy",IF(AND(SUM(J465,F465)&gt;=E465,J465&lt;&gt;""),"Ordered",IF(AND(E465=0,F465=0,D465="B3"),"B3 Option",IF(AND(E465=0,F465=0),"Remove","To Buy"))))))))))</f>
        <v/>
      </c>
      <c r="D465" t="inlineStr">
        <is>
          <t>B2</t>
        </is>
      </c>
      <c r="E465" s="3">
        <f>SUM(M465:S465)</f>
        <v/>
      </c>
      <c r="F465" s="3">
        <f>SUM(T465:Z465)</f>
        <v/>
      </c>
      <c r="G465" s="3">
        <f>IF((F465-E465)&gt;=0,F465-E465,0)</f>
        <v/>
      </c>
      <c r="H465" s="3">
        <f>MAX(0,$E465-$F465-$J465)</f>
        <v/>
      </c>
      <c r="I465" s="3" t="n"/>
      <c r="J465" s="3" t="n"/>
      <c r="K465" s="4" t="n">
        <v>0.26</v>
      </c>
      <c r="L465" s="4">
        <f>IF(AND($H465&gt;0,ISNUMBER($K465)),$H465*$K465,0)</f>
        <v/>
      </c>
      <c r="M465" s="3" t="n"/>
      <c r="N465" s="3" t="n"/>
      <c r="O465" s="3" t="n"/>
      <c r="P465" s="3" t="n"/>
      <c r="Q465" s="3" t="n"/>
      <c r="R465" s="3" t="n"/>
      <c r="S465" s="3">
        <f>IF(AND(J465&lt;&gt;"",SUM(M465:R465)=0),J465,"")</f>
        <v/>
      </c>
      <c r="T465" s="3" t="n"/>
      <c r="U465" s="3" t="n"/>
      <c r="V465" s="3" t="n">
        <v>1</v>
      </c>
      <c r="W465" s="3" t="n"/>
      <c r="X465" s="3" t="n"/>
      <c r="Y465" s="3" t="n"/>
      <c r="Z465" s="3" t="n"/>
      <c r="AA465" s="2" t="inlineStr">
        <is>
          <t>Artifact</t>
        </is>
      </c>
      <c r="AB465" s="2" t="n"/>
      <c r="AC465" s="2" t="inlineStr">
        <is>
          <t>C</t>
        </is>
      </c>
      <c r="AD465" s="3" t="n">
        <v>1</v>
      </c>
      <c r="AE465" s="29" t="inlineStr">
        <is>
          <t>The Hobbit</t>
        </is>
      </c>
      <c r="AF465" s="29" t="inlineStr">
        <is>
          <t>Mana Rock</t>
        </is>
      </c>
      <c r="AG465" s="29" t="inlineStr">
        <is>
          <t>Taps for one mana of any color for {1}</t>
        </is>
      </c>
      <c r="AH465" s="29" t="inlineStr">
        <is>
          <t>Scry 2 when it enters</t>
        </is>
      </c>
      <c r="AI465" s="29" t="inlineStr">
        <is>
          <t>Sacrifice and pay {7} to destroy target permanent</t>
        </is>
      </c>
      <c r="AJ465" s="2" t="n"/>
    </row>
    <row r="466" ht="15" customHeight="1" s="79">
      <c r="A466" s="2" t="inlineStr">
        <is>
          <t>Gloom Ripper</t>
        </is>
      </c>
      <c r="B466" s="2">
        <f>IF(AND(F466&lt;&gt;0,E466=F466),"In Hand",IF(AND(E466&lt;&gt;0,E466&lt;F466,SUM(M466:R466)=0,SUM(T466:Y466)&gt;0),"Extra-Sub",IF(AND(E466=0,E466&lt;F466,SUM(M466:R466)=0,SUM(T466:Y466)&gt;0),"Bench-Sub",IF(AND(E466=0,F466&gt;0),"Bench",IF(E466&lt;F466,"Extra",IF(AND(J466="",E466&gt;F466),"To Buy",IF(SUM(J466,F466)&lt;E466,"To Buy",IF(AND(SUM(J466,F466)&gt;=E466,J466&lt;&gt;""),"Ordered",IF(AND(E466=0,F466=0,D466="B3"),"B3 Option",IF(AND(E466=0,F466=0),"Remove","To Buy"))))))))))</f>
        <v/>
      </c>
      <c r="D466" t="inlineStr">
        <is>
          <t>B2</t>
        </is>
      </c>
      <c r="E466" s="3">
        <f>SUM(M466:S466)</f>
        <v/>
      </c>
      <c r="F466" s="3">
        <f>SUM(T466:Z466)</f>
        <v/>
      </c>
      <c r="G466" s="3">
        <f>IF((F466-E466)&gt;=0,F466-E466,0)</f>
        <v/>
      </c>
      <c r="H466" s="3">
        <f>MAX(0,$E466-$F466-$J466)</f>
        <v/>
      </c>
      <c r="I466" s="3" t="n"/>
      <c r="J466" s="3" t="n"/>
      <c r="K466" s="4" t="n"/>
      <c r="L466" s="4">
        <f>IF(AND($H466&gt;0,ISNUMBER($K466)),$H466*$K466,0)</f>
        <v/>
      </c>
      <c r="M466" s="3" t="n"/>
      <c r="N466" s="3" t="n"/>
      <c r="O466" s="3" t="n"/>
      <c r="P466" s="3" t="n"/>
      <c r="Q466" s="3" t="n"/>
      <c r="R466" s="3" t="n"/>
      <c r="S466" s="3">
        <f>IF(AND(J466&lt;&gt;"",SUM(M466:R466)=0),J466,"")</f>
        <v/>
      </c>
      <c r="T466" s="3" t="n"/>
      <c r="U466" s="3" t="n"/>
      <c r="V466" s="3" t="n">
        <v>1</v>
      </c>
      <c r="W466" s="3" t="n"/>
      <c r="X466" s="3" t="n"/>
      <c r="Y466" s="3" t="n"/>
      <c r="Z466" s="3" t="n"/>
      <c r="AA466" s="2" t="inlineStr">
        <is>
          <t>Creature</t>
        </is>
      </c>
      <c r="AB466" s="2" t="inlineStr">
        <is>
          <t>Elf Assassin</t>
        </is>
      </c>
      <c r="AC466" s="2" t="inlineStr">
        <is>
          <t>B</t>
        </is>
      </c>
      <c r="AD466" s="3" t="n">
        <v>5</v>
      </c>
      <c r="AE466" s="29" t="inlineStr">
        <is>
          <t>Lorwyn Eclipsed</t>
        </is>
      </c>
      <c r="AF466" s="29" t="inlineStr">
        <is>
          <t>Removal</t>
        </is>
      </c>
      <c r="AG466" s="29" t="inlineStr">
        <is>
          <t>Target creature you control gets +X/+0 and an opponent's creature gets -0/-X until end of turn</t>
        </is>
      </c>
      <c r="AH466" s="29" t="inlineStr">
        <is>
          <t>X equals Elves you control plus Elf cards in your graveyard</t>
        </is>
      </c>
      <c r="AI466" s="29" t="n"/>
      <c r="AJ466" s="2" t="inlineStr">
        <is>
          <t>Cut in Tuned</t>
        </is>
      </c>
    </row>
    <row r="467" ht="15" customHeight="1" s="79">
      <c r="A467" s="2" t="inlineStr">
        <is>
          <t>Goldvein Pick</t>
        </is>
      </c>
      <c r="B467" s="2">
        <f>IF(AND(F467&lt;&gt;0,E467=F467),"In Hand",IF(AND(E467&lt;&gt;0,E467&lt;F467,SUM(M467:R467)=0,SUM(T467:Y467)&gt;0),"Extra-Sub",IF(AND(E467=0,E467&lt;F467,SUM(M467:R467)=0,SUM(T467:Y467)&gt;0),"Bench-Sub",IF(AND(E467=0,F467&gt;0),"Bench",IF(E467&lt;F467,"Extra",IF(AND(J467="",E467&gt;F467),"To Buy",IF(SUM(J467,F467)&lt;E467,"To Buy",IF(AND(SUM(J467,F467)&gt;=E467,J467&lt;&gt;""),"Ordered",IF(AND(E467=0,F467=0,D467="B3"),"B3 Option",IF(AND(E467=0,F467=0),"Remove","To Buy"))))))))))</f>
        <v/>
      </c>
      <c r="D467" t="inlineStr">
        <is>
          <t>B2</t>
        </is>
      </c>
      <c r="E467" s="3">
        <f>SUM(M467:S467)</f>
        <v/>
      </c>
      <c r="F467" s="3">
        <f>SUM(T467:Z467)</f>
        <v/>
      </c>
      <c r="G467" s="3">
        <f>IF((F467-E467)&gt;=0,F467-E467,0)</f>
        <v/>
      </c>
      <c r="H467" s="3">
        <f>MAX(0,$E467-$F467-$J467)</f>
        <v/>
      </c>
      <c r="I467" s="3" t="n"/>
      <c r="J467" s="3" t="n"/>
      <c r="K467" s="4" t="n"/>
      <c r="L467" s="4">
        <f>IF(AND($H467&gt;0,ISNUMBER($K467)),$H467*$K467,0)</f>
        <v/>
      </c>
      <c r="M467" s="3" t="n"/>
      <c r="N467" s="3" t="n"/>
      <c r="O467" s="3" t="n"/>
      <c r="P467" s="3" t="n"/>
      <c r="Q467" s="3" t="n"/>
      <c r="R467" s="3" t="n"/>
      <c r="S467" s="3">
        <f>IF(AND(J467&lt;&gt;"",SUM(M467:R467)=0),J467,"")</f>
        <v/>
      </c>
      <c r="T467" s="3" t="n"/>
      <c r="U467" s="3" t="n"/>
      <c r="V467" s="3" t="n"/>
      <c r="W467" s="3" t="n"/>
      <c r="X467" s="3" t="n">
        <v>1</v>
      </c>
      <c r="Y467" s="3" t="n"/>
      <c r="Z467" s="3" t="n"/>
      <c r="AA467" s="2" t="inlineStr">
        <is>
          <t>Artifact</t>
        </is>
      </c>
      <c r="AB467" s="2" t="inlineStr">
        <is>
          <t>Equipment</t>
        </is>
      </c>
      <c r="AC467" s="2" t="inlineStr">
        <is>
          <t>C</t>
        </is>
      </c>
      <c r="AD467" s="3" t="n">
        <v>2</v>
      </c>
      <c r="AE467" s="29" t="inlineStr">
        <is>
          <t>Kaldheim</t>
        </is>
      </c>
      <c r="AF467" s="29" t="inlineStr">
        <is>
          <t>Token Producer</t>
        </is>
      </c>
      <c r="AG467" s="29" t="inlineStr">
        <is>
          <t>Equipped creature gets +1/+1</t>
        </is>
      </c>
      <c r="AH467" s="29" t="inlineStr">
        <is>
          <t>Creates a Treasure token when equipped creature deals combat damage to a player</t>
        </is>
      </c>
      <c r="AI467" s="29" t="n"/>
      <c r="AJ467" s="2" t="inlineStr">
        <is>
          <t>Cut in Tuned; D5 target removed 2026-09-02 (bench sub Great Fierce Bee in place)</t>
        </is>
      </c>
      <c r="AK467" t="inlineStr">
        <is>
          <t>[T+A] D5-&gt;B (cut, replaced by bench card) [done 2026-09-03]</t>
        </is>
      </c>
    </row>
    <row r="468" ht="15" customHeight="1" s="79">
      <c r="A468" s="2" t="inlineStr">
        <is>
          <t>Guardian of the Halls</t>
        </is>
      </c>
      <c r="B468" s="2">
        <f>IF(AND(F468&lt;&gt;0,E468=F468),"In Hand",IF(AND(E468&lt;&gt;0,E468&lt;F468,SUM(M468:R468)=0,SUM(T468:Y468)&gt;0),"Extra-Sub",IF(AND(E468=0,E468&lt;F468,SUM(M468:R468)=0,SUM(T468:Y468)&gt;0),"Bench-Sub",IF(AND(E468=0,F468&gt;0),"Bench",IF(E468&lt;F468,"Extra",IF(AND(J468="",E468&gt;F468),"To Buy",IF(SUM(J468,F468)&lt;E468,"To Buy",IF(AND(SUM(J468,F468)&gt;=E468,J468&lt;&gt;""),"Ordered",IF(AND(E468=0,F468=0,D468="B3"),"B3 Option",IF(AND(E468=0,F468=0),"Remove","To Buy"))))))))))</f>
        <v/>
      </c>
      <c r="D468" t="inlineStr">
        <is>
          <t>B2</t>
        </is>
      </c>
      <c r="E468" s="3">
        <f>SUM(M468:S468)</f>
        <v/>
      </c>
      <c r="F468" s="3">
        <f>SUM(T468:Z468)</f>
        <v/>
      </c>
      <c r="G468" s="3">
        <f>IF((F468-E468)&gt;=0,F468-E468,0)</f>
        <v/>
      </c>
      <c r="H468" s="3">
        <f>MAX(0,$E468-$F468-$J468)</f>
        <v/>
      </c>
      <c r="I468" s="3" t="n"/>
      <c r="J468" s="3" t="n"/>
      <c r="K468" s="4" t="n">
        <v>0.12</v>
      </c>
      <c r="L468" s="4">
        <f>IF(AND($H468&gt;0,ISNUMBER($K468)),$H468*$K468,0)</f>
        <v/>
      </c>
      <c r="M468" s="3" t="n"/>
      <c r="N468" s="3" t="n"/>
      <c r="O468" s="3" t="n"/>
      <c r="P468" s="3" t="n"/>
      <c r="Q468" s="3" t="n"/>
      <c r="R468" s="3" t="n"/>
      <c r="S468" s="3">
        <f>IF(AND(J468&lt;&gt;"",SUM(M468:R468)=0),J468,"")</f>
        <v/>
      </c>
      <c r="T468" s="3" t="n"/>
      <c r="U468" s="3" t="n"/>
      <c r="V468" s="3" t="n">
        <v>1</v>
      </c>
      <c r="W468" s="3" t="n"/>
      <c r="X468" s="3" t="n"/>
      <c r="Y468" s="3" t="n"/>
      <c r="Z468" s="3" t="n"/>
      <c r="AA468" s="2" t="inlineStr">
        <is>
          <t>Creature</t>
        </is>
      </c>
      <c r="AB468" s="2" t="inlineStr">
        <is>
          <t>Elf Soldier</t>
        </is>
      </c>
      <c r="AC468" s="2" t="inlineStr">
        <is>
          <t>G</t>
        </is>
      </c>
      <c r="AD468" s="3" t="n">
        <v>2</v>
      </c>
      <c r="AE468" s="29" t="inlineStr">
        <is>
          <t>The Hobbit</t>
        </is>
      </c>
      <c r="AF468" s="29" t="inlineStr">
        <is>
          <t>Counters Payoff</t>
        </is>
      </c>
      <c r="AG468" s="29" t="inlineStr">
        <is>
          <t>Pay {5}{G}{G} to put three +1/+1 counters on it</t>
        </is>
      </c>
      <c r="AH468" s="29" t="inlineStr">
        <is>
          <t>Excess combat damage carries through to the defending player</t>
        </is>
      </c>
      <c r="AI468" s="29" t="n"/>
      <c r="AJ468" s="2" t="n"/>
    </row>
    <row r="469" ht="15" customHeight="1" s="79">
      <c r="A469" s="2" t="inlineStr">
        <is>
          <t>Haystack</t>
        </is>
      </c>
      <c r="B469" s="2">
        <f>IF(AND(F469&lt;&gt;0,E469=F469),"In Hand",IF(AND(E469&lt;&gt;0,E469&lt;F469,SUM(M469:R469)=0,SUM(T469:Y469)&gt;0),"Extra-Sub",IF(AND(E469=0,E469&lt;F469,SUM(M469:R469)=0,SUM(T469:Y469)&gt;0),"Bench-Sub",IF(AND(E469=0,F469&gt;0),"Bench",IF(E469&lt;F469,"Extra",IF(AND(J469="",E469&gt;F469),"To Buy",IF(SUM(J469,F469)&lt;E469,"To Buy",IF(AND(SUM(J469,F469)&gt;=E469,J469&lt;&gt;""),"Ordered",IF(AND(E469=0,F469=0,D469="B3"),"B3 Option",IF(AND(E469=0,F469=0),"Remove","To Buy"))))))))))</f>
        <v/>
      </c>
      <c r="D469" t="inlineStr">
        <is>
          <t>B2</t>
        </is>
      </c>
      <c r="E469" s="3">
        <f>SUM(M469:S469)</f>
        <v/>
      </c>
      <c r="F469" s="3">
        <f>SUM(T469:Z469)</f>
        <v/>
      </c>
      <c r="G469" s="3">
        <f>IF((F469-E469)&gt;=0,F469-E469,0)</f>
        <v/>
      </c>
      <c r="H469" s="3">
        <f>MAX(0,$E469-$F469-$J469)</f>
        <v/>
      </c>
      <c r="I469" s="3" t="n"/>
      <c r="J469" s="3" t="n"/>
      <c r="K469" s="4" t="n"/>
      <c r="L469" s="4">
        <f>IF(AND($H469&gt;0,ISNUMBER($K469)),$H469*$K469,0)</f>
        <v/>
      </c>
      <c r="M469" s="3" t="n"/>
      <c r="N469" s="3" t="n"/>
      <c r="O469" s="3" t="n"/>
      <c r="P469" s="3" t="n"/>
      <c r="Q469" s="3" t="n"/>
      <c r="R469" s="3" t="n"/>
      <c r="S469" s="3">
        <f>IF(AND(J469&lt;&gt;"",SUM(M469:R469)=0),J469,"")</f>
        <v/>
      </c>
      <c r="T469" s="3" t="n"/>
      <c r="U469" s="3" t="n"/>
      <c r="V469" s="3" t="n"/>
      <c r="W469" s="3" t="n"/>
      <c r="X469" s="3" t="n">
        <v>1</v>
      </c>
      <c r="Y469" s="3" t="n"/>
      <c r="Z469" s="3" t="n"/>
      <c r="AA469" s="2" t="inlineStr">
        <is>
          <t>Artifact</t>
        </is>
      </c>
      <c r="AB469" s="2" t="n"/>
      <c r="AC469" s="2" t="inlineStr">
        <is>
          <t>W</t>
        </is>
      </c>
      <c r="AD469" s="3" t="n">
        <v>2</v>
      </c>
      <c r="AE469" s="29" t="inlineStr">
        <is>
          <t>Assassin's Creed</t>
        </is>
      </c>
      <c r="AF469" s="29" t="inlineStr">
        <is>
          <t>Protection</t>
        </is>
      </c>
      <c r="AG469" s="29" t="inlineStr">
        <is>
          <t>Phases out target creature you control</t>
        </is>
      </c>
      <c r="AH469" s="29" t="n"/>
      <c r="AI469" s="29" t="n"/>
      <c r="AJ469" s="2" t="inlineStr">
        <is>
          <t>Cut in Tuned; D5 target removed 2026-09-02 (bench sub Hemlock Vial in place)</t>
        </is>
      </c>
      <c r="AK469" t="inlineStr">
        <is>
          <t>[T+A] D5-&gt;B (cut, replaced by bench card) [done 2026-09-03]</t>
        </is>
      </c>
    </row>
    <row r="470" ht="15" customHeight="1" s="79">
      <c r="A470" s="2" t="inlineStr">
        <is>
          <t>Knight of Old Benalia</t>
        </is>
      </c>
      <c r="B470" s="2">
        <f>IF(AND(F470&lt;&gt;0,E470=F470),"In Hand",IF(AND(E470&lt;&gt;0,E470&lt;F470,SUM(M470:R470)=0,SUM(T470:Y470)&gt;0),"Extra-Sub",IF(AND(E470=0,E470&lt;F470,SUM(M470:R470)=0,SUM(T470:Y470)&gt;0),"Bench-Sub",IF(AND(E470=0,F470&gt;0),"Bench",IF(E470&lt;F470,"Extra",IF(AND(J470="",E470&gt;F470),"To Buy",IF(SUM(J470,F470)&lt;E470,"To Buy",IF(AND(SUM(J470,F470)&gt;=E470,J470&lt;&gt;""),"Ordered",IF(AND(E470=0,F470=0,D470="B3"),"B3 Option",IF(AND(E470=0,F470=0),"Remove","To Buy"))))))))))</f>
        <v/>
      </c>
      <c r="D470" t="inlineStr">
        <is>
          <t>B2</t>
        </is>
      </c>
      <c r="E470" s="3">
        <f>SUM(M470:S470)</f>
        <v/>
      </c>
      <c r="F470" s="3">
        <f>SUM(T470:Z470)</f>
        <v/>
      </c>
      <c r="G470" s="3">
        <f>IF((F470-E470)&gt;=0,F470-E470,0)</f>
        <v/>
      </c>
      <c r="H470" s="3">
        <f>MAX(0,$E470-$F470-$J470)</f>
        <v/>
      </c>
      <c r="I470" s="3" t="n"/>
      <c r="J470" s="3" t="n"/>
      <c r="K470" s="4" t="n">
        <v>0.05</v>
      </c>
      <c r="L470" s="4">
        <f>IF(AND($H470&gt;0,ISNUMBER($K470)),$H470*$K470,0)</f>
        <v/>
      </c>
      <c r="M470" s="3" t="n"/>
      <c r="N470" s="3" t="n"/>
      <c r="O470" s="3" t="n"/>
      <c r="P470" s="3" t="n"/>
      <c r="Q470" s="3" t="n"/>
      <c r="R470" s="3" t="n"/>
      <c r="S470" s="3">
        <f>IF(AND(J470&lt;&gt;"",SUM(M470:R470)=0),J470,"")</f>
        <v/>
      </c>
      <c r="T470" s="3" t="n"/>
      <c r="U470" s="3" t="n"/>
      <c r="V470" s="3" t="n"/>
      <c r="W470" s="3" t="n">
        <v>1</v>
      </c>
      <c r="X470" s="3" t="n"/>
      <c r="Y470" s="3" t="n"/>
      <c r="Z470" s="3" t="n"/>
      <c r="AA470" s="2" t="inlineStr">
        <is>
          <t>Creature</t>
        </is>
      </c>
      <c r="AB470" s="2" t="inlineStr">
        <is>
          <t>Human Knight</t>
        </is>
      </c>
      <c r="AC470" s="2" t="inlineStr">
        <is>
          <t>W</t>
        </is>
      </c>
      <c r="AD470" s="3" t="n">
        <v>5</v>
      </c>
      <c r="AE470" s="29" t="inlineStr">
        <is>
          <t>Modern Horizons</t>
        </is>
      </c>
      <c r="AF470" s="29" t="inlineStr">
        <is>
          <t>Combat Trick</t>
        </is>
      </c>
      <c r="AG470" s="29" t="inlineStr">
        <is>
          <t>Other creatures you control get +1/+1 until end of turn when it enters</t>
        </is>
      </c>
      <c r="AH470" s="29" t="inlineStr">
        <is>
          <t>Suspend 5-{W}: cast later free with haste after counters removed</t>
        </is>
      </c>
      <c r="AI470" s="29" t="n"/>
      <c r="AJ470" s="2" t="inlineStr">
        <is>
          <t>D4 target removed 2026-09-02 (bench sub Meandering Towershell in place)</t>
        </is>
      </c>
      <c r="AK470" t="inlineStr">
        <is>
          <t>[T+A] D4-&gt;B (cut, replaced by bench card) [done 2026-09-03]</t>
        </is>
      </c>
    </row>
    <row r="471" ht="15" customHeight="1" s="79">
      <c r="A471" s="2" t="inlineStr">
        <is>
          <t>Kyoshi Island Plaza</t>
        </is>
      </c>
      <c r="B471" s="2">
        <f>IF(AND(F471&lt;&gt;0,E471=F471),"In Hand",IF(AND(E471&lt;&gt;0,E471&lt;F471,SUM(M471:R471)=0,SUM(T471:Y471)&gt;0),"Extra-Sub",IF(AND(E471=0,E471&lt;F471,SUM(M471:R471)=0,SUM(T471:Y471)&gt;0),"Bench-Sub",IF(AND(E471=0,F471&gt;0),"Bench",IF(E471&lt;F471,"Extra",IF(AND(J471="",E471&gt;F471),"To Buy",IF(SUM(J471,F471)&lt;E471,"To Buy",IF(AND(SUM(J471,F471)&gt;=E471,J471&lt;&gt;""),"Ordered",IF(AND(E471=0,F471=0,D471="B3"),"B3 Option",IF(AND(E471=0,F471=0),"Remove","To Buy"))))))))))</f>
        <v/>
      </c>
      <c r="D471" t="inlineStr">
        <is>
          <t>B2</t>
        </is>
      </c>
      <c r="E471" s="3">
        <f>SUM(M471:S471)</f>
        <v/>
      </c>
      <c r="F471" s="3">
        <f>SUM(T471:Z471)</f>
        <v/>
      </c>
      <c r="G471" s="3">
        <f>IF((F471-E471)&gt;=0,F471-E471,0)</f>
        <v/>
      </c>
      <c r="H471" s="3">
        <f>MAX(0,$E471-$F471-$J471)</f>
        <v/>
      </c>
      <c r="I471" s="3" t="n"/>
      <c r="J471" s="3" t="n"/>
      <c r="K471" s="4" t="n"/>
      <c r="L471" s="4">
        <f>IF(AND($H471&gt;0,ISNUMBER($K471)),$H471*$K471,0)</f>
        <v/>
      </c>
      <c r="M471" s="3" t="n"/>
      <c r="N471" s="3" t="n"/>
      <c r="O471" s="3" t="n"/>
      <c r="P471" s="3" t="n"/>
      <c r="Q471" s="3" t="n"/>
      <c r="R471" s="3" t="n"/>
      <c r="S471" s="3">
        <f>IF(AND(J471&lt;&gt;"",SUM(M471:R471)=0),J471,"")</f>
        <v/>
      </c>
      <c r="T471" s="3" t="n"/>
      <c r="U471" s="3" t="n"/>
      <c r="V471" s="3" t="n">
        <v>1</v>
      </c>
      <c r="W471" s="3" t="n"/>
      <c r="X471" s="3" t="n"/>
      <c r="Y471" s="3" t="n"/>
      <c r="Z471" s="3" t="n"/>
      <c r="AA471" s="2" t="inlineStr">
        <is>
          <t>Legendary Enchantment</t>
        </is>
      </c>
      <c r="AB471" s="2" t="inlineStr">
        <is>
          <t>Shrine</t>
        </is>
      </c>
      <c r="AC471" s="2" t="inlineStr">
        <is>
          <t>G</t>
        </is>
      </c>
      <c r="AD471" s="3" t="n">
        <v>4</v>
      </c>
      <c r="AE471" s="29" t="inlineStr">
        <is>
          <t>Avatar: The Last Airbender</t>
        </is>
      </c>
      <c r="AF471" s="29" t="inlineStr">
        <is>
          <t>Ramp</t>
        </is>
      </c>
      <c r="AG471" s="29" t="inlineStr">
        <is>
          <t>Searches for basic lands equal to Shrines you control, puts them onto the battlefield tapped, when it enters</t>
        </is>
      </c>
      <c r="AH471" s="29" t="inlineStr">
        <is>
          <t>Searches for one basic land tapped whenever another Shrine you control enters</t>
        </is>
      </c>
      <c r="AI471" s="29" t="n"/>
      <c r="AJ471" s="2" t="inlineStr">
        <is>
          <t>Cut in Tuned (for Simic Signet)</t>
        </is>
      </c>
    </row>
    <row r="472" ht="15" customHeight="1" s="79">
      <c r="A472" s="2" t="inlineStr">
        <is>
          <t>Monastery Raid</t>
        </is>
      </c>
      <c r="B472" s="2">
        <f>IF(AND(F472&lt;&gt;0,E472=F472),"In Hand",IF(AND(E472&lt;&gt;0,E472&lt;F472,SUM(M472:R472)=0,SUM(T472:Y472)&gt;0),"Extra-Sub",IF(AND(E472=0,E472&lt;F472,SUM(M472:R472)=0,SUM(T472:Y472)&gt;0),"Bench-Sub",IF(AND(E472=0,F472&gt;0),"Bench",IF(E472&lt;F472,"Extra",IF(AND(J472="",E472&gt;F472),"To Buy",IF(SUM(J472,F472)&lt;E472,"To Buy",IF(AND(SUM(J472,F472)&gt;=E472,J472&lt;&gt;""),"Ordered",IF(AND(E472=0,F472=0,D472="B3"),"B3 Option",IF(AND(E472=0,F472=0),"Remove","To Buy"))))))))))</f>
        <v/>
      </c>
      <c r="D472" t="inlineStr">
        <is>
          <t>B2</t>
        </is>
      </c>
      <c r="E472" s="3">
        <f>SUM(M472:S472)</f>
        <v/>
      </c>
      <c r="F472" s="3">
        <f>SUM(T472:Z472)</f>
        <v/>
      </c>
      <c r="G472" s="3">
        <f>IF((F472-E472)&gt;=0,F472-E472,0)</f>
        <v/>
      </c>
      <c r="H472" s="3">
        <f>MAX(0,$E472-$F472-$J472)</f>
        <v/>
      </c>
      <c r="I472" s="3" t="n"/>
      <c r="J472" s="3" t="n"/>
      <c r="K472" s="4" t="n"/>
      <c r="L472" s="4">
        <f>IF(AND($H472&gt;0,ISNUMBER($K472)),$H472*$K472,0)</f>
        <v/>
      </c>
      <c r="M472" s="3" t="n"/>
      <c r="N472" s="3" t="n"/>
      <c r="O472" s="3" t="n"/>
      <c r="P472" s="3" t="n"/>
      <c r="Q472" s="3" t="n"/>
      <c r="R472" s="3" t="n"/>
      <c r="S472" s="3">
        <f>IF(AND(J472&lt;&gt;"",SUM(M472:R472)=0),J472,"")</f>
        <v/>
      </c>
      <c r="T472" s="3" t="n"/>
      <c r="U472" s="3" t="n"/>
      <c r="V472" s="3" t="n"/>
      <c r="W472" s="3" t="n"/>
      <c r="X472" s="3" t="n"/>
      <c r="Y472" s="3" t="n">
        <v>1</v>
      </c>
      <c r="Z472" s="3" t="n"/>
      <c r="AA472" s="2" t="inlineStr">
        <is>
          <t>Sorcery</t>
        </is>
      </c>
      <c r="AB472" s="2" t="n"/>
      <c r="AC472" s="2" t="inlineStr">
        <is>
          <t>R</t>
        </is>
      </c>
      <c r="AD472" s="3" t="n">
        <v>3</v>
      </c>
      <c r="AE472" s="29" t="inlineStr">
        <is>
          <t>Assassin's Creed</t>
        </is>
      </c>
      <c r="AF472" s="29" t="inlineStr">
        <is>
          <t>Card Selection</t>
        </is>
      </c>
      <c r="AG472" s="29" t="inlineStr">
        <is>
          <t>Exiles top two cards to play until end of next turn</t>
        </is>
      </c>
      <c r="AH472" s="29" t="inlineStr">
        <is>
          <t>Freerunning lets you pay {X}{R} to exile X cards instead</t>
        </is>
      </c>
      <c r="AI472" s="29" t="n"/>
      <c r="AJ472" s="2" t="inlineStr">
        <is>
          <t>Cut in Tuned; D6 target removed 2026-09-02: Tuned add Molten Echoes takes the slot</t>
        </is>
      </c>
      <c r="AK472" t="inlineStr">
        <is>
          <t>[T] D6 target removed; [A later] D6-&gt;B when Molten Echoes arrives</t>
        </is>
      </c>
    </row>
    <row r="473" ht="15" customHeight="1" s="79">
      <c r="A473" s="2" t="inlineStr">
        <is>
          <t>Naya Panorama</t>
        </is>
      </c>
      <c r="B473" s="2">
        <f>IF(AND(F473&lt;&gt;0,E473=F473),"In Hand",IF(AND(E473&lt;&gt;0,E473&lt;F473,SUM(M473:R473)=0,SUM(T473:Y473)&gt;0),"Extra-Sub",IF(AND(E473=0,E473&lt;F473,SUM(M473:R473)=0,SUM(T473:Y473)&gt;0),"Bench-Sub",IF(AND(E473=0,F473&gt;0),"Bench",IF(E473&lt;F473,"Extra",IF(AND(J473="",E473&gt;F473),"To Buy",IF(SUM(J473,F473)&lt;E473,"To Buy",IF(AND(SUM(J473,F473)&gt;=E473,J473&lt;&gt;""),"Ordered",IF(AND(E473=0,F473=0,D473="B3"),"B3 Option",IF(AND(E473=0,F473=0),"Remove","To Buy"))))))))))</f>
        <v/>
      </c>
      <c r="D473" t="inlineStr">
        <is>
          <t>B2</t>
        </is>
      </c>
      <c r="E473" s="3">
        <f>SUM(M473:S473)</f>
        <v/>
      </c>
      <c r="F473" s="3">
        <f>SUM(T473:Z473)</f>
        <v/>
      </c>
      <c r="G473" s="3">
        <f>IF((F473-E473)&gt;=0,F473-E473,0)</f>
        <v/>
      </c>
      <c r="H473" s="3">
        <f>MAX(0,$E473-$F473-$J473)</f>
        <v/>
      </c>
      <c r="I473" s="3" t="n"/>
      <c r="J473" s="3" t="n"/>
      <c r="K473" s="4" t="n">
        <v>0.36</v>
      </c>
      <c r="L473" s="4">
        <f>IF(AND($H473&gt;0,ISNUMBER($K473)),$H473*$K473,0)</f>
        <v/>
      </c>
      <c r="M473" s="3" t="n"/>
      <c r="N473" s="3" t="n"/>
      <c r="O473" s="3" t="n"/>
      <c r="P473" s="3" t="n"/>
      <c r="Q473" s="3" t="n"/>
      <c r="R473" s="3" t="n"/>
      <c r="S473" s="3">
        <f>IF(AND(J473&lt;&gt;"",SUM(M473:R473)=0),J473,"")</f>
        <v/>
      </c>
      <c r="T473" s="3" t="n"/>
      <c r="U473" s="3" t="n">
        <v>1</v>
      </c>
      <c r="V473" s="3" t="n"/>
      <c r="W473" s="3" t="n"/>
      <c r="X473" s="3" t="n"/>
      <c r="Y473" s="3" t="n"/>
      <c r="Z473" s="3" t="n"/>
      <c r="AA473" s="2" t="inlineStr">
        <is>
          <t>Land</t>
        </is>
      </c>
      <c r="AB473" s="2" t="n"/>
      <c r="AC473" s="2" t="inlineStr">
        <is>
          <t>L</t>
        </is>
      </c>
      <c r="AD473" s="3" t="n">
        <v>0</v>
      </c>
      <c r="AE473" s="29" t="inlineStr">
        <is>
          <t>Shards of Alara</t>
        </is>
      </c>
      <c r="AF473" s="29" t="inlineStr">
        <is>
          <t>Land</t>
        </is>
      </c>
      <c r="AG473" s="29" t="inlineStr">
        <is>
          <t>Taps for {C}</t>
        </is>
      </c>
      <c r="AH473" s="29" t="inlineStr">
        <is>
          <t>Sacrifice to search for a Mountain, Forest, or Plains card, put tapped</t>
        </is>
      </c>
      <c r="AI473" s="29" t="n"/>
      <c r="AJ473" s="2" t="n"/>
    </row>
    <row r="474" ht="15" customHeight="1" s="79">
      <c r="A474" s="2" t="inlineStr">
        <is>
          <t>Negate</t>
        </is>
      </c>
      <c r="B474" s="2">
        <f>IF(AND(F474&lt;&gt;0,E474=F474),"In Hand",IF(AND(E474&lt;&gt;0,E474&lt;F474,SUM(M474:R474)=0,SUM(T474:Y474)&gt;0),"Extra-Sub",IF(AND(E474=0,E474&lt;F474,SUM(M474:R474)=0,SUM(T474:Y474)&gt;0),"Bench-Sub",IF(AND(E474=0,F474&gt;0),"Bench",IF(E474&lt;F474,"Extra",IF(AND(J474="",E474&gt;F474),"To Buy",IF(SUM(J474,F474)&lt;E474,"To Buy",IF(AND(SUM(J474,F474)&gt;=E474,J474&lt;&gt;""),"Ordered",IF(AND(E474=0,F474=0,D474="B3"),"B3 Option",IF(AND(E474=0,F474=0),"Remove","To Buy"))))))))))</f>
        <v/>
      </c>
      <c r="D474" t="inlineStr">
        <is>
          <t>B2</t>
        </is>
      </c>
      <c r="E474" s="3">
        <f>SUM(M474:S474)</f>
        <v/>
      </c>
      <c r="F474" s="3">
        <f>SUM(T474:Z474)</f>
        <v/>
      </c>
      <c r="G474" s="3">
        <f>IF((F474-E474)&gt;=0,F474-E474,0)</f>
        <v/>
      </c>
      <c r="H474" s="3">
        <f>MAX(0,$E474-$F474-$J474)</f>
        <v/>
      </c>
      <c r="I474" s="3" t="n"/>
      <c r="J474" s="3" t="n"/>
      <c r="K474" s="4" t="n">
        <v>0.23</v>
      </c>
      <c r="L474" s="4">
        <f>IF(AND($H474&gt;0,ISNUMBER($K474)),$H474*$K474,0)</f>
        <v/>
      </c>
      <c r="M474" s="3" t="n"/>
      <c r="N474" s="3" t="n"/>
      <c r="O474" s="3" t="n"/>
      <c r="P474" s="3" t="n"/>
      <c r="Q474" s="3" t="n"/>
      <c r="R474" s="3" t="n"/>
      <c r="S474" s="3">
        <f>IF(AND(J474&lt;&gt;"",SUM(M474:R474)=0),J474,"")</f>
        <v/>
      </c>
      <c r="T474" s="3" t="n"/>
      <c r="U474" s="3" t="n">
        <v>1</v>
      </c>
      <c r="V474" s="3" t="n"/>
      <c r="W474" s="3" t="n"/>
      <c r="X474" s="3" t="n"/>
      <c r="Y474" s="3" t="n"/>
      <c r="Z474" s="3" t="n"/>
      <c r="AA474" s="2" t="inlineStr">
        <is>
          <t>Instant</t>
        </is>
      </c>
      <c r="AB474" s="2" t="n"/>
      <c r="AC474" s="2" t="inlineStr">
        <is>
          <t>U</t>
        </is>
      </c>
      <c r="AD474" s="3" t="n">
        <v>2</v>
      </c>
      <c r="AE474" s="29" t="inlineStr">
        <is>
          <t>Morningtide</t>
        </is>
      </c>
      <c r="AF474" s="29" t="inlineStr">
        <is>
          <t>Interaction</t>
        </is>
      </c>
      <c r="AG474" s="29" t="inlineStr">
        <is>
          <t>Counters target noncreature spell</t>
        </is>
      </c>
      <c r="AH474" s="29" t="n"/>
      <c r="AI474" s="29" t="n"/>
      <c r="AJ474" s="2" t="n"/>
    </row>
    <row r="475" ht="15" customHeight="1" s="79">
      <c r="A475" s="2" t="inlineStr">
        <is>
          <t>Octopus Form</t>
        </is>
      </c>
      <c r="B475" s="2">
        <f>IF(AND(F475&lt;&gt;0,E475=F475),"In Hand",IF(AND(E475&lt;&gt;0,E475&lt;F475,SUM(M475:R475)=0,SUM(T475:Y475)&gt;0),"Extra-Sub",IF(AND(E475=0,E475&lt;F475,SUM(M475:R475)=0,SUM(T475:Y475)&gt;0),"Bench-Sub",IF(AND(E475=0,F475&gt;0),"Bench",IF(E475&lt;F475,"Extra",IF(AND(J475="",E475&gt;F475),"To Buy",IF(SUM(J475,F475)&lt;E475,"To Buy",IF(AND(SUM(J475,F475)&gt;=E475,J475&lt;&gt;""),"Ordered",IF(AND(E475=0,F475=0,D475="B3"),"B3 Option",IF(AND(E475=0,F475=0),"Remove","To Buy"))))))))))</f>
        <v/>
      </c>
      <c r="D475" t="inlineStr">
        <is>
          <t>B2</t>
        </is>
      </c>
      <c r="E475" s="3">
        <f>SUM(M475:S475)</f>
        <v/>
      </c>
      <c r="F475" s="3">
        <f>SUM(T475:Z475)</f>
        <v/>
      </c>
      <c r="G475" s="3">
        <f>IF((F475-E475)&gt;=0,F475-E475,0)</f>
        <v/>
      </c>
      <c r="H475" s="3">
        <f>MAX(0,$E475-$F475-$J475)</f>
        <v/>
      </c>
      <c r="I475" s="3" t="n"/>
      <c r="J475" s="3" t="n"/>
      <c r="K475" s="4" t="n"/>
      <c r="L475" s="4">
        <f>IF(AND($H475&gt;0,ISNUMBER($K475)),$H475*$K475,0)</f>
        <v/>
      </c>
      <c r="M475" s="3" t="n"/>
      <c r="N475" s="3" t="n"/>
      <c r="O475" s="3" t="n"/>
      <c r="P475" s="3" t="n"/>
      <c r="Q475" s="3" t="n"/>
      <c r="R475" s="3" t="n"/>
      <c r="S475" s="3">
        <f>IF(AND(J475&lt;&gt;"",SUM(M475:R475)=0),J475,"")</f>
        <v/>
      </c>
      <c r="T475" s="3" t="n"/>
      <c r="U475" s="3" t="n">
        <v>1</v>
      </c>
      <c r="V475" s="3" t="n"/>
      <c r="W475" s="3" t="n"/>
      <c r="X475" s="3" t="n"/>
      <c r="Y475" s="3" t="n"/>
      <c r="Z475" s="3" t="n"/>
      <c r="AA475" s="2" t="inlineStr">
        <is>
          <t>Instant</t>
        </is>
      </c>
      <c r="AB475" s="2" t="inlineStr">
        <is>
          <t>Lesson</t>
        </is>
      </c>
      <c r="AC475" s="2" t="inlineStr">
        <is>
          <t>U</t>
        </is>
      </c>
      <c r="AD475" s="3" t="n">
        <v>1</v>
      </c>
      <c r="AE475" s="29" t="inlineStr">
        <is>
          <t>Avatar: The Last Airbender</t>
        </is>
      </c>
      <c r="AF475" s="29" t="inlineStr">
        <is>
          <t>Protection</t>
        </is>
      </c>
      <c r="AG475" s="29" t="inlineStr">
        <is>
          <t>Target creature you control gets +1/+1 and can't be targeted by opponents until end of turn</t>
        </is>
      </c>
      <c r="AH475" s="29" t="inlineStr">
        <is>
          <t>Untaps that creature</t>
        </is>
      </c>
      <c r="AI475" s="29" t="n"/>
      <c r="AJ475" s="2" t="inlineStr">
        <is>
          <t>Cut in Tuned</t>
        </is>
      </c>
    </row>
    <row r="476" ht="15" customHeight="1" s="79">
      <c r="A476" s="2" t="inlineStr">
        <is>
          <t>Ordeal of Nylea</t>
        </is>
      </c>
      <c r="B476" s="2">
        <f>IF(AND(F476&lt;&gt;0,E476=F476),"In Hand",IF(AND(E476&lt;&gt;0,E476&lt;F476,SUM(M476:R476)=0,SUM(T476:Y476)&gt;0),"Extra-Sub",IF(AND(E476=0,E476&lt;F476,SUM(M476:R476)=0,SUM(T476:Y476)&gt;0),"Bench-Sub",IF(AND(E476=0,F476&gt;0),"Bench",IF(E476&lt;F476,"Extra",IF(AND(J476="",E476&gt;F476),"To Buy",IF(SUM(J476,F476)&lt;E476,"To Buy",IF(AND(SUM(J476,F476)&gt;=E476,J476&lt;&gt;""),"Ordered",IF(AND(E476=0,F476=0,D476="B3"),"B3 Option",IF(AND(E476=0,F476=0),"Remove","To Buy"))))))))))</f>
        <v/>
      </c>
      <c r="D476" t="inlineStr">
        <is>
          <t>B2</t>
        </is>
      </c>
      <c r="E476" s="3">
        <f>SUM(M476:S476)</f>
        <v/>
      </c>
      <c r="F476" s="3">
        <f>SUM(T476:Z476)</f>
        <v/>
      </c>
      <c r="G476" s="3">
        <f>IF((F476-E476)&gt;=0,F476-E476,0)</f>
        <v/>
      </c>
      <c r="H476" s="3">
        <f>MAX(0,$E476-$F476-$J476)</f>
        <v/>
      </c>
      <c r="I476" s="3" t="n"/>
      <c r="J476" s="3" t="n"/>
      <c r="K476" s="4" t="n">
        <v>0.15</v>
      </c>
      <c r="L476" s="4">
        <f>IF(AND($H476&gt;0,ISNUMBER($K476)),$H476*$K476,0)</f>
        <v/>
      </c>
      <c r="M476" s="3" t="n"/>
      <c r="N476" s="3" t="n"/>
      <c r="O476" s="3" t="n"/>
      <c r="P476" s="3" t="n"/>
      <c r="Q476" s="3" t="n"/>
      <c r="R476" s="3" t="n"/>
      <c r="S476" s="3">
        <f>IF(AND(J476&lt;&gt;"",SUM(M476:R476)=0),J476,"")</f>
        <v/>
      </c>
      <c r="T476" s="3" t="n"/>
      <c r="U476" s="3" t="n"/>
      <c r="V476" s="3" t="n">
        <v>1</v>
      </c>
      <c r="W476" s="3" t="n"/>
      <c r="X476" s="3" t="n"/>
      <c r="Y476" s="3" t="n"/>
      <c r="Z476" s="3" t="n"/>
      <c r="AA476" s="2" t="inlineStr">
        <is>
          <t>Enchantment</t>
        </is>
      </c>
      <c r="AB476" s="2" t="inlineStr">
        <is>
          <t>Aura</t>
        </is>
      </c>
      <c r="AC476" s="2" t="inlineStr">
        <is>
          <t>G</t>
        </is>
      </c>
      <c r="AD476" s="3" t="n">
        <v>2</v>
      </c>
      <c r="AE476" s="29" t="inlineStr">
        <is>
          <t>Theros</t>
        </is>
      </c>
      <c r="AF476" s="29" t="inlineStr">
        <is>
          <t>Counters Payoff</t>
        </is>
      </c>
      <c r="AG476" s="29" t="inlineStr">
        <is>
          <t>Enchanted creature gets a +1/+1 counter when it attacks; sacrifices itself at three counters</t>
        </is>
      </c>
      <c r="AH476" s="29" t="inlineStr">
        <is>
          <t>Searches for up to two basic lands onto the battlefield tapped when sacrificed</t>
        </is>
      </c>
      <c r="AI476" s="29" t="n"/>
      <c r="AJ476" s="2" t="n"/>
    </row>
    <row r="477" ht="15" customHeight="1" s="79">
      <c r="A477" s="2" t="inlineStr">
        <is>
          <t>Riverguard's Reflexes</t>
        </is>
      </c>
      <c r="B477" s="2">
        <f>IF(AND(F477&lt;&gt;0,E477=F477),"In Hand",IF(AND(E477&lt;&gt;0,E477&lt;F477,SUM(M477:R477)=0,SUM(T477:Y477)&gt;0),"Extra-Sub",IF(AND(E477=0,E477&lt;F477,SUM(M477:R477)=0,SUM(T477:Y477)&gt;0),"Bench-Sub",IF(AND(E477=0,F477&gt;0),"Bench",IF(E477&lt;F477,"Extra",IF(AND(J477="",E477&gt;F477),"To Buy",IF(SUM(J477,F477)&lt;E477,"To Buy",IF(AND(SUM(J477,F477)&gt;=E477,J477&lt;&gt;""),"Ordered",IF(AND(E477=0,F477=0,D477="B3"),"B3 Option",IF(AND(E477=0,F477=0),"Remove","To Buy"))))))))))</f>
        <v/>
      </c>
      <c r="D477" t="inlineStr">
        <is>
          <t>B2</t>
        </is>
      </c>
      <c r="E477" s="3">
        <f>SUM(M477:S477)</f>
        <v/>
      </c>
      <c r="F477" s="3">
        <f>SUM(T477:Z477)</f>
        <v/>
      </c>
      <c r="G477" s="3">
        <f>IF((F477-E477)&gt;=0,F477-E477,0)</f>
        <v/>
      </c>
      <c r="H477" s="3">
        <f>MAX(0,$E477-$F477-$J477)</f>
        <v/>
      </c>
      <c r="I477" s="3" t="n"/>
      <c r="J477" s="3" t="n"/>
      <c r="K477" s="4" t="n"/>
      <c r="L477" s="4">
        <f>IF(AND($H477&gt;0,ISNUMBER($K477)),$H477*$K477,0)</f>
        <v/>
      </c>
      <c r="M477" s="3" t="n"/>
      <c r="N477" s="3" t="n"/>
      <c r="O477" s="3" t="n"/>
      <c r="P477" s="3" t="n"/>
      <c r="Q477" s="3" t="n"/>
      <c r="R477" s="3" t="n"/>
      <c r="S477" s="3">
        <f>IF(AND(J477&lt;&gt;"",SUM(M477:R477)=0),J477,"")</f>
        <v/>
      </c>
      <c r="T477" s="3" t="n"/>
      <c r="U477" s="3" t="n">
        <v>1</v>
      </c>
      <c r="V477" s="3" t="n"/>
      <c r="W477" s="3" t="n"/>
      <c r="X477" s="3" t="n"/>
      <c r="Y477" s="3" t="n"/>
      <c r="Z477" s="3" t="n"/>
      <c r="AA477" s="2" t="inlineStr">
        <is>
          <t>Instant</t>
        </is>
      </c>
      <c r="AB477" s="2" t="n"/>
      <c r="AC477" s="2" t="inlineStr">
        <is>
          <t>W</t>
        </is>
      </c>
      <c r="AD477" s="3" t="n">
        <v>2</v>
      </c>
      <c r="AE477" s="29" t="inlineStr">
        <is>
          <t>Lorwyn Eclipsed</t>
        </is>
      </c>
      <c r="AF477" s="29" t="inlineStr">
        <is>
          <t>Combat Trick</t>
        </is>
      </c>
      <c r="AG477" s="29" t="inlineStr">
        <is>
          <t>Target creature gets +2/+2 until end of turn and untaps</t>
        </is>
      </c>
      <c r="AH477" s="29" t="inlineStr">
        <is>
          <t>Deals its combat damage before creatures without this ability</t>
        </is>
      </c>
      <c r="AI477" s="29" t="n"/>
      <c r="AJ477" s="2" t="inlineStr">
        <is>
          <t>Cut in Tuned</t>
        </is>
      </c>
    </row>
    <row r="478" ht="15" customHeight="1" s="79">
      <c r="A478" s="2" t="inlineStr">
        <is>
          <t>Senate Griffin</t>
        </is>
      </c>
      <c r="B478" s="2">
        <f>IF(AND(F478&lt;&gt;0,E478=F478),"In Hand",IF(AND(E478&lt;&gt;0,E478&lt;F478,SUM(M478:R478)=0,SUM(T478:Y478)&gt;0),"Extra-Sub",IF(AND(E478=0,E478&lt;F478,SUM(M478:R478)=0,SUM(T478:Y478)&gt;0),"Bench-Sub",IF(AND(E478=0,F478&gt;0),"Bench",IF(E478&lt;F478,"Extra",IF(AND(J478="",E478&gt;F478),"To Buy",IF(SUM(J478,F478)&lt;E478,"To Buy",IF(AND(SUM(J478,F478)&gt;=E478,J478&lt;&gt;""),"Ordered",IF(AND(E478=0,F478=0,D478="B3"),"B3 Option",IF(AND(E478=0,F478=0),"Remove","To Buy"))))))))))</f>
        <v/>
      </c>
      <c r="D478" t="inlineStr">
        <is>
          <t>B2</t>
        </is>
      </c>
      <c r="E478" s="3">
        <f>SUM(M478:S478)</f>
        <v/>
      </c>
      <c r="F478" s="3">
        <f>SUM(T478:Z478)</f>
        <v/>
      </c>
      <c r="G478" s="3">
        <f>IF((F478-E478)&gt;=0,F478-E478,0)</f>
        <v/>
      </c>
      <c r="H478" s="3">
        <f>MAX(0,$E478-$F478-$J478)</f>
        <v/>
      </c>
      <c r="I478" s="3" t="n"/>
      <c r="J478" s="3" t="n"/>
      <c r="K478" s="4" t="n"/>
      <c r="L478" s="4">
        <f>IF(AND($H478&gt;0,ISNUMBER($K478)),$H478*$K478,0)</f>
        <v/>
      </c>
      <c r="M478" s="3" t="n"/>
      <c r="N478" s="3" t="n"/>
      <c r="O478" s="3" t="n"/>
      <c r="P478" s="3" t="n"/>
      <c r="Q478" s="3" t="n"/>
      <c r="R478" s="3" t="n"/>
      <c r="S478" s="3">
        <f>IF(AND(J478&lt;&gt;"",SUM(M478:R478)=0),J478,"")</f>
        <v/>
      </c>
      <c r="T478" s="3" t="n"/>
      <c r="U478" s="3" t="n">
        <v>1</v>
      </c>
      <c r="V478" s="3" t="n"/>
      <c r="W478" s="3" t="n"/>
      <c r="X478" s="3" t="n"/>
      <c r="Y478" s="3" t="n"/>
      <c r="Z478" s="3" t="n"/>
      <c r="AA478" s="2" t="inlineStr">
        <is>
          <t>Creature</t>
        </is>
      </c>
      <c r="AB478" s="2" t="inlineStr">
        <is>
          <t>Griffin</t>
        </is>
      </c>
      <c r="AC478" s="2" t="inlineStr">
        <is>
          <t>Multi</t>
        </is>
      </c>
      <c r="AD478" s="3" t="n">
        <v>4</v>
      </c>
      <c r="AE478" s="29" t="inlineStr">
        <is>
          <t>Ravnica Allegiance</t>
        </is>
      </c>
      <c r="AF478" s="29" t="inlineStr">
        <is>
          <t>Card Selection</t>
        </is>
      </c>
      <c r="AG478" s="29" t="inlineStr">
        <is>
          <t>Scry 1 when it enters</t>
        </is>
      </c>
      <c r="AH478" s="29" t="n"/>
      <c r="AI478" s="29" t="n"/>
      <c r="AJ478" s="2" t="inlineStr">
        <is>
          <t>Cut in Tuned (for Peregrine Drake)</t>
        </is>
      </c>
    </row>
    <row r="479" ht="15" customHeight="1" s="79">
      <c r="A479" s="2" t="inlineStr">
        <is>
          <t>Simic Guildgate</t>
        </is>
      </c>
      <c r="B479" s="2">
        <f>IF(AND(F479&lt;&gt;0,E479=F479),"In Hand",IF(AND(E479&lt;&gt;0,E479&lt;F479,SUM(M479:R479)=0,SUM(T479:Y479)&gt;0),"Extra-Sub",IF(AND(E479=0,E479&lt;F479,SUM(M479:R479)=0,SUM(T479:Y479)&gt;0),"Bench-Sub",IF(AND(E479=0,F479&gt;0),"Bench",IF(E479&lt;F479,"Extra",IF(AND(J479="",E479&gt;F479),"To Buy",IF(SUM(J479,F479)&lt;E479,"To Buy",IF(AND(SUM(J479,F479)&gt;=E479,J479&lt;&gt;""),"Ordered",IF(AND(E479=0,F479=0,D479="B3"),"B3 Option",IF(AND(E479=0,F479=0),"Remove","To Buy"))))))))))</f>
        <v/>
      </c>
      <c r="D479" t="inlineStr">
        <is>
          <t>B2</t>
        </is>
      </c>
      <c r="E479" s="3">
        <f>SUM(M479:S479)</f>
        <v/>
      </c>
      <c r="F479" s="3">
        <f>SUM(T479:Z479)</f>
        <v/>
      </c>
      <c r="G479" s="3">
        <f>IF((F479-E479)&gt;=0,F479-E479,0)</f>
        <v/>
      </c>
      <c r="H479" s="3">
        <f>MAX(0,$E479-$F479-$J479)</f>
        <v/>
      </c>
      <c r="I479" s="3" t="n"/>
      <c r="J479" s="3" t="n"/>
      <c r="K479" s="4" t="n">
        <v>0.11</v>
      </c>
      <c r="L479" s="4">
        <f>IF(AND($H479&gt;0,ISNUMBER($K479)),$H479*$K479,0)</f>
        <v/>
      </c>
      <c r="M479" s="3" t="n"/>
      <c r="N479" s="3" t="n"/>
      <c r="O479" s="3" t="n"/>
      <c r="P479" s="3" t="n"/>
      <c r="Q479" s="3" t="n"/>
      <c r="R479" s="3" t="n"/>
      <c r="S479" s="3">
        <f>IF(AND(J479&lt;&gt;"",SUM(M479:R479)=0),J479,"")</f>
        <v/>
      </c>
      <c r="T479" s="3" t="n"/>
      <c r="U479" s="3" t="n">
        <v>1</v>
      </c>
      <c r="V479" s="3" t="n"/>
      <c r="W479" s="3" t="n"/>
      <c r="X479" s="3" t="n"/>
      <c r="Y479" s="3" t="n"/>
      <c r="Z479" s="3" t="n"/>
      <c r="AA479" s="2" t="inlineStr">
        <is>
          <t>Land</t>
        </is>
      </c>
      <c r="AB479" s="2" t="inlineStr">
        <is>
          <t>Gate</t>
        </is>
      </c>
      <c r="AC479" s="2" t="inlineStr">
        <is>
          <t>L</t>
        </is>
      </c>
      <c r="AD479" s="3" t="n">
        <v>0</v>
      </c>
      <c r="AE479" s="29" t="inlineStr">
        <is>
          <t>Gatecrash</t>
        </is>
      </c>
      <c r="AF479" s="29" t="inlineStr">
        <is>
          <t>Land</t>
        </is>
      </c>
      <c r="AG479" s="29" t="inlineStr">
        <is>
          <t>Taps for {G} or {U}</t>
        </is>
      </c>
      <c r="AH479" s="29" t="n"/>
      <c r="AI479" s="29" t="n"/>
      <c r="AJ479" s="2" t="n"/>
    </row>
    <row r="480" ht="15" customHeight="1" s="79">
      <c r="A480" s="2" t="inlineStr">
        <is>
          <t>Stony-Voiced Goblins</t>
        </is>
      </c>
      <c r="B480" s="2">
        <f>IF(AND(F480&lt;&gt;0,E480=F480),"In Hand",IF(AND(E480&lt;&gt;0,E480&lt;F480,SUM(M480:R480)=0,SUM(T480:Y480)&gt;0),"Extra-Sub",IF(AND(E480=0,E480&lt;F480,SUM(M480:R480)=0,SUM(T480:Y480)&gt;0),"Bench-Sub",IF(AND(E480=0,F480&gt;0),"Bench",IF(E480&lt;F480,"Extra",IF(AND(J480="",E480&gt;F480),"To Buy",IF(SUM(J480,F480)&lt;E480,"To Buy",IF(AND(SUM(J480,F480)&gt;=E480,J480&lt;&gt;""),"Ordered",IF(AND(E480=0,F480=0,D480="B3"),"B3 Option",IF(AND(E480=0,F480=0),"Remove","To Buy"))))))))))</f>
        <v/>
      </c>
      <c r="D480" t="inlineStr">
        <is>
          <t>B2</t>
        </is>
      </c>
      <c r="E480" s="3">
        <f>SUM(M480:S480)</f>
        <v/>
      </c>
      <c r="F480" s="3">
        <f>SUM(T480:Z480)</f>
        <v/>
      </c>
      <c r="G480" s="3">
        <f>IF((F480-E480)&gt;=0,F480-E480,0)</f>
        <v/>
      </c>
      <c r="H480" s="3">
        <f>MAX(0,$E480-$F480-$J480)</f>
        <v/>
      </c>
      <c r="I480" s="3" t="n"/>
      <c r="J480" s="3" t="n"/>
      <c r="K480" s="4" t="n"/>
      <c r="L480" s="4">
        <f>IF(AND($H480&gt;0,ISNUMBER($K480)),$H480*$K480,0)</f>
        <v/>
      </c>
      <c r="M480" s="3" t="n"/>
      <c r="N480" s="3" t="n"/>
      <c r="O480" s="3" t="n"/>
      <c r="P480" s="3" t="n"/>
      <c r="Q480" s="3" t="n"/>
      <c r="R480" s="3" t="n"/>
      <c r="S480" s="3">
        <f>IF(AND(J480&lt;&gt;"",SUM(M480:R480)=0),J480,"")</f>
        <v/>
      </c>
      <c r="T480" s="3" t="n"/>
      <c r="U480" s="3" t="n"/>
      <c r="V480" s="3" t="n">
        <v>1</v>
      </c>
      <c r="W480" s="3" t="n"/>
      <c r="X480" s="3" t="n"/>
      <c r="Y480" s="3" t="n"/>
      <c r="Z480" s="3" t="n"/>
      <c r="AA480" s="2" t="inlineStr">
        <is>
          <t>Creature</t>
        </is>
      </c>
      <c r="AB480" s="2" t="inlineStr">
        <is>
          <t>Goblin Bard</t>
        </is>
      </c>
      <c r="AC480" s="2" t="inlineStr">
        <is>
          <t>B</t>
        </is>
      </c>
      <c r="AD480" s="3" t="n">
        <v>2</v>
      </c>
      <c r="AE480" s="29" t="inlineStr">
        <is>
          <t>The Hobbit</t>
        </is>
      </c>
      <c r="AF480" s="29" t="inlineStr">
        <is>
          <t>Discard/Looting</t>
        </is>
      </c>
      <c r="AG480" s="29" t="inlineStr">
        <is>
          <t>Each opponent discards a card when it enters</t>
        </is>
      </c>
      <c r="AH480" s="29" t="n"/>
      <c r="AI480" s="29" t="n"/>
      <c r="AJ480" s="2" t="inlineStr">
        <is>
          <t>Cut in Tuned</t>
        </is>
      </c>
    </row>
    <row r="481" ht="15" customHeight="1" s="79">
      <c r="A481" s="2" t="inlineStr">
        <is>
          <t>Sylvan Brushstrider</t>
        </is>
      </c>
      <c r="B481" s="2">
        <f>IF(AND(F481&lt;&gt;0,E481=F481),"In Hand",IF(AND(E481&lt;&gt;0,E481&lt;F481,SUM(M481:R481)=0,SUM(T481:Y481)&gt;0),"Extra-Sub",IF(AND(E481=0,E481&lt;F481,SUM(M481:R481)=0,SUM(T481:Y481)&gt;0),"Bench-Sub",IF(AND(E481=0,F481&gt;0),"Bench",IF(E481&lt;F481,"Extra",IF(AND(J481="",E481&gt;F481),"To Buy",IF(SUM(J481,F481)&lt;E481,"To Buy",IF(AND(SUM(J481,F481)&gt;=E481,J481&lt;&gt;""),"Ordered",IF(AND(E481=0,F481=0,D481="B3"),"B3 Option",IF(AND(E481=0,F481=0),"Remove","To Buy"))))))))))</f>
        <v/>
      </c>
      <c r="D481" t="inlineStr">
        <is>
          <t>B2</t>
        </is>
      </c>
      <c r="E481" s="3">
        <f>SUM(M481:S481)</f>
        <v/>
      </c>
      <c r="F481" s="3">
        <f>SUM(T481:Z481)</f>
        <v/>
      </c>
      <c r="G481" s="3">
        <f>IF((F481-E481)&gt;=0,F481-E481,0)</f>
        <v/>
      </c>
      <c r="H481" s="3">
        <f>MAX(0,$E481-$F481-$J481)</f>
        <v/>
      </c>
      <c r="I481" s="3" t="n"/>
      <c r="J481" s="3" t="n"/>
      <c r="K481" s="4" t="n"/>
      <c r="L481" s="4">
        <f>IF(AND($H481&gt;0,ISNUMBER($K481)),$H481*$K481,0)</f>
        <v/>
      </c>
      <c r="M481" s="3" t="n"/>
      <c r="N481" s="3" t="n"/>
      <c r="O481" s="3" t="n"/>
      <c r="P481" s="3" t="n"/>
      <c r="Q481" s="3" t="n"/>
      <c r="R481" s="3" t="n"/>
      <c r="S481" s="3">
        <f>IF(AND(J481&lt;&gt;"",SUM(M481:R481)=0),J481,"")</f>
        <v/>
      </c>
      <c r="T481" s="3" t="n"/>
      <c r="U481" s="3" t="n">
        <v>1</v>
      </c>
      <c r="V481" s="3" t="n"/>
      <c r="W481" s="3" t="n"/>
      <c r="X481" s="3" t="n"/>
      <c r="Y481" s="3" t="n"/>
      <c r="Z481" s="3" t="n"/>
      <c r="AA481" s="2" t="inlineStr">
        <is>
          <t>Creature</t>
        </is>
      </c>
      <c r="AB481" s="2" t="inlineStr">
        <is>
          <t>Beast</t>
        </is>
      </c>
      <c r="AC481" s="2" t="inlineStr">
        <is>
          <t>G</t>
        </is>
      </c>
      <c r="AD481" s="3" t="n">
        <v>3</v>
      </c>
      <c r="AE481" s="29" t="inlineStr">
        <is>
          <t>Ravnica Allegiance</t>
        </is>
      </c>
      <c r="AF481" s="29" t="inlineStr">
        <is>
          <t>Lifegain</t>
        </is>
      </c>
      <c r="AG481" s="29" t="inlineStr">
        <is>
          <t>Gain 2 life when it enters</t>
        </is>
      </c>
      <c r="AH481" s="29" t="n"/>
      <c r="AI481" s="29" t="n"/>
      <c r="AJ481" s="2" t="inlineStr">
        <is>
          <t>Cut in Tuned (for Aetherize)</t>
        </is>
      </c>
    </row>
    <row r="482" ht="15" customHeight="1" s="79">
      <c r="A482" s="2" t="inlineStr">
        <is>
          <t>Temporal Cleansing</t>
        </is>
      </c>
      <c r="B482" s="2">
        <f>IF(AND(F482&lt;&gt;0,E482=F482),"In Hand",IF(AND(E482&lt;&gt;0,E482&lt;F482,SUM(M482:R482)=0,SUM(T482:Y482)&gt;0),"Extra-Sub",IF(AND(E482=0,E482&lt;F482,SUM(M482:R482)=0,SUM(T482:Y482)&gt;0),"Bench-Sub",IF(AND(E482=0,F482&gt;0),"Bench",IF(E482&lt;F482,"Extra",IF(AND(J482="",E482&gt;F482),"To Buy",IF(SUM(J482,F482)&lt;E482,"To Buy",IF(AND(SUM(J482,F482)&gt;=E482,J482&lt;&gt;""),"Ordered",IF(AND(E482=0,F482=0,D482="B3"),"B3 Option",IF(AND(E482=0,F482=0),"Remove","To Buy"))))))))))</f>
        <v/>
      </c>
      <c r="D482" t="inlineStr">
        <is>
          <t>B2</t>
        </is>
      </c>
      <c r="E482" s="3">
        <f>SUM(M482:S482)</f>
        <v/>
      </c>
      <c r="F482" s="3">
        <f>SUM(T482:Z482)</f>
        <v/>
      </c>
      <c r="G482" s="3">
        <f>IF((F482-E482)&gt;=0,F482-E482,0)</f>
        <v/>
      </c>
      <c r="H482" s="3">
        <f>MAX(0,$E482-$F482-$J482)</f>
        <v/>
      </c>
      <c r="I482" s="3" t="n"/>
      <c r="J482" s="3" t="n"/>
      <c r="K482" s="4" t="n">
        <v>0.15</v>
      </c>
      <c r="L482" s="4">
        <f>IF(AND($H482&gt;0,ISNUMBER($K482)),$H482*$K482,0)</f>
        <v/>
      </c>
      <c r="M482" s="3" t="n"/>
      <c r="N482" s="3" t="n"/>
      <c r="O482" s="3" t="n"/>
      <c r="P482" s="3" t="n"/>
      <c r="Q482" s="3" t="n"/>
      <c r="R482" s="3" t="n"/>
      <c r="S482" s="3">
        <f>IF(AND(J482&lt;&gt;"",SUM(M482:R482)=0),J482,"")</f>
        <v/>
      </c>
      <c r="T482" s="3" t="n"/>
      <c r="U482" s="3" t="n">
        <v>1</v>
      </c>
      <c r="V482" s="3" t="n"/>
      <c r="W482" s="3" t="n"/>
      <c r="X482" s="3" t="n"/>
      <c r="Y482" s="3" t="n"/>
      <c r="Z482" s="3" t="n"/>
      <c r="AA482" s="2" t="inlineStr">
        <is>
          <t>Sorcery</t>
        </is>
      </c>
      <c r="AB482" s="2" t="n"/>
      <c r="AC482" s="2" t="inlineStr">
        <is>
          <t>U</t>
        </is>
      </c>
      <c r="AD482" s="3" t="n">
        <v>4</v>
      </c>
      <c r="AE482" s="29" t="inlineStr">
        <is>
          <t>March of the Machine</t>
        </is>
      </c>
      <c r="AF482" s="29" t="inlineStr">
        <is>
          <t>Removal</t>
        </is>
      </c>
      <c r="AG482" s="29" t="inlineStr">
        <is>
          <t>Puts target nonland permanent into its owner's library second from top or on bottom</t>
        </is>
      </c>
      <c r="AH482" s="29" t="inlineStr">
        <is>
          <t>Your creatures can tap to help pay its cost</t>
        </is>
      </c>
      <c r="AI482" s="29" t="n"/>
      <c r="AJ482" s="2" t="n"/>
    </row>
    <row r="483" ht="15" customHeight="1" s="79">
      <c r="A483" s="2" t="inlineStr">
        <is>
          <t>Thirsting Shade</t>
        </is>
      </c>
      <c r="B483" s="2">
        <f>IF(AND(F483&lt;&gt;0,E483=F483),"In Hand",IF(AND(E483&lt;&gt;0,E483&lt;F483,SUM(M483:R483)=0,SUM(T483:Y483)&gt;0),"Extra-Sub",IF(AND(E483=0,E483&lt;F483,SUM(M483:R483)=0,SUM(T483:Y483)&gt;0),"Bench-Sub",IF(AND(E483=0,F483&gt;0),"Bench",IF(E483&lt;F483,"Extra",IF(AND(J483="",E483&gt;F483),"To Buy",IF(SUM(J483,F483)&lt;E483,"To Buy",IF(AND(SUM(J483,F483)&gt;=E483,J483&lt;&gt;""),"Ordered",IF(AND(E483=0,F483=0,D483="B3"),"B3 Option",IF(AND(E483=0,F483=0),"Remove","To Buy"))))))))))</f>
        <v/>
      </c>
      <c r="D483" t="inlineStr">
        <is>
          <t>B2</t>
        </is>
      </c>
      <c r="E483" s="3">
        <f>SUM(M483:S483)</f>
        <v/>
      </c>
      <c r="F483" s="3">
        <f>SUM(T483:Z483)</f>
        <v/>
      </c>
      <c r="G483" s="3">
        <f>IF((F483-E483)&gt;=0,F483-E483,0)</f>
        <v/>
      </c>
      <c r="H483" s="3">
        <f>MAX(0,$E483-$F483-$J483)</f>
        <v/>
      </c>
      <c r="I483" s="3" t="n"/>
      <c r="J483" s="3" t="n"/>
      <c r="K483" s="4" t="n">
        <v>0.14</v>
      </c>
      <c r="L483" s="4">
        <f>IF(AND($H483&gt;0,ISNUMBER($K483)),$H483*$K483,0)</f>
        <v/>
      </c>
      <c r="M483" s="3" t="n"/>
      <c r="N483" s="3" t="n"/>
      <c r="O483" s="3" t="n"/>
      <c r="P483" s="3" t="n"/>
      <c r="Q483" s="3" t="n"/>
      <c r="R483" s="3" t="n"/>
      <c r="S483" s="3">
        <f>IF(AND(J483&lt;&gt;"",SUM(M483:R483)=0),J483,"")</f>
        <v/>
      </c>
      <c r="T483" s="3" t="n"/>
      <c r="U483" s="3" t="n"/>
      <c r="V483" s="3" t="n">
        <v>1</v>
      </c>
      <c r="W483" s="3" t="n"/>
      <c r="X483" s="3" t="n"/>
      <c r="Y483" s="3" t="n"/>
      <c r="Z483" s="3" t="n"/>
      <c r="AA483" s="2" t="inlineStr">
        <is>
          <t>Creature</t>
        </is>
      </c>
      <c r="AB483" s="2" t="inlineStr">
        <is>
          <t>Shade</t>
        </is>
      </c>
      <c r="AC483" s="2" t="inlineStr">
        <is>
          <t>B</t>
        </is>
      </c>
      <c r="AD483" s="3" t="n">
        <v>1</v>
      </c>
      <c r="AE483" s="29" t="inlineStr">
        <is>
          <t>Ravnica Allegiance</t>
        </is>
      </c>
      <c r="AF483" s="29" t="inlineStr">
        <is>
          <t>Mana Sink</t>
        </is>
      </c>
      <c r="AG483" s="29" t="inlineStr">
        <is>
          <t>Pay {2}{B} to get +1/+1 until end of turn, any number of times</t>
        </is>
      </c>
      <c r="AH483" s="29" t="inlineStr">
        <is>
          <t>Gains you life equal to damage it deals</t>
        </is>
      </c>
      <c r="AI483" s="29" t="n"/>
      <c r="AJ483" s="2" t="n"/>
    </row>
    <row r="484" ht="15" customHeight="1" s="79">
      <c r="A484" s="2" t="inlineStr">
        <is>
          <t>Timid Shieldbearer</t>
        </is>
      </c>
      <c r="B484" s="2">
        <f>IF(AND(F484&lt;&gt;0,E484=F484),"In Hand",IF(AND(E484&lt;&gt;0,E484&lt;F484,SUM(M484:R484)=0,SUM(T484:Y484)&gt;0),"Extra-Sub",IF(AND(E484=0,E484&lt;F484,SUM(M484:R484)=0,SUM(T484:Y484)&gt;0),"Bench-Sub",IF(AND(E484=0,F484&gt;0),"Bench",IF(E484&lt;F484,"Extra",IF(AND(J484="",E484&gt;F484),"To Buy",IF(SUM(J484,F484)&lt;E484,"To Buy",IF(AND(SUM(J484,F484)&gt;=E484,J484&lt;&gt;""),"Ordered",IF(AND(E484=0,F484=0,D484="B3"),"B3 Option",IF(AND(E484=0,F484=0),"Remove","To Buy"))))))))))</f>
        <v/>
      </c>
      <c r="D484" t="inlineStr">
        <is>
          <t>B2</t>
        </is>
      </c>
      <c r="E484" s="3">
        <f>SUM(M484:S484)</f>
        <v/>
      </c>
      <c r="F484" s="3">
        <f>SUM(T484:Z484)</f>
        <v/>
      </c>
      <c r="G484" s="3">
        <f>IF((F484-E484)&gt;=0,F484-E484,0)</f>
        <v/>
      </c>
      <c r="H484" s="3">
        <f>MAX(0,$E484-$F484-$J484)</f>
        <v/>
      </c>
      <c r="I484" s="3" t="n"/>
      <c r="J484" s="3" t="n"/>
      <c r="K484" s="4" t="n"/>
      <c r="L484" s="4">
        <f>IF(AND($H484&gt;0,ISNUMBER($K484)),$H484*$K484,0)</f>
        <v/>
      </c>
      <c r="M484" s="3" t="n"/>
      <c r="N484" s="3" t="n"/>
      <c r="O484" s="3" t="n"/>
      <c r="P484" s="3" t="n"/>
      <c r="Q484" s="3" t="n"/>
      <c r="R484" s="3" t="n"/>
      <c r="S484" s="3">
        <f>IF(AND(J484&lt;&gt;"",SUM(M484:R484)=0),J484,"")</f>
        <v/>
      </c>
      <c r="T484" s="3" t="n"/>
      <c r="U484" s="3" t="n"/>
      <c r="V484" s="3" t="n"/>
      <c r="W484" s="3" t="n"/>
      <c r="X484" s="3" t="n">
        <v>1</v>
      </c>
      <c r="Y484" s="3" t="n"/>
      <c r="Z484" s="3" t="n"/>
      <c r="AA484" s="2" t="inlineStr">
        <is>
          <t>Creature</t>
        </is>
      </c>
      <c r="AB484" s="2" t="inlineStr">
        <is>
          <t>Kithkin Soldier</t>
        </is>
      </c>
      <c r="AC484" s="2" t="inlineStr">
        <is>
          <t>W</t>
        </is>
      </c>
      <c r="AD484" s="3" t="n">
        <v>2</v>
      </c>
      <c r="AE484" s="29" t="inlineStr">
        <is>
          <t>Lorwyn Eclipsed</t>
        </is>
      </c>
      <c r="AF484" s="29" t="inlineStr">
        <is>
          <t>Combat Trick</t>
        </is>
      </c>
      <c r="AG484" s="29" t="inlineStr">
        <is>
          <t>{4}{W}: your creatures get +1/+1 until end of turn</t>
        </is>
      </c>
      <c r="AH484" s="29" t="n"/>
      <c r="AI484" s="29" t="n"/>
      <c r="AJ484" s="2" t="inlineStr">
        <is>
          <t>Cut in Tuned; D5 target removed 2026-09-02: replaced by Tuned add Day of Judgment</t>
        </is>
      </c>
      <c r="AK484" t="inlineStr">
        <is>
          <t>[T+A] D5-&gt;B (cut, replaced by Tuned add Day of Judgment) [done 2026-09-03]</t>
        </is>
      </c>
    </row>
    <row r="485" ht="15" customHeight="1" s="79">
      <c r="A485" s="2" t="inlineStr">
        <is>
          <t>Tweeze</t>
        </is>
      </c>
      <c r="B485" s="2">
        <f>IF(AND(F485&lt;&gt;0,E485=F485),"In Hand",IF(AND(E485&lt;&gt;0,E485&lt;F485,SUM(M485:R485)=0,SUM(T485:Y485)&gt;0),"Extra-Sub",IF(AND(E485=0,E485&lt;F485,SUM(M485:R485)=0,SUM(T485:Y485)&gt;0),"Bench-Sub",IF(AND(E485=0,F485&gt;0),"Bench",IF(E485&lt;F485,"Extra",IF(AND(J485="",E485&gt;F485),"To Buy",IF(SUM(J485,F485)&lt;E485,"To Buy",IF(AND(SUM(J485,F485)&gt;=E485,J485&lt;&gt;""),"Ordered",IF(AND(E485=0,F485=0,D485="B3"),"B3 Option",IF(AND(E485=0,F485=0),"Remove","To Buy"))))))))))</f>
        <v/>
      </c>
      <c r="D485" t="inlineStr">
        <is>
          <t>B2</t>
        </is>
      </c>
      <c r="E485" s="3">
        <f>SUM(M485:S485)</f>
        <v/>
      </c>
      <c r="F485" s="3">
        <f>SUM(T485:Z485)</f>
        <v/>
      </c>
      <c r="G485" s="3">
        <f>IF((F485-E485)&gt;=0,F485-E485,0)</f>
        <v/>
      </c>
      <c r="H485" s="3">
        <f>MAX(0,$E485-$F485-$J485)</f>
        <v/>
      </c>
      <c r="I485" s="3" t="n"/>
      <c r="J485" s="3" t="n"/>
      <c r="K485" s="4" t="n"/>
      <c r="L485" s="4">
        <f>IF(AND($H485&gt;0,ISNUMBER($K485)),$H485*$K485,0)</f>
        <v/>
      </c>
      <c r="M485" s="3" t="n"/>
      <c r="N485" s="3" t="n"/>
      <c r="O485" s="3" t="n"/>
      <c r="P485" s="3" t="n"/>
      <c r="Q485" s="3" t="n"/>
      <c r="R485" s="3" t="n"/>
      <c r="S485" s="3">
        <f>IF(AND(J485&lt;&gt;"",SUM(M485:R485)=0),J485,"")</f>
        <v/>
      </c>
      <c r="T485" s="3" t="n"/>
      <c r="U485" s="3" t="n"/>
      <c r="V485" s="3" t="n"/>
      <c r="W485" s="3" t="n"/>
      <c r="X485" s="3" t="n"/>
      <c r="Y485" s="3" t="n">
        <v>1</v>
      </c>
      <c r="Z485" s="3" t="n"/>
      <c r="AA485" s="2" t="inlineStr">
        <is>
          <t>Instant</t>
        </is>
      </c>
      <c r="AB485" s="2" t="n"/>
      <c r="AC485" s="2" t="inlineStr">
        <is>
          <t>R</t>
        </is>
      </c>
      <c r="AD485" s="3" t="n">
        <v>3</v>
      </c>
      <c r="AE485" s="29" t="inlineStr">
        <is>
          <t>Lorwyn Eclipsed</t>
        </is>
      </c>
      <c r="AF485" s="29" t="inlineStr">
        <is>
          <t>Burn</t>
        </is>
      </c>
      <c r="AG485" s="29" t="inlineStr">
        <is>
          <t>Deals 3 damage to any target</t>
        </is>
      </c>
      <c r="AH485" s="29" t="inlineStr">
        <is>
          <t>May discard a card to draw a card</t>
        </is>
      </c>
      <c r="AI485" s="29" t="n"/>
      <c r="AJ485" s="2" t="inlineStr">
        <is>
          <t>Cut in Tuned; D6 target removed 2026-09-02: Tuned add Goblin Trashmaster takes the slot</t>
        </is>
      </c>
      <c r="AK485" t="inlineStr">
        <is>
          <t>[T] D6 target removed; [A later] D6-&gt;B when Goblin Trashmaster arrives</t>
        </is>
      </c>
    </row>
    <row r="486" ht="15" customHeight="1" s="79">
      <c r="A486" s="2" t="inlineStr">
        <is>
          <t>Undercity's Embrace</t>
        </is>
      </c>
      <c r="B486" s="2">
        <f>IF(AND(F486&lt;&gt;0,E486=F486),"In Hand",IF(AND(E486&lt;&gt;0,E486&lt;F486,SUM(M486:R486)=0,SUM(T486:Y486)&gt;0),"Extra-Sub",IF(AND(E486=0,E486&lt;F486,SUM(M486:R486)=0,SUM(T486:Y486)&gt;0),"Bench-Sub",IF(AND(E486=0,F486&gt;0),"Bench",IF(E486&lt;F486,"Extra",IF(AND(J486="",E486&gt;F486),"To Buy",IF(SUM(J486,F486)&lt;E486,"To Buy",IF(AND(SUM(J486,F486)&gt;=E486,J486&lt;&gt;""),"Ordered",IF(AND(E486=0,F486=0,D486="B3"),"B3 Option",IF(AND(E486=0,F486=0),"Remove","To Buy"))))))))))</f>
        <v/>
      </c>
      <c r="D486" t="inlineStr">
        <is>
          <t>B2</t>
        </is>
      </c>
      <c r="E486" s="3">
        <f>SUM(M486:S486)</f>
        <v/>
      </c>
      <c r="F486" s="3">
        <f>SUM(T486:Z486)</f>
        <v/>
      </c>
      <c r="G486" s="3">
        <f>IF((F486-E486)&gt;=0,F486-E486,0)</f>
        <v/>
      </c>
      <c r="H486" s="3">
        <f>MAX(0,$E486-$F486-$J486)</f>
        <v/>
      </c>
      <c r="I486" s="3" t="n"/>
      <c r="J486" s="3" t="n"/>
      <c r="K486" s="4" t="n">
        <v>0.19</v>
      </c>
      <c r="L486" s="4">
        <f>IF(AND($H486&gt;0,ISNUMBER($K486)),$H486*$K486,0)</f>
        <v/>
      </c>
      <c r="M486" s="3" t="n"/>
      <c r="N486" s="3" t="n"/>
      <c r="O486" s="3" t="n"/>
      <c r="P486" s="3" t="n"/>
      <c r="Q486" s="3" t="n"/>
      <c r="R486" s="3" t="n"/>
      <c r="S486" s="3">
        <f>IF(AND(J486&lt;&gt;"",SUM(M486:R486)=0),J486,"")</f>
        <v/>
      </c>
      <c r="T486" s="3" t="n"/>
      <c r="U486" s="3" t="n"/>
      <c r="V486" s="3" t="n">
        <v>1</v>
      </c>
      <c r="W486" s="3" t="n"/>
      <c r="X486" s="3" t="n"/>
      <c r="Y486" s="3" t="n"/>
      <c r="Z486" s="3" t="n"/>
      <c r="AA486" s="2" t="inlineStr">
        <is>
          <t>Instant</t>
        </is>
      </c>
      <c r="AB486" s="2" t="n"/>
      <c r="AC486" s="2" t="inlineStr">
        <is>
          <t>B</t>
        </is>
      </c>
      <c r="AD486" s="3" t="n">
        <v>3</v>
      </c>
      <c r="AE486" s="29" t="inlineStr">
        <is>
          <t>Ravnica Allegiance</t>
        </is>
      </c>
      <c r="AF486" s="29" t="inlineStr">
        <is>
          <t>Removal</t>
        </is>
      </c>
      <c r="AG486" s="29" t="inlineStr">
        <is>
          <t>Target opponent sacrifices a creature of their choice</t>
        </is>
      </c>
      <c r="AH486" s="29" t="inlineStr">
        <is>
          <t>Gain 4 life if you control a creature with power 4 or greater</t>
        </is>
      </c>
      <c r="AI486" s="29" t="n"/>
      <c r="AJ486" s="2" t="n"/>
    </row>
    <row r="487" ht="15" customHeight="1" s="79">
      <c r="A487" s="2" t="inlineStr">
        <is>
          <t>Unexpected Assistance</t>
        </is>
      </c>
      <c r="B487" s="2">
        <f>IF(AND(F487&lt;&gt;0,E487=F487),"In Hand",IF(AND(E487&lt;&gt;0,E487&lt;F487,SUM(M487:R487)=0,SUM(T487:Y487)&gt;0),"Extra-Sub",IF(AND(E487=0,E487&lt;F487,SUM(M487:R487)=0,SUM(T487:Y487)&gt;0),"Bench-Sub",IF(AND(E487=0,F487&gt;0),"Bench",IF(E487&lt;F487,"Extra",IF(AND(J487="",E487&gt;F487),"To Buy",IF(SUM(J487,F487)&lt;E487,"To Buy",IF(AND(SUM(J487,F487)&gt;=E487,J487&lt;&gt;""),"Ordered",IF(AND(E487=0,F487=0,D487="B3"),"B3 Option",IF(AND(E487=0,F487=0),"Remove","To Buy"))))))))))</f>
        <v/>
      </c>
      <c r="D487" t="inlineStr">
        <is>
          <t>B2</t>
        </is>
      </c>
      <c r="E487" s="3">
        <f>SUM(M487:S487)</f>
        <v/>
      </c>
      <c r="F487" s="3">
        <f>SUM(T487:Z487)</f>
        <v/>
      </c>
      <c r="G487" s="3">
        <f>IF((F487-E487)&gt;=0,F487-E487,0)</f>
        <v/>
      </c>
      <c r="H487" s="3">
        <f>MAX(0,$E487-$F487-$J487)</f>
        <v/>
      </c>
      <c r="I487" s="3" t="n"/>
      <c r="J487" s="3" t="n"/>
      <c r="K487" s="4" t="n">
        <v>0.22</v>
      </c>
      <c r="L487" s="4">
        <f>IF(AND($H487&gt;0,ISNUMBER($K487)),$H487*$K487,0)</f>
        <v/>
      </c>
      <c r="M487" s="3" t="n"/>
      <c r="N487" s="3" t="n"/>
      <c r="O487" s="3" t="n"/>
      <c r="P487" s="3" t="n"/>
      <c r="Q487" s="3" t="n"/>
      <c r="R487" s="3" t="n"/>
      <c r="S487" s="3">
        <f>IF(AND(J487&lt;&gt;"",SUM(M487:R487)=0),J487,"")</f>
        <v/>
      </c>
      <c r="T487" s="3" t="n"/>
      <c r="U487" s="3" t="n">
        <v>1</v>
      </c>
      <c r="V487" s="3" t="n"/>
      <c r="W487" s="3" t="n"/>
      <c r="X487" s="3" t="n"/>
      <c r="Y487" s="3" t="n"/>
      <c r="Z487" s="3" t="n">
        <v>1</v>
      </c>
      <c r="AA487" s="2" t="inlineStr">
        <is>
          <t>Instant</t>
        </is>
      </c>
      <c r="AB487" s="2" t="n"/>
      <c r="AC487" s="2" t="inlineStr">
        <is>
          <t>U</t>
        </is>
      </c>
      <c r="AD487" s="3" t="n">
        <v>5</v>
      </c>
      <c r="AE487" s="29" t="inlineStr">
        <is>
          <t>Lorwyn Eclipsed</t>
        </is>
      </c>
      <c r="AF487" s="29" t="inlineStr">
        <is>
          <t>Card Draw</t>
        </is>
      </c>
      <c r="AG487" s="29" t="inlineStr">
        <is>
          <t>Tapping your creatures can help pay its cost</t>
        </is>
      </c>
      <c r="AH487" s="29" t="inlineStr">
        <is>
          <t>Draw three cards, then discard a card</t>
        </is>
      </c>
      <c r="AI487" s="29" t="n"/>
      <c r="AJ487" s="2" t="n"/>
    </row>
    <row r="488" ht="15" customHeight="1" s="79">
      <c r="A488" s="2" t="inlineStr">
        <is>
          <t>Unforgiving Aim</t>
        </is>
      </c>
      <c r="B488" s="2">
        <f>IF(AND(F488&lt;&gt;0,E488=F488),"In Hand",IF(AND(E488&lt;&gt;0,E488&lt;F488,SUM(M488:R488)=0,SUM(T488:Y488)&gt;0),"Extra-Sub",IF(AND(E488=0,E488&lt;F488,SUM(M488:R488)=0,SUM(T488:Y488)&gt;0),"Bench-Sub",IF(AND(E488=0,F488&gt;0),"Bench",IF(E488&lt;F488,"Extra",IF(AND(J488="",E488&gt;F488),"To Buy",IF(SUM(J488,F488)&lt;E488,"To Buy",IF(AND(SUM(J488,F488)&gt;=E488,J488&lt;&gt;""),"Ordered",IF(AND(E488=0,F488=0,D488="B3"),"B3 Option",IF(AND(E488=0,F488=0),"Remove","To Buy"))))))))))</f>
        <v/>
      </c>
      <c r="D488" t="inlineStr">
        <is>
          <t>B2</t>
        </is>
      </c>
      <c r="E488" s="3">
        <f>SUM(M488:S488)</f>
        <v/>
      </c>
      <c r="F488" s="3">
        <f>SUM(T488:Z488)</f>
        <v/>
      </c>
      <c r="G488" s="3">
        <f>IF((F488-E488)&gt;=0,F488-E488,0)</f>
        <v/>
      </c>
      <c r="H488" s="3">
        <f>MAX(0,$E488-$F488-$J488)</f>
        <v/>
      </c>
      <c r="I488" s="3" t="n"/>
      <c r="J488" s="3" t="n"/>
      <c r="K488" s="4" t="n">
        <v>0.17</v>
      </c>
      <c r="L488" s="4">
        <f>IF(AND($H488&gt;0,ISNUMBER($K488)),$H488*$K488,0)</f>
        <v/>
      </c>
      <c r="M488" s="3" t="n"/>
      <c r="N488" s="3" t="n"/>
      <c r="O488" s="3" t="n"/>
      <c r="P488" s="3" t="n"/>
      <c r="Q488" s="3" t="n"/>
      <c r="R488" s="3" t="n"/>
      <c r="S488" s="3">
        <f>IF(AND(J488&lt;&gt;"",SUM(M488:R488)=0),J488,"")</f>
        <v/>
      </c>
      <c r="T488" s="3" t="n"/>
      <c r="U488" s="3" t="n">
        <v>1</v>
      </c>
      <c r="V488" s="3" t="n"/>
      <c r="W488" s="3" t="n"/>
      <c r="X488" s="3" t="n"/>
      <c r="Y488" s="3" t="n"/>
      <c r="Z488" s="3" t="n"/>
      <c r="AA488" s="2" t="inlineStr">
        <is>
          <t>Instant</t>
        </is>
      </c>
      <c r="AB488" s="2" t="n"/>
      <c r="AC488" s="2" t="inlineStr">
        <is>
          <t>G</t>
        </is>
      </c>
      <c r="AD488" s="3" t="n">
        <v>3</v>
      </c>
      <c r="AE488" s="29" t="inlineStr">
        <is>
          <t>Lorwyn Eclipsed</t>
        </is>
      </c>
      <c r="AF488" s="29" t="inlineStr">
        <is>
          <t>Removal</t>
        </is>
      </c>
      <c r="AG488" s="29" t="inlineStr">
        <is>
          <t>Destroy target creature with flying</t>
        </is>
      </c>
      <c r="AH488" s="29" t="inlineStr">
        <is>
          <t>Or destroy target enchantment</t>
        </is>
      </c>
      <c r="AI488" s="29" t="inlineStr">
        <is>
          <t>Or create a 2/2 Elf creature token</t>
        </is>
      </c>
      <c r="AJ488" s="2" t="n"/>
    </row>
    <row r="489" ht="15" customHeight="1" s="79">
      <c r="A489" s="2" t="inlineStr">
        <is>
          <t>Unwelcome Sprite</t>
        </is>
      </c>
      <c r="B489" s="2">
        <f>IF(AND(F489&lt;&gt;0,E489=F489),"In Hand",IF(AND(E489&lt;&gt;0,E489&lt;F489,SUM(M489:R489)=0,SUM(T489:Y489)&gt;0),"Extra-Sub",IF(AND(E489=0,E489&lt;F489,SUM(M489:R489)=0,SUM(T489:Y489)&gt;0),"Bench-Sub",IF(AND(E489=0,F489&gt;0),"Bench",IF(E489&lt;F489,"Extra",IF(AND(J489="",E489&gt;F489),"To Buy",IF(SUM(J489,F489)&lt;E489,"To Buy",IF(AND(SUM(J489,F489)&gt;=E489,J489&lt;&gt;""),"Ordered",IF(AND(E489=0,F489=0,D489="B3"),"B3 Option",IF(AND(E489=0,F489=0),"Remove","To Buy"))))))))))</f>
        <v/>
      </c>
      <c r="D489" t="inlineStr">
        <is>
          <t>B2</t>
        </is>
      </c>
      <c r="E489" s="3">
        <f>SUM(M489:S489)</f>
        <v/>
      </c>
      <c r="F489" s="3">
        <f>SUM(T489:Z489)</f>
        <v/>
      </c>
      <c r="G489" s="3">
        <f>IF((F489-E489)&gt;=0,F489-E489,0)</f>
        <v/>
      </c>
      <c r="H489" s="3">
        <f>MAX(0,$E489-$F489-$J489)</f>
        <v/>
      </c>
      <c r="I489" s="3" t="n"/>
      <c r="J489" s="3" t="n"/>
      <c r="K489" s="4" t="n">
        <v>0.24</v>
      </c>
      <c r="L489" s="4">
        <f>IF(AND($H489&gt;0,ISNUMBER($K489)),$H489*$K489,0)</f>
        <v/>
      </c>
      <c r="M489" s="3" t="n"/>
      <c r="N489" s="3" t="n"/>
      <c r="O489" s="3" t="n"/>
      <c r="P489" s="3" t="n"/>
      <c r="Q489" s="3" t="n"/>
      <c r="R489" s="3" t="n"/>
      <c r="S489" s="3">
        <f>IF(AND(J489&lt;&gt;"",SUM(M489:R489)=0),J489,"")</f>
        <v/>
      </c>
      <c r="T489" s="3" t="n"/>
      <c r="U489" s="3" t="n"/>
      <c r="V489" s="3" t="n">
        <v>1</v>
      </c>
      <c r="W489" s="3" t="n"/>
      <c r="X489" s="3" t="n"/>
      <c r="Y489" s="3" t="n"/>
      <c r="Z489" s="3" t="n"/>
      <c r="AA489" s="2" t="inlineStr">
        <is>
          <t>Creature</t>
        </is>
      </c>
      <c r="AB489" s="2" t="inlineStr">
        <is>
          <t>Faerie Rogue</t>
        </is>
      </c>
      <c r="AC489" s="2" t="inlineStr">
        <is>
          <t>U</t>
        </is>
      </c>
      <c r="AD489" s="3" t="n">
        <v>2</v>
      </c>
      <c r="AE489" s="29" t="inlineStr">
        <is>
          <t>Lorwyn Eclipsed</t>
        </is>
      </c>
      <c r="AF489" s="29" t="inlineStr">
        <is>
          <t>Card Selection</t>
        </is>
      </c>
      <c r="AG489" s="29" t="inlineStr">
        <is>
          <t>Surveils 2 whenever you cast a spell during an opponent's turn</t>
        </is>
      </c>
      <c r="AH489" s="29" t="n"/>
      <c r="AI489" s="29" t="n"/>
      <c r="AJ489" s="2" t="n"/>
    </row>
    <row r="490" ht="15" customHeight="1" s="79">
      <c r="A490" s="2" t="inlineStr">
        <is>
          <t>Voldaren Epicure</t>
        </is>
      </c>
      <c r="B490" s="2">
        <f>IF(AND(F490&lt;&gt;0,E490=F490),"In Hand",IF(AND(E490&lt;&gt;0,E490&lt;F490,SUM(M490:R490)=0,SUM(T490:Y490)&gt;0),"Extra-Sub",IF(AND(E490=0,E490&lt;F490,SUM(M490:R490)=0,SUM(T490:Y490)&gt;0),"Bench-Sub",IF(AND(E490=0,F490&gt;0),"Bench",IF(E490&lt;F490,"Extra",IF(AND(J490="",E490&gt;F490),"To Buy",IF(SUM(J490,F490)&lt;E490,"To Buy",IF(AND(SUM(J490,F490)&gt;=E490,J490&lt;&gt;""),"Ordered",IF(AND(E490=0,F490=0,D490="B3"),"B3 Option",IF(AND(E490=0,F490=0),"Remove","To Buy"))))))))))</f>
        <v/>
      </c>
      <c r="D490" t="inlineStr">
        <is>
          <t>B2</t>
        </is>
      </c>
      <c r="E490" s="3">
        <f>SUM(M490:S490)</f>
        <v/>
      </c>
      <c r="F490" s="3">
        <f>SUM(T490:Z490)</f>
        <v/>
      </c>
      <c r="G490" s="3">
        <f>IF((F490-E490)&gt;=0,F490-E490,0)</f>
        <v/>
      </c>
      <c r="H490" s="3">
        <f>MAX(0,$E490-$F490-$J490)</f>
        <v/>
      </c>
      <c r="I490" s="3" t="n"/>
      <c r="J490" s="3" t="n"/>
      <c r="K490" s="4" t="n">
        <v>0.33</v>
      </c>
      <c r="L490" s="4">
        <f>IF(AND($H490&gt;0,ISNUMBER($K490)),$H490*$K490,0)</f>
        <v/>
      </c>
      <c r="M490" s="3" t="n"/>
      <c r="N490" s="3" t="n"/>
      <c r="O490" s="3" t="n"/>
      <c r="P490" s="3" t="n"/>
      <c r="Q490" s="3" t="n"/>
      <c r="R490" s="3" t="n"/>
      <c r="S490" s="3">
        <f>IF(AND(J490&lt;&gt;"",SUM(M490:R490)=0),J490,"")</f>
        <v/>
      </c>
      <c r="T490" s="3" t="n"/>
      <c r="U490" s="3" t="n"/>
      <c r="V490" s="3" t="n"/>
      <c r="W490" s="3" t="n"/>
      <c r="X490" s="3" t="n"/>
      <c r="Y490" s="3" t="n">
        <v>1</v>
      </c>
      <c r="Z490" s="3" t="n"/>
      <c r="AA490" s="2" t="inlineStr">
        <is>
          <t>Creature</t>
        </is>
      </c>
      <c r="AB490" s="2" t="inlineStr">
        <is>
          <t>Vampire</t>
        </is>
      </c>
      <c r="AC490" s="2" t="inlineStr">
        <is>
          <t>R</t>
        </is>
      </c>
      <c r="AD490" s="3" t="n">
        <v>1</v>
      </c>
      <c r="AE490" s="29" t="inlineStr">
        <is>
          <t>Innistrad: Crimson Vow</t>
        </is>
      </c>
      <c r="AF490" s="29" t="inlineStr">
        <is>
          <t>Burn</t>
        </is>
      </c>
      <c r="AG490" s="29" t="inlineStr">
        <is>
          <t>Deals 1 damage to each opponent when it enters</t>
        </is>
      </c>
      <c r="AH490" s="29" t="inlineStr">
        <is>
          <t>Creates a Blood token (sacrifice + discard: draw a card)</t>
        </is>
      </c>
      <c r="AI490" s="29" t="n"/>
      <c r="AJ490" s="2" t="inlineStr">
        <is>
          <t>Cut in Tuned; Received/settled (was in cart 2026-09-02: Game Theory Wake Forest $0.3 Near Mint); D6 target removed 2026-09-02: Tuned add Conspicuous Snoop takes the slot</t>
        </is>
      </c>
      <c r="AK490" t="inlineStr">
        <is>
          <t>[T] D6 target removed (not owned); buy Conspicuous Snoop instead</t>
        </is>
      </c>
    </row>
    <row r="491" ht="15" customHeight="1" s="79">
      <c r="A491" s="2" t="inlineStr">
        <is>
          <t>Wild Pack Squad</t>
        </is>
      </c>
      <c r="B491" s="2">
        <f>IF(AND(F491&lt;&gt;0,E491=F491),"In Hand",IF(AND(E491&lt;&gt;0,E491&lt;F491,SUM(M491:R491)=0,SUM(T491:Y491)&gt;0),"Extra-Sub",IF(AND(E491=0,E491&lt;F491,SUM(M491:R491)=0,SUM(T491:Y491)&gt;0),"Bench-Sub",IF(AND(E491=0,F491&gt;0),"Bench",IF(E491&lt;F491,"Extra",IF(AND(J491="",E491&gt;F491),"To Buy",IF(SUM(J491,F491)&lt;E491,"To Buy",IF(AND(SUM(J491,F491)&gt;=E491,J491&lt;&gt;""),"Ordered",IF(AND(E491=0,F491=0,D491="B3"),"B3 Option",IF(AND(E491=0,F491=0),"Remove","To Buy"))))))))))</f>
        <v/>
      </c>
      <c r="D491" t="inlineStr">
        <is>
          <t>B2</t>
        </is>
      </c>
      <c r="E491" s="3">
        <f>SUM(M491:S491)</f>
        <v/>
      </c>
      <c r="F491" s="3">
        <f>SUM(T491:Z491)</f>
        <v/>
      </c>
      <c r="G491" s="3">
        <f>IF((F491-E491)&gt;=0,F491-E491,0)</f>
        <v/>
      </c>
      <c r="H491" s="3">
        <f>MAX(0,$E491-$F491-$J491)</f>
        <v/>
      </c>
      <c r="I491" s="3" t="n"/>
      <c r="J491" s="3" t="n"/>
      <c r="K491" s="4" t="n"/>
      <c r="L491" s="4">
        <f>IF(AND($H491&gt;0,ISNUMBER($K491)),$H491*$K491,0)</f>
        <v/>
      </c>
      <c r="M491" s="3" t="n"/>
      <c r="N491" s="3" t="n"/>
      <c r="O491" s="3" t="n"/>
      <c r="P491" s="3" t="n"/>
      <c r="Q491" s="3" t="n"/>
      <c r="R491" s="3" t="n"/>
      <c r="S491" s="3">
        <f>IF(AND(J491&lt;&gt;"",SUM(M491:R491)=0),J491,"")</f>
        <v/>
      </c>
      <c r="T491" s="3" t="n"/>
      <c r="U491" s="3" t="n"/>
      <c r="V491" s="3" t="n"/>
      <c r="W491" s="3" t="n"/>
      <c r="X491" s="3" t="n">
        <v>1</v>
      </c>
      <c r="Y491" s="3" t="n"/>
      <c r="Z491" s="3" t="n"/>
      <c r="AA491" s="2" t="inlineStr">
        <is>
          <t>Creature</t>
        </is>
      </c>
      <c r="AB491" s="2" t="inlineStr">
        <is>
          <t>Human Mercenary</t>
        </is>
      </c>
      <c r="AC491" s="2" t="inlineStr">
        <is>
          <t>W</t>
        </is>
      </c>
      <c r="AD491" s="3" t="n">
        <v>3</v>
      </c>
      <c r="AE491" s="29" t="inlineStr">
        <is>
          <t>Through the Omenpaths</t>
        </is>
      </c>
      <c r="AF491" s="29" t="inlineStr">
        <is>
          <t>Combat Trick</t>
        </is>
      </c>
      <c r="AG491" s="29" t="inlineStr">
        <is>
          <t>Gives target creature first strike and vigilance at combat start</t>
        </is>
      </c>
      <c r="AH491" s="29" t="n"/>
      <c r="AI491" s="29" t="n"/>
      <c r="AJ491" s="2" t="inlineStr">
        <is>
          <t>Cut in Tuned (for Day of Judgment); D5 target removed 2026-09-02 (bench sub Ao, the Dawn Sky in place)</t>
        </is>
      </c>
      <c r="AK491" t="inlineStr">
        <is>
          <t>[T+A] D5-&gt;B (cut, replaced by bench card) [done 2026-09-03]</t>
        </is>
      </c>
    </row>
    <row r="492" ht="15" customHeight="1" s="79">
      <c r="A492" s="2" t="inlineStr">
        <is>
          <t>Wildvine Pummeler</t>
        </is>
      </c>
      <c r="B492" s="2">
        <f>IF(AND(F492&lt;&gt;0,E492=F492),"In Hand",IF(AND(E492&lt;&gt;0,E492&lt;F492,SUM(M492:R492)=0,SUM(T492:Y492)&gt;0),"Extra-Sub",IF(AND(E492=0,E492&lt;F492,SUM(M492:R492)=0,SUM(T492:Y492)&gt;0),"Bench-Sub",IF(AND(E492=0,F492&gt;0),"Bench",IF(E492&lt;F492,"Extra",IF(AND(J492="",E492&gt;F492),"To Buy",IF(SUM(J492,F492)&lt;E492,"To Buy",IF(AND(SUM(J492,F492)&gt;=E492,J492&lt;&gt;""),"Ordered",IF(AND(E492=0,F492=0,D492="B3"),"B3 Option",IF(AND(E492=0,F492=0),"Remove","To Buy"))))))))))</f>
        <v/>
      </c>
      <c r="D492" t="inlineStr">
        <is>
          <t>B2</t>
        </is>
      </c>
      <c r="E492" s="3">
        <f>SUM(M492:S492)</f>
        <v/>
      </c>
      <c r="F492" s="3">
        <f>SUM(T492:Z492)</f>
        <v/>
      </c>
      <c r="G492" s="3">
        <f>IF((F492-E492)&gt;=0,F492-E492,0)</f>
        <v/>
      </c>
      <c r="H492" s="3">
        <f>MAX(0,$E492-$F492-$J492)</f>
        <v/>
      </c>
      <c r="I492" s="3" t="n"/>
      <c r="J492" s="3" t="n"/>
      <c r="K492" s="4" t="n"/>
      <c r="L492" s="4">
        <f>IF(AND($H492&gt;0,ISNUMBER($K492)),$H492*$K492,0)</f>
        <v/>
      </c>
      <c r="M492" s="3" t="n"/>
      <c r="N492" s="3" t="n"/>
      <c r="O492" s="3" t="n"/>
      <c r="P492" s="3" t="n"/>
      <c r="Q492" s="3" t="n"/>
      <c r="R492" s="3" t="n"/>
      <c r="S492" s="3">
        <f>IF(AND(J492&lt;&gt;"",SUM(M492:R492)=0),J492,"")</f>
        <v/>
      </c>
      <c r="T492" s="3" t="n"/>
      <c r="U492" s="3" t="n">
        <v>1</v>
      </c>
      <c r="V492" s="3" t="n"/>
      <c r="W492" s="3" t="n"/>
      <c r="X492" s="3" t="n"/>
      <c r="Y492" s="3" t="n"/>
      <c r="Z492" s="3" t="n"/>
      <c r="AA492" s="2" t="inlineStr">
        <is>
          <t>Creature</t>
        </is>
      </c>
      <c r="AB492" s="2" t="inlineStr">
        <is>
          <t>Giant Berserker</t>
        </is>
      </c>
      <c r="AC492" s="2" t="inlineStr">
        <is>
          <t>G</t>
        </is>
      </c>
      <c r="AD492" s="3" t="n">
        <v>7</v>
      </c>
      <c r="AE492" s="29" t="inlineStr">
        <is>
          <t>Lorwyn Eclipsed</t>
        </is>
      </c>
      <c r="AF492" s="29" t="inlineStr">
        <is>
          <t>Cost Reducer</t>
        </is>
      </c>
      <c r="AG492" s="29" t="inlineStr">
        <is>
          <t>Costs {1} less to cast for each color among your permanents</t>
        </is>
      </c>
      <c r="AH492" s="29" t="inlineStr">
        <is>
          <t>Can block creatures with flying</t>
        </is>
      </c>
      <c r="AI492" s="29" t="inlineStr">
        <is>
          <t>Excess combat damage carries through to the defending player</t>
        </is>
      </c>
      <c r="AJ492" s="2" t="inlineStr">
        <is>
          <t>Cut in Tuned</t>
        </is>
      </c>
    </row>
    <row r="493" ht="15" customHeight="1" s="79">
      <c r="A493" s="20" t="inlineStr">
        <is>
          <t>Enchanted River's Grasp</t>
        </is>
      </c>
      <c r="B493" s="2">
        <f>IF(AND(F493&lt;&gt;0,E493=F493),"In Hand",IF(AND(E493&lt;&gt;0,E493&lt;F493,SUM(M493:R493)=0,SUM(T493:Y493)&gt;0),"Extra-Sub",IF(AND(E493=0,E493&lt;F493,SUM(M493:R493)=0,SUM(T493:Y493)&gt;0),"Bench-Sub",IF(AND(E493=0,F493&gt;0),"Bench",IF(E493&lt;F493,"Extra",IF(AND(J493="",E493&gt;F493),"To Buy",IF(SUM(J493,F493)&lt;E493,"To Buy",IF(AND(SUM(J493,F493)&gt;=E493,J493&lt;&gt;""),"Ordered",IF(AND(E493=0,F493=0,D493="B3"),"B3 Option",IF(AND(E493=0,F493=0),"Remove","To Buy"))))))))))</f>
        <v/>
      </c>
      <c r="D493" t="inlineStr">
        <is>
          <t>B2</t>
        </is>
      </c>
      <c r="E493" s="3">
        <f>SUM(M493:S493)</f>
        <v/>
      </c>
      <c r="F493" s="3">
        <f>SUM(T493:Z493)</f>
        <v/>
      </c>
      <c r="G493" s="3">
        <f>IF((F493-E493)&gt;=0,F493-E493,0)</f>
        <v/>
      </c>
      <c r="H493" s="3">
        <f>MAX(0,$E493-$F493-$J493)</f>
        <v/>
      </c>
      <c r="I493" s="20" t="n"/>
      <c r="J493" s="20" t="n"/>
      <c r="K493" s="20" t="n"/>
      <c r="L493" s="20" t="n"/>
      <c r="M493" s="20" t="n"/>
      <c r="N493" s="20" t="n"/>
      <c r="O493" s="20" t="n"/>
      <c r="P493" s="20" t="n"/>
      <c r="Q493" s="20" t="n"/>
      <c r="R493" s="20" t="n"/>
      <c r="S493" s="20" t="n"/>
      <c r="T493" s="20" t="n"/>
      <c r="U493" s="20" t="n"/>
      <c r="V493" s="20" t="n"/>
      <c r="W493" s="20" t="n"/>
      <c r="X493" s="20" t="n"/>
      <c r="Y493" s="20" t="n"/>
      <c r="Z493" s="78" t="n">
        <v>1</v>
      </c>
      <c r="AA493" s="20" t="n"/>
      <c r="AB493" s="20" t="n"/>
      <c r="AC493" s="20" t="n"/>
      <c r="AD493" s="20" t="n"/>
      <c r="AE493" s="20" t="n"/>
      <c r="AF493" s="20" t="n"/>
      <c r="AG493" s="20" t="n"/>
      <c r="AH493" s="20" t="n"/>
      <c r="AI493" s="20" t="n"/>
      <c r="AJ493" s="20" t="n"/>
    </row>
    <row r="494" ht="15" customHeight="1" s="79">
      <c r="A494" s="20" t="inlineStr">
        <is>
          <t>Fearsome Goblin Pair</t>
        </is>
      </c>
      <c r="B494" s="2">
        <f>IF(AND(F494&lt;&gt;0,E494=F494),"In Hand",IF(AND(E494&lt;&gt;0,E494&lt;F494,SUM(M494:R494)=0,SUM(T494:Y494)&gt;0),"Extra-Sub",IF(AND(E494=0,E494&lt;F494,SUM(M494:R494)=0,SUM(T494:Y494)&gt;0),"Bench-Sub",IF(AND(E494=0,F494&gt;0),"Bench",IF(E494&lt;F494,"Extra",IF(AND(J494="",E494&gt;F494),"To Buy",IF(SUM(J494,F494)&lt;E494,"To Buy",IF(AND(SUM(J494,F494)&gt;=E494,J494&lt;&gt;""),"Ordered",IF(AND(E494=0,F494=0,D494="B3"),"B3 Option",IF(AND(E494=0,F494=0),"Remove","To Buy"))))))))))</f>
        <v/>
      </c>
      <c r="D494" t="inlineStr">
        <is>
          <t>B2</t>
        </is>
      </c>
      <c r="E494" s="3">
        <f>SUM(M494:S494)</f>
        <v/>
      </c>
      <c r="F494" s="3">
        <f>SUM(T494:Z494)</f>
        <v/>
      </c>
      <c r="G494" s="3">
        <f>IF((F494-E494)&gt;=0,F494-E494,0)</f>
        <v/>
      </c>
      <c r="H494" s="3">
        <f>MAX(0,$E494-$F494-$J494)</f>
        <v/>
      </c>
      <c r="I494" s="20" t="n"/>
      <c r="J494" s="20" t="n"/>
      <c r="K494" s="20" t="n"/>
      <c r="L494" s="20" t="n"/>
      <c r="M494" s="20" t="n"/>
      <c r="N494" s="20" t="n"/>
      <c r="O494" s="20" t="n"/>
      <c r="P494" s="20" t="n"/>
      <c r="Q494" s="20" t="n"/>
      <c r="R494" s="20" t="n"/>
      <c r="S494" s="20" t="n"/>
      <c r="T494" s="20" t="n"/>
      <c r="U494" s="20" t="n"/>
      <c r="V494" s="20" t="n"/>
      <c r="W494" s="20" t="n"/>
      <c r="X494" s="20" t="n"/>
      <c r="Y494" s="20" t="n"/>
      <c r="Z494" s="78" t="n">
        <v>1</v>
      </c>
      <c r="AA494" s="20" t="n"/>
      <c r="AB494" s="20" t="n"/>
      <c r="AC494" s="20" t="n"/>
      <c r="AD494" s="20" t="n"/>
      <c r="AE494" s="20" t="n"/>
      <c r="AF494" s="20" t="n"/>
      <c r="AG494" s="20" t="n"/>
      <c r="AH494" s="20" t="n"/>
      <c r="AI494" s="20" t="n"/>
      <c r="AJ494" s="20" t="n"/>
    </row>
    <row r="495" ht="15" customHeight="1" s="79">
      <c r="A495" s="20" t="inlineStr">
        <is>
          <t>Front Porch Sentries</t>
        </is>
      </c>
      <c r="B495" s="2">
        <f>IF(AND(F495&lt;&gt;0,E495=F495),"In Hand",IF(AND(E495&lt;&gt;0,E495&lt;F495,SUM(M495:R495)=0,SUM(T495:Y495)&gt;0),"Extra-Sub",IF(AND(E495=0,E495&lt;F495,SUM(M495:R495)=0,SUM(T495:Y495)&gt;0),"Bench-Sub",IF(AND(E495=0,F495&gt;0),"Bench",IF(E495&lt;F495,"Extra",IF(AND(J495="",E495&gt;F495),"To Buy",IF(SUM(J495,F495)&lt;E495,"To Buy",IF(AND(SUM(J495,F495)&gt;=E495,J495&lt;&gt;""),"Ordered",IF(AND(E495=0,F495=0,D495="B3"),"B3 Option",IF(AND(E495=0,F495=0),"Remove","To Buy"))))))))))</f>
        <v/>
      </c>
      <c r="D495" t="inlineStr">
        <is>
          <t>B2</t>
        </is>
      </c>
      <c r="E495" s="3">
        <f>SUM(M495:S495)</f>
        <v/>
      </c>
      <c r="F495" s="3">
        <f>SUM(T495:Z495)</f>
        <v/>
      </c>
      <c r="G495" s="3">
        <f>IF((F495-E495)&gt;=0,F495-E495,0)</f>
        <v/>
      </c>
      <c r="H495" s="3">
        <f>MAX(0,$E495-$F495-$J495)</f>
        <v/>
      </c>
      <c r="I495" s="20" t="n"/>
      <c r="J495" s="20" t="n"/>
      <c r="K495" s="20" t="n"/>
      <c r="L495" s="20" t="n"/>
      <c r="M495" s="20" t="n"/>
      <c r="N495" s="20" t="n"/>
      <c r="O495" s="20" t="n"/>
      <c r="P495" s="20" t="n"/>
      <c r="Q495" s="20" t="n"/>
      <c r="R495" s="20" t="n"/>
      <c r="S495" s="20" t="n"/>
      <c r="T495" s="20" t="n"/>
      <c r="U495" s="20" t="n"/>
      <c r="V495" s="20" t="n"/>
      <c r="W495" s="20" t="n"/>
      <c r="X495" s="20" t="n"/>
      <c r="Y495" s="20" t="n"/>
      <c r="Z495" s="78" t="n">
        <v>1</v>
      </c>
      <c r="AA495" s="20" t="n"/>
      <c r="AB495" s="20" t="n"/>
      <c r="AC495" s="20" t="n"/>
      <c r="AD495" s="20" t="n"/>
      <c r="AE495" s="20" t="n"/>
      <c r="AF495" s="20" t="n"/>
      <c r="AG495" s="20" t="n"/>
      <c r="AH495" s="20" t="n"/>
      <c r="AI495" s="20" t="n"/>
      <c r="AJ495" s="20" t="n"/>
    </row>
    <row r="496" ht="15" customHeight="1" s="79">
      <c r="A496" s="20" t="inlineStr">
        <is>
          <t>Getaway Barrel</t>
        </is>
      </c>
      <c r="B496" s="2">
        <f>IF(AND(F496&lt;&gt;0,E496=F496),"In Hand",IF(AND(E496&lt;&gt;0,E496&lt;F496,SUM(M496:R496)=0,SUM(T496:Y496)&gt;0),"Extra-Sub",IF(AND(E496=0,E496&lt;F496,SUM(M496:R496)=0,SUM(T496:Y496)&gt;0),"Bench-Sub",IF(AND(E496=0,F496&gt;0),"Bench",IF(E496&lt;F496,"Extra",IF(AND(J496="",E496&gt;F496),"To Buy",IF(SUM(J496,F496)&lt;E496,"To Buy",IF(AND(SUM(J496,F496)&gt;=E496,J496&lt;&gt;""),"Ordered",IF(AND(E496=0,F496=0,D496="B3"),"B3 Option",IF(AND(E496=0,F496=0),"Remove","To Buy"))))))))))</f>
        <v/>
      </c>
      <c r="D496" t="inlineStr">
        <is>
          <t>B2</t>
        </is>
      </c>
      <c r="E496" s="3">
        <f>SUM(M496:S496)</f>
        <v/>
      </c>
      <c r="F496" s="3">
        <f>SUM(T496:Z496)</f>
        <v/>
      </c>
      <c r="G496" s="3">
        <f>IF((F496-E496)&gt;=0,F496-E496,0)</f>
        <v/>
      </c>
      <c r="H496" s="3">
        <f>MAX(0,$E496-$F496-$J496)</f>
        <v/>
      </c>
      <c r="I496" s="20" t="n"/>
      <c r="J496" s="20" t="n"/>
      <c r="K496" s="20" t="n"/>
      <c r="L496" s="20" t="n"/>
      <c r="M496" s="20" t="n"/>
      <c r="N496" s="20" t="n"/>
      <c r="O496" s="20" t="n"/>
      <c r="P496" s="20" t="n"/>
      <c r="Q496" s="20" t="n"/>
      <c r="R496" s="20" t="n"/>
      <c r="S496" s="20" t="n"/>
      <c r="T496" s="20" t="n"/>
      <c r="U496" s="20" t="n"/>
      <c r="V496" s="20" t="n"/>
      <c r="W496" s="20" t="n"/>
      <c r="X496" s="20" t="n"/>
      <c r="Y496" s="20" t="n"/>
      <c r="Z496" s="78" t="n">
        <v>1</v>
      </c>
      <c r="AA496" s="20" t="n"/>
      <c r="AB496" s="20" t="n"/>
      <c r="AC496" s="20" t="n"/>
      <c r="AD496" s="20" t="n"/>
      <c r="AE496" s="20" t="n"/>
      <c r="AF496" s="20" t="n"/>
      <c r="AG496" s="20" t="n"/>
      <c r="AH496" s="20" t="n"/>
      <c r="AI496" s="20" t="n"/>
      <c r="AJ496" s="20" t="n"/>
    </row>
    <row r="497" ht="15" customHeight="1" s="79">
      <c r="A497" s="20" t="inlineStr">
        <is>
          <t>Mirkwood Nurturer</t>
        </is>
      </c>
      <c r="B497" s="2">
        <f>IF(AND(F497&lt;&gt;0,E497=F497),"In Hand",IF(AND(E497&lt;&gt;0,E497&lt;F497,SUM(M497:R497)=0,SUM(T497:Y497)&gt;0),"Extra-Sub",IF(AND(E497=0,E497&lt;F497,SUM(M497:R497)=0,SUM(T497:Y497)&gt;0),"Bench-Sub",IF(AND(E497=0,F497&gt;0),"Bench",IF(E497&lt;F497,"Extra",IF(AND(J497="",E497&gt;F497),"To Buy",IF(SUM(J497,F497)&lt;E497,"To Buy",IF(AND(SUM(J497,F497)&gt;=E497,J497&lt;&gt;""),"Ordered",IF(AND(E497=0,F497=0,D497="B3"),"B3 Option",IF(AND(E497=0,F497=0),"Remove","To Buy"))))))))))</f>
        <v/>
      </c>
      <c r="D497" t="inlineStr">
        <is>
          <t>B2</t>
        </is>
      </c>
      <c r="E497" s="3">
        <f>SUM(M497:S497)</f>
        <v/>
      </c>
      <c r="F497" s="3">
        <f>SUM(T497:Z497)</f>
        <v/>
      </c>
      <c r="G497" s="3">
        <f>IF((F497-E497)&gt;=0,F497-E497,0)</f>
        <v/>
      </c>
      <c r="H497" s="3">
        <f>MAX(0,$E497-$F497-$J497)</f>
        <v/>
      </c>
      <c r="I497" s="20" t="n"/>
      <c r="J497" s="20" t="n"/>
      <c r="K497" s="20" t="n"/>
      <c r="L497" s="20" t="n"/>
      <c r="M497" s="20" t="n"/>
      <c r="N497" s="20" t="n"/>
      <c r="O497" s="20" t="n"/>
      <c r="P497" s="20" t="n"/>
      <c r="Q497" s="20" t="n"/>
      <c r="R497" s="20" t="n"/>
      <c r="S497" s="20" t="n"/>
      <c r="T497" s="20" t="n"/>
      <c r="U497" s="20" t="n"/>
      <c r="V497" s="20" t="n"/>
      <c r="W497" s="20" t="n"/>
      <c r="X497" s="20" t="n"/>
      <c r="Y497" s="20" t="n"/>
      <c r="Z497" s="78" t="n">
        <v>1</v>
      </c>
      <c r="AA497" s="20" t="n"/>
      <c r="AB497" s="20" t="n"/>
      <c r="AC497" s="20" t="n"/>
      <c r="AD497" s="20" t="n"/>
      <c r="AE497" s="20" t="n"/>
      <c r="AF497" s="20" t="n"/>
      <c r="AG497" s="20" t="n"/>
      <c r="AH497" s="20" t="n"/>
      <c r="AI497" s="20" t="n"/>
      <c r="AJ497" s="20" t="n"/>
    </row>
    <row r="498" ht="15" customHeight="1" s="79">
      <c r="A498" s="20" t="inlineStr">
        <is>
          <t>Mirkwood Pathmaker</t>
        </is>
      </c>
      <c r="B498" s="2">
        <f>IF(AND(F498&lt;&gt;0,E498=F498),"In Hand",IF(AND(E498&lt;&gt;0,E498&lt;F498,SUM(M498:R498)=0,SUM(T498:Y498)&gt;0),"Extra-Sub",IF(AND(E498=0,E498&lt;F498,SUM(M498:R498)=0,SUM(T498:Y498)&gt;0),"Bench-Sub",IF(AND(E498=0,F498&gt;0),"Bench",IF(E498&lt;F498,"Extra",IF(AND(J498="",E498&gt;F498),"To Buy",IF(SUM(J498,F498)&lt;E498,"To Buy",IF(AND(SUM(J498,F498)&gt;=E498,J498&lt;&gt;""),"Ordered",IF(AND(E498=0,F498=0,D498="B3"),"B3 Option",IF(AND(E498=0,F498=0),"Remove","To Buy"))))))))))</f>
        <v/>
      </c>
      <c r="D498" t="inlineStr">
        <is>
          <t>B2</t>
        </is>
      </c>
      <c r="E498" s="3">
        <f>SUM(M498:S498)</f>
        <v/>
      </c>
      <c r="F498" s="3">
        <f>SUM(T498:Z498)</f>
        <v/>
      </c>
      <c r="G498" s="3">
        <f>IF((F498-E498)&gt;=0,F498-E498,0)</f>
        <v/>
      </c>
      <c r="H498" s="3">
        <f>MAX(0,$E498-$F498-$J498)</f>
        <v/>
      </c>
      <c r="I498" s="20" t="n"/>
      <c r="J498" s="20" t="n"/>
      <c r="K498" s="20" t="n"/>
      <c r="L498" s="20" t="n"/>
      <c r="M498" s="20" t="n"/>
      <c r="N498" s="20" t="n"/>
      <c r="O498" s="20" t="n"/>
      <c r="P498" s="20" t="n"/>
      <c r="Q498" s="20" t="n"/>
      <c r="R498" s="20" t="n"/>
      <c r="S498" s="20" t="n"/>
      <c r="T498" s="20" t="n"/>
      <c r="U498" s="20" t="n"/>
      <c r="V498" s="20" t="n"/>
      <c r="W498" s="20" t="n"/>
      <c r="X498" s="20" t="n"/>
      <c r="Y498" s="20" t="n"/>
      <c r="Z498" s="78" t="n">
        <v>1</v>
      </c>
      <c r="AA498" s="20" t="n"/>
      <c r="AB498" s="20" t="n"/>
      <c r="AC498" s="20" t="n"/>
      <c r="AD498" s="20" t="n"/>
      <c r="AE498" s="20" t="n"/>
      <c r="AF498" s="20" t="n"/>
      <c r="AG498" s="20" t="n"/>
      <c r="AH498" s="20" t="n"/>
      <c r="AI498" s="20" t="n"/>
      <c r="AJ498" s="20" t="n"/>
    </row>
    <row r="499" ht="15" customHeight="1" s="79">
      <c r="A499" s="20" t="inlineStr">
        <is>
          <t>Moment of Glory</t>
        </is>
      </c>
      <c r="B499" s="2">
        <f>IF(AND(F499&lt;&gt;0,E499=F499),"In Hand",IF(AND(E499&lt;&gt;0,E499&lt;F499,SUM(M499:R499)=0,SUM(T499:Y499)&gt;0),"Extra-Sub",IF(AND(E499=0,E499&lt;F499,SUM(M499:R499)=0,SUM(T499:Y499)&gt;0),"Bench-Sub",IF(AND(E499=0,F499&gt;0),"Bench",IF(E499&lt;F499,"Extra",IF(AND(J499="",E499&gt;F499),"To Buy",IF(SUM(J499,F499)&lt;E499,"To Buy",IF(AND(SUM(J499,F499)&gt;=E499,J499&lt;&gt;""),"Ordered",IF(AND(E499=0,F499=0,D499="B3"),"B3 Option",IF(AND(E499=0,F499=0),"Remove","To Buy"))))))))))</f>
        <v/>
      </c>
      <c r="D499" t="inlineStr">
        <is>
          <t>B2</t>
        </is>
      </c>
      <c r="E499" s="3">
        <f>SUM(M499:S499)</f>
        <v/>
      </c>
      <c r="F499" s="3">
        <f>SUM(T499:Z499)</f>
        <v/>
      </c>
      <c r="G499" s="3">
        <f>IF((F499-E499)&gt;=0,F499-E499,0)</f>
        <v/>
      </c>
      <c r="H499" s="3">
        <f>MAX(0,$E499-$F499-$J499)</f>
        <v/>
      </c>
      <c r="I499" s="20" t="n"/>
      <c r="J499" s="20" t="n"/>
      <c r="K499" s="20" t="n"/>
      <c r="L499" s="20" t="n"/>
      <c r="M499" s="20" t="n"/>
      <c r="N499" s="20" t="n"/>
      <c r="O499" s="20" t="n"/>
      <c r="P499" s="20" t="n"/>
      <c r="Q499" s="20" t="n"/>
      <c r="R499" s="20" t="n"/>
      <c r="S499" s="20" t="n"/>
      <c r="T499" s="20" t="n"/>
      <c r="U499" s="20" t="n"/>
      <c r="V499" s="20" t="n"/>
      <c r="W499" s="20" t="n"/>
      <c r="X499" s="20" t="n"/>
      <c r="Y499" s="20" t="n"/>
      <c r="Z499" s="78" t="n">
        <v>1</v>
      </c>
      <c r="AA499" s="20" t="n"/>
      <c r="AB499" s="20" t="n"/>
      <c r="AC499" s="20" t="n"/>
      <c r="AD499" s="20" t="n"/>
      <c r="AE499" s="20" t="n"/>
      <c r="AF499" s="20" t="n"/>
      <c r="AG499" s="20" t="n"/>
      <c r="AH499" s="20" t="n"/>
      <c r="AI499" s="20" t="n"/>
      <c r="AJ499" s="20" t="n"/>
    </row>
    <row r="500" ht="15" customHeight="1" s="79">
      <c r="A500" s="20" t="inlineStr">
        <is>
          <t>Old Fat Spider Can't See Me</t>
        </is>
      </c>
      <c r="B500" s="2">
        <f>IF(AND(F500&lt;&gt;0,E500=F500),"In Hand",IF(AND(E500&lt;&gt;0,E500&lt;F500,SUM(M500:R500)=0,SUM(T500:Y500)&gt;0),"Extra-Sub",IF(AND(E500=0,E500&lt;F500,SUM(M500:R500)=0,SUM(T500:Y500)&gt;0),"Bench-Sub",IF(AND(E500=0,F500&gt;0),"Bench",IF(E500&lt;F500,"Extra",IF(AND(J500="",E500&gt;F500),"To Buy",IF(SUM(J500,F500)&lt;E500,"To Buy",IF(AND(SUM(J500,F500)&gt;=E500,J500&lt;&gt;""),"Ordered",IF(AND(E500=0,F500=0,D500="B3"),"B3 Option",IF(AND(E500=0,F500=0),"Remove","To Buy"))))))))))</f>
        <v/>
      </c>
      <c r="D500" t="inlineStr">
        <is>
          <t>B2</t>
        </is>
      </c>
      <c r="E500" s="3">
        <f>SUM(M500:S500)</f>
        <v/>
      </c>
      <c r="F500" s="3">
        <f>SUM(T500:Z500)</f>
        <v/>
      </c>
      <c r="G500" s="3">
        <f>IF((F500-E500)&gt;=0,F500-E500,0)</f>
        <v/>
      </c>
      <c r="H500" s="3">
        <f>MAX(0,$E500-$F500-$J500)</f>
        <v/>
      </c>
      <c r="I500" s="20" t="n"/>
      <c r="J500" s="20" t="n"/>
      <c r="K500" s="20" t="n"/>
      <c r="L500" s="20" t="n"/>
      <c r="M500" s="20" t="n"/>
      <c r="N500" s="20" t="n"/>
      <c r="O500" s="20" t="n"/>
      <c r="P500" s="20" t="n"/>
      <c r="Q500" s="20" t="n"/>
      <c r="R500" s="20" t="n"/>
      <c r="S500" s="20" t="n"/>
      <c r="T500" s="20" t="n"/>
      <c r="U500" s="20" t="n"/>
      <c r="V500" s="20" t="n"/>
      <c r="W500" s="20" t="n"/>
      <c r="X500" s="20" t="n"/>
      <c r="Y500" s="20" t="n"/>
      <c r="Z500" s="78" t="n">
        <v>1</v>
      </c>
      <c r="AA500" s="20" t="n"/>
      <c r="AB500" s="20" t="n"/>
      <c r="AC500" s="20" t="n"/>
      <c r="AD500" s="20" t="n"/>
      <c r="AE500" s="20" t="n"/>
      <c r="AF500" s="20" t="n"/>
      <c r="AG500" s="20" t="n"/>
      <c r="AH500" s="20" t="n"/>
      <c r="AI500" s="20" t="n"/>
      <c r="AJ500" s="20" t="n"/>
    </row>
    <row r="501" ht="15" customHeight="1" s="79">
      <c r="A501" s="20" t="inlineStr">
        <is>
          <t>Ordinary Bear</t>
        </is>
      </c>
      <c r="B501" s="2">
        <f>IF(AND(F501&lt;&gt;0,E501=F501),"In Hand",IF(AND(E501&lt;&gt;0,E501&lt;F501,SUM(M501:R501)=0,SUM(T501:Y501)&gt;0),"Extra-Sub",IF(AND(E501=0,E501&lt;F501,SUM(M501:R501)=0,SUM(T501:Y501)&gt;0),"Bench-Sub",IF(AND(E501=0,F501&gt;0),"Bench",IF(E501&lt;F501,"Extra",IF(AND(J501="",E501&gt;F501),"To Buy",IF(SUM(J501,F501)&lt;E501,"To Buy",IF(AND(SUM(J501,F501)&gt;=E501,J501&lt;&gt;""),"Ordered",IF(AND(E501=0,F501=0,D501="B3"),"B3 Option",IF(AND(E501=0,F501=0),"Remove","To Buy"))))))))))</f>
        <v/>
      </c>
      <c r="D501" t="inlineStr">
        <is>
          <t>B2</t>
        </is>
      </c>
      <c r="E501" s="3">
        <f>SUM(M501:S501)</f>
        <v/>
      </c>
      <c r="F501" s="3">
        <f>SUM(T501:Z501)</f>
        <v/>
      </c>
      <c r="G501" s="3">
        <f>IF((F501-E501)&gt;=0,F501-E501,0)</f>
        <v/>
      </c>
      <c r="H501" s="3">
        <f>MAX(0,$E501-$F501-$J501)</f>
        <v/>
      </c>
      <c r="I501" s="20" t="n"/>
      <c r="J501" s="20" t="n"/>
      <c r="K501" s="20" t="n"/>
      <c r="L501" s="20" t="n"/>
      <c r="M501" s="20" t="n"/>
      <c r="N501" s="20" t="n"/>
      <c r="O501" s="20" t="n"/>
      <c r="P501" s="20" t="n"/>
      <c r="Q501" s="20" t="n"/>
      <c r="R501" s="20" t="n"/>
      <c r="S501" s="20" t="n"/>
      <c r="T501" s="20" t="n"/>
      <c r="U501" s="20" t="n"/>
      <c r="V501" s="20" t="n"/>
      <c r="W501" s="20" t="n"/>
      <c r="X501" s="20" t="n"/>
      <c r="Y501" s="20" t="n"/>
      <c r="Z501" s="78" t="n">
        <v>1</v>
      </c>
      <c r="AA501" s="20" t="n"/>
      <c r="AB501" s="20" t="n"/>
      <c r="AC501" s="20" t="n"/>
      <c r="AD501" s="20" t="n"/>
      <c r="AE501" s="20" t="n"/>
      <c r="AF501" s="20" t="n"/>
      <c r="AG501" s="20" t="n"/>
      <c r="AH501" s="20" t="n"/>
      <c r="AI501" s="20" t="n"/>
      <c r="AJ501" s="20" t="n"/>
    </row>
    <row r="502" ht="15" customHeight="1" s="79">
      <c r="A502" s="20" t="inlineStr">
        <is>
          <t>Rage into the Valley</t>
        </is>
      </c>
      <c r="B502" s="2">
        <f>IF(AND(F502&lt;&gt;0,E502=F502),"In Hand",IF(AND(E502&lt;&gt;0,E502&lt;F502,SUM(M502:R502)=0,SUM(T502:Y502)&gt;0),"Extra-Sub",IF(AND(E502=0,E502&lt;F502,SUM(M502:R502)=0,SUM(T502:Y502)&gt;0),"Bench-Sub",IF(AND(E502=0,F502&gt;0),"Bench",IF(E502&lt;F502,"Extra",IF(AND(J502="",E502&gt;F502),"To Buy",IF(SUM(J502,F502)&lt;E502,"To Buy",IF(AND(SUM(J502,F502)&gt;=E502,J502&lt;&gt;""),"Ordered",IF(AND(E502=0,F502=0,D502="B3"),"B3 Option",IF(AND(E502=0,F502=0),"Remove","To Buy"))))))))))</f>
        <v/>
      </c>
      <c r="D502" t="inlineStr">
        <is>
          <t>B2</t>
        </is>
      </c>
      <c r="E502" s="3">
        <f>SUM(M502:S502)</f>
        <v/>
      </c>
      <c r="F502" s="3">
        <f>SUM(T502:Z502)</f>
        <v/>
      </c>
      <c r="G502" s="3">
        <f>IF((F502-E502)&gt;=0,F502-E502,0)</f>
        <v/>
      </c>
      <c r="H502" s="3">
        <f>MAX(0,$E502-$F502-$J502)</f>
        <v/>
      </c>
      <c r="I502" s="20" t="n"/>
      <c r="J502" s="20" t="n"/>
      <c r="K502" s="20" t="n"/>
      <c r="L502" s="20" t="n"/>
      <c r="M502" s="20" t="n"/>
      <c r="N502" s="20" t="n"/>
      <c r="O502" s="20" t="n"/>
      <c r="P502" s="20" t="n"/>
      <c r="Q502" s="20" t="n"/>
      <c r="R502" s="20" t="n"/>
      <c r="S502" s="20" t="n"/>
      <c r="T502" s="20" t="n"/>
      <c r="U502" s="20" t="n"/>
      <c r="V502" s="20" t="n"/>
      <c r="W502" s="20" t="n"/>
      <c r="X502" s="20" t="n"/>
      <c r="Y502" s="20" t="n"/>
      <c r="Z502" s="78" t="n">
        <v>1</v>
      </c>
      <c r="AA502" s="20" t="n"/>
      <c r="AB502" s="20" t="n"/>
      <c r="AC502" s="20" t="n"/>
      <c r="AD502" s="20" t="n"/>
      <c r="AE502" s="20" t="n"/>
      <c r="AF502" s="20" t="n"/>
      <c r="AG502" s="20" t="n"/>
      <c r="AH502" s="20" t="n"/>
      <c r="AI502" s="20" t="n"/>
      <c r="AJ502" s="20" t="n"/>
    </row>
    <row r="503" ht="15" customHeight="1" s="79">
      <c r="A503" s="20" t="inlineStr">
        <is>
          <t>Stone by Sunlight</t>
        </is>
      </c>
      <c r="B503" s="2">
        <f>IF(AND(F503&lt;&gt;0,E503=F503),"In Hand",IF(AND(E503&lt;&gt;0,E503&lt;F503,SUM(M503:R503)=0,SUM(T503:Y503)&gt;0),"Extra-Sub",IF(AND(E503=0,E503&lt;F503,SUM(M503:R503)=0,SUM(T503:Y503)&gt;0),"Bench-Sub",IF(AND(E503=0,F503&gt;0),"Bench",IF(E503&lt;F503,"Extra",IF(AND(J503="",E503&gt;F503),"To Buy",IF(SUM(J503,F503)&lt;E503,"To Buy",IF(AND(SUM(J503,F503)&gt;=E503,J503&lt;&gt;""),"Ordered",IF(AND(E503=0,F503=0,D503="B3"),"B3 Option",IF(AND(E503=0,F503=0),"Remove","To Buy"))))))))))</f>
        <v/>
      </c>
      <c r="D503" t="inlineStr">
        <is>
          <t>B2</t>
        </is>
      </c>
      <c r="E503" s="3">
        <f>SUM(M503:S503)</f>
        <v/>
      </c>
      <c r="F503" s="3">
        <f>SUM(T503:Z503)</f>
        <v/>
      </c>
      <c r="G503" s="3">
        <f>IF((F503-E503)&gt;=0,F503-E503,0)</f>
        <v/>
      </c>
      <c r="H503" s="3">
        <f>MAX(0,$E503-$F503-$J503)</f>
        <v/>
      </c>
      <c r="I503" s="20" t="n"/>
      <c r="J503" s="20" t="n"/>
      <c r="K503" s="20" t="n"/>
      <c r="L503" s="20" t="n"/>
      <c r="M503" s="20" t="n"/>
      <c r="N503" s="20" t="n"/>
      <c r="O503" s="20" t="n"/>
      <c r="P503" s="20" t="n"/>
      <c r="Q503" s="20" t="n"/>
      <c r="R503" s="20" t="n"/>
      <c r="S503" s="20" t="n"/>
      <c r="T503" s="20" t="n"/>
      <c r="U503" s="20" t="n"/>
      <c r="V503" s="20" t="n"/>
      <c r="W503" s="20" t="n"/>
      <c r="X503" s="20" t="n"/>
      <c r="Y503" s="20" t="n"/>
      <c r="Z503" s="78" t="n">
        <v>1</v>
      </c>
      <c r="AA503" s="20" t="n"/>
      <c r="AB503" s="20" t="n"/>
      <c r="AC503" s="20" t="n"/>
      <c r="AD503" s="20" t="n"/>
      <c r="AE503" s="20" t="n"/>
      <c r="AF503" s="20" t="n"/>
      <c r="AG503" s="20" t="n"/>
      <c r="AH503" s="20" t="n"/>
      <c r="AI503" s="20" t="n"/>
      <c r="AJ503" s="20" t="n"/>
    </row>
    <row r="504" ht="15" customHeight="1" s="79">
      <c r="A504" s="20" t="inlineStr">
        <is>
          <t>Tidings of War</t>
        </is>
      </c>
      <c r="B504" s="2">
        <f>IF(AND(F504&lt;&gt;0,E504=F504),"In Hand",IF(AND(E504&lt;&gt;0,E504&lt;F504,SUM(M504:R504)=0,SUM(T504:Y504)&gt;0),"Extra-Sub",IF(AND(E504=0,E504&lt;F504,SUM(M504:R504)=0,SUM(T504:Y504)&gt;0),"Bench-Sub",IF(AND(E504=0,F504&gt;0),"Bench",IF(E504&lt;F504,"Extra",IF(AND(J504="",E504&gt;F504),"To Buy",IF(SUM(J504,F504)&lt;E504,"To Buy",IF(AND(SUM(J504,F504)&gt;=E504,J504&lt;&gt;""),"Ordered",IF(AND(E504=0,F504=0,D504="B3"),"B3 Option",IF(AND(E504=0,F504=0),"Remove","To Buy"))))))))))</f>
        <v/>
      </c>
      <c r="D504" t="inlineStr">
        <is>
          <t>B2</t>
        </is>
      </c>
      <c r="E504" s="3">
        <f>SUM(M504:S504)</f>
        <v/>
      </c>
      <c r="F504" s="3">
        <f>SUM(T504:Z504)</f>
        <v/>
      </c>
      <c r="G504" s="3">
        <f>IF((F504-E504)&gt;=0,F504-E504,0)</f>
        <v/>
      </c>
      <c r="H504" s="3">
        <f>MAX(0,$E504-$F504-$J504)</f>
        <v/>
      </c>
      <c r="I504" s="20" t="n"/>
      <c r="J504" s="20" t="n"/>
      <c r="K504" s="20" t="n"/>
      <c r="L504" s="20" t="n"/>
      <c r="M504" s="20" t="n"/>
      <c r="N504" s="20" t="n"/>
      <c r="O504" s="20" t="n"/>
      <c r="P504" s="20" t="n"/>
      <c r="Q504" s="20" t="n"/>
      <c r="R504" s="20" t="n"/>
      <c r="S504" s="20" t="n"/>
      <c r="T504" s="20" t="n"/>
      <c r="U504" s="20" t="n"/>
      <c r="V504" s="20" t="n"/>
      <c r="W504" s="20" t="n"/>
      <c r="X504" s="20" t="n"/>
      <c r="Y504" s="20" t="n"/>
      <c r="Z504" s="78" t="n">
        <v>1</v>
      </c>
      <c r="AA504" s="20" t="n"/>
      <c r="AB504" s="20" t="n"/>
      <c r="AC504" s="20" t="n"/>
      <c r="AD504" s="20" t="n"/>
      <c r="AE504" s="20" t="n"/>
      <c r="AF504" s="20" t="n"/>
      <c r="AG504" s="20" t="n"/>
      <c r="AH504" s="20" t="n"/>
      <c r="AI504" s="20" t="n"/>
      <c r="AJ504" s="20" t="n"/>
    </row>
    <row r="505" ht="15" customHeight="1" s="79">
      <c r="A505" s="2" t="inlineStr">
        <is>
          <t>Wood Elves</t>
        </is>
      </c>
      <c r="B505" s="2">
        <f>IF(AND(F505&lt;&gt;0,E505=F505),"In Hand",IF(AND(E505&lt;&gt;0,E505&lt;F505,SUM(M505:R505)=0,SUM(T505:Y505)&gt;0),"Extra-Sub",IF(AND(E505=0,E505&lt;F505,SUM(M505:R505)=0,SUM(T505:Y505)&gt;0),"Bench-Sub",IF(AND(E505=0,F505&gt;0),"Bench",IF(E505&lt;F505,"Extra",IF(AND(J505="",E505&gt;F505),"To Buy",IF(SUM(J505,F505)&lt;E505,"To Buy",IF(AND(SUM(J505,F505)&gt;=E505,J505&lt;&gt;""),"Ordered",IF(AND(E505=0,F505=0,D505="B3"),"B3 Option",IF(AND(E505=0,F505=0),"Remove","To Buy"))))))))))</f>
        <v/>
      </c>
      <c r="D505" t="inlineStr">
        <is>
          <t>B2</t>
        </is>
      </c>
      <c r="E505" s="3">
        <f>SUM(M505:S505)</f>
        <v/>
      </c>
      <c r="F505" s="3">
        <f>SUM(T505:Z505)</f>
        <v/>
      </c>
      <c r="G505" s="3">
        <f>IF((F505-E505)&gt;=0,F505-E505,0)</f>
        <v/>
      </c>
      <c r="H505" s="3">
        <f>MAX(0,$E505-$F505-$J505)</f>
        <v/>
      </c>
      <c r="I505" s="3" t="n"/>
      <c r="J505" s="3" t="n"/>
      <c r="K505" s="4" t="n">
        <v>0.26</v>
      </c>
      <c r="L505" s="4">
        <f>IF(AND($H505&gt;0,ISNUMBER($K505)),$H505*$K505,0)</f>
        <v/>
      </c>
      <c r="M505" s="3" t="n"/>
      <c r="N505" s="3" t="n"/>
      <c r="O505" s="3" t="n"/>
      <c r="P505" s="3" t="n"/>
      <c r="Q505" s="3" t="n"/>
      <c r="R505" s="3" t="n"/>
      <c r="S505" s="3">
        <f>IF(AND(J505&lt;&gt;"",SUM(M505:R505)=0),J505,"")</f>
        <v/>
      </c>
      <c r="T505" s="3" t="n"/>
      <c r="U505" s="3" t="n"/>
      <c r="V505" s="3" t="n"/>
      <c r="W505" s="3" t="n"/>
      <c r="X505" s="3" t="n"/>
      <c r="Y505" s="3" t="n"/>
      <c r="Z505" s="3" t="n">
        <v>2</v>
      </c>
      <c r="AA505" s="2" t="inlineStr">
        <is>
          <t>Creature</t>
        </is>
      </c>
      <c r="AB505" s="2" t="inlineStr">
        <is>
          <t>Elf Scout</t>
        </is>
      </c>
      <c r="AC505" s="2" t="inlineStr">
        <is>
          <t>G</t>
        </is>
      </c>
      <c r="AD505" s="3" t="n">
        <v>3</v>
      </c>
      <c r="AE505" s="29" t="inlineStr">
        <is>
          <t>Portal</t>
        </is>
      </c>
      <c r="AF505" s="29" t="inlineStr">
        <is>
          <t>Ramp</t>
        </is>
      </c>
      <c r="AG505" s="29" t="inlineStr">
        <is>
          <t>Searches for a Forest and puts it onto the battlefield when it enters</t>
        </is>
      </c>
      <c r="AH505" s="29" t="n"/>
      <c r="AI505" s="29" t="n"/>
      <c r="AJ505" s="2" t="inlineStr">
        <is>
          <t>Bench sub available in D2: Fertilid (2026-09-02); D2 target removed 2026-09-02 (bench sub in place)</t>
        </is>
      </c>
    </row>
    <row r="506" ht="15" customHeight="1" s="79">
      <c r="A506" s="2" t="inlineStr">
        <is>
          <t>Access Tunnel</t>
        </is>
      </c>
      <c r="B506" s="2">
        <f>IF(AND(F506&lt;&gt;0,E506=F506),"In Hand",IF(AND(E506&lt;&gt;0,E506&lt;F506,SUM(M506:R506)=0,SUM(T506:Y506)&gt;0),"Extra-Sub",IF(AND(E506=0,E506&lt;F506,SUM(M506:R506)=0,SUM(T506:Y506)&gt;0),"Bench-Sub",IF(AND(E506=0,F506&gt;0),"Bench",IF(E506&lt;F506,"Extra",IF(AND(J506="",E506&gt;F506),"To Buy",IF(SUM(J506,F506)&lt;E506,"To Buy",IF(AND(SUM(J506,F506)&gt;=E506,J506&lt;&gt;""),"Ordered",IF(AND(E506=0,F506=0,D506="B3"),"B3 Option",IF(AND(E506=0,F506=0),"Remove","To Buy"))))))))))</f>
        <v/>
      </c>
      <c r="D506" t="inlineStr">
        <is>
          <t>B2</t>
        </is>
      </c>
      <c r="E506" s="3">
        <f>SUM(M506:S506)</f>
        <v/>
      </c>
      <c r="F506" s="3">
        <f>SUM(T506:Z506)</f>
        <v/>
      </c>
      <c r="G506" s="3">
        <f>IF((F506-E506)&gt;=0,F506-E506,0)</f>
        <v/>
      </c>
      <c r="H506" s="3">
        <f>MAX(0,$E506-$F506-$J506)</f>
        <v/>
      </c>
      <c r="I506" s="3" t="n"/>
      <c r="J506" s="3" t="n"/>
      <c r="K506" s="4" t="n">
        <v>0.4</v>
      </c>
      <c r="L506" s="4">
        <f>IF(AND($H506&gt;0,ISNUMBER($K506)),$H506*$K506,0)</f>
        <v/>
      </c>
      <c r="M506" s="3" t="n"/>
      <c r="N506" s="3" t="n"/>
      <c r="O506" s="3" t="n"/>
      <c r="P506" s="3" t="n"/>
      <c r="Q506" s="3" t="n"/>
      <c r="R506" s="3" t="n"/>
      <c r="S506" s="3">
        <f>IF(AND(J506&lt;&gt;"",SUM(M506:R506)=0),J506,"")</f>
        <v/>
      </c>
      <c r="T506" s="3" t="n"/>
      <c r="U506" s="3" t="n"/>
      <c r="V506" s="3" t="n"/>
      <c r="W506" s="3" t="n"/>
      <c r="X506" s="3" t="n"/>
      <c r="Y506" s="3" t="n"/>
      <c r="Z506" s="3" t="n">
        <v>1</v>
      </c>
      <c r="AA506" s="2" t="inlineStr">
        <is>
          <t>Land</t>
        </is>
      </c>
      <c r="AB506" s="2" t="n"/>
      <c r="AC506" s="2" t="inlineStr">
        <is>
          <t>L</t>
        </is>
      </c>
      <c r="AD506" s="3" t="n">
        <v>0</v>
      </c>
      <c r="AE506" s="29" t="inlineStr">
        <is>
          <t>Strixhaven: School of Mages</t>
        </is>
      </c>
      <c r="AF506" s="29" t="inlineStr">
        <is>
          <t>Land</t>
        </is>
      </c>
      <c r="AG506" s="29" t="inlineStr">
        <is>
          <t>Taps for {C}</t>
        </is>
      </c>
      <c r="AH506" s="29" t="inlineStr">
        <is>
          <t>Pay {3}, tap: target creature with power 3 or less can't be blocked</t>
        </is>
      </c>
      <c r="AI506" s="29" t="n"/>
      <c r="AJ506" s="2" t="inlineStr">
        <is>
          <t>arrives -&gt; Bench (slot was upgraded)</t>
        </is>
      </c>
      <c r="AK506" t="inlineStr">
        <is>
          <t>[A only] B-&gt;D3 (placeholder: D3 lost three subs to D4/D5) [done 2026-09-03]</t>
        </is>
      </c>
    </row>
    <row r="507" ht="15" customHeight="1" s="79">
      <c r="A507" s="2" t="inlineStr">
        <is>
          <t>Airship Engine Room</t>
        </is>
      </c>
      <c r="B507" s="2">
        <f>IF(AND(F507&lt;&gt;0,E507=F507),"In Hand",IF(AND(E507&lt;&gt;0,E507&lt;F507,SUM(M507:R507)=0,SUM(T507:Y507)&gt;0),"Extra-Sub",IF(AND(E507=0,E507&lt;F507,SUM(M507:R507)=0,SUM(T507:Y507)&gt;0),"Bench-Sub",IF(AND(E507=0,F507&gt;0),"Bench",IF(E507&lt;F507,"Extra",IF(AND(J507="",E507&gt;F507),"To Buy",IF(SUM(J507,F507)&lt;E507,"To Buy",IF(AND(SUM(J507,F507)&gt;=E507,J507&lt;&gt;""),"Ordered",IF(AND(E507=0,F507=0,D507="B3"),"B3 Option",IF(AND(E507=0,F507=0),"Remove","To Buy"))))))))))</f>
        <v/>
      </c>
      <c r="D507" t="inlineStr">
        <is>
          <t>B2</t>
        </is>
      </c>
      <c r="E507" s="3">
        <f>SUM(M507:S507)</f>
        <v/>
      </c>
      <c r="F507" s="3">
        <f>SUM(T507:Z507)</f>
        <v/>
      </c>
      <c r="G507" s="3">
        <f>IF((F507-E507)&gt;=0,F507-E507,0)</f>
        <v/>
      </c>
      <c r="H507" s="3">
        <f>MAX(0,$E507-$F507-$J507)</f>
        <v/>
      </c>
      <c r="I507" s="3" t="n"/>
      <c r="J507" s="3" t="n"/>
      <c r="K507" s="4" t="n"/>
      <c r="L507" s="4">
        <f>IF(AND($H507&gt;0,ISNUMBER($K507)),$H507*$K507,0)</f>
        <v/>
      </c>
      <c r="M507" s="3" t="n"/>
      <c r="N507" s="3" t="n"/>
      <c r="O507" s="3" t="n"/>
      <c r="P507" s="3" t="n"/>
      <c r="Q507" s="3" t="n"/>
      <c r="R507" s="3" t="n"/>
      <c r="S507" s="3">
        <f>IF(AND(J507&lt;&gt;"",SUM(M507:R507)=0),J507,"")</f>
        <v/>
      </c>
      <c r="T507" s="3" t="n"/>
      <c r="U507" s="3" t="n"/>
      <c r="V507" s="3" t="n"/>
      <c r="W507" s="3" t="n"/>
      <c r="X507" s="3" t="n"/>
      <c r="Y507" s="3" t="n"/>
      <c r="Z507" s="3" t="n">
        <v>1</v>
      </c>
      <c r="AA507" s="2" t="inlineStr">
        <is>
          <t>Land</t>
        </is>
      </c>
      <c r="AB507" s="2" t="n"/>
      <c r="AC507" s="2" t="inlineStr">
        <is>
          <t>L</t>
        </is>
      </c>
      <c r="AD507" s="3" t="n">
        <v>0</v>
      </c>
      <c r="AE507" s="29" t="inlineStr">
        <is>
          <t>Avatar: The Last Airbender</t>
        </is>
      </c>
      <c r="AF507" s="29" t="inlineStr">
        <is>
          <t>Land</t>
        </is>
      </c>
      <c r="AG507" s="29" t="inlineStr">
        <is>
          <t>Taps for {U} or {R}</t>
        </is>
      </c>
      <c r="AH507" s="29" t="inlineStr">
        <is>
          <t>Sacrifice and pay {4} to draw a card</t>
        </is>
      </c>
      <c r="AI507" s="29" t="n"/>
      <c r="AJ507" s="2" t="n"/>
    </row>
    <row r="508" ht="15" customHeight="1" s="79">
      <c r="A508" s="2" t="inlineStr">
        <is>
          <t>Arno Dorian</t>
        </is>
      </c>
      <c r="B508" s="2">
        <f>IF(AND(F508&lt;&gt;0,E508=F508),"In Hand",IF(AND(E508&lt;&gt;0,E508&lt;F508,SUM(M508:R508)=0,SUM(T508:Y508)&gt;0),"Extra-Sub",IF(AND(E508=0,E508&lt;F508,SUM(M508:R508)=0,SUM(T508:Y508)&gt;0),"Bench-Sub",IF(AND(E508=0,F508&gt;0),"Bench",IF(E508&lt;F508,"Extra",IF(AND(J508="",E508&gt;F508),"To Buy",IF(SUM(J508,F508)&lt;E508,"To Buy",IF(AND(SUM(J508,F508)&gt;=E508,J508&lt;&gt;""),"Ordered",IF(AND(E508=0,F508=0,D508="B3"),"B3 Option",IF(AND(E508=0,F508=0),"Remove","To Buy"))))))))))</f>
        <v/>
      </c>
      <c r="D508" t="inlineStr">
        <is>
          <t>B2</t>
        </is>
      </c>
      <c r="E508" s="3">
        <f>SUM(M508:S508)</f>
        <v/>
      </c>
      <c r="F508" s="3">
        <f>SUM(T508:Z508)</f>
        <v/>
      </c>
      <c r="G508" s="3">
        <f>IF((F508-E508)&gt;=0,F508-E508,0)</f>
        <v/>
      </c>
      <c r="H508" s="3">
        <f>MAX(0,$E508-$F508-$J508)</f>
        <v/>
      </c>
      <c r="I508" s="3" t="n"/>
      <c r="J508" s="3" t="n"/>
      <c r="K508" s="4" t="n"/>
      <c r="L508" s="4">
        <f>IF(AND($H508&gt;0,ISNUMBER($K508)),$H508*$K508,0)</f>
        <v/>
      </c>
      <c r="M508" s="3" t="n"/>
      <c r="N508" s="3" t="n"/>
      <c r="O508" s="3" t="n"/>
      <c r="P508" s="3" t="n"/>
      <c r="Q508" s="3" t="n"/>
      <c r="R508" s="3" t="n"/>
      <c r="S508" s="3">
        <f>IF(AND(J508&lt;&gt;"",SUM(M508:R508)=0),J508,"")</f>
        <v/>
      </c>
      <c r="T508" s="3" t="n"/>
      <c r="U508" s="3" t="n"/>
      <c r="V508" s="3" t="n"/>
      <c r="W508" s="3" t="n"/>
      <c r="X508" s="3" t="n"/>
      <c r="Y508" s="3" t="n"/>
      <c r="Z508" s="3" t="n">
        <v>1</v>
      </c>
      <c r="AA508" s="2" t="inlineStr">
        <is>
          <t>Legendary Creature</t>
        </is>
      </c>
      <c r="AB508" s="2" t="inlineStr">
        <is>
          <t>Human Assassin</t>
        </is>
      </c>
      <c r="AC508" s="2" t="inlineStr">
        <is>
          <t>Multi</t>
        </is>
      </c>
      <c r="AD508" s="3" t="n">
        <v>4</v>
      </c>
      <c r="AE508" s="29" t="inlineStr">
        <is>
          <t>Assassin's Creed</t>
        </is>
      </c>
      <c r="AF508" s="29" t="inlineStr">
        <is>
          <t>Lord/Anthem</t>
        </is>
      </c>
      <c r="AG508" s="29" t="inlineStr">
        <is>
          <t>Other Assassins you control get +2/+0</t>
        </is>
      </c>
      <c r="AH508" s="29" t="inlineStr">
        <is>
          <t>Can be cast face-down for {3}, later flipped for its cost</t>
        </is>
      </c>
      <c r="AI508" s="29" t="n"/>
      <c r="AJ508" s="2" t="n"/>
    </row>
    <row r="509" ht="15" customHeight="1" s="79">
      <c r="A509" s="2" t="inlineStr">
        <is>
          <t>Bayek of Siwa</t>
        </is>
      </c>
      <c r="B509" s="2">
        <f>IF(AND(F509&lt;&gt;0,E509=F509),"In Hand",IF(AND(E509&lt;&gt;0,E509&lt;F509,SUM(M509:R509)=0,SUM(T509:Y509)&gt;0),"Extra-Sub",IF(AND(E509=0,E509&lt;F509,SUM(M509:R509)=0,SUM(T509:Y509)&gt;0),"Bench-Sub",IF(AND(E509=0,F509&gt;0),"Bench",IF(E509&lt;F509,"Extra",IF(AND(J509="",E509&gt;F509),"To Buy",IF(SUM(J509,F509)&lt;E509,"To Buy",IF(AND(SUM(J509,F509)&gt;=E509,J509&lt;&gt;""),"Ordered",IF(AND(E509=0,F509=0,D509="B3"),"B3 Option",IF(AND(E509=0,F509=0),"Remove","To Buy"))))))))))</f>
        <v/>
      </c>
      <c r="D509" t="inlineStr">
        <is>
          <t>B2</t>
        </is>
      </c>
      <c r="E509" s="3">
        <f>SUM(M509:S509)</f>
        <v/>
      </c>
      <c r="F509" s="3">
        <f>SUM(T509:Z509)</f>
        <v/>
      </c>
      <c r="G509" s="3">
        <f>IF((F509-E509)&gt;=0,F509-E509,0)</f>
        <v/>
      </c>
      <c r="H509" s="3">
        <f>MAX(0,$E509-$F509-$J509)</f>
        <v/>
      </c>
      <c r="I509" s="3" t="n"/>
      <c r="J509" s="3" t="n"/>
      <c r="K509" s="4" t="n"/>
      <c r="L509" s="4">
        <f>IF(AND($H509&gt;0,ISNUMBER($K509)),$H509*$K509,0)</f>
        <v/>
      </c>
      <c r="M509" s="3" t="n"/>
      <c r="N509" s="3" t="n"/>
      <c r="O509" s="3" t="n"/>
      <c r="P509" s="3" t="n"/>
      <c r="Q509" s="3" t="n"/>
      <c r="R509" s="3" t="n"/>
      <c r="S509" s="3">
        <f>IF(AND(J509&lt;&gt;"",SUM(M509:R509)=0),J509,"")</f>
        <v/>
      </c>
      <c r="T509" s="3" t="n"/>
      <c r="U509" s="3" t="n"/>
      <c r="V509" s="3" t="n"/>
      <c r="W509" s="3" t="n"/>
      <c r="X509" s="3" t="n"/>
      <c r="Y509" s="3" t="n"/>
      <c r="Z509" s="3" t="n">
        <v>1</v>
      </c>
      <c r="AA509" s="2" t="inlineStr">
        <is>
          <t>Legendary Creature</t>
        </is>
      </c>
      <c r="AB509" s="2" t="inlineStr">
        <is>
          <t>Human Assassin</t>
        </is>
      </c>
      <c r="AC509" s="2" t="inlineStr">
        <is>
          <t>Multi</t>
        </is>
      </c>
      <c r="AD509" s="3" t="n">
        <v>5</v>
      </c>
      <c r="AE509" s="29" t="inlineStr">
        <is>
          <t>Assassin's Creed</t>
        </is>
      </c>
      <c r="AF509" s="29" t="inlineStr">
        <is>
          <t>Lord/Anthem</t>
        </is>
      </c>
      <c r="AG509" s="29" t="inlineStr">
        <is>
          <t>Other historic creatures you control strike twice in combat during your turn</t>
        </is>
      </c>
      <c r="AH509" s="29" t="inlineStr">
        <is>
          <t>Can be cast face-down for {3}, later flipped for its cost</t>
        </is>
      </c>
      <c r="AI509" s="29" t="n"/>
      <c r="AJ509" s="2" t="n"/>
      <c r="AK509" t="inlineStr">
        <is>
          <t>[A only] B-&gt;D1 (placeholder until D1 buys arrive) [done 2026-09-03]</t>
        </is>
      </c>
    </row>
    <row r="510" ht="15" customHeight="1" s="79">
      <c r="A510" s="2" t="inlineStr">
        <is>
          <t>Blizzard Strix</t>
        </is>
      </c>
      <c r="B510" s="2">
        <f>IF(AND(F510&lt;&gt;0,E510=F510),"In Hand",IF(AND(E510&lt;&gt;0,E510&lt;F510,SUM(M510:R510)=0,SUM(T510:Y510)&gt;0),"Extra-Sub",IF(AND(E510=0,E510&lt;F510,SUM(M510:R510)=0,SUM(T510:Y510)&gt;0),"Bench-Sub",IF(AND(E510=0,F510&gt;0),"Bench",IF(E510&lt;F510,"Extra",IF(AND(J510="",E510&gt;F510),"To Buy",IF(SUM(J510,F510)&lt;E510,"To Buy",IF(AND(SUM(J510,F510)&gt;=E510,J510&lt;&gt;""),"Ordered",IF(AND(E510=0,F510=0,D510="B3"),"B3 Option",IF(AND(E510=0,F510=0),"Remove","To Buy"))))))))))</f>
        <v/>
      </c>
      <c r="D510" t="inlineStr">
        <is>
          <t>B2</t>
        </is>
      </c>
      <c r="E510" s="3">
        <f>SUM(M510:S510)</f>
        <v/>
      </c>
      <c r="F510" s="3">
        <f>SUM(T510:Z510)</f>
        <v/>
      </c>
      <c r="G510" s="3">
        <f>IF((F510-E510)&gt;=0,F510-E510,0)</f>
        <v/>
      </c>
      <c r="H510" s="3">
        <f>MAX(0,$E510-$F510-$J510)</f>
        <v/>
      </c>
      <c r="I510" s="3" t="n"/>
      <c r="J510" s="3" t="n"/>
      <c r="K510" s="4" t="n"/>
      <c r="L510" s="4">
        <f>IF(AND($H510&gt;0,ISNUMBER($K510)),$H510*$K510,0)</f>
        <v/>
      </c>
      <c r="M510" s="3" t="n"/>
      <c r="N510" s="3" t="n"/>
      <c r="O510" s="3" t="n"/>
      <c r="P510" s="3" t="n"/>
      <c r="Q510" s="3" t="n"/>
      <c r="R510" s="3" t="n"/>
      <c r="S510" s="3">
        <f>IF(AND(J510&lt;&gt;"",SUM(M510:R510)=0),J510,"")</f>
        <v/>
      </c>
      <c r="T510" s="3" t="n"/>
      <c r="U510" s="3" t="n"/>
      <c r="V510" s="3" t="n"/>
      <c r="W510" s="3" t="n"/>
      <c r="X510" s="3" t="n"/>
      <c r="Y510" s="3" t="n"/>
      <c r="Z510" s="3" t="n">
        <v>1</v>
      </c>
      <c r="AA510" s="2" t="inlineStr">
        <is>
          <t>Snow Creature</t>
        </is>
      </c>
      <c r="AB510" s="2" t="inlineStr">
        <is>
          <t>Bird</t>
        </is>
      </c>
      <c r="AC510" s="2" t="inlineStr">
        <is>
          <t>U</t>
        </is>
      </c>
      <c r="AD510" s="3" t="n">
        <v>5</v>
      </c>
      <c r="AE510" s="29" t="inlineStr">
        <is>
          <t>Modern Horizons</t>
        </is>
      </c>
      <c r="AF510" s="29" t="inlineStr">
        <is>
          <t>Blink</t>
        </is>
      </c>
      <c r="AG510" s="29" t="inlineStr">
        <is>
          <t>Exiles target permanent when it enters if you control a snow permanent</t>
        </is>
      </c>
      <c r="AH510" s="29" t="inlineStr">
        <is>
          <t>Returns that permanent at the next end step</t>
        </is>
      </c>
      <c r="AI510" s="29" t="n"/>
      <c r="AJ510" s="2" t="inlineStr">
        <is>
          <t>Cut in Tuned</t>
        </is>
      </c>
    </row>
    <row r="511" ht="15" customHeight="1" s="79">
      <c r="A511" s="2" t="inlineStr">
        <is>
          <t>Boggart Cursecrafter</t>
        </is>
      </c>
      <c r="B511" s="2">
        <f>IF(AND(F511&lt;&gt;0,E511=F511),"In Hand",IF(AND(E511&lt;&gt;0,E511&lt;F511,SUM(M511:R511)=0,SUM(T511:Y511)&gt;0),"Extra-Sub",IF(AND(E511=0,E511&lt;F511,SUM(M511:R511)=0,SUM(T511:Y511)&gt;0),"Bench-Sub",IF(AND(E511=0,F511&gt;0),"Bench",IF(E511&lt;F511,"Extra",IF(AND(J511="",E511&gt;F511),"To Buy",IF(SUM(J511,F511)&lt;E511,"To Buy",IF(AND(SUM(J511,F511)&gt;=E511,J511&lt;&gt;""),"Ordered",IF(AND(E511=0,F511=0,D511="B3"),"B3 Option",IF(AND(E511=0,F511=0),"Remove","To Buy"))))))))))</f>
        <v/>
      </c>
      <c r="D511" t="inlineStr">
        <is>
          <t>B2</t>
        </is>
      </c>
      <c r="E511" s="3">
        <f>SUM(M511:S511)</f>
        <v/>
      </c>
      <c r="F511" s="3">
        <f>SUM(T511:Z511)</f>
        <v/>
      </c>
      <c r="G511" s="3">
        <f>IF((F511-E511)&gt;=0,F511-E511,0)</f>
        <v/>
      </c>
      <c r="H511" s="3">
        <f>MAX(0,$E511-$F511-$J511)</f>
        <v/>
      </c>
      <c r="I511" s="3" t="n"/>
      <c r="J511" s="3" t="n"/>
      <c r="K511" s="4" t="n"/>
      <c r="L511" s="4">
        <f>IF(AND($H511&gt;0,ISNUMBER($K511)),$H511*$K511,0)</f>
        <v/>
      </c>
      <c r="M511" s="3" t="n"/>
      <c r="N511" s="3" t="n"/>
      <c r="O511" s="3" t="n"/>
      <c r="P511" s="3" t="n"/>
      <c r="Q511" s="3" t="n"/>
      <c r="R511" s="3" t="n"/>
      <c r="S511" s="3">
        <f>IF(AND(J511&lt;&gt;"",SUM(M511:R511)=0),J511,"")</f>
        <v/>
      </c>
      <c r="T511" s="3" t="n"/>
      <c r="U511" s="3" t="n"/>
      <c r="V511" s="3" t="n"/>
      <c r="W511" s="3" t="n"/>
      <c r="X511" s="3" t="n"/>
      <c r="Y511" s="3" t="n"/>
      <c r="Z511" s="3" t="n">
        <v>1</v>
      </c>
      <c r="AA511" s="2" t="inlineStr">
        <is>
          <t>Creature</t>
        </is>
      </c>
      <c r="AB511" s="2" t="inlineStr">
        <is>
          <t>Goblin Warlock</t>
        </is>
      </c>
      <c r="AC511" s="2" t="inlineStr">
        <is>
          <t>Multi</t>
        </is>
      </c>
      <c r="AD511" s="3" t="n">
        <v>2</v>
      </c>
      <c r="AE511" s="29" t="inlineStr">
        <is>
          <t>Lorwyn Eclipsed</t>
        </is>
      </c>
      <c r="AF511" s="29" t="inlineStr">
        <is>
          <t>Aristocrats Payoff</t>
        </is>
      </c>
      <c r="AG511" s="29" t="inlineStr">
        <is>
          <t>Deals 1 damage to each opponent whenever another Goblin you control dies</t>
        </is>
      </c>
      <c r="AH511" s="29" t="n"/>
      <c r="AI511" s="29" t="n"/>
      <c r="AJ511" s="2" t="n"/>
    </row>
    <row r="512" ht="15" customHeight="1" s="79">
      <c r="A512" s="2" t="inlineStr">
        <is>
          <t>Bolrac-Clan Crusher</t>
        </is>
      </c>
      <c r="B512" s="2">
        <f>IF(AND(F512&lt;&gt;0,E512=F512),"In Hand",IF(AND(E512&lt;&gt;0,E512&lt;F512,SUM(M512:R512)=0,SUM(T512:Y512)&gt;0),"Extra-Sub",IF(AND(E512=0,E512&lt;F512,SUM(M512:R512)=0,SUM(T512:Y512)&gt;0),"Bench-Sub",IF(AND(E512=0,F512&gt;0),"Bench",IF(E512&lt;F512,"Extra",IF(AND(J512="",E512&gt;F512),"To Buy",IF(SUM(J512,F512)&lt;E512,"To Buy",IF(AND(SUM(J512,F512)&gt;=E512,J512&lt;&gt;""),"Ordered",IF(AND(E512=0,F512=0,D512="B3"),"B3 Option",IF(AND(E512=0,F512=0),"Remove","To Buy"))))))))))</f>
        <v/>
      </c>
      <c r="D512" t="inlineStr">
        <is>
          <t>B2</t>
        </is>
      </c>
      <c r="E512" s="3">
        <f>SUM(M512:S512)</f>
        <v/>
      </c>
      <c r="F512" s="3">
        <f>SUM(T512:Z512)</f>
        <v/>
      </c>
      <c r="G512" s="3">
        <f>IF((F512-E512)&gt;=0,F512-E512,0)</f>
        <v/>
      </c>
      <c r="H512" s="3">
        <f>MAX(0,$E512-$F512-$J512)</f>
        <v/>
      </c>
      <c r="I512" s="3" t="n"/>
      <c r="J512" s="3" t="n"/>
      <c r="K512" s="4" t="n"/>
      <c r="L512" s="4">
        <f>IF(AND($H512&gt;0,ISNUMBER($K512)),$H512*$K512,0)</f>
        <v/>
      </c>
      <c r="M512" s="3" t="n"/>
      <c r="N512" s="3" t="n"/>
      <c r="O512" s="3" t="n"/>
      <c r="P512" s="3" t="n"/>
      <c r="Q512" s="3" t="n"/>
      <c r="R512" s="3" t="n"/>
      <c r="S512" s="3">
        <f>IF(AND(J512&lt;&gt;"",SUM(M512:R512)=0),J512,"")</f>
        <v/>
      </c>
      <c r="T512" s="3" t="n"/>
      <c r="U512" s="3" t="n"/>
      <c r="V512" s="3" t="n"/>
      <c r="W512" s="3" t="n"/>
      <c r="X512" s="3" t="n"/>
      <c r="Y512" s="3" t="n"/>
      <c r="Z512" s="3" t="n">
        <v>1</v>
      </c>
      <c r="AA512" s="2" t="inlineStr">
        <is>
          <t>Creature</t>
        </is>
      </c>
      <c r="AB512" s="2" t="inlineStr">
        <is>
          <t>Ogre Warrior</t>
        </is>
      </c>
      <c r="AC512" s="2" t="inlineStr">
        <is>
          <t>Multi</t>
        </is>
      </c>
      <c r="AD512" s="3" t="n">
        <v>5</v>
      </c>
      <c r="AE512" s="29" t="inlineStr">
        <is>
          <t>Ravnica Allegiance</t>
        </is>
      </c>
      <c r="AF512" s="29" t="inlineStr">
        <is>
          <t>Removal</t>
        </is>
      </c>
      <c r="AG512" s="29" t="inlineStr">
        <is>
          <t>Remove a +1/+1 counter from a creature you control to deal 2 damage to any target</t>
        </is>
      </c>
      <c r="AH512" s="29" t="n"/>
      <c r="AI512" s="29" t="n"/>
      <c r="AJ512" s="2" t="n"/>
    </row>
    <row r="513" ht="15" customHeight="1" s="79">
      <c r="A513" s="2" t="inlineStr">
        <is>
          <t>Chaos Spewer</t>
        </is>
      </c>
      <c r="B513" s="2">
        <f>IF(AND(F513&lt;&gt;0,E513=F513),"In Hand",IF(AND(E513&lt;&gt;0,E513&lt;F513,SUM(M513:R513)=0,SUM(T513:Y513)&gt;0),"Extra-Sub",IF(AND(E513=0,E513&lt;F513,SUM(M513:R513)=0,SUM(T513:Y513)&gt;0),"Bench-Sub",IF(AND(E513=0,F513&gt;0),"Bench",IF(E513&lt;F513,"Extra",IF(AND(J513="",E513&gt;F513),"To Buy",IF(SUM(J513,F513)&lt;E513,"To Buy",IF(AND(SUM(J513,F513)&gt;=E513,J513&lt;&gt;""),"Ordered",IF(AND(E513=0,F513=0,D513="B3"),"B3 Option",IF(AND(E513=0,F513=0),"Remove","To Buy"))))))))))</f>
        <v/>
      </c>
      <c r="D513" t="inlineStr">
        <is>
          <t>B2</t>
        </is>
      </c>
      <c r="E513" s="3">
        <f>SUM(M513:S513)</f>
        <v/>
      </c>
      <c r="F513" s="3">
        <f>SUM(T513:Z513)</f>
        <v/>
      </c>
      <c r="G513" s="3">
        <f>IF((F513-E513)&gt;=0,F513-E513,0)</f>
        <v/>
      </c>
      <c r="H513" s="3">
        <f>MAX(0,$E513-$F513-$J513)</f>
        <v/>
      </c>
      <c r="I513" s="3" t="n"/>
      <c r="J513" s="3" t="n"/>
      <c r="K513" s="4" t="n"/>
      <c r="L513" s="4">
        <f>IF(AND($H513&gt;0,ISNUMBER($K513)),$H513*$K513,0)</f>
        <v/>
      </c>
      <c r="M513" s="3" t="n"/>
      <c r="N513" s="3" t="n"/>
      <c r="O513" s="3" t="n"/>
      <c r="P513" s="3" t="n"/>
      <c r="Q513" s="3" t="n"/>
      <c r="R513" s="3" t="n"/>
      <c r="S513" s="3">
        <f>IF(AND(J513&lt;&gt;"",SUM(M513:R513)=0),J513,"")</f>
        <v/>
      </c>
      <c r="T513" s="3" t="n"/>
      <c r="U513" s="3" t="n"/>
      <c r="V513" s="3" t="n"/>
      <c r="W513" s="3" t="n"/>
      <c r="X513" s="3" t="n"/>
      <c r="Y513" s="3" t="n"/>
      <c r="Z513" s="3" t="n">
        <v>2</v>
      </c>
      <c r="AA513" s="2" t="inlineStr">
        <is>
          <t>Creature</t>
        </is>
      </c>
      <c r="AB513" s="2" t="inlineStr">
        <is>
          <t>Goblin Warlock</t>
        </is>
      </c>
      <c r="AC513" s="2" t="inlineStr">
        <is>
          <t>Opt-UR</t>
        </is>
      </c>
      <c r="AD513" s="3" t="n">
        <v>3</v>
      </c>
      <c r="AE513" s="29" t="inlineStr">
        <is>
          <t>Lorwyn Eclipsed</t>
        </is>
      </c>
      <c r="AF513" s="29" t="inlineStr">
        <is>
          <t>Utility Creature</t>
        </is>
      </c>
      <c r="AG513" s="29" t="inlineStr">
        <is>
          <t>Enters: pay {2} or put two -1/-1 counters on a creature you control</t>
        </is>
      </c>
      <c r="AH513" s="29" t="n"/>
      <c r="AI513" s="29" t="n"/>
      <c r="AJ513" s="2" t="n"/>
    </row>
    <row r="514" ht="15" customHeight="1" s="79">
      <c r="A514" s="2" t="inlineStr">
        <is>
          <t>Clan Guildmage</t>
        </is>
      </c>
      <c r="B514" s="2">
        <f>IF(AND(F514&lt;&gt;0,E514=F514),"In Hand",IF(AND(E514&lt;&gt;0,E514&lt;F514,SUM(M514:R514)=0,SUM(T514:Y514)&gt;0),"Extra-Sub",IF(AND(E514=0,E514&lt;F514,SUM(M514:R514)=0,SUM(T514:Y514)&gt;0),"Bench-Sub",IF(AND(E514=0,F514&gt;0),"Bench",IF(E514&lt;F514,"Extra",IF(AND(J514="",E514&gt;F514),"To Buy",IF(SUM(J514,F514)&lt;E514,"To Buy",IF(AND(SUM(J514,F514)&gt;=E514,J514&lt;&gt;""),"Ordered",IF(AND(E514=0,F514=0,D514="B3"),"B3 Option",IF(AND(E514=0,F514=0),"Remove","To Buy"))))))))))</f>
        <v/>
      </c>
      <c r="D514" t="inlineStr">
        <is>
          <t>B2</t>
        </is>
      </c>
      <c r="E514" s="3">
        <f>SUM(M514:S514)</f>
        <v/>
      </c>
      <c r="F514" s="3">
        <f>SUM(T514:Z514)</f>
        <v/>
      </c>
      <c r="G514" s="3">
        <f>IF((F514-E514)&gt;=0,F514-E514,0)</f>
        <v/>
      </c>
      <c r="H514" s="3">
        <f>MAX(0,$E514-$F514-$J514)</f>
        <v/>
      </c>
      <c r="I514" s="3" t="n"/>
      <c r="J514" s="3" t="n"/>
      <c r="K514" s="4" t="n"/>
      <c r="L514" s="4">
        <f>IF(AND($H514&gt;0,ISNUMBER($K514)),$H514*$K514,0)</f>
        <v/>
      </c>
      <c r="M514" s="3" t="n"/>
      <c r="N514" s="3" t="n"/>
      <c r="O514" s="3" t="n"/>
      <c r="P514" s="3" t="n"/>
      <c r="Q514" s="3" t="n"/>
      <c r="R514" s="3" t="n"/>
      <c r="S514" s="3">
        <f>IF(AND(J514&lt;&gt;"",SUM(M514:R514)=0),J514,"")</f>
        <v/>
      </c>
      <c r="T514" s="3" t="n"/>
      <c r="U514" s="3" t="n"/>
      <c r="V514" s="3" t="n"/>
      <c r="W514" s="3" t="n"/>
      <c r="X514" s="3" t="n"/>
      <c r="Y514" s="3" t="n"/>
      <c r="Z514" s="3" t="n">
        <v>1</v>
      </c>
      <c r="AA514" s="2" t="inlineStr">
        <is>
          <t>Creature</t>
        </is>
      </c>
      <c r="AB514" s="2" t="inlineStr">
        <is>
          <t>Human Shaman</t>
        </is>
      </c>
      <c r="AC514" s="2" t="inlineStr">
        <is>
          <t>Multi</t>
        </is>
      </c>
      <c r="AD514" s="3" t="n">
        <v>2</v>
      </c>
      <c r="AE514" s="29" t="inlineStr">
        <is>
          <t>Ravnica Allegiance</t>
        </is>
      </c>
      <c r="AF514" s="29" t="inlineStr">
        <is>
          <t>Utility Creature</t>
        </is>
      </c>
      <c r="AG514" s="29" t="inlineStr">
        <is>
          <t>Target creature can't block this turn</t>
        </is>
      </c>
      <c r="AH514" s="29" t="inlineStr">
        <is>
          <t>Target land becomes a 4/4 hasty Elemental until end of turn</t>
        </is>
      </c>
      <c r="AI514" s="29" t="n"/>
      <c r="AJ514" s="2" t="n"/>
    </row>
    <row r="515" ht="15" customHeight="1" s="79">
      <c r="A515" s="2" t="inlineStr">
        <is>
          <t>Dai Li Indoctrination</t>
        </is>
      </c>
      <c r="B515" s="2">
        <f>IF(AND(F515&lt;&gt;0,E515=F515),"In Hand",IF(AND(E515&lt;&gt;0,E515&lt;F515,SUM(M515:R515)=0,SUM(T515:Y515)&gt;0),"Extra-Sub",IF(AND(E515=0,E515&lt;F515,SUM(M515:R515)=0,SUM(T515:Y515)&gt;0),"Bench-Sub",IF(AND(E515=0,F515&gt;0),"Bench",IF(E515&lt;F515,"Extra",IF(AND(J515="",E515&gt;F515),"To Buy",IF(SUM(J515,F515)&lt;E515,"To Buy",IF(AND(SUM(J515,F515)&gt;=E515,J515&lt;&gt;""),"Ordered",IF(AND(E515=0,F515=0,D515="B3"),"B3 Option",IF(AND(E515=0,F515=0),"Remove","To Buy"))))))))))</f>
        <v/>
      </c>
      <c r="D515" t="inlineStr">
        <is>
          <t>B2</t>
        </is>
      </c>
      <c r="E515" s="3">
        <f>SUM(M515:S515)</f>
        <v/>
      </c>
      <c r="F515" s="3">
        <f>SUM(T515:Z515)</f>
        <v/>
      </c>
      <c r="G515" s="3">
        <f>IF((F515-E515)&gt;=0,F515-E515,0)</f>
        <v/>
      </c>
      <c r="H515" s="3">
        <f>MAX(0,$E515-$F515-$J515)</f>
        <v/>
      </c>
      <c r="I515" s="3" t="n"/>
      <c r="J515" s="3" t="n"/>
      <c r="K515" s="4" t="n"/>
      <c r="L515" s="4">
        <f>IF(AND($H515&gt;0,ISNUMBER($K515)),$H515*$K515,0)</f>
        <v/>
      </c>
      <c r="M515" s="3" t="n"/>
      <c r="N515" s="3" t="n"/>
      <c r="O515" s="3" t="n"/>
      <c r="P515" s="3" t="n"/>
      <c r="Q515" s="3" t="n"/>
      <c r="R515" s="3" t="n"/>
      <c r="S515" s="3">
        <f>IF(AND(J515&lt;&gt;"",SUM(M515:R515)=0),J515,"")</f>
        <v/>
      </c>
      <c r="T515" s="3" t="n"/>
      <c r="U515" s="3" t="n"/>
      <c r="V515" s="3" t="n"/>
      <c r="W515" s="3" t="n"/>
      <c r="X515" s="3" t="n"/>
      <c r="Y515" s="3" t="n"/>
      <c r="Z515" s="3" t="n">
        <v>1</v>
      </c>
      <c r="AA515" s="2" t="inlineStr">
        <is>
          <t>Sorcery</t>
        </is>
      </c>
      <c r="AB515" s="2" t="inlineStr">
        <is>
          <t>Lesson</t>
        </is>
      </c>
      <c r="AC515" s="2" t="inlineStr">
        <is>
          <t>B</t>
        </is>
      </c>
      <c r="AD515" s="3" t="n">
        <v>2</v>
      </c>
      <c r="AE515" s="29" t="inlineStr">
        <is>
          <t>Avatar: The Last Airbender</t>
        </is>
      </c>
      <c r="AF515" s="29" t="inlineStr">
        <is>
          <t>Discard/Looting</t>
        </is>
      </c>
      <c r="AG515" s="29" t="inlineStr">
        <is>
          <t>Opponent reveals hand; you choose a nonland permanent card for them to discard</t>
        </is>
      </c>
      <c r="AH515" s="29" t="inlineStr">
        <is>
          <t>Or target land becomes a 0/0 hasty creature with two +1/+1 counters</t>
        </is>
      </c>
      <c r="AI515" s="29" t="n"/>
      <c r="AJ515" s="2" t="inlineStr">
        <is>
          <t>Cut in Tuned</t>
        </is>
      </c>
    </row>
    <row r="516">
      <c r="A516" s="10" t="inlineStr">
        <is>
          <t>Dawn's Light Archer</t>
        </is>
      </c>
      <c r="B516" s="2">
        <f>IF(AND(F516&lt;&gt;0,E516=F516),"In Hand",IF(AND(E516&lt;&gt;0,E516&lt;F516,SUM(M516:R516)=0,SUM(T516:Y516)&gt;0),"Extra-Sub",IF(AND(E516=0,E516&lt;F516,SUM(M516:R516)=0,SUM(T516:Y516)&gt;0),"Bench-Sub",IF(AND(E516=0,F516&gt;0),"Bench",IF(E516&lt;F516,"Extra",IF(AND(J516="",E516&gt;F516),"To Buy",IF(SUM(J516,F516)&lt;E516,"To Buy",IF(AND(SUM(J516,F516)&gt;=E516,J516&lt;&gt;""),"Ordered",IF(AND(E516=0,F516=0,D516="B3"),"B3 Option",IF(AND(E516=0,F516=0),"Remove","To Buy"))))))))))</f>
        <v/>
      </c>
      <c r="D516" t="inlineStr">
        <is>
          <t>B2</t>
        </is>
      </c>
      <c r="E516" s="3">
        <f>SUM(M516:S516)</f>
        <v/>
      </c>
      <c r="F516" s="3">
        <f>SUM(T516:Z516)</f>
        <v/>
      </c>
      <c r="G516" s="3">
        <f>IF((F516-E516)&gt;=0,F516-E516,0)</f>
        <v/>
      </c>
      <c r="H516" s="3">
        <f>MAX(0,$E516-$F516-$J516)</f>
        <v/>
      </c>
      <c r="I516" s="74" t="n"/>
      <c r="J516" s="74" t="n"/>
      <c r="K516" s="75" t="n"/>
      <c r="L516" s="4">
        <f>IF(AND($H516&gt;0,ISNUMBER($K516)),$H516*$K516,0)</f>
        <v/>
      </c>
      <c r="M516" s="74" t="n"/>
      <c r="N516" s="74" t="n"/>
      <c r="O516" s="74" t="n"/>
      <c r="P516" s="74" t="n"/>
      <c r="Q516" s="74" t="n"/>
      <c r="R516" s="74" t="n"/>
      <c r="S516" s="3">
        <f>IF(AND(J516&lt;&gt;"",SUM(M516:R516)=0),J516,"")</f>
        <v/>
      </c>
      <c r="T516" s="3" t="n"/>
      <c r="U516" s="3" t="n"/>
      <c r="V516" s="3" t="n"/>
      <c r="W516" s="3" t="n"/>
      <c r="X516" s="3" t="n"/>
      <c r="Y516" s="3" t="n"/>
      <c r="Z516" s="74" t="n">
        <v>1</v>
      </c>
      <c r="AA516" s="10" t="inlineStr">
        <is>
          <t>Creature</t>
        </is>
      </c>
      <c r="AB516" s="10" t="inlineStr">
        <is>
          <t>Elf Archer</t>
        </is>
      </c>
      <c r="AC516" s="10" t="inlineStr">
        <is>
          <t>G</t>
        </is>
      </c>
      <c r="AD516" s="74" t="n">
        <v>3</v>
      </c>
      <c r="AE516" s="76" t="inlineStr">
        <is>
          <t>Lorwyn Eclipsed</t>
        </is>
      </c>
      <c r="AF516" s="76" t="inlineStr">
        <is>
          <t>Utility Creature</t>
        </is>
      </c>
      <c r="AG516" s="76" t="inlineStr">
        <is>
          <t>Can be cast at instant speed</t>
        </is>
      </c>
      <c r="AH516" s="76" t="inlineStr">
        <is>
          <t>Can block fliers</t>
        </is>
      </c>
      <c r="AI516" s="76" t="n"/>
      <c r="AJ516" s="73" t="n"/>
    </row>
    <row r="517">
      <c r="A517" s="10" t="inlineStr">
        <is>
          <t>Deepchannel Duelist</t>
        </is>
      </c>
      <c r="B517" s="2">
        <f>IF(AND(F517&lt;&gt;0,E517=F517),"In Hand",IF(AND(E517&lt;&gt;0,E517&lt;F517,SUM(M517:R517)=0,SUM(T517:Y517)&gt;0),"Extra-Sub",IF(AND(E517=0,E517&lt;F517,SUM(M517:R517)=0,SUM(T517:Y517)&gt;0),"Bench-Sub",IF(AND(E517=0,F517&gt;0),"Bench",IF(E517&lt;F517,"Extra",IF(AND(J517="",E517&gt;F517),"To Buy",IF(SUM(J517,F517)&lt;E517,"To Buy",IF(AND(SUM(J517,F517)&gt;=E517,J517&lt;&gt;""),"Ordered",IF(AND(E517=0,F517=0,D517="B3"),"B3 Option",IF(AND(E517=0,F517=0),"Remove","To Buy"))))))))))</f>
        <v/>
      </c>
      <c r="D517" t="inlineStr">
        <is>
          <t>B2</t>
        </is>
      </c>
      <c r="E517" s="3">
        <f>SUM(M517:S517)</f>
        <v/>
      </c>
      <c r="F517" s="3">
        <f>SUM(T517:Z517)</f>
        <v/>
      </c>
      <c r="G517" s="3">
        <f>IF((F517-E517)&gt;=0,F517-E517,0)</f>
        <v/>
      </c>
      <c r="H517" s="11">
        <f>MAX(0,$E517-$F517-$J517)</f>
        <v/>
      </c>
      <c r="I517" s="74" t="n"/>
      <c r="J517" s="74" t="n"/>
      <c r="K517" s="75" t="n"/>
      <c r="L517" s="12">
        <f>IF(AND($H517&gt;0,ISNUMBER($K517)),$H517*$K517,0)</f>
        <v/>
      </c>
      <c r="M517" s="74" t="n"/>
      <c r="N517" s="74" t="n"/>
      <c r="O517" s="74" t="n"/>
      <c r="P517" s="74" t="n"/>
      <c r="Q517" s="74" t="n"/>
      <c r="R517" s="74" t="n"/>
      <c r="S517" s="3">
        <f>IF(AND(J517&lt;&gt;"",SUM(M517:R517)=0),J517,"")</f>
        <v/>
      </c>
      <c r="T517" s="3" t="n"/>
      <c r="U517" s="3" t="n"/>
      <c r="V517" s="3" t="n"/>
      <c r="W517" s="3" t="n"/>
      <c r="X517" s="3" t="n"/>
      <c r="Y517" s="3" t="n"/>
      <c r="Z517" s="74" t="n">
        <v>1</v>
      </c>
      <c r="AA517" s="10" t="inlineStr">
        <is>
          <t>Creature</t>
        </is>
      </c>
      <c r="AB517" s="10" t="inlineStr">
        <is>
          <t>Merfolk Soldier</t>
        </is>
      </c>
      <c r="AC517" s="10" t="inlineStr">
        <is>
          <t>Multi</t>
        </is>
      </c>
      <c r="AD517" s="74" t="n">
        <v>2</v>
      </c>
      <c r="AE517" s="76" t="inlineStr">
        <is>
          <t>Lorwyn Eclipsed</t>
        </is>
      </c>
      <c r="AF517" s="76" t="inlineStr">
        <is>
          <t>Lord/Anthem</t>
        </is>
      </c>
      <c r="AG517" s="76" t="inlineStr">
        <is>
          <t>Other Merfolk you control get +1/+1</t>
        </is>
      </c>
      <c r="AH517" s="76" t="inlineStr">
        <is>
          <t>Untaps target Merfolk you control at your end step</t>
        </is>
      </c>
      <c r="AI517" s="76" t="n"/>
      <c r="AJ517" s="73" t="n"/>
    </row>
    <row r="518">
      <c r="A518" s="10" t="inlineStr">
        <is>
          <t>Desmond Miles</t>
        </is>
      </c>
      <c r="B518" s="2">
        <f>IF(AND(F518&lt;&gt;0,E518=F518),"In Hand",IF(AND(E518&lt;&gt;0,E518&lt;F518,SUM(M518:R518)=0,SUM(T518:Y518)&gt;0),"Extra-Sub",IF(AND(E518=0,E518&lt;F518,SUM(M518:R518)=0,SUM(T518:Y518)&gt;0),"Bench-Sub",IF(AND(E518=0,F518&gt;0),"Bench",IF(E518&lt;F518,"Extra",IF(AND(J518="",E518&gt;F518),"To Buy",IF(SUM(J518,F518)&lt;E518,"To Buy",IF(AND(SUM(J518,F518)&gt;=E518,J518&lt;&gt;""),"Ordered",IF(AND(E518=0,F518=0,D518="B3"),"B3 Option",IF(AND(E518=0,F518=0),"Remove","To Buy"))))))))))</f>
        <v/>
      </c>
      <c r="D518" t="inlineStr">
        <is>
          <t>B2</t>
        </is>
      </c>
      <c r="E518" s="3">
        <f>SUM(M518:S518)</f>
        <v/>
      </c>
      <c r="F518" s="3">
        <f>SUM(T518:Z518)</f>
        <v/>
      </c>
      <c r="G518" s="3">
        <f>IF((F518-E518)&gt;=0,F518-E518,0)</f>
        <v/>
      </c>
      <c r="H518" s="11">
        <f>MAX(0,$E518-$F518-$J518)</f>
        <v/>
      </c>
      <c r="I518" s="74" t="n"/>
      <c r="J518" s="74" t="n"/>
      <c r="K518" s="75" t="n"/>
      <c r="L518" s="12">
        <f>IF(AND($H518&gt;0,ISNUMBER($K518)),$H518*$K518,0)</f>
        <v/>
      </c>
      <c r="M518" s="74" t="n"/>
      <c r="N518" s="74" t="n"/>
      <c r="O518" s="74" t="n"/>
      <c r="P518" s="74" t="n"/>
      <c r="Q518" s="74" t="n"/>
      <c r="R518" s="74" t="n"/>
      <c r="S518" s="3">
        <f>IF(AND(J518&lt;&gt;"",SUM(M518:R518)=0),J518,"")</f>
        <v/>
      </c>
      <c r="T518" s="3" t="n"/>
      <c r="U518" s="3" t="n"/>
      <c r="V518" s="3" t="n"/>
      <c r="W518" s="3" t="n"/>
      <c r="X518" s="3" t="n"/>
      <c r="Y518" s="3" t="n"/>
      <c r="Z518" s="74" t="n">
        <v>1</v>
      </c>
      <c r="AA518" s="10" t="inlineStr">
        <is>
          <t>Legendary Creature</t>
        </is>
      </c>
      <c r="AB518" s="10" t="inlineStr">
        <is>
          <t>Human Assassin</t>
        </is>
      </c>
      <c r="AC518" s="10" t="inlineStr">
        <is>
          <t>B</t>
        </is>
      </c>
      <c r="AD518" s="74" t="n">
        <v>2</v>
      </c>
      <c r="AE518" s="76" t="inlineStr">
        <is>
          <t>Assassin's Creed</t>
        </is>
      </c>
      <c r="AF518" s="76" t="inlineStr">
        <is>
          <t>Utility Creature</t>
        </is>
      </c>
      <c r="AG518" s="76" t="inlineStr">
        <is>
          <t>Gets +1/+0 for each other Assassin you control or in your graveyard</t>
        </is>
      </c>
      <c r="AH518" s="76" t="inlineStr">
        <is>
          <t>Combat damage to a player lets you look at and rearrange cards off the top of your library</t>
        </is>
      </c>
      <c r="AI518" s="76" t="n"/>
      <c r="AJ518" s="73" t="inlineStr">
        <is>
          <t>Cut in Tuned (for Vampire Hexmage)</t>
        </is>
      </c>
    </row>
    <row r="519">
      <c r="A519" s="10" t="inlineStr">
        <is>
          <t>Destroy Evil</t>
        </is>
      </c>
      <c r="B519" s="2">
        <f>IF(AND(F519&lt;&gt;0,E519=F519),"In Hand",IF(AND(E519&lt;&gt;0,E519&lt;F519,SUM(M519:R519)=0,SUM(T519:Y519)&gt;0),"Extra-Sub",IF(AND(E519=0,E519&lt;F519,SUM(M519:R519)=0,SUM(T519:Y519)&gt;0),"Bench-Sub",IF(AND(E519=0,F519&gt;0),"Bench",IF(E519&lt;F519,"Extra",IF(AND(J519="",E519&gt;F519),"To Buy",IF(SUM(J519,F519)&lt;E519,"To Buy",IF(AND(SUM(J519,F519)&gt;=E519,J519&lt;&gt;""),"Ordered",IF(AND(E519=0,F519=0,D519="B3"),"B3 Option",IF(AND(E519=0,F519=0),"Remove","To Buy"))))))))))</f>
        <v/>
      </c>
      <c r="D519" t="inlineStr">
        <is>
          <t>B2</t>
        </is>
      </c>
      <c r="E519" s="3">
        <f>SUM(M519:S519)</f>
        <v/>
      </c>
      <c r="F519" s="3">
        <f>SUM(T519:Z519)</f>
        <v/>
      </c>
      <c r="G519" s="3">
        <f>IF((F519-E519)&gt;=0,F519-E519,0)</f>
        <v/>
      </c>
      <c r="H519" s="11">
        <f>MAX(0,$E519-$F519-$J519)</f>
        <v/>
      </c>
      <c r="I519" s="74" t="n"/>
      <c r="J519" s="74" t="n"/>
      <c r="K519" s="75" t="n">
        <v>0.19</v>
      </c>
      <c r="L519" s="12">
        <f>IF(AND($H519&gt;0,ISNUMBER($K519)),$H519*$K519,0)</f>
        <v/>
      </c>
      <c r="M519" s="74" t="n"/>
      <c r="N519" s="74" t="n"/>
      <c r="O519" s="74" t="n"/>
      <c r="P519" s="74" t="n"/>
      <c r="Q519" s="74" t="n"/>
      <c r="R519" s="74" t="n"/>
      <c r="S519" s="3">
        <f>IF(AND(J519&lt;&gt;"",SUM(M519:R519)=0),J519,"")</f>
        <v/>
      </c>
      <c r="T519" s="3" t="n"/>
      <c r="U519" s="3" t="n"/>
      <c r="V519" s="3" t="n"/>
      <c r="W519" s="3" t="n"/>
      <c r="X519" s="3" t="n"/>
      <c r="Y519" s="3" t="n"/>
      <c r="Z519" s="74" t="n">
        <v>1</v>
      </c>
      <c r="AA519" s="10" t="inlineStr">
        <is>
          <t>Instant</t>
        </is>
      </c>
      <c r="AB519" s="10" t="n"/>
      <c r="AC519" s="10" t="inlineStr">
        <is>
          <t>W</t>
        </is>
      </c>
      <c r="AD519" s="74" t="n">
        <v>2</v>
      </c>
      <c r="AE519" s="76" t="inlineStr">
        <is>
          <t>Dominaria United</t>
        </is>
      </c>
      <c r="AF519" s="76" t="inlineStr">
        <is>
          <t>Removal</t>
        </is>
      </c>
      <c r="AG519" s="76" t="inlineStr">
        <is>
          <t>Destroys target creature with toughness 4 or greater</t>
        </is>
      </c>
      <c r="AH519" s="76" t="inlineStr">
        <is>
          <t>Or destroys target enchantment instead</t>
        </is>
      </c>
      <c r="AI519" s="76" t="n"/>
      <c r="AJ519" s="73" t="inlineStr">
        <is>
          <t>D4 target removed 2026-09-02 (bench sub Spectacular Tactics in place)</t>
        </is>
      </c>
    </row>
    <row r="520">
      <c r="A520" s="10" t="inlineStr">
        <is>
          <t>Dwarven Mattock</t>
        </is>
      </c>
      <c r="B520" s="2">
        <f>IF(AND(F520&lt;&gt;0,E520=F520),"In Hand",IF(AND(E520&lt;&gt;0,E520&lt;F520,SUM(M520:R520)=0,SUM(T520:Y520)&gt;0),"Extra-Sub",IF(AND(E520=0,E520&lt;F520,SUM(M520:R520)=0,SUM(T520:Y520)&gt;0),"Bench-Sub",IF(AND(E520=0,F520&gt;0),"Bench",IF(E520&lt;F520,"Extra",IF(AND(J520="",E520&gt;F520),"To Buy",IF(SUM(J520,F520)&lt;E520,"To Buy",IF(AND(SUM(J520,F520)&gt;=E520,J520&lt;&gt;""),"Ordered",IF(AND(E520=0,F520=0,D520="B3"),"B3 Option",IF(AND(E520=0,F520=0),"Remove","To Buy"))))))))))</f>
        <v/>
      </c>
      <c r="D520" t="inlineStr">
        <is>
          <t>B2</t>
        </is>
      </c>
      <c r="E520" s="3">
        <f>SUM(M520:S520)</f>
        <v/>
      </c>
      <c r="F520" s="3">
        <f>SUM(T520:Z520)</f>
        <v/>
      </c>
      <c r="G520" s="3">
        <f>IF((F520-E520)&gt;=0,F520-E520,0)</f>
        <v/>
      </c>
      <c r="H520" s="11">
        <f>MAX(0,$E520-$F520-$J520)</f>
        <v/>
      </c>
      <c r="L520" s="12">
        <f>IF(AND($H520&gt;0,ISNUMBER($K520)),$H520*$K520,0)</f>
        <v/>
      </c>
      <c r="S520" s="3">
        <f>IF(AND(J520&lt;&gt;"",SUM(M520:R520)=0),J520,"")</f>
        <v/>
      </c>
      <c r="T520" s="3" t="n"/>
      <c r="U520" s="3" t="n"/>
      <c r="V520" s="3" t="n"/>
      <c r="W520" s="3" t="n"/>
      <c r="X520" s="3" t="n"/>
      <c r="Y520" s="3" t="n"/>
      <c r="Z520" s="74" t="n">
        <v>1</v>
      </c>
      <c r="AA520" s="10" t="inlineStr">
        <is>
          <t>Artifact - Equipment</t>
        </is>
      </c>
      <c r="AB520" s="10" t="inlineStr">
        <is>
          <t>Equipment</t>
        </is>
      </c>
      <c r="AC520" s="10" t="inlineStr">
        <is>
          <t>C</t>
        </is>
      </c>
      <c r="AD520" t="n">
        <v>2</v>
      </c>
      <c r="AE520" s="80" t="inlineStr">
        <is>
          <t>The Hobbit</t>
        </is>
      </c>
      <c r="AF520" s="80" t="inlineStr">
        <is>
          <t>Combat Trick</t>
        </is>
      </c>
      <c r="AG520" s="80" t="inlineStr">
        <is>
          <t>Enters: attaches to target Dwarf you control</t>
        </is>
      </c>
      <c r="AH520" s="80" t="inlineStr">
        <is>
          <t>Equipped creature gets +2/+2 and resists opponents' targeted spells and abilities unless they pay {1}</t>
        </is>
      </c>
      <c r="AI520" s="80" t="n"/>
    </row>
    <row r="521">
      <c r="A521" s="10" t="inlineStr">
        <is>
          <t>Eldrazi Ravager</t>
        </is>
      </c>
      <c r="B521" s="2">
        <f>IF(AND(F521&lt;&gt;0,E521=F521),"In Hand",IF(AND(E521&lt;&gt;0,E521&lt;F521,SUM(M521:R521)=0,SUM(T521:Y521)&gt;0),"Extra-Sub",IF(AND(E521=0,E521&lt;F521,SUM(M521:R521)=0,SUM(T521:Y521)&gt;0),"Bench-Sub",IF(AND(E521=0,F521&gt;0),"Bench",IF(E521&lt;F521,"Extra",IF(AND(J521="",E521&gt;F521),"To Buy",IF(SUM(J521,F521)&lt;E521,"To Buy",IF(AND(SUM(J521,F521)&gt;=E521,J521&lt;&gt;""),"Ordered",IF(AND(E521=0,F521=0,D521="B3"),"B3 Option",IF(AND(E521=0,F521=0),"Remove","To Buy"))))))))))</f>
        <v/>
      </c>
      <c r="D521" t="inlineStr">
        <is>
          <t>B2</t>
        </is>
      </c>
      <c r="E521" s="3">
        <f>SUM(M521:S521)</f>
        <v/>
      </c>
      <c r="F521" s="3">
        <f>SUM(T521:Z521)</f>
        <v/>
      </c>
      <c r="G521" s="3">
        <f>IF((F521-E521)&gt;=0,F521-E521,0)</f>
        <v/>
      </c>
      <c r="H521" s="11">
        <f>MAX(0,$E521-$F521-$J521)</f>
        <v/>
      </c>
      <c r="I521" s="74" t="n"/>
      <c r="J521" s="74" t="n"/>
      <c r="K521" s="75" t="n"/>
      <c r="L521" s="12">
        <f>IF(AND($H521&gt;0,ISNUMBER($K521)),$H521*$K521,0)</f>
        <v/>
      </c>
      <c r="M521" s="74" t="n"/>
      <c r="N521" s="74" t="n"/>
      <c r="O521" s="74" t="n"/>
      <c r="P521" s="74" t="n"/>
      <c r="Q521" s="74" t="n"/>
      <c r="R521" s="74" t="n"/>
      <c r="S521" s="3">
        <f>IF(AND(J521&lt;&gt;"",SUM(M521:R521)=0),J521,"")</f>
        <v/>
      </c>
      <c r="T521" s="3" t="n"/>
      <c r="U521" s="3" t="n"/>
      <c r="V521" s="3" t="n"/>
      <c r="W521" s="3" t="n"/>
      <c r="X521" s="3" t="n"/>
      <c r="Y521" s="3" t="n"/>
      <c r="Z521" s="74" t="n">
        <v>2</v>
      </c>
      <c r="AA521" s="10" t="inlineStr">
        <is>
          <t>Creature</t>
        </is>
      </c>
      <c r="AB521" s="10" t="inlineStr">
        <is>
          <t>Eldrazi</t>
        </is>
      </c>
      <c r="AC521" s="10" t="inlineStr">
        <is>
          <t>C</t>
        </is>
      </c>
      <c r="AD521" s="74" t="n">
        <v>6</v>
      </c>
      <c r="AE521" s="76" t="inlineStr">
        <is>
          <t>Modern Horizons 3</t>
        </is>
      </c>
      <c r="AF521" s="76" t="inlineStr">
        <is>
          <t>Finisher</t>
        </is>
      </c>
      <c r="AG521" s="76" t="inlineStr">
        <is>
          <t>Attacking forces the defending player to sacrifice a permanent</t>
        </is>
      </c>
      <c r="AH521" s="76" t="inlineStr">
        <is>
          <t>Sacrifice two Eldrazi: return this from graveyard to hand</t>
        </is>
      </c>
      <c r="AI521" s="76" t="inlineStr">
        <is>
          <t>Discard for {2} to draw a card instead of casting</t>
        </is>
      </c>
      <c r="AJ521" s="73" t="inlineStr">
        <is>
          <t>Cut in Tuned</t>
        </is>
      </c>
    </row>
    <row r="522">
      <c r="A522" s="10" t="inlineStr">
        <is>
          <t>Endbringer</t>
        </is>
      </c>
      <c r="B522" s="2">
        <f>IF(AND(F522&lt;&gt;0,E522=F522),"In Hand",IF(AND(E522&lt;&gt;0,E522&lt;F522,SUM(M522:R522)=0,SUM(T522:Y522)&gt;0),"Extra-Sub",IF(AND(E522=0,E522&lt;F522,SUM(M522:R522)=0,SUM(T522:Y522)&gt;0),"Bench-Sub",IF(AND(E522=0,F522&gt;0),"Bench",IF(E522&lt;F522,"Extra",IF(AND(J522="",E522&gt;F522),"To Buy",IF(SUM(J522,F522)&lt;E522,"To Buy",IF(AND(SUM(J522,F522)&gt;=E522,J522&lt;&gt;""),"Ordered",IF(AND(E522=0,F522=0,D522="B3"),"B3 Option",IF(AND(E522=0,F522=0),"Remove","To Buy"))))))))))</f>
        <v/>
      </c>
      <c r="D522" t="inlineStr">
        <is>
          <t>B2</t>
        </is>
      </c>
      <c r="E522" s="3">
        <f>SUM(M522:S522)</f>
        <v/>
      </c>
      <c r="F522" s="3">
        <f>SUM(T522:Z522)</f>
        <v/>
      </c>
      <c r="G522" s="3">
        <f>IF((F522-E522)&gt;=0,F522-E522,0)</f>
        <v/>
      </c>
      <c r="H522" s="11">
        <f>MAX(0,$E522-$F522-$J522)</f>
        <v/>
      </c>
      <c r="I522" s="74" t="n"/>
      <c r="J522" s="74" t="n"/>
      <c r="K522" s="75" t="n"/>
      <c r="L522" s="12">
        <f>IF(AND($H522&gt;0,ISNUMBER($K522)),$H522*$K522,0)</f>
        <v/>
      </c>
      <c r="M522" s="74" t="n"/>
      <c r="N522" s="74" t="n"/>
      <c r="O522" s="74" t="n"/>
      <c r="P522" s="74" t="n"/>
      <c r="Q522" s="74" t="n"/>
      <c r="R522" s="74" t="n"/>
      <c r="S522" s="3">
        <f>IF(AND(J522&lt;&gt;"",SUM(M522:R522)=0),J522,"")</f>
        <v/>
      </c>
      <c r="T522" s="3" t="n"/>
      <c r="U522" s="3" t="n"/>
      <c r="V522" s="3" t="n"/>
      <c r="W522" s="3" t="n"/>
      <c r="X522" s="3" t="n"/>
      <c r="Y522" s="3" t="n"/>
      <c r="Z522" s="74" t="n">
        <v>1</v>
      </c>
      <c r="AA522" s="36" t="inlineStr">
        <is>
          <t>Creature</t>
        </is>
      </c>
      <c r="AB522" s="36" t="inlineStr">
        <is>
          <t>Eldrazi</t>
        </is>
      </c>
      <c r="AC522" s="10" t="inlineStr">
        <is>
          <t>C</t>
        </is>
      </c>
      <c r="AD522" s="74" t="n">
        <v>6</v>
      </c>
      <c r="AE522" s="76" t="inlineStr">
        <is>
          <t>Oath of the Gatewatch</t>
        </is>
      </c>
      <c r="AF522" s="76" t="inlineStr">
        <is>
          <t>Utility Creature</t>
        </is>
      </c>
      <c r="AG522" s="76" t="inlineStr">
        <is>
          <t>Untaps during each other player's untap step</t>
        </is>
      </c>
      <c r="AH522" s="76" t="inlineStr">
        <is>
          <t>Tap: deals 1 damage to any target</t>
        </is>
      </c>
      <c r="AI522" s="76" t="inlineStr">
        <is>
          <t>Pay {C}{C}, tap: draw a card</t>
        </is>
      </c>
      <c r="AJ522" s="73" t="inlineStr">
        <is>
          <t>arrives -&gt; Bench (slot was upgraded)</t>
        </is>
      </c>
    </row>
    <row r="523">
      <c r="A523" s="10" t="inlineStr">
        <is>
          <t>Gangly Stompling</t>
        </is>
      </c>
      <c r="B523" s="2">
        <f>IF(AND(F523&lt;&gt;0,E523=F523),"In Hand",IF(AND(E523&lt;&gt;0,E523&lt;F523,SUM(M523:R523)=0,SUM(T523:Y523)&gt;0),"Extra-Sub",IF(AND(E523=0,E523&lt;F523,SUM(M523:R523)=0,SUM(T523:Y523)&gt;0),"Bench-Sub",IF(AND(E523=0,F523&gt;0),"Bench",IF(E523&lt;F523,"Extra",IF(AND(J523="",E523&gt;F523),"To Buy",IF(SUM(J523,F523)&lt;E523,"To Buy",IF(AND(SUM(J523,F523)&gt;=E523,J523&lt;&gt;""),"Ordered",IF(AND(E523=0,F523=0,D523="B3"),"B3 Option",IF(AND(E523=0,F523=0),"Remove","To Buy"))))))))))</f>
        <v/>
      </c>
      <c r="D523" t="inlineStr">
        <is>
          <t>B2</t>
        </is>
      </c>
      <c r="E523" s="3">
        <f>SUM(M523:S523)</f>
        <v/>
      </c>
      <c r="F523" s="3">
        <f>SUM(T523:Z523)</f>
        <v/>
      </c>
      <c r="G523" s="3">
        <f>IF((F523-E523)&gt;=0,F523-E523,0)</f>
        <v/>
      </c>
      <c r="H523" s="11">
        <f>MAX(0,$E523-$F523-$J523)</f>
        <v/>
      </c>
      <c r="I523" s="74" t="n"/>
      <c r="J523" s="74" t="n"/>
      <c r="K523" s="75" t="n"/>
      <c r="L523" s="12">
        <f>IF(AND($H523&gt;0,ISNUMBER($K523)),$H523*$K523,0)</f>
        <v/>
      </c>
      <c r="M523" s="74" t="n"/>
      <c r="N523" s="74" t="n"/>
      <c r="O523" s="74" t="n"/>
      <c r="P523" s="74" t="n"/>
      <c r="Q523" s="74" t="n"/>
      <c r="R523" s="74" t="n"/>
      <c r="S523" s="3">
        <f>IF(AND(J523&lt;&gt;"",SUM(M523:R523)=0),J523,"")</f>
        <v/>
      </c>
      <c r="T523" s="3" t="n"/>
      <c r="U523" s="3" t="n"/>
      <c r="V523" s="3" t="n"/>
      <c r="W523" s="3" t="n"/>
      <c r="X523" s="3" t="n"/>
      <c r="Y523" s="3" t="n"/>
      <c r="Z523" s="74" t="n">
        <v>2</v>
      </c>
      <c r="AA523" s="10" t="inlineStr">
        <is>
          <t>Creature</t>
        </is>
      </c>
      <c r="AB523" s="10" t="inlineStr">
        <is>
          <t>Shapeshifter</t>
        </is>
      </c>
      <c r="AC523" s="10" t="inlineStr">
        <is>
          <t>Opt-RG</t>
        </is>
      </c>
      <c r="AD523" s="74" t="n">
        <v>3</v>
      </c>
      <c r="AE523" s="76" t="inlineStr">
        <is>
          <t>Lorwyn Eclipsed</t>
        </is>
      </c>
      <c r="AF523" s="76" t="inlineStr">
        <is>
          <t>Utility Creature</t>
        </is>
      </c>
      <c r="AG523" s="76" t="inlineStr">
        <is>
          <t>Counts as every creature type</t>
        </is>
      </c>
      <c r="AH523" s="76" t="inlineStr">
        <is>
          <t>Deals excess combat damage to the defending player</t>
        </is>
      </c>
      <c r="AI523" s="76" t="n"/>
      <c r="AJ523" s="73" t="n"/>
    </row>
    <row r="524">
      <c r="A524" s="10" t="inlineStr">
        <is>
          <t>Glamer Gifter</t>
        </is>
      </c>
      <c r="B524" s="2">
        <f>IF(AND(F524&lt;&gt;0,E524=F524),"In Hand",IF(AND(E524&lt;&gt;0,E524&lt;F524,SUM(M524:R524)=0,SUM(T524:Y524)&gt;0),"Extra-Sub",IF(AND(E524=0,E524&lt;F524,SUM(M524:R524)=0,SUM(T524:Y524)&gt;0),"Bench-Sub",IF(AND(E524=0,F524&gt;0),"Bench",IF(E524&lt;F524,"Extra",IF(AND(J524="",E524&gt;F524),"To Buy",IF(SUM(J524,F524)&lt;E524,"To Buy",IF(AND(SUM(J524,F524)&gt;=E524,J524&lt;&gt;""),"Ordered",IF(AND(E524=0,F524=0,D524="B3"),"B3 Option",IF(AND(E524=0,F524=0),"Remove","To Buy"))))))))))</f>
        <v/>
      </c>
      <c r="D524" t="inlineStr">
        <is>
          <t>B2</t>
        </is>
      </c>
      <c r="E524" s="3">
        <f>SUM(M524:S524)</f>
        <v/>
      </c>
      <c r="F524" s="3">
        <f>SUM(T524:Z524)</f>
        <v/>
      </c>
      <c r="G524" s="3">
        <f>IF((F524-E524)&gt;=0,F524-E524,0)</f>
        <v/>
      </c>
      <c r="H524" s="11">
        <f>MAX(0,$E524-$F524-$J524)</f>
        <v/>
      </c>
      <c r="I524" s="74" t="n"/>
      <c r="J524" s="74" t="n"/>
      <c r="K524" s="75" t="n"/>
      <c r="L524" s="12">
        <f>IF(AND($H524&gt;0,ISNUMBER($K524)),$H524*$K524,0)</f>
        <v/>
      </c>
      <c r="M524" s="74" t="n"/>
      <c r="N524" s="74" t="n"/>
      <c r="O524" s="74" t="n"/>
      <c r="P524" s="74" t="n"/>
      <c r="Q524" s="74" t="n"/>
      <c r="R524" s="74" t="n"/>
      <c r="S524" s="3">
        <f>IF(AND(J524&lt;&gt;"",SUM(M524:R524)=0),J524,"")</f>
        <v/>
      </c>
      <c r="T524" s="3" t="n"/>
      <c r="U524" s="3" t="n"/>
      <c r="V524" s="3" t="n"/>
      <c r="W524" s="3" t="n"/>
      <c r="X524" s="3" t="n"/>
      <c r="Y524" s="3" t="n"/>
      <c r="Z524" s="74" t="n">
        <v>1</v>
      </c>
      <c r="AA524" s="10" t="inlineStr">
        <is>
          <t>Creature</t>
        </is>
      </c>
      <c r="AB524" s="10" t="inlineStr">
        <is>
          <t>Faerie Wizard</t>
        </is>
      </c>
      <c r="AC524" s="10" t="inlineStr">
        <is>
          <t>U</t>
        </is>
      </c>
      <c r="AD524" s="74" t="n">
        <v>2</v>
      </c>
      <c r="AE524" s="76" t="inlineStr">
        <is>
          <t>Lorwyn Eclipsed</t>
        </is>
      </c>
      <c r="AF524" s="76" t="inlineStr">
        <is>
          <t>Combat Trick</t>
        </is>
      </c>
      <c r="AG524" s="76" t="inlineStr">
        <is>
          <t>Target creature becomes a 4/4 with every creature type until end of turn</t>
        </is>
      </c>
      <c r="AH524" s="76" t="n"/>
      <c r="AI524" s="76" t="n"/>
      <c r="AJ524" s="73" t="inlineStr">
        <is>
          <t>Cut in Tuned</t>
        </is>
      </c>
    </row>
    <row r="525">
      <c r="A525" s="10" t="inlineStr">
        <is>
          <t>Gran-Gran</t>
        </is>
      </c>
      <c r="B525" s="2">
        <f>IF(AND(F525&lt;&gt;0,E525=F525),"In Hand",IF(AND(E525&lt;&gt;0,E525&lt;F525,SUM(M525:R525)=0,SUM(T525:Y525)&gt;0),"Extra-Sub",IF(AND(E525=0,E525&lt;F525,SUM(M525:R525)=0,SUM(T525:Y525)&gt;0),"Bench-Sub",IF(AND(E525=0,F525&gt;0),"Bench",IF(E525&lt;F525,"Extra",IF(AND(J525="",E525&gt;F525),"To Buy",IF(SUM(J525,F525)&lt;E525,"To Buy",IF(AND(SUM(J525,F525)&gt;=E525,J525&lt;&gt;""),"Ordered",IF(AND(E525=0,F525=0,D525="B3"),"B3 Option",IF(AND(E525=0,F525=0),"Remove","To Buy"))))))))))</f>
        <v/>
      </c>
      <c r="D525" t="inlineStr">
        <is>
          <t>B2</t>
        </is>
      </c>
      <c r="E525" s="3">
        <f>SUM(M525:S525)</f>
        <v/>
      </c>
      <c r="F525" s="3">
        <f>SUM(T525:Z525)</f>
        <v/>
      </c>
      <c r="G525" s="3">
        <f>IF((F525-E525)&gt;=0,F525-E525,0)</f>
        <v/>
      </c>
      <c r="H525" s="11">
        <f>MAX(0,$E525-$F525-$J525)</f>
        <v/>
      </c>
      <c r="I525" s="74" t="n"/>
      <c r="J525" s="74" t="n"/>
      <c r="K525" s="75" t="n"/>
      <c r="L525" s="12">
        <f>IF(AND($H525&gt;0,ISNUMBER($K525)),$H525*$K525,0)</f>
        <v/>
      </c>
      <c r="M525" s="74" t="n"/>
      <c r="N525" s="74" t="n"/>
      <c r="O525" s="74" t="n"/>
      <c r="P525" s="74" t="n"/>
      <c r="Q525" s="74" t="n"/>
      <c r="R525" s="74" t="n"/>
      <c r="S525" s="3">
        <f>IF(AND(J525&lt;&gt;"",SUM(M525:R525)=0),J525,"")</f>
        <v/>
      </c>
      <c r="T525" s="3" t="n"/>
      <c r="U525" s="3" t="n"/>
      <c r="V525" s="3" t="n"/>
      <c r="W525" s="3" t="n"/>
      <c r="X525" s="3" t="n"/>
      <c r="Y525" s="3" t="n"/>
      <c r="Z525" s="74" t="n">
        <v>1</v>
      </c>
      <c r="AA525" s="10" t="inlineStr">
        <is>
          <t>Legendary Creature</t>
        </is>
      </c>
      <c r="AB525" s="10" t="inlineStr">
        <is>
          <t>Human Peasant Ally</t>
        </is>
      </c>
      <c r="AC525" s="10" t="inlineStr">
        <is>
          <t>U</t>
        </is>
      </c>
      <c r="AD525" s="74" t="n">
        <v>1</v>
      </c>
      <c r="AE525" s="76" t="inlineStr">
        <is>
          <t>Avatar: The Last Airbender</t>
        </is>
      </c>
      <c r="AF525" s="76" t="inlineStr">
        <is>
          <t>Discard/Looting</t>
        </is>
      </c>
      <c r="AG525" s="76" t="inlineStr">
        <is>
          <t>Draws then discards a card whenever it becomes tapped</t>
        </is>
      </c>
      <c r="AH525" s="76" t="inlineStr">
        <is>
          <t>Noncreature spells cost {1} less with three or more Lessons in your graveyard</t>
        </is>
      </c>
      <c r="AI525" s="76" t="n"/>
      <c r="AJ525" s="73" t="n"/>
    </row>
    <row r="526">
      <c r="A526" s="10" t="inlineStr">
        <is>
          <t>Great Fierce Bee</t>
        </is>
      </c>
      <c r="B526" s="2">
        <f>IF(AND(F526&lt;&gt;0,E526=F526),"In Hand",IF(AND(E526&lt;&gt;0,E526&lt;F526,SUM(M526:R526)=0,SUM(T526:Y526)&gt;0),"Extra-Sub",IF(AND(E526=0,E526&lt;F526,SUM(M526:R526)=0,SUM(T526:Y526)&gt;0),"Bench-Sub",IF(AND(E526=0,F526&gt;0),"Bench",IF(E526&lt;F526,"Extra",IF(AND(J526="",E526&gt;F526),"To Buy",IF(SUM(J526,F526)&lt;E526,"To Buy",IF(AND(SUM(J526,F526)&gt;=E526,J526&lt;&gt;""),"Ordered",IF(AND(E526=0,F526=0,D526="B3"),"B3 Option",IF(AND(E526=0,F526=0),"Remove","To Buy"))))))))))</f>
        <v/>
      </c>
      <c r="D526" t="inlineStr">
        <is>
          <t>B2</t>
        </is>
      </c>
      <c r="E526" s="3">
        <f>SUM(M526:S526)</f>
        <v/>
      </c>
      <c r="F526" s="3">
        <f>SUM(T526:Z526)</f>
        <v/>
      </c>
      <c r="G526" s="3">
        <f>IF((F526-E526)&gt;=0,F526-E526,0)</f>
        <v/>
      </c>
      <c r="H526" s="11">
        <f>MAX(0,$E526-$F526-$J526)</f>
        <v/>
      </c>
      <c r="I526" s="74" t="n"/>
      <c r="J526" s="74" t="n"/>
      <c r="K526" s="75" t="n"/>
      <c r="L526" s="12">
        <f>IF(AND($H526&gt;0,ISNUMBER($K526)),$H526*$K526,0)</f>
        <v/>
      </c>
      <c r="M526" s="74" t="n"/>
      <c r="N526" s="74" t="n"/>
      <c r="O526" s="74" t="n"/>
      <c r="P526" s="74" t="n"/>
      <c r="Q526" s="74" t="n"/>
      <c r="R526" s="74" t="n"/>
      <c r="S526" s="3">
        <f>IF(AND(J526&lt;&gt;"",SUM(M526:R526)=0),J526,"")</f>
        <v/>
      </c>
      <c r="T526" s="3" t="n"/>
      <c r="U526" s="3" t="n"/>
      <c r="V526" s="3" t="n"/>
      <c r="W526" s="3" t="n"/>
      <c r="X526" s="3" t="n"/>
      <c r="Y526" s="3" t="n"/>
      <c r="Z526" s="74" t="n">
        <v>1</v>
      </c>
      <c r="AA526" s="10" t="inlineStr">
        <is>
          <t>Creature</t>
        </is>
      </c>
      <c r="AB526" s="10" t="inlineStr">
        <is>
          <t>Insect</t>
        </is>
      </c>
      <c r="AC526" s="10" t="inlineStr">
        <is>
          <t>B</t>
        </is>
      </c>
      <c r="AD526" s="74" t="n">
        <v>3</v>
      </c>
      <c r="AE526" s="76" t="inlineStr">
        <is>
          <t>The Hobbit</t>
        </is>
      </c>
      <c r="AF526" s="76" t="inlineStr">
        <is>
          <t>Card Selection</t>
        </is>
      </c>
      <c r="AG526" s="76" t="inlineStr">
        <is>
          <t>Flying body</t>
        </is>
      </c>
      <c r="AH526" s="76" t="inlineStr">
        <is>
          <t>Other creatures dying lets you look at and rearrange the top library card</t>
        </is>
      </c>
      <c r="AI526" s="76" t="n"/>
      <c r="AJ526" s="73" t="inlineStr">
        <is>
          <t>Bench sub -&gt; D5 for Goldvein Pick (2026-09-02); D5 target removed 2026-09-02: Tuned add Kambal, Consul of Allocation takes the slot</t>
        </is>
      </c>
      <c r="AK526" t="inlineStr">
        <is>
          <t>[T+A] B-&gt;D5 (bench sub) [done 2026-09-03]; [T] D5 target removed; [A later] D5-&gt;B when Kambal, Consul of Allocation arrives</t>
        </is>
      </c>
    </row>
    <row r="527">
      <c r="A527" s="10" t="inlineStr">
        <is>
          <t>Hemlock Vial</t>
        </is>
      </c>
      <c r="B527" s="2">
        <f>IF(AND(F527&lt;&gt;0,E527=F527),"In Hand",IF(AND(E527&lt;&gt;0,E527&lt;F527,SUM(M527:R527)=0,SUM(T527:Y527)&gt;0),"Extra-Sub",IF(AND(E527=0,E527&lt;F527,SUM(M527:R527)=0,SUM(T527:Y527)&gt;0),"Bench-Sub",IF(AND(E527=0,F527&gt;0),"Bench",IF(E527&lt;F527,"Extra",IF(AND(J527="",E527&gt;F527),"To Buy",IF(SUM(J527,F527)&lt;E527,"To Buy",IF(AND(SUM(J527,F527)&gt;=E527,J527&lt;&gt;""),"Ordered",IF(AND(E527=0,F527=0,D527="B3"),"B3 Option",IF(AND(E527=0,F527=0),"Remove","To Buy"))))))))))</f>
        <v/>
      </c>
      <c r="D527" t="inlineStr">
        <is>
          <t>B2</t>
        </is>
      </c>
      <c r="E527" s="3">
        <f>SUM(M527:S527)</f>
        <v/>
      </c>
      <c r="F527" s="3">
        <f>SUM(T527:Z527)</f>
        <v/>
      </c>
      <c r="G527" s="3">
        <f>IF((F527-E527)&gt;=0,F527-E527,0)</f>
        <v/>
      </c>
      <c r="H527" s="11">
        <f>MAX(0,$E527-$F527-$J527)</f>
        <v/>
      </c>
      <c r="I527" s="74" t="n"/>
      <c r="J527" s="74" t="n"/>
      <c r="K527" s="75" t="n"/>
      <c r="L527" s="12">
        <f>IF(AND($H527&gt;0,ISNUMBER($K527)),$H527*$K527,0)</f>
        <v/>
      </c>
      <c r="M527" s="74" t="n"/>
      <c r="N527" s="74" t="n"/>
      <c r="O527" s="74" t="n"/>
      <c r="P527" s="74" t="n"/>
      <c r="Q527" s="74" t="n"/>
      <c r="R527" s="74" t="n"/>
      <c r="S527" s="3">
        <f>IF(AND(J527&lt;&gt;"",SUM(M527:R527)=0),J527,"")</f>
        <v/>
      </c>
      <c r="T527" s="3" t="n"/>
      <c r="U527" s="3" t="n"/>
      <c r="V527" s="3" t="n"/>
      <c r="W527" s="3" t="n"/>
      <c r="X527" s="3" t="n"/>
      <c r="Y527" s="3" t="n"/>
      <c r="Z527" s="74" t="n">
        <v>1</v>
      </c>
      <c r="AA527" s="10" t="inlineStr">
        <is>
          <t>Artifact</t>
        </is>
      </c>
      <c r="AB527" s="10" t="n"/>
      <c r="AC527" s="10" t="inlineStr">
        <is>
          <t>B</t>
        </is>
      </c>
      <c r="AD527" s="74" t="n">
        <v>2</v>
      </c>
      <c r="AE527" s="76" t="inlineStr">
        <is>
          <t>Assassin's Creed</t>
        </is>
      </c>
      <c r="AF527" s="76" t="inlineStr">
        <is>
          <t>Card Draw</t>
        </is>
      </c>
      <c r="AG527" s="76" t="inlineStr">
        <is>
          <t>Enters: draw a card and lose 1 life</t>
        </is>
      </c>
      <c r="AH527" s="76" t="inlineStr">
        <is>
          <t>Sacrifice: your equipped creatures and Equipment become lethal on any damage this turn</t>
        </is>
      </c>
      <c r="AI527" s="76" t="n"/>
      <c r="AJ527" s="73" t="inlineStr">
        <is>
          <t>Bench sub -&gt; D5 for Haystack (2026-09-02); D5 target removed 2026-09-02: Tuned add Mentor of the Meek takes the slot</t>
        </is>
      </c>
      <c r="AK527" t="inlineStr">
        <is>
          <t>[T+A] B-&gt;D5 (bench sub) [done 2026-09-03]; [T] D5 target removed; [A later] D5-&gt;B when Mentor of the Meek arrives</t>
        </is>
      </c>
    </row>
    <row r="528">
      <c r="A528" s="10" t="inlineStr">
        <is>
          <t>Ironsoul Enforcer</t>
        </is>
      </c>
      <c r="B528" s="2">
        <f>IF(AND(F528&lt;&gt;0,E528=F528),"In Hand",IF(AND(E528&lt;&gt;0,E528&lt;F528,SUM(M528:R528)=0,SUM(T528:Y528)&gt;0),"Extra-Sub",IF(AND(E528=0,E528&lt;F528,SUM(M528:R528)=0,SUM(T528:Y528)&gt;0),"Bench-Sub",IF(AND(E528=0,F528&gt;0),"Bench",IF(E528&lt;F528,"Extra",IF(AND(J528="",E528&gt;F528),"To Buy",IF(SUM(J528,F528)&lt;E528,"To Buy",IF(AND(SUM(J528,F528)&gt;=E528,J528&lt;&gt;""),"Ordered",IF(AND(E528=0,F528=0,D528="B3"),"B3 Option",IF(AND(E528=0,F528=0),"Remove","To Buy"))))))))))</f>
        <v/>
      </c>
      <c r="D528" t="inlineStr">
        <is>
          <t>B2</t>
        </is>
      </c>
      <c r="E528" s="3">
        <f>SUM(M528:S528)</f>
        <v/>
      </c>
      <c r="F528" s="3">
        <f>SUM(T528:Z528)</f>
        <v/>
      </c>
      <c r="G528" s="3">
        <f>IF((F528-E528)&gt;=0,F528-E528,0)</f>
        <v/>
      </c>
      <c r="H528" s="11">
        <f>MAX(0,$E528-$F528-$J528)</f>
        <v/>
      </c>
      <c r="I528" s="74" t="n"/>
      <c r="J528" s="74" t="n"/>
      <c r="K528" s="75" t="n">
        <v>0.89</v>
      </c>
      <c r="L528" s="12">
        <f>IF(AND($H528&gt;0,ISNUMBER($K528)),$H528*$K528,0)</f>
        <v/>
      </c>
      <c r="M528" s="74" t="n"/>
      <c r="N528" s="74" t="n"/>
      <c r="O528" s="74" t="n"/>
      <c r="P528" s="74" t="n"/>
      <c r="Q528" s="74" t="n"/>
      <c r="R528" s="74" t="n"/>
      <c r="S528" s="3">
        <f>IF(AND(J528&lt;&gt;"",SUM(M528:R528)=0),J528,"")</f>
        <v/>
      </c>
      <c r="T528" s="3" t="n"/>
      <c r="U528" s="3" t="n"/>
      <c r="V528" s="3" t="n"/>
      <c r="W528" s="3" t="n"/>
      <c r="X528" s="3" t="n"/>
      <c r="Y528" s="3" t="n"/>
      <c r="Z528" s="74" t="n">
        <v>1</v>
      </c>
      <c r="AA528" s="10" t="inlineStr">
        <is>
          <t>Artifact Creature</t>
        </is>
      </c>
      <c r="AB528" s="10" t="inlineStr">
        <is>
          <t>Human Samurai</t>
        </is>
      </c>
      <c r="AC528" s="10" t="inlineStr">
        <is>
          <t>W</t>
        </is>
      </c>
      <c r="AD528" s="74" t="n">
        <v>5</v>
      </c>
      <c r="AE528" s="76" t="inlineStr">
        <is>
          <t>Neon Dynasty Commander</t>
        </is>
      </c>
      <c r="AF528" s="76" t="inlineStr">
        <is>
          <t>Recursion</t>
        </is>
      </c>
      <c r="AG528" s="76" t="inlineStr">
        <is>
          <t>Returns target artifact card from your graveyard to the battlefield when it or your commander attacks alone</t>
        </is>
      </c>
      <c r="AH528" s="76" t="n"/>
      <c r="AI528" s="76" t="n"/>
      <c r="AJ528" s="73" t="n"/>
      <c r="AK528" t="inlineStr">
        <is>
          <t>[A only] B-&gt;D1 (placeholder until D1 buys arrive) [done 2026-09-03]</t>
        </is>
      </c>
    </row>
    <row r="529">
      <c r="A529" s="10" t="inlineStr">
        <is>
          <t>Kithkeeper</t>
        </is>
      </c>
      <c r="B529" s="2">
        <f>IF(AND(F529&lt;&gt;0,E529=F529),"In Hand",IF(AND(E529&lt;&gt;0,E529&lt;F529,SUM(M529:R529)=0,SUM(T529:Y529)&gt;0),"Extra-Sub",IF(AND(E529=0,E529&lt;F529,SUM(M529:R529)=0,SUM(T529:Y529)&gt;0),"Bench-Sub",IF(AND(E529=0,F529&gt;0),"Bench",IF(E529&lt;F529,"Extra",IF(AND(J529="",E529&gt;F529),"To Buy",IF(SUM(J529,F529)&lt;E529,"To Buy",IF(AND(SUM(J529,F529)&gt;=E529,J529&lt;&gt;""),"Ordered",IF(AND(E529=0,F529=0,D529="B3"),"B3 Option",IF(AND(E529=0,F529=0),"Remove","To Buy"))))))))))</f>
        <v/>
      </c>
      <c r="D529" t="inlineStr">
        <is>
          <t>B2</t>
        </is>
      </c>
      <c r="E529" s="3">
        <f>SUM(M529:S529)</f>
        <v/>
      </c>
      <c r="F529" s="3">
        <f>SUM(T529:Z529)</f>
        <v/>
      </c>
      <c r="G529" s="3">
        <f>IF((F529-E529)&gt;=0,F529-E529,0)</f>
        <v/>
      </c>
      <c r="H529" s="11">
        <f>MAX(0,$E529-$F529-$J529)</f>
        <v/>
      </c>
      <c r="I529" s="74" t="n"/>
      <c r="J529" s="74" t="n"/>
      <c r="K529" s="75" t="n"/>
      <c r="L529" s="12">
        <f>IF(AND($H529&gt;0,ISNUMBER($K529)),$H529*$K529,0)</f>
        <v/>
      </c>
      <c r="M529" s="74" t="n"/>
      <c r="N529" s="74" t="n"/>
      <c r="O529" s="74" t="n"/>
      <c r="P529" s="74" t="n"/>
      <c r="Q529" s="74" t="n"/>
      <c r="R529" s="74" t="n"/>
      <c r="S529" s="3">
        <f>IF(AND(J529&lt;&gt;"",SUM(M529:R529)=0),J529,"")</f>
        <v/>
      </c>
      <c r="T529" s="3" t="n"/>
      <c r="U529" s="3" t="n"/>
      <c r="V529" s="3" t="n"/>
      <c r="W529" s="3" t="n"/>
      <c r="X529" s="3" t="n"/>
      <c r="Y529" s="3" t="n"/>
      <c r="Z529" s="74" t="n">
        <v>2</v>
      </c>
      <c r="AA529" s="10" t="inlineStr">
        <is>
          <t>Creature</t>
        </is>
      </c>
      <c r="AB529" s="10" t="inlineStr">
        <is>
          <t>Elemental</t>
        </is>
      </c>
      <c r="AC529" s="10" t="inlineStr">
        <is>
          <t>W</t>
        </is>
      </c>
      <c r="AD529" s="74" t="n">
        <v>7</v>
      </c>
      <c r="AE529" s="76" t="inlineStr">
        <is>
          <t>Lorwyn Eclipsed</t>
        </is>
      </c>
      <c r="AF529" s="76" t="inlineStr">
        <is>
          <t>Token Producer</t>
        </is>
      </c>
      <c r="AG529" s="76" t="inlineStr">
        <is>
          <t>Enters: create X 1/1 Kithkin tokens, X = colors among your permanents</t>
        </is>
      </c>
      <c r="AH529" s="76" t="inlineStr">
        <is>
          <t>Tap three untapped creatures you control: gets +3/+0 and can fly this turn</t>
        </is>
      </c>
      <c r="AI529" s="76" t="n"/>
      <c r="AJ529" s="73" t="inlineStr">
        <is>
          <t>Cut in Tuned</t>
        </is>
      </c>
    </row>
    <row r="530">
      <c r="A530" s="10" t="inlineStr">
        <is>
          <t>Lake-town Lookout</t>
        </is>
      </c>
      <c r="B530" s="2">
        <f>IF(AND(F530&lt;&gt;0,E530=F530),"In Hand",IF(AND(E530&lt;&gt;0,E530&lt;F530,SUM(M530:R530)=0,SUM(T530:Y530)&gt;0),"Extra-Sub",IF(AND(E530=0,E530&lt;F530,SUM(M530:R530)=0,SUM(T530:Y530)&gt;0),"Bench-Sub",IF(AND(E530=0,F530&gt;0),"Bench",IF(E530&lt;F530,"Extra",IF(AND(J530="",E530&gt;F530),"To Buy",IF(SUM(J530,F530)&lt;E530,"To Buy",IF(AND(SUM(J530,F530)&gt;=E530,J530&lt;&gt;""),"Ordered",IF(AND(E530=0,F530=0,D530="B3"),"B3 Option",IF(AND(E530=0,F530=0),"Remove","To Buy"))))))))))</f>
        <v/>
      </c>
      <c r="D530" t="inlineStr">
        <is>
          <t>B2</t>
        </is>
      </c>
      <c r="E530" s="3">
        <f>SUM(M530:S530)</f>
        <v/>
      </c>
      <c r="F530" s="3">
        <f>SUM(T530:Z530)</f>
        <v/>
      </c>
      <c r="G530" s="3">
        <f>IF((F530-E530)&gt;=0,F530-E530,0)</f>
        <v/>
      </c>
      <c r="H530" s="11">
        <f>MAX(0,$E530-$F530-$J530)</f>
        <v/>
      </c>
      <c r="I530" s="74" t="n"/>
      <c r="J530" s="74" t="n"/>
      <c r="K530" s="75" t="n">
        <v>0.11</v>
      </c>
      <c r="L530" s="12">
        <f>IF(AND($H530&gt;0,ISNUMBER($K530)),$H530*$K530,0)</f>
        <v/>
      </c>
      <c r="M530" s="74" t="n"/>
      <c r="N530" s="74" t="n"/>
      <c r="O530" s="74" t="n"/>
      <c r="P530" s="74" t="n"/>
      <c r="Q530" s="74" t="n"/>
      <c r="R530" s="74" t="n"/>
      <c r="S530" s="3">
        <f>IF(AND(J530&lt;&gt;"",SUM(M530:R530)=0),J530,"")</f>
        <v/>
      </c>
      <c r="T530" s="3" t="n"/>
      <c r="U530" s="3" t="n"/>
      <c r="V530" s="3" t="n"/>
      <c r="W530" s="3" t="n"/>
      <c r="X530" s="3" t="n"/>
      <c r="Y530" s="3" t="n"/>
      <c r="Z530" s="74" t="n">
        <v>1</v>
      </c>
      <c r="AA530" s="10" t="inlineStr">
        <is>
          <t>Creature</t>
        </is>
      </c>
      <c r="AB530" s="10" t="inlineStr">
        <is>
          <t>Human Scout</t>
        </is>
      </c>
      <c r="AC530" s="10" t="inlineStr">
        <is>
          <t>W</t>
        </is>
      </c>
      <c r="AD530" s="74" t="n">
        <v>1</v>
      </c>
      <c r="AE530" s="76" t="inlineStr">
        <is>
          <t>The Hobbit</t>
        </is>
      </c>
      <c r="AF530" s="76" t="inlineStr">
        <is>
          <t>Token Producer</t>
        </is>
      </c>
      <c r="AG530" s="76" t="inlineStr">
        <is>
          <t>Draws then discards a card when it dies</t>
        </is>
      </c>
      <c r="AH530" s="76" t="inlineStr">
        <is>
          <t>Creates a 1/1 Soldier token if a nonland card was discarded that way</t>
        </is>
      </c>
      <c r="AI530" s="76" t="n"/>
      <c r="AJ530" s="73" t="inlineStr">
        <is>
          <t>Bench sub -&gt; D5 for Doomed Traveler (2026-09-02); D5 target removed 2026-09-02: Tuned add Night's Whisper takes the slot</t>
        </is>
      </c>
      <c r="AK530" t="inlineStr">
        <is>
          <t>[T+A] B-&gt;D5 (bench sub) [done 2026-09-03]; [T] D5 target removed; [A later] D5-&gt;B when Night's Whisper arrives</t>
        </is>
      </c>
    </row>
    <row r="531">
      <c r="A531" s="10" t="inlineStr">
        <is>
          <t>Lys Alana Dignitary</t>
        </is>
      </c>
      <c r="B531" s="2">
        <f>IF(AND(F531&lt;&gt;0,E531=F531),"In Hand",IF(AND(E531&lt;&gt;0,E531&lt;F531,SUM(M531:R531)=0,SUM(T531:Y531)&gt;0),"Extra-Sub",IF(AND(E531=0,E531&lt;F531,SUM(M531:R531)=0,SUM(T531:Y531)&gt;0),"Bench-Sub",IF(AND(E531=0,F531&gt;0),"Bench",IF(E531&lt;F531,"Extra",IF(AND(J531="",E531&gt;F531),"To Buy",IF(SUM(J531,F531)&lt;E531,"To Buy",IF(AND(SUM(J531,F531)&gt;=E531,J531&lt;&gt;""),"Ordered",IF(AND(E531=0,F531=0,D531="B3"),"B3 Option",IF(AND(E531=0,F531=0),"Remove","To Buy"))))))))))</f>
        <v/>
      </c>
      <c r="D531" t="inlineStr">
        <is>
          <t>B2</t>
        </is>
      </c>
      <c r="E531" s="3">
        <f>SUM(M531:S531)</f>
        <v/>
      </c>
      <c r="F531" s="3">
        <f>SUM(T531:Z531)</f>
        <v/>
      </c>
      <c r="G531" s="3">
        <f>IF((F531-E531)&gt;=0,F531-E531,0)</f>
        <v/>
      </c>
      <c r="H531" s="11">
        <f>MAX(0,$E531-$F531-$J531)</f>
        <v/>
      </c>
      <c r="I531" s="74" t="n"/>
      <c r="J531" s="74" t="n"/>
      <c r="K531" s="75" t="n">
        <v>0.25</v>
      </c>
      <c r="L531" s="12">
        <f>IF(AND($H531&gt;0,ISNUMBER($K531)),$H531*$K531,0)</f>
        <v/>
      </c>
      <c r="M531" s="74" t="n"/>
      <c r="N531" s="74" t="n"/>
      <c r="O531" s="74" t="n"/>
      <c r="P531" s="74" t="n"/>
      <c r="Q531" s="74" t="n"/>
      <c r="R531" s="74" t="n"/>
      <c r="S531" s="3">
        <f>IF(AND(J531&lt;&gt;"",SUM(M531:R531)=0),J531,"")</f>
        <v/>
      </c>
      <c r="T531" s="3" t="n"/>
      <c r="U531" s="3" t="n"/>
      <c r="V531" s="3" t="n"/>
      <c r="W531" s="3" t="n"/>
      <c r="X531" s="3" t="n"/>
      <c r="Y531" s="3" t="n"/>
      <c r="Z531" s="74" t="n">
        <v>1</v>
      </c>
      <c r="AA531" s="10" t="inlineStr">
        <is>
          <t>Creature</t>
        </is>
      </c>
      <c r="AB531" s="10" t="inlineStr">
        <is>
          <t>Elf Advisor</t>
        </is>
      </c>
      <c r="AC531" s="10" t="inlineStr">
        <is>
          <t>G</t>
        </is>
      </c>
      <c r="AD531" s="74" t="n">
        <v>2</v>
      </c>
      <c r="AE531" s="76" t="inlineStr">
        <is>
          <t>Lorwyn Eclipsed</t>
        </is>
      </c>
      <c r="AF531" s="76" t="inlineStr">
        <is>
          <t>Ramp</t>
        </is>
      </c>
      <c r="AG531" s="76" t="inlineStr">
        <is>
          <t>Taps for {G}{G} if an Elf is in your graveyard</t>
        </is>
      </c>
      <c r="AH531" s="76" t="inlineStr">
        <is>
          <t>Costs an extra Elf reveal or {2} to cast</t>
        </is>
      </c>
      <c r="AI531" s="76" t="n"/>
      <c r="AJ531" s="73" t="n"/>
    </row>
    <row r="532">
      <c r="A532" s="10" t="inlineStr">
        <is>
          <t>Lys Alana Informant</t>
        </is>
      </c>
      <c r="B532" s="2">
        <f>IF(AND(F532&lt;&gt;0,E532=F532),"In Hand",IF(AND(E532&lt;&gt;0,E532&lt;F532,SUM(M532:R532)=0,SUM(T532:Y532)&gt;0),"Extra-Sub",IF(AND(E532=0,E532&lt;F532,SUM(M532:R532)=0,SUM(T532:Y532)&gt;0),"Bench-Sub",IF(AND(E532=0,F532&gt;0),"Bench",IF(E532&lt;F532,"Extra",IF(AND(J532="",E532&gt;F532),"To Buy",IF(SUM(J532,F532)&lt;E532,"To Buy",IF(AND(SUM(J532,F532)&gt;=E532,J532&lt;&gt;""),"Ordered",IF(AND(E532=0,F532=0,D532="B3"),"B3 Option",IF(AND(E532=0,F532=0),"Remove","To Buy"))))))))))</f>
        <v/>
      </c>
      <c r="D532" t="inlineStr">
        <is>
          <t>B2</t>
        </is>
      </c>
      <c r="E532" s="3">
        <f>SUM(M532:S532)</f>
        <v/>
      </c>
      <c r="F532" s="3">
        <f>SUM(T532:Z532)</f>
        <v/>
      </c>
      <c r="G532" s="3">
        <f>IF((F532-E532)&gt;=0,F532-E532,0)</f>
        <v/>
      </c>
      <c r="H532" s="11">
        <f>MAX(0,$E532-$F532-$J532)</f>
        <v/>
      </c>
      <c r="I532" s="74" t="n"/>
      <c r="J532" s="74" t="n"/>
      <c r="K532" s="75" t="n"/>
      <c r="L532" s="12">
        <f>IF(AND($H532&gt;0,ISNUMBER($K532)),$H532*$K532,0)</f>
        <v/>
      </c>
      <c r="M532" s="74" t="n"/>
      <c r="N532" s="74" t="n"/>
      <c r="O532" s="74" t="n"/>
      <c r="P532" s="74" t="n"/>
      <c r="Q532" s="74" t="n"/>
      <c r="R532" s="74" t="n"/>
      <c r="S532" s="3">
        <f>IF(AND(J532&lt;&gt;"",SUM(M532:R532)=0),J532,"")</f>
        <v/>
      </c>
      <c r="T532" s="3" t="n"/>
      <c r="U532" s="3" t="n"/>
      <c r="V532" s="3" t="n"/>
      <c r="W532" s="3" t="n"/>
      <c r="X532" s="3" t="n"/>
      <c r="Y532" s="3" t="n"/>
      <c r="Z532" s="74" t="n">
        <v>1</v>
      </c>
      <c r="AA532" s="10" t="inlineStr">
        <is>
          <t>Creature</t>
        </is>
      </c>
      <c r="AB532" s="10" t="inlineStr">
        <is>
          <t>Elf Scout</t>
        </is>
      </c>
      <c r="AC532" s="10" t="inlineStr">
        <is>
          <t>G</t>
        </is>
      </c>
      <c r="AD532" s="74" t="n">
        <v>2</v>
      </c>
      <c r="AE532" s="76" t="inlineStr">
        <is>
          <t>Lorwyn Eclipsed</t>
        </is>
      </c>
      <c r="AF532" s="76" t="inlineStr">
        <is>
          <t>Card Selection</t>
        </is>
      </c>
      <c r="AG532" s="76" t="inlineStr">
        <is>
          <t>Surveils 1 when it enters or dies</t>
        </is>
      </c>
      <c r="AH532" s="76" t="n"/>
      <c r="AI532" s="76" t="n"/>
      <c r="AJ532" s="73" t="inlineStr">
        <is>
          <t>Cut in Tuned</t>
        </is>
      </c>
    </row>
    <row r="533">
      <c r="A533" s="10" t="inlineStr">
        <is>
          <t>Make Your Move</t>
        </is>
      </c>
      <c r="B533" s="2">
        <f>IF(AND(F533&lt;&gt;0,E533=F533),"In Hand",IF(AND(E533&lt;&gt;0,E533&lt;F533,SUM(M533:R533)=0,SUM(T533:Y533)&gt;0),"Extra-Sub",IF(AND(E533=0,E533&lt;F533,SUM(M533:R533)=0,SUM(T533:Y533)&gt;0),"Bench-Sub",IF(AND(E533=0,F533&gt;0),"Bench",IF(E533&lt;F533,"Extra",IF(AND(J533="",E533&gt;F533),"To Buy",IF(SUM(J533,F533)&lt;E533,"To Buy",IF(AND(SUM(J533,F533)&gt;=E533,J533&lt;&gt;""),"Ordered",IF(AND(E533=0,F533=0,D533="B3"),"B3 Option",IF(AND(E533=0,F533=0),"Remove","To Buy"))))))))))</f>
        <v/>
      </c>
      <c r="D533" t="inlineStr">
        <is>
          <t>B2</t>
        </is>
      </c>
      <c r="E533" s="3">
        <f>SUM(M533:S533)</f>
        <v/>
      </c>
      <c r="F533" s="3">
        <f>SUM(T533:Z533)</f>
        <v/>
      </c>
      <c r="G533" s="3">
        <f>IF((F533-E533)&gt;=0,F533-E533,0)</f>
        <v/>
      </c>
      <c r="H533" s="11">
        <f>MAX(0,$E533-$F533-$J533)</f>
        <v/>
      </c>
      <c r="I533" s="74" t="n"/>
      <c r="J533" s="74" t="n"/>
      <c r="K533" s="75" t="n">
        <v>0.22</v>
      </c>
      <c r="L533" s="12">
        <f>IF(AND($H533&gt;0,ISNUMBER($K533)),$H533*$K533,0)</f>
        <v/>
      </c>
      <c r="M533" s="74" t="n"/>
      <c r="N533" s="74" t="n"/>
      <c r="O533" s="74" t="n"/>
      <c r="P533" s="74" t="n"/>
      <c r="Q533" s="74" t="n"/>
      <c r="R533" s="74" t="n"/>
      <c r="S533" s="3">
        <f>IF(AND(J533&lt;&gt;"",SUM(M533:R533)=0),J533,"")</f>
        <v/>
      </c>
      <c r="T533" s="3" t="n"/>
      <c r="U533" s="3" t="n"/>
      <c r="V533" s="3" t="n"/>
      <c r="W533" s="3" t="n"/>
      <c r="X533" s="3" t="n"/>
      <c r="Y533" s="3" t="n"/>
      <c r="Z533" s="74" t="n">
        <v>1</v>
      </c>
      <c r="AA533" s="10" t="inlineStr">
        <is>
          <t>Instant</t>
        </is>
      </c>
      <c r="AB533" s="10" t="n"/>
      <c r="AC533" s="10" t="inlineStr">
        <is>
          <t>W</t>
        </is>
      </c>
      <c r="AD533" s="74" t="n">
        <v>3</v>
      </c>
      <c r="AE533" s="76" t="inlineStr">
        <is>
          <t>Murders at Karlov Manor</t>
        </is>
      </c>
      <c r="AF533" s="76" t="inlineStr">
        <is>
          <t>Removal</t>
        </is>
      </c>
      <c r="AG533" s="76" t="inlineStr">
        <is>
          <t>Destroys target artifact, enchantment, or creature with power 4+</t>
        </is>
      </c>
      <c r="AH533" s="76" t="n"/>
      <c r="AI533" s="76" t="n"/>
      <c r="AJ533" s="73" t="inlineStr">
        <is>
          <t>arrives -&gt; Bench (slot was upgraded); Cut in Tuned</t>
        </is>
      </c>
    </row>
    <row r="534">
      <c r="A534" s="10" t="inlineStr">
        <is>
          <t>Meanders Guide</t>
        </is>
      </c>
      <c r="B534" s="2">
        <f>IF(AND(F534&lt;&gt;0,E534=F534),"In Hand",IF(AND(E534&lt;&gt;0,E534&lt;F534,SUM(M534:R534)=0,SUM(T534:Y534)&gt;0),"Extra-Sub",IF(AND(E534=0,E534&lt;F534,SUM(M534:R534)=0,SUM(T534:Y534)&gt;0),"Bench-Sub",IF(AND(E534=0,F534&gt;0),"Bench",IF(E534&lt;F534,"Extra",IF(AND(J534="",E534&gt;F534),"To Buy",IF(SUM(J534,F534)&lt;E534,"To Buy",IF(AND(SUM(J534,F534)&gt;=E534,J534&lt;&gt;""),"Ordered",IF(AND(E534=0,F534=0,D534="B3"),"B3 Option",IF(AND(E534=0,F534=0),"Remove","To Buy"))))))))))</f>
        <v/>
      </c>
      <c r="D534" t="inlineStr">
        <is>
          <t>B2</t>
        </is>
      </c>
      <c r="E534" s="3">
        <f>SUM(M534:S534)</f>
        <v/>
      </c>
      <c r="F534" s="3">
        <f>SUM(T534:Z534)</f>
        <v/>
      </c>
      <c r="G534" s="3">
        <f>IF((F534-E534)&gt;=0,F534-E534,0)</f>
        <v/>
      </c>
      <c r="H534" s="11">
        <f>MAX(0,$E534-$F534-$J534)</f>
        <v/>
      </c>
      <c r="I534" s="74" t="n"/>
      <c r="J534" s="74" t="n"/>
      <c r="K534" s="75" t="n">
        <v>0.19</v>
      </c>
      <c r="L534" s="12">
        <f>IF(AND($H534&gt;0,ISNUMBER($K534)),$H534*$K534,0)</f>
        <v/>
      </c>
      <c r="M534" s="74" t="n"/>
      <c r="N534" s="74" t="n"/>
      <c r="O534" s="74" t="n"/>
      <c r="P534" s="74" t="n"/>
      <c r="Q534" s="74" t="n"/>
      <c r="R534" s="74" t="n"/>
      <c r="S534" s="3">
        <f>IF(AND(J534&lt;&gt;"",SUM(M534:R534)=0),J534,"")</f>
        <v/>
      </c>
      <c r="T534" s="3" t="n"/>
      <c r="U534" s="3" t="n"/>
      <c r="V534" s="3" t="n"/>
      <c r="W534" s="3" t="n"/>
      <c r="X534" s="3" t="n"/>
      <c r="Y534" s="3" t="n"/>
      <c r="Z534" s="74" t="n">
        <v>1</v>
      </c>
      <c r="AA534" s="10" t="inlineStr">
        <is>
          <t>Creature</t>
        </is>
      </c>
      <c r="AB534" s="10" t="inlineStr">
        <is>
          <t>Merfolk Scout</t>
        </is>
      </c>
      <c r="AC534" s="10" t="inlineStr">
        <is>
          <t>W</t>
        </is>
      </c>
      <c r="AD534" s="74" t="n">
        <v>3</v>
      </c>
      <c r="AE534" s="76" t="inlineStr">
        <is>
          <t>Lorwyn Eclipsed</t>
        </is>
      </c>
      <c r="AF534" s="76" t="inlineStr">
        <is>
          <t>Recursion</t>
        </is>
      </c>
      <c r="AG534" s="76" t="inlineStr">
        <is>
          <t>Returns target creature card with mana value 3 or less from graveyard to the battlefield when it attacks</t>
        </is>
      </c>
      <c r="AH534" s="76" t="inlineStr">
        <is>
          <t>Requires tapping another untapped Merfolk you control</t>
        </is>
      </c>
      <c r="AI534" s="76" t="n"/>
      <c r="AJ534" s="73" t="n"/>
      <c r="AK534" t="inlineStr">
        <is>
          <t>[A only] B-&gt;D1 (placeholder until D1 buys arrive) [done 2026-09-03]</t>
        </is>
      </c>
    </row>
    <row r="535">
      <c r="A535" s="10" t="inlineStr">
        <is>
          <t>Midnight Tilling</t>
        </is>
      </c>
      <c r="B535" s="2">
        <f>IF(AND(F535&lt;&gt;0,E535=F535),"In Hand",IF(AND(E535&lt;&gt;0,E535&lt;F535,SUM(M535:R535)=0,SUM(T535:Y535)&gt;0),"Extra-Sub",IF(AND(E535=0,E535&lt;F535,SUM(M535:R535)=0,SUM(T535:Y535)&gt;0),"Bench-Sub",IF(AND(E535=0,F535&gt;0),"Bench",IF(E535&lt;F535,"Extra",IF(AND(J535="",E535&gt;F535),"To Buy",IF(SUM(J535,F535)&lt;E535,"To Buy",IF(AND(SUM(J535,F535)&gt;=E535,J535&lt;&gt;""),"Ordered",IF(AND(E535=0,F535=0,D535="B3"),"B3 Option",IF(AND(E535=0,F535=0),"Remove","To Buy"))))))))))</f>
        <v/>
      </c>
      <c r="D535" t="inlineStr">
        <is>
          <t>B2</t>
        </is>
      </c>
      <c r="E535" s="3">
        <f>SUM(M535:S535)</f>
        <v/>
      </c>
      <c r="F535" s="3">
        <f>SUM(T535:Z535)</f>
        <v/>
      </c>
      <c r="G535" s="3">
        <f>IF((F535-E535)&gt;=0,F535-E535,0)</f>
        <v/>
      </c>
      <c r="H535" s="11">
        <f>MAX(0,$E535-$F535-$J535)</f>
        <v/>
      </c>
      <c r="I535" s="74" t="n"/>
      <c r="J535" s="74" t="n"/>
      <c r="K535" s="75" t="n">
        <v>0.29</v>
      </c>
      <c r="L535" s="12">
        <f>IF(AND($H535&gt;0,ISNUMBER($K535)),$H535*$K535,0)</f>
        <v/>
      </c>
      <c r="M535" s="74" t="n"/>
      <c r="N535" s="74" t="n"/>
      <c r="O535" s="74" t="n"/>
      <c r="P535" s="74" t="n"/>
      <c r="Q535" s="74" t="n"/>
      <c r="R535" s="74" t="n"/>
      <c r="S535" s="3">
        <f>IF(AND(J535&lt;&gt;"",SUM(M535:R535)=0),J535,"")</f>
        <v/>
      </c>
      <c r="T535" s="3" t="n"/>
      <c r="U535" s="3" t="n"/>
      <c r="V535" s="3" t="n"/>
      <c r="W535" s="3" t="n"/>
      <c r="X535" s="3" t="n"/>
      <c r="Y535" s="3" t="n"/>
      <c r="Z535" s="74" t="n">
        <v>1</v>
      </c>
      <c r="AA535" s="10" t="inlineStr">
        <is>
          <t>Instant</t>
        </is>
      </c>
      <c r="AB535" s="10" t="n"/>
      <c r="AC535" s="10" t="inlineStr">
        <is>
          <t>G</t>
        </is>
      </c>
      <c r="AD535" s="74" t="n">
        <v>2</v>
      </c>
      <c r="AE535" s="76" t="inlineStr">
        <is>
          <t>Lorwyn Eclipsed</t>
        </is>
      </c>
      <c r="AF535" s="76" t="inlineStr">
        <is>
          <t>Card Selection</t>
        </is>
      </c>
      <c r="AG535" s="76" t="inlineStr">
        <is>
          <t>Mills four cards, then returns a permanent card from among them to hand</t>
        </is>
      </c>
      <c r="AH535" s="76" t="n"/>
      <c r="AI535" s="76" t="n"/>
      <c r="AJ535" s="73" t="n"/>
    </row>
    <row r="536">
      <c r="A536" s="10" t="inlineStr">
        <is>
          <t>Mirrorform</t>
        </is>
      </c>
      <c r="B536" s="2">
        <f>IF(AND(F536&lt;&gt;0,E536=F536),"In Hand",IF(AND(E536&lt;&gt;0,E536&lt;F536,SUM(M536:R536)=0,SUM(T536:Y536)&gt;0),"Extra-Sub",IF(AND(E536=0,E536&lt;F536,SUM(M536:R536)=0,SUM(T536:Y536)&gt;0),"Bench-Sub",IF(AND(E536=0,F536&gt;0),"Bench",IF(E536&lt;F536,"Extra",IF(AND(J536="",E536&gt;F536),"To Buy",IF(SUM(J536,F536)&lt;E536,"To Buy",IF(AND(SUM(J536,F536)&gt;=E536,J536&lt;&gt;""),"Ordered",IF(AND(E536=0,F536=0,D536="B3"),"B3 Option",IF(AND(E536=0,F536=0),"Remove","To Buy"))))))))))</f>
        <v/>
      </c>
      <c r="D536" t="inlineStr">
        <is>
          <t>B2</t>
        </is>
      </c>
      <c r="E536" s="3">
        <f>SUM(M536:S536)</f>
        <v/>
      </c>
      <c r="F536" s="3">
        <f>SUM(T536:Z536)</f>
        <v/>
      </c>
      <c r="G536" s="3">
        <f>IF((F536-E536)&gt;=0,F536-E536,0)</f>
        <v/>
      </c>
      <c r="H536" s="11">
        <f>MAX(0,$E536-$F536-$J536)</f>
        <v/>
      </c>
      <c r="I536" s="74" t="n"/>
      <c r="J536" s="74" t="n"/>
      <c r="K536" s="75" t="n"/>
      <c r="L536" s="12">
        <f>IF(AND($H536&gt;0,ISNUMBER($K536)),$H536*$K536,0)</f>
        <v/>
      </c>
      <c r="M536" s="74" t="n"/>
      <c r="N536" s="74" t="n"/>
      <c r="O536" s="74" t="n"/>
      <c r="P536" s="74" t="n"/>
      <c r="Q536" s="74" t="n"/>
      <c r="R536" s="74" t="n"/>
      <c r="S536" s="3">
        <f>IF(AND(J536&lt;&gt;"",SUM(M536:R536)=0),J536,"")</f>
        <v/>
      </c>
      <c r="T536" s="3" t="n"/>
      <c r="U536" s="3" t="n"/>
      <c r="V536" s="3" t="n"/>
      <c r="W536" s="3" t="n"/>
      <c r="X536" s="3" t="n"/>
      <c r="Y536" s="3" t="n"/>
      <c r="Z536" s="74" t="n">
        <v>1</v>
      </c>
      <c r="AA536" s="10" t="inlineStr">
        <is>
          <t>Instant</t>
        </is>
      </c>
      <c r="AB536" s="10" t="n"/>
      <c r="AC536" s="10" t="inlineStr">
        <is>
          <t>U</t>
        </is>
      </c>
      <c r="AD536" s="74" t="n">
        <v>6</v>
      </c>
      <c r="AE536" s="76" t="inlineStr">
        <is>
          <t>Lorwyn Eclipsed</t>
        </is>
      </c>
      <c r="AF536" s="76" t="inlineStr">
        <is>
          <t>Copy/Clone</t>
        </is>
      </c>
      <c r="AG536" s="76" t="inlineStr">
        <is>
          <t>Each nonland permanent you control becomes a copy of target non-Aura permanent</t>
        </is>
      </c>
      <c r="AH536" s="76" t="n"/>
      <c r="AI536" s="76" t="n"/>
      <c r="AJ536" s="73" t="n"/>
    </row>
    <row r="537">
      <c r="A537" s="10" t="inlineStr">
        <is>
          <t>Moonglove Extractor</t>
        </is>
      </c>
      <c r="B537" s="2">
        <f>IF(AND(F537&lt;&gt;0,E537=F537),"In Hand",IF(AND(E537&lt;&gt;0,E537&lt;F537,SUM(M537:R537)=0,SUM(T537:Y537)&gt;0),"Extra-Sub",IF(AND(E537=0,E537&lt;F537,SUM(M537:R537)=0,SUM(T537:Y537)&gt;0),"Bench-Sub",IF(AND(E537=0,F537&gt;0),"Bench",IF(E537&lt;F537,"Extra",IF(AND(J537="",E537&gt;F537),"To Buy",IF(SUM(J537,F537)&lt;E537,"To Buy",IF(AND(SUM(J537,F537)&gt;=E537,J537&lt;&gt;""),"Ordered",IF(AND(E537=0,F537=0,D537="B3"),"B3 Option",IF(AND(E537=0,F537=0),"Remove","To Buy"))))))))))</f>
        <v/>
      </c>
      <c r="D537" t="inlineStr">
        <is>
          <t>B2</t>
        </is>
      </c>
      <c r="E537" s="3">
        <f>SUM(M537:S537)</f>
        <v/>
      </c>
      <c r="F537" s="3">
        <f>SUM(T537:Z537)</f>
        <v/>
      </c>
      <c r="G537" s="3">
        <f>IF((F537-E537)&gt;=0,F537-E537,0)</f>
        <v/>
      </c>
      <c r="H537" s="11">
        <f>MAX(0,$E537-$F537-$J537)</f>
        <v/>
      </c>
      <c r="I537" s="74" t="n"/>
      <c r="J537" s="74" t="n"/>
      <c r="K537" s="75" t="n"/>
      <c r="L537" s="12">
        <f>IF(AND($H537&gt;0,ISNUMBER($K537)),$H537*$K537,0)</f>
        <v/>
      </c>
      <c r="M537" s="74" t="n"/>
      <c r="N537" s="74" t="n"/>
      <c r="O537" s="74" t="n"/>
      <c r="P537" s="74" t="n"/>
      <c r="Q537" s="74" t="n"/>
      <c r="R537" s="74" t="n"/>
      <c r="S537" s="3">
        <f>IF(AND(J537&lt;&gt;"",SUM(M537:R537)=0),J537,"")</f>
        <v/>
      </c>
      <c r="T537" s="3" t="n"/>
      <c r="U537" s="3" t="n"/>
      <c r="V537" s="3" t="n"/>
      <c r="W537" s="3" t="n"/>
      <c r="X537" s="3" t="n"/>
      <c r="Y537" s="3" t="n"/>
      <c r="Z537" s="74" t="n">
        <v>1</v>
      </c>
      <c r="AA537" s="10" t="inlineStr">
        <is>
          <t>Creature</t>
        </is>
      </c>
      <c r="AB537" s="10" t="inlineStr">
        <is>
          <t>Elf Warlock</t>
        </is>
      </c>
      <c r="AC537" s="10" t="inlineStr">
        <is>
          <t>B</t>
        </is>
      </c>
      <c r="AD537" s="74" t="n">
        <v>3</v>
      </c>
      <c r="AE537" s="76" t="inlineStr">
        <is>
          <t>Lorwyn Eclipsed</t>
        </is>
      </c>
      <c r="AF537" s="76" t="inlineStr">
        <is>
          <t>Card Draw</t>
        </is>
      </c>
      <c r="AG537" s="76" t="inlineStr">
        <is>
          <t>Attacking draws you a card and costs you 1 life</t>
        </is>
      </c>
      <c r="AH537" s="76" t="n"/>
      <c r="AI537" s="76" t="n"/>
      <c r="AJ537" s="73" t="inlineStr">
        <is>
          <t>Cut in Tuned</t>
        </is>
      </c>
    </row>
    <row r="538">
      <c r="A538" s="10" t="inlineStr">
        <is>
          <t>Perpetual Timepiece</t>
        </is>
      </c>
      <c r="B538" s="2">
        <f>IF(AND(F538&lt;&gt;0,E538=F538),"In Hand",IF(AND(E538&lt;&gt;0,E538&lt;F538,SUM(M538:R538)=0,SUM(T538:Y538)&gt;0),"Extra-Sub",IF(AND(E538=0,E538&lt;F538,SUM(M538:R538)=0,SUM(T538:Y538)&gt;0),"Bench-Sub",IF(AND(E538=0,F538&gt;0),"Bench",IF(E538&lt;F538,"Extra",IF(AND(J538="",E538&gt;F538),"To Buy",IF(SUM(J538,F538)&lt;E538,"To Buy",IF(AND(SUM(J538,F538)&gt;=E538,J538&lt;&gt;""),"Ordered",IF(AND(E538=0,F538=0,D538="B3"),"B3 Option",IF(AND(E538=0,F538=0),"Remove","To Buy"))))))))))</f>
        <v/>
      </c>
      <c r="D538" t="inlineStr">
        <is>
          <t>B2</t>
        </is>
      </c>
      <c r="E538" s="3">
        <f>SUM(M538:S538)</f>
        <v/>
      </c>
      <c r="F538" s="3">
        <f>SUM(T538:Z538)</f>
        <v/>
      </c>
      <c r="G538" s="3">
        <f>IF((F538-E538)&gt;=0,F538-E538,0)</f>
        <v/>
      </c>
      <c r="H538" s="11">
        <f>MAX(0,$E538-$F538-$J538)</f>
        <v/>
      </c>
      <c r="I538" s="74" t="n"/>
      <c r="J538" s="74" t="n"/>
      <c r="K538" s="75" t="n"/>
      <c r="L538" s="12">
        <f>IF(AND($H538&gt;0,ISNUMBER($K538)),$H538*$K538,0)</f>
        <v/>
      </c>
      <c r="M538" s="74" t="n"/>
      <c r="N538" s="74" t="n"/>
      <c r="O538" s="74" t="n"/>
      <c r="P538" s="74" t="n"/>
      <c r="Q538" s="74" t="n"/>
      <c r="R538" s="74" t="n"/>
      <c r="S538" s="3">
        <f>IF(AND(J538&lt;&gt;"",SUM(M538:R538)=0),J538,"")</f>
        <v/>
      </c>
      <c r="T538" s="3" t="n"/>
      <c r="U538" s="3" t="n"/>
      <c r="V538" s="3" t="n"/>
      <c r="W538" s="3" t="n"/>
      <c r="X538" s="3" t="n"/>
      <c r="Y538" s="3" t="n"/>
      <c r="Z538" s="74" t="n">
        <v>1</v>
      </c>
      <c r="AA538" s="10" t="inlineStr">
        <is>
          <t>Artifact</t>
        </is>
      </c>
      <c r="AB538" s="10" t="n"/>
      <c r="AC538" s="10" t="inlineStr">
        <is>
          <t>C</t>
        </is>
      </c>
      <c r="AD538" s="74" t="n">
        <v>2</v>
      </c>
      <c r="AE538" s="76" t="inlineStr">
        <is>
          <t>Kaladesh</t>
        </is>
      </c>
      <c r="AF538" s="76" t="inlineStr">
        <is>
          <t>Graveyard Hate</t>
        </is>
      </c>
      <c r="AG538" s="76" t="inlineStr">
        <is>
          <t>Tap: mill two cards</t>
        </is>
      </c>
      <c r="AH538" s="76" t="inlineStr">
        <is>
          <t>Exile this: shuffle any number of target graveyard cards into your library</t>
        </is>
      </c>
      <c r="AI538" s="76" t="n"/>
      <c r="AJ538" s="73" t="inlineStr">
        <is>
          <t>Cut in Tuned</t>
        </is>
      </c>
    </row>
    <row r="539">
      <c r="A539" s="10" t="inlineStr">
        <is>
          <t>Prideful Feastling</t>
        </is>
      </c>
      <c r="B539" s="2">
        <f>IF(AND(F539&lt;&gt;0,E539=F539),"In Hand",IF(AND(E539&lt;&gt;0,E539&lt;F539,SUM(M539:R539)=0,SUM(T539:Y539)&gt;0),"Extra-Sub",IF(AND(E539=0,E539&lt;F539,SUM(M539:R539)=0,SUM(T539:Y539)&gt;0),"Bench-Sub",IF(AND(E539=0,F539&gt;0),"Bench",IF(E539&lt;F539,"Extra",IF(AND(J539="",E539&gt;F539),"To Buy",IF(SUM(J539,F539)&lt;E539,"To Buy",IF(AND(SUM(J539,F539)&gt;=E539,J539&lt;&gt;""),"Ordered",IF(AND(E539=0,F539=0,D539="B3"),"B3 Option",IF(AND(E539=0,F539=0),"Remove","To Buy"))))))))))</f>
        <v/>
      </c>
      <c r="D539" t="inlineStr">
        <is>
          <t>B2</t>
        </is>
      </c>
      <c r="E539" s="3">
        <f>SUM(M539:S539)</f>
        <v/>
      </c>
      <c r="F539" s="3">
        <f>SUM(T539:Z539)</f>
        <v/>
      </c>
      <c r="G539" s="3">
        <f>IF((F539-E539)&gt;=0,F539-E539,0)</f>
        <v/>
      </c>
      <c r="H539" s="11">
        <f>MAX(0,$E539-$F539-$J539)</f>
        <v/>
      </c>
      <c r="I539" s="74" t="n"/>
      <c r="J539" s="74" t="n"/>
      <c r="K539" s="75" t="n"/>
      <c r="L539" s="12">
        <f>IF(AND($H539&gt;0,ISNUMBER($K539)),$H539*$K539,0)</f>
        <v/>
      </c>
      <c r="M539" s="74" t="n"/>
      <c r="N539" s="74" t="n"/>
      <c r="O539" s="74" t="n"/>
      <c r="P539" s="74" t="n"/>
      <c r="Q539" s="74" t="n"/>
      <c r="R539" s="74" t="n"/>
      <c r="S539" s="3">
        <f>IF(AND(J539&lt;&gt;"",SUM(M539:R539)=0),J539,"")</f>
        <v/>
      </c>
      <c r="T539" s="3" t="n"/>
      <c r="U539" s="3" t="n"/>
      <c r="V539" s="3" t="n"/>
      <c r="W539" s="3" t="n"/>
      <c r="X539" s="3" t="n"/>
      <c r="Y539" s="3" t="n"/>
      <c r="Z539" s="74" t="n">
        <v>1</v>
      </c>
      <c r="AA539" s="10" t="inlineStr">
        <is>
          <t>Creature</t>
        </is>
      </c>
      <c r="AB539" s="10" t="inlineStr">
        <is>
          <t>Shapeshifter</t>
        </is>
      </c>
      <c r="AC539" s="10" t="inlineStr">
        <is>
          <t>Multi</t>
        </is>
      </c>
      <c r="AD539" s="74" t="n">
        <v>3</v>
      </c>
      <c r="AE539" s="76" t="inlineStr">
        <is>
          <t>Lorwyn Eclipsed</t>
        </is>
      </c>
      <c r="AF539" s="76" t="inlineStr">
        <is>
          <t>Lifegain</t>
        </is>
      </c>
      <c r="AG539" s="76" t="inlineStr">
        <is>
          <t>Is every creature type</t>
        </is>
      </c>
      <c r="AH539" s="76" t="inlineStr">
        <is>
          <t>Gains you life equal to damage it deals</t>
        </is>
      </c>
      <c r="AI539" s="76" t="n"/>
      <c r="AJ539" s="73" t="inlineStr">
        <is>
          <t>Cut in Tuned (for Tekuthal); Bench sub -&gt; D5 for Dwarven Shortsword (2026-09-02); D5 target removed 2026-09-02: Tuned add Teysa Karlov takes the slot</t>
        </is>
      </c>
      <c r="AK539" t="inlineStr">
        <is>
          <t>[T+A] D3-&gt;D5 (bench sub) [done 2026-09-03]; [T] D5 target removed; [A later] D5-&gt;B when Teysa Karlov arrives; [B3 later] D5-&gt;B when Blood Artist is bought</t>
        </is>
      </c>
    </row>
    <row r="540">
      <c r="A540" s="10" t="inlineStr">
        <is>
          <t>Rocketeer Boostbuggy</t>
        </is>
      </c>
      <c r="B540" s="2">
        <f>IF(AND(F540&lt;&gt;0,E540=F540),"In Hand",IF(AND(E540&lt;&gt;0,E540&lt;F540,SUM(M540:R540)=0,SUM(T540:Y540)&gt;0),"Extra-Sub",IF(AND(E540=0,E540&lt;F540,SUM(M540:R540)=0,SUM(T540:Y540)&gt;0),"Bench-Sub",IF(AND(E540=0,F540&gt;0),"Bench",IF(E540&lt;F540,"Extra",IF(AND(J540="",E540&gt;F540),"To Buy",IF(SUM(J540,F540)&lt;E540,"To Buy",IF(AND(SUM(J540,F540)&gt;=E540,J540&lt;&gt;""),"Ordered",IF(AND(E540=0,F540=0,D540="B3"),"B3 Option",IF(AND(E540=0,F540=0),"Remove","To Buy"))))))))))</f>
        <v/>
      </c>
      <c r="D540" t="inlineStr">
        <is>
          <t>B2</t>
        </is>
      </c>
      <c r="E540" s="3">
        <f>SUM(M540:S540)</f>
        <v/>
      </c>
      <c r="F540" s="3">
        <f>SUM(T540:Z540)</f>
        <v/>
      </c>
      <c r="G540" s="3">
        <f>IF((F540-E540)&gt;=0,F540-E540,0)</f>
        <v/>
      </c>
      <c r="H540" s="11">
        <f>MAX(0,$E540-$F540-$J540)</f>
        <v/>
      </c>
      <c r="I540" s="74" t="n"/>
      <c r="J540" s="74" t="n"/>
      <c r="K540" s="75" t="n"/>
      <c r="L540" s="12">
        <f>IF(AND($H540&gt;0,ISNUMBER($K540)),$H540*$K540,0)</f>
        <v/>
      </c>
      <c r="M540" s="74" t="n"/>
      <c r="N540" s="74" t="n"/>
      <c r="O540" s="74" t="n"/>
      <c r="P540" s="74" t="n"/>
      <c r="Q540" s="74" t="n"/>
      <c r="R540" s="74" t="n"/>
      <c r="S540" s="3">
        <f>IF(AND(J540&lt;&gt;"",SUM(M540:R540)=0),J540,"")</f>
        <v/>
      </c>
      <c r="T540" s="3" t="n"/>
      <c r="U540" s="3" t="n"/>
      <c r="V540" s="3" t="n"/>
      <c r="W540" s="3" t="n"/>
      <c r="X540" s="3" t="n"/>
      <c r="Y540" s="3" t="n"/>
      <c r="Z540" s="74" t="n">
        <v>1</v>
      </c>
      <c r="AA540" s="10" t="inlineStr">
        <is>
          <t>Artifact</t>
        </is>
      </c>
      <c r="AB540" s="10" t="inlineStr">
        <is>
          <t>Vehicle</t>
        </is>
      </c>
      <c r="AC540" s="10" t="inlineStr">
        <is>
          <t>Multi</t>
        </is>
      </c>
      <c r="AD540" s="74" t="n">
        <v>2</v>
      </c>
      <c r="AE540" s="76" t="inlineStr">
        <is>
          <t>Aetherdrift</t>
        </is>
      </c>
      <c r="AF540" s="76" t="inlineStr">
        <is>
          <t>Token Producer</t>
        </is>
      </c>
      <c r="AG540" s="76" t="inlineStr">
        <is>
          <t>Creates a Treasure token whenever it attacks</t>
        </is>
      </c>
      <c r="AH540" s="76" t="inlineStr">
        <is>
          <t>Pay {3} once to become a creature and get a +1/+1 counter</t>
        </is>
      </c>
      <c r="AI540" s="76" t="n"/>
      <c r="AJ540" s="73" t="n"/>
    </row>
    <row r="541">
      <c r="A541" s="10" t="inlineStr">
        <is>
          <t>Rugged Highlands</t>
        </is>
      </c>
      <c r="B541" s="2">
        <f>IF(AND(F541&lt;&gt;0,E541=F541),"In Hand",IF(AND(E541&lt;&gt;0,E541&lt;F541,SUM(M541:R541)=0,SUM(T541:Y541)&gt;0),"Extra-Sub",IF(AND(E541=0,E541&lt;F541,SUM(M541:R541)=0,SUM(T541:Y541)&gt;0),"Bench-Sub",IF(AND(E541=0,F541&gt;0),"Bench",IF(E541&lt;F541,"Extra",IF(AND(J541="",E541&gt;F541),"To Buy",IF(SUM(J541,F541)&lt;E541,"To Buy",IF(AND(SUM(J541,F541)&gt;=E541,J541&lt;&gt;""),"Ordered",IF(AND(E541=0,F541=0,D541="B3"),"B3 Option",IF(AND(E541=0,F541=0),"Remove","To Buy"))))))))))</f>
        <v/>
      </c>
      <c r="D541" t="inlineStr">
        <is>
          <t>B2</t>
        </is>
      </c>
      <c r="E541" s="3">
        <f>SUM(M541:S541)</f>
        <v/>
      </c>
      <c r="F541" s="3">
        <f>SUM(T541:Z541)</f>
        <v/>
      </c>
      <c r="G541" s="3">
        <f>IF((F541-E541)&gt;=0,F541-E541,0)</f>
        <v/>
      </c>
      <c r="H541" s="11">
        <f>MAX(0,$E541-$F541-$J541)</f>
        <v/>
      </c>
      <c r="I541" s="74" t="n"/>
      <c r="J541" s="74" t="n"/>
      <c r="K541" s="75" t="n"/>
      <c r="L541" s="12">
        <f>IF(AND($H541&gt;0,ISNUMBER($K541)),$H541*$K541,0)</f>
        <v/>
      </c>
      <c r="M541" s="74" t="n"/>
      <c r="N541" s="74" t="n"/>
      <c r="O541" s="74" t="n"/>
      <c r="P541" s="74" t="n"/>
      <c r="Q541" s="74" t="n"/>
      <c r="R541" s="74" t="n"/>
      <c r="S541" s="3">
        <f>IF(AND(J541&lt;&gt;"",SUM(M541:R541)=0),J541,"")</f>
        <v/>
      </c>
      <c r="T541" s="3" t="n"/>
      <c r="U541" s="3" t="n"/>
      <c r="V541" s="3" t="n"/>
      <c r="W541" s="3" t="n"/>
      <c r="X541" s="3" t="n"/>
      <c r="Y541" s="3" t="n"/>
      <c r="Z541" s="74" t="n">
        <v>1</v>
      </c>
      <c r="AA541" s="10" t="inlineStr">
        <is>
          <t>Land</t>
        </is>
      </c>
      <c r="AB541" s="10" t="n"/>
      <c r="AC541" s="10" t="inlineStr">
        <is>
          <t>L</t>
        </is>
      </c>
      <c r="AD541" s="74" t="n">
        <v>0</v>
      </c>
      <c r="AE541" s="76" t="inlineStr">
        <is>
          <t>Khans of Tarkir</t>
        </is>
      </c>
      <c r="AF541" s="76" t="inlineStr">
        <is>
          <t>Land</t>
        </is>
      </c>
      <c r="AG541" s="76" t="inlineStr">
        <is>
          <t>Taps for {R} or {G}</t>
        </is>
      </c>
      <c r="AH541" s="76" t="inlineStr">
        <is>
          <t>Gain 1 life when it enters</t>
        </is>
      </c>
      <c r="AI541" s="76" t="n"/>
      <c r="AJ541" s="73" t="n"/>
    </row>
    <row r="542">
      <c r="A542" s="10" t="inlineStr">
        <is>
          <t>Surly Farrier</t>
        </is>
      </c>
      <c r="B542" s="2">
        <f>IF(AND(F542&lt;&gt;0,E542=F542),"In Hand",IF(AND(E542&lt;&gt;0,E542&lt;F542,SUM(M542:R542)=0,SUM(T542:Y542)&gt;0),"Extra-Sub",IF(AND(E542=0,E542&lt;F542,SUM(M542:R542)=0,SUM(T542:Y542)&gt;0),"Bench-Sub",IF(AND(E542=0,F542&gt;0),"Bench",IF(E542&lt;F542,"Extra",IF(AND(J542="",E542&gt;F542),"To Buy",IF(SUM(J542,F542)&lt;E542,"To Buy",IF(AND(SUM(J542,F542)&gt;=E542,J542&lt;&gt;""),"Ordered",IF(AND(E542=0,F542=0,D542="B3"),"B3 Option",IF(AND(E542=0,F542=0),"Remove","To Buy"))))))))))</f>
        <v/>
      </c>
      <c r="D542" t="inlineStr">
        <is>
          <t>B2</t>
        </is>
      </c>
      <c r="E542" s="3">
        <f>SUM(M542:S542)</f>
        <v/>
      </c>
      <c r="F542" s="3">
        <f>SUM(T542:Z542)</f>
        <v/>
      </c>
      <c r="G542" s="3">
        <f>IF((F542-E542)&gt;=0,F542-E542,0)</f>
        <v/>
      </c>
      <c r="H542" s="11">
        <f>MAX(0,$E542-$F542-$J542)</f>
        <v/>
      </c>
      <c r="I542" s="74" t="n"/>
      <c r="J542" s="74" t="n"/>
      <c r="K542" s="75" t="n"/>
      <c r="L542" s="12">
        <f>IF(AND($H542&gt;0,ISNUMBER($K542)),$H542*$K542,0)</f>
        <v/>
      </c>
      <c r="M542" s="74" t="n"/>
      <c r="N542" s="74" t="n"/>
      <c r="O542" s="74" t="n"/>
      <c r="P542" s="74" t="n"/>
      <c r="Q542" s="74" t="n"/>
      <c r="R542" s="74" t="n"/>
      <c r="S542" s="3">
        <f>IF(AND(J542&lt;&gt;"",SUM(M542:R542)=0),J542,"")</f>
        <v/>
      </c>
      <c r="T542" s="3" t="n"/>
      <c r="U542" s="3" t="n"/>
      <c r="V542" s="3" t="n"/>
      <c r="W542" s="3" t="n"/>
      <c r="X542" s="3" t="n"/>
      <c r="Y542" s="3" t="n"/>
      <c r="Z542" s="74" t="n">
        <v>1</v>
      </c>
      <c r="AA542" s="10" t="inlineStr">
        <is>
          <t>Creature</t>
        </is>
      </c>
      <c r="AB542" s="10" t="inlineStr">
        <is>
          <t>Kithkin Citizen</t>
        </is>
      </c>
      <c r="AC542" s="10" t="inlineStr">
        <is>
          <t>G</t>
        </is>
      </c>
      <c r="AD542" s="74" t="n">
        <v>2</v>
      </c>
      <c r="AE542" s="76" t="inlineStr">
        <is>
          <t>Lorwyn Eclipsed</t>
        </is>
      </c>
      <c r="AF542" s="76" t="inlineStr">
        <is>
          <t>Combat Trick</t>
        </is>
      </c>
      <c r="AG542" s="76" t="inlineStr">
        <is>
          <t>Target creature you control gets +1/+1 until end of turn (sorcery speed)</t>
        </is>
      </c>
      <c r="AH542" s="76" t="n"/>
      <c r="AI542" s="76" t="n"/>
      <c r="AJ542" s="73" t="inlineStr">
        <is>
          <t>Cut in Tuned</t>
        </is>
      </c>
    </row>
    <row r="543">
      <c r="A543" s="10" t="inlineStr">
        <is>
          <t>Timber Gorge</t>
        </is>
      </c>
      <c r="B543" s="2">
        <f>IF(AND(F543&lt;&gt;0,E543=F543),"In Hand",IF(AND(E543&lt;&gt;0,E543&lt;F543,SUM(M543:R543)=0,SUM(T543:Y543)&gt;0),"Extra-Sub",IF(AND(E543=0,E543&lt;F543,SUM(M543:R543)=0,SUM(T543:Y543)&gt;0),"Bench-Sub",IF(AND(E543=0,F543&gt;0),"Bench",IF(E543&lt;F543,"Extra",IF(AND(J543="",E543&gt;F543),"To Buy",IF(SUM(J543,F543)&lt;E543,"To Buy",IF(AND(SUM(J543,F543)&gt;=E543,J543&lt;&gt;""),"Ordered",IF(AND(E543=0,F543=0,D543="B3"),"B3 Option",IF(AND(E543=0,F543=0),"Remove","To Buy"))))))))))</f>
        <v/>
      </c>
      <c r="D543" t="inlineStr">
        <is>
          <t>B2</t>
        </is>
      </c>
      <c r="E543" s="3">
        <f>SUM(M543:S543)</f>
        <v/>
      </c>
      <c r="F543" s="3">
        <f>SUM(T543:Z543)</f>
        <v/>
      </c>
      <c r="G543" s="3">
        <f>IF((F543-E543)&gt;=0,F543-E543,0)</f>
        <v/>
      </c>
      <c r="H543" s="11">
        <f>MAX(0,$E543-$F543-$J543)</f>
        <v/>
      </c>
      <c r="I543" s="74" t="n"/>
      <c r="J543" s="74" t="n"/>
      <c r="K543" s="75" t="n"/>
      <c r="L543" s="12">
        <f>IF(AND($H543&gt;0,ISNUMBER($K543)),$H543*$K543,0)</f>
        <v/>
      </c>
      <c r="M543" s="74" t="n"/>
      <c r="N543" s="74" t="n"/>
      <c r="O543" s="74" t="n"/>
      <c r="P543" s="74" t="n"/>
      <c r="Q543" s="74" t="n"/>
      <c r="R543" s="74" t="n"/>
      <c r="S543" s="3">
        <f>IF(AND(J543&lt;&gt;"",SUM(M543:R543)=0),J543,"")</f>
        <v/>
      </c>
      <c r="T543" s="3" t="n"/>
      <c r="U543" s="3" t="n"/>
      <c r="V543" s="3" t="n"/>
      <c r="W543" s="3" t="n"/>
      <c r="X543" s="3" t="n"/>
      <c r="Y543" s="3" t="n"/>
      <c r="Z543" s="74" t="n">
        <v>1</v>
      </c>
      <c r="AA543" s="10" t="inlineStr">
        <is>
          <t>Land</t>
        </is>
      </c>
      <c r="AB543" s="10" t="n"/>
      <c r="AC543" s="10" t="inlineStr">
        <is>
          <t>L</t>
        </is>
      </c>
      <c r="AD543" s="74" t="n">
        <v>0</v>
      </c>
      <c r="AE543" s="76" t="inlineStr">
        <is>
          <t>Oath of the Gatewatch</t>
        </is>
      </c>
      <c r="AF543" s="76" t="inlineStr">
        <is>
          <t>Land</t>
        </is>
      </c>
      <c r="AG543" s="76" t="inlineStr">
        <is>
          <t>Taps for {R} or {G}</t>
        </is>
      </c>
      <c r="AH543" s="76" t="n"/>
      <c r="AI543" s="76" t="n"/>
      <c r="AJ543" s="73" t="n"/>
    </row>
    <row r="544">
      <c r="A544" s="10" t="inlineStr">
        <is>
          <t>Ultima, Origin of Oblivion</t>
        </is>
      </c>
      <c r="B544" s="2">
        <f>IF(AND(F544&lt;&gt;0,E544=F544),"In Hand",IF(AND(E544&lt;&gt;0,E544&lt;F544,SUM(M544:R544)=0,SUM(T544:Y544)&gt;0),"Extra-Sub",IF(AND(E544=0,E544&lt;F544,SUM(M544:R544)=0,SUM(T544:Y544)&gt;0),"Bench-Sub",IF(AND(E544=0,F544&gt;0),"Bench",IF(E544&lt;F544,"Extra",IF(AND(J544="",E544&gt;F544),"To Buy",IF(SUM(J544,F544)&lt;E544,"To Buy",IF(AND(SUM(J544,F544)&gt;=E544,J544&lt;&gt;""),"Ordered",IF(AND(E544=0,F544=0,D544="B3"),"B3 Option",IF(AND(E544=0,F544=0),"Remove","To Buy"))))))))))</f>
        <v/>
      </c>
      <c r="D544" t="inlineStr">
        <is>
          <t>B2</t>
        </is>
      </c>
      <c r="E544" s="3">
        <f>SUM(M544:S544)</f>
        <v/>
      </c>
      <c r="F544" s="3">
        <f>SUM(T544:Z544)</f>
        <v/>
      </c>
      <c r="G544" s="3">
        <f>IF((F544-E544)&gt;=0,F544-E544,0)</f>
        <v/>
      </c>
      <c r="H544" s="11">
        <f>MAX(0,$E544-$F544-$J544)</f>
        <v/>
      </c>
      <c r="I544" s="74" t="n"/>
      <c r="J544" s="74" t="n"/>
      <c r="K544" s="75" t="n"/>
      <c r="L544" s="12">
        <f>IF(AND($H544&gt;0,ISNUMBER($K544)),$H544*$K544,0)</f>
        <v/>
      </c>
      <c r="M544" s="74" t="n"/>
      <c r="N544" s="74" t="n"/>
      <c r="O544" s="74" t="n"/>
      <c r="P544" s="74" t="n"/>
      <c r="Q544" s="74" t="n"/>
      <c r="R544" s="74" t="n"/>
      <c r="S544" s="3">
        <f>IF(AND(J544&lt;&gt;"",SUM(M544:R544)=0),J544,"")</f>
        <v/>
      </c>
      <c r="T544" s="3" t="n"/>
      <c r="U544" s="3" t="n"/>
      <c r="V544" s="3" t="n"/>
      <c r="W544" s="3" t="n"/>
      <c r="X544" s="3" t="n"/>
      <c r="Y544" s="3" t="n"/>
      <c r="Z544" s="74" t="n">
        <v>1</v>
      </c>
      <c r="AA544" s="36" t="inlineStr">
        <is>
          <t>Legendary Creature</t>
        </is>
      </c>
      <c r="AB544" s="36" t="inlineStr">
        <is>
          <t>God</t>
        </is>
      </c>
      <c r="AC544" s="10" t="inlineStr">
        <is>
          <t>C</t>
        </is>
      </c>
      <c r="AD544" s="74" t="n">
        <v>5</v>
      </c>
      <c r="AE544" s="76" t="inlineStr">
        <is>
          <t>Final Fantasy</t>
        </is>
      </c>
      <c r="AF544" s="76" t="inlineStr">
        <is>
          <t>Ramp</t>
        </is>
      </c>
      <c r="AG544" s="76" t="inlineStr">
        <is>
          <t>Flying body</t>
        </is>
      </c>
      <c r="AH544" s="76" t="inlineStr">
        <is>
          <t>Attacking corrupts target land into a colorless-only land</t>
        </is>
      </c>
      <c r="AI544" s="76" t="inlineStr">
        <is>
          <t>Tapping a land for {C} produces an additional {C}</t>
        </is>
      </c>
      <c r="AJ544" s="73" t="inlineStr">
        <is>
          <t>arrives -&gt; Bench (slot was upgraded)</t>
        </is>
      </c>
    </row>
    <row r="545">
      <c r="A545" s="10" t="inlineStr">
        <is>
          <t>Venat, Heart of Hydaelyn</t>
        </is>
      </c>
      <c r="B545" s="2">
        <f>IF(AND(F545&lt;&gt;0,E545=F545),"In Hand",IF(AND(E545&lt;&gt;0,E545&lt;F545,SUM(M545:R545)=0,SUM(T545:Y545)&gt;0),"Extra-Sub",IF(AND(E545=0,E545&lt;F545,SUM(M545:R545)=0,SUM(T545:Y545)&gt;0),"Bench-Sub",IF(AND(E545=0,F545&gt;0),"Bench",IF(E545&lt;F545,"Extra",IF(AND(J545="",E545&gt;F545),"To Buy",IF(SUM(J545,F545)&lt;E545,"To Buy",IF(AND(SUM(J545,F545)&gt;=E545,J545&lt;&gt;""),"Ordered",IF(AND(E545=0,F545=0,D545="B3"),"B3 Option",IF(AND(E545=0,F545=0),"Remove","To Buy"))))))))))</f>
        <v/>
      </c>
      <c r="D545" t="inlineStr">
        <is>
          <t>B2</t>
        </is>
      </c>
      <c r="E545" s="3">
        <f>SUM(M545:S545)</f>
        <v/>
      </c>
      <c r="F545" s="3">
        <f>SUM(T545:Z545)</f>
        <v/>
      </c>
      <c r="G545" s="3">
        <f>IF((F545-E545)&gt;=0,F545-E545,0)</f>
        <v/>
      </c>
      <c r="H545" s="11">
        <f>MAX(0,$E545-$F545-$J545)</f>
        <v/>
      </c>
      <c r="I545" s="74" t="n"/>
      <c r="J545" s="74" t="n"/>
      <c r="K545" s="75" t="n"/>
      <c r="L545" s="12">
        <f>IF(AND($H545&gt;0,ISNUMBER($K545)),$H545*$K545,0)</f>
        <v/>
      </c>
      <c r="M545" s="74" t="n"/>
      <c r="N545" s="74" t="n"/>
      <c r="O545" s="74" t="n"/>
      <c r="P545" s="74" t="n"/>
      <c r="Q545" s="74" t="n"/>
      <c r="R545" s="74" t="n"/>
      <c r="S545" s="3">
        <f>IF(AND(J545&lt;&gt;"",SUM(M545:R545)=0),J545,"")</f>
        <v/>
      </c>
      <c r="T545" s="3" t="n"/>
      <c r="U545" s="3" t="n"/>
      <c r="V545" s="3" t="n"/>
      <c r="W545" s="3" t="n"/>
      <c r="X545" s="3" t="n"/>
      <c r="Y545" s="3" t="n"/>
      <c r="Z545" s="74" t="n">
        <v>2</v>
      </c>
      <c r="AA545" s="36" t="inlineStr">
        <is>
          <t>Legendary Creature</t>
        </is>
      </c>
      <c r="AB545" s="36" t="inlineStr">
        <is>
          <t>Elder Wizard</t>
        </is>
      </c>
      <c r="AC545" s="10" t="inlineStr">
        <is>
          <t>W</t>
        </is>
      </c>
      <c r="AD545" s="74" t="n">
        <v>3</v>
      </c>
      <c r="AE545" s="76" t="inlineStr">
        <is>
          <t>Final Fantasy</t>
        </is>
      </c>
      <c r="AF545" s="76" t="inlineStr">
        <is>
          <t>Card Advantage</t>
        </is>
      </c>
      <c r="AG545" s="76" t="inlineStr">
        <is>
          <t>Casting a legendary spell draws a card, once per turn</t>
        </is>
      </c>
      <c r="AH545" s="76" t="inlineStr">
        <is>
          <t>Pay {7}, tap: exile target nonland permanent, then transform</t>
        </is>
      </c>
      <c r="AI545" s="76" t="inlineStr">
        <is>
          <t>Back side is unkillable; combat: give a creature a +1/+1 counter and protection, drawing a card if it's legendary</t>
        </is>
      </c>
      <c r="AJ545" s="73" t="inlineStr">
        <is>
          <t>arrives -&gt; Bench (slot was upgraded)</t>
        </is>
      </c>
    </row>
    <row r="546">
      <c r="A546" s="10" t="inlineStr">
        <is>
          <t>Wanderwine Distracter</t>
        </is>
      </c>
      <c r="B546" s="2">
        <f>IF(AND(F546&lt;&gt;0,E546=F546),"In Hand",IF(AND(E546&lt;&gt;0,E546&lt;F546,SUM(M546:R546)=0,SUM(T546:Y546)&gt;0),"Extra-Sub",IF(AND(E546=0,E546&lt;F546,SUM(M546:R546)=0,SUM(T546:Y546)&gt;0),"Bench-Sub",IF(AND(E546=0,F546&gt;0),"Bench",IF(E546&lt;F546,"Extra",IF(AND(J546="",E546&gt;F546),"To Buy",IF(SUM(J546,F546)&lt;E546,"To Buy",IF(AND(SUM(J546,F546)&gt;=E546,J546&lt;&gt;""),"Ordered",IF(AND(E546=0,F546=0,D546="B3"),"B3 Option",IF(AND(E546=0,F546=0),"Remove","To Buy"))))))))))</f>
        <v/>
      </c>
      <c r="D546" t="inlineStr">
        <is>
          <t>B2</t>
        </is>
      </c>
      <c r="E546" s="3">
        <f>SUM(M546:S546)</f>
        <v/>
      </c>
      <c r="F546" s="3">
        <f>SUM(T546:Z546)</f>
        <v/>
      </c>
      <c r="G546" s="3">
        <f>IF((F546-E546)&gt;=0,F546-E546,0)</f>
        <v/>
      </c>
      <c r="H546" s="11">
        <f>MAX(0,$E546-$F546-$J546)</f>
        <v/>
      </c>
      <c r="I546" s="74" t="n"/>
      <c r="J546" s="74" t="n"/>
      <c r="K546" s="75" t="n"/>
      <c r="L546" s="12">
        <f>IF(AND($H546&gt;0,ISNUMBER($K546)),$H546*$K546,0)</f>
        <v/>
      </c>
      <c r="M546" s="74" t="n"/>
      <c r="N546" s="74" t="n"/>
      <c r="O546" s="74" t="n"/>
      <c r="P546" s="74" t="n"/>
      <c r="Q546" s="74" t="n"/>
      <c r="R546" s="74" t="n"/>
      <c r="S546" s="3">
        <f>IF(AND(J546&lt;&gt;"",SUM(M546:R546)=0),J546,"")</f>
        <v/>
      </c>
      <c r="T546" s="3" t="n"/>
      <c r="U546" s="3" t="n"/>
      <c r="V546" s="3" t="n"/>
      <c r="W546" s="3" t="n"/>
      <c r="X546" s="3" t="n"/>
      <c r="Y546" s="3" t="n"/>
      <c r="Z546" s="74" t="n">
        <v>1</v>
      </c>
      <c r="AA546" s="10" t="inlineStr">
        <is>
          <t>Creature</t>
        </is>
      </c>
      <c r="AB546" s="10" t="inlineStr">
        <is>
          <t>Merfolk Wizard</t>
        </is>
      </c>
      <c r="AC546" s="10" t="inlineStr">
        <is>
          <t>U</t>
        </is>
      </c>
      <c r="AD546" s="74" t="n">
        <v>4</v>
      </c>
      <c r="AE546" s="76" t="inlineStr">
        <is>
          <t>Lorwyn Eclipsed</t>
        </is>
      </c>
      <c r="AF546" s="76" t="inlineStr">
        <is>
          <t>Removal</t>
        </is>
      </c>
      <c r="AG546" s="76" t="inlineStr">
        <is>
          <t>Target opponent creature gets -3/-0 until end of turn whenever this becomes tapped</t>
        </is>
      </c>
      <c r="AH546" s="76" t="n"/>
      <c r="AI546" s="76" t="n"/>
      <c r="AJ546" s="73" t="n"/>
    </row>
    <row r="547">
      <c r="A547" s="10" t="inlineStr">
        <is>
          <t>Zendikar's Roil</t>
        </is>
      </c>
      <c r="B547" s="2">
        <f>IF(AND(F547&lt;&gt;0,E547=F547),"In Hand",IF(AND(E547&lt;&gt;0,E547&lt;F547,SUM(M547:R547)=0,SUM(T547:Y547)&gt;0),"Extra-Sub",IF(AND(E547=0,E547&lt;F547,SUM(M547:R547)=0,SUM(T547:Y547)&gt;0),"Bench-Sub",IF(AND(E547=0,F547&gt;0),"Bench",IF(E547&lt;F547,"Extra",IF(AND(J547="",E547&gt;F547),"To Buy",IF(SUM(J547,F547)&lt;E547,"To Buy",IF(AND(SUM(J547,F547)&gt;=E547,J547&lt;&gt;""),"Ordered",IF(AND(E547=0,F547=0,D547="B3"),"B3 Option",IF(AND(E547=0,F547=0),"Remove","To Buy"))))))))))</f>
        <v/>
      </c>
      <c r="D547" t="inlineStr">
        <is>
          <t>B2</t>
        </is>
      </c>
      <c r="E547" s="3">
        <f>SUM(M547:S547)</f>
        <v/>
      </c>
      <c r="F547" s="3">
        <f>SUM(T547:Z547)</f>
        <v/>
      </c>
      <c r="G547" s="3">
        <f>IF((F547-E547)&gt;=0,F547-E547,0)</f>
        <v/>
      </c>
      <c r="H547" s="11">
        <f>MAX(0,$E547-$F547-$J547)</f>
        <v/>
      </c>
      <c r="I547" s="74" t="n"/>
      <c r="J547" s="74" t="n"/>
      <c r="K547" s="75" t="n"/>
      <c r="L547" s="12">
        <f>IF(AND($H547&gt;0,ISNUMBER($K547)),$H547*$K547,0)</f>
        <v/>
      </c>
      <c r="M547" s="74" t="n"/>
      <c r="N547" s="74" t="n"/>
      <c r="O547" s="74" t="n"/>
      <c r="P547" s="74" t="n"/>
      <c r="Q547" s="74" t="n"/>
      <c r="R547" s="74" t="n"/>
      <c r="S547" s="3">
        <f>IF(AND(J547&lt;&gt;"",SUM(M547:R547)=0),J547,"")</f>
        <v/>
      </c>
      <c r="T547" s="3" t="n"/>
      <c r="U547" s="3" t="n"/>
      <c r="V547" s="3" t="n"/>
      <c r="W547" s="3" t="n"/>
      <c r="X547" s="3" t="n"/>
      <c r="Y547" s="3" t="n"/>
      <c r="Z547" s="74" t="n">
        <v>1</v>
      </c>
      <c r="AA547" s="10" t="inlineStr">
        <is>
          <t>Enchantment</t>
        </is>
      </c>
      <c r="AB547" s="10" t="n"/>
      <c r="AC547" s="10" t="inlineStr">
        <is>
          <t>G</t>
        </is>
      </c>
      <c r="AD547" s="74" t="n">
        <v>5</v>
      </c>
      <c r="AE547" s="76" t="inlineStr">
        <is>
          <t>Magic Origins</t>
        </is>
      </c>
      <c r="AF547" s="76" t="inlineStr">
        <is>
          <t>Token Producer</t>
        </is>
      </c>
      <c r="AG547" s="76" t="inlineStr">
        <is>
          <t>Creates a 2/2 Elemental token whenever a land you control enters</t>
        </is>
      </c>
      <c r="AH547" s="76" t="n"/>
      <c r="AI547" s="76" t="n"/>
      <c r="AJ547" s="73" t="inlineStr">
        <is>
          <t>Cut in Tuned</t>
        </is>
      </c>
      <c r="AK547" t="inlineStr">
        <is>
          <t>[A only] B-&gt;D2 (placeholder: D2 lost two subs to D5) [done 2026-09-03]</t>
        </is>
      </c>
    </row>
    <row r="548">
      <c r="A548" s="10" t="inlineStr">
        <is>
          <t>Anim Pakal, Thousandth Moon</t>
        </is>
      </c>
      <c r="B548" s="2">
        <f>IF(AND(F548&lt;&gt;0,E548=F548),"In Hand",IF(AND(E548&lt;&gt;0,E548&lt;F548,SUM(M548:R548)=0,SUM(T548:Y548)&gt;0),"Extra-Sub",IF(AND(E548=0,E548&lt;F548,SUM(M548:R548)=0,SUM(T548:Y548)&gt;0),"Bench-Sub",IF(AND(E548=0,F548&gt;0),"Bench",IF(E548&lt;F548,"Extra",IF(AND(J548="",E548&gt;F548),"To Buy",IF(SUM(J548,F548)&lt;E548,"To Buy",IF(AND(SUM(J548,F548)&gt;=E548,J548&lt;&gt;""),"Ordered",IF(AND(E548=0,F548=0,D548="B3"),"B3 Option",IF(AND(E548=0,F548=0),"Remove","To Buy"))))))))))</f>
        <v/>
      </c>
      <c r="D548" t="inlineStr">
        <is>
          <t>B3</t>
        </is>
      </c>
      <c r="E548" s="3">
        <f>SUM(M548:S548)</f>
        <v/>
      </c>
      <c r="F548" s="3">
        <f>SUM(T548:Z548)</f>
        <v/>
      </c>
      <c r="G548" s="3">
        <f>IF((F548-E548)&gt;=0,F548-E548,0)</f>
        <v/>
      </c>
      <c r="H548" s="11">
        <f>MAX(0,$E548-$F548-$J548)</f>
        <v/>
      </c>
      <c r="I548" s="74" t="n"/>
      <c r="J548" s="74" t="n"/>
      <c r="K548" s="75" t="n">
        <v>4.21</v>
      </c>
      <c r="L548" s="12">
        <f>IF(AND($H548&gt;0,ISNUMBER($K548)),$H548*$K548,0)</f>
        <v/>
      </c>
      <c r="M548" s="74" t="n"/>
      <c r="N548" s="74" t="n"/>
      <c r="O548" s="74" t="n"/>
      <c r="P548" s="74" t="n"/>
      <c r="Q548" s="74" t="n"/>
      <c r="R548" s="74" t="n"/>
      <c r="S548" s="3">
        <f>IF(AND(J548&lt;&gt;"",SUM(M548:R548)=0),J548,"")</f>
        <v/>
      </c>
      <c r="T548" s="3" t="n"/>
      <c r="U548" s="3" t="n"/>
      <c r="V548" s="3" t="n"/>
      <c r="W548" s="3" t="n"/>
      <c r="X548" s="3" t="n"/>
      <c r="Y548" s="3" t="n"/>
      <c r="Z548" s="74" t="n"/>
      <c r="AA548" s="10" t="inlineStr">
        <is>
          <t>Legendary Creature</t>
        </is>
      </c>
      <c r="AB548" s="10" t="inlineStr">
        <is>
          <t>Human Soldier</t>
        </is>
      </c>
      <c r="AC548" s="10" t="inlineStr">
        <is>
          <t>RW</t>
        </is>
      </c>
      <c r="AD548" s="74" t="n">
        <v>3</v>
      </c>
      <c r="AE548" s="76" t="inlineStr">
        <is>
          <t>The Lost Caverns of Ixalan</t>
        </is>
      </c>
      <c r="AF548" s="76" t="inlineStr">
        <is>
          <t>B3 (Max) add</t>
        </is>
      </c>
      <c r="AG548" s="76" t="inlineStr">
        <is>
          <t>Whenever you attack with one or more non-Gnome creatures, put a +1/+1 counter on Anim Pakal, then create X 1/1 colorless</t>
        </is>
      </c>
      <c r="AH548" s="76" t="n"/>
      <c r="AI548" s="76" t="n"/>
      <c r="AJ548" s="73" t="inlineStr">
        <is>
          <t>B3/Max add for D1; NOT targeted; replaces Relic Retriever when bought</t>
        </is>
      </c>
      <c r="AK548" t="inlineStr">
        <is>
          <t>[B3/Max, not targeted] when bought -&gt;D1, replaces Relic Retriever (Relic Retriever-&gt;B)</t>
        </is>
      </c>
    </row>
    <row r="549">
      <c r="A549" s="10" t="inlineStr">
        <is>
          <t>Anointed Procession</t>
        </is>
      </c>
      <c r="B549" s="2">
        <f>IF(AND(F549&lt;&gt;0,E549=F549),"In Hand",IF(AND(E549&lt;&gt;0,E549&lt;F549,SUM(M549:R549)=0,SUM(T549:Y549)&gt;0),"Extra-Sub",IF(AND(E549=0,E549&lt;F549,SUM(M549:R549)=0,SUM(T549:Y549)&gt;0),"Bench-Sub",IF(AND(E549=0,F549&gt;0),"Bench",IF(E549&lt;F549,"Extra",IF(AND(J549="",E549&gt;F549),"To Buy",IF(SUM(J549,F549)&lt;E549,"To Buy",IF(AND(SUM(J549,F549)&gt;=E549,J549&lt;&gt;""),"Ordered",IF(AND(E549=0,F549=0,D549="B3"),"B3 Option",IF(AND(E549=0,F549=0),"Remove","To Buy"))))))))))</f>
        <v/>
      </c>
      <c r="D549" t="inlineStr">
        <is>
          <t>B3</t>
        </is>
      </c>
      <c r="E549" s="3">
        <f>SUM(M549:S549)</f>
        <v/>
      </c>
      <c r="F549" s="3">
        <f>SUM(T549:Z549)</f>
        <v/>
      </c>
      <c r="G549" s="3">
        <f>IF((F549-E549)&gt;=0,F549-E549,0)</f>
        <v/>
      </c>
      <c r="H549" s="11">
        <f>MAX(0,$E549-$F549-$J549)</f>
        <v/>
      </c>
      <c r="I549" s="74" t="n"/>
      <c r="J549" s="74" t="n"/>
      <c r="K549" s="75" t="n">
        <v>59.34</v>
      </c>
      <c r="L549" s="12">
        <f>IF(AND($H549&gt;0,ISNUMBER($K549)),$H549*$K549,0)</f>
        <v/>
      </c>
      <c r="M549" s="74" t="n"/>
      <c r="N549" s="74" t="n"/>
      <c r="O549" s="74" t="n"/>
      <c r="P549" s="74" t="n"/>
      <c r="Q549" s="74" t="n"/>
      <c r="R549" s="74" t="n"/>
      <c r="S549" s="3">
        <f>IF(AND(J549&lt;&gt;"",SUM(M549:R549)=0),J549,"")</f>
        <v/>
      </c>
      <c r="T549" s="3" t="n"/>
      <c r="U549" s="3" t="n"/>
      <c r="V549" s="3" t="n"/>
      <c r="W549" s="3" t="n"/>
      <c r="X549" s="3" t="n"/>
      <c r="Y549" s="3" t="n"/>
      <c r="Z549" s="74" t="n"/>
      <c r="AA549" s="10" t="inlineStr">
        <is>
          <t>Enchantment</t>
        </is>
      </c>
      <c r="AB549" s="10" t="n"/>
      <c r="AC549" s="10" t="inlineStr">
        <is>
          <t>W</t>
        </is>
      </c>
      <c r="AD549" s="74" t="n">
        <v>4</v>
      </c>
      <c r="AE549" s="76" t="inlineStr">
        <is>
          <t>Amonkhet</t>
        </is>
      </c>
      <c r="AF549" s="76" t="inlineStr">
        <is>
          <t>B3 (Max) add</t>
        </is>
      </c>
      <c r="AG549" s="76" t="inlineStr">
        <is>
          <t>If an effect would create one or more tokens under your control, it creates twice that many of those tokens instead.</t>
        </is>
      </c>
      <c r="AH549" s="76" t="n"/>
      <c r="AI549" s="76" t="n"/>
      <c r="AJ549" s="73" t="inlineStr">
        <is>
          <t>B3/Max add for D5; NOT targeted; replaces Aetheric Amplifier when bought</t>
        </is>
      </c>
      <c r="AK549" t="inlineStr">
        <is>
          <t>[B3/Max, not targeted] when bought -&gt;D5, replaces Aetheric Amplifier (Aetheric Amplifier-&gt;B)</t>
        </is>
      </c>
    </row>
    <row r="550">
      <c r="A550" s="10" t="inlineStr">
        <is>
          <t>Ashnod's Altar</t>
        </is>
      </c>
      <c r="B550" s="2">
        <f>IF(AND(F550&lt;&gt;0,E550=F550),"In Hand",IF(AND(E550&lt;&gt;0,E550&lt;F550,SUM(M550:R550)=0,SUM(T550:Y550)&gt;0),"Extra-Sub",IF(AND(E550=0,E550&lt;F550,SUM(M550:R550)=0,SUM(T550:Y550)&gt;0),"Bench-Sub",IF(AND(E550=0,F550&gt;0),"Bench",IF(E550&lt;F550,"Extra",IF(AND(J550="",E550&gt;F550),"To Buy",IF(SUM(J550,F550)&lt;E550,"To Buy",IF(AND(SUM(J550,F550)&gt;=E550,J550&lt;&gt;""),"Ordered",IF(AND(E550=0,F550=0,D550="B3"),"B3 Option",IF(AND(E550=0,F550=0),"Remove","To Buy"))))))))))</f>
        <v/>
      </c>
      <c r="D550" t="inlineStr">
        <is>
          <t>B3</t>
        </is>
      </c>
      <c r="E550" s="3">
        <f>SUM(M550:S550)</f>
        <v/>
      </c>
      <c r="F550" s="3">
        <f>SUM(T550:Z550)</f>
        <v/>
      </c>
      <c r="G550" s="3">
        <f>IF((F550-E550)&gt;=0,F550-E550,0)</f>
        <v/>
      </c>
      <c r="H550" s="11">
        <f>MAX(0,$E550-$F550-$J550)</f>
        <v/>
      </c>
      <c r="I550" s="74" t="n"/>
      <c r="J550" s="74" t="n"/>
      <c r="K550" s="75" t="n">
        <v>16.6</v>
      </c>
      <c r="L550" s="12">
        <f>IF(AND($H550&gt;0,ISNUMBER($K550)),$H550*$K550,0)</f>
        <v/>
      </c>
      <c r="M550" s="74" t="n"/>
      <c r="N550" s="74" t="n"/>
      <c r="O550" s="74" t="n"/>
      <c r="P550" s="74" t="n"/>
      <c r="Q550" s="74" t="n"/>
      <c r="R550" s="74" t="n"/>
      <c r="S550" s="3">
        <f>IF(AND(J550&lt;&gt;"",SUM(M550:R550)=0),J550,"")</f>
        <v/>
      </c>
      <c r="T550" s="3" t="n"/>
      <c r="U550" s="3" t="n"/>
      <c r="V550" s="3" t="n"/>
      <c r="W550" s="3" t="n"/>
      <c r="X550" s="3" t="n"/>
      <c r="Y550" s="3" t="n"/>
      <c r="Z550" s="74" t="n"/>
      <c r="AA550" s="10" t="inlineStr">
        <is>
          <t>Artifact</t>
        </is>
      </c>
      <c r="AB550" s="10" t="n"/>
      <c r="AC550" s="10" t="inlineStr">
        <is>
          <t>C</t>
        </is>
      </c>
      <c r="AD550" s="74" t="n">
        <v>3</v>
      </c>
      <c r="AE550" s="76" t="inlineStr">
        <is>
          <t>Antiquities</t>
        </is>
      </c>
      <c r="AF550" s="76" t="inlineStr">
        <is>
          <t>B3 (Max) add</t>
        </is>
      </c>
      <c r="AG550" s="76" t="inlineStr">
        <is>
          <t>Sacrifice a creature: Add {C}{C}.</t>
        </is>
      </c>
      <c r="AH550" s="76" t="n"/>
      <c r="AI550" s="76" t="n"/>
      <c r="AJ550" s="73" t="inlineStr">
        <is>
          <t>B3/Max add for D5; NOT targeted; replaces Dawn-Blessed Pennant when bought</t>
        </is>
      </c>
      <c r="AK550" t="inlineStr">
        <is>
          <t>[B3/Max, not targeted] when bought -&gt;D5, replaces Dawn-Blessed Pennant (Dawn-Blessed Pennant-&gt;B)</t>
        </is>
      </c>
    </row>
    <row r="551">
      <c r="A551" s="10" t="inlineStr">
        <is>
          <t>Beast Whisperer</t>
        </is>
      </c>
      <c r="B551" s="2">
        <f>IF(AND(F551&lt;&gt;0,E551=F551),"In Hand",IF(AND(E551&lt;&gt;0,E551&lt;F551,SUM(M551:R551)=0,SUM(T551:Y551)&gt;0),"Extra-Sub",IF(AND(E551=0,E551&lt;F551,SUM(M551:R551)=0,SUM(T551:Y551)&gt;0),"Bench-Sub",IF(AND(E551=0,F551&gt;0),"Bench",IF(E551&lt;F551,"Extra",IF(AND(J551="",E551&gt;F551),"To Buy",IF(SUM(J551,F551)&lt;E551,"To Buy",IF(AND(SUM(J551,F551)&gt;=E551,J551&lt;&gt;""),"Ordered",IF(AND(E551=0,F551=0,D551="B3"),"B3 Option",IF(AND(E551=0,F551=0),"Remove","To Buy"))))))))))</f>
        <v/>
      </c>
      <c r="D551" t="inlineStr">
        <is>
          <t>B3</t>
        </is>
      </c>
      <c r="E551" s="3">
        <f>SUM(M551:S551)</f>
        <v/>
      </c>
      <c r="F551" s="3">
        <f>SUM(T551:Z551)</f>
        <v/>
      </c>
      <c r="G551" s="3">
        <f>IF((F551-E551)&gt;=0,F551-E551,0)</f>
        <v/>
      </c>
      <c r="H551" s="11">
        <f>MAX(0,$E551-$F551-$J551)</f>
        <v/>
      </c>
      <c r="I551" s="74" t="n"/>
      <c r="J551" s="74" t="n"/>
      <c r="K551" s="75" t="n">
        <v>8.73</v>
      </c>
      <c r="L551" s="12">
        <f>IF(AND($H551&gt;0,ISNUMBER($K551)),$H551*$K551,0)</f>
        <v/>
      </c>
      <c r="M551" s="74" t="n"/>
      <c r="N551" s="74" t="n"/>
      <c r="O551" s="74" t="n"/>
      <c r="P551" s="74" t="n"/>
      <c r="Q551" s="74" t="n"/>
      <c r="R551" s="74" t="n"/>
      <c r="S551" s="3">
        <f>IF(AND(J551&lt;&gt;"",SUM(M551:R551)=0),J551,"")</f>
        <v/>
      </c>
      <c r="T551" s="3" t="n"/>
      <c r="U551" s="3" t="n"/>
      <c r="V551" s="3" t="n"/>
      <c r="W551" s="3" t="n"/>
      <c r="X551" s="3" t="n"/>
      <c r="Y551" s="3" t="n"/>
      <c r="Z551" s="74" t="n"/>
      <c r="AA551" s="10" t="inlineStr">
        <is>
          <t>Creature</t>
        </is>
      </c>
      <c r="AB551" s="10" t="inlineStr">
        <is>
          <t>Elf Druid</t>
        </is>
      </c>
      <c r="AC551" s="10" t="inlineStr">
        <is>
          <t>G</t>
        </is>
      </c>
      <c r="AD551" s="74" t="n">
        <v>4</v>
      </c>
      <c r="AE551" s="76" t="inlineStr">
        <is>
          <t>Guilds of Ravnica</t>
        </is>
      </c>
      <c r="AF551" s="76" t="inlineStr">
        <is>
          <t>B3 (Max) add</t>
        </is>
      </c>
      <c r="AG551" s="76" t="inlineStr">
        <is>
          <t>Whenever you cast a creature spell, draw a card.</t>
        </is>
      </c>
      <c r="AH551" s="76" t="n"/>
      <c r="AI551" s="76" t="n"/>
      <c r="AJ551" s="73" t="inlineStr">
        <is>
          <t>B3/Max add for D2; NOT targeted; replaces Sun-Dappled Celebrant when bought</t>
        </is>
      </c>
      <c r="AK551" t="inlineStr">
        <is>
          <t>[B3/Max, not targeted] when bought -&gt;D2, replaces Sun-Dappled Celebrant (Sun-Dappled Celebrant-&gt;B)</t>
        </is>
      </c>
    </row>
    <row r="552">
      <c r="A552" s="10" t="inlineStr">
        <is>
          <t>Blood Artist</t>
        </is>
      </c>
      <c r="B552" s="2">
        <f>IF(AND(F552&lt;&gt;0,E552=F552),"In Hand",IF(AND(E552&lt;&gt;0,E552&lt;F552,SUM(M552:R552)=0,SUM(T552:Y552)&gt;0),"Extra-Sub",IF(AND(E552=0,E552&lt;F552,SUM(M552:R552)=0,SUM(T552:Y552)&gt;0),"Bench-Sub",IF(AND(E552=0,F552&gt;0),"Bench",IF(E552&lt;F552,"Extra",IF(AND(J552="",E552&gt;F552),"To Buy",IF(SUM(J552,F552)&lt;E552,"To Buy",IF(AND(SUM(J552,F552)&gt;=E552,J552&lt;&gt;""),"Ordered",IF(AND(E552=0,F552=0,D552="B3"),"B3 Option",IF(AND(E552=0,F552=0),"Remove","To Buy"))))))))))</f>
        <v/>
      </c>
      <c r="D552" t="inlineStr">
        <is>
          <t>B3</t>
        </is>
      </c>
      <c r="E552" s="3">
        <f>SUM(M552:S552)</f>
        <v/>
      </c>
      <c r="F552" s="3">
        <f>SUM(T552:Z552)</f>
        <v/>
      </c>
      <c r="G552" s="3">
        <f>IF((F552-E552)&gt;=0,F552-E552,0)</f>
        <v/>
      </c>
      <c r="H552" s="11">
        <f>MAX(0,$E552-$F552-$J552)</f>
        <v/>
      </c>
      <c r="I552" s="74" t="n"/>
      <c r="J552" s="74" t="n"/>
      <c r="K552" s="75" t="n">
        <v>3.78</v>
      </c>
      <c r="L552" s="12">
        <f>IF(AND($H552&gt;0,ISNUMBER($K552)),$H552*$K552,0)</f>
        <v/>
      </c>
      <c r="M552" s="74" t="n"/>
      <c r="N552" s="74" t="n"/>
      <c r="O552" s="74" t="n"/>
      <c r="P552" s="74" t="n"/>
      <c r="Q552" s="74" t="n"/>
      <c r="R552" s="74" t="n"/>
      <c r="S552" s="3">
        <f>IF(AND(J552&lt;&gt;"",SUM(M552:R552)=0),J552,"")</f>
        <v/>
      </c>
      <c r="T552" s="3" t="n"/>
      <c r="U552" s="3" t="n"/>
      <c r="V552" s="3" t="n"/>
      <c r="W552" s="3" t="n"/>
      <c r="X552" s="3" t="n"/>
      <c r="Y552" s="3" t="n"/>
      <c r="Z552" s="74" t="n"/>
      <c r="AA552" s="10" t="inlineStr">
        <is>
          <t>Creature</t>
        </is>
      </c>
      <c r="AB552" s="10" t="inlineStr">
        <is>
          <t>Vampire</t>
        </is>
      </c>
      <c r="AC552" s="10" t="inlineStr">
        <is>
          <t>B</t>
        </is>
      </c>
      <c r="AD552" s="74" t="n">
        <v>2</v>
      </c>
      <c r="AE552" s="76" t="inlineStr">
        <is>
          <t>Avacyn Restored</t>
        </is>
      </c>
      <c r="AF552" s="76" t="inlineStr">
        <is>
          <t>B3 (Max) add</t>
        </is>
      </c>
      <c r="AG552" s="76" t="inlineStr">
        <is>
          <t>Whenever this creature or another creature dies, target player loses 1 life and you gain 1 life.</t>
        </is>
      </c>
      <c r="AH552" s="76" t="n"/>
      <c r="AI552" s="76" t="n"/>
      <c r="AJ552" s="73" t="inlineStr">
        <is>
          <t>B3/Max add for D5; NOT targeted; replaces Prideful Feastling when bought</t>
        </is>
      </c>
      <c r="AK552" t="inlineStr">
        <is>
          <t>[B3/Max, not targeted] when bought -&gt;D5, replaces Prideful Feastling (Prideful Feastling-&gt;B)</t>
        </is>
      </c>
    </row>
    <row r="553">
      <c r="A553" s="10" t="inlineStr">
        <is>
          <t>Boros Charm</t>
        </is>
      </c>
      <c r="B553" s="2">
        <f>IF(AND(F553&lt;&gt;0,E553=F553),"In Hand",IF(AND(E553&lt;&gt;0,E553&lt;F553,SUM(M553:R553)=0,SUM(T553:Y553)&gt;0),"Extra-Sub",IF(AND(E553=0,E553&lt;F553,SUM(M553:R553)=0,SUM(T553:Y553)&gt;0),"Bench-Sub",IF(AND(E553=0,F553&gt;0),"Bench",IF(E553&lt;F553,"Extra",IF(AND(J553="",E553&gt;F553),"To Buy",IF(SUM(J553,F553)&lt;E553,"To Buy",IF(AND(SUM(J553,F553)&gt;=E553,J553&lt;&gt;""),"Ordered",IF(AND(E553=0,F553=0,D553="B3"),"B3 Option",IF(AND(E553=0,F553=0),"Remove","To Buy"))))))))))</f>
        <v/>
      </c>
      <c r="D553" t="inlineStr">
        <is>
          <t>B3</t>
        </is>
      </c>
      <c r="E553" s="3">
        <f>SUM(M553:S553)</f>
        <v/>
      </c>
      <c r="F553" s="3">
        <f>SUM(T553:Z553)</f>
        <v/>
      </c>
      <c r="G553" s="3">
        <f>IF((F553-E553)&gt;=0,F553-E553,0)</f>
        <v/>
      </c>
      <c r="H553" s="11">
        <f>MAX(0,$E553-$F553-$J553)</f>
        <v/>
      </c>
      <c r="I553" s="74" t="n"/>
      <c r="J553" s="74" t="n"/>
      <c r="K553" s="75" t="n">
        <v>4.76</v>
      </c>
      <c r="L553" s="12">
        <f>IF(AND($H553&gt;0,ISNUMBER($K553)),$H553*$K553,0)</f>
        <v/>
      </c>
      <c r="M553" s="74" t="n"/>
      <c r="N553" s="74" t="n"/>
      <c r="O553" s="74" t="n"/>
      <c r="P553" s="74" t="n"/>
      <c r="Q553" s="74" t="n"/>
      <c r="R553" s="74" t="n"/>
      <c r="S553" s="3">
        <f>IF(AND(J553&lt;&gt;"",SUM(M553:R553)=0),J553,"")</f>
        <v/>
      </c>
      <c r="T553" s="3" t="n"/>
      <c r="U553" s="3" t="n"/>
      <c r="V553" s="3" t="n"/>
      <c r="W553" s="3" t="n"/>
      <c r="X553" s="3" t="n"/>
      <c r="Y553" s="3" t="n"/>
      <c r="Z553" s="74" t="n"/>
      <c r="AA553" s="10" t="inlineStr">
        <is>
          <t>Instant</t>
        </is>
      </c>
      <c r="AB553" s="10" t="n"/>
      <c r="AC553" s="10" t="inlineStr">
        <is>
          <t>RW</t>
        </is>
      </c>
      <c r="AD553" s="74" t="n">
        <v>2</v>
      </c>
      <c r="AE553" s="76" t="inlineStr">
        <is>
          <t>Gatecrash</t>
        </is>
      </c>
      <c r="AF553" s="76" t="inlineStr">
        <is>
          <t>B3 (Max) add</t>
        </is>
      </c>
      <c r="AG553" s="76" t="inlineStr">
        <is>
          <t>Choose one —
• Boros Charm deals 4 damage to target player or planeswalker.
• Permanents you control gain indestructible</t>
        </is>
      </c>
      <c r="AH553" s="76" t="n"/>
      <c r="AI553" s="76" t="n"/>
      <c r="AJ553" s="73" t="inlineStr">
        <is>
          <t>B3/Max add for D1; NOT targeted; replaces Spirit of Resilience when bought</t>
        </is>
      </c>
      <c r="AK553" t="inlineStr">
        <is>
          <t>[B3/Max, not targeted] when bought -&gt;D1, replaces Spirit of Resilience (Spirit of Resilience-&gt;B)</t>
        </is>
      </c>
    </row>
    <row r="554">
      <c r="A554" s="10" t="inlineStr">
        <is>
          <t>Brightclimb Pathway</t>
        </is>
      </c>
      <c r="B554" s="2">
        <f>IF(AND(F554&lt;&gt;0,E554=F554),"In Hand",IF(AND(E554&lt;&gt;0,E554&lt;F554,SUM(M554:R554)=0,SUM(T554:Y554)&gt;0),"Extra-Sub",IF(AND(E554=0,E554&lt;F554,SUM(M554:R554)=0,SUM(T554:Y554)&gt;0),"Bench-Sub",IF(AND(E554=0,F554&gt;0),"Bench",IF(E554&lt;F554,"Extra",IF(AND(J554="",E554&gt;F554),"To Buy",IF(SUM(J554,F554)&lt;E554,"To Buy",IF(AND(SUM(J554,F554)&gt;=E554,J554&lt;&gt;""),"Ordered",IF(AND(E554=0,F554=0,D554="B3"),"B3 Option",IF(AND(E554=0,F554=0),"Remove","To Buy"))))))))))</f>
        <v/>
      </c>
      <c r="D554" t="inlineStr">
        <is>
          <t>B3</t>
        </is>
      </c>
      <c r="E554" s="3">
        <f>SUM(M554:S554)</f>
        <v/>
      </c>
      <c r="F554" s="3">
        <f>SUM(T554:Z554)</f>
        <v/>
      </c>
      <c r="G554" s="3">
        <f>IF((F554-E554)&gt;=0,F554-E554,0)</f>
        <v/>
      </c>
      <c r="H554" s="11">
        <f>MAX(0,$E554-$F554-$J554)</f>
        <v/>
      </c>
      <c r="I554" s="74" t="n"/>
      <c r="J554" s="74" t="n"/>
      <c r="K554" s="75" t="n">
        <v>4.74</v>
      </c>
      <c r="L554" s="12">
        <f>IF(AND($H554&gt;0,ISNUMBER($K554)),$H554*$K554,0)</f>
        <v/>
      </c>
      <c r="M554" s="74" t="n"/>
      <c r="N554" s="74" t="n"/>
      <c r="O554" s="74" t="n"/>
      <c r="P554" s="74" t="n"/>
      <c r="Q554" s="74" t="n"/>
      <c r="R554" s="74" t="n"/>
      <c r="S554" s="3">
        <f>IF(AND(J554&lt;&gt;"",SUM(M554:R554)=0),J554,"")</f>
        <v/>
      </c>
      <c r="T554" s="3" t="n"/>
      <c r="U554" s="3" t="n"/>
      <c r="V554" s="3" t="n"/>
      <c r="W554" s="3" t="n"/>
      <c r="X554" s="3" t="n"/>
      <c r="Y554" s="3" t="n"/>
      <c r="Z554" s="74" t="n"/>
      <c r="AA554" s="10" t="inlineStr">
        <is>
          <t>Land</t>
        </is>
      </c>
      <c r="AB554" s="10" t="n"/>
      <c r="AC554" s="10" t="inlineStr">
        <is>
          <t>BW</t>
        </is>
      </c>
      <c r="AD554" s="74" t="n">
        <v>0</v>
      </c>
      <c r="AE554" s="76" t="inlineStr">
        <is>
          <t>Zendikar Rising</t>
        </is>
      </c>
      <c r="AF554" s="76" t="inlineStr">
        <is>
          <t>B3 (Max) add</t>
        </is>
      </c>
      <c r="AG554" s="76" t="inlineStr">
        <is>
          <t>{T}: Add {W}.</t>
        </is>
      </c>
      <c r="AH554" s="76" t="n"/>
      <c r="AI554" s="76" t="n"/>
      <c r="AJ554" s="73" t="inlineStr">
        <is>
          <t>B3/Max add for D5; NOT targeted; replaces Scoured Barrens when bought</t>
        </is>
      </c>
      <c r="AK554" t="inlineStr">
        <is>
          <t>[B3/Max, not targeted] when bought -&gt;D5, replaces Scoured Barrens (Scoured Barrens-&gt;B)</t>
        </is>
      </c>
    </row>
    <row r="555">
      <c r="A555" s="10" t="inlineStr">
        <is>
          <t>Den of the Bugbear</t>
        </is>
      </c>
      <c r="B555" s="2">
        <f>IF(AND(F555&lt;&gt;0,E555=F555),"In Hand",IF(AND(E555&lt;&gt;0,E555&lt;F555,SUM(M555:R555)=0,SUM(T555:Y555)&gt;0),"Extra-Sub",IF(AND(E555=0,E555&lt;F555,SUM(M555:R555)=0,SUM(T555:Y555)&gt;0),"Bench-Sub",IF(AND(E555=0,F555&gt;0),"Bench",IF(E555&lt;F555,"Extra",IF(AND(J555="",E555&gt;F555),"To Buy",IF(SUM(J555,F555)&lt;E555,"To Buy",IF(AND(SUM(J555,F555)&gt;=E555,J555&lt;&gt;""),"Ordered",IF(AND(E555=0,F555=0,D555="B3"),"B3 Option",IF(AND(E555=0,F555=0),"Remove","To Buy"))))))))))</f>
        <v/>
      </c>
      <c r="D555" t="inlineStr">
        <is>
          <t>B3</t>
        </is>
      </c>
      <c r="E555" s="3">
        <f>SUM(M555:S555)</f>
        <v/>
      </c>
      <c r="F555" s="3">
        <f>SUM(T555:Z555)</f>
        <v/>
      </c>
      <c r="G555" s="3">
        <f>IF((F555-E555)&gt;=0,F555-E555,0)</f>
        <v/>
      </c>
      <c r="H555" s="11">
        <f>MAX(0,$E555-$F555-$J555)</f>
        <v/>
      </c>
      <c r="I555" s="74" t="n"/>
      <c r="J555" s="74" t="n"/>
      <c r="K555" s="75" t="n">
        <v>1.91</v>
      </c>
      <c r="L555" s="12">
        <f>IF(AND($H555&gt;0,ISNUMBER($K555)),$H555*$K555,0)</f>
        <v/>
      </c>
      <c r="M555" s="74" t="n"/>
      <c r="N555" s="74" t="n"/>
      <c r="O555" s="74" t="n"/>
      <c r="P555" s="74" t="n"/>
      <c r="Q555" s="74" t="n"/>
      <c r="R555" s="74" t="n"/>
      <c r="S555" s="3">
        <f>IF(AND(J555&lt;&gt;"",SUM(M555:R555)=0),J555,"")</f>
        <v/>
      </c>
      <c r="T555" s="3" t="n"/>
      <c r="U555" s="3" t="n"/>
      <c r="V555" s="3" t="n"/>
      <c r="W555" s="3" t="n"/>
      <c r="X555" s="3" t="n"/>
      <c r="Y555" s="3" t="n"/>
      <c r="Z555" s="74" t="n"/>
      <c r="AA555" s="10" t="inlineStr">
        <is>
          <t>Land</t>
        </is>
      </c>
      <c r="AB555" s="10" t="n"/>
      <c r="AC555" s="10" t="inlineStr">
        <is>
          <t>R</t>
        </is>
      </c>
      <c r="AD555" s="74" t="n">
        <v>0</v>
      </c>
      <c r="AE555" s="76" t="inlineStr">
        <is>
          <t>Adventures in the Forgotten Realms</t>
        </is>
      </c>
      <c r="AF555" s="76" t="inlineStr">
        <is>
          <t>B3 (Max) add</t>
        </is>
      </c>
      <c r="AG555" s="76" t="inlineStr">
        <is>
          <t>If you control two or more other lands, this land enters tapped.
{T}: Add {R}.
{3}{R}: Until end of turn, this land beco</t>
        </is>
      </c>
      <c r="AH555" s="76" t="n"/>
      <c r="AI555" s="76" t="n"/>
      <c r="AJ555" s="73" t="inlineStr">
        <is>
          <t>B3/Max add for D6; NOT targeted; replaces Mountain when bought</t>
        </is>
      </c>
      <c r="AK555" t="inlineStr">
        <is>
          <t>[B3/Max, not targeted] when bought -&gt;D6, replaces Mountain (Mountain-&gt;B)</t>
        </is>
      </c>
    </row>
    <row r="556">
      <c r="A556" s="10" t="inlineStr">
        <is>
          <t>Dictate of Erebos</t>
        </is>
      </c>
      <c r="B556" s="2">
        <f>IF(AND(F556&lt;&gt;0,E556=F556),"In Hand",IF(AND(E556&lt;&gt;0,E556&lt;F556,SUM(M556:R556)=0,SUM(T556:Y556)&gt;0),"Extra-Sub",IF(AND(E556=0,E556&lt;F556,SUM(M556:R556)=0,SUM(T556:Y556)&gt;0),"Bench-Sub",IF(AND(E556=0,F556&gt;0),"Bench",IF(E556&lt;F556,"Extra",IF(AND(J556="",E556&gt;F556),"To Buy",IF(SUM(J556,F556)&lt;E556,"To Buy",IF(AND(SUM(J556,F556)&gt;=E556,J556&lt;&gt;""),"Ordered",IF(AND(E556=0,F556=0,D556="B3"),"B3 Option",IF(AND(E556=0,F556=0),"Remove","To Buy"))))))))))</f>
        <v/>
      </c>
      <c r="D556" t="inlineStr">
        <is>
          <t>B3</t>
        </is>
      </c>
      <c r="E556" s="3">
        <f>SUM(M556:S556)</f>
        <v/>
      </c>
      <c r="F556" s="3">
        <f>SUM(T556:Z556)</f>
        <v/>
      </c>
      <c r="G556" s="3">
        <f>IF((F556-E556)&gt;=0,F556-E556,0)</f>
        <v/>
      </c>
      <c r="H556" s="11">
        <f>MAX(0,$E556-$F556-$J556)</f>
        <v/>
      </c>
      <c r="I556" s="74" t="n"/>
      <c r="J556" s="74" t="n"/>
      <c r="K556" s="75" t="n">
        <v>19</v>
      </c>
      <c r="L556" s="12">
        <f>IF(AND($H556&gt;0,ISNUMBER($K556)),$H556*$K556,0)</f>
        <v/>
      </c>
      <c r="M556" s="74" t="n"/>
      <c r="N556" s="74" t="n"/>
      <c r="O556" s="74" t="n"/>
      <c r="P556" s="74" t="n"/>
      <c r="Q556" s="74" t="n"/>
      <c r="R556" s="74" t="n"/>
      <c r="S556" s="3">
        <f>IF(AND(J556&lt;&gt;"",SUM(M556:R556)=0),J556,"")</f>
        <v/>
      </c>
      <c r="T556" s="3" t="n"/>
      <c r="U556" s="3" t="n"/>
      <c r="V556" s="3" t="n"/>
      <c r="W556" s="3" t="n"/>
      <c r="X556" s="3" t="n"/>
      <c r="Y556" s="3" t="n"/>
      <c r="Z556" s="74" t="n"/>
      <c r="AA556" s="10" t="inlineStr">
        <is>
          <t>Enchantment</t>
        </is>
      </c>
      <c r="AB556" s="10" t="n"/>
      <c r="AC556" s="10" t="inlineStr">
        <is>
          <t>B</t>
        </is>
      </c>
      <c r="AD556" s="74" t="n">
        <v>5</v>
      </c>
      <c r="AE556" s="76" t="inlineStr">
        <is>
          <t>Journey into Nyx</t>
        </is>
      </c>
      <c r="AF556" s="76" t="inlineStr">
        <is>
          <t>B3 (Max) add</t>
        </is>
      </c>
      <c r="AG556" s="76" t="inlineStr">
        <is>
          <t>Flash
Whenever a creature you control dies, each opponent sacrifices a creature of their choice.</t>
        </is>
      </c>
      <c r="AH556" s="76" t="n"/>
      <c r="AI556" s="76" t="n"/>
      <c r="AJ556" s="73" t="inlineStr">
        <is>
          <t>B3/Max add for D5; NOT targeted; replaces Chocobo Knights when bought</t>
        </is>
      </c>
      <c r="AK556" t="inlineStr">
        <is>
          <t>[B3/Max, not targeted] when bought -&gt;D5, replaces Chocobo Knights (Chocobo Knights-&gt;B)</t>
        </is>
      </c>
    </row>
    <row r="557">
      <c r="A557" s="10" t="inlineStr">
        <is>
          <t>Doran, the Siege Tower</t>
        </is>
      </c>
      <c r="B557" s="2">
        <f>IF(AND(F557&lt;&gt;0,E557=F557),"In Hand",IF(AND(E557&lt;&gt;0,E557&lt;F557,SUM(M557:R557)=0,SUM(T557:Y557)&gt;0),"Extra-Sub",IF(AND(E557=0,E557&lt;F557,SUM(M557:R557)=0,SUM(T557:Y557)&gt;0),"Bench-Sub",IF(AND(E557=0,F557&gt;0),"Bench",IF(E557&lt;F557,"Extra",IF(AND(J557="",E557&gt;F557),"To Buy",IF(SUM(J557,F557)&lt;E557,"To Buy",IF(AND(SUM(J557,F557)&gt;=E557,J557&lt;&gt;""),"Ordered",IF(AND(E557=0,F557=0,D557="B3"),"B3 Option",IF(AND(E557=0,F557=0),"Remove","To Buy"))))))))))</f>
        <v/>
      </c>
      <c r="D557" t="inlineStr">
        <is>
          <t>B3</t>
        </is>
      </c>
      <c r="E557" s="3">
        <f>SUM(M557:S557)</f>
        <v/>
      </c>
      <c r="F557" s="3">
        <f>SUM(T557:Z557)</f>
        <v/>
      </c>
      <c r="G557" s="3">
        <f>IF((F557-E557)&gt;=0,F557-E557,0)</f>
        <v/>
      </c>
      <c r="H557" s="11">
        <f>MAX(0,$E557-$F557-$J557)</f>
        <v/>
      </c>
      <c r="I557" s="74" t="n"/>
      <c r="J557" s="74" t="n"/>
      <c r="K557" s="75" t="n">
        <v>8.48</v>
      </c>
      <c r="L557" s="12">
        <f>IF(AND($H557&gt;0,ISNUMBER($K557)),$H557*$K557,0)</f>
        <v/>
      </c>
      <c r="M557" s="74" t="n"/>
      <c r="N557" s="74" t="n"/>
      <c r="O557" s="74" t="n"/>
      <c r="P557" s="74" t="n"/>
      <c r="Q557" s="74" t="n"/>
      <c r="R557" s="74" t="n"/>
      <c r="S557" s="3">
        <f>IF(AND(J557&lt;&gt;"",SUM(M557:R557)=0),J557,"")</f>
        <v/>
      </c>
      <c r="T557" s="3" t="n"/>
      <c r="U557" s="3" t="n"/>
      <c r="V557" s="3" t="n"/>
      <c r="W557" s="3" t="n"/>
      <c r="X557" s="3" t="n"/>
      <c r="Y557" s="3" t="n"/>
      <c r="Z557" s="74" t="n"/>
      <c r="AA557" s="10" t="inlineStr">
        <is>
          <t>Legendary Creature</t>
        </is>
      </c>
      <c r="AB557" s="10" t="inlineStr">
        <is>
          <t>Treefolk Shaman</t>
        </is>
      </c>
      <c r="AC557" s="10" t="inlineStr">
        <is>
          <t>BGW</t>
        </is>
      </c>
      <c r="AD557" s="74" t="n">
        <v>3</v>
      </c>
      <c r="AE557" s="76" t="inlineStr">
        <is>
          <t>Lorwyn</t>
        </is>
      </c>
      <c r="AF557" s="76" t="inlineStr">
        <is>
          <t>B3 (Max) add</t>
        </is>
      </c>
      <c r="AG557" s="76" t="inlineStr">
        <is>
          <t>Each creature assigns combat damage equal to its toughness rather than its power.</t>
        </is>
      </c>
      <c r="AH557" s="76" t="n"/>
      <c r="AI557" s="76" t="n"/>
      <c r="AJ557" s="73" t="inlineStr">
        <is>
          <t>B3/Max add for D4; NOT targeted; replaces Meandering Towershell when bought</t>
        </is>
      </c>
      <c r="AK557" t="inlineStr">
        <is>
          <t>[B3/Max, not targeted] when bought -&gt;D4, replaces Meandering Towershell (Meandering Towershell-&gt;B)</t>
        </is>
      </c>
    </row>
    <row r="558">
      <c r="A558" s="10" t="inlineStr">
        <is>
          <t>Elenda, the Dusk Rose</t>
        </is>
      </c>
      <c r="B558" s="2">
        <f>IF(AND(F558&lt;&gt;0,E558=F558),"In Hand",IF(AND(E558&lt;&gt;0,E558&lt;F558,SUM(M558:R558)=0,SUM(T558:Y558)&gt;0),"Extra-Sub",IF(AND(E558=0,E558&lt;F558,SUM(M558:R558)=0,SUM(T558:Y558)&gt;0),"Bench-Sub",IF(AND(E558=0,F558&gt;0),"Bench",IF(E558&lt;F558,"Extra",IF(AND(J558="",E558&gt;F558),"To Buy",IF(SUM(J558,F558)&lt;E558,"To Buy",IF(AND(SUM(J558,F558)&gt;=E558,J558&lt;&gt;""),"Ordered",IF(AND(E558=0,F558=0,D558="B3"),"B3 Option",IF(AND(E558=0,F558=0),"Remove","To Buy"))))))))))</f>
        <v/>
      </c>
      <c r="D558" t="inlineStr">
        <is>
          <t>B3</t>
        </is>
      </c>
      <c r="E558" s="3">
        <f>SUM(M558:S558)</f>
        <v/>
      </c>
      <c r="F558" s="3">
        <f>SUM(T558:Z558)</f>
        <v/>
      </c>
      <c r="G558" s="3">
        <f>IF((F558-E558)&gt;=0,F558-E558,0)</f>
        <v/>
      </c>
      <c r="H558" s="11">
        <f>MAX(0,$E558-$F558-$J558)</f>
        <v/>
      </c>
      <c r="I558" s="74" t="n"/>
      <c r="J558" s="74" t="n"/>
      <c r="K558" s="75" t="n">
        <v>5.75</v>
      </c>
      <c r="L558" s="12">
        <f>IF(AND($H558&gt;0,ISNUMBER($K558)),$H558*$K558,0)</f>
        <v/>
      </c>
      <c r="M558" s="74" t="n"/>
      <c r="N558" s="74" t="n"/>
      <c r="O558" s="74" t="n"/>
      <c r="P558" s="74" t="n"/>
      <c r="Q558" s="74" t="n"/>
      <c r="R558" s="74" t="n"/>
      <c r="S558" s="3">
        <f>IF(AND(J558&lt;&gt;"",SUM(M558:R558)=0),J558,"")</f>
        <v/>
      </c>
      <c r="T558" s="3" t="n"/>
      <c r="U558" s="3" t="n"/>
      <c r="V558" s="3" t="n"/>
      <c r="W558" s="3" t="n"/>
      <c r="X558" s="3" t="n"/>
      <c r="Y558" s="3" t="n"/>
      <c r="Z558" s="74" t="n"/>
      <c r="AA558" s="10" t="inlineStr">
        <is>
          <t>Legendary Creature</t>
        </is>
      </c>
      <c r="AB558" s="10" t="inlineStr">
        <is>
          <t>Vampire Knight</t>
        </is>
      </c>
      <c r="AC558" s="10" t="inlineStr">
        <is>
          <t>BW</t>
        </is>
      </c>
      <c r="AD558" s="74" t="n">
        <v>4</v>
      </c>
      <c r="AE558" s="76" t="inlineStr">
        <is>
          <t>Rivals of Ixalan</t>
        </is>
      </c>
      <c r="AF558" s="76" t="inlineStr">
        <is>
          <t>B3 (Max) add</t>
        </is>
      </c>
      <c r="AG558" s="76" t="inlineStr">
        <is>
          <t>Lifelink
Whenever another creature dies, put a +1/+1 counter on Elenda.
When Elenda dies, create X 1/1 white Vampire cre</t>
        </is>
      </c>
      <c r="AH558" s="76" t="n"/>
      <c r="AI558" s="76" t="n"/>
      <c r="AJ558" s="73" t="inlineStr">
        <is>
          <t>B3/Max add for D5; NOT targeted; replaces Court Street Denizen when bought</t>
        </is>
      </c>
      <c r="AK558" t="inlineStr">
        <is>
          <t>[B3/Max, not targeted] when bought -&gt;D5, replaces Court Street Denizen (Court Street Denizen-&gt;B)</t>
        </is>
      </c>
    </row>
    <row r="559">
      <c r="A559" s="10" t="inlineStr">
        <is>
          <t>Fable of the Mirror-Breaker</t>
        </is>
      </c>
      <c r="B559" s="2">
        <f>IF(AND(F559&lt;&gt;0,E559=F559),"In Hand",IF(AND(E559&lt;&gt;0,E559&lt;F559,SUM(M559:R559)=0,SUM(T559:Y559)&gt;0),"Extra-Sub",IF(AND(E559=0,E559&lt;F559,SUM(M559:R559)=0,SUM(T559:Y559)&gt;0),"Bench-Sub",IF(AND(E559=0,F559&gt;0),"Bench",IF(E559&lt;F559,"Extra",IF(AND(J559="",E559&gt;F559),"To Buy",IF(SUM(J559,F559)&lt;E559,"To Buy",IF(AND(SUM(J559,F559)&gt;=E559,J559&lt;&gt;""),"Ordered",IF(AND(E559=0,F559=0,D559="B3"),"B3 Option",IF(AND(E559=0,F559=0),"Remove","To Buy"))))))))))</f>
        <v/>
      </c>
      <c r="D559" t="inlineStr">
        <is>
          <t>B3</t>
        </is>
      </c>
      <c r="E559" s="3">
        <f>SUM(M559:S559)</f>
        <v/>
      </c>
      <c r="F559" s="3">
        <f>SUM(T559:Z559)</f>
        <v/>
      </c>
      <c r="G559" s="3">
        <f>IF((F559-E559)&gt;=0,F559-E559,0)</f>
        <v/>
      </c>
      <c r="H559" s="11">
        <f>MAX(0,$E559-$F559-$J559)</f>
        <v/>
      </c>
      <c r="I559" s="74" t="n"/>
      <c r="J559" s="74" t="n"/>
      <c r="K559" s="75" t="n">
        <v>6.23</v>
      </c>
      <c r="L559" s="12">
        <f>IF(AND($H559&gt;0,ISNUMBER($K559)),$H559*$K559,0)</f>
        <v/>
      </c>
      <c r="M559" s="74" t="n"/>
      <c r="N559" s="74" t="n"/>
      <c r="O559" s="74" t="n"/>
      <c r="P559" s="74" t="n"/>
      <c r="Q559" s="74" t="n"/>
      <c r="R559" s="74" t="n"/>
      <c r="S559" s="3">
        <f>IF(AND(J559&lt;&gt;"",SUM(M559:R559)=0),J559,"")</f>
        <v/>
      </c>
      <c r="T559" s="3" t="n"/>
      <c r="U559" s="3" t="n"/>
      <c r="V559" s="3" t="n"/>
      <c r="W559" s="3" t="n"/>
      <c r="X559" s="3" t="n"/>
      <c r="Y559" s="3" t="n"/>
      <c r="Z559" s="74" t="n"/>
      <c r="AA559" s="10" t="inlineStr">
        <is>
          <t>Enchantment</t>
        </is>
      </c>
      <c r="AB559" s="10" t="inlineStr">
        <is>
          <t>Saga</t>
        </is>
      </c>
      <c r="AC559" s="10" t="inlineStr">
        <is>
          <t>R</t>
        </is>
      </c>
      <c r="AD559" s="74" t="n">
        <v>3</v>
      </c>
      <c r="AE559" s="76" t="inlineStr">
        <is>
          <t>Kamigawa: Neon Dynasty</t>
        </is>
      </c>
      <c r="AF559" s="76" t="inlineStr">
        <is>
          <t>B3 (Max) add</t>
        </is>
      </c>
      <c r="AG559" s="76" t="inlineStr">
        <is>
          <t>(As this Saga enters and after your draw step, add a lore counter.)
I — Create a 2/2 red Goblin Shaman creature token wi</t>
        </is>
      </c>
      <c r="AH559" s="76" t="n"/>
      <c r="AI559" s="76" t="n"/>
      <c r="AJ559" s="73" t="inlineStr">
        <is>
          <t>B3/Max add for D1; NOT targeted; replaces Primary Research when bought</t>
        </is>
      </c>
      <c r="AK559" t="inlineStr">
        <is>
          <t>[B3/Max, not targeted] when bought -&gt;D1, replaces Primary Research (Primary Research-&gt;B)</t>
        </is>
      </c>
    </row>
    <row r="560">
      <c r="A560" s="10" t="inlineStr">
        <is>
          <t>Farewell</t>
        </is>
      </c>
      <c r="B560" s="2">
        <f>IF(AND(F560&lt;&gt;0,E560=F560),"In Hand",IF(AND(E560&lt;&gt;0,E560&lt;F560,SUM(M560:R560)=0,SUM(T560:Y560)&gt;0),"Extra-Sub",IF(AND(E560=0,E560&lt;F560,SUM(M560:R560)=0,SUM(T560:Y560)&gt;0),"Bench-Sub",IF(AND(E560=0,F560&gt;0),"Bench",IF(E560&lt;F560,"Extra",IF(AND(J560="",E560&gt;F560),"To Buy",IF(SUM(J560,F560)&lt;E560,"To Buy",IF(AND(SUM(J560,F560)&gt;=E560,J560&lt;&gt;""),"Ordered",IF(AND(E560=0,F560=0,D560="B3"),"B3 Option",IF(AND(E560=0,F560=0),"Remove","To Buy"))))))))))</f>
        <v/>
      </c>
      <c r="D560" t="inlineStr">
        <is>
          <t>B3</t>
        </is>
      </c>
      <c r="E560" s="3">
        <f>SUM(M560:S560)</f>
        <v/>
      </c>
      <c r="F560" s="3">
        <f>SUM(T560:Z560)</f>
        <v/>
      </c>
      <c r="G560" s="3">
        <f>IF((F560-E560)&gt;=0,F560-E560,0)</f>
        <v/>
      </c>
      <c r="H560" s="11">
        <f>MAX(0,$E560-$F560-$J560)</f>
        <v/>
      </c>
      <c r="I560" s="74" t="n"/>
      <c r="J560" s="74" t="n"/>
      <c r="K560" s="75" t="n">
        <v>6</v>
      </c>
      <c r="L560" s="12">
        <f>IF(AND($H560&gt;0,ISNUMBER($K560)),$H560*$K560,0)</f>
        <v/>
      </c>
      <c r="M560" s="74" t="n"/>
      <c r="N560" s="74" t="n"/>
      <c r="O560" s="74" t="n"/>
      <c r="P560" s="74" t="n"/>
      <c r="Q560" s="74" t="n"/>
      <c r="R560" s="74" t="n"/>
      <c r="S560" s="3">
        <f>IF(AND(J560&lt;&gt;"",SUM(M560:R560)=0),J560,"")</f>
        <v/>
      </c>
      <c r="T560" s="3" t="n"/>
      <c r="U560" s="3" t="n"/>
      <c r="V560" s="3" t="n"/>
      <c r="W560" s="3" t="n"/>
      <c r="X560" s="3" t="n"/>
      <c r="Y560" s="3" t="n"/>
      <c r="Z560" s="74" t="n"/>
      <c r="AA560" s="10" t="inlineStr">
        <is>
          <t>Sorcery</t>
        </is>
      </c>
      <c r="AB560" s="10" t="n"/>
      <c r="AC560" s="10" t="inlineStr">
        <is>
          <t>W</t>
        </is>
      </c>
      <c r="AD560" s="74" t="n">
        <v>6</v>
      </c>
      <c r="AE560" s="76" t="inlineStr">
        <is>
          <t>Kamigawa: Neon Dynasty</t>
        </is>
      </c>
      <c r="AF560" s="76" t="inlineStr">
        <is>
          <t>B3 (Max) add</t>
        </is>
      </c>
      <c r="AG560" s="76" t="inlineStr">
        <is>
          <t>Choose one or more —
• Exile all artifacts.
• Exile all creatures.
• Exile all enchantments.
• Exile all graveyards.</t>
        </is>
      </c>
      <c r="AH560" s="76" t="n"/>
      <c r="AI560" s="76" t="n"/>
      <c r="AJ560" s="73" t="inlineStr">
        <is>
          <t>B3/Max add for D1 (GAME CHANGER); NOT targeted; replaces Ceaseless Conflict when bought</t>
        </is>
      </c>
      <c r="AK560" t="inlineStr">
        <is>
          <t>[B3/Max, not targeted] when bought -&gt;D1, replaces Ceaseless Conflict (Ceaseless Conflict-&gt;B)</t>
        </is>
      </c>
    </row>
    <row r="561">
      <c r="A561" s="10" t="inlineStr">
        <is>
          <t>Goblin Piledriver</t>
        </is>
      </c>
      <c r="B561" s="2">
        <f>IF(AND(F561&lt;&gt;0,E561=F561),"In Hand",IF(AND(E561&lt;&gt;0,E561&lt;F561,SUM(M561:R561)=0,SUM(T561:Y561)&gt;0),"Extra-Sub",IF(AND(E561=0,E561&lt;F561,SUM(M561:R561)=0,SUM(T561:Y561)&gt;0),"Bench-Sub",IF(AND(E561=0,F561&gt;0),"Bench",IF(E561&lt;F561,"Extra",IF(AND(J561="",E561&gt;F561),"To Buy",IF(SUM(J561,F561)&lt;E561,"To Buy",IF(AND(SUM(J561,F561)&gt;=E561,J561&lt;&gt;""),"Ordered",IF(AND(E561=0,F561=0,D561="B3"),"B3 Option",IF(AND(E561=0,F561=0),"Remove","To Buy"))))))))))</f>
        <v/>
      </c>
      <c r="D561" t="inlineStr">
        <is>
          <t>B3</t>
        </is>
      </c>
      <c r="E561" s="3">
        <f>SUM(M561:S561)</f>
        <v/>
      </c>
      <c r="F561" s="3">
        <f>SUM(T561:Z561)</f>
        <v/>
      </c>
      <c r="G561" s="3">
        <f>IF((F561-E561)&gt;=0,F561-E561,0)</f>
        <v/>
      </c>
      <c r="H561" s="11">
        <f>MAX(0,$E561-$F561-$J561)</f>
        <v/>
      </c>
      <c r="I561" s="74" t="n"/>
      <c r="J561" s="74" t="n"/>
      <c r="K561" s="75" t="n">
        <v>2.56</v>
      </c>
      <c r="L561" s="12">
        <f>IF(AND($H561&gt;0,ISNUMBER($K561)),$H561*$K561,0)</f>
        <v/>
      </c>
      <c r="M561" s="74" t="n"/>
      <c r="N561" s="74" t="n"/>
      <c r="O561" s="74" t="n"/>
      <c r="P561" s="74" t="n"/>
      <c r="Q561" s="74" t="n"/>
      <c r="R561" s="74" t="n"/>
      <c r="S561" s="3">
        <f>IF(AND(J561&lt;&gt;"",SUM(M561:R561)=0),J561,"")</f>
        <v/>
      </c>
      <c r="T561" s="3" t="n"/>
      <c r="U561" s="3" t="n"/>
      <c r="V561" s="3" t="n"/>
      <c r="W561" s="3" t="n"/>
      <c r="X561" s="3" t="n"/>
      <c r="Y561" s="3" t="n"/>
      <c r="Z561" s="74" t="n"/>
      <c r="AA561" s="10" t="inlineStr">
        <is>
          <t>Creature</t>
        </is>
      </c>
      <c r="AB561" s="10" t="inlineStr">
        <is>
          <t>Goblin Warrior</t>
        </is>
      </c>
      <c r="AC561" s="10" t="inlineStr">
        <is>
          <t>R</t>
        </is>
      </c>
      <c r="AD561" s="74" t="n">
        <v>2</v>
      </c>
      <c r="AE561" s="76" t="inlineStr">
        <is>
          <t>Onslaught</t>
        </is>
      </c>
      <c r="AF561" s="76" t="inlineStr">
        <is>
          <t>B3 (Max) add</t>
        </is>
      </c>
      <c r="AG561" s="76" t="inlineStr">
        <is>
          <t>Protection from blue (This creature can't be blocked, targeted, dealt damage, or enchanted by anything blue.)
Whenever t</t>
        </is>
      </c>
      <c r="AH561" s="76" t="n"/>
      <c r="AI561" s="76" t="n"/>
      <c r="AJ561" s="73" t="inlineStr">
        <is>
          <t>B3/Max add for D6; NOT targeted; replaces Ghor-Clan Wrecker when bought</t>
        </is>
      </c>
      <c r="AK561" t="inlineStr">
        <is>
          <t>[B3/Max, not targeted] when bought -&gt;D6, replaces Ghor-Clan Wrecker (Ghor-Clan Wrecker-&gt;B)</t>
        </is>
      </c>
    </row>
    <row r="562">
      <c r="A562" s="10" t="inlineStr">
        <is>
          <t>Goblin Recruiter</t>
        </is>
      </c>
      <c r="B562" s="2">
        <f>IF(AND(F562&lt;&gt;0,E562=F562),"In Hand",IF(AND(E562&lt;&gt;0,E562&lt;F562,SUM(M562:R562)=0,SUM(T562:Y562)&gt;0),"Extra-Sub",IF(AND(E562=0,E562&lt;F562,SUM(M562:R562)=0,SUM(T562:Y562)&gt;0),"Bench-Sub",IF(AND(E562=0,F562&gt;0),"Bench",IF(E562&lt;F562,"Extra",IF(AND(J562="",E562&gt;F562),"To Buy",IF(SUM(J562,F562)&lt;E562,"To Buy",IF(AND(SUM(J562,F562)&gt;=E562,J562&lt;&gt;""),"Ordered",IF(AND(E562=0,F562=0,D562="B3"),"B3 Option",IF(AND(E562=0,F562=0),"Remove","To Buy"))))))))))</f>
        <v/>
      </c>
      <c r="D562" t="inlineStr">
        <is>
          <t>B3</t>
        </is>
      </c>
      <c r="E562" s="3">
        <f>SUM(M562:S562)</f>
        <v/>
      </c>
      <c r="F562" s="3">
        <f>SUM(T562:Z562)</f>
        <v/>
      </c>
      <c r="G562" s="3">
        <f>IF((F562-E562)&gt;=0,F562-E562,0)</f>
        <v/>
      </c>
      <c r="H562" s="11">
        <f>MAX(0,$E562-$F562-$J562)</f>
        <v/>
      </c>
      <c r="I562" s="74" t="n"/>
      <c r="J562" s="74" t="n"/>
      <c r="K562" s="75" t="n">
        <v>6.6</v>
      </c>
      <c r="L562" s="12">
        <f>IF(AND($H562&gt;0,ISNUMBER($K562)),$H562*$K562,0)</f>
        <v/>
      </c>
      <c r="M562" s="74" t="n"/>
      <c r="N562" s="74" t="n"/>
      <c r="O562" s="74" t="n"/>
      <c r="P562" s="74" t="n"/>
      <c r="Q562" s="74" t="n"/>
      <c r="R562" s="74" t="n"/>
      <c r="S562" s="3">
        <f>IF(AND(J562&lt;&gt;"",SUM(M562:R562)=0),J562,"")</f>
        <v/>
      </c>
      <c r="T562" s="3" t="n"/>
      <c r="U562" s="3" t="n"/>
      <c r="V562" s="3" t="n"/>
      <c r="W562" s="3" t="n"/>
      <c r="X562" s="3" t="n"/>
      <c r="Y562" s="3" t="n"/>
      <c r="Z562" s="74" t="n"/>
      <c r="AA562" s="10" t="inlineStr">
        <is>
          <t>Creature</t>
        </is>
      </c>
      <c r="AB562" s="10" t="inlineStr">
        <is>
          <t>Goblin</t>
        </is>
      </c>
      <c r="AC562" s="10" t="inlineStr">
        <is>
          <t>R</t>
        </is>
      </c>
      <c r="AD562" s="74" t="n">
        <v>2</v>
      </c>
      <c r="AE562" s="76" t="inlineStr">
        <is>
          <t>Visions</t>
        </is>
      </c>
      <c r="AF562" s="76" t="inlineStr">
        <is>
          <t>B3 (Max) add</t>
        </is>
      </c>
      <c r="AG562" s="76" t="inlineStr">
        <is>
          <t>When this creature enters, search your library for any number of Goblin cards, reveal them, then shuffle and put those c</t>
        </is>
      </c>
      <c r="AH562" s="76" t="n"/>
      <c r="AI562" s="76" t="n"/>
      <c r="AJ562" s="73" t="inlineStr">
        <is>
          <t>B3/Max add for D6; NOT targeted; replaces Kulrath Zealot when bought</t>
        </is>
      </c>
      <c r="AK562" t="inlineStr">
        <is>
          <t>[B3/Max, not targeted] when bought -&gt;D6, replaces Kulrath Zealot (Kulrath Zealot-&gt;B)</t>
        </is>
      </c>
    </row>
    <row r="563">
      <c r="A563" s="10" t="inlineStr">
        <is>
          <t>Guardian Project</t>
        </is>
      </c>
      <c r="B563" s="2">
        <f>IF(AND(F563&lt;&gt;0,E563=F563),"In Hand",IF(AND(E563&lt;&gt;0,E563&lt;F563,SUM(M563:R563)=0,SUM(T563:Y563)&gt;0),"Extra-Sub",IF(AND(E563=0,E563&lt;F563,SUM(M563:R563)=0,SUM(T563:Y563)&gt;0),"Bench-Sub",IF(AND(E563=0,F563&gt;0),"Bench",IF(E563&lt;F563,"Extra",IF(AND(J563="",E563&gt;F563),"To Buy",IF(SUM(J563,F563)&lt;E563,"To Buy",IF(AND(SUM(J563,F563)&gt;=E563,J563&lt;&gt;""),"Ordered",IF(AND(E563=0,F563=0,D563="B3"),"B3 Option",IF(AND(E563=0,F563=0),"Remove","To Buy"))))))))))</f>
        <v/>
      </c>
      <c r="D563" t="inlineStr">
        <is>
          <t>B3</t>
        </is>
      </c>
      <c r="E563" s="3">
        <f>SUM(M563:S563)</f>
        <v/>
      </c>
      <c r="F563" s="3">
        <f>SUM(T563:Z563)</f>
        <v/>
      </c>
      <c r="G563" s="3">
        <f>IF((F563-E563)&gt;=0,F563-E563,0)</f>
        <v/>
      </c>
      <c r="H563" s="11">
        <f>MAX(0,$E563-$F563-$J563)</f>
        <v/>
      </c>
      <c r="I563" s="74" t="n"/>
      <c r="J563" s="74" t="n"/>
      <c r="K563" s="75" t="n">
        <v>14.88</v>
      </c>
      <c r="L563" s="12">
        <f>IF(AND($H563&gt;0,ISNUMBER($K563)),$H563*$K563,0)</f>
        <v/>
      </c>
      <c r="M563" s="74" t="n"/>
      <c r="N563" s="74" t="n"/>
      <c r="O563" s="74" t="n"/>
      <c r="P563" s="74" t="n"/>
      <c r="Q563" s="74" t="n"/>
      <c r="R563" s="74" t="n"/>
      <c r="S563" s="3">
        <f>IF(AND(J563&lt;&gt;"",SUM(M563:R563)=0),J563,"")</f>
        <v/>
      </c>
      <c r="T563" s="3" t="n"/>
      <c r="U563" s="3" t="n"/>
      <c r="V563" s="3" t="n"/>
      <c r="W563" s="3" t="n"/>
      <c r="X563" s="3" t="n"/>
      <c r="Y563" s="3" t="n"/>
      <c r="Z563" s="74" t="n"/>
      <c r="AA563" s="10" t="inlineStr">
        <is>
          <t>Enchantment</t>
        </is>
      </c>
      <c r="AB563" s="10" t="n"/>
      <c r="AC563" s="10" t="inlineStr">
        <is>
          <t>G</t>
        </is>
      </c>
      <c r="AD563" s="74" t="n">
        <v>4</v>
      </c>
      <c r="AE563" s="76" t="inlineStr">
        <is>
          <t>Ravnica Allegiance</t>
        </is>
      </c>
      <c r="AF563" s="76" t="inlineStr">
        <is>
          <t>B3 (Max) add</t>
        </is>
      </c>
      <c r="AG563" s="76" t="inlineStr">
        <is>
          <t>Whenever a nontoken creature you control enters, if it doesn't have the same name as another creature you control or a c</t>
        </is>
      </c>
      <c r="AH563" s="76" t="n"/>
      <c r="AI563" s="76" t="n"/>
      <c r="AJ563" s="73" t="inlineStr">
        <is>
          <t>B3/Max add for D2; NOT targeted; replaces Glamermite when bought; B3/Max add for D4; NOT targeted; replaces Crashing Drawbridge when bought</t>
        </is>
      </c>
      <c r="AK563" t="inlineStr">
        <is>
          <t>[B3/Max, not targeted] when bought -&gt;D2, replaces Glamermite (Glamermite-&gt;B); [B3/Max, not targeted] when bought -&gt;D4, replaces Crashing Drawbridge (Crashing Drawbridge-&gt;B)</t>
        </is>
      </c>
    </row>
    <row r="564">
      <c r="A564" s="10" t="inlineStr">
        <is>
          <t>Ichormoon Gauntlet</t>
        </is>
      </c>
      <c r="B564" s="2">
        <f>IF(AND(F564&lt;&gt;0,E564=F564),"In Hand",IF(AND(E564&lt;&gt;0,E564&lt;F564,SUM(M564:R564)=0,SUM(T564:Y564)&gt;0),"Extra-Sub",IF(AND(E564=0,E564&lt;F564,SUM(M564:R564)=0,SUM(T564:Y564)&gt;0),"Bench-Sub",IF(AND(E564=0,F564&gt;0),"Bench",IF(E564&lt;F564,"Extra",IF(AND(J564="",E564&gt;F564),"To Buy",IF(SUM(J564,F564)&lt;E564,"To Buy",IF(AND(SUM(J564,F564)&gt;=E564,J564&lt;&gt;""),"Ordered",IF(AND(E564=0,F564=0,D564="B3"),"B3 Option",IF(AND(E564=0,F564=0),"Remove","To Buy"))))))))))</f>
        <v/>
      </c>
      <c r="D564" t="inlineStr">
        <is>
          <t>B3</t>
        </is>
      </c>
      <c r="E564" s="3">
        <f>SUM(M564:S564)</f>
        <v/>
      </c>
      <c r="F564" s="3">
        <f>SUM(T564:Z564)</f>
        <v/>
      </c>
      <c r="G564" s="3">
        <f>IF((F564-E564)&gt;=0,F564-E564,0)</f>
        <v/>
      </c>
      <c r="H564" s="11">
        <f>MAX(0,$E564-$F564-$J564)</f>
        <v/>
      </c>
      <c r="I564" s="74" t="n"/>
      <c r="J564" s="74" t="n"/>
      <c r="K564" s="75" t="n">
        <v>4.8</v>
      </c>
      <c r="L564" s="12">
        <f>IF(AND($H564&gt;0,ISNUMBER($K564)),$H564*$K564,0)</f>
        <v/>
      </c>
      <c r="M564" s="74" t="n"/>
      <c r="N564" s="74" t="n"/>
      <c r="O564" s="74" t="n"/>
      <c r="P564" s="74" t="n"/>
      <c r="Q564" s="74" t="n"/>
      <c r="R564" s="74" t="n"/>
      <c r="S564" s="3">
        <f>IF(AND(J564&lt;&gt;"",SUM(M564:R564)=0),J564,"")</f>
        <v/>
      </c>
      <c r="T564" s="3" t="n"/>
      <c r="U564" s="3" t="n"/>
      <c r="V564" s="3" t="n"/>
      <c r="W564" s="3" t="n"/>
      <c r="X564" s="3" t="n"/>
      <c r="Y564" s="3" t="n"/>
      <c r="Z564" s="74" t="n"/>
      <c r="AA564" s="10" t="inlineStr">
        <is>
          <t>Artifact</t>
        </is>
      </c>
      <c r="AB564" s="10" t="n"/>
      <c r="AC564" s="10" t="inlineStr">
        <is>
          <t>U</t>
        </is>
      </c>
      <c r="AD564" s="74" t="n">
        <v>3</v>
      </c>
      <c r="AE564" s="76" t="inlineStr">
        <is>
          <t>Phyrexia: All Will Be One</t>
        </is>
      </c>
      <c r="AF564" s="76" t="inlineStr">
        <is>
          <t>B3 (Max) add</t>
        </is>
      </c>
      <c r="AG564" s="76" t="inlineStr">
        <is>
          <t>Planeswalkers you control have "[0]: Proliferate" and "[−12]: Take an extra turn after this one."
Whenever you cast a no</t>
        </is>
      </c>
      <c r="AH564" s="76" t="n"/>
      <c r="AI564" s="76" t="n"/>
      <c r="AJ564" s="73" t="inlineStr">
        <is>
          <t>B3/Max add for D3; NOT targeted; replaces Rebellious Captives when bought</t>
        </is>
      </c>
      <c r="AK564" t="inlineStr">
        <is>
          <t>[B3/Max, not targeted] when bought -&gt;D3, replaces Rebellious Captives (Rebellious Captives-&gt;B)</t>
        </is>
      </c>
    </row>
    <row r="565">
      <c r="A565" s="10" t="inlineStr">
        <is>
          <t>Idol of Oblivion</t>
        </is>
      </c>
      <c r="B565" s="2">
        <f>IF(AND(F565&lt;&gt;0,E565=F565),"In Hand",IF(AND(E565&lt;&gt;0,E565&lt;F565,SUM(M565:R565)=0,SUM(T565:Y565)&gt;0),"Extra-Sub",IF(AND(E565=0,E565&lt;F565,SUM(M565:R565)=0,SUM(T565:Y565)&gt;0),"Bench-Sub",IF(AND(E565=0,F565&gt;0),"Bench",IF(E565&lt;F565,"Extra",IF(AND(J565="",E565&gt;F565),"To Buy",IF(SUM(J565,F565)&lt;E565,"To Buy",IF(AND(SUM(J565,F565)&gt;=E565,J565&lt;&gt;""),"Ordered",IF(AND(E565=0,F565=0,D565="B3"),"B3 Option",IF(AND(E565=0,F565=0),"Remove","To Buy"))))))))))</f>
        <v/>
      </c>
      <c r="D565" t="inlineStr">
        <is>
          <t>B3</t>
        </is>
      </c>
      <c r="E565" s="3">
        <f>SUM(M565:S565)</f>
        <v/>
      </c>
      <c r="F565" s="3">
        <f>SUM(T565:Z565)</f>
        <v/>
      </c>
      <c r="G565" s="3">
        <f>IF((F565-E565)&gt;=0,F565-E565,0)</f>
        <v/>
      </c>
      <c r="H565" s="11">
        <f>MAX(0,$E565-$F565-$J565)</f>
        <v/>
      </c>
      <c r="I565" s="74" t="n"/>
      <c r="J565" s="74" t="n"/>
      <c r="K565" s="75" t="n">
        <v>2.07</v>
      </c>
      <c r="L565" s="12">
        <f>IF(AND($H565&gt;0,ISNUMBER($K565)),$H565*$K565,0)</f>
        <v/>
      </c>
      <c r="M565" s="74" t="n"/>
      <c r="N565" s="74" t="n"/>
      <c r="O565" s="74" t="n"/>
      <c r="P565" s="74" t="n"/>
      <c r="Q565" s="74" t="n"/>
      <c r="R565" s="74" t="n"/>
      <c r="S565" s="3">
        <f>IF(AND(J565&lt;&gt;"",SUM(M565:R565)=0),J565,"")</f>
        <v/>
      </c>
      <c r="T565" s="3" t="n"/>
      <c r="U565" s="3" t="n"/>
      <c r="V565" s="3" t="n"/>
      <c r="W565" s="3" t="n"/>
      <c r="X565" s="3" t="n"/>
      <c r="Y565" s="3" t="n"/>
      <c r="Z565" s="74" t="n"/>
      <c r="AA565" s="10" t="inlineStr">
        <is>
          <t>Artifact</t>
        </is>
      </c>
      <c r="AB565" s="10" t="n"/>
      <c r="AC565" s="10" t="inlineStr">
        <is>
          <t>C</t>
        </is>
      </c>
      <c r="AD565" s="74" t="n">
        <v>2</v>
      </c>
      <c r="AE565" s="76" t="inlineStr">
        <is>
          <t>Commander 2019</t>
        </is>
      </c>
      <c r="AF565" s="76" t="inlineStr">
        <is>
          <t>B3 (Max) add</t>
        </is>
      </c>
      <c r="AG565" s="76" t="inlineStr">
        <is>
          <t>{T}: Draw a card. Activate only if you created a token this turn.
{8}, {T}, Sacrifice this artifact: Create a 10/10 colo</t>
        </is>
      </c>
      <c r="AH565" s="76" t="n"/>
      <c r="AI565" s="76" t="n"/>
      <c r="AJ565" s="73" t="inlineStr">
        <is>
          <t>B3/Max add for D6; NOT targeted; replaces Gristle Glutton when bought</t>
        </is>
      </c>
      <c r="AK565" t="inlineStr">
        <is>
          <t>[B3/Max, not targeted] when bought -&gt;D6, replaces Gristle Glutton (Gristle Glutton-&gt;B)</t>
        </is>
      </c>
    </row>
    <row r="566">
      <c r="A566" s="10" t="inlineStr">
        <is>
          <t>Inspiring Vantage</t>
        </is>
      </c>
      <c r="B566" s="2">
        <f>IF(AND(F566&lt;&gt;0,E566=F566),"In Hand",IF(AND(E566&lt;&gt;0,E566&lt;F566,SUM(M566:R566)=0,SUM(T566:Y566)&gt;0),"Extra-Sub",IF(AND(E566=0,E566&lt;F566,SUM(M566:R566)=0,SUM(T566:Y566)&gt;0),"Bench-Sub",IF(AND(E566=0,F566&gt;0),"Bench",IF(E566&lt;F566,"Extra",IF(AND(J566="",E566&gt;F566),"To Buy",IF(SUM(J566,F566)&lt;E566,"To Buy",IF(AND(SUM(J566,F566)&gt;=E566,J566&lt;&gt;""),"Ordered",IF(AND(E566=0,F566=0,D566="B3"),"B3 Option",IF(AND(E566=0,F566=0),"Remove","To Buy"))))))))))</f>
        <v/>
      </c>
      <c r="D566" t="inlineStr">
        <is>
          <t>B3</t>
        </is>
      </c>
      <c r="E566" s="3">
        <f>SUM(M566:S566)</f>
        <v/>
      </c>
      <c r="F566" s="3">
        <f>SUM(T566:Z566)</f>
        <v/>
      </c>
      <c r="G566" s="3">
        <f>IF((F566-E566)&gt;=0,F566-E566,0)</f>
        <v/>
      </c>
      <c r="H566" s="11">
        <f>MAX(0,$E566-$F566-$J566)</f>
        <v/>
      </c>
      <c r="I566" s="74" t="n"/>
      <c r="J566" s="74" t="n"/>
      <c r="K566" s="75" t="n">
        <v>2.03</v>
      </c>
      <c r="L566" s="12">
        <f>IF(AND($H566&gt;0,ISNUMBER($K566)),$H566*$K566,0)</f>
        <v/>
      </c>
      <c r="M566" s="74" t="n"/>
      <c r="N566" s="74" t="n"/>
      <c r="O566" s="74" t="n"/>
      <c r="P566" s="74" t="n"/>
      <c r="Q566" s="74" t="n"/>
      <c r="R566" s="74" t="n"/>
      <c r="S566" s="3">
        <f>IF(AND(J566&lt;&gt;"",SUM(M566:R566)=0),J566,"")</f>
        <v/>
      </c>
      <c r="T566" s="3" t="n"/>
      <c r="U566" s="3" t="n"/>
      <c r="V566" s="3" t="n"/>
      <c r="W566" s="3" t="n"/>
      <c r="X566" s="3" t="n"/>
      <c r="Y566" s="3" t="n"/>
      <c r="Z566" s="74" t="n"/>
      <c r="AA566" s="10" t="inlineStr">
        <is>
          <t>Land</t>
        </is>
      </c>
      <c r="AB566" s="10" t="n"/>
      <c r="AC566" s="10" t="inlineStr">
        <is>
          <t>RW</t>
        </is>
      </c>
      <c r="AD566" s="74" t="n">
        <v>0</v>
      </c>
      <c r="AE566" s="76" t="inlineStr">
        <is>
          <t>Kaladesh</t>
        </is>
      </c>
      <c r="AF566" s="76" t="inlineStr">
        <is>
          <t>B3 (Max) add</t>
        </is>
      </c>
      <c r="AG566" s="76" t="inlineStr">
        <is>
          <t>This land enters tapped unless you control two or fewer other lands.
{T}: Add {R} or {W}.</t>
        </is>
      </c>
      <c r="AH566" s="76" t="n"/>
      <c r="AI566" s="76" t="n"/>
      <c r="AJ566" s="73" t="inlineStr">
        <is>
          <t>B3/Max add for D1; NOT targeted; replaces Stone Quarry when bought</t>
        </is>
      </c>
      <c r="AK566" t="inlineStr">
        <is>
          <t>[B3/Max, not targeted] when bought -&gt;D1, replaces Stone Quarry (Stone Quarry-&gt;B)</t>
        </is>
      </c>
    </row>
    <row r="567">
      <c r="A567" s="10" t="inlineStr">
        <is>
          <t>Jeska's Will</t>
        </is>
      </c>
      <c r="B567" s="2">
        <f>IF(AND(F567&lt;&gt;0,E567=F567),"In Hand",IF(AND(E567&lt;&gt;0,E567&lt;F567,SUM(M567:R567)=0,SUM(T567:Y567)&gt;0),"Extra-Sub",IF(AND(E567=0,E567&lt;F567,SUM(M567:R567)=0,SUM(T567:Y567)&gt;0),"Bench-Sub",IF(AND(E567=0,F567&gt;0),"Bench",IF(E567&lt;F567,"Extra",IF(AND(J567="",E567&gt;F567),"To Buy",IF(SUM(J567,F567)&lt;E567,"To Buy",IF(AND(SUM(J567,F567)&gt;=E567,J567&lt;&gt;""),"Ordered",IF(AND(E567=0,F567=0,D567="B3"),"B3 Option",IF(AND(E567=0,F567=0),"Remove","To Buy"))))))))))</f>
        <v/>
      </c>
      <c r="D567" t="inlineStr">
        <is>
          <t>B3</t>
        </is>
      </c>
      <c r="E567" s="3">
        <f>SUM(M567:S567)</f>
        <v/>
      </c>
      <c r="F567" s="3">
        <f>SUM(T567:Z567)</f>
        <v/>
      </c>
      <c r="G567" s="3">
        <f>IF((F567-E567)&gt;=0,F567-E567,0)</f>
        <v/>
      </c>
      <c r="H567" s="11">
        <f>MAX(0,$E567-$F567-$J567)</f>
        <v/>
      </c>
      <c r="I567" s="74" t="n"/>
      <c r="J567" s="74" t="n"/>
      <c r="K567" s="75" t="n">
        <v>40.09</v>
      </c>
      <c r="L567" s="12">
        <f>IF(AND($H567&gt;0,ISNUMBER($K567)),$H567*$K567,0)</f>
        <v/>
      </c>
      <c r="M567" s="74" t="n"/>
      <c r="N567" s="74" t="n"/>
      <c r="O567" s="74" t="n"/>
      <c r="P567" s="74" t="n"/>
      <c r="Q567" s="74" t="n"/>
      <c r="R567" s="74" t="n"/>
      <c r="S567" s="3">
        <f>IF(AND(J567&lt;&gt;"",SUM(M567:R567)=0),J567,"")</f>
        <v/>
      </c>
      <c r="T567" s="3" t="n"/>
      <c r="U567" s="3" t="n"/>
      <c r="V567" s="3" t="n"/>
      <c r="W567" s="3" t="n"/>
      <c r="X567" s="3" t="n"/>
      <c r="Y567" s="3" t="n"/>
      <c r="Z567" s="74" t="n"/>
      <c r="AA567" s="10" t="n"/>
      <c r="AB567" s="10" t="n"/>
      <c r="AC567" s="10" t="inlineStr">
        <is>
          <t>C</t>
        </is>
      </c>
      <c r="AD567" s="74" t="n">
        <v>0</v>
      </c>
      <c r="AE567" s="76" t="inlineStr">
        <is>
          <t>Commander Legends</t>
        </is>
      </c>
      <c r="AF567" s="76" t="inlineStr">
        <is>
          <t>B3 (Max) add</t>
        </is>
      </c>
      <c r="AG567" s="76" t="n"/>
      <c r="AH567" s="76" t="n"/>
      <c r="AI567" s="76" t="n"/>
      <c r="AJ567" s="73" t="inlineStr">
        <is>
          <t>B3/Max add for D6 (GAME CHANGER); NOT targeted; replaces Combustion Technique when bought</t>
        </is>
      </c>
      <c r="AK567" t="inlineStr">
        <is>
          <t>[B3/Max, not targeted] when bought -&gt;D6, replaces Combustion Technique (Combustion Technique-&gt;B)</t>
        </is>
      </c>
    </row>
    <row r="568">
      <c r="A568" s="10" t="inlineStr">
        <is>
          <t>Muxus, Goblin Grandee</t>
        </is>
      </c>
      <c r="B568" s="2">
        <f>IF(AND(F568&lt;&gt;0,E568=F568),"In Hand",IF(AND(E568&lt;&gt;0,E568&lt;F568,SUM(M568:R568)=0,SUM(T568:Y568)&gt;0),"Extra-Sub",IF(AND(E568=0,E568&lt;F568,SUM(M568:R568)=0,SUM(T568:Y568)&gt;0),"Bench-Sub",IF(AND(E568=0,F568&gt;0),"Bench",IF(E568&lt;F568,"Extra",IF(AND(J568="",E568&gt;F568),"To Buy",IF(SUM(J568,F568)&lt;E568,"To Buy",IF(AND(SUM(J568,F568)&gt;=E568,J568&lt;&gt;""),"Ordered",IF(AND(E568=0,F568=0,D568="B3"),"B3 Option",IF(AND(E568=0,F568=0),"Remove","To Buy"))))))))))</f>
        <v/>
      </c>
      <c r="D568" t="inlineStr">
        <is>
          <t>B3</t>
        </is>
      </c>
      <c r="E568" s="3">
        <f>SUM(M568:S568)</f>
        <v/>
      </c>
      <c r="F568" s="3">
        <f>SUM(T568:Z568)</f>
        <v/>
      </c>
      <c r="G568" s="3">
        <f>IF((F568-E568)&gt;=0,F568-E568,0)</f>
        <v/>
      </c>
      <c r="H568" s="11">
        <f>MAX(0,$E568-$F568-$J568)</f>
        <v/>
      </c>
      <c r="I568" s="74" t="n"/>
      <c r="J568" s="74" t="n"/>
      <c r="K568" s="75" t="n">
        <v>12.87</v>
      </c>
      <c r="L568" s="12">
        <f>IF(AND($H568&gt;0,ISNUMBER($K568)),$H568*$K568,0)</f>
        <v/>
      </c>
      <c r="M568" s="74" t="n"/>
      <c r="N568" s="74" t="n"/>
      <c r="O568" s="74" t="n"/>
      <c r="P568" s="74" t="n"/>
      <c r="Q568" s="74" t="n"/>
      <c r="R568" s="74" t="n"/>
      <c r="S568" s="3">
        <f>IF(AND(J568&lt;&gt;"",SUM(M568:R568)=0),J568,"")</f>
        <v/>
      </c>
      <c r="T568" s="3" t="n"/>
      <c r="U568" s="3" t="n"/>
      <c r="V568" s="3" t="n"/>
      <c r="W568" s="3" t="n"/>
      <c r="X568" s="3" t="n"/>
      <c r="Y568" s="3" t="n"/>
      <c r="Z568" s="74" t="n"/>
      <c r="AA568" s="10" t="inlineStr">
        <is>
          <t>Legendary Creature</t>
        </is>
      </c>
      <c r="AB568" s="10" t="inlineStr">
        <is>
          <t>Goblin Noble</t>
        </is>
      </c>
      <c r="AC568" s="10" t="inlineStr">
        <is>
          <t>R</t>
        </is>
      </c>
      <c r="AD568" s="74" t="n">
        <v>6</v>
      </c>
      <c r="AE568" s="76" t="inlineStr">
        <is>
          <t>Jumpstart</t>
        </is>
      </c>
      <c r="AF568" s="76" t="inlineStr">
        <is>
          <t>B3 (Max) add</t>
        </is>
      </c>
      <c r="AG568" s="76" t="inlineStr">
        <is>
          <t>When Muxus enters, reveal the top six cards of your library. Put all Goblin creature cards with mana value 5 or less fro</t>
        </is>
      </c>
      <c r="AH568" s="76" t="n"/>
      <c r="AI568" s="76" t="n"/>
      <c r="AJ568" s="73" t="inlineStr">
        <is>
          <t>B3/Max add for D6; NOT targeted; replaces Boar-q-pine when bought</t>
        </is>
      </c>
      <c r="AK568" t="inlineStr">
        <is>
          <t>[B3/Max, not targeted] when bought -&gt;D6, replaces Boar-q-pine (Boar-q-pine-&gt;B)</t>
        </is>
      </c>
    </row>
    <row r="569">
      <c r="A569" s="10" t="inlineStr">
        <is>
          <t>Nature's Lore</t>
        </is>
      </c>
      <c r="B569" s="2">
        <f>IF(AND(F569&lt;&gt;0,E569=F569),"In Hand",IF(AND(E569&lt;&gt;0,E569&lt;F569,SUM(M569:R569)=0,SUM(T569:Y569)&gt;0),"Extra-Sub",IF(AND(E569=0,E569&lt;F569,SUM(M569:R569)=0,SUM(T569:Y569)&gt;0),"Bench-Sub",IF(AND(E569=0,F569&gt;0),"Bench",IF(E569&lt;F569,"Extra",IF(AND(J569="",E569&gt;F569),"To Buy",IF(SUM(J569,F569)&lt;E569,"To Buy",IF(AND(SUM(J569,F569)&gt;=E569,J569&lt;&gt;""),"Ordered",IF(AND(E569=0,F569=0,D569="B3"),"B3 Option",IF(AND(E569=0,F569=0),"Remove","To Buy"))))))))))</f>
        <v/>
      </c>
      <c r="D569" t="inlineStr">
        <is>
          <t>B3</t>
        </is>
      </c>
      <c r="E569" s="3">
        <f>SUM(M569:S569)</f>
        <v/>
      </c>
      <c r="F569" s="3">
        <f>SUM(T569:Z569)</f>
        <v/>
      </c>
      <c r="G569" s="3">
        <f>IF((F569-E569)&gt;=0,F569-E569,0)</f>
        <v/>
      </c>
      <c r="H569" s="11">
        <f>MAX(0,$E569-$F569-$J569)</f>
        <v/>
      </c>
      <c r="I569" s="74" t="n"/>
      <c r="J569" s="74" t="n"/>
      <c r="K569" s="75" t="n">
        <v>2.69</v>
      </c>
      <c r="L569" s="12">
        <f>IF(AND($H569&gt;0,ISNUMBER($K569)),$H569*$K569,0)</f>
        <v/>
      </c>
      <c r="M569" s="74" t="n"/>
      <c r="N569" s="74" t="n"/>
      <c r="O569" s="74" t="n"/>
      <c r="P569" s="74" t="n"/>
      <c r="Q569" s="74" t="n"/>
      <c r="R569" s="74" t="n"/>
      <c r="S569" s="3">
        <f>IF(AND(J569&lt;&gt;"",SUM(M569:R569)=0),J569,"")</f>
        <v/>
      </c>
      <c r="T569" s="3" t="n"/>
      <c r="U569" s="3" t="n"/>
      <c r="V569" s="3" t="n"/>
      <c r="W569" s="3" t="n"/>
      <c r="X569" s="3" t="n"/>
      <c r="Y569" s="3" t="n"/>
      <c r="Z569" s="74" t="n"/>
      <c r="AA569" s="10" t="inlineStr">
        <is>
          <t>Sorcery</t>
        </is>
      </c>
      <c r="AB569" s="10" t="n"/>
      <c r="AC569" s="10" t="inlineStr">
        <is>
          <t>G</t>
        </is>
      </c>
      <c r="AD569" s="74" t="n">
        <v>2</v>
      </c>
      <c r="AE569" s="76" t="inlineStr">
        <is>
          <t>Ice Age</t>
        </is>
      </c>
      <c r="AF569" s="76" t="inlineStr">
        <is>
          <t>B3 (Max) add</t>
        </is>
      </c>
      <c r="AG569" s="76" t="inlineStr">
        <is>
          <t>Search your library for a Forest card, put that card onto the battlefield, then shuffle.</t>
        </is>
      </c>
      <c r="AH569" s="76" t="n"/>
      <c r="AI569" s="76" t="n"/>
      <c r="AJ569" s="73" t="inlineStr">
        <is>
          <t>B3/Max add for D3; NOT targeted; replaces Origin of Metalbending when bought</t>
        </is>
      </c>
      <c r="AK569" t="inlineStr">
        <is>
          <t>[B3/Max, not targeted] when bought -&gt;D3, replaces Origin of Metalbending (Origin of Metalbending-&gt;B)</t>
        </is>
      </c>
    </row>
    <row r="570">
      <c r="A570" s="10" t="inlineStr">
        <is>
          <t>Panharmonicon</t>
        </is>
      </c>
      <c r="B570" s="2">
        <f>IF(AND(F570&lt;&gt;0,E570=F570),"In Hand",IF(AND(E570&lt;&gt;0,E570&lt;F570,SUM(M570:R570)=0,SUM(T570:Y570)&gt;0),"Extra-Sub",IF(AND(E570=0,E570&lt;F570,SUM(M570:R570)=0,SUM(T570:Y570)&gt;0),"Bench-Sub",IF(AND(E570=0,F570&gt;0),"Bench",IF(E570&lt;F570,"Extra",IF(AND(J570="",E570&gt;F570),"To Buy",IF(SUM(J570,F570)&lt;E570,"To Buy",IF(AND(SUM(J570,F570)&gt;=E570,J570&lt;&gt;""),"Ordered",IF(AND(E570=0,F570=0,D570="B3"),"B3 Option",IF(AND(E570=0,F570=0),"Remove","To Buy"))))))))))</f>
        <v/>
      </c>
      <c r="D570" t="inlineStr">
        <is>
          <t>B3</t>
        </is>
      </c>
      <c r="E570" s="3">
        <f>SUM(M570:S570)</f>
        <v/>
      </c>
      <c r="F570" s="3">
        <f>SUM(T570:Z570)</f>
        <v/>
      </c>
      <c r="G570" s="3">
        <f>IF((F570-E570)&gt;=0,F570-E570,0)</f>
        <v/>
      </c>
      <c r="H570" s="11">
        <f>MAX(0,$E570-$F570-$J570)</f>
        <v/>
      </c>
      <c r="I570" s="74" t="n"/>
      <c r="J570" s="74" t="n"/>
      <c r="K570" s="75" t="n">
        <v>6.92</v>
      </c>
      <c r="L570" s="12">
        <f>IF(AND($H570&gt;0,ISNUMBER($K570)),$H570*$K570,0)</f>
        <v/>
      </c>
      <c r="M570" s="74" t="n"/>
      <c r="N570" s="74" t="n"/>
      <c r="O570" s="74" t="n"/>
      <c r="P570" s="74" t="n"/>
      <c r="Q570" s="74" t="n"/>
      <c r="R570" s="74" t="n"/>
      <c r="S570" s="3">
        <f>IF(AND(J570&lt;&gt;"",SUM(M570:R570)=0),J570,"")</f>
        <v/>
      </c>
      <c r="T570" s="3" t="n"/>
      <c r="U570" s="3" t="n"/>
      <c r="V570" s="3" t="n"/>
      <c r="W570" s="3" t="n"/>
      <c r="X570" s="3" t="n"/>
      <c r="Y570" s="3" t="n"/>
      <c r="Z570" s="74" t="n"/>
      <c r="AA570" s="10" t="inlineStr">
        <is>
          <t>Artifact</t>
        </is>
      </c>
      <c r="AB570" s="10" t="n"/>
      <c r="AC570" s="10" t="inlineStr">
        <is>
          <t>C</t>
        </is>
      </c>
      <c r="AD570" s="74" t="n">
        <v>4</v>
      </c>
      <c r="AE570" s="76" t="inlineStr">
        <is>
          <t>Kaladesh</t>
        </is>
      </c>
      <c r="AF570" s="76" t="inlineStr">
        <is>
          <t>B3 (Max) add</t>
        </is>
      </c>
      <c r="AG570" s="76" t="inlineStr">
        <is>
          <t>If an artifact or creature entering causes a triggered ability of a permanent you control to trigger, that ability trigg</t>
        </is>
      </c>
      <c r="AH570" s="76" t="n"/>
      <c r="AI570" s="76" t="n"/>
      <c r="AJ570" s="73" t="inlineStr">
        <is>
          <t>B3/Max add for D2; NOT targeted; replaces Platypus-Bear when bought</t>
        </is>
      </c>
      <c r="AK570" t="inlineStr">
        <is>
          <t>[B3/Max, not targeted] when bought -&gt;D2, replaces Platypus-Bear (Platypus-Bear-&gt;B)</t>
        </is>
      </c>
    </row>
    <row r="571">
      <c r="A571" s="10" t="inlineStr">
        <is>
          <t>Pashalik Mons</t>
        </is>
      </c>
      <c r="B571" s="2">
        <f>IF(AND(F571&lt;&gt;0,E571=F571),"In Hand",IF(AND(E571&lt;&gt;0,E571&lt;F571,SUM(M571:R571)=0,SUM(T571:Y571)&gt;0),"Extra-Sub",IF(AND(E571=0,E571&lt;F571,SUM(M571:R571)=0,SUM(T571:Y571)&gt;0),"Bench-Sub",IF(AND(E571=0,F571&gt;0),"Bench",IF(E571&lt;F571,"Extra",IF(AND(J571="",E571&gt;F571),"To Buy",IF(SUM(J571,F571)&lt;E571,"To Buy",IF(AND(SUM(J571,F571)&gt;=E571,J571&lt;&gt;""),"Ordered",IF(AND(E571=0,F571=0,D571="B3"),"B3 Option",IF(AND(E571=0,F571=0),"Remove","To Buy"))))))))))</f>
        <v/>
      </c>
      <c r="D571" t="inlineStr">
        <is>
          <t>B3</t>
        </is>
      </c>
      <c r="E571" s="3">
        <f>SUM(M571:S571)</f>
        <v/>
      </c>
      <c r="F571" s="3">
        <f>SUM(T571:Z571)</f>
        <v/>
      </c>
      <c r="G571" s="3">
        <f>IF((F571-E571)&gt;=0,F571-E571,0)</f>
        <v/>
      </c>
      <c r="H571" s="11">
        <f>MAX(0,$E571-$F571-$J571)</f>
        <v/>
      </c>
      <c r="I571" s="74" t="n"/>
      <c r="J571" s="74" t="n"/>
      <c r="K571" s="75" t="n">
        <v>3.9</v>
      </c>
      <c r="L571" s="12">
        <f>IF(AND($H571&gt;0,ISNUMBER($K571)),$H571*$K571,0)</f>
        <v/>
      </c>
      <c r="M571" s="74" t="n"/>
      <c r="N571" s="74" t="n"/>
      <c r="O571" s="74" t="n"/>
      <c r="P571" s="74" t="n"/>
      <c r="Q571" s="74" t="n"/>
      <c r="R571" s="74" t="n"/>
      <c r="S571" s="3">
        <f>IF(AND(J571&lt;&gt;"",SUM(M571:R571)=0),J571,"")</f>
        <v/>
      </c>
      <c r="T571" s="3" t="n"/>
      <c r="U571" s="3" t="n"/>
      <c r="V571" s="3" t="n"/>
      <c r="W571" s="3" t="n"/>
      <c r="X571" s="3" t="n"/>
      <c r="Y571" s="3" t="n"/>
      <c r="Z571" s="74" t="n"/>
      <c r="AA571" s="10" t="inlineStr">
        <is>
          <t>Legendary Creature</t>
        </is>
      </c>
      <c r="AB571" s="10" t="inlineStr">
        <is>
          <t>Goblin Warrior</t>
        </is>
      </c>
      <c r="AC571" s="10" t="inlineStr">
        <is>
          <t>R</t>
        </is>
      </c>
      <c r="AD571" s="74" t="n">
        <v>3</v>
      </c>
      <c r="AE571" s="76" t="inlineStr">
        <is>
          <t>Modern Horizons</t>
        </is>
      </c>
      <c r="AF571" s="76" t="inlineStr">
        <is>
          <t>B3 (Max) add</t>
        </is>
      </c>
      <c r="AG571" s="76" t="inlineStr">
        <is>
          <t>Whenever Pashalik Mons or another Goblin you control dies, Pashalik Mons deals 1 damage to any target.
{3}{R}, Sacrifice</t>
        </is>
      </c>
      <c r="AH571" s="76" t="n"/>
      <c r="AI571" s="76" t="n"/>
      <c r="AJ571" s="73" t="inlineStr">
        <is>
          <t>B3/Max add for D6; NOT targeted; replaces Bag of Holding when bought</t>
        </is>
      </c>
      <c r="AK571" t="inlineStr">
        <is>
          <t>[B3/Max, not targeted] when bought -&gt;D6, replaces Bag of Holding (Bag of Holding-&gt;B)</t>
        </is>
      </c>
    </row>
    <row r="572">
      <c r="A572" s="73" t="inlineStr">
        <is>
          <t>Phyrexian Arena</t>
        </is>
      </c>
      <c r="B572" s="73">
        <f>IF(AND(F572&lt;&gt;0,E572=F572),"In Hand",IF(AND(E572&lt;&gt;0,E572&lt;F572,SUM(M572:R572)=0,SUM(T572:Y572)&gt;0),"Extra-Sub",IF(AND(E572=0,E572&lt;F572,SUM(M572:R572)=0,SUM(T572:Y572)&gt;0),"Bench-Sub",IF(AND(E572=0,F572&gt;0),"Bench",IF(E572&lt;F572,"Extra",IF(AND(J572="",E572&gt;F572),"To Buy",IF(SUM(J572,F572)&lt;E572,"To Buy",IF(AND(SUM(J572,F572)&gt;=E572,J572&lt;&gt;""),"Ordered",IF(AND(E572=0,F572=0,D572="B3"),"B3 Option",IF(AND(E572=0,F572=0),"Remove","To Buy"))))))))))</f>
        <v/>
      </c>
      <c r="D572" t="inlineStr">
        <is>
          <t>B3</t>
        </is>
      </c>
      <c r="E572" s="74">
        <f>SUM(M572:S572)</f>
        <v/>
      </c>
      <c r="F572" s="74">
        <f>SUM(T572:Z572)</f>
        <v/>
      </c>
      <c r="G572" s="74">
        <f>IF((F572-E572)&gt;=0,F572-E572,0)</f>
        <v/>
      </c>
      <c r="H572" s="74">
        <f>MAX(0,$E572-$F572-$J572)</f>
        <v/>
      </c>
      <c r="I572" s="74" t="n"/>
      <c r="J572" s="74" t="n"/>
      <c r="K572" s="75" t="n">
        <v>4.65</v>
      </c>
      <c r="L572" s="75">
        <f>IF(AND($H572&gt;0,ISNUMBER($K572)),$H572*$K572,0)</f>
        <v/>
      </c>
      <c r="M572" s="74" t="n"/>
      <c r="N572" s="74" t="n"/>
      <c r="O572" s="74" t="n"/>
      <c r="P572" s="74" t="n"/>
      <c r="Q572" s="74" t="n"/>
      <c r="R572" s="74" t="n"/>
      <c r="S572" s="74">
        <f>IF(AND(J572&lt;&gt;"",SUM(M572:R572)=0),J572,"")</f>
        <v/>
      </c>
      <c r="T572" s="3" t="n"/>
      <c r="U572" s="3" t="n"/>
      <c r="V572" s="3" t="n"/>
      <c r="W572" s="3" t="n"/>
      <c r="X572" s="3" t="n"/>
      <c r="Y572" s="3" t="n"/>
      <c r="Z572" s="74" t="n"/>
      <c r="AA572" s="73" t="inlineStr">
        <is>
          <t>Enchantment</t>
        </is>
      </c>
      <c r="AB572" s="73" t="n"/>
      <c r="AC572" s="73" t="inlineStr">
        <is>
          <t>B</t>
        </is>
      </c>
      <c r="AD572" s="74" t="n">
        <v>3</v>
      </c>
      <c r="AE572" s="76" t="inlineStr">
        <is>
          <t>Apocalypse</t>
        </is>
      </c>
      <c r="AF572" s="76" t="inlineStr">
        <is>
          <t>B3 (Max) add</t>
        </is>
      </c>
      <c r="AG572" s="76" t="inlineStr">
        <is>
          <t>At the beginning of your upkeep, you draw a card and you lose 1 life.</t>
        </is>
      </c>
      <c r="AH572" s="76" t="n"/>
      <c r="AI572" s="76" t="n"/>
      <c r="AJ572" s="73" t="inlineStr">
        <is>
          <t>B3/Max add for D3; NOT targeted; replaces Mirrodin Avenged when bought</t>
        </is>
      </c>
      <c r="AK572" t="inlineStr">
        <is>
          <t>[B3/Max, not targeted] when bought -&gt;D3, replaces Mirrodin Avenged (Mirrodin Avenged-&gt;B)</t>
        </is>
      </c>
    </row>
    <row r="573">
      <c r="A573" s="73" t="inlineStr">
        <is>
          <t>Pir, Imaginative Rascal</t>
        </is>
      </c>
      <c r="B573" s="73">
        <f>IF(AND(F573&lt;&gt;0,E573=F573),"In Hand",IF(AND(E573&lt;&gt;0,E573&lt;F573,SUM(M573:R573)=0,SUM(T573:Y573)&gt;0),"Extra-Sub",IF(AND(E573=0,E573&lt;F573,SUM(M573:R573)=0,SUM(T573:Y573)&gt;0),"Bench-Sub",IF(AND(E573=0,F573&gt;0),"Bench",IF(E573&lt;F573,"Extra",IF(AND(J573="",E573&gt;F573),"To Buy",IF(SUM(J573,F573)&lt;E573,"To Buy",IF(AND(SUM(J573,F573)&gt;=E573,J573&lt;&gt;""),"Ordered",IF(AND(E573=0,F573=0,D573="B3"),"B3 Option",IF(AND(E573=0,F573=0),"Remove","To Buy"))))))))))</f>
        <v/>
      </c>
      <c r="D573" t="inlineStr">
        <is>
          <t>B3</t>
        </is>
      </c>
      <c r="E573" s="74">
        <f>SUM(M573:S573)</f>
        <v/>
      </c>
      <c r="F573" s="74">
        <f>SUM(T573:Z573)</f>
        <v/>
      </c>
      <c r="G573" s="74">
        <f>IF((F573-E573)&gt;=0,F573-E573,0)</f>
        <v/>
      </c>
      <c r="H573" s="74">
        <f>MAX(0,$E573-$F573-$J573)</f>
        <v/>
      </c>
      <c r="I573" s="74" t="n"/>
      <c r="J573" s="74" t="n"/>
      <c r="K573" s="75" t="n">
        <v>5.32</v>
      </c>
      <c r="L573" s="75">
        <f>IF(AND($H573&gt;0,ISNUMBER($K573)),$H573*$K573,0)</f>
        <v/>
      </c>
      <c r="M573" s="74" t="n"/>
      <c r="N573" s="74" t="n"/>
      <c r="O573" s="74" t="n"/>
      <c r="P573" s="74" t="n"/>
      <c r="Q573" s="74" t="n"/>
      <c r="R573" s="74" t="n"/>
      <c r="S573" s="74">
        <f>IF(AND(J573&lt;&gt;"",SUM(M573:R573)=0),J573,"")</f>
        <v/>
      </c>
      <c r="T573" s="3" t="n"/>
      <c r="U573" s="3" t="n"/>
      <c r="V573" s="3" t="n"/>
      <c r="W573" s="3" t="n"/>
      <c r="X573" s="3" t="n"/>
      <c r="Y573" s="3" t="n"/>
      <c r="Z573" s="74" t="n"/>
      <c r="AA573" s="73" t="inlineStr">
        <is>
          <t>Legendary Creature</t>
        </is>
      </c>
      <c r="AB573" s="73" t="inlineStr">
        <is>
          <t>Human</t>
        </is>
      </c>
      <c r="AC573" s="73" t="inlineStr">
        <is>
          <t>G</t>
        </is>
      </c>
      <c r="AD573" s="74" t="n">
        <v>3</v>
      </c>
      <c r="AE573" s="76" t="inlineStr">
        <is>
          <t>Battlebond</t>
        </is>
      </c>
      <c r="AF573" s="76" t="inlineStr">
        <is>
          <t>B3 (Max) add</t>
        </is>
      </c>
      <c r="AG573" s="76" t="inlineStr">
        <is>
          <t>Partner with Toothy, Imaginary Friend (When this creature enters, target player may put Toothy into their hand from thei</t>
        </is>
      </c>
      <c r="AH573" s="76" t="n"/>
      <c r="AI573" s="76" t="n"/>
      <c r="AJ573" s="73" t="inlineStr">
        <is>
          <t>B3/Max add for D3; NOT targeted; replaces Stony Strength when bought</t>
        </is>
      </c>
      <c r="AK573" t="inlineStr">
        <is>
          <t>[B3/Max, not targeted] when bought -&gt;D3, replaces Stony Strength (Stony Strength-&gt;B)</t>
        </is>
      </c>
    </row>
    <row r="574">
      <c r="A574" s="73" t="inlineStr">
        <is>
          <t>Pitiless Plunderer</t>
        </is>
      </c>
      <c r="B574" s="73">
        <f>IF(AND(F574&lt;&gt;0,E574=F574),"In Hand",IF(AND(E574&lt;&gt;0,E574&lt;F574,SUM(M574:R574)=0,SUM(T574:Y574)&gt;0),"Extra-Sub",IF(AND(E574=0,E574&lt;F574,SUM(M574:R574)=0,SUM(T574:Y574)&gt;0),"Bench-Sub",IF(AND(E574=0,F574&gt;0),"Bench",IF(E574&lt;F574,"Extra",IF(AND(J574="",E574&gt;F574),"To Buy",IF(SUM(J574,F574)&lt;E574,"To Buy",IF(AND(SUM(J574,F574)&gt;=E574,J574&lt;&gt;""),"Ordered",IF(AND(E574=0,F574=0,D574="B3"),"B3 Option",IF(AND(E574=0,F574=0),"Remove","To Buy"))))))))))</f>
        <v/>
      </c>
      <c r="D574" t="inlineStr">
        <is>
          <t>B3</t>
        </is>
      </c>
      <c r="E574" s="74">
        <f>SUM(M574:S574)</f>
        <v/>
      </c>
      <c r="F574" s="74">
        <f>SUM(T574:Z574)</f>
        <v/>
      </c>
      <c r="G574" s="74">
        <f>IF((F574-E574)&gt;=0,F574-E574,0)</f>
        <v/>
      </c>
      <c r="H574" s="74">
        <f>MAX(0,$E574-$F574-$J574)</f>
        <v/>
      </c>
      <c r="I574" s="74" t="n"/>
      <c r="J574" s="74" t="n"/>
      <c r="K574" s="75" t="n">
        <v>4.21</v>
      </c>
      <c r="L574" s="75">
        <f>IF(AND($H574&gt;0,ISNUMBER($K574)),$H574*$K574,0)</f>
        <v/>
      </c>
      <c r="M574" s="74" t="n"/>
      <c r="N574" s="74" t="n"/>
      <c r="O574" s="74" t="n"/>
      <c r="P574" s="74" t="n"/>
      <c r="Q574" s="74" t="n"/>
      <c r="R574" s="74" t="n"/>
      <c r="S574" s="74">
        <f>IF(AND(J574&lt;&gt;"",SUM(M574:R574)=0),J574,"")</f>
        <v/>
      </c>
      <c r="T574" s="3" t="n"/>
      <c r="U574" s="3" t="n"/>
      <c r="V574" s="3" t="n"/>
      <c r="W574" s="3" t="n"/>
      <c r="X574" s="3" t="n"/>
      <c r="Y574" s="3" t="n"/>
      <c r="Z574" s="74" t="n"/>
      <c r="AA574" s="73" t="inlineStr">
        <is>
          <t>Creature</t>
        </is>
      </c>
      <c r="AB574" s="73" t="inlineStr">
        <is>
          <t>Human Pirate</t>
        </is>
      </c>
      <c r="AC574" s="73" t="inlineStr">
        <is>
          <t>B</t>
        </is>
      </c>
      <c r="AD574" s="74" t="n">
        <v>4</v>
      </c>
      <c r="AE574" s="76" t="inlineStr">
        <is>
          <t>Rivals of Ixalan</t>
        </is>
      </c>
      <c r="AF574" s="76" t="inlineStr">
        <is>
          <t>B3 (Max) add</t>
        </is>
      </c>
      <c r="AG574" s="76" t="inlineStr">
        <is>
          <t xml:space="preserve">Whenever another creature you control dies, create a Treasure token. (It's an artifact with "{T}, Sacrifice this token: </t>
        </is>
      </c>
      <c r="AH574" s="76" t="n"/>
      <c r="AI574" s="76" t="n"/>
      <c r="AJ574" s="73" t="inlineStr">
        <is>
          <t>B3/Max add for D5; NOT targeted; replaces Zack Fair when bought</t>
        </is>
      </c>
      <c r="AK574" t="inlineStr">
        <is>
          <t>[B3/Max, not targeted] when bought -&gt;D5, replaces Zack Fair (Zack Fair-&gt;B)</t>
        </is>
      </c>
    </row>
    <row r="575">
      <c r="A575" s="73" t="inlineStr">
        <is>
          <t>Professional Face-Breaker</t>
        </is>
      </c>
      <c r="B575" s="73">
        <f>IF(AND(F575&lt;&gt;0,E575=F575),"In Hand",IF(AND(E575&lt;&gt;0,E575&lt;F575,SUM(M575:R575)=0,SUM(T575:Y575)&gt;0),"Extra-Sub",IF(AND(E575=0,E575&lt;F575,SUM(M575:R575)=0,SUM(T575:Y575)&gt;0),"Bench-Sub",IF(AND(E575=0,F575&gt;0),"Bench",IF(E575&lt;F575,"Extra",IF(AND(J575="",E575&gt;F575),"To Buy",IF(SUM(J575,F575)&lt;E575,"To Buy",IF(AND(SUM(J575,F575)&gt;=E575,J575&lt;&gt;""),"Ordered",IF(AND(E575=0,F575=0,D575="B3"),"B3 Option",IF(AND(E575=0,F575=0),"Remove","To Buy"))))))))))</f>
        <v/>
      </c>
      <c r="D575" t="inlineStr">
        <is>
          <t>B3</t>
        </is>
      </c>
      <c r="E575" s="74">
        <f>SUM(M575:S575)</f>
        <v/>
      </c>
      <c r="F575" s="74">
        <f>SUM(T575:Z575)</f>
        <v/>
      </c>
      <c r="G575" s="74">
        <f>IF((F575-E575)&gt;=0,F575-E575,0)</f>
        <v/>
      </c>
      <c r="H575" s="74">
        <f>MAX(0,$E575-$F575-$J575)</f>
        <v/>
      </c>
      <c r="I575" s="74" t="n"/>
      <c r="J575" s="74" t="n"/>
      <c r="K575" s="75" t="n">
        <v>7.22</v>
      </c>
      <c r="L575" s="75">
        <f>IF(AND($H575&gt;0,ISNUMBER($K575)),$H575*$K575,0)</f>
        <v/>
      </c>
      <c r="M575" s="74" t="n"/>
      <c r="N575" s="74" t="n"/>
      <c r="O575" s="74" t="n"/>
      <c r="P575" s="74" t="n"/>
      <c r="Q575" s="74" t="n"/>
      <c r="R575" s="74" t="n"/>
      <c r="S575" s="74">
        <f>IF(AND(J575&lt;&gt;"",SUM(M575:R575)=0),J575,"")</f>
        <v/>
      </c>
      <c r="T575" s="3" t="n"/>
      <c r="U575" s="3" t="n"/>
      <c r="V575" s="3" t="n"/>
      <c r="W575" s="3" t="n"/>
      <c r="X575" s="3" t="n"/>
      <c r="Y575" s="3" t="n"/>
      <c r="Z575" s="74" t="n"/>
      <c r="AA575" s="73" t="inlineStr">
        <is>
          <t>Creature</t>
        </is>
      </c>
      <c r="AB575" s="73" t="inlineStr">
        <is>
          <t>Human Warrior</t>
        </is>
      </c>
      <c r="AC575" s="73" t="inlineStr">
        <is>
          <t>R</t>
        </is>
      </c>
      <c r="AD575" s="74" t="n">
        <v>3</v>
      </c>
      <c r="AE575" s="76" t="inlineStr">
        <is>
          <t>Streets of New Capenna Promos</t>
        </is>
      </c>
      <c r="AF575" s="76" t="inlineStr">
        <is>
          <t>B3 (Max) add</t>
        </is>
      </c>
      <c r="AG575" s="76" t="inlineStr">
        <is>
          <t>Menace
Whenever one or more creatures you control deal combat damage to a player, create a Treasure token.
Sacrifice a T</t>
        </is>
      </c>
      <c r="AH575" s="76" t="n"/>
      <c r="AI575" s="76" t="n"/>
      <c r="AJ575" s="73" t="inlineStr">
        <is>
          <t>B3/Max add for D6; NOT targeted; replaces Enraged Flamecaster when bought</t>
        </is>
      </c>
      <c r="AK575" t="inlineStr">
        <is>
          <t>[B3/Max, not targeted] when bought -&gt;D6, replaces Enraged Flamecaster (Enraged Flamecaster-&gt;B)</t>
        </is>
      </c>
    </row>
    <row r="576">
      <c r="A576" s="73" t="inlineStr">
        <is>
          <t>Rhystic Study</t>
        </is>
      </c>
      <c r="B576" s="73">
        <f>IF(AND(F576&lt;&gt;0,E576=F576),"In Hand",IF(AND(E576&lt;&gt;0,E576&lt;F576,SUM(M576:R576)=0,SUM(T576:Y576)&gt;0),"Extra-Sub",IF(AND(E576=0,E576&lt;F576,SUM(M576:R576)=0,SUM(T576:Y576)&gt;0),"Bench-Sub",IF(AND(E576=0,F576&gt;0),"Bench",IF(E576&lt;F576,"Extra",IF(AND(J576="",E576&gt;F576),"To Buy",IF(SUM(J576,F576)&lt;E576,"To Buy",IF(AND(SUM(J576,F576)&gt;=E576,J576&lt;&gt;""),"Ordered",IF(AND(E576=0,F576=0,D576="B3"),"B3 Option",IF(AND(E576=0,F576=0),"Remove","To Buy"))))))))))</f>
        <v/>
      </c>
      <c r="D576" t="inlineStr">
        <is>
          <t>B3</t>
        </is>
      </c>
      <c r="E576" s="74">
        <f>SUM(M576:S576)</f>
        <v/>
      </c>
      <c r="F576" s="74">
        <f>SUM(T576:Z576)</f>
        <v/>
      </c>
      <c r="G576" s="74">
        <f>IF((F576-E576)&gt;=0,F576-E576,0)</f>
        <v/>
      </c>
      <c r="H576" s="74">
        <f>MAX(0,$E576-$F576-$J576)</f>
        <v/>
      </c>
      <c r="I576" s="74" t="n"/>
      <c r="J576" s="74" t="n"/>
      <c r="K576" s="75" t="n">
        <v>70.58</v>
      </c>
      <c r="L576" s="75">
        <f>IF(AND($H576&gt;0,ISNUMBER($K576)),$H576*$K576,0)</f>
        <v/>
      </c>
      <c r="M576" s="74" t="n"/>
      <c r="N576" s="74" t="n"/>
      <c r="O576" s="74" t="n"/>
      <c r="P576" s="74" t="n"/>
      <c r="Q576" s="74" t="n"/>
      <c r="R576" s="74" t="n"/>
      <c r="S576" s="74">
        <f>IF(AND(J576&lt;&gt;"",SUM(M576:R576)=0),J576,"")</f>
        <v/>
      </c>
      <c r="T576" s="3" t="n"/>
      <c r="U576" s="3" t="n"/>
      <c r="V576" s="3" t="n"/>
      <c r="W576" s="3" t="n"/>
      <c r="X576" s="3" t="n"/>
      <c r="Y576" s="3" t="n"/>
      <c r="Z576" s="74" t="n"/>
      <c r="AA576" s="73" t="inlineStr">
        <is>
          <t>Enchantment</t>
        </is>
      </c>
      <c r="AB576" s="73" t="n"/>
      <c r="AC576" s="73" t="inlineStr">
        <is>
          <t>U</t>
        </is>
      </c>
      <c r="AD576" s="74" t="n">
        <v>3</v>
      </c>
      <c r="AE576" s="76" t="inlineStr">
        <is>
          <t>Prophecy</t>
        </is>
      </c>
      <c r="AF576" s="76" t="inlineStr">
        <is>
          <t>B3 (Max) add</t>
        </is>
      </c>
      <c r="AG576" s="76" t="inlineStr">
        <is>
          <t>Whenever an opponent casts a spell, you may draw a card unless that player pays {1}.</t>
        </is>
      </c>
      <c r="AH576" s="76" t="n"/>
      <c r="AI576" s="76" t="n"/>
      <c r="AJ576" s="73" t="inlineStr">
        <is>
          <t>B3/Max add for D2 (GAME CHANGER); NOT targeted; replaces Shore Lurker when bought</t>
        </is>
      </c>
      <c r="AK576" t="inlineStr">
        <is>
          <t>[B3/Max, not targeted] when bought -&gt;D2, replaces Shore Lurker (Shore Lurker-&gt;B)</t>
        </is>
      </c>
    </row>
    <row r="577">
      <c r="A577" s="73" t="inlineStr">
        <is>
          <t>Smothering Tithe</t>
        </is>
      </c>
      <c r="B577" s="73">
        <f>IF(AND(F577&lt;&gt;0,E577=F577),"In Hand",IF(AND(E577&lt;&gt;0,E577&lt;F577,SUM(M577:R577)=0,SUM(T577:Y577)&gt;0),"Extra-Sub",IF(AND(E577=0,E577&lt;F577,SUM(M577:R577)=0,SUM(T577:Y577)&gt;0),"Bench-Sub",IF(AND(E577=0,F577&gt;0),"Bench",IF(E577&lt;F577,"Extra",IF(AND(J577="",E577&gt;F577),"To Buy",IF(SUM(J577,F577)&lt;E577,"To Buy",IF(AND(SUM(J577,F577)&gt;=E577,J577&lt;&gt;""),"Ordered",IF(AND(E577=0,F577=0,D577="B3"),"B3 Option",IF(AND(E577=0,F577=0),"Remove","To Buy"))))))))))</f>
        <v/>
      </c>
      <c r="D577" t="inlineStr">
        <is>
          <t>B3</t>
        </is>
      </c>
      <c r="E577" s="74">
        <f>SUM(M577:S577)</f>
        <v/>
      </c>
      <c r="F577" s="74">
        <f>SUM(T577:Z577)</f>
        <v/>
      </c>
      <c r="G577" s="74">
        <f>IF((F577-E577)&gt;=0,F577-E577,0)</f>
        <v/>
      </c>
      <c r="H577" s="74">
        <f>MAX(0,$E577-$F577-$J577)</f>
        <v/>
      </c>
      <c r="I577" s="74" t="n"/>
      <c r="J577" s="74" t="n"/>
      <c r="K577" s="75" t="n">
        <v>61.67</v>
      </c>
      <c r="L577" s="75">
        <f>IF(AND($H577&gt;0,ISNUMBER($K577)),$H577*$K577,0)</f>
        <v/>
      </c>
      <c r="M577" s="74" t="n"/>
      <c r="N577" s="74" t="n"/>
      <c r="O577" s="74" t="n"/>
      <c r="P577" s="74" t="n"/>
      <c r="Q577" s="74" t="n"/>
      <c r="R577" s="74" t="n"/>
      <c r="S577" s="74">
        <f>IF(AND(J577&lt;&gt;"",SUM(M577:R577)=0),J577,"")</f>
        <v/>
      </c>
      <c r="T577" s="3" t="n"/>
      <c r="U577" s="3" t="n"/>
      <c r="V577" s="3" t="n"/>
      <c r="W577" s="3" t="n"/>
      <c r="X577" s="3" t="n"/>
      <c r="Y577" s="3" t="n"/>
      <c r="Z577" s="74" t="n"/>
      <c r="AA577" s="73" t="inlineStr">
        <is>
          <t>Enchantment</t>
        </is>
      </c>
      <c r="AB577" s="73" t="n"/>
      <c r="AC577" s="73" t="inlineStr">
        <is>
          <t>W</t>
        </is>
      </c>
      <c r="AD577" s="74" t="n">
        <v>4</v>
      </c>
      <c r="AE577" s="76" t="inlineStr">
        <is>
          <t>Ravnica Allegiance</t>
        </is>
      </c>
      <c r="AF577" s="76" t="inlineStr">
        <is>
          <t>B3 (Max) add</t>
        </is>
      </c>
      <c r="AG577" s="76" t="inlineStr">
        <is>
          <t>Whenever an opponent draws a card, that player may pay {2}. If the player doesn't, you create a Treasure token. (It's an</t>
        </is>
      </c>
      <c r="AH577" s="76" t="n"/>
      <c r="AI577" s="76" t="n"/>
      <c r="AJ577" s="73" t="inlineStr">
        <is>
          <t>B3/Max add for D1 (GAME CHANGER); NOT targeted; replaces Millikin when bought</t>
        </is>
      </c>
      <c r="AK577" t="inlineStr">
        <is>
          <t>[B3/Max, not targeted] when bought -&gt;D1, replaces Millikin (Millikin-&gt;B)</t>
        </is>
      </c>
    </row>
    <row r="578">
      <c r="A578" s="73" t="inlineStr">
        <is>
          <t>Sunbaked Canyon</t>
        </is>
      </c>
      <c r="B578" s="73">
        <f>IF(AND(F578&lt;&gt;0,E578=F578),"In Hand",IF(AND(E578&lt;&gt;0,E578&lt;F578,SUM(M578:R578)=0,SUM(T578:Y578)&gt;0),"Extra-Sub",IF(AND(E578=0,E578&lt;F578,SUM(M578:R578)=0,SUM(T578:Y578)&gt;0),"Bench-Sub",IF(AND(E578=0,F578&gt;0),"Bench",IF(E578&lt;F578,"Extra",IF(AND(J578="",E578&gt;F578),"To Buy",IF(SUM(J578,F578)&lt;E578,"To Buy",IF(AND(SUM(J578,F578)&gt;=E578,J578&lt;&gt;""),"Ordered",IF(AND(E578=0,F578=0,D578="B3"),"B3 Option",IF(AND(E578=0,F578=0),"Remove","To Buy"))))))))))</f>
        <v/>
      </c>
      <c r="D578" t="inlineStr">
        <is>
          <t>B3</t>
        </is>
      </c>
      <c r="E578" s="74">
        <f>SUM(M578:S578)</f>
        <v/>
      </c>
      <c r="F578" s="74">
        <f>SUM(T578:Z578)</f>
        <v/>
      </c>
      <c r="G578" s="74">
        <f>IF((F578-E578)&gt;=0,F578-E578,0)</f>
        <v/>
      </c>
      <c r="H578" s="74">
        <f>MAX(0,$E578-$F578-$J578)</f>
        <v/>
      </c>
      <c r="I578" s="74" t="n"/>
      <c r="J578" s="74" t="n"/>
      <c r="K578" s="75" t="n">
        <v>4.58</v>
      </c>
      <c r="L578" s="75">
        <f>IF(AND($H578&gt;0,ISNUMBER($K578)),$H578*$K578,0)</f>
        <v/>
      </c>
      <c r="M578" s="74" t="n"/>
      <c r="N578" s="74" t="n"/>
      <c r="O578" s="74" t="n"/>
      <c r="P578" s="74" t="n"/>
      <c r="Q578" s="74" t="n"/>
      <c r="R578" s="74" t="n"/>
      <c r="S578" s="74">
        <f>IF(AND(J578&lt;&gt;"",SUM(M578:R578)=0),J578,"")</f>
        <v/>
      </c>
      <c r="T578" s="3" t="n"/>
      <c r="U578" s="3" t="n"/>
      <c r="V578" s="3" t="n"/>
      <c r="W578" s="3" t="n"/>
      <c r="X578" s="3" t="n"/>
      <c r="Y578" s="3" t="n"/>
      <c r="Z578" s="74" t="n"/>
      <c r="AA578" s="73" t="inlineStr">
        <is>
          <t>Land</t>
        </is>
      </c>
      <c r="AB578" s="73" t="n"/>
      <c r="AC578" s="73" t="inlineStr">
        <is>
          <t>RW</t>
        </is>
      </c>
      <c r="AD578" s="74" t="n">
        <v>0</v>
      </c>
      <c r="AE578" s="76" t="inlineStr">
        <is>
          <t>Modern Horizons</t>
        </is>
      </c>
      <c r="AF578" s="76" t="inlineStr">
        <is>
          <t>B3 (Max) add</t>
        </is>
      </c>
      <c r="AG578" s="76" t="inlineStr">
        <is>
          <t>{T}, Pay 1 life: Add {R} or {W}.
{1}, {T}, Sacrifice this land: Draw a card.</t>
        </is>
      </c>
      <c r="AH578" s="76" t="n"/>
      <c r="AI578" s="76" t="n"/>
      <c r="AJ578" s="73" t="inlineStr">
        <is>
          <t>B3/Max add for D1; NOT targeted; replaces Fields of Strife when bought</t>
        </is>
      </c>
      <c r="AK578" t="inlineStr">
        <is>
          <t>[B3/Max, not targeted] when bought -&gt;D1, replaces Fields of Strife (Fields of Strife-&gt;B)</t>
        </is>
      </c>
    </row>
    <row r="579">
      <c r="A579" s="73" t="inlineStr">
        <is>
          <t>Teleportation Circle</t>
        </is>
      </c>
      <c r="B579" s="73">
        <f>IF(AND(F579&lt;&gt;0,E579=F579),"In Hand",IF(AND(E579&lt;&gt;0,E579&lt;F579,SUM(M579:R579)=0,SUM(T579:Y579)&gt;0),"Extra-Sub",IF(AND(E579=0,E579&lt;F579,SUM(M579:R579)=0,SUM(T579:Y579)&gt;0),"Bench-Sub",IF(AND(E579=0,F579&gt;0),"Bench",IF(E579&lt;F579,"Extra",IF(AND(J579="",E579&gt;F579),"To Buy",IF(SUM(J579,F579)&lt;E579,"To Buy",IF(AND(SUM(J579,F579)&gt;=E579,J579&lt;&gt;""),"Ordered",IF(AND(E579=0,F579=0,D579="B3"),"B3 Option",IF(AND(E579=0,F579=0),"Remove","To Buy"))))))))))</f>
        <v/>
      </c>
      <c r="D579" t="inlineStr">
        <is>
          <t>B3</t>
        </is>
      </c>
      <c r="E579" s="74">
        <f>SUM(M579:S579)</f>
        <v/>
      </c>
      <c r="F579" s="74">
        <f>SUM(T579:Z579)</f>
        <v/>
      </c>
      <c r="G579" s="74">
        <f>IF((F579-E579)&gt;=0,F579-E579,0)</f>
        <v/>
      </c>
      <c r="H579" s="74">
        <f>MAX(0,$E579-$F579-$J579)</f>
        <v/>
      </c>
      <c r="I579" s="74" t="n"/>
      <c r="J579" s="74" t="n"/>
      <c r="K579" s="75" t="n">
        <v>10.93</v>
      </c>
      <c r="L579" s="75">
        <f>IF(AND($H579&gt;0,ISNUMBER($K579)),$H579*$K579,0)</f>
        <v/>
      </c>
      <c r="M579" s="74" t="n"/>
      <c r="N579" s="74" t="n"/>
      <c r="O579" s="74" t="n"/>
      <c r="P579" s="74" t="n"/>
      <c r="Q579" s="74" t="n"/>
      <c r="R579" s="74" t="n"/>
      <c r="S579" s="74">
        <f>IF(AND(J579&lt;&gt;"",SUM(M579:R579)=0),J579,"")</f>
        <v/>
      </c>
      <c r="T579" s="3" t="n"/>
      <c r="U579" s="3" t="n"/>
      <c r="V579" s="3" t="n"/>
      <c r="W579" s="3" t="n"/>
      <c r="X579" s="3" t="n"/>
      <c r="Y579" s="3" t="n"/>
      <c r="Z579" s="74" t="n"/>
      <c r="AA579" s="73" t="inlineStr">
        <is>
          <t>Enchantment</t>
        </is>
      </c>
      <c r="AB579" s="73" t="n"/>
      <c r="AC579" s="73" t="inlineStr">
        <is>
          <t>W</t>
        </is>
      </c>
      <c r="AD579" s="74" t="n">
        <v>4</v>
      </c>
      <c r="AE579" s="76" t="inlineStr">
        <is>
          <t>Adventures in the Forgotten Realms</t>
        </is>
      </c>
      <c r="AF579" s="76" t="inlineStr">
        <is>
          <t>B3 (Max) add</t>
        </is>
      </c>
      <c r="AG579" s="76" t="inlineStr">
        <is>
          <t>At the beginning of your end step, exile up to one target artifact or creature you control, then return that card to the</t>
        </is>
      </c>
      <c r="AH579" s="76" t="n"/>
      <c r="AI579" s="76" t="n"/>
      <c r="AJ579" s="73" t="inlineStr">
        <is>
          <t>B3/Max add for D2; NOT targeted; replaces Winnowing when bought</t>
        </is>
      </c>
      <c r="AK579" t="inlineStr">
        <is>
          <t>[B3/Max, not targeted] when bought -&gt;D2, replaces Winnowing (Winnowing-&gt;B)</t>
        </is>
      </c>
    </row>
    <row r="580">
      <c r="A580" s="73" t="inlineStr">
        <is>
          <t>The Meathook Massacre</t>
        </is>
      </c>
      <c r="B580" s="73">
        <f>IF(AND(F580&lt;&gt;0,E580=F580),"In Hand",IF(AND(E580&lt;&gt;0,E580&lt;F580,SUM(M580:R580)=0,SUM(T580:Y580)&gt;0),"Extra-Sub",IF(AND(E580=0,E580&lt;F580,SUM(M580:R580)=0,SUM(T580:Y580)&gt;0),"Bench-Sub",IF(AND(E580=0,F580&gt;0),"Bench",IF(E580&lt;F580,"Extra",IF(AND(J580="",E580&gt;F580),"To Buy",IF(SUM(J580,F580)&lt;E580,"To Buy",IF(AND(SUM(J580,F580)&gt;=E580,J580&lt;&gt;""),"Ordered",IF(AND(E580=0,F580=0,D580="B3"),"B3 Option",IF(AND(E580=0,F580=0),"Remove","To Buy"))))))))))</f>
        <v/>
      </c>
      <c r="D580" t="inlineStr">
        <is>
          <t>B3</t>
        </is>
      </c>
      <c r="E580" s="74">
        <f>SUM(M580:S580)</f>
        <v/>
      </c>
      <c r="F580" s="74">
        <f>SUM(T580:Z580)</f>
        <v/>
      </c>
      <c r="G580" s="74">
        <f>IF((F580-E580)&gt;=0,F580-E580,0)</f>
        <v/>
      </c>
      <c r="H580" s="74">
        <f>MAX(0,$E580-$F580-$J580)</f>
        <v/>
      </c>
      <c r="I580" s="74" t="n"/>
      <c r="J580" s="74" t="n"/>
      <c r="K580" s="75" t="n">
        <v>25.01</v>
      </c>
      <c r="L580" s="75">
        <f>IF(AND($H580&gt;0,ISNUMBER($K580)),$H580*$K580,0)</f>
        <v/>
      </c>
      <c r="M580" s="74" t="n"/>
      <c r="N580" s="74" t="n"/>
      <c r="O580" s="74" t="n"/>
      <c r="P580" s="74" t="n"/>
      <c r="Q580" s="74" t="n"/>
      <c r="R580" s="74" t="n"/>
      <c r="S580" s="74">
        <f>IF(AND(J580&lt;&gt;"",SUM(M580:R580)=0),J580,"")</f>
        <v/>
      </c>
      <c r="T580" s="3" t="n"/>
      <c r="U580" s="3" t="n"/>
      <c r="V580" s="3" t="n"/>
      <c r="W580" s="3" t="n"/>
      <c r="X580" s="3" t="n"/>
      <c r="Y580" s="3" t="n"/>
      <c r="Z580" s="74" t="n"/>
      <c r="AA580" s="73" t="inlineStr">
        <is>
          <t>Legendary Enchantment</t>
        </is>
      </c>
      <c r="AB580" s="73" t="n"/>
      <c r="AC580" s="73" t="inlineStr">
        <is>
          <t>B</t>
        </is>
      </c>
      <c r="AD580" s="74" t="n">
        <v>2</v>
      </c>
      <c r="AE580" s="76" t="inlineStr">
        <is>
          <t>Innistrad: Midnight Hunt</t>
        </is>
      </c>
      <c r="AF580" s="76" t="inlineStr">
        <is>
          <t>B3 (Max) add</t>
        </is>
      </c>
      <c r="AG580" s="76" t="inlineStr">
        <is>
          <t>When The Meathook Massacre enters, each creature gets -X/-X until end of turn.
Whenever a creature you control dies, eac</t>
        </is>
      </c>
      <c r="AH580" s="76" t="n"/>
      <c r="AI580" s="76" t="n"/>
      <c r="AJ580" s="73" t="inlineStr">
        <is>
          <t>B3/Max add for D4; NOT targeted; replaces Collective Effort when bought</t>
        </is>
      </c>
      <c r="AK580" t="inlineStr">
        <is>
          <t>[B3/Max, not targeted] when bought -&gt;D4, replaces Collective Effort (Collective Effort-&gt;B)</t>
        </is>
      </c>
    </row>
    <row r="581">
      <c r="A581" s="73" t="inlineStr">
        <is>
          <t>Underworld Breach</t>
        </is>
      </c>
      <c r="B581" s="73">
        <f>IF(AND(F581&lt;&gt;0,E581=F581),"In Hand",IF(AND(E581&lt;&gt;0,E581&lt;F581,SUM(M581:R581)=0,SUM(T581:Y581)&gt;0),"Extra-Sub",IF(AND(E581=0,E581&lt;F581,SUM(M581:R581)=0,SUM(T581:Y581)&gt;0),"Bench-Sub",IF(AND(E581=0,F581&gt;0),"Bench",IF(E581&lt;F581,"Extra",IF(AND(J581="",E581&gt;F581),"To Buy",IF(SUM(J581,F581)&lt;E581,"To Buy",IF(AND(SUM(J581,F581)&gt;=E581,J581&lt;&gt;""),"Ordered",IF(AND(E581=0,F581=0,D581="B3"),"B3 Option",IF(AND(E581=0,F581=0),"Remove","To Buy"))))))))))</f>
        <v/>
      </c>
      <c r="D581" t="inlineStr">
        <is>
          <t>B3</t>
        </is>
      </c>
      <c r="E581" s="74">
        <f>SUM(M581:S581)</f>
        <v/>
      </c>
      <c r="F581" s="74">
        <f>SUM(T581:Z581)</f>
        <v/>
      </c>
      <c r="G581" s="74">
        <f>IF((F581-E581)&gt;=0,F581-E581,0)</f>
        <v/>
      </c>
      <c r="H581" s="74">
        <f>MAX(0,$E581-$F581-$J581)</f>
        <v/>
      </c>
      <c r="I581" s="74" t="n"/>
      <c r="J581" s="74" t="n"/>
      <c r="K581" s="75" t="n">
        <v>10.36</v>
      </c>
      <c r="L581" s="75">
        <f>IF(AND($H581&gt;0,ISNUMBER($K581)),$H581*$K581,0)</f>
        <v/>
      </c>
      <c r="M581" s="74" t="n"/>
      <c r="N581" s="74" t="n"/>
      <c r="O581" s="74" t="n"/>
      <c r="P581" s="74" t="n"/>
      <c r="Q581" s="74" t="n"/>
      <c r="R581" s="74" t="n"/>
      <c r="S581" s="74">
        <f>IF(AND(J581&lt;&gt;"",SUM(M581:R581)=0),J581,"")</f>
        <v/>
      </c>
      <c r="T581" s="3" t="n"/>
      <c r="U581" s="3" t="n"/>
      <c r="V581" s="3" t="n"/>
      <c r="W581" s="3" t="n"/>
      <c r="X581" s="3" t="n"/>
      <c r="Y581" s="3" t="n"/>
      <c r="Z581" s="74" t="n"/>
      <c r="AA581" s="73" t="inlineStr">
        <is>
          <t>Enchantment</t>
        </is>
      </c>
      <c r="AB581" s="73" t="n"/>
      <c r="AC581" s="73" t="inlineStr">
        <is>
          <t>R</t>
        </is>
      </c>
      <c r="AD581" s="74" t="n">
        <v>2</v>
      </c>
      <c r="AE581" s="76" t="inlineStr">
        <is>
          <t>Theros Beyond Death</t>
        </is>
      </c>
      <c r="AF581" s="76" t="inlineStr">
        <is>
          <t>B3 (Max) add</t>
        </is>
      </c>
      <c r="AG581" s="76" t="inlineStr">
        <is>
          <t xml:space="preserve">Each nonland card in your graveyard has escape. The escape cost is equal to the card's mana cost plus exile three other </t>
        </is>
      </c>
      <c r="AH581" s="76" t="n"/>
      <c r="AI581" s="76" t="n"/>
      <c r="AJ581" s="73" t="inlineStr">
        <is>
          <t>B3/Max add for D6 (GAME CHANGER); NOT targeted; replaces Goblin Gathering when bought</t>
        </is>
      </c>
      <c r="AK581" t="inlineStr">
        <is>
          <t>[B3/Max, not targeted] when bought -&gt;D6, replaces Goblin Gathering (Goblin Gathering-&gt;B)</t>
        </is>
      </c>
    </row>
    <row r="582">
      <c r="A582" s="73" t="inlineStr">
        <is>
          <t>Vorinclex, Monstrous Raider</t>
        </is>
      </c>
      <c r="B582" s="73">
        <f>IF(AND(F582&lt;&gt;0,E582=F582),"In Hand",IF(AND(E582&lt;&gt;0,E582&lt;F582,SUM(M582:R582)=0,SUM(T582:Y582)&gt;0),"Extra-Sub",IF(AND(E582=0,E582&lt;F582,SUM(M582:R582)=0,SUM(T582:Y582)&gt;0),"Bench-Sub",IF(AND(E582=0,F582&gt;0),"Bench",IF(E582&lt;F582,"Extra",IF(AND(J582="",E582&gt;F582),"To Buy",IF(SUM(J582,F582)&lt;E582,"To Buy",IF(AND(SUM(J582,F582)&gt;=E582,J582&lt;&gt;""),"Ordered",IF(AND(E582=0,F582=0,D582="B3"),"B3 Option",IF(AND(E582=0,F582=0),"Remove","To Buy"))))))))))</f>
        <v/>
      </c>
      <c r="D582" t="inlineStr">
        <is>
          <t>B3</t>
        </is>
      </c>
      <c r="E582" s="74">
        <f>SUM(M582:S582)</f>
        <v/>
      </c>
      <c r="F582" s="74">
        <f>SUM(T582:Z582)</f>
        <v/>
      </c>
      <c r="G582" s="74">
        <f>IF((F582-E582)&gt;=0,F582-E582,0)</f>
        <v/>
      </c>
      <c r="H582" s="74">
        <f>MAX(0,$E582-$F582-$J582)</f>
        <v/>
      </c>
      <c r="I582" s="74" t="n"/>
      <c r="J582" s="74" t="n"/>
      <c r="K582" s="75" t="n">
        <v>55.18</v>
      </c>
      <c r="L582" s="75">
        <f>IF(AND($H582&gt;0,ISNUMBER($K582)),$H582*$K582,0)</f>
        <v/>
      </c>
      <c r="M582" s="74" t="n"/>
      <c r="N582" s="74" t="n"/>
      <c r="O582" s="74" t="n"/>
      <c r="P582" s="74" t="n"/>
      <c r="Q582" s="74" t="n"/>
      <c r="R582" s="74" t="n"/>
      <c r="S582" s="74">
        <f>IF(AND(J582&lt;&gt;"",SUM(M582:R582)=0),J582,"")</f>
        <v/>
      </c>
      <c r="T582" s="3" t="n"/>
      <c r="U582" s="3" t="n"/>
      <c r="V582" s="3" t="n"/>
      <c r="W582" s="3" t="n"/>
      <c r="X582" s="3" t="n"/>
      <c r="Y582" s="3" t="n"/>
      <c r="Z582" s="74" t="n"/>
      <c r="AA582" s="73" t="inlineStr">
        <is>
          <t>Legendary Creature</t>
        </is>
      </c>
      <c r="AB582" s="73" t="inlineStr">
        <is>
          <t>Phyrexian Praetor</t>
        </is>
      </c>
      <c r="AC582" s="73" t="inlineStr">
        <is>
          <t>G</t>
        </is>
      </c>
      <c r="AD582" s="74" t="n">
        <v>6</v>
      </c>
      <c r="AE582" s="76" t="inlineStr">
        <is>
          <t>Kaldheim</t>
        </is>
      </c>
      <c r="AF582" s="76" t="inlineStr">
        <is>
          <t>B3 (Max) add</t>
        </is>
      </c>
      <c r="AG582" s="76" t="inlineStr">
        <is>
          <t>Trample, haste
If you would put one or more counters on a permanent or player, put twice that many of each of those kind</t>
        </is>
      </c>
      <c r="AH582" s="76" t="n"/>
      <c r="AI582" s="76" t="n"/>
      <c r="AJ582" s="73" t="inlineStr">
        <is>
          <t>B3/Max add for D3; NOT targeted; replaces Nightmare Sower when bought</t>
        </is>
      </c>
      <c r="AK582" t="inlineStr">
        <is>
          <t>[B3/Max, not targeted] when bought -&gt;D3, replaces Nightmare Sower (Nightmare Sower-&gt;B)</t>
        </is>
      </c>
    </row>
    <row r="583">
      <c r="A583" s="73" t="inlineStr">
        <is>
          <t>War Room</t>
        </is>
      </c>
      <c r="B583" s="73">
        <f>IF(AND(F583&lt;&gt;0,E583=F583),"In Hand",IF(AND(E583&lt;&gt;0,E583&lt;F583,SUM(M583:R583)=0,SUM(T583:Y583)&gt;0),"Extra-Sub",IF(AND(E583=0,E583&lt;F583,SUM(M583:R583)=0,SUM(T583:Y583)&gt;0),"Bench-Sub",IF(AND(E583=0,F583&gt;0),"Bench",IF(E583&lt;F583,"Extra",IF(AND(J583="",E583&gt;F583),"To Buy",IF(SUM(J583,F583)&lt;E583,"To Buy",IF(AND(SUM(J583,F583)&gt;=E583,J583&lt;&gt;""),"Ordered",IF(AND(E583=0,F583=0,D583="B3"),"B3 Option",IF(AND(E583=0,F583=0),"Remove","To Buy"))))))))))</f>
        <v/>
      </c>
      <c r="D583" t="inlineStr">
        <is>
          <t>B3</t>
        </is>
      </c>
      <c r="E583" s="74">
        <f>SUM(M583:S583)</f>
        <v/>
      </c>
      <c r="F583" s="74">
        <f>SUM(T583:Z583)</f>
        <v/>
      </c>
      <c r="G583" s="74">
        <f>IF((F583-E583)&gt;=0,F583-E583,0)</f>
        <v/>
      </c>
      <c r="H583" s="74">
        <f>MAX(0,$E583-$F583-$J583)</f>
        <v/>
      </c>
      <c r="I583" s="74" t="n"/>
      <c r="J583" s="74" t="n"/>
      <c r="K583" s="75" t="n">
        <v>5.57</v>
      </c>
      <c r="L583" s="75">
        <f>IF(AND($H583&gt;0,ISNUMBER($K583)),$H583*$K583,0)</f>
        <v/>
      </c>
      <c r="M583" s="74" t="n"/>
      <c r="N583" s="74" t="n"/>
      <c r="O583" s="74" t="n"/>
      <c r="P583" s="74" t="n"/>
      <c r="Q583" s="74" t="n"/>
      <c r="R583" s="74" t="n"/>
      <c r="S583" s="74">
        <f>IF(AND(J583&lt;&gt;"",SUM(M583:R583)=0),J583,"")</f>
        <v/>
      </c>
      <c r="T583" s="3" t="n"/>
      <c r="U583" s="3" t="n"/>
      <c r="V583" s="3" t="n"/>
      <c r="W583" s="3" t="n"/>
      <c r="X583" s="3" t="n"/>
      <c r="Y583" s="3" t="n"/>
      <c r="Z583" s="74" t="n"/>
      <c r="AA583" s="73" t="inlineStr">
        <is>
          <t>Land</t>
        </is>
      </c>
      <c r="AB583" s="73" t="n"/>
      <c r="AC583" s="73" t="inlineStr">
        <is>
          <t>C</t>
        </is>
      </c>
      <c r="AD583" s="74" t="n">
        <v>0</v>
      </c>
      <c r="AE583" s="76" t="inlineStr">
        <is>
          <t>Commander Legends</t>
        </is>
      </c>
      <c r="AF583" s="76" t="inlineStr">
        <is>
          <t>B3 (Max) add</t>
        </is>
      </c>
      <c r="AG583" s="76" t="inlineStr">
        <is>
          <t>{T}: Add {C}.
{3}, {T}, Pay life equal to the number of colors in your commanders' color identity: Draw a card.</t>
        </is>
      </c>
      <c r="AH583" s="76" t="n"/>
      <c r="AI583" s="76" t="n"/>
      <c r="AJ583" s="73" t="inlineStr">
        <is>
          <t>B3/Max add for D1; NOT targeted; replaces Study Hall when bought</t>
        </is>
      </c>
      <c r="AK583" t="inlineStr">
        <is>
          <t>[B3/Max, not targeted] when bought -&gt;D1, replaces Study Hall (Study Hall-&gt;B)</t>
        </is>
      </c>
    </row>
  </sheetData>
  <autoFilter ref="A4:AK571">
    <sortState ref="A5:AK583">
      <sortCondition descending="1" ref="B4:B571"/>
    </sortState>
  </autoFilter>
  <mergeCells count="2">
    <mergeCell ref="M3:Q3"/>
    <mergeCell ref="T3:X3"/>
  </mergeCells>
  <conditionalFormatting sqref="B5:B571">
    <cfRule type="expression" priority="8" dxfId="19">
      <formula>$B5="Bench"</formula>
    </cfRule>
    <cfRule type="expression" priority="9" dxfId="18">
      <formula>$B5="Bench-Sub"</formula>
    </cfRule>
    <cfRule type="expression" priority="10" dxfId="17">
      <formula>$B5="Extra"</formula>
    </cfRule>
    <cfRule type="expression" priority="30" dxfId="3">
      <formula>$B5="In Hand"</formula>
    </cfRule>
    <cfRule type="expression" priority="31" dxfId="2">
      <formula>$B5="Ordered"</formula>
    </cfRule>
    <cfRule type="expression" priority="32" dxfId="1">
      <formula>$B5="In TCGPlayer Cart"</formula>
    </cfRule>
    <cfRule type="expression" priority="33" dxfId="0">
      <formula>$B5="To Buy"</formula>
    </cfRule>
  </conditionalFormatting>
  <conditionalFormatting sqref="H5:H571">
    <cfRule type="expression" priority="11" dxfId="12">
      <formula>H5&gt;0</formula>
    </cfRule>
  </conditionalFormatting>
  <conditionalFormatting sqref="I5:I571">
    <cfRule type="expression" priority="57" dxfId="1">
      <formula>$I5&lt;&gt;""</formula>
    </cfRule>
  </conditionalFormatting>
  <conditionalFormatting sqref="T5:Y583">
    <cfRule type="expression" priority="12" dxfId="10">
      <formula>T5="O"</formula>
    </cfRule>
    <cfRule type="expression" priority="13" dxfId="9">
      <formula>T5=M5</formula>
    </cfRule>
    <cfRule type="expression" priority="14" dxfId="8">
      <formula>T5&lt;&gt;M5</formula>
    </cfRule>
  </conditionalFormatting>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tabColor rgb="FF2E5E4E"/>
    <outlinePr summaryBelow="1" summaryRight="1"/>
    <pageSetUpPr/>
  </sheetPr>
  <dimension ref="A1:L583"/>
  <sheetViews>
    <sheetView zoomScaleNormal="100" workbookViewId="0">
      <pane ySplit="1" topLeftCell="A2" activePane="bottomLeft" state="frozen"/>
      <selection activeCell="F592" sqref="F592"/>
      <selection pane="bottomLeft" activeCell="F592" sqref="F592"/>
    </sheetView>
  </sheetViews>
  <sheetFormatPr baseColWidth="8" defaultColWidth="8.7109375" defaultRowHeight="15"/>
  <cols>
    <col width="6" customWidth="1" style="79" min="1" max="1"/>
    <col width="8" customWidth="1" style="79" min="2" max="3"/>
    <col width="32" customWidth="1" style="79" min="4" max="4"/>
    <col width="5" customWidth="1" style="79" min="5" max="5"/>
    <col width="17" customWidth="1" style="79" min="6" max="6"/>
    <col width="8" customWidth="1" style="79" min="7" max="7"/>
    <col width="9" customWidth="1" style="79" min="8" max="8"/>
    <col width="20" customWidth="1" style="79" min="9" max="9"/>
    <col width="7" customWidth="1" style="79" min="10" max="10"/>
    <col width="5" customWidth="1" style="79" min="11" max="11"/>
    <col width="52" customWidth="1" style="79" min="12" max="12"/>
  </cols>
  <sheetData>
    <row r="1" ht="26.25" customHeight="1" s="79">
      <c r="A1" s="1" t="inlineStr">
        <is>
          <t>Deck</t>
        </is>
      </c>
      <c r="B1" s="1" t="inlineStr">
        <is>
          <t>Action</t>
        </is>
      </c>
      <c r="D1" s="1" t="inlineStr">
        <is>
          <t>Card</t>
        </is>
      </c>
      <c r="E1" s="1" t="inlineStr">
        <is>
          <t>Qty</t>
        </is>
      </c>
      <c r="F1" s="1" t="inlineStr">
        <is>
          <t>Status</t>
        </is>
      </c>
      <c r="G1" s="1" t="inlineStr">
        <is>
          <t>$ Each</t>
        </is>
      </c>
      <c r="H1" s="1" t="inlineStr">
        <is>
          <t>$ To Buy</t>
        </is>
      </c>
      <c r="I1" s="1" t="inlineStr">
        <is>
          <t>Type</t>
        </is>
      </c>
      <c r="J1" s="1" t="inlineStr">
        <is>
          <t>Color</t>
        </is>
      </c>
      <c r="K1" s="1" t="inlineStr">
        <is>
          <t>MV</t>
        </is>
      </c>
      <c r="L1" s="1" t="inlineStr">
        <is>
          <t>Notes</t>
        </is>
      </c>
    </row>
    <row r="2" ht="15" customHeight="1" s="79">
      <c r="A2" s="3" t="inlineStr">
        <is>
          <t>D5</t>
        </is>
      </c>
      <c r="B2" s="3" t="inlineStr">
        <is>
          <t>ADD</t>
        </is>
      </c>
      <c r="D2" s="2" t="inlineStr">
        <is>
          <t>Day of Judgment</t>
        </is>
      </c>
      <c r="E2" s="3" t="n">
        <v>1</v>
      </c>
      <c r="F2" s="2" t="inlineStr">
        <is>
          <t>In TCGPlayer Cart</t>
        </is>
      </c>
      <c r="G2" s="4" t="n">
        <v>0.88</v>
      </c>
      <c r="H2" s="4">
        <f>IF(OR($F2="To Buy",$F2="In TCGPlayer Cart"),$E2*$G2,0)</f>
        <v/>
      </c>
      <c r="I2" s="2" t="inlineStr">
        <is>
          <t>Sorcery</t>
        </is>
      </c>
      <c r="J2" s="2" t="inlineStr">
        <is>
          <t>W</t>
        </is>
      </c>
      <c r="K2" s="3" t="n"/>
      <c r="L2" s="2" t="inlineStr">
        <is>
          <t>Tuned add for D5</t>
        </is>
      </c>
    </row>
    <row r="3" ht="15" customHeight="1" s="79">
      <c r="A3" s="3" t="inlineStr">
        <is>
          <t>D5</t>
        </is>
      </c>
      <c r="B3" s="3" t="inlineStr">
        <is>
          <t>ADD</t>
        </is>
      </c>
      <c r="D3" s="2" t="inlineStr">
        <is>
          <t>Elspeth, Sun's Nemesis</t>
        </is>
      </c>
      <c r="E3" s="3" t="n">
        <v>1</v>
      </c>
      <c r="F3" s="2" t="inlineStr">
        <is>
          <t>In TCGPlayer Cart</t>
        </is>
      </c>
      <c r="G3" s="4" t="n">
        <v>0.78</v>
      </c>
      <c r="H3" s="4">
        <f>IF(OR($F3="To Buy",$F3="In TCGPlayer Cart"),$E3*$G3,0)</f>
        <v/>
      </c>
      <c r="I3" s="2" t="inlineStr">
        <is>
          <t>Legendary Planeswalker</t>
        </is>
      </c>
      <c r="J3" s="2" t="inlineStr">
        <is>
          <t>W</t>
        </is>
      </c>
      <c r="K3" s="3" t="n"/>
      <c r="L3" s="2" t="inlineStr">
        <is>
          <t>Tuned add for D5</t>
        </is>
      </c>
    </row>
    <row r="4" ht="15" customHeight="1" s="79">
      <c r="A4" s="3" t="inlineStr">
        <is>
          <t>Card</t>
        </is>
      </c>
      <c r="B4" s="3" t="inlineStr">
        <is>
          <t>ADD</t>
        </is>
      </c>
      <c r="C4" s="53" t="inlineStr">
        <is>
          <t>My To Buy List</t>
        </is>
      </c>
      <c r="D4" s="2" t="inlineStr">
        <is>
          <t>Bracket</t>
        </is>
      </c>
      <c r="E4" s="3" t="inlineStr">
        <is>
          <t>Qty</t>
        </is>
      </c>
      <c r="F4" s="2" t="inlineStr">
        <is>
          <t>To Buy</t>
        </is>
      </c>
      <c r="G4" s="4" t="n">
        <v>10.17</v>
      </c>
      <c r="H4" s="4">
        <f>IF(OR($F4="To Buy",$F4="In TCGPlayer Cart"),$E4*$G4,0)</f>
        <v/>
      </c>
      <c r="I4" s="2" t="inlineStr">
        <is>
          <t>Legendary Creature</t>
        </is>
      </c>
      <c r="J4" s="2" t="inlineStr">
        <is>
          <t>BW</t>
        </is>
      </c>
      <c r="K4" s="3" t="n"/>
      <c r="L4" s="2" t="inlineStr">
        <is>
          <t>Tuned add for D5 | targeted on Master 2026-09-02</t>
        </is>
      </c>
    </row>
    <row r="5" ht="15" customHeight="1" s="79">
      <c r="A5" s="3" t="inlineStr">
        <is>
          <t>D5</t>
        </is>
      </c>
      <c r="B5" s="3" t="inlineStr">
        <is>
          <t>ADD</t>
        </is>
      </c>
      <c r="D5" s="2" t="inlineStr">
        <is>
          <t>Mentor of the Meek</t>
        </is>
      </c>
      <c r="E5" s="3" t="n">
        <v>1</v>
      </c>
      <c r="F5" s="2" t="inlineStr">
        <is>
          <t>To Buy</t>
        </is>
      </c>
      <c r="G5" s="4" t="n">
        <v>4.95</v>
      </c>
      <c r="H5" s="4">
        <f>IF(OR($F5="To Buy",$F5="In TCGPlayer Cart"),$E5*$G5,0)</f>
        <v/>
      </c>
      <c r="I5" s="2" t="inlineStr">
        <is>
          <t>Creature</t>
        </is>
      </c>
      <c r="J5" s="2" t="inlineStr">
        <is>
          <t>W</t>
        </is>
      </c>
      <c r="K5" s="3" t="n"/>
      <c r="L5" s="2" t="inlineStr">
        <is>
          <t>Tuned add for D5 | targeted on Master 2026-09-02</t>
        </is>
      </c>
    </row>
    <row r="6" ht="15" customHeight="1" s="79">
      <c r="A6" s="3" t="inlineStr">
        <is>
          <t>D5</t>
        </is>
      </c>
      <c r="B6" s="3" t="inlineStr">
        <is>
          <t>ADD</t>
        </is>
      </c>
      <c r="D6" s="2" t="inlineStr">
        <is>
          <t>Night's Whisper</t>
        </is>
      </c>
      <c r="E6" s="3" t="n">
        <v>1</v>
      </c>
      <c r="F6" s="2" t="inlineStr">
        <is>
          <t>To Buy</t>
        </is>
      </c>
      <c r="G6" s="4" t="n">
        <v>5.42</v>
      </c>
      <c r="H6" s="4">
        <f>IF(OR($F6="To Buy",$F6="In TCGPlayer Cart"),$E6*$G6,0)</f>
        <v/>
      </c>
      <c r="I6" s="2" t="inlineStr">
        <is>
          <t>Sorcery</t>
        </is>
      </c>
      <c r="J6" s="2" t="inlineStr">
        <is>
          <t>B</t>
        </is>
      </c>
      <c r="K6" s="3" t="n">
        <v>2</v>
      </c>
      <c r="L6" s="2" t="inlineStr">
        <is>
          <t>Tuned add for D5 | targeted on Master 2026-09-02</t>
        </is>
      </c>
    </row>
    <row r="7" ht="15" customHeight="1" s="79">
      <c r="A7" s="3" t="inlineStr">
        <is>
          <t>D5</t>
        </is>
      </c>
      <c r="B7" s="3" t="inlineStr">
        <is>
          <t>ADD</t>
        </is>
      </c>
      <c r="D7" s="2" t="inlineStr">
        <is>
          <t>Ossification</t>
        </is>
      </c>
      <c r="E7" s="3" t="n">
        <v>1</v>
      </c>
      <c r="F7" s="2" t="inlineStr">
        <is>
          <t>In TCGPlayer Cart</t>
        </is>
      </c>
      <c r="G7" s="4" t="n">
        <v>0.34</v>
      </c>
      <c r="H7" s="4">
        <f>IF(OR($F7="To Buy",$F7="In TCGPlayer Cart"),$E7*$G7,0)</f>
        <v/>
      </c>
      <c r="I7" s="2" t="inlineStr">
        <is>
          <t>Enchantment</t>
        </is>
      </c>
      <c r="J7" s="2" t="inlineStr">
        <is>
          <t>W</t>
        </is>
      </c>
      <c r="K7" s="3" t="n"/>
      <c r="L7" s="2" t="inlineStr">
        <is>
          <t>Tuned add for D5</t>
        </is>
      </c>
    </row>
    <row r="8" ht="15" customHeight="1" s="79">
      <c r="A8" s="3" t="inlineStr">
        <is>
          <t>D5</t>
        </is>
      </c>
      <c r="B8" s="3" t="inlineStr">
        <is>
          <t>ADD</t>
        </is>
      </c>
      <c r="D8" s="2" t="inlineStr">
        <is>
          <t>Requiem Angel</t>
        </is>
      </c>
      <c r="E8" s="3" t="n">
        <v>1</v>
      </c>
      <c r="F8" s="2" t="inlineStr">
        <is>
          <t>In Wake Forest Cart</t>
        </is>
      </c>
      <c r="G8" s="4" t="n">
        <v>0.84</v>
      </c>
      <c r="H8" s="4">
        <f>IF(OR($F8="To Buy",$F8="In TCGPlayer Cart"),$E8*$G8,0)</f>
        <v/>
      </c>
      <c r="I8" s="2" t="inlineStr">
        <is>
          <t>Creature</t>
        </is>
      </c>
      <c r="J8" s="2" t="inlineStr">
        <is>
          <t>W</t>
        </is>
      </c>
      <c r="K8" s="3" t="n"/>
      <c r="L8" s="2" t="inlineStr">
        <is>
          <t>Tuned add for D5</t>
        </is>
      </c>
    </row>
    <row r="9" ht="15" customHeight="1" s="79">
      <c r="A9" s="3" t="inlineStr">
        <is>
          <t>D5</t>
        </is>
      </c>
      <c r="B9" s="3" t="inlineStr">
        <is>
          <t>ADD</t>
        </is>
      </c>
      <c r="D9" s="2" t="inlineStr">
        <is>
          <t>Skullclamp</t>
        </is>
      </c>
      <c r="E9" s="3" t="n">
        <v>1</v>
      </c>
      <c r="F9" s="2" t="inlineStr">
        <is>
          <t>To Buy (con list)</t>
        </is>
      </c>
      <c r="G9" s="4" t="n">
        <v>5.89</v>
      </c>
      <c r="H9" s="4">
        <f>IF(OR($F9="To Buy",$F9="In TCGPlayer Cart"),$E9*$G9,0)</f>
        <v/>
      </c>
      <c r="I9" s="2" t="inlineStr">
        <is>
          <t>Artifact</t>
        </is>
      </c>
      <c r="J9" s="2" t="inlineStr">
        <is>
          <t>C</t>
        </is>
      </c>
      <c r="K9" s="3" t="n">
        <v>1</v>
      </c>
      <c r="L9" s="2" t="inlineStr">
        <is>
          <t>Tuned add for D5 | targeted on Master 2026-09-02</t>
        </is>
      </c>
    </row>
    <row r="10" ht="15" customHeight="1" s="79">
      <c r="A10" s="3" t="inlineStr">
        <is>
          <t>D5</t>
        </is>
      </c>
      <c r="B10" s="3" t="inlineStr">
        <is>
          <t>ADD</t>
        </is>
      </c>
      <c r="D10" s="2" t="inlineStr">
        <is>
          <t>Teysa Karlov</t>
        </is>
      </c>
      <c r="E10" s="3" t="n">
        <v>1</v>
      </c>
      <c r="F10" s="2" t="inlineStr">
        <is>
          <t>To Buy</t>
        </is>
      </c>
      <c r="G10" s="4" t="n">
        <v>2.67</v>
      </c>
      <c r="H10" s="4">
        <f>IF(OR($F10="To Buy",$F10="In TCGPlayer Cart"),$E10*$G10,0)</f>
        <v/>
      </c>
      <c r="I10" s="2" t="inlineStr">
        <is>
          <t>Legendary Creature</t>
        </is>
      </c>
      <c r="J10" s="2" t="inlineStr">
        <is>
          <t>BW</t>
        </is>
      </c>
      <c r="K10" s="3" t="n"/>
      <c r="L10" s="2" t="inlineStr">
        <is>
          <t>Tuned add for D5 | targeted on Master 2026-09-02</t>
        </is>
      </c>
    </row>
    <row r="11" ht="15" customHeight="1" s="79">
      <c r="A11" s="3" t="inlineStr">
        <is>
          <t>D5</t>
        </is>
      </c>
      <c r="B11" s="3" t="inlineStr">
        <is>
          <t>CUT</t>
        </is>
      </c>
      <c r="D11" s="2" t="inlineStr">
        <is>
          <t>Costly Plunder</t>
        </is>
      </c>
      <c r="E11" s="3" t="n">
        <v>1</v>
      </c>
      <c r="F11" s="2" t="inlineStr">
        <is>
          <t>-&gt; Bench</t>
        </is>
      </c>
      <c r="G11" s="4" t="n">
        <v>0.24</v>
      </c>
      <c r="H11" s="4" t="n"/>
      <c r="I11" s="2" t="inlineStr">
        <is>
          <t>Instant</t>
        </is>
      </c>
      <c r="J11" s="2" t="inlineStr">
        <is>
          <t>B</t>
        </is>
      </c>
      <c r="K11" s="3" t="n">
        <v>2</v>
      </c>
      <c r="L11" s="2" t="inlineStr">
        <is>
          <t>Comes out at Tuned; move to Bench box</t>
        </is>
      </c>
    </row>
    <row r="12" ht="15" customHeight="1" s="79">
      <c r="A12" s="3" t="inlineStr">
        <is>
          <t>D5</t>
        </is>
      </c>
      <c r="B12" s="3" t="inlineStr">
        <is>
          <t>CUT</t>
        </is>
      </c>
      <c r="D12" s="2" t="inlineStr">
        <is>
          <t>Curious Farm Animals</t>
        </is>
      </c>
      <c r="E12" s="3" t="n">
        <v>1</v>
      </c>
      <c r="F12" s="2" t="inlineStr">
        <is>
          <t>-&gt; Bench (cut 2026-09-02)</t>
        </is>
      </c>
      <c r="G12" s="4" t="n"/>
      <c r="H12" s="4" t="n"/>
      <c r="I12" s="2" t="inlineStr">
        <is>
          <t>Creature</t>
        </is>
      </c>
      <c r="J12" s="2" t="inlineStr">
        <is>
          <t>W</t>
        </is>
      </c>
      <c r="K12" s="3" t="n">
        <v>1</v>
      </c>
      <c r="L12" s="2" t="inlineStr">
        <is>
          <t>Comes out at Tuned; move to Bench box</t>
        </is>
      </c>
    </row>
    <row r="13" ht="15" customHeight="1" s="79">
      <c r="A13" s="3" t="inlineStr">
        <is>
          <t>D5</t>
        </is>
      </c>
      <c r="B13" s="3" t="inlineStr">
        <is>
          <t>CUT</t>
        </is>
      </c>
      <c r="D13" s="2" t="inlineStr">
        <is>
          <t>Explorer's Scope</t>
        </is>
      </c>
      <c r="E13" s="3" t="n">
        <v>1</v>
      </c>
      <c r="F13" s="2" t="inlineStr">
        <is>
          <t>-&gt; Bench</t>
        </is>
      </c>
      <c r="G13" s="4" t="n"/>
      <c r="H13" s="4" t="n"/>
      <c r="I13" s="2" t="inlineStr">
        <is>
          <t>Artifact</t>
        </is>
      </c>
      <c r="J13" s="2" t="inlineStr">
        <is>
          <t>C</t>
        </is>
      </c>
      <c r="K13" s="3" t="n">
        <v>1</v>
      </c>
      <c r="L13" s="2" t="inlineStr">
        <is>
          <t>Comes out at Tuned; move to Bench box</t>
        </is>
      </c>
    </row>
    <row r="14" ht="15" customHeight="1" s="79">
      <c r="A14" s="3" t="inlineStr">
        <is>
          <t>D5</t>
        </is>
      </c>
      <c r="B14" s="3" t="inlineStr">
        <is>
          <t>CUT</t>
        </is>
      </c>
      <c r="D14" s="2" t="inlineStr">
        <is>
          <t>Goldvein Pick</t>
        </is>
      </c>
      <c r="E14" s="3" t="n">
        <v>1</v>
      </c>
      <c r="F14" s="2" t="inlineStr">
        <is>
          <t>-&gt; Bench</t>
        </is>
      </c>
      <c r="G14" s="4" t="n"/>
      <c r="H14" s="4" t="n"/>
      <c r="I14" s="2" t="inlineStr">
        <is>
          <t>Artifact</t>
        </is>
      </c>
      <c r="J14" s="2" t="inlineStr">
        <is>
          <t>C</t>
        </is>
      </c>
      <c r="K14" s="3" t="n">
        <v>2</v>
      </c>
      <c r="L14" s="2" t="inlineStr">
        <is>
          <t>Comes out at Tuned; move to Bench box</t>
        </is>
      </c>
    </row>
    <row r="15" ht="15" customHeight="1" s="79">
      <c r="A15" s="3" t="inlineStr">
        <is>
          <t>D5</t>
        </is>
      </c>
      <c r="B15" s="3" t="inlineStr">
        <is>
          <t>CUT</t>
        </is>
      </c>
      <c r="D15" s="2" t="inlineStr">
        <is>
          <t>Haystack</t>
        </is>
      </c>
      <c r="E15" s="3" t="n">
        <v>1</v>
      </c>
      <c r="F15" s="2" t="inlineStr">
        <is>
          <t>-&gt; Bench</t>
        </is>
      </c>
      <c r="G15" s="4" t="n"/>
      <c r="H15" s="4" t="n"/>
      <c r="I15" s="2" t="inlineStr">
        <is>
          <t>Artifact</t>
        </is>
      </c>
      <c r="J15" s="2" t="inlineStr">
        <is>
          <t>W</t>
        </is>
      </c>
      <c r="K15" s="3" t="n">
        <v>2</v>
      </c>
      <c r="L15" s="2" t="inlineStr">
        <is>
          <t>Comes out at Tuned; move to Bench box</t>
        </is>
      </c>
    </row>
    <row r="16" ht="15" customHeight="1" s="79">
      <c r="A16" s="3" t="inlineStr">
        <is>
          <t>D5</t>
        </is>
      </c>
      <c r="B16" s="3" t="inlineStr">
        <is>
          <t>CUT</t>
        </is>
      </c>
      <c r="D16" s="2" t="inlineStr">
        <is>
          <t>Inspiring Overseer</t>
        </is>
      </c>
      <c r="E16" s="3" t="n">
        <v>1</v>
      </c>
      <c r="F16" s="2" t="inlineStr">
        <is>
          <t>-&gt; Bench</t>
        </is>
      </c>
      <c r="G16" s="4" t="n">
        <v>0.28</v>
      </c>
      <c r="H16" s="4" t="n"/>
      <c r="I16" s="2" t="inlineStr">
        <is>
          <t>Creature</t>
        </is>
      </c>
      <c r="J16" s="2" t="inlineStr">
        <is>
          <t>W</t>
        </is>
      </c>
      <c r="K16" s="3" t="n">
        <v>3</v>
      </c>
      <c r="L16" s="2" t="inlineStr">
        <is>
          <t>Comes out at Tuned; move to Bench box</t>
        </is>
      </c>
    </row>
    <row r="17" ht="15" customHeight="1" s="79">
      <c r="A17" s="3" t="inlineStr">
        <is>
          <t>D5</t>
        </is>
      </c>
      <c r="B17" s="3" t="inlineStr">
        <is>
          <t>CUT</t>
        </is>
      </c>
      <c r="D17" s="2" t="inlineStr">
        <is>
          <t>Suture Priest</t>
        </is>
      </c>
      <c r="E17" s="3" t="n">
        <v>1</v>
      </c>
      <c r="F17" s="2" t="inlineStr">
        <is>
          <t>-&gt; Bench (not bought; Skullclamp pending)</t>
        </is>
      </c>
      <c r="G17" s="4" t="n">
        <v>4.67</v>
      </c>
      <c r="H17" s="4" t="n"/>
      <c r="I17" s="2" t="inlineStr">
        <is>
          <t>Creature</t>
        </is>
      </c>
      <c r="J17" s="2" t="inlineStr">
        <is>
          <t>W</t>
        </is>
      </c>
      <c r="K17" s="3" t="n">
        <v>2</v>
      </c>
      <c r="L17" s="2" t="inlineStr">
        <is>
          <t>Comes out at Tuned; move to Bench box</t>
        </is>
      </c>
    </row>
    <row r="18" ht="15" customHeight="1" s="79">
      <c r="A18" s="3" t="inlineStr">
        <is>
          <t>D5</t>
        </is>
      </c>
      <c r="B18" s="3" t="inlineStr">
        <is>
          <t>CUT</t>
        </is>
      </c>
      <c r="D18" s="2" t="inlineStr">
        <is>
          <t>B3</t>
        </is>
      </c>
      <c r="E18" s="3" t="n">
        <v>1</v>
      </c>
      <c r="F18" s="2" t="inlineStr">
        <is>
          <t>-&gt; Bench (cut 2026-09-02)</t>
        </is>
      </c>
      <c r="G18" s="4" t="n"/>
      <c r="H18" s="4" t="n"/>
      <c r="I18" s="2" t="inlineStr">
        <is>
          <t>Creature</t>
        </is>
      </c>
      <c r="J18" s="2" t="inlineStr">
        <is>
          <t>W</t>
        </is>
      </c>
      <c r="K18" s="3" t="n">
        <v>2</v>
      </c>
      <c r="L18" s="2" t="inlineStr">
        <is>
          <t>Comes out at Tuned; move to Bench box</t>
        </is>
      </c>
    </row>
    <row r="19" ht="15" customHeight="1" s="79">
      <c r="A19" s="3" t="inlineStr">
        <is>
          <t>D5</t>
        </is>
      </c>
      <c r="B19" s="3" t="inlineStr">
        <is>
          <t>CUT</t>
        </is>
      </c>
      <c r="D19" s="2" t="inlineStr">
        <is>
          <t>Wild Pack Squad</t>
        </is>
      </c>
      <c r="E19" s="3" t="n">
        <v>1</v>
      </c>
      <c r="F19" s="2" t="inlineStr">
        <is>
          <t>-&gt; Bench</t>
        </is>
      </c>
      <c r="G19" s="4" t="n"/>
      <c r="H19" s="4" t="n"/>
      <c r="I19" s="2" t="inlineStr">
        <is>
          <t>Creature</t>
        </is>
      </c>
      <c r="J19" s="2" t="inlineStr">
        <is>
          <t>W</t>
        </is>
      </c>
      <c r="K19" s="3" t="n">
        <v>3</v>
      </c>
      <c r="L19" s="2" t="inlineStr">
        <is>
          <t>Comes out at Tuned; move to Bench box</t>
        </is>
      </c>
    </row>
    <row r="20" ht="15" customHeight="1" s="79">
      <c r="A20" s="3" t="inlineStr">
        <is>
          <t>D6</t>
        </is>
      </c>
      <c r="B20" s="3" t="inlineStr">
        <is>
          <t>ADD</t>
        </is>
      </c>
      <c r="D20" s="2" t="inlineStr">
        <is>
          <t>Conspicuous Snoop</t>
        </is>
      </c>
      <c r="E20" s="3" t="n">
        <v>1</v>
      </c>
      <c r="F20" s="2" t="inlineStr">
        <is>
          <t>To Buy</t>
        </is>
      </c>
      <c r="G20" s="4" t="n">
        <v>4.85</v>
      </c>
      <c r="H20" s="4">
        <f>IF(OR($F20="To Buy",$F20="In TCGPlayer Cart"),$E20*$G20,0)</f>
        <v/>
      </c>
      <c r="I20" s="2" t="inlineStr">
        <is>
          <t>Creature</t>
        </is>
      </c>
      <c r="J20" s="2" t="inlineStr">
        <is>
          <t>R</t>
        </is>
      </c>
      <c r="K20" s="3" t="n"/>
      <c r="L20" s="2" t="inlineStr">
        <is>
          <t>Tuned add for D6 | targeted on Master 2026-09-02</t>
        </is>
      </c>
    </row>
    <row r="21" ht="15" customHeight="1" s="79">
      <c r="A21" s="3" t="inlineStr">
        <is>
          <t>D6</t>
        </is>
      </c>
      <c r="B21" s="3" t="inlineStr">
        <is>
          <t>ADD</t>
        </is>
      </c>
      <c r="D21" s="2" t="inlineStr">
        <is>
          <t>Fervor</t>
        </is>
      </c>
      <c r="E21" s="3" t="n">
        <v>1</v>
      </c>
      <c r="F21" s="2" t="inlineStr">
        <is>
          <t>To Buy</t>
        </is>
      </c>
      <c r="G21" s="4" t="n">
        <v>4.21</v>
      </c>
      <c r="H21" s="4">
        <f>IF(OR($F21="To Buy",$F21="In TCGPlayer Cart"),$E21*$G21,0)</f>
        <v/>
      </c>
      <c r="I21" s="2" t="inlineStr">
        <is>
          <t>Enchantment</t>
        </is>
      </c>
      <c r="J21" s="2" t="inlineStr">
        <is>
          <t>R</t>
        </is>
      </c>
      <c r="K21" s="3" t="n"/>
      <c r="L21" s="2" t="inlineStr">
        <is>
          <t>Tuned add for D6 | targeted on Master 2026-09-02</t>
        </is>
      </c>
    </row>
    <row r="22" ht="15" customHeight="1" s="79">
      <c r="A22" s="3" t="inlineStr">
        <is>
          <t>D6</t>
        </is>
      </c>
      <c r="B22" s="3" t="inlineStr">
        <is>
          <t>ADD</t>
        </is>
      </c>
      <c r="D22" s="2" t="inlineStr">
        <is>
          <t>Goblin Chieftain</t>
        </is>
      </c>
      <c r="E22" s="3" t="n">
        <v>1</v>
      </c>
      <c r="F22" s="2" t="inlineStr">
        <is>
          <t>To Buy</t>
        </is>
      </c>
      <c r="G22" s="4" t="n">
        <v>5.94</v>
      </c>
      <c r="H22" s="4">
        <f>IF(OR($F22="To Buy",$F22="In TCGPlayer Cart"),$E22*$G22,0)</f>
        <v/>
      </c>
      <c r="I22" s="2" t="inlineStr">
        <is>
          <t>Creature</t>
        </is>
      </c>
      <c r="J22" s="2" t="inlineStr">
        <is>
          <t>R</t>
        </is>
      </c>
      <c r="K22" s="3" t="n"/>
      <c r="L22" s="2" t="inlineStr">
        <is>
          <t>Tuned add for D6 | targeted on Master 2026-09-02</t>
        </is>
      </c>
    </row>
    <row r="23" ht="15" customHeight="1" s="79">
      <c r="A23" s="3" t="inlineStr">
        <is>
          <t>D6</t>
        </is>
      </c>
      <c r="B23" s="3" t="inlineStr">
        <is>
          <t>ADD</t>
        </is>
      </c>
      <c r="D23" s="2" t="inlineStr">
        <is>
          <t>Goblin Rabblemaster</t>
        </is>
      </c>
      <c r="E23" s="3" t="n">
        <v>1</v>
      </c>
      <c r="F23" s="2" t="inlineStr">
        <is>
          <t>In Raleigh Cart</t>
        </is>
      </c>
      <c r="G23" s="4" t="n">
        <v>0.66</v>
      </c>
      <c r="H23" s="4">
        <f>IF(OR($F23="To Buy",$F23="In TCGPlayer Cart"),$E23*$G23,0)</f>
        <v/>
      </c>
      <c r="I23" s="2" t="inlineStr">
        <is>
          <t>Creature</t>
        </is>
      </c>
      <c r="J23" s="2" t="inlineStr">
        <is>
          <t>R</t>
        </is>
      </c>
      <c r="K23" s="3" t="n"/>
      <c r="L23" s="2" t="inlineStr">
        <is>
          <t>Tuned add for D6</t>
        </is>
      </c>
    </row>
    <row r="24" ht="15" customHeight="1" s="79">
      <c r="A24" s="3" t="inlineStr">
        <is>
          <t>D6</t>
        </is>
      </c>
      <c r="B24" s="3" t="inlineStr">
        <is>
          <t>ADD</t>
        </is>
      </c>
      <c r="D24" s="2" t="inlineStr">
        <is>
          <t>Goblin Trashmaster</t>
        </is>
      </c>
      <c r="E24" s="3" t="n">
        <v>1</v>
      </c>
      <c r="F24" s="2" t="inlineStr">
        <is>
          <t>To Buy</t>
        </is>
      </c>
      <c r="G24" s="4" t="n">
        <v>7.78</v>
      </c>
      <c r="H24" s="4">
        <f>IF(OR($F24="To Buy",$F24="In TCGPlayer Cart"),$E24*$G24,0)</f>
        <v/>
      </c>
      <c r="I24" s="2" t="inlineStr">
        <is>
          <t>Creature</t>
        </is>
      </c>
      <c r="J24" s="2" t="inlineStr">
        <is>
          <t>R</t>
        </is>
      </c>
      <c r="K24" s="3" t="n"/>
      <c r="L24" s="2" t="inlineStr">
        <is>
          <t>Tuned add for D6 | targeted on Master 2026-09-02</t>
        </is>
      </c>
    </row>
    <row r="25" ht="15" customHeight="1" s="79">
      <c r="A25" s="3" t="inlineStr">
        <is>
          <t>D6</t>
        </is>
      </c>
      <c r="B25" s="3" t="inlineStr">
        <is>
          <t>ADD</t>
        </is>
      </c>
      <c r="D25" s="2" t="inlineStr">
        <is>
          <t>Molten Echoes</t>
        </is>
      </c>
      <c r="E25" s="3" t="n">
        <v>1</v>
      </c>
      <c r="F25" s="2" t="inlineStr">
        <is>
          <t>To Buy</t>
        </is>
      </c>
      <c r="G25" s="4" t="n">
        <v>9.51</v>
      </c>
      <c r="H25" s="4">
        <f>IF(OR($F25="To Buy",$F25="In TCGPlayer Cart"),$E25*$G25,0)</f>
        <v/>
      </c>
      <c r="I25" s="2" t="inlineStr">
        <is>
          <t>Enchantment</t>
        </is>
      </c>
      <c r="J25" s="2" t="inlineStr">
        <is>
          <t>R</t>
        </is>
      </c>
      <c r="K25" s="3" t="n"/>
      <c r="L25" s="2" t="inlineStr">
        <is>
          <t>Tuned add for D6 | targeted on Master 2026-09-02</t>
        </is>
      </c>
    </row>
    <row r="26" ht="15" customHeight="1" s="79">
      <c r="A26" s="3" t="inlineStr">
        <is>
          <t>D6</t>
        </is>
      </c>
      <c r="B26" s="3" t="inlineStr">
        <is>
          <t>ADD</t>
        </is>
      </c>
      <c r="D26" s="2" t="inlineStr">
        <is>
          <t>Purphoros's Intervention</t>
        </is>
      </c>
      <c r="E26" s="3" t="n">
        <v>1</v>
      </c>
      <c r="F26" s="2" t="inlineStr">
        <is>
          <t>In Raleigh Cart</t>
        </is>
      </c>
      <c r="G26" s="4" t="n">
        <v>0.28</v>
      </c>
      <c r="H26" s="4">
        <f>IF(OR($F26="To Buy",$F26="In TCGPlayer Cart"),$E26*$G26,0)</f>
        <v/>
      </c>
      <c r="I26" s="2" t="inlineStr">
        <is>
          <t>Sorcery</t>
        </is>
      </c>
      <c r="J26" s="2" t="inlineStr">
        <is>
          <t>R</t>
        </is>
      </c>
      <c r="K26" s="3" t="n"/>
      <c r="L26" s="2" t="inlineStr">
        <is>
          <t>Tuned add for D6</t>
        </is>
      </c>
    </row>
    <row r="27" ht="15" customHeight="1" s="79">
      <c r="A27" s="3" t="inlineStr">
        <is>
          <t>D6</t>
        </is>
      </c>
      <c r="B27" s="3" t="inlineStr">
        <is>
          <t>ADD</t>
        </is>
      </c>
      <c r="D27" s="2" t="inlineStr">
        <is>
          <t>Ruby Medallion</t>
        </is>
      </c>
      <c r="E27" s="3" t="n">
        <v>1</v>
      </c>
      <c r="F27" s="2" t="inlineStr">
        <is>
          <t>To Buy</t>
        </is>
      </c>
      <c r="G27" s="4" t="n">
        <v>14.81</v>
      </c>
      <c r="H27" s="4">
        <f>IF(OR($F27="To Buy",$F27="In TCGPlayer Cart"),$E27*$G27,0)</f>
        <v/>
      </c>
      <c r="I27" s="2" t="inlineStr">
        <is>
          <t>Artifact</t>
        </is>
      </c>
      <c r="J27" s="2" t="inlineStr">
        <is>
          <t>C</t>
        </is>
      </c>
      <c r="K27" s="3" t="n"/>
      <c r="L27" s="2" t="inlineStr">
        <is>
          <t>Tuned add for D6 | targeted on Master 2026-09-02</t>
        </is>
      </c>
    </row>
    <row r="28" ht="15" customHeight="1" s="79">
      <c r="A28" s="3" t="inlineStr">
        <is>
          <t>D6</t>
        </is>
      </c>
      <c r="B28" s="3" t="inlineStr">
        <is>
          <t>ADD</t>
        </is>
      </c>
      <c r="D28" s="2" t="inlineStr">
        <is>
          <t>Rundvelt Hordemaster</t>
        </is>
      </c>
      <c r="E28" s="3" t="n">
        <v>1</v>
      </c>
      <c r="F28" s="2" t="inlineStr">
        <is>
          <t>To Buy</t>
        </is>
      </c>
      <c r="G28" s="4" t="n">
        <v>4.87</v>
      </c>
      <c r="H28" s="4">
        <f>IF(OR($F28="To Buy",$F28="In TCGPlayer Cart"),$E28*$G28,0)</f>
        <v/>
      </c>
      <c r="I28" s="2" t="inlineStr">
        <is>
          <t>Creature</t>
        </is>
      </c>
      <c r="J28" s="2" t="inlineStr">
        <is>
          <t>R</t>
        </is>
      </c>
      <c r="K28" s="3" t="n"/>
      <c r="L28" s="2" t="inlineStr">
        <is>
          <t>Tuned add for D6 | targeted on Master 2026-09-02</t>
        </is>
      </c>
    </row>
    <row r="29" ht="15" customHeight="1" s="79">
      <c r="A29" s="3" t="inlineStr">
        <is>
          <t>D6</t>
        </is>
      </c>
      <c r="B29" s="3" t="inlineStr">
        <is>
          <t>ADD</t>
        </is>
      </c>
      <c r="D29" s="2" t="inlineStr">
        <is>
          <t>Shared Animosity</t>
        </is>
      </c>
      <c r="E29" s="3" t="n">
        <v>1</v>
      </c>
      <c r="F29" s="2" t="inlineStr">
        <is>
          <t>To Buy</t>
        </is>
      </c>
      <c r="G29" s="4" t="n">
        <v>4.47</v>
      </c>
      <c r="H29" s="4">
        <f>IF(OR($F29="To Buy",$F29="In TCGPlayer Cart"),$E29*$G29,0)</f>
        <v/>
      </c>
      <c r="I29" s="2" t="inlineStr">
        <is>
          <t>Enchantment</t>
        </is>
      </c>
      <c r="J29" s="2" t="inlineStr">
        <is>
          <t>R</t>
        </is>
      </c>
      <c r="K29" s="3" t="n"/>
      <c r="L29" s="2" t="inlineStr">
        <is>
          <t>Tuned add for D6 | targeted on Master 2026-09-02</t>
        </is>
      </c>
    </row>
    <row r="30" ht="15" customHeight="1" s="79">
      <c r="A30" s="3" t="inlineStr">
        <is>
          <t>D6</t>
        </is>
      </c>
      <c r="B30" s="3" t="inlineStr">
        <is>
          <t>CUT</t>
        </is>
      </c>
      <c r="D30" s="2" t="inlineStr">
        <is>
          <t>Burning Curiosity</t>
        </is>
      </c>
      <c r="E30" s="3" t="n">
        <v>1</v>
      </c>
      <c r="F30" s="2" t="inlineStr">
        <is>
          <t>-&gt; Bench</t>
        </is>
      </c>
      <c r="G30" s="4" t="n"/>
      <c r="H30" s="4" t="n"/>
      <c r="I30" s="2" t="inlineStr">
        <is>
          <t>Sorcery</t>
        </is>
      </c>
      <c r="J30" s="2" t="inlineStr">
        <is>
          <t>R</t>
        </is>
      </c>
      <c r="K30" s="3" t="n">
        <v>3</v>
      </c>
      <c r="L30" s="2" t="inlineStr">
        <is>
          <t>Comes out at Tuned; move to Bench box</t>
        </is>
      </c>
    </row>
    <row r="31" ht="15" customHeight="1" s="79">
      <c r="A31" s="3" t="inlineStr">
        <is>
          <t>D6</t>
        </is>
      </c>
      <c r="B31" s="3" t="inlineStr">
        <is>
          <t>CUT</t>
        </is>
      </c>
      <c r="D31" s="2" t="inlineStr">
        <is>
          <t>Cinder Strike</t>
        </is>
      </c>
      <c r="E31" s="3" t="n">
        <v>1</v>
      </c>
      <c r="F31" s="2" t="inlineStr">
        <is>
          <t>-&gt; Bench</t>
        </is>
      </c>
      <c r="G31" s="4" t="n"/>
      <c r="H31" s="4" t="n"/>
      <c r="I31" s="2" t="inlineStr">
        <is>
          <t>Sorcery</t>
        </is>
      </c>
      <c r="J31" s="2" t="inlineStr">
        <is>
          <t>R</t>
        </is>
      </c>
      <c r="K31" s="3" t="n">
        <v>1</v>
      </c>
      <c r="L31" s="2" t="inlineStr">
        <is>
          <t>Comes out at Tuned; move to Bench box</t>
        </is>
      </c>
    </row>
    <row r="32" ht="15" customHeight="1" s="79">
      <c r="A32" s="3" t="inlineStr">
        <is>
          <t>D6</t>
        </is>
      </c>
      <c r="B32" s="3" t="inlineStr">
        <is>
          <t>CUT</t>
        </is>
      </c>
      <c r="D32" s="2" t="inlineStr">
        <is>
          <t>Dwarven Mauler</t>
        </is>
      </c>
      <c r="E32" s="3" t="n">
        <v>1</v>
      </c>
      <c r="F32" s="2" t="inlineStr">
        <is>
          <t>-&gt; Bench</t>
        </is>
      </c>
      <c r="G32" s="4" t="n"/>
      <c r="H32" s="4" t="n"/>
      <c r="I32" s="2" t="inlineStr">
        <is>
          <t>Creature</t>
        </is>
      </c>
      <c r="J32" s="2" t="inlineStr">
        <is>
          <t>R</t>
        </is>
      </c>
      <c r="K32" s="3" t="n">
        <v>1</v>
      </c>
      <c r="L32" s="2" t="inlineStr">
        <is>
          <t>Comes out at Tuned; move to Bench box</t>
        </is>
      </c>
    </row>
    <row r="33" ht="15" customHeight="1" s="79">
      <c r="A33" s="3" t="inlineStr">
        <is>
          <t>D6</t>
        </is>
      </c>
      <c r="B33" s="3" t="inlineStr">
        <is>
          <t>CUT</t>
        </is>
      </c>
      <c r="D33" s="2" t="inlineStr">
        <is>
          <t>Fire Diamond</t>
        </is>
      </c>
      <c r="E33" s="3" t="n">
        <v>1</v>
      </c>
      <c r="F33" s="2" t="inlineStr">
        <is>
          <t>-&gt; Bench</t>
        </is>
      </c>
      <c r="G33" s="4" t="n">
        <v>0.36</v>
      </c>
      <c r="H33" s="4" t="n"/>
      <c r="I33" s="2" t="inlineStr">
        <is>
          <t>Artifact</t>
        </is>
      </c>
      <c r="J33" s="2" t="inlineStr">
        <is>
          <t>R</t>
        </is>
      </c>
      <c r="K33" s="3" t="n">
        <v>2</v>
      </c>
      <c r="L33" s="2" t="inlineStr">
        <is>
          <t>Comes out at Tuned; move to Bench box</t>
        </is>
      </c>
    </row>
    <row r="34" ht="15" customHeight="1" s="79">
      <c r="A34" s="3" t="inlineStr">
        <is>
          <t>D6</t>
        </is>
      </c>
      <c r="B34" s="3" t="inlineStr">
        <is>
          <t>CUT</t>
        </is>
      </c>
      <c r="D34" s="2" t="inlineStr">
        <is>
          <t>Goblin Motivator</t>
        </is>
      </c>
      <c r="E34" s="3" t="n">
        <v>1</v>
      </c>
      <c r="F34" s="2" t="inlineStr">
        <is>
          <t>-&gt; Bench</t>
        </is>
      </c>
      <c r="G34" s="4" t="n">
        <v>0.26</v>
      </c>
      <c r="H34" s="4" t="n"/>
      <c r="I34" s="2" t="inlineStr">
        <is>
          <t>Creature</t>
        </is>
      </c>
      <c r="J34" s="2" t="inlineStr">
        <is>
          <t>R</t>
        </is>
      </c>
      <c r="K34" s="3" t="n">
        <v>1</v>
      </c>
      <c r="L34" s="2" t="inlineStr">
        <is>
          <t>Comes out at Tuned; move to Bench box</t>
        </is>
      </c>
    </row>
    <row r="35" ht="15" customHeight="1" s="79">
      <c r="A35" s="3" t="inlineStr">
        <is>
          <t>D6</t>
        </is>
      </c>
      <c r="B35" s="3" t="inlineStr">
        <is>
          <t>CUT</t>
        </is>
      </c>
      <c r="D35" s="2" t="inlineStr">
        <is>
          <t>Goblin Oriflamme</t>
        </is>
      </c>
      <c r="E35" s="3" t="n">
        <v>1</v>
      </c>
      <c r="F35" s="2" t="inlineStr">
        <is>
          <t>-&gt; Bench</t>
        </is>
      </c>
      <c r="G35" s="4" t="n">
        <v>0.53</v>
      </c>
      <c r="H35" s="4" t="n"/>
      <c r="I35" s="2" t="inlineStr">
        <is>
          <t>Enchantment</t>
        </is>
      </c>
      <c r="J35" s="2" t="inlineStr">
        <is>
          <t>R</t>
        </is>
      </c>
      <c r="K35" s="3" t="n">
        <v>2</v>
      </c>
      <c r="L35" s="2" t="inlineStr">
        <is>
          <t>Comes out at Tuned; move to Bench box</t>
        </is>
      </c>
    </row>
    <row r="36" ht="15" customHeight="1" s="79">
      <c r="A36" s="3" t="inlineStr">
        <is>
          <t>D6</t>
        </is>
      </c>
      <c r="B36" s="3" t="inlineStr">
        <is>
          <t>CUT</t>
        </is>
      </c>
      <c r="D36" s="2" t="inlineStr">
        <is>
          <t>Monastery Raid</t>
        </is>
      </c>
      <c r="E36" s="3" t="n">
        <v>1</v>
      </c>
      <c r="F36" s="2" t="inlineStr">
        <is>
          <t>-&gt; Bench</t>
        </is>
      </c>
      <c r="G36" s="4" t="n"/>
      <c r="H36" s="4" t="n"/>
      <c r="I36" s="2" t="inlineStr">
        <is>
          <t>Sorcery</t>
        </is>
      </c>
      <c r="J36" s="2" t="inlineStr">
        <is>
          <t>R</t>
        </is>
      </c>
      <c r="K36" s="3" t="n">
        <v>3</v>
      </c>
      <c r="L36" s="2" t="inlineStr">
        <is>
          <t>Comes out at Tuned; move to Bench box</t>
        </is>
      </c>
    </row>
    <row r="37" ht="15" customHeight="1" s="79">
      <c r="A37" s="3" t="inlineStr">
        <is>
          <t>D6</t>
        </is>
      </c>
      <c r="B37" s="3" t="inlineStr">
        <is>
          <t>CUT</t>
        </is>
      </c>
      <c r="D37" s="2" t="inlineStr">
        <is>
          <t>Rummaging Goblin</t>
        </is>
      </c>
      <c r="E37" s="3" t="n">
        <v>1</v>
      </c>
      <c r="F37" s="2" t="inlineStr">
        <is>
          <t>-&gt; Bench</t>
        </is>
      </c>
      <c r="G37" s="4" t="n">
        <v>0.2</v>
      </c>
      <c r="H37" s="4" t="n"/>
      <c r="I37" s="2" t="inlineStr">
        <is>
          <t>Creature</t>
        </is>
      </c>
      <c r="J37" s="2" t="inlineStr">
        <is>
          <t>R</t>
        </is>
      </c>
      <c r="K37" s="3" t="n">
        <v>3</v>
      </c>
      <c r="L37" s="2" t="inlineStr">
        <is>
          <t>Comes out at Tuned; move to Bench box</t>
        </is>
      </c>
    </row>
    <row r="38" ht="15" customHeight="1" s="79">
      <c r="A38" s="3" t="inlineStr">
        <is>
          <t>D6</t>
        </is>
      </c>
      <c r="B38" s="3" t="inlineStr">
        <is>
          <t>CUT</t>
        </is>
      </c>
      <c r="D38" s="2" t="inlineStr">
        <is>
          <t>Tweeze</t>
        </is>
      </c>
      <c r="E38" s="3" t="n">
        <v>1</v>
      </c>
      <c r="F38" s="2" t="inlineStr">
        <is>
          <t>-&gt; Bench</t>
        </is>
      </c>
      <c r="G38" s="4" t="n"/>
      <c r="H38" s="4" t="n"/>
      <c r="I38" s="2" t="inlineStr">
        <is>
          <t>Instant</t>
        </is>
      </c>
      <c r="J38" s="2" t="inlineStr">
        <is>
          <t>R</t>
        </is>
      </c>
      <c r="K38" s="3" t="n">
        <v>3</v>
      </c>
      <c r="L38" s="2" t="inlineStr">
        <is>
          <t>Comes out at Tuned; move to Bench box</t>
        </is>
      </c>
    </row>
    <row r="39" ht="15" customHeight="1" s="79">
      <c r="A39" s="3" t="inlineStr">
        <is>
          <t>D6</t>
        </is>
      </c>
      <c r="B39" s="3" t="inlineStr">
        <is>
          <t>CUT</t>
        </is>
      </c>
      <c r="D39" s="2" t="inlineStr">
        <is>
          <t>Voldaren Epicure</t>
        </is>
      </c>
      <c r="E39" s="3" t="n">
        <v>1</v>
      </c>
      <c r="F39" s="2" t="inlineStr">
        <is>
          <t>-&gt; Bench</t>
        </is>
      </c>
      <c r="G39" s="4" t="n">
        <v>0.33</v>
      </c>
      <c r="H39" s="4" t="n"/>
      <c r="I39" s="2" t="inlineStr">
        <is>
          <t>Creature</t>
        </is>
      </c>
      <c r="J39" s="2" t="inlineStr">
        <is>
          <t>R</t>
        </is>
      </c>
      <c r="K39" s="3" t="n">
        <v>1</v>
      </c>
      <c r="L39" s="2" t="inlineStr">
        <is>
          <t>Comes out at Tuned; move to Bench box</t>
        </is>
      </c>
    </row>
    <row r="51">
      <c r="C51" t="n">
        <v>1</v>
      </c>
    </row>
    <row r="103">
      <c r="C103" t="n">
        <v>1</v>
      </c>
    </row>
    <row r="128">
      <c r="C128" t="n">
        <v>2</v>
      </c>
    </row>
    <row r="175">
      <c r="C175" t="n">
        <v>1</v>
      </c>
    </row>
    <row r="177">
      <c r="C177" t="n">
        <v>1</v>
      </c>
    </row>
    <row r="206">
      <c r="C206" t="n">
        <v>1</v>
      </c>
    </row>
    <row r="213">
      <c r="C213" t="n">
        <v>1</v>
      </c>
    </row>
    <row r="217">
      <c r="C217" t="n">
        <v>1</v>
      </c>
    </row>
    <row r="233">
      <c r="C233" t="n">
        <v>2</v>
      </c>
    </row>
    <row r="238">
      <c r="C238" t="n">
        <v>1</v>
      </c>
    </row>
    <row r="276">
      <c r="C276" t="n">
        <v>2</v>
      </c>
    </row>
    <row r="306">
      <c r="C306" t="n">
        <v>1</v>
      </c>
    </row>
    <row r="346">
      <c r="C346" t="n">
        <v>1</v>
      </c>
    </row>
    <row r="352">
      <c r="C352" t="n">
        <v>1</v>
      </c>
    </row>
    <row r="370">
      <c r="C370" t="n">
        <v>1</v>
      </c>
    </row>
    <row r="372">
      <c r="C372" t="n">
        <v>1</v>
      </c>
    </row>
    <row r="482">
      <c r="C482" t="n">
        <v>1</v>
      </c>
    </row>
    <row r="526">
      <c r="C526" t="n">
        <v>1</v>
      </c>
    </row>
    <row r="566">
      <c r="C566" t="n">
        <v>2</v>
      </c>
    </row>
    <row r="572">
      <c r="A572" t="inlineStr">
        <is>
          <t>Enchanted River's Grasp</t>
        </is>
      </c>
      <c r="C572" t="n">
        <v>1</v>
      </c>
    </row>
    <row r="573">
      <c r="A573" t="inlineStr">
        <is>
          <t>Fearsome Goblin Pair</t>
        </is>
      </c>
      <c r="C573" t="n">
        <v>1</v>
      </c>
    </row>
    <row r="574">
      <c r="A574" t="inlineStr">
        <is>
          <t>Front Porch Sentries</t>
        </is>
      </c>
      <c r="C574" t="n">
        <v>1</v>
      </c>
    </row>
    <row r="575">
      <c r="A575" t="inlineStr">
        <is>
          <t>Getaway Barrel</t>
        </is>
      </c>
      <c r="C575" t="n">
        <v>1</v>
      </c>
    </row>
    <row r="576">
      <c r="A576" t="inlineStr">
        <is>
          <t>Mirkwood Nurturer</t>
        </is>
      </c>
      <c r="C576" t="n">
        <v>1</v>
      </c>
    </row>
    <row r="577">
      <c r="A577" t="inlineStr">
        <is>
          <t>Mirkwood Pathmaker</t>
        </is>
      </c>
      <c r="C577" t="n">
        <v>1</v>
      </c>
    </row>
    <row r="578">
      <c r="A578" t="inlineStr">
        <is>
          <t>Moment of Glory</t>
        </is>
      </c>
      <c r="C578" t="n">
        <v>1</v>
      </c>
    </row>
    <row r="579">
      <c r="A579" t="inlineStr">
        <is>
          <t>Old Fat Spider Can't See Me</t>
        </is>
      </c>
      <c r="C579" t="n">
        <v>1</v>
      </c>
    </row>
    <row r="580">
      <c r="A580" t="inlineStr">
        <is>
          <t>Ordinary Bear</t>
        </is>
      </c>
      <c r="C580" t="n">
        <v>1</v>
      </c>
    </row>
    <row r="581">
      <c r="A581" t="inlineStr">
        <is>
          <t>Rage into the Valley</t>
        </is>
      </c>
      <c r="C581" t="n">
        <v>1</v>
      </c>
    </row>
    <row r="582">
      <c r="A582" t="inlineStr">
        <is>
          <t>Stone by Sunlight</t>
        </is>
      </c>
      <c r="C582" t="n">
        <v>1</v>
      </c>
    </row>
    <row r="583">
      <c r="A583" t="inlineStr">
        <is>
          <t>Tidings of War</t>
        </is>
      </c>
      <c r="C583" t="n">
        <v>1</v>
      </c>
    </row>
  </sheetData>
  <autoFilter ref="A1:L39"/>
  <conditionalFormatting sqref="F2:F39">
    <cfRule type="expression" priority="2" dxfId="3">
      <formula>$F2="In Hand"</formula>
    </cfRule>
    <cfRule type="expression" priority="3" dxfId="2">
      <formula>$F2="Ordered"</formula>
    </cfRule>
    <cfRule type="expression" priority="4" dxfId="1">
      <formula>$F2="In TCGPlayer Cart"</formula>
    </cfRule>
    <cfRule type="expression" priority="5" dxfId="0">
      <formula>$F2="To Buy"</formula>
    </cfRule>
  </conditionalFormatting>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tabColor rgb="FF7030A0"/>
    <outlinePr summaryBelow="1" summaryRight="1"/>
    <pageSetUpPr/>
  </sheetPr>
  <dimension ref="A1:J39"/>
  <sheetViews>
    <sheetView zoomScaleNormal="100" workbookViewId="0">
      <pane ySplit="1" topLeftCell="A2" activePane="bottomLeft" state="frozen"/>
      <selection pane="bottomLeft" activeCell="D19" sqref="D2:D19"/>
    </sheetView>
  </sheetViews>
  <sheetFormatPr baseColWidth="8" defaultColWidth="8.7109375" defaultRowHeight="15"/>
  <cols>
    <col width="6" customWidth="1" style="79" min="1" max="1"/>
    <col width="32" customWidth="1" style="79" min="2" max="2"/>
    <col width="17" customWidth="1" style="79" min="3" max="3"/>
    <col width="8" customWidth="1" style="79" min="4" max="4"/>
    <col width="5" customWidth="1" style="79" min="5" max="5"/>
    <col width="7" customWidth="1" style="79" min="6" max="6"/>
    <col width="5" customWidth="1" style="79" min="7" max="7"/>
    <col width="20" customWidth="1" style="79" min="8" max="8"/>
    <col width="28" customWidth="1" style="79" min="9" max="9"/>
    <col width="100" customWidth="1" style="79" min="10" max="10"/>
  </cols>
  <sheetData>
    <row r="1" ht="15" customHeight="1" s="79">
      <c r="A1" s="1" t="inlineStr">
        <is>
          <t>Deck</t>
        </is>
      </c>
      <c r="B1" s="1" t="inlineStr">
        <is>
          <t>B3 Add</t>
        </is>
      </c>
      <c r="C1" s="1" t="inlineStr">
        <is>
          <t>Status</t>
        </is>
      </c>
      <c r="D1" s="1" t="inlineStr">
        <is>
          <t>$ Each</t>
        </is>
      </c>
      <c r="E1" s="1" t="inlineStr">
        <is>
          <t>GC</t>
        </is>
      </c>
      <c r="F1" s="1" t="inlineStr">
        <is>
          <t>Color</t>
        </is>
      </c>
      <c r="G1" s="1" t="inlineStr">
        <is>
          <t>MV</t>
        </is>
      </c>
      <c r="H1" s="1" t="inlineStr">
        <is>
          <t>Type</t>
        </is>
      </c>
      <c r="I1" s="1" t="inlineStr">
        <is>
          <t>Replaces (-&gt; Bench)</t>
        </is>
      </c>
      <c r="J1" s="1" t="inlineStr">
        <is>
          <t>Why It Makes B3</t>
        </is>
      </c>
    </row>
    <row r="2" ht="26.25" customHeight="1" s="79">
      <c r="A2" s="3" t="inlineStr">
        <is>
          <t>D1</t>
        </is>
      </c>
      <c r="B2" s="31" t="inlineStr">
        <is>
          <t>Inspiring Vantage</t>
        </is>
      </c>
      <c r="C2" s="3" t="inlineStr">
        <is>
          <t>To Buy</t>
        </is>
      </c>
      <c r="D2" s="4" t="n">
        <v>2.03</v>
      </c>
      <c r="E2" s="3" t="n"/>
      <c r="F2" s="2" t="inlineStr">
        <is>
          <t>RW</t>
        </is>
      </c>
      <c r="G2" s="3" t="n">
        <v>0</v>
      </c>
      <c r="H2" s="2" t="inlineStr">
        <is>
          <t>Land</t>
        </is>
      </c>
      <c r="I2" s="2" t="inlineStr">
        <is>
          <t>Stone Quarry</t>
        </is>
      </c>
      <c r="J2" s="6" t="inlineStr">
        <is>
          <t>Enters untapped exactly when you need early plays - a strict upgrade over the tapped Quarry.</t>
        </is>
      </c>
    </row>
    <row r="3" ht="26.25" customHeight="1" s="79">
      <c r="A3" s="3" t="inlineStr">
        <is>
          <t>D1</t>
        </is>
      </c>
      <c r="B3" s="31" t="inlineStr">
        <is>
          <t>Anim Pakal, Thousandth Moon</t>
        </is>
      </c>
      <c r="C3" s="3" t="inlineStr">
        <is>
          <t>To Buy</t>
        </is>
      </c>
      <c r="D3" s="4" t="n">
        <v>4.21</v>
      </c>
      <c r="E3" s="3" t="n"/>
      <c r="F3" s="2" t="inlineStr">
        <is>
          <t>RW</t>
        </is>
      </c>
      <c r="G3" s="3" t="n">
        <v>3</v>
      </c>
      <c r="H3" s="2" t="inlineStr">
        <is>
          <t>Legendary Creature</t>
        </is>
      </c>
      <c r="I3" s="2" t="inlineStr">
        <is>
          <t>Relic Retriever</t>
        </is>
      </c>
      <c r="J3" s="6" t="inlineStr">
        <is>
          <t>A widening Gnome army on every attack - a token stream Balefire Liege pumps, giving a second win angle beside Moonshaker Cavalry.</t>
        </is>
      </c>
    </row>
    <row r="4" ht="26.25" customHeight="1" s="79">
      <c r="A4" s="3" t="inlineStr">
        <is>
          <t>D1</t>
        </is>
      </c>
      <c r="B4" s="31" t="inlineStr">
        <is>
          <t>Sunbaked Canyon</t>
        </is>
      </c>
      <c r="C4" s="3" t="inlineStr">
        <is>
          <t>To Buy</t>
        </is>
      </c>
      <c r="D4" s="4" t="n">
        <v>4.58</v>
      </c>
      <c r="E4" s="3" t="n"/>
      <c r="F4" s="2" t="inlineStr">
        <is>
          <t>RW</t>
        </is>
      </c>
      <c r="G4" s="3" t="n">
        <v>0</v>
      </c>
      <c r="H4" s="2" t="inlineStr">
        <is>
          <t>Land</t>
        </is>
      </c>
      <c r="I4" s="2" t="inlineStr">
        <is>
          <t>Fields of Strife</t>
        </is>
      </c>
      <c r="J4" s="6" t="inlineStr">
        <is>
          <t>Untapped R/W that cashes in for a card late - a mana base that never stumbles is the quietest B3 upgrade there is.</t>
        </is>
      </c>
    </row>
    <row r="5" ht="15" customHeight="1" s="79">
      <c r="A5" s="3" t="inlineStr">
        <is>
          <t>D1</t>
        </is>
      </c>
      <c r="B5" s="31" t="inlineStr">
        <is>
          <t>Farewell</t>
        </is>
      </c>
      <c r="C5" s="3" t="inlineStr">
        <is>
          <t>To Buy</t>
        </is>
      </c>
      <c r="D5" s="4" t="n">
        <v>6</v>
      </c>
      <c r="E5" s="5" t="inlineStr">
        <is>
          <t>GC</t>
        </is>
      </c>
      <c r="F5" s="2" t="inlineStr">
        <is>
          <t>W</t>
        </is>
      </c>
      <c r="G5" s="3" t="n">
        <v>6</v>
      </c>
      <c r="H5" s="2" t="inlineStr">
        <is>
          <t>Sorcery</t>
        </is>
      </c>
      <c r="I5" s="2" t="inlineStr">
        <is>
          <t>Ceaseless Conflict</t>
        </is>
      </c>
      <c r="J5" s="6" t="inlineStr">
        <is>
          <t>GAME CHANGER 2 of 2. The deck currently runs ZERO board wipes; modal exile-wipe answers your pod's token and enchantment engines and dodges all recursion.</t>
        </is>
      </c>
    </row>
    <row r="6" ht="26.25" customHeight="1" s="79">
      <c r="A6" s="3" t="inlineStr">
        <is>
          <t>D2</t>
        </is>
      </c>
      <c r="B6" s="31" t="inlineStr">
        <is>
          <t>Panharmonicon</t>
        </is>
      </c>
      <c r="C6" s="3" t="inlineStr">
        <is>
          <t>To Buy</t>
        </is>
      </c>
      <c r="D6" s="4" t="n">
        <v>6.92</v>
      </c>
      <c r="E6" s="3" t="n"/>
      <c r="F6" s="2" t="inlineStr">
        <is>
          <t>C</t>
        </is>
      </c>
      <c r="G6" s="3" t="n">
        <v>4</v>
      </c>
      <c r="H6" s="2" t="inlineStr">
        <is>
          <t>Artifact</t>
        </is>
      </c>
      <c r="I6" s="2" t="inlineStr">
        <is>
          <t>Platypus-Bear</t>
        </is>
      </c>
      <c r="J6" s="6" t="inlineStr">
        <is>
          <t>Doubles every ETB trigger - each Roon blink, each Chulane replay now pays twice.</t>
        </is>
      </c>
    </row>
    <row r="7" ht="26.25" customHeight="1" s="79">
      <c r="A7" s="3" t="inlineStr">
        <is>
          <t>D3</t>
        </is>
      </c>
      <c r="B7" s="31" t="inlineStr">
        <is>
          <t>Nature's Lore</t>
        </is>
      </c>
      <c r="C7" s="3" t="inlineStr">
        <is>
          <t>To Buy</t>
        </is>
      </c>
      <c r="D7" s="4" t="n">
        <v>2.69</v>
      </c>
      <c r="E7" s="3" t="n"/>
      <c r="F7" s="2" t="inlineStr">
        <is>
          <t>G</t>
        </is>
      </c>
      <c r="G7" s="3" t="n">
        <v>2</v>
      </c>
      <c r="H7" s="2" t="inlineStr">
        <is>
          <t>Sorcery</t>
        </is>
      </c>
      <c r="I7" s="2" t="inlineStr">
        <is>
          <t>Origin of Metalbending</t>
        </is>
      </c>
      <c r="J7" s="6" t="inlineStr">
        <is>
          <t>An untapped Forest at 2 mana - directly fixes the deck's biggest need: Atraxa reliably on turn 3-4.</t>
        </is>
      </c>
    </row>
    <row r="8" ht="26.25" customHeight="1" s="79">
      <c r="A8" s="3" t="inlineStr">
        <is>
          <t>D3</t>
        </is>
      </c>
      <c r="B8" s="31" t="inlineStr">
        <is>
          <t>Ichormoon Gauntlet</t>
        </is>
      </c>
      <c r="C8" s="3" t="inlineStr">
        <is>
          <t>To Buy</t>
        </is>
      </c>
      <c r="D8" s="4" t="n">
        <v>4.8</v>
      </c>
      <c r="E8" s="3" t="n"/>
      <c r="F8" s="2" t="inlineStr">
        <is>
          <t>U</t>
        </is>
      </c>
      <c r="G8" s="3" t="n">
        <v>3</v>
      </c>
      <c r="H8" s="2" t="inlineStr">
        <is>
          <t>Artifact</t>
        </is>
      </c>
      <c r="I8" s="2" t="inlineStr">
        <is>
          <t>Rebellious Captives</t>
        </is>
      </c>
      <c r="J8" s="6" t="inlineStr">
        <is>
          <t>Proliferate on every noncreature spell (30 in the deck), plus planeswalker modes Atraxa's end step compounds.</t>
        </is>
      </c>
    </row>
    <row r="9" ht="15" customHeight="1" s="79">
      <c r="A9" s="3" t="inlineStr">
        <is>
          <t>D3</t>
        </is>
      </c>
      <c r="B9" s="31" t="inlineStr">
        <is>
          <t>Pir, Imaginative Rascal</t>
        </is>
      </c>
      <c r="C9" s="3" t="inlineStr">
        <is>
          <t>To Buy</t>
        </is>
      </c>
      <c r="D9" s="4" t="n">
        <v>5.32</v>
      </c>
      <c r="E9" s="3" t="n"/>
      <c r="F9" s="2" t="inlineStr">
        <is>
          <t>G</t>
        </is>
      </c>
      <c r="G9" s="3" t="n">
        <v>3</v>
      </c>
      <c r="H9" s="2" t="inlineStr">
        <is>
          <t>Legendary Creature</t>
        </is>
      </c>
      <c r="I9" s="2" t="inlineStr">
        <is>
          <t>Stony Strength</t>
        </is>
      </c>
      <c r="J9" s="6" t="inlineStr">
        <is>
          <t>Every counter placed on your permanents gets +1 - quietly doubles proliferate output deck-wide.</t>
        </is>
      </c>
    </row>
    <row r="10" ht="26.25" customHeight="1" s="79">
      <c r="A10" s="3" t="inlineStr">
        <is>
          <t>D4</t>
        </is>
      </c>
      <c r="B10" s="31" t="inlineStr">
        <is>
          <t>Doran, the Siege Tower</t>
        </is>
      </c>
      <c r="C10" s="3" t="inlineStr">
        <is>
          <t>To Buy</t>
        </is>
      </c>
      <c r="D10" s="4" t="n">
        <v>8.48</v>
      </c>
      <c r="E10" s="3" t="n"/>
      <c r="F10" s="2" t="inlineStr">
        <is>
          <t>WBG</t>
        </is>
      </c>
      <c r="G10" s="3" t="n">
        <v>3</v>
      </c>
      <c r="H10" s="2" t="inlineStr">
        <is>
          <t>Legendary Creature</t>
        </is>
      </c>
      <c r="I10" s="2" t="inlineStr">
        <is>
          <t>Meandering Towershell</t>
        </is>
      </c>
      <c r="J10" s="6" t="inlineStr">
        <is>
          <t>A second Betor effect in the 99 - every wall attacks and blocks with its toughness even when Betor is answered. Redundancy on the core mechanic is the #1 B3 fix.</t>
        </is>
      </c>
    </row>
    <row r="11" ht="15" customHeight="1" s="79">
      <c r="A11" s="3" t="inlineStr">
        <is>
          <t>D5</t>
        </is>
      </c>
      <c r="B11" s="31" t="inlineStr">
        <is>
          <t>Blood Artist</t>
        </is>
      </c>
      <c r="C11" s="3" t="inlineStr">
        <is>
          <t>To Buy</t>
        </is>
      </c>
      <c r="D11" s="4" t="n">
        <v>3.78</v>
      </c>
      <c r="E11" s="3" t="n"/>
      <c r="F11" s="2" t="inlineStr">
        <is>
          <t>B</t>
        </is>
      </c>
      <c r="G11" s="3" t="n">
        <v>2</v>
      </c>
      <c r="H11" s="2" t="inlineStr">
        <is>
          <t>Creature</t>
        </is>
      </c>
      <c r="I11" s="2" t="inlineStr">
        <is>
          <t>Prideful Feastling</t>
        </is>
      </c>
      <c r="J11" s="6" t="inlineStr">
        <is>
          <t>The classic aristocrat: every creature death anywhere drains an opponent - turns board wipes (yours or theirs) into win attempts.</t>
        </is>
      </c>
    </row>
    <row r="12" ht="15" customHeight="1" s="79">
      <c r="A12" s="3" t="inlineStr">
        <is>
          <t>D5</t>
        </is>
      </c>
      <c r="B12" s="31" t="inlineStr">
        <is>
          <t>Pitiless Plunderer</t>
        </is>
      </c>
      <c r="C12" s="3" t="inlineStr">
        <is>
          <t>To Buy</t>
        </is>
      </c>
      <c r="D12" s="4" t="n">
        <v>4.21</v>
      </c>
      <c r="E12" s="3" t="n"/>
      <c r="F12" s="2" t="inlineStr">
        <is>
          <t>B</t>
        </is>
      </c>
      <c r="G12" s="3" t="n">
        <v>4</v>
      </c>
      <c r="H12" s="2" t="inlineStr">
        <is>
          <t>Creature</t>
        </is>
      </c>
      <c r="I12" s="2" t="inlineStr">
        <is>
          <t>Zack Fair</t>
        </is>
      </c>
      <c r="J12" s="6" t="inlineStr">
        <is>
          <t>Every dying token pays you a Treasure - sacrifice loops go mana-positive.</t>
        </is>
      </c>
    </row>
    <row r="13" ht="15" customHeight="1" s="79">
      <c r="A13" s="3" t="inlineStr">
        <is>
          <t>D5</t>
        </is>
      </c>
      <c r="B13" s="31" t="inlineStr">
        <is>
          <t>Elenda, the Dusk Rose</t>
        </is>
      </c>
      <c r="C13" s="3" t="inlineStr">
        <is>
          <t>To Buy</t>
        </is>
      </c>
      <c r="D13" s="4" t="n">
        <v>5.75</v>
      </c>
      <c r="E13" s="3" t="n"/>
      <c r="F13" s="2" t="inlineStr">
        <is>
          <t>BW</t>
        </is>
      </c>
      <c r="G13" s="3" t="n">
        <v>4</v>
      </c>
      <c r="H13" s="2" t="inlineStr">
        <is>
          <t>Legendary Creature</t>
        </is>
      </c>
      <c r="I13" s="2" t="inlineStr">
        <is>
          <t>Court Street Denizen</t>
        </is>
      </c>
      <c r="J13" s="6" t="inlineStr">
        <is>
          <t>Grows with every death and dies into a Vampire army - a token wincon that shrugs off board wipes.</t>
        </is>
      </c>
    </row>
    <row r="14" ht="15" customHeight="1" s="79">
      <c r="A14" s="3" t="inlineStr">
        <is>
          <t>D6</t>
        </is>
      </c>
      <c r="B14" s="31" t="inlineStr">
        <is>
          <t>Den of the Bugbear</t>
        </is>
      </c>
      <c r="C14" s="3" t="inlineStr">
        <is>
          <t>To Buy</t>
        </is>
      </c>
      <c r="D14" s="4" t="n">
        <v>1.91</v>
      </c>
      <c r="E14" s="3" t="n"/>
      <c r="F14" s="2" t="inlineStr">
        <is>
          <t>R</t>
        </is>
      </c>
      <c r="G14" s="3" t="n">
        <v>0</v>
      </c>
      <c r="H14" s="2" t="inlineStr">
        <is>
          <t>Land</t>
        </is>
      </c>
      <c r="I14" s="2" t="inlineStr">
        <is>
          <t>Mountain</t>
        </is>
      </c>
      <c r="J14" s="6" t="inlineStr">
        <is>
          <t>Replaces 1 of 33 Mountains: a land that makes attacking Goblin tokens (more Purphoros triggers) when you flood - zero opportunity cost.</t>
        </is>
      </c>
    </row>
    <row r="15" ht="26.25" customHeight="1" s="79">
      <c r="A15" s="3" t="inlineStr">
        <is>
          <t>D6</t>
        </is>
      </c>
      <c r="B15" s="31" t="inlineStr">
        <is>
          <t>Idol of Oblivion</t>
        </is>
      </c>
      <c r="C15" s="3" t="inlineStr">
        <is>
          <t>To Buy</t>
        </is>
      </c>
      <c r="D15" s="4" t="n">
        <v>2.07</v>
      </c>
      <c r="E15" s="3" t="n"/>
      <c r="F15" s="2" t="inlineStr">
        <is>
          <t>C</t>
        </is>
      </c>
      <c r="G15" s="3" t="n">
        <v>2</v>
      </c>
      <c r="H15" s="2" t="inlineStr">
        <is>
          <t>Artifact</t>
        </is>
      </c>
      <c r="I15" s="2" t="inlineStr">
        <is>
          <t>Gristle Glutton</t>
        </is>
      </c>
      <c r="J15" s="6" t="inlineStr">
        <is>
          <t>A guaranteed card every turn you made a token (i.e., every turn); cashes in for a 10/10 Eldrazi late.</t>
        </is>
      </c>
    </row>
    <row r="16" ht="15" customHeight="1" s="79">
      <c r="A16" s="3" t="inlineStr">
        <is>
          <t>D6</t>
        </is>
      </c>
      <c r="B16" s="31" t="inlineStr">
        <is>
          <t>Goblin Piledriver</t>
        </is>
      </c>
      <c r="C16" s="3" t="inlineStr">
        <is>
          <t>To Buy</t>
        </is>
      </c>
      <c r="D16" s="4" t="n">
        <v>2.56</v>
      </c>
      <c r="E16" s="3" t="n"/>
      <c r="F16" s="2" t="inlineStr">
        <is>
          <t>R</t>
        </is>
      </c>
      <c r="G16" s="3" t="n">
        <v>2</v>
      </c>
      <c r="H16" s="2" t="inlineStr">
        <is>
          <t>Creature</t>
        </is>
      </c>
      <c r="I16" s="2" t="inlineStr">
        <is>
          <t>Ghor-Clan Wrecker</t>
        </is>
      </c>
      <c r="J16" s="6" t="inlineStr">
        <is>
          <t>Grows huge on every swarm attack and has protection from blue - real combat damage to back up the pings.</t>
        </is>
      </c>
    </row>
    <row r="17" ht="15" customHeight="1" s="79">
      <c r="A17" s="3" t="inlineStr">
        <is>
          <t>D6</t>
        </is>
      </c>
      <c r="B17" s="31" t="inlineStr">
        <is>
          <t>Pashalik Mons</t>
        </is>
      </c>
      <c r="C17" s="3" t="inlineStr">
        <is>
          <t>To Buy</t>
        </is>
      </c>
      <c r="D17" s="4" t="n">
        <v>3.9</v>
      </c>
      <c r="E17" s="3" t="n"/>
      <c r="F17" s="2" t="inlineStr">
        <is>
          <t>R</t>
        </is>
      </c>
      <c r="G17" s="3" t="n">
        <v>3</v>
      </c>
      <c r="H17" s="2" t="inlineStr">
        <is>
          <t>Legendary Creature</t>
        </is>
      </c>
      <c r="I17" s="2" t="inlineStr">
        <is>
          <t>Bag of Holding</t>
        </is>
      </c>
      <c r="J17" s="6" t="inlineStr">
        <is>
          <t>Every dying Goblin pings a target - with Skirk Prospector and Goblin Bombardment your tokens deal damage twice.</t>
        </is>
      </c>
    </row>
    <row r="18" ht="26.25" customHeight="1" s="79">
      <c r="A18" s="3" t="inlineStr">
        <is>
          <t>D6</t>
        </is>
      </c>
      <c r="B18" s="31" t="inlineStr">
        <is>
          <t>Goblin Recruiter</t>
        </is>
      </c>
      <c r="C18" s="3" t="inlineStr">
        <is>
          <t>To Buy</t>
        </is>
      </c>
      <c r="D18" s="4" t="n">
        <v>6.6</v>
      </c>
      <c r="E18" s="3" t="n"/>
      <c r="F18" s="2" t="inlineStr">
        <is>
          <t>R</t>
        </is>
      </c>
      <c r="G18" s="3" t="n">
        <v>2</v>
      </c>
      <c r="H18" s="2" t="inlineStr">
        <is>
          <t>Creature</t>
        </is>
      </c>
      <c r="I18" s="2" t="inlineStr">
        <is>
          <t>Kulrath Zealot</t>
        </is>
      </c>
      <c r="J18" s="6" t="inlineStr">
        <is>
          <t>Stacks your next draws as all Goblins - scripts the Muxus / Ringleader kill turn.</t>
        </is>
      </c>
    </row>
    <row r="19" ht="15" customHeight="1" s="79">
      <c r="A19" s="3" t="inlineStr">
        <is>
          <t>D6</t>
        </is>
      </c>
      <c r="B19" s="31" t="inlineStr">
        <is>
          <t>Professional Face-Breaker</t>
        </is>
      </c>
      <c r="C19" s="3" t="inlineStr">
        <is>
          <t>To Buy</t>
        </is>
      </c>
      <c r="D19" s="4" t="n">
        <v>7.22</v>
      </c>
      <c r="E19" s="3" t="n"/>
      <c r="F19" s="2" t="inlineStr">
        <is>
          <t>R</t>
        </is>
      </c>
      <c r="G19" s="3" t="n">
        <v>3</v>
      </c>
      <c r="H19" s="2" t="inlineStr">
        <is>
          <t>Creature</t>
        </is>
      </c>
      <c r="I19" s="2" t="inlineStr">
        <is>
          <t>Enraged Flamecaster</t>
        </is>
      </c>
      <c r="J19" s="6" t="inlineStr">
        <is>
          <t>A Treasure per combat plus impulse draw - mono-red's best grind engine, and it funds Empty the Warrens storms.</t>
        </is>
      </c>
    </row>
    <row r="20" ht="15" customHeight="1" s="79">
      <c r="A20" s="3" t="inlineStr">
        <is>
          <t>D1</t>
        </is>
      </c>
      <c r="B20" s="2" t="inlineStr">
        <is>
          <t>Boros Charm</t>
        </is>
      </c>
      <c r="C20" s="3" t="inlineStr">
        <is>
          <t>To Buy</t>
        </is>
      </c>
      <c r="D20" s="4" t="n">
        <v>4.76</v>
      </c>
      <c r="E20" s="3" t="n"/>
      <c r="F20" s="2" t="inlineStr">
        <is>
          <t>RW</t>
        </is>
      </c>
      <c r="G20" s="3" t="n">
        <v>2</v>
      </c>
      <c r="H20" s="2" t="inlineStr">
        <is>
          <t>Instant</t>
        </is>
      </c>
      <c r="I20" s="2" t="inlineStr">
        <is>
          <t>Spirit of Resilience</t>
        </is>
      </c>
      <c r="J20" s="6" t="inlineStr">
        <is>
          <t>'Permanents are indestructible' saves the Spirit army from everyone else's wipes; the 4-damage mode closes games. Premium B3 instant.</t>
        </is>
      </c>
    </row>
    <row r="21" ht="26.25" customHeight="1" s="79">
      <c r="A21" s="3" t="inlineStr">
        <is>
          <t>D1</t>
        </is>
      </c>
      <c r="B21" s="2" t="inlineStr">
        <is>
          <t>War Room</t>
        </is>
      </c>
      <c r="C21" s="3" t="inlineStr">
        <is>
          <t>To Buy</t>
        </is>
      </c>
      <c r="D21" s="4" t="n">
        <v>5.57</v>
      </c>
      <c r="E21" s="3" t="n"/>
      <c r="F21" s="2" t="inlineStr">
        <is>
          <t>C</t>
        </is>
      </c>
      <c r="G21" s="3" t="n">
        <v>0</v>
      </c>
      <c r="H21" s="2" t="inlineStr">
        <is>
          <t>Land</t>
        </is>
      </c>
      <c r="I21" s="2" t="inlineStr">
        <is>
          <t>Study Hall</t>
        </is>
      </c>
      <c r="J21" s="6" t="inlineStr">
        <is>
          <t>Repeatable card draw stapled to a land - flood insurance every solid B3 deck runs.</t>
        </is>
      </c>
    </row>
    <row r="22" ht="26.25" customHeight="1" s="79">
      <c r="A22" s="3" t="inlineStr">
        <is>
          <t>D1</t>
        </is>
      </c>
      <c r="B22" s="2" t="inlineStr">
        <is>
          <t>Fable of the Mirror-Breaker</t>
        </is>
      </c>
      <c r="C22" s="3" t="inlineStr">
        <is>
          <t>To Buy</t>
        </is>
      </c>
      <c r="D22" s="4" t="n">
        <v>6.23</v>
      </c>
      <c r="E22" s="3" t="n"/>
      <c r="F22" s="2" t="inlineStr">
        <is>
          <t>R</t>
        </is>
      </c>
      <c r="G22" s="3" t="n">
        <v>3</v>
      </c>
      <c r="H22" s="2" t="inlineStr">
        <is>
          <t>Enchantment</t>
        </is>
      </c>
      <c r="I22" s="2" t="inlineStr">
        <is>
          <t>Primary Research</t>
        </is>
      </c>
      <c r="J22" s="6" t="inlineStr">
        <is>
          <t>Treasure ramp + repeatable looting that stocks the graveyard for Loremaster recursion; the flip side copies your best ETB creature every turn.</t>
        </is>
      </c>
    </row>
    <row r="23" ht="26.25" customHeight="1" s="79">
      <c r="A23" s="3" t="inlineStr">
        <is>
          <t>D1</t>
        </is>
      </c>
      <c r="B23" s="2" t="inlineStr">
        <is>
          <t>Smothering Tithe</t>
        </is>
      </c>
      <c r="C23" s="3" t="inlineStr">
        <is>
          <t>To Buy</t>
        </is>
      </c>
      <c r="D23" s="4" t="n">
        <v>61.67</v>
      </c>
      <c r="E23" s="5" t="inlineStr">
        <is>
          <t>GC</t>
        </is>
      </c>
      <c r="F23" s="2" t="inlineStr">
        <is>
          <t>W</t>
        </is>
      </c>
      <c r="G23" s="3" t="n">
        <v>4</v>
      </c>
      <c r="H23" s="2" t="inlineStr">
        <is>
          <t>Enchantment</t>
        </is>
      </c>
      <c r="I23" s="2" t="inlineStr">
        <is>
          <t>Millikin</t>
        </is>
      </c>
      <c r="J23" s="6" t="inlineStr">
        <is>
          <t>GAME CHANGER 1 of 2. Turns every opponent draw into a Treasure - jumps you 2-3 turns ahead on mana and funds double-spell turns. The single best B3 ramp engine in white.</t>
        </is>
      </c>
    </row>
    <row r="24" ht="26.25" customHeight="1" s="79">
      <c r="A24" s="3" t="inlineStr">
        <is>
          <t>D2</t>
        </is>
      </c>
      <c r="B24" s="2" t="inlineStr">
        <is>
          <t>Beast Whisperer</t>
        </is>
      </c>
      <c r="C24" s="3" t="inlineStr">
        <is>
          <t>To Buy</t>
        </is>
      </c>
      <c r="D24" s="4" t="n">
        <v>8.73</v>
      </c>
      <c r="E24" s="3" t="n"/>
      <c r="F24" s="2" t="inlineStr">
        <is>
          <t>G</t>
        </is>
      </c>
      <c r="G24" s="3" t="n">
        <v>4</v>
      </c>
      <c r="H24" s="2" t="inlineStr">
        <is>
          <t>Creature</t>
        </is>
      </c>
      <c r="I24" s="2" t="inlineStr">
        <is>
          <t>Sun-Dappled Celebrant</t>
        </is>
      </c>
      <c r="J24" s="6" t="inlineStr">
        <is>
          <t>A card for every creature cast - alongside Chulane that's 2 cards + a land per creature.</t>
        </is>
      </c>
    </row>
    <row r="25" ht="26.25" customHeight="1" s="79">
      <c r="A25" s="3" t="inlineStr">
        <is>
          <t>D2</t>
        </is>
      </c>
      <c r="B25" s="2" t="inlineStr">
        <is>
          <t>Teleportation Circle</t>
        </is>
      </c>
      <c r="C25" s="3" t="inlineStr">
        <is>
          <t>To Buy</t>
        </is>
      </c>
      <c r="D25" s="4" t="n">
        <v>10.93</v>
      </c>
      <c r="E25" s="3" t="n"/>
      <c r="F25" s="2" t="inlineStr">
        <is>
          <t>W</t>
        </is>
      </c>
      <c r="G25" s="3" t="n">
        <v>4</v>
      </c>
      <c r="H25" s="2" t="inlineStr">
        <is>
          <t>Enchantment</t>
        </is>
      </c>
      <c r="I25" s="2" t="inlineStr">
        <is>
          <t>Winnowing</t>
        </is>
      </c>
      <c r="J25" s="6" t="inlineStr">
        <is>
          <t>A free blink EVERY end step with no tap cost - blink-engine redundancy if Roon is answered.</t>
        </is>
      </c>
    </row>
    <row r="26" ht="15" customHeight="1" s="79">
      <c r="A26" s="3" t="inlineStr">
        <is>
          <t>D2</t>
        </is>
      </c>
      <c r="B26" s="2" t="inlineStr">
        <is>
          <t>Guardian Project</t>
        </is>
      </c>
      <c r="C26" s="3" t="inlineStr">
        <is>
          <t>To Buy</t>
        </is>
      </c>
      <c r="D26" s="4" t="n">
        <v>14.88</v>
      </c>
      <c r="E26" s="3" t="n"/>
      <c r="F26" s="2" t="inlineStr">
        <is>
          <t>G</t>
        </is>
      </c>
      <c r="G26" s="3" t="n">
        <v>4</v>
      </c>
      <c r="H26" s="2" t="inlineStr">
        <is>
          <t>Enchantment</t>
        </is>
      </c>
      <c r="I26" s="2" t="inlineStr">
        <is>
          <t>Glamermite</t>
        </is>
      </c>
      <c r="J26" s="6" t="inlineStr">
        <is>
          <t>A second creature-based draw engine; engine redundancy is what separates a B3 deck from a B2 one.</t>
        </is>
      </c>
    </row>
    <row r="27" ht="15" customHeight="1" s="79">
      <c r="A27" s="3" t="inlineStr">
        <is>
          <t>D2</t>
        </is>
      </c>
      <c r="B27" s="2" t="inlineStr">
        <is>
          <t>Rhystic Study</t>
        </is>
      </c>
      <c r="C27" s="3" t="inlineStr">
        <is>
          <t>To Buy</t>
        </is>
      </c>
      <c r="D27" s="4" t="n">
        <v>70.58</v>
      </c>
      <c r="E27" s="5" t="inlineStr">
        <is>
          <t>GC</t>
        </is>
      </c>
      <c r="F27" s="2" t="inlineStr">
        <is>
          <t>U</t>
        </is>
      </c>
      <c r="G27" s="3" t="n">
        <v>3</v>
      </c>
      <c r="H27" s="2" t="inlineStr">
        <is>
          <t>Enchantment</t>
        </is>
      </c>
      <c r="I27" s="2" t="inlineStr">
        <is>
          <t>Shore Lurker</t>
        </is>
      </c>
      <c r="J27" s="6" t="inlineStr">
        <is>
          <t>GAME CHANGER 1 of 1, and THE Chulane staple - taxes all three opponents every single turn. The card-advantage backbone of a B3 Bant value deck.</t>
        </is>
      </c>
    </row>
    <row r="28" ht="15" customHeight="1" s="79">
      <c r="A28" s="3" t="inlineStr">
        <is>
          <t>D3</t>
        </is>
      </c>
      <c r="B28" s="2" t="inlineStr">
        <is>
          <t>Phyrexian Arena</t>
        </is>
      </c>
      <c r="C28" s="3" t="inlineStr">
        <is>
          <t>To Buy</t>
        </is>
      </c>
      <c r="D28" s="4" t="n">
        <v>4.65</v>
      </c>
      <c r="E28" s="3" t="n"/>
      <c r="F28" s="2" t="inlineStr">
        <is>
          <t>B</t>
        </is>
      </c>
      <c r="G28" s="3" t="n">
        <v>3</v>
      </c>
      <c r="H28" s="2" t="inlineStr">
        <is>
          <t>Enchantment</t>
        </is>
      </c>
      <c r="I28" s="2" t="inlineStr">
        <is>
          <t>Mirrodin Avenged</t>
        </is>
      </c>
      <c r="J28" s="6" t="inlineStr">
        <is>
          <t>An extra card every upkeep - the raw, repeatable card advantage the current list lacks.</t>
        </is>
      </c>
    </row>
    <row r="29" ht="15" customHeight="1" s="79">
      <c r="A29" s="3" t="inlineStr">
        <is>
          <t>D3</t>
        </is>
      </c>
      <c r="B29" s="2" t="inlineStr">
        <is>
          <t>Night's Whisper</t>
        </is>
      </c>
      <c r="C29" s="3" t="inlineStr">
        <is>
          <t>To Buy</t>
        </is>
      </c>
      <c r="D29" s="4" t="n">
        <v>5.42</v>
      </c>
      <c r="E29" s="3" t="n"/>
      <c r="F29" s="2" t="inlineStr">
        <is>
          <t>B</t>
        </is>
      </c>
      <c r="G29" s="3" t="n">
        <v>2</v>
      </c>
      <c r="H29" s="2" t="inlineStr">
        <is>
          <t>Sorcery</t>
        </is>
      </c>
      <c r="I29" s="2" t="inlineStr">
        <is>
          <t>Troll Negotiations</t>
        </is>
      </c>
      <c r="J29" s="6" t="inlineStr">
        <is>
          <t>Two cards for two mana; the life is paid back by Atraxa lifelink and Rhox Faithmender doubling.</t>
        </is>
      </c>
    </row>
    <row r="30" ht="26.25" customHeight="1" s="79">
      <c r="A30" s="3" t="inlineStr">
        <is>
          <t>D3</t>
        </is>
      </c>
      <c r="B30" s="2" t="inlineStr">
        <is>
          <t>Vorinclex, Monstrous Raider</t>
        </is>
      </c>
      <c r="C30" s="3" t="inlineStr">
        <is>
          <t>To Buy</t>
        </is>
      </c>
      <c r="D30" s="4" t="n">
        <v>55.18</v>
      </c>
      <c r="E30" s="3" t="n"/>
      <c r="F30" s="2" t="inlineStr">
        <is>
          <t>G</t>
        </is>
      </c>
      <c r="G30" s="3" t="n">
        <v>6</v>
      </c>
      <c r="H30" s="2" t="inlineStr">
        <is>
          <t>Legendary Creature</t>
        </is>
      </c>
      <c r="I30" s="2" t="inlineStr">
        <is>
          <t>Nightmare Sower</t>
        </is>
      </c>
      <c r="J30" s="6" t="inlineStr">
        <is>
          <t>Marquee B3 payoff (NOT a Game Changer per Scryfall's official flag): doubles every counter you place and halves your opponents' - proliferate hits twice as hard while shutting down the pod's counter engines.</t>
        </is>
      </c>
    </row>
    <row r="31" ht="26.25" customHeight="1" s="79">
      <c r="A31" s="3" t="inlineStr">
        <is>
          <t>D4</t>
        </is>
      </c>
      <c r="B31" s="2" t="inlineStr">
        <is>
          <t>Guardian Project</t>
        </is>
      </c>
      <c r="C31" s="3" t="inlineStr">
        <is>
          <t>To Buy</t>
        </is>
      </c>
      <c r="D31" s="4" t="n">
        <v>14.88</v>
      </c>
      <c r="E31" s="3" t="n"/>
      <c r="F31" s="2" t="inlineStr">
        <is>
          <t>G</t>
        </is>
      </c>
      <c r="G31" s="3" t="n">
        <v>4</v>
      </c>
      <c r="H31" s="2" t="inlineStr">
        <is>
          <t>Enchantment</t>
        </is>
      </c>
      <c r="I31" s="2" t="inlineStr">
        <is>
          <t>Crashing Drawbridge</t>
        </is>
      </c>
      <c r="J31" s="6" t="inlineStr">
        <is>
          <t>With 40+ creatures this draws on nearly every cast - converts the cheap wall curve into a card-advantage engine.</t>
        </is>
      </c>
    </row>
    <row r="32" ht="26.25" customHeight="1" s="79">
      <c r="A32" s="3" t="inlineStr">
        <is>
          <t>D4</t>
        </is>
      </c>
      <c r="B32" s="2" t="inlineStr">
        <is>
          <t>The Meathook Massacre</t>
        </is>
      </c>
      <c r="C32" s="3" t="inlineStr">
        <is>
          <t>To Buy</t>
        </is>
      </c>
      <c r="D32" s="4" t="n">
        <v>25.01</v>
      </c>
      <c r="E32" s="3" t="n"/>
      <c r="F32" s="2" t="inlineStr">
        <is>
          <t>B</t>
        </is>
      </c>
      <c r="G32" s="3" t="n">
        <v>2</v>
      </c>
      <c r="H32" s="2" t="inlineStr">
        <is>
          <t>Legendary Enchantment</t>
        </is>
      </c>
      <c r="I32" s="2" t="inlineStr">
        <is>
          <t>Collective Effort</t>
        </is>
      </c>
      <c r="J32" s="6" t="inlineStr">
        <is>
          <t>Scalable wipe that drains for every death - clears the pod's token engines while stacking Betor lifegain triggers. Marquee removal and win engine in one card.</t>
        </is>
      </c>
    </row>
    <row r="33" ht="39" customHeight="1" s="79">
      <c r="A33" s="3" t="inlineStr">
        <is>
          <t>D5</t>
        </is>
      </c>
      <c r="B33" s="2" t="inlineStr">
        <is>
          <t>Brightclimb Pathway</t>
        </is>
      </c>
      <c r="C33" s="3" t="inlineStr">
        <is>
          <t>To Buy</t>
        </is>
      </c>
      <c r="D33" s="4" t="n">
        <v>4.74</v>
      </c>
      <c r="E33" s="3" t="n"/>
      <c r="F33" s="2" t="inlineStr">
        <is>
          <t>BW</t>
        </is>
      </c>
      <c r="G33" s="3" t="n">
        <v>0</v>
      </c>
      <c r="H33" s="2" t="inlineStr">
        <is>
          <t>Land</t>
        </is>
      </c>
      <c r="I33" s="2" t="inlineStr">
        <is>
          <t>Scoured Barrens</t>
        </is>
      </c>
      <c r="J33" s="6" t="inlineStr">
        <is>
          <t>Untapped either side, your choice - cuts the tapped-land drag in a 2-color deck that should never stumble.</t>
        </is>
      </c>
    </row>
    <row r="34" ht="26.25" customHeight="1" s="79">
      <c r="A34" s="3" t="inlineStr">
        <is>
          <t>D5</t>
        </is>
      </c>
      <c r="B34" s="2" t="inlineStr">
        <is>
          <t>Ashnod's Altar</t>
        </is>
      </c>
      <c r="C34" s="3" t="inlineStr">
        <is>
          <t>To Buy</t>
        </is>
      </c>
      <c r="D34" s="4" t="n">
        <v>16.6</v>
      </c>
      <c r="E34" s="3" t="n"/>
      <c r="F34" s="2" t="inlineStr">
        <is>
          <t>C</t>
        </is>
      </c>
      <c r="G34" s="3" t="n">
        <v>3</v>
      </c>
      <c r="H34" s="2" t="inlineStr">
        <is>
          <t>Artifact</t>
        </is>
      </c>
      <c r="I34" s="2" t="inlineStr">
        <is>
          <t>Dawn-Blessed Pennant</t>
        </is>
      </c>
      <c r="J34" s="6" t="inlineStr">
        <is>
          <t>Tokens become 2 mana each - with Procession and Plunderer it empties your whole hand in one turn.</t>
        </is>
      </c>
    </row>
    <row r="35" ht="15" customHeight="1" s="79">
      <c r="A35" s="3" t="inlineStr">
        <is>
          <t>D5</t>
        </is>
      </c>
      <c r="B35" s="2" t="inlineStr">
        <is>
          <t>Dictate of Erebos</t>
        </is>
      </c>
      <c r="C35" s="3" t="inlineStr">
        <is>
          <t>To Buy</t>
        </is>
      </c>
      <c r="D35" s="4" t="n">
        <v>19</v>
      </c>
      <c r="E35" s="3" t="n"/>
      <c r="F35" s="2" t="inlineStr">
        <is>
          <t>B</t>
        </is>
      </c>
      <c r="G35" s="3" t="n">
        <v>5</v>
      </c>
      <c r="H35" s="2" t="inlineStr">
        <is>
          <t>Enchantment</t>
        </is>
      </c>
      <c r="I35" s="2" t="inlineStr">
        <is>
          <t>Chocobo Knights</t>
        </is>
      </c>
      <c r="J35" s="6" t="inlineStr">
        <is>
          <t>Flash edict engine: every token you sacrifice forces EACH opponent to sacrifice - repeatedly eats the pod's commanders and voltron threats.</t>
        </is>
      </c>
    </row>
    <row r="36" ht="26.25" customHeight="1" s="79">
      <c r="A36" s="3" t="inlineStr">
        <is>
          <t>D5</t>
        </is>
      </c>
      <c r="B36" s="2" t="inlineStr">
        <is>
          <t>Anointed Procession</t>
        </is>
      </c>
      <c r="C36" s="3" t="inlineStr">
        <is>
          <t>To Buy</t>
        </is>
      </c>
      <c r="D36" s="4" t="n">
        <v>59.34</v>
      </c>
      <c r="E36" s="3" t="n"/>
      <c r="F36" s="2" t="inlineStr">
        <is>
          <t>W</t>
        </is>
      </c>
      <c r="G36" s="3" t="n">
        <v>4</v>
      </c>
      <c r="H36" s="2" t="inlineStr">
        <is>
          <t>Enchantment</t>
        </is>
      </c>
      <c r="I36" s="2" t="inlineStr">
        <is>
          <t>Aetheric Amplifier</t>
        </is>
      </c>
      <c r="J36" s="6" t="inlineStr">
        <is>
          <t>EVERY token doubled - Shadrix makes 4 fliers a combat, Lingering Souls makes 4, Spectral Procession 6. The defining B3 token payoff.</t>
        </is>
      </c>
    </row>
    <row r="37" ht="26.25" customHeight="1" s="79">
      <c r="A37" s="3" t="inlineStr">
        <is>
          <t>D6</t>
        </is>
      </c>
      <c r="B37" s="2" t="inlineStr">
        <is>
          <t>Underworld Breach</t>
        </is>
      </c>
      <c r="C37" s="3" t="inlineStr">
        <is>
          <t>To Buy</t>
        </is>
      </c>
      <c r="D37" s="4" t="n">
        <v>10.36</v>
      </c>
      <c r="E37" s="5" t="inlineStr">
        <is>
          <t>GC</t>
        </is>
      </c>
      <c r="F37" s="2" t="inlineStr">
        <is>
          <t>R</t>
        </is>
      </c>
      <c r="G37" s="3" t="n">
        <v>2</v>
      </c>
      <c r="H37" s="2" t="inlineStr">
        <is>
          <t>Enchantment</t>
        </is>
      </c>
      <c r="I37" s="2" t="inlineStr">
        <is>
          <t>Goblin Gathering</t>
        </is>
      </c>
      <c r="J37" s="6" t="inlineStr">
        <is>
          <t>GAME CHANGER 2 of 2: replays your token sorceries from the graveyard (Dragon Fodder, Krenko's Command, Empty the Warrens) for one extra mana each - on a Jeska's Will turn it converts the graveyard into 10+ Purphoros triggers at once.</t>
        </is>
      </c>
    </row>
    <row r="38" ht="15" customHeight="1" s="79">
      <c r="A38" s="3" t="inlineStr">
        <is>
          <t>D6</t>
        </is>
      </c>
      <c r="B38" s="2" t="inlineStr">
        <is>
          <t>Muxus, Goblin Grandee</t>
        </is>
      </c>
      <c r="C38" s="3" t="inlineStr">
        <is>
          <t>To Buy</t>
        </is>
      </c>
      <c r="D38" s="4" t="n">
        <v>12.87</v>
      </c>
      <c r="E38" s="3" t="n"/>
      <c r="F38" s="2" t="inlineStr">
        <is>
          <t>R</t>
        </is>
      </c>
      <c r="G38" s="3" t="n">
        <v>6</v>
      </c>
      <c r="H38" s="2" t="inlineStr">
        <is>
          <t>Legendary Creature</t>
        </is>
      </c>
      <c r="I38" s="2" t="inlineStr">
        <is>
          <t>Boar-q-pine</t>
        </is>
      </c>
      <c r="J38" s="6" t="inlineStr">
        <is>
          <t>Dumps 3-4 Goblins into play at once - 6-8 Purphoros damage to EACH opponent plus a board out of nowhere.</t>
        </is>
      </c>
    </row>
    <row r="39" ht="26.25" customHeight="1" s="79">
      <c r="A39" s="3" t="inlineStr">
        <is>
          <t>D6</t>
        </is>
      </c>
      <c r="B39" s="2" t="inlineStr">
        <is>
          <t>Jeska's Will</t>
        </is>
      </c>
      <c r="C39" s="3" t="inlineStr">
        <is>
          <t>To Buy</t>
        </is>
      </c>
      <c r="D39" s="4" t="n">
        <v>40.09</v>
      </c>
      <c r="E39" s="5" t="inlineStr">
        <is>
          <t>GC</t>
        </is>
      </c>
      <c r="F39" s="2" t="inlineStr">
        <is>
          <t>R</t>
        </is>
      </c>
      <c r="G39" s="3" t="n">
        <v>3</v>
      </c>
      <c r="H39" s="2" t="inlineStr">
        <is>
          <t>Sorcery</t>
        </is>
      </c>
      <c r="I39" s="2" t="inlineStr">
        <is>
          <t>Combustion Technique</t>
        </is>
      </c>
      <c r="J39" s="6" t="inlineStr">
        <is>
          <t>GAME CHANGER 1 of 2: explosive mana AND a fresh grip in one card - powers out Purphoros plus a token spell in the same turn for lethal ping turns.</t>
        </is>
      </c>
    </row>
  </sheetData>
  <autoFilter ref="A1:J39">
    <sortState ref="A2:J39">
      <sortCondition sortBy="cellColor" ref="B1:B39" dxfId="22"/>
    </sortState>
  </autoFilter>
  <conditionalFormatting sqref="C2:C39">
    <cfRule type="expression" priority="2" dxfId="3">
      <formula>$C2="In Hand"</formula>
    </cfRule>
    <cfRule type="expression" priority="3" dxfId="2">
      <formula>$C2="Ordered"</formula>
    </cfRule>
    <cfRule type="expression" priority="4" dxfId="1">
      <formula>$C2="In TCGPlayer Cart"</formula>
    </cfRule>
    <cfRule type="expression" priority="5" dxfId="0">
      <formula>$C2="To Buy"</formula>
    </cfRule>
  </conditionalFormatting>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tabColor rgb="FF808080"/>
    <outlinePr summaryBelow="1" summaryRight="1"/>
    <pageSetUpPr/>
  </sheetPr>
  <dimension ref="A1:A31"/>
  <sheetViews>
    <sheetView zoomScaleNormal="100" workbookViewId="0">
      <selection activeCell="A6" sqref="A6"/>
    </sheetView>
  </sheetViews>
  <sheetFormatPr baseColWidth="8" defaultColWidth="8.7109375" defaultRowHeight="15"/>
  <cols>
    <col width="118" customWidth="1" style="79" min="1" max="1"/>
  </cols>
  <sheetData>
    <row r="1" ht="15" customHeight="1" s="79">
      <c r="A1" s="7" t="inlineStr">
        <is>
          <t>MtG Deck Master v2 - how this workbook works</t>
        </is>
      </c>
    </row>
    <row r="2" ht="15" customHeight="1" s="79">
      <c r="A2" s="8" t="inlineStr">
        <is>
          <t>Built 2026-08-31. Prices are Scryfall/TCGplayer market USD as of that date. Replaces MtG Deck Master.xlsx (kept in the folder untouched).</t>
        </is>
      </c>
    </row>
    <row r="3" ht="15" customHeight="1" s="79">
      <c r="A3" s="8" t="n"/>
    </row>
    <row r="4" ht="15" customHeight="1" s="79">
      <c r="A4" s="9" t="inlineStr">
        <is>
          <t>DECKS</t>
        </is>
      </c>
    </row>
    <row r="5" ht="15" customHeight="1" s="79">
      <c r="A5" s="8" t="inlineStr">
        <is>
          <t xml:space="preserve">  D1 = Quintorius, Loremaster (Quintorius)</t>
        </is>
      </c>
    </row>
    <row r="6" ht="15" customHeight="1" s="79">
      <c r="A6" s="8" t="inlineStr">
        <is>
          <t xml:space="preserve">  D2 = Chulane, Teller of Tales (Roon-Chulane)</t>
        </is>
      </c>
    </row>
    <row r="7" ht="15" customHeight="1" s="79">
      <c r="A7" s="8" t="inlineStr">
        <is>
          <t xml:space="preserve">  D3 = Atraxa, Praetors' Voice (Atraxa)</t>
        </is>
      </c>
    </row>
    <row r="8" ht="15" customHeight="1" s="79">
      <c r="A8" s="8" t="inlineStr">
        <is>
          <t xml:space="preserve">  D4 = Betor, Ancestor's Voice (Betor)</t>
        </is>
      </c>
    </row>
    <row r="9" ht="15" customHeight="1" s="79">
      <c r="A9" s="8" t="inlineStr">
        <is>
          <t xml:space="preserve">  D5 = Shadrix Silverquill (Shadrix)</t>
        </is>
      </c>
    </row>
    <row r="10" ht="15" customHeight="1" s="79">
      <c r="A10" s="8" t="inlineStr">
        <is>
          <t xml:space="preserve">  D6 = Purphoros, God of the Forge (Purphoros)</t>
        </is>
      </c>
    </row>
    <row r="11" ht="15" customHeight="1" s="79">
      <c r="A11" s="8" t="n"/>
    </row>
    <row r="12" ht="15" customHeight="1" s="79">
      <c r="A12" s="9" t="inlineStr">
        <is>
          <t>SHEETS</t>
        </is>
      </c>
    </row>
    <row r="13" ht="23.25" customHeight="1" s="79">
      <c r="A13" s="8" t="inlineStr">
        <is>
          <t xml:space="preserve">  Master - every card in the six target v1 decks (600 cards; Tuned builds for D1-D4, v0/v1 builds for D5-D6), deduplicated by name with counts in the deck columns, PLUS the entire Bench (owned/inbound copies not assigned to any v1 slot). Qty = deck copies + bench copies.</t>
        </is>
      </c>
    </row>
    <row r="14" ht="23.25" customHeight="1" s="79">
      <c r="A14" s="8" t="inlineStr">
        <is>
          <t xml:space="preserve">  Upgrades (D5-D6) - the card swaps that take D5 and D6 from their v1 build to their Tuned build (cheap Max cards were already folded in per the &lt;$1.50 rule). ADD rows are what goes in; CUT rows come out to the Bench.</t>
        </is>
      </c>
    </row>
    <row r="15" ht="34.5" customHeight="1" s="79">
      <c r="A15" s="8" t="inlineStr">
        <is>
          <t xml:space="preserve">  B3 Upgrades - the swaps that take each deck from its strong-B2 build to solid Bracket 3 (the Max tier). One-for-one: buy the Add, bench the Replaces card. GC column marks Game Changers (max 2/deck; D1: Smothering Tithe + Farewell, D2: Rhystic Study, D6: Jeska's Will + Underworld Breach).</t>
        </is>
      </c>
    </row>
    <row r="16" ht="15" customHeight="1" s="79">
      <c r="A16" s="8" t="n"/>
    </row>
    <row r="17" ht="23.25" customHeight="1" s="79">
      <c r="A17" s="8" t="inlineStr">
        <is>
          <t>STATUS VALUES (color-coded): In Hand = you physically have every needed copy. Ordered = purchase made, in transit. In TCGPlayer Cart = sitting in your TCG cart, not yet ordered. To Buy = not yet sourced anywhere.</t>
        </is>
      </c>
    </row>
    <row r="18" ht="15" customHeight="1" s="79">
      <c r="A18" s="8" t="n"/>
    </row>
    <row r="19" ht="23.25" customHeight="1" s="79">
      <c r="A19" s="8" t="inlineStr">
        <is>
          <t>COLUMNS YOU EDIT BY HAND: Status, Owned, Ordered, In Cart, Notes. Need and $ To Buy recalculate themselves. When an order arrives: set Status to In Hand and move the count from Ordered to Owned. When you place an order: set Status to Ordered and move the count into Ordered.</t>
        </is>
      </c>
    </row>
    <row r="20" ht="15" customHeight="1" s="79">
      <c r="A20" s="8" t="n"/>
    </row>
    <row r="21" ht="15" customHeight="1" s="79">
      <c r="A21" s="9" t="inlineStr">
        <is>
          <t>YOUR WORKFLOWS</t>
        </is>
      </c>
    </row>
    <row r="22" ht="23.25" customHeight="1" s="79">
      <c r="A22" s="8" t="inlineStr">
        <is>
          <t xml:space="preserve">  Box up a deck (audit or build): on Master, filter the deck column (e.g. D3) to non-blank, sort by Type then Card. That is the box checklist - 100 cards exactly. The Bench column &gt;0 filter is the bench box.</t>
        </is>
      </c>
    </row>
    <row r="23" ht="23.25" customHeight="1" s="79">
      <c r="A23" s="8" t="inlineStr">
        <is>
          <t xml:space="preserve">  Print a pull list for CCS: filter Status = To Buy (add In TCGPlayer Cart if you want to compare), copy Card / Need / $ Each, paste wherever you print from. Same works on the two upgrade sheets.</t>
        </is>
      </c>
    </row>
    <row r="24" ht="23.25" customHeight="1" s="79">
      <c r="A24" s="8" t="inlineStr">
        <is>
          <t xml:space="preserve">  Populate / audit the TCG cart: Master filtered to Status = In TCGPlayer Cart should match the cart contents exactly; Status = To Buy is what still needs adding. $ To Buy sums give the checkout total.</t>
        </is>
      </c>
    </row>
    <row r="25" ht="15" customHeight="1" s="79">
      <c r="A25" s="8" t="n"/>
    </row>
    <row r="26" ht="15" customHeight="1" s="79">
      <c r="A26" s="9" t="inlineStr">
        <is>
          <t>SNAPSHOT TOTALS (as built; the sheets stay live as you edit)</t>
        </is>
      </c>
    </row>
    <row r="27" ht="15" customHeight="1" s="79">
      <c r="A27" s="8" t="inlineStr">
        <is>
          <t xml:space="preserve">  Master: 600 deck cards + 376 bench copies across 511 card names. Outstanding to source for v1 (To Buy + In Cart): ~$112.20. (Audited 2026-08-31: 8 rows corrected for the Orders-duplicate rule.)</t>
        </is>
      </c>
    </row>
    <row r="28" ht="15" customHeight="1" s="79">
      <c r="A28" s="8" t="inlineStr">
        <is>
          <t xml:space="preserve">  Upgrades (D5-D6): 19 adds / 19 cuts; ~$89.32 still to buy.</t>
        </is>
      </c>
    </row>
    <row r="29" ht="15" customHeight="1" s="79">
      <c r="A29" s="8" t="inlineStr">
        <is>
          <t xml:space="preserve">  B3 Upgrades: 38 swaps, $534.52 total: D1 $95.05, D2 $112.04, D3 $78.06, D4 $48.37, D5 $113.42, D6 $87.58.</t>
        </is>
      </c>
    </row>
    <row r="30" ht="15" customHeight="1" s="79">
      <c r="A30" s="8" t="n"/>
    </row>
    <row r="31" ht="23.25" customHeight="1" s="79">
      <c r="A31" s="8" t="inlineStr">
        <is>
          <t>Second-copy note: the deck columns count copies per deck, so a name used in several decks needs that many physical copies (see Qty vs Owned). Basics are priced at $0.10 nominal.</t>
        </is>
      </c>
    </row>
  </sheetData>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I76"/>
  <sheetViews>
    <sheetView workbookViewId="0">
      <pane ySplit="2" topLeftCell="A3" activePane="bottomLeft" state="frozen"/>
      <selection pane="bottomLeft" activeCell="A1" sqref="A1"/>
    </sheetView>
  </sheetViews>
  <sheetFormatPr baseColWidth="8" defaultRowHeight="15"/>
  <cols>
    <col width="34" customWidth="1" style="79" min="1" max="1"/>
    <col width="8" customWidth="1" style="79" min="2" max="2"/>
    <col width="30" customWidth="1" style="79" min="3" max="3"/>
    <col width="8" customWidth="1" style="79" min="4" max="4"/>
    <col width="9" customWidth="1" style="79" min="5" max="5"/>
    <col width="22" customWidth="1" style="79" min="6" max="6"/>
    <col width="6" customWidth="1" style="79" min="7" max="7"/>
    <col width="78" customWidth="1" style="79" min="8" max="8"/>
    <col width="12" customWidth="1" style="79" min="9" max="9"/>
  </cols>
  <sheetData>
    <row r="1">
      <c r="A1" s="82" t="inlineStr">
        <is>
          <t>Temp Adds - bench cards to make D4 / D5 / D6 playable at 100 cards (rev. 2026-09-03 PM, after the Hobbit booster + Game Theory pickups)</t>
        </is>
      </c>
    </row>
    <row r="2" ht="48" customHeight="1" s="79">
      <c r="A2" s="71" t="inlineStr">
        <is>
          <t>Box counts are as of your latest sheet (Game Theory pickups and the first TCG arrivals already in the boxes). Shared Animosity (on order) and the remaining TCGplayer orders are NOT assumed. NEW = from the Hobbit booster. Only physical bench copies (Master B-A) are used; nothing is pulled from the D1-D3 boxes. Each deck stays singleton and inside its color identity. MOVE = card already targeted for that deck, just not moved yet. ADD = temporary bench add (swap out when the TCG order lands). LAND = basic-land filler.</t>
        </is>
      </c>
    </row>
    <row r="4">
      <c r="A4" s="83" t="inlineStr">
        <is>
          <t>Summary</t>
        </is>
      </c>
    </row>
    <row r="5">
      <c r="A5" s="84" t="inlineStr">
        <is>
          <t>Deck</t>
        </is>
      </c>
      <c r="B5" s="84" t="inlineStr">
        <is>
          <t>Box now</t>
        </is>
      </c>
      <c r="C5" s="84" t="inlineStr">
        <is>
          <t>+ Game Theory cards</t>
        </is>
      </c>
      <c r="D5" s="84" t="inlineStr">
        <is>
          <t>+ Moves / adds (nonland)</t>
        </is>
      </c>
      <c r="E5" s="84" t="inlineStr">
        <is>
          <t>+ Utility lands</t>
        </is>
      </c>
      <c r="F5" s="84" t="inlineStr">
        <is>
          <t>+ Basics</t>
        </is>
      </c>
      <c r="G5" s="84" t="inlineStr">
        <is>
          <t>Total</t>
        </is>
      </c>
      <c r="H5" s="84" t="inlineStr">
        <is>
          <t>Lands after</t>
        </is>
      </c>
      <c r="I5" s="84" t="inlineStr">
        <is>
          <t>Nonland after</t>
        </is>
      </c>
    </row>
    <row r="6">
      <c r="A6" s="85" t="inlineStr">
        <is>
          <t>D4 - Betor, Ancestor's Voice (W/B/G, toughness + counters)</t>
        </is>
      </c>
      <c r="B6" s="86" t="n">
        <v>70</v>
      </c>
      <c r="C6" s="86" t="n">
        <v>0</v>
      </c>
      <c r="D6" s="86" t="n">
        <v>18</v>
      </c>
      <c r="E6" s="86" t="n">
        <v>0</v>
      </c>
      <c r="F6" s="86" t="n">
        <v>12</v>
      </c>
      <c r="G6" s="86" t="n">
        <v>100</v>
      </c>
      <c r="H6" s="86" t="n">
        <v>47</v>
      </c>
      <c r="I6" s="86" t="n">
        <v>53</v>
      </c>
    </row>
    <row r="7">
      <c r="A7" s="85" t="inlineStr">
        <is>
          <t>D5 - Shadrix Silverquill (W/B, tokens + aristocrats)</t>
        </is>
      </c>
      <c r="B7" s="86" t="n">
        <v>67</v>
      </c>
      <c r="C7" s="86" t="n">
        <v>0</v>
      </c>
      <c r="D7" s="86" t="n">
        <v>18</v>
      </c>
      <c r="E7" s="86" t="n">
        <v>1</v>
      </c>
      <c r="F7" s="86" t="n">
        <v>14</v>
      </c>
      <c r="G7" s="86" t="n">
        <v>100</v>
      </c>
      <c r="H7" s="86" t="n">
        <v>53</v>
      </c>
      <c r="I7" s="86" t="n">
        <v>47</v>
      </c>
    </row>
    <row r="8">
      <c r="A8" s="85" t="inlineStr">
        <is>
          <t>D6 - Purphoros (mono-R goblins)</t>
        </is>
      </c>
      <c r="B8" s="86" t="n">
        <v>70</v>
      </c>
      <c r="C8" s="86" t="n">
        <v>0</v>
      </c>
      <c r="D8" s="86" t="n">
        <v>11</v>
      </c>
      <c r="E8" s="86" t="n">
        <v>1</v>
      </c>
      <c r="F8" s="86" t="n">
        <v>18</v>
      </c>
      <c r="G8" s="86" t="n">
        <v>100</v>
      </c>
      <c r="H8" s="86" t="n">
        <v>53</v>
      </c>
      <c r="I8" s="86" t="n">
        <v>47</v>
      </c>
    </row>
    <row r="9" ht="46" customHeight="1" s="79">
      <c r="A9" s="71" t="inlineStr">
        <is>
          <t>Reality check: the nonland bench pool still runs out before 100 (D4 88, D5 86, D6 82 without basics). Filling the rest with basics gets each deck to a legal 100 but lands run 47-53 of 100 - playable for a casual game, not tuned. The remaining TCG packages (D4 28 / D5 30 / D6 32 cards (D6 incl. Shared Animosity)) are the real fix; swap the LAND rows out first, then the ADD rows, NEW vanilla bodies (Ordinary Bear) first among those. D2 note: the box shows 101 - Hinterland Harbor arrived but its placeholder land (Simic Guildgate or Naya Panorama) is still in the box; pull one.</t>
        </is>
      </c>
    </row>
    <row r="11">
      <c r="A11" s="87" t="inlineStr">
        <is>
          <t>D4 - Betor, Ancestor's Voice (W/B/G, toughness + counters)</t>
        </is>
      </c>
    </row>
    <row r="12" ht="16" customHeight="1" s="79">
      <c r="A12" s="71" t="inlineStr">
        <is>
          <t>Start: 70 in box + 0 Game Theory card(s): (Painful Truths and the TCG arrivals are already in the box)</t>
        </is>
      </c>
    </row>
    <row r="13">
      <c r="A13" s="88" t="inlineStr">
        <is>
          <t>Deck</t>
        </is>
      </c>
      <c r="B13" s="88" t="inlineStr">
        <is>
          <t>Step</t>
        </is>
      </c>
      <c r="C13" s="88" t="inlineStr">
        <is>
          <t>Card</t>
        </is>
      </c>
      <c r="D13" s="88" t="inlineStr">
        <is>
          <t>Copies</t>
        </is>
      </c>
      <c r="E13" s="88" t="inlineStr">
        <is>
          <t>Color ID</t>
        </is>
      </c>
      <c r="F13" s="88" t="inlineStr">
        <is>
          <t>Type</t>
        </is>
      </c>
      <c r="G13" s="88" t="inlineStr">
        <is>
          <t>MV</t>
        </is>
      </c>
      <c r="H13" s="88" t="inlineStr">
        <is>
          <t>Why it fits / note</t>
        </is>
      </c>
      <c r="I13" s="88" t="inlineStr">
        <is>
          <t>Running total</t>
        </is>
      </c>
    </row>
    <row r="14">
      <c r="A14" s="89" t="inlineStr">
        <is>
          <t>D4</t>
        </is>
      </c>
      <c r="B14" s="90" t="inlineStr">
        <is>
          <t>MOVE</t>
        </is>
      </c>
      <c r="C14" s="89" t="inlineStr">
        <is>
          <t>Spectacular Tactics</t>
        </is>
      </c>
      <c r="D14" s="90" t="n">
        <v>1</v>
      </c>
      <c r="E14" s="90" t="inlineStr">
        <is>
          <t>W</t>
        </is>
      </c>
      <c r="F14" s="89" t="inlineStr">
        <is>
          <t>Instant</t>
        </is>
      </c>
      <c r="G14" s="90" t="n">
        <v>2</v>
      </c>
      <c r="H14" s="89" t="inlineStr">
        <is>
          <t>Already a D4 target; +1/+1 counter or kill a 4-power creature</t>
        </is>
      </c>
      <c r="I14" s="90" t="n">
        <v>71</v>
      </c>
    </row>
    <row r="15">
      <c r="A15" s="91" t="inlineStr">
        <is>
          <t>D4</t>
        </is>
      </c>
      <c r="B15" s="92" t="inlineStr">
        <is>
          <t>ADD</t>
        </is>
      </c>
      <c r="C15" s="91" t="inlineStr">
        <is>
          <t>Mirkwood Pathmaker</t>
        </is>
      </c>
      <c r="D15" s="92" t="n">
        <v>1</v>
      </c>
      <c r="E15" s="92" t="inlineStr">
        <is>
          <t>G</t>
        </is>
      </c>
      <c r="F15" s="91" t="n"/>
      <c r="G15" s="92" t="n"/>
      <c r="H15" s="91" t="inlineStr">
        <is>
          <t>NEW (Hobbit): P/T = lands you control - a toughness body Betor loves; stand-in for Tree of Perdition</t>
        </is>
      </c>
      <c r="I15" s="92" t="n">
        <v>72</v>
      </c>
    </row>
    <row r="16">
      <c r="A16" s="91" t="inlineStr">
        <is>
          <t>D4</t>
        </is>
      </c>
      <c r="B16" s="92" t="inlineStr">
        <is>
          <t>ADD</t>
        </is>
      </c>
      <c r="C16" s="91" t="inlineStr">
        <is>
          <t>Moment of Glory</t>
        </is>
      </c>
      <c r="D16" s="92" t="n">
        <v>1</v>
      </c>
      <c r="E16" s="92" t="inlineStr">
        <is>
          <t>W</t>
        </is>
      </c>
      <c r="F16" s="91" t="n"/>
      <c r="G16" s="92" t="n"/>
      <c r="H16" s="91" t="inlineStr">
        <is>
          <t>NEW (Hobbit): +1/+1 counter, flashback puts a counter on every creature</t>
        </is>
      </c>
      <c r="I16" s="92" t="n">
        <v>73</v>
      </c>
    </row>
    <row r="17">
      <c r="A17" s="91" t="inlineStr">
        <is>
          <t>D4</t>
        </is>
      </c>
      <c r="B17" s="92" t="inlineStr">
        <is>
          <t>ADD</t>
        </is>
      </c>
      <c r="C17" s="91" t="inlineStr">
        <is>
          <t>Wood Elves</t>
        </is>
      </c>
      <c r="D17" s="92" t="n">
        <v>1</v>
      </c>
      <c r="E17" s="92" t="inlineStr">
        <is>
          <t>G</t>
        </is>
      </c>
      <c r="F17" s="91" t="inlineStr">
        <is>
          <t>Creature</t>
        </is>
      </c>
      <c r="G17" s="92" t="n">
        <v>3</v>
      </c>
      <c r="H17" s="91" t="inlineStr">
        <is>
          <t>NEW: fetches a Forest onto the battlefield - ramp</t>
        </is>
      </c>
      <c r="I17" s="92" t="n">
        <v>74</v>
      </c>
    </row>
    <row r="18">
      <c r="A18" s="91" t="inlineStr">
        <is>
          <t>D4</t>
        </is>
      </c>
      <c r="B18" s="92" t="inlineStr">
        <is>
          <t>ADD</t>
        </is>
      </c>
      <c r="C18" s="91" t="inlineStr">
        <is>
          <t>Stone by Sunlight</t>
        </is>
      </c>
      <c r="D18" s="92" t="n">
        <v>1</v>
      </c>
      <c r="E18" s="92" t="inlineStr">
        <is>
          <t>W</t>
        </is>
      </c>
      <c r="F18" s="91" t="n"/>
      <c r="G18" s="92" t="n"/>
      <c r="H18" s="91" t="inlineStr">
        <is>
          <t>NEW (Hobbit): kill a 4-power creature or make one indestructible</t>
        </is>
      </c>
      <c r="I18" s="92" t="n">
        <v>75</v>
      </c>
    </row>
    <row r="19">
      <c r="A19" s="91" t="inlineStr">
        <is>
          <t>D4</t>
        </is>
      </c>
      <c r="B19" s="92" t="inlineStr">
        <is>
          <t>ADD</t>
        </is>
      </c>
      <c r="C19" s="91" t="inlineStr">
        <is>
          <t>Ordinary Bear</t>
        </is>
      </c>
      <c r="D19" s="92" t="n">
        <v>1</v>
      </c>
      <c r="E19" s="92" t="inlineStr">
        <is>
          <t>G</t>
        </is>
      </c>
      <c r="F19" s="91" t="n"/>
      <c r="G19" s="92" t="n"/>
      <c r="H19" s="91" t="inlineStr">
        <is>
          <t>NEW (Hobbit): vanilla body - last-in, first-out when the TCG order lands</t>
        </is>
      </c>
      <c r="I19" s="92" t="n">
        <v>76</v>
      </c>
    </row>
    <row r="20">
      <c r="A20" s="91" t="inlineStr">
        <is>
          <t>D4</t>
        </is>
      </c>
      <c r="B20" s="92" t="inlineStr">
        <is>
          <t>ADD</t>
        </is>
      </c>
      <c r="C20" s="91" t="inlineStr">
        <is>
          <t>Blight Rot</t>
        </is>
      </c>
      <c r="D20" s="92" t="n">
        <v>1</v>
      </c>
      <c r="E20" s="92" t="inlineStr">
        <is>
          <t>B</t>
        </is>
      </c>
      <c r="F20" s="91" t="inlineStr">
        <is>
          <t>Instant</t>
        </is>
      </c>
      <c r="G20" s="92" t="n">
        <v>3</v>
      </c>
      <c r="H20" s="91" t="inlineStr">
        <is>
          <t>Cheap removal: four -1/-1 counters</t>
        </is>
      </c>
      <c r="I20" s="92" t="n">
        <v>77</v>
      </c>
    </row>
    <row r="21">
      <c r="A21" s="91" t="inlineStr">
        <is>
          <t>D4</t>
        </is>
      </c>
      <c r="B21" s="92" t="inlineStr">
        <is>
          <t>ADD</t>
        </is>
      </c>
      <c r="C21" s="91" t="inlineStr">
        <is>
          <t>Origin of Metalbending</t>
        </is>
      </c>
      <c r="D21" s="92" t="n">
        <v>1</v>
      </c>
      <c r="E21" s="92" t="inlineStr">
        <is>
          <t>G</t>
        </is>
      </c>
      <c r="F21" s="91" t="inlineStr">
        <is>
          <t>Instant</t>
        </is>
      </c>
      <c r="G21" s="92" t="n">
        <v>2</v>
      </c>
      <c r="H21" s="91" t="inlineStr">
        <is>
          <t>Artifact/enchantment removal or +1/+1 counter + indestructible</t>
        </is>
      </c>
      <c r="I21" s="92" t="n">
        <v>78</v>
      </c>
    </row>
    <row r="22">
      <c r="A22" s="91" t="inlineStr">
        <is>
          <t>D4</t>
        </is>
      </c>
      <c r="B22" s="92" t="inlineStr">
        <is>
          <t>ADD</t>
        </is>
      </c>
      <c r="C22" s="91" t="inlineStr">
        <is>
          <t>Midnight Tilling</t>
        </is>
      </c>
      <c r="D22" s="92" t="n">
        <v>1</v>
      </c>
      <c r="E22" s="92" t="inlineStr">
        <is>
          <t>G</t>
        </is>
      </c>
      <c r="F22" s="91" t="inlineStr">
        <is>
          <t>Instant</t>
        </is>
      </c>
      <c r="G22" s="92" t="n">
        <v>2</v>
      </c>
      <c r="H22" s="91" t="inlineStr">
        <is>
          <t>Instant-speed value: mill 4, return a permanent</t>
        </is>
      </c>
      <c r="I22" s="92" t="n">
        <v>79</v>
      </c>
    </row>
    <row r="23">
      <c r="A23" s="91" t="inlineStr">
        <is>
          <t>D4</t>
        </is>
      </c>
      <c r="B23" s="92" t="inlineStr">
        <is>
          <t>ADD</t>
        </is>
      </c>
      <c r="C23" s="91" t="inlineStr">
        <is>
          <t>Dundoolin Weaver</t>
        </is>
      </c>
      <c r="D23" s="92" t="n">
        <v>1</v>
      </c>
      <c r="E23" s="92" t="inlineStr">
        <is>
          <t>G</t>
        </is>
      </c>
      <c r="F23" s="91" t="inlineStr">
        <is>
          <t>Creature</t>
        </is>
      </c>
      <c r="G23" s="92" t="n">
        <v>2</v>
      </c>
      <c r="H23" s="91" t="inlineStr">
        <is>
          <t>Recursion when you control 3+ creatures (2nd copy; D2 keeps its own)</t>
        </is>
      </c>
      <c r="I23" s="92" t="n">
        <v>80</v>
      </c>
    </row>
    <row r="24">
      <c r="A24" s="91" t="inlineStr">
        <is>
          <t>D4</t>
        </is>
      </c>
      <c r="B24" s="92" t="inlineStr">
        <is>
          <t>ADD</t>
        </is>
      </c>
      <c r="C24" s="91" t="inlineStr">
        <is>
          <t>Lys Alana Dignitary</t>
        </is>
      </c>
      <c r="D24" s="92" t="n">
        <v>1</v>
      </c>
      <c r="E24" s="92" t="inlineStr">
        <is>
          <t>G</t>
        </is>
      </c>
      <c r="F24" s="91" t="inlineStr">
        <is>
          <t>Creature</t>
        </is>
      </c>
      <c r="G24" s="92" t="n">
        <v>2</v>
      </c>
      <c r="H24" s="91" t="inlineStr">
        <is>
          <t>Mana dork / ramp body</t>
        </is>
      </c>
      <c r="I24" s="92" t="n">
        <v>81</v>
      </c>
    </row>
    <row r="25">
      <c r="A25" s="91" t="inlineStr">
        <is>
          <t>D4</t>
        </is>
      </c>
      <c r="B25" s="92" t="inlineStr">
        <is>
          <t>ADD</t>
        </is>
      </c>
      <c r="C25" s="91" t="inlineStr">
        <is>
          <t>Lys Alana Informant</t>
        </is>
      </c>
      <c r="D25" s="92" t="n">
        <v>1</v>
      </c>
      <c r="E25" s="92" t="inlineStr">
        <is>
          <t>G</t>
        </is>
      </c>
      <c r="F25" s="91" t="inlineStr">
        <is>
          <t>Creature</t>
        </is>
      </c>
      <c r="G25" s="92" t="n">
        <v>2</v>
      </c>
      <c r="H25" s="91" t="inlineStr">
        <is>
          <t>Cheap body, surveil on enter and on death</t>
        </is>
      </c>
      <c r="I25" s="92" t="n">
        <v>82</v>
      </c>
    </row>
    <row r="26">
      <c r="A26" s="91" t="inlineStr">
        <is>
          <t>D4</t>
        </is>
      </c>
      <c r="B26" s="92" t="inlineStr">
        <is>
          <t>ADD</t>
        </is>
      </c>
      <c r="C26" s="91" t="inlineStr">
        <is>
          <t>Dawn's Light Archer</t>
        </is>
      </c>
      <c r="D26" s="92" t="n">
        <v>1</v>
      </c>
      <c r="E26" s="92" t="inlineStr">
        <is>
          <t>G</t>
        </is>
      </c>
      <c r="F26" s="91" t="inlineStr">
        <is>
          <t>Creature</t>
        </is>
      </c>
      <c r="G26" s="92" t="n">
        <v>3</v>
      </c>
      <c r="H26" s="91" t="inlineStr">
        <is>
          <t>Flash reach blocker, decent toughness</t>
        </is>
      </c>
      <c r="I26" s="92" t="n">
        <v>83</v>
      </c>
    </row>
    <row r="27">
      <c r="A27" s="91" t="inlineStr">
        <is>
          <t>D4</t>
        </is>
      </c>
      <c r="B27" s="92" t="inlineStr">
        <is>
          <t>ADD</t>
        </is>
      </c>
      <c r="C27" s="91" t="inlineStr">
        <is>
          <t>Surly Farrier</t>
        </is>
      </c>
      <c r="D27" s="92" t="n">
        <v>1</v>
      </c>
      <c r="E27" s="92" t="inlineStr">
        <is>
          <t>G</t>
        </is>
      </c>
      <c r="F27" s="91" t="inlineStr">
        <is>
          <t>Creature</t>
        </is>
      </c>
      <c r="G27" s="92" t="n">
        <v>2</v>
      </c>
      <c r="H27" s="91" t="inlineStr">
        <is>
          <t>Repeatable +1/+1 pump (sorcery speed)</t>
        </is>
      </c>
      <c r="I27" s="92" t="n">
        <v>84</v>
      </c>
    </row>
    <row r="28">
      <c r="A28" s="91" t="inlineStr">
        <is>
          <t>D4</t>
        </is>
      </c>
      <c r="B28" s="92" t="inlineStr">
        <is>
          <t>ADD</t>
        </is>
      </c>
      <c r="C28" s="91" t="inlineStr">
        <is>
          <t>Zendikar's Roil</t>
        </is>
      </c>
      <c r="D28" s="92" t="n">
        <v>1</v>
      </c>
      <c r="E28" s="92" t="inlineStr">
        <is>
          <t>G</t>
        </is>
      </c>
      <c r="F28" s="91" t="inlineStr">
        <is>
          <t>Enchantment</t>
        </is>
      </c>
      <c r="G28" s="92" t="n">
        <v>5</v>
      </c>
      <c r="H28" s="91" t="inlineStr">
        <is>
          <t>Landfall 2/2 tokens - board presence</t>
        </is>
      </c>
      <c r="I28" s="92" t="n">
        <v>85</v>
      </c>
    </row>
    <row r="29">
      <c r="A29" s="91" t="inlineStr">
        <is>
          <t>D4</t>
        </is>
      </c>
      <c r="B29" s="92" t="inlineStr">
        <is>
          <t>ADD</t>
        </is>
      </c>
      <c r="C29" s="91" t="inlineStr">
        <is>
          <t>Kithkeeper</t>
        </is>
      </c>
      <c r="D29" s="92" t="n">
        <v>1</v>
      </c>
      <c r="E29" s="92" t="inlineStr">
        <is>
          <t>W</t>
        </is>
      </c>
      <c r="F29" s="91" t="inlineStr">
        <is>
          <t>Creature</t>
        </is>
      </c>
      <c r="G29" s="92" t="n">
        <v>7</v>
      </c>
      <c r="H29" s="91" t="inlineStr">
        <is>
          <t>Top-end token maker (2nd copy; 1st goes to D5)</t>
        </is>
      </c>
      <c r="I29" s="92" t="n">
        <v>86</v>
      </c>
    </row>
    <row r="30">
      <c r="A30" s="91" t="inlineStr">
        <is>
          <t>D4</t>
        </is>
      </c>
      <c r="B30" s="92" t="inlineStr">
        <is>
          <t>ADD</t>
        </is>
      </c>
      <c r="C30" s="91" t="inlineStr">
        <is>
          <t>Ironsoul Enforcer</t>
        </is>
      </c>
      <c r="D30" s="92" t="n">
        <v>1</v>
      </c>
      <c r="E30" s="92" t="inlineStr">
        <is>
          <t>W</t>
        </is>
      </c>
      <c r="F30" s="91" t="inlineStr">
        <is>
          <t>Artifact Creature</t>
        </is>
      </c>
      <c r="G30" s="92" t="n">
        <v>5</v>
      </c>
      <c r="H30" s="91" t="inlineStr">
        <is>
          <t>Big body; returns artifacts when your commander attacks alone</t>
        </is>
      </c>
      <c r="I30" s="92" t="n">
        <v>87</v>
      </c>
    </row>
    <row r="31">
      <c r="A31" s="91" t="inlineStr">
        <is>
          <t>D4</t>
        </is>
      </c>
      <c r="B31" s="92" t="inlineStr">
        <is>
          <t>ADD</t>
        </is>
      </c>
      <c r="C31" s="91" t="inlineStr">
        <is>
          <t>Venat, Heart of Hydaelyn</t>
        </is>
      </c>
      <c r="D31" s="92" t="n">
        <v>1</v>
      </c>
      <c r="E31" s="92" t="inlineStr">
        <is>
          <t>C</t>
        </is>
      </c>
      <c r="F31" s="91" t="inlineStr">
        <is>
          <t>Legendary Creature</t>
        </is>
      </c>
      <c r="G31" s="92" t="n">
        <v>3</v>
      </c>
      <c r="H31" s="91" t="inlineStr">
        <is>
          <t>Draws on legendary spells; late-game exile</t>
        </is>
      </c>
      <c r="I31" s="92" t="n">
        <v>88</v>
      </c>
    </row>
    <row r="32">
      <c r="A32" s="93" t="inlineStr">
        <is>
          <t>D4</t>
        </is>
      </c>
      <c r="B32" s="94" t="inlineStr">
        <is>
          <t>LAND</t>
        </is>
      </c>
      <c r="C32" s="93" t="inlineStr">
        <is>
          <t>Plains</t>
        </is>
      </c>
      <c r="D32" s="94" t="n">
        <v>4</v>
      </c>
      <c r="E32" s="94" t="inlineStr">
        <is>
          <t>W</t>
        </is>
      </c>
      <c r="F32" s="93" t="inlineStr">
        <is>
          <t>Basic Land</t>
        </is>
      </c>
      <c r="G32" s="94" t="n">
        <v>0</v>
      </c>
      <c r="H32" s="93" t="inlineStr">
        <is>
          <t>Basic filler</t>
        </is>
      </c>
      <c r="I32" s="94" t="n">
        <v>92</v>
      </c>
    </row>
    <row r="33">
      <c r="A33" s="93" t="inlineStr">
        <is>
          <t>D4</t>
        </is>
      </c>
      <c r="B33" s="94" t="inlineStr">
        <is>
          <t>LAND</t>
        </is>
      </c>
      <c r="C33" s="93" t="inlineStr">
        <is>
          <t>Swamp</t>
        </is>
      </c>
      <c r="D33" s="94" t="n">
        <v>4</v>
      </c>
      <c r="E33" s="94" t="inlineStr">
        <is>
          <t>B</t>
        </is>
      </c>
      <c r="F33" s="93" t="inlineStr">
        <is>
          <t>Basic Land</t>
        </is>
      </c>
      <c r="G33" s="94" t="n">
        <v>0</v>
      </c>
      <c r="H33" s="93" t="inlineStr">
        <is>
          <t>Basic filler</t>
        </is>
      </c>
      <c r="I33" s="94" t="n">
        <v>96</v>
      </c>
    </row>
    <row r="34">
      <c r="A34" s="93" t="inlineStr">
        <is>
          <t>D4</t>
        </is>
      </c>
      <c r="B34" s="94" t="inlineStr">
        <is>
          <t>LAND</t>
        </is>
      </c>
      <c r="C34" s="93" t="inlineStr">
        <is>
          <t>Forest</t>
        </is>
      </c>
      <c r="D34" s="94" t="n">
        <v>4</v>
      </c>
      <c r="E34" s="94" t="inlineStr">
        <is>
          <t>G</t>
        </is>
      </c>
      <c r="F34" s="93" t="inlineStr">
        <is>
          <t>Basic Land</t>
        </is>
      </c>
      <c r="G34" s="94" t="n">
        <v>0</v>
      </c>
      <c r="H34" s="93" t="inlineStr">
        <is>
          <t>Basic filler</t>
        </is>
      </c>
      <c r="I34" s="94" t="n">
        <v>100</v>
      </c>
    </row>
    <row r="36">
      <c r="A36" s="87" t="inlineStr">
        <is>
          <t>D5 - Shadrix Silverquill (W/B, tokens + aristocrats)</t>
        </is>
      </c>
    </row>
    <row r="37" ht="16" customHeight="1" s="79">
      <c r="A37" s="71" t="inlineStr">
        <is>
          <t>Start: 67 in box + 0 Game Theory card(s): (Pawn of Ulamog and Temple of Silence are already in the box)</t>
        </is>
      </c>
    </row>
    <row r="38">
      <c r="A38" s="88" t="inlineStr">
        <is>
          <t>Deck</t>
        </is>
      </c>
      <c r="B38" s="88" t="inlineStr">
        <is>
          <t>Step</t>
        </is>
      </c>
      <c r="C38" s="88" t="inlineStr">
        <is>
          <t>Card</t>
        </is>
      </c>
      <c r="D38" s="88" t="inlineStr">
        <is>
          <t>Copies</t>
        </is>
      </c>
      <c r="E38" s="88" t="inlineStr">
        <is>
          <t>Color ID</t>
        </is>
      </c>
      <c r="F38" s="88" t="inlineStr">
        <is>
          <t>Type</t>
        </is>
      </c>
      <c r="G38" s="88" t="inlineStr">
        <is>
          <t>MV</t>
        </is>
      </c>
      <c r="H38" s="88" t="inlineStr">
        <is>
          <t>Why it fits / note</t>
        </is>
      </c>
      <c r="I38" s="88" t="inlineStr">
        <is>
          <t>Running total</t>
        </is>
      </c>
    </row>
    <row r="39">
      <c r="A39" s="89" t="inlineStr">
        <is>
          <t>D5</t>
        </is>
      </c>
      <c r="B39" s="90" t="inlineStr">
        <is>
          <t>MOVE</t>
        </is>
      </c>
      <c r="C39" s="89" t="inlineStr">
        <is>
          <t>Terror</t>
        </is>
      </c>
      <c r="D39" s="90" t="n">
        <v>1</v>
      </c>
      <c r="E39" s="90" t="inlineStr">
        <is>
          <t>B</t>
        </is>
      </c>
      <c r="F39" s="89" t="inlineStr">
        <is>
          <t>Instant</t>
        </is>
      </c>
      <c r="G39" s="90" t="n">
        <v>2</v>
      </c>
      <c r="H39" s="89" t="inlineStr">
        <is>
          <t>Already a D5 target; cheap removal</t>
        </is>
      </c>
      <c r="I39" s="90" t="n">
        <v>68</v>
      </c>
    </row>
    <row r="40">
      <c r="A40" s="89" t="inlineStr">
        <is>
          <t>D5</t>
        </is>
      </c>
      <c r="B40" s="90" t="inlineStr">
        <is>
          <t>MOVE</t>
        </is>
      </c>
      <c r="C40" s="89" t="inlineStr">
        <is>
          <t>Pretending Poxbearers</t>
        </is>
      </c>
      <c r="D40" s="90" t="n">
        <v>1</v>
      </c>
      <c r="E40" s="90" t="inlineStr">
        <is>
          <t>BW</t>
        </is>
      </c>
      <c r="F40" s="89" t="inlineStr">
        <is>
          <t>Creature</t>
        </is>
      </c>
      <c r="G40" s="90" t="n">
        <v>2</v>
      </c>
      <c r="H40" s="89" t="inlineStr">
        <is>
          <t>Already a D5 target; dies -&gt; 1/1 token</t>
        </is>
      </c>
      <c r="I40" s="90" t="n">
        <v>69</v>
      </c>
    </row>
    <row r="41">
      <c r="A41" s="91" t="inlineStr">
        <is>
          <t>D5</t>
        </is>
      </c>
      <c r="B41" s="92" t="inlineStr">
        <is>
          <t>ADD</t>
        </is>
      </c>
      <c r="C41" s="91" t="inlineStr">
        <is>
          <t>Front Porch Sentries</t>
        </is>
      </c>
      <c r="D41" s="92" t="n">
        <v>1</v>
      </c>
      <c r="E41" s="92" t="inlineStr">
        <is>
          <t>B</t>
        </is>
      </c>
      <c r="F41" s="91" t="n"/>
      <c r="G41" s="92" t="n"/>
      <c r="H41" s="91" t="inlineStr">
        <is>
          <t>NEW (Hobbit): 2-drop that shrinks a blocker when it dies - aristocrats fodder</t>
        </is>
      </c>
      <c r="I41" s="92" t="n">
        <v>70</v>
      </c>
    </row>
    <row r="42">
      <c r="A42" s="91" t="inlineStr">
        <is>
          <t>D5</t>
        </is>
      </c>
      <c r="B42" s="92" t="inlineStr">
        <is>
          <t>ADD</t>
        </is>
      </c>
      <c r="C42" s="91" t="inlineStr">
        <is>
          <t>Rage into the Valley</t>
        </is>
      </c>
      <c r="D42" s="92" t="n">
        <v>1</v>
      </c>
      <c r="E42" s="92" t="inlineStr">
        <is>
          <t>B</t>
        </is>
      </c>
      <c r="F42" s="91" t="n"/>
      <c r="G42" s="92" t="n"/>
      <c r="H42" s="91" t="inlineStr">
        <is>
          <t>NEW (Hobbit): draw a card + a growing Goblin Army token; stand-in for Night's Whisper</t>
        </is>
      </c>
      <c r="I42" s="92" t="n">
        <v>71</v>
      </c>
    </row>
    <row r="43">
      <c r="A43" s="91" t="inlineStr">
        <is>
          <t>D5</t>
        </is>
      </c>
      <c r="B43" s="92" t="inlineStr">
        <is>
          <t>ADD</t>
        </is>
      </c>
      <c r="C43" s="91" t="inlineStr">
        <is>
          <t>Despark</t>
        </is>
      </c>
      <c r="D43" s="92" t="n">
        <v>1</v>
      </c>
      <c r="E43" s="92" t="inlineStr">
        <is>
          <t>BW</t>
        </is>
      </c>
      <c r="F43" s="91" t="inlineStr">
        <is>
          <t>Instant</t>
        </is>
      </c>
      <c r="G43" s="92" t="n">
        <v>2</v>
      </c>
      <c r="H43" s="91" t="inlineStr">
        <is>
          <t>NEW spare copy: exile a 4+ MV permanent (D4 keeps its own)</t>
        </is>
      </c>
      <c r="I43" s="92" t="n">
        <v>72</v>
      </c>
    </row>
    <row r="44">
      <c r="A44" s="91" t="inlineStr">
        <is>
          <t>D5</t>
        </is>
      </c>
      <c r="B44" s="92" t="inlineStr">
        <is>
          <t>ADD</t>
        </is>
      </c>
      <c r="C44" s="91" t="inlineStr">
        <is>
          <t>Prideful Feastling</t>
        </is>
      </c>
      <c r="D44" s="92" t="n">
        <v>1</v>
      </c>
      <c r="E44" s="92" t="inlineStr">
        <is>
          <t>BW</t>
        </is>
      </c>
      <c r="F44" s="91" t="inlineStr">
        <is>
          <t>Creature</t>
        </is>
      </c>
      <c r="G44" s="92" t="n">
        <v>3</v>
      </c>
      <c r="H44" s="91" t="inlineStr">
        <is>
          <t>Changeling lifelink body</t>
        </is>
      </c>
      <c r="I44" s="92" t="n">
        <v>73</v>
      </c>
    </row>
    <row r="45">
      <c r="A45" s="91" t="inlineStr">
        <is>
          <t>D5</t>
        </is>
      </c>
      <c r="B45" s="92" t="inlineStr">
        <is>
          <t>ADD</t>
        </is>
      </c>
      <c r="C45" s="91" t="inlineStr">
        <is>
          <t>Kithkeeper</t>
        </is>
      </c>
      <c r="D45" s="92" t="n">
        <v>1</v>
      </c>
      <c r="E45" s="92" t="inlineStr">
        <is>
          <t>W</t>
        </is>
      </c>
      <c r="F45" s="91" t="inlineStr">
        <is>
          <t>Creature</t>
        </is>
      </c>
      <c r="G45" s="92" t="n">
        <v>7</v>
      </c>
      <c r="H45" s="91" t="inlineStr">
        <is>
          <t>Makes X 1/1 Kithkin on enter - token fodder</t>
        </is>
      </c>
      <c r="I45" s="92" t="n">
        <v>74</v>
      </c>
    </row>
    <row r="46">
      <c r="A46" s="91" t="inlineStr">
        <is>
          <t>D5</t>
        </is>
      </c>
      <c r="B46" s="92" t="inlineStr">
        <is>
          <t>ADD</t>
        </is>
      </c>
      <c r="C46" s="91" t="inlineStr">
        <is>
          <t>Lake-town Lookout</t>
        </is>
      </c>
      <c r="D46" s="92" t="n">
        <v>1</v>
      </c>
      <c r="E46" s="92" t="inlineStr">
        <is>
          <t>W</t>
        </is>
      </c>
      <c r="F46" s="91" t="inlineStr">
        <is>
          <t>Creature</t>
        </is>
      </c>
      <c r="G46" s="92" t="n">
        <v>1</v>
      </c>
      <c r="H46" s="91" t="inlineStr">
        <is>
          <t>1-drop that loots and makes a token when it dies; stand-in for Ophiomancer</t>
        </is>
      </c>
      <c r="I46" s="92" t="n">
        <v>75</v>
      </c>
    </row>
    <row r="47">
      <c r="A47" s="91" t="inlineStr">
        <is>
          <t>D5</t>
        </is>
      </c>
      <c r="B47" s="92" t="inlineStr">
        <is>
          <t>ADD</t>
        </is>
      </c>
      <c r="C47" s="91" t="inlineStr">
        <is>
          <t>Great Fierce Bee</t>
        </is>
      </c>
      <c r="D47" s="92" t="n">
        <v>1</v>
      </c>
      <c r="E47" s="92" t="inlineStr">
        <is>
          <t>B</t>
        </is>
      </c>
      <c r="F47" s="91" t="inlineStr">
        <is>
          <t>Creature</t>
        </is>
      </c>
      <c r="G47" s="92" t="n">
        <v>3</v>
      </c>
      <c r="H47" s="91" t="inlineStr">
        <is>
          <t>Flyer that scrys whenever creatures die</t>
        </is>
      </c>
      <c r="I47" s="92" t="n">
        <v>76</v>
      </c>
    </row>
    <row r="48">
      <c r="A48" s="91" t="inlineStr">
        <is>
          <t>D5</t>
        </is>
      </c>
      <c r="B48" s="92" t="inlineStr">
        <is>
          <t>ADD</t>
        </is>
      </c>
      <c r="C48" s="91" t="inlineStr">
        <is>
          <t>Desmond Miles</t>
        </is>
      </c>
      <c r="D48" s="92" t="n">
        <v>1</v>
      </c>
      <c r="E48" s="92" t="inlineStr">
        <is>
          <t>B</t>
        </is>
      </c>
      <c r="F48" s="91" t="inlineStr">
        <is>
          <t>Legendary Creature</t>
        </is>
      </c>
      <c r="G48" s="92" t="n">
        <v>2</v>
      </c>
      <c r="H48" s="91" t="inlineStr">
        <is>
          <t>Cheap menace attacker</t>
        </is>
      </c>
      <c r="I48" s="92" t="n">
        <v>77</v>
      </c>
    </row>
    <row r="49">
      <c r="A49" s="91" t="inlineStr">
        <is>
          <t>D5</t>
        </is>
      </c>
      <c r="B49" s="92" t="inlineStr">
        <is>
          <t>ADD</t>
        </is>
      </c>
      <c r="C49" s="91" t="inlineStr">
        <is>
          <t>Make Your Move</t>
        </is>
      </c>
      <c r="D49" s="92" t="n">
        <v>1</v>
      </c>
      <c r="E49" s="92" t="inlineStr">
        <is>
          <t>W</t>
        </is>
      </c>
      <c r="F49" s="91" t="inlineStr">
        <is>
          <t>Instant</t>
        </is>
      </c>
      <c r="G49" s="92" t="n">
        <v>3</v>
      </c>
      <c r="H49" s="91" t="inlineStr">
        <is>
          <t>Flexible removal (artifact, enchantment or 4-power creature)</t>
        </is>
      </c>
      <c r="I49" s="92" t="n">
        <v>78</v>
      </c>
    </row>
    <row r="50">
      <c r="A50" s="91" t="inlineStr">
        <is>
          <t>D5</t>
        </is>
      </c>
      <c r="B50" s="92" t="inlineStr">
        <is>
          <t>ADD</t>
        </is>
      </c>
      <c r="C50" s="91" t="inlineStr">
        <is>
          <t>Destroy Evil</t>
        </is>
      </c>
      <c r="D50" s="92" t="n">
        <v>1</v>
      </c>
      <c r="E50" s="92" t="inlineStr">
        <is>
          <t>W</t>
        </is>
      </c>
      <c r="F50" s="91" t="inlineStr">
        <is>
          <t>Instant</t>
        </is>
      </c>
      <c r="G50" s="92" t="n">
        <v>2</v>
      </c>
      <c r="H50" s="91" t="inlineStr">
        <is>
          <t>Removal for big-toughness threats or an enchantment</t>
        </is>
      </c>
      <c r="I50" s="92" t="n">
        <v>79</v>
      </c>
    </row>
    <row r="51">
      <c r="A51" s="91" t="inlineStr">
        <is>
          <t>D5</t>
        </is>
      </c>
      <c r="B51" s="92" t="inlineStr">
        <is>
          <t>ADD</t>
        </is>
      </c>
      <c r="C51" s="91" t="inlineStr">
        <is>
          <t>Spectacular Tactics</t>
        </is>
      </c>
      <c r="D51" s="92" t="n">
        <v>1</v>
      </c>
      <c r="E51" s="92" t="inlineStr">
        <is>
          <t>W</t>
        </is>
      </c>
      <c r="F51" s="91" t="inlineStr">
        <is>
          <t>Instant</t>
        </is>
      </c>
      <c r="G51" s="92" t="n">
        <v>2</v>
      </c>
      <c r="H51" s="91" t="inlineStr">
        <is>
          <t>Protection / removal (2nd bench copy; 1st is the D4 target)</t>
        </is>
      </c>
      <c r="I51" s="92" t="n">
        <v>80</v>
      </c>
    </row>
    <row r="52">
      <c r="A52" s="91" t="inlineStr">
        <is>
          <t>D5</t>
        </is>
      </c>
      <c r="B52" s="92" t="inlineStr">
        <is>
          <t>ADD</t>
        </is>
      </c>
      <c r="C52" s="91" t="inlineStr">
        <is>
          <t>Hemlock Vial</t>
        </is>
      </c>
      <c r="D52" s="92" t="n">
        <v>1</v>
      </c>
      <c r="E52" s="92" t="inlineStr">
        <is>
          <t>B</t>
        </is>
      </c>
      <c r="F52" s="91" t="inlineStr">
        <is>
          <t>Artifact</t>
        </is>
      </c>
      <c r="G52" s="92" t="n">
        <v>2</v>
      </c>
      <c r="H52" s="91" t="inlineStr">
        <is>
          <t>Draw a card; sac for deathtouch</t>
        </is>
      </c>
      <c r="I52" s="92" t="n">
        <v>81</v>
      </c>
    </row>
    <row r="53">
      <c r="A53" s="91" t="inlineStr">
        <is>
          <t>D5</t>
        </is>
      </c>
      <c r="B53" s="92" t="inlineStr">
        <is>
          <t>ADD</t>
        </is>
      </c>
      <c r="C53" s="91" t="inlineStr">
        <is>
          <t>Moonglove Extractor</t>
        </is>
      </c>
      <c r="D53" s="92" t="n">
        <v>1</v>
      </c>
      <c r="E53" s="92" t="inlineStr">
        <is>
          <t>B</t>
        </is>
      </c>
      <c r="F53" s="91" t="inlineStr">
        <is>
          <t>Creature</t>
        </is>
      </c>
      <c r="G53" s="92" t="n">
        <v>3</v>
      </c>
      <c r="H53" s="91" t="inlineStr">
        <is>
          <t>Card draw on attack</t>
        </is>
      </c>
      <c r="I53" s="92" t="n">
        <v>82</v>
      </c>
    </row>
    <row r="54">
      <c r="A54" s="91" t="inlineStr">
        <is>
          <t>D5</t>
        </is>
      </c>
      <c r="B54" s="92" t="inlineStr">
        <is>
          <t>ADD</t>
        </is>
      </c>
      <c r="C54" s="91" t="inlineStr">
        <is>
          <t>Meanders Guide</t>
        </is>
      </c>
      <c r="D54" s="92" t="n">
        <v>1</v>
      </c>
      <c r="E54" s="92" t="inlineStr">
        <is>
          <t>W</t>
        </is>
      </c>
      <c r="F54" s="91" t="inlineStr">
        <is>
          <t>Creature</t>
        </is>
      </c>
      <c r="G54" s="92" t="n">
        <v>3</v>
      </c>
      <c r="H54" s="91" t="inlineStr">
        <is>
          <t>Attacker that recurs a small creature</t>
        </is>
      </c>
      <c r="I54" s="92" t="n">
        <v>83</v>
      </c>
    </row>
    <row r="55">
      <c r="A55" s="91" t="inlineStr">
        <is>
          <t>D5</t>
        </is>
      </c>
      <c r="B55" s="92" t="inlineStr">
        <is>
          <t>ADD</t>
        </is>
      </c>
      <c r="C55" s="91" t="inlineStr">
        <is>
          <t>Dai Li Indoctrination</t>
        </is>
      </c>
      <c r="D55" s="92" t="n">
        <v>1</v>
      </c>
      <c r="E55" s="92" t="inlineStr">
        <is>
          <t>B</t>
        </is>
      </c>
      <c r="F55" s="91" t="inlineStr">
        <is>
          <t>Sorcery</t>
        </is>
      </c>
      <c r="G55" s="92" t="n">
        <v>2</v>
      </c>
      <c r="H55" s="91" t="inlineStr">
        <is>
          <t>Targeted discard / land utility</t>
        </is>
      </c>
      <c r="I55" s="92" t="n">
        <v>84</v>
      </c>
    </row>
    <row r="56">
      <c r="A56" s="91" t="inlineStr">
        <is>
          <t>D5</t>
        </is>
      </c>
      <c r="B56" s="92" t="inlineStr">
        <is>
          <t>ADD</t>
        </is>
      </c>
      <c r="C56" s="91" t="inlineStr">
        <is>
          <t>Eldrazi Ravager</t>
        </is>
      </c>
      <c r="D56" s="92" t="n">
        <v>1</v>
      </c>
      <c r="E56" s="92" t="inlineStr">
        <is>
          <t>C</t>
        </is>
      </c>
      <c r="F56" s="91" t="inlineStr">
        <is>
          <t>Creature</t>
        </is>
      </c>
      <c r="G56" s="92" t="n">
        <v>6</v>
      </c>
      <c r="H56" s="91" t="inlineStr">
        <is>
          <t>Colorless 6-drop finisher with annihilator (1 of 2 copies)</t>
        </is>
      </c>
      <c r="I56" s="92" t="n">
        <v>85</v>
      </c>
    </row>
    <row r="57">
      <c r="A57" s="91" t="inlineStr">
        <is>
          <t>D5</t>
        </is>
      </c>
      <c r="B57" s="92" t="inlineStr">
        <is>
          <t>ADD</t>
        </is>
      </c>
      <c r="C57" s="91" t="inlineStr">
        <is>
          <t>Evolving Wilds</t>
        </is>
      </c>
      <c r="D57" s="92" t="n">
        <v>1</v>
      </c>
      <c r="E57" s="92" t="inlineStr">
        <is>
          <t>C</t>
        </is>
      </c>
      <c r="F57" s="91" t="inlineStr">
        <is>
          <t>Land</t>
        </is>
      </c>
      <c r="G57" s="92" t="n">
        <v>0</v>
      </c>
      <c r="H57" s="91" t="inlineStr">
        <is>
          <t>Spare fetch land (D5 has none) - counts as a land</t>
        </is>
      </c>
      <c r="I57" s="92" t="n">
        <v>86</v>
      </c>
    </row>
    <row r="58">
      <c r="A58" s="93" t="inlineStr">
        <is>
          <t>D5</t>
        </is>
      </c>
      <c r="B58" s="94" t="inlineStr">
        <is>
          <t>LAND</t>
        </is>
      </c>
      <c r="C58" s="93" t="inlineStr">
        <is>
          <t>Plains</t>
        </is>
      </c>
      <c r="D58" s="94" t="n">
        <v>7</v>
      </c>
      <c r="E58" s="94" t="inlineStr">
        <is>
          <t>W</t>
        </is>
      </c>
      <c r="F58" s="93" t="inlineStr">
        <is>
          <t>Basic Land</t>
        </is>
      </c>
      <c r="G58" s="94" t="n">
        <v>0</v>
      </c>
      <c r="H58" s="93" t="inlineStr">
        <is>
          <t>Basic filler</t>
        </is>
      </c>
      <c r="I58" s="94" t="n">
        <v>93</v>
      </c>
    </row>
    <row r="59">
      <c r="A59" s="93" t="inlineStr">
        <is>
          <t>D5</t>
        </is>
      </c>
      <c r="B59" s="94" t="inlineStr">
        <is>
          <t>LAND</t>
        </is>
      </c>
      <c r="C59" s="93" t="inlineStr">
        <is>
          <t>Swamp</t>
        </is>
      </c>
      <c r="D59" s="94" t="n">
        <v>7</v>
      </c>
      <c r="E59" s="94" t="inlineStr">
        <is>
          <t>B</t>
        </is>
      </c>
      <c r="F59" s="93" t="inlineStr">
        <is>
          <t>Basic Land</t>
        </is>
      </c>
      <c r="G59" s="94" t="n">
        <v>0</v>
      </c>
      <c r="H59" s="93" t="inlineStr">
        <is>
          <t>Basic filler</t>
        </is>
      </c>
      <c r="I59" s="94" t="n">
        <v>100</v>
      </c>
    </row>
    <row r="61">
      <c r="A61" s="87" t="inlineStr">
        <is>
          <t>D6 - Purphoros (mono-R goblins)</t>
        </is>
      </c>
    </row>
    <row r="62" ht="16" customHeight="1" s="79">
      <c r="A62" s="71" t="inlineStr">
        <is>
          <t>Start: 70 in box + 0 Game Theory card(s): (all 8 Game Theory cards are already in the box; Shared Animosity is on order from Wake Forest)</t>
        </is>
      </c>
    </row>
    <row r="63">
      <c r="A63" s="88" t="inlineStr">
        <is>
          <t>Deck</t>
        </is>
      </c>
      <c r="B63" s="88" t="inlineStr">
        <is>
          <t>Step</t>
        </is>
      </c>
      <c r="C63" s="88" t="inlineStr">
        <is>
          <t>Card</t>
        </is>
      </c>
      <c r="D63" s="88" t="inlineStr">
        <is>
          <t>Copies</t>
        </is>
      </c>
      <c r="E63" s="88" t="inlineStr">
        <is>
          <t>Color ID</t>
        </is>
      </c>
      <c r="F63" s="88" t="inlineStr">
        <is>
          <t>Type</t>
        </is>
      </c>
      <c r="G63" s="88" t="inlineStr">
        <is>
          <t>MV</t>
        </is>
      </c>
      <c r="H63" s="88" t="inlineStr">
        <is>
          <t>Why it fits / note</t>
        </is>
      </c>
      <c r="I63" s="88" t="inlineStr">
        <is>
          <t>Running total</t>
        </is>
      </c>
    </row>
    <row r="64">
      <c r="A64" s="89" t="inlineStr">
        <is>
          <t>D6</t>
        </is>
      </c>
      <c r="B64" s="90" t="inlineStr">
        <is>
          <t>MOVE</t>
        </is>
      </c>
      <c r="C64" s="89" t="inlineStr">
        <is>
          <t>Raid Bombardment</t>
        </is>
      </c>
      <c r="D64" s="90" t="n">
        <v>1</v>
      </c>
      <c r="E64" s="90" t="inlineStr">
        <is>
          <t>R</t>
        </is>
      </c>
      <c r="F64" s="89" t="inlineStr">
        <is>
          <t>Enchantment</t>
        </is>
      </c>
      <c r="G64" s="90" t="n">
        <v>3</v>
      </c>
      <c r="H64" s="89" t="inlineStr">
        <is>
          <t>Already a D6 target; pings for each small attacker</t>
        </is>
      </c>
      <c r="I64" s="90" t="n">
        <v>71</v>
      </c>
    </row>
    <row r="65">
      <c r="A65" s="89" t="inlineStr">
        <is>
          <t>D6</t>
        </is>
      </c>
      <c r="B65" s="90" t="inlineStr">
        <is>
          <t>MOVE</t>
        </is>
      </c>
      <c r="C65" s="89" t="inlineStr">
        <is>
          <t>Tempt with Vengeance</t>
        </is>
      </c>
      <c r="D65" s="90" t="n">
        <v>1</v>
      </c>
      <c r="E65" s="90" t="inlineStr">
        <is>
          <t>R</t>
        </is>
      </c>
      <c r="F65" s="89" t="inlineStr">
        <is>
          <t>Sorcery</t>
        </is>
      </c>
      <c r="G65" s="90" t="n">
        <v>1</v>
      </c>
      <c r="H65" s="89" t="inlineStr">
        <is>
          <t>Already a D6 target; X hasty 1/1s</t>
        </is>
      </c>
      <c r="I65" s="90" t="n">
        <v>72</v>
      </c>
    </row>
    <row r="66">
      <c r="A66" s="91" t="inlineStr">
        <is>
          <t>D6</t>
        </is>
      </c>
      <c r="B66" s="92" t="inlineStr">
        <is>
          <t>ADD</t>
        </is>
      </c>
      <c r="C66" s="91" t="inlineStr">
        <is>
          <t>Tidings of War</t>
        </is>
      </c>
      <c r="D66" s="92" t="n">
        <v>1</v>
      </c>
      <c r="E66" s="92" t="inlineStr">
        <is>
          <t>R</t>
        </is>
      </c>
      <c r="F66" s="91" t="n"/>
      <c r="G66" s="92" t="n"/>
      <c r="H66" s="91" t="inlineStr">
        <is>
          <t>NEW (Hobbit): 1-mana Goblin Army token that grows; the Army IS a Goblin for your lords</t>
        </is>
      </c>
      <c r="I66" s="92" t="n">
        <v>73</v>
      </c>
    </row>
    <row r="67">
      <c r="A67" s="91" t="inlineStr">
        <is>
          <t>D6</t>
        </is>
      </c>
      <c r="B67" s="92" t="inlineStr">
        <is>
          <t>ADD</t>
        </is>
      </c>
      <c r="C67" s="91" t="inlineStr">
        <is>
          <t>Getaway Barrel</t>
        </is>
      </c>
      <c r="D67" s="92" t="n">
        <v>1</v>
      </c>
      <c r="E67" s="92" t="inlineStr">
        <is>
          <t>R</t>
        </is>
      </c>
      <c r="F67" s="91" t="n"/>
      <c r="G67" s="92" t="n"/>
      <c r="H67" s="91" t="inlineStr">
        <is>
          <t>NEW (Hobbit): artifact that cheats a creature in when it dies - sac it to Goblin Trashmaster</t>
        </is>
      </c>
      <c r="I67" s="92" t="n">
        <v>74</v>
      </c>
    </row>
    <row r="68">
      <c r="A68" s="91" t="inlineStr">
        <is>
          <t>D6</t>
        </is>
      </c>
      <c r="B68" s="92" t="inlineStr">
        <is>
          <t>ADD</t>
        </is>
      </c>
      <c r="C68" s="91" t="inlineStr">
        <is>
          <t>Endbringer</t>
        </is>
      </c>
      <c r="D68" s="92" t="n">
        <v>1</v>
      </c>
      <c r="E68" s="92" t="inlineStr">
        <is>
          <t>C</t>
        </is>
      </c>
      <c r="F68" s="91" t="inlineStr">
        <is>
          <t>Creature</t>
        </is>
      </c>
      <c r="G68" s="92" t="n">
        <v>6</v>
      </c>
      <c r="H68" s="91" t="inlineStr">
        <is>
          <t>Colorless utility: pinger, untaps each turn</t>
        </is>
      </c>
      <c r="I68" s="92" t="n">
        <v>75</v>
      </c>
    </row>
    <row r="69">
      <c r="A69" s="91" t="inlineStr">
        <is>
          <t>D6</t>
        </is>
      </c>
      <c r="B69" s="92" t="inlineStr">
        <is>
          <t>ADD</t>
        </is>
      </c>
      <c r="C69" s="91" t="inlineStr">
        <is>
          <t>Ultima, Origin of Oblivion</t>
        </is>
      </c>
      <c r="D69" s="92" t="n">
        <v>1</v>
      </c>
      <c r="E69" s="92" t="inlineStr">
        <is>
          <t>C</t>
        </is>
      </c>
      <c r="F69" s="91" t="inlineStr">
        <is>
          <t>Legendary Creature</t>
        </is>
      </c>
      <c r="G69" s="92" t="n">
        <v>5</v>
      </c>
      <c r="H69" s="91" t="inlineStr">
        <is>
          <t>Colorless 5-mana flyer, disrupts lands</t>
        </is>
      </c>
      <c r="I69" s="92" t="n">
        <v>76</v>
      </c>
    </row>
    <row r="70">
      <c r="A70" s="91" t="inlineStr">
        <is>
          <t>D6</t>
        </is>
      </c>
      <c r="B70" s="92" t="inlineStr">
        <is>
          <t>ADD</t>
        </is>
      </c>
      <c r="C70" s="91" t="inlineStr">
        <is>
          <t>Eldrazi Ravager</t>
        </is>
      </c>
      <c r="D70" s="92" t="n">
        <v>1</v>
      </c>
      <c r="E70" s="92" t="inlineStr">
        <is>
          <t>C</t>
        </is>
      </c>
      <c r="F70" s="91" t="inlineStr">
        <is>
          <t>Creature</t>
        </is>
      </c>
      <c r="G70" s="92" t="n">
        <v>6</v>
      </c>
      <c r="H70" s="91" t="inlineStr">
        <is>
          <t>Colorless 6-drop finisher (2nd of 2 copies)</t>
        </is>
      </c>
      <c r="I70" s="92" t="n">
        <v>77</v>
      </c>
    </row>
    <row r="71">
      <c r="A71" s="91" t="inlineStr">
        <is>
          <t>D6</t>
        </is>
      </c>
      <c r="B71" s="92" t="inlineStr">
        <is>
          <t>ADD</t>
        </is>
      </c>
      <c r="C71" s="91" t="inlineStr">
        <is>
          <t>Weathered Sentinels</t>
        </is>
      </c>
      <c r="D71" s="92" t="n">
        <v>1</v>
      </c>
      <c r="E71" s="92" t="inlineStr">
        <is>
          <t>C</t>
        </is>
      </c>
      <c r="F71" s="91" t="inlineStr">
        <is>
          <t>Artifact Creature</t>
        </is>
      </c>
      <c r="G71" s="92" t="n">
        <v>3</v>
      </c>
      <c r="H71" s="91" t="inlineStr">
        <is>
          <t>Colorless artifact creature body (2nd copy; D4 keeps its own)</t>
        </is>
      </c>
      <c r="I71" s="92" t="n">
        <v>78</v>
      </c>
    </row>
    <row r="72">
      <c r="A72" s="91" t="inlineStr">
        <is>
          <t>D6</t>
        </is>
      </c>
      <c r="B72" s="92" t="inlineStr">
        <is>
          <t>ADD</t>
        </is>
      </c>
      <c r="C72" s="91" t="inlineStr">
        <is>
          <t>Dwarven Mattock</t>
        </is>
      </c>
      <c r="D72" s="92" t="n">
        <v>1</v>
      </c>
      <c r="E72" s="92" t="inlineStr">
        <is>
          <t>C</t>
        </is>
      </c>
      <c r="F72" s="91" t="inlineStr">
        <is>
          <t>Artifact - Equipment</t>
        </is>
      </c>
      <c r="G72" s="92" t="n">
        <v>2</v>
      </c>
      <c r="H72" s="91" t="inlineStr">
        <is>
          <t>Equipment: +2/+2 and ward</t>
        </is>
      </c>
      <c r="I72" s="92" t="n">
        <v>79</v>
      </c>
    </row>
    <row r="73">
      <c r="A73" s="91" t="inlineStr">
        <is>
          <t>D6</t>
        </is>
      </c>
      <c r="B73" s="92" t="inlineStr">
        <is>
          <t>ADD</t>
        </is>
      </c>
      <c r="C73" s="91" t="inlineStr">
        <is>
          <t>Perpetual Timepiece</t>
        </is>
      </c>
      <c r="D73" s="92" t="n">
        <v>1</v>
      </c>
      <c r="E73" s="92" t="inlineStr">
        <is>
          <t>C</t>
        </is>
      </c>
      <c r="F73" s="91" t="inlineStr">
        <is>
          <t>Artifact</t>
        </is>
      </c>
      <c r="G73" s="92" t="n">
        <v>2</v>
      </c>
      <c r="H73" s="91" t="inlineStr">
        <is>
          <t>Cheap artifact; mill / graveyard reset</t>
        </is>
      </c>
      <c r="I73" s="92" t="n">
        <v>80</v>
      </c>
    </row>
    <row r="74">
      <c r="A74" s="91" t="inlineStr">
        <is>
          <t>D6</t>
        </is>
      </c>
      <c r="B74" s="92" t="inlineStr">
        <is>
          <t>ADD</t>
        </is>
      </c>
      <c r="C74" s="91" t="inlineStr">
        <is>
          <t>Explorer's Scope</t>
        </is>
      </c>
      <c r="D74" s="92" t="n">
        <v>1</v>
      </c>
      <c r="E74" s="92" t="inlineStr">
        <is>
          <t>C</t>
        </is>
      </c>
      <c r="F74" s="91" t="inlineStr">
        <is>
          <t>Artifact</t>
        </is>
      </c>
      <c r="G74" s="92" t="n">
        <v>1</v>
      </c>
      <c r="H74" s="91" t="inlineStr">
        <is>
          <t>Free lands off attacks (1 of 2 bench copies; D5 already holds a 3rd)</t>
        </is>
      </c>
      <c r="I74" s="92" t="n">
        <v>81</v>
      </c>
    </row>
    <row r="75">
      <c r="A75" s="91" t="inlineStr">
        <is>
          <t>D6</t>
        </is>
      </c>
      <c r="B75" s="92" t="inlineStr">
        <is>
          <t>ADD</t>
        </is>
      </c>
      <c r="C75" s="91" t="inlineStr">
        <is>
          <t>Access Tunnel</t>
        </is>
      </c>
      <c r="D75" s="92" t="n">
        <v>1</v>
      </c>
      <c r="E75" s="92" t="inlineStr">
        <is>
          <t>C</t>
        </is>
      </c>
      <c r="F75" s="91" t="inlineStr">
        <is>
          <t>Land</t>
        </is>
      </c>
      <c r="G75" s="92" t="n">
        <v>0</v>
      </c>
      <c r="H75" s="91" t="inlineStr">
        <is>
          <t>Colorless utility land - makes a small goblin unblockable; counts as a land</t>
        </is>
      </c>
      <c r="I75" s="92" t="n">
        <v>82</v>
      </c>
    </row>
    <row r="76">
      <c r="A76" s="93" t="inlineStr">
        <is>
          <t>D6</t>
        </is>
      </c>
      <c r="B76" s="94" t="inlineStr">
        <is>
          <t>LAND</t>
        </is>
      </c>
      <c r="C76" s="93" t="inlineStr">
        <is>
          <t>Mountain</t>
        </is>
      </c>
      <c r="D76" s="94" t="n">
        <v>18</v>
      </c>
      <c r="E76" s="94" t="inlineStr">
        <is>
          <t>R</t>
        </is>
      </c>
      <c r="F76" s="93" t="inlineStr">
        <is>
          <t>Basic Land</t>
        </is>
      </c>
      <c r="G76" s="94" t="n">
        <v>0</v>
      </c>
      <c r="H76" s="93" t="inlineStr">
        <is>
          <t>Basic filler</t>
        </is>
      </c>
      <c r="I76" s="94" t="n">
        <v>100</v>
      </c>
    </row>
  </sheetData>
  <mergeCells count="5">
    <mergeCell ref="A2:I2"/>
    <mergeCell ref="A37:I37"/>
    <mergeCell ref="A9:I9"/>
    <mergeCell ref="A12:I12"/>
    <mergeCell ref="A62:I6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2026-08-31T20:11:59Z</dcterms:created>
  <dcterms:modified xmlns:dcterms="http://purl.org/dc/terms/" xmlns:xsi="http://www.w3.org/2001/XMLSchema-instance" xsi:type="dcterms:W3CDTF">2026-09-03T22:19:57Z</dcterms:modified>
  <cp:lastModifiedBy>Robert Minor</cp:lastModifiedBy>
  <cp:revision>0</cp:revision>
</cp:coreProperties>
</file>